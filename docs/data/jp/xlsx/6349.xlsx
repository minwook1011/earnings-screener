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9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6349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27758</v>
      </c>
      <c r="D4" s="12" t="n">
        <v>22139</v>
      </c>
      <c r="E4" s="12" t="n">
        <v>35012</v>
      </c>
      <c r="F4" s="12" t="n">
        <v>24313</v>
      </c>
      <c r="G4" s="12" t="n">
        <v>25822</v>
      </c>
      <c r="H4" s="12" t="n">
        <v>26676</v>
      </c>
      <c r="I4" s="12" t="n">
        <v>34239</v>
      </c>
      <c r="J4" s="12" t="n">
        <v>22538</v>
      </c>
      <c r="K4" s="12" t="n">
        <v>29677</v>
      </c>
      <c r="L4" s="12" t="n">
        <v>33122</v>
      </c>
      <c r="M4" s="12" t="n">
        <v>33274</v>
      </c>
      <c r="N4" s="12" t="n">
        <v>23098</v>
      </c>
      <c r="O4" s="11" t="n">
        <v>86618</v>
      </c>
      <c r="P4" s="12" t="n">
        <v>94168</v>
      </c>
      <c r="Q4" s="12" t="n">
        <v>90242</v>
      </c>
      <c r="R4" s="12" t="n">
        <v>77646</v>
      </c>
      <c r="S4" s="12" t="n">
        <v>71825</v>
      </c>
      <c r="T4" s="12" t="n">
        <v>87623</v>
      </c>
      <c r="U4" s="12" t="n">
        <v>97914</v>
      </c>
      <c r="V4" s="12" t="n">
        <v>104278</v>
      </c>
      <c r="W4" s="12" t="n">
        <v>111050</v>
      </c>
      <c r="X4" s="12" t="n">
        <v>118611</v>
      </c>
      <c r="Y4" s="11">
        <f>IF(COUNT(Y7,Y10,Y13,Y16,Y19,Y22)=0,"",SUM(Y7,Y10,Y13,Y16,Y19,Y22))</f>
        <v/>
      </c>
      <c r="Z4" s="12">
        <f>IF(COUNT(Z7,Z10,Z13,Z16,Z19,Z22)=0,"",SUM(Z7,Z10,Z13,Z16,Z19,Z22))</f>
        <v/>
      </c>
      <c r="AA4" s="12">
        <f>IF(COUNT(AA7,AA10,AA13,AA16,AA19,AA22)=0,"",SUM(AA7,AA10,AA13,AA16,AA19,AA22))</f>
        <v/>
      </c>
      <c r="AB4" s="12">
        <f>IF(COUNT(AB7,AB10,AB13,AB16,AB19,AB22)=0,"",SUM(AB7,AB10,AB13,AB16,AB19,AB22))</f>
        <v/>
      </c>
      <c r="AC4" s="12">
        <f>IF(COUNT(AC7,AC10,AC13,AC16,AC19,AC22)=0,"",SUM(AC7,AC10,AC13,AC16,AC19,AC22))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JapanReportableSegmentsMember</t>
        </is>
      </c>
      <c r="B7" s="10" t="n"/>
      <c r="C7" s="19" t="n"/>
      <c r="D7" s="20" t="n"/>
      <c r="E7" s="20" t="n">
        <v>18125</v>
      </c>
      <c r="F7" s="20" t="n">
        <v>13030</v>
      </c>
      <c r="G7" s="20" t="n"/>
      <c r="H7" s="20" t="n"/>
      <c r="I7" s="20" t="n">
        <v>14188</v>
      </c>
      <c r="J7" s="20" t="n">
        <v>11925</v>
      </c>
      <c r="K7" s="20" t="n"/>
      <c r="L7" s="20" t="n"/>
      <c r="M7" s="20" t="n">
        <v>14787</v>
      </c>
      <c r="N7" s="20" t="n">
        <v>10185</v>
      </c>
      <c r="O7" s="19" t="n"/>
      <c r="P7" s="20" t="n"/>
      <c r="Q7" s="20" t="n"/>
      <c r="R7" s="20" t="n"/>
      <c r="S7" s="20" t="n"/>
      <c r="T7" s="20" t="n"/>
      <c r="U7" s="20" t="n"/>
      <c r="V7" s="20" t="n">
        <v>50746</v>
      </c>
      <c r="W7" s="20" t="n">
        <v>55287</v>
      </c>
      <c r="X7" s="20" t="n">
        <v>55271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NorthAmericaReportableSegmentsMember</t>
        </is>
      </c>
      <c r="B10" s="10" t="n"/>
      <c r="C10" s="19" t="n"/>
      <c r="D10" s="20" t="n"/>
      <c r="E10" s="20" t="n">
        <v>4847</v>
      </c>
      <c r="F10" s="20" t="n">
        <v>2074</v>
      </c>
      <c r="G10" s="20" t="n"/>
      <c r="H10" s="20" t="n"/>
      <c r="I10" s="20" t="n">
        <v>3589</v>
      </c>
      <c r="J10" s="20" t="n">
        <v>2074</v>
      </c>
      <c r="K10" s="20" t="n"/>
      <c r="L10" s="20" t="n"/>
      <c r="M10" s="20" t="n">
        <v>2606</v>
      </c>
      <c r="N10" s="20" t="n">
        <v>1221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11683</v>
      </c>
      <c r="W10" s="20" t="n">
        <v>9285</v>
      </c>
      <c r="X10" s="20" t="n">
        <v>12689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EuropeReportableSegmentsMember</t>
        </is>
      </c>
      <c r="B13" s="10" t="n"/>
      <c r="C13" s="19" t="n"/>
      <c r="D13" s="20" t="n"/>
      <c r="E13" s="20" t="n">
        <v>6623</v>
      </c>
      <c r="F13" s="20" t="n">
        <v>4461</v>
      </c>
      <c r="G13" s="20" t="n"/>
      <c r="H13" s="20" t="n"/>
      <c r="I13" s="20" t="n">
        <v>8733</v>
      </c>
      <c r="J13" s="20" t="n">
        <v>4669</v>
      </c>
      <c r="K13" s="20" t="n"/>
      <c r="L13" s="20" t="n"/>
      <c r="M13" s="20" t="n">
        <v>8936</v>
      </c>
      <c r="N13" s="20" t="n">
        <v>6569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22754</v>
      </c>
      <c r="W13" s="20" t="n">
        <v>24718</v>
      </c>
      <c r="X13" s="20" t="n">
        <v>28178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ChinaAreaReportableSegmentMember</t>
        </is>
      </c>
      <c r="B16" s="10" t="n"/>
      <c r="C16" s="19" t="n"/>
      <c r="D16" s="20" t="n"/>
      <c r="E16" s="20" t="n">
        <v>3790</v>
      </c>
      <c r="F16" s="20" t="n">
        <v>3812</v>
      </c>
      <c r="G16" s="20" t="n"/>
      <c r="H16" s="20" t="n"/>
      <c r="I16" s="20" t="n">
        <v>4620</v>
      </c>
      <c r="J16" s="20" t="n">
        <v>1613</v>
      </c>
      <c r="K16" s="20" t="n"/>
      <c r="L16" s="20" t="n"/>
      <c r="M16" s="20" t="n">
        <v>4081</v>
      </c>
      <c r="N16" s="20" t="n">
        <v>2947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14678</v>
      </c>
      <c r="W16" s="20" t="n">
        <v>14268</v>
      </c>
      <c r="X16" s="20" t="n">
        <v>11698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기타</t>
        </is>
      </c>
      <c r="B19" s="10" t="n"/>
      <c r="C19" s="19" t="n"/>
      <c r="D19" s="20" t="n"/>
      <c r="E19" s="20" t="n">
        <v>1625</v>
      </c>
      <c r="F19" s="20" t="n">
        <v>935</v>
      </c>
      <c r="G19" s="20" t="n"/>
      <c r="H19" s="20" t="n"/>
      <c r="I19" s="20" t="n">
        <v>1342</v>
      </c>
      <c r="J19" s="20" t="n">
        <v>1686</v>
      </c>
      <c r="K19" s="20" t="n"/>
      <c r="L19" s="20" t="n"/>
      <c r="M19" s="20" t="n">
        <v>1431</v>
      </c>
      <c r="N19" s="20" t="n">
        <v>1303</v>
      </c>
      <c r="O19" s="19" t="n"/>
      <c r="P19" s="20" t="n"/>
      <c r="Q19" s="20" t="n"/>
      <c r="R19" s="20" t="n"/>
      <c r="S19" s="20" t="n"/>
      <c r="T19" s="20" t="n"/>
      <c r="U19" s="20" t="n"/>
      <c r="V19" s="20" t="n">
        <v>4414</v>
      </c>
      <c r="W19" s="20" t="n">
        <v>5723</v>
      </c>
      <c r="X19" s="20" t="n">
        <v>6900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EntityTotalMember</t>
        </is>
      </c>
      <c r="B22" s="10" t="n"/>
      <c r="C22" s="19" t="n"/>
      <c r="D22" s="20" t="n"/>
      <c r="E22" s="20" t="n"/>
      <c r="F22" s="20" t="n"/>
      <c r="G22" s="20" t="n"/>
      <c r="H22" s="20" t="n"/>
      <c r="I22" s="20" t="n"/>
      <c r="J22" s="20" t="n">
        <v>22538</v>
      </c>
      <c r="K22" s="20" t="n"/>
      <c r="L22" s="20" t="n"/>
      <c r="M22" s="20" t="n"/>
      <c r="N22" s="20" t="n">
        <v>23098</v>
      </c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매출원가</t>
        </is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18" t="inlineStr">
        <is>
          <t>전체 매출원가</t>
        </is>
      </c>
      <c r="B26" s="10" t="n"/>
      <c r="C26" s="19" t="n">
        <v>18946</v>
      </c>
      <c r="D26" s="20" t="n">
        <v>14637</v>
      </c>
      <c r="E26" s="20" t="n">
        <v>22867</v>
      </c>
      <c r="F26" s="20" t="n">
        <v>15641</v>
      </c>
      <c r="G26" s="20" t="n">
        <v>16979</v>
      </c>
      <c r="H26" s="20" t="n">
        <v>17041</v>
      </c>
      <c r="I26" s="20" t="n">
        <v>21898</v>
      </c>
      <c r="J26" s="20" t="n">
        <v>14319</v>
      </c>
      <c r="K26" s="20" t="n">
        <v>18883</v>
      </c>
      <c r="L26" s="20" t="n">
        <v>20138</v>
      </c>
      <c r="M26" s="20" t="n">
        <v>21618</v>
      </c>
      <c r="N26" s="20" t="n">
        <v>14540</v>
      </c>
      <c r="O26" s="19" t="n">
        <v>59139</v>
      </c>
      <c r="P26" s="20" t="n">
        <v>64882</v>
      </c>
      <c r="Q26" s="20" t="n">
        <v>61966</v>
      </c>
      <c r="R26" s="20" t="n">
        <v>55396</v>
      </c>
      <c r="S26" s="20" t="n">
        <v>51473</v>
      </c>
      <c r="T26" s="20" t="n">
        <v>59595</v>
      </c>
      <c r="U26" s="20" t="n">
        <v>64173</v>
      </c>
      <c r="V26" s="20" t="n">
        <v>69690</v>
      </c>
      <c r="W26" s="20" t="n">
        <v>71559</v>
      </c>
      <c r="X26" s="20" t="n">
        <v>74958</v>
      </c>
      <c r="Y26" s="19" t="n"/>
      <c r="Z26" s="20" t="n"/>
      <c r="AA26" s="20" t="n"/>
      <c r="AB26" s="20" t="n"/>
      <c r="AC26" s="20" t="n"/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IF(OR(G26="",C26=""),"",IF(C26&lt;=0,"",IFERROR(G26/C26-1,"")))</f>
        <v/>
      </c>
      <c r="H27" s="15">
        <f>IF(OR(H26="",D26=""),"",IF(D26&lt;=0,"",IFERROR(H26/D26-1,"")))</f>
        <v/>
      </c>
      <c r="I27" s="15">
        <f>IF(OR(I26="",E26=""),"",IF(E26&lt;=0,"",IFERROR(I26/E26-1,"")))</f>
        <v/>
      </c>
      <c r="J27" s="15">
        <f>IF(OR(J26="",F26=""),"",IF(F26&lt;=0,"",IFERROR(J26/F26-1,"")))</f>
        <v/>
      </c>
      <c r="K27" s="15">
        <f>IF(OR(K26="",G26=""),"",IF(G26&lt;=0,"",IFERROR(K26/G26-1,"")))</f>
        <v/>
      </c>
      <c r="L27" s="15">
        <f>IF(OR(L26="",H26=""),"",IF(H26&lt;=0,"",IFERROR(L26/H26-1,"")))</f>
        <v/>
      </c>
      <c r="M27" s="15">
        <f>IF(OR(M26="",I26=""),"",IF(I26&lt;=0,"",IFERROR(M26/I26-1,"")))</f>
        <v/>
      </c>
      <c r="N27" s="15">
        <f>IF(OR(N26="",J26=""),"",IF(J26&lt;=0,"",IFERROR(N26/J26-1,"")))</f>
        <v/>
      </c>
      <c r="O27" s="14" t="n"/>
      <c r="P27" s="15">
        <f>IF(OR(P26="",O26=""),"",IF(O26&lt;=0,"",IFERROR(P26/O26-1,"")))</f>
        <v/>
      </c>
      <c r="Q27" s="15">
        <f>IF(OR(Q26="",P26=""),"",IF(P26&lt;=0,"",IFERROR(Q26/P26-1,"")))</f>
        <v/>
      </c>
      <c r="R27" s="15">
        <f>IF(OR(R26="",Q26=""),"",IF(Q26&lt;=0,"",IFERROR(R26/Q26-1,"")))</f>
        <v/>
      </c>
      <c r="S27" s="15">
        <f>IF(OR(S26="",R26=""),"",IF(R26&lt;=0,"",IFERROR(S26/R26-1,"")))</f>
        <v/>
      </c>
      <c r="T27" s="15">
        <f>IF(OR(T26="",S26=""),"",IF(S26&lt;=0,"",IFERROR(T26/S26-1,"")))</f>
        <v/>
      </c>
      <c r="U27" s="15">
        <f>IF(OR(U26="",T26=""),"",IF(T26&lt;=0,"",IFERROR(U26/T26-1,"")))</f>
        <v/>
      </c>
      <c r="V27" s="15">
        <f>IF(OR(V26="",U26=""),"",IF(U26&lt;=0,"",IFERROR(V26/U26-1,"")))</f>
        <v/>
      </c>
      <c r="W27" s="15">
        <f>IF(OR(W26="",V26=""),"",IF(V26&lt;=0,"",IFERROR(W26/V26-1,"")))</f>
        <v/>
      </c>
      <c r="X27" s="15">
        <f>IF(OR(X26="",W26=""),"",IF(W26&lt;=0,"",IFERROR(X26/W26-1,"")))</f>
        <v/>
      </c>
      <c r="Y27" s="14">
        <f>IF(OR(Y26="",X26=""),"",IF(X26&lt;=0,"",IFERROR(Y26/X26-1,"")))</f>
        <v/>
      </c>
      <c r="Z27" s="15">
        <f>IF(OR(Z26="",Y26=""),"",IF(Y26&lt;=0,"",IFERROR(Z26/Y26-1,"")))</f>
        <v/>
      </c>
      <c r="AA27" s="15">
        <f>IF(OR(AA26="",Z26=""),"",IF(Z26&lt;=0,"",IFERROR(AA26/Z26-1,"")))</f>
        <v/>
      </c>
      <c r="AB27" s="15">
        <f>IF(OR(AB26="",AA26=""),"",IF(AA26&lt;=0,"",IFERROR(AB26/AA26-1,"")))</f>
        <v/>
      </c>
      <c r="AC27" s="15">
        <f>IF(OR(AC26="",AB26=""),"",IF(AB26&lt;=0,"",IFERROR(AC26/AB26-1,"")))</f>
        <v/>
      </c>
    </row>
    <row r="28">
      <c r="A28" s="18" t="inlineStr">
        <is>
          <t>매출총이익</t>
        </is>
      </c>
      <c r="B28" s="10" t="n"/>
      <c r="C28" s="19">
        <f>IF(OR(C4="",C26=""),"",IFERROR(C4-C26,""))</f>
        <v/>
      </c>
      <c r="D28" s="20">
        <f>IF(OR(D4="",D26=""),"",IFERROR(D4-D26,""))</f>
        <v/>
      </c>
      <c r="E28" s="20">
        <f>IF(OR(E4="",E26=""),"",IFERROR(E4-E26,""))</f>
        <v/>
      </c>
      <c r="F28" s="20">
        <f>IF(OR(F4="",F26=""),"",IFERROR(F4-F26,""))</f>
        <v/>
      </c>
      <c r="G28" s="20">
        <f>IF(OR(G4="",G26=""),"",IFERROR(G4-G26,""))</f>
        <v/>
      </c>
      <c r="H28" s="20">
        <f>IF(OR(H4="",H26=""),"",IFERROR(H4-H26,""))</f>
        <v/>
      </c>
      <c r="I28" s="20">
        <f>IF(OR(I4="",I26=""),"",IFERROR(I4-I26,""))</f>
        <v/>
      </c>
      <c r="J28" s="20">
        <f>IF(OR(J4="",J26=""),"",IFERROR(J4-J26,""))</f>
        <v/>
      </c>
      <c r="K28" s="20">
        <f>IF(OR(K4="",K26=""),"",IFERROR(K4-K26,""))</f>
        <v/>
      </c>
      <c r="L28" s="20">
        <f>IF(OR(L4="",L26=""),"",IFERROR(L4-L26,""))</f>
        <v/>
      </c>
      <c r="M28" s="20">
        <f>IF(OR(M4="",M26=""),"",IFERROR(M4-M26,""))</f>
        <v/>
      </c>
      <c r="N28" s="20">
        <f>IF(OR(N4="",N26=""),"",IFERROR(N4-N26,""))</f>
        <v/>
      </c>
      <c r="O28" s="19">
        <f>IF(OR(O4="",O26=""),"",IFERROR(O4-O26,""))</f>
        <v/>
      </c>
      <c r="P28" s="20">
        <f>IF(OR(P4="",P26=""),"",IFERROR(P4-P26,""))</f>
        <v/>
      </c>
      <c r="Q28" s="20">
        <f>IF(OR(Q4="",Q26=""),"",IFERROR(Q4-Q26,""))</f>
        <v/>
      </c>
      <c r="R28" s="20">
        <f>IF(OR(R4="",R26=""),"",IFERROR(R4-R26,""))</f>
        <v/>
      </c>
      <c r="S28" s="20">
        <f>IF(OR(S4="",S26=""),"",IFERROR(S4-S26,""))</f>
        <v/>
      </c>
      <c r="T28" s="20">
        <f>IF(OR(T4="",T26=""),"",IFERROR(T4-T26,""))</f>
        <v/>
      </c>
      <c r="U28" s="20">
        <f>IF(OR(U4="",U26=""),"",IFERROR(U4-U26,""))</f>
        <v/>
      </c>
      <c r="V28" s="20">
        <f>IF(OR(V4="",V26=""),"",IFERROR(V4-V26,""))</f>
        <v/>
      </c>
      <c r="W28" s="20">
        <f>IF(OR(W4="",W26=""),"",IFERROR(W4-W26,""))</f>
        <v/>
      </c>
      <c r="X28" s="20">
        <f>IF(OR(X4="",X26=""),"",IFERROR(X4-X26,""))</f>
        <v/>
      </c>
      <c r="Y28" s="19" t="n"/>
      <c r="Z28" s="20" t="n"/>
      <c r="AA28" s="20" t="n"/>
      <c r="AB28" s="20" t="n"/>
      <c r="AC28" s="20" t="n"/>
    </row>
    <row r="29">
      <c r="A29" s="13" t="inlineStr">
        <is>
          <t>GPM</t>
        </is>
      </c>
      <c r="B29" s="10" t="n"/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>
        <f>IF(OR(Y28="",Y4=""),"",IFERROR(Y28/Y4,""))</f>
        <v/>
      </c>
      <c r="Z29" s="15">
        <f>IF(OR(Z28="",Z4=""),"",IFERROR(Z28/Z4,""))</f>
        <v/>
      </c>
      <c r="AA29" s="15">
        <f>IF(OR(AA28="",AA4=""),"",IFERROR(AA28/AA4,""))</f>
        <v/>
      </c>
      <c r="AB29" s="15">
        <f>IF(OR(AB28="",AB4=""),"",IFERROR(AB28/AB4,""))</f>
        <v/>
      </c>
      <c r="AC29" s="15">
        <f>IF(OR(AC28="",AC4=""),"",IFERROR(AC28/AC4,""))</f>
        <v/>
      </c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IF(OR(G28="",C28=""),"",IF(C28&lt;=0,"",IFERROR(G28/C28-1,"")))</f>
        <v/>
      </c>
      <c r="H30" s="15">
        <f>IF(OR(H28="",D28=""),"",IF(D28&lt;=0,"",IFERROR(H28/D28-1,"")))</f>
        <v/>
      </c>
      <c r="I30" s="15">
        <f>IF(OR(I28="",E28=""),"",IF(E28&lt;=0,"",IFERROR(I28/E28-1,"")))</f>
        <v/>
      </c>
      <c r="J30" s="15">
        <f>IF(OR(J28="",F28=""),"",IF(F28&lt;=0,"",IFERROR(J28/F28-1,"")))</f>
        <v/>
      </c>
      <c r="K30" s="15">
        <f>IF(OR(K28="",G28=""),"",IF(G28&lt;=0,"",IFERROR(K28/G28-1,"")))</f>
        <v/>
      </c>
      <c r="L30" s="15">
        <f>IF(OR(L28="",H28=""),"",IF(H28&lt;=0,"",IFERROR(L28/H28-1,"")))</f>
        <v/>
      </c>
      <c r="M30" s="15">
        <f>IF(OR(M28="",I28=""),"",IF(I28&lt;=0,"",IFERROR(M28/I28-1,"")))</f>
        <v/>
      </c>
      <c r="N30" s="15">
        <f>IF(OR(N28="",J28=""),"",IF(J28&lt;=0,"",IFERROR(N28/J28-1,"")))</f>
        <v/>
      </c>
      <c r="O30" s="14" t="n"/>
      <c r="P30" s="15">
        <f>IF(OR(P28="",O28=""),"",IF(O28&lt;=0,"",IFERROR(P28/O28-1,"")))</f>
        <v/>
      </c>
      <c r="Q30" s="15">
        <f>IF(OR(Q28="",P28=""),"",IF(P28&lt;=0,"",IFERROR(Q28/P28-1,"")))</f>
        <v/>
      </c>
      <c r="R30" s="15">
        <f>IF(OR(R28="",Q28=""),"",IF(Q28&lt;=0,"",IFERROR(R28/Q28-1,"")))</f>
        <v/>
      </c>
      <c r="S30" s="15">
        <f>IF(OR(S28="",R28=""),"",IF(R28&lt;=0,"",IFERROR(S28/R28-1,"")))</f>
        <v/>
      </c>
      <c r="T30" s="15">
        <f>IF(OR(T28="",S28=""),"",IF(S28&lt;=0,"",IFERROR(T28/S28-1,"")))</f>
        <v/>
      </c>
      <c r="U30" s="15">
        <f>IF(OR(U28="",T28=""),"",IF(T28&lt;=0,"",IFERROR(U28/T28-1,"")))</f>
        <v/>
      </c>
      <c r="V30" s="15">
        <f>IF(OR(V28="",U28=""),"",IF(U28&lt;=0,"",IFERROR(V28/U28-1,"")))</f>
        <v/>
      </c>
      <c r="W30" s="15">
        <f>IF(OR(W28="",V28=""),"",IF(V28&lt;=0,"",IFERROR(W28/V28-1,"")))</f>
        <v/>
      </c>
      <c r="X30" s="15">
        <f>IF(OR(X28="",W28=""),"",IF(W28&lt;=0,"",IFERROR(X28/W28-1,"")))</f>
        <v/>
      </c>
      <c r="Y30" s="14">
        <f>IF(OR(Y28="",X28=""),"",IF(X28&lt;=0,"",IFERROR(Y28/X28-1,"")))</f>
        <v/>
      </c>
      <c r="Z30" s="15">
        <f>IF(OR(Z28="",Y28=""),"",IF(Y28&lt;=0,"",IFERROR(Z28/Y28-1,"")))</f>
        <v/>
      </c>
      <c r="AA30" s="15">
        <f>IF(OR(AA28="",Z28=""),"",IF(Z28&lt;=0,"",IFERROR(AA28/Z28-1,"")))</f>
        <v/>
      </c>
      <c r="AB30" s="15">
        <f>IF(OR(AB28="",AA28=""),"",IF(AA28&lt;=0,"",IFERROR(AB28/AA28-1,"")))</f>
        <v/>
      </c>
      <c r="AC30" s="15">
        <f>IF(OR(AC28="",AB28=""),"",IF(AB28&lt;=0,"",IFERROR(AC28/AB28-1,"")))</f>
        <v/>
      </c>
    </row>
    <row r="31">
      <c r="A31" s="23" t="inlineStr">
        <is>
          <t>판매관리비</t>
        </is>
      </c>
      <c r="B31" s="23" t="n"/>
      <c r="C31" s="24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4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4" t="n"/>
      <c r="Z31" s="23" t="n"/>
      <c r="AA31" s="23" t="n"/>
      <c r="AB31" s="23" t="n"/>
      <c r="AC31" s="23" t="n"/>
    </row>
    <row r="32">
      <c r="A32" s="18" t="inlineStr">
        <is>
          <t>전체 판관비</t>
        </is>
      </c>
      <c r="B32" s="10" t="n"/>
      <c r="C32" s="19" t="n">
        <v>7669</v>
      </c>
      <c r="D32" s="20" t="n">
        <v>7220</v>
      </c>
      <c r="E32" s="20" t="n">
        <v>7972</v>
      </c>
      <c r="F32" s="20" t="n">
        <v>8229</v>
      </c>
      <c r="G32" s="20" t="n">
        <v>7979</v>
      </c>
      <c r="H32" s="20" t="n">
        <v>7607</v>
      </c>
      <c r="I32" s="20" t="n">
        <v>8561</v>
      </c>
      <c r="J32" s="20" t="n">
        <v>7714</v>
      </c>
      <c r="K32" s="20" t="n">
        <v>8142</v>
      </c>
      <c r="L32" s="20" t="n">
        <v>9201</v>
      </c>
      <c r="M32" s="20" t="n">
        <v>9192</v>
      </c>
      <c r="N32" s="20" t="n">
        <v>8020</v>
      </c>
      <c r="O32" s="19" t="n">
        <v>25771</v>
      </c>
      <c r="P32" s="20" t="n">
        <v>25556</v>
      </c>
      <c r="Q32" s="20" t="n">
        <v>25573</v>
      </c>
      <c r="R32" s="20" t="n">
        <v>25654</v>
      </c>
      <c r="S32" s="20" t="n">
        <v>22684</v>
      </c>
      <c r="T32" s="20" t="n">
        <v>25759</v>
      </c>
      <c r="U32" s="20" t="n">
        <v>28020</v>
      </c>
      <c r="V32" s="20" t="n">
        <v>29689</v>
      </c>
      <c r="W32" s="20" t="n">
        <v>32376</v>
      </c>
      <c r="X32" s="20" t="n">
        <v>34249</v>
      </c>
      <c r="Y32" s="19" t="n"/>
      <c r="Z32" s="20" t="n"/>
      <c r="AA32" s="20" t="n"/>
      <c r="AB32" s="20" t="n"/>
      <c r="AC32" s="20" t="n"/>
    </row>
    <row r="33">
      <c r="A33" s="13" t="inlineStr">
        <is>
          <t>YoY</t>
        </is>
      </c>
      <c r="B33" s="10" t="n"/>
      <c r="C33" s="14" t="n"/>
      <c r="D33" s="15" t="n"/>
      <c r="E33" s="15" t="n"/>
      <c r="F33" s="15" t="n"/>
      <c r="G33" s="15">
        <f>IF(OR(G32="",C32=""),"",IF(C32&lt;=0,"",IFERROR(G32/C32-1,"")))</f>
        <v/>
      </c>
      <c r="H33" s="15">
        <f>IF(OR(H32="",D32=""),"",IF(D32&lt;=0,"",IFERROR(H32/D32-1,"")))</f>
        <v/>
      </c>
      <c r="I33" s="15">
        <f>IF(OR(I32="",E32=""),"",IF(E32&lt;=0,"",IFERROR(I32/E32-1,"")))</f>
        <v/>
      </c>
      <c r="J33" s="15">
        <f>IF(OR(J32="",F32=""),"",IF(F32&lt;=0,"",IFERROR(J32/F32-1,"")))</f>
        <v/>
      </c>
      <c r="K33" s="15">
        <f>IF(OR(K32="",G32=""),"",IF(G32&lt;=0,"",IFERROR(K32/G32-1,"")))</f>
        <v/>
      </c>
      <c r="L33" s="15">
        <f>IF(OR(L32="",H32=""),"",IF(H32&lt;=0,"",IFERROR(L32/H32-1,"")))</f>
        <v/>
      </c>
      <c r="M33" s="15">
        <f>IF(OR(M32="",I32=""),"",IF(I32&lt;=0,"",IFERROR(M32/I32-1,"")))</f>
        <v/>
      </c>
      <c r="N33" s="15">
        <f>IF(OR(N32="",J32=""),"",IF(J32&lt;=0,"",IFERROR(N32/J32-1,"")))</f>
        <v/>
      </c>
      <c r="O33" s="14" t="n"/>
      <c r="P33" s="15">
        <f>IF(OR(P32="",O32=""),"",IF(O32&lt;=0,"",IFERROR(P32/O32-1,"")))</f>
        <v/>
      </c>
      <c r="Q33" s="15">
        <f>IF(OR(Q32="",P32=""),"",IF(P32&lt;=0,"",IFERROR(Q32/P32-1,"")))</f>
        <v/>
      </c>
      <c r="R33" s="15">
        <f>IF(OR(R32="",Q32=""),"",IF(Q32&lt;=0,"",IFERROR(R32/Q32-1,"")))</f>
        <v/>
      </c>
      <c r="S33" s="15">
        <f>IF(OR(S32="",R32=""),"",IF(R32&lt;=0,"",IFERROR(S32/R32-1,"")))</f>
        <v/>
      </c>
      <c r="T33" s="15">
        <f>IF(OR(T32="",S32=""),"",IF(S32&lt;=0,"",IFERROR(T32/S32-1,"")))</f>
        <v/>
      </c>
      <c r="U33" s="15">
        <f>IF(OR(U32="",T32=""),"",IF(T32&lt;=0,"",IFERROR(U32/T32-1,"")))</f>
        <v/>
      </c>
      <c r="V33" s="15">
        <f>IF(OR(V32="",U32=""),"",IF(U32&lt;=0,"",IFERROR(V32/U32-1,"")))</f>
        <v/>
      </c>
      <c r="W33" s="15">
        <f>IF(OR(W32="",V32=""),"",IF(V32&lt;=0,"",IFERROR(W32/V32-1,"")))</f>
        <v/>
      </c>
      <c r="X33" s="15">
        <f>IF(OR(X32="",W32=""),"",IF(W32&lt;=0,"",IFERROR(X32/W32-1,"")))</f>
        <v/>
      </c>
      <c r="Y33" s="14">
        <f>IF(OR(Y32="",X32=""),"",IF(X32&lt;=0,"",IFERROR(Y32/X32-1,"")))</f>
        <v/>
      </c>
      <c r="Z33" s="15">
        <f>IF(OR(Z32="",Y32=""),"",IF(Y32&lt;=0,"",IFERROR(Z32/Y32-1,"")))</f>
        <v/>
      </c>
      <c r="AA33" s="15">
        <f>IF(OR(AA32="",Z32=""),"",IF(Z32&lt;=0,"",IFERROR(AA32/Z32-1,"")))</f>
        <v/>
      </c>
      <c r="AB33" s="15">
        <f>IF(OR(AB32="",AA32=""),"",IF(AA32&lt;=0,"",IFERROR(AB32/AA32-1,"")))</f>
        <v/>
      </c>
      <c r="AC33" s="15">
        <f>IF(OR(AC32="",AB32=""),"",IF(AB32&lt;=0,"",IFERROR(AC32/AB32-1,"")))</f>
        <v/>
      </c>
    </row>
    <row r="34">
      <c r="A34" s="9" t="inlineStr">
        <is>
          <t>영업이익</t>
        </is>
      </c>
      <c r="B34" s="10" t="inlineStr">
        <is>
          <t>MW = 매출 × OPM</t>
        </is>
      </c>
      <c r="C34" s="11" t="n">
        <v>1141</v>
      </c>
      <c r="D34" s="12" t="n">
        <v>282</v>
      </c>
      <c r="E34" s="12" t="n">
        <v>4173</v>
      </c>
      <c r="F34" s="12" t="n">
        <v>442</v>
      </c>
      <c r="G34" s="12" t="n">
        <v>864</v>
      </c>
      <c r="H34" s="12" t="n">
        <v>2028</v>
      </c>
      <c r="I34" s="12" t="n">
        <v>3781</v>
      </c>
      <c r="J34" s="12" t="n">
        <v>504</v>
      </c>
      <c r="K34" s="12" t="n">
        <v>2652</v>
      </c>
      <c r="L34" s="12" t="n">
        <v>3782</v>
      </c>
      <c r="M34" s="12" t="n">
        <v>2466</v>
      </c>
      <c r="N34" s="12" t="n">
        <v>537</v>
      </c>
      <c r="O34" s="11" t="n">
        <v>1712</v>
      </c>
      <c r="P34" s="12" t="n">
        <v>3732</v>
      </c>
      <c r="Q34" s="12" t="n">
        <v>2706</v>
      </c>
      <c r="R34" s="12" t="n">
        <v>-3404</v>
      </c>
      <c r="S34" s="12" t="n">
        <v>-2332</v>
      </c>
      <c r="T34" s="12" t="n">
        <v>2267</v>
      </c>
      <c r="U34" s="12" t="n">
        <v>5719</v>
      </c>
      <c r="V34" s="12" t="n">
        <v>4898</v>
      </c>
      <c r="W34" s="12" t="n">
        <v>7115</v>
      </c>
      <c r="X34" s="12" t="n">
        <v>9404</v>
      </c>
      <c r="Y34" s="11">
        <f>IF(OR(Y4="",Y35=""),"",IFERROR(Y4*Y35,""))</f>
        <v/>
      </c>
      <c r="Z34" s="12">
        <f>IF(OR(Z4="",Z35=""),"",IFERROR(Z4*Z35,""))</f>
        <v/>
      </c>
      <c r="AA34" s="12">
        <f>IF(OR(AA4="",AA35=""),"",IFERROR(AA4*AA35,""))</f>
        <v/>
      </c>
      <c r="AB34" s="12">
        <f>IF(OR(AB4="",AB35=""),"",IFERROR(AB4*AB35,""))</f>
        <v/>
      </c>
      <c r="AC34" s="12">
        <f>IF(OR(AC4="",AC35=""),"",IFERROR(AC4*AC35,""))</f>
        <v/>
      </c>
    </row>
    <row r="35">
      <c r="A35" s="13" t="inlineStr">
        <is>
          <t>OPM</t>
        </is>
      </c>
      <c r="B35" s="10" t="inlineStr">
        <is>
          <t>MW 입력</t>
        </is>
      </c>
      <c r="C35" s="14">
        <f>IF(OR(C34="",C4=""),"",IFERROR(C34/C4,""))</f>
        <v/>
      </c>
      <c r="D35" s="15">
        <f>IF(OR(D34="",D4=""),"",IFERROR(D34/D4,""))</f>
        <v/>
      </c>
      <c r="E35" s="15">
        <f>IF(OR(E34="",E4=""),"",IFERROR(E34/E4,""))</f>
        <v/>
      </c>
      <c r="F35" s="15">
        <f>IF(OR(F34="",F4=""),"",IFERROR(F34/F4,""))</f>
        <v/>
      </c>
      <c r="G35" s="15">
        <f>IF(OR(G34="",G4=""),"",IFERROR(G34/G4,""))</f>
        <v/>
      </c>
      <c r="H35" s="15">
        <f>IF(OR(H34="",H4=""),"",IFERROR(H34/H4,""))</f>
        <v/>
      </c>
      <c r="I35" s="15">
        <f>IF(OR(I34="",I4=""),"",IFERROR(I34/I4,""))</f>
        <v/>
      </c>
      <c r="J35" s="15">
        <f>IF(OR(J34="",J4=""),"",IFERROR(J34/J4,""))</f>
        <v/>
      </c>
      <c r="K35" s="15">
        <f>IF(OR(K34="",K4=""),"",IFERROR(K34/K4,""))</f>
        <v/>
      </c>
      <c r="L35" s="15">
        <f>IF(OR(L34="",L4=""),"",IFERROR(L34/L4,""))</f>
        <v/>
      </c>
      <c r="M35" s="15">
        <f>IF(OR(M34="",M4=""),"",IFERROR(M34/M4,""))</f>
        <v/>
      </c>
      <c r="N35" s="15">
        <f>IF(OR(N34="",N4=""),"",IFERROR(N34/N4,""))</f>
        <v/>
      </c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25" t="n"/>
      <c r="Z35" s="26" t="n"/>
      <c r="AA35" s="26" t="n"/>
      <c r="AB35" s="26" t="n"/>
      <c r="AC35" s="26" t="n"/>
    </row>
    <row r="36">
      <c r="A36" s="13" t="inlineStr">
        <is>
          <t>증가율</t>
        </is>
      </c>
      <c r="B36" s="10" t="n"/>
      <c r="C36" s="14" t="n"/>
      <c r="D36" s="15" t="n"/>
      <c r="E36" s="15" t="n"/>
      <c r="F36" s="15" t="n"/>
      <c r="G36" s="15">
        <f>IF(OR(G34="",C34=""),"",IFERROR(G34/C34-1,""))</f>
        <v/>
      </c>
      <c r="H36" s="15">
        <f>IF(OR(H34="",D34=""),"",IFERROR(H34/D34-1,""))</f>
        <v/>
      </c>
      <c r="I36" s="15">
        <f>IF(OR(I34="",E34=""),"",IFERROR(I34/E34-1,""))</f>
        <v/>
      </c>
      <c r="J36" s="15">
        <f>IF(OR(J34="",F34=""),"",IFERROR(J34/F34-1,""))</f>
        <v/>
      </c>
      <c r="K36" s="15">
        <f>IF(OR(K34="",G34=""),"",IFERROR(K34/G34-1,""))</f>
        <v/>
      </c>
      <c r="L36" s="15">
        <f>IF(OR(L34="",H34=""),"",IFERROR(L34/H34-1,""))</f>
        <v/>
      </c>
      <c r="M36" s="15">
        <f>IF(OR(M34="",I34=""),"",IFERROR(M34/I34-1,""))</f>
        <v/>
      </c>
      <c r="N36" s="15">
        <f>IF(OR(N34="",J34=""),"",IFERROR(N34/J34-1,""))</f>
        <v/>
      </c>
      <c r="O36" s="14" t="n"/>
      <c r="P36" s="15">
        <f>IF(OR(P34="",O34=""),"",IFERROR(P34/O34-1,""))</f>
        <v/>
      </c>
      <c r="Q36" s="15">
        <f>IF(OR(Q34="",P34=""),"",IFERROR(Q34/P34-1,""))</f>
        <v/>
      </c>
      <c r="R36" s="15">
        <f>IF(OR(R34="",Q34=""),"",IFERROR(R34/Q34-1,""))</f>
        <v/>
      </c>
      <c r="S36" s="15">
        <f>IF(OR(S34="",R34=""),"",IFERROR(S34/R34-1,""))</f>
        <v/>
      </c>
      <c r="T36" s="15">
        <f>IF(OR(T34="",S34=""),"",IFERROR(T34/S34-1,""))</f>
        <v/>
      </c>
      <c r="U36" s="15">
        <f>IF(OR(U34="",T34=""),"",IFERROR(U34/T34-1,""))</f>
        <v/>
      </c>
      <c r="V36" s="15">
        <f>IF(OR(V34="",U34=""),"",IFERROR(V34/U34-1,""))</f>
        <v/>
      </c>
      <c r="W36" s="15">
        <f>IF(OR(W34="",V34=""),"",IFERROR(W34/V34-1,""))</f>
        <v/>
      </c>
      <c r="X36" s="15">
        <f>IF(OR(X34="",W34=""),"",IFERROR(X34/W34-1,""))</f>
        <v/>
      </c>
      <c r="Y36" s="14">
        <f>IF(OR(Y34="",X34=""),"",IFERROR(Y34/X34-1,""))</f>
        <v/>
      </c>
      <c r="Z36" s="15">
        <f>IF(OR(Z34="",Y34=""),"",IFERROR(Z34/Y34-1,""))</f>
        <v/>
      </c>
      <c r="AA36" s="15">
        <f>IF(OR(AA34="",Z34=""),"",IFERROR(AA34/Z34-1,""))</f>
        <v/>
      </c>
      <c r="AB36" s="15">
        <f>IF(OR(AB34="",AA34=""),"",IFERROR(AB34/AA34-1,""))</f>
        <v/>
      </c>
      <c r="AC36" s="15">
        <f>IF(OR(AC34="",AB34=""),"",IFERROR(AC34/AB34-1,""))</f>
        <v/>
      </c>
    </row>
    <row r="37">
      <c r="A37" s="16" t="inlineStr">
        <is>
          <t>비용의 성격별 분류</t>
        </is>
      </c>
      <c r="B37" s="16" t="inlineStr">
        <is>
          <t>참고 데이터</t>
        </is>
      </c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9" t="inlineStr">
        <is>
          <t>총 판관비</t>
        </is>
      </c>
      <c r="B38" s="10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1">
        <f>IF(O32="","",O32)</f>
        <v/>
      </c>
      <c r="P38" s="12">
        <f>IF(P32="","",P32)</f>
        <v/>
      </c>
      <c r="Q38" s="12">
        <f>IF(Q32="","",Q32)</f>
        <v/>
      </c>
      <c r="R38" s="12">
        <f>IF(R32="","",R32)</f>
        <v/>
      </c>
      <c r="S38" s="12">
        <f>IF(S32="","",S32)</f>
        <v/>
      </c>
      <c r="T38" s="12">
        <f>IF(T32="","",T32)</f>
        <v/>
      </c>
      <c r="U38" s="12">
        <f>IF(U32="","",U32)</f>
        <v/>
      </c>
      <c r="V38" s="12">
        <f>IF(V32="","",V32)</f>
        <v/>
      </c>
      <c r="W38" s="12">
        <f>IF(W32="","",W32)</f>
        <v/>
      </c>
      <c r="X38" s="12">
        <f>IF(X32="","",X32)</f>
        <v/>
      </c>
      <c r="Y38" s="11" t="n"/>
      <c r="Z38" s="12" t="n"/>
      <c r="AA38" s="12" t="n"/>
      <c r="AB38" s="12" t="n"/>
      <c r="AC38" s="12" t="n"/>
    </row>
    <row r="39">
      <c r="A39" s="18" t="inlineStr">
        <is>
          <t>급여</t>
        </is>
      </c>
      <c r="B39" s="10" t="inlineStr">
        <is>
          <t>고정비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감가상각비</t>
        </is>
      </c>
      <c r="B41" s="10" t="inlineStr">
        <is>
          <t>고정비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8" t="inlineStr">
        <is>
          <t>지급수수료</t>
        </is>
      </c>
      <c r="B43" s="10" t="inlineStr">
        <is>
          <t>고정비</t>
        </is>
      </c>
      <c r="C43" s="19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19" t="n"/>
      <c r="Z43" s="20" t="n"/>
      <c r="AA43" s="20" t="n"/>
      <c r="AB43" s="20" t="n"/>
      <c r="AC43" s="20" t="n"/>
    </row>
    <row r="44">
      <c r="A44" s="13" t="inlineStr">
        <is>
          <t>% of Sales</t>
        </is>
      </c>
      <c r="B44" s="10" t="n"/>
      <c r="C44" s="14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14" t="n"/>
      <c r="Z44" s="15" t="n"/>
      <c r="AA44" s="15" t="n"/>
      <c r="AB44" s="15" t="n"/>
      <c r="AC44" s="15" t="n"/>
    </row>
    <row r="45">
      <c r="A45" s="18" t="inlineStr">
        <is>
          <t>연구개발비</t>
        </is>
      </c>
      <c r="B45" s="10" t="inlineStr">
        <is>
          <t>변동비</t>
        </is>
      </c>
      <c r="C45" s="19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19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19" t="n"/>
      <c r="Z45" s="20" t="n"/>
      <c r="AA45" s="20" t="n"/>
      <c r="AB45" s="20" t="n"/>
      <c r="AC45" s="20" t="n"/>
    </row>
    <row r="46">
      <c r="A46" s="13" t="inlineStr">
        <is>
          <t>% of Sales</t>
        </is>
      </c>
      <c r="B46" s="10" t="n"/>
      <c r="C46" s="14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14" t="n"/>
      <c r="Z46" s="15" t="n"/>
      <c r="AA46" s="15" t="n"/>
      <c r="AB46" s="15" t="n"/>
      <c r="AC46" s="15" t="n"/>
    </row>
    <row r="47">
      <c r="A47" s="18" t="inlineStr">
        <is>
          <t>기타비용</t>
        </is>
      </c>
      <c r="B47" s="10" t="inlineStr">
        <is>
          <t>변동비</t>
        </is>
      </c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>
        <f>IF(OR(O38="",O39="",O41="",O43="",O45=""),"",IFERROR(O38-O39-O41-O43-O45,""))</f>
        <v/>
      </c>
      <c r="P47" s="20">
        <f>IF(OR(P38="",P39="",P41="",P43="",P45=""),"",IFERROR(P38-P39-P41-P43-P45,""))</f>
        <v/>
      </c>
      <c r="Q47" s="20">
        <f>IF(OR(Q38="",Q39="",Q41="",Q43="",Q45=""),"",IFERROR(Q38-Q39-Q41-Q43-Q45,""))</f>
        <v/>
      </c>
      <c r="R47" s="20">
        <f>IF(OR(R38="",R39="",R41="",R43="",R45=""),"",IFERROR(R38-R39-R41-R43-R45,""))</f>
        <v/>
      </c>
      <c r="S47" s="20">
        <f>IF(OR(S38="",S39="",S41="",S43="",S45=""),"",IFERROR(S38-S39-S41-S43-S45,""))</f>
        <v/>
      </c>
      <c r="T47" s="20">
        <f>IF(OR(T38="",T39="",T41="",T43="",T45=""),"",IFERROR(T38-T39-T41-T43-T45,""))</f>
        <v/>
      </c>
      <c r="U47" s="20">
        <f>IF(OR(U38="",U39="",U41="",U43="",U45=""),"",IFERROR(U38-U39-U41-U43-U45,""))</f>
        <v/>
      </c>
      <c r="V47" s="20">
        <f>IF(OR(V38="",V39="",V41="",V43="",V45=""),"",IFERROR(V38-V39-V41-V43-V45,""))</f>
        <v/>
      </c>
      <c r="W47" s="20">
        <f>IF(OR(W38="",W39="",W41="",W43="",W45=""),"",IFERROR(W38-W39-W41-W43-W45,""))</f>
        <v/>
      </c>
      <c r="X47" s="20">
        <f>IF(OR(X38="",X39="",X41="",X43="",X45=""),"",IFERROR(X38-X39-X41-X43-X45,""))</f>
        <v/>
      </c>
      <c r="Y47" s="19" t="n"/>
      <c r="Z47" s="20" t="n"/>
      <c r="AA47" s="20" t="n"/>
      <c r="AB47" s="20" t="n"/>
      <c r="AC47" s="20" t="n"/>
    </row>
    <row r="48">
      <c r="A48" s="13" t="inlineStr">
        <is>
          <t>% of Sales</t>
        </is>
      </c>
      <c r="B48" s="10" t="n"/>
      <c r="C48" s="14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14" t="n"/>
      <c r="Z48" s="15" t="n"/>
      <c r="AA48" s="15" t="n"/>
      <c r="AB48" s="15" t="n"/>
      <c r="AC48" s="15" t="n"/>
    </row>
    <row r="49">
      <c r="A49" s="16" t="inlineStr">
        <is>
          <t>당기순이익 추정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특별이익</t>
        </is>
      </c>
      <c r="B50" s="10" t="n"/>
      <c r="C50" s="19" t="n">
        <v>8</v>
      </c>
      <c r="D50" s="20" t="n">
        <v>6</v>
      </c>
      <c r="E50" s="20" t="n">
        <v>468</v>
      </c>
      <c r="F50" s="20" t="n">
        <v>22</v>
      </c>
      <c r="G50" s="20" t="n">
        <v>341</v>
      </c>
      <c r="H50" s="20" t="n">
        <v>-49</v>
      </c>
      <c r="I50" s="20" t="n">
        <v>1630</v>
      </c>
      <c r="J50" s="20" t="n">
        <v>448</v>
      </c>
      <c r="K50" s="20" t="n">
        <v>-16</v>
      </c>
      <c r="L50" s="20" t="n">
        <v>3</v>
      </c>
      <c r="M50" s="20" t="n">
        <v>161</v>
      </c>
      <c r="N50" s="20" t="n">
        <v>62</v>
      </c>
      <c r="O50" s="19" t="n">
        <v>39</v>
      </c>
      <c r="P50" s="20" t="n">
        <v>60</v>
      </c>
      <c r="Q50" s="20" t="n">
        <v>3</v>
      </c>
      <c r="R50" s="20" t="n">
        <v>315</v>
      </c>
      <c r="S50" s="20" t="n">
        <v>1001</v>
      </c>
      <c r="T50" s="20" t="n">
        <v>3855</v>
      </c>
      <c r="U50" s="20" t="n">
        <v>35</v>
      </c>
      <c r="V50" s="20" t="n">
        <v>498</v>
      </c>
      <c r="W50" s="20" t="n">
        <v>1944</v>
      </c>
      <c r="X50" s="20" t="n">
        <v>596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inlineStr">
        <is>
          <t>MW = 최근 3년 평균</t>
        </is>
      </c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18" t="inlineStr">
        <is>
          <t>특별손실</t>
        </is>
      </c>
      <c r="B52" s="10" t="n"/>
      <c r="C52" s="19" t="n">
        <v>4</v>
      </c>
      <c r="D52" s="20" t="n">
        <v>2</v>
      </c>
      <c r="E52" s="20" t="n">
        <v>1400</v>
      </c>
      <c r="F52" s="20" t="n">
        <v>1</v>
      </c>
      <c r="G52" s="20" t="n">
        <v>2</v>
      </c>
      <c r="H52" s="20" t="n">
        <v>20</v>
      </c>
      <c r="I52" s="20" t="n">
        <v>375</v>
      </c>
      <c r="J52" s="20" t="n">
        <v>4</v>
      </c>
      <c r="K52" s="20" t="n">
        <v>2</v>
      </c>
      <c r="L52" s="20" t="n">
        <v>0</v>
      </c>
      <c r="M52" s="20" t="n">
        <v>493</v>
      </c>
      <c r="N52" s="20" t="n">
        <v>6</v>
      </c>
      <c r="O52" s="19" t="n">
        <v>644</v>
      </c>
      <c r="P52" s="20" t="n">
        <v>328</v>
      </c>
      <c r="Q52" s="20" t="n">
        <v>47</v>
      </c>
      <c r="R52" s="20" t="n">
        <v>18012</v>
      </c>
      <c r="S52" s="20" t="n">
        <v>1373</v>
      </c>
      <c r="T52" s="20" t="n">
        <v>274</v>
      </c>
      <c r="U52" s="20" t="n">
        <v>42</v>
      </c>
      <c r="V52" s="20" t="n">
        <v>1490</v>
      </c>
      <c r="W52" s="20" t="n">
        <v>398</v>
      </c>
      <c r="X52" s="20" t="n">
        <v>499</v>
      </c>
      <c r="Y52" s="19">
        <f>IF(OR(Y4="",Y53=""),"",IFERROR(Y4*Y53,""))</f>
        <v/>
      </c>
      <c r="Z52" s="20">
        <f>IF(OR(Z4="",Z53=""),"",IFERROR(Z4*Z53,""))</f>
        <v/>
      </c>
      <c r="AA52" s="20">
        <f>IF(OR(AA4="",AA53=""),"",IFERROR(AA4*AA53,""))</f>
        <v/>
      </c>
      <c r="AB52" s="20">
        <f>IF(OR(AB4="",AB53=""),"",IFERROR(AB4*AB53,""))</f>
        <v/>
      </c>
      <c r="AC52" s="20">
        <f>IF(OR(AC4="",AC53=""),"",IFERROR(AC4*AC53,""))</f>
        <v/>
      </c>
    </row>
    <row r="53">
      <c r="A53" s="13" t="inlineStr">
        <is>
          <t>% of Sales</t>
        </is>
      </c>
      <c r="B53" s="10" t="n"/>
      <c r="C53" s="14">
        <f>IF(OR(C52="",C4=""),"",IFERROR(C52/C4,""))</f>
        <v/>
      </c>
      <c r="D53" s="15">
        <f>IF(OR(D52="",D4=""),"",IFERROR(D52/D4,""))</f>
        <v/>
      </c>
      <c r="E53" s="15">
        <f>IF(OR(E52="",E4=""),"",IFERROR(E52/E4,""))</f>
        <v/>
      </c>
      <c r="F53" s="15">
        <f>IF(OR(F52="",F4=""),"",IFERROR(F52/F4,""))</f>
        <v/>
      </c>
      <c r="G53" s="15">
        <f>IF(OR(G52="",G4=""),"",IFERROR(G52/G4,""))</f>
        <v/>
      </c>
      <c r="H53" s="15">
        <f>IF(OR(H52="",H4=""),"",IFERROR(H52/H4,""))</f>
        <v/>
      </c>
      <c r="I53" s="15">
        <f>IF(OR(I52="",I4=""),"",IFERROR(I52/I4,""))</f>
        <v/>
      </c>
      <c r="J53" s="15">
        <f>IF(OR(J52="",J4=""),"",IFERROR(J52/J4,""))</f>
        <v/>
      </c>
      <c r="K53" s="15">
        <f>IF(OR(K52="",K4=""),"",IFERROR(K52/K4,""))</f>
        <v/>
      </c>
      <c r="L53" s="15">
        <f>IF(OR(L52="",L4=""),"",IFERROR(L52/L4,""))</f>
        <v/>
      </c>
      <c r="M53" s="15">
        <f>IF(OR(M52="",M4=""),"",IFERROR(M52/M4,""))</f>
        <v/>
      </c>
      <c r="N53" s="15">
        <f>IF(OR(N52="",N4=""),"",IFERROR(N52/N4,""))</f>
        <v/>
      </c>
      <c r="O53" s="14">
        <f>IF(OR(O52="",O4=""),"",IFERROR(O52/O4,""))</f>
        <v/>
      </c>
      <c r="P53" s="15">
        <f>IF(OR(P52="",P4=""),"",IFERROR(P52/P4,""))</f>
        <v/>
      </c>
      <c r="Q53" s="15">
        <f>IF(OR(Q52="",Q4=""),"",IFERROR(Q52/Q4,""))</f>
        <v/>
      </c>
      <c r="R53" s="15">
        <f>IF(OR(R52="",R4=""),"",IFERROR(R52/R4,""))</f>
        <v/>
      </c>
      <c r="S53" s="15">
        <f>IF(OR(S52="",S4=""),"",IFERROR(S52/S4,""))</f>
        <v/>
      </c>
      <c r="T53" s="15">
        <f>IF(OR(T52="",T4=""),"",IFERROR(T52/T4,""))</f>
        <v/>
      </c>
      <c r="U53" s="15">
        <f>IF(OR(U52="",U4=""),"",IFERROR(U52/U4,""))</f>
        <v/>
      </c>
      <c r="V53" s="15">
        <f>IF(OR(V52="",V4=""),"",IFERROR(V52/V4,""))</f>
        <v/>
      </c>
      <c r="W53" s="15">
        <f>IF(OR(W52="",W4=""),"",IFERROR(W52/W4,""))</f>
        <v/>
      </c>
      <c r="X53" s="15">
        <f>IF(OR(X52="",X4=""),"",IFERROR(X52/X4,""))</f>
        <v/>
      </c>
      <c r="Y53" s="25">
        <f>IFERROR(AVERAGE(V53,W53,X53),"")</f>
        <v/>
      </c>
      <c r="Z53" s="26">
        <f>Y53</f>
        <v/>
      </c>
      <c r="AA53" s="26">
        <f>Z53</f>
        <v/>
      </c>
      <c r="AB53" s="26">
        <f>AA53</f>
        <v/>
      </c>
      <c r="AC53" s="26">
        <f>AB53</f>
        <v/>
      </c>
    </row>
    <row r="54">
      <c r="A54" s="18" t="inlineStr">
        <is>
          <t>영업외수익</t>
        </is>
      </c>
      <c r="B54" s="10" t="n"/>
      <c r="C54" s="19" t="n">
        <v>356</v>
      </c>
      <c r="D54" s="20" t="n">
        <v>33</v>
      </c>
      <c r="E54" s="20" t="n">
        <v>492</v>
      </c>
      <c r="F54" s="20" t="n">
        <v>713</v>
      </c>
      <c r="G54" s="20" t="n">
        <v>-263</v>
      </c>
      <c r="H54" s="20" t="n">
        <v>263</v>
      </c>
      <c r="I54" s="20" t="n">
        <v>222</v>
      </c>
      <c r="J54" s="20" t="n">
        <v>341</v>
      </c>
      <c r="K54" s="20" t="n">
        <v>341</v>
      </c>
      <c r="L54" s="20" t="n">
        <v>634</v>
      </c>
      <c r="M54" s="20" t="n">
        <v>326</v>
      </c>
      <c r="N54" s="20" t="n">
        <v>437</v>
      </c>
      <c r="O54" s="19" t="n">
        <v>735</v>
      </c>
      <c r="P54" s="20" t="n">
        <v>1056</v>
      </c>
      <c r="Q54" s="20" t="n">
        <v>704</v>
      </c>
      <c r="R54" s="20" t="n">
        <v>700</v>
      </c>
      <c r="S54" s="20" t="n">
        <v>1490</v>
      </c>
      <c r="T54" s="20" t="n">
        <v>1388</v>
      </c>
      <c r="U54" s="20" t="n">
        <v>1139</v>
      </c>
      <c r="V54" s="20" t="n">
        <v>2121</v>
      </c>
      <c r="W54" s="20" t="n">
        <v>935</v>
      </c>
      <c r="X54" s="20" t="n">
        <v>1642</v>
      </c>
      <c r="Y54" s="19">
        <f>IF(OR(Y4="",Y55=""),"",IFERROR(Y4*Y55,""))</f>
        <v/>
      </c>
      <c r="Z54" s="20">
        <f>IF(OR(Z4="",Z55=""),"",IFERROR(Z4*Z55,""))</f>
        <v/>
      </c>
      <c r="AA54" s="20">
        <f>IF(OR(AA4="",AA55=""),"",IFERROR(AA4*AA55,""))</f>
        <v/>
      </c>
      <c r="AB54" s="20">
        <f>IF(OR(AB4="",AB55=""),"",IFERROR(AB4*AB55,""))</f>
        <v/>
      </c>
      <c r="AC54" s="20">
        <f>IF(OR(AC4="",AC55=""),"",IFERROR(AC4*AC55,""))</f>
        <v/>
      </c>
    </row>
    <row r="55">
      <c r="A55" s="13" t="inlineStr">
        <is>
          <t>% of Sales</t>
        </is>
      </c>
      <c r="B55" s="10" t="n"/>
      <c r="C55" s="14">
        <f>IF(OR(C54="",C4=""),"",IFERROR(C54/C4,""))</f>
        <v/>
      </c>
      <c r="D55" s="15">
        <f>IF(OR(D54="",D4=""),"",IFERROR(D54/D4,""))</f>
        <v/>
      </c>
      <c r="E55" s="15">
        <f>IF(OR(E54="",E4=""),"",IFERROR(E54/E4,""))</f>
        <v/>
      </c>
      <c r="F55" s="15">
        <f>IF(OR(F54="",F4=""),"",IFERROR(F54/F4,""))</f>
        <v/>
      </c>
      <c r="G55" s="15">
        <f>IF(OR(G54="",G4=""),"",IFERROR(G54/G4,""))</f>
        <v/>
      </c>
      <c r="H55" s="15">
        <f>IF(OR(H54="",H4=""),"",IFERROR(H54/H4,""))</f>
        <v/>
      </c>
      <c r="I55" s="15">
        <f>IF(OR(I54="",I4=""),"",IFERROR(I54/I4,""))</f>
        <v/>
      </c>
      <c r="J55" s="15">
        <f>IF(OR(J54="",J4=""),"",IFERROR(J54/J4,""))</f>
        <v/>
      </c>
      <c r="K55" s="15">
        <f>IF(OR(K54="",K4=""),"",IFERROR(K54/K4,""))</f>
        <v/>
      </c>
      <c r="L55" s="15">
        <f>IF(OR(L54="",L4=""),"",IFERROR(L54/L4,""))</f>
        <v/>
      </c>
      <c r="M55" s="15">
        <f>IF(OR(M54="",M4=""),"",IFERROR(M54/M4,""))</f>
        <v/>
      </c>
      <c r="N55" s="15">
        <f>IF(OR(N54="",N4=""),"",IFERROR(N54/N4,""))</f>
        <v/>
      </c>
      <c r="O55" s="14">
        <f>IF(OR(O54="",O4=""),"",IFERROR(O54/O4,""))</f>
        <v/>
      </c>
      <c r="P55" s="15">
        <f>IF(OR(P54="",P4=""),"",IFERROR(P54/P4,""))</f>
        <v/>
      </c>
      <c r="Q55" s="15">
        <f>IF(OR(Q54="",Q4=""),"",IFERROR(Q54/Q4,""))</f>
        <v/>
      </c>
      <c r="R55" s="15">
        <f>IF(OR(R54="",R4=""),"",IFERROR(R54/R4,""))</f>
        <v/>
      </c>
      <c r="S55" s="15">
        <f>IF(OR(S54="",S4=""),"",IFERROR(S54/S4,""))</f>
        <v/>
      </c>
      <c r="T55" s="15">
        <f>IF(OR(T54="",T4=""),"",IFERROR(T54/T4,""))</f>
        <v/>
      </c>
      <c r="U55" s="15">
        <f>IF(OR(U54="",U4=""),"",IFERROR(U54/U4,""))</f>
        <v/>
      </c>
      <c r="V55" s="15">
        <f>IF(OR(V54="",V4=""),"",IFERROR(V54/V4,""))</f>
        <v/>
      </c>
      <c r="W55" s="15">
        <f>IF(OR(W54="",W4=""),"",IFERROR(W54/W4,""))</f>
        <v/>
      </c>
      <c r="X55" s="15">
        <f>IF(OR(X54="",X4=""),"",IFERROR(X54/X4,""))</f>
        <v/>
      </c>
      <c r="Y55" s="25">
        <f>IFERROR(AVERAGE(V55,W55,X55),"")</f>
        <v/>
      </c>
      <c r="Z55" s="26">
        <f>Y55</f>
        <v/>
      </c>
      <c r="AA55" s="26">
        <f>Z55</f>
        <v/>
      </c>
      <c r="AB55" s="26">
        <f>AA55</f>
        <v/>
      </c>
      <c r="AC55" s="26">
        <f>AB55</f>
        <v/>
      </c>
    </row>
    <row r="56">
      <c r="A56" s="18" t="inlineStr">
        <is>
          <t>영업외비용</t>
        </is>
      </c>
      <c r="B56" s="10" t="n"/>
      <c r="C56" s="19" t="n">
        <v>28</v>
      </c>
      <c r="D56" s="20" t="n">
        <v>97</v>
      </c>
      <c r="E56" s="20" t="n">
        <v>70</v>
      </c>
      <c r="F56" s="20" t="n">
        <v>45</v>
      </c>
      <c r="G56" s="20" t="n">
        <v>304</v>
      </c>
      <c r="H56" s="20" t="n">
        <v>-202</v>
      </c>
      <c r="I56" s="20" t="n">
        <v>290</v>
      </c>
      <c r="J56" s="20" t="n">
        <v>221</v>
      </c>
      <c r="K56" s="20" t="n">
        <v>-26</v>
      </c>
      <c r="L56" s="20" t="n">
        <v>72</v>
      </c>
      <c r="M56" s="20" t="n">
        <v>61</v>
      </c>
      <c r="N56" s="20" t="n">
        <v>68</v>
      </c>
      <c r="O56" s="19" t="n">
        <v>1018</v>
      </c>
      <c r="P56" s="20" t="n">
        <v>368</v>
      </c>
      <c r="Q56" s="20" t="n">
        <v>907</v>
      </c>
      <c r="R56" s="20" t="n">
        <v>776</v>
      </c>
      <c r="S56" s="20" t="n">
        <v>307</v>
      </c>
      <c r="T56" s="20" t="n">
        <v>247</v>
      </c>
      <c r="U56" s="20" t="n">
        <v>247</v>
      </c>
      <c r="V56" s="20" t="n">
        <v>223</v>
      </c>
      <c r="W56" s="20" t="n">
        <v>437</v>
      </c>
      <c r="X56" s="20" t="n">
        <v>328</v>
      </c>
      <c r="Y56" s="19">
        <f>IF(OR(Y4="",Y57=""),"",IFERROR(Y4*Y57,""))</f>
        <v/>
      </c>
      <c r="Z56" s="20">
        <f>IF(OR(Z4="",Z57=""),"",IFERROR(Z4*Z57,""))</f>
        <v/>
      </c>
      <c r="AA56" s="20">
        <f>IF(OR(AA4="",AA57=""),"",IFERROR(AA4*AA57,""))</f>
        <v/>
      </c>
      <c r="AB56" s="20">
        <f>IF(OR(AB4="",AB57=""),"",IFERROR(AB4*AB57,""))</f>
        <v/>
      </c>
      <c r="AC56" s="20">
        <f>IF(OR(AC4="",AC57=""),"",IFERROR(AC4*AC57,""))</f>
        <v/>
      </c>
    </row>
    <row r="57">
      <c r="A57" s="13" t="inlineStr">
        <is>
          <t>% of Sales</t>
        </is>
      </c>
      <c r="B57" s="10" t="n"/>
      <c r="C57" s="14">
        <f>IF(OR(C56="",C4=""),"",IFERROR(C56/C4,""))</f>
        <v/>
      </c>
      <c r="D57" s="15">
        <f>IF(OR(D56="",D4=""),"",IFERROR(D56/D4,""))</f>
        <v/>
      </c>
      <c r="E57" s="15">
        <f>IF(OR(E56="",E4=""),"",IFERROR(E56/E4,""))</f>
        <v/>
      </c>
      <c r="F57" s="15">
        <f>IF(OR(F56="",F4=""),"",IFERROR(F56/F4,""))</f>
        <v/>
      </c>
      <c r="G57" s="15">
        <f>IF(OR(G56="",G4=""),"",IFERROR(G56/G4,""))</f>
        <v/>
      </c>
      <c r="H57" s="15">
        <f>IF(OR(H56="",H4=""),"",IFERROR(H56/H4,""))</f>
        <v/>
      </c>
      <c r="I57" s="15">
        <f>IF(OR(I56="",I4=""),"",IFERROR(I56/I4,""))</f>
        <v/>
      </c>
      <c r="J57" s="15">
        <f>IF(OR(J56="",J4=""),"",IFERROR(J56/J4,""))</f>
        <v/>
      </c>
      <c r="K57" s="15">
        <f>IF(OR(K56="",K4=""),"",IFERROR(K56/K4,""))</f>
        <v/>
      </c>
      <c r="L57" s="15">
        <f>IF(OR(L56="",L4=""),"",IFERROR(L56/L4,""))</f>
        <v/>
      </c>
      <c r="M57" s="15">
        <f>IF(OR(M56="",M4=""),"",IFERROR(M56/M4,""))</f>
        <v/>
      </c>
      <c r="N57" s="15">
        <f>IF(OR(N56="",N4=""),"",IFERROR(N56/N4,""))</f>
        <v/>
      </c>
      <c r="O57" s="14">
        <f>IF(OR(O56="",O4=""),"",IFERROR(O56/O4,""))</f>
        <v/>
      </c>
      <c r="P57" s="15">
        <f>IF(OR(P56="",P4=""),"",IFERROR(P56/P4,""))</f>
        <v/>
      </c>
      <c r="Q57" s="15">
        <f>IF(OR(Q56="",Q4=""),"",IFERROR(Q56/Q4,""))</f>
        <v/>
      </c>
      <c r="R57" s="15">
        <f>IF(OR(R56="",R4=""),"",IFERROR(R56/R4,""))</f>
        <v/>
      </c>
      <c r="S57" s="15">
        <f>IF(OR(S56="",S4=""),"",IFERROR(S56/S4,""))</f>
        <v/>
      </c>
      <c r="T57" s="15">
        <f>IF(OR(T56="",T4=""),"",IFERROR(T56/T4,""))</f>
        <v/>
      </c>
      <c r="U57" s="15">
        <f>IF(OR(U56="",U4=""),"",IFERROR(U56/U4,""))</f>
        <v/>
      </c>
      <c r="V57" s="15">
        <f>IF(OR(V56="",V4=""),"",IFERROR(V56/V4,""))</f>
        <v/>
      </c>
      <c r="W57" s="15">
        <f>IF(OR(W56="",W4=""),"",IFERROR(W56/W4,""))</f>
        <v/>
      </c>
      <c r="X57" s="15">
        <f>IF(OR(X56="",X4=""),"",IFERROR(X56/X4,""))</f>
        <v/>
      </c>
      <c r="Y57" s="25">
        <f>IFERROR(AVERAGE(V57,W57,X57),"")</f>
        <v/>
      </c>
      <c r="Z57" s="26">
        <f>Y57</f>
        <v/>
      </c>
      <c r="AA57" s="26">
        <f>Z57</f>
        <v/>
      </c>
      <c r="AB57" s="26">
        <f>AA57</f>
        <v/>
      </c>
      <c r="AC57" s="26">
        <f>AB57</f>
        <v/>
      </c>
    </row>
    <row r="58">
      <c r="A58" s="9" t="inlineStr">
        <is>
          <t>법인세비용차감전순이익(손실)</t>
        </is>
      </c>
      <c r="B58" s="10" t="n"/>
      <c r="C58" s="11" t="n">
        <v>1474</v>
      </c>
      <c r="D58" s="12" t="n">
        <v>223</v>
      </c>
      <c r="E58" s="12" t="n">
        <v>3663</v>
      </c>
      <c r="F58" s="12" t="n">
        <v>1132</v>
      </c>
      <c r="G58" s="12" t="n">
        <v>634</v>
      </c>
      <c r="H58" s="12" t="n">
        <v>2424</v>
      </c>
      <c r="I58" s="12" t="n">
        <v>4970</v>
      </c>
      <c r="J58" s="12" t="n">
        <v>1068</v>
      </c>
      <c r="K58" s="12" t="n">
        <v>3001</v>
      </c>
      <c r="L58" s="12" t="n">
        <v>4347</v>
      </c>
      <c r="M58" s="12" t="n">
        <v>2398</v>
      </c>
      <c r="N58" s="12" t="n">
        <v>963</v>
      </c>
      <c r="O58" s="11" t="n">
        <v>824</v>
      </c>
      <c r="P58" s="12" t="n">
        <v>4152</v>
      </c>
      <c r="Q58" s="12" t="n">
        <v>2458</v>
      </c>
      <c r="R58" s="12" t="n">
        <v>-21176</v>
      </c>
      <c r="S58" s="12" t="n">
        <v>-1522</v>
      </c>
      <c r="T58" s="12" t="n">
        <v>6990</v>
      </c>
      <c r="U58" s="12" t="n">
        <v>6604</v>
      </c>
      <c r="V58" s="12" t="n">
        <v>5805</v>
      </c>
      <c r="W58" s="12" t="n">
        <v>9160</v>
      </c>
      <c r="X58" s="12" t="n">
        <v>10814</v>
      </c>
      <c r="Y58" s="11">
        <f>IF(OR(Y34=""),"",IFERROR(Y34+N(Y50)-N(Y52)+N(Y54)-N(Y56),""))</f>
        <v/>
      </c>
      <c r="Z58" s="12">
        <f>IF(OR(Z34=""),"",IFERROR(Z34+N(Z50)-N(Z52)+N(Z54)-N(Z56),""))</f>
        <v/>
      </c>
      <c r="AA58" s="12">
        <f>IF(OR(AA34=""),"",IFERROR(AA34+N(AA50)-N(AA52)+N(AA54)-N(AA56),""))</f>
        <v/>
      </c>
      <c r="AB58" s="12">
        <f>IF(OR(AB34=""),"",IFERROR(AB34+N(AB50)-N(AB52)+N(AB54)-N(AB56),""))</f>
        <v/>
      </c>
      <c r="AC58" s="12">
        <f>IF(OR(AC34=""),"",IFERROR(AC34+N(AC50)-N(AC52)+N(AC54)-N(AC56),""))</f>
        <v/>
      </c>
    </row>
    <row r="59">
      <c r="A59" s="13" t="inlineStr">
        <is>
          <t>YoY</t>
        </is>
      </c>
      <c r="B59" s="10" t="n"/>
      <c r="C59" s="14" t="n"/>
      <c r="D59" s="15" t="n"/>
      <c r="E59" s="15" t="n"/>
      <c r="F59" s="15" t="n"/>
      <c r="G59" s="15">
        <f>IF(OR(G58="",C58=""),"",IF(C58&lt;=0,"",IFERROR(G58/C58-1,"")))</f>
        <v/>
      </c>
      <c r="H59" s="15">
        <f>IF(OR(H58="",D58=""),"",IF(D58&lt;=0,"",IFERROR(H58/D58-1,"")))</f>
        <v/>
      </c>
      <c r="I59" s="15">
        <f>IF(OR(I58="",E58=""),"",IF(E58&lt;=0,"",IFERROR(I58/E58-1,"")))</f>
        <v/>
      </c>
      <c r="J59" s="15">
        <f>IF(OR(J58="",F58=""),"",IF(F58&lt;=0,"",IFERROR(J58/F58-1,"")))</f>
        <v/>
      </c>
      <c r="K59" s="15">
        <f>IF(OR(K58="",G58=""),"",IF(G58&lt;=0,"",IFERROR(K58/G58-1,"")))</f>
        <v/>
      </c>
      <c r="L59" s="15">
        <f>IF(OR(L58="",H58=""),"",IF(H58&lt;=0,"",IFERROR(L58/H58-1,"")))</f>
        <v/>
      </c>
      <c r="M59" s="15">
        <f>IF(OR(M58="",I58=""),"",IF(I58&lt;=0,"",IFERROR(M58/I58-1,"")))</f>
        <v/>
      </c>
      <c r="N59" s="15">
        <f>IF(OR(N58="",J58=""),"",IF(J58&lt;=0,"",IFERROR(N58/J58-1,"")))</f>
        <v/>
      </c>
      <c r="O59" s="14" t="n"/>
      <c r="P59" s="15">
        <f>IF(OR(P58="",O58=""),"",IF(O58&lt;=0,"",IFERROR(P58/O58-1,"")))</f>
        <v/>
      </c>
      <c r="Q59" s="15">
        <f>IF(OR(Q58="",P58=""),"",IF(P58&lt;=0,"",IFERROR(Q58/P58-1,"")))</f>
        <v/>
      </c>
      <c r="R59" s="15">
        <f>IF(OR(R58="",Q58=""),"",IF(Q58&lt;=0,"",IFERROR(R58/Q58-1,"")))</f>
        <v/>
      </c>
      <c r="S59" s="15">
        <f>IF(OR(S58="",R58=""),"",IF(R58&lt;=0,"",IFERROR(S58/R58-1,"")))</f>
        <v/>
      </c>
      <c r="T59" s="15">
        <f>IF(OR(T58="",S58=""),"",IF(S58&lt;=0,"",IFERROR(T58/S58-1,"")))</f>
        <v/>
      </c>
      <c r="U59" s="15">
        <f>IF(OR(U58="",T58=""),"",IF(T58&lt;=0,"",IFERROR(U58/T58-1,"")))</f>
        <v/>
      </c>
      <c r="V59" s="15">
        <f>IF(OR(V58="",U58=""),"",IF(U58&lt;=0,"",IFERROR(V58/U58-1,"")))</f>
        <v/>
      </c>
      <c r="W59" s="15">
        <f>IF(OR(W58="",V58=""),"",IF(V58&lt;=0,"",IFERROR(W58/V58-1,"")))</f>
        <v/>
      </c>
      <c r="X59" s="15">
        <f>IF(OR(X58="",W58=""),"",IF(W58&lt;=0,"",IFERROR(X58/W58-1,"")))</f>
        <v/>
      </c>
      <c r="Y59" s="14">
        <f>IF(OR(Y58="",X58=""),"",IF(X58&lt;=0,"",IFERROR(Y58/X58-1,"")))</f>
        <v/>
      </c>
      <c r="Z59" s="15">
        <f>IF(OR(Z58="",Y58=""),"",IF(Y58&lt;=0,"",IFERROR(Z58/Y58-1,"")))</f>
        <v/>
      </c>
      <c r="AA59" s="15">
        <f>IF(OR(AA58="",Z58=""),"",IF(Z58&lt;=0,"",IFERROR(AA58/Z58-1,"")))</f>
        <v/>
      </c>
      <c r="AB59" s="15">
        <f>IF(OR(AB58="",AA58=""),"",IF(AA58&lt;=0,"",IFERROR(AB58/AA58-1,"")))</f>
        <v/>
      </c>
      <c r="AC59" s="15">
        <f>IF(OR(AC58="",AB58=""),"",IF(AB58&lt;=0,"",IFERROR(AC58/AB58-1,"")))</f>
        <v/>
      </c>
    </row>
    <row r="60">
      <c r="A60" s="18" t="inlineStr">
        <is>
          <t>법인세비용(수익)</t>
        </is>
      </c>
      <c r="B60" s="10" t="n"/>
      <c r="C60" s="19" t="n">
        <v>348</v>
      </c>
      <c r="D60" s="20" t="n">
        <v>80</v>
      </c>
      <c r="E60" s="20" t="n">
        <v>305</v>
      </c>
      <c r="F60" s="20" t="n">
        <v>510</v>
      </c>
      <c r="G60" s="20" t="n">
        <v>250</v>
      </c>
      <c r="H60" s="20" t="n">
        <v>517</v>
      </c>
      <c r="I60" s="20" t="n">
        <v>635</v>
      </c>
      <c r="J60" s="20" t="n">
        <v>641</v>
      </c>
      <c r="K60" s="20" t="n">
        <v>1071</v>
      </c>
      <c r="L60" s="20" t="n">
        <v>1352</v>
      </c>
      <c r="M60" s="20" t="n">
        <v>379</v>
      </c>
      <c r="N60" s="20" t="n">
        <v>436</v>
      </c>
      <c r="O60" s="19" t="n">
        <v>166</v>
      </c>
      <c r="P60" s="20" t="n">
        <v>1078</v>
      </c>
      <c r="Q60" s="20" t="n">
        <v>1044</v>
      </c>
      <c r="R60" s="20" t="n">
        <v>4299</v>
      </c>
      <c r="S60" s="20" t="n">
        <v>543</v>
      </c>
      <c r="T60" s="20" t="n">
        <v>804</v>
      </c>
      <c r="U60" s="20" t="n">
        <v>813</v>
      </c>
      <c r="V60" s="20" t="n">
        <v>1147</v>
      </c>
      <c r="W60" s="20" t="n">
        <v>1912</v>
      </c>
      <c r="X60" s="20" t="n">
        <v>3443</v>
      </c>
      <c r="Y60" s="19">
        <f>IF(OR(Y58="",Y61=""),"",IFERROR(MAX(Y58,0)*Y61,""))</f>
        <v/>
      </c>
      <c r="Z60" s="20">
        <f>IF(OR(Z58="",Z61=""),"",IFERROR(MAX(Z58,0)*Z61,""))</f>
        <v/>
      </c>
      <c r="AA60" s="20">
        <f>IF(OR(AA58="",AA61=""),"",IFERROR(MAX(AA58,0)*AA61,""))</f>
        <v/>
      </c>
      <c r="AB60" s="20">
        <f>IF(OR(AB58="",AB61=""),"",IFERROR(MAX(AB58,0)*AB61,""))</f>
        <v/>
      </c>
      <c r="AC60" s="20">
        <f>IF(OR(AC58="",AC61=""),"",IFERROR(MAX(AC58,0)*AC61,""))</f>
        <v/>
      </c>
    </row>
    <row r="61">
      <c r="A61" s="13" t="inlineStr">
        <is>
          <t>법인세율</t>
        </is>
      </c>
      <c r="B61" s="10" t="inlineStr">
        <is>
          <t>MW 기본 30%</t>
        </is>
      </c>
      <c r="C61" s="14">
        <f>IF(OR(C60="",C58=""),"",IFERROR(C60/C58,""))</f>
        <v/>
      </c>
      <c r="D61" s="15">
        <f>IF(OR(D60="",D58=""),"",IFERROR(D60/D58,""))</f>
        <v/>
      </c>
      <c r="E61" s="15">
        <f>IF(OR(E60="",E58=""),"",IFERROR(E60/E58,""))</f>
        <v/>
      </c>
      <c r="F61" s="15">
        <f>IF(OR(F60="",F58=""),"",IFERROR(F60/F58,""))</f>
        <v/>
      </c>
      <c r="G61" s="15">
        <f>IF(OR(G60="",G58=""),"",IFERROR(G60/G58,""))</f>
        <v/>
      </c>
      <c r="H61" s="15">
        <f>IF(OR(H60="",H58=""),"",IFERROR(H60/H58,""))</f>
        <v/>
      </c>
      <c r="I61" s="15">
        <f>IF(OR(I60="",I58=""),"",IFERROR(I60/I58,""))</f>
        <v/>
      </c>
      <c r="J61" s="15">
        <f>IF(OR(J60="",J58=""),"",IFERROR(J60/J58,""))</f>
        <v/>
      </c>
      <c r="K61" s="15">
        <f>IF(OR(K60="",K58=""),"",IFERROR(K60/K58,""))</f>
        <v/>
      </c>
      <c r="L61" s="15">
        <f>IF(OR(L60="",L58=""),"",IFERROR(L60/L58,""))</f>
        <v/>
      </c>
      <c r="M61" s="15">
        <f>IF(OR(M60="",M58=""),"",IFERROR(M60/M58,""))</f>
        <v/>
      </c>
      <c r="N61" s="15">
        <f>IF(OR(N60="",N58=""),"",IFERROR(N60/N58,""))</f>
        <v/>
      </c>
      <c r="O61" s="14">
        <f>IF(OR(O60="",O58=""),"",IFERROR(O60/O58,""))</f>
        <v/>
      </c>
      <c r="P61" s="15">
        <f>IF(OR(P60="",P58=""),"",IFERROR(P60/P58,""))</f>
        <v/>
      </c>
      <c r="Q61" s="15">
        <f>IF(OR(Q60="",Q58=""),"",IFERROR(Q60/Q58,""))</f>
        <v/>
      </c>
      <c r="R61" s="15">
        <f>IF(OR(R60="",R58=""),"",IFERROR(R60/R58,""))</f>
        <v/>
      </c>
      <c r="S61" s="15">
        <f>IF(OR(S60="",S58=""),"",IFERROR(S60/S58,""))</f>
        <v/>
      </c>
      <c r="T61" s="15">
        <f>IF(OR(T60="",T58=""),"",IFERROR(T60/T58,""))</f>
        <v/>
      </c>
      <c r="U61" s="15">
        <f>IF(OR(U60="",U58=""),"",IFERROR(U60/U58,""))</f>
        <v/>
      </c>
      <c r="V61" s="15">
        <f>IF(OR(V60="",V58=""),"",IFERROR(V60/V58,""))</f>
        <v/>
      </c>
      <c r="W61" s="15">
        <f>IF(OR(W60="",W58=""),"",IFERROR(W60/W58,""))</f>
        <v/>
      </c>
      <c r="X61" s="15">
        <f>IF(OR(X60="",X58=""),"",IFERROR(X60/X58,""))</f>
        <v/>
      </c>
      <c r="Y61" s="25" t="n">
        <v>0.3</v>
      </c>
      <c r="Z61" s="26" t="n">
        <v>0.3</v>
      </c>
      <c r="AA61" s="26" t="n">
        <v>0.3</v>
      </c>
      <c r="AB61" s="26" t="n">
        <v>0.3</v>
      </c>
      <c r="AC61" s="26" t="n">
        <v>0.3</v>
      </c>
    </row>
    <row r="62">
      <c r="A62" s="9" t="inlineStr">
        <is>
          <t>당기순이익(손실)</t>
        </is>
      </c>
      <c r="B62" s="10" t="n"/>
      <c r="C62" s="11" t="n">
        <v>1127</v>
      </c>
      <c r="D62" s="12" t="n">
        <v>142</v>
      </c>
      <c r="E62" s="12" t="n">
        <v>3358</v>
      </c>
      <c r="F62" s="12" t="n">
        <v>621</v>
      </c>
      <c r="G62" s="12" t="n">
        <v>384</v>
      </c>
      <c r="H62" s="12" t="n">
        <v>1908</v>
      </c>
      <c r="I62" s="12" t="n">
        <v>4334</v>
      </c>
      <c r="J62" s="12" t="n">
        <v>427</v>
      </c>
      <c r="K62" s="12" t="n">
        <v>1930</v>
      </c>
      <c r="L62" s="12" t="n">
        <v>2995</v>
      </c>
      <c r="M62" s="12" t="n">
        <v>2019</v>
      </c>
      <c r="N62" s="12" t="n">
        <v>526</v>
      </c>
      <c r="O62" s="11" t="n">
        <v>658</v>
      </c>
      <c r="P62" s="12" t="n">
        <v>3074</v>
      </c>
      <c r="Q62" s="12" t="n">
        <v>1414</v>
      </c>
      <c r="R62" s="12" t="n">
        <v>-25476</v>
      </c>
      <c r="S62" s="12" t="n">
        <v>-2065</v>
      </c>
      <c r="T62" s="12" t="n">
        <v>6185</v>
      </c>
      <c r="U62" s="12" t="n">
        <v>5791</v>
      </c>
      <c r="V62" s="12" t="n">
        <v>4657</v>
      </c>
      <c r="W62" s="12" t="n">
        <v>7247</v>
      </c>
      <c r="X62" s="12" t="n">
        <v>7371</v>
      </c>
      <c r="Y62" s="11">
        <f>IF(OR(Y58=""),"",IFERROR(Y58-Y60,""))</f>
        <v/>
      </c>
      <c r="Z62" s="12">
        <f>IF(OR(Z58=""),"",IFERROR(Z58-Z60,""))</f>
        <v/>
      </c>
      <c r="AA62" s="12">
        <f>IF(OR(AA58=""),"",IFERROR(AA58-AA60,""))</f>
        <v/>
      </c>
      <c r="AB62" s="12">
        <f>IF(OR(AB58=""),"",IFERROR(AB58-AB60,""))</f>
        <v/>
      </c>
      <c r="AC62" s="12">
        <f>IF(OR(AC58=""),"",IFERROR(AC58-AC60,""))</f>
        <v/>
      </c>
    </row>
    <row r="63">
      <c r="A63" s="13" t="inlineStr">
        <is>
          <t>YoY</t>
        </is>
      </c>
      <c r="B63" s="10" t="n"/>
      <c r="C63" s="14" t="n"/>
      <c r="D63" s="15" t="n"/>
      <c r="E63" s="15" t="n"/>
      <c r="F63" s="15" t="n"/>
      <c r="G63" s="15">
        <f>IF(OR(G62="",C62=""),"",IF(C62&lt;=0,"",IFERROR(G62/C62-1,"")))</f>
        <v/>
      </c>
      <c r="H63" s="15">
        <f>IF(OR(H62="",D62=""),"",IF(D62&lt;=0,"",IFERROR(H62/D62-1,"")))</f>
        <v/>
      </c>
      <c r="I63" s="15">
        <f>IF(OR(I62="",E62=""),"",IF(E62&lt;=0,"",IFERROR(I62/E62-1,"")))</f>
        <v/>
      </c>
      <c r="J63" s="15">
        <f>IF(OR(J62="",F62=""),"",IF(F62&lt;=0,"",IFERROR(J62/F62-1,"")))</f>
        <v/>
      </c>
      <c r="K63" s="15">
        <f>IF(OR(K62="",G62=""),"",IF(G62&lt;=0,"",IFERROR(K62/G62-1,"")))</f>
        <v/>
      </c>
      <c r="L63" s="15">
        <f>IF(OR(L62="",H62=""),"",IF(H62&lt;=0,"",IFERROR(L62/H62-1,"")))</f>
        <v/>
      </c>
      <c r="M63" s="15">
        <f>IF(OR(M62="",I62=""),"",IF(I62&lt;=0,"",IFERROR(M62/I62-1,"")))</f>
        <v/>
      </c>
      <c r="N63" s="15">
        <f>IF(OR(N62="",J62=""),"",IF(J62&lt;=0,"",IFERROR(N62/J62-1,"")))</f>
        <v/>
      </c>
      <c r="O63" s="14" t="n"/>
      <c r="P63" s="15">
        <f>IF(OR(P62="",O62=""),"",IF(O62&lt;=0,"",IFERROR(P62/O62-1,"")))</f>
        <v/>
      </c>
      <c r="Q63" s="15">
        <f>IF(OR(Q62="",P62=""),"",IF(P62&lt;=0,"",IFERROR(Q62/P62-1,"")))</f>
        <v/>
      </c>
      <c r="R63" s="15">
        <f>IF(OR(R62="",Q62=""),"",IF(Q62&lt;=0,"",IFERROR(R62/Q62-1,"")))</f>
        <v/>
      </c>
      <c r="S63" s="15">
        <f>IF(OR(S62="",R62=""),"",IF(R62&lt;=0,"",IFERROR(S62/R62-1,"")))</f>
        <v/>
      </c>
      <c r="T63" s="15">
        <f>IF(OR(T62="",S62=""),"",IF(S62&lt;=0,"",IFERROR(T62/S62-1,"")))</f>
        <v/>
      </c>
      <c r="U63" s="15">
        <f>IF(OR(U62="",T62=""),"",IF(T62&lt;=0,"",IFERROR(U62/T62-1,"")))</f>
        <v/>
      </c>
      <c r="V63" s="15">
        <f>IF(OR(V62="",U62=""),"",IF(U62&lt;=0,"",IFERROR(V62/U62-1,"")))</f>
        <v/>
      </c>
      <c r="W63" s="15">
        <f>IF(OR(W62="",V62=""),"",IF(V62&lt;=0,"",IFERROR(W62/V62-1,"")))</f>
        <v/>
      </c>
      <c r="X63" s="15">
        <f>IF(OR(X62="",W62=""),"",IF(W62&lt;=0,"",IFERROR(X62/W62-1,"")))</f>
        <v/>
      </c>
      <c r="Y63" s="14">
        <f>IF(OR(Y62="",X62=""),"",IF(X62&lt;=0,"",IFERROR(Y62/X62-1,"")))</f>
        <v/>
      </c>
      <c r="Z63" s="15">
        <f>IF(OR(Z62="",Y62=""),"",IF(Y62&lt;=0,"",IFERROR(Z62/Y62-1,"")))</f>
        <v/>
      </c>
      <c r="AA63" s="15">
        <f>IF(OR(AA62="",Z62=""),"",IF(Z62&lt;=0,"",IFERROR(AA62/Z62-1,"")))</f>
        <v/>
      </c>
      <c r="AB63" s="15">
        <f>IF(OR(AB62="",AA62=""),"",IF(AA62&lt;=0,"",IFERROR(AB62/AA62-1,"")))</f>
        <v/>
      </c>
      <c r="AC63" s="15">
        <f>IF(OR(AC62="",AB62=""),"",IF(AB62&lt;=0,"",IFERROR(AC62/AB62-1,"")))</f>
        <v/>
      </c>
    </row>
    <row r="64">
      <c r="A64" s="9" t="inlineStr">
        <is>
          <t>지배주주 순이익</t>
        </is>
      </c>
      <c r="B64" s="10" t="n"/>
      <c r="C64" s="11" t="n">
        <v>1126</v>
      </c>
      <c r="D64" s="12" t="n">
        <v>143</v>
      </c>
      <c r="E64" s="12" t="n">
        <v>3357</v>
      </c>
      <c r="F64" s="12" t="n">
        <v>621</v>
      </c>
      <c r="G64" s="12" t="n">
        <v>384</v>
      </c>
      <c r="H64" s="12" t="n">
        <v>1908</v>
      </c>
      <c r="I64" s="12" t="n">
        <v>4334</v>
      </c>
      <c r="J64" s="12" t="n">
        <v>427</v>
      </c>
      <c r="K64" s="12" t="n">
        <v>1930</v>
      </c>
      <c r="L64" s="12" t="n">
        <v>2995</v>
      </c>
      <c r="M64" s="12" t="n">
        <v>2019</v>
      </c>
      <c r="N64" s="12" t="n">
        <v>526</v>
      </c>
      <c r="O64" s="11" t="n">
        <v>657</v>
      </c>
      <c r="P64" s="12" t="n">
        <v>3074</v>
      </c>
      <c r="Q64" s="12" t="n">
        <v>1427</v>
      </c>
      <c r="R64" s="12" t="n">
        <v>-25473</v>
      </c>
      <c r="S64" s="12" t="n">
        <v>-2068</v>
      </c>
      <c r="T64" s="12" t="n">
        <v>6158</v>
      </c>
      <c r="U64" s="12" t="n">
        <v>5716</v>
      </c>
      <c r="V64" s="12" t="n">
        <v>4641</v>
      </c>
      <c r="W64" s="12" t="n">
        <v>7247</v>
      </c>
      <c r="X64" s="12" t="n">
        <v>7371</v>
      </c>
      <c r="Y64" s="11">
        <f>IF(OR(Y62="",Y65=""),"",IFERROR(Y62*Y65,""))</f>
        <v/>
      </c>
      <c r="Z64" s="12">
        <f>IF(OR(Z62="",Z65=""),"",IFERROR(Z62*Z65,""))</f>
        <v/>
      </c>
      <c r="AA64" s="12">
        <f>IF(OR(AA62="",AA65=""),"",IFERROR(AA62*AA65,""))</f>
        <v/>
      </c>
      <c r="AB64" s="12">
        <f>IF(OR(AB62="",AB65=""),"",IFERROR(AB62*AB65,""))</f>
        <v/>
      </c>
      <c r="AC64" s="12">
        <f>IF(OR(AC62="",AC65=""),"",IFERROR(AC62*AC65,""))</f>
        <v/>
      </c>
    </row>
    <row r="65">
      <c r="A65" s="13" t="inlineStr">
        <is>
          <t>지배주주 순이익률</t>
        </is>
      </c>
      <c r="B65" s="10" t="inlineStr">
        <is>
          <t>MW 기본 100%</t>
        </is>
      </c>
      <c r="C65" s="14">
        <f>IF(OR(C64="",C62=""),"",IFERROR(C64/C62,""))</f>
        <v/>
      </c>
      <c r="D65" s="15">
        <f>IF(OR(D64="",D62=""),"",IFERROR(D64/D62,""))</f>
        <v/>
      </c>
      <c r="E65" s="15">
        <f>IF(OR(E64="",E62=""),"",IFERROR(E64/E62,""))</f>
        <v/>
      </c>
      <c r="F65" s="15">
        <f>IF(OR(F64="",F62=""),"",IFERROR(F64/F62,""))</f>
        <v/>
      </c>
      <c r="G65" s="15">
        <f>IF(OR(G64="",G62=""),"",IFERROR(G64/G62,""))</f>
        <v/>
      </c>
      <c r="H65" s="15">
        <f>IF(OR(H64="",H62=""),"",IFERROR(H64/H62,""))</f>
        <v/>
      </c>
      <c r="I65" s="15">
        <f>IF(OR(I64="",I62=""),"",IFERROR(I64/I62,""))</f>
        <v/>
      </c>
      <c r="J65" s="15">
        <f>IF(OR(J64="",J62=""),"",IFERROR(J64/J62,""))</f>
        <v/>
      </c>
      <c r="K65" s="15">
        <f>IF(OR(K64="",K62=""),"",IFERROR(K64/K62,""))</f>
        <v/>
      </c>
      <c r="L65" s="15">
        <f>IF(OR(L64="",L62=""),"",IFERROR(L64/L62,""))</f>
        <v/>
      </c>
      <c r="M65" s="15">
        <f>IF(OR(M64="",M62=""),"",IFERROR(M64/M62,""))</f>
        <v/>
      </c>
      <c r="N65" s="15">
        <f>IF(OR(N64="",N62=""),"",IFERROR(N64/N62,""))</f>
        <v/>
      </c>
      <c r="O65" s="14">
        <f>IF(OR(O64="",O62=""),"",IFERROR(O64/O62,""))</f>
        <v/>
      </c>
      <c r="P65" s="15">
        <f>IF(OR(P64="",P62=""),"",IFERROR(P64/P62,""))</f>
        <v/>
      </c>
      <c r="Q65" s="15">
        <f>IF(OR(Q64="",Q62=""),"",IFERROR(Q64/Q62,""))</f>
        <v/>
      </c>
      <c r="R65" s="15">
        <f>IF(OR(R64="",R62=""),"",IFERROR(R64/R62,""))</f>
        <v/>
      </c>
      <c r="S65" s="15">
        <f>IF(OR(S64="",S62=""),"",IFERROR(S64/S62,""))</f>
        <v/>
      </c>
      <c r="T65" s="15">
        <f>IF(OR(T64="",T62=""),"",IFERROR(T64/T62,""))</f>
        <v/>
      </c>
      <c r="U65" s="15">
        <f>IF(OR(U64="",U62=""),"",IFERROR(U64/U62,""))</f>
        <v/>
      </c>
      <c r="V65" s="15">
        <f>IF(OR(V64="",V62=""),"",IFERROR(V64/V62,""))</f>
        <v/>
      </c>
      <c r="W65" s="15">
        <f>IF(OR(W64="",W62=""),"",IFERROR(W64/W62,""))</f>
        <v/>
      </c>
      <c r="X65" s="15">
        <f>IF(OR(X64="",X62=""),"",IFERROR(X64/X62,""))</f>
        <v/>
      </c>
      <c r="Y65" s="25" t="n">
        <v>1</v>
      </c>
      <c r="Z65" s="26" t="n">
        <v>1</v>
      </c>
      <c r="AA65" s="26" t="n">
        <v>1</v>
      </c>
      <c r="AB65" s="26" t="n">
        <v>1</v>
      </c>
      <c r="AC65" s="26" t="n">
        <v>1</v>
      </c>
    </row>
    <row r="66">
      <c r="A66" s="13" t="inlineStr">
        <is>
          <t>지배주주 순이익 YoY</t>
        </is>
      </c>
      <c r="B66" s="10" t="n"/>
      <c r="C66" s="14" t="n"/>
      <c r="D66" s="15" t="n"/>
      <c r="E66" s="15" t="n"/>
      <c r="F66" s="15" t="n"/>
      <c r="G66" s="15">
        <f>IF(OR(G64="",C64=""),"",IF(C64&lt;=0,"",IFERROR(G64/C64-1,"")))</f>
        <v/>
      </c>
      <c r="H66" s="15">
        <f>IF(OR(H64="",D64=""),"",IF(D64&lt;=0,"",IFERROR(H64/D64-1,"")))</f>
        <v/>
      </c>
      <c r="I66" s="15">
        <f>IF(OR(I64="",E64=""),"",IF(E64&lt;=0,"",IFERROR(I64/E64-1,"")))</f>
        <v/>
      </c>
      <c r="J66" s="15">
        <f>IF(OR(J64="",F64=""),"",IF(F64&lt;=0,"",IFERROR(J64/F64-1,"")))</f>
        <v/>
      </c>
      <c r="K66" s="15">
        <f>IF(OR(K64="",G64=""),"",IF(G64&lt;=0,"",IFERROR(K64/G64-1,"")))</f>
        <v/>
      </c>
      <c r="L66" s="15">
        <f>IF(OR(L64="",H64=""),"",IF(H64&lt;=0,"",IFERROR(L64/H64-1,"")))</f>
        <v/>
      </c>
      <c r="M66" s="15">
        <f>IF(OR(M64="",I64=""),"",IF(I64&lt;=0,"",IFERROR(M64/I64-1,"")))</f>
        <v/>
      </c>
      <c r="N66" s="15">
        <f>IF(OR(N64="",J64=""),"",IF(J64&lt;=0,"",IFERROR(N64/J64-1,"")))</f>
        <v/>
      </c>
      <c r="O66" s="14" t="n"/>
      <c r="P66" s="15">
        <f>IF(OR(P64="",O64=""),"",IF(O64&lt;=0,"",IFERROR(P64/O64-1,"")))</f>
        <v/>
      </c>
      <c r="Q66" s="15">
        <f>IF(OR(Q64="",P64=""),"",IF(P64&lt;=0,"",IFERROR(Q64/P64-1,"")))</f>
        <v/>
      </c>
      <c r="R66" s="15">
        <f>IF(OR(R64="",Q64=""),"",IF(Q64&lt;=0,"",IFERROR(R64/Q64-1,"")))</f>
        <v/>
      </c>
      <c r="S66" s="15">
        <f>IF(OR(S64="",R64=""),"",IF(R64&lt;=0,"",IFERROR(S64/R64-1,"")))</f>
        <v/>
      </c>
      <c r="T66" s="15">
        <f>IF(OR(T64="",S64=""),"",IF(S64&lt;=0,"",IFERROR(T64/S64-1,"")))</f>
        <v/>
      </c>
      <c r="U66" s="15">
        <f>IF(OR(U64="",T64=""),"",IF(T64&lt;=0,"",IFERROR(U64/T64-1,"")))</f>
        <v/>
      </c>
      <c r="V66" s="15">
        <f>IF(OR(V64="",U64=""),"",IF(U64&lt;=0,"",IFERROR(V64/U64-1,"")))</f>
        <v/>
      </c>
      <c r="W66" s="15">
        <f>IF(OR(W64="",V64=""),"",IF(V64&lt;=0,"",IFERROR(W64/V64-1,"")))</f>
        <v/>
      </c>
      <c r="X66" s="15">
        <f>IF(OR(X64="",W64=""),"",IF(W64&lt;=0,"",IFERROR(X64/W64-1,"")))</f>
        <v/>
      </c>
      <c r="Y66" s="14">
        <f>IF(OR(Y64="",X64=""),"",IF(X64&lt;=0,"",IFERROR(Y64/X64-1,"")))</f>
        <v/>
      </c>
      <c r="Z66" s="15">
        <f>IF(OR(Z64="",Y64=""),"",IF(Y64&lt;=0,"",IFERROR(Z64/Y64-1,"")))</f>
        <v/>
      </c>
      <c r="AA66" s="15">
        <f>IF(OR(AA64="",Z64=""),"",IF(Z64&lt;=0,"",IFERROR(AA64/Z64-1,"")))</f>
        <v/>
      </c>
      <c r="AB66" s="15">
        <f>IF(OR(AB64="",AA64=""),"",IF(AA64&lt;=0,"",IFERROR(AB64/AA64-1,"")))</f>
        <v/>
      </c>
      <c r="AC66" s="15">
        <f>IF(OR(AC64="",AB64=""),"",IF(AB64&lt;=0,"",IFERROR(AC64/AB64-1,"")))</f>
        <v/>
      </c>
    </row>
    <row r="67">
      <c r="A67" s="16" t="inlineStr">
        <is>
          <t>목표주가 산출</t>
        </is>
      </c>
      <c r="B67" s="16" t="n"/>
      <c r="C67" s="17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7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7" t="n"/>
      <c r="Z67" s="16" t="n"/>
      <c r="AA67" s="16" t="n"/>
      <c r="AB67" s="16" t="n"/>
      <c r="AC67" s="16" t="n"/>
    </row>
    <row r="68">
      <c r="A68" s="18" t="inlineStr">
        <is>
          <t>현재 주가 (2026.10.28)</t>
        </is>
      </c>
      <c r="B68" s="27" t="n">
        <v>1937</v>
      </c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8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8" t="n"/>
      <c r="Z68" s="29" t="n"/>
      <c r="AA68" s="29" t="n"/>
      <c r="AB68" s="29" t="n"/>
      <c r="AC68" s="29" t="n"/>
    </row>
    <row r="69">
      <c r="A69" s="18" t="inlineStr">
        <is>
          <t>발행주식수 (보통주)</t>
        </is>
      </c>
      <c r="B69" s="27" t="n">
        <v>53478840</v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8" t="n"/>
      <c r="Z69" s="29" t="n"/>
      <c r="AA69" s="29" t="n"/>
      <c r="AB69" s="29" t="n"/>
      <c r="AC69" s="29" t="n"/>
    </row>
    <row r="70">
      <c r="A70" s="18" t="inlineStr">
        <is>
          <t>시가총액 (백만엔)</t>
        </is>
      </c>
      <c r="B70" s="12">
        <f>IF(OR(B68="",B69=""),"",B68*B69/1000000.0)</f>
        <v/>
      </c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19" t="n"/>
      <c r="Z70" s="20" t="n"/>
      <c r="AA70" s="20" t="n"/>
      <c r="AB70" s="20" t="n"/>
      <c r="AC70" s="20" t="n"/>
    </row>
    <row r="71">
      <c r="A71" s="13" t="inlineStr">
        <is>
          <t>OPM</t>
        </is>
      </c>
      <c r="B71" s="10" t="n"/>
      <c r="C71" s="14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4">
        <f>IF(O35="","",O35)</f>
        <v/>
      </c>
      <c r="P71" s="15">
        <f>IF(P35="","",P35)</f>
        <v/>
      </c>
      <c r="Q71" s="15">
        <f>IF(Q35="","",Q35)</f>
        <v/>
      </c>
      <c r="R71" s="15">
        <f>IF(R35="","",R35)</f>
        <v/>
      </c>
      <c r="S71" s="15">
        <f>IF(S35="","",S35)</f>
        <v/>
      </c>
      <c r="T71" s="15">
        <f>IF(T35="","",T35)</f>
        <v/>
      </c>
      <c r="U71" s="15">
        <f>IF(U35="","",U35)</f>
        <v/>
      </c>
      <c r="V71" s="15">
        <f>IF(V35="","",V35)</f>
        <v/>
      </c>
      <c r="W71" s="15">
        <f>IF(W35="","",W35)</f>
        <v/>
      </c>
      <c r="X71" s="15">
        <f>IF(X35="","",X35)</f>
        <v/>
      </c>
      <c r="Y71" s="14">
        <f>IF(Y35="","",Y35)</f>
        <v/>
      </c>
      <c r="Z71" s="15">
        <f>IF(Z35="","",Z35)</f>
        <v/>
      </c>
      <c r="AA71" s="15">
        <f>IF(AA35="","",AA35)</f>
        <v/>
      </c>
      <c r="AB71" s="15">
        <f>IF(AB35="","",AB35)</f>
        <v/>
      </c>
      <c r="AC71" s="15">
        <f>IF(AC35="","",AC35)</f>
        <v/>
      </c>
    </row>
    <row r="72">
      <c r="A72" s="13" t="inlineStr">
        <is>
          <t>지배주주 순이익 증가율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>
        <f>IF(OR(P64="",O64=""),"",IFERROR(P64/O64-1,""))</f>
        <v/>
      </c>
      <c r="Q72" s="15">
        <f>IF(OR(Q64="",P64=""),"",IFERROR(Q64/P64-1,""))</f>
        <v/>
      </c>
      <c r="R72" s="15">
        <f>IF(OR(R64="",Q64=""),"",IFERROR(R64/Q64-1,""))</f>
        <v/>
      </c>
      <c r="S72" s="15">
        <f>IF(OR(S64="",R64=""),"",IFERROR(S64/R64-1,""))</f>
        <v/>
      </c>
      <c r="T72" s="15">
        <f>IF(OR(T64="",S64=""),"",IFERROR(T64/S64-1,""))</f>
        <v/>
      </c>
      <c r="U72" s="15">
        <f>IF(OR(U64="",T64=""),"",IFERROR(U64/T64-1,""))</f>
        <v/>
      </c>
      <c r="V72" s="15">
        <f>IF(OR(V64="",U64=""),"",IFERROR(V64/U64-1,""))</f>
        <v/>
      </c>
      <c r="W72" s="15">
        <f>IF(OR(W64="",V64=""),"",IFERROR(W64/V64-1,""))</f>
        <v/>
      </c>
      <c r="X72" s="15">
        <f>IF(OR(X64="",W64=""),"",IFERROR(X64/W64-1,""))</f>
        <v/>
      </c>
      <c r="Y72" s="14">
        <f>IF(OR(Y64="",X64=""),"",IFERROR(Y64/X64-1,""))</f>
        <v/>
      </c>
      <c r="Z72" s="15">
        <f>IF(OR(Z64="",Y64=""),"",IFERROR(Z64/Y64-1,""))</f>
        <v/>
      </c>
      <c r="AA72" s="15">
        <f>IF(OR(AA64="",Z64=""),"",IFERROR(AA64/Z64-1,""))</f>
        <v/>
      </c>
      <c r="AB72" s="15">
        <f>IF(OR(AB64="",AA64=""),"",IFERROR(AB64/AA64-1,""))</f>
        <v/>
      </c>
      <c r="AC72" s="15">
        <f>IF(OR(AC64="",AB64=""),"",IFERROR(AC64/AB64-1,""))</f>
        <v/>
      </c>
    </row>
    <row r="73">
      <c r="A73" s="18" t="inlineStr">
        <is>
          <t>P/E (현재 주가)</t>
        </is>
      </c>
      <c r="B73" s="10" t="inlineStr">
        <is>
          <t>시총 ÷ 지배순이익</t>
        </is>
      </c>
      <c r="C73" s="30" t="n"/>
      <c r="D73" s="31" t="n"/>
      <c r="E73" s="31" t="n"/>
      <c r="F73" s="31" t="n"/>
      <c r="G73" s="31" t="n"/>
      <c r="H73" s="31" t="n"/>
      <c r="I73" s="31" t="n"/>
      <c r="J73" s="31" t="n"/>
      <c r="K73" s="31" t="n"/>
      <c r="L73" s="31" t="n"/>
      <c r="M73" s="31" t="n"/>
      <c r="N73" s="31" t="n"/>
      <c r="O73" s="30" t="n"/>
      <c r="P73" s="31" t="n"/>
      <c r="Q73" s="31" t="n"/>
      <c r="R73" s="31" t="n"/>
      <c r="S73" s="31" t="n"/>
      <c r="T73" s="31" t="n"/>
      <c r="U73" s="31" t="n"/>
      <c r="V73" s="31" t="n"/>
      <c r="W73" s="31" t="n"/>
      <c r="X73" s="31">
        <f>IF(OR($B$70="",X64=""),"",IFERROR($B$70/X64,""))</f>
        <v/>
      </c>
      <c r="Y73" s="30">
        <f>IF(OR($B$70="",Y64=""),"",IFERROR($B$70/Y64,""))</f>
        <v/>
      </c>
      <c r="Z73" s="31">
        <f>IF(OR($B$70="",Z64=""),"",IFERROR($B$70/Z64,""))</f>
        <v/>
      </c>
      <c r="AA73" s="31">
        <f>IF(OR($B$70="",AA64=""),"",IFERROR($B$70/AA64,""))</f>
        <v/>
      </c>
      <c r="AB73" s="31">
        <f>IF(OR($B$70="",AB64=""),"",IFERROR($B$70/AB64,""))</f>
        <v/>
      </c>
      <c r="AC73" s="31">
        <f>IF(OR($B$70="",AC64=""),"",IFERROR($B$70/AC64,""))</f>
        <v/>
      </c>
    </row>
    <row r="74">
      <c r="A74" s="18" t="inlineStr">
        <is>
          <t>Target P/E</t>
        </is>
      </c>
      <c r="B74" s="10" t="inlineStr">
        <is>
          <t>직접 입력</t>
        </is>
      </c>
      <c r="C74" s="30" t="n"/>
      <c r="D74" s="31" t="n"/>
      <c r="E74" s="31" t="n"/>
      <c r="F74" s="31" t="n"/>
      <c r="G74" s="31" t="n"/>
      <c r="H74" s="31" t="n"/>
      <c r="I74" s="31" t="n"/>
      <c r="J74" s="31" t="n"/>
      <c r="K74" s="31" t="n"/>
      <c r="L74" s="31" t="n"/>
      <c r="M74" s="31" t="n"/>
      <c r="N74" s="31" t="n"/>
      <c r="O74" s="30" t="n"/>
      <c r="P74" s="31" t="n"/>
      <c r="Q74" s="31" t="n"/>
      <c r="R74" s="31" t="n"/>
      <c r="S74" s="31" t="n"/>
      <c r="T74" s="31" t="n"/>
      <c r="U74" s="31" t="n"/>
      <c r="V74" s="31" t="n"/>
      <c r="W74" s="31" t="n"/>
      <c r="X74" s="31" t="n"/>
      <c r="Y74" s="32" t="n"/>
      <c r="Z74" s="33" t="n"/>
      <c r="AA74" s="33" t="n"/>
      <c r="AB74" s="33" t="n"/>
      <c r="AC74" s="33" t="n"/>
    </row>
    <row r="75">
      <c r="A75" s="18" t="inlineStr">
        <is>
          <t>EPS</t>
        </is>
      </c>
      <c r="B75" s="10" t="inlineStr">
        <is>
          <t>지배순이익 ÷ 주식수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8">
        <f>IF(OR(O64="",$B$69=""),"",IFERROR(O64*1000000.0/$B$69,""))</f>
        <v/>
      </c>
      <c r="P75" s="29">
        <f>IF(OR(P64="",$B$69=""),"",IFERROR(P64*1000000.0/$B$69,""))</f>
        <v/>
      </c>
      <c r="Q75" s="29">
        <f>IF(OR(Q64="",$B$69=""),"",IFERROR(Q64*1000000.0/$B$69,""))</f>
        <v/>
      </c>
      <c r="R75" s="29">
        <f>IF(OR(R64="",$B$69=""),"",IFERROR(R64*1000000.0/$B$69,""))</f>
        <v/>
      </c>
      <c r="S75" s="29">
        <f>IF(OR(S64="",$B$69=""),"",IFERROR(S64*1000000.0/$B$69,""))</f>
        <v/>
      </c>
      <c r="T75" s="29">
        <f>IF(OR(T64="",$B$69=""),"",IFERROR(T64*1000000.0/$B$69,""))</f>
        <v/>
      </c>
      <c r="U75" s="29">
        <f>IF(OR(U64="",$B$69=""),"",IFERROR(U64*1000000.0/$B$69,""))</f>
        <v/>
      </c>
      <c r="V75" s="29">
        <f>IF(OR(V64="",$B$69=""),"",IFERROR(V64*1000000.0/$B$69,""))</f>
        <v/>
      </c>
      <c r="W75" s="29">
        <f>IF(OR(W64="",$B$69=""),"",IFERROR(W64*1000000.0/$B$69,""))</f>
        <v/>
      </c>
      <c r="X75" s="29">
        <f>IF(OR(X64="",$B$69=""),"",IFERROR(X64*1000000.0/$B$69,""))</f>
        <v/>
      </c>
      <c r="Y75" s="28">
        <f>IF(OR(Y64="",$B$69=""),"",IFERROR(Y64*1000000.0/$B$69,""))</f>
        <v/>
      </c>
      <c r="Z75" s="29">
        <f>IF(OR(Z64="",$B$69=""),"",IFERROR(Z64*1000000.0/$B$69,""))</f>
        <v/>
      </c>
      <c r="AA75" s="29">
        <f>IF(OR(AA64="",$B$69=""),"",IFERROR(AA64*1000000.0/$B$69,""))</f>
        <v/>
      </c>
      <c r="AB75" s="29">
        <f>IF(OR(AB64="",$B$69=""),"",IFERROR(AB64*1000000.0/$B$69,""))</f>
        <v/>
      </c>
      <c r="AC75" s="29">
        <f>IF(OR(AC64="",$B$69=""),"",IFERROR(AC64*1000000.0/$B$69,""))</f>
        <v/>
      </c>
    </row>
    <row r="76">
      <c r="A76" s="9" t="inlineStr">
        <is>
          <t>목표주가</t>
        </is>
      </c>
      <c r="B76" s="10" t="n"/>
      <c r="C76" s="34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34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34">
        <f>IF(OR(Y75="",Y74=""),"",IFERROR(Y75*Y74,""))</f>
        <v/>
      </c>
      <c r="Z76" s="27">
        <f>IF(OR(Z75="",Z74=""),"",IFERROR(Z75*Z74,""))</f>
        <v/>
      </c>
      <c r="AA76" s="27">
        <f>IF(OR(AA75="",AA74=""),"",IFERROR(AA75*AA74,""))</f>
        <v/>
      </c>
      <c r="AB76" s="27">
        <f>IF(OR(AB75="",AB74=""),"",IFERROR(AB75*AB74,""))</f>
        <v/>
      </c>
      <c r="AC76" s="27">
        <f>IF(OR(AC75="",AC74=""),"",IFERROR(AC75*AC74,""))</f>
        <v/>
      </c>
    </row>
    <row r="77">
      <c r="A77" s="18" t="inlineStr">
        <is>
          <t>상승여력</t>
        </is>
      </c>
      <c r="B77" s="10" t="n"/>
      <c r="C77" s="35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5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7">
        <f>IF(OR(Y76="",$B$68=""),"",IFERROR(Y76/$B$68-1,""))</f>
        <v/>
      </c>
      <c r="Z77" s="38">
        <f>IF(OR(Z76="",$B$68=""),"",IFERROR(Z76/$B$68-1,""))</f>
        <v/>
      </c>
      <c r="AA77" s="38">
        <f>IF(OR(AA76="",$B$68=""),"",IFERROR(AA76/$B$68-1,""))</f>
        <v/>
      </c>
      <c r="AB77" s="38">
        <f>IF(OR(AB76="",$B$68=""),"",IFERROR(AB76/$B$68-1,""))</f>
        <v/>
      </c>
      <c r="AC77" s="38">
        <f>IF(OR(AC76="",$B$68=""),"",IFERROR(AC76/$B$68-1,""))</f>
        <v/>
      </c>
    </row>
    <row r="78">
      <c r="A78" s="16" t="inlineStr">
        <is>
          <t>자산가치 산출</t>
        </is>
      </c>
      <c r="B78" s="16" t="inlineStr">
        <is>
          <t>최신 분기 BS</t>
        </is>
      </c>
      <c r="C78" s="17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7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7" t="n"/>
      <c r="Z78" s="16" t="n"/>
      <c r="AA78" s="16" t="n"/>
      <c r="AB78" s="16" t="n"/>
      <c r="AC78" s="16" t="n"/>
    </row>
    <row r="79">
      <c r="A79" s="18" t="inlineStr">
        <is>
          <t>현금및현금성자산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'재무상태표'!G6</f>
        <v/>
      </c>
      <c r="Y79" s="19">
        <f>'재무상태표'!G6</f>
        <v/>
      </c>
      <c r="Z79" s="20">
        <f>'재무상태표'!G6</f>
        <v/>
      </c>
      <c r="AA79" s="20">
        <f>'재무상태표'!G6</f>
        <v/>
      </c>
      <c r="AB79" s="20">
        <f>'재무상태표'!G6</f>
        <v/>
      </c>
      <c r="AC79" s="20">
        <f>'재무상태표'!G6</f>
        <v/>
      </c>
    </row>
    <row r="80">
      <c r="A80" s="18" t="inlineStr">
        <is>
          <t>단기금융상품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'재무상태표'!G7</f>
        <v/>
      </c>
      <c r="Y80" s="19">
        <f>'재무상태표'!G7</f>
        <v/>
      </c>
      <c r="Z80" s="20">
        <f>'재무상태표'!G7</f>
        <v/>
      </c>
      <c r="AA80" s="20">
        <f>'재무상태표'!G7</f>
        <v/>
      </c>
      <c r="AB80" s="20">
        <f>'재무상태표'!G7</f>
        <v/>
      </c>
      <c r="AC80" s="20">
        <f>'재무상태표'!G7</f>
        <v/>
      </c>
    </row>
    <row r="81">
      <c r="A81" s="18" t="inlineStr">
        <is>
          <t>투자부동산</t>
        </is>
      </c>
      <c r="B81" s="10" t="n"/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>
        <f>'재무상태표'!G14</f>
        <v/>
      </c>
      <c r="Y81" s="19">
        <f>'재무상태표'!G14</f>
        <v/>
      </c>
      <c r="Z81" s="20">
        <f>'재무상태표'!G14</f>
        <v/>
      </c>
      <c r="AA81" s="20">
        <f>'재무상태표'!G14</f>
        <v/>
      </c>
      <c r="AB81" s="20">
        <f>'재무상태표'!G14</f>
        <v/>
      </c>
      <c r="AC81" s="20">
        <f>'재무상태표'!G14</f>
        <v/>
      </c>
    </row>
    <row r="82">
      <c r="A82" s="18" t="inlineStr">
        <is>
          <t>지배자본</t>
        </is>
      </c>
      <c r="B82" s="10" t="n"/>
      <c r="C82" s="19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19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>
        <f>'재무상태표'!G31</f>
        <v/>
      </c>
      <c r="Y82" s="19">
        <f>'재무상태표'!G31</f>
        <v/>
      </c>
      <c r="Z82" s="20">
        <f>'재무상태표'!G31</f>
        <v/>
      </c>
      <c r="AA82" s="20">
        <f>'재무상태표'!G31</f>
        <v/>
      </c>
      <c r="AB82" s="20">
        <f>'재무상태표'!G31</f>
        <v/>
      </c>
      <c r="AC82" s="20">
        <f>'재무상태표'!G31</f>
        <v/>
      </c>
    </row>
    <row r="83">
      <c r="A83" s="18" t="inlineStr">
        <is>
          <t>부채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>
        <f>'재무상태표'!G27</f>
        <v/>
      </c>
      <c r="Y83" s="19">
        <f>'재무상태표'!G27</f>
        <v/>
      </c>
      <c r="Z83" s="20">
        <f>'재무상태표'!G27</f>
        <v/>
      </c>
      <c r="AA83" s="20">
        <f>'재무상태표'!G27</f>
        <v/>
      </c>
      <c r="AB83" s="20">
        <f>'재무상태표'!G27</f>
        <v/>
      </c>
      <c r="AC83" s="20">
        <f>'재무상태표'!G27</f>
        <v/>
      </c>
    </row>
    <row r="84">
      <c r="A84" s="13" t="inlineStr">
        <is>
          <t>부채비율</t>
        </is>
      </c>
      <c r="B84" s="10" t="n"/>
      <c r="C84" s="14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4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>
        <f>IF(OR(X83="",X82=""),"",IFERROR(X83/X82,""))</f>
        <v/>
      </c>
      <c r="Y84" s="14">
        <f>IF(OR(Y83="",Y82=""),"",IFERROR(Y83/Y82,""))</f>
        <v/>
      </c>
      <c r="Z84" s="15">
        <f>IF(OR(Z83="",Z82=""),"",IFERROR(Z83/Z82,""))</f>
        <v/>
      </c>
      <c r="AA84" s="15">
        <f>IF(OR(AA83="",AA82=""),"",IFERROR(AA83/AA82,""))</f>
        <v/>
      </c>
      <c r="AB84" s="15">
        <f>IF(OR(AB83="",AB82=""),"",IFERROR(AB83/AB82,""))</f>
        <v/>
      </c>
      <c r="AC84" s="15">
        <f>IF(OR(AC83="",AC82=""),"",IFERROR(AC83/AC82,""))</f>
        <v/>
      </c>
    </row>
    <row r="85">
      <c r="A85" s="9" t="inlineStr">
        <is>
          <t>자산가치</t>
        </is>
      </c>
      <c r="B85" s="10" t="inlineStr">
        <is>
          <t>현금+단기금융+투자부동산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>
        <f>SUM(X79,X80,X81)</f>
        <v/>
      </c>
      <c r="Y85" s="11">
        <f>SUM(Y79,Y80,Y81)</f>
        <v/>
      </c>
      <c r="Z85" s="12">
        <f>SUM(Z79,Z80,Z81)</f>
        <v/>
      </c>
      <c r="AA85" s="12">
        <f>SUM(AA79,AA80,AA81)</f>
        <v/>
      </c>
      <c r="AB85" s="12">
        <f>SUM(AB79,AB80,AB81)</f>
        <v/>
      </c>
      <c r="AC85" s="12">
        <f>SUM(AC79,AC80,AC81)</f>
        <v/>
      </c>
    </row>
    <row r="86">
      <c r="A86" s="16" t="inlineStr">
        <is>
          <t>기업가치 산출</t>
        </is>
      </c>
      <c r="B86" s="16" t="n"/>
      <c r="C86" s="17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7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7" t="n"/>
      <c r="Z86" s="16" t="n"/>
      <c r="AA86" s="16" t="n"/>
      <c r="AB86" s="16" t="n"/>
      <c r="AC86" s="16" t="n"/>
    </row>
    <row r="87">
      <c r="A87" s="18" t="inlineStr">
        <is>
          <t>목표 시가총액 (P/E)</t>
        </is>
      </c>
      <c r="B87" s="10" t="inlineStr">
        <is>
          <t>지배순이익 × Target P/E</t>
        </is>
      </c>
      <c r="C87" s="19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19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19">
        <f>IF(OR(Y64="",Y74=""),"",IFERROR(Y64*Y74,""))</f>
        <v/>
      </c>
      <c r="Z87" s="20">
        <f>IF(OR(Z64="",Z74=""),"",IFERROR(Z64*Z74,""))</f>
        <v/>
      </c>
      <c r="AA87" s="20">
        <f>IF(OR(AA64="",AA74=""),"",IFERROR(AA64*AA74,""))</f>
        <v/>
      </c>
      <c r="AB87" s="20">
        <f>IF(OR(AB64="",AB74=""),"",IFERROR(AB64*AB74,""))</f>
        <v/>
      </c>
      <c r="AC87" s="20">
        <f>IF(OR(AC64="",AC74=""),"",IFERROR(AC64*AC74,""))</f>
        <v/>
      </c>
    </row>
    <row r="88">
      <c r="A88" s="9" t="inlineStr">
        <is>
          <t>기업가치</t>
        </is>
      </c>
      <c r="B88" s="10" t="inlineStr">
        <is>
          <t>목표시총 + 자산가치</t>
        </is>
      </c>
      <c r="C88" s="11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1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1">
        <f>IF(OR(Y87=""),"",IFERROR(Y87+Y85,""))</f>
        <v/>
      </c>
      <c r="Z88" s="12">
        <f>IF(OR(Z87=""),"",IFERROR(Z87+Z85,""))</f>
        <v/>
      </c>
      <c r="AA88" s="12">
        <f>IF(OR(AA87=""),"",IFERROR(AA87+AA85,""))</f>
        <v/>
      </c>
      <c r="AB88" s="12">
        <f>IF(OR(AB87=""),"",IFERROR(AB87+AB85,""))</f>
        <v/>
      </c>
      <c r="AC88" s="12">
        <f>IF(OR(AC87=""),"",IFERROR(AC87+AC85,""))</f>
        <v/>
      </c>
    </row>
    <row r="89">
      <c r="A89" s="18" t="inlineStr">
        <is>
          <t>현재 시가총액</t>
        </is>
      </c>
      <c r="B89" s="10" t="n"/>
      <c r="C89" s="19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19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19">
        <f>$B$70</f>
        <v/>
      </c>
      <c r="Z89" s="20">
        <f>$B$70</f>
        <v/>
      </c>
      <c r="AA89" s="20">
        <f>$B$70</f>
        <v/>
      </c>
      <c r="AB89" s="20">
        <f>$B$70</f>
        <v/>
      </c>
      <c r="AC89" s="20">
        <f>$B$70</f>
        <v/>
      </c>
    </row>
    <row r="90">
      <c r="A90" s="18" t="inlineStr">
        <is>
          <t>상승여력</t>
        </is>
      </c>
      <c r="B90" s="10" t="n"/>
      <c r="C90" s="35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5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7">
        <f>IF(OR(Y88="",Y89=""),"",IFERROR(Y88/Y89-1,""))</f>
        <v/>
      </c>
      <c r="Z90" s="38">
        <f>IF(OR(Z88="",Z89=""),"",IFERROR(Z88/Z89-1,""))</f>
        <v/>
      </c>
      <c r="AA90" s="38">
        <f>IF(OR(AA88="",AA89=""),"",IFERROR(AA88/AA89-1,""))</f>
        <v/>
      </c>
      <c r="AB90" s="38">
        <f>IF(OR(AB88="",AB89=""),"",IFERROR(AB88/AB89-1,""))</f>
        <v/>
      </c>
      <c r="AC90" s="38">
        <f>IF(OR(AC88="",AC89=""),"",IFERROR(AC88/AC89-1,""))</f>
        <v/>
      </c>
    </row>
    <row r="91">
      <c r="C91" s="39" t="n"/>
      <c r="O91" s="39" t="n"/>
      <c r="Y91" s="39" t="n"/>
    </row>
    <row r="92">
      <c r="A92" s="40" t="inlineStr">
        <is>
          <t>출처</t>
        </is>
      </c>
      <c r="C92" s="39" t="n"/>
      <c r="O92" s="39" t="n"/>
      <c r="Y92" s="39" t="n"/>
    </row>
    <row r="93">
      <c r="A93" s="41" t="inlineStr">
        <is>
          <t>결산단신 XBRL(TDnet·JPX 보관소) — 쓴 문서는 '출처' 시트</t>
        </is>
      </c>
      <c r="C93" s="39" t="n"/>
      <c r="O93" s="39" t="n"/>
      <c r="Y93" s="39" t="n"/>
    </row>
    <row r="94">
      <c r="A94" s="41" t="inlineStr">
        <is>
          <t>분기 = 누계에서 앞 분기를 뺀 3개월 값</t>
        </is>
      </c>
      <c r="C94" s="39" t="n"/>
      <c r="O94" s="39" t="n"/>
      <c r="Y94" s="39" t="n"/>
    </row>
    <row r="95">
      <c r="A95" s="41" t="inlineStr">
        <is>
          <t>주가: 야후 파이낸스 일봉 2026.10.28</t>
        </is>
      </c>
      <c r="C95" s="39" t="n"/>
      <c r="O95" s="39" t="n"/>
      <c r="Y95" s="39" t="n"/>
    </row>
    <row r="97">
      <c r="A97" s="16" t="inlineStr">
        <is>
          <t>손익계산서 · 전 항목</t>
        </is>
      </c>
      <c r="B97" s="42" t="inlineStr">
        <is>
          <t>분기 = 3개월 단독</t>
        </is>
      </c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</row>
    <row r="98">
      <c r="A98" s="5" t="inlineStr">
        <is>
          <t>항목</t>
        </is>
      </c>
      <c r="B98" s="5" t="inlineStr">
        <is>
          <t>참고</t>
        </is>
      </c>
      <c r="C98" s="5" t="inlineStr">
        <is>
          <t>2024.2Q</t>
        </is>
      </c>
      <c r="D98" s="5" t="inlineStr">
        <is>
          <t>2024.3Q</t>
        </is>
      </c>
      <c r="E98" s="5" t="inlineStr">
        <is>
          <t>2024.4Q</t>
        </is>
      </c>
      <c r="F98" s="5" t="inlineStr">
        <is>
          <t>2025.1Q</t>
        </is>
      </c>
      <c r="G98" s="5" t="inlineStr">
        <is>
          <t>2025.2Q</t>
        </is>
      </c>
      <c r="H98" s="5" t="inlineStr">
        <is>
          <t>2025.3Q</t>
        </is>
      </c>
      <c r="I98" s="5" t="inlineStr">
        <is>
          <t>2025.4Q</t>
        </is>
      </c>
      <c r="J98" s="5" t="inlineStr">
        <is>
          <t>2026.1Q</t>
        </is>
      </c>
      <c r="K98" s="5" t="inlineStr">
        <is>
          <t>2026.2Q</t>
        </is>
      </c>
      <c r="L98" s="5" t="inlineStr">
        <is>
          <t>2026.3Q</t>
        </is>
      </c>
      <c r="M98" s="5" t="inlineStr">
        <is>
          <t>2026.4Q</t>
        </is>
      </c>
      <c r="N98" s="5" t="inlineStr">
        <is>
          <t>2027.1Q</t>
        </is>
      </c>
      <c r="O98" s="5" t="inlineStr">
        <is>
          <t>2017</t>
        </is>
      </c>
      <c r="P98" s="5" t="inlineStr">
        <is>
          <t>2018</t>
        </is>
      </c>
      <c r="Q98" s="5" t="inlineStr">
        <is>
          <t>2019</t>
        </is>
      </c>
      <c r="R98" s="5" t="inlineStr">
        <is>
          <t>2020</t>
        </is>
      </c>
      <c r="S98" s="5" t="inlineStr">
        <is>
          <t>2021</t>
        </is>
      </c>
      <c r="T98" s="5" t="inlineStr">
        <is>
          <t>2022</t>
        </is>
      </c>
      <c r="U98" s="5" t="inlineStr">
        <is>
          <t>2023</t>
        </is>
      </c>
      <c r="V98" s="5" t="inlineStr">
        <is>
          <t>2024</t>
        </is>
      </c>
      <c r="W98" s="5" t="inlineStr">
        <is>
          <t>2025</t>
        </is>
      </c>
      <c r="X98" s="5" t="inlineStr">
        <is>
          <t>2026</t>
        </is>
      </c>
      <c r="Y98" s="5" t="inlineStr">
        <is>
          <t>2027(MW)</t>
        </is>
      </c>
      <c r="Z98" s="5" t="inlineStr">
        <is>
          <t>2028(MW)</t>
        </is>
      </c>
      <c r="AA98" s="5" t="inlineStr">
        <is>
          <t>2029(MW)</t>
        </is>
      </c>
      <c r="AB98" s="5" t="inlineStr">
        <is>
          <t>2030(MW)</t>
        </is>
      </c>
      <c r="AC98" s="5" t="inlineStr">
        <is>
          <t>2031(MW)</t>
        </is>
      </c>
    </row>
    <row r="99">
      <c r="A99" s="9" t="inlineStr">
        <is>
          <t>매출액</t>
        </is>
      </c>
      <c r="C99" s="12" t="n">
        <v>27758</v>
      </c>
      <c r="D99" s="12" t="n">
        <v>22139</v>
      </c>
      <c r="E99" s="12" t="n">
        <v>35012</v>
      </c>
      <c r="F99" s="12" t="n">
        <v>24313</v>
      </c>
      <c r="G99" s="12" t="n">
        <v>25822</v>
      </c>
      <c r="H99" s="12" t="n">
        <v>26676</v>
      </c>
      <c r="I99" s="12" t="n">
        <v>34239</v>
      </c>
      <c r="J99" s="12" t="n">
        <v>22538</v>
      </c>
      <c r="K99" s="12" t="n">
        <v>29677</v>
      </c>
      <c r="L99" s="12" t="n">
        <v>33122</v>
      </c>
      <c r="M99" s="12" t="n">
        <v>33274</v>
      </c>
      <c r="N99" s="12" t="n">
        <v>23098</v>
      </c>
      <c r="T99" s="12" t="n">
        <v>24077</v>
      </c>
      <c r="U99" s="12" t="n">
        <v>31416</v>
      </c>
      <c r="V99" s="12" t="n">
        <v>35012</v>
      </c>
      <c r="W99" s="12" t="n">
        <v>34239</v>
      </c>
      <c r="X99" s="12" t="n">
        <v>33274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IF(OR(G99="",C99=""),"",IF(C99&lt;=0,"",IFERROR(G99/C99-1,"")))</f>
        <v/>
      </c>
      <c r="H100" s="15">
        <f>IF(OR(H99="",D99=""),"",IF(D99&lt;=0,"",IFERROR(H99/D99-1,"")))</f>
        <v/>
      </c>
      <c r="I100" s="15">
        <f>IF(OR(I99="",E99=""),"",IF(E99&lt;=0,"",IFERROR(I99/E99-1,"")))</f>
        <v/>
      </c>
      <c r="J100" s="15">
        <f>IF(OR(J99="",F99=""),"",IF(F99&lt;=0,"",IFERROR(J99/F99-1,"")))</f>
        <v/>
      </c>
      <c r="K100" s="15">
        <f>IF(OR(K99="",G99=""),"",IF(G99&lt;=0,"",IFERROR(K99/G99-1,"")))</f>
        <v/>
      </c>
      <c r="L100" s="15">
        <f>IF(OR(L99="",H99=""),"",IF(H99&lt;=0,"",IFERROR(L99/H99-1,"")))</f>
        <v/>
      </c>
      <c r="M100" s="15">
        <f>IF(OR(M99="",I99=""),"",IF(I99&lt;=0,"",IFERROR(M99/I99-1,"")))</f>
        <v/>
      </c>
      <c r="N100" s="15">
        <f>IF(OR(N99="",J99=""),"",IF(J99&lt;=0,"",IFERROR(N99/J99-1,"")))</f>
        <v/>
      </c>
      <c r="T100" s="15">
        <f>IF(OR(T99="",S99=""),"",IF(S99&lt;=0,"",IFERROR(T99/S99-1,"")))</f>
        <v/>
      </c>
      <c r="U100" s="15">
        <f>IF(OR(U99="",T99=""),"",IF(T99&lt;=0,"",IFERROR(U99/T99-1,"")))</f>
        <v/>
      </c>
      <c r="V100" s="15">
        <f>IF(OR(V99="",U99=""),"",IF(U99&lt;=0,"",IFERROR(V99/U99-1,"")))</f>
        <v/>
      </c>
      <c r="W100" s="15">
        <f>IF(OR(W99="",V99=""),"",IF(V99&lt;=0,"",IFERROR(W99/V99-1,"")))</f>
        <v/>
      </c>
      <c r="X100" s="15">
        <f>IF(OR(X99="",W99=""),"",IF(W99&lt;=0,"",IFERROR(X99/W99-1,"")))</f>
        <v/>
      </c>
    </row>
    <row r="101">
      <c r="A101" s="18" t="inlineStr">
        <is>
          <t>매출원가</t>
        </is>
      </c>
      <c r="C101" s="20" t="n">
        <v>18946</v>
      </c>
      <c r="D101" s="20" t="n">
        <v>14637</v>
      </c>
      <c r="E101" s="20" t="n">
        <v>22867</v>
      </c>
      <c r="F101" s="20" t="n">
        <v>15641</v>
      </c>
      <c r="G101" s="20" t="n">
        <v>16979</v>
      </c>
      <c r="H101" s="20" t="n">
        <v>17041</v>
      </c>
      <c r="I101" s="20" t="n">
        <v>21898</v>
      </c>
      <c r="J101" s="20" t="n">
        <v>14319</v>
      </c>
      <c r="K101" s="20" t="n">
        <v>18883</v>
      </c>
      <c r="L101" s="20" t="n">
        <v>20138</v>
      </c>
      <c r="M101" s="20" t="n">
        <v>21618</v>
      </c>
      <c r="N101" s="20" t="n">
        <v>14540</v>
      </c>
      <c r="T101" s="20" t="n">
        <v>16632</v>
      </c>
      <c r="U101" s="20" t="n">
        <v>20553</v>
      </c>
      <c r="V101" s="20" t="n">
        <v>22867</v>
      </c>
      <c r="W101" s="20" t="n">
        <v>21898</v>
      </c>
      <c r="X101" s="20" t="n">
        <v>21618</v>
      </c>
    </row>
    <row r="102">
      <c r="A102" s="43" t="inlineStr">
        <is>
          <t>YoY</t>
        </is>
      </c>
      <c r="B102" s="3" t="inlineStr">
        <is>
          <t>전년 같은 분기·전년 대비</t>
        </is>
      </c>
      <c r="G102" s="15">
        <f>IF(OR(G101="",C101=""),"",IF(G101*C101&lt;=0,"",IFERROR(G101/C101-1,"")))</f>
        <v/>
      </c>
      <c r="H102" s="15">
        <f>IF(OR(H101="",D101=""),"",IF(H101*D101&lt;=0,"",IFERROR(H101/D101-1,"")))</f>
        <v/>
      </c>
      <c r="I102" s="15">
        <f>IF(OR(I101="",E101=""),"",IF(I101*E101&lt;=0,"",IFERROR(I101/E101-1,"")))</f>
        <v/>
      </c>
      <c r="J102" s="15">
        <f>IF(OR(J101="",F101=""),"",IF(J101*F101&lt;=0,"",IFERROR(J101/F101-1,"")))</f>
        <v/>
      </c>
      <c r="K102" s="15">
        <f>IF(OR(K101="",G101=""),"",IF(K101*G101&lt;=0,"",IFERROR(K101/G101-1,"")))</f>
        <v/>
      </c>
      <c r="L102" s="15">
        <f>IF(OR(L101="",H101=""),"",IF(L101*H101&lt;=0,"",IFERROR(L101/H101-1,"")))</f>
        <v/>
      </c>
      <c r="M102" s="15">
        <f>IF(OR(M101="",I101=""),"",IF(M101*I101&lt;=0,"",IFERROR(M101/I101-1,"")))</f>
        <v/>
      </c>
      <c r="N102" s="15">
        <f>IF(OR(N101="",J101=""),"",IF(N101*J101&lt;=0,"",IFERROR(N101/J101-1,"")))</f>
        <v/>
      </c>
      <c r="T102" s="15">
        <f>IF(OR(T101="",S101=""),"",IF(T101*S101&lt;=0,"",IFERROR(T101/S101-1,"")))</f>
        <v/>
      </c>
      <c r="U102" s="15">
        <f>IF(OR(U101="",T101=""),"",IF(U101*T101&lt;=0,"",IFERROR(U101/T101-1,"")))</f>
        <v/>
      </c>
      <c r="V102" s="15">
        <f>IF(OR(V101="",U101=""),"",IF(V101*U101&lt;=0,"",IFERROR(V101/U101-1,"")))</f>
        <v/>
      </c>
      <c r="W102" s="15">
        <f>IF(OR(W101="",V101=""),"",IF(W101*V101&lt;=0,"",IFERROR(W101/V101-1,"")))</f>
        <v/>
      </c>
      <c r="X102" s="15">
        <f>IF(OR(X101="",W101=""),"",IF(X101*W101&lt;=0,"",IFERROR(X101/W101-1,"")))</f>
        <v/>
      </c>
    </row>
    <row r="103">
      <c r="A103" s="9" t="inlineStr">
        <is>
          <t>매출총이익</t>
        </is>
      </c>
      <c r="C103" s="12" t="n">
        <v>8812</v>
      </c>
      <c r="D103" s="12" t="n">
        <v>7502</v>
      </c>
      <c r="E103" s="12" t="n">
        <v>12145</v>
      </c>
      <c r="F103" s="12" t="n">
        <v>8672</v>
      </c>
      <c r="G103" s="12" t="n">
        <v>8842</v>
      </c>
      <c r="H103" s="12" t="n">
        <v>9635</v>
      </c>
      <c r="I103" s="12" t="n">
        <v>12342</v>
      </c>
      <c r="J103" s="12" t="n">
        <v>8218</v>
      </c>
      <c r="K103" s="12" t="n">
        <v>10795</v>
      </c>
      <c r="L103" s="12" t="n">
        <v>12983</v>
      </c>
      <c r="M103" s="12" t="n">
        <v>11657</v>
      </c>
      <c r="N103" s="12" t="n">
        <v>8557</v>
      </c>
      <c r="T103" s="12" t="n">
        <v>7444</v>
      </c>
      <c r="U103" s="12" t="n">
        <v>10862</v>
      </c>
      <c r="V103" s="12" t="n">
        <v>12145</v>
      </c>
      <c r="W103" s="12" t="n">
        <v>12342</v>
      </c>
      <c r="X103" s="12" t="n">
        <v>11657</v>
      </c>
    </row>
    <row r="104">
      <c r="A104" s="43" t="inlineStr">
        <is>
          <t>YoY</t>
        </is>
      </c>
      <c r="B104" s="3" t="inlineStr">
        <is>
          <t>전년 같은 분기·전년 대비</t>
        </is>
      </c>
      <c r="G104" s="15">
        <f>IF(OR(G103="",C103=""),"",IF(C103&lt;=0,"",IFERROR(G103/C103-1,"")))</f>
        <v/>
      </c>
      <c r="H104" s="15">
        <f>IF(OR(H103="",D103=""),"",IF(D103&lt;=0,"",IFERROR(H103/D103-1,"")))</f>
        <v/>
      </c>
      <c r="I104" s="15">
        <f>IF(OR(I103="",E103=""),"",IF(E103&lt;=0,"",IFERROR(I103/E103-1,"")))</f>
        <v/>
      </c>
      <c r="J104" s="15">
        <f>IF(OR(J103="",F103=""),"",IF(F103&lt;=0,"",IFERROR(J103/F103-1,"")))</f>
        <v/>
      </c>
      <c r="K104" s="15">
        <f>IF(OR(K103="",G103=""),"",IF(G103&lt;=0,"",IFERROR(K103/G103-1,"")))</f>
        <v/>
      </c>
      <c r="L104" s="15">
        <f>IF(OR(L103="",H103=""),"",IF(H103&lt;=0,"",IFERROR(L103/H103-1,"")))</f>
        <v/>
      </c>
      <c r="M104" s="15">
        <f>IF(OR(M103="",I103=""),"",IF(I103&lt;=0,"",IFERROR(M103/I103-1,"")))</f>
        <v/>
      </c>
      <c r="N104" s="15">
        <f>IF(OR(N103="",J103=""),"",IF(J103&lt;=0,"",IFERROR(N103/J103-1,"")))</f>
        <v/>
      </c>
      <c r="T104" s="15">
        <f>IF(OR(T103="",S103=""),"",IF(S103&lt;=0,"",IFERROR(T103/S103-1,"")))</f>
        <v/>
      </c>
      <c r="U104" s="15">
        <f>IF(OR(U103="",T103=""),"",IF(T103&lt;=0,"",IFERROR(U103/T103-1,"")))</f>
        <v/>
      </c>
      <c r="V104" s="15">
        <f>IF(OR(V103="",U103=""),"",IF(U103&lt;=0,"",IFERROR(V103/U103-1,"")))</f>
        <v/>
      </c>
      <c r="W104" s="15">
        <f>IF(OR(W103="",V103=""),"",IF(V103&lt;=0,"",IFERROR(W103/V103-1,"")))</f>
        <v/>
      </c>
      <c r="X104" s="15">
        <f>IF(OR(X103="",W103=""),"",IF(W103&lt;=0,"",IFERROR(X103/W103-1,"")))</f>
        <v/>
      </c>
    </row>
    <row r="105">
      <c r="A105" s="18" t="inlineStr">
        <is>
          <t>판매비와 관리비</t>
        </is>
      </c>
      <c r="C105" s="20" t="n">
        <v>7669</v>
      </c>
      <c r="D105" s="20" t="n">
        <v>7220</v>
      </c>
      <c r="E105" s="20" t="n">
        <v>7972</v>
      </c>
      <c r="F105" s="20" t="n">
        <v>8229</v>
      </c>
      <c r="G105" s="20" t="n">
        <v>7979</v>
      </c>
      <c r="H105" s="20" t="n">
        <v>7607</v>
      </c>
      <c r="I105" s="20" t="n">
        <v>8561</v>
      </c>
      <c r="J105" s="20" t="n">
        <v>7714</v>
      </c>
      <c r="K105" s="20" t="n">
        <v>8142</v>
      </c>
      <c r="L105" s="20" t="n">
        <v>9201</v>
      </c>
      <c r="M105" s="20" t="n">
        <v>9192</v>
      </c>
      <c r="N105" s="20" t="n">
        <v>8020</v>
      </c>
      <c r="T105" s="20" t="n">
        <v>6391</v>
      </c>
      <c r="U105" s="20" t="n">
        <v>7804</v>
      </c>
      <c r="V105" s="20" t="n">
        <v>7972</v>
      </c>
      <c r="W105" s="20" t="n">
        <v>8561</v>
      </c>
      <c r="X105" s="20" t="n">
        <v>9192</v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IF(OR(G105="",C105=""),"",IF(G105*C105&lt;=0,"",IFERROR(G105/C105-1,"")))</f>
        <v/>
      </c>
      <c r="H106" s="15">
        <f>IF(OR(H105="",D105=""),"",IF(H105*D105&lt;=0,"",IFERROR(H105/D105-1,"")))</f>
        <v/>
      </c>
      <c r="I106" s="15">
        <f>IF(OR(I105="",E105=""),"",IF(I105*E105&lt;=0,"",IFERROR(I105/E105-1,"")))</f>
        <v/>
      </c>
      <c r="J106" s="15">
        <f>IF(OR(J105="",F105=""),"",IF(J105*F105&lt;=0,"",IFERROR(J105/F105-1,"")))</f>
        <v/>
      </c>
      <c r="K106" s="15">
        <f>IF(OR(K105="",G105=""),"",IF(K105*G105&lt;=0,"",IFERROR(K105/G105-1,"")))</f>
        <v/>
      </c>
      <c r="L106" s="15">
        <f>IF(OR(L105="",H105=""),"",IF(L105*H105&lt;=0,"",IFERROR(L105/H105-1,"")))</f>
        <v/>
      </c>
      <c r="M106" s="15">
        <f>IF(OR(M105="",I105=""),"",IF(M105*I105&lt;=0,"",IFERROR(M105/I105-1,"")))</f>
        <v/>
      </c>
      <c r="N106" s="15">
        <f>IF(OR(N105="",J105=""),"",IF(N105*J105&lt;=0,"",IFERROR(N105/J105-1,"")))</f>
        <v/>
      </c>
      <c r="T106" s="15">
        <f>IF(OR(T105="",S105=""),"",IF(T105*S105&lt;=0,"",IFERROR(T105/S105-1,"")))</f>
        <v/>
      </c>
      <c r="U106" s="15">
        <f>IF(OR(U105="",T105=""),"",IF(U105*T105&lt;=0,"",IFERROR(U105/T105-1,"")))</f>
        <v/>
      </c>
      <c r="V106" s="15">
        <f>IF(OR(V105="",U105=""),"",IF(V105*U105&lt;=0,"",IFERROR(V105/U105-1,"")))</f>
        <v/>
      </c>
      <c r="W106" s="15">
        <f>IF(OR(W105="",V105=""),"",IF(W105*V105&lt;=0,"",IFERROR(W105/V105-1,"")))</f>
        <v/>
      </c>
      <c r="X106" s="15">
        <f>IF(OR(X105="",W105=""),"",IF(X105*W105&lt;=0,"",IFERROR(X105/W105-1,"")))</f>
        <v/>
      </c>
    </row>
    <row r="107">
      <c r="A107" s="9" t="inlineStr">
        <is>
          <t>영업이익</t>
        </is>
      </c>
      <c r="C107" s="12" t="n">
        <v>1141</v>
      </c>
      <c r="D107" s="12" t="n">
        <v>282</v>
      </c>
      <c r="E107" s="12" t="n">
        <v>4173</v>
      </c>
      <c r="F107" s="12" t="n">
        <v>442</v>
      </c>
      <c r="G107" s="12" t="n">
        <v>864</v>
      </c>
      <c r="H107" s="12" t="n">
        <v>2028</v>
      </c>
      <c r="I107" s="12" t="n">
        <v>3781</v>
      </c>
      <c r="J107" s="12" t="n">
        <v>504</v>
      </c>
      <c r="K107" s="12" t="n">
        <v>2652</v>
      </c>
      <c r="L107" s="12" t="n">
        <v>3782</v>
      </c>
      <c r="M107" s="12" t="n">
        <v>2466</v>
      </c>
      <c r="N107" s="12" t="n">
        <v>537</v>
      </c>
      <c r="T107" s="12" t="n">
        <v>1053</v>
      </c>
      <c r="U107" s="12" t="n">
        <v>3057</v>
      </c>
      <c r="V107" s="12" t="n">
        <v>4173</v>
      </c>
      <c r="W107" s="12" t="n">
        <v>3781</v>
      </c>
      <c r="X107" s="12" t="n">
        <v>2466</v>
      </c>
    </row>
    <row r="108">
      <c r="A108" s="43" t="inlineStr">
        <is>
          <t>OPM</t>
        </is>
      </c>
      <c r="B108" s="3" t="inlineStr">
        <is>
          <t>영업이익 ÷ 매출</t>
        </is>
      </c>
      <c r="C108" s="15">
        <f>IF(OR(C107="",C99=""),"",IF(C99&lt;=0,"",IFERROR(C107/C99,"")))</f>
        <v/>
      </c>
      <c r="D108" s="15">
        <f>IF(OR(D107="",D99=""),"",IF(D99&lt;=0,"",IFERROR(D107/D99,"")))</f>
        <v/>
      </c>
      <c r="E108" s="15">
        <f>IF(OR(E107="",E99=""),"",IF(E99&lt;=0,"",IFERROR(E107/E99,"")))</f>
        <v/>
      </c>
      <c r="F108" s="15">
        <f>IF(OR(F107="",F99=""),"",IF(F99&lt;=0,"",IFERROR(F107/F99,"")))</f>
        <v/>
      </c>
      <c r="G108" s="15">
        <f>IF(OR(G107="",G99=""),"",IF(G99&lt;=0,"",IFERROR(G107/G99,"")))</f>
        <v/>
      </c>
      <c r="H108" s="15">
        <f>IF(OR(H107="",H99=""),"",IF(H99&lt;=0,"",IFERROR(H107/H99,"")))</f>
        <v/>
      </c>
      <c r="I108" s="15">
        <f>IF(OR(I107="",I99=""),"",IF(I99&lt;=0,"",IFERROR(I107/I99,"")))</f>
        <v/>
      </c>
      <c r="J108" s="15">
        <f>IF(OR(J107="",J99=""),"",IF(J99&lt;=0,"",IFERROR(J107/J99,"")))</f>
        <v/>
      </c>
      <c r="K108" s="15">
        <f>IF(OR(K107="",K99=""),"",IF(K99&lt;=0,"",IFERROR(K107/K99,"")))</f>
        <v/>
      </c>
      <c r="L108" s="15">
        <f>IF(OR(L107="",L99=""),"",IF(L99&lt;=0,"",IFERROR(L107/L99,"")))</f>
        <v/>
      </c>
      <c r="M108" s="15">
        <f>IF(OR(M107="",M99=""),"",IF(M99&lt;=0,"",IFERROR(M107/M99,"")))</f>
        <v/>
      </c>
      <c r="N108" s="15">
        <f>IF(OR(N107="",N99=""),"",IF(N99&lt;=0,"",IFERROR(N107/N99,"")))</f>
        <v/>
      </c>
      <c r="T108" s="15">
        <f>IF(OR(T107="",T99=""),"",IF(T99&lt;=0,"",IFERROR(T107/T99,"")))</f>
        <v/>
      </c>
      <c r="U108" s="15">
        <f>IF(OR(U107="",U99=""),"",IF(U99&lt;=0,"",IFERROR(U107/U99,"")))</f>
        <v/>
      </c>
      <c r="V108" s="15">
        <f>IF(OR(V107="",V99=""),"",IF(V99&lt;=0,"",IFERROR(V107/V99,"")))</f>
        <v/>
      </c>
      <c r="W108" s="15">
        <f>IF(OR(W107="",W99=""),"",IF(W99&lt;=0,"",IFERROR(W107/W99,"")))</f>
        <v/>
      </c>
      <c r="X108" s="15">
        <f>IF(OR(X107="",X99=""),"",IF(X99&lt;=0,"",IFERROR(X107/X99,"")))</f>
        <v/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IF(OR(G107="",C107=""),"",IF(C107&lt;=0,"",IFERROR(G107/C107-1,"")))</f>
        <v/>
      </c>
      <c r="H109" s="15">
        <f>IF(OR(H107="",D107=""),"",IF(D107&lt;=0,"",IFERROR(H107/D107-1,"")))</f>
        <v/>
      </c>
      <c r="I109" s="15">
        <f>IF(OR(I107="",E107=""),"",IF(E107&lt;=0,"",IFERROR(I107/E107-1,"")))</f>
        <v/>
      </c>
      <c r="J109" s="15">
        <f>IF(OR(J107="",F107=""),"",IF(F107&lt;=0,"",IFERROR(J107/F107-1,"")))</f>
        <v/>
      </c>
      <c r="K109" s="15">
        <f>IF(OR(K107="",G107=""),"",IF(G107&lt;=0,"",IFERROR(K107/G107-1,"")))</f>
        <v/>
      </c>
      <c r="L109" s="15">
        <f>IF(OR(L107="",H107=""),"",IF(H107&lt;=0,"",IFERROR(L107/H107-1,"")))</f>
        <v/>
      </c>
      <c r="M109" s="15">
        <f>IF(OR(M107="",I107=""),"",IF(I107&lt;=0,"",IFERROR(M107/I107-1,"")))</f>
        <v/>
      </c>
      <c r="N109" s="15">
        <f>IF(OR(N107="",J107=""),"",IF(J107&lt;=0,"",IFERROR(N107/J107-1,"")))</f>
        <v/>
      </c>
      <c r="T109" s="15">
        <f>IF(OR(T107="",S107=""),"",IF(S107&lt;=0,"",IFERROR(T107/S107-1,"")))</f>
        <v/>
      </c>
      <c r="U109" s="15">
        <f>IF(OR(U107="",T107=""),"",IF(T107&lt;=0,"",IFERROR(U107/T107-1,"")))</f>
        <v/>
      </c>
      <c r="V109" s="15">
        <f>IF(OR(V107="",U107=""),"",IF(U107&lt;=0,"",IFERROR(V107/U107-1,"")))</f>
        <v/>
      </c>
      <c r="W109" s="15">
        <f>IF(OR(W107="",V107=""),"",IF(V107&lt;=0,"",IFERROR(W107/V107-1,"")))</f>
        <v/>
      </c>
      <c r="X109" s="15">
        <f>IF(OR(X107="",W107=""),"",IF(W107&lt;=0,"",IFERROR(X107/W107-1,"")))</f>
        <v/>
      </c>
    </row>
    <row r="110">
      <c r="A110" s="18" t="inlineStr">
        <is>
          <t>이자수익</t>
        </is>
      </c>
      <c r="C110" s="20" t="n">
        <v>35</v>
      </c>
      <c r="D110" s="20" t="n">
        <v>35</v>
      </c>
      <c r="E110" s="20" t="n">
        <v>53</v>
      </c>
      <c r="F110" s="20" t="n">
        <v>59</v>
      </c>
      <c r="G110" s="20" t="n">
        <v>59</v>
      </c>
      <c r="H110" s="20" t="n">
        <v>25</v>
      </c>
      <c r="I110" s="20" t="n">
        <v>85</v>
      </c>
      <c r="J110" s="20" t="n">
        <v>57</v>
      </c>
      <c r="K110" s="20" t="n">
        <v>93</v>
      </c>
      <c r="L110" s="20" t="n">
        <v>59</v>
      </c>
      <c r="M110" s="20" t="n">
        <v>110</v>
      </c>
      <c r="N110" s="20" t="n">
        <v>86</v>
      </c>
      <c r="T110" s="20" t="n">
        <v>13</v>
      </c>
      <c r="U110" s="20" t="n">
        <v>25</v>
      </c>
      <c r="V110" s="20" t="n">
        <v>53</v>
      </c>
      <c r="W110" s="20" t="n">
        <v>85</v>
      </c>
      <c r="X110" s="20" t="n">
        <v>110</v>
      </c>
    </row>
    <row r="111">
      <c r="A111" s="18" t="inlineStr">
        <is>
          <t>배당금수익</t>
        </is>
      </c>
      <c r="C111" s="20" t="n">
        <v>30</v>
      </c>
      <c r="D111" s="20" t="n">
        <v>130</v>
      </c>
      <c r="E111" s="20" t="n">
        <v>18</v>
      </c>
      <c r="F111" s="20" t="n">
        <v>182</v>
      </c>
      <c r="G111" s="20" t="n">
        <v>24</v>
      </c>
      <c r="H111" s="20" t="n">
        <v>165</v>
      </c>
      <c r="I111" s="20" t="n">
        <v>12</v>
      </c>
      <c r="J111" s="20" t="n">
        <v>186</v>
      </c>
      <c r="K111" s="20" t="n">
        <v>35</v>
      </c>
      <c r="L111" s="20" t="n">
        <v>168</v>
      </c>
      <c r="M111" s="20" t="n">
        <v>14</v>
      </c>
      <c r="N111" s="20" t="n">
        <v>208</v>
      </c>
      <c r="T111" s="20" t="n">
        <v>17</v>
      </c>
      <c r="U111" s="20" t="n">
        <v>21</v>
      </c>
      <c r="V111" s="20" t="n">
        <v>18</v>
      </c>
      <c r="W111" s="20" t="n">
        <v>12</v>
      </c>
      <c r="X111" s="20" t="n">
        <v>14</v>
      </c>
    </row>
    <row r="112">
      <c r="A112" s="18" t="inlineStr">
        <is>
          <t>외환차익</t>
        </is>
      </c>
      <c r="C112" s="20" t="n">
        <v>222</v>
      </c>
      <c r="D112" s="20" t="n">
        <v>-251</v>
      </c>
      <c r="E112" s="20" t="n">
        <v>297</v>
      </c>
      <c r="F112" s="20" t="n">
        <v>415</v>
      </c>
      <c r="G112" s="20" t="n">
        <v>-415</v>
      </c>
      <c r="H112" s="20" t="n">
        <v>0</v>
      </c>
      <c r="I112" s="20" t="n">
        <v>0</v>
      </c>
      <c r="J112" s="20" t="n">
        <v>0</v>
      </c>
      <c r="K112" s="20" t="n">
        <v>146</v>
      </c>
      <c r="L112" s="20" t="n">
        <v>289</v>
      </c>
      <c r="M112" s="20" t="n">
        <v>-52</v>
      </c>
      <c r="N112" s="20" t="n">
        <v>53</v>
      </c>
      <c r="T112" s="20" t="n">
        <v>398</v>
      </c>
      <c r="U112" s="20" t="n">
        <v>-82</v>
      </c>
      <c r="V112" s="20" t="n">
        <v>297</v>
      </c>
      <c r="W112" s="20" t="n">
        <v>0</v>
      </c>
      <c r="X112" s="20" t="n">
        <v>-52</v>
      </c>
    </row>
    <row r="113">
      <c r="A113" s="18" t="inlineStr">
        <is>
          <t>기타</t>
        </is>
      </c>
      <c r="C113" s="20" t="n">
        <v>69</v>
      </c>
      <c r="D113" s="20" t="n">
        <v>118</v>
      </c>
      <c r="E113" s="20" t="n">
        <v>125</v>
      </c>
      <c r="F113" s="20" t="n">
        <v>56</v>
      </c>
      <c r="G113" s="20" t="n">
        <v>69</v>
      </c>
      <c r="H113" s="20" t="n">
        <v>73</v>
      </c>
      <c r="I113" s="20" t="n">
        <v>125</v>
      </c>
      <c r="J113" s="20" t="n">
        <v>97</v>
      </c>
      <c r="K113" s="20" t="n">
        <v>66</v>
      </c>
      <c r="L113" s="20" t="n">
        <v>119</v>
      </c>
      <c r="M113" s="20" t="n">
        <v>254</v>
      </c>
      <c r="N113" s="20" t="n">
        <v>88</v>
      </c>
      <c r="T113" s="20" t="n">
        <v>106</v>
      </c>
      <c r="U113" s="20" t="n">
        <v>83</v>
      </c>
      <c r="V113" s="20" t="n">
        <v>125</v>
      </c>
      <c r="W113" s="20" t="n">
        <v>125</v>
      </c>
      <c r="X113" s="20" t="n">
        <v>254</v>
      </c>
    </row>
    <row r="114">
      <c r="A114" s="18" t="inlineStr">
        <is>
          <t>영업외수익 합계</t>
        </is>
      </c>
      <c r="C114" s="20" t="n">
        <v>356</v>
      </c>
      <c r="D114" s="20" t="n">
        <v>33</v>
      </c>
      <c r="E114" s="20" t="n">
        <v>492</v>
      </c>
      <c r="F114" s="20" t="n">
        <v>713</v>
      </c>
      <c r="G114" s="20" t="n">
        <v>-263</v>
      </c>
      <c r="H114" s="20" t="n">
        <v>263</v>
      </c>
      <c r="I114" s="20" t="n">
        <v>222</v>
      </c>
      <c r="J114" s="20" t="n">
        <v>341</v>
      </c>
      <c r="K114" s="20" t="n">
        <v>341</v>
      </c>
      <c r="L114" s="20" t="n">
        <v>634</v>
      </c>
      <c r="M114" s="20" t="n">
        <v>326</v>
      </c>
      <c r="N114" s="20" t="n">
        <v>437</v>
      </c>
      <c r="T114" s="20" t="n">
        <v>535</v>
      </c>
      <c r="U114" s="20" t="n">
        <v>47</v>
      </c>
      <c r="V114" s="20" t="n">
        <v>492</v>
      </c>
      <c r="W114" s="20" t="n">
        <v>222</v>
      </c>
      <c r="X114" s="20" t="n">
        <v>326</v>
      </c>
    </row>
    <row r="115">
      <c r="A115" s="43" t="inlineStr">
        <is>
          <t>YoY</t>
        </is>
      </c>
      <c r="B115" s="3" t="inlineStr">
        <is>
          <t>전년 같은 분기·전년 대비</t>
        </is>
      </c>
      <c r="G115" s="15">
        <f>IF(OR(G114="",C114=""),"",IF(G114*C114&lt;=0,"",IFERROR(G114/C114-1,"")))</f>
        <v/>
      </c>
      <c r="H115" s="15">
        <f>IF(OR(H114="",D114=""),"",IF(H114*D114&lt;=0,"",IFERROR(H114/D114-1,"")))</f>
        <v/>
      </c>
      <c r="I115" s="15">
        <f>IF(OR(I114="",E114=""),"",IF(I114*E114&lt;=0,"",IFERROR(I114/E114-1,"")))</f>
        <v/>
      </c>
      <c r="J115" s="15">
        <f>IF(OR(J114="",F114=""),"",IF(J114*F114&lt;=0,"",IFERROR(J114/F114-1,"")))</f>
        <v/>
      </c>
      <c r="K115" s="15">
        <f>IF(OR(K114="",G114=""),"",IF(K114*G114&lt;=0,"",IFERROR(K114/G114-1,"")))</f>
        <v/>
      </c>
      <c r="L115" s="15">
        <f>IF(OR(L114="",H114=""),"",IF(L114*H114&lt;=0,"",IFERROR(L114/H114-1,"")))</f>
        <v/>
      </c>
      <c r="M115" s="15">
        <f>IF(OR(M114="",I114=""),"",IF(M114*I114&lt;=0,"",IFERROR(M114/I114-1,"")))</f>
        <v/>
      </c>
      <c r="N115" s="15">
        <f>IF(OR(N114="",J114=""),"",IF(N114*J114&lt;=0,"",IFERROR(N114/J114-1,"")))</f>
        <v/>
      </c>
      <c r="T115" s="15">
        <f>IF(OR(T114="",S114=""),"",IF(T114*S114&lt;=0,"",IFERROR(T114/S114-1,"")))</f>
        <v/>
      </c>
      <c r="U115" s="15">
        <f>IF(OR(U114="",T114=""),"",IF(U114*T114&lt;=0,"",IFERROR(U114/T114-1,"")))</f>
        <v/>
      </c>
      <c r="V115" s="15">
        <f>IF(OR(V114="",U114=""),"",IF(V114*U114&lt;=0,"",IFERROR(V114/U114-1,"")))</f>
        <v/>
      </c>
      <c r="W115" s="15">
        <f>IF(OR(W114="",V114=""),"",IF(W114*V114&lt;=0,"",IFERROR(W114/V114-1,"")))</f>
        <v/>
      </c>
      <c r="X115" s="15">
        <f>IF(OR(X114="",W114=""),"",IF(X114*W114&lt;=0,"",IFERROR(X114/W114-1,"")))</f>
        <v/>
      </c>
    </row>
    <row r="116">
      <c r="A116" s="18" t="inlineStr">
        <is>
          <t>이자비용</t>
        </is>
      </c>
      <c r="C116" s="20" t="n">
        <v>20</v>
      </c>
      <c r="D116" s="20" t="n">
        <v>26</v>
      </c>
      <c r="E116" s="20" t="n">
        <v>33</v>
      </c>
      <c r="F116" s="20" t="n">
        <v>26</v>
      </c>
      <c r="G116" s="20" t="n">
        <v>37</v>
      </c>
      <c r="H116" s="20" t="n">
        <v>7</v>
      </c>
      <c r="I116" s="20" t="n">
        <v>38</v>
      </c>
      <c r="J116" s="20" t="n">
        <v>56</v>
      </c>
      <c r="K116" s="20" t="n">
        <v>71</v>
      </c>
      <c r="L116" s="20" t="n">
        <v>66</v>
      </c>
      <c r="M116" s="20" t="n">
        <v>45</v>
      </c>
      <c r="N116" s="20" t="n">
        <v>55</v>
      </c>
      <c r="T116" s="20" t="n">
        <v>15</v>
      </c>
      <c r="U116" s="20" t="n">
        <v>20</v>
      </c>
      <c r="V116" s="20" t="n">
        <v>33</v>
      </c>
      <c r="W116" s="20" t="n">
        <v>38</v>
      </c>
      <c r="X116" s="20" t="n">
        <v>45</v>
      </c>
    </row>
    <row r="117">
      <c r="A117" s="18" t="inlineStr">
        <is>
          <t>Loss On Sales Of Notes Payable NOE</t>
        </is>
      </c>
      <c r="F117" s="20" t="n">
        <v>7</v>
      </c>
    </row>
    <row r="118">
      <c r="A118" s="18" t="inlineStr">
        <is>
          <t>손해배상금</t>
        </is>
      </c>
      <c r="D118" s="20" t="n">
        <v>61</v>
      </c>
      <c r="E118" s="20" t="n">
        <v>11</v>
      </c>
      <c r="I118" s="20" t="n">
        <v>0</v>
      </c>
      <c r="T118" s="20" t="n">
        <v>3</v>
      </c>
      <c r="U118" s="20" t="n">
        <v>47</v>
      </c>
      <c r="V118" s="20" t="n">
        <v>11</v>
      </c>
      <c r="W118" s="20" t="n">
        <v>0</v>
      </c>
    </row>
    <row r="119">
      <c r="A119" s="18" t="inlineStr">
        <is>
          <t>사채발행비</t>
        </is>
      </c>
      <c r="F119" s="20" t="n">
        <v>0</v>
      </c>
      <c r="G119" s="20" t="n">
        <v>0</v>
      </c>
      <c r="J119" s="20" t="n">
        <v>48</v>
      </c>
      <c r="K119" s="20" t="n">
        <v>3</v>
      </c>
      <c r="N119" s="20" t="n">
        <v>0</v>
      </c>
    </row>
    <row r="120">
      <c r="A120" s="18" t="inlineStr">
        <is>
          <t>외환차손</t>
        </is>
      </c>
      <c r="D120" s="20" t="n">
        <v>0</v>
      </c>
      <c r="E120" s="20" t="n">
        <v>0</v>
      </c>
      <c r="F120" s="20" t="n">
        <v>0</v>
      </c>
      <c r="G120" s="20" t="n">
        <v>255</v>
      </c>
      <c r="H120" s="20" t="n">
        <v>-227</v>
      </c>
      <c r="I120" s="20" t="n">
        <v>226</v>
      </c>
      <c r="J120" s="20" t="n">
        <v>106</v>
      </c>
      <c r="K120" s="20" t="n">
        <v>-106</v>
      </c>
      <c r="L120" s="20" t="n">
        <v>0</v>
      </c>
      <c r="M120" s="20" t="n">
        <v>0</v>
      </c>
      <c r="N120" s="20" t="n">
        <v>0</v>
      </c>
      <c r="V120" s="20" t="n">
        <v>0</v>
      </c>
      <c r="W120" s="20" t="n">
        <v>226</v>
      </c>
      <c r="X120" s="20" t="n">
        <v>0</v>
      </c>
    </row>
    <row r="121">
      <c r="A121" s="18" t="inlineStr">
        <is>
          <t>기타</t>
        </is>
      </c>
      <c r="C121" s="20" t="n">
        <v>12</v>
      </c>
      <c r="D121" s="20" t="n">
        <v>9</v>
      </c>
      <c r="E121" s="20" t="n">
        <v>26</v>
      </c>
      <c r="F121" s="20" t="n">
        <v>18</v>
      </c>
      <c r="G121" s="20" t="n">
        <v>12</v>
      </c>
      <c r="H121" s="20" t="n">
        <v>18</v>
      </c>
      <c r="I121" s="20" t="n">
        <v>26</v>
      </c>
      <c r="J121" s="20" t="n">
        <v>10</v>
      </c>
      <c r="K121" s="20" t="n">
        <v>6</v>
      </c>
      <c r="L121" s="20" t="n">
        <v>58</v>
      </c>
      <c r="M121" s="20" t="n">
        <v>-36</v>
      </c>
      <c r="N121" s="20" t="n">
        <v>12</v>
      </c>
      <c r="T121" s="20" t="n">
        <v>80</v>
      </c>
      <c r="U121" s="20" t="n">
        <v>-4</v>
      </c>
      <c r="V121" s="20" t="n">
        <v>26</v>
      </c>
      <c r="W121" s="20" t="n">
        <v>26</v>
      </c>
      <c r="X121" s="20" t="n">
        <v>-36</v>
      </c>
    </row>
    <row r="122">
      <c r="A122" s="18" t="inlineStr">
        <is>
          <t>영업외비용 합계</t>
        </is>
      </c>
      <c r="C122" s="20" t="n">
        <v>28</v>
      </c>
      <c r="D122" s="20" t="n">
        <v>97</v>
      </c>
      <c r="E122" s="20" t="n">
        <v>70</v>
      </c>
      <c r="F122" s="20" t="n">
        <v>45</v>
      </c>
      <c r="G122" s="20" t="n">
        <v>304</v>
      </c>
      <c r="H122" s="20" t="n">
        <v>-202</v>
      </c>
      <c r="I122" s="20" t="n">
        <v>290</v>
      </c>
      <c r="J122" s="20" t="n">
        <v>221</v>
      </c>
      <c r="K122" s="20" t="n">
        <v>-26</v>
      </c>
      <c r="L122" s="20" t="n">
        <v>72</v>
      </c>
      <c r="M122" s="20" t="n">
        <v>61</v>
      </c>
      <c r="N122" s="20" t="n">
        <v>68</v>
      </c>
      <c r="T122" s="20" t="n">
        <v>121</v>
      </c>
      <c r="U122" s="20" t="n">
        <v>97</v>
      </c>
      <c r="V122" s="20" t="n">
        <v>70</v>
      </c>
      <c r="W122" s="20" t="n">
        <v>290</v>
      </c>
      <c r="X122" s="20" t="n">
        <v>61</v>
      </c>
    </row>
    <row r="123">
      <c r="A123" s="43" t="inlineStr">
        <is>
          <t>YoY</t>
        </is>
      </c>
      <c r="B123" s="3" t="inlineStr">
        <is>
          <t>전년 같은 분기·전년 대비</t>
        </is>
      </c>
      <c r="G123" s="15">
        <f>IF(OR(G122="",C122=""),"",IF(G122*C122&lt;=0,"",IFERROR(G122/C122-1,"")))</f>
        <v/>
      </c>
      <c r="H123" s="15">
        <f>IF(OR(H122="",D122=""),"",IF(H122*D122&lt;=0,"",IFERROR(H122/D122-1,"")))</f>
        <v/>
      </c>
      <c r="I123" s="15">
        <f>IF(OR(I122="",E122=""),"",IF(I122*E122&lt;=0,"",IFERROR(I122/E122-1,"")))</f>
        <v/>
      </c>
      <c r="J123" s="15">
        <f>IF(OR(J122="",F122=""),"",IF(J122*F122&lt;=0,"",IFERROR(J122/F122-1,"")))</f>
        <v/>
      </c>
      <c r="K123" s="15">
        <f>IF(OR(K122="",G122=""),"",IF(K122*G122&lt;=0,"",IFERROR(K122/G122-1,"")))</f>
        <v/>
      </c>
      <c r="L123" s="15">
        <f>IF(OR(L122="",H122=""),"",IF(L122*H122&lt;=0,"",IFERROR(L122/H122-1,"")))</f>
        <v/>
      </c>
      <c r="M123" s="15">
        <f>IF(OR(M122="",I122=""),"",IF(M122*I122&lt;=0,"",IFERROR(M122/I122-1,"")))</f>
        <v/>
      </c>
      <c r="N123" s="15">
        <f>IF(OR(N122="",J122=""),"",IF(N122*J122&lt;=0,"",IFERROR(N122/J122-1,"")))</f>
        <v/>
      </c>
      <c r="T123" s="15">
        <f>IF(OR(T122="",S122=""),"",IF(T122*S122&lt;=0,"",IFERROR(T122/S122-1,"")))</f>
        <v/>
      </c>
      <c r="U123" s="15">
        <f>IF(OR(U122="",T122=""),"",IF(U122*T122&lt;=0,"",IFERROR(U122/T122-1,"")))</f>
        <v/>
      </c>
      <c r="V123" s="15">
        <f>IF(OR(V122="",U122=""),"",IF(V122*U122&lt;=0,"",IFERROR(V122/U122-1,"")))</f>
        <v/>
      </c>
      <c r="W123" s="15">
        <f>IF(OR(W122="",V122=""),"",IF(W122*V122&lt;=0,"",IFERROR(W122/V122-1,"")))</f>
        <v/>
      </c>
      <c r="X123" s="15">
        <f>IF(OR(X122="",W122=""),"",IF(X122*W122&lt;=0,"",IFERROR(X122/W122-1,"")))</f>
        <v/>
      </c>
    </row>
    <row r="124">
      <c r="A124" s="9" t="inlineStr">
        <is>
          <t>경상이익</t>
        </is>
      </c>
      <c r="C124" s="12" t="n">
        <v>1470</v>
      </c>
      <c r="D124" s="12" t="n">
        <v>218</v>
      </c>
      <c r="E124" s="12" t="n">
        <v>4596</v>
      </c>
      <c r="F124" s="12" t="n">
        <v>1111</v>
      </c>
      <c r="G124" s="12" t="n">
        <v>295</v>
      </c>
      <c r="H124" s="12" t="n">
        <v>2493</v>
      </c>
      <c r="I124" s="12" t="n">
        <v>3715</v>
      </c>
      <c r="J124" s="12" t="n">
        <v>624</v>
      </c>
      <c r="K124" s="12" t="n">
        <v>3019</v>
      </c>
      <c r="L124" s="12" t="n">
        <v>4344</v>
      </c>
      <c r="M124" s="12" t="n">
        <v>2731</v>
      </c>
      <c r="N124" s="12" t="n">
        <v>906</v>
      </c>
      <c r="T124" s="12" t="n">
        <v>1467</v>
      </c>
      <c r="U124" s="12" t="n">
        <v>3007</v>
      </c>
      <c r="V124" s="12" t="n">
        <v>4596</v>
      </c>
      <c r="W124" s="12" t="n">
        <v>3715</v>
      </c>
      <c r="X124" s="12" t="n">
        <v>2731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G125" s="15">
        <f>IF(OR(G124="",C124=""),"",IF(C124&lt;=0,"",IFERROR(G124/C124-1,"")))</f>
        <v/>
      </c>
      <c r="H125" s="15">
        <f>IF(OR(H124="",D124=""),"",IF(D124&lt;=0,"",IFERROR(H124/D124-1,"")))</f>
        <v/>
      </c>
      <c r="I125" s="15">
        <f>IF(OR(I124="",E124=""),"",IF(E124&lt;=0,"",IFERROR(I124/E124-1,"")))</f>
        <v/>
      </c>
      <c r="J125" s="15">
        <f>IF(OR(J124="",F124=""),"",IF(F124&lt;=0,"",IFERROR(J124/F124-1,"")))</f>
        <v/>
      </c>
      <c r="K125" s="15">
        <f>IF(OR(K124="",G124=""),"",IF(G124&lt;=0,"",IFERROR(K124/G124-1,"")))</f>
        <v/>
      </c>
      <c r="L125" s="15">
        <f>IF(OR(L124="",H124=""),"",IF(H124&lt;=0,"",IFERROR(L124/H124-1,"")))</f>
        <v/>
      </c>
      <c r="M125" s="15">
        <f>IF(OR(M124="",I124=""),"",IF(I124&lt;=0,"",IFERROR(M124/I124-1,"")))</f>
        <v/>
      </c>
      <c r="N125" s="15">
        <f>IF(OR(N124="",J124=""),"",IF(J124&lt;=0,"",IFERROR(N124/J124-1,"")))</f>
        <v/>
      </c>
      <c r="T125" s="15">
        <f>IF(OR(T124="",S124=""),"",IF(S124&lt;=0,"",IFERROR(T124/S124-1,"")))</f>
        <v/>
      </c>
      <c r="U125" s="15">
        <f>IF(OR(U124="",T124=""),"",IF(T124&lt;=0,"",IFERROR(U124/T124-1,"")))</f>
        <v/>
      </c>
      <c r="V125" s="15">
        <f>IF(OR(V124="",U124=""),"",IF(U124&lt;=0,"",IFERROR(V124/U124-1,"")))</f>
        <v/>
      </c>
      <c r="W125" s="15">
        <f>IF(OR(W124="",V124=""),"",IF(V124&lt;=0,"",IFERROR(W124/V124-1,"")))</f>
        <v/>
      </c>
      <c r="X125" s="15">
        <f>IF(OR(X124="",W124=""),"",IF(W124&lt;=0,"",IFERROR(X124/W124-1,"")))</f>
        <v/>
      </c>
    </row>
    <row r="126">
      <c r="A126" s="18" t="inlineStr">
        <is>
          <t>고정자산 매각이익</t>
        </is>
      </c>
      <c r="C126" s="20" t="n">
        <v>8</v>
      </c>
      <c r="D126" s="20" t="n">
        <v>6</v>
      </c>
      <c r="E126" s="20" t="n">
        <v>3</v>
      </c>
      <c r="F126" s="20" t="n">
        <v>1</v>
      </c>
      <c r="G126" s="20" t="n">
        <v>205</v>
      </c>
      <c r="H126" s="20" t="n">
        <v>-49</v>
      </c>
      <c r="I126" s="20" t="n">
        <v>7</v>
      </c>
      <c r="J126" s="20" t="n">
        <v>129</v>
      </c>
      <c r="K126" s="20" t="n">
        <v>-16</v>
      </c>
      <c r="L126" s="20" t="n">
        <v>3</v>
      </c>
      <c r="M126" s="20" t="n">
        <v>54</v>
      </c>
      <c r="N126" s="20" t="n">
        <v>6</v>
      </c>
      <c r="T126" s="20" t="n">
        <v>1</v>
      </c>
      <c r="U126" s="20" t="n">
        <v>1</v>
      </c>
      <c r="V126" s="20" t="n">
        <v>3</v>
      </c>
      <c r="W126" s="20" t="n">
        <v>7</v>
      </c>
      <c r="X126" s="20" t="n">
        <v>54</v>
      </c>
    </row>
    <row r="127">
      <c r="A127" s="18" t="inlineStr">
        <is>
          <t>투자유가증권 매각이익</t>
        </is>
      </c>
      <c r="C127" s="20" t="n">
        <v>0</v>
      </c>
      <c r="D127" s="20" t="n">
        <v>0</v>
      </c>
      <c r="E127" s="20" t="n">
        <v>465</v>
      </c>
      <c r="F127" s="20" t="n">
        <v>4</v>
      </c>
      <c r="G127" s="20" t="n">
        <v>136</v>
      </c>
      <c r="H127" s="20" t="n">
        <v>0</v>
      </c>
      <c r="I127" s="20" t="n">
        <v>1624</v>
      </c>
      <c r="J127" s="20" t="n">
        <v>319</v>
      </c>
      <c r="K127" s="20" t="n">
        <v>0</v>
      </c>
      <c r="L127" s="20" t="n">
        <v>0</v>
      </c>
      <c r="M127" s="20" t="n">
        <v>107</v>
      </c>
      <c r="N127" s="20" t="n">
        <v>56</v>
      </c>
      <c r="U127" s="20" t="n">
        <v>0</v>
      </c>
      <c r="V127" s="20" t="n">
        <v>465</v>
      </c>
      <c r="W127" s="20" t="n">
        <v>1624</v>
      </c>
      <c r="X127" s="20" t="n">
        <v>107</v>
      </c>
    </row>
    <row r="128">
      <c r="A128" s="18" t="inlineStr">
        <is>
          <t>보험금 수익</t>
        </is>
      </c>
      <c r="E128" s="20" t="n">
        <v>0</v>
      </c>
      <c r="T128" s="20" t="n">
        <v>146</v>
      </c>
      <c r="U128" s="20" t="n">
        <v>0</v>
      </c>
      <c r="V128" s="20" t="n">
        <v>0</v>
      </c>
    </row>
    <row r="129">
      <c r="A129" s="18" t="inlineStr">
        <is>
          <t>자회사 청산이익</t>
        </is>
      </c>
      <c r="F129" s="20" t="n">
        <v>16</v>
      </c>
      <c r="J129" s="20" t="n">
        <v>0</v>
      </c>
    </row>
    <row r="130">
      <c r="A130" s="18" t="inlineStr">
        <is>
          <t>기타</t>
        </is>
      </c>
      <c r="D130" s="20" t="n">
        <v>0</v>
      </c>
      <c r="E130" s="20" t="n">
        <v>0</v>
      </c>
      <c r="H130" s="20" t="n">
        <v>0</v>
      </c>
      <c r="I130" s="20" t="n">
        <v>-1</v>
      </c>
      <c r="L130" s="20" t="n">
        <v>0</v>
      </c>
      <c r="M130" s="20" t="n">
        <v>0</v>
      </c>
      <c r="T130" s="20" t="n">
        <v>-5</v>
      </c>
      <c r="U130" s="20" t="n">
        <v>0</v>
      </c>
      <c r="V130" s="20" t="n">
        <v>0</v>
      </c>
      <c r="W130" s="20" t="n">
        <v>-1</v>
      </c>
      <c r="X130" s="20" t="n">
        <v>0</v>
      </c>
    </row>
    <row r="131">
      <c r="A131" s="18" t="inlineStr">
        <is>
          <t>특별이익 합계</t>
        </is>
      </c>
      <c r="C131" s="20" t="n">
        <v>8</v>
      </c>
      <c r="D131" s="20" t="n">
        <v>6</v>
      </c>
      <c r="E131" s="20" t="n">
        <v>468</v>
      </c>
      <c r="F131" s="20" t="n">
        <v>22</v>
      </c>
      <c r="G131" s="20" t="n">
        <v>341</v>
      </c>
      <c r="H131" s="20" t="n">
        <v>-49</v>
      </c>
      <c r="I131" s="20" t="n">
        <v>1630</v>
      </c>
      <c r="J131" s="20" t="n">
        <v>448</v>
      </c>
      <c r="K131" s="20" t="n">
        <v>-16</v>
      </c>
      <c r="L131" s="20" t="n">
        <v>3</v>
      </c>
      <c r="M131" s="20" t="n">
        <v>161</v>
      </c>
      <c r="N131" s="20" t="n">
        <v>62</v>
      </c>
      <c r="T131" s="20" t="n">
        <v>148</v>
      </c>
      <c r="U131" s="20" t="n">
        <v>1</v>
      </c>
      <c r="V131" s="20" t="n">
        <v>468</v>
      </c>
      <c r="W131" s="20" t="n">
        <v>1630</v>
      </c>
      <c r="X131" s="20" t="n">
        <v>161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IF(OR(G131="",C131=""),"",IF(G131*C131&lt;=0,"",IFERROR(G131/C131-1,"")))</f>
        <v/>
      </c>
      <c r="H132" s="15">
        <f>IF(OR(H131="",D131=""),"",IF(H131*D131&lt;=0,"",IFERROR(H131/D131-1,"")))</f>
        <v/>
      </c>
      <c r="I132" s="15">
        <f>IF(OR(I131="",E131=""),"",IF(I131*E131&lt;=0,"",IFERROR(I131/E131-1,"")))</f>
        <v/>
      </c>
      <c r="J132" s="15">
        <f>IF(OR(J131="",F131=""),"",IF(J131*F131&lt;=0,"",IFERROR(J131/F131-1,"")))</f>
        <v/>
      </c>
      <c r="K132" s="15">
        <f>IF(OR(K131="",G131=""),"",IF(K131*G131&lt;=0,"",IFERROR(K131/G131-1,"")))</f>
        <v/>
      </c>
      <c r="L132" s="15">
        <f>IF(OR(L131="",H131=""),"",IF(L131*H131&lt;=0,"",IFERROR(L131/H131-1,"")))</f>
        <v/>
      </c>
      <c r="M132" s="15">
        <f>IF(OR(M131="",I131=""),"",IF(M131*I131&lt;=0,"",IFERROR(M131/I131-1,"")))</f>
        <v/>
      </c>
      <c r="N132" s="15">
        <f>IF(OR(N131="",J131=""),"",IF(N131*J131&lt;=0,"",IFERROR(N131/J131-1,"")))</f>
        <v/>
      </c>
      <c r="T132" s="15">
        <f>IF(OR(T131="",S131=""),"",IF(T131*S131&lt;=0,"",IFERROR(T131/S131-1,"")))</f>
        <v/>
      </c>
      <c r="U132" s="15">
        <f>IF(OR(U131="",T131=""),"",IF(U131*T131&lt;=0,"",IFERROR(U131/T131-1,"")))</f>
        <v/>
      </c>
      <c r="V132" s="15">
        <f>IF(OR(V131="",U131=""),"",IF(V131*U131&lt;=0,"",IFERROR(V131/U131-1,"")))</f>
        <v/>
      </c>
      <c r="W132" s="15">
        <f>IF(OR(W131="",V131=""),"",IF(W131*V131&lt;=0,"",IFERROR(W131/V131-1,"")))</f>
        <v/>
      </c>
      <c r="X132" s="15">
        <f>IF(OR(X131="",W131=""),"",IF(X131*W131&lt;=0,"",IFERROR(X131/W131-1,"")))</f>
        <v/>
      </c>
    </row>
    <row r="133">
      <c r="A133" s="18" t="inlineStr">
        <is>
          <t>고정자산 매각손실</t>
        </is>
      </c>
      <c r="C133" s="20" t="n">
        <v>0</v>
      </c>
      <c r="D133" s="20" t="n">
        <v>0</v>
      </c>
      <c r="E133" s="20" t="n">
        <v>0</v>
      </c>
      <c r="F133" s="20" t="n">
        <v>0</v>
      </c>
      <c r="G133" s="20" t="n">
        <v>0</v>
      </c>
      <c r="H133" s="20" t="n">
        <v>3</v>
      </c>
      <c r="I133" s="20" t="n">
        <v>0</v>
      </c>
      <c r="J133" s="20" t="n">
        <v>4</v>
      </c>
      <c r="K133" s="20" t="n">
        <v>0</v>
      </c>
      <c r="L133" s="20" t="n">
        <v>0</v>
      </c>
      <c r="M133" s="20" t="n">
        <v>344</v>
      </c>
      <c r="N133" s="20" t="n">
        <v>2</v>
      </c>
      <c r="T133" s="20" t="n">
        <v>0</v>
      </c>
      <c r="U133" s="20" t="n">
        <v>0</v>
      </c>
      <c r="V133" s="20" t="n">
        <v>0</v>
      </c>
      <c r="W133" s="20" t="n">
        <v>0</v>
      </c>
      <c r="X133" s="20" t="n">
        <v>344</v>
      </c>
    </row>
    <row r="134">
      <c r="A134" s="18" t="inlineStr">
        <is>
          <t>고정자산 제각손실</t>
        </is>
      </c>
      <c r="C134" s="20" t="n">
        <v>2</v>
      </c>
      <c r="D134" s="20" t="n">
        <v>1</v>
      </c>
      <c r="E134" s="20" t="n">
        <v>14</v>
      </c>
      <c r="F134" s="20" t="n">
        <v>1</v>
      </c>
      <c r="G134" s="20" t="n">
        <v>2</v>
      </c>
      <c r="H134" s="20" t="n">
        <v>1</v>
      </c>
      <c r="I134" s="20" t="n">
        <v>8</v>
      </c>
      <c r="J134" s="20" t="n">
        <v>0</v>
      </c>
      <c r="K134" s="20" t="n">
        <v>2</v>
      </c>
      <c r="L134" s="20" t="n">
        <v>0</v>
      </c>
      <c r="M134" s="20" t="n">
        <v>52</v>
      </c>
      <c r="N134" s="20" t="n">
        <v>3</v>
      </c>
      <c r="T134" s="20" t="n">
        <v>4</v>
      </c>
      <c r="U134" s="20" t="n">
        <v>18</v>
      </c>
      <c r="V134" s="20" t="n">
        <v>14</v>
      </c>
      <c r="W134" s="20" t="n">
        <v>8</v>
      </c>
      <c r="X134" s="20" t="n">
        <v>52</v>
      </c>
    </row>
    <row r="135">
      <c r="A135" s="18" t="inlineStr">
        <is>
          <t>Provision For Loss On Guarantees EL</t>
        </is>
      </c>
      <c r="F135" s="20" t="n">
        <v>0</v>
      </c>
    </row>
    <row r="136">
      <c r="A136" s="18" t="inlineStr">
        <is>
          <t>사업구조개선비용</t>
        </is>
      </c>
      <c r="T136" s="20" t="n">
        <v>-15</v>
      </c>
      <c r="U136" s="20" t="n">
        <v>0</v>
      </c>
    </row>
    <row r="137">
      <c r="A137" s="18" t="inlineStr">
        <is>
          <t>투자유가증권 평가손실</t>
        </is>
      </c>
      <c r="T137" s="20" t="n">
        <v>0</v>
      </c>
      <c r="U137" s="20" t="n">
        <v>0</v>
      </c>
    </row>
    <row r="138">
      <c r="A138" s="18" t="inlineStr">
        <is>
          <t>재해 손실</t>
        </is>
      </c>
      <c r="C138" s="20" t="n">
        <v>0</v>
      </c>
      <c r="D138" s="20" t="n">
        <v>0</v>
      </c>
      <c r="E138" s="20" t="n">
        <v>0</v>
      </c>
      <c r="I138" s="20" t="n">
        <v>0</v>
      </c>
      <c r="M138" s="20" t="n">
        <v>73</v>
      </c>
      <c r="T138" s="20" t="n">
        <v>0</v>
      </c>
      <c r="U138" s="20" t="n">
        <v>0</v>
      </c>
      <c r="V138" s="20" t="n">
        <v>0</v>
      </c>
      <c r="W138" s="20" t="n">
        <v>0</v>
      </c>
      <c r="X138" s="20" t="n">
        <v>73</v>
      </c>
    </row>
    <row r="139">
      <c r="A139" s="18" t="inlineStr">
        <is>
          <t>Loss On Guarantees EL</t>
        </is>
      </c>
      <c r="D139" s="20" t="n">
        <v>1</v>
      </c>
      <c r="H139" s="20" t="n">
        <v>0</v>
      </c>
    </row>
    <row r="140">
      <c r="A140" s="18" t="inlineStr">
        <is>
          <t>특별손실 합계</t>
        </is>
      </c>
      <c r="C140" s="20" t="n">
        <v>4</v>
      </c>
      <c r="D140" s="20" t="n">
        <v>2</v>
      </c>
      <c r="E140" s="20" t="n">
        <v>1400</v>
      </c>
      <c r="F140" s="20" t="n">
        <v>1</v>
      </c>
      <c r="G140" s="20" t="n">
        <v>2</v>
      </c>
      <c r="H140" s="20" t="n">
        <v>20</v>
      </c>
      <c r="I140" s="20" t="n">
        <v>375</v>
      </c>
      <c r="J140" s="20" t="n">
        <v>4</v>
      </c>
      <c r="K140" s="20" t="n">
        <v>2</v>
      </c>
      <c r="L140" s="20" t="n">
        <v>0</v>
      </c>
      <c r="M140" s="20" t="n">
        <v>493</v>
      </c>
      <c r="N140" s="20" t="n">
        <v>6</v>
      </c>
      <c r="T140" s="20" t="n">
        <v>-10</v>
      </c>
      <c r="U140" s="20" t="n">
        <v>19</v>
      </c>
      <c r="V140" s="20" t="n">
        <v>1400</v>
      </c>
      <c r="W140" s="20" t="n">
        <v>375</v>
      </c>
      <c r="X140" s="20" t="n">
        <v>493</v>
      </c>
    </row>
    <row r="141">
      <c r="A141" s="43" t="inlineStr">
        <is>
          <t>YoY</t>
        </is>
      </c>
      <c r="B141" s="3" t="inlineStr">
        <is>
          <t>전년 같은 분기·전년 대비</t>
        </is>
      </c>
      <c r="G141" s="15">
        <f>IF(OR(G140="",C140=""),"",IF(G140*C140&lt;=0,"",IFERROR(G140/C140-1,"")))</f>
        <v/>
      </c>
      <c r="H141" s="15">
        <f>IF(OR(H140="",D140=""),"",IF(H140*D140&lt;=0,"",IFERROR(H140/D140-1,"")))</f>
        <v/>
      </c>
      <c r="I141" s="15">
        <f>IF(OR(I140="",E140=""),"",IF(I140*E140&lt;=0,"",IFERROR(I140/E140-1,"")))</f>
        <v/>
      </c>
      <c r="J141" s="15">
        <f>IF(OR(J140="",F140=""),"",IF(J140*F140&lt;=0,"",IFERROR(J140/F140-1,"")))</f>
        <v/>
      </c>
      <c r="K141" s="15">
        <f>IF(OR(K140="",G140=""),"",IF(K140*G140&lt;=0,"",IFERROR(K140/G140-1,"")))</f>
        <v/>
      </c>
      <c r="L141" s="15">
        <f>IF(OR(L140="",H140=""),"",IF(L140*H140&lt;=0,"",IFERROR(L140/H140-1,"")))</f>
        <v/>
      </c>
      <c r="M141" s="15">
        <f>IF(OR(M140="",I140=""),"",IF(M140*I140&lt;=0,"",IFERROR(M140/I140-1,"")))</f>
        <v/>
      </c>
      <c r="N141" s="15">
        <f>IF(OR(N140="",J140=""),"",IF(N140*J140&lt;=0,"",IFERROR(N140/J140-1,"")))</f>
        <v/>
      </c>
      <c r="T141" s="15">
        <f>IF(OR(T140="",S140=""),"",IF(T140*S140&lt;=0,"",IFERROR(T140/S140-1,"")))</f>
        <v/>
      </c>
      <c r="U141" s="15">
        <f>IF(OR(U140="",T140=""),"",IF(U140*T140&lt;=0,"",IFERROR(U140/T140-1,"")))</f>
        <v/>
      </c>
      <c r="V141" s="15">
        <f>IF(OR(V140="",U140=""),"",IF(V140*U140&lt;=0,"",IFERROR(V140/U140-1,"")))</f>
        <v/>
      </c>
      <c r="W141" s="15">
        <f>IF(OR(W140="",V140=""),"",IF(W140*V140&lt;=0,"",IFERROR(W140/V140-1,"")))</f>
        <v/>
      </c>
      <c r="X141" s="15">
        <f>IF(OR(X140="",W140=""),"",IF(X140*W140&lt;=0,"",IFERROR(X140/W140-1,"")))</f>
        <v/>
      </c>
    </row>
    <row r="142">
      <c r="A142" s="9" t="inlineStr">
        <is>
          <t>법인세차감전 순이익</t>
        </is>
      </c>
      <c r="C142" s="12" t="n">
        <v>1474</v>
      </c>
      <c r="D142" s="12" t="n">
        <v>223</v>
      </c>
      <c r="E142" s="12" t="n">
        <v>3663</v>
      </c>
      <c r="F142" s="12" t="n">
        <v>1132</v>
      </c>
      <c r="G142" s="12" t="n">
        <v>634</v>
      </c>
      <c r="H142" s="12" t="n">
        <v>2424</v>
      </c>
      <c r="I142" s="12" t="n">
        <v>4970</v>
      </c>
      <c r="J142" s="12" t="n">
        <v>1068</v>
      </c>
      <c r="K142" s="12" t="n">
        <v>3001</v>
      </c>
      <c r="L142" s="12" t="n">
        <v>4347</v>
      </c>
      <c r="M142" s="12" t="n">
        <v>2398</v>
      </c>
      <c r="N142" s="12" t="n">
        <v>963</v>
      </c>
      <c r="T142" s="12" t="n">
        <v>1626</v>
      </c>
      <c r="U142" s="12" t="n">
        <v>2989</v>
      </c>
      <c r="V142" s="12" t="n">
        <v>3663</v>
      </c>
      <c r="W142" s="12" t="n">
        <v>4970</v>
      </c>
      <c r="X142" s="12" t="n">
        <v>2398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IF(OR(G142="",C142=""),"",IF(C142&lt;=0,"",IFERROR(G142/C142-1,"")))</f>
        <v/>
      </c>
      <c r="H143" s="15">
        <f>IF(OR(H142="",D142=""),"",IF(D142&lt;=0,"",IFERROR(H142/D142-1,"")))</f>
        <v/>
      </c>
      <c r="I143" s="15">
        <f>IF(OR(I142="",E142=""),"",IF(E142&lt;=0,"",IFERROR(I142/E142-1,"")))</f>
        <v/>
      </c>
      <c r="J143" s="15">
        <f>IF(OR(J142="",F142=""),"",IF(F142&lt;=0,"",IFERROR(J142/F142-1,"")))</f>
        <v/>
      </c>
      <c r="K143" s="15">
        <f>IF(OR(K142="",G142=""),"",IF(G142&lt;=0,"",IFERROR(K142/G142-1,"")))</f>
        <v/>
      </c>
      <c r="L143" s="15">
        <f>IF(OR(L142="",H142=""),"",IF(H142&lt;=0,"",IFERROR(L142/H142-1,"")))</f>
        <v/>
      </c>
      <c r="M143" s="15">
        <f>IF(OR(M142="",I142=""),"",IF(I142&lt;=0,"",IFERROR(M142/I142-1,"")))</f>
        <v/>
      </c>
      <c r="N143" s="15">
        <f>IF(OR(N142="",J142=""),"",IF(J142&lt;=0,"",IFERROR(N142/J142-1,"")))</f>
        <v/>
      </c>
      <c r="T143" s="15">
        <f>IF(OR(T142="",S142=""),"",IF(S142&lt;=0,"",IFERROR(T142/S142-1,"")))</f>
        <v/>
      </c>
      <c r="U143" s="15">
        <f>IF(OR(U142="",T142=""),"",IF(T142&lt;=0,"",IFERROR(U142/T142-1,"")))</f>
        <v/>
      </c>
      <c r="V143" s="15">
        <f>IF(OR(V142="",U142=""),"",IF(U142&lt;=0,"",IFERROR(V142/U142-1,"")))</f>
        <v/>
      </c>
      <c r="W143" s="15">
        <f>IF(OR(W142="",V142=""),"",IF(V142&lt;=0,"",IFERROR(W142/V142-1,"")))</f>
        <v/>
      </c>
      <c r="X143" s="15">
        <f>IF(OR(X142="",W142=""),"",IF(W142&lt;=0,"",IFERROR(X142/W142-1,"")))</f>
        <v/>
      </c>
    </row>
    <row r="144">
      <c r="A144" s="18" t="inlineStr">
        <is>
          <t>법인세·주민세·사업세</t>
        </is>
      </c>
      <c r="C144" s="20" t="n">
        <v>387</v>
      </c>
      <c r="D144" s="20" t="n">
        <v>270</v>
      </c>
      <c r="E144" s="20" t="n">
        <v>536</v>
      </c>
      <c r="F144" s="20" t="n">
        <v>416</v>
      </c>
      <c r="G144" s="20" t="n">
        <v>275</v>
      </c>
      <c r="H144" s="20" t="n">
        <v>567</v>
      </c>
      <c r="I144" s="20" t="n">
        <v>1384</v>
      </c>
      <c r="J144" s="20" t="n">
        <v>1048</v>
      </c>
      <c r="K144" s="20" t="n">
        <v>1192</v>
      </c>
      <c r="L144" s="20" t="n">
        <v>1075</v>
      </c>
      <c r="M144" s="20" t="n">
        <v>360</v>
      </c>
      <c r="N144" s="20" t="n">
        <v>930</v>
      </c>
      <c r="T144" s="20" t="n">
        <v>-186</v>
      </c>
      <c r="U144" s="20" t="n">
        <v>470</v>
      </c>
      <c r="V144" s="20" t="n">
        <v>536</v>
      </c>
      <c r="W144" s="20" t="n">
        <v>1384</v>
      </c>
      <c r="X144" s="20" t="n">
        <v>360</v>
      </c>
    </row>
    <row r="145">
      <c r="A145" s="18" t="inlineStr">
        <is>
          <t>법인세 조정액</t>
        </is>
      </c>
      <c r="C145" s="20" t="n">
        <v>-39</v>
      </c>
      <c r="D145" s="20" t="n">
        <v>-190</v>
      </c>
      <c r="E145" s="20" t="n">
        <v>-230</v>
      </c>
      <c r="F145" s="20" t="n">
        <v>94</v>
      </c>
      <c r="G145" s="20" t="n">
        <v>-25</v>
      </c>
      <c r="H145" s="20" t="n">
        <v>-50</v>
      </c>
      <c r="I145" s="20" t="n">
        <v>-748</v>
      </c>
      <c r="J145" s="20" t="n">
        <v>-407</v>
      </c>
      <c r="K145" s="20" t="n">
        <v>-121</v>
      </c>
      <c r="L145" s="20" t="n">
        <v>277</v>
      </c>
      <c r="M145" s="20" t="n">
        <v>20</v>
      </c>
      <c r="N145" s="20" t="n">
        <v>-493</v>
      </c>
      <c r="T145" s="20" t="n">
        <v>-1</v>
      </c>
      <c r="U145" s="20" t="n">
        <v>-387</v>
      </c>
      <c r="V145" s="20" t="n">
        <v>-230</v>
      </c>
      <c r="W145" s="20" t="n">
        <v>-748</v>
      </c>
      <c r="X145" s="20" t="n">
        <v>20</v>
      </c>
    </row>
    <row r="146">
      <c r="A146" s="18" t="inlineStr">
        <is>
          <t>법인세 등 합계</t>
        </is>
      </c>
      <c r="C146" s="20" t="n">
        <v>348</v>
      </c>
      <c r="D146" s="20" t="n">
        <v>80</v>
      </c>
      <c r="E146" s="20" t="n">
        <v>305</v>
      </c>
      <c r="F146" s="20" t="n">
        <v>510</v>
      </c>
      <c r="G146" s="20" t="n">
        <v>250</v>
      </c>
      <c r="H146" s="20" t="n">
        <v>517</v>
      </c>
      <c r="I146" s="20" t="n">
        <v>635</v>
      </c>
      <c r="J146" s="20" t="n">
        <v>641</v>
      </c>
      <c r="K146" s="20" t="n">
        <v>1071</v>
      </c>
      <c r="L146" s="20" t="n">
        <v>1352</v>
      </c>
      <c r="M146" s="20" t="n">
        <v>379</v>
      </c>
      <c r="N146" s="20" t="n">
        <v>436</v>
      </c>
      <c r="T146" s="20" t="n">
        <v>-187</v>
      </c>
      <c r="U146" s="20" t="n">
        <v>83</v>
      </c>
      <c r="V146" s="20" t="n">
        <v>305</v>
      </c>
      <c r="W146" s="20" t="n">
        <v>635</v>
      </c>
      <c r="X146" s="20" t="n">
        <v>379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G147" s="15">
        <f>IF(OR(G146="",C146=""),"",IF(G146*C146&lt;=0,"",IFERROR(G146/C146-1,"")))</f>
        <v/>
      </c>
      <c r="H147" s="15">
        <f>IF(OR(H146="",D146=""),"",IF(H146*D146&lt;=0,"",IFERROR(H146/D146-1,"")))</f>
        <v/>
      </c>
      <c r="I147" s="15">
        <f>IF(OR(I146="",E146=""),"",IF(I146*E146&lt;=0,"",IFERROR(I146/E146-1,"")))</f>
        <v/>
      </c>
      <c r="J147" s="15">
        <f>IF(OR(J146="",F146=""),"",IF(J146*F146&lt;=0,"",IFERROR(J146/F146-1,"")))</f>
        <v/>
      </c>
      <c r="K147" s="15">
        <f>IF(OR(K146="",G146=""),"",IF(K146*G146&lt;=0,"",IFERROR(K146/G146-1,"")))</f>
        <v/>
      </c>
      <c r="L147" s="15">
        <f>IF(OR(L146="",H146=""),"",IF(L146*H146&lt;=0,"",IFERROR(L146/H146-1,"")))</f>
        <v/>
      </c>
      <c r="M147" s="15">
        <f>IF(OR(M146="",I146=""),"",IF(M146*I146&lt;=0,"",IFERROR(M146/I146-1,"")))</f>
        <v/>
      </c>
      <c r="N147" s="15">
        <f>IF(OR(N146="",J146=""),"",IF(N146*J146&lt;=0,"",IFERROR(N146/J146-1,"")))</f>
        <v/>
      </c>
      <c r="T147" s="15">
        <f>IF(OR(T146="",S146=""),"",IF(T146*S146&lt;=0,"",IFERROR(T146/S146-1,"")))</f>
        <v/>
      </c>
      <c r="U147" s="15">
        <f>IF(OR(U146="",T146=""),"",IF(U146*T146&lt;=0,"",IFERROR(U146/T146-1,"")))</f>
        <v/>
      </c>
      <c r="V147" s="15">
        <f>IF(OR(V146="",U146=""),"",IF(V146*U146&lt;=0,"",IFERROR(V146/U146-1,"")))</f>
        <v/>
      </c>
      <c r="W147" s="15">
        <f>IF(OR(W146="",V146=""),"",IF(W146*V146&lt;=0,"",IFERROR(W146/V146-1,"")))</f>
        <v/>
      </c>
      <c r="X147" s="15">
        <f>IF(OR(X146="",W146=""),"",IF(X146*W146&lt;=0,"",IFERROR(X146/W146-1,"")))</f>
        <v/>
      </c>
    </row>
    <row r="148">
      <c r="A148" s="9" t="inlineStr">
        <is>
          <t>순이익</t>
        </is>
      </c>
      <c r="C148" s="12" t="n">
        <v>1127</v>
      </c>
      <c r="D148" s="12" t="n">
        <v>142</v>
      </c>
      <c r="E148" s="12" t="n">
        <v>3358</v>
      </c>
      <c r="F148" s="12" t="n">
        <v>621</v>
      </c>
      <c r="G148" s="12" t="n">
        <v>384</v>
      </c>
      <c r="H148" s="12" t="n">
        <v>1908</v>
      </c>
      <c r="I148" s="12" t="n">
        <v>4334</v>
      </c>
      <c r="J148" s="12" t="n">
        <v>427</v>
      </c>
      <c r="K148" s="12" t="n">
        <v>1930</v>
      </c>
      <c r="L148" s="12" t="n">
        <v>2995</v>
      </c>
      <c r="M148" s="12" t="n">
        <v>2019</v>
      </c>
      <c r="N148" s="12" t="n">
        <v>526</v>
      </c>
      <c r="T148" s="12" t="n">
        <v>1812</v>
      </c>
      <c r="U148" s="12" t="n">
        <v>2907</v>
      </c>
      <c r="V148" s="12" t="n">
        <v>3358</v>
      </c>
      <c r="W148" s="12" t="n">
        <v>4334</v>
      </c>
      <c r="X148" s="12" t="n">
        <v>2019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M149" s="15">
        <f>IF(OR(M148="",I148=""),"",IF(I148&lt;=0,"",IFERROR(M148/I148-1,"")))</f>
        <v/>
      </c>
      <c r="N149" s="15">
        <f>IF(OR(N148="",J148=""),"",IF(J148&lt;=0,"",IFERROR(N148/J148-1,"")))</f>
        <v/>
      </c>
      <c r="T149" s="15">
        <f>IF(OR(T148="",S148=""),"",IF(S148&lt;=0,"",IFERROR(T148/S148-1,"")))</f>
        <v/>
      </c>
      <c r="U149" s="15">
        <f>IF(OR(U148="",T148=""),"",IF(T148&lt;=0,"",IFERROR(U148/T148-1,"")))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0">
      <c r="A150" s="9" t="inlineStr">
        <is>
          <t>비지배주주 순이익</t>
        </is>
      </c>
      <c r="C150" s="12" t="n">
        <v>0</v>
      </c>
      <c r="D150" s="12" t="n">
        <v>0</v>
      </c>
      <c r="E150" s="12" t="n">
        <v>0</v>
      </c>
      <c r="F150" s="12" t="n">
        <v>0</v>
      </c>
      <c r="G150" s="12" t="n">
        <v>0</v>
      </c>
      <c r="H150" s="12" t="n">
        <v>0</v>
      </c>
      <c r="I150" s="12" t="n">
        <v>0</v>
      </c>
      <c r="T150" s="12" t="n">
        <v>18</v>
      </c>
      <c r="U150" s="12" t="n">
        <v>29</v>
      </c>
      <c r="V150" s="12" t="n">
        <v>0</v>
      </c>
      <c r="W150" s="12" t="n">
        <v>0</v>
      </c>
    </row>
    <row r="151">
      <c r="A151" s="9" t="inlineStr">
        <is>
          <t>지배주주 순이익</t>
        </is>
      </c>
      <c r="C151" s="12" t="n">
        <v>1126</v>
      </c>
      <c r="D151" s="12" t="n">
        <v>143</v>
      </c>
      <c r="E151" s="12" t="n">
        <v>3357</v>
      </c>
      <c r="F151" s="12" t="n">
        <v>621</v>
      </c>
      <c r="G151" s="12" t="n">
        <v>384</v>
      </c>
      <c r="H151" s="12" t="n">
        <v>1908</v>
      </c>
      <c r="I151" s="12" t="n">
        <v>4334</v>
      </c>
      <c r="J151" s="12" t="n">
        <v>427</v>
      </c>
      <c r="K151" s="12" t="n">
        <v>1930</v>
      </c>
      <c r="L151" s="12" t="n">
        <v>2995</v>
      </c>
      <c r="M151" s="12" t="n">
        <v>2019</v>
      </c>
      <c r="N151" s="12" t="n">
        <v>526</v>
      </c>
      <c r="T151" s="12" t="n">
        <v>1794</v>
      </c>
      <c r="U151" s="12" t="n">
        <v>2877</v>
      </c>
      <c r="V151" s="12" t="n">
        <v>3357</v>
      </c>
      <c r="W151" s="12" t="n">
        <v>4334</v>
      </c>
      <c r="X151" s="12" t="n">
        <v>2019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IF(OR(G151="",C151=""),"",IF(C151&lt;=0,"",IFERROR(G151/C151-1,"")))</f>
        <v/>
      </c>
      <c r="H152" s="15">
        <f>IF(OR(H151="",D151=""),"",IF(D151&lt;=0,"",IFERROR(H151/D151-1,"")))</f>
        <v/>
      </c>
      <c r="I152" s="15">
        <f>IF(OR(I151="",E151=""),"",IF(E151&lt;=0,"",IFERROR(I151/E151-1,"")))</f>
        <v/>
      </c>
      <c r="J152" s="15">
        <f>IF(OR(J151="",F151=""),"",IF(F151&lt;=0,"",IFERROR(J151/F151-1,"")))</f>
        <v/>
      </c>
      <c r="K152" s="15">
        <f>IF(OR(K151="",G151=""),"",IF(G151&lt;=0,"",IFERROR(K151/G151-1,"")))</f>
        <v/>
      </c>
      <c r="L152" s="15">
        <f>IF(OR(L151="",H151=""),"",IF(H151&lt;=0,"",IFERROR(L151/H151-1,"")))</f>
        <v/>
      </c>
      <c r="M152" s="15">
        <f>IF(OR(M151="",I151=""),"",IF(I151&lt;=0,"",IFERROR(M151/I151-1,"")))</f>
        <v/>
      </c>
      <c r="N152" s="15">
        <f>IF(OR(N151="",J151=""),"",IF(J151&lt;=0,"",IFERROR(N151/J151-1,"")))</f>
        <v/>
      </c>
      <c r="T152" s="15">
        <f>IF(OR(T151="",S151=""),"",IF(S151&lt;=0,"",IFERROR(T151/S151-1,"")))</f>
        <v/>
      </c>
      <c r="U152" s="15">
        <f>IF(OR(U151="",T151=""),"",IF(T151&lt;=0,"",IFERROR(U151/T151-1,"")))</f>
        <v/>
      </c>
      <c r="V152" s="15">
        <f>IF(OR(V151="",U151=""),"",IF(U151&lt;=0,"",IFERROR(V151/U151-1,"")))</f>
        <v/>
      </c>
      <c r="W152" s="15">
        <f>IF(OR(W151="",V151=""),"",IF(V151&lt;=0,"",IFERROR(W151/V151-1,"")))</f>
        <v/>
      </c>
      <c r="X152" s="15">
        <f>IF(OR(X151="",W151=""),"",IF(W151&lt;=0,"",IFERROR(X151/W151-1,"")))</f>
        <v/>
      </c>
    </row>
    <row r="154">
      <c r="A154" s="16" t="inlineStr">
        <is>
          <t>포괄손익 · 전 항목</t>
        </is>
      </c>
      <c r="B154" s="42" t="inlineStr">
        <is>
          <t>분기 = 3개월 단독</t>
        </is>
      </c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  <c r="AA154" s="16" t="n"/>
      <c r="AB154" s="16" t="n"/>
      <c r="AC154" s="16" t="n"/>
    </row>
    <row r="155">
      <c r="A155" s="5" t="inlineStr">
        <is>
          <t>항목</t>
        </is>
      </c>
      <c r="B155" s="5" t="inlineStr">
        <is>
          <t>참고</t>
        </is>
      </c>
      <c r="C155" s="5" t="inlineStr">
        <is>
          <t>2024.2Q</t>
        </is>
      </c>
      <c r="D155" s="5" t="inlineStr">
        <is>
          <t>2024.3Q</t>
        </is>
      </c>
      <c r="E155" s="5" t="inlineStr">
        <is>
          <t>2024.4Q</t>
        </is>
      </c>
      <c r="F155" s="5" t="inlineStr">
        <is>
          <t>2025.1Q</t>
        </is>
      </c>
      <c r="G155" s="5" t="inlineStr">
        <is>
          <t>2025.2Q</t>
        </is>
      </c>
      <c r="H155" s="5" t="inlineStr">
        <is>
          <t>2025.3Q</t>
        </is>
      </c>
      <c r="I155" s="5" t="inlineStr">
        <is>
          <t>2025.4Q</t>
        </is>
      </c>
      <c r="J155" s="5" t="inlineStr">
        <is>
          <t>2026.1Q</t>
        </is>
      </c>
      <c r="K155" s="5" t="inlineStr">
        <is>
          <t>2026.2Q</t>
        </is>
      </c>
      <c r="L155" s="5" t="inlineStr">
        <is>
          <t>2026.3Q</t>
        </is>
      </c>
      <c r="M155" s="5" t="inlineStr">
        <is>
          <t>2026.4Q</t>
        </is>
      </c>
      <c r="N155" s="5" t="inlineStr">
        <is>
          <t>2027.1Q</t>
        </is>
      </c>
      <c r="O155" s="5" t="inlineStr">
        <is>
          <t>2017</t>
        </is>
      </c>
      <c r="P155" s="5" t="inlineStr">
        <is>
          <t>2018</t>
        </is>
      </c>
      <c r="Q155" s="5" t="inlineStr">
        <is>
          <t>2019</t>
        </is>
      </c>
      <c r="R155" s="5" t="inlineStr">
        <is>
          <t>2020</t>
        </is>
      </c>
      <c r="S155" s="5" t="inlineStr">
        <is>
          <t>2021</t>
        </is>
      </c>
      <c r="T155" s="5" t="inlineStr">
        <is>
          <t>2022</t>
        </is>
      </c>
      <c r="U155" s="5" t="inlineStr">
        <is>
          <t>2023</t>
        </is>
      </c>
      <c r="V155" s="5" t="inlineStr">
        <is>
          <t>2024</t>
        </is>
      </c>
      <c r="W155" s="5" t="inlineStr">
        <is>
          <t>2025</t>
        </is>
      </c>
      <c r="X155" s="5" t="inlineStr">
        <is>
          <t>2026</t>
        </is>
      </c>
      <c r="Y155" s="5" t="inlineStr">
        <is>
          <t>2027(MW)</t>
        </is>
      </c>
      <c r="Z155" s="5" t="inlineStr">
        <is>
          <t>2028(MW)</t>
        </is>
      </c>
      <c r="AA155" s="5" t="inlineStr">
        <is>
          <t>2029(MW)</t>
        </is>
      </c>
      <c r="AB155" s="5" t="inlineStr">
        <is>
          <t>2030(MW)</t>
        </is>
      </c>
      <c r="AC155" s="5" t="inlineStr">
        <is>
          <t>2031(MW)</t>
        </is>
      </c>
    </row>
    <row r="156">
      <c r="A156" s="9" t="inlineStr">
        <is>
          <t>순이익</t>
        </is>
      </c>
      <c r="C156" s="12" t="n">
        <v>1127</v>
      </c>
      <c r="D156" s="12" t="n">
        <v>142</v>
      </c>
      <c r="E156" s="12" t="n">
        <v>3358</v>
      </c>
      <c r="F156" s="12" t="n">
        <v>621</v>
      </c>
      <c r="G156" s="12" t="n">
        <v>384</v>
      </c>
      <c r="H156" s="12" t="n">
        <v>1908</v>
      </c>
      <c r="I156" s="12" t="n">
        <v>4334</v>
      </c>
      <c r="J156" s="12" t="n">
        <v>427</v>
      </c>
      <c r="K156" s="12" t="n">
        <v>1930</v>
      </c>
      <c r="L156" s="12" t="n">
        <v>2995</v>
      </c>
      <c r="M156" s="12" t="n">
        <v>2019</v>
      </c>
      <c r="N156" s="12" t="n">
        <v>526</v>
      </c>
      <c r="T156" s="12" t="n">
        <v>1812</v>
      </c>
      <c r="U156" s="12" t="n">
        <v>2907</v>
      </c>
      <c r="V156" s="12" t="n">
        <v>3358</v>
      </c>
      <c r="W156" s="12" t="n">
        <v>4334</v>
      </c>
      <c r="X156" s="12" t="n">
        <v>2019</v>
      </c>
    </row>
    <row r="157">
      <c r="A157" s="18" t="inlineStr">
        <is>
          <t>기타유가증권 평가차액</t>
        </is>
      </c>
      <c r="C157" s="20" t="n">
        <v>326</v>
      </c>
      <c r="D157" s="20" t="n">
        <v>1342</v>
      </c>
      <c r="E157" s="20" t="n">
        <v>2188</v>
      </c>
      <c r="F157" s="20" t="n">
        <v>-754</v>
      </c>
      <c r="G157" s="20" t="n">
        <v>-1790</v>
      </c>
      <c r="H157" s="20" t="n">
        <v>5</v>
      </c>
      <c r="I157" s="20" t="n">
        <v>-941</v>
      </c>
      <c r="J157" s="20" t="n">
        <v>158</v>
      </c>
      <c r="K157" s="20" t="n">
        <v>1097</v>
      </c>
      <c r="L157" s="20" t="n">
        <v>1191</v>
      </c>
      <c r="M157" s="20" t="n">
        <v>398</v>
      </c>
      <c r="N157" s="20" t="n">
        <v>3252</v>
      </c>
      <c r="T157" s="20" t="n">
        <v>-77</v>
      </c>
      <c r="U157" s="20" t="n">
        <v>993</v>
      </c>
      <c r="V157" s="20" t="n">
        <v>2188</v>
      </c>
      <c r="W157" s="20" t="n">
        <v>-941</v>
      </c>
      <c r="X157" s="20" t="n">
        <v>398</v>
      </c>
    </row>
    <row r="158">
      <c r="A158" s="18" t="inlineStr">
        <is>
          <t>해외사업환산조정</t>
        </is>
      </c>
      <c r="C158" s="20" t="n">
        <v>203</v>
      </c>
      <c r="D158" s="20" t="n">
        <v>-364</v>
      </c>
      <c r="E158" s="20" t="n">
        <v>683</v>
      </c>
      <c r="F158" s="20" t="n">
        <v>874</v>
      </c>
      <c r="G158" s="20" t="n">
        <v>-1473</v>
      </c>
      <c r="H158" s="20" t="n">
        <v>1046</v>
      </c>
      <c r="I158" s="20" t="n">
        <v>-705</v>
      </c>
      <c r="J158" s="20" t="n">
        <v>-41</v>
      </c>
      <c r="K158" s="20" t="n">
        <v>289</v>
      </c>
      <c r="L158" s="20" t="n">
        <v>848</v>
      </c>
      <c r="M158" s="20" t="n">
        <v>190</v>
      </c>
      <c r="N158" s="20" t="n">
        <v>288</v>
      </c>
      <c r="T158" s="20" t="n">
        <v>643</v>
      </c>
      <c r="U158" s="20" t="n">
        <v>456</v>
      </c>
      <c r="V158" s="20" t="n">
        <v>683</v>
      </c>
      <c r="W158" s="20" t="n">
        <v>-705</v>
      </c>
      <c r="X158" s="20" t="n">
        <v>190</v>
      </c>
    </row>
    <row r="159">
      <c r="A159" s="18" t="inlineStr">
        <is>
          <t>퇴직급여 조정액</t>
        </is>
      </c>
      <c r="C159" s="20" t="n">
        <v>32</v>
      </c>
      <c r="D159" s="20" t="n">
        <v>36</v>
      </c>
      <c r="E159" s="20" t="n">
        <v>825</v>
      </c>
      <c r="F159" s="20" t="n">
        <v>-18</v>
      </c>
      <c r="G159" s="20" t="n">
        <v>63</v>
      </c>
      <c r="H159" s="20" t="n">
        <v>-6</v>
      </c>
      <c r="I159" s="20" t="n">
        <v>949</v>
      </c>
      <c r="J159" s="20" t="n">
        <v>-142</v>
      </c>
      <c r="K159" s="20" t="n">
        <v>-23</v>
      </c>
      <c r="L159" s="20" t="n">
        <v>-42</v>
      </c>
      <c r="M159" s="20" t="n">
        <v>539</v>
      </c>
      <c r="N159" s="20" t="n">
        <v>-5</v>
      </c>
      <c r="T159" s="20" t="n">
        <v>357</v>
      </c>
      <c r="U159" s="20" t="n">
        <v>-712</v>
      </c>
      <c r="V159" s="20" t="n">
        <v>825</v>
      </c>
      <c r="W159" s="20" t="n">
        <v>949</v>
      </c>
      <c r="X159" s="20" t="n">
        <v>539</v>
      </c>
    </row>
    <row r="160">
      <c r="A160" s="18" t="inlineStr">
        <is>
          <t>기타포괄손익 합계</t>
        </is>
      </c>
      <c r="C160" s="20" t="n">
        <v>562</v>
      </c>
      <c r="D160" s="20" t="n">
        <v>1014</v>
      </c>
      <c r="E160" s="20" t="n">
        <v>3697</v>
      </c>
      <c r="F160" s="20" t="n">
        <v>101</v>
      </c>
      <c r="G160" s="20" t="n">
        <v>-3199</v>
      </c>
      <c r="H160" s="20" t="n">
        <v>1046</v>
      </c>
      <c r="I160" s="20" t="n">
        <v>-699</v>
      </c>
      <c r="J160" s="20" t="n">
        <v>-26</v>
      </c>
      <c r="K160" s="20" t="n">
        <v>1363</v>
      </c>
      <c r="L160" s="20" t="n">
        <v>1998</v>
      </c>
      <c r="M160" s="20" t="n">
        <v>1127</v>
      </c>
      <c r="N160" s="20" t="n">
        <v>3535</v>
      </c>
      <c r="T160" s="20" t="n">
        <v>924</v>
      </c>
      <c r="U160" s="20" t="n">
        <v>736</v>
      </c>
      <c r="V160" s="20" t="n">
        <v>3697</v>
      </c>
      <c r="W160" s="20" t="n">
        <v>-699</v>
      </c>
      <c r="X160" s="20" t="n">
        <v>1127</v>
      </c>
    </row>
    <row r="161">
      <c r="A161" s="9" t="inlineStr">
        <is>
          <t>포괄이익</t>
        </is>
      </c>
      <c r="C161" s="12" t="n">
        <v>1688</v>
      </c>
      <c r="D161" s="12" t="n">
        <v>1157</v>
      </c>
      <c r="E161" s="12" t="n">
        <v>7054</v>
      </c>
      <c r="F161" s="12" t="n">
        <v>723</v>
      </c>
      <c r="G161" s="12" t="n">
        <v>-2815</v>
      </c>
      <c r="H161" s="12" t="n">
        <v>2952</v>
      </c>
      <c r="I161" s="12" t="n">
        <v>3636</v>
      </c>
      <c r="J161" s="12" t="n">
        <v>401</v>
      </c>
      <c r="K161" s="12" t="n">
        <v>3294</v>
      </c>
      <c r="L161" s="12" t="n">
        <v>4992</v>
      </c>
      <c r="M161" s="12" t="n">
        <v>3147</v>
      </c>
      <c r="N161" s="12" t="n">
        <v>4062</v>
      </c>
      <c r="T161" s="12" t="n">
        <v>2736</v>
      </c>
      <c r="U161" s="12" t="n">
        <v>3642</v>
      </c>
      <c r="V161" s="12" t="n">
        <v>7054</v>
      </c>
      <c r="W161" s="12" t="n">
        <v>3636</v>
      </c>
      <c r="X161" s="12" t="n">
        <v>3147</v>
      </c>
    </row>
    <row r="162">
      <c r="A162" s="9" t="inlineStr">
        <is>
          <t>지배주주 포괄이익</t>
        </is>
      </c>
      <c r="C162" s="12" t="n">
        <v>1688</v>
      </c>
      <c r="D162" s="12" t="n">
        <v>1157</v>
      </c>
      <c r="E162" s="12" t="n">
        <v>7054</v>
      </c>
      <c r="F162" s="12" t="n">
        <v>723</v>
      </c>
      <c r="G162" s="12" t="n">
        <v>-2815</v>
      </c>
      <c r="H162" s="12" t="n">
        <v>2952</v>
      </c>
      <c r="I162" s="12" t="n">
        <v>3636</v>
      </c>
      <c r="J162" s="12" t="n">
        <v>401</v>
      </c>
      <c r="K162" s="12" t="n">
        <v>3294</v>
      </c>
      <c r="L162" s="12" t="n">
        <v>4992</v>
      </c>
      <c r="M162" s="12" t="n">
        <v>3145</v>
      </c>
      <c r="N162" s="12" t="n">
        <v>4062</v>
      </c>
      <c r="T162" s="12" t="n">
        <v>2713</v>
      </c>
      <c r="U162" s="12" t="n">
        <v>3612</v>
      </c>
      <c r="V162" s="12" t="n">
        <v>7054</v>
      </c>
      <c r="W162" s="12" t="n">
        <v>3636</v>
      </c>
      <c r="X162" s="12" t="n">
        <v>3145</v>
      </c>
    </row>
    <row r="163">
      <c r="A163" s="9" t="inlineStr">
        <is>
          <t>비지배주주 포괄이익</t>
        </is>
      </c>
      <c r="C163" s="12" t="n">
        <v>0</v>
      </c>
      <c r="D163" s="12" t="n">
        <v>0</v>
      </c>
      <c r="E163" s="12" t="n">
        <v>0</v>
      </c>
      <c r="F163" s="12" t="n">
        <v>0</v>
      </c>
      <c r="G163" s="12" t="n">
        <v>0</v>
      </c>
      <c r="H163" s="12" t="n">
        <v>0</v>
      </c>
      <c r="I163" s="12" t="n">
        <v>0</v>
      </c>
      <c r="T163" s="12" t="n">
        <v>24</v>
      </c>
      <c r="U163" s="12" t="n">
        <v>31</v>
      </c>
      <c r="V163" s="12" t="n">
        <v>0</v>
      </c>
      <c r="W163" s="12" t="n">
        <v>0</v>
      </c>
    </row>
    <row r="165">
      <c r="A165" s="16" t="inlineStr">
        <is>
          <t>부문 · 전 항목</t>
        </is>
      </c>
      <c r="B165" s="42" t="inlineStr">
        <is>
          <t>부문 · 항목</t>
        </is>
      </c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  <c r="AA165" s="16" t="n"/>
      <c r="AB165" s="16" t="n"/>
      <c r="AC165" s="16" t="n"/>
    </row>
    <row r="166">
      <c r="A166" s="5" t="inlineStr">
        <is>
          <t>항목</t>
        </is>
      </c>
      <c r="B166" s="5" t="inlineStr">
        <is>
          <t>참고</t>
        </is>
      </c>
      <c r="C166" s="5" t="inlineStr">
        <is>
          <t>2024.2Q</t>
        </is>
      </c>
      <c r="D166" s="5" t="inlineStr">
        <is>
          <t>2024.3Q</t>
        </is>
      </c>
      <c r="E166" s="5" t="inlineStr">
        <is>
          <t>2024.4Q</t>
        </is>
      </c>
      <c r="F166" s="5" t="inlineStr">
        <is>
          <t>2025.1Q</t>
        </is>
      </c>
      <c r="G166" s="5" t="inlineStr">
        <is>
          <t>2025.2Q</t>
        </is>
      </c>
      <c r="H166" s="5" t="inlineStr">
        <is>
          <t>2025.3Q</t>
        </is>
      </c>
      <c r="I166" s="5" t="inlineStr">
        <is>
          <t>2025.4Q</t>
        </is>
      </c>
      <c r="J166" s="5" t="inlineStr">
        <is>
          <t>2026.1Q</t>
        </is>
      </c>
      <c r="K166" s="5" t="inlineStr">
        <is>
          <t>2026.2Q</t>
        </is>
      </c>
      <c r="L166" s="5" t="inlineStr">
        <is>
          <t>2026.3Q</t>
        </is>
      </c>
      <c r="M166" s="5" t="inlineStr">
        <is>
          <t>2026.4Q</t>
        </is>
      </c>
      <c r="N166" s="5" t="inlineStr">
        <is>
          <t>2027.1Q</t>
        </is>
      </c>
      <c r="O166" s="5" t="inlineStr">
        <is>
          <t>2017</t>
        </is>
      </c>
      <c r="P166" s="5" t="inlineStr">
        <is>
          <t>2018</t>
        </is>
      </c>
      <c r="Q166" s="5" t="inlineStr">
        <is>
          <t>2019</t>
        </is>
      </c>
      <c r="R166" s="5" t="inlineStr">
        <is>
          <t>2020</t>
        </is>
      </c>
      <c r="S166" s="5" t="inlineStr">
        <is>
          <t>2021</t>
        </is>
      </c>
      <c r="T166" s="5" t="inlineStr">
        <is>
          <t>2022</t>
        </is>
      </c>
      <c r="U166" s="5" t="inlineStr">
        <is>
          <t>2023</t>
        </is>
      </c>
      <c r="V166" s="5" t="inlineStr">
        <is>
          <t>2024</t>
        </is>
      </c>
      <c r="W166" s="5" t="inlineStr">
        <is>
          <t>2025</t>
        </is>
      </c>
      <c r="X166" s="5" t="inlineStr">
        <is>
          <t>2026</t>
        </is>
      </c>
      <c r="Y166" s="5" t="inlineStr">
        <is>
          <t>2027(MW)</t>
        </is>
      </c>
      <c r="Z166" s="5" t="inlineStr">
        <is>
          <t>2028(MW)</t>
        </is>
      </c>
      <c r="AA166" s="5" t="inlineStr">
        <is>
          <t>2029(MW)</t>
        </is>
      </c>
      <c r="AB166" s="5" t="inlineStr">
        <is>
          <t>2030(MW)</t>
        </is>
      </c>
      <c r="AC166" s="5" t="inlineStr">
        <is>
          <t>2031(MW)</t>
        </is>
      </c>
    </row>
    <row r="167">
      <c r="A167" s="18" t="inlineStr">
        <is>
          <t>JapanReportableSegmentsMember · 외부 고객 매출</t>
        </is>
      </c>
      <c r="E167" s="20" t="n">
        <v>18125</v>
      </c>
      <c r="F167" s="20" t="n">
        <v>13030</v>
      </c>
      <c r="I167" s="20" t="n">
        <v>14188</v>
      </c>
      <c r="J167" s="20" t="n">
        <v>11925</v>
      </c>
      <c r="M167" s="20" t="n">
        <v>14787</v>
      </c>
      <c r="N167" s="20" t="n">
        <v>10185</v>
      </c>
      <c r="V167" s="20" t="n">
        <v>18125</v>
      </c>
      <c r="W167" s="20" t="n">
        <v>14188</v>
      </c>
      <c r="X167" s="20" t="n">
        <v>14787</v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I168" s="15">
        <f>IF(OR(I167="",E167=""),"",IF(E167&lt;=0,"",IFERROR(I167/E167-1,"")))</f>
        <v/>
      </c>
      <c r="J168" s="15">
        <f>IF(OR(J167="",F167=""),"",IF(F167&lt;=0,"",IFERROR(J167/F167-1,"")))</f>
        <v/>
      </c>
      <c r="M168" s="15">
        <f>IF(OR(M167="",I167=""),"",IF(I167&lt;=0,"",IFERROR(M167/I167-1,"")))</f>
        <v/>
      </c>
      <c r="N168" s="15">
        <f>IF(OR(N167="",J167=""),"",IF(J167&lt;=0,"",IFERROR(N167/J167-1,"")))</f>
        <v/>
      </c>
      <c r="V168" s="15">
        <f>IF(OR(V167="",U167=""),"",IF(U167&lt;=0,"",IFERROR(V167/U167-1,"")))</f>
        <v/>
      </c>
      <c r="W168" s="15">
        <f>IF(OR(W167="",V167=""),"",IF(V167&lt;=0,"",IFERROR(W167/V167-1,"")))</f>
        <v/>
      </c>
      <c r="X168" s="15">
        <f>IF(OR(X167="",W167=""),"",IF(W167&lt;=0,"",IFERROR(X167/W167-1,"")))</f>
        <v/>
      </c>
    </row>
    <row r="169">
      <c r="A169" s="18" t="inlineStr">
        <is>
          <t>NorthAmericaReportableSegmentsMember · 외부 고객 매출</t>
        </is>
      </c>
      <c r="E169" s="20" t="n">
        <v>4847</v>
      </c>
      <c r="F169" s="20" t="n">
        <v>2074</v>
      </c>
      <c r="I169" s="20" t="n">
        <v>3589</v>
      </c>
      <c r="J169" s="20" t="n">
        <v>2074</v>
      </c>
      <c r="M169" s="20" t="n">
        <v>2606</v>
      </c>
      <c r="N169" s="20" t="n">
        <v>1221</v>
      </c>
      <c r="V169" s="20" t="n">
        <v>4847</v>
      </c>
      <c r="W169" s="20" t="n">
        <v>3589</v>
      </c>
      <c r="X169" s="20" t="n">
        <v>2606</v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I170" s="15">
        <f>IF(OR(I169="",E169=""),"",IF(E169&lt;=0,"",IFERROR(I169/E169-1,"")))</f>
        <v/>
      </c>
      <c r="J170" s="15">
        <f>IF(OR(J169="",F169=""),"",IF(F169&lt;=0,"",IFERROR(J169/F169-1,"")))</f>
        <v/>
      </c>
      <c r="M170" s="15">
        <f>IF(OR(M169="",I169=""),"",IF(I169&lt;=0,"",IFERROR(M169/I169-1,"")))</f>
        <v/>
      </c>
      <c r="N170" s="15">
        <f>IF(OR(N169="",J169=""),"",IF(J169&lt;=0,"",IFERROR(N169/J169-1,"")))</f>
        <v/>
      </c>
      <c r="V170" s="15">
        <f>IF(OR(V169="",U169=""),"",IF(U169&lt;=0,"",IFERROR(V169/U169-1,"")))</f>
        <v/>
      </c>
      <c r="W170" s="15">
        <f>IF(OR(W169="",V169=""),"",IF(V169&lt;=0,"",IFERROR(W169/V169-1,"")))</f>
        <v/>
      </c>
      <c r="X170" s="15">
        <f>IF(OR(X169="",W169=""),"",IF(W169&lt;=0,"",IFERROR(X169/W169-1,"")))</f>
        <v/>
      </c>
    </row>
    <row r="171">
      <c r="A171" s="18" t="inlineStr">
        <is>
          <t>EuropeReportableSegmentsMember · 외부 고객 매출</t>
        </is>
      </c>
      <c r="E171" s="20" t="n">
        <v>6623</v>
      </c>
      <c r="F171" s="20" t="n">
        <v>4461</v>
      </c>
      <c r="I171" s="20" t="n">
        <v>8733</v>
      </c>
      <c r="J171" s="20" t="n">
        <v>4669</v>
      </c>
      <c r="M171" s="20" t="n">
        <v>8936</v>
      </c>
      <c r="N171" s="20" t="n">
        <v>6569</v>
      </c>
      <c r="V171" s="20" t="n">
        <v>6623</v>
      </c>
      <c r="W171" s="20" t="n">
        <v>8733</v>
      </c>
      <c r="X171" s="20" t="n">
        <v>8936</v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I172" s="15">
        <f>IF(OR(I171="",E171=""),"",IF(E171&lt;=0,"",IFERROR(I171/E171-1,"")))</f>
        <v/>
      </c>
      <c r="J172" s="15">
        <f>IF(OR(J171="",F171=""),"",IF(F171&lt;=0,"",IFERROR(J171/F171-1,"")))</f>
        <v/>
      </c>
      <c r="M172" s="15">
        <f>IF(OR(M171="",I171=""),"",IF(I171&lt;=0,"",IFERROR(M171/I171-1,"")))</f>
        <v/>
      </c>
      <c r="N172" s="15">
        <f>IF(OR(N171="",J171=""),"",IF(J171&lt;=0,"",IFERROR(N171/J171-1,"")))</f>
        <v/>
      </c>
      <c r="V172" s="15">
        <f>IF(OR(V171="",U171=""),"",IF(U171&lt;=0,"",IFERROR(V171/U171-1,"")))</f>
        <v/>
      </c>
      <c r="W172" s="15">
        <f>IF(OR(W171="",V171=""),"",IF(V171&lt;=0,"",IFERROR(W171/V171-1,"")))</f>
        <v/>
      </c>
      <c r="X172" s="15">
        <f>IF(OR(X171="",W171=""),"",IF(W171&lt;=0,"",IFERROR(X171/W171-1,"")))</f>
        <v/>
      </c>
    </row>
    <row r="173">
      <c r="A173" s="18" t="inlineStr">
        <is>
          <t>ChinaAreaReportableSegmentMember · 외부 고객 매출</t>
        </is>
      </c>
      <c r="E173" s="20" t="n">
        <v>3790</v>
      </c>
      <c r="F173" s="20" t="n">
        <v>3812</v>
      </c>
      <c r="I173" s="20" t="n">
        <v>4620</v>
      </c>
      <c r="J173" s="20" t="n">
        <v>1613</v>
      </c>
      <c r="M173" s="20" t="n">
        <v>4081</v>
      </c>
      <c r="N173" s="20" t="n">
        <v>2947</v>
      </c>
      <c r="V173" s="20" t="n">
        <v>3790</v>
      </c>
      <c r="W173" s="20" t="n">
        <v>4620</v>
      </c>
      <c r="X173" s="20" t="n">
        <v>4081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I174" s="15">
        <f>IF(OR(I173="",E173=""),"",IF(E173&lt;=0,"",IFERROR(I173/E173-1,"")))</f>
        <v/>
      </c>
      <c r="J174" s="15">
        <f>IF(OR(J173="",F173=""),"",IF(F173&lt;=0,"",IFERROR(J173/F173-1,"")))</f>
        <v/>
      </c>
      <c r="M174" s="15">
        <f>IF(OR(M173="",I173=""),"",IF(I173&lt;=0,"",IFERROR(M173/I173-1,"")))</f>
        <v/>
      </c>
      <c r="N174" s="15">
        <f>IF(OR(N173="",J173=""),"",IF(J173&lt;=0,"",IFERROR(N173/J173-1,"")))</f>
        <v/>
      </c>
      <c r="V174" s="15">
        <f>IF(OR(V173="",U173=""),"",IF(U173&lt;=0,"",IFERROR(V173/U173-1,"")))</f>
        <v/>
      </c>
      <c r="W174" s="15">
        <f>IF(OR(W173="",V173=""),"",IF(V173&lt;=0,"",IFERROR(W173/V173-1,"")))</f>
        <v/>
      </c>
      <c r="X174" s="15">
        <f>IF(OR(X173="",W173=""),"",IF(W173&lt;=0,"",IFERROR(X173/W173-1,"")))</f>
        <v/>
      </c>
    </row>
    <row r="175">
      <c r="A175" s="18" t="inlineStr">
        <is>
          <t>보고부문 합계 · 외부 고객 매출</t>
        </is>
      </c>
      <c r="E175" s="20" t="n">
        <v>33386</v>
      </c>
      <c r="F175" s="20" t="n">
        <v>23377</v>
      </c>
      <c r="I175" s="20" t="n">
        <v>31131</v>
      </c>
      <c r="J175" s="20" t="n">
        <v>20283</v>
      </c>
      <c r="M175" s="20" t="n">
        <v>30411</v>
      </c>
      <c r="N175" s="20" t="n">
        <v>20923</v>
      </c>
      <c r="V175" s="20" t="n">
        <v>33386</v>
      </c>
      <c r="W175" s="20" t="n">
        <v>31131</v>
      </c>
      <c r="X175" s="20" t="n">
        <v>30411</v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I176" s="15">
        <f>IF(OR(I175="",E175=""),"",IF(E175&lt;=0,"",IFERROR(I175/E175-1,"")))</f>
        <v/>
      </c>
      <c r="J176" s="15">
        <f>IF(OR(J175="",F175=""),"",IF(F175&lt;=0,"",IFERROR(J175/F175-1,"")))</f>
        <v/>
      </c>
      <c r="M176" s="15">
        <f>IF(OR(M175="",I175=""),"",IF(I175&lt;=0,"",IFERROR(M175/I175-1,"")))</f>
        <v/>
      </c>
      <c r="N176" s="15">
        <f>IF(OR(N175="",J175=""),"",IF(J175&lt;=0,"",IFERROR(N175/J175-1,"")))</f>
        <v/>
      </c>
      <c r="V176" s="15">
        <f>IF(OR(V175="",U175=""),"",IF(U175&lt;=0,"",IFERROR(V175/U175-1,"")))</f>
        <v/>
      </c>
      <c r="W176" s="15">
        <f>IF(OR(W175="",V175=""),"",IF(V175&lt;=0,"",IFERROR(W175/V175-1,"")))</f>
        <v/>
      </c>
      <c r="X176" s="15">
        <f>IF(OR(X175="",W175=""),"",IF(W175&lt;=0,"",IFERROR(X175/W175-1,"")))</f>
        <v/>
      </c>
    </row>
    <row r="177">
      <c r="A177" s="18" t="inlineStr">
        <is>
          <t>기타 · 외부 고객 매출</t>
        </is>
      </c>
      <c r="E177" s="20" t="n">
        <v>1625</v>
      </c>
      <c r="F177" s="20" t="n">
        <v>935</v>
      </c>
      <c r="I177" s="20" t="n">
        <v>1342</v>
      </c>
      <c r="J177" s="20" t="n">
        <v>1686</v>
      </c>
      <c r="M177" s="20" t="n">
        <v>1431</v>
      </c>
      <c r="N177" s="20" t="n">
        <v>1303</v>
      </c>
      <c r="V177" s="20" t="n">
        <v>1625</v>
      </c>
      <c r="W177" s="20" t="n">
        <v>1342</v>
      </c>
      <c r="X177" s="20" t="n">
        <v>1431</v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I178" s="15">
        <f>IF(OR(I177="",E177=""),"",IF(E177&lt;=0,"",IFERROR(I177/E177-1,"")))</f>
        <v/>
      </c>
      <c r="J178" s="15">
        <f>IF(OR(J177="",F177=""),"",IF(F177&lt;=0,"",IFERROR(J177/F177-1,"")))</f>
        <v/>
      </c>
      <c r="M178" s="15">
        <f>IF(OR(M177="",I177=""),"",IF(I177&lt;=0,"",IFERROR(M177/I177-1,"")))</f>
        <v/>
      </c>
      <c r="N178" s="15">
        <f>IF(OR(N177="",J177=""),"",IF(J177&lt;=0,"",IFERROR(N177/J177-1,"")))</f>
        <v/>
      </c>
      <c r="V178" s="15">
        <f>IF(OR(V177="",U177=""),"",IF(U177&lt;=0,"",IFERROR(V177/U177-1,"")))</f>
        <v/>
      </c>
      <c r="W178" s="15">
        <f>IF(OR(W177="",V177=""),"",IF(V177&lt;=0,"",IFERROR(W177/V177-1,"")))</f>
        <v/>
      </c>
      <c r="X178" s="15">
        <f>IF(OR(X177="",W177=""),"",IF(W177&lt;=0,"",IFERROR(X177/W177-1,"")))</f>
        <v/>
      </c>
    </row>
    <row r="179">
      <c r="A179" s="18" t="inlineStr">
        <is>
          <t>합계 · 외부 고객 매출</t>
        </is>
      </c>
      <c r="E179" s="20" t="n">
        <v>35012</v>
      </c>
      <c r="F179" s="20" t="n">
        <v>24313</v>
      </c>
      <c r="I179" s="20" t="n">
        <v>32472</v>
      </c>
      <c r="J179" s="20" t="n">
        <v>21969</v>
      </c>
      <c r="M179" s="20" t="n">
        <v>31841</v>
      </c>
      <c r="N179" s="20" t="n">
        <v>22227</v>
      </c>
      <c r="V179" s="20" t="n">
        <v>35012</v>
      </c>
      <c r="W179" s="20" t="n">
        <v>32472</v>
      </c>
      <c r="X179" s="20" t="n">
        <v>31841</v>
      </c>
    </row>
    <row r="180">
      <c r="A180" s="43" t="inlineStr">
        <is>
          <t>YoY</t>
        </is>
      </c>
      <c r="B180" s="3" t="inlineStr">
        <is>
          <t>전년 같은 분기·전년 대비</t>
        </is>
      </c>
      <c r="I180" s="15">
        <f>IF(OR(I179="",E179=""),"",IF(E179&lt;=0,"",IFERROR(I179/E179-1,"")))</f>
        <v/>
      </c>
      <c r="J180" s="15">
        <f>IF(OR(J179="",F179=""),"",IF(F179&lt;=0,"",IFERROR(J179/F179-1,"")))</f>
        <v/>
      </c>
      <c r="M180" s="15">
        <f>IF(OR(M179="",I179=""),"",IF(I179&lt;=0,"",IFERROR(M179/I179-1,"")))</f>
        <v/>
      </c>
      <c r="N180" s="15">
        <f>IF(OR(N179="",J179=""),"",IF(J179&lt;=0,"",IFERROR(N179/J179-1,"")))</f>
        <v/>
      </c>
      <c r="V180" s="15">
        <f>IF(OR(V179="",U179=""),"",IF(U179&lt;=0,"",IFERROR(V179/U179-1,"")))</f>
        <v/>
      </c>
      <c r="W180" s="15">
        <f>IF(OR(W179="",V179=""),"",IF(V179&lt;=0,"",IFERROR(W179/V179-1,"")))</f>
        <v/>
      </c>
      <c r="X180" s="15">
        <f>IF(OR(X179="",W179=""),"",IF(W179&lt;=0,"",IFERROR(X179/W179-1,"")))</f>
        <v/>
      </c>
    </row>
    <row r="181">
      <c r="A181" s="18" t="inlineStr">
        <is>
          <t>조정액 · 외부 고객 매출</t>
        </is>
      </c>
      <c r="I181" s="20" t="n">
        <v>1766</v>
      </c>
      <c r="J181" s="20" t="n">
        <v>568</v>
      </c>
      <c r="M181" s="20" t="n">
        <v>1433</v>
      </c>
      <c r="N181" s="20" t="n">
        <v>871</v>
      </c>
      <c r="W181" s="20" t="n">
        <v>1766</v>
      </c>
      <c r="X181" s="20" t="n">
        <v>1433</v>
      </c>
    </row>
    <row r="182">
      <c r="A182" s="18" t="inlineStr">
        <is>
          <t>EntityTotalMember · 외부 고객 매출</t>
        </is>
      </c>
      <c r="J182" s="20" t="n">
        <v>22538</v>
      </c>
      <c r="N182" s="20" t="n">
        <v>23098</v>
      </c>
    </row>
    <row r="183">
      <c r="A183" s="18" t="inlineStr">
        <is>
          <t>JapanReportableSegmentsMember · 부문 간 내부매출·대체</t>
        </is>
      </c>
      <c r="E183" s="20" t="n">
        <v>6019</v>
      </c>
      <c r="F183" s="20" t="n">
        <v>5952</v>
      </c>
      <c r="I183" s="20" t="n">
        <v>10524</v>
      </c>
      <c r="J183" s="20" t="n">
        <v>7706</v>
      </c>
      <c r="M183" s="20" t="n">
        <v>8213</v>
      </c>
      <c r="N183" s="20" t="n">
        <v>9414</v>
      </c>
      <c r="V183" s="20" t="n">
        <v>6019</v>
      </c>
      <c r="W183" s="20" t="n">
        <v>10524</v>
      </c>
      <c r="X183" s="20" t="n">
        <v>8213</v>
      </c>
    </row>
    <row r="184">
      <c r="A184" s="18" t="inlineStr">
        <is>
          <t>NorthAmericaReportableSegmentsMember · 부문 간 내부매출·대체</t>
        </is>
      </c>
      <c r="E184" s="20" t="n">
        <v>1</v>
      </c>
      <c r="F184" s="20" t="n">
        <v>0</v>
      </c>
      <c r="I184" s="20" t="n">
        <v>5</v>
      </c>
      <c r="J184" s="20" t="n">
        <v>13</v>
      </c>
      <c r="M184" s="20" t="n">
        <v>12</v>
      </c>
      <c r="N184" s="20" t="n">
        <v>14</v>
      </c>
      <c r="V184" s="20" t="n">
        <v>1</v>
      </c>
      <c r="W184" s="20" t="n">
        <v>5</v>
      </c>
      <c r="X184" s="20" t="n">
        <v>12</v>
      </c>
    </row>
    <row r="185">
      <c r="A185" s="18" t="inlineStr">
        <is>
          <t>EuropeReportableSegmentsMember · 부문 간 내부매출·대체</t>
        </is>
      </c>
      <c r="E185" s="20" t="n">
        <v>233</v>
      </c>
      <c r="F185" s="20" t="n">
        <v>83</v>
      </c>
      <c r="I185" s="20" t="n">
        <v>167</v>
      </c>
      <c r="J185" s="20" t="n">
        <v>47</v>
      </c>
      <c r="M185" s="20" t="n">
        <v>116</v>
      </c>
      <c r="N185" s="20" t="n">
        <v>106</v>
      </c>
      <c r="V185" s="20" t="n">
        <v>233</v>
      </c>
      <c r="W185" s="20" t="n">
        <v>167</v>
      </c>
      <c r="X185" s="20" t="n">
        <v>116</v>
      </c>
    </row>
    <row r="186">
      <c r="A186" s="18" t="inlineStr">
        <is>
          <t>ChinaAreaReportableSegmentMember · 부문 간 내부매출·대체</t>
        </is>
      </c>
      <c r="E186" s="20" t="n">
        <v>391</v>
      </c>
      <c r="F186" s="20" t="n">
        <v>390</v>
      </c>
      <c r="I186" s="20" t="n">
        <v>385</v>
      </c>
      <c r="J186" s="20" t="n">
        <v>387</v>
      </c>
      <c r="M186" s="20" t="n">
        <v>528</v>
      </c>
      <c r="N186" s="20" t="n">
        <v>569</v>
      </c>
      <c r="V186" s="20" t="n">
        <v>391</v>
      </c>
      <c r="W186" s="20" t="n">
        <v>385</v>
      </c>
      <c r="X186" s="20" t="n">
        <v>528</v>
      </c>
    </row>
    <row r="187">
      <c r="A187" s="18" t="inlineStr">
        <is>
          <t>보고부문 합계 · 부문 간 내부매출·대체</t>
        </is>
      </c>
      <c r="E187" s="20" t="n">
        <v>6645</v>
      </c>
      <c r="F187" s="20" t="n">
        <v>6427</v>
      </c>
      <c r="I187" s="20" t="n">
        <v>11081</v>
      </c>
      <c r="J187" s="20" t="n">
        <v>8154</v>
      </c>
      <c r="M187" s="20" t="n">
        <v>8870</v>
      </c>
      <c r="N187" s="20" t="n">
        <v>10105</v>
      </c>
      <c r="V187" s="20" t="n">
        <v>6645</v>
      </c>
      <c r="W187" s="20" t="n">
        <v>11081</v>
      </c>
      <c r="X187" s="20" t="n">
        <v>8870</v>
      </c>
    </row>
    <row r="188">
      <c r="A188" s="18" t="inlineStr">
        <is>
          <t>기타 · 부문 간 내부매출·대체</t>
        </is>
      </c>
      <c r="E188" s="20" t="n">
        <v>33</v>
      </c>
      <c r="F188" s="20" t="n">
        <v>35</v>
      </c>
      <c r="I188" s="20" t="n">
        <v>42</v>
      </c>
      <c r="J188" s="20" t="n">
        <v>59</v>
      </c>
      <c r="M188" s="20" t="n">
        <v>64</v>
      </c>
      <c r="N188" s="20" t="n">
        <v>31</v>
      </c>
      <c r="V188" s="20" t="n">
        <v>33</v>
      </c>
      <c r="W188" s="20" t="n">
        <v>42</v>
      </c>
      <c r="X188" s="20" t="n">
        <v>64</v>
      </c>
    </row>
    <row r="189">
      <c r="A189" s="18" t="inlineStr">
        <is>
          <t>합계 · 부문 간 내부매출·대체</t>
        </is>
      </c>
      <c r="E189" s="20" t="n">
        <v>6678</v>
      </c>
      <c r="F189" s="20" t="n">
        <v>6463</v>
      </c>
      <c r="I189" s="20" t="n">
        <v>11123</v>
      </c>
      <c r="J189" s="20" t="n">
        <v>8214</v>
      </c>
      <c r="M189" s="20" t="n">
        <v>8933</v>
      </c>
      <c r="N189" s="20" t="n">
        <v>10136</v>
      </c>
      <c r="V189" s="20" t="n">
        <v>6678</v>
      </c>
      <c r="W189" s="20" t="n">
        <v>11123</v>
      </c>
      <c r="X189" s="20" t="n">
        <v>8933</v>
      </c>
    </row>
    <row r="190">
      <c r="A190" s="18" t="inlineStr">
        <is>
          <t>조정액 · 부문 간 내부매출·대체</t>
        </is>
      </c>
      <c r="I190" s="20" t="n">
        <v>0</v>
      </c>
      <c r="J190" s="20" t="n">
        <v>0</v>
      </c>
      <c r="M190" s="20" t="n">
        <v>0</v>
      </c>
      <c r="N190" s="20" t="n">
        <v>871</v>
      </c>
      <c r="W190" s="20" t="n">
        <v>0</v>
      </c>
      <c r="X190" s="20" t="n">
        <v>0</v>
      </c>
    </row>
    <row r="191">
      <c r="A191" s="18" t="inlineStr">
        <is>
          <t>EntityTotalMember · 부문 간 내부매출·대체</t>
        </is>
      </c>
      <c r="J191" s="20" t="n">
        <v>8214</v>
      </c>
      <c r="N191" s="20" t="n">
        <v>11007</v>
      </c>
    </row>
    <row r="192">
      <c r="A192" s="18" t="inlineStr">
        <is>
          <t>JapanReportableSegmentsMember · 계</t>
        </is>
      </c>
      <c r="E192" s="20" t="n">
        <v>24145</v>
      </c>
      <c r="F192" s="20" t="n">
        <v>18982</v>
      </c>
      <c r="I192" s="20" t="n">
        <v>24713</v>
      </c>
      <c r="J192" s="20" t="n">
        <v>19631</v>
      </c>
      <c r="M192" s="20" t="n">
        <v>22999</v>
      </c>
      <c r="N192" s="20" t="n">
        <v>19600</v>
      </c>
      <c r="V192" s="20" t="n">
        <v>24145</v>
      </c>
      <c r="W192" s="20" t="n">
        <v>24713</v>
      </c>
      <c r="X192" s="20" t="n">
        <v>22999</v>
      </c>
    </row>
    <row r="193">
      <c r="A193" s="43" t="inlineStr">
        <is>
          <t>YoY</t>
        </is>
      </c>
      <c r="B193" s="3" t="inlineStr">
        <is>
          <t>전년 같은 분기·전년 대비</t>
        </is>
      </c>
      <c r="I193" s="15">
        <f>IF(OR(I192="",E192=""),"",IF(E192&lt;=0,"",IFERROR(I192/E192-1,"")))</f>
        <v/>
      </c>
      <c r="J193" s="15">
        <f>IF(OR(J192="",F192=""),"",IF(F192&lt;=0,"",IFERROR(J192/F192-1,"")))</f>
        <v/>
      </c>
      <c r="M193" s="15">
        <f>IF(OR(M192="",I192=""),"",IF(I192&lt;=0,"",IFERROR(M192/I192-1,"")))</f>
        <v/>
      </c>
      <c r="N193" s="15">
        <f>IF(OR(N192="",J192=""),"",IF(J192&lt;=0,"",IFERROR(N192/J192-1,"")))</f>
        <v/>
      </c>
      <c r="V193" s="15">
        <f>IF(OR(V192="",U192=""),"",IF(U192&lt;=0,"",IFERROR(V192/U192-1,"")))</f>
        <v/>
      </c>
      <c r="W193" s="15">
        <f>IF(OR(W192="",V192=""),"",IF(V192&lt;=0,"",IFERROR(W192/V192-1,"")))</f>
        <v/>
      </c>
      <c r="X193" s="15">
        <f>IF(OR(X192="",W192=""),"",IF(W192&lt;=0,"",IFERROR(X192/W192-1,"")))</f>
        <v/>
      </c>
    </row>
    <row r="194">
      <c r="A194" s="18" t="inlineStr">
        <is>
          <t>NorthAmericaReportableSegmentsMember · 계</t>
        </is>
      </c>
      <c r="E194" s="20" t="n">
        <v>4849</v>
      </c>
      <c r="F194" s="20" t="n">
        <v>2075</v>
      </c>
      <c r="I194" s="20" t="n">
        <v>3595</v>
      </c>
      <c r="J194" s="20" t="n">
        <v>2087</v>
      </c>
      <c r="M194" s="20" t="n">
        <v>2618</v>
      </c>
      <c r="N194" s="20" t="n">
        <v>1235</v>
      </c>
      <c r="V194" s="20" t="n">
        <v>4849</v>
      </c>
      <c r="W194" s="20" t="n">
        <v>3595</v>
      </c>
      <c r="X194" s="20" t="n">
        <v>2618</v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I195" s="15">
        <f>IF(OR(I194="",E194=""),"",IF(E194&lt;=0,"",IFERROR(I194/E194-1,"")))</f>
        <v/>
      </c>
      <c r="J195" s="15">
        <f>IF(OR(J194="",F194=""),"",IF(F194&lt;=0,"",IFERROR(J194/F194-1,"")))</f>
        <v/>
      </c>
      <c r="M195" s="15">
        <f>IF(OR(M194="",I194=""),"",IF(I194&lt;=0,"",IFERROR(M194/I194-1,"")))</f>
        <v/>
      </c>
      <c r="N195" s="15">
        <f>IF(OR(N194="",J194=""),"",IF(J194&lt;=0,"",IFERROR(N194/J194-1,"")))</f>
        <v/>
      </c>
      <c r="V195" s="15">
        <f>IF(OR(V194="",U194=""),"",IF(U194&lt;=0,"",IFERROR(V194/U194-1,"")))</f>
        <v/>
      </c>
      <c r="W195" s="15">
        <f>IF(OR(W194="",V194=""),"",IF(V194&lt;=0,"",IFERROR(W194/V194-1,"")))</f>
        <v/>
      </c>
      <c r="X195" s="15">
        <f>IF(OR(X194="",W194=""),"",IF(W194&lt;=0,"",IFERROR(X194/W194-1,"")))</f>
        <v/>
      </c>
    </row>
    <row r="196">
      <c r="A196" s="18" t="inlineStr">
        <is>
          <t>EuropeReportableSegmentsMember · 계</t>
        </is>
      </c>
      <c r="E196" s="20" t="n">
        <v>6856</v>
      </c>
      <c r="F196" s="20" t="n">
        <v>4544</v>
      </c>
      <c r="I196" s="20" t="n">
        <v>8901</v>
      </c>
      <c r="J196" s="20" t="n">
        <v>4717</v>
      </c>
      <c r="M196" s="20" t="n">
        <v>9053</v>
      </c>
      <c r="N196" s="20" t="n">
        <v>6676</v>
      </c>
      <c r="V196" s="20" t="n">
        <v>6856</v>
      </c>
      <c r="W196" s="20" t="n">
        <v>8901</v>
      </c>
      <c r="X196" s="20" t="n">
        <v>9053</v>
      </c>
    </row>
    <row r="197">
      <c r="A197" s="43" t="inlineStr">
        <is>
          <t>YoY</t>
        </is>
      </c>
      <c r="B197" s="3" t="inlineStr">
        <is>
          <t>전년 같은 분기·전년 대비</t>
        </is>
      </c>
      <c r="I197" s="15">
        <f>IF(OR(I196="",E196=""),"",IF(E196&lt;=0,"",IFERROR(I196/E196-1,"")))</f>
        <v/>
      </c>
      <c r="J197" s="15">
        <f>IF(OR(J196="",F196=""),"",IF(F196&lt;=0,"",IFERROR(J196/F196-1,"")))</f>
        <v/>
      </c>
      <c r="M197" s="15">
        <f>IF(OR(M196="",I196=""),"",IF(I196&lt;=0,"",IFERROR(M196/I196-1,"")))</f>
        <v/>
      </c>
      <c r="N197" s="15">
        <f>IF(OR(N196="",J196=""),"",IF(J196&lt;=0,"",IFERROR(N196/J196-1,"")))</f>
        <v/>
      </c>
      <c r="V197" s="15">
        <f>IF(OR(V196="",U196=""),"",IF(U196&lt;=0,"",IFERROR(V196/U196-1,"")))</f>
        <v/>
      </c>
      <c r="W197" s="15">
        <f>IF(OR(W196="",V196=""),"",IF(V196&lt;=0,"",IFERROR(W196/V196-1,"")))</f>
        <v/>
      </c>
      <c r="X197" s="15">
        <f>IF(OR(X196="",W196=""),"",IF(W196&lt;=0,"",IFERROR(X196/W196-1,"")))</f>
        <v/>
      </c>
    </row>
    <row r="198">
      <c r="A198" s="18" t="inlineStr">
        <is>
          <t>ChinaAreaReportableSegmentMember · 계</t>
        </is>
      </c>
      <c r="E198" s="20" t="n">
        <v>4181</v>
      </c>
      <c r="F198" s="20" t="n">
        <v>4202</v>
      </c>
      <c r="I198" s="20" t="n">
        <v>5005</v>
      </c>
      <c r="J198" s="20" t="n">
        <v>2001</v>
      </c>
      <c r="M198" s="20" t="n">
        <v>4610</v>
      </c>
      <c r="N198" s="20" t="n">
        <v>3517</v>
      </c>
      <c r="V198" s="20" t="n">
        <v>4181</v>
      </c>
      <c r="W198" s="20" t="n">
        <v>5005</v>
      </c>
      <c r="X198" s="20" t="n">
        <v>4610</v>
      </c>
    </row>
    <row r="199">
      <c r="A199" s="43" t="inlineStr">
        <is>
          <t>YoY</t>
        </is>
      </c>
      <c r="B199" s="3" t="inlineStr">
        <is>
          <t>전년 같은 분기·전년 대비</t>
        </is>
      </c>
      <c r="I199" s="15">
        <f>IF(OR(I198="",E198=""),"",IF(E198&lt;=0,"",IFERROR(I198/E198-1,"")))</f>
        <v/>
      </c>
      <c r="J199" s="15">
        <f>IF(OR(J198="",F198=""),"",IF(F198&lt;=0,"",IFERROR(J198/F198-1,"")))</f>
        <v/>
      </c>
      <c r="M199" s="15">
        <f>IF(OR(M198="",I198=""),"",IF(I198&lt;=0,"",IFERROR(M198/I198-1,"")))</f>
        <v/>
      </c>
      <c r="N199" s="15">
        <f>IF(OR(N198="",J198=""),"",IF(J198&lt;=0,"",IFERROR(N198/J198-1,"")))</f>
        <v/>
      </c>
      <c r="V199" s="15">
        <f>IF(OR(V198="",U198=""),"",IF(U198&lt;=0,"",IFERROR(V198/U198-1,"")))</f>
        <v/>
      </c>
      <c r="W199" s="15">
        <f>IF(OR(W198="",V198=""),"",IF(V198&lt;=0,"",IFERROR(W198/V198-1,"")))</f>
        <v/>
      </c>
      <c r="X199" s="15">
        <f>IF(OR(X198="",W198=""),"",IF(W198&lt;=0,"",IFERROR(X198/W198-1,"")))</f>
        <v/>
      </c>
    </row>
    <row r="200">
      <c r="A200" s="18" t="inlineStr">
        <is>
          <t>보고부문 합계 · 계</t>
        </is>
      </c>
      <c r="E200" s="20" t="n">
        <v>40031</v>
      </c>
      <c r="F200" s="20" t="n">
        <v>29805</v>
      </c>
      <c r="I200" s="20" t="n">
        <v>42213</v>
      </c>
      <c r="J200" s="20" t="n">
        <v>28437</v>
      </c>
      <c r="M200" s="20" t="n">
        <v>39280</v>
      </c>
      <c r="N200" s="20" t="n">
        <v>31028</v>
      </c>
      <c r="V200" s="20" t="n">
        <v>40031</v>
      </c>
      <c r="W200" s="20" t="n">
        <v>42213</v>
      </c>
      <c r="X200" s="20" t="n">
        <v>39280</v>
      </c>
    </row>
    <row r="201">
      <c r="A201" s="43" t="inlineStr">
        <is>
          <t>YoY</t>
        </is>
      </c>
      <c r="B201" s="3" t="inlineStr">
        <is>
          <t>전년 같은 분기·전년 대비</t>
        </is>
      </c>
      <c r="I201" s="15">
        <f>IF(OR(I200="",E200=""),"",IF(E200&lt;=0,"",IFERROR(I200/E200-1,"")))</f>
        <v/>
      </c>
      <c r="J201" s="15">
        <f>IF(OR(J200="",F200=""),"",IF(F200&lt;=0,"",IFERROR(J200/F200-1,"")))</f>
        <v/>
      </c>
      <c r="M201" s="15">
        <f>IF(OR(M200="",I200=""),"",IF(I200&lt;=0,"",IFERROR(M200/I200-1,"")))</f>
        <v/>
      </c>
      <c r="N201" s="15">
        <f>IF(OR(N200="",J200=""),"",IF(J200&lt;=0,"",IFERROR(N200/J200-1,"")))</f>
        <v/>
      </c>
      <c r="V201" s="15">
        <f>IF(OR(V200="",U200=""),"",IF(U200&lt;=0,"",IFERROR(V200/U200-1,"")))</f>
        <v/>
      </c>
      <c r="W201" s="15">
        <f>IF(OR(W200="",V200=""),"",IF(V200&lt;=0,"",IFERROR(W200/V200-1,"")))</f>
        <v/>
      </c>
      <c r="X201" s="15">
        <f>IF(OR(X200="",W200=""),"",IF(W200&lt;=0,"",IFERROR(X200/W200-1,"")))</f>
        <v/>
      </c>
    </row>
    <row r="202">
      <c r="A202" s="18" t="inlineStr">
        <is>
          <t>기타 · 계</t>
        </is>
      </c>
      <c r="E202" s="20" t="n">
        <v>1659</v>
      </c>
      <c r="F202" s="20" t="n">
        <v>970</v>
      </c>
      <c r="I202" s="20" t="n">
        <v>1383</v>
      </c>
      <c r="J202" s="20" t="n">
        <v>1746</v>
      </c>
      <c r="M202" s="20" t="n">
        <v>1495</v>
      </c>
      <c r="N202" s="20" t="n">
        <v>1334</v>
      </c>
      <c r="V202" s="20" t="n">
        <v>1659</v>
      </c>
      <c r="W202" s="20" t="n">
        <v>1383</v>
      </c>
      <c r="X202" s="20" t="n">
        <v>1495</v>
      </c>
    </row>
    <row r="203">
      <c r="A203" s="43" t="inlineStr">
        <is>
          <t>YoY</t>
        </is>
      </c>
      <c r="B203" s="3" t="inlineStr">
        <is>
          <t>전년 같은 분기·전년 대비</t>
        </is>
      </c>
      <c r="I203" s="15">
        <f>IF(OR(I202="",E202=""),"",IF(E202&lt;=0,"",IFERROR(I202/E202-1,"")))</f>
        <v/>
      </c>
      <c r="J203" s="15">
        <f>IF(OR(J202="",F202=""),"",IF(F202&lt;=0,"",IFERROR(J202/F202-1,"")))</f>
        <v/>
      </c>
      <c r="M203" s="15">
        <f>IF(OR(M202="",I202=""),"",IF(I202&lt;=0,"",IFERROR(M202/I202-1,"")))</f>
        <v/>
      </c>
      <c r="N203" s="15">
        <f>IF(OR(N202="",J202=""),"",IF(J202&lt;=0,"",IFERROR(N202/J202-1,"")))</f>
        <v/>
      </c>
      <c r="V203" s="15">
        <f>IF(OR(V202="",U202=""),"",IF(U202&lt;=0,"",IFERROR(V202/U202-1,"")))</f>
        <v/>
      </c>
      <c r="W203" s="15">
        <f>IF(OR(W202="",V202=""),"",IF(V202&lt;=0,"",IFERROR(W202/V202-1,"")))</f>
        <v/>
      </c>
      <c r="X203" s="15">
        <f>IF(OR(X202="",W202=""),"",IF(W202&lt;=0,"",IFERROR(X202/W202-1,"")))</f>
        <v/>
      </c>
    </row>
    <row r="204">
      <c r="A204" s="18" t="inlineStr">
        <is>
          <t>합계 · 계</t>
        </is>
      </c>
      <c r="E204" s="20" t="n">
        <v>41690</v>
      </c>
      <c r="F204" s="20" t="n">
        <v>30776</v>
      </c>
      <c r="I204" s="20" t="n">
        <v>43596</v>
      </c>
      <c r="J204" s="20" t="n">
        <v>30184</v>
      </c>
      <c r="M204" s="20" t="n">
        <v>40774</v>
      </c>
      <c r="N204" s="20" t="n">
        <v>32363</v>
      </c>
      <c r="V204" s="20" t="n">
        <v>41690</v>
      </c>
      <c r="W204" s="20" t="n">
        <v>43596</v>
      </c>
      <c r="X204" s="20" t="n">
        <v>40774</v>
      </c>
    </row>
    <row r="205">
      <c r="A205" s="43" t="inlineStr">
        <is>
          <t>YoY</t>
        </is>
      </c>
      <c r="B205" s="3" t="inlineStr">
        <is>
          <t>전년 같은 분기·전년 대비</t>
        </is>
      </c>
      <c r="I205" s="15">
        <f>IF(OR(I204="",E204=""),"",IF(E204&lt;=0,"",IFERROR(I204/E204-1,"")))</f>
        <v/>
      </c>
      <c r="J205" s="15">
        <f>IF(OR(J204="",F204=""),"",IF(F204&lt;=0,"",IFERROR(J204/F204-1,"")))</f>
        <v/>
      </c>
      <c r="M205" s="15">
        <f>IF(OR(M204="",I204=""),"",IF(I204&lt;=0,"",IFERROR(M204/I204-1,"")))</f>
        <v/>
      </c>
      <c r="N205" s="15">
        <f>IF(OR(N204="",J204=""),"",IF(J204&lt;=0,"",IFERROR(N204/J204-1,"")))</f>
        <v/>
      </c>
      <c r="V205" s="15">
        <f>IF(OR(V204="",U204=""),"",IF(U204&lt;=0,"",IFERROR(V204/U204-1,"")))</f>
        <v/>
      </c>
      <c r="W205" s="15">
        <f>IF(OR(W204="",V204=""),"",IF(V204&lt;=0,"",IFERROR(W204/V204-1,"")))</f>
        <v/>
      </c>
      <c r="X205" s="15">
        <f>IF(OR(X204="",W204=""),"",IF(W204&lt;=0,"",IFERROR(X204/W204-1,"")))</f>
        <v/>
      </c>
    </row>
    <row r="206">
      <c r="A206" s="18" t="inlineStr">
        <is>
          <t>조정액 · 계</t>
        </is>
      </c>
      <c r="I206" s="20" t="n">
        <v>1766</v>
      </c>
      <c r="J206" s="20" t="n">
        <v>568</v>
      </c>
      <c r="M206" s="20" t="n">
        <v>1433</v>
      </c>
      <c r="N206" s="20" t="n">
        <v>1742</v>
      </c>
      <c r="W206" s="20" t="n">
        <v>1766</v>
      </c>
      <c r="X206" s="20" t="n">
        <v>1433</v>
      </c>
    </row>
    <row r="207">
      <c r="A207" s="18" t="inlineStr">
        <is>
          <t>EntityTotalMember · 계</t>
        </is>
      </c>
      <c r="J207" s="20" t="n">
        <v>30752</v>
      </c>
      <c r="N207" s="20" t="n">
        <v>34105</v>
      </c>
    </row>
    <row r="208">
      <c r="A208" s="18" t="inlineStr">
        <is>
          <t>JapanReportableSegmentsMember · 부문 이익(손실)</t>
        </is>
      </c>
      <c r="E208" s="20" t="n">
        <v>2369</v>
      </c>
      <c r="F208" s="20" t="n">
        <v>1321</v>
      </c>
      <c r="I208" s="20" t="n">
        <v>2770</v>
      </c>
      <c r="J208" s="20" t="n">
        <v>2013</v>
      </c>
      <c r="M208" s="20" t="n">
        <v>1566</v>
      </c>
      <c r="N208" s="20" t="n">
        <v>2069</v>
      </c>
      <c r="V208" s="20" t="n">
        <v>2369</v>
      </c>
      <c r="W208" s="20" t="n">
        <v>2770</v>
      </c>
      <c r="X208" s="20" t="n">
        <v>1566</v>
      </c>
    </row>
    <row r="209">
      <c r="A209" s="43" t="inlineStr">
        <is>
          <t>OPM</t>
        </is>
      </c>
      <c r="B209" s="3" t="inlineStr">
        <is>
          <t>영업이익 ÷ 매출</t>
        </is>
      </c>
      <c r="E209" s="15">
        <f>IF(OR(E208="",E192=""),"",IF(E192&lt;=0,"",IFERROR(E208/E192,"")))</f>
        <v/>
      </c>
      <c r="F209" s="15">
        <f>IF(OR(F208="",F192=""),"",IF(F192&lt;=0,"",IFERROR(F208/F192,"")))</f>
        <v/>
      </c>
      <c r="I209" s="15">
        <f>IF(OR(I208="",I192=""),"",IF(I192&lt;=0,"",IFERROR(I208/I192,"")))</f>
        <v/>
      </c>
      <c r="J209" s="15">
        <f>IF(OR(J208="",J192=""),"",IF(J192&lt;=0,"",IFERROR(J208/J192,"")))</f>
        <v/>
      </c>
      <c r="M209" s="15">
        <f>IF(OR(M208="",M192=""),"",IF(M192&lt;=0,"",IFERROR(M208/M192,"")))</f>
        <v/>
      </c>
      <c r="N209" s="15">
        <f>IF(OR(N208="",N192=""),"",IF(N192&lt;=0,"",IFERROR(N208/N192,"")))</f>
        <v/>
      </c>
      <c r="V209" s="15">
        <f>IF(OR(V208="",V192=""),"",IF(V192&lt;=0,"",IFERROR(V208/V192,"")))</f>
        <v/>
      </c>
      <c r="W209" s="15">
        <f>IF(OR(W208="",W192=""),"",IF(W192&lt;=0,"",IFERROR(W208/W192,"")))</f>
        <v/>
      </c>
      <c r="X209" s="15">
        <f>IF(OR(X208="",X192=""),"",IF(X192&lt;=0,"",IFERROR(X208/X192,"")))</f>
        <v/>
      </c>
    </row>
    <row r="210">
      <c r="A210" s="43" t="inlineStr">
        <is>
          <t>YoY</t>
        </is>
      </c>
      <c r="B210" s="3" t="inlineStr">
        <is>
          <t>전년 같은 분기·전년 대비</t>
        </is>
      </c>
      <c r="I210" s="15">
        <f>IF(OR(I208="",E208=""),"",IF(E208&lt;=0,"",IFERROR(I208/E208-1,"")))</f>
        <v/>
      </c>
      <c r="J210" s="15">
        <f>IF(OR(J208="",F208=""),"",IF(F208&lt;=0,"",IFERROR(J208/F208-1,"")))</f>
        <v/>
      </c>
      <c r="M210" s="15">
        <f>IF(OR(M208="",I208=""),"",IF(I208&lt;=0,"",IFERROR(M208/I208-1,"")))</f>
        <v/>
      </c>
      <c r="N210" s="15">
        <f>IF(OR(N208="",J208=""),"",IF(J208&lt;=0,"",IFERROR(N208/J208-1,"")))</f>
        <v/>
      </c>
      <c r="V210" s="15">
        <f>IF(OR(V208="",U208=""),"",IF(U208&lt;=0,"",IFERROR(V208/U208-1,"")))</f>
        <v/>
      </c>
      <c r="W210" s="15">
        <f>IF(OR(W208="",V208=""),"",IF(V208&lt;=0,"",IFERROR(W208/V208-1,"")))</f>
        <v/>
      </c>
      <c r="X210" s="15">
        <f>IF(OR(X208="",W208=""),"",IF(W208&lt;=0,"",IFERROR(X208/W208-1,"")))</f>
        <v/>
      </c>
    </row>
    <row r="211">
      <c r="A211" s="18" t="inlineStr">
        <is>
          <t>NorthAmericaReportableSegmentsMember · 부문 이익(손실)</t>
        </is>
      </c>
      <c r="E211" s="20" t="n">
        <v>672</v>
      </c>
      <c r="F211" s="20" t="n">
        <v>-22</v>
      </c>
      <c r="I211" s="20" t="n">
        <v>208</v>
      </c>
      <c r="J211" s="20" t="n">
        <v>-40</v>
      </c>
      <c r="M211" s="20" t="n">
        <v>109</v>
      </c>
      <c r="N211" s="20" t="n">
        <v>-159</v>
      </c>
      <c r="V211" s="20" t="n">
        <v>672</v>
      </c>
      <c r="W211" s="20" t="n">
        <v>208</v>
      </c>
      <c r="X211" s="20" t="n">
        <v>109</v>
      </c>
    </row>
    <row r="212">
      <c r="A212" s="43" t="inlineStr">
        <is>
          <t>OPM</t>
        </is>
      </c>
      <c r="B212" s="3" t="inlineStr">
        <is>
          <t>영업이익 ÷ 매출</t>
        </is>
      </c>
      <c r="E212" s="15">
        <f>IF(OR(E211="",E194=""),"",IF(E194&lt;=0,"",IFERROR(E211/E194,"")))</f>
        <v/>
      </c>
      <c r="F212" s="15">
        <f>IF(OR(F211="",F194=""),"",IF(F194&lt;=0,"",IFERROR(F211/F194,"")))</f>
        <v/>
      </c>
      <c r="I212" s="15">
        <f>IF(OR(I211="",I194=""),"",IF(I194&lt;=0,"",IFERROR(I211/I194,"")))</f>
        <v/>
      </c>
      <c r="J212" s="15">
        <f>IF(OR(J211="",J194=""),"",IF(J194&lt;=0,"",IFERROR(J211/J194,"")))</f>
        <v/>
      </c>
      <c r="M212" s="15">
        <f>IF(OR(M211="",M194=""),"",IF(M194&lt;=0,"",IFERROR(M211/M194,"")))</f>
        <v/>
      </c>
      <c r="N212" s="15">
        <f>IF(OR(N211="",N194=""),"",IF(N194&lt;=0,"",IFERROR(N211/N194,"")))</f>
        <v/>
      </c>
      <c r="V212" s="15">
        <f>IF(OR(V211="",V194=""),"",IF(V194&lt;=0,"",IFERROR(V211/V194,"")))</f>
        <v/>
      </c>
      <c r="W212" s="15">
        <f>IF(OR(W211="",W194=""),"",IF(W194&lt;=0,"",IFERROR(W211/W194,"")))</f>
        <v/>
      </c>
      <c r="X212" s="15">
        <f>IF(OR(X211="",X194=""),"",IF(X194&lt;=0,"",IFERROR(X211/X194,"")))</f>
        <v/>
      </c>
    </row>
    <row r="213">
      <c r="A213" s="43" t="inlineStr">
        <is>
          <t>YoY</t>
        </is>
      </c>
      <c r="B213" s="3" t="inlineStr">
        <is>
          <t>전년 같은 분기·전년 대비</t>
        </is>
      </c>
      <c r="I213" s="15">
        <f>IF(OR(I211="",E211=""),"",IF(E211&lt;=0,"",IFERROR(I211/E211-1,"")))</f>
        <v/>
      </c>
      <c r="J213" s="15">
        <f>IF(OR(J211="",F211=""),"",IF(F211&lt;=0,"",IFERROR(J211/F211-1,"")))</f>
        <v/>
      </c>
      <c r="M213" s="15">
        <f>IF(OR(M211="",I211=""),"",IF(I211&lt;=0,"",IFERROR(M211/I211-1,"")))</f>
        <v/>
      </c>
      <c r="N213" s="15">
        <f>IF(OR(N211="",J211=""),"",IF(J211&lt;=0,"",IFERROR(N211/J211-1,"")))</f>
        <v/>
      </c>
      <c r="V213" s="15">
        <f>IF(OR(V211="",U211=""),"",IF(U211&lt;=0,"",IFERROR(V211/U211-1,"")))</f>
        <v/>
      </c>
      <c r="W213" s="15">
        <f>IF(OR(W211="",V211=""),"",IF(V211&lt;=0,"",IFERROR(W211/V211-1,"")))</f>
        <v/>
      </c>
      <c r="X213" s="15">
        <f>IF(OR(X211="",W211=""),"",IF(W211&lt;=0,"",IFERROR(X211/W211-1,"")))</f>
        <v/>
      </c>
    </row>
    <row r="214">
      <c r="A214" s="18" t="inlineStr">
        <is>
          <t>EuropeReportableSegmentsMember · 부문 이익(손실)</t>
        </is>
      </c>
      <c r="E214" s="20" t="n">
        <v>369</v>
      </c>
      <c r="F214" s="20" t="n">
        <v>-1072</v>
      </c>
      <c r="I214" s="20" t="n">
        <v>534</v>
      </c>
      <c r="J214" s="20" t="n">
        <v>-1035</v>
      </c>
      <c r="M214" s="20" t="n">
        <v>216</v>
      </c>
      <c r="N214" s="20" t="n">
        <v>-484</v>
      </c>
      <c r="V214" s="20" t="n">
        <v>369</v>
      </c>
      <c r="W214" s="20" t="n">
        <v>534</v>
      </c>
      <c r="X214" s="20" t="n">
        <v>216</v>
      </c>
    </row>
    <row r="215">
      <c r="A215" s="43" t="inlineStr">
        <is>
          <t>OPM</t>
        </is>
      </c>
      <c r="B215" s="3" t="inlineStr">
        <is>
          <t>영업이익 ÷ 매출</t>
        </is>
      </c>
      <c r="E215" s="15">
        <f>IF(OR(E214="",E196=""),"",IF(E196&lt;=0,"",IFERROR(E214/E196,"")))</f>
        <v/>
      </c>
      <c r="F215" s="15">
        <f>IF(OR(F214="",F196=""),"",IF(F196&lt;=0,"",IFERROR(F214/F196,"")))</f>
        <v/>
      </c>
      <c r="I215" s="15">
        <f>IF(OR(I214="",I196=""),"",IF(I196&lt;=0,"",IFERROR(I214/I196,"")))</f>
        <v/>
      </c>
      <c r="J215" s="15">
        <f>IF(OR(J214="",J196=""),"",IF(J196&lt;=0,"",IFERROR(J214/J196,"")))</f>
        <v/>
      </c>
      <c r="M215" s="15">
        <f>IF(OR(M214="",M196=""),"",IF(M196&lt;=0,"",IFERROR(M214/M196,"")))</f>
        <v/>
      </c>
      <c r="N215" s="15">
        <f>IF(OR(N214="",N196=""),"",IF(N196&lt;=0,"",IFERROR(N214/N196,"")))</f>
        <v/>
      </c>
      <c r="V215" s="15">
        <f>IF(OR(V214="",V196=""),"",IF(V196&lt;=0,"",IFERROR(V214/V196,"")))</f>
        <v/>
      </c>
      <c r="W215" s="15">
        <f>IF(OR(W214="",W196=""),"",IF(W196&lt;=0,"",IFERROR(W214/W196,"")))</f>
        <v/>
      </c>
      <c r="X215" s="15">
        <f>IF(OR(X214="",X196=""),"",IF(X196&lt;=0,"",IFERROR(X214/X196,"")))</f>
        <v/>
      </c>
    </row>
    <row r="216">
      <c r="A216" s="43" t="inlineStr">
        <is>
          <t>YoY</t>
        </is>
      </c>
      <c r="B216" s="3" t="inlineStr">
        <is>
          <t>전년 같은 분기·전년 대비</t>
        </is>
      </c>
      <c r="I216" s="15">
        <f>IF(OR(I214="",E214=""),"",IF(E214&lt;=0,"",IFERROR(I214/E214-1,"")))</f>
        <v/>
      </c>
      <c r="J216" s="15">
        <f>IF(OR(J214="",F214=""),"",IF(F214&lt;=0,"",IFERROR(J214/F214-1,"")))</f>
        <v/>
      </c>
      <c r="M216" s="15">
        <f>IF(OR(M214="",I214=""),"",IF(I214&lt;=0,"",IFERROR(M214/I214-1,"")))</f>
        <v/>
      </c>
      <c r="N216" s="15">
        <f>IF(OR(N214="",J214=""),"",IF(J214&lt;=0,"",IFERROR(N214/J214-1,"")))</f>
        <v/>
      </c>
      <c r="V216" s="15">
        <f>IF(OR(V214="",U214=""),"",IF(U214&lt;=0,"",IFERROR(V214/U214-1,"")))</f>
        <v/>
      </c>
      <c r="W216" s="15">
        <f>IF(OR(W214="",V214=""),"",IF(V214&lt;=0,"",IFERROR(W214/V214-1,"")))</f>
        <v/>
      </c>
      <c r="X216" s="15">
        <f>IF(OR(X214="",W214=""),"",IF(W214&lt;=0,"",IFERROR(X214/W214-1,"")))</f>
        <v/>
      </c>
    </row>
    <row r="217">
      <c r="A217" s="18" t="inlineStr">
        <is>
          <t>ChinaAreaReportableSegmentMember · 부문 이익(손실)</t>
        </is>
      </c>
      <c r="E217" s="20" t="n">
        <v>-144</v>
      </c>
      <c r="F217" s="20" t="n">
        <v>75</v>
      </c>
      <c r="I217" s="20" t="n">
        <v>245</v>
      </c>
      <c r="J217" s="20" t="n">
        <v>-119</v>
      </c>
      <c r="M217" s="20" t="n">
        <v>121</v>
      </c>
      <c r="N217" s="20" t="n">
        <v>49</v>
      </c>
      <c r="V217" s="20" t="n">
        <v>-144</v>
      </c>
      <c r="W217" s="20" t="n">
        <v>245</v>
      </c>
      <c r="X217" s="20" t="n">
        <v>121</v>
      </c>
    </row>
    <row r="218">
      <c r="A218" s="43" t="inlineStr">
        <is>
          <t>OPM</t>
        </is>
      </c>
      <c r="B218" s="3" t="inlineStr">
        <is>
          <t>영업이익 ÷ 매출</t>
        </is>
      </c>
      <c r="E218" s="15">
        <f>IF(OR(E217="",E198=""),"",IF(E198&lt;=0,"",IFERROR(E217/E198,"")))</f>
        <v/>
      </c>
      <c r="F218" s="15">
        <f>IF(OR(F217="",F198=""),"",IF(F198&lt;=0,"",IFERROR(F217/F198,"")))</f>
        <v/>
      </c>
      <c r="I218" s="15">
        <f>IF(OR(I217="",I198=""),"",IF(I198&lt;=0,"",IFERROR(I217/I198,"")))</f>
        <v/>
      </c>
      <c r="J218" s="15">
        <f>IF(OR(J217="",J198=""),"",IF(J198&lt;=0,"",IFERROR(J217/J198,"")))</f>
        <v/>
      </c>
      <c r="M218" s="15">
        <f>IF(OR(M217="",M198=""),"",IF(M198&lt;=0,"",IFERROR(M217/M198,"")))</f>
        <v/>
      </c>
      <c r="N218" s="15">
        <f>IF(OR(N217="",N198=""),"",IF(N198&lt;=0,"",IFERROR(N217/N198,"")))</f>
        <v/>
      </c>
      <c r="V218" s="15">
        <f>IF(OR(V217="",V198=""),"",IF(V198&lt;=0,"",IFERROR(V217/V198,"")))</f>
        <v/>
      </c>
      <c r="W218" s="15">
        <f>IF(OR(W217="",W198=""),"",IF(W198&lt;=0,"",IFERROR(W217/W198,"")))</f>
        <v/>
      </c>
      <c r="X218" s="15">
        <f>IF(OR(X217="",X198=""),"",IF(X198&lt;=0,"",IFERROR(X217/X198,"")))</f>
        <v/>
      </c>
    </row>
    <row r="219">
      <c r="A219" s="43" t="inlineStr">
        <is>
          <t>YoY</t>
        </is>
      </c>
      <c r="B219" s="3" t="inlineStr">
        <is>
          <t>전년 같은 분기·전년 대비</t>
        </is>
      </c>
      <c r="I219" s="15">
        <f>IF(OR(I217="",E217=""),"",IF(E217&lt;=0,"",IFERROR(I217/E217-1,"")))</f>
        <v/>
      </c>
      <c r="J219" s="15">
        <f>IF(OR(J217="",F217=""),"",IF(F217&lt;=0,"",IFERROR(J217/F217-1,"")))</f>
        <v/>
      </c>
      <c r="M219" s="15">
        <f>IF(OR(M217="",I217=""),"",IF(I217&lt;=0,"",IFERROR(M217/I217-1,"")))</f>
        <v/>
      </c>
      <c r="N219" s="15">
        <f>IF(OR(N217="",J217=""),"",IF(J217&lt;=0,"",IFERROR(N217/J217-1,"")))</f>
        <v/>
      </c>
      <c r="V219" s="15">
        <f>IF(OR(V217="",U217=""),"",IF(U217&lt;=0,"",IFERROR(V217/U217-1,"")))</f>
        <v/>
      </c>
      <c r="W219" s="15">
        <f>IF(OR(W217="",V217=""),"",IF(V217&lt;=0,"",IFERROR(W217/V217-1,"")))</f>
        <v/>
      </c>
      <c r="X219" s="15">
        <f>IF(OR(X217="",W217=""),"",IF(W217&lt;=0,"",IFERROR(X217/W217-1,"")))</f>
        <v/>
      </c>
    </row>
    <row r="220">
      <c r="A220" s="18" t="inlineStr">
        <is>
          <t>보고부문 합계 · 부문 이익(손실)</t>
        </is>
      </c>
      <c r="E220" s="20" t="n">
        <v>3267</v>
      </c>
      <c r="F220" s="20" t="n">
        <v>302</v>
      </c>
      <c r="I220" s="20" t="n">
        <v>3757</v>
      </c>
      <c r="J220" s="20" t="n">
        <v>817</v>
      </c>
      <c r="M220" s="20" t="n">
        <v>2011</v>
      </c>
      <c r="N220" s="20" t="n">
        <v>1475</v>
      </c>
      <c r="V220" s="20" t="n">
        <v>3267</v>
      </c>
      <c r="W220" s="20" t="n">
        <v>3757</v>
      </c>
      <c r="X220" s="20" t="n">
        <v>2011</v>
      </c>
    </row>
    <row r="221">
      <c r="A221" s="43" t="inlineStr">
        <is>
          <t>OPM</t>
        </is>
      </c>
      <c r="B221" s="3" t="inlineStr">
        <is>
          <t>영업이익 ÷ 매출</t>
        </is>
      </c>
      <c r="E221" s="15">
        <f>IF(OR(E220="",E200=""),"",IF(E200&lt;=0,"",IFERROR(E220/E200,"")))</f>
        <v/>
      </c>
      <c r="F221" s="15">
        <f>IF(OR(F220="",F200=""),"",IF(F200&lt;=0,"",IFERROR(F220/F200,"")))</f>
        <v/>
      </c>
      <c r="I221" s="15">
        <f>IF(OR(I220="",I200=""),"",IF(I200&lt;=0,"",IFERROR(I220/I200,"")))</f>
        <v/>
      </c>
      <c r="J221" s="15">
        <f>IF(OR(J220="",J200=""),"",IF(J200&lt;=0,"",IFERROR(J220/J200,"")))</f>
        <v/>
      </c>
      <c r="M221" s="15">
        <f>IF(OR(M220="",M200=""),"",IF(M200&lt;=0,"",IFERROR(M220/M200,"")))</f>
        <v/>
      </c>
      <c r="N221" s="15">
        <f>IF(OR(N220="",N200=""),"",IF(N200&lt;=0,"",IFERROR(N220/N200,"")))</f>
        <v/>
      </c>
      <c r="V221" s="15">
        <f>IF(OR(V220="",V200=""),"",IF(V200&lt;=0,"",IFERROR(V220/V200,"")))</f>
        <v/>
      </c>
      <c r="W221" s="15">
        <f>IF(OR(W220="",W200=""),"",IF(W200&lt;=0,"",IFERROR(W220/W200,"")))</f>
        <v/>
      </c>
      <c r="X221" s="15">
        <f>IF(OR(X220="",X200=""),"",IF(X200&lt;=0,"",IFERROR(X220/X200,"")))</f>
        <v/>
      </c>
    </row>
    <row r="222">
      <c r="A222" s="43" t="inlineStr">
        <is>
          <t>YoY</t>
        </is>
      </c>
      <c r="B222" s="3" t="inlineStr">
        <is>
          <t>전년 같은 분기·전년 대비</t>
        </is>
      </c>
      <c r="I222" s="15">
        <f>IF(OR(I220="",E220=""),"",IF(E220&lt;=0,"",IFERROR(I220/E220-1,"")))</f>
        <v/>
      </c>
      <c r="J222" s="15">
        <f>IF(OR(J220="",F220=""),"",IF(F220&lt;=0,"",IFERROR(J220/F220-1,"")))</f>
        <v/>
      </c>
      <c r="M222" s="15">
        <f>IF(OR(M220="",I220=""),"",IF(I220&lt;=0,"",IFERROR(M220/I220-1,"")))</f>
        <v/>
      </c>
      <c r="N222" s="15">
        <f>IF(OR(N220="",J220=""),"",IF(J220&lt;=0,"",IFERROR(N220/J220-1,"")))</f>
        <v/>
      </c>
      <c r="V222" s="15">
        <f>IF(OR(V220="",U220=""),"",IF(U220&lt;=0,"",IFERROR(V220/U220-1,"")))</f>
        <v/>
      </c>
      <c r="W222" s="15">
        <f>IF(OR(W220="",V220=""),"",IF(V220&lt;=0,"",IFERROR(W220/V220-1,"")))</f>
        <v/>
      </c>
      <c r="X222" s="15">
        <f>IF(OR(X220="",W220=""),"",IF(W220&lt;=0,"",IFERROR(X220/W220-1,"")))</f>
        <v/>
      </c>
    </row>
    <row r="223">
      <c r="A223" s="18" t="inlineStr">
        <is>
          <t>기타 · 부문 이익(손실)</t>
        </is>
      </c>
      <c r="E223" s="20" t="n">
        <v>202</v>
      </c>
      <c r="F223" s="20" t="n">
        <v>61</v>
      </c>
      <c r="I223" s="20" t="n">
        <v>39</v>
      </c>
      <c r="J223" s="20" t="n">
        <v>150</v>
      </c>
      <c r="M223" s="20" t="n">
        <v>12</v>
      </c>
      <c r="N223" s="20" t="n">
        <v>82</v>
      </c>
      <c r="V223" s="20" t="n">
        <v>202</v>
      </c>
      <c r="W223" s="20" t="n">
        <v>39</v>
      </c>
      <c r="X223" s="20" t="n">
        <v>12</v>
      </c>
    </row>
    <row r="224">
      <c r="A224" s="43" t="inlineStr">
        <is>
          <t>OPM</t>
        </is>
      </c>
      <c r="B224" s="3" t="inlineStr">
        <is>
          <t>영업이익 ÷ 매출</t>
        </is>
      </c>
      <c r="E224" s="15">
        <f>IF(OR(E223="",E202=""),"",IF(E202&lt;=0,"",IFERROR(E223/E202,"")))</f>
        <v/>
      </c>
      <c r="F224" s="15">
        <f>IF(OR(F223="",F202=""),"",IF(F202&lt;=0,"",IFERROR(F223/F202,"")))</f>
        <v/>
      </c>
      <c r="I224" s="15">
        <f>IF(OR(I223="",I202=""),"",IF(I202&lt;=0,"",IFERROR(I223/I202,"")))</f>
        <v/>
      </c>
      <c r="J224" s="15">
        <f>IF(OR(J223="",J202=""),"",IF(J202&lt;=0,"",IFERROR(J223/J202,"")))</f>
        <v/>
      </c>
      <c r="M224" s="15">
        <f>IF(OR(M223="",M202=""),"",IF(M202&lt;=0,"",IFERROR(M223/M202,"")))</f>
        <v/>
      </c>
      <c r="N224" s="15">
        <f>IF(OR(N223="",N202=""),"",IF(N202&lt;=0,"",IFERROR(N223/N202,"")))</f>
        <v/>
      </c>
      <c r="V224" s="15">
        <f>IF(OR(V223="",V202=""),"",IF(V202&lt;=0,"",IFERROR(V223/V202,"")))</f>
        <v/>
      </c>
      <c r="W224" s="15">
        <f>IF(OR(W223="",W202=""),"",IF(W202&lt;=0,"",IFERROR(W223/W202,"")))</f>
        <v/>
      </c>
      <c r="X224" s="15">
        <f>IF(OR(X223="",X202=""),"",IF(X202&lt;=0,"",IFERROR(X223/X202,"")))</f>
        <v/>
      </c>
    </row>
    <row r="225">
      <c r="A225" s="43" t="inlineStr">
        <is>
          <t>YoY</t>
        </is>
      </c>
      <c r="B225" s="3" t="inlineStr">
        <is>
          <t>전년 같은 분기·전년 대비</t>
        </is>
      </c>
      <c r="I225" s="15">
        <f>IF(OR(I223="",E223=""),"",IF(E223&lt;=0,"",IFERROR(I223/E223-1,"")))</f>
        <v/>
      </c>
      <c r="J225" s="15">
        <f>IF(OR(J223="",F223=""),"",IF(F223&lt;=0,"",IFERROR(J223/F223-1,"")))</f>
        <v/>
      </c>
      <c r="M225" s="15">
        <f>IF(OR(M223="",I223=""),"",IF(I223&lt;=0,"",IFERROR(M223/I223-1,"")))</f>
        <v/>
      </c>
      <c r="N225" s="15">
        <f>IF(OR(N223="",J223=""),"",IF(J223&lt;=0,"",IFERROR(N223/J223-1,"")))</f>
        <v/>
      </c>
      <c r="V225" s="15">
        <f>IF(OR(V223="",U223=""),"",IF(U223&lt;=0,"",IFERROR(V223/U223-1,"")))</f>
        <v/>
      </c>
      <c r="W225" s="15">
        <f>IF(OR(W223="",V223=""),"",IF(V223&lt;=0,"",IFERROR(W223/V223-1,"")))</f>
        <v/>
      </c>
      <c r="X225" s="15">
        <f>IF(OR(X223="",W223=""),"",IF(W223&lt;=0,"",IFERROR(X223/W223-1,"")))</f>
        <v/>
      </c>
    </row>
    <row r="226">
      <c r="A226" s="18" t="inlineStr">
        <is>
          <t>합계 · 부문 이익(손실)</t>
        </is>
      </c>
      <c r="E226" s="20" t="n">
        <v>3469</v>
      </c>
      <c r="F226" s="20" t="n">
        <v>363</v>
      </c>
      <c r="I226" s="20" t="n">
        <v>3796</v>
      </c>
      <c r="J226" s="20" t="n">
        <v>968</v>
      </c>
      <c r="M226" s="20" t="n">
        <v>2023</v>
      </c>
      <c r="N226" s="20" t="n">
        <v>1557</v>
      </c>
      <c r="V226" s="20" t="n">
        <v>3469</v>
      </c>
      <c r="W226" s="20" t="n">
        <v>3796</v>
      </c>
      <c r="X226" s="20" t="n">
        <v>2023</v>
      </c>
    </row>
    <row r="227">
      <c r="A227" s="43" t="inlineStr">
        <is>
          <t>OPM</t>
        </is>
      </c>
      <c r="B227" s="3" t="inlineStr">
        <is>
          <t>영업이익 ÷ 매출</t>
        </is>
      </c>
      <c r="E227" s="15">
        <f>IF(OR(E226="",E204=""),"",IF(E204&lt;=0,"",IFERROR(E226/E204,"")))</f>
        <v/>
      </c>
      <c r="F227" s="15">
        <f>IF(OR(F226="",F204=""),"",IF(F204&lt;=0,"",IFERROR(F226/F204,"")))</f>
        <v/>
      </c>
      <c r="I227" s="15">
        <f>IF(OR(I226="",I204=""),"",IF(I204&lt;=0,"",IFERROR(I226/I204,"")))</f>
        <v/>
      </c>
      <c r="J227" s="15">
        <f>IF(OR(J226="",J204=""),"",IF(J204&lt;=0,"",IFERROR(J226/J204,"")))</f>
        <v/>
      </c>
      <c r="M227" s="15">
        <f>IF(OR(M226="",M204=""),"",IF(M204&lt;=0,"",IFERROR(M226/M204,"")))</f>
        <v/>
      </c>
      <c r="N227" s="15">
        <f>IF(OR(N226="",N204=""),"",IF(N204&lt;=0,"",IFERROR(N226/N204,"")))</f>
        <v/>
      </c>
      <c r="V227" s="15">
        <f>IF(OR(V226="",V204=""),"",IF(V204&lt;=0,"",IFERROR(V226/V204,"")))</f>
        <v/>
      </c>
      <c r="W227" s="15">
        <f>IF(OR(W226="",W204=""),"",IF(W204&lt;=0,"",IFERROR(W226/W204,"")))</f>
        <v/>
      </c>
      <c r="X227" s="15">
        <f>IF(OR(X226="",X204=""),"",IF(X204&lt;=0,"",IFERROR(X226/X204,"")))</f>
        <v/>
      </c>
    </row>
    <row r="228">
      <c r="A228" s="43" t="inlineStr">
        <is>
          <t>YoY</t>
        </is>
      </c>
      <c r="B228" s="3" t="inlineStr">
        <is>
          <t>전년 같은 분기·전년 대비</t>
        </is>
      </c>
      <c r="I228" s="15">
        <f>IF(OR(I226="",E226=""),"",IF(E226&lt;=0,"",IFERROR(I226/E226-1,"")))</f>
        <v/>
      </c>
      <c r="J228" s="15">
        <f>IF(OR(J226="",F226=""),"",IF(F226&lt;=0,"",IFERROR(J226/F226-1,"")))</f>
        <v/>
      </c>
      <c r="M228" s="15">
        <f>IF(OR(M226="",I226=""),"",IF(I226&lt;=0,"",IFERROR(M226/I226-1,"")))</f>
        <v/>
      </c>
      <c r="N228" s="15">
        <f>IF(OR(N226="",J226=""),"",IF(J226&lt;=0,"",IFERROR(N226/J226-1,"")))</f>
        <v/>
      </c>
      <c r="V228" s="15">
        <f>IF(OR(V226="",U226=""),"",IF(U226&lt;=0,"",IFERROR(V226/U226-1,"")))</f>
        <v/>
      </c>
      <c r="W228" s="15">
        <f>IF(OR(W226="",V226=""),"",IF(V226&lt;=0,"",IFERROR(W226/V226-1,"")))</f>
        <v/>
      </c>
      <c r="X228" s="15">
        <f>IF(OR(X226="",W226=""),"",IF(W226&lt;=0,"",IFERROR(X226/W226-1,"")))</f>
        <v/>
      </c>
    </row>
    <row r="229">
      <c r="A229" s="18" t="inlineStr">
        <is>
          <t>조정액 · 부문 이익(손실)</t>
        </is>
      </c>
      <c r="I229" s="20" t="n">
        <v>-14</v>
      </c>
      <c r="J229" s="20" t="n">
        <v>-463</v>
      </c>
      <c r="M229" s="20" t="n">
        <v>441</v>
      </c>
      <c r="N229" s="20" t="n">
        <v>-1019</v>
      </c>
      <c r="W229" s="20" t="n">
        <v>-14</v>
      </c>
      <c r="X229" s="20" t="n">
        <v>441</v>
      </c>
    </row>
    <row r="230">
      <c r="A230" s="18" t="inlineStr">
        <is>
          <t>EntityTotalMember · 부문 이익(손실)</t>
        </is>
      </c>
      <c r="J230" s="20" t="n">
        <v>504</v>
      </c>
      <c r="N230" s="20" t="n">
        <v>537</v>
      </c>
    </row>
    <row r="232">
      <c r="A232" s="16" t="inlineStr">
        <is>
          <t>현금흐름표 · 전 항목</t>
        </is>
      </c>
      <c r="B232" s="42" t="inlineStr">
        <is>
          <t>분기 = 결산기 첫날부터 누계(공시 그대로)</t>
        </is>
      </c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  <c r="AA232" s="16" t="n"/>
      <c r="AB232" s="16" t="n"/>
      <c r="AC232" s="16" t="n"/>
    </row>
    <row r="233">
      <c r="A233" s="5" t="inlineStr">
        <is>
          <t>항목</t>
        </is>
      </c>
      <c r="B233" s="5" t="inlineStr">
        <is>
          <t>참고</t>
        </is>
      </c>
      <c r="C233" s="5" t="inlineStr">
        <is>
          <t>2024.2Q</t>
        </is>
      </c>
      <c r="D233" s="5" t="inlineStr">
        <is>
          <t>2024.3Q</t>
        </is>
      </c>
      <c r="E233" s="5" t="inlineStr">
        <is>
          <t>2024.4Q</t>
        </is>
      </c>
      <c r="F233" s="5" t="inlineStr">
        <is>
          <t>2025.1Q</t>
        </is>
      </c>
      <c r="G233" s="5" t="inlineStr">
        <is>
          <t>2025.2Q</t>
        </is>
      </c>
      <c r="H233" s="5" t="inlineStr">
        <is>
          <t>2025.3Q</t>
        </is>
      </c>
      <c r="I233" s="5" t="inlineStr">
        <is>
          <t>2025.4Q</t>
        </is>
      </c>
      <c r="J233" s="5" t="inlineStr">
        <is>
          <t>2026.1Q</t>
        </is>
      </c>
      <c r="K233" s="5" t="inlineStr">
        <is>
          <t>2026.2Q</t>
        </is>
      </c>
      <c r="L233" s="5" t="inlineStr">
        <is>
          <t>2026.3Q</t>
        </is>
      </c>
      <c r="M233" s="5" t="inlineStr">
        <is>
          <t>2026.4Q</t>
        </is>
      </c>
      <c r="N233" s="5" t="inlineStr">
        <is>
          <t>2027.1Q</t>
        </is>
      </c>
      <c r="O233" s="5" t="inlineStr">
        <is>
          <t>2017</t>
        </is>
      </c>
      <c r="P233" s="5" t="inlineStr">
        <is>
          <t>2018</t>
        </is>
      </c>
      <c r="Q233" s="5" t="inlineStr">
        <is>
          <t>2019</t>
        </is>
      </c>
      <c r="R233" s="5" t="inlineStr">
        <is>
          <t>2020</t>
        </is>
      </c>
      <c r="S233" s="5" t="inlineStr">
        <is>
          <t>2021</t>
        </is>
      </c>
      <c r="T233" s="5" t="inlineStr">
        <is>
          <t>2022</t>
        </is>
      </c>
      <c r="U233" s="5" t="inlineStr">
        <is>
          <t>2023</t>
        </is>
      </c>
      <c r="V233" s="5" t="inlineStr">
        <is>
          <t>2024</t>
        </is>
      </c>
      <c r="W233" s="5" t="inlineStr">
        <is>
          <t>2025</t>
        </is>
      </c>
      <c r="X233" s="5" t="inlineStr">
        <is>
          <t>2026</t>
        </is>
      </c>
      <c r="Y233" s="5" t="inlineStr">
        <is>
          <t>2027(MW)</t>
        </is>
      </c>
      <c r="Z233" s="5" t="inlineStr">
        <is>
          <t>2028(MW)</t>
        </is>
      </c>
      <c r="AA233" s="5" t="inlineStr">
        <is>
          <t>2029(MW)</t>
        </is>
      </c>
      <c r="AB233" s="5" t="inlineStr">
        <is>
          <t>2030(MW)</t>
        </is>
      </c>
      <c r="AC233" s="5" t="inlineStr">
        <is>
          <t>2031(MW)</t>
        </is>
      </c>
    </row>
    <row r="234">
      <c r="A234" s="9" t="inlineStr">
        <is>
          <t>법인세차감전 순이익</t>
        </is>
      </c>
      <c r="E234" s="12" t="n">
        <v>5805</v>
      </c>
      <c r="I234" s="12" t="n">
        <v>9160</v>
      </c>
      <c r="M234" s="12" t="n">
        <v>10814</v>
      </c>
      <c r="O234" s="12" t="n">
        <v>824</v>
      </c>
      <c r="P234" s="12" t="n">
        <v>4152</v>
      </c>
      <c r="Q234" s="12" t="n">
        <v>2458</v>
      </c>
      <c r="R234" s="12" t="n">
        <v>-21176</v>
      </c>
      <c r="S234" s="12" t="n">
        <v>-1522</v>
      </c>
      <c r="T234" s="12" t="n">
        <v>6990</v>
      </c>
      <c r="U234" s="12" t="n">
        <v>6604</v>
      </c>
      <c r="V234" s="12" t="n">
        <v>5805</v>
      </c>
      <c r="W234" s="12" t="n">
        <v>9160</v>
      </c>
      <c r="X234" s="12" t="n">
        <v>10814</v>
      </c>
    </row>
    <row r="235">
      <c r="A235" s="18" t="inlineStr">
        <is>
          <t>감가상각비</t>
        </is>
      </c>
      <c r="E235" s="20" t="n">
        <v>1967</v>
      </c>
      <c r="I235" s="20" t="n">
        <v>2303</v>
      </c>
      <c r="M235" s="20" t="n">
        <v>2277</v>
      </c>
      <c r="O235" s="20" t="n">
        <v>2132</v>
      </c>
      <c r="P235" s="20" t="n">
        <v>1888</v>
      </c>
      <c r="Q235" s="20" t="n">
        <v>1964</v>
      </c>
      <c r="R235" s="20" t="n">
        <v>2304</v>
      </c>
      <c r="S235" s="20" t="n">
        <v>1604</v>
      </c>
      <c r="T235" s="20" t="n">
        <v>1877</v>
      </c>
      <c r="U235" s="20" t="n">
        <v>1895</v>
      </c>
      <c r="V235" s="20" t="n">
        <v>1967</v>
      </c>
      <c r="W235" s="20" t="n">
        <v>2303</v>
      </c>
      <c r="X235" s="20" t="n">
        <v>2277</v>
      </c>
    </row>
    <row r="236">
      <c r="A236" s="18" t="inlineStr">
        <is>
          <t>손상차손</t>
        </is>
      </c>
      <c r="E236" s="20" t="n">
        <v>1384</v>
      </c>
      <c r="I236" s="20" t="n">
        <v>314</v>
      </c>
      <c r="M236" s="20" t="n">
        <v>0</v>
      </c>
      <c r="O236" s="20" t="n">
        <v>553</v>
      </c>
      <c r="P236" s="20" t="n">
        <v>129</v>
      </c>
      <c r="Q236" s="20" t="n">
        <v>0</v>
      </c>
      <c r="R236" s="20" t="n">
        <v>17757</v>
      </c>
      <c r="S236" s="20" t="n">
        <v>1187</v>
      </c>
      <c r="T236" s="20" t="n">
        <v>0</v>
      </c>
      <c r="U236" s="20" t="n">
        <v>0</v>
      </c>
      <c r="V236" s="20" t="n">
        <v>1384</v>
      </c>
      <c r="W236" s="20" t="n">
        <v>314</v>
      </c>
      <c r="X236" s="20" t="n">
        <v>0</v>
      </c>
    </row>
    <row r="237">
      <c r="A237" s="18" t="inlineStr">
        <is>
          <t>부의 영업권 발생이익</t>
        </is>
      </c>
      <c r="R237" s="20" t="n">
        <v>0</v>
      </c>
      <c r="S237" s="20" t="n">
        <v>-901</v>
      </c>
      <c r="T237" s="20" t="n">
        <v>0</v>
      </c>
    </row>
    <row r="238">
      <c r="A238" s="18" t="inlineStr">
        <is>
          <t>영업권 상각</t>
        </is>
      </c>
      <c r="E238" s="20" t="n">
        <v>577</v>
      </c>
      <c r="I238" s="20" t="n">
        <v>246</v>
      </c>
      <c r="M238" s="20" t="n">
        <v>259</v>
      </c>
      <c r="O238" s="20" t="n">
        <v>151</v>
      </c>
      <c r="P238" s="20" t="n">
        <v>152</v>
      </c>
      <c r="Q238" s="20" t="n">
        <v>199</v>
      </c>
      <c r="R238" s="20" t="n">
        <v>595</v>
      </c>
      <c r="S238" s="20" t="n">
        <v>584</v>
      </c>
      <c r="T238" s="20" t="n">
        <v>502</v>
      </c>
      <c r="U238" s="20" t="n">
        <v>547</v>
      </c>
      <c r="V238" s="20" t="n">
        <v>577</v>
      </c>
      <c r="W238" s="20" t="n">
        <v>246</v>
      </c>
      <c r="X238" s="20" t="n">
        <v>259</v>
      </c>
    </row>
    <row r="239">
      <c r="A239" s="18" t="inlineStr">
        <is>
          <t>고정자산 매각손익</t>
        </is>
      </c>
      <c r="E239" s="20" t="n">
        <v>-25</v>
      </c>
      <c r="I239" s="20" t="n">
        <v>-161</v>
      </c>
      <c r="M239" s="20" t="n">
        <v>178</v>
      </c>
      <c r="S239" s="20" t="n">
        <v>-5</v>
      </c>
      <c r="T239" s="20" t="n">
        <v>-3686</v>
      </c>
      <c r="U239" s="20" t="n">
        <v>-11</v>
      </c>
      <c r="V239" s="20" t="n">
        <v>-25</v>
      </c>
      <c r="W239" s="20" t="n">
        <v>-161</v>
      </c>
      <c r="X239" s="20" t="n">
        <v>178</v>
      </c>
    </row>
    <row r="240">
      <c r="A240" s="18" t="inlineStr">
        <is>
          <t>대손충당금 증감</t>
        </is>
      </c>
      <c r="E240" s="20" t="n">
        <v>72</v>
      </c>
      <c r="I240" s="20" t="n">
        <v>-62</v>
      </c>
      <c r="M240" s="20" t="n">
        <v>152</v>
      </c>
      <c r="O240" s="20" t="n">
        <v>75</v>
      </c>
      <c r="P240" s="20" t="n">
        <v>-22</v>
      </c>
      <c r="Q240" s="20" t="n">
        <v>-57</v>
      </c>
      <c r="R240" s="20" t="n">
        <v>12</v>
      </c>
      <c r="S240" s="20" t="n">
        <v>34</v>
      </c>
      <c r="T240" s="20" t="n">
        <v>27</v>
      </c>
      <c r="U240" s="20" t="n">
        <v>-211</v>
      </c>
      <c r="V240" s="20" t="n">
        <v>72</v>
      </c>
      <c r="W240" s="20" t="n">
        <v>-62</v>
      </c>
      <c r="X240" s="20" t="n">
        <v>152</v>
      </c>
    </row>
    <row r="241">
      <c r="A241" s="18" t="inlineStr">
        <is>
          <t>상여충당금 증감</t>
        </is>
      </c>
      <c r="E241" s="20" t="n">
        <v>-36</v>
      </c>
      <c r="I241" s="20" t="n">
        <v>44</v>
      </c>
      <c r="M241" s="20" t="n">
        <v>66</v>
      </c>
      <c r="O241" s="20" t="n">
        <v>-19</v>
      </c>
      <c r="P241" s="20" t="n">
        <v>52</v>
      </c>
      <c r="Q241" s="20" t="n">
        <v>-18</v>
      </c>
      <c r="R241" s="20" t="n">
        <v>-138</v>
      </c>
      <c r="S241" s="20" t="n">
        <v>-58</v>
      </c>
      <c r="T241" s="20" t="n">
        <v>105</v>
      </c>
      <c r="U241" s="20" t="n">
        <v>132</v>
      </c>
      <c r="V241" s="20" t="n">
        <v>-36</v>
      </c>
      <c r="W241" s="20" t="n">
        <v>44</v>
      </c>
      <c r="X241" s="20" t="n">
        <v>66</v>
      </c>
    </row>
    <row r="242">
      <c r="A242" s="18" t="inlineStr">
        <is>
          <t>퇴직급여부채 증감</t>
        </is>
      </c>
      <c r="E242" s="20" t="n">
        <v>59</v>
      </c>
      <c r="I242" s="20" t="n">
        <v>-19</v>
      </c>
      <c r="M242" s="20" t="n">
        <v>-251</v>
      </c>
      <c r="O242" s="20" t="n">
        <v>157</v>
      </c>
      <c r="P242" s="20" t="n">
        <v>-46</v>
      </c>
      <c r="Q242" s="20" t="n">
        <v>-444</v>
      </c>
      <c r="R242" s="20" t="n">
        <v>-311</v>
      </c>
      <c r="S242" s="20" t="n">
        <v>53</v>
      </c>
      <c r="T242" s="20" t="n">
        <v>-149</v>
      </c>
      <c r="U242" s="20" t="n">
        <v>-222</v>
      </c>
      <c r="V242" s="20" t="n">
        <v>59</v>
      </c>
      <c r="W242" s="20" t="n">
        <v>-19</v>
      </c>
      <c r="X242" s="20" t="n">
        <v>-251</v>
      </c>
    </row>
    <row r="243">
      <c r="A243" s="18" t="inlineStr">
        <is>
          <t>이자·배당금 수익</t>
        </is>
      </c>
      <c r="E243" s="20" t="n">
        <v>-703</v>
      </c>
      <c r="I243" s="20" t="n">
        <v>-612</v>
      </c>
      <c r="M243" s="20" t="n">
        <v>-722</v>
      </c>
      <c r="O243" s="20" t="n">
        <v>-315</v>
      </c>
      <c r="P243" s="20" t="n">
        <v>-336</v>
      </c>
      <c r="Q243" s="20" t="n">
        <v>-350</v>
      </c>
      <c r="R243" s="20" t="n">
        <v>-336</v>
      </c>
      <c r="S243" s="20" t="n">
        <v>-260</v>
      </c>
      <c r="T243" s="20" t="n">
        <v>-296</v>
      </c>
      <c r="U243" s="20" t="n">
        <v>-377</v>
      </c>
      <c r="V243" s="20" t="n">
        <v>-703</v>
      </c>
      <c r="W243" s="20" t="n">
        <v>-612</v>
      </c>
      <c r="X243" s="20" t="n">
        <v>-722</v>
      </c>
    </row>
    <row r="244">
      <c r="A244" s="18" t="inlineStr">
        <is>
          <t>이자비용</t>
        </is>
      </c>
      <c r="E244" s="20" t="n">
        <v>102</v>
      </c>
      <c r="I244" s="20" t="n">
        <v>108</v>
      </c>
      <c r="M244" s="20" t="n">
        <v>238</v>
      </c>
      <c r="O244" s="20" t="n">
        <v>58</v>
      </c>
      <c r="P244" s="20" t="n">
        <v>67</v>
      </c>
      <c r="Q244" s="20" t="n">
        <v>52</v>
      </c>
      <c r="R244" s="20" t="n">
        <v>7</v>
      </c>
      <c r="S244" s="20" t="n">
        <v>51</v>
      </c>
      <c r="T244" s="20" t="n">
        <v>58</v>
      </c>
      <c r="U244" s="20" t="n">
        <v>64</v>
      </c>
      <c r="V244" s="20" t="n">
        <v>102</v>
      </c>
      <c r="W244" s="20" t="n">
        <v>108</v>
      </c>
      <c r="X244" s="20" t="n">
        <v>238</v>
      </c>
    </row>
    <row r="245">
      <c r="A245" s="18" t="inlineStr">
        <is>
          <t>외환차손익</t>
        </is>
      </c>
      <c r="E245" s="20" t="n">
        <v>-921</v>
      </c>
      <c r="I245" s="20" t="n">
        <v>61</v>
      </c>
      <c r="M245" s="20" t="n">
        <v>-899</v>
      </c>
      <c r="O245" s="20" t="n">
        <v>287</v>
      </c>
      <c r="P245" s="20" t="n">
        <v>-195</v>
      </c>
      <c r="Q245" s="20" t="n">
        <v>6</v>
      </c>
      <c r="R245" s="20" t="n">
        <v>151</v>
      </c>
      <c r="S245" s="20" t="n">
        <v>-166</v>
      </c>
      <c r="T245" s="20" t="n">
        <v>-378</v>
      </c>
      <c r="U245" s="20" t="n">
        <v>-167</v>
      </c>
      <c r="V245" s="20" t="n">
        <v>-921</v>
      </c>
      <c r="W245" s="20" t="n">
        <v>61</v>
      </c>
      <c r="X245" s="20" t="n">
        <v>-899</v>
      </c>
    </row>
    <row r="246">
      <c r="A246" s="18" t="inlineStr">
        <is>
          <t>투자유가증권 매각손익</t>
        </is>
      </c>
      <c r="E246" s="20" t="n">
        <v>-472</v>
      </c>
      <c r="I246" s="20" t="n">
        <v>-1764</v>
      </c>
      <c r="M246" s="20" t="n">
        <v>-426</v>
      </c>
      <c r="R246" s="20" t="n">
        <v>-259</v>
      </c>
      <c r="S246" s="20" t="n">
        <v>-93</v>
      </c>
      <c r="T246" s="20" t="n">
        <v>-5</v>
      </c>
      <c r="U246" s="20" t="n">
        <v>0</v>
      </c>
      <c r="V246" s="20" t="n">
        <v>-472</v>
      </c>
      <c r="W246" s="20" t="n">
        <v>-1764</v>
      </c>
      <c r="X246" s="20" t="n">
        <v>-426</v>
      </c>
    </row>
    <row r="247">
      <c r="A247" s="18" t="inlineStr">
        <is>
          <t>매출채권 증감</t>
        </is>
      </c>
      <c r="E247" s="20" t="n">
        <v>-5635</v>
      </c>
      <c r="I247" s="20" t="n">
        <v>8590</v>
      </c>
      <c r="M247" s="20" t="n">
        <v>-350</v>
      </c>
      <c r="O247" s="20" t="n">
        <v>-4632</v>
      </c>
      <c r="P247" s="20" t="n">
        <v>-6173</v>
      </c>
      <c r="Q247" s="20" t="n">
        <v>-828</v>
      </c>
      <c r="R247" s="20" t="n">
        <v>11537</v>
      </c>
      <c r="S247" s="20" t="n">
        <v>3425</v>
      </c>
      <c r="T247" s="20" t="n">
        <v>1616</v>
      </c>
      <c r="U247" s="20" t="n">
        <v>-3153</v>
      </c>
      <c r="V247" s="20" t="n">
        <v>-5635</v>
      </c>
      <c r="W247" s="20" t="n">
        <v>8590</v>
      </c>
      <c r="X247" s="20" t="n">
        <v>-350</v>
      </c>
    </row>
    <row r="248">
      <c r="A248" s="18" t="inlineStr">
        <is>
          <t>재고자산 증감</t>
        </is>
      </c>
      <c r="E248" s="20" t="n">
        <v>-2762</v>
      </c>
      <c r="I248" s="20" t="n">
        <v>-176</v>
      </c>
      <c r="M248" s="20" t="n">
        <v>-728</v>
      </c>
      <c r="O248" s="20" t="n">
        <v>11</v>
      </c>
      <c r="P248" s="20" t="n">
        <v>4158</v>
      </c>
      <c r="Q248" s="20" t="n">
        <v>-3987</v>
      </c>
      <c r="R248" s="20" t="n">
        <v>-4404</v>
      </c>
      <c r="S248" s="20" t="n">
        <v>7575</v>
      </c>
      <c r="T248" s="20" t="n">
        <v>223</v>
      </c>
      <c r="U248" s="20" t="n">
        <v>-4169</v>
      </c>
      <c r="V248" s="20" t="n">
        <v>-2762</v>
      </c>
      <c r="W248" s="20" t="n">
        <v>-176</v>
      </c>
      <c r="X248" s="20" t="n">
        <v>-728</v>
      </c>
    </row>
    <row r="249">
      <c r="A249" s="18" t="inlineStr">
        <is>
          <t>매입채무 증감</t>
        </is>
      </c>
      <c r="E249" s="20" t="n">
        <v>-6760</v>
      </c>
      <c r="I249" s="20" t="n">
        <v>499</v>
      </c>
      <c r="M249" s="20" t="n">
        <v>-5740</v>
      </c>
      <c r="O249" s="20" t="n">
        <v>-1297</v>
      </c>
      <c r="P249" s="20" t="n">
        <v>1341</v>
      </c>
      <c r="Q249" s="20" t="n">
        <v>720</v>
      </c>
      <c r="R249" s="20" t="n">
        <v>-3958</v>
      </c>
      <c r="S249" s="20" t="n">
        <v>-4300</v>
      </c>
      <c r="T249" s="20" t="n">
        <v>2950</v>
      </c>
      <c r="U249" s="20" t="n">
        <v>4713</v>
      </c>
      <c r="V249" s="20" t="n">
        <v>-6760</v>
      </c>
      <c r="W249" s="20" t="n">
        <v>499</v>
      </c>
      <c r="X249" s="20" t="n">
        <v>-5740</v>
      </c>
    </row>
    <row r="250">
      <c r="A250" s="18" t="inlineStr">
        <is>
          <t>선급비용 증감</t>
        </is>
      </c>
      <c r="I250" s="20" t="n">
        <v>54</v>
      </c>
      <c r="M250" s="20" t="n">
        <v>528</v>
      </c>
      <c r="O250" s="20" t="n">
        <v>338</v>
      </c>
      <c r="P250" s="20" t="n">
        <v>-331</v>
      </c>
      <c r="Q250" s="20" t="n">
        <v>150</v>
      </c>
      <c r="R250" s="20" t="n">
        <v>-154</v>
      </c>
      <c r="S250" s="20" t="n">
        <v>195</v>
      </c>
      <c r="W250" s="20" t="n">
        <v>54</v>
      </c>
      <c r="X250" s="20" t="n">
        <v>528</v>
      </c>
    </row>
    <row r="251">
      <c r="A251" s="18" t="inlineStr">
        <is>
          <t>예수금 증감</t>
        </is>
      </c>
      <c r="O251" s="20" t="n">
        <v>-8</v>
      </c>
      <c r="P251" s="20" t="n">
        <v>502</v>
      </c>
      <c r="Q251" s="20" t="n">
        <v>83</v>
      </c>
      <c r="R251" s="20" t="n">
        <v>-828</v>
      </c>
      <c r="S251" s="20" t="n">
        <v>186</v>
      </c>
    </row>
    <row r="252">
      <c r="A252" s="18" t="inlineStr">
        <is>
          <t>미지급 소비세 증감</t>
        </is>
      </c>
      <c r="E252" s="20" t="n">
        <v>328</v>
      </c>
      <c r="I252" s="20" t="n">
        <v>-343</v>
      </c>
      <c r="M252" s="20" t="n">
        <v>373</v>
      </c>
      <c r="O252" s="20" t="n">
        <v>248</v>
      </c>
      <c r="P252" s="20" t="n">
        <v>125</v>
      </c>
      <c r="Q252" s="20" t="n">
        <v>-304</v>
      </c>
      <c r="R252" s="20" t="n">
        <v>-512</v>
      </c>
      <c r="S252" s="20" t="n">
        <v>469</v>
      </c>
      <c r="T252" s="20" t="n">
        <v>-201</v>
      </c>
      <c r="U252" s="20" t="n">
        <v>-209</v>
      </c>
      <c r="V252" s="20" t="n">
        <v>328</v>
      </c>
      <c r="W252" s="20" t="n">
        <v>-343</v>
      </c>
      <c r="X252" s="20" t="n">
        <v>373</v>
      </c>
    </row>
    <row r="253">
      <c r="A253" s="18" t="inlineStr">
        <is>
          <t>기타</t>
        </is>
      </c>
      <c r="E253" s="20" t="n">
        <v>217</v>
      </c>
      <c r="I253" s="20" t="n">
        <v>-373</v>
      </c>
      <c r="M253" s="20" t="n">
        <v>594</v>
      </c>
      <c r="O253" s="20" t="n">
        <v>433</v>
      </c>
      <c r="P253" s="20" t="n">
        <v>261</v>
      </c>
      <c r="Q253" s="20" t="n">
        <v>722</v>
      </c>
      <c r="R253" s="20" t="n">
        <v>1186</v>
      </c>
      <c r="S253" s="20" t="n">
        <v>601</v>
      </c>
      <c r="T253" s="20" t="n">
        <v>-30</v>
      </c>
      <c r="U253" s="20" t="n">
        <v>18</v>
      </c>
      <c r="V253" s="20" t="n">
        <v>217</v>
      </c>
      <c r="W253" s="20" t="n">
        <v>-373</v>
      </c>
      <c r="X253" s="20" t="n">
        <v>594</v>
      </c>
    </row>
    <row r="254">
      <c r="A254" s="18" t="inlineStr">
        <is>
          <t>소계</t>
        </is>
      </c>
      <c r="E254" s="20" t="n">
        <v>-6802</v>
      </c>
      <c r="I254" s="20" t="n">
        <v>17871</v>
      </c>
      <c r="M254" s="20" t="n">
        <v>6363</v>
      </c>
      <c r="O254" s="20" t="n">
        <v>-1001</v>
      </c>
      <c r="P254" s="20" t="n">
        <v>5727</v>
      </c>
      <c r="Q254" s="20" t="n">
        <v>368</v>
      </c>
      <c r="R254" s="20" t="n">
        <v>1471</v>
      </c>
      <c r="S254" s="20" t="n">
        <v>8279</v>
      </c>
      <c r="T254" s="20" t="n">
        <v>9603</v>
      </c>
      <c r="U254" s="20" t="n">
        <v>5453</v>
      </c>
      <c r="V254" s="20" t="n">
        <v>-6802</v>
      </c>
      <c r="W254" s="20" t="n">
        <v>17871</v>
      </c>
      <c r="X254" s="20" t="n">
        <v>6363</v>
      </c>
    </row>
    <row r="255">
      <c r="A255" s="18" t="inlineStr">
        <is>
          <t>이자·배당금 수취</t>
        </is>
      </c>
      <c r="E255" s="20" t="n">
        <v>702</v>
      </c>
      <c r="I255" s="20" t="n">
        <v>606</v>
      </c>
      <c r="M255" s="20" t="n">
        <v>704</v>
      </c>
      <c r="O255" s="20" t="n">
        <v>319</v>
      </c>
      <c r="P255" s="20" t="n">
        <v>337</v>
      </c>
      <c r="Q255" s="20" t="n">
        <v>350</v>
      </c>
      <c r="R255" s="20" t="n">
        <v>337</v>
      </c>
      <c r="S255" s="20" t="n">
        <v>260</v>
      </c>
      <c r="T255" s="20" t="n">
        <v>296</v>
      </c>
      <c r="U255" s="20" t="n">
        <v>373</v>
      </c>
      <c r="V255" s="20" t="n">
        <v>702</v>
      </c>
      <c r="W255" s="20" t="n">
        <v>606</v>
      </c>
      <c r="X255" s="20" t="n">
        <v>704</v>
      </c>
    </row>
    <row r="256">
      <c r="A256" s="18" t="inlineStr">
        <is>
          <t>이자 지급</t>
        </is>
      </c>
      <c r="E256" s="20" t="n">
        <v>-102</v>
      </c>
      <c r="I256" s="20" t="n">
        <v>-101</v>
      </c>
      <c r="M256" s="20" t="n">
        <v>-240</v>
      </c>
      <c r="O256" s="20" t="n">
        <v>-58</v>
      </c>
      <c r="P256" s="20" t="n">
        <v>-67</v>
      </c>
      <c r="Q256" s="20" t="n">
        <v>-52</v>
      </c>
      <c r="R256" s="20" t="n">
        <v>-7</v>
      </c>
      <c r="S256" s="20" t="n">
        <v>-51</v>
      </c>
      <c r="T256" s="20" t="n">
        <v>-58</v>
      </c>
      <c r="U256" s="20" t="n">
        <v>-64</v>
      </c>
      <c r="V256" s="20" t="n">
        <v>-102</v>
      </c>
      <c r="W256" s="20" t="n">
        <v>-101</v>
      </c>
      <c r="X256" s="20" t="n">
        <v>-240</v>
      </c>
    </row>
    <row r="257">
      <c r="A257" s="18" t="inlineStr">
        <is>
          <t>법인세 납부</t>
        </is>
      </c>
      <c r="E257" s="20" t="n">
        <v>-1849</v>
      </c>
      <c r="I257" s="20" t="n">
        <v>-1358</v>
      </c>
      <c r="M257" s="20" t="n">
        <v>-3294</v>
      </c>
      <c r="O257" s="20" t="n">
        <v>-53</v>
      </c>
      <c r="P257" s="20" t="n">
        <v>94</v>
      </c>
      <c r="Q257" s="20" t="n">
        <v>-554</v>
      </c>
      <c r="R257" s="20" t="n">
        <v>6</v>
      </c>
      <c r="S257" s="20" t="n">
        <v>-312</v>
      </c>
      <c r="T257" s="20" t="n">
        <v>-559</v>
      </c>
      <c r="U257" s="20" t="n">
        <v>-1286</v>
      </c>
      <c r="V257" s="20" t="n">
        <v>-1849</v>
      </c>
      <c r="W257" s="20" t="n">
        <v>-1358</v>
      </c>
      <c r="X257" s="20" t="n">
        <v>-3294</v>
      </c>
    </row>
    <row r="258">
      <c r="A258" s="9" t="inlineStr">
        <is>
          <t>영업활동 현금흐름</t>
        </is>
      </c>
      <c r="E258" s="12" t="n">
        <v>-8051</v>
      </c>
      <c r="I258" s="12" t="n">
        <v>17018</v>
      </c>
      <c r="M258" s="12" t="n">
        <v>3533</v>
      </c>
      <c r="O258" s="12" t="n">
        <v>-793</v>
      </c>
      <c r="P258" s="12" t="n">
        <v>6091</v>
      </c>
      <c r="Q258" s="12" t="n">
        <v>112</v>
      </c>
      <c r="R258" s="12" t="n">
        <v>1807</v>
      </c>
      <c r="S258" s="12" t="n">
        <v>8174</v>
      </c>
      <c r="T258" s="12" t="n">
        <v>9281</v>
      </c>
      <c r="U258" s="12" t="n">
        <v>4475</v>
      </c>
      <c r="V258" s="12" t="n">
        <v>-8051</v>
      </c>
      <c r="W258" s="12" t="n">
        <v>17018</v>
      </c>
      <c r="X258" s="12" t="n">
        <v>3533</v>
      </c>
    </row>
    <row r="259">
      <c r="A259" s="18" t="inlineStr">
        <is>
          <t>유가증권 순증감액</t>
        </is>
      </c>
      <c r="E259" s="20" t="n">
        <v>1710</v>
      </c>
      <c r="I259" s="20" t="n">
        <v>0</v>
      </c>
      <c r="O259" s="20" t="n">
        <v>2984</v>
      </c>
      <c r="P259" s="20" t="n">
        <v>1835</v>
      </c>
      <c r="Q259" s="20" t="n">
        <v>1099</v>
      </c>
      <c r="R259" s="20" t="n">
        <v>1799</v>
      </c>
      <c r="S259" s="20" t="n">
        <v>599</v>
      </c>
      <c r="T259" s="20" t="n">
        <v>-2484</v>
      </c>
      <c r="U259" s="20" t="n">
        <v>850</v>
      </c>
      <c r="V259" s="20" t="n">
        <v>1710</v>
      </c>
      <c r="W259" s="20" t="n">
        <v>0</v>
      </c>
    </row>
    <row r="260">
      <c r="A260" s="18" t="inlineStr">
        <is>
          <t>정기예금 예입</t>
        </is>
      </c>
      <c r="E260" s="20" t="n">
        <v>-744</v>
      </c>
      <c r="I260" s="20" t="n">
        <v>-2138</v>
      </c>
      <c r="M260" s="20" t="n">
        <v>-2088</v>
      </c>
      <c r="O260" s="20" t="n">
        <v>-54</v>
      </c>
      <c r="P260" s="20" t="n">
        <v>-2932</v>
      </c>
      <c r="Q260" s="20" t="n">
        <v>-39</v>
      </c>
      <c r="R260" s="20" t="n">
        <v>-111</v>
      </c>
      <c r="S260" s="20" t="n">
        <v>-97</v>
      </c>
      <c r="T260" s="20" t="n">
        <v>-100</v>
      </c>
      <c r="U260" s="20" t="n">
        <v>-204</v>
      </c>
      <c r="V260" s="20" t="n">
        <v>-744</v>
      </c>
      <c r="W260" s="20" t="n">
        <v>-2138</v>
      </c>
      <c r="X260" s="20" t="n">
        <v>-2088</v>
      </c>
    </row>
    <row r="261">
      <c r="A261" s="18" t="inlineStr">
        <is>
          <t>정기예금 인출</t>
        </is>
      </c>
      <c r="E261" s="20" t="n">
        <v>485</v>
      </c>
      <c r="I261" s="20" t="n">
        <v>968</v>
      </c>
      <c r="M261" s="20" t="n">
        <v>2122</v>
      </c>
      <c r="O261" s="20" t="n">
        <v>2138</v>
      </c>
      <c r="P261" s="20" t="n">
        <v>2913</v>
      </c>
      <c r="Q261" s="20" t="n">
        <v>0</v>
      </c>
      <c r="R261" s="20" t="n">
        <v>72</v>
      </c>
      <c r="S261" s="20" t="n">
        <v>72</v>
      </c>
      <c r="T261" s="20" t="n">
        <v>72</v>
      </c>
      <c r="U261" s="20" t="n">
        <v>533</v>
      </c>
      <c r="V261" s="20" t="n">
        <v>485</v>
      </c>
      <c r="W261" s="20" t="n">
        <v>968</v>
      </c>
      <c r="X261" s="20" t="n">
        <v>2122</v>
      </c>
    </row>
    <row r="262">
      <c r="A262" s="18" t="inlineStr">
        <is>
          <t>Purchase Of Property Plant And Equipment And Intangible Assets Inv CF</t>
        </is>
      </c>
      <c r="E262" s="20" t="n">
        <v>-1552</v>
      </c>
      <c r="I262" s="20" t="n">
        <v>-2276</v>
      </c>
      <c r="M262" s="20" t="n">
        <v>-3837</v>
      </c>
      <c r="O262" s="20" t="n">
        <v>-1518</v>
      </c>
      <c r="P262" s="20" t="n">
        <v>-1117</v>
      </c>
      <c r="Q262" s="20" t="n">
        <v>-1121</v>
      </c>
      <c r="R262" s="20" t="n">
        <v>-1062</v>
      </c>
      <c r="S262" s="20" t="n">
        <v>-1137</v>
      </c>
      <c r="T262" s="20" t="n">
        <v>-1922</v>
      </c>
      <c r="U262" s="20" t="n">
        <v>-1713</v>
      </c>
      <c r="V262" s="20" t="n">
        <v>-1552</v>
      </c>
      <c r="W262" s="20" t="n">
        <v>-2276</v>
      </c>
      <c r="X262" s="20" t="n">
        <v>-3837</v>
      </c>
    </row>
    <row r="263">
      <c r="A263" s="18" t="inlineStr">
        <is>
          <t>Proceeds From Sales Of Property Plant And Equipment And Intangible Assets Inv CF</t>
        </is>
      </c>
      <c r="E263" s="20" t="n">
        <v>225</v>
      </c>
      <c r="I263" s="20" t="n">
        <v>443</v>
      </c>
      <c r="M263" s="20" t="n">
        <v>459</v>
      </c>
      <c r="O263" s="20" t="n">
        <v>51</v>
      </c>
      <c r="P263" s="20" t="n">
        <v>168</v>
      </c>
      <c r="Q263" s="20" t="n">
        <v>124</v>
      </c>
      <c r="R263" s="20" t="n">
        <v>4</v>
      </c>
      <c r="S263" s="20" t="n">
        <v>5</v>
      </c>
      <c r="T263" s="20" t="n">
        <v>4111</v>
      </c>
      <c r="U263" s="20" t="n">
        <v>71</v>
      </c>
      <c r="V263" s="20" t="n">
        <v>225</v>
      </c>
      <c r="W263" s="20" t="n">
        <v>443</v>
      </c>
      <c r="X263" s="20" t="n">
        <v>459</v>
      </c>
    </row>
    <row r="264">
      <c r="A264" s="18" t="inlineStr">
        <is>
          <t>보험적립금 적립</t>
        </is>
      </c>
      <c r="E264" s="20" t="n">
        <v>-325</v>
      </c>
      <c r="I264" s="20" t="n">
        <v>0</v>
      </c>
      <c r="M264" s="20" t="n">
        <v>-65</v>
      </c>
      <c r="O264" s="20" t="n">
        <v>-602</v>
      </c>
      <c r="P264" s="20" t="n">
        <v>-187</v>
      </c>
      <c r="Q264" s="20" t="n">
        <v>-272</v>
      </c>
      <c r="R264" s="20" t="n">
        <v>-104</v>
      </c>
      <c r="S264" s="20" t="n">
        <v>-43</v>
      </c>
      <c r="T264" s="20" t="n">
        <v>-1120</v>
      </c>
      <c r="U264" s="20" t="n">
        <v>-59</v>
      </c>
      <c r="V264" s="20" t="n">
        <v>-325</v>
      </c>
      <c r="W264" s="20" t="n">
        <v>0</v>
      </c>
      <c r="X264" s="20" t="n">
        <v>-65</v>
      </c>
    </row>
    <row r="265">
      <c r="A265" s="18" t="inlineStr">
        <is>
          <t>보험적립금 환급</t>
        </is>
      </c>
      <c r="E265" s="20" t="n">
        <v>531</v>
      </c>
      <c r="I265" s="20" t="n">
        <v>0</v>
      </c>
      <c r="M265" s="20" t="n">
        <v>138</v>
      </c>
      <c r="O265" s="20" t="n">
        <v>599</v>
      </c>
      <c r="P265" s="20" t="n">
        <v>188</v>
      </c>
      <c r="Q265" s="20" t="n">
        <v>402</v>
      </c>
      <c r="R265" s="20" t="n">
        <v>68</v>
      </c>
      <c r="S265" s="20" t="n">
        <v>311</v>
      </c>
      <c r="T265" s="20" t="n">
        <v>90</v>
      </c>
      <c r="U265" s="20" t="n">
        <v>68</v>
      </c>
      <c r="V265" s="20" t="n">
        <v>531</v>
      </c>
      <c r="W265" s="20" t="n">
        <v>0</v>
      </c>
      <c r="X265" s="20" t="n">
        <v>138</v>
      </c>
    </row>
    <row r="266">
      <c r="A266" s="18" t="inlineStr">
        <is>
          <t>투자유가증권 취득</t>
        </is>
      </c>
      <c r="E266" s="20" t="n">
        <v>-554</v>
      </c>
      <c r="I266" s="20" t="n">
        <v>-1066</v>
      </c>
      <c r="M266" s="20" t="n">
        <v>-48</v>
      </c>
      <c r="O266" s="20" t="n">
        <v>-144</v>
      </c>
      <c r="P266" s="20" t="n">
        <v>-612</v>
      </c>
      <c r="Q266" s="20" t="n">
        <v>-99</v>
      </c>
      <c r="R266" s="20" t="n">
        <v>-122</v>
      </c>
      <c r="S266" s="20" t="n">
        <v>-60</v>
      </c>
      <c r="T266" s="20" t="n">
        <v>-47</v>
      </c>
      <c r="U266" s="20" t="n">
        <v>-41</v>
      </c>
      <c r="V266" s="20" t="n">
        <v>-554</v>
      </c>
      <c r="W266" s="20" t="n">
        <v>-1066</v>
      </c>
      <c r="X266" s="20" t="n">
        <v>-48</v>
      </c>
    </row>
    <row r="267">
      <c r="A267" s="18" t="inlineStr">
        <is>
          <t>투자유가증권 매각</t>
        </is>
      </c>
      <c r="E267" s="20" t="n">
        <v>660</v>
      </c>
      <c r="I267" s="20" t="n">
        <v>1878</v>
      </c>
      <c r="M267" s="20" t="n">
        <v>561</v>
      </c>
      <c r="O267" s="20" t="n">
        <v>498</v>
      </c>
      <c r="P267" s="20" t="n">
        <v>115</v>
      </c>
      <c r="Q267" s="20" t="n">
        <v>0</v>
      </c>
      <c r="R267" s="20" t="n">
        <v>409</v>
      </c>
      <c r="S267" s="20" t="n">
        <v>197</v>
      </c>
      <c r="T267" s="20" t="n">
        <v>9</v>
      </c>
      <c r="U267" s="20" t="n">
        <v>0</v>
      </c>
      <c r="V267" s="20" t="n">
        <v>660</v>
      </c>
      <c r="W267" s="20" t="n">
        <v>1878</v>
      </c>
      <c r="X267" s="20" t="n">
        <v>561</v>
      </c>
    </row>
    <row r="268">
      <c r="A268" s="18" t="inlineStr">
        <is>
          <t>대여</t>
        </is>
      </c>
      <c r="E268" s="20" t="n">
        <v>0</v>
      </c>
      <c r="T268" s="20" t="n">
        <v>0</v>
      </c>
      <c r="U268" s="20" t="n">
        <v>-42</v>
      </c>
      <c r="V268" s="20" t="n">
        <v>0</v>
      </c>
    </row>
    <row r="269">
      <c r="A269" s="18" t="inlineStr">
        <is>
          <t>대여금 회수</t>
        </is>
      </c>
      <c r="E269" s="20" t="n">
        <v>47</v>
      </c>
      <c r="U269" s="20" t="n">
        <v>0</v>
      </c>
      <c r="V269" s="20" t="n">
        <v>47</v>
      </c>
    </row>
    <row r="270">
      <c r="A270" s="18" t="inlineStr">
        <is>
          <t>기타 지출</t>
        </is>
      </c>
      <c r="E270" s="20" t="n">
        <v>-12</v>
      </c>
      <c r="O270" s="20" t="n">
        <v>-30</v>
      </c>
      <c r="P270" s="20" t="n">
        <v>-3</v>
      </c>
      <c r="Q270" s="20" t="n">
        <v>-4</v>
      </c>
      <c r="R270" s="20" t="n">
        <v>-3</v>
      </c>
      <c r="S270" s="20" t="n">
        <v>-29</v>
      </c>
      <c r="T270" s="20" t="n">
        <v>-7</v>
      </c>
      <c r="U270" s="20" t="n">
        <v>-26</v>
      </c>
      <c r="V270" s="20" t="n">
        <v>-12</v>
      </c>
    </row>
    <row r="271">
      <c r="A271" s="18" t="inlineStr">
        <is>
          <t>기타 수입</t>
        </is>
      </c>
      <c r="E271" s="20" t="n">
        <v>11</v>
      </c>
      <c r="O271" s="20" t="n">
        <v>339</v>
      </c>
      <c r="P271" s="20" t="n">
        <v>-70</v>
      </c>
      <c r="Q271" s="20" t="n">
        <v>7</v>
      </c>
      <c r="R271" s="20" t="n">
        <v>72</v>
      </c>
      <c r="S271" s="20" t="n">
        <v>28</v>
      </c>
      <c r="T271" s="20" t="n">
        <v>21</v>
      </c>
      <c r="U271" s="20" t="n">
        <v>38</v>
      </c>
      <c r="V271" s="20" t="n">
        <v>11</v>
      </c>
    </row>
    <row r="272">
      <c r="A272" s="18" t="inlineStr">
        <is>
          <t>사업양수 지출</t>
        </is>
      </c>
      <c r="E272" s="20" t="n">
        <v>0</v>
      </c>
      <c r="I272" s="20" t="n">
        <v>-2569</v>
      </c>
      <c r="M272" s="20" t="n">
        <v>0</v>
      </c>
      <c r="V272" s="20" t="n">
        <v>0</v>
      </c>
      <c r="W272" s="20" t="n">
        <v>-2569</v>
      </c>
      <c r="X272" s="20" t="n">
        <v>0</v>
      </c>
    </row>
    <row r="273">
      <c r="A273" s="18" t="inlineStr">
        <is>
          <t>연결범위 변경 자회사 주식 취득</t>
        </is>
      </c>
      <c r="E273" s="20" t="n">
        <v>0</v>
      </c>
      <c r="I273" s="20" t="n">
        <v>-18</v>
      </c>
      <c r="M273" s="20" t="n">
        <v>0</v>
      </c>
      <c r="P273" s="20" t="n">
        <v>0</v>
      </c>
      <c r="Q273" s="20" t="n">
        <v>-544</v>
      </c>
      <c r="R273" s="20" t="n">
        <v>-4562</v>
      </c>
      <c r="S273" s="20" t="n">
        <v>-2067</v>
      </c>
      <c r="T273" s="20" t="n">
        <v>0</v>
      </c>
      <c r="V273" s="20" t="n">
        <v>0</v>
      </c>
      <c r="W273" s="20" t="n">
        <v>-18</v>
      </c>
      <c r="X273" s="20" t="n">
        <v>0</v>
      </c>
    </row>
    <row r="274">
      <c r="A274" s="18" t="inlineStr">
        <is>
          <t>장기선급비용 지출</t>
        </is>
      </c>
      <c r="O274" s="20" t="n">
        <v>-0</v>
      </c>
      <c r="P274" s="20" t="n">
        <v>-1</v>
      </c>
      <c r="Q274" s="20" t="n">
        <v>-1</v>
      </c>
      <c r="R274" s="20" t="n">
        <v>-28</v>
      </c>
      <c r="S274" s="20" t="n">
        <v>-0</v>
      </c>
    </row>
    <row r="275">
      <c r="A275" s="18" t="inlineStr">
        <is>
          <t>Payments For Contingent Considerations Of Shares Of Subsidiaries Inv CF</t>
        </is>
      </c>
      <c r="I275" s="20" t="n">
        <v>0</v>
      </c>
      <c r="M275" s="20" t="n">
        <v>-109</v>
      </c>
      <c r="W275" s="20" t="n">
        <v>0</v>
      </c>
      <c r="X275" s="20" t="n">
        <v>-109</v>
      </c>
    </row>
    <row r="276">
      <c r="A276" s="18" t="inlineStr">
        <is>
          <t>기타</t>
        </is>
      </c>
      <c r="E276" s="20" t="n">
        <v>46</v>
      </c>
      <c r="I276" s="20" t="n">
        <v>-1</v>
      </c>
      <c r="M276" s="20" t="n">
        <v>-40</v>
      </c>
      <c r="V276" s="20" t="n">
        <v>46</v>
      </c>
      <c r="W276" s="20" t="n">
        <v>-1</v>
      </c>
      <c r="X276" s="20" t="n">
        <v>-40</v>
      </c>
    </row>
    <row r="277">
      <c r="A277" s="9" t="inlineStr">
        <is>
          <t>투자활동 현금흐름</t>
        </is>
      </c>
      <c r="E277" s="12" t="n">
        <v>483</v>
      </c>
      <c r="I277" s="12" t="n">
        <v>-4781</v>
      </c>
      <c r="M277" s="12" t="n">
        <v>-2908</v>
      </c>
      <c r="O277" s="12" t="n">
        <v>4261</v>
      </c>
      <c r="P277" s="12" t="n">
        <v>295</v>
      </c>
      <c r="Q277" s="12" t="n">
        <v>-449</v>
      </c>
      <c r="R277" s="12" t="n">
        <v>-3569</v>
      </c>
      <c r="S277" s="12" t="n">
        <v>-2220</v>
      </c>
      <c r="T277" s="12" t="n">
        <v>-1379</v>
      </c>
      <c r="U277" s="12" t="n">
        <v>-526</v>
      </c>
      <c r="V277" s="12" t="n">
        <v>483</v>
      </c>
      <c r="W277" s="12" t="n">
        <v>-4781</v>
      </c>
      <c r="X277" s="12" t="n">
        <v>-2908</v>
      </c>
    </row>
    <row r="278">
      <c r="A278" s="18" t="inlineStr">
        <is>
          <t>연결범위 변경 없는 자회사 주식 취득</t>
        </is>
      </c>
      <c r="E278" s="20" t="n">
        <v>-701</v>
      </c>
      <c r="I278" s="20" t="n">
        <v>0</v>
      </c>
      <c r="O278" s="20" t="n">
        <v>-22</v>
      </c>
      <c r="P278" s="20" t="n">
        <v>0</v>
      </c>
      <c r="U278" s="20" t="n">
        <v>0</v>
      </c>
      <c r="V278" s="20" t="n">
        <v>-701</v>
      </c>
      <c r="W278" s="20" t="n">
        <v>0</v>
      </c>
    </row>
    <row r="279">
      <c r="A279" s="18" t="inlineStr">
        <is>
          <t>단기차입금 순증감</t>
        </is>
      </c>
      <c r="E279" s="20" t="n">
        <v>261</v>
      </c>
      <c r="I279" s="20" t="n">
        <v>-407</v>
      </c>
      <c r="M279" s="20" t="n">
        <v>-110</v>
      </c>
      <c r="O279" s="20" t="n">
        <v>118</v>
      </c>
      <c r="P279" s="20" t="n">
        <v>143</v>
      </c>
      <c r="Q279" s="20" t="n">
        <v>-154</v>
      </c>
      <c r="R279" s="20" t="n">
        <v>-0</v>
      </c>
      <c r="S279" s="20" t="n">
        <v>403</v>
      </c>
      <c r="T279" s="20" t="n">
        <v>-72</v>
      </c>
      <c r="U279" s="20" t="n">
        <v>-513</v>
      </c>
      <c r="V279" s="20" t="n">
        <v>261</v>
      </c>
      <c r="W279" s="20" t="n">
        <v>-407</v>
      </c>
      <c r="X279" s="20" t="n">
        <v>-110</v>
      </c>
    </row>
    <row r="280">
      <c r="A280" s="18" t="inlineStr">
        <is>
          <t>장기차입금 상환</t>
        </is>
      </c>
      <c r="E280" s="20" t="n">
        <v>-153</v>
      </c>
      <c r="I280" s="20" t="n">
        <v>-86</v>
      </c>
      <c r="M280" s="20" t="n">
        <v>-71</v>
      </c>
      <c r="O280" s="20" t="n">
        <v>-126</v>
      </c>
      <c r="P280" s="20" t="n">
        <v>0</v>
      </c>
      <c r="R280" s="20" t="n">
        <v>0</v>
      </c>
      <c r="S280" s="20" t="n">
        <v>-97</v>
      </c>
      <c r="T280" s="20" t="n">
        <v>-199</v>
      </c>
      <c r="U280" s="20" t="n">
        <v>-139</v>
      </c>
      <c r="V280" s="20" t="n">
        <v>-153</v>
      </c>
      <c r="W280" s="20" t="n">
        <v>-86</v>
      </c>
      <c r="X280" s="20" t="n">
        <v>-71</v>
      </c>
    </row>
    <row r="281">
      <c r="A281" s="18" t="inlineStr">
        <is>
          <t>리스부채 상환</t>
        </is>
      </c>
      <c r="E281" s="20" t="n">
        <v>-336</v>
      </c>
      <c r="I281" s="20" t="n">
        <v>-353</v>
      </c>
      <c r="M281" s="20" t="n">
        <v>-409</v>
      </c>
      <c r="O281" s="20" t="n">
        <v>-197</v>
      </c>
      <c r="P281" s="20" t="n">
        <v>-154</v>
      </c>
      <c r="Q281" s="20" t="n">
        <v>-304</v>
      </c>
      <c r="R281" s="20" t="n">
        <v>-96</v>
      </c>
      <c r="S281" s="20" t="n">
        <v>-364</v>
      </c>
      <c r="T281" s="20" t="n">
        <v>-372</v>
      </c>
      <c r="U281" s="20" t="n">
        <v>-358</v>
      </c>
      <c r="V281" s="20" t="n">
        <v>-336</v>
      </c>
      <c r="W281" s="20" t="n">
        <v>-353</v>
      </c>
      <c r="X281" s="20" t="n">
        <v>-409</v>
      </c>
    </row>
    <row r="282">
      <c r="A282" s="18" t="inlineStr">
        <is>
          <t>장기차입</t>
        </is>
      </c>
      <c r="I282" s="20" t="n">
        <v>0</v>
      </c>
      <c r="M282" s="20" t="n">
        <v>4</v>
      </c>
      <c r="R282" s="20" t="n">
        <v>0</v>
      </c>
      <c r="S282" s="20" t="n">
        <v>467</v>
      </c>
      <c r="T282" s="20" t="n">
        <v>104</v>
      </c>
      <c r="U282" s="20" t="n">
        <v>0</v>
      </c>
      <c r="W282" s="20" t="n">
        <v>0</v>
      </c>
      <c r="X282" s="20" t="n">
        <v>4</v>
      </c>
    </row>
    <row r="283">
      <c r="A283" s="18" t="inlineStr">
        <is>
          <t>사채 발행</t>
        </is>
      </c>
      <c r="I283" s="20" t="n">
        <v>0</v>
      </c>
      <c r="M283" s="20" t="n">
        <v>8948</v>
      </c>
      <c r="R283" s="20" t="n">
        <v>0</v>
      </c>
      <c r="S283" s="20" t="n">
        <v>10000</v>
      </c>
      <c r="T283" s="20" t="n">
        <v>0</v>
      </c>
      <c r="W283" s="20" t="n">
        <v>0</v>
      </c>
      <c r="X283" s="20" t="n">
        <v>8948</v>
      </c>
    </row>
    <row r="284">
      <c r="A284" s="18" t="inlineStr">
        <is>
          <t>사채 상환</t>
        </is>
      </c>
      <c r="I284" s="20" t="n">
        <v>0</v>
      </c>
      <c r="M284" s="20" t="n">
        <v>-10000</v>
      </c>
      <c r="P284" s="20" t="n">
        <v>0</v>
      </c>
      <c r="Q284" s="20" t="n">
        <v>-10000</v>
      </c>
      <c r="R284" s="20" t="n">
        <v>0</v>
      </c>
      <c r="W284" s="20" t="n">
        <v>0</v>
      </c>
      <c r="X284" s="20" t="n">
        <v>-10000</v>
      </c>
    </row>
    <row r="285">
      <c r="A285" s="18" t="inlineStr">
        <is>
          <t>자기주식 취득</t>
        </is>
      </c>
      <c r="E285" s="20" t="n">
        <v>-1504</v>
      </c>
      <c r="I285" s="20" t="n">
        <v>-199</v>
      </c>
      <c r="M285" s="20" t="n">
        <v>-0</v>
      </c>
      <c r="O285" s="20" t="n">
        <v>-5001</v>
      </c>
      <c r="P285" s="20" t="n">
        <v>-1</v>
      </c>
      <c r="Q285" s="20" t="n">
        <v>-0</v>
      </c>
      <c r="R285" s="20" t="n">
        <v>-2674</v>
      </c>
      <c r="S285" s="20" t="n">
        <v>-0</v>
      </c>
      <c r="T285" s="20" t="n">
        <v>-998</v>
      </c>
      <c r="U285" s="20" t="n">
        <v>-1</v>
      </c>
      <c r="V285" s="20" t="n">
        <v>-1504</v>
      </c>
      <c r="W285" s="20" t="n">
        <v>-199</v>
      </c>
      <c r="X285" s="20" t="n">
        <v>-0</v>
      </c>
    </row>
    <row r="286">
      <c r="A286" s="18" t="inlineStr">
        <is>
          <t>배당금 지급</t>
        </is>
      </c>
      <c r="E286" s="20" t="n">
        <v>-2439</v>
      </c>
      <c r="I286" s="20" t="n">
        <v>-3461</v>
      </c>
      <c r="M286" s="20" t="n">
        <v>-4433</v>
      </c>
      <c r="O286" s="20" t="n">
        <v>-2440</v>
      </c>
      <c r="P286" s="20" t="n">
        <v>-2329</v>
      </c>
      <c r="Q286" s="20" t="n">
        <v>-2329</v>
      </c>
      <c r="R286" s="20" t="n">
        <v>-2287</v>
      </c>
      <c r="S286" s="20" t="n">
        <v>-1120</v>
      </c>
      <c r="T286" s="20" t="n">
        <v>-1402</v>
      </c>
      <c r="U286" s="20" t="n">
        <v>-3064</v>
      </c>
      <c r="V286" s="20" t="n">
        <v>-2439</v>
      </c>
      <c r="W286" s="20" t="n">
        <v>-3461</v>
      </c>
      <c r="X286" s="20" t="n">
        <v>-4433</v>
      </c>
    </row>
    <row r="287">
      <c r="A287" s="18" t="inlineStr">
        <is>
          <t>자기주식 매각</t>
        </is>
      </c>
      <c r="E287" s="20" t="n">
        <v>0</v>
      </c>
      <c r="I287" s="20" t="n">
        <v>198</v>
      </c>
      <c r="M287" s="20" t="n">
        <v>0</v>
      </c>
      <c r="O287" s="20" t="n">
        <v>0</v>
      </c>
      <c r="P287" s="20" t="n">
        <v>0</v>
      </c>
      <c r="Q287" s="20" t="n">
        <v>0</v>
      </c>
      <c r="R287" s="20" t="n">
        <v>0</v>
      </c>
      <c r="S287" s="20" t="n">
        <v>0</v>
      </c>
      <c r="V287" s="20" t="n">
        <v>0</v>
      </c>
      <c r="W287" s="20" t="n">
        <v>198</v>
      </c>
      <c r="X287" s="20" t="n">
        <v>0</v>
      </c>
    </row>
    <row r="288">
      <c r="A288" s="9" t="inlineStr">
        <is>
          <t>재무활동 현금흐름</t>
        </is>
      </c>
      <c r="E288" s="12" t="n">
        <v>-4874</v>
      </c>
      <c r="I288" s="12" t="n">
        <v>-4310</v>
      </c>
      <c r="M288" s="12" t="n">
        <v>-6072</v>
      </c>
      <c r="O288" s="12" t="n">
        <v>-7669</v>
      </c>
      <c r="P288" s="12" t="n">
        <v>-2340</v>
      </c>
      <c r="Q288" s="12" t="n">
        <v>-12789</v>
      </c>
      <c r="R288" s="12" t="n">
        <v>-5057</v>
      </c>
      <c r="S288" s="12" t="n">
        <v>9288</v>
      </c>
      <c r="T288" s="12" t="n">
        <v>-2940</v>
      </c>
      <c r="U288" s="12" t="n">
        <v>-4077</v>
      </c>
      <c r="V288" s="12" t="n">
        <v>-4874</v>
      </c>
      <c r="W288" s="12" t="n">
        <v>-4310</v>
      </c>
      <c r="X288" s="12" t="n">
        <v>-6072</v>
      </c>
    </row>
    <row r="289">
      <c r="A289" s="18" t="inlineStr">
        <is>
          <t>현금성자산 환산차이</t>
        </is>
      </c>
      <c r="E289" s="20" t="n">
        <v>1160</v>
      </c>
      <c r="I289" s="20" t="n">
        <v>-190</v>
      </c>
      <c r="M289" s="20" t="n">
        <v>898</v>
      </c>
      <c r="O289" s="20" t="n">
        <v>-284</v>
      </c>
      <c r="P289" s="20" t="n">
        <v>126</v>
      </c>
      <c r="Q289" s="20" t="n">
        <v>-26</v>
      </c>
      <c r="R289" s="20" t="n">
        <v>-266</v>
      </c>
      <c r="S289" s="20" t="n">
        <v>491</v>
      </c>
      <c r="T289" s="20" t="n">
        <v>1037</v>
      </c>
      <c r="U289" s="20" t="n">
        <v>751</v>
      </c>
      <c r="V289" s="20" t="n">
        <v>1160</v>
      </c>
      <c r="W289" s="20" t="n">
        <v>-190</v>
      </c>
      <c r="X289" s="20" t="n">
        <v>898</v>
      </c>
    </row>
    <row r="290">
      <c r="A290" s="18" t="inlineStr">
        <is>
          <t>현금성자산 증감</t>
        </is>
      </c>
      <c r="E290" s="20" t="n">
        <v>-11281</v>
      </c>
      <c r="I290" s="20" t="n">
        <v>7736</v>
      </c>
      <c r="M290" s="20" t="n">
        <v>-4549</v>
      </c>
      <c r="O290" s="20" t="n">
        <v>-4487</v>
      </c>
      <c r="P290" s="20" t="n">
        <v>4173</v>
      </c>
      <c r="Q290" s="20" t="n">
        <v>-13152</v>
      </c>
      <c r="R290" s="20" t="n">
        <v>-7085</v>
      </c>
      <c r="S290" s="20" t="n">
        <v>15734</v>
      </c>
      <c r="T290" s="20" t="n">
        <v>5999</v>
      </c>
      <c r="U290" s="20" t="n">
        <v>623</v>
      </c>
      <c r="V290" s="20" t="n">
        <v>-11281</v>
      </c>
      <c r="W290" s="20" t="n">
        <v>7736</v>
      </c>
      <c r="X290" s="20" t="n">
        <v>-4549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5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6349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132019</v>
      </c>
      <c r="D5" s="12" t="n">
        <v>133745</v>
      </c>
      <c r="E5" s="12" t="n">
        <v>125884</v>
      </c>
      <c r="F5" s="12" t="n">
        <v>121364</v>
      </c>
      <c r="G5" s="12" t="n">
        <v>118929</v>
      </c>
      <c r="H5" s="11" t="n">
        <v>116269</v>
      </c>
      <c r="I5" s="12" t="n">
        <v>123646</v>
      </c>
      <c r="J5" s="12" t="n">
        <v>118963</v>
      </c>
      <c r="K5" s="12" t="n">
        <v>124039</v>
      </c>
      <c r="L5" s="12" t="n">
        <v>121364</v>
      </c>
    </row>
    <row r="6">
      <c r="A6" s="18" t="inlineStr">
        <is>
          <t>현금및현금성자산</t>
        </is>
      </c>
      <c r="B6" s="10" t="n"/>
      <c r="C6" s="19" t="n">
        <v>40955</v>
      </c>
      <c r="D6" s="20" t="n">
        <v>44764</v>
      </c>
      <c r="E6" s="20" t="n">
        <v>40401</v>
      </c>
      <c r="F6" s="20" t="n">
        <v>50095</v>
      </c>
      <c r="G6" s="20" t="n">
        <v>45955</v>
      </c>
      <c r="H6" s="19" t="n">
        <v>48296</v>
      </c>
      <c r="I6" s="20" t="n">
        <v>47642</v>
      </c>
      <c r="J6" s="20" t="n">
        <v>39789</v>
      </c>
      <c r="K6" s="20" t="n">
        <v>48148</v>
      </c>
      <c r="L6" s="20" t="n">
        <v>50095</v>
      </c>
    </row>
    <row r="7">
      <c r="A7" s="18" t="inlineStr">
        <is>
          <t>단기금융상품</t>
        </is>
      </c>
      <c r="B7" s="10" t="n"/>
      <c r="C7" s="19" t="n">
        <v>21603</v>
      </c>
      <c r="D7" s="20" t="n">
        <v>19003</v>
      </c>
      <c r="E7" s="20" t="n">
        <v>11743</v>
      </c>
      <c r="F7" s="20" t="n">
        <v>4333</v>
      </c>
      <c r="G7" s="20" t="n">
        <v>4168</v>
      </c>
      <c r="H7" s="19" t="n">
        <v>15622</v>
      </c>
      <c r="I7" s="20" t="n">
        <v>15719</v>
      </c>
      <c r="J7" s="20" t="n">
        <v>10825</v>
      </c>
      <c r="K7" s="20" t="n">
        <v>11321</v>
      </c>
      <c r="L7" s="20" t="n">
        <v>4333</v>
      </c>
    </row>
    <row r="8">
      <c r="A8" s="18" t="inlineStr">
        <is>
          <t>매출채권</t>
        </is>
      </c>
      <c r="B8" s="10" t="n"/>
      <c r="C8" s="19" t="n">
        <v>16072</v>
      </c>
      <c r="D8" s="20" t="n">
        <v>15363</v>
      </c>
      <c r="E8" s="20" t="n">
        <v>18420</v>
      </c>
      <c r="F8" s="20" t="n">
        <v>17738</v>
      </c>
      <c r="G8" s="20" t="n">
        <v>14927</v>
      </c>
      <c r="H8" s="19" t="n">
        <v>15480</v>
      </c>
      <c r="I8" s="20" t="n">
        <v>17614</v>
      </c>
      <c r="J8" s="20" t="n">
        <v>20083</v>
      </c>
      <c r="K8" s="20" t="n">
        <v>16159</v>
      </c>
      <c r="L8" s="20" t="n">
        <v>17738</v>
      </c>
    </row>
    <row r="9">
      <c r="A9" s="18" t="inlineStr">
        <is>
          <t>재고자산</t>
        </is>
      </c>
      <c r="B9" s="10" t="n"/>
      <c r="C9" s="19" t="n">
        <v>46841</v>
      </c>
      <c r="D9" s="20" t="n">
        <v>47455</v>
      </c>
      <c r="E9" s="20" t="n">
        <v>48398</v>
      </c>
      <c r="F9" s="20" t="n">
        <v>44639</v>
      </c>
      <c r="G9" s="20" t="n">
        <v>47939</v>
      </c>
      <c r="H9" s="19" t="n">
        <v>32396</v>
      </c>
      <c r="I9" s="20" t="n">
        <v>37416</v>
      </c>
      <c r="J9" s="20" t="n">
        <v>41944</v>
      </c>
      <c r="K9" s="20" t="n">
        <v>42491</v>
      </c>
      <c r="L9" s="20" t="n">
        <v>44639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49535</v>
      </c>
      <c r="D11" s="12" t="n">
        <v>51977</v>
      </c>
      <c r="E11" s="12" t="n">
        <v>54749</v>
      </c>
      <c r="F11" s="12" t="n">
        <v>56793</v>
      </c>
      <c r="G11" s="12" t="n">
        <v>61579</v>
      </c>
      <c r="H11" s="11" t="n">
        <v>40811</v>
      </c>
      <c r="I11" s="12" t="n">
        <v>41876</v>
      </c>
      <c r="J11" s="12" t="n">
        <v>48625</v>
      </c>
      <c r="K11" s="12" t="n">
        <v>48906</v>
      </c>
      <c r="L11" s="12" t="n">
        <v>56793</v>
      </c>
    </row>
    <row r="12">
      <c r="A12" s="18" t="inlineStr">
        <is>
          <t>유형자산</t>
        </is>
      </c>
      <c r="B12" s="10" t="n"/>
      <c r="C12" s="19" t="n">
        <v>21270</v>
      </c>
      <c r="D12" s="20" t="n">
        <v>22338</v>
      </c>
      <c r="E12" s="20" t="n">
        <v>22645</v>
      </c>
      <c r="F12" s="20" t="n">
        <v>23424</v>
      </c>
      <c r="G12" s="20" t="n">
        <v>23873</v>
      </c>
      <c r="H12" s="19" t="n">
        <v>16966</v>
      </c>
      <c r="I12" s="20" t="n">
        <v>18038</v>
      </c>
      <c r="J12" s="20" t="n">
        <v>18715</v>
      </c>
      <c r="K12" s="20" t="n">
        <v>20782</v>
      </c>
      <c r="L12" s="20" t="n">
        <v>23424</v>
      </c>
    </row>
    <row r="13">
      <c r="A13" s="18" t="inlineStr">
        <is>
          <t>무형자산</t>
        </is>
      </c>
      <c r="B13" s="10" t="n"/>
      <c r="C13" s="19" t="n">
        <v>2296</v>
      </c>
      <c r="D13" s="20" t="n">
        <v>2323</v>
      </c>
      <c r="E13" s="20" t="n">
        <v>2427</v>
      </c>
      <c r="F13" s="20" t="n">
        <v>2447</v>
      </c>
      <c r="G13" s="20" t="n">
        <v>2404</v>
      </c>
      <c r="H13" s="19" t="n">
        <v>3937</v>
      </c>
      <c r="I13" s="20" t="n">
        <v>3271</v>
      </c>
      <c r="J13" s="20" t="n">
        <v>1290</v>
      </c>
      <c r="K13" s="20" t="n">
        <v>2540</v>
      </c>
      <c r="L13" s="20" t="n">
        <v>2447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181555</v>
      </c>
      <c r="D16" s="12" t="n">
        <v>185723</v>
      </c>
      <c r="E16" s="12" t="n">
        <v>180633</v>
      </c>
      <c r="F16" s="12" t="n">
        <v>178158</v>
      </c>
      <c r="G16" s="12" t="n">
        <v>180509</v>
      </c>
      <c r="H16" s="11" t="n">
        <v>157081</v>
      </c>
      <c r="I16" s="12" t="n">
        <v>165523</v>
      </c>
      <c r="J16" s="12" t="n">
        <v>167588</v>
      </c>
      <c r="K16" s="12" t="n">
        <v>172946</v>
      </c>
      <c r="L16" s="12" t="n">
        <v>178158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54751</v>
      </c>
      <c r="D18" s="12" t="n">
        <v>55432</v>
      </c>
      <c r="E18" s="12" t="n">
        <v>46183</v>
      </c>
      <c r="F18" s="12" t="n">
        <v>40646</v>
      </c>
      <c r="G18" s="12" t="n">
        <v>39756</v>
      </c>
      <c r="H18" s="11" t="n">
        <v>39049</v>
      </c>
      <c r="I18" s="12" t="n">
        <v>44362</v>
      </c>
      <c r="J18" s="12" t="n">
        <v>37719</v>
      </c>
      <c r="K18" s="12" t="n">
        <v>53178</v>
      </c>
      <c r="L18" s="12" t="n">
        <v>40646</v>
      </c>
    </row>
    <row r="19">
      <c r="A19" s="18" t="inlineStr">
        <is>
          <t>매입채무</t>
        </is>
      </c>
      <c r="B19" s="10" t="n"/>
      <c r="C19" s="19" t="n">
        <v>6506</v>
      </c>
      <c r="D19" s="20" t="n">
        <v>6035</v>
      </c>
      <c r="E19" s="20" t="n">
        <v>7419</v>
      </c>
      <c r="F19" s="20" t="n">
        <v>7198</v>
      </c>
      <c r="G19" s="20" t="n">
        <v>6959</v>
      </c>
      <c r="H19" s="19" t="n">
        <v>6576</v>
      </c>
      <c r="I19" s="20" t="n">
        <v>8298</v>
      </c>
      <c r="J19" s="20" t="n">
        <v>7101</v>
      </c>
      <c r="K19" s="20" t="n">
        <v>7442</v>
      </c>
      <c r="L19" s="20" t="n">
        <v>7198</v>
      </c>
    </row>
    <row r="20">
      <c r="A20" s="18" t="inlineStr">
        <is>
          <t>단기차입금</t>
        </is>
      </c>
      <c r="B20" s="10" t="n"/>
      <c r="C20" s="19" t="n">
        <v>863</v>
      </c>
      <c r="D20" s="20" t="n">
        <v>1135</v>
      </c>
      <c r="E20" s="20" t="n">
        <v>697</v>
      </c>
      <c r="F20" s="20" t="n">
        <v>101</v>
      </c>
      <c r="G20" s="20" t="n">
        <v>1307</v>
      </c>
      <c r="H20" s="19" t="n">
        <v>850</v>
      </c>
      <c r="I20" s="20" t="n">
        <v>377</v>
      </c>
      <c r="J20" s="20" t="n">
        <v>620</v>
      </c>
      <c r="K20" s="20" t="n">
        <v>191</v>
      </c>
      <c r="L20" s="20" t="n">
        <v>101</v>
      </c>
    </row>
    <row r="21">
      <c r="A21" s="18" t="inlineStr">
        <is>
          <t>유동성장기부채</t>
        </is>
      </c>
      <c r="B21" s="10" t="n"/>
      <c r="C21" s="19" t="n">
        <v>10000</v>
      </c>
      <c r="D21" s="20" t="n">
        <v>10000</v>
      </c>
      <c r="E21" s="20" t="n">
        <v>0</v>
      </c>
      <c r="F21" s="20" t="n">
        <v>0</v>
      </c>
      <c r="G21" s="20" t="n"/>
      <c r="H21" s="19" t="n"/>
      <c r="I21" s="20" t="n"/>
      <c r="J21" s="20" t="n">
        <v>0</v>
      </c>
      <c r="K21" s="20" t="n">
        <v>10000</v>
      </c>
      <c r="L21" s="20" t="n">
        <v>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13468</v>
      </c>
      <c r="D23" s="12" t="n">
        <v>13660</v>
      </c>
      <c r="E23" s="12" t="n">
        <v>14698</v>
      </c>
      <c r="F23" s="12" t="n">
        <v>14615</v>
      </c>
      <c r="G23" s="12" t="n">
        <v>15665</v>
      </c>
      <c r="H23" s="11" t="n">
        <v>14649</v>
      </c>
      <c r="I23" s="12" t="n">
        <v>14026</v>
      </c>
      <c r="J23" s="12" t="n">
        <v>15402</v>
      </c>
      <c r="K23" s="12" t="n">
        <v>4269</v>
      </c>
      <c r="L23" s="12" t="n">
        <v>14615</v>
      </c>
    </row>
    <row r="24">
      <c r="A24" s="18" t="inlineStr">
        <is>
          <t>장기차입금</t>
        </is>
      </c>
      <c r="B24" s="10" t="n"/>
      <c r="C24" s="19" t="n">
        <v>101</v>
      </c>
      <c r="D24" s="20" t="n">
        <v>87</v>
      </c>
      <c r="E24" s="20" t="n">
        <v>77</v>
      </c>
      <c r="F24" s="20" t="n">
        <v>57</v>
      </c>
      <c r="G24" s="20" t="n">
        <v>38</v>
      </c>
      <c r="H24" s="19" t="n">
        <v>357</v>
      </c>
      <c r="I24" s="20" t="n">
        <v>238</v>
      </c>
      <c r="J24" s="20" t="n">
        <v>181</v>
      </c>
      <c r="K24" s="20" t="n">
        <v>114</v>
      </c>
      <c r="L24" s="20" t="n">
        <v>57</v>
      </c>
    </row>
    <row r="25">
      <c r="A25" s="18" t="inlineStr">
        <is>
          <t>사채</t>
        </is>
      </c>
      <c r="B25" s="10" t="n"/>
      <c r="C25" s="19" t="n">
        <v>9000</v>
      </c>
      <c r="D25" s="20" t="n">
        <v>9000</v>
      </c>
      <c r="E25" s="20" t="n">
        <v>9000</v>
      </c>
      <c r="F25" s="20" t="n">
        <v>9000</v>
      </c>
      <c r="G25" s="20" t="n">
        <v>9000</v>
      </c>
      <c r="H25" s="19" t="n">
        <v>10000</v>
      </c>
      <c r="I25" s="20" t="n">
        <v>10000</v>
      </c>
      <c r="J25" s="20" t="n">
        <v>10000</v>
      </c>
      <c r="K25" s="20" t="n">
        <v>0</v>
      </c>
      <c r="L25" s="20" t="n">
        <v>9000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68220</v>
      </c>
      <c r="D27" s="12" t="n">
        <v>69092</v>
      </c>
      <c r="E27" s="12" t="n">
        <v>60882</v>
      </c>
      <c r="F27" s="12" t="n">
        <v>55261</v>
      </c>
      <c r="G27" s="12" t="n">
        <v>55421</v>
      </c>
      <c r="H27" s="11" t="n">
        <v>53698</v>
      </c>
      <c r="I27" s="12" t="n">
        <v>58389</v>
      </c>
      <c r="J27" s="12" t="n">
        <v>53121</v>
      </c>
      <c r="K27" s="12" t="n">
        <v>57447</v>
      </c>
      <c r="L27" s="12" t="n">
        <v>55261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113335</v>
      </c>
      <c r="D31" s="12" t="n">
        <v>116630</v>
      </c>
      <c r="E31" s="12" t="n">
        <v>119750</v>
      </c>
      <c r="F31" s="12" t="n">
        <v>122896</v>
      </c>
      <c r="G31" s="12" t="n">
        <v>125087</v>
      </c>
      <c r="H31" s="11" t="n">
        <v>103287</v>
      </c>
      <c r="I31" s="12" t="n">
        <v>106965</v>
      </c>
      <c r="J31" s="12" t="n">
        <v>114467</v>
      </c>
      <c r="K31" s="12" t="n">
        <v>115498</v>
      </c>
      <c r="L31" s="12" t="n">
        <v>122896</v>
      </c>
    </row>
    <row r="32">
      <c r="A32" s="18" t="inlineStr">
        <is>
          <t>자본금</t>
        </is>
      </c>
      <c r="B32" s="10" t="n"/>
      <c r="C32" s="19" t="n">
        <v>37714</v>
      </c>
      <c r="D32" s="20" t="n">
        <v>37714</v>
      </c>
      <c r="E32" s="20" t="n">
        <v>37714</v>
      </c>
      <c r="F32" s="20" t="n">
        <v>37714</v>
      </c>
      <c r="G32" s="20" t="n">
        <v>37714</v>
      </c>
      <c r="H32" s="19" t="n">
        <v>37714</v>
      </c>
      <c r="I32" s="20" t="n">
        <v>37714</v>
      </c>
      <c r="J32" s="20" t="n">
        <v>37714</v>
      </c>
      <c r="K32" s="20" t="n">
        <v>37714</v>
      </c>
      <c r="L32" s="20" t="n">
        <v>37714</v>
      </c>
    </row>
    <row r="33">
      <c r="A33" s="18" t="inlineStr">
        <is>
          <t>이익잉여금</t>
        </is>
      </c>
      <c r="B33" s="10" t="n"/>
      <c r="C33" s="19" t="n">
        <v>29168</v>
      </c>
      <c r="D33" s="20" t="n">
        <v>31097</v>
      </c>
      <c r="E33" s="20" t="n">
        <v>32220</v>
      </c>
      <c r="F33" s="20" t="n">
        <v>34238</v>
      </c>
      <c r="G33" s="20" t="n">
        <v>32893</v>
      </c>
      <c r="H33" s="19" t="n">
        <v>27416</v>
      </c>
      <c r="I33" s="20" t="n">
        <v>28693</v>
      </c>
      <c r="J33" s="20" t="n">
        <v>29433</v>
      </c>
      <c r="K33" s="20" t="n">
        <v>31305</v>
      </c>
      <c r="L33" s="20" t="n">
        <v>34238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>
        <v>95</v>
      </c>
      <c r="I34" s="20" t="n">
        <v>168</v>
      </c>
      <c r="J34" s="20" t="n">
        <v>0</v>
      </c>
      <c r="K34" s="20" t="n"/>
      <c r="L34" s="20" t="n"/>
    </row>
    <row r="35">
      <c r="A35" s="9" t="inlineStr">
        <is>
          <t>자본총계</t>
        </is>
      </c>
      <c r="B35" s="10" t="n"/>
      <c r="C35" s="11" t="n">
        <v>113335</v>
      </c>
      <c r="D35" s="12" t="n">
        <v>116630</v>
      </c>
      <c r="E35" s="12" t="n">
        <v>119750</v>
      </c>
      <c r="F35" s="12" t="n">
        <v>122896</v>
      </c>
      <c r="G35" s="12" t="n">
        <v>125087</v>
      </c>
      <c r="H35" s="11" t="n">
        <v>103382</v>
      </c>
      <c r="I35" s="12" t="n">
        <v>107133</v>
      </c>
      <c r="J35" s="12" t="n">
        <v>114467</v>
      </c>
      <c r="K35" s="12" t="n">
        <v>115498</v>
      </c>
      <c r="L35" s="12" t="n">
        <v>122896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3533</v>
      </c>
      <c r="G37" s="12" t="n"/>
      <c r="H37" s="11" t="n">
        <v>9281</v>
      </c>
      <c r="I37" s="12" t="n">
        <v>4475</v>
      </c>
      <c r="J37" s="12" t="n">
        <v>-8051</v>
      </c>
      <c r="K37" s="12" t="n">
        <v>17018</v>
      </c>
      <c r="L37" s="12" t="n">
        <v>3533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/>
      <c r="G38" s="20" t="n"/>
      <c r="H38" s="19" t="n"/>
      <c r="I38" s="20" t="n"/>
      <c r="J38" s="20" t="n"/>
      <c r="K38" s="20" t="n"/>
      <c r="L38" s="20" t="n"/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4433</v>
      </c>
      <c r="G40" s="20" t="n"/>
      <c r="H40" s="19" t="n">
        <v>1402</v>
      </c>
      <c r="I40" s="20" t="n">
        <v>3064</v>
      </c>
      <c r="J40" s="20" t="n">
        <v>2439</v>
      </c>
      <c r="K40" s="20" t="n">
        <v>3461</v>
      </c>
      <c r="L40" s="20" t="n">
        <v>4433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IFERROR((IF(COUNT('연간'!G34:J34)&lt;4,"",SUM('연간'!G34:J34)))/(IF(COUNT('연간'!G56:J56)&lt;4,"",SUM('연간'!G56:J56))),"")</f>
        <v/>
      </c>
      <c r="D48" s="31">
        <f>IFERROR((IF(COUNT('연간'!H34:K34)&lt;4,"",SUM('연간'!H34:K34)))/(IF(COUNT('연간'!H56:K56)&lt;4,"",SUM('연간'!H56:K56))),"")</f>
        <v/>
      </c>
      <c r="E48" s="31">
        <f>IFERROR((IF(COUNT('연간'!I34:L34)&lt;4,"",SUM('연간'!I34:L34)))/(IF(COUNT('연간'!I56:L56)&lt;4,"",SUM('연간'!I56:L56))),"")</f>
        <v/>
      </c>
      <c r="F48" s="31">
        <f>IFERROR((IF(COUNT('연간'!J34:M34)&lt;4,"",SUM('연간'!J34:M34)))/(IF(COUNT('연간'!J56:M56)&lt;4,"",SUM('연간'!J56:M56))),"")</f>
        <v/>
      </c>
      <c r="G48" s="31">
        <f>IFERROR((IF(COUNT('연간'!K34:N34)&lt;4,"",SUM('연간'!K34:N34)))/(IF(COUNT('연간'!K56:N56)&lt;4,"",SUM('연간'!K56:N56))),"")</f>
        <v/>
      </c>
      <c r="H48" s="30">
        <f>IFERROR(('연간'!T34)/('연간'!T56),"")</f>
        <v/>
      </c>
      <c r="I48" s="31">
        <f>IFERROR(('연간'!U34)/('연간'!U56),"")</f>
        <v/>
      </c>
      <c r="J48" s="31">
        <f>IFERROR(('연간'!V34)/('연간'!V56),"")</f>
        <v/>
      </c>
      <c r="K48" s="31">
        <f>IFERROR(('연간'!W34)/('연간'!W56),"")</f>
        <v/>
      </c>
      <c r="L48" s="31">
        <f>IFERROR(('연간'!X34)/('연간'!X56),"")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IFERROR(IF((IF(COUNT('연간'!G64:J64)&lt;4,"",SUM('연간'!G64:J64)))&lt;=0,"적자",C28/(IF(COUNT('연간'!G64:J64)&lt;4,"",SUM('연간'!G64:J64)))),"")</f>
        <v/>
      </c>
      <c r="D49" s="47">
        <f>IFERROR(IF((IF(COUNT('연간'!H64:K64)&lt;4,"",SUM('연간'!H64:K64)))&lt;=0,"적자",D28/(IF(COUNT('연간'!H64:K64)&lt;4,"",SUM('연간'!H64:K64)))),"")</f>
        <v/>
      </c>
      <c r="E49" s="47">
        <f>IFERROR(IF((IF(COUNT('연간'!I64:L64)&lt;4,"",SUM('연간'!I64:L64)))&lt;=0,"적자",E28/(IF(COUNT('연간'!I64:L64)&lt;4,"",SUM('연간'!I64:L64)))),"")</f>
        <v/>
      </c>
      <c r="F49" s="47">
        <f>IFERROR(IF((IF(COUNT('연간'!J64:M64)&lt;4,"",SUM('연간'!J64:M64)))&lt;=0,"적자",F28/(IF(COUNT('연간'!J64:M64)&lt;4,"",SUM('연간'!J64:M64)))),"")</f>
        <v/>
      </c>
      <c r="G49" s="47">
        <f>IFERROR(IF((IF(COUNT('연간'!K64:N64)&lt;4,"",SUM('연간'!K64:N64)))&lt;=0,"적자",G28/(IF(COUNT('연간'!K64:N64)&lt;4,"",SUM('연간'!K64:N64)))),"")</f>
        <v/>
      </c>
      <c r="H49" s="46">
        <f>IFERROR(IF(('연간'!T64)&lt;=0,"적자",H28/('연간'!T64)),"")</f>
        <v/>
      </c>
      <c r="I49" s="47">
        <f>IFERROR(IF(('연간'!U64)&lt;=0,"적자",I28/('연간'!U64)),"")</f>
        <v/>
      </c>
      <c r="J49" s="47">
        <f>IFERROR(IF(('연간'!V64)&lt;=0,"적자",J28/('연간'!V64)),"")</f>
        <v/>
      </c>
      <c r="K49" s="47">
        <f>IFERROR(IF(('연간'!W64)&lt;=0,"적자",K28/('연간'!W64)),"")</f>
        <v/>
      </c>
      <c r="L49" s="47">
        <f>IFERROR(IF(('연간'!X64)&lt;=0,"적자",L28/('연간'!X64)),"")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IFERROR((IF(COUNT('연간'!G64:J64)&lt;4,"",SUM('연간'!G64:J64)))/C31,"")</f>
        <v/>
      </c>
      <c r="D51" s="36">
        <f>IFERROR((IF(COUNT('연간'!H64:K64)&lt;4,"",SUM('연간'!H64:K64)))/D31,"")</f>
        <v/>
      </c>
      <c r="E51" s="36">
        <f>IFERROR((IF(COUNT('연간'!I64:L64)&lt;4,"",SUM('연간'!I64:L64)))/E31,"")</f>
        <v/>
      </c>
      <c r="F51" s="36">
        <f>IFERROR((IF(COUNT('연간'!J64:M64)&lt;4,"",SUM('연간'!J64:M64)))/F31,"")</f>
        <v/>
      </c>
      <c r="G51" s="36">
        <f>IFERROR((IF(COUNT('연간'!K64:N64)&lt;4,"",SUM('연간'!K64:N64)))/G31,"")</f>
        <v/>
      </c>
      <c r="H51" s="35">
        <f>IFERROR(('연간'!T64)/H31,"")</f>
        <v/>
      </c>
      <c r="I51" s="36">
        <f>IFERROR(('연간'!U64)/I31,"")</f>
        <v/>
      </c>
      <c r="J51" s="36">
        <f>IFERROR(('연간'!V64)/J31,"")</f>
        <v/>
      </c>
      <c r="K51" s="36">
        <f>IFERROR(('연간'!W64)/K31,"")</f>
        <v/>
      </c>
      <c r="L51" s="36">
        <f>IFERROR(('연간'!X64)/L31,"")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IFERROR((IF(COUNT('연간'!G62:J62)&lt;4,"",SUM('연간'!G62:J62)))/C16,"")</f>
        <v/>
      </c>
      <c r="D52" s="36">
        <f>IFERROR((IF(COUNT('연간'!H62:K62)&lt;4,"",SUM('연간'!H62:K62)))/D16,"")</f>
        <v/>
      </c>
      <c r="E52" s="36">
        <f>IFERROR((IF(COUNT('연간'!I62:L62)&lt;4,"",SUM('연간'!I62:L62)))/E16,"")</f>
        <v/>
      </c>
      <c r="F52" s="36">
        <f>IFERROR((IF(COUNT('연간'!J62:M62)&lt;4,"",SUM('연간'!J62:M62)))/F16,"")</f>
        <v/>
      </c>
      <c r="G52" s="36">
        <f>IFERROR((IF(COUNT('연간'!K62:N62)&lt;4,"",SUM('연간'!K62:N62)))/G16,"")</f>
        <v/>
      </c>
      <c r="H52" s="35">
        <f>IFERROR(('연간'!T62)/H16,"")</f>
        <v/>
      </c>
      <c r="I52" s="36">
        <f>IFERROR(('연간'!U62)/I16,"")</f>
        <v/>
      </c>
      <c r="J52" s="36">
        <f>IFERROR(('연간'!V62)/J16,"")</f>
        <v/>
      </c>
      <c r="K52" s="36">
        <f>IFERROR(('연간'!W62)/K16,"")</f>
        <v/>
      </c>
      <c r="L52" s="36">
        <f>IFERROR(('연간'!X62)/L16,"")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IFERROR((IF(COUNT('연간'!G34:J34)&lt;4,"",SUM('연간'!G34:J34)))*(1-0.3)/(C35+C29),"")</f>
        <v/>
      </c>
      <c r="D53" s="36">
        <f>IFERROR((IF(COUNT('연간'!H34:K34)&lt;4,"",SUM('연간'!H34:K34)))*(1-0.3)/(D35+D29),"")</f>
        <v/>
      </c>
      <c r="E53" s="36">
        <f>IFERROR((IF(COUNT('연간'!I34:L34)&lt;4,"",SUM('연간'!I34:L34)))*(1-0.3)/(E35+E29),"")</f>
        <v/>
      </c>
      <c r="F53" s="36">
        <f>IFERROR((IF(COUNT('연간'!J34:M34)&lt;4,"",SUM('연간'!J34:M34)))*(1-0.3)/(F35+F29),"")</f>
        <v/>
      </c>
      <c r="G53" s="36">
        <f>IFERROR((IF(COUNT('연간'!K34:N34)&lt;4,"",SUM('연간'!K34:N34)))*(1-0.3)/(G35+G29),"")</f>
        <v/>
      </c>
      <c r="H53" s="35">
        <f>IFERROR(('연간'!T34)*(1-0.3)/(H35+H29),"")</f>
        <v/>
      </c>
      <c r="I53" s="36">
        <f>IFERROR(('연간'!U34)*(1-0.3)/(I35+I29),"")</f>
        <v/>
      </c>
      <c r="J53" s="36">
        <f>IFERROR(('연간'!V34)*(1-0.3)/(J35+J29),"")</f>
        <v/>
      </c>
      <c r="K53" s="36">
        <f>IFERROR(('연간'!W34)*(1-0.3)/(K35+K29),"")</f>
        <v/>
      </c>
      <c r="L53" s="36">
        <f>IFERROR(('연간'!X34)*(1-0.3)/(L35+L29),"")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IFERROR((IF(COUNT('연간'!G28:J28)&lt;4,"",SUM('연간'!G28:J28)))/(IF(COUNT('연간'!G4:J4)&lt;4,"",SUM('연간'!G4:J4))),"")</f>
        <v/>
      </c>
      <c r="D54" s="36">
        <f>IFERROR((IF(COUNT('연간'!H28:K28)&lt;4,"",SUM('연간'!H28:K28)))/(IF(COUNT('연간'!H4:K4)&lt;4,"",SUM('연간'!H4:K4))),"")</f>
        <v/>
      </c>
      <c r="E54" s="36">
        <f>IFERROR((IF(COUNT('연간'!I28:L28)&lt;4,"",SUM('연간'!I28:L28)))/(IF(COUNT('연간'!I4:L4)&lt;4,"",SUM('연간'!I4:L4))),"")</f>
        <v/>
      </c>
      <c r="F54" s="36">
        <f>IFERROR((IF(COUNT('연간'!J28:M28)&lt;4,"",SUM('연간'!J28:M28)))/(IF(COUNT('연간'!J4:M4)&lt;4,"",SUM('연간'!J4:M4))),"")</f>
        <v/>
      </c>
      <c r="G54" s="36">
        <f>IFERROR((IF(COUNT('연간'!K28:N28)&lt;4,"",SUM('연간'!K28:N28)))/(IF(COUNT('연간'!K4:N4)&lt;4,"",SUM('연간'!K4:N4))),"")</f>
        <v/>
      </c>
      <c r="H54" s="35">
        <f>IFERROR(('연간'!T28)/('연간'!T4),"")</f>
        <v/>
      </c>
      <c r="I54" s="36">
        <f>IFERROR(('연간'!U28)/('연간'!U4),"")</f>
        <v/>
      </c>
      <c r="J54" s="36">
        <f>IFERROR(('연간'!V28)/('연간'!V4),"")</f>
        <v/>
      </c>
      <c r="K54" s="36">
        <f>IFERROR(('연간'!W28)/('연간'!W4),"")</f>
        <v/>
      </c>
      <c r="L54" s="36">
        <f>IFERROR(('연간'!X28)/('연간'!X4),"")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IFERROR((IF(COUNT('연간'!G34:J34)&lt;4,"",SUM('연간'!G34:J34)))/(IF(COUNT('연간'!G4:J4)&lt;4,"",SUM('연간'!G4:J4))),"")</f>
        <v/>
      </c>
      <c r="D55" s="36">
        <f>IFERROR((IF(COUNT('연간'!H34:K34)&lt;4,"",SUM('연간'!H34:K34)))/(IF(COUNT('연간'!H4:K4)&lt;4,"",SUM('연간'!H4:K4))),"")</f>
        <v/>
      </c>
      <c r="E55" s="36">
        <f>IFERROR((IF(COUNT('연간'!I34:L34)&lt;4,"",SUM('연간'!I34:L34)))/(IF(COUNT('연간'!I4:L4)&lt;4,"",SUM('연간'!I4:L4))),"")</f>
        <v/>
      </c>
      <c r="F55" s="36">
        <f>IFERROR((IF(COUNT('연간'!J34:M34)&lt;4,"",SUM('연간'!J34:M34)))/(IF(COUNT('연간'!J4:M4)&lt;4,"",SUM('연간'!J4:M4))),"")</f>
        <v/>
      </c>
      <c r="G55" s="36">
        <f>IFERROR((IF(COUNT('연간'!K34:N34)&lt;4,"",SUM('연간'!K34:N34)))/(IF(COUNT('연간'!K4:N4)&lt;4,"",SUM('연간'!K4:N4))),"")</f>
        <v/>
      </c>
      <c r="H55" s="35">
        <f>IFERROR(('연간'!T34)/('연간'!T4),"")</f>
        <v/>
      </c>
      <c r="I55" s="36">
        <f>IFERROR(('연간'!U34)/('연간'!U4),"")</f>
        <v/>
      </c>
      <c r="J55" s="36">
        <f>IFERROR(('연간'!V34)/('연간'!V4),"")</f>
        <v/>
      </c>
      <c r="K55" s="36">
        <f>IFERROR(('연간'!W34)/('연간'!W4),"")</f>
        <v/>
      </c>
      <c r="L55" s="36">
        <f>IFERROR(('연간'!X34)/('연간'!X4),"")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IFERROR((IF(COUNT('연간'!G62:J62)&lt;4,"",SUM('연간'!G62:J62)))/(IF(COUNT('연간'!G4:J4)&lt;4,"",SUM('연간'!G4:J4))),"")</f>
        <v/>
      </c>
      <c r="D56" s="36">
        <f>IFERROR((IF(COUNT('연간'!H62:K62)&lt;4,"",SUM('연간'!H62:K62)))/(IF(COUNT('연간'!H4:K4)&lt;4,"",SUM('연간'!H4:K4))),"")</f>
        <v/>
      </c>
      <c r="E56" s="36">
        <f>IFERROR((IF(COUNT('연간'!I62:L62)&lt;4,"",SUM('연간'!I62:L62)))/(IF(COUNT('연간'!I4:L4)&lt;4,"",SUM('연간'!I4:L4))),"")</f>
        <v/>
      </c>
      <c r="F56" s="36">
        <f>IFERROR((IF(COUNT('연간'!J62:M62)&lt;4,"",SUM('연간'!J62:M62)))/(IF(COUNT('연간'!J4:M4)&lt;4,"",SUM('연간'!J4:M4))),"")</f>
        <v/>
      </c>
      <c r="G56" s="36">
        <f>IFERROR((IF(COUNT('연간'!K62:N62)&lt;4,"",SUM('연간'!K62:N62)))/(IF(COUNT('연간'!K4:N4)&lt;4,"",SUM('연간'!K4:N4))),"")</f>
        <v/>
      </c>
      <c r="H56" s="35">
        <f>IFERROR(('연간'!T62)/('연간'!T4),"")</f>
        <v/>
      </c>
      <c r="I56" s="36">
        <f>IFERROR(('연간'!U62)/('연간'!U4),"")</f>
        <v/>
      </c>
      <c r="J56" s="36">
        <f>IFERROR(('연간'!V62)/('연간'!V4),"")</f>
        <v/>
      </c>
      <c r="K56" s="36">
        <f>IFERROR(('연간'!W62)/('연간'!W4),"")</f>
        <v/>
      </c>
      <c r="L56" s="36">
        <f>IFERROR(('연간'!X62)/('연간'!X4),"")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IFERROR(C9/(IF(COUNT('연간'!G26:J26)&lt;4,"",SUM('연간'!G26:J26)))*365,"")</f>
        <v/>
      </c>
      <c r="D60" s="49">
        <f>IFERROR(D9/(IF(COUNT('연간'!H26:K26)&lt;4,"",SUM('연간'!H26:K26)))*365,"")</f>
        <v/>
      </c>
      <c r="E60" s="49">
        <f>IFERROR(E9/(IF(COUNT('연간'!I26:L26)&lt;4,"",SUM('연간'!I26:L26)))*365,"")</f>
        <v/>
      </c>
      <c r="F60" s="49">
        <f>IFERROR(F9/(IF(COUNT('연간'!J26:M26)&lt;4,"",SUM('연간'!J26:M26)))*365,"")</f>
        <v/>
      </c>
      <c r="G60" s="49">
        <f>IFERROR(G9/(IF(COUNT('연간'!K26:N26)&lt;4,"",SUM('연간'!K26:N26)))*365,"")</f>
        <v/>
      </c>
      <c r="H60" s="48">
        <f>IFERROR(H9/('연간'!T26)*365,"")</f>
        <v/>
      </c>
      <c r="I60" s="49">
        <f>IFERROR(I9/('연간'!U26)*365,"")</f>
        <v/>
      </c>
      <c r="J60" s="49">
        <f>IFERROR(J9/('연간'!V26)*365,"")</f>
        <v/>
      </c>
      <c r="K60" s="49">
        <f>IFERROR(K9/('연간'!W26)*365,"")</f>
        <v/>
      </c>
      <c r="L60" s="49">
        <f>IFERROR(L9/('연간'!X26)*365,"")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IFERROR(C19/(IF(COUNT('연간'!G26:J26)&lt;4,"",SUM('연간'!G26:J26)))*365,"")</f>
        <v/>
      </c>
      <c r="D61" s="49">
        <f>IFERROR(D19/(IF(COUNT('연간'!H26:K26)&lt;4,"",SUM('연간'!H26:K26)))*365,"")</f>
        <v/>
      </c>
      <c r="E61" s="49">
        <f>IFERROR(E19/(IF(COUNT('연간'!I26:L26)&lt;4,"",SUM('연간'!I26:L26)))*365,"")</f>
        <v/>
      </c>
      <c r="F61" s="49">
        <f>IFERROR(F19/(IF(COUNT('연간'!J26:M26)&lt;4,"",SUM('연간'!J26:M26)))*365,"")</f>
        <v/>
      </c>
      <c r="G61" s="49">
        <f>IFERROR(G19/(IF(COUNT('연간'!K26:N26)&lt;4,"",SUM('연간'!K26:N26)))*365,"")</f>
        <v/>
      </c>
      <c r="H61" s="48">
        <f>IFERROR(H19/('연간'!T26)*365,"")</f>
        <v/>
      </c>
      <c r="I61" s="49">
        <f>IFERROR(I19/('연간'!U26)*365,"")</f>
        <v/>
      </c>
      <c r="J61" s="49">
        <f>IFERROR(J19/('연간'!V26)*365,"")</f>
        <v/>
      </c>
      <c r="K61" s="49">
        <f>IFERROR(K19/('연간'!W26)*365,"")</f>
        <v/>
      </c>
      <c r="L61" s="49">
        <f>IFERROR(L19/('연간'!X26)*365,"")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IF(C37="","",IFERROR(C37/(IF(COUNT('연간'!G62:J62)&lt;4,"",SUM('연간'!G62:J62))),""))</f>
        <v/>
      </c>
      <c r="D64" s="31">
        <f>IF(D37="","",IFERROR(D37/(IF(COUNT('연간'!H62:K62)&lt;4,"",SUM('연간'!H62:K62))),""))</f>
        <v/>
      </c>
      <c r="E64" s="31">
        <f>IF(E37="","",IFERROR(E37/(IF(COUNT('연간'!I62:L62)&lt;4,"",SUM('연간'!I62:L62))),""))</f>
        <v/>
      </c>
      <c r="F64" s="31">
        <f>IF(F37="","",IFERROR(F37/(IF(COUNT('연간'!J62:M62)&lt;4,"",SUM('연간'!J62:M62))),""))</f>
        <v/>
      </c>
      <c r="G64" s="31">
        <f>IF(G37="","",IFERROR(G37/(IF(COUNT('연간'!K62:N62)&lt;4,"",SUM('연간'!K62:N62))),""))</f>
        <v/>
      </c>
      <c r="H64" s="30">
        <f>IF(H37="","",IFERROR(H37/('연간'!T62),""))</f>
        <v/>
      </c>
      <c r="I64" s="31">
        <f>IF(I37="","",IFERROR(I37/('연간'!U62),""))</f>
        <v/>
      </c>
      <c r="J64" s="31">
        <f>IF(J37="","",IFERROR(J37/('연간'!V62),""))</f>
        <v/>
      </c>
      <c r="K64" s="31">
        <f>IF(K37="","",IFERROR(K37/('연간'!W62),""))</f>
        <v/>
      </c>
      <c r="L64" s="31">
        <f>IF(L37="","",IFERROR(L37/('연간'!X62),""))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IF(C40="","",IFERROR(C40/(IF(COUNT('연간'!G64:J64)&lt;4,"",SUM('연간'!G64:J64))),""))</f>
        <v/>
      </c>
      <c r="D67" s="36">
        <f>IF(D40="","",IFERROR(D40/(IF(COUNT('연간'!H64:K64)&lt;4,"",SUM('연간'!H64:K64))),""))</f>
        <v/>
      </c>
      <c r="E67" s="36">
        <f>IF(E40="","",IFERROR(E40/(IF(COUNT('연간'!I64:L64)&lt;4,"",SUM('연간'!I64:L64))),""))</f>
        <v/>
      </c>
      <c r="F67" s="36">
        <f>IF(F40="","",IFERROR(F40/(IF(COUNT('연간'!J64:M64)&lt;4,"",SUM('연간'!J64:M64))),""))</f>
        <v/>
      </c>
      <c r="G67" s="36">
        <f>IF(G40="","",IFERROR(G40/(IF(COUNT('연간'!K64:N64)&lt;4,"",SUM('연간'!K64:N64))),""))</f>
        <v/>
      </c>
      <c r="H67" s="35">
        <f>IF(H40="","",IFERROR(H40/('연간'!T64),""))</f>
        <v/>
      </c>
      <c r="I67" s="36">
        <f>IF(I40="","",IFERROR(I40/('연간'!U64),""))</f>
        <v/>
      </c>
      <c r="J67" s="36">
        <f>IF(J40="","",IFERROR(J40/('연간'!V64),""))</f>
        <v/>
      </c>
      <c r="K67" s="36">
        <f>IF(K40="","",IFERROR(K40/('연간'!W64),""))</f>
        <v/>
      </c>
      <c r="L67" s="36">
        <f>IF(L40="","",IFERROR(L40/('연간'!X64),""))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40955</v>
      </c>
      <c r="D71" s="20" t="n">
        <v>44764</v>
      </c>
      <c r="E71" s="20" t="n">
        <v>40401</v>
      </c>
      <c r="F71" s="20" t="n">
        <v>50095</v>
      </c>
      <c r="G71" s="20" t="n">
        <v>45955</v>
      </c>
      <c r="H71" s="20" t="n">
        <v>48296</v>
      </c>
      <c r="I71" s="20" t="n">
        <v>47642</v>
      </c>
      <c r="J71" s="20" t="n">
        <v>39789</v>
      </c>
      <c r="K71" s="20" t="n">
        <v>48148</v>
      </c>
      <c r="L71" s="20" t="n">
        <v>50095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받을어음·매출채권·계약자산</t>
        </is>
      </c>
      <c r="C73" s="20" t="n">
        <v>16072</v>
      </c>
      <c r="D73" s="20" t="n">
        <v>15363</v>
      </c>
      <c r="E73" s="20" t="n">
        <v>18420</v>
      </c>
      <c r="F73" s="20" t="n">
        <v>17738</v>
      </c>
      <c r="G73" s="20" t="n">
        <v>14927</v>
      </c>
      <c r="H73" s="20" t="n">
        <v>15480</v>
      </c>
      <c r="I73" s="20" t="n">
        <v>17614</v>
      </c>
      <c r="J73" s="20" t="n">
        <v>20083</v>
      </c>
      <c r="K73" s="20" t="n">
        <v>16159</v>
      </c>
      <c r="L73" s="20" t="n">
        <v>17738</v>
      </c>
    </row>
    <row r="74">
      <c r="A74" s="18" t="inlineStr">
        <is>
          <t>전자기록채권</t>
        </is>
      </c>
      <c r="C74" s="20" t="n">
        <v>2152</v>
      </c>
      <c r="D74" s="20" t="n">
        <v>2762</v>
      </c>
      <c r="E74" s="20" t="n">
        <v>3433</v>
      </c>
      <c r="F74" s="20" t="n">
        <v>1575</v>
      </c>
      <c r="G74" s="20" t="n">
        <v>1889</v>
      </c>
      <c r="H74" s="20" t="n">
        <v>1871</v>
      </c>
      <c r="I74" s="20" t="n">
        <v>2003</v>
      </c>
      <c r="J74" s="20" t="n">
        <v>2861</v>
      </c>
      <c r="K74" s="20" t="n">
        <v>2231</v>
      </c>
      <c r="L74" s="20" t="n">
        <v>1575</v>
      </c>
    </row>
    <row r="75">
      <c r="A75" s="18" t="inlineStr">
        <is>
          <t>유가증권</t>
        </is>
      </c>
      <c r="C75" s="20" t="n">
        <v>21603</v>
      </c>
      <c r="D75" s="20" t="n">
        <v>19003</v>
      </c>
      <c r="E75" s="20" t="n">
        <v>11743</v>
      </c>
      <c r="F75" s="20" t="n">
        <v>4333</v>
      </c>
      <c r="G75" s="20" t="n">
        <v>4168</v>
      </c>
      <c r="H75" s="20" t="n">
        <v>15622</v>
      </c>
      <c r="I75" s="20" t="n">
        <v>15719</v>
      </c>
      <c r="J75" s="20" t="n">
        <v>10825</v>
      </c>
      <c r="K75" s="20" t="n">
        <v>11321</v>
      </c>
      <c r="L75" s="20" t="n">
        <v>4333</v>
      </c>
    </row>
    <row r="76">
      <c r="A76" s="18" t="inlineStr">
        <is>
          <t>상품·제품</t>
        </is>
      </c>
      <c r="C76" s="20" t="n">
        <v>22996</v>
      </c>
      <c r="D76" s="20" t="n">
        <v>23301</v>
      </c>
      <c r="E76" s="20" t="n">
        <v>22481</v>
      </c>
      <c r="F76" s="20" t="n">
        <v>18608</v>
      </c>
      <c r="G76" s="20" t="n">
        <v>21096</v>
      </c>
      <c r="H76" s="20" t="n">
        <v>13522</v>
      </c>
      <c r="I76" s="20" t="n">
        <v>16429</v>
      </c>
      <c r="J76" s="20" t="n">
        <v>18590</v>
      </c>
      <c r="K76" s="20" t="n">
        <v>21228</v>
      </c>
      <c r="L76" s="20" t="n">
        <v>18608</v>
      </c>
    </row>
    <row r="77">
      <c r="A77" s="18" t="inlineStr">
        <is>
          <t>재공품</t>
        </is>
      </c>
      <c r="C77" s="20" t="n">
        <v>14634</v>
      </c>
      <c r="D77" s="20" t="n">
        <v>15275</v>
      </c>
      <c r="E77" s="20" t="n">
        <v>16465</v>
      </c>
      <c r="F77" s="20" t="n">
        <v>16823</v>
      </c>
      <c r="G77" s="20" t="n">
        <v>17154</v>
      </c>
      <c r="H77" s="20" t="n">
        <v>10794</v>
      </c>
      <c r="I77" s="20" t="n">
        <v>12349</v>
      </c>
      <c r="J77" s="20" t="n">
        <v>14026</v>
      </c>
      <c r="K77" s="20" t="n">
        <v>12378</v>
      </c>
      <c r="L77" s="20" t="n">
        <v>16823</v>
      </c>
    </row>
    <row r="78">
      <c r="A78" s="18" t="inlineStr">
        <is>
          <t>원재료·저장품</t>
        </is>
      </c>
      <c r="C78" s="20" t="n">
        <v>9211</v>
      </c>
      <c r="D78" s="20" t="n">
        <v>8879</v>
      </c>
      <c r="E78" s="20" t="n">
        <v>9452</v>
      </c>
      <c r="F78" s="20" t="n">
        <v>9208</v>
      </c>
      <c r="G78" s="20" t="n">
        <v>9689</v>
      </c>
      <c r="H78" s="20" t="n">
        <v>8080</v>
      </c>
      <c r="I78" s="20" t="n">
        <v>8638</v>
      </c>
      <c r="J78" s="20" t="n">
        <v>9328</v>
      </c>
      <c r="K78" s="20" t="n">
        <v>8885</v>
      </c>
      <c r="L78" s="20" t="n">
        <v>9208</v>
      </c>
    </row>
    <row r="79">
      <c r="A79" s="18" t="inlineStr">
        <is>
          <t>Current Portion Of Insurance Funds CA</t>
        </is>
      </c>
      <c r="H79" s="20" t="n">
        <v>68</v>
      </c>
      <c r="I79" s="20" t="n">
        <v>0</v>
      </c>
    </row>
    <row r="80">
      <c r="A80" s="18" t="inlineStr">
        <is>
          <t>기타</t>
        </is>
      </c>
      <c r="C80" s="20" t="n">
        <v>4674</v>
      </c>
      <c r="D80" s="20" t="n">
        <v>4693</v>
      </c>
      <c r="E80" s="20" t="n">
        <v>3793</v>
      </c>
      <c r="F80" s="20" t="n">
        <v>3464</v>
      </c>
      <c r="G80" s="20" t="n">
        <v>4568</v>
      </c>
      <c r="H80" s="20" t="n">
        <v>3024</v>
      </c>
      <c r="I80" s="20" t="n">
        <v>3528</v>
      </c>
      <c r="J80" s="20" t="n">
        <v>3831</v>
      </c>
      <c r="K80" s="20" t="n">
        <v>3993</v>
      </c>
      <c r="L80" s="20" t="n">
        <v>3464</v>
      </c>
    </row>
    <row r="81">
      <c r="A81" s="18" t="inlineStr">
        <is>
          <t>대손충당금</t>
        </is>
      </c>
      <c r="C81" s="20" t="n">
        <v>-281</v>
      </c>
      <c r="D81" s="20" t="n">
        <v>-297</v>
      </c>
      <c r="E81" s="20" t="n">
        <v>-309</v>
      </c>
      <c r="F81" s="20" t="n">
        <v>-484</v>
      </c>
      <c r="G81" s="20" t="n">
        <v>-519</v>
      </c>
      <c r="H81" s="20" t="n">
        <v>-490</v>
      </c>
      <c r="I81" s="20" t="n">
        <v>-279</v>
      </c>
      <c r="J81" s="20" t="n">
        <v>-373</v>
      </c>
      <c r="K81" s="20" t="n">
        <v>-307</v>
      </c>
      <c r="L81" s="20" t="n">
        <v>-484</v>
      </c>
    </row>
    <row r="82">
      <c r="A82" s="9" t="inlineStr">
        <is>
          <t>유동자산 합계</t>
        </is>
      </c>
      <c r="C82" s="12" t="n">
        <v>132019</v>
      </c>
      <c r="D82" s="12" t="n">
        <v>133745</v>
      </c>
      <c r="E82" s="12" t="n">
        <v>125884</v>
      </c>
      <c r="F82" s="12" t="n">
        <v>121364</v>
      </c>
      <c r="G82" s="12" t="n">
        <v>118929</v>
      </c>
      <c r="H82" s="12" t="n">
        <v>116269</v>
      </c>
      <c r="I82" s="12" t="n">
        <v>123646</v>
      </c>
      <c r="J82" s="12" t="n">
        <v>118963</v>
      </c>
      <c r="K82" s="12" t="n">
        <v>124039</v>
      </c>
      <c r="L82" s="12" t="n">
        <v>121364</v>
      </c>
    </row>
    <row r="83">
      <c r="A83" s="18" t="inlineStr">
        <is>
          <t>건물·구축물</t>
        </is>
      </c>
      <c r="F83" s="20" t="n">
        <v>28920</v>
      </c>
      <c r="H83" s="20" t="n">
        <v>28616</v>
      </c>
      <c r="I83" s="20" t="n">
        <v>27542</v>
      </c>
      <c r="J83" s="20" t="n">
        <v>28466</v>
      </c>
      <c r="K83" s="20" t="n">
        <v>28756</v>
      </c>
      <c r="L83" s="20" t="n">
        <v>28920</v>
      </c>
    </row>
    <row r="84">
      <c r="A84" s="18" t="inlineStr">
        <is>
          <t>감가상각누계액</t>
        </is>
      </c>
      <c r="F84" s="20" t="n">
        <v>-22086</v>
      </c>
      <c r="H84" s="20" t="n">
        <v>-23579</v>
      </c>
      <c r="I84" s="20" t="n">
        <v>-21596</v>
      </c>
      <c r="J84" s="20" t="n">
        <v>-22111</v>
      </c>
      <c r="K84" s="20" t="n">
        <v>-22505</v>
      </c>
      <c r="L84" s="20" t="n">
        <v>-22086</v>
      </c>
    </row>
    <row r="85">
      <c r="A85" s="18" t="inlineStr">
        <is>
          <t>건물·구축물(순액)</t>
        </is>
      </c>
      <c r="F85" s="20" t="n">
        <v>6834</v>
      </c>
      <c r="H85" s="20" t="n">
        <v>5036</v>
      </c>
      <c r="I85" s="20" t="n">
        <v>5945</v>
      </c>
      <c r="J85" s="20" t="n">
        <v>6355</v>
      </c>
      <c r="K85" s="20" t="n">
        <v>6251</v>
      </c>
      <c r="L85" s="20" t="n">
        <v>6834</v>
      </c>
    </row>
    <row r="86">
      <c r="A86" s="18" t="inlineStr">
        <is>
          <t>기계장치·운반구</t>
        </is>
      </c>
      <c r="F86" s="20" t="n">
        <v>18214</v>
      </c>
      <c r="H86" s="20" t="n">
        <v>16132</v>
      </c>
      <c r="I86" s="20" t="n">
        <v>14921</v>
      </c>
      <c r="J86" s="20" t="n">
        <v>15676</v>
      </c>
      <c r="K86" s="20" t="n">
        <v>17043</v>
      </c>
      <c r="L86" s="20" t="n">
        <v>18214</v>
      </c>
    </row>
    <row r="87">
      <c r="A87" s="18" t="inlineStr">
        <is>
          <t>감가상각누계액</t>
        </is>
      </c>
      <c r="F87" s="20" t="n">
        <v>-14870</v>
      </c>
      <c r="H87" s="20" t="n">
        <v>-14441</v>
      </c>
      <c r="I87" s="20" t="n">
        <v>-13134</v>
      </c>
      <c r="J87" s="20" t="n">
        <v>-13518</v>
      </c>
      <c r="K87" s="20" t="n">
        <v>-13834</v>
      </c>
      <c r="L87" s="20" t="n">
        <v>-14870</v>
      </c>
    </row>
    <row r="88">
      <c r="A88" s="18" t="inlineStr">
        <is>
          <t>기계장치·운반구(순액)</t>
        </is>
      </c>
      <c r="F88" s="20" t="n">
        <v>3343</v>
      </c>
      <c r="H88" s="20" t="n">
        <v>1690</v>
      </c>
      <c r="I88" s="20" t="n">
        <v>1787</v>
      </c>
      <c r="J88" s="20" t="n">
        <v>2158</v>
      </c>
      <c r="K88" s="20" t="n">
        <v>3209</v>
      </c>
      <c r="L88" s="20" t="n">
        <v>3343</v>
      </c>
    </row>
    <row r="89">
      <c r="A89" s="18" t="inlineStr">
        <is>
          <t>토지</t>
        </is>
      </c>
      <c r="C89" s="20" t="n">
        <v>8261</v>
      </c>
      <c r="D89" s="20" t="n">
        <v>8981</v>
      </c>
      <c r="E89" s="20" t="n">
        <v>9058</v>
      </c>
      <c r="F89" s="20" t="n">
        <v>8625</v>
      </c>
      <c r="G89" s="20" t="n">
        <v>8684</v>
      </c>
      <c r="H89" s="20" t="n">
        <v>8315</v>
      </c>
      <c r="I89" s="20" t="n">
        <v>8384</v>
      </c>
      <c r="J89" s="20" t="n">
        <v>8395</v>
      </c>
      <c r="K89" s="20" t="n">
        <v>8221</v>
      </c>
      <c r="L89" s="20" t="n">
        <v>8625</v>
      </c>
    </row>
    <row r="90">
      <c r="A90" s="18" t="inlineStr">
        <is>
          <t>리스자산</t>
        </is>
      </c>
      <c r="F90" s="20" t="n">
        <v>3503</v>
      </c>
      <c r="J90" s="20" t="n">
        <v>1736</v>
      </c>
      <c r="K90" s="20" t="n">
        <v>2845</v>
      </c>
      <c r="L90" s="20" t="n">
        <v>3503</v>
      </c>
    </row>
    <row r="91">
      <c r="A91" s="18" t="inlineStr">
        <is>
          <t>감가상각누계액</t>
        </is>
      </c>
      <c r="F91" s="20" t="n">
        <v>-1303</v>
      </c>
      <c r="J91" s="20" t="n">
        <v>-991</v>
      </c>
      <c r="K91" s="20" t="n">
        <v>-975</v>
      </c>
      <c r="L91" s="20" t="n">
        <v>-1303</v>
      </c>
    </row>
    <row r="92">
      <c r="A92" s="18" t="inlineStr">
        <is>
          <t>리스자산(순액)</t>
        </is>
      </c>
      <c r="F92" s="20" t="n">
        <v>2200</v>
      </c>
      <c r="J92" s="20" t="n">
        <v>744</v>
      </c>
      <c r="K92" s="20" t="n">
        <v>1870</v>
      </c>
      <c r="L92" s="20" t="n">
        <v>2200</v>
      </c>
    </row>
    <row r="93">
      <c r="A93" s="18" t="inlineStr">
        <is>
          <t>건설중인자산</t>
        </is>
      </c>
      <c r="F93" s="20" t="n">
        <v>1106</v>
      </c>
      <c r="H93" s="20" t="n">
        <v>620</v>
      </c>
      <c r="I93" s="20" t="n">
        <v>433</v>
      </c>
      <c r="J93" s="20" t="n">
        <v>122</v>
      </c>
      <c r="K93" s="20" t="n">
        <v>88</v>
      </c>
      <c r="L93" s="20" t="n">
        <v>1106</v>
      </c>
    </row>
    <row r="94">
      <c r="A94" s="18" t="inlineStr">
        <is>
          <t>기타</t>
        </is>
      </c>
      <c r="F94" s="20" t="n">
        <v>7063</v>
      </c>
      <c r="H94" s="20" t="n">
        <v>8048</v>
      </c>
      <c r="I94" s="20" t="n">
        <v>8635</v>
      </c>
      <c r="J94" s="20" t="n">
        <v>7475</v>
      </c>
      <c r="K94" s="20" t="n">
        <v>7731</v>
      </c>
      <c r="L94" s="20" t="n">
        <v>7063</v>
      </c>
    </row>
    <row r="95">
      <c r="A95" s="18" t="inlineStr">
        <is>
          <t>감가상각누계액</t>
        </is>
      </c>
      <c r="F95" s="20" t="n">
        <v>-5748</v>
      </c>
      <c r="H95" s="20" t="n">
        <v>-6744</v>
      </c>
      <c r="I95" s="20" t="n">
        <v>-7148</v>
      </c>
      <c r="J95" s="20" t="n">
        <v>-6536</v>
      </c>
      <c r="K95" s="20" t="n">
        <v>-6589</v>
      </c>
      <c r="L95" s="20" t="n">
        <v>-5748</v>
      </c>
    </row>
    <row r="96">
      <c r="A96" s="18" t="inlineStr">
        <is>
          <t>기타(순액)</t>
        </is>
      </c>
      <c r="C96" s="20" t="n">
        <v>13008</v>
      </c>
      <c r="D96" s="20" t="n">
        <v>13356</v>
      </c>
      <c r="E96" s="20" t="n">
        <v>13586</v>
      </c>
      <c r="F96" s="20" t="n">
        <v>14799</v>
      </c>
      <c r="G96" s="20" t="n">
        <v>15188</v>
      </c>
      <c r="H96" s="20" t="n">
        <v>1303</v>
      </c>
      <c r="I96" s="20" t="n">
        <v>1486</v>
      </c>
      <c r="J96" s="20" t="n">
        <v>939</v>
      </c>
      <c r="K96" s="20" t="n">
        <v>1141</v>
      </c>
      <c r="L96" s="20" t="n">
        <v>14799</v>
      </c>
    </row>
    <row r="97">
      <c r="A97" s="18" t="inlineStr">
        <is>
          <t>유형자산 합계</t>
        </is>
      </c>
      <c r="C97" s="20" t="n">
        <v>21270</v>
      </c>
      <c r="D97" s="20" t="n">
        <v>22338</v>
      </c>
      <c r="E97" s="20" t="n">
        <v>22645</v>
      </c>
      <c r="F97" s="20" t="n">
        <v>23424</v>
      </c>
      <c r="G97" s="20" t="n">
        <v>23873</v>
      </c>
      <c r="H97" s="20" t="n">
        <v>16966</v>
      </c>
      <c r="I97" s="20" t="n">
        <v>18038</v>
      </c>
      <c r="J97" s="20" t="n">
        <v>18715</v>
      </c>
      <c r="K97" s="20" t="n">
        <v>20782</v>
      </c>
      <c r="L97" s="20" t="n">
        <v>23424</v>
      </c>
    </row>
    <row r="98">
      <c r="A98" s="18" t="inlineStr">
        <is>
          <t>영업권</t>
        </is>
      </c>
      <c r="C98" s="20" t="n">
        <v>1035</v>
      </c>
      <c r="D98" s="20" t="n">
        <v>997</v>
      </c>
      <c r="E98" s="20" t="n">
        <v>1088</v>
      </c>
      <c r="F98" s="20" t="n">
        <v>939</v>
      </c>
      <c r="G98" s="20" t="n">
        <v>896</v>
      </c>
      <c r="H98" s="20" t="n">
        <v>2427</v>
      </c>
      <c r="I98" s="20" t="n">
        <v>2085</v>
      </c>
      <c r="J98" s="20" t="n">
        <v>319</v>
      </c>
      <c r="K98" s="20" t="n">
        <v>1038</v>
      </c>
      <c r="L98" s="20" t="n">
        <v>939</v>
      </c>
    </row>
    <row r="99">
      <c r="A99" s="18" t="inlineStr">
        <is>
          <t>기타</t>
        </is>
      </c>
      <c r="C99" s="20" t="n">
        <v>1261</v>
      </c>
      <c r="D99" s="20" t="n">
        <v>1325</v>
      </c>
      <c r="E99" s="20" t="n">
        <v>1339</v>
      </c>
      <c r="F99" s="20" t="n">
        <v>1507</v>
      </c>
      <c r="G99" s="20" t="n">
        <v>1507</v>
      </c>
      <c r="H99" s="20" t="n">
        <v>1509</v>
      </c>
      <c r="I99" s="20" t="n">
        <v>1186</v>
      </c>
      <c r="J99" s="20" t="n">
        <v>970</v>
      </c>
      <c r="K99" s="20" t="n">
        <v>1502</v>
      </c>
      <c r="L99" s="20" t="n">
        <v>1507</v>
      </c>
    </row>
    <row r="100">
      <c r="A100" s="18" t="inlineStr">
        <is>
          <t>무형자산 합계</t>
        </is>
      </c>
      <c r="C100" s="20" t="n">
        <v>2296</v>
      </c>
      <c r="D100" s="20" t="n">
        <v>2323</v>
      </c>
      <c r="E100" s="20" t="n">
        <v>2427</v>
      </c>
      <c r="F100" s="20" t="n">
        <v>2447</v>
      </c>
      <c r="G100" s="20" t="n">
        <v>2404</v>
      </c>
      <c r="H100" s="20" t="n">
        <v>3937</v>
      </c>
      <c r="I100" s="20" t="n">
        <v>3271</v>
      </c>
      <c r="J100" s="20" t="n">
        <v>1290</v>
      </c>
      <c r="K100" s="20" t="n">
        <v>2540</v>
      </c>
      <c r="L100" s="20" t="n">
        <v>2447</v>
      </c>
    </row>
    <row r="101">
      <c r="A101" s="18" t="inlineStr">
        <is>
          <t>투자유가증권</t>
        </is>
      </c>
      <c r="F101" s="20" t="n">
        <v>17828</v>
      </c>
      <c r="H101" s="20" t="n">
        <v>9384</v>
      </c>
      <c r="I101" s="20" t="n">
        <v>10370</v>
      </c>
      <c r="J101" s="20" t="n">
        <v>17716</v>
      </c>
      <c r="K101" s="20" t="n">
        <v>13749</v>
      </c>
      <c r="L101" s="20" t="n">
        <v>17828</v>
      </c>
    </row>
    <row r="102">
      <c r="A102" s="18" t="inlineStr">
        <is>
          <t>이연법인세자산</t>
        </is>
      </c>
      <c r="F102" s="20" t="n">
        <v>1489</v>
      </c>
      <c r="H102" s="20" t="n">
        <v>1088</v>
      </c>
      <c r="I102" s="20" t="n">
        <v>1233</v>
      </c>
      <c r="J102" s="20" t="n">
        <v>1235</v>
      </c>
      <c r="K102" s="20" t="n">
        <v>1318</v>
      </c>
      <c r="L102" s="20" t="n">
        <v>1489</v>
      </c>
    </row>
    <row r="103">
      <c r="A103" s="18" t="inlineStr">
        <is>
          <t>보험적립금</t>
        </is>
      </c>
      <c r="F103" s="20" t="n">
        <v>6872</v>
      </c>
      <c r="H103" s="20" t="n">
        <v>7171</v>
      </c>
      <c r="I103" s="20" t="n">
        <v>7231</v>
      </c>
      <c r="J103" s="20" t="n">
        <v>7075</v>
      </c>
      <c r="K103" s="20" t="n">
        <v>7045</v>
      </c>
      <c r="L103" s="20" t="n">
        <v>6872</v>
      </c>
    </row>
    <row r="104">
      <c r="A104" s="18" t="inlineStr">
        <is>
          <t>퇴직급여자산</t>
        </is>
      </c>
      <c r="F104" s="20" t="n">
        <v>3880</v>
      </c>
      <c r="H104" s="20" t="n">
        <v>1784</v>
      </c>
      <c r="I104" s="20" t="n">
        <v>1302</v>
      </c>
      <c r="J104" s="20" t="n">
        <v>2176</v>
      </c>
      <c r="K104" s="20" t="n">
        <v>3125</v>
      </c>
      <c r="L104" s="20" t="n">
        <v>3880</v>
      </c>
    </row>
    <row r="105">
      <c r="A105" s="18" t="inlineStr">
        <is>
          <t>기타</t>
        </is>
      </c>
      <c r="F105" s="20" t="n">
        <v>920</v>
      </c>
      <c r="H105" s="20" t="n">
        <v>543</v>
      </c>
      <c r="I105" s="20" t="n">
        <v>510</v>
      </c>
      <c r="J105" s="20" t="n">
        <v>495</v>
      </c>
      <c r="K105" s="20" t="n">
        <v>424</v>
      </c>
      <c r="L105" s="20" t="n">
        <v>920</v>
      </c>
    </row>
    <row r="106">
      <c r="A106" s="18" t="inlineStr">
        <is>
          <t>대손충당금</t>
        </is>
      </c>
      <c r="F106" s="20" t="n">
        <v>-69</v>
      </c>
      <c r="H106" s="20" t="n">
        <v>-65</v>
      </c>
      <c r="I106" s="20" t="n">
        <v>-83</v>
      </c>
      <c r="J106" s="20" t="n">
        <v>-80</v>
      </c>
      <c r="K106" s="20" t="n">
        <v>-81</v>
      </c>
      <c r="L106" s="20" t="n">
        <v>-69</v>
      </c>
    </row>
    <row r="107">
      <c r="A107" s="18" t="inlineStr">
        <is>
          <t>투자 및 기타자산</t>
        </is>
      </c>
      <c r="C107" s="20" t="n">
        <v>25968</v>
      </c>
      <c r="D107" s="20" t="n">
        <v>27316</v>
      </c>
      <c r="E107" s="20" t="n">
        <v>29676</v>
      </c>
      <c r="F107" s="20" t="n">
        <v>30921</v>
      </c>
      <c r="G107" s="20" t="n">
        <v>35301</v>
      </c>
      <c r="H107" s="20" t="n">
        <v>19907</v>
      </c>
      <c r="I107" s="20" t="n">
        <v>20565</v>
      </c>
      <c r="J107" s="20" t="n">
        <v>28619</v>
      </c>
      <c r="K107" s="20" t="n">
        <v>25582</v>
      </c>
      <c r="L107" s="20" t="n">
        <v>30921</v>
      </c>
    </row>
    <row r="108">
      <c r="A108" s="9" t="inlineStr">
        <is>
          <t>비유동자산 합계</t>
        </is>
      </c>
      <c r="C108" s="12" t="n">
        <v>49535</v>
      </c>
      <c r="D108" s="12" t="n">
        <v>51977</v>
      </c>
      <c r="E108" s="12" t="n">
        <v>54749</v>
      </c>
      <c r="F108" s="12" t="n">
        <v>56793</v>
      </c>
      <c r="G108" s="12" t="n">
        <v>61579</v>
      </c>
      <c r="H108" s="12" t="n">
        <v>40811</v>
      </c>
      <c r="I108" s="12" t="n">
        <v>41876</v>
      </c>
      <c r="J108" s="12" t="n">
        <v>48625</v>
      </c>
      <c r="K108" s="12" t="n">
        <v>48906</v>
      </c>
      <c r="L108" s="12" t="n">
        <v>56793</v>
      </c>
    </row>
    <row r="109">
      <c r="A109" s="9" t="inlineStr">
        <is>
          <t>자산 합계</t>
        </is>
      </c>
      <c r="C109" s="12" t="n">
        <v>181555</v>
      </c>
      <c r="D109" s="12" t="n">
        <v>185723</v>
      </c>
      <c r="E109" s="12" t="n">
        <v>180633</v>
      </c>
      <c r="F109" s="12" t="n">
        <v>178158</v>
      </c>
      <c r="G109" s="12" t="n">
        <v>180509</v>
      </c>
      <c r="H109" s="12" t="n">
        <v>157081</v>
      </c>
      <c r="I109" s="12" t="n">
        <v>165523</v>
      </c>
      <c r="J109" s="12" t="n">
        <v>167588</v>
      </c>
      <c r="K109" s="12" t="n">
        <v>172946</v>
      </c>
      <c r="L109" s="12" t="n">
        <v>178158</v>
      </c>
    </row>
    <row r="110">
      <c r="A110" s="18" t="inlineStr">
        <is>
          <t>지급어음·매입채무</t>
        </is>
      </c>
      <c r="C110" s="20" t="n">
        <v>6506</v>
      </c>
      <c r="D110" s="20" t="n">
        <v>6035</v>
      </c>
      <c r="E110" s="20" t="n">
        <v>7419</v>
      </c>
      <c r="F110" s="20" t="n">
        <v>7198</v>
      </c>
      <c r="G110" s="20" t="n">
        <v>6959</v>
      </c>
      <c r="H110" s="20" t="n">
        <v>6576</v>
      </c>
      <c r="I110" s="20" t="n">
        <v>8298</v>
      </c>
      <c r="J110" s="20" t="n">
        <v>7101</v>
      </c>
      <c r="K110" s="20" t="n">
        <v>7442</v>
      </c>
      <c r="L110" s="20" t="n">
        <v>7198</v>
      </c>
    </row>
    <row r="111">
      <c r="A111" s="18" t="inlineStr">
        <is>
          <t>전자기록채무</t>
        </is>
      </c>
      <c r="C111" s="20" t="n">
        <v>7155</v>
      </c>
      <c r="D111" s="20" t="n">
        <v>6478</v>
      </c>
      <c r="E111" s="20" t="n">
        <v>7582</v>
      </c>
      <c r="F111" s="20" t="n">
        <v>2305</v>
      </c>
      <c r="G111" s="20" t="n">
        <v>2012</v>
      </c>
      <c r="H111" s="20" t="n">
        <v>9227</v>
      </c>
      <c r="I111" s="20" t="n">
        <v>12534</v>
      </c>
      <c r="J111" s="20" t="n">
        <v>7174</v>
      </c>
      <c r="K111" s="20" t="n">
        <v>7388</v>
      </c>
      <c r="L111" s="20" t="n">
        <v>2305</v>
      </c>
    </row>
    <row r="112">
      <c r="A112" s="18" t="inlineStr">
        <is>
          <t>단기차입금</t>
        </is>
      </c>
      <c r="C112" s="20" t="n">
        <v>863</v>
      </c>
      <c r="D112" s="20" t="n">
        <v>1135</v>
      </c>
      <c r="E112" s="20" t="n">
        <v>697</v>
      </c>
      <c r="F112" s="20" t="n">
        <v>101</v>
      </c>
      <c r="G112" s="20" t="n">
        <v>1307</v>
      </c>
      <c r="H112" s="20" t="n">
        <v>850</v>
      </c>
      <c r="I112" s="20" t="n">
        <v>377</v>
      </c>
      <c r="J112" s="20" t="n">
        <v>620</v>
      </c>
      <c r="K112" s="20" t="n">
        <v>191</v>
      </c>
      <c r="L112" s="20" t="n">
        <v>101</v>
      </c>
    </row>
    <row r="113">
      <c r="A113" s="18" t="inlineStr">
        <is>
          <t>1년 내 상환 예정 사채</t>
        </is>
      </c>
      <c r="C113" s="20" t="n">
        <v>10000</v>
      </c>
      <c r="D113" s="20" t="n">
        <v>10000</v>
      </c>
      <c r="E113" s="20" t="n">
        <v>0</v>
      </c>
      <c r="F113" s="20" t="n">
        <v>0</v>
      </c>
      <c r="J113" s="20" t="n">
        <v>0</v>
      </c>
      <c r="K113" s="20" t="n">
        <v>10000</v>
      </c>
      <c r="L113" s="20" t="n">
        <v>0</v>
      </c>
    </row>
    <row r="114">
      <c r="A114" s="18" t="inlineStr">
        <is>
          <t>미지급법인세</t>
        </is>
      </c>
      <c r="C114" s="20" t="n">
        <v>1187</v>
      </c>
      <c r="D114" s="20" t="n">
        <v>2429</v>
      </c>
      <c r="E114" s="20" t="n">
        <v>2229</v>
      </c>
      <c r="F114" s="20" t="n">
        <v>2489</v>
      </c>
      <c r="G114" s="20" t="n">
        <v>1185</v>
      </c>
      <c r="H114" s="20" t="n">
        <v>847</v>
      </c>
      <c r="I114" s="20" t="n">
        <v>1054</v>
      </c>
      <c r="J114" s="20" t="n">
        <v>822</v>
      </c>
      <c r="K114" s="20" t="n">
        <v>2110</v>
      </c>
      <c r="L114" s="20" t="n">
        <v>2489</v>
      </c>
    </row>
    <row r="115">
      <c r="A115" s="18" t="inlineStr">
        <is>
          <t>선수금</t>
        </is>
      </c>
      <c r="H115" s="20" t="n">
        <v>14</v>
      </c>
    </row>
    <row r="116">
      <c r="A116" s="18" t="inlineStr">
        <is>
          <t>계약부채</t>
        </is>
      </c>
      <c r="D116" s="20" t="n">
        <v>19804</v>
      </c>
      <c r="E116" s="20" t="n">
        <v>18102</v>
      </c>
      <c r="F116" s="20" t="n">
        <v>16912</v>
      </c>
      <c r="H116" s="20" t="n">
        <v>12730</v>
      </c>
      <c r="I116" s="20" t="n">
        <v>12796</v>
      </c>
      <c r="J116" s="20" t="n">
        <v>12042</v>
      </c>
      <c r="K116" s="20" t="n">
        <v>16195</v>
      </c>
      <c r="L116" s="20" t="n">
        <v>16912</v>
      </c>
    </row>
    <row r="117">
      <c r="A117" s="18" t="inlineStr">
        <is>
          <t>상여충당금</t>
        </is>
      </c>
      <c r="F117" s="20" t="n">
        <v>1184</v>
      </c>
      <c r="H117" s="20" t="n">
        <v>977</v>
      </c>
      <c r="I117" s="20" t="n">
        <v>1109</v>
      </c>
      <c r="J117" s="20" t="n">
        <v>1073</v>
      </c>
      <c r="K117" s="20" t="n">
        <v>1117</v>
      </c>
      <c r="L117" s="20" t="n">
        <v>1184</v>
      </c>
    </row>
    <row r="118">
      <c r="A118" s="18" t="inlineStr">
        <is>
          <t>임원 상여충당금</t>
        </is>
      </c>
      <c r="H118" s="20" t="n">
        <v>45</v>
      </c>
    </row>
    <row r="119">
      <c r="A119" s="18" t="inlineStr">
        <is>
          <t>제품보증 충당금</t>
        </is>
      </c>
      <c r="F119" s="20" t="n">
        <v>1139</v>
      </c>
      <c r="H119" s="20" t="n">
        <v>741</v>
      </c>
      <c r="I119" s="20" t="n">
        <v>802</v>
      </c>
      <c r="J119" s="20" t="n">
        <v>930</v>
      </c>
      <c r="K119" s="20" t="n">
        <v>739</v>
      </c>
      <c r="L119" s="20" t="n">
        <v>1139</v>
      </c>
    </row>
    <row r="120">
      <c r="A120" s="18" t="inlineStr">
        <is>
          <t>Provision For Loss On Guarantees CL</t>
        </is>
      </c>
      <c r="H120" s="20" t="n">
        <v>88</v>
      </c>
    </row>
    <row r="121">
      <c r="A121" s="18" t="inlineStr">
        <is>
          <t>계약손실 충당금</t>
        </is>
      </c>
      <c r="H121" s="20" t="n">
        <v>26</v>
      </c>
    </row>
    <row r="122">
      <c r="A122" s="18" t="inlineStr">
        <is>
          <t>Provision For Loss On Construction Contracts</t>
        </is>
      </c>
      <c r="H122" s="20" t="n">
        <v>19</v>
      </c>
    </row>
    <row r="123">
      <c r="A123" s="18" t="inlineStr">
        <is>
          <t>사업구조개선 충당금</t>
        </is>
      </c>
      <c r="H123" s="20" t="n">
        <v>106</v>
      </c>
    </row>
    <row r="124">
      <c r="A124" s="18" t="inlineStr">
        <is>
          <t>재해손실 충당금</t>
        </is>
      </c>
      <c r="H124" s="20" t="n">
        <v>20</v>
      </c>
    </row>
    <row r="125">
      <c r="A125" s="18" t="inlineStr">
        <is>
          <t>Provision For Loss On Litigation CL</t>
        </is>
      </c>
      <c r="H125" s="20" t="n">
        <v>71</v>
      </c>
    </row>
    <row r="126">
      <c r="A126" s="18" t="inlineStr">
        <is>
          <t>Deferred Installment Income CL</t>
        </is>
      </c>
      <c r="H126" s="20" t="n">
        <v>0</v>
      </c>
    </row>
    <row r="127">
      <c r="A127" s="18" t="inlineStr">
        <is>
          <t>기타 충당금</t>
        </is>
      </c>
      <c r="F127" s="20" t="n">
        <v>143</v>
      </c>
      <c r="H127" s="20" t="n">
        <v>377</v>
      </c>
      <c r="I127" s="20" t="n">
        <v>300</v>
      </c>
      <c r="J127" s="20" t="n">
        <v>379</v>
      </c>
      <c r="K127" s="20" t="n">
        <v>320</v>
      </c>
      <c r="L127" s="20" t="n">
        <v>143</v>
      </c>
    </row>
    <row r="128">
      <c r="A128" s="18" t="inlineStr">
        <is>
          <t>충당금</t>
        </is>
      </c>
      <c r="C128" s="20" t="n">
        <v>1420</v>
      </c>
      <c r="D128" s="20" t="n">
        <v>2086</v>
      </c>
      <c r="E128" s="20" t="n">
        <v>1459</v>
      </c>
      <c r="F128" s="20" t="n">
        <v>2467</v>
      </c>
      <c r="G128" s="20" t="n">
        <v>2921</v>
      </c>
      <c r="H128" s="20" t="n">
        <v>2095</v>
      </c>
      <c r="I128" s="20" t="n">
        <v>2212</v>
      </c>
      <c r="J128" s="20" t="n">
        <v>2383</v>
      </c>
      <c r="K128" s="20" t="n">
        <v>2177</v>
      </c>
      <c r="L128" s="20" t="n">
        <v>2467</v>
      </c>
    </row>
    <row r="129">
      <c r="A129" s="18" t="inlineStr">
        <is>
          <t>기타</t>
        </is>
      </c>
      <c r="C129" s="20" t="n">
        <v>27618</v>
      </c>
      <c r="D129" s="20" t="n">
        <v>7464</v>
      </c>
      <c r="E129" s="20" t="n">
        <v>8692</v>
      </c>
      <c r="F129" s="20" t="n">
        <v>26083</v>
      </c>
      <c r="G129" s="20" t="n">
        <v>25370</v>
      </c>
      <c r="H129" s="20" t="n">
        <v>6720</v>
      </c>
      <c r="I129" s="20" t="n">
        <v>7088</v>
      </c>
      <c r="J129" s="20" t="n">
        <v>7572</v>
      </c>
      <c r="K129" s="20" t="n">
        <v>7673</v>
      </c>
      <c r="L129" s="20" t="n">
        <v>26083</v>
      </c>
    </row>
    <row r="130">
      <c r="A130" s="9" t="inlineStr">
        <is>
          <t>유동부채 합계</t>
        </is>
      </c>
      <c r="C130" s="12" t="n">
        <v>54751</v>
      </c>
      <c r="D130" s="12" t="n">
        <v>55432</v>
      </c>
      <c r="E130" s="12" t="n">
        <v>46183</v>
      </c>
      <c r="F130" s="12" t="n">
        <v>40646</v>
      </c>
      <c r="G130" s="12" t="n">
        <v>39756</v>
      </c>
      <c r="H130" s="12" t="n">
        <v>39049</v>
      </c>
      <c r="I130" s="12" t="n">
        <v>44362</v>
      </c>
      <c r="J130" s="12" t="n">
        <v>37719</v>
      </c>
      <c r="K130" s="12" t="n">
        <v>53178</v>
      </c>
      <c r="L130" s="12" t="n">
        <v>40646</v>
      </c>
    </row>
    <row r="131">
      <c r="A131" s="18" t="inlineStr">
        <is>
          <t>사채</t>
        </is>
      </c>
      <c r="C131" s="20" t="n">
        <v>9000</v>
      </c>
      <c r="D131" s="20" t="n">
        <v>9000</v>
      </c>
      <c r="E131" s="20" t="n">
        <v>9000</v>
      </c>
      <c r="F131" s="20" t="n">
        <v>9000</v>
      </c>
      <c r="G131" s="20" t="n">
        <v>9000</v>
      </c>
      <c r="H131" s="20" t="n">
        <v>10000</v>
      </c>
      <c r="I131" s="20" t="n">
        <v>10000</v>
      </c>
      <c r="J131" s="20" t="n">
        <v>10000</v>
      </c>
      <c r="K131" s="20" t="n">
        <v>0</v>
      </c>
      <c r="L131" s="20" t="n">
        <v>9000</v>
      </c>
    </row>
    <row r="132">
      <c r="A132" s="18" t="inlineStr">
        <is>
          <t>장기차입금</t>
        </is>
      </c>
      <c r="C132" s="20" t="n">
        <v>101</v>
      </c>
      <c r="D132" s="20" t="n">
        <v>87</v>
      </c>
      <c r="E132" s="20" t="n">
        <v>77</v>
      </c>
      <c r="F132" s="20" t="n">
        <v>57</v>
      </c>
      <c r="G132" s="20" t="n">
        <v>38</v>
      </c>
      <c r="H132" s="20" t="n">
        <v>357</v>
      </c>
      <c r="I132" s="20" t="n">
        <v>238</v>
      </c>
      <c r="J132" s="20" t="n">
        <v>181</v>
      </c>
      <c r="K132" s="20" t="n">
        <v>114</v>
      </c>
      <c r="L132" s="20" t="n">
        <v>57</v>
      </c>
    </row>
    <row r="133">
      <c r="A133" s="18" t="inlineStr">
        <is>
          <t>이연법인세부채</t>
        </is>
      </c>
      <c r="F133" s="20" t="n">
        <v>2491</v>
      </c>
      <c r="H133" s="20" t="n">
        <v>1420</v>
      </c>
      <c r="I133" s="20" t="n">
        <v>961</v>
      </c>
      <c r="J133" s="20" t="n">
        <v>2849</v>
      </c>
      <c r="K133" s="20" t="n">
        <v>1089</v>
      </c>
      <c r="L133" s="20" t="n">
        <v>2491</v>
      </c>
    </row>
    <row r="134">
      <c r="A134" s="18" t="inlineStr">
        <is>
          <t>임원 퇴직위로 충당금</t>
        </is>
      </c>
      <c r="H134" s="20" t="n">
        <v>24</v>
      </c>
    </row>
    <row r="135">
      <c r="A135" s="18" t="inlineStr">
        <is>
          <t>계약손실 충당금</t>
        </is>
      </c>
      <c r="H135" s="20" t="n">
        <v>17</v>
      </c>
    </row>
    <row r="136">
      <c r="A136" s="18" t="inlineStr">
        <is>
          <t>퇴직급여부채</t>
        </is>
      </c>
      <c r="C136" s="20" t="n">
        <v>1111</v>
      </c>
      <c r="D136" s="20" t="n">
        <v>1142</v>
      </c>
      <c r="E136" s="20" t="n">
        <v>1179</v>
      </c>
      <c r="F136" s="20" t="n">
        <v>837</v>
      </c>
      <c r="G136" s="20" t="n">
        <v>830</v>
      </c>
      <c r="H136" s="20" t="n">
        <v>1832</v>
      </c>
      <c r="I136" s="20" t="n">
        <v>1738</v>
      </c>
      <c r="J136" s="20" t="n">
        <v>1367</v>
      </c>
      <c r="K136" s="20" t="n">
        <v>970</v>
      </c>
      <c r="L136" s="20" t="n">
        <v>837</v>
      </c>
    </row>
    <row r="137">
      <c r="A137" s="18" t="inlineStr">
        <is>
          <t>리스부채</t>
        </is>
      </c>
      <c r="F137" s="20" t="n">
        <v>1820</v>
      </c>
      <c r="I137" s="20" t="n">
        <v>411</v>
      </c>
      <c r="J137" s="20" t="n">
        <v>452</v>
      </c>
      <c r="K137" s="20" t="n">
        <v>1536</v>
      </c>
      <c r="L137" s="20" t="n">
        <v>1820</v>
      </c>
    </row>
    <row r="138">
      <c r="A138" s="18" t="inlineStr">
        <is>
          <t>기타 충당금</t>
        </is>
      </c>
      <c r="F138" s="20" t="n">
        <v>9</v>
      </c>
      <c r="H138" s="20" t="n">
        <v>41</v>
      </c>
      <c r="I138" s="20" t="n">
        <v>15</v>
      </c>
      <c r="J138" s="20" t="n">
        <v>10</v>
      </c>
      <c r="K138" s="20" t="n">
        <v>24</v>
      </c>
      <c r="L138" s="20" t="n">
        <v>9</v>
      </c>
    </row>
    <row r="139">
      <c r="A139" s="18" t="inlineStr">
        <is>
          <t>충당금</t>
        </is>
      </c>
      <c r="C139" s="20" t="n">
        <v>20</v>
      </c>
      <c r="D139" s="20" t="n">
        <v>14</v>
      </c>
      <c r="E139" s="20" t="n">
        <v>14</v>
      </c>
      <c r="F139" s="20" t="n">
        <v>9</v>
      </c>
      <c r="G139" s="20" t="n">
        <v>43</v>
      </c>
      <c r="H139" s="20" t="n">
        <v>41</v>
      </c>
      <c r="I139" s="20" t="n">
        <v>15</v>
      </c>
      <c r="J139" s="20" t="n">
        <v>10</v>
      </c>
      <c r="K139" s="20" t="n">
        <v>24</v>
      </c>
      <c r="L139" s="20" t="n">
        <v>9</v>
      </c>
    </row>
    <row r="140">
      <c r="A140" s="18" t="inlineStr">
        <is>
          <t>기타</t>
        </is>
      </c>
      <c r="C140" s="20" t="n">
        <v>3234</v>
      </c>
      <c r="D140" s="20" t="n">
        <v>3415</v>
      </c>
      <c r="E140" s="20" t="n">
        <v>4426</v>
      </c>
      <c r="F140" s="20" t="n">
        <v>4710</v>
      </c>
      <c r="G140" s="20" t="n">
        <v>5752</v>
      </c>
      <c r="H140" s="20" t="n">
        <v>996</v>
      </c>
      <c r="I140" s="20" t="n">
        <v>661</v>
      </c>
      <c r="J140" s="20" t="n">
        <v>992</v>
      </c>
      <c r="K140" s="20" t="n">
        <v>533</v>
      </c>
      <c r="L140" s="20" t="n">
        <v>4710</v>
      </c>
    </row>
    <row r="141">
      <c r="A141" s="9" t="inlineStr">
        <is>
          <t>비유동부채 합계</t>
        </is>
      </c>
      <c r="C141" s="12" t="n">
        <v>13468</v>
      </c>
      <c r="D141" s="12" t="n">
        <v>13660</v>
      </c>
      <c r="E141" s="12" t="n">
        <v>14698</v>
      </c>
      <c r="F141" s="12" t="n">
        <v>14615</v>
      </c>
      <c r="G141" s="12" t="n">
        <v>15665</v>
      </c>
      <c r="H141" s="12" t="n">
        <v>14649</v>
      </c>
      <c r="I141" s="12" t="n">
        <v>14026</v>
      </c>
      <c r="J141" s="12" t="n">
        <v>15402</v>
      </c>
      <c r="K141" s="12" t="n">
        <v>4269</v>
      </c>
      <c r="L141" s="12" t="n">
        <v>14615</v>
      </c>
    </row>
    <row r="142">
      <c r="A142" s="9" t="inlineStr">
        <is>
          <t>부채 합계</t>
        </is>
      </c>
      <c r="C142" s="12" t="n">
        <v>68220</v>
      </c>
      <c r="D142" s="12" t="n">
        <v>69092</v>
      </c>
      <c r="E142" s="12" t="n">
        <v>60882</v>
      </c>
      <c r="F142" s="12" t="n">
        <v>55261</v>
      </c>
      <c r="G142" s="12" t="n">
        <v>55421</v>
      </c>
      <c r="H142" s="12" t="n">
        <v>53698</v>
      </c>
      <c r="I142" s="12" t="n">
        <v>58389</v>
      </c>
      <c r="J142" s="12" t="n">
        <v>53121</v>
      </c>
      <c r="K142" s="12" t="n">
        <v>57447</v>
      </c>
      <c r="L142" s="12" t="n">
        <v>55261</v>
      </c>
    </row>
    <row r="143">
      <c r="A143" s="18" t="inlineStr">
        <is>
          <t>자본금</t>
        </is>
      </c>
      <c r="C143" s="20" t="n">
        <v>37714</v>
      </c>
      <c r="D143" s="20" t="n">
        <v>37714</v>
      </c>
      <c r="E143" s="20" t="n">
        <v>37714</v>
      </c>
      <c r="F143" s="20" t="n">
        <v>37714</v>
      </c>
      <c r="G143" s="20" t="n">
        <v>37714</v>
      </c>
      <c r="H143" s="20" t="n">
        <v>37714</v>
      </c>
      <c r="I143" s="20" t="n">
        <v>37714</v>
      </c>
      <c r="J143" s="20" t="n">
        <v>37714</v>
      </c>
      <c r="K143" s="20" t="n">
        <v>37714</v>
      </c>
      <c r="L143" s="20" t="n">
        <v>37714</v>
      </c>
    </row>
    <row r="144">
      <c r="A144" s="18" t="inlineStr">
        <is>
          <t>자본잉여금</t>
        </is>
      </c>
      <c r="C144" s="20" t="n">
        <v>37286</v>
      </c>
      <c r="D144" s="20" t="n">
        <v>37286</v>
      </c>
      <c r="E144" s="20" t="n">
        <v>37286</v>
      </c>
      <c r="F144" s="20" t="n">
        <v>37286</v>
      </c>
      <c r="G144" s="20" t="n">
        <v>37286</v>
      </c>
      <c r="H144" s="20" t="n">
        <v>37788</v>
      </c>
      <c r="I144" s="20" t="n">
        <v>37788</v>
      </c>
      <c r="J144" s="20" t="n">
        <v>37286</v>
      </c>
      <c r="K144" s="20" t="n">
        <v>37286</v>
      </c>
      <c r="L144" s="20" t="n">
        <v>37286</v>
      </c>
    </row>
    <row r="145">
      <c r="A145" s="18" t="inlineStr">
        <is>
          <t>이익잉여금</t>
        </is>
      </c>
      <c r="C145" s="20" t="n">
        <v>29168</v>
      </c>
      <c r="D145" s="20" t="n">
        <v>31097</v>
      </c>
      <c r="E145" s="20" t="n">
        <v>32220</v>
      </c>
      <c r="F145" s="20" t="n">
        <v>34238</v>
      </c>
      <c r="G145" s="20" t="n">
        <v>32893</v>
      </c>
      <c r="H145" s="20" t="n">
        <v>27416</v>
      </c>
      <c r="I145" s="20" t="n">
        <v>28693</v>
      </c>
      <c r="J145" s="20" t="n">
        <v>29433</v>
      </c>
      <c r="K145" s="20" t="n">
        <v>31305</v>
      </c>
      <c r="L145" s="20" t="n">
        <v>34238</v>
      </c>
    </row>
    <row r="146">
      <c r="A146" s="18" t="inlineStr">
        <is>
          <t>자기주식</t>
        </is>
      </c>
      <c r="C146" s="20" t="n">
        <v>-380</v>
      </c>
      <c r="D146" s="20" t="n">
        <v>-377</v>
      </c>
      <c r="E146" s="20" t="n">
        <v>-378</v>
      </c>
      <c r="F146" s="20" t="n">
        <v>-378</v>
      </c>
      <c r="G146" s="20" t="n">
        <v>-378</v>
      </c>
      <c r="H146" s="20" t="n">
        <v>-3619</v>
      </c>
      <c r="I146" s="20" t="n">
        <v>-2248</v>
      </c>
      <c r="J146" s="20" t="n">
        <v>-2289</v>
      </c>
      <c r="K146" s="20" t="n">
        <v>-380</v>
      </c>
      <c r="L146" s="20" t="n">
        <v>-378</v>
      </c>
    </row>
    <row r="147">
      <c r="A147" s="9" t="inlineStr">
        <is>
          <t>주주자본 합계</t>
        </is>
      </c>
      <c r="C147" s="12" t="n">
        <v>103789</v>
      </c>
      <c r="D147" s="12" t="n">
        <v>105721</v>
      </c>
      <c r="E147" s="12" t="n">
        <v>106843</v>
      </c>
      <c r="F147" s="12" t="n">
        <v>108861</v>
      </c>
      <c r="G147" s="12" t="n">
        <v>107517</v>
      </c>
      <c r="H147" s="12" t="n">
        <v>99300</v>
      </c>
      <c r="I147" s="12" t="n">
        <v>101948</v>
      </c>
      <c r="J147" s="12" t="n">
        <v>102144</v>
      </c>
      <c r="K147" s="12" t="n">
        <v>105926</v>
      </c>
      <c r="L147" s="12" t="n">
        <v>108861</v>
      </c>
    </row>
    <row r="148">
      <c r="A148" s="18" t="inlineStr">
        <is>
          <t>기타유가증권 평가차액</t>
        </is>
      </c>
      <c r="C148" s="20" t="n">
        <v>5759</v>
      </c>
      <c r="D148" s="20" t="n">
        <v>6856</v>
      </c>
      <c r="E148" s="20" t="n">
        <v>8048</v>
      </c>
      <c r="F148" s="20" t="n">
        <v>8445</v>
      </c>
      <c r="G148" s="20" t="n">
        <v>11698</v>
      </c>
      <c r="H148" s="20" t="n">
        <v>3538</v>
      </c>
      <c r="I148" s="20" t="n">
        <v>4206</v>
      </c>
      <c r="J148" s="20" t="n">
        <v>9082</v>
      </c>
      <c r="K148" s="20" t="n">
        <v>5601</v>
      </c>
      <c r="L148" s="20" t="n">
        <v>8445</v>
      </c>
    </row>
    <row r="149">
      <c r="A149" s="18" t="inlineStr">
        <is>
          <t>해외사업환산조정</t>
        </is>
      </c>
      <c r="C149" s="20" t="n">
        <v>2917</v>
      </c>
      <c r="D149" s="20" t="n">
        <v>3206</v>
      </c>
      <c r="E149" s="20" t="n">
        <v>4054</v>
      </c>
      <c r="F149" s="20" t="n">
        <v>4244</v>
      </c>
      <c r="G149" s="20" t="n">
        <v>4533</v>
      </c>
      <c r="H149" s="20" t="n">
        <v>652</v>
      </c>
      <c r="I149" s="20" t="n">
        <v>1676</v>
      </c>
      <c r="J149" s="20" t="n">
        <v>3217</v>
      </c>
      <c r="K149" s="20" t="n">
        <v>2958</v>
      </c>
      <c r="L149" s="20" t="n">
        <v>4244</v>
      </c>
    </row>
    <row r="150">
      <c r="A150" s="18" t="inlineStr">
        <is>
          <t>퇴직급여 조정누계액</t>
        </is>
      </c>
      <c r="C150" s="20" t="n">
        <v>868</v>
      </c>
      <c r="D150" s="20" t="n">
        <v>846</v>
      </c>
      <c r="E150" s="20" t="n">
        <v>803</v>
      </c>
      <c r="F150" s="20" t="n">
        <v>1343</v>
      </c>
      <c r="G150" s="20" t="n">
        <v>1338</v>
      </c>
      <c r="H150" s="20" t="n">
        <v>-204</v>
      </c>
      <c r="I150" s="20" t="n">
        <v>-866</v>
      </c>
      <c r="J150" s="20" t="n">
        <v>23</v>
      </c>
      <c r="K150" s="20" t="n">
        <v>1011</v>
      </c>
      <c r="L150" s="20" t="n">
        <v>1343</v>
      </c>
    </row>
    <row r="151">
      <c r="A151" s="18" t="inlineStr">
        <is>
          <t>기타포괄손익누계액 합계</t>
        </is>
      </c>
      <c r="C151" s="20" t="n">
        <v>9545</v>
      </c>
      <c r="D151" s="20" t="n">
        <v>10909</v>
      </c>
      <c r="E151" s="20" t="n">
        <v>12907</v>
      </c>
      <c r="F151" s="20" t="n">
        <v>14034</v>
      </c>
      <c r="G151" s="20" t="n">
        <v>17570</v>
      </c>
      <c r="H151" s="20" t="n">
        <v>3986</v>
      </c>
      <c r="I151" s="20" t="n">
        <v>5016</v>
      </c>
      <c r="J151" s="20" t="n">
        <v>12322</v>
      </c>
      <c r="K151" s="20" t="n">
        <v>9571</v>
      </c>
      <c r="L151" s="20" t="n">
        <v>14034</v>
      </c>
    </row>
    <row r="152">
      <c r="A152" s="18" t="inlineStr">
        <is>
          <t>비지배지분</t>
        </is>
      </c>
      <c r="H152" s="20" t="n">
        <v>95</v>
      </c>
      <c r="I152" s="20" t="n">
        <v>168</v>
      </c>
      <c r="J152" s="20" t="n">
        <v>0</v>
      </c>
    </row>
    <row r="153">
      <c r="A153" s="9" t="inlineStr">
        <is>
          <t>순자산 합계</t>
        </is>
      </c>
      <c r="C153" s="12" t="n">
        <v>113335</v>
      </c>
      <c r="D153" s="12" t="n">
        <v>116630</v>
      </c>
      <c r="E153" s="12" t="n">
        <v>119750</v>
      </c>
      <c r="F153" s="12" t="n">
        <v>122896</v>
      </c>
      <c r="G153" s="12" t="n">
        <v>125087</v>
      </c>
      <c r="H153" s="12" t="n">
        <v>103382</v>
      </c>
      <c r="I153" s="12" t="n">
        <v>107133</v>
      </c>
      <c r="J153" s="12" t="n">
        <v>114467</v>
      </c>
      <c r="K153" s="12" t="n">
        <v>115498</v>
      </c>
      <c r="L153" s="12" t="n">
        <v>122896</v>
      </c>
    </row>
    <row r="154">
      <c r="A154" s="9" t="inlineStr">
        <is>
          <t>부채·순자산 합계</t>
        </is>
      </c>
      <c r="C154" s="12" t="n">
        <v>181555</v>
      </c>
      <c r="D154" s="12" t="n">
        <v>185723</v>
      </c>
      <c r="E154" s="12" t="n">
        <v>180633</v>
      </c>
      <c r="F154" s="12" t="n">
        <v>178158</v>
      </c>
      <c r="G154" s="12" t="n">
        <v>180509</v>
      </c>
      <c r="H154" s="12" t="n">
        <v>157081</v>
      </c>
      <c r="I154" s="12" t="n">
        <v>165523</v>
      </c>
      <c r="J154" s="12" t="n">
        <v>167588</v>
      </c>
      <c r="K154" s="12" t="n">
        <v>172946</v>
      </c>
      <c r="L154" s="12" t="n">
        <v>178158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2026-07-29</t>
        </is>
      </c>
      <c r="B4" t="inlineStr">
        <is>
          <t>2027년 3월 결산기 １분기 결산단신</t>
        </is>
      </c>
      <c r="C4" t="inlineStr">
        <is>
          <t>https://www2.jpx.co.jp/disc/63490/140120260728500947.pdf</t>
        </is>
      </c>
    </row>
    <row r="5">
      <c r="A5" t="inlineStr">
        <is>
          <t>2026-05-14</t>
        </is>
      </c>
      <c r="B5" t="inlineStr">
        <is>
          <t>2026년 3월 결산기 연간 결산단신</t>
        </is>
      </c>
      <c r="C5" t="inlineStr">
        <is>
          <t>https://www2.jpx.co.jp/disc/63490/140120260513529183.pdf</t>
        </is>
      </c>
    </row>
    <row r="6">
      <c r="A6" t="inlineStr">
        <is>
          <t>2026-01-29</t>
        </is>
      </c>
      <c r="B6" t="inlineStr">
        <is>
          <t>2026년 3월 결산기 ３분기 결산단신</t>
        </is>
      </c>
      <c r="C6" t="inlineStr">
        <is>
          <t>https://www2.jpx.co.jp/disc/63490/140120260128540744.pdf</t>
        </is>
      </c>
    </row>
    <row r="7">
      <c r="A7" t="inlineStr">
        <is>
          <t>2025-10-29</t>
        </is>
      </c>
      <c r="B7" t="inlineStr">
        <is>
          <t>2026년 3월 결산기 ２분기 결산단신</t>
        </is>
      </c>
      <c r="C7" t="inlineStr">
        <is>
          <t>https://www2.jpx.co.jp/disc/63490/140120251028580637.pdf</t>
        </is>
      </c>
    </row>
    <row r="8">
      <c r="A8" t="inlineStr">
        <is>
          <t>2025-07-29</t>
        </is>
      </c>
      <c r="B8" t="inlineStr">
        <is>
          <t>2026년 3월 결산기 １분기 결산단신</t>
        </is>
      </c>
      <c r="C8" t="inlineStr">
        <is>
          <t>https://www2.jpx.co.jp/disc/63490/140120250728521615.pdf</t>
        </is>
      </c>
    </row>
    <row r="9">
      <c r="A9" t="inlineStr">
        <is>
          <t>2025-05-14</t>
        </is>
      </c>
      <c r="B9" t="inlineStr">
        <is>
          <t>2025년 3월 결산기 연간 결산단신</t>
        </is>
      </c>
      <c r="C9" t="inlineStr">
        <is>
          <t>https://www2.jpx.co.jp/disc/63490/140120250513547835.pdf</t>
        </is>
      </c>
    </row>
    <row r="10">
      <c r="A10" t="inlineStr">
        <is>
          <t>2025-01-30</t>
        </is>
      </c>
      <c r="B10" t="inlineStr">
        <is>
          <t>2025년 3월 결산기 ３분기 결산단신</t>
        </is>
      </c>
      <c r="C10" t="inlineStr">
        <is>
          <t>https://www2.jpx.co.jp/disc/63490/140120250129557130.pdf</t>
        </is>
      </c>
    </row>
    <row r="11">
      <c r="A11" t="inlineStr">
        <is>
          <t>2024-10-31</t>
        </is>
      </c>
      <c r="B11" t="inlineStr">
        <is>
          <t>2025년 3월 결산기 ２분기 결산단신</t>
        </is>
      </c>
      <c r="C11" t="inlineStr">
        <is>
          <t>https://www2.jpx.co.jp/disc/63490/140120241030505643.pdf</t>
        </is>
      </c>
    </row>
    <row r="12">
      <c r="A12" t="inlineStr">
        <is>
          <t>2024-07-30</t>
        </is>
      </c>
      <c r="B12" t="inlineStr">
        <is>
          <t>2025년 3월 결산기 １분기 결산단신</t>
        </is>
      </c>
      <c r="C12" t="inlineStr">
        <is>
          <t>https://www2.jpx.co.jp/disc/63490/140120240725554528.pdf</t>
        </is>
      </c>
    </row>
    <row r="13">
      <c r="A13" t="inlineStr">
        <is>
          <t>2024-05-14</t>
        </is>
      </c>
      <c r="B13" t="inlineStr">
        <is>
          <t>2024년 3월 결산기 연간 결산단신</t>
        </is>
      </c>
      <c r="C13" t="inlineStr">
        <is>
          <t>https://www2.jpx.co.jp/disc/63490/140120240513593727.pdf</t>
        </is>
      </c>
    </row>
    <row r="14">
      <c r="A14" t="inlineStr">
        <is>
          <t>2024-01-31</t>
        </is>
      </c>
      <c r="B14" t="inlineStr">
        <is>
          <t>2024년 3월 결산기 ３분기 결산단신</t>
        </is>
      </c>
      <c r="C14" t="inlineStr">
        <is>
          <t>https://www2.jpx.co.jp/disc/63490/140120240130522078.pdf</t>
        </is>
      </c>
    </row>
    <row r="15">
      <c r="A15" t="inlineStr">
        <is>
          <t>2023-10-30</t>
        </is>
      </c>
      <c r="B15" t="inlineStr">
        <is>
          <t>2024년 3월 결산기 ２분기 결산단신</t>
        </is>
      </c>
      <c r="C15" t="inlineStr">
        <is>
          <t>https://www2.jpx.co.jp/disc/63490/140120231030573841.pdf</t>
        </is>
      </c>
    </row>
    <row r="16">
      <c r="A16" t="inlineStr">
        <is>
          <t>2023-07-31</t>
        </is>
      </c>
      <c r="B16" t="inlineStr">
        <is>
          <t>2024년 3월 결산기 １분기 결산단신</t>
        </is>
      </c>
      <c r="C16" t="inlineStr">
        <is>
          <t>https://www2.jpx.co.jp/disc/63490/140120230731529940.pdf</t>
        </is>
      </c>
    </row>
    <row r="17">
      <c r="A17" t="inlineStr">
        <is>
          <t>2023-05-15</t>
        </is>
      </c>
      <c r="B17" t="inlineStr">
        <is>
          <t>2023년 3월 결산기 연간 결산단신</t>
        </is>
      </c>
      <c r="C17" t="inlineStr">
        <is>
          <t>https://www2.jpx.co.jp/disc/63490/140120230515571783.pdf</t>
        </is>
      </c>
    </row>
    <row r="18">
      <c r="A18" t="inlineStr">
        <is>
          <t>2023-01-31</t>
        </is>
      </c>
      <c r="B18" t="inlineStr">
        <is>
          <t>2023년 3월 결산기 ３분기 결산단신</t>
        </is>
      </c>
      <c r="C18" t="inlineStr">
        <is>
          <t>https://www2.jpx.co.jp/disc/63490/140120230130596227.pdf</t>
        </is>
      </c>
    </row>
    <row r="19">
      <c r="A19" t="inlineStr">
        <is>
          <t>2022-10-28</t>
        </is>
      </c>
      <c r="B19" t="inlineStr">
        <is>
          <t>2023년 3월 결산기 ２분기 결산단신</t>
        </is>
      </c>
      <c r="C19" t="inlineStr">
        <is>
          <t>https://www2.jpx.co.jp/disc/63490/140120221027551429.pdf</t>
        </is>
      </c>
    </row>
    <row r="20">
      <c r="A20" t="inlineStr">
        <is>
          <t>2022-05-13</t>
        </is>
      </c>
      <c r="B20" t="inlineStr">
        <is>
          <t>2022년 3월 결산기 연간 결산단신</t>
        </is>
      </c>
      <c r="C20" t="inlineStr">
        <is>
          <t>https://www2.jpx.co.jp/disc/63490/140120220513545301.pdf</t>
        </is>
      </c>
    </row>
    <row r="21">
      <c r="A21" t="inlineStr">
        <is>
          <t>2021-05-14</t>
        </is>
      </c>
      <c r="B21" t="inlineStr">
        <is>
          <t>2021년 3월 결산기 연간 결산단신</t>
        </is>
      </c>
      <c r="C21" t="inlineStr">
        <is>
          <t>https://www2.jpx.co.jp/disc/63490/140120210513417233.pdf</t>
        </is>
      </c>
    </row>
    <row r="22">
      <c r="A22" t="inlineStr">
        <is>
          <t>2020-05-26</t>
        </is>
      </c>
      <c r="B22" t="inlineStr">
        <is>
          <t>2020년 3월 결산기 연간 결산단신</t>
        </is>
      </c>
      <c r="C22" t="inlineStr">
        <is>
          <t>https://www2.jpx.co.jp/disc/63490/140120200525424242.pdf</t>
        </is>
      </c>
    </row>
    <row r="23">
      <c r="A23" t="inlineStr">
        <is>
          <t>2019-05-13</t>
        </is>
      </c>
      <c r="B23" t="inlineStr">
        <is>
          <t>2019년 3월 결산기 연간 결산단신</t>
        </is>
      </c>
      <c r="C23" t="inlineStr">
        <is>
          <t>https://www2.jpx.co.jp/disc/63490/140120190510421384.pdf</t>
        </is>
      </c>
    </row>
    <row r="24">
      <c r="A24" t="inlineStr">
        <is>
          <t>2018-05-11</t>
        </is>
      </c>
      <c r="B24" t="inlineStr">
        <is>
          <t>연간 결산단신</t>
        </is>
      </c>
      <c r="C24" t="inlineStr">
        <is>
          <t>https://www2.jpx.co.jp/disc/63490/140120180510432664.pdf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2026-10-28T07:04:10Z</dcterms:created>
  <dcterms:modified xmlns:dcterms="http://purl.org/dc/terms/" xmlns:xsi="http://www.w3.org/2001/XMLSchema-instance" xsi:type="dcterms:W3CDTF">2026-10-28T07:04:11Z</dcterms:modified>
</cp:coreProperties>
</file>