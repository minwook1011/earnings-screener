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연간" sheetId="1" state="visible" r:id="rId1"/>
    <sheet xmlns:r="http://schemas.openxmlformats.org/officeDocument/2006/relationships" name="재무상태표" sheetId="2" state="visible" r:id="rId2"/>
    <sheet xmlns:r="http://schemas.openxmlformats.org/officeDocument/2006/relationships" name="출처" sheetId="3" state="visible" r:id="rId3"/>
  </sheets>
  <definedNames>
    <definedName name="_xlnm.Print_Titles" localSheetId="0">'연간'!$3:$3</definedName>
    <definedName name="_xlnm.Print_Titles" localSheetId="1">'재무상태표'!$3:$3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0.0%;-0.0%;&quot;-&quot;"/>
    <numFmt numFmtId="165" formatCode="#,##0;(#,##0);&quot;-&quot;"/>
    <numFmt numFmtId="166" formatCode="0.0&quot;x&quot;;-0.0&quot;x&quot;;&quot;-&quot;"/>
    <numFmt numFmtId="167" formatCode="0.0&quot;년&quot;;-0.0&quot;년&quot;;&quot;-&quot;"/>
    <numFmt numFmtId="168" formatCode="0&quot;일&quot;;-0&quot;일&quot;;&quot;-&quot;"/>
  </numFmts>
  <fonts count="17">
    <font>
      <name val="Calibri"/>
      <family val="2"/>
      <color theme="1"/>
      <sz val="11"/>
      <scheme val="minor"/>
    </font>
    <font>
      <name val="맑은 고딕"/>
      <b val="1"/>
      <color rgb="00000000"/>
      <sz val="20"/>
    </font>
    <font>
      <name val="맑은 고딕"/>
      <color rgb="00FF0000"/>
      <sz val="11"/>
    </font>
    <font>
      <name val="맑은 고딕"/>
      <color rgb="00808080"/>
      <sz val="9"/>
    </font>
    <font>
      <name val="맑은 고딕"/>
      <color rgb="000000FF"/>
      <sz val="9"/>
    </font>
    <font>
      <name val="맑은 고딕"/>
      <b val="1"/>
      <color rgb="00000000"/>
      <sz val="10"/>
    </font>
    <font>
      <name val="맑은 고딕"/>
      <color rgb="00808080"/>
      <sz val="11"/>
    </font>
    <font>
      <name val="맑은 고딕"/>
      <b val="1"/>
      <color rgb="00FFFFFF"/>
      <sz val="11"/>
    </font>
    <font>
      <name val="맑은 고딕"/>
      <color rgb="00000000"/>
      <sz val="11"/>
    </font>
    <font>
      <name val="맑은 고딕"/>
      <color rgb="000000FF"/>
      <sz val="11"/>
    </font>
    <font>
      <name val="맑은 고딕"/>
      <b val="1"/>
      <color rgb="00000000"/>
      <sz val="11"/>
    </font>
    <font>
      <name val="맑은 고딕"/>
      <b val="1"/>
      <color rgb="00FF0000"/>
      <sz val="11"/>
    </font>
    <font>
      <name val="맑은 고딕"/>
      <b val="1"/>
      <color rgb="00808080"/>
      <sz val="9"/>
    </font>
    <font>
      <name val="맑은 고딕"/>
      <color rgb="00FF0000"/>
      <sz val="9"/>
    </font>
    <font>
      <name val="맑은 고딕"/>
      <b val="1"/>
      <color rgb="00FFFFFF"/>
      <sz val="9"/>
    </font>
    <font>
      <name val="맑은 고딕"/>
      <b val="1"/>
      <sz val="20"/>
    </font>
    <font>
      <name val="맑은 고딕"/>
      <b val="1"/>
      <sz val="10"/>
    </font>
  </fonts>
  <fills count="7">
    <fill>
      <patternFill/>
    </fill>
    <fill>
      <patternFill patternType="gray125"/>
    </fill>
    <fill>
      <patternFill patternType="solid">
        <fgColor rgb="00D9D9D9"/>
      </patternFill>
    </fill>
    <fill>
      <patternFill patternType="solid">
        <fgColor rgb="00808080"/>
      </patternFill>
    </fill>
    <fill>
      <patternFill patternType="solid">
        <fgColor rgb="00A6A6A6"/>
      </patternFill>
    </fill>
    <fill>
      <patternFill patternType="solid">
        <fgColor rgb="00DDEBF7"/>
      </patternFill>
    </fill>
    <fill>
      <patternFill patternType="solid">
        <fgColor rgb="FFD9D9D9"/>
      </patternFill>
    </fill>
  </fills>
  <borders count="4">
    <border>
      <left/>
      <right/>
      <top/>
      <bottom/>
      <diagonal/>
    </border>
    <border>
      <top style="thin">
        <color rgb="007F7F7F"/>
      </top>
      <bottom style="thin">
        <color rgb="007F7F7F"/>
      </bottom>
    </border>
    <border>
      <left style="thin">
        <color rgb="007F7F7F"/>
      </left>
      <top style="thin">
        <color rgb="007F7F7F"/>
      </top>
      <bottom style="thin">
        <color rgb="007F7F7F"/>
      </bottom>
    </border>
    <border>
      <left style="thin">
        <color rgb="007F7F7F"/>
      </left>
      <top/>
      <bottom/>
    </border>
  </borders>
  <cellStyleXfs count="1">
    <xf numFmtId="0" fontId="0" fillId="0" borderId="0"/>
  </cellStyleXfs>
  <cellXfs count="5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5" fillId="2" borderId="2" applyAlignment="1" pivotButton="0" quotePrefix="0" xfId="0">
      <alignment horizontal="center" vertical="center"/>
    </xf>
    <xf numFmtId="0" fontId="5" fillId="5" borderId="2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10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165" fontId="10" fillId="0" borderId="3" applyAlignment="1" pivotButton="0" quotePrefix="0" xfId="0">
      <alignment horizontal="center" vertical="center"/>
    </xf>
    <xf numFmtId="165" fontId="10" fillId="0" borderId="0" applyAlignment="1" pivotButton="0" quotePrefix="0" xfId="0">
      <alignment horizontal="center" vertical="center"/>
    </xf>
    <xf numFmtId="0" fontId="6" fillId="0" borderId="0" applyAlignment="1" pivotButton="0" quotePrefix="0" xfId="0">
      <alignment horizontal="left" vertical="center" indent="1"/>
    </xf>
    <xf numFmtId="164" fontId="6" fillId="0" borderId="3" applyAlignment="1" pivotButton="0" quotePrefix="0" xfId="0">
      <alignment horizontal="center" vertical="center"/>
    </xf>
    <xf numFmtId="164" fontId="6" fillId="0" borderId="0" applyAlignment="1" pivotButton="0" quotePrefix="0" xfId="0">
      <alignment horizontal="center" vertical="center"/>
    </xf>
    <xf numFmtId="0" fontId="7" fillId="3" borderId="0" applyAlignment="1" pivotButton="0" quotePrefix="0" xfId="0">
      <alignment horizontal="center" vertical="center"/>
    </xf>
    <xf numFmtId="0" fontId="7" fillId="3" borderId="3" applyAlignment="1" pivotButton="0" quotePrefix="0" xfId="0">
      <alignment horizontal="center" vertical="center"/>
    </xf>
    <xf numFmtId="0" fontId="8" fillId="0" borderId="0" applyAlignment="1" pivotButton="0" quotePrefix="0" xfId="0">
      <alignment horizontal="center" vertical="center"/>
    </xf>
    <xf numFmtId="165" fontId="8" fillId="0" borderId="3" applyAlignment="1" pivotButton="0" quotePrefix="0" xfId="0">
      <alignment horizontal="center" vertical="center"/>
    </xf>
    <xf numFmtId="165" fontId="8" fillId="0" borderId="0" applyAlignment="1" pivotButton="0" quotePrefix="0" xfId="0">
      <alignment horizontal="center" vertical="center"/>
    </xf>
    <xf numFmtId="165" fontId="9" fillId="0" borderId="3" applyAlignment="1" pivotButton="0" quotePrefix="0" xfId="0">
      <alignment horizontal="center" vertical="center"/>
    </xf>
    <xf numFmtId="165" fontId="9" fillId="0" borderId="0" applyAlignment="1" pivotButton="0" quotePrefix="0" xfId="0">
      <alignment horizontal="center" vertical="center"/>
    </xf>
    <xf numFmtId="0" fontId="7" fillId="4" borderId="0" applyAlignment="1" pivotButton="0" quotePrefix="0" xfId="0">
      <alignment horizontal="center" vertical="center"/>
    </xf>
    <xf numFmtId="0" fontId="7" fillId="4" borderId="3" applyAlignment="1" pivotButton="0" quotePrefix="0" xfId="0">
      <alignment horizontal="center" vertical="center"/>
    </xf>
    <xf numFmtId="164" fontId="9" fillId="0" borderId="3" applyAlignment="1" pivotButton="0" quotePrefix="0" xfId="0">
      <alignment horizontal="center" vertical="center"/>
    </xf>
    <xf numFmtId="164" fontId="9" fillId="0" borderId="0" applyAlignment="1" pivotButton="0" quotePrefix="0" xfId="0">
      <alignment horizontal="center" vertical="center"/>
    </xf>
    <xf numFmtId="3" fontId="10" fillId="0" borderId="0" applyAlignment="1" pivotButton="0" quotePrefix="0" xfId="0">
      <alignment horizontal="center" vertical="center"/>
    </xf>
    <xf numFmtId="3" fontId="8" fillId="0" borderId="3" applyAlignment="1" pivotButton="0" quotePrefix="0" xfId="0">
      <alignment horizontal="center" vertical="center"/>
    </xf>
    <xf numFmtId="3" fontId="8" fillId="0" borderId="0" applyAlignment="1" pivotButton="0" quotePrefix="0" xfId="0">
      <alignment horizontal="center" vertical="center"/>
    </xf>
    <xf numFmtId="166" fontId="8" fillId="0" borderId="3" applyAlignment="1" pivotButton="0" quotePrefix="0" xfId="0">
      <alignment horizontal="center" vertical="center"/>
    </xf>
    <xf numFmtId="166" fontId="8" fillId="0" borderId="0" applyAlignment="1" pivotButton="0" quotePrefix="0" xfId="0">
      <alignment horizontal="center" vertical="center"/>
    </xf>
    <xf numFmtId="166" fontId="9" fillId="0" borderId="3" applyAlignment="1" pivotButton="0" quotePrefix="0" xfId="0">
      <alignment horizontal="center" vertical="center"/>
    </xf>
    <xf numFmtId="166" fontId="9" fillId="0" borderId="0" applyAlignment="1" pivotButton="0" quotePrefix="0" xfId="0">
      <alignment horizontal="center" vertical="center"/>
    </xf>
    <xf numFmtId="3" fontId="10" fillId="0" borderId="3" applyAlignment="1" pivotButton="0" quotePrefix="0" xfId="0">
      <alignment horizontal="center" vertical="center"/>
    </xf>
    <xf numFmtId="164" fontId="8" fillId="0" borderId="3" applyAlignment="1" pivotButton="0" quotePrefix="0" xfId="0">
      <alignment horizontal="center" vertical="center"/>
    </xf>
    <xf numFmtId="164" fontId="8" fillId="0" borderId="0" applyAlignment="1" pivotButton="0" quotePrefix="0" xfId="0">
      <alignment horizontal="center" vertical="center"/>
    </xf>
    <xf numFmtId="164" fontId="11" fillId="0" borderId="3" applyAlignment="1" pivotButton="0" quotePrefix="0" xfId="0">
      <alignment horizontal="center" vertical="center"/>
    </xf>
    <xf numFmtId="164" fontId="11" fillId="0" borderId="0" applyAlignment="1" pivotButton="0" quotePrefix="0" xfId="0">
      <alignment horizontal="center" vertical="center"/>
    </xf>
    <xf numFmtId="0" fontId="0" fillId="0" borderId="3" pivotButton="0" quotePrefix="0" xfId="0"/>
    <xf numFmtId="0" fontId="12" fillId="0" borderId="0" applyAlignment="1" pivotButton="0" quotePrefix="0" xfId="0">
      <alignment horizontal="left"/>
    </xf>
    <xf numFmtId="0" fontId="3" fillId="0" borderId="0" applyAlignment="1" pivotButton="0" quotePrefix="0" xfId="0">
      <alignment horizontal="left"/>
    </xf>
    <xf numFmtId="0" fontId="14" fillId="3" borderId="0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 vertical="center"/>
    </xf>
    <xf numFmtId="0" fontId="13" fillId="0" borderId="0" pivotButton="0" quotePrefix="0" xfId="0"/>
    <xf numFmtId="0" fontId="8" fillId="0" borderId="0" applyAlignment="1" pivotButton="0" quotePrefix="0" xfId="0">
      <alignment horizontal="left" vertical="center" indent="1"/>
    </xf>
    <xf numFmtId="167" fontId="8" fillId="0" borderId="3" applyAlignment="1" pivotButton="0" quotePrefix="0" xfId="0">
      <alignment horizontal="center" vertical="center"/>
    </xf>
    <xf numFmtId="167" fontId="8" fillId="0" borderId="0" applyAlignment="1" pivotButton="0" quotePrefix="0" xfId="0">
      <alignment horizontal="center" vertical="center"/>
    </xf>
    <xf numFmtId="168" fontId="8" fillId="0" borderId="3" applyAlignment="1" pivotButton="0" quotePrefix="0" xfId="0">
      <alignment horizontal="center" vertical="center"/>
    </xf>
    <xf numFmtId="168" fontId="8" fillId="0" borderId="0" applyAlignment="1" pivotButton="0" quotePrefix="0" xfId="0">
      <alignment horizontal="center" vertical="center"/>
    </xf>
    <xf numFmtId="0" fontId="15" fillId="0" borderId="0" pivotButton="0" quotePrefix="0" xfId="0"/>
    <xf numFmtId="0" fontId="16" fillId="6" borderId="0" pivotButton="0" quotePrefix="0" xfId="0"/>
  </cellXfs>
  <cellStyles count="1">
    <cellStyle name="Normal" xfId="0" builtinId="0" hidden="0"/>
  </cellStyles>
  <dxfs count="1">
    <dxf>
      <font>
        <name val="맑은 고딕"/>
        <b val="1"/>
        <color rgb="00FF0000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AC276"/>
  <sheetViews>
    <sheetView showGridLines="0" zoomScale="85"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14" customWidth="1" min="2" max="2"/>
    <col outlineLevel="1" width="11" customWidth="1" min="3" max="3"/>
    <col outlineLevel="1" width="11" customWidth="1" min="4" max="4"/>
    <col outlineLevel="1" width="11" customWidth="1" min="5" max="5"/>
    <col outlineLevel="1" width="11" customWidth="1" min="6" max="6"/>
    <col outlineLevel="1" width="11" customWidth="1" min="7" max="7"/>
    <col outlineLevel="1" width="11" customWidth="1" min="8" max="8"/>
    <col outlineLevel="1" width="11" customWidth="1" min="9" max="9"/>
    <col outlineLevel="1" width="11" customWidth="1" min="10" max="10"/>
    <col outlineLevel="1" width="11" customWidth="1" min="11" max="11"/>
    <col outlineLevel="1" width="11" customWidth="1" min="12" max="12"/>
    <col outlineLevel="1" width="11" customWidth="1" min="13" max="13"/>
    <col outlineLevel="1"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</cols>
  <sheetData>
    <row r="1" ht="30" customHeight="1">
      <c r="A1" s="1" t="inlineStr">
        <is>
          <t>6349 Model</t>
        </is>
      </c>
    </row>
    <row r="2">
      <c r="A2" s="2" t="inlineStr">
        <is>
          <t>모를 땐 보수적으로</t>
        </is>
      </c>
      <c r="B2" s="3" t="inlineStr">
        <is>
          <t>(단위: 백만엔)</t>
        </is>
      </c>
      <c r="C2" s="3" t="inlineStr">
        <is>
          <t>3월 결산 · 일본 기준 · 2027.1Q = 2027년 3월 결산기 1분기</t>
        </is>
      </c>
      <c r="Y2" s="4" t="inlineStr">
        <is>
          <t>(추정: 파란 글씨 = 직접 입력)</t>
        </is>
      </c>
    </row>
    <row r="3">
      <c r="A3" s="5" t="inlineStr">
        <is>
          <t>항목</t>
        </is>
      </c>
      <c r="B3" s="5" t="inlineStr">
        <is>
          <t>참고</t>
        </is>
      </c>
      <c r="C3" s="6" t="inlineStr">
        <is>
          <t>2024.2Q</t>
        </is>
      </c>
      <c r="D3" s="5" t="inlineStr">
        <is>
          <t>2024.3Q</t>
        </is>
      </c>
      <c r="E3" s="5" t="inlineStr">
        <is>
          <t>2024.4Q</t>
        </is>
      </c>
      <c r="F3" s="5" t="inlineStr">
        <is>
          <t>2025.1Q</t>
        </is>
      </c>
      <c r="G3" s="5" t="inlineStr">
        <is>
          <t>2025.2Q</t>
        </is>
      </c>
      <c r="H3" s="5" t="inlineStr">
        <is>
          <t>2025.3Q</t>
        </is>
      </c>
      <c r="I3" s="5" t="inlineStr">
        <is>
          <t>2025.4Q</t>
        </is>
      </c>
      <c r="J3" s="5" t="inlineStr">
        <is>
          <t>2026.1Q</t>
        </is>
      </c>
      <c r="K3" s="5" t="inlineStr">
        <is>
          <t>2026.2Q</t>
        </is>
      </c>
      <c r="L3" s="5" t="inlineStr">
        <is>
          <t>2026.3Q</t>
        </is>
      </c>
      <c r="M3" s="5" t="inlineStr">
        <is>
          <t>2026.4Q</t>
        </is>
      </c>
      <c r="N3" s="5" t="inlineStr">
        <is>
          <t>2027.1Q</t>
        </is>
      </c>
      <c r="O3" s="6" t="inlineStr">
        <is>
          <t>2017</t>
        </is>
      </c>
      <c r="P3" s="5" t="inlineStr">
        <is>
          <t>2018</t>
        </is>
      </c>
      <c r="Q3" s="5" t="inlineStr">
        <is>
          <t>2019</t>
        </is>
      </c>
      <c r="R3" s="5" t="inlineStr">
        <is>
          <t>2020</t>
        </is>
      </c>
      <c r="S3" s="5" t="inlineStr">
        <is>
          <t>2021</t>
        </is>
      </c>
      <c r="T3" s="5" t="inlineStr">
        <is>
          <t>2022</t>
        </is>
      </c>
      <c r="U3" s="5" t="inlineStr">
        <is>
          <t>2023</t>
        </is>
      </c>
      <c r="V3" s="5" t="inlineStr">
        <is>
          <t>2024</t>
        </is>
      </c>
      <c r="W3" s="5" t="inlineStr">
        <is>
          <t>2025</t>
        </is>
      </c>
      <c r="X3" s="5" t="inlineStr">
        <is>
          <t>2026</t>
        </is>
      </c>
      <c r="Y3" s="7" t="inlineStr">
        <is>
          <t>2027(MW)</t>
        </is>
      </c>
      <c r="Z3" s="8" t="inlineStr">
        <is>
          <t>2028(MW)</t>
        </is>
      </c>
      <c r="AA3" s="8" t="inlineStr">
        <is>
          <t>2029(MW)</t>
        </is>
      </c>
      <c r="AB3" s="8" t="inlineStr">
        <is>
          <t>2030(MW)</t>
        </is>
      </c>
      <c r="AC3" s="8" t="inlineStr">
        <is>
          <t>2031(MW)</t>
        </is>
      </c>
    </row>
    <row r="4">
      <c r="A4" s="9" t="inlineStr">
        <is>
          <t>매출액</t>
        </is>
      </c>
      <c r="B4" s="10" t="inlineStr">
        <is>
          <t>MW = 제품 합계</t>
        </is>
      </c>
      <c r="C4" s="11" t="n">
        <v>27758</v>
      </c>
      <c r="D4" s="12" t="n">
        <v>22139</v>
      </c>
      <c r="E4" s="12" t="n">
        <v>35012</v>
      </c>
      <c r="F4" s="12" t="n">
        <v>24313</v>
      </c>
      <c r="G4" s="12" t="n">
        <v>25822</v>
      </c>
      <c r="H4" s="12" t="n">
        <v>26676</v>
      </c>
      <c r="I4" s="12" t="n">
        <v>34239</v>
      </c>
      <c r="J4" s="12" t="n">
        <v>22538</v>
      </c>
      <c r="K4" s="12" t="n">
        <v>29677</v>
      </c>
      <c r="L4" s="12" t="n">
        <v>33122</v>
      </c>
      <c r="M4" s="12" t="n">
        <v>33274</v>
      </c>
      <c r="N4" s="12" t="n">
        <v>23098</v>
      </c>
      <c r="O4" s="11" t="n">
        <v>86618</v>
      </c>
      <c r="P4" s="12" t="n">
        <v>94168</v>
      </c>
      <c r="Q4" s="12" t="n">
        <v>90242</v>
      </c>
      <c r="R4" s="12" t="n">
        <v>77646</v>
      </c>
      <c r="S4" s="12" t="n">
        <v>71825</v>
      </c>
      <c r="T4" s="12" t="n">
        <v>87623</v>
      </c>
      <c r="U4" s="12" t="n">
        <v>97914</v>
      </c>
      <c r="V4" s="12" t="n">
        <v>104278</v>
      </c>
      <c r="W4" s="12" t="n">
        <v>111050</v>
      </c>
      <c r="X4" s="12" t="n">
        <v>118611</v>
      </c>
      <c r="Y4" s="11">
        <f>IF(COUNT(Y7,Y10,Y13,Y16,Y19,Y22)=0,"",SUM(Y7,Y10,Y13,Y16,Y19,Y22))</f>
        <v/>
      </c>
      <c r="Z4" s="12">
        <f>IF(COUNT(Z7,Z10,Z13,Z16,Z19,Z22)=0,"",SUM(Z7,Z10,Z13,Z16,Z19,Z22))</f>
        <v/>
      </c>
      <c r="AA4" s="12">
        <f>IF(COUNT(AA7,AA10,AA13,AA16,AA19,AA22)=0,"",SUM(AA7,AA10,AA13,AA16,AA19,AA22))</f>
        <v/>
      </c>
      <c r="AB4" s="12">
        <f>IF(COUNT(AB7,AB10,AB13,AB16,AB19,AB22)=0,"",SUM(AB7,AB10,AB13,AB16,AB19,AB22))</f>
        <v/>
      </c>
      <c r="AC4" s="12">
        <f>IF(COUNT(AC7,AC10,AC13,AC16,AC19,AC22)=0,"",SUM(AC7,AC10,AC13,AC16,AC19,AC22))</f>
        <v/>
      </c>
    </row>
    <row r="5">
      <c r="A5" s="13" t="inlineStr">
        <is>
          <t>YoY</t>
        </is>
      </c>
      <c r="B5" s="10" t="n"/>
      <c r="C5" s="14" t="n"/>
      <c r="D5" s="15" t="n"/>
      <c r="E5" s="15" t="n"/>
      <c r="F5" s="15" t="n"/>
      <c r="G5" s="15">
        <f>IF(OR(G4="",C4=""),"",IFERROR(G4/C4-1,""))</f>
        <v/>
      </c>
      <c r="H5" s="15">
        <f>IF(OR(H4="",D4=""),"",IFERROR(H4/D4-1,""))</f>
        <v/>
      </c>
      <c r="I5" s="15">
        <f>IF(OR(I4="",E4=""),"",IFERROR(I4/E4-1,""))</f>
        <v/>
      </c>
      <c r="J5" s="15">
        <f>IF(OR(J4="",F4=""),"",IFERROR(J4/F4-1,""))</f>
        <v/>
      </c>
      <c r="K5" s="15">
        <f>IF(OR(K4="",G4=""),"",IFERROR(K4/G4-1,""))</f>
        <v/>
      </c>
      <c r="L5" s="15">
        <f>IF(OR(L4="",H4=""),"",IFERROR(L4/H4-1,""))</f>
        <v/>
      </c>
      <c r="M5" s="15">
        <f>IF(OR(M4="",I4=""),"",IFERROR(M4/I4-1,""))</f>
        <v/>
      </c>
      <c r="N5" s="15">
        <f>IF(OR(N4="",J4=""),"",IFERROR(N4/J4-1,""))</f>
        <v/>
      </c>
      <c r="O5" s="14" t="n"/>
      <c r="P5" s="15">
        <f>IF(OR(P4="",O4=""),"",IFERROR(P4/O4-1,""))</f>
        <v/>
      </c>
      <c r="Q5" s="15">
        <f>IF(OR(Q4="",P4=""),"",IFERROR(Q4/P4-1,""))</f>
        <v/>
      </c>
      <c r="R5" s="15">
        <f>IF(OR(R4="",Q4=""),"",IFERROR(R4/Q4-1,""))</f>
        <v/>
      </c>
      <c r="S5" s="15">
        <f>IF(OR(S4="",R4=""),"",IFERROR(S4/R4-1,""))</f>
        <v/>
      </c>
      <c r="T5" s="15">
        <f>IF(OR(T4="",S4=""),"",IFERROR(T4/S4-1,""))</f>
        <v/>
      </c>
      <c r="U5" s="15">
        <f>IF(OR(U4="",T4=""),"",IFERROR(U4/T4-1,""))</f>
        <v/>
      </c>
      <c r="V5" s="15">
        <f>IF(OR(V4="",U4=""),"",IFERROR(V4/U4-1,""))</f>
        <v/>
      </c>
      <c r="W5" s="15">
        <f>IF(OR(W4="",V4=""),"",IFERROR(W4/V4-1,""))</f>
        <v/>
      </c>
      <c r="X5" s="15">
        <f>IF(OR(X4="",W4=""),"",IFERROR(X4/W4-1,""))</f>
        <v/>
      </c>
      <c r="Y5" s="14">
        <f>IF(OR(Y4="",X4=""),"",IFERROR(Y4/X4-1,""))</f>
        <v/>
      </c>
      <c r="Z5" s="15">
        <f>IF(OR(Z4="",Y4=""),"",IFERROR(Z4/Y4-1,""))</f>
        <v/>
      </c>
      <c r="AA5" s="15">
        <f>IF(OR(AA4="",Z4=""),"",IFERROR(AA4/Z4-1,""))</f>
        <v/>
      </c>
      <c r="AB5" s="15">
        <f>IF(OR(AB4="",AA4=""),"",IFERROR(AB4/AA4-1,""))</f>
        <v/>
      </c>
      <c r="AC5" s="15">
        <f>IF(OR(AC4="",AB4=""),"",IFERROR(AC4/AB4-1,""))</f>
        <v/>
      </c>
    </row>
    <row r="6">
      <c r="A6" s="16" t="inlineStr">
        <is>
          <t>제품별 매출 분류</t>
        </is>
      </c>
      <c r="B6" s="16" t="inlineStr">
        <is>
          <t>사업보고서 매출실적</t>
        </is>
      </c>
      <c r="C6" s="17" t="n"/>
      <c r="D6" s="16" t="n"/>
      <c r="E6" s="16" t="n"/>
      <c r="F6" s="16" t="n"/>
      <c r="G6" s="16" t="n"/>
      <c r="H6" s="16" t="n"/>
      <c r="I6" s="16" t="n"/>
      <c r="J6" s="16" t="n"/>
      <c r="K6" s="16" t="n"/>
      <c r="L6" s="16" t="n"/>
      <c r="M6" s="16" t="n"/>
      <c r="N6" s="16" t="n"/>
      <c r="O6" s="17" t="n"/>
      <c r="P6" s="16" t="n"/>
      <c r="Q6" s="16" t="n"/>
      <c r="R6" s="16" t="n"/>
      <c r="S6" s="16" t="n"/>
      <c r="T6" s="16" t="n"/>
      <c r="U6" s="16" t="n"/>
      <c r="V6" s="16" t="n"/>
      <c r="W6" s="16" t="n"/>
      <c r="X6" s="16" t="n"/>
      <c r="Y6" s="17" t="n"/>
      <c r="Z6" s="16" t="n"/>
      <c r="AA6" s="16" t="n"/>
      <c r="AB6" s="16" t="n"/>
      <c r="AC6" s="16" t="n"/>
    </row>
    <row r="7">
      <c r="A7" s="18" t="inlineStr">
        <is>
          <t>JapanReportableSegmentsMember</t>
        </is>
      </c>
      <c r="B7" s="10" t="n"/>
      <c r="C7" s="19" t="n"/>
      <c r="D7" s="20" t="n"/>
      <c r="E7" s="20" t="n">
        <v>18125</v>
      </c>
      <c r="F7" s="20" t="n">
        <v>13030</v>
      </c>
      <c r="G7" s="20" t="n"/>
      <c r="H7" s="20" t="n"/>
      <c r="I7" s="20" t="n">
        <v>14188</v>
      </c>
      <c r="J7" s="20" t="n">
        <v>11925</v>
      </c>
      <c r="K7" s="20" t="n"/>
      <c r="L7" s="20" t="n"/>
      <c r="M7" s="20" t="n">
        <v>14787</v>
      </c>
      <c r="N7" s="20" t="n">
        <v>10185</v>
      </c>
      <c r="O7" s="19" t="n"/>
      <c r="P7" s="20" t="n"/>
      <c r="Q7" s="20" t="n"/>
      <c r="R7" s="20" t="n"/>
      <c r="S7" s="20" t="n"/>
      <c r="T7" s="20" t="n"/>
      <c r="U7" s="20" t="n"/>
      <c r="V7" s="20" t="n">
        <v>50746</v>
      </c>
      <c r="W7" s="20" t="n">
        <v>55287</v>
      </c>
      <c r="X7" s="20" t="n">
        <v>55271</v>
      </c>
      <c r="Y7" s="21" t="n"/>
      <c r="Z7" s="22" t="n"/>
      <c r="AA7" s="22" t="n"/>
      <c r="AB7" s="22" t="n"/>
      <c r="AC7" s="22" t="n"/>
    </row>
    <row r="8">
      <c r="A8" s="13" t="inlineStr">
        <is>
          <t>비중</t>
        </is>
      </c>
      <c r="B8" s="10" t="n"/>
      <c r="C8" s="14">
        <f>IF(OR(C7="",C4=""),"",IFERROR(C7/C4,""))</f>
        <v/>
      </c>
      <c r="D8" s="15">
        <f>IF(OR(D7="",D4=""),"",IFERROR(D7/D4,""))</f>
        <v/>
      </c>
      <c r="E8" s="15">
        <f>IF(OR(E7="",E4=""),"",IFERROR(E7/E4,""))</f>
        <v/>
      </c>
      <c r="F8" s="15">
        <f>IF(OR(F7="",F4=""),"",IFERROR(F7/F4,""))</f>
        <v/>
      </c>
      <c r="G8" s="15">
        <f>IF(OR(G7="",G4=""),"",IFERROR(G7/G4,""))</f>
        <v/>
      </c>
      <c r="H8" s="15">
        <f>IF(OR(H7="",H4=""),"",IFERROR(H7/H4,""))</f>
        <v/>
      </c>
      <c r="I8" s="15">
        <f>IF(OR(I7="",I4=""),"",IFERROR(I7/I4,""))</f>
        <v/>
      </c>
      <c r="J8" s="15">
        <f>IF(OR(J7="",J4=""),"",IFERROR(J7/J4,""))</f>
        <v/>
      </c>
      <c r="K8" s="15">
        <f>IF(OR(K7="",K4=""),"",IFERROR(K7/K4,""))</f>
        <v/>
      </c>
      <c r="L8" s="15">
        <f>IF(OR(L7="",L4=""),"",IFERROR(L7/L4,""))</f>
        <v/>
      </c>
      <c r="M8" s="15">
        <f>IF(OR(M7="",M4=""),"",IFERROR(M7/M4,""))</f>
        <v/>
      </c>
      <c r="N8" s="15">
        <f>IF(OR(N7="",N4=""),"",IFERROR(N7/N4,""))</f>
        <v/>
      </c>
      <c r="O8" s="14">
        <f>IF(OR(O7="",O4=""),"",IFERROR(O7/O4,""))</f>
        <v/>
      </c>
      <c r="P8" s="15">
        <f>IF(OR(P7="",P4=""),"",IFERROR(P7/P4,""))</f>
        <v/>
      </c>
      <c r="Q8" s="15">
        <f>IF(OR(Q7="",Q4=""),"",IFERROR(Q7/Q4,""))</f>
        <v/>
      </c>
      <c r="R8" s="15">
        <f>IF(OR(R7="",R4=""),"",IFERROR(R7/R4,""))</f>
        <v/>
      </c>
      <c r="S8" s="15">
        <f>IF(OR(S7="",S4=""),"",IFERROR(S7/S4,""))</f>
        <v/>
      </c>
      <c r="T8" s="15">
        <f>IF(OR(T7="",T4=""),"",IFERROR(T7/T4,""))</f>
        <v/>
      </c>
      <c r="U8" s="15">
        <f>IF(OR(U7="",U4=""),"",IFERROR(U7/U4,""))</f>
        <v/>
      </c>
      <c r="V8" s="15">
        <f>IF(OR(V7="",V4=""),"",IFERROR(V7/V4,""))</f>
        <v/>
      </c>
      <c r="W8" s="15">
        <f>IF(OR(W7="",W4=""),"",IFERROR(W7/W4,""))</f>
        <v/>
      </c>
      <c r="X8" s="15">
        <f>IF(OR(X7="",X4=""),"",IFERROR(X7/X4,""))</f>
        <v/>
      </c>
      <c r="Y8" s="14">
        <f>IF(OR(Y7="",Y4=""),"",IFERROR(Y7/Y4,""))</f>
        <v/>
      </c>
      <c r="Z8" s="15">
        <f>IF(OR(Z7="",Z4=""),"",IFERROR(Z7/Z4,""))</f>
        <v/>
      </c>
      <c r="AA8" s="15">
        <f>IF(OR(AA7="",AA4=""),"",IFERROR(AA7/AA4,""))</f>
        <v/>
      </c>
      <c r="AB8" s="15">
        <f>IF(OR(AB7="",AB4=""),"",IFERROR(AB7/AB4,""))</f>
        <v/>
      </c>
      <c r="AC8" s="15">
        <f>IF(OR(AC7="",AC4=""),"",IFERROR(AC7/AC4,""))</f>
        <v/>
      </c>
    </row>
    <row r="9">
      <c r="A9" s="13" t="inlineStr">
        <is>
          <t>YoY</t>
        </is>
      </c>
      <c r="B9" s="10" t="n"/>
      <c r="C9" s="14" t="n"/>
      <c r="D9" s="15" t="n"/>
      <c r="E9" s="15" t="n"/>
      <c r="F9" s="15" t="n"/>
      <c r="G9" s="15">
        <f>IF(OR(G7="",C7=""),"",IFERROR(G7/C7-1,""))</f>
        <v/>
      </c>
      <c r="H9" s="15">
        <f>IF(OR(H7="",D7=""),"",IFERROR(H7/D7-1,""))</f>
        <v/>
      </c>
      <c r="I9" s="15">
        <f>IF(OR(I7="",E7=""),"",IFERROR(I7/E7-1,""))</f>
        <v/>
      </c>
      <c r="J9" s="15">
        <f>IF(OR(J7="",F7=""),"",IFERROR(J7/F7-1,""))</f>
        <v/>
      </c>
      <c r="K9" s="15">
        <f>IF(OR(K7="",G7=""),"",IFERROR(K7/G7-1,""))</f>
        <v/>
      </c>
      <c r="L9" s="15">
        <f>IF(OR(L7="",H7=""),"",IFERROR(L7/H7-1,""))</f>
        <v/>
      </c>
      <c r="M9" s="15">
        <f>IF(OR(M7="",I7=""),"",IFERROR(M7/I7-1,""))</f>
        <v/>
      </c>
      <c r="N9" s="15">
        <f>IF(OR(N7="",J7=""),"",IFERROR(N7/J7-1,""))</f>
        <v/>
      </c>
      <c r="O9" s="14" t="n"/>
      <c r="P9" s="15">
        <f>IF(OR(P7="",O7=""),"",IFERROR(P7/O7-1,""))</f>
        <v/>
      </c>
      <c r="Q9" s="15">
        <f>IF(OR(Q7="",P7=""),"",IFERROR(Q7/P7-1,""))</f>
        <v/>
      </c>
      <c r="R9" s="15">
        <f>IF(OR(R7="",Q7=""),"",IFERROR(R7/Q7-1,""))</f>
        <v/>
      </c>
      <c r="S9" s="15">
        <f>IF(OR(S7="",R7=""),"",IFERROR(S7/R7-1,""))</f>
        <v/>
      </c>
      <c r="T9" s="15">
        <f>IF(OR(T7="",S7=""),"",IFERROR(T7/S7-1,""))</f>
        <v/>
      </c>
      <c r="U9" s="15">
        <f>IF(OR(U7="",T7=""),"",IFERROR(U7/T7-1,""))</f>
        <v/>
      </c>
      <c r="V9" s="15">
        <f>IF(OR(V7="",U7=""),"",IFERROR(V7/U7-1,""))</f>
        <v/>
      </c>
      <c r="W9" s="15">
        <f>IF(OR(W7="",V7=""),"",IFERROR(W7/V7-1,""))</f>
        <v/>
      </c>
      <c r="X9" s="15">
        <f>IF(OR(X7="",W7=""),"",IFERROR(X7/W7-1,""))</f>
        <v/>
      </c>
      <c r="Y9" s="14">
        <f>IF(OR(Y7="",X7=""),"",IFERROR(Y7/X7-1,""))</f>
        <v/>
      </c>
      <c r="Z9" s="15">
        <f>IF(OR(Z7="",Y7=""),"",IFERROR(Z7/Y7-1,""))</f>
        <v/>
      </c>
      <c r="AA9" s="15">
        <f>IF(OR(AA7="",Z7=""),"",IFERROR(AA7/Z7-1,""))</f>
        <v/>
      </c>
      <c r="AB9" s="15">
        <f>IF(OR(AB7="",AA7=""),"",IFERROR(AB7/AA7-1,""))</f>
        <v/>
      </c>
      <c r="AC9" s="15">
        <f>IF(OR(AC7="",AB7=""),"",IFERROR(AC7/AB7-1,""))</f>
        <v/>
      </c>
    </row>
    <row r="10">
      <c r="A10" s="18" t="inlineStr">
        <is>
          <t>NorthAmericaReportableSegmentsMember</t>
        </is>
      </c>
      <c r="B10" s="10" t="n"/>
      <c r="C10" s="19" t="n"/>
      <c r="D10" s="20" t="n"/>
      <c r="E10" s="20" t="n">
        <v>4847</v>
      </c>
      <c r="F10" s="20" t="n">
        <v>2074</v>
      </c>
      <c r="G10" s="20" t="n"/>
      <c r="H10" s="20" t="n"/>
      <c r="I10" s="20" t="n">
        <v>3589</v>
      </c>
      <c r="J10" s="20" t="n">
        <v>2074</v>
      </c>
      <c r="K10" s="20" t="n"/>
      <c r="L10" s="20" t="n"/>
      <c r="M10" s="20" t="n">
        <v>2606</v>
      </c>
      <c r="N10" s="20" t="n">
        <v>1221</v>
      </c>
      <c r="O10" s="19" t="n"/>
      <c r="P10" s="20" t="n"/>
      <c r="Q10" s="20" t="n"/>
      <c r="R10" s="20" t="n"/>
      <c r="S10" s="20" t="n"/>
      <c r="T10" s="20" t="n"/>
      <c r="U10" s="20" t="n"/>
      <c r="V10" s="20" t="n">
        <v>11683</v>
      </c>
      <c r="W10" s="20" t="n">
        <v>9285</v>
      </c>
      <c r="X10" s="20" t="n">
        <v>12689</v>
      </c>
      <c r="Y10" s="21" t="n"/>
      <c r="Z10" s="22" t="n"/>
      <c r="AA10" s="22" t="n"/>
      <c r="AB10" s="22" t="n"/>
      <c r="AC10" s="22" t="n"/>
    </row>
    <row r="11">
      <c r="A11" s="13" t="inlineStr">
        <is>
          <t>비중</t>
        </is>
      </c>
      <c r="B11" s="10" t="n"/>
      <c r="C11" s="14">
        <f>IF(OR(C10="",C4=""),"",IFERROR(C10/C4,""))</f>
        <v/>
      </c>
      <c r="D11" s="15">
        <f>IF(OR(D10="",D4=""),"",IFERROR(D10/D4,""))</f>
        <v/>
      </c>
      <c r="E11" s="15">
        <f>IF(OR(E10="",E4=""),"",IFERROR(E10/E4,""))</f>
        <v/>
      </c>
      <c r="F11" s="15">
        <f>IF(OR(F10="",F4=""),"",IFERROR(F10/F4,""))</f>
        <v/>
      </c>
      <c r="G11" s="15">
        <f>IF(OR(G10="",G4=""),"",IFERROR(G10/G4,""))</f>
        <v/>
      </c>
      <c r="H11" s="15">
        <f>IF(OR(H10="",H4=""),"",IFERROR(H10/H4,""))</f>
        <v/>
      </c>
      <c r="I11" s="15">
        <f>IF(OR(I10="",I4=""),"",IFERROR(I10/I4,""))</f>
        <v/>
      </c>
      <c r="J11" s="15">
        <f>IF(OR(J10="",J4=""),"",IFERROR(J10/J4,""))</f>
        <v/>
      </c>
      <c r="K11" s="15">
        <f>IF(OR(K10="",K4=""),"",IFERROR(K10/K4,""))</f>
        <v/>
      </c>
      <c r="L11" s="15">
        <f>IF(OR(L10="",L4=""),"",IFERROR(L10/L4,""))</f>
        <v/>
      </c>
      <c r="M11" s="15">
        <f>IF(OR(M10="",M4=""),"",IFERROR(M10/M4,""))</f>
        <v/>
      </c>
      <c r="N11" s="15">
        <f>IF(OR(N10="",N4=""),"",IFERROR(N10/N4,""))</f>
        <v/>
      </c>
      <c r="O11" s="14">
        <f>IF(OR(O10="",O4=""),"",IFERROR(O10/O4,""))</f>
        <v/>
      </c>
      <c r="P11" s="15">
        <f>IF(OR(P10="",P4=""),"",IFERROR(P10/P4,""))</f>
        <v/>
      </c>
      <c r="Q11" s="15">
        <f>IF(OR(Q10="",Q4=""),"",IFERROR(Q10/Q4,""))</f>
        <v/>
      </c>
      <c r="R11" s="15">
        <f>IF(OR(R10="",R4=""),"",IFERROR(R10/R4,""))</f>
        <v/>
      </c>
      <c r="S11" s="15">
        <f>IF(OR(S10="",S4=""),"",IFERROR(S10/S4,""))</f>
        <v/>
      </c>
      <c r="T11" s="15">
        <f>IF(OR(T10="",T4=""),"",IFERROR(T10/T4,""))</f>
        <v/>
      </c>
      <c r="U11" s="15">
        <f>IF(OR(U10="",U4=""),"",IFERROR(U10/U4,""))</f>
        <v/>
      </c>
      <c r="V11" s="15">
        <f>IF(OR(V10="",V4=""),"",IFERROR(V10/V4,""))</f>
        <v/>
      </c>
      <c r="W11" s="15">
        <f>IF(OR(W10="",W4=""),"",IFERROR(W10/W4,""))</f>
        <v/>
      </c>
      <c r="X11" s="15">
        <f>IF(OR(X10="",X4=""),"",IFERROR(X10/X4,""))</f>
        <v/>
      </c>
      <c r="Y11" s="14">
        <f>IF(OR(Y10="",Y4=""),"",IFERROR(Y10/Y4,""))</f>
        <v/>
      </c>
      <c r="Z11" s="15">
        <f>IF(OR(Z10="",Z4=""),"",IFERROR(Z10/Z4,""))</f>
        <v/>
      </c>
      <c r="AA11" s="15">
        <f>IF(OR(AA10="",AA4=""),"",IFERROR(AA10/AA4,""))</f>
        <v/>
      </c>
      <c r="AB11" s="15">
        <f>IF(OR(AB10="",AB4=""),"",IFERROR(AB10/AB4,""))</f>
        <v/>
      </c>
      <c r="AC11" s="15">
        <f>IF(OR(AC10="",AC4=""),"",IFERROR(AC10/AC4,""))</f>
        <v/>
      </c>
    </row>
    <row r="12">
      <c r="A12" s="13" t="inlineStr">
        <is>
          <t>YoY</t>
        </is>
      </c>
      <c r="B12" s="10" t="n"/>
      <c r="C12" s="14" t="n"/>
      <c r="D12" s="15" t="n"/>
      <c r="E12" s="15" t="n"/>
      <c r="F12" s="15" t="n"/>
      <c r="G12" s="15">
        <f>IF(OR(G10="",C10=""),"",IFERROR(G10/C10-1,""))</f>
        <v/>
      </c>
      <c r="H12" s="15">
        <f>IF(OR(H10="",D10=""),"",IFERROR(H10/D10-1,""))</f>
        <v/>
      </c>
      <c r="I12" s="15">
        <f>IF(OR(I10="",E10=""),"",IFERROR(I10/E10-1,""))</f>
        <v/>
      </c>
      <c r="J12" s="15">
        <f>IF(OR(J10="",F10=""),"",IFERROR(J10/F10-1,""))</f>
        <v/>
      </c>
      <c r="K12" s="15">
        <f>IF(OR(K10="",G10=""),"",IFERROR(K10/G10-1,""))</f>
        <v/>
      </c>
      <c r="L12" s="15">
        <f>IF(OR(L10="",H10=""),"",IFERROR(L10/H10-1,""))</f>
        <v/>
      </c>
      <c r="M12" s="15">
        <f>IF(OR(M10="",I10=""),"",IFERROR(M10/I10-1,""))</f>
        <v/>
      </c>
      <c r="N12" s="15">
        <f>IF(OR(N10="",J10=""),"",IFERROR(N10/J10-1,""))</f>
        <v/>
      </c>
      <c r="O12" s="14" t="n"/>
      <c r="P12" s="15">
        <f>IF(OR(P10="",O10=""),"",IFERROR(P10/O10-1,""))</f>
        <v/>
      </c>
      <c r="Q12" s="15">
        <f>IF(OR(Q10="",P10=""),"",IFERROR(Q10/P10-1,""))</f>
        <v/>
      </c>
      <c r="R12" s="15">
        <f>IF(OR(R10="",Q10=""),"",IFERROR(R10/Q10-1,""))</f>
        <v/>
      </c>
      <c r="S12" s="15">
        <f>IF(OR(S10="",R10=""),"",IFERROR(S10/R10-1,""))</f>
        <v/>
      </c>
      <c r="T12" s="15">
        <f>IF(OR(T10="",S10=""),"",IFERROR(T10/S10-1,""))</f>
        <v/>
      </c>
      <c r="U12" s="15">
        <f>IF(OR(U10="",T10=""),"",IFERROR(U10/T10-1,""))</f>
        <v/>
      </c>
      <c r="V12" s="15">
        <f>IF(OR(V10="",U10=""),"",IFERROR(V10/U10-1,""))</f>
        <v/>
      </c>
      <c r="W12" s="15">
        <f>IF(OR(W10="",V10=""),"",IFERROR(W10/V10-1,""))</f>
        <v/>
      </c>
      <c r="X12" s="15">
        <f>IF(OR(X10="",W10=""),"",IFERROR(X10/W10-1,""))</f>
        <v/>
      </c>
      <c r="Y12" s="14">
        <f>IF(OR(Y10="",X10=""),"",IFERROR(Y10/X10-1,""))</f>
        <v/>
      </c>
      <c r="Z12" s="15">
        <f>IF(OR(Z10="",Y10=""),"",IFERROR(Z10/Y10-1,""))</f>
        <v/>
      </c>
      <c r="AA12" s="15">
        <f>IF(OR(AA10="",Z10=""),"",IFERROR(AA10/Z10-1,""))</f>
        <v/>
      </c>
      <c r="AB12" s="15">
        <f>IF(OR(AB10="",AA10=""),"",IFERROR(AB10/AA10-1,""))</f>
        <v/>
      </c>
      <c r="AC12" s="15">
        <f>IF(OR(AC10="",AB10=""),"",IFERROR(AC10/AB10-1,""))</f>
        <v/>
      </c>
    </row>
    <row r="13">
      <c r="A13" s="18" t="inlineStr">
        <is>
          <t>EuropeReportableSegmentsMember</t>
        </is>
      </c>
      <c r="B13" s="10" t="n"/>
      <c r="C13" s="19" t="n"/>
      <c r="D13" s="20" t="n"/>
      <c r="E13" s="20" t="n">
        <v>6623</v>
      </c>
      <c r="F13" s="20" t="n">
        <v>4461</v>
      </c>
      <c r="G13" s="20" t="n"/>
      <c r="H13" s="20" t="n"/>
      <c r="I13" s="20" t="n">
        <v>8733</v>
      </c>
      <c r="J13" s="20" t="n">
        <v>4669</v>
      </c>
      <c r="K13" s="20" t="n"/>
      <c r="L13" s="20" t="n"/>
      <c r="M13" s="20" t="n">
        <v>8936</v>
      </c>
      <c r="N13" s="20" t="n">
        <v>6569</v>
      </c>
      <c r="O13" s="19" t="n"/>
      <c r="P13" s="20" t="n"/>
      <c r="Q13" s="20" t="n"/>
      <c r="R13" s="20" t="n"/>
      <c r="S13" s="20" t="n"/>
      <c r="T13" s="20" t="n"/>
      <c r="U13" s="20" t="n"/>
      <c r="V13" s="20" t="n">
        <v>22754</v>
      </c>
      <c r="W13" s="20" t="n">
        <v>24718</v>
      </c>
      <c r="X13" s="20" t="n">
        <v>28178</v>
      </c>
      <c r="Y13" s="21" t="n"/>
      <c r="Z13" s="22" t="n"/>
      <c r="AA13" s="22" t="n"/>
      <c r="AB13" s="22" t="n"/>
      <c r="AC13" s="22" t="n"/>
    </row>
    <row r="14">
      <c r="A14" s="13" t="inlineStr">
        <is>
          <t>비중</t>
        </is>
      </c>
      <c r="B14" s="10" t="n"/>
      <c r="C14" s="14">
        <f>IF(OR(C13="",C4=""),"",IFERROR(C13/C4,""))</f>
        <v/>
      </c>
      <c r="D14" s="15">
        <f>IF(OR(D13="",D4=""),"",IFERROR(D13/D4,""))</f>
        <v/>
      </c>
      <c r="E14" s="15">
        <f>IF(OR(E13="",E4=""),"",IFERROR(E13/E4,""))</f>
        <v/>
      </c>
      <c r="F14" s="15">
        <f>IF(OR(F13="",F4=""),"",IFERROR(F13/F4,""))</f>
        <v/>
      </c>
      <c r="G14" s="15">
        <f>IF(OR(G13="",G4=""),"",IFERROR(G13/G4,""))</f>
        <v/>
      </c>
      <c r="H14" s="15">
        <f>IF(OR(H13="",H4=""),"",IFERROR(H13/H4,""))</f>
        <v/>
      </c>
      <c r="I14" s="15">
        <f>IF(OR(I13="",I4=""),"",IFERROR(I13/I4,""))</f>
        <v/>
      </c>
      <c r="J14" s="15">
        <f>IF(OR(J13="",J4=""),"",IFERROR(J13/J4,""))</f>
        <v/>
      </c>
      <c r="K14" s="15">
        <f>IF(OR(K13="",K4=""),"",IFERROR(K13/K4,""))</f>
        <v/>
      </c>
      <c r="L14" s="15">
        <f>IF(OR(L13="",L4=""),"",IFERROR(L13/L4,""))</f>
        <v/>
      </c>
      <c r="M14" s="15">
        <f>IF(OR(M13="",M4=""),"",IFERROR(M13/M4,""))</f>
        <v/>
      </c>
      <c r="N14" s="15">
        <f>IF(OR(N13="",N4=""),"",IFERROR(N13/N4,""))</f>
        <v/>
      </c>
      <c r="O14" s="14">
        <f>IF(OR(O13="",O4=""),"",IFERROR(O13/O4,""))</f>
        <v/>
      </c>
      <c r="P14" s="15">
        <f>IF(OR(P13="",P4=""),"",IFERROR(P13/P4,""))</f>
        <v/>
      </c>
      <c r="Q14" s="15">
        <f>IF(OR(Q13="",Q4=""),"",IFERROR(Q13/Q4,""))</f>
        <v/>
      </c>
      <c r="R14" s="15">
        <f>IF(OR(R13="",R4=""),"",IFERROR(R13/R4,""))</f>
        <v/>
      </c>
      <c r="S14" s="15">
        <f>IF(OR(S13="",S4=""),"",IFERROR(S13/S4,""))</f>
        <v/>
      </c>
      <c r="T14" s="15">
        <f>IF(OR(T13="",T4=""),"",IFERROR(T13/T4,""))</f>
        <v/>
      </c>
      <c r="U14" s="15">
        <f>IF(OR(U13="",U4=""),"",IFERROR(U13/U4,""))</f>
        <v/>
      </c>
      <c r="V14" s="15">
        <f>IF(OR(V13="",V4=""),"",IFERROR(V13/V4,""))</f>
        <v/>
      </c>
      <c r="W14" s="15">
        <f>IF(OR(W13="",W4=""),"",IFERROR(W13/W4,""))</f>
        <v/>
      </c>
      <c r="X14" s="15">
        <f>IF(OR(X13="",X4=""),"",IFERROR(X13/X4,""))</f>
        <v/>
      </c>
      <c r="Y14" s="14">
        <f>IF(OR(Y13="",Y4=""),"",IFERROR(Y13/Y4,""))</f>
        <v/>
      </c>
      <c r="Z14" s="15">
        <f>IF(OR(Z13="",Z4=""),"",IFERROR(Z13/Z4,""))</f>
        <v/>
      </c>
      <c r="AA14" s="15">
        <f>IF(OR(AA13="",AA4=""),"",IFERROR(AA13/AA4,""))</f>
        <v/>
      </c>
      <c r="AB14" s="15">
        <f>IF(OR(AB13="",AB4=""),"",IFERROR(AB13/AB4,""))</f>
        <v/>
      </c>
      <c r="AC14" s="15">
        <f>IF(OR(AC13="",AC4=""),"",IFERROR(AC13/AC4,""))</f>
        <v/>
      </c>
    </row>
    <row r="15">
      <c r="A15" s="13" t="inlineStr">
        <is>
          <t>YoY</t>
        </is>
      </c>
      <c r="B15" s="10" t="n"/>
      <c r="C15" s="14" t="n"/>
      <c r="D15" s="15" t="n"/>
      <c r="E15" s="15" t="n"/>
      <c r="F15" s="15" t="n"/>
      <c r="G15" s="15">
        <f>IF(OR(G13="",C13=""),"",IFERROR(G13/C13-1,""))</f>
        <v/>
      </c>
      <c r="H15" s="15">
        <f>IF(OR(H13="",D13=""),"",IFERROR(H13/D13-1,""))</f>
        <v/>
      </c>
      <c r="I15" s="15">
        <f>IF(OR(I13="",E13=""),"",IFERROR(I13/E13-1,""))</f>
        <v/>
      </c>
      <c r="J15" s="15">
        <f>IF(OR(J13="",F13=""),"",IFERROR(J13/F13-1,""))</f>
        <v/>
      </c>
      <c r="K15" s="15">
        <f>IF(OR(K13="",G13=""),"",IFERROR(K13/G13-1,""))</f>
        <v/>
      </c>
      <c r="L15" s="15">
        <f>IF(OR(L13="",H13=""),"",IFERROR(L13/H13-1,""))</f>
        <v/>
      </c>
      <c r="M15" s="15">
        <f>IF(OR(M13="",I13=""),"",IFERROR(M13/I13-1,""))</f>
        <v/>
      </c>
      <c r="N15" s="15">
        <f>IF(OR(N13="",J13=""),"",IFERROR(N13/J13-1,""))</f>
        <v/>
      </c>
      <c r="O15" s="14" t="n"/>
      <c r="P15" s="15">
        <f>IF(OR(P13="",O13=""),"",IFERROR(P13/O13-1,""))</f>
        <v/>
      </c>
      <c r="Q15" s="15">
        <f>IF(OR(Q13="",P13=""),"",IFERROR(Q13/P13-1,""))</f>
        <v/>
      </c>
      <c r="R15" s="15">
        <f>IF(OR(R13="",Q13=""),"",IFERROR(R13/Q13-1,""))</f>
        <v/>
      </c>
      <c r="S15" s="15">
        <f>IF(OR(S13="",R13=""),"",IFERROR(S13/R13-1,""))</f>
        <v/>
      </c>
      <c r="T15" s="15">
        <f>IF(OR(T13="",S13=""),"",IFERROR(T13/S13-1,""))</f>
        <v/>
      </c>
      <c r="U15" s="15">
        <f>IF(OR(U13="",T13=""),"",IFERROR(U13/T13-1,""))</f>
        <v/>
      </c>
      <c r="V15" s="15">
        <f>IF(OR(V13="",U13=""),"",IFERROR(V13/U13-1,""))</f>
        <v/>
      </c>
      <c r="W15" s="15">
        <f>IF(OR(W13="",V13=""),"",IFERROR(W13/V13-1,""))</f>
        <v/>
      </c>
      <c r="X15" s="15">
        <f>IF(OR(X13="",W13=""),"",IFERROR(X13/W13-1,""))</f>
        <v/>
      </c>
      <c r="Y15" s="14">
        <f>IF(OR(Y13="",X13=""),"",IFERROR(Y13/X13-1,""))</f>
        <v/>
      </c>
      <c r="Z15" s="15">
        <f>IF(OR(Z13="",Y13=""),"",IFERROR(Z13/Y13-1,""))</f>
        <v/>
      </c>
      <c r="AA15" s="15">
        <f>IF(OR(AA13="",Z13=""),"",IFERROR(AA13/Z13-1,""))</f>
        <v/>
      </c>
      <c r="AB15" s="15">
        <f>IF(OR(AB13="",AA13=""),"",IFERROR(AB13/AA13-1,""))</f>
        <v/>
      </c>
      <c r="AC15" s="15">
        <f>IF(OR(AC13="",AB13=""),"",IFERROR(AC13/AB13-1,""))</f>
        <v/>
      </c>
    </row>
    <row r="16">
      <c r="A16" s="18" t="inlineStr">
        <is>
          <t>ChinaAreaReportableSegmentMember</t>
        </is>
      </c>
      <c r="B16" s="10" t="n"/>
      <c r="C16" s="19" t="n"/>
      <c r="D16" s="20" t="n"/>
      <c r="E16" s="20" t="n">
        <v>3790</v>
      </c>
      <c r="F16" s="20" t="n">
        <v>3812</v>
      </c>
      <c r="G16" s="20" t="n"/>
      <c r="H16" s="20" t="n"/>
      <c r="I16" s="20" t="n">
        <v>4620</v>
      </c>
      <c r="J16" s="20" t="n">
        <v>1613</v>
      </c>
      <c r="K16" s="20" t="n"/>
      <c r="L16" s="20" t="n"/>
      <c r="M16" s="20" t="n">
        <v>4081</v>
      </c>
      <c r="N16" s="20" t="n">
        <v>2947</v>
      </c>
      <c r="O16" s="19" t="n"/>
      <c r="P16" s="20" t="n"/>
      <c r="Q16" s="20" t="n"/>
      <c r="R16" s="20" t="n"/>
      <c r="S16" s="20" t="n"/>
      <c r="T16" s="20" t="n"/>
      <c r="U16" s="20" t="n"/>
      <c r="V16" s="20" t="n">
        <v>14678</v>
      </c>
      <c r="W16" s="20" t="n">
        <v>14268</v>
      </c>
      <c r="X16" s="20" t="n">
        <v>11698</v>
      </c>
      <c r="Y16" s="21" t="n"/>
      <c r="Z16" s="22" t="n"/>
      <c r="AA16" s="22" t="n"/>
      <c r="AB16" s="22" t="n"/>
      <c r="AC16" s="22" t="n"/>
    </row>
    <row r="17">
      <c r="A17" s="13" t="inlineStr">
        <is>
          <t>비중</t>
        </is>
      </c>
      <c r="B17" s="10" t="n"/>
      <c r="C17" s="14">
        <f>IF(OR(C16="",C4=""),"",IFERROR(C16/C4,""))</f>
        <v/>
      </c>
      <c r="D17" s="15">
        <f>IF(OR(D16="",D4=""),"",IFERROR(D16/D4,""))</f>
        <v/>
      </c>
      <c r="E17" s="15">
        <f>IF(OR(E16="",E4=""),"",IFERROR(E16/E4,""))</f>
        <v/>
      </c>
      <c r="F17" s="15">
        <f>IF(OR(F16="",F4=""),"",IFERROR(F16/F4,""))</f>
        <v/>
      </c>
      <c r="G17" s="15">
        <f>IF(OR(G16="",G4=""),"",IFERROR(G16/G4,""))</f>
        <v/>
      </c>
      <c r="H17" s="15">
        <f>IF(OR(H16="",H4=""),"",IFERROR(H16/H4,""))</f>
        <v/>
      </c>
      <c r="I17" s="15">
        <f>IF(OR(I16="",I4=""),"",IFERROR(I16/I4,""))</f>
        <v/>
      </c>
      <c r="J17" s="15">
        <f>IF(OR(J16="",J4=""),"",IFERROR(J16/J4,""))</f>
        <v/>
      </c>
      <c r="K17" s="15">
        <f>IF(OR(K16="",K4=""),"",IFERROR(K16/K4,""))</f>
        <v/>
      </c>
      <c r="L17" s="15">
        <f>IF(OR(L16="",L4=""),"",IFERROR(L16/L4,""))</f>
        <v/>
      </c>
      <c r="M17" s="15">
        <f>IF(OR(M16="",M4=""),"",IFERROR(M16/M4,""))</f>
        <v/>
      </c>
      <c r="N17" s="15">
        <f>IF(OR(N16="",N4=""),"",IFERROR(N16/N4,""))</f>
        <v/>
      </c>
      <c r="O17" s="14">
        <f>IF(OR(O16="",O4=""),"",IFERROR(O16/O4,""))</f>
        <v/>
      </c>
      <c r="P17" s="15">
        <f>IF(OR(P16="",P4=""),"",IFERROR(P16/P4,""))</f>
        <v/>
      </c>
      <c r="Q17" s="15">
        <f>IF(OR(Q16="",Q4=""),"",IFERROR(Q16/Q4,""))</f>
        <v/>
      </c>
      <c r="R17" s="15">
        <f>IF(OR(R16="",R4=""),"",IFERROR(R16/R4,""))</f>
        <v/>
      </c>
      <c r="S17" s="15">
        <f>IF(OR(S16="",S4=""),"",IFERROR(S16/S4,""))</f>
        <v/>
      </c>
      <c r="T17" s="15">
        <f>IF(OR(T16="",T4=""),"",IFERROR(T16/T4,""))</f>
        <v/>
      </c>
      <c r="U17" s="15">
        <f>IF(OR(U16="",U4=""),"",IFERROR(U16/U4,""))</f>
        <v/>
      </c>
      <c r="V17" s="15">
        <f>IF(OR(V16="",V4=""),"",IFERROR(V16/V4,""))</f>
        <v/>
      </c>
      <c r="W17" s="15">
        <f>IF(OR(W16="",W4=""),"",IFERROR(W16/W4,""))</f>
        <v/>
      </c>
      <c r="X17" s="15">
        <f>IF(OR(X16="",X4=""),"",IFERROR(X16/X4,""))</f>
        <v/>
      </c>
      <c r="Y17" s="14">
        <f>IF(OR(Y16="",Y4=""),"",IFERROR(Y16/Y4,""))</f>
        <v/>
      </c>
      <c r="Z17" s="15">
        <f>IF(OR(Z16="",Z4=""),"",IFERROR(Z16/Z4,""))</f>
        <v/>
      </c>
      <c r="AA17" s="15">
        <f>IF(OR(AA16="",AA4=""),"",IFERROR(AA16/AA4,""))</f>
        <v/>
      </c>
      <c r="AB17" s="15">
        <f>IF(OR(AB16="",AB4=""),"",IFERROR(AB16/AB4,""))</f>
        <v/>
      </c>
      <c r="AC17" s="15">
        <f>IF(OR(AC16="",AC4=""),"",IFERROR(AC16/AC4,""))</f>
        <v/>
      </c>
    </row>
    <row r="18">
      <c r="A18" s="13" t="inlineStr">
        <is>
          <t>YoY</t>
        </is>
      </c>
      <c r="B18" s="10" t="n"/>
      <c r="C18" s="14" t="n"/>
      <c r="D18" s="15" t="n"/>
      <c r="E18" s="15" t="n"/>
      <c r="F18" s="15" t="n"/>
      <c r="G18" s="15">
        <f>IF(OR(G16="",C16=""),"",IFERROR(G16/C16-1,""))</f>
        <v/>
      </c>
      <c r="H18" s="15">
        <f>IF(OR(H16="",D16=""),"",IFERROR(H16/D16-1,""))</f>
        <v/>
      </c>
      <c r="I18" s="15">
        <f>IF(OR(I16="",E16=""),"",IFERROR(I16/E16-1,""))</f>
        <v/>
      </c>
      <c r="J18" s="15">
        <f>IF(OR(J16="",F16=""),"",IFERROR(J16/F16-1,""))</f>
        <v/>
      </c>
      <c r="K18" s="15">
        <f>IF(OR(K16="",G16=""),"",IFERROR(K16/G16-1,""))</f>
        <v/>
      </c>
      <c r="L18" s="15">
        <f>IF(OR(L16="",H16=""),"",IFERROR(L16/H16-1,""))</f>
        <v/>
      </c>
      <c r="M18" s="15">
        <f>IF(OR(M16="",I16=""),"",IFERROR(M16/I16-1,""))</f>
        <v/>
      </c>
      <c r="N18" s="15">
        <f>IF(OR(N16="",J16=""),"",IFERROR(N16/J16-1,""))</f>
        <v/>
      </c>
      <c r="O18" s="14" t="n"/>
      <c r="P18" s="15">
        <f>IF(OR(P16="",O16=""),"",IFERROR(P16/O16-1,""))</f>
        <v/>
      </c>
      <c r="Q18" s="15">
        <f>IF(OR(Q16="",P16=""),"",IFERROR(Q16/P16-1,""))</f>
        <v/>
      </c>
      <c r="R18" s="15">
        <f>IF(OR(R16="",Q16=""),"",IFERROR(R16/Q16-1,""))</f>
        <v/>
      </c>
      <c r="S18" s="15">
        <f>IF(OR(S16="",R16=""),"",IFERROR(S16/R16-1,""))</f>
        <v/>
      </c>
      <c r="T18" s="15">
        <f>IF(OR(T16="",S16=""),"",IFERROR(T16/S16-1,""))</f>
        <v/>
      </c>
      <c r="U18" s="15">
        <f>IF(OR(U16="",T16=""),"",IFERROR(U16/T16-1,""))</f>
        <v/>
      </c>
      <c r="V18" s="15">
        <f>IF(OR(V16="",U16=""),"",IFERROR(V16/U16-1,""))</f>
        <v/>
      </c>
      <c r="W18" s="15">
        <f>IF(OR(W16="",V16=""),"",IFERROR(W16/V16-1,""))</f>
        <v/>
      </c>
      <c r="X18" s="15">
        <f>IF(OR(X16="",W16=""),"",IFERROR(X16/W16-1,""))</f>
        <v/>
      </c>
      <c r="Y18" s="14">
        <f>IF(OR(Y16="",X16=""),"",IFERROR(Y16/X16-1,""))</f>
        <v/>
      </c>
      <c r="Z18" s="15">
        <f>IF(OR(Z16="",Y16=""),"",IFERROR(Z16/Y16-1,""))</f>
        <v/>
      </c>
      <c r="AA18" s="15">
        <f>IF(OR(AA16="",Z16=""),"",IFERROR(AA16/Z16-1,""))</f>
        <v/>
      </c>
      <c r="AB18" s="15">
        <f>IF(OR(AB16="",AA16=""),"",IFERROR(AB16/AA16-1,""))</f>
        <v/>
      </c>
      <c r="AC18" s="15">
        <f>IF(OR(AC16="",AB16=""),"",IFERROR(AC16/AB16-1,""))</f>
        <v/>
      </c>
    </row>
    <row r="19">
      <c r="A19" s="18" t="inlineStr">
        <is>
          <t>기타</t>
        </is>
      </c>
      <c r="B19" s="10" t="n"/>
      <c r="C19" s="19" t="n"/>
      <c r="D19" s="20" t="n"/>
      <c r="E19" s="20" t="n">
        <v>1625</v>
      </c>
      <c r="F19" s="20" t="n">
        <v>935</v>
      </c>
      <c r="G19" s="20" t="n"/>
      <c r="H19" s="20" t="n"/>
      <c r="I19" s="20" t="n">
        <v>1342</v>
      </c>
      <c r="J19" s="20" t="n">
        <v>1686</v>
      </c>
      <c r="K19" s="20" t="n"/>
      <c r="L19" s="20" t="n"/>
      <c r="M19" s="20" t="n">
        <v>1431</v>
      </c>
      <c r="N19" s="20" t="n">
        <v>1303</v>
      </c>
      <c r="O19" s="19" t="n"/>
      <c r="P19" s="20" t="n"/>
      <c r="Q19" s="20" t="n"/>
      <c r="R19" s="20" t="n"/>
      <c r="S19" s="20" t="n"/>
      <c r="T19" s="20" t="n"/>
      <c r="U19" s="20" t="n"/>
      <c r="V19" s="20" t="n">
        <v>4414</v>
      </c>
      <c r="W19" s="20" t="n">
        <v>5723</v>
      </c>
      <c r="X19" s="20" t="n">
        <v>6900</v>
      </c>
      <c r="Y19" s="21" t="n"/>
      <c r="Z19" s="22" t="n"/>
      <c r="AA19" s="22" t="n"/>
      <c r="AB19" s="22" t="n"/>
      <c r="AC19" s="22" t="n"/>
    </row>
    <row r="20">
      <c r="A20" s="13" t="inlineStr">
        <is>
          <t>비중</t>
        </is>
      </c>
      <c r="B20" s="10" t="n"/>
      <c r="C20" s="14">
        <f>IF(OR(C19="",C4=""),"",IFERROR(C19/C4,""))</f>
        <v/>
      </c>
      <c r="D20" s="15">
        <f>IF(OR(D19="",D4=""),"",IFERROR(D19/D4,""))</f>
        <v/>
      </c>
      <c r="E20" s="15">
        <f>IF(OR(E19="",E4=""),"",IFERROR(E19/E4,""))</f>
        <v/>
      </c>
      <c r="F20" s="15">
        <f>IF(OR(F19="",F4=""),"",IFERROR(F19/F4,""))</f>
        <v/>
      </c>
      <c r="G20" s="15">
        <f>IF(OR(G19="",G4=""),"",IFERROR(G19/G4,""))</f>
        <v/>
      </c>
      <c r="H20" s="15">
        <f>IF(OR(H19="",H4=""),"",IFERROR(H19/H4,""))</f>
        <v/>
      </c>
      <c r="I20" s="15">
        <f>IF(OR(I19="",I4=""),"",IFERROR(I19/I4,""))</f>
        <v/>
      </c>
      <c r="J20" s="15">
        <f>IF(OR(J19="",J4=""),"",IFERROR(J19/J4,""))</f>
        <v/>
      </c>
      <c r="K20" s="15">
        <f>IF(OR(K19="",K4=""),"",IFERROR(K19/K4,""))</f>
        <v/>
      </c>
      <c r="L20" s="15">
        <f>IF(OR(L19="",L4=""),"",IFERROR(L19/L4,""))</f>
        <v/>
      </c>
      <c r="M20" s="15">
        <f>IF(OR(M19="",M4=""),"",IFERROR(M19/M4,""))</f>
        <v/>
      </c>
      <c r="N20" s="15">
        <f>IF(OR(N19="",N4=""),"",IFERROR(N19/N4,""))</f>
        <v/>
      </c>
      <c r="O20" s="14">
        <f>IF(OR(O19="",O4=""),"",IFERROR(O19/O4,""))</f>
        <v/>
      </c>
      <c r="P20" s="15">
        <f>IF(OR(P19="",P4=""),"",IFERROR(P19/P4,""))</f>
        <v/>
      </c>
      <c r="Q20" s="15">
        <f>IF(OR(Q19="",Q4=""),"",IFERROR(Q19/Q4,""))</f>
        <v/>
      </c>
      <c r="R20" s="15">
        <f>IF(OR(R19="",R4=""),"",IFERROR(R19/R4,""))</f>
        <v/>
      </c>
      <c r="S20" s="15">
        <f>IF(OR(S19="",S4=""),"",IFERROR(S19/S4,""))</f>
        <v/>
      </c>
      <c r="T20" s="15">
        <f>IF(OR(T19="",T4=""),"",IFERROR(T19/T4,""))</f>
        <v/>
      </c>
      <c r="U20" s="15">
        <f>IF(OR(U19="",U4=""),"",IFERROR(U19/U4,""))</f>
        <v/>
      </c>
      <c r="V20" s="15">
        <f>IF(OR(V19="",V4=""),"",IFERROR(V19/V4,""))</f>
        <v/>
      </c>
      <c r="W20" s="15">
        <f>IF(OR(W19="",W4=""),"",IFERROR(W19/W4,""))</f>
        <v/>
      </c>
      <c r="X20" s="15">
        <f>IF(OR(X19="",X4=""),"",IFERROR(X19/X4,""))</f>
        <v/>
      </c>
      <c r="Y20" s="14">
        <f>IF(OR(Y19="",Y4=""),"",IFERROR(Y19/Y4,""))</f>
        <v/>
      </c>
      <c r="Z20" s="15">
        <f>IF(OR(Z19="",Z4=""),"",IFERROR(Z19/Z4,""))</f>
        <v/>
      </c>
      <c r="AA20" s="15">
        <f>IF(OR(AA19="",AA4=""),"",IFERROR(AA19/AA4,""))</f>
        <v/>
      </c>
      <c r="AB20" s="15">
        <f>IF(OR(AB19="",AB4=""),"",IFERROR(AB19/AB4,""))</f>
        <v/>
      </c>
      <c r="AC20" s="15">
        <f>IF(OR(AC19="",AC4=""),"",IFERROR(AC19/AC4,""))</f>
        <v/>
      </c>
    </row>
    <row r="21">
      <c r="A21" s="13" t="inlineStr">
        <is>
          <t>YoY</t>
        </is>
      </c>
      <c r="B21" s="10" t="n"/>
      <c r="C21" s="14" t="n"/>
      <c r="D21" s="15" t="n"/>
      <c r="E21" s="15" t="n"/>
      <c r="F21" s="15" t="n"/>
      <c r="G21" s="15">
        <f>IF(OR(G19="",C19=""),"",IFERROR(G19/C19-1,""))</f>
        <v/>
      </c>
      <c r="H21" s="15">
        <f>IF(OR(H19="",D19=""),"",IFERROR(H19/D19-1,""))</f>
        <v/>
      </c>
      <c r="I21" s="15">
        <f>IF(OR(I19="",E19=""),"",IFERROR(I19/E19-1,""))</f>
        <v/>
      </c>
      <c r="J21" s="15">
        <f>IF(OR(J19="",F19=""),"",IFERROR(J19/F19-1,""))</f>
        <v/>
      </c>
      <c r="K21" s="15">
        <f>IF(OR(K19="",G19=""),"",IFERROR(K19/G19-1,""))</f>
        <v/>
      </c>
      <c r="L21" s="15">
        <f>IF(OR(L19="",H19=""),"",IFERROR(L19/H19-1,""))</f>
        <v/>
      </c>
      <c r="M21" s="15">
        <f>IF(OR(M19="",I19=""),"",IFERROR(M19/I19-1,""))</f>
        <v/>
      </c>
      <c r="N21" s="15">
        <f>IF(OR(N19="",J19=""),"",IFERROR(N19/J19-1,""))</f>
        <v/>
      </c>
      <c r="O21" s="14" t="n"/>
      <c r="P21" s="15">
        <f>IF(OR(P19="",O19=""),"",IFERROR(P19/O19-1,""))</f>
        <v/>
      </c>
      <c r="Q21" s="15">
        <f>IF(OR(Q19="",P19=""),"",IFERROR(Q19/P19-1,""))</f>
        <v/>
      </c>
      <c r="R21" s="15">
        <f>IF(OR(R19="",Q19=""),"",IFERROR(R19/Q19-1,""))</f>
        <v/>
      </c>
      <c r="S21" s="15">
        <f>IF(OR(S19="",R19=""),"",IFERROR(S19/R19-1,""))</f>
        <v/>
      </c>
      <c r="T21" s="15">
        <f>IF(OR(T19="",S19=""),"",IFERROR(T19/S19-1,""))</f>
        <v/>
      </c>
      <c r="U21" s="15">
        <f>IF(OR(U19="",T19=""),"",IFERROR(U19/T19-1,""))</f>
        <v/>
      </c>
      <c r="V21" s="15">
        <f>IF(OR(V19="",U19=""),"",IFERROR(V19/U19-1,""))</f>
        <v/>
      </c>
      <c r="W21" s="15">
        <f>IF(OR(W19="",V19=""),"",IFERROR(W19/V19-1,""))</f>
        <v/>
      </c>
      <c r="X21" s="15">
        <f>IF(OR(X19="",W19=""),"",IFERROR(X19/W19-1,""))</f>
        <v/>
      </c>
      <c r="Y21" s="14">
        <f>IF(OR(Y19="",X19=""),"",IFERROR(Y19/X19-1,""))</f>
        <v/>
      </c>
      <c r="Z21" s="15">
        <f>IF(OR(Z19="",Y19=""),"",IFERROR(Z19/Y19-1,""))</f>
        <v/>
      </c>
      <c r="AA21" s="15">
        <f>IF(OR(AA19="",Z19=""),"",IFERROR(AA19/Z19-1,""))</f>
        <v/>
      </c>
      <c r="AB21" s="15">
        <f>IF(OR(AB19="",AA19=""),"",IFERROR(AB19/AA19-1,""))</f>
        <v/>
      </c>
      <c r="AC21" s="15">
        <f>IF(OR(AC19="",AB19=""),"",IFERROR(AC19/AB19-1,""))</f>
        <v/>
      </c>
    </row>
    <row r="22">
      <c r="A22" s="18" t="inlineStr">
        <is>
          <t>EntityTotalMember</t>
        </is>
      </c>
      <c r="B22" s="10" t="n"/>
      <c r="C22" s="19" t="n"/>
      <c r="D22" s="20" t="n"/>
      <c r="E22" s="20" t="n"/>
      <c r="F22" s="20" t="n"/>
      <c r="G22" s="20" t="n"/>
      <c r="H22" s="20" t="n"/>
      <c r="I22" s="20" t="n"/>
      <c r="J22" s="20" t="n">
        <v>22538</v>
      </c>
      <c r="K22" s="20" t="n"/>
      <c r="L22" s="20" t="n"/>
      <c r="M22" s="20" t="n"/>
      <c r="N22" s="20" t="n">
        <v>23098</v>
      </c>
      <c r="O22" s="19" t="n"/>
      <c r="P22" s="20" t="n"/>
      <c r="Q22" s="20" t="n"/>
      <c r="R22" s="20" t="n"/>
      <c r="S22" s="20" t="n"/>
      <c r="T22" s="20" t="n"/>
      <c r="U22" s="20" t="n"/>
      <c r="V22" s="20" t="n"/>
      <c r="W22" s="20" t="n"/>
      <c r="X22" s="20" t="n"/>
      <c r="Y22" s="21" t="n"/>
      <c r="Z22" s="22" t="n"/>
      <c r="AA22" s="22" t="n"/>
      <c r="AB22" s="22" t="n"/>
      <c r="AC22" s="22" t="n"/>
    </row>
    <row r="23">
      <c r="A23" s="13" t="inlineStr">
        <is>
          <t>비중</t>
        </is>
      </c>
      <c r="B23" s="10" t="n"/>
      <c r="C23" s="14">
        <f>IF(OR(C22="",C4=""),"",IFERROR(C22/C4,""))</f>
        <v/>
      </c>
      <c r="D23" s="15">
        <f>IF(OR(D22="",D4=""),"",IFERROR(D22/D4,""))</f>
        <v/>
      </c>
      <c r="E23" s="15">
        <f>IF(OR(E22="",E4=""),"",IFERROR(E22/E4,""))</f>
        <v/>
      </c>
      <c r="F23" s="15">
        <f>IF(OR(F22="",F4=""),"",IFERROR(F22/F4,""))</f>
        <v/>
      </c>
      <c r="G23" s="15">
        <f>IF(OR(G22="",G4=""),"",IFERROR(G22/G4,""))</f>
        <v/>
      </c>
      <c r="H23" s="15">
        <f>IF(OR(H22="",H4=""),"",IFERROR(H22/H4,""))</f>
        <v/>
      </c>
      <c r="I23" s="15">
        <f>IF(OR(I22="",I4=""),"",IFERROR(I22/I4,""))</f>
        <v/>
      </c>
      <c r="J23" s="15">
        <f>IF(OR(J22="",J4=""),"",IFERROR(J22/J4,""))</f>
        <v/>
      </c>
      <c r="K23" s="15">
        <f>IF(OR(K22="",K4=""),"",IFERROR(K22/K4,""))</f>
        <v/>
      </c>
      <c r="L23" s="15">
        <f>IF(OR(L22="",L4=""),"",IFERROR(L22/L4,""))</f>
        <v/>
      </c>
      <c r="M23" s="15">
        <f>IF(OR(M22="",M4=""),"",IFERROR(M22/M4,""))</f>
        <v/>
      </c>
      <c r="N23" s="15">
        <f>IF(OR(N22="",N4=""),"",IFERROR(N22/N4,""))</f>
        <v/>
      </c>
      <c r="O23" s="14">
        <f>IF(OR(O22="",O4=""),"",IFERROR(O22/O4,""))</f>
        <v/>
      </c>
      <c r="P23" s="15">
        <f>IF(OR(P22="",P4=""),"",IFERROR(P22/P4,""))</f>
        <v/>
      </c>
      <c r="Q23" s="15">
        <f>IF(OR(Q22="",Q4=""),"",IFERROR(Q22/Q4,""))</f>
        <v/>
      </c>
      <c r="R23" s="15">
        <f>IF(OR(R22="",R4=""),"",IFERROR(R22/R4,""))</f>
        <v/>
      </c>
      <c r="S23" s="15">
        <f>IF(OR(S22="",S4=""),"",IFERROR(S22/S4,""))</f>
        <v/>
      </c>
      <c r="T23" s="15">
        <f>IF(OR(T22="",T4=""),"",IFERROR(T22/T4,""))</f>
        <v/>
      </c>
      <c r="U23" s="15">
        <f>IF(OR(U22="",U4=""),"",IFERROR(U22/U4,""))</f>
        <v/>
      </c>
      <c r="V23" s="15">
        <f>IF(OR(V22="",V4=""),"",IFERROR(V22/V4,""))</f>
        <v/>
      </c>
      <c r="W23" s="15">
        <f>IF(OR(W22="",W4=""),"",IFERROR(W22/W4,""))</f>
        <v/>
      </c>
      <c r="X23" s="15">
        <f>IF(OR(X22="",X4=""),"",IFERROR(X22/X4,""))</f>
        <v/>
      </c>
      <c r="Y23" s="14">
        <f>IF(OR(Y22="",Y4=""),"",IFERROR(Y22/Y4,""))</f>
        <v/>
      </c>
      <c r="Z23" s="15">
        <f>IF(OR(Z22="",Z4=""),"",IFERROR(Z22/Z4,""))</f>
        <v/>
      </c>
      <c r="AA23" s="15">
        <f>IF(OR(AA22="",AA4=""),"",IFERROR(AA22/AA4,""))</f>
        <v/>
      </c>
      <c r="AB23" s="15">
        <f>IF(OR(AB22="",AB4=""),"",IFERROR(AB22/AB4,""))</f>
        <v/>
      </c>
      <c r="AC23" s="15">
        <f>IF(OR(AC22="",AC4=""),"",IFERROR(AC22/AC4,""))</f>
        <v/>
      </c>
    </row>
    <row r="24">
      <c r="A24" s="13" t="inlineStr">
        <is>
          <t>YoY</t>
        </is>
      </c>
      <c r="B24" s="10" t="n"/>
      <c r="C24" s="14" t="n"/>
      <c r="D24" s="15" t="n"/>
      <c r="E24" s="15" t="n"/>
      <c r="F24" s="15" t="n"/>
      <c r="G24" s="15">
        <f>IF(OR(G22="",C22=""),"",IFERROR(G22/C22-1,""))</f>
        <v/>
      </c>
      <c r="H24" s="15">
        <f>IF(OR(H22="",D22=""),"",IFERROR(H22/D22-1,""))</f>
        <v/>
      </c>
      <c r="I24" s="15">
        <f>IF(OR(I22="",E22=""),"",IFERROR(I22/E22-1,""))</f>
        <v/>
      </c>
      <c r="J24" s="15">
        <f>IF(OR(J22="",F22=""),"",IFERROR(J22/F22-1,""))</f>
        <v/>
      </c>
      <c r="K24" s="15">
        <f>IF(OR(K22="",G22=""),"",IFERROR(K22/G22-1,""))</f>
        <v/>
      </c>
      <c r="L24" s="15">
        <f>IF(OR(L22="",H22=""),"",IFERROR(L22/H22-1,""))</f>
        <v/>
      </c>
      <c r="M24" s="15">
        <f>IF(OR(M22="",I22=""),"",IFERROR(M22/I22-1,""))</f>
        <v/>
      </c>
      <c r="N24" s="15">
        <f>IF(OR(N22="",J22=""),"",IFERROR(N22/J22-1,""))</f>
        <v/>
      </c>
      <c r="O24" s="14" t="n"/>
      <c r="P24" s="15">
        <f>IF(OR(P22="",O22=""),"",IFERROR(P22/O22-1,""))</f>
        <v/>
      </c>
      <c r="Q24" s="15">
        <f>IF(OR(Q22="",P22=""),"",IFERROR(Q22/P22-1,""))</f>
        <v/>
      </c>
      <c r="R24" s="15">
        <f>IF(OR(R22="",Q22=""),"",IFERROR(R22/Q22-1,""))</f>
        <v/>
      </c>
      <c r="S24" s="15">
        <f>IF(OR(S22="",R22=""),"",IFERROR(S22/R22-1,""))</f>
        <v/>
      </c>
      <c r="T24" s="15">
        <f>IF(OR(T22="",S22=""),"",IFERROR(T22/S22-1,""))</f>
        <v/>
      </c>
      <c r="U24" s="15">
        <f>IF(OR(U22="",T22=""),"",IFERROR(U22/T22-1,""))</f>
        <v/>
      </c>
      <c r="V24" s="15">
        <f>IF(OR(V22="",U22=""),"",IFERROR(V22/U22-1,""))</f>
        <v/>
      </c>
      <c r="W24" s="15">
        <f>IF(OR(W22="",V22=""),"",IFERROR(W22/V22-1,""))</f>
        <v/>
      </c>
      <c r="X24" s="15">
        <f>IF(OR(X22="",W22=""),"",IFERROR(X22/W22-1,""))</f>
        <v/>
      </c>
      <c r="Y24" s="14">
        <f>IF(OR(Y22="",X22=""),"",IFERROR(Y22/X22-1,""))</f>
        <v/>
      </c>
      <c r="Z24" s="15">
        <f>IF(OR(Z22="",Y22=""),"",IFERROR(Z22/Y22-1,""))</f>
        <v/>
      </c>
      <c r="AA24" s="15">
        <f>IF(OR(AA22="",Z22=""),"",IFERROR(AA22/Z22-1,""))</f>
        <v/>
      </c>
      <c r="AB24" s="15">
        <f>IF(OR(AB22="",AA22=""),"",IFERROR(AB22/AA22-1,""))</f>
        <v/>
      </c>
      <c r="AC24" s="15">
        <f>IF(OR(AC22="",AB22=""),"",IFERROR(AC22/AB22-1,""))</f>
        <v/>
      </c>
    </row>
    <row r="25">
      <c r="A25" s="16" t="inlineStr">
        <is>
          <t>매출원가</t>
        </is>
      </c>
      <c r="B25" s="16" t="n"/>
      <c r="C25" s="17" t="n"/>
      <c r="D25" s="16" t="n"/>
      <c r="E25" s="16" t="n"/>
      <c r="F25" s="16" t="n"/>
      <c r="G25" s="16" t="n"/>
      <c r="H25" s="16" t="n"/>
      <c r="I25" s="16" t="n"/>
      <c r="J25" s="16" t="n"/>
      <c r="K25" s="16" t="n"/>
      <c r="L25" s="16" t="n"/>
      <c r="M25" s="16" t="n"/>
      <c r="N25" s="16" t="n"/>
      <c r="O25" s="17" t="n"/>
      <c r="P25" s="16" t="n"/>
      <c r="Q25" s="16" t="n"/>
      <c r="R25" s="16" t="n"/>
      <c r="S25" s="16" t="n"/>
      <c r="T25" s="16" t="n"/>
      <c r="U25" s="16" t="n"/>
      <c r="V25" s="16" t="n"/>
      <c r="W25" s="16" t="n"/>
      <c r="X25" s="16" t="n"/>
      <c r="Y25" s="17" t="n"/>
      <c r="Z25" s="16" t="n"/>
      <c r="AA25" s="16" t="n"/>
      <c r="AB25" s="16" t="n"/>
      <c r="AC25" s="16" t="n"/>
    </row>
    <row r="26">
      <c r="A26" s="18" t="inlineStr">
        <is>
          <t>전체 매출원가</t>
        </is>
      </c>
      <c r="B26" s="10" t="n"/>
      <c r="C26" s="19" t="n">
        <v>18946</v>
      </c>
      <c r="D26" s="20" t="n">
        <v>14637</v>
      </c>
      <c r="E26" s="20" t="n">
        <v>22867</v>
      </c>
      <c r="F26" s="20" t="n">
        <v>15641</v>
      </c>
      <c r="G26" s="20" t="n">
        <v>16979</v>
      </c>
      <c r="H26" s="20" t="n">
        <v>17041</v>
      </c>
      <c r="I26" s="20" t="n">
        <v>21898</v>
      </c>
      <c r="J26" s="20" t="n">
        <v>14319</v>
      </c>
      <c r="K26" s="20" t="n">
        <v>18883</v>
      </c>
      <c r="L26" s="20" t="n">
        <v>20138</v>
      </c>
      <c r="M26" s="20" t="n">
        <v>21618</v>
      </c>
      <c r="N26" s="20" t="n">
        <v>14540</v>
      </c>
      <c r="O26" s="19" t="n">
        <v>59139</v>
      </c>
      <c r="P26" s="20" t="n">
        <v>64882</v>
      </c>
      <c r="Q26" s="20" t="n">
        <v>61966</v>
      </c>
      <c r="R26" s="20" t="n">
        <v>55396</v>
      </c>
      <c r="S26" s="20" t="n">
        <v>51473</v>
      </c>
      <c r="T26" s="20" t="n">
        <v>59595</v>
      </c>
      <c r="U26" s="20" t="n">
        <v>64173</v>
      </c>
      <c r="V26" s="20" t="n">
        <v>69690</v>
      </c>
      <c r="W26" s="20" t="n">
        <v>71559</v>
      </c>
      <c r="X26" s="20" t="n">
        <v>74958</v>
      </c>
      <c r="Y26" s="19" t="n"/>
      <c r="Z26" s="20" t="n"/>
      <c r="AA26" s="20" t="n"/>
      <c r="AB26" s="20" t="n"/>
      <c r="AC26" s="20" t="n"/>
    </row>
    <row r="27">
      <c r="A27" s="18" t="inlineStr">
        <is>
          <t>매출총이익</t>
        </is>
      </c>
      <c r="B27" s="10" t="n"/>
      <c r="C27" s="19">
        <f>IF(OR(C4="",C26=""),"",IFERROR(C4-C26,""))</f>
        <v/>
      </c>
      <c r="D27" s="20">
        <f>IF(OR(D4="",D26=""),"",IFERROR(D4-D26,""))</f>
        <v/>
      </c>
      <c r="E27" s="20">
        <f>IF(OR(E4="",E26=""),"",IFERROR(E4-E26,""))</f>
        <v/>
      </c>
      <c r="F27" s="20">
        <f>IF(OR(F4="",F26=""),"",IFERROR(F4-F26,""))</f>
        <v/>
      </c>
      <c r="G27" s="20">
        <f>IF(OR(G4="",G26=""),"",IFERROR(G4-G26,""))</f>
        <v/>
      </c>
      <c r="H27" s="20">
        <f>IF(OR(H4="",H26=""),"",IFERROR(H4-H26,""))</f>
        <v/>
      </c>
      <c r="I27" s="20">
        <f>IF(OR(I4="",I26=""),"",IFERROR(I4-I26,""))</f>
        <v/>
      </c>
      <c r="J27" s="20">
        <f>IF(OR(J4="",J26=""),"",IFERROR(J4-J26,""))</f>
        <v/>
      </c>
      <c r="K27" s="20">
        <f>IF(OR(K4="",K26=""),"",IFERROR(K4-K26,""))</f>
        <v/>
      </c>
      <c r="L27" s="20">
        <f>IF(OR(L4="",L26=""),"",IFERROR(L4-L26,""))</f>
        <v/>
      </c>
      <c r="M27" s="20">
        <f>IF(OR(M4="",M26=""),"",IFERROR(M4-M26,""))</f>
        <v/>
      </c>
      <c r="N27" s="20">
        <f>IF(OR(N4="",N26=""),"",IFERROR(N4-N26,""))</f>
        <v/>
      </c>
      <c r="O27" s="19">
        <f>IF(OR(O4="",O26=""),"",IFERROR(O4-O26,""))</f>
        <v/>
      </c>
      <c r="P27" s="20">
        <f>IF(OR(P4="",P26=""),"",IFERROR(P4-P26,""))</f>
        <v/>
      </c>
      <c r="Q27" s="20">
        <f>IF(OR(Q4="",Q26=""),"",IFERROR(Q4-Q26,""))</f>
        <v/>
      </c>
      <c r="R27" s="20">
        <f>IF(OR(R4="",R26=""),"",IFERROR(R4-R26,""))</f>
        <v/>
      </c>
      <c r="S27" s="20">
        <f>IF(OR(S4="",S26=""),"",IFERROR(S4-S26,""))</f>
        <v/>
      </c>
      <c r="T27" s="20">
        <f>IF(OR(T4="",T26=""),"",IFERROR(T4-T26,""))</f>
        <v/>
      </c>
      <c r="U27" s="20">
        <f>IF(OR(U4="",U26=""),"",IFERROR(U4-U26,""))</f>
        <v/>
      </c>
      <c r="V27" s="20">
        <f>IF(OR(V4="",V26=""),"",IFERROR(V4-V26,""))</f>
        <v/>
      </c>
      <c r="W27" s="20">
        <f>IF(OR(W4="",W26=""),"",IFERROR(W4-W26,""))</f>
        <v/>
      </c>
      <c r="X27" s="20">
        <f>IF(OR(X4="",X26=""),"",IFERROR(X4-X26,""))</f>
        <v/>
      </c>
      <c r="Y27" s="19" t="n"/>
      <c r="Z27" s="20" t="n"/>
      <c r="AA27" s="20" t="n"/>
      <c r="AB27" s="20" t="n"/>
      <c r="AC27" s="20" t="n"/>
    </row>
    <row r="28">
      <c r="A28" s="13" t="inlineStr">
        <is>
          <t>GPM</t>
        </is>
      </c>
      <c r="B28" s="10" t="n"/>
      <c r="C28" s="14">
        <f>IF(OR(C27="",C4=""),"",IFERROR(C27/C4,""))</f>
        <v/>
      </c>
      <c r="D28" s="15">
        <f>IF(OR(D27="",D4=""),"",IFERROR(D27/D4,""))</f>
        <v/>
      </c>
      <c r="E28" s="15">
        <f>IF(OR(E27="",E4=""),"",IFERROR(E27/E4,""))</f>
        <v/>
      </c>
      <c r="F28" s="15">
        <f>IF(OR(F27="",F4=""),"",IFERROR(F27/F4,""))</f>
        <v/>
      </c>
      <c r="G28" s="15">
        <f>IF(OR(G27="",G4=""),"",IFERROR(G27/G4,""))</f>
        <v/>
      </c>
      <c r="H28" s="15">
        <f>IF(OR(H27="",H4=""),"",IFERROR(H27/H4,""))</f>
        <v/>
      </c>
      <c r="I28" s="15">
        <f>IF(OR(I27="",I4=""),"",IFERROR(I27/I4,""))</f>
        <v/>
      </c>
      <c r="J28" s="15">
        <f>IF(OR(J27="",J4=""),"",IFERROR(J27/J4,""))</f>
        <v/>
      </c>
      <c r="K28" s="15">
        <f>IF(OR(K27="",K4=""),"",IFERROR(K27/K4,""))</f>
        <v/>
      </c>
      <c r="L28" s="15">
        <f>IF(OR(L27="",L4=""),"",IFERROR(L27/L4,""))</f>
        <v/>
      </c>
      <c r="M28" s="15">
        <f>IF(OR(M27="",M4=""),"",IFERROR(M27/M4,""))</f>
        <v/>
      </c>
      <c r="N28" s="15">
        <f>IF(OR(N27="",N4=""),"",IFERROR(N27/N4,""))</f>
        <v/>
      </c>
      <c r="O28" s="14">
        <f>IF(OR(O27="",O4=""),"",IFERROR(O27/O4,""))</f>
        <v/>
      </c>
      <c r="P28" s="15">
        <f>IF(OR(P27="",P4=""),"",IFERROR(P27/P4,""))</f>
        <v/>
      </c>
      <c r="Q28" s="15">
        <f>IF(OR(Q27="",Q4=""),"",IFERROR(Q27/Q4,""))</f>
        <v/>
      </c>
      <c r="R28" s="15">
        <f>IF(OR(R27="",R4=""),"",IFERROR(R27/R4,""))</f>
        <v/>
      </c>
      <c r="S28" s="15">
        <f>IF(OR(S27="",S4=""),"",IFERROR(S27/S4,""))</f>
        <v/>
      </c>
      <c r="T28" s="15">
        <f>IF(OR(T27="",T4=""),"",IFERROR(T27/T4,""))</f>
        <v/>
      </c>
      <c r="U28" s="15">
        <f>IF(OR(U27="",U4=""),"",IFERROR(U27/U4,""))</f>
        <v/>
      </c>
      <c r="V28" s="15">
        <f>IF(OR(V27="",V4=""),"",IFERROR(V27/V4,""))</f>
        <v/>
      </c>
      <c r="W28" s="15">
        <f>IF(OR(W27="",W4=""),"",IFERROR(W27/W4,""))</f>
        <v/>
      </c>
      <c r="X28" s="15">
        <f>IF(OR(X27="",X4=""),"",IFERROR(X27/X4,""))</f>
        <v/>
      </c>
      <c r="Y28" s="14">
        <f>IF(OR(Y27="",Y4=""),"",IFERROR(Y27/Y4,""))</f>
        <v/>
      </c>
      <c r="Z28" s="15">
        <f>IF(OR(Z27="",Z4=""),"",IFERROR(Z27/Z4,""))</f>
        <v/>
      </c>
      <c r="AA28" s="15">
        <f>IF(OR(AA27="",AA4=""),"",IFERROR(AA27/AA4,""))</f>
        <v/>
      </c>
      <c r="AB28" s="15">
        <f>IF(OR(AB27="",AB4=""),"",IFERROR(AB27/AB4,""))</f>
        <v/>
      </c>
      <c r="AC28" s="15">
        <f>IF(OR(AC27="",AC4=""),"",IFERROR(AC27/AC4,""))</f>
        <v/>
      </c>
    </row>
    <row r="29">
      <c r="A29" s="23" t="inlineStr">
        <is>
          <t>판매관리비</t>
        </is>
      </c>
      <c r="B29" s="23" t="n"/>
      <c r="C29" s="24" t="n"/>
      <c r="D29" s="23" t="n"/>
      <c r="E29" s="23" t="n"/>
      <c r="F29" s="23" t="n"/>
      <c r="G29" s="23" t="n"/>
      <c r="H29" s="23" t="n"/>
      <c r="I29" s="23" t="n"/>
      <c r="J29" s="23" t="n"/>
      <c r="K29" s="23" t="n"/>
      <c r="L29" s="23" t="n"/>
      <c r="M29" s="23" t="n"/>
      <c r="N29" s="23" t="n"/>
      <c r="O29" s="24" t="n"/>
      <c r="P29" s="23" t="n"/>
      <c r="Q29" s="23" t="n"/>
      <c r="R29" s="23" t="n"/>
      <c r="S29" s="23" t="n"/>
      <c r="T29" s="23" t="n"/>
      <c r="U29" s="23" t="n"/>
      <c r="V29" s="23" t="n"/>
      <c r="W29" s="23" t="n"/>
      <c r="X29" s="23" t="n"/>
      <c r="Y29" s="24" t="n"/>
      <c r="Z29" s="23" t="n"/>
      <c r="AA29" s="23" t="n"/>
      <c r="AB29" s="23" t="n"/>
      <c r="AC29" s="23" t="n"/>
    </row>
    <row r="30">
      <c r="A30" s="18" t="inlineStr">
        <is>
          <t>전체 판관비</t>
        </is>
      </c>
      <c r="B30" s="10" t="n"/>
      <c r="C30" s="19" t="n">
        <v>7669</v>
      </c>
      <c r="D30" s="20" t="n">
        <v>7220</v>
      </c>
      <c r="E30" s="20" t="n">
        <v>7972</v>
      </c>
      <c r="F30" s="20" t="n">
        <v>8229</v>
      </c>
      <c r="G30" s="20" t="n">
        <v>7979</v>
      </c>
      <c r="H30" s="20" t="n">
        <v>7607</v>
      </c>
      <c r="I30" s="20" t="n">
        <v>8561</v>
      </c>
      <c r="J30" s="20" t="n">
        <v>7714</v>
      </c>
      <c r="K30" s="20" t="n">
        <v>8142</v>
      </c>
      <c r="L30" s="20" t="n">
        <v>9201</v>
      </c>
      <c r="M30" s="20" t="n">
        <v>9192</v>
      </c>
      <c r="N30" s="20" t="n">
        <v>8020</v>
      </c>
      <c r="O30" s="19" t="n">
        <v>25771</v>
      </c>
      <c r="P30" s="20" t="n">
        <v>25556</v>
      </c>
      <c r="Q30" s="20" t="n">
        <v>25573</v>
      </c>
      <c r="R30" s="20" t="n">
        <v>25654</v>
      </c>
      <c r="S30" s="20" t="n">
        <v>22684</v>
      </c>
      <c r="T30" s="20" t="n">
        <v>25759</v>
      </c>
      <c r="U30" s="20" t="n">
        <v>28020</v>
      </c>
      <c r="V30" s="20" t="n">
        <v>29689</v>
      </c>
      <c r="W30" s="20" t="n">
        <v>32376</v>
      </c>
      <c r="X30" s="20" t="n">
        <v>34249</v>
      </c>
      <c r="Y30" s="19" t="n"/>
      <c r="Z30" s="20" t="n"/>
      <c r="AA30" s="20" t="n"/>
      <c r="AB30" s="20" t="n"/>
      <c r="AC30" s="20" t="n"/>
    </row>
    <row r="31">
      <c r="A31" s="9" t="inlineStr">
        <is>
          <t>영업이익</t>
        </is>
      </c>
      <c r="B31" s="10" t="inlineStr">
        <is>
          <t>MW = 매출 × OPM</t>
        </is>
      </c>
      <c r="C31" s="11" t="n">
        <v>1141</v>
      </c>
      <c r="D31" s="12" t="n">
        <v>282</v>
      </c>
      <c r="E31" s="12" t="n">
        <v>4173</v>
      </c>
      <c r="F31" s="12" t="n">
        <v>442</v>
      </c>
      <c r="G31" s="12" t="n">
        <v>864</v>
      </c>
      <c r="H31" s="12" t="n">
        <v>2028</v>
      </c>
      <c r="I31" s="12" t="n">
        <v>3781</v>
      </c>
      <c r="J31" s="12" t="n">
        <v>504</v>
      </c>
      <c r="K31" s="12" t="n">
        <v>2652</v>
      </c>
      <c r="L31" s="12" t="n">
        <v>3782</v>
      </c>
      <c r="M31" s="12" t="n">
        <v>2466</v>
      </c>
      <c r="N31" s="12" t="n">
        <v>537</v>
      </c>
      <c r="O31" s="11" t="n">
        <v>1712</v>
      </c>
      <c r="P31" s="12" t="n">
        <v>3732</v>
      </c>
      <c r="Q31" s="12" t="n">
        <v>2706</v>
      </c>
      <c r="R31" s="12" t="n">
        <v>-3404</v>
      </c>
      <c r="S31" s="12" t="n">
        <v>-2332</v>
      </c>
      <c r="T31" s="12" t="n">
        <v>2267</v>
      </c>
      <c r="U31" s="12" t="n">
        <v>5719</v>
      </c>
      <c r="V31" s="12" t="n">
        <v>4898</v>
      </c>
      <c r="W31" s="12" t="n">
        <v>7115</v>
      </c>
      <c r="X31" s="12" t="n">
        <v>9404</v>
      </c>
      <c r="Y31" s="11">
        <f>IF(OR(Y4="",Y32=""),"",IFERROR(Y4*Y32,""))</f>
        <v/>
      </c>
      <c r="Z31" s="12">
        <f>IF(OR(Z4="",Z32=""),"",IFERROR(Z4*Z32,""))</f>
        <v/>
      </c>
      <c r="AA31" s="12">
        <f>IF(OR(AA4="",AA32=""),"",IFERROR(AA4*AA32,""))</f>
        <v/>
      </c>
      <c r="AB31" s="12">
        <f>IF(OR(AB4="",AB32=""),"",IFERROR(AB4*AB32,""))</f>
        <v/>
      </c>
      <c r="AC31" s="12">
        <f>IF(OR(AC4="",AC32=""),"",IFERROR(AC4*AC32,""))</f>
        <v/>
      </c>
    </row>
    <row r="32">
      <c r="A32" s="13" t="inlineStr">
        <is>
          <t>OPM</t>
        </is>
      </c>
      <c r="B32" s="10" t="inlineStr">
        <is>
          <t>MW 입력</t>
        </is>
      </c>
      <c r="C32" s="14">
        <f>IF(OR(C31="",C4=""),"",IFERROR(C31/C4,""))</f>
        <v/>
      </c>
      <c r="D32" s="15">
        <f>IF(OR(D31="",D4=""),"",IFERROR(D31/D4,""))</f>
        <v/>
      </c>
      <c r="E32" s="15">
        <f>IF(OR(E31="",E4=""),"",IFERROR(E31/E4,""))</f>
        <v/>
      </c>
      <c r="F32" s="15">
        <f>IF(OR(F31="",F4=""),"",IFERROR(F31/F4,""))</f>
        <v/>
      </c>
      <c r="G32" s="15">
        <f>IF(OR(G31="",G4=""),"",IFERROR(G31/G4,""))</f>
        <v/>
      </c>
      <c r="H32" s="15">
        <f>IF(OR(H31="",H4=""),"",IFERROR(H31/H4,""))</f>
        <v/>
      </c>
      <c r="I32" s="15">
        <f>IF(OR(I31="",I4=""),"",IFERROR(I31/I4,""))</f>
        <v/>
      </c>
      <c r="J32" s="15">
        <f>IF(OR(J31="",J4=""),"",IFERROR(J31/J4,""))</f>
        <v/>
      </c>
      <c r="K32" s="15">
        <f>IF(OR(K31="",K4=""),"",IFERROR(K31/K4,""))</f>
        <v/>
      </c>
      <c r="L32" s="15">
        <f>IF(OR(L31="",L4=""),"",IFERROR(L31/L4,""))</f>
        <v/>
      </c>
      <c r="M32" s="15">
        <f>IF(OR(M31="",M4=""),"",IFERROR(M31/M4,""))</f>
        <v/>
      </c>
      <c r="N32" s="15">
        <f>IF(OR(N31="",N4=""),"",IFERROR(N31/N4,""))</f>
        <v/>
      </c>
      <c r="O32" s="14">
        <f>IF(OR(O31="",O4=""),"",IFERROR(O31/O4,""))</f>
        <v/>
      </c>
      <c r="P32" s="15">
        <f>IF(OR(P31="",P4=""),"",IFERROR(P31/P4,""))</f>
        <v/>
      </c>
      <c r="Q32" s="15">
        <f>IF(OR(Q31="",Q4=""),"",IFERROR(Q31/Q4,""))</f>
        <v/>
      </c>
      <c r="R32" s="15">
        <f>IF(OR(R31="",R4=""),"",IFERROR(R31/R4,""))</f>
        <v/>
      </c>
      <c r="S32" s="15">
        <f>IF(OR(S31="",S4=""),"",IFERROR(S31/S4,""))</f>
        <v/>
      </c>
      <c r="T32" s="15">
        <f>IF(OR(T31="",T4=""),"",IFERROR(T31/T4,""))</f>
        <v/>
      </c>
      <c r="U32" s="15">
        <f>IF(OR(U31="",U4=""),"",IFERROR(U31/U4,""))</f>
        <v/>
      </c>
      <c r="V32" s="15">
        <f>IF(OR(V31="",V4=""),"",IFERROR(V31/V4,""))</f>
        <v/>
      </c>
      <c r="W32" s="15">
        <f>IF(OR(W31="",W4=""),"",IFERROR(W31/W4,""))</f>
        <v/>
      </c>
      <c r="X32" s="15">
        <f>IF(OR(X31="",X4=""),"",IFERROR(X31/X4,""))</f>
        <v/>
      </c>
      <c r="Y32" s="25" t="n"/>
      <c r="Z32" s="26" t="n"/>
      <c r="AA32" s="26" t="n"/>
      <c r="AB32" s="26" t="n"/>
      <c r="AC32" s="26" t="n"/>
    </row>
    <row r="33">
      <c r="A33" s="13" t="inlineStr">
        <is>
          <t>증가율</t>
        </is>
      </c>
      <c r="B33" s="10" t="n"/>
      <c r="C33" s="14" t="n"/>
      <c r="D33" s="15" t="n"/>
      <c r="E33" s="15" t="n"/>
      <c r="F33" s="15" t="n"/>
      <c r="G33" s="15">
        <f>IF(OR(G31="",C31=""),"",IFERROR(G31/C31-1,""))</f>
        <v/>
      </c>
      <c r="H33" s="15">
        <f>IF(OR(H31="",D31=""),"",IFERROR(H31/D31-1,""))</f>
        <v/>
      </c>
      <c r="I33" s="15">
        <f>IF(OR(I31="",E31=""),"",IFERROR(I31/E31-1,""))</f>
        <v/>
      </c>
      <c r="J33" s="15">
        <f>IF(OR(J31="",F31=""),"",IFERROR(J31/F31-1,""))</f>
        <v/>
      </c>
      <c r="K33" s="15">
        <f>IF(OR(K31="",G31=""),"",IFERROR(K31/G31-1,""))</f>
        <v/>
      </c>
      <c r="L33" s="15">
        <f>IF(OR(L31="",H31=""),"",IFERROR(L31/H31-1,""))</f>
        <v/>
      </c>
      <c r="M33" s="15">
        <f>IF(OR(M31="",I31=""),"",IFERROR(M31/I31-1,""))</f>
        <v/>
      </c>
      <c r="N33" s="15">
        <f>IF(OR(N31="",J31=""),"",IFERROR(N31/J31-1,""))</f>
        <v/>
      </c>
      <c r="O33" s="14" t="n"/>
      <c r="P33" s="15">
        <f>IF(OR(P31="",O31=""),"",IFERROR(P31/O31-1,""))</f>
        <v/>
      </c>
      <c r="Q33" s="15">
        <f>IF(OR(Q31="",P31=""),"",IFERROR(Q31/P31-1,""))</f>
        <v/>
      </c>
      <c r="R33" s="15">
        <f>IF(OR(R31="",Q31=""),"",IFERROR(R31/Q31-1,""))</f>
        <v/>
      </c>
      <c r="S33" s="15">
        <f>IF(OR(S31="",R31=""),"",IFERROR(S31/R31-1,""))</f>
        <v/>
      </c>
      <c r="T33" s="15">
        <f>IF(OR(T31="",S31=""),"",IFERROR(T31/S31-1,""))</f>
        <v/>
      </c>
      <c r="U33" s="15">
        <f>IF(OR(U31="",T31=""),"",IFERROR(U31/T31-1,""))</f>
        <v/>
      </c>
      <c r="V33" s="15">
        <f>IF(OR(V31="",U31=""),"",IFERROR(V31/U31-1,""))</f>
        <v/>
      </c>
      <c r="W33" s="15">
        <f>IF(OR(W31="",V31=""),"",IFERROR(W31/V31-1,""))</f>
        <v/>
      </c>
      <c r="X33" s="15">
        <f>IF(OR(X31="",W31=""),"",IFERROR(X31/W31-1,""))</f>
        <v/>
      </c>
      <c r="Y33" s="14">
        <f>IF(OR(Y31="",X31=""),"",IFERROR(Y31/X31-1,""))</f>
        <v/>
      </c>
      <c r="Z33" s="15">
        <f>IF(OR(Z31="",Y31=""),"",IFERROR(Z31/Y31-1,""))</f>
        <v/>
      </c>
      <c r="AA33" s="15">
        <f>IF(OR(AA31="",Z31=""),"",IFERROR(AA31/Z31-1,""))</f>
        <v/>
      </c>
      <c r="AB33" s="15">
        <f>IF(OR(AB31="",AA31=""),"",IFERROR(AB31/AA31-1,""))</f>
        <v/>
      </c>
      <c r="AC33" s="15">
        <f>IF(OR(AC31="",AB31=""),"",IFERROR(AC31/AB31-1,""))</f>
        <v/>
      </c>
    </row>
    <row r="34">
      <c r="A34" s="16" t="inlineStr">
        <is>
          <t>비용의 성격별 분류</t>
        </is>
      </c>
      <c r="B34" s="16" t="inlineStr">
        <is>
          <t>참고 데이터</t>
        </is>
      </c>
      <c r="C34" s="17" t="n"/>
      <c r="D34" s="16" t="n"/>
      <c r="E34" s="16" t="n"/>
      <c r="F34" s="16" t="n"/>
      <c r="G34" s="16" t="n"/>
      <c r="H34" s="16" t="n"/>
      <c r="I34" s="16" t="n"/>
      <c r="J34" s="16" t="n"/>
      <c r="K34" s="16" t="n"/>
      <c r="L34" s="16" t="n"/>
      <c r="M34" s="16" t="n"/>
      <c r="N34" s="16" t="n"/>
      <c r="O34" s="17" t="n"/>
      <c r="P34" s="16" t="n"/>
      <c r="Q34" s="16" t="n"/>
      <c r="R34" s="16" t="n"/>
      <c r="S34" s="16" t="n"/>
      <c r="T34" s="16" t="n"/>
      <c r="U34" s="16" t="n"/>
      <c r="V34" s="16" t="n"/>
      <c r="W34" s="16" t="n"/>
      <c r="X34" s="16" t="n"/>
      <c r="Y34" s="17" t="n"/>
      <c r="Z34" s="16" t="n"/>
      <c r="AA34" s="16" t="n"/>
      <c r="AB34" s="16" t="n"/>
      <c r="AC34" s="16" t="n"/>
    </row>
    <row r="35">
      <c r="A35" s="9" t="inlineStr">
        <is>
          <t>총 판관비</t>
        </is>
      </c>
      <c r="B35" s="10" t="n"/>
      <c r="C35" s="11" t="n"/>
      <c r="D35" s="12" t="n"/>
      <c r="E35" s="12" t="n"/>
      <c r="F35" s="12" t="n"/>
      <c r="G35" s="12" t="n"/>
      <c r="H35" s="12" t="n"/>
      <c r="I35" s="12" t="n"/>
      <c r="J35" s="12" t="n"/>
      <c r="K35" s="12" t="n"/>
      <c r="L35" s="12" t="n"/>
      <c r="M35" s="12" t="n"/>
      <c r="N35" s="12" t="n"/>
      <c r="O35" s="11">
        <f>IF(O30="","",O30)</f>
        <v/>
      </c>
      <c r="P35" s="12">
        <f>IF(P30="","",P30)</f>
        <v/>
      </c>
      <c r="Q35" s="12">
        <f>IF(Q30="","",Q30)</f>
        <v/>
      </c>
      <c r="R35" s="12">
        <f>IF(R30="","",R30)</f>
        <v/>
      </c>
      <c r="S35" s="12">
        <f>IF(S30="","",S30)</f>
        <v/>
      </c>
      <c r="T35" s="12">
        <f>IF(T30="","",T30)</f>
        <v/>
      </c>
      <c r="U35" s="12">
        <f>IF(U30="","",U30)</f>
        <v/>
      </c>
      <c r="V35" s="12">
        <f>IF(V30="","",V30)</f>
        <v/>
      </c>
      <c r="W35" s="12">
        <f>IF(W30="","",W30)</f>
        <v/>
      </c>
      <c r="X35" s="12">
        <f>IF(X30="","",X30)</f>
        <v/>
      </c>
      <c r="Y35" s="11" t="n"/>
      <c r="Z35" s="12" t="n"/>
      <c r="AA35" s="12" t="n"/>
      <c r="AB35" s="12" t="n"/>
      <c r="AC35" s="12" t="n"/>
    </row>
    <row r="36">
      <c r="A36" s="18" t="inlineStr">
        <is>
          <t>급여</t>
        </is>
      </c>
      <c r="B36" s="10" t="inlineStr">
        <is>
          <t>고정비</t>
        </is>
      </c>
      <c r="C36" s="19" t="n"/>
      <c r="D36" s="20" t="n"/>
      <c r="E36" s="20" t="n"/>
      <c r="F36" s="20" t="n"/>
      <c r="G36" s="20" t="n"/>
      <c r="H36" s="20" t="n"/>
      <c r="I36" s="20" t="n"/>
      <c r="J36" s="20" t="n"/>
      <c r="K36" s="20" t="n"/>
      <c r="L36" s="20" t="n"/>
      <c r="M36" s="20" t="n"/>
      <c r="N36" s="20" t="n"/>
      <c r="O36" s="19" t="n"/>
      <c r="P36" s="20" t="n"/>
      <c r="Q36" s="20" t="n"/>
      <c r="R36" s="20" t="n"/>
      <c r="S36" s="20" t="n"/>
      <c r="T36" s="20" t="n"/>
      <c r="U36" s="20" t="n"/>
      <c r="V36" s="20" t="n"/>
      <c r="W36" s="20" t="n"/>
      <c r="X36" s="20" t="n"/>
      <c r="Y36" s="19" t="n"/>
      <c r="Z36" s="20" t="n"/>
      <c r="AA36" s="20" t="n"/>
      <c r="AB36" s="20" t="n"/>
      <c r="AC36" s="20" t="n"/>
    </row>
    <row r="37">
      <c r="A37" s="13" t="inlineStr">
        <is>
          <t>% of Sales</t>
        </is>
      </c>
      <c r="B37" s="10" t="n"/>
      <c r="C37" s="14" t="n"/>
      <c r="D37" s="15" t="n"/>
      <c r="E37" s="15" t="n"/>
      <c r="F37" s="15" t="n"/>
      <c r="G37" s="15" t="n"/>
      <c r="H37" s="15" t="n"/>
      <c r="I37" s="15" t="n"/>
      <c r="J37" s="15" t="n"/>
      <c r="K37" s="15" t="n"/>
      <c r="L37" s="15" t="n"/>
      <c r="M37" s="15" t="n"/>
      <c r="N37" s="15" t="n"/>
      <c r="O37" s="14">
        <f>IF(OR(O36="",O4=""),"",IFERROR(O36/O4,""))</f>
        <v/>
      </c>
      <c r="P37" s="15">
        <f>IF(OR(P36="",P4=""),"",IFERROR(P36/P4,""))</f>
        <v/>
      </c>
      <c r="Q37" s="15">
        <f>IF(OR(Q36="",Q4=""),"",IFERROR(Q36/Q4,""))</f>
        <v/>
      </c>
      <c r="R37" s="15">
        <f>IF(OR(R36="",R4=""),"",IFERROR(R36/R4,""))</f>
        <v/>
      </c>
      <c r="S37" s="15">
        <f>IF(OR(S36="",S4=""),"",IFERROR(S36/S4,""))</f>
        <v/>
      </c>
      <c r="T37" s="15">
        <f>IF(OR(T36="",T4=""),"",IFERROR(T36/T4,""))</f>
        <v/>
      </c>
      <c r="U37" s="15">
        <f>IF(OR(U36="",U4=""),"",IFERROR(U36/U4,""))</f>
        <v/>
      </c>
      <c r="V37" s="15">
        <f>IF(OR(V36="",V4=""),"",IFERROR(V36/V4,""))</f>
        <v/>
      </c>
      <c r="W37" s="15">
        <f>IF(OR(W36="",W4=""),"",IFERROR(W36/W4,""))</f>
        <v/>
      </c>
      <c r="X37" s="15">
        <f>IF(OR(X36="",X4=""),"",IFERROR(X36/X4,""))</f>
        <v/>
      </c>
      <c r="Y37" s="14" t="n"/>
      <c r="Z37" s="15" t="n"/>
      <c r="AA37" s="15" t="n"/>
      <c r="AB37" s="15" t="n"/>
      <c r="AC37" s="15" t="n"/>
    </row>
    <row r="38">
      <c r="A38" s="18" t="inlineStr">
        <is>
          <t>감가상각비</t>
        </is>
      </c>
      <c r="B38" s="10" t="inlineStr">
        <is>
          <t>고정비</t>
        </is>
      </c>
      <c r="C38" s="19" t="n"/>
      <c r="D38" s="20" t="n"/>
      <c r="E38" s="20" t="n"/>
      <c r="F38" s="20" t="n"/>
      <c r="G38" s="20" t="n"/>
      <c r="H38" s="20" t="n"/>
      <c r="I38" s="20" t="n"/>
      <c r="J38" s="20" t="n"/>
      <c r="K38" s="20" t="n"/>
      <c r="L38" s="20" t="n"/>
      <c r="M38" s="20" t="n"/>
      <c r="N38" s="20" t="n"/>
      <c r="O38" s="19" t="n"/>
      <c r="P38" s="20" t="n"/>
      <c r="Q38" s="20" t="n"/>
      <c r="R38" s="20" t="n"/>
      <c r="S38" s="20" t="n"/>
      <c r="T38" s="20" t="n"/>
      <c r="U38" s="20" t="n"/>
      <c r="V38" s="20" t="n"/>
      <c r="W38" s="20" t="n"/>
      <c r="X38" s="20" t="n"/>
      <c r="Y38" s="19" t="n"/>
      <c r="Z38" s="20" t="n"/>
      <c r="AA38" s="20" t="n"/>
      <c r="AB38" s="20" t="n"/>
      <c r="AC38" s="20" t="n"/>
    </row>
    <row r="39">
      <c r="A39" s="13" t="inlineStr">
        <is>
          <t>% of Sales</t>
        </is>
      </c>
      <c r="B39" s="10" t="n"/>
      <c r="C39" s="14" t="n"/>
      <c r="D39" s="15" t="n"/>
      <c r="E39" s="15" t="n"/>
      <c r="F39" s="15" t="n"/>
      <c r="G39" s="15" t="n"/>
      <c r="H39" s="15" t="n"/>
      <c r="I39" s="15" t="n"/>
      <c r="J39" s="15" t="n"/>
      <c r="K39" s="15" t="n"/>
      <c r="L39" s="15" t="n"/>
      <c r="M39" s="15" t="n"/>
      <c r="N39" s="15" t="n"/>
      <c r="O39" s="14">
        <f>IF(OR(O38="",O4=""),"",IFERROR(O38/O4,""))</f>
        <v/>
      </c>
      <c r="P39" s="15">
        <f>IF(OR(P38="",P4=""),"",IFERROR(P38/P4,""))</f>
        <v/>
      </c>
      <c r="Q39" s="15">
        <f>IF(OR(Q38="",Q4=""),"",IFERROR(Q38/Q4,""))</f>
        <v/>
      </c>
      <c r="R39" s="15">
        <f>IF(OR(R38="",R4=""),"",IFERROR(R38/R4,""))</f>
        <v/>
      </c>
      <c r="S39" s="15">
        <f>IF(OR(S38="",S4=""),"",IFERROR(S38/S4,""))</f>
        <v/>
      </c>
      <c r="T39" s="15">
        <f>IF(OR(T38="",T4=""),"",IFERROR(T38/T4,""))</f>
        <v/>
      </c>
      <c r="U39" s="15">
        <f>IF(OR(U38="",U4=""),"",IFERROR(U38/U4,""))</f>
        <v/>
      </c>
      <c r="V39" s="15">
        <f>IF(OR(V38="",V4=""),"",IFERROR(V38/V4,""))</f>
        <v/>
      </c>
      <c r="W39" s="15">
        <f>IF(OR(W38="",W4=""),"",IFERROR(W38/W4,""))</f>
        <v/>
      </c>
      <c r="X39" s="15">
        <f>IF(OR(X38="",X4=""),"",IFERROR(X38/X4,""))</f>
        <v/>
      </c>
      <c r="Y39" s="14" t="n"/>
      <c r="Z39" s="15" t="n"/>
      <c r="AA39" s="15" t="n"/>
      <c r="AB39" s="15" t="n"/>
      <c r="AC39" s="15" t="n"/>
    </row>
    <row r="40">
      <c r="A40" s="18" t="inlineStr">
        <is>
          <t>지급수수료</t>
        </is>
      </c>
      <c r="B40" s="10" t="inlineStr">
        <is>
          <t>고정비</t>
        </is>
      </c>
      <c r="C40" s="19" t="n"/>
      <c r="D40" s="20" t="n"/>
      <c r="E40" s="20" t="n"/>
      <c r="F40" s="20" t="n"/>
      <c r="G40" s="20" t="n"/>
      <c r="H40" s="20" t="n"/>
      <c r="I40" s="20" t="n"/>
      <c r="J40" s="20" t="n"/>
      <c r="K40" s="20" t="n"/>
      <c r="L40" s="20" t="n"/>
      <c r="M40" s="20" t="n"/>
      <c r="N40" s="20" t="n"/>
      <c r="O40" s="19" t="n"/>
      <c r="P40" s="20" t="n"/>
      <c r="Q40" s="20" t="n"/>
      <c r="R40" s="20" t="n"/>
      <c r="S40" s="20" t="n"/>
      <c r="T40" s="20" t="n"/>
      <c r="U40" s="20" t="n"/>
      <c r="V40" s="20" t="n"/>
      <c r="W40" s="20" t="n"/>
      <c r="X40" s="20" t="n"/>
      <c r="Y40" s="19" t="n"/>
      <c r="Z40" s="20" t="n"/>
      <c r="AA40" s="20" t="n"/>
      <c r="AB40" s="20" t="n"/>
      <c r="AC40" s="20" t="n"/>
    </row>
    <row r="41">
      <c r="A41" s="13" t="inlineStr">
        <is>
          <t>% of Sales</t>
        </is>
      </c>
      <c r="B41" s="10" t="n"/>
      <c r="C41" s="14" t="n"/>
      <c r="D41" s="15" t="n"/>
      <c r="E41" s="15" t="n"/>
      <c r="F41" s="15" t="n"/>
      <c r="G41" s="15" t="n"/>
      <c r="H41" s="15" t="n"/>
      <c r="I41" s="15" t="n"/>
      <c r="J41" s="15" t="n"/>
      <c r="K41" s="15" t="n"/>
      <c r="L41" s="15" t="n"/>
      <c r="M41" s="15" t="n"/>
      <c r="N41" s="15" t="n"/>
      <c r="O41" s="14">
        <f>IF(OR(O40="",O4=""),"",IFERROR(O40/O4,""))</f>
        <v/>
      </c>
      <c r="P41" s="15">
        <f>IF(OR(P40="",P4=""),"",IFERROR(P40/P4,""))</f>
        <v/>
      </c>
      <c r="Q41" s="15">
        <f>IF(OR(Q40="",Q4=""),"",IFERROR(Q40/Q4,""))</f>
        <v/>
      </c>
      <c r="R41" s="15">
        <f>IF(OR(R40="",R4=""),"",IFERROR(R40/R4,""))</f>
        <v/>
      </c>
      <c r="S41" s="15">
        <f>IF(OR(S40="",S4=""),"",IFERROR(S40/S4,""))</f>
        <v/>
      </c>
      <c r="T41" s="15">
        <f>IF(OR(T40="",T4=""),"",IFERROR(T40/T4,""))</f>
        <v/>
      </c>
      <c r="U41" s="15">
        <f>IF(OR(U40="",U4=""),"",IFERROR(U40/U4,""))</f>
        <v/>
      </c>
      <c r="V41" s="15">
        <f>IF(OR(V40="",V4=""),"",IFERROR(V40/V4,""))</f>
        <v/>
      </c>
      <c r="W41" s="15">
        <f>IF(OR(W40="",W4=""),"",IFERROR(W40/W4,""))</f>
        <v/>
      </c>
      <c r="X41" s="15">
        <f>IF(OR(X40="",X4=""),"",IFERROR(X40/X4,""))</f>
        <v/>
      </c>
      <c r="Y41" s="14" t="n"/>
      <c r="Z41" s="15" t="n"/>
      <c r="AA41" s="15" t="n"/>
      <c r="AB41" s="15" t="n"/>
      <c r="AC41" s="15" t="n"/>
    </row>
    <row r="42">
      <c r="A42" s="18" t="inlineStr">
        <is>
          <t>연구개발비</t>
        </is>
      </c>
      <c r="B42" s="10" t="inlineStr">
        <is>
          <t>변동비</t>
        </is>
      </c>
      <c r="C42" s="19" t="n"/>
      <c r="D42" s="20" t="n"/>
      <c r="E42" s="20" t="n"/>
      <c r="F42" s="20" t="n"/>
      <c r="G42" s="20" t="n"/>
      <c r="H42" s="20" t="n"/>
      <c r="I42" s="20" t="n"/>
      <c r="J42" s="20" t="n"/>
      <c r="K42" s="20" t="n"/>
      <c r="L42" s="20" t="n"/>
      <c r="M42" s="20" t="n"/>
      <c r="N42" s="20" t="n"/>
      <c r="O42" s="19" t="n"/>
      <c r="P42" s="20" t="n"/>
      <c r="Q42" s="20" t="n"/>
      <c r="R42" s="20" t="n"/>
      <c r="S42" s="20" t="n"/>
      <c r="T42" s="20" t="n"/>
      <c r="U42" s="20" t="n"/>
      <c r="V42" s="20" t="n"/>
      <c r="W42" s="20" t="n"/>
      <c r="X42" s="20" t="n"/>
      <c r="Y42" s="19" t="n"/>
      <c r="Z42" s="20" t="n"/>
      <c r="AA42" s="20" t="n"/>
      <c r="AB42" s="20" t="n"/>
      <c r="AC42" s="20" t="n"/>
    </row>
    <row r="43">
      <c r="A43" s="13" t="inlineStr">
        <is>
          <t>% of Sales</t>
        </is>
      </c>
      <c r="B43" s="10" t="n"/>
      <c r="C43" s="14" t="n"/>
      <c r="D43" s="15" t="n"/>
      <c r="E43" s="15" t="n"/>
      <c r="F43" s="15" t="n"/>
      <c r="G43" s="15" t="n"/>
      <c r="H43" s="15" t="n"/>
      <c r="I43" s="15" t="n"/>
      <c r="J43" s="15" t="n"/>
      <c r="K43" s="15" t="n"/>
      <c r="L43" s="15" t="n"/>
      <c r="M43" s="15" t="n"/>
      <c r="N43" s="15" t="n"/>
      <c r="O43" s="14">
        <f>IF(OR(O42="",O4=""),"",IFERROR(O42/O4,""))</f>
        <v/>
      </c>
      <c r="P43" s="15">
        <f>IF(OR(P42="",P4=""),"",IFERROR(P42/P4,""))</f>
        <v/>
      </c>
      <c r="Q43" s="15">
        <f>IF(OR(Q42="",Q4=""),"",IFERROR(Q42/Q4,""))</f>
        <v/>
      </c>
      <c r="R43" s="15">
        <f>IF(OR(R42="",R4=""),"",IFERROR(R42/R4,""))</f>
        <v/>
      </c>
      <c r="S43" s="15">
        <f>IF(OR(S42="",S4=""),"",IFERROR(S42/S4,""))</f>
        <v/>
      </c>
      <c r="T43" s="15">
        <f>IF(OR(T42="",T4=""),"",IFERROR(T42/T4,""))</f>
        <v/>
      </c>
      <c r="U43" s="15">
        <f>IF(OR(U42="",U4=""),"",IFERROR(U42/U4,""))</f>
        <v/>
      </c>
      <c r="V43" s="15">
        <f>IF(OR(V42="",V4=""),"",IFERROR(V42/V4,""))</f>
        <v/>
      </c>
      <c r="W43" s="15">
        <f>IF(OR(W42="",W4=""),"",IFERROR(W42/W4,""))</f>
        <v/>
      </c>
      <c r="X43" s="15">
        <f>IF(OR(X42="",X4=""),"",IFERROR(X42/X4,""))</f>
        <v/>
      </c>
      <c r="Y43" s="14" t="n"/>
      <c r="Z43" s="15" t="n"/>
      <c r="AA43" s="15" t="n"/>
      <c r="AB43" s="15" t="n"/>
      <c r="AC43" s="15" t="n"/>
    </row>
    <row r="44">
      <c r="A44" s="18" t="inlineStr">
        <is>
          <t>기타비용</t>
        </is>
      </c>
      <c r="B44" s="10" t="inlineStr">
        <is>
          <t>변동비</t>
        </is>
      </c>
      <c r="C44" s="19" t="n"/>
      <c r="D44" s="20" t="n"/>
      <c r="E44" s="20" t="n"/>
      <c r="F44" s="20" t="n"/>
      <c r="G44" s="20" t="n"/>
      <c r="H44" s="20" t="n"/>
      <c r="I44" s="20" t="n"/>
      <c r="J44" s="20" t="n"/>
      <c r="K44" s="20" t="n"/>
      <c r="L44" s="20" t="n"/>
      <c r="M44" s="20" t="n"/>
      <c r="N44" s="20" t="n"/>
      <c r="O44" s="19">
        <f>IF(OR(O35="",O36="",O38="",O40="",O42=""),"",IFERROR(O35-O36-O38-O40-O42,""))</f>
        <v/>
      </c>
      <c r="P44" s="20">
        <f>IF(OR(P35="",P36="",P38="",P40="",P42=""),"",IFERROR(P35-P36-P38-P40-P42,""))</f>
        <v/>
      </c>
      <c r="Q44" s="20">
        <f>IF(OR(Q35="",Q36="",Q38="",Q40="",Q42=""),"",IFERROR(Q35-Q36-Q38-Q40-Q42,""))</f>
        <v/>
      </c>
      <c r="R44" s="20">
        <f>IF(OR(R35="",R36="",R38="",R40="",R42=""),"",IFERROR(R35-R36-R38-R40-R42,""))</f>
        <v/>
      </c>
      <c r="S44" s="20">
        <f>IF(OR(S35="",S36="",S38="",S40="",S42=""),"",IFERROR(S35-S36-S38-S40-S42,""))</f>
        <v/>
      </c>
      <c r="T44" s="20">
        <f>IF(OR(T35="",T36="",T38="",T40="",T42=""),"",IFERROR(T35-T36-T38-T40-T42,""))</f>
        <v/>
      </c>
      <c r="U44" s="20">
        <f>IF(OR(U35="",U36="",U38="",U40="",U42=""),"",IFERROR(U35-U36-U38-U40-U42,""))</f>
        <v/>
      </c>
      <c r="V44" s="20">
        <f>IF(OR(V35="",V36="",V38="",V40="",V42=""),"",IFERROR(V35-V36-V38-V40-V42,""))</f>
        <v/>
      </c>
      <c r="W44" s="20">
        <f>IF(OR(W35="",W36="",W38="",W40="",W42=""),"",IFERROR(W35-W36-W38-W40-W42,""))</f>
        <v/>
      </c>
      <c r="X44" s="20">
        <f>IF(OR(X35="",X36="",X38="",X40="",X42=""),"",IFERROR(X35-X36-X38-X40-X42,""))</f>
        <v/>
      </c>
      <c r="Y44" s="19" t="n"/>
      <c r="Z44" s="20" t="n"/>
      <c r="AA44" s="20" t="n"/>
      <c r="AB44" s="20" t="n"/>
      <c r="AC44" s="20" t="n"/>
    </row>
    <row r="45">
      <c r="A45" s="13" t="inlineStr">
        <is>
          <t>% of Sales</t>
        </is>
      </c>
      <c r="B45" s="10" t="n"/>
      <c r="C45" s="14" t="n"/>
      <c r="D45" s="15" t="n"/>
      <c r="E45" s="15" t="n"/>
      <c r="F45" s="15" t="n"/>
      <c r="G45" s="15" t="n"/>
      <c r="H45" s="15" t="n"/>
      <c r="I45" s="15" t="n"/>
      <c r="J45" s="15" t="n"/>
      <c r="K45" s="15" t="n"/>
      <c r="L45" s="15" t="n"/>
      <c r="M45" s="15" t="n"/>
      <c r="N45" s="15" t="n"/>
      <c r="O45" s="14">
        <f>IF(OR(O44="",O4=""),"",IFERROR(O44/O4,""))</f>
        <v/>
      </c>
      <c r="P45" s="15">
        <f>IF(OR(P44="",P4=""),"",IFERROR(P44/P4,""))</f>
        <v/>
      </c>
      <c r="Q45" s="15">
        <f>IF(OR(Q44="",Q4=""),"",IFERROR(Q44/Q4,""))</f>
        <v/>
      </c>
      <c r="R45" s="15">
        <f>IF(OR(R44="",R4=""),"",IFERROR(R44/R4,""))</f>
        <v/>
      </c>
      <c r="S45" s="15">
        <f>IF(OR(S44="",S4=""),"",IFERROR(S44/S4,""))</f>
        <v/>
      </c>
      <c r="T45" s="15">
        <f>IF(OR(T44="",T4=""),"",IFERROR(T44/T4,""))</f>
        <v/>
      </c>
      <c r="U45" s="15">
        <f>IF(OR(U44="",U4=""),"",IFERROR(U44/U4,""))</f>
        <v/>
      </c>
      <c r="V45" s="15">
        <f>IF(OR(V44="",V4=""),"",IFERROR(V44/V4,""))</f>
        <v/>
      </c>
      <c r="W45" s="15">
        <f>IF(OR(W44="",W4=""),"",IFERROR(W44/W4,""))</f>
        <v/>
      </c>
      <c r="X45" s="15">
        <f>IF(OR(X44="",X4=""),"",IFERROR(X44/X4,""))</f>
        <v/>
      </c>
      <c r="Y45" s="14" t="n"/>
      <c r="Z45" s="15" t="n"/>
      <c r="AA45" s="15" t="n"/>
      <c r="AB45" s="15" t="n"/>
      <c r="AC45" s="15" t="n"/>
    </row>
    <row r="46">
      <c r="A46" s="16" t="inlineStr">
        <is>
          <t>당기순이익 추정</t>
        </is>
      </c>
      <c r="B46" s="16" t="n"/>
      <c r="C46" s="17" t="n"/>
      <c r="D46" s="16" t="n"/>
      <c r="E46" s="16" t="n"/>
      <c r="F46" s="16" t="n"/>
      <c r="G46" s="16" t="n"/>
      <c r="H46" s="16" t="n"/>
      <c r="I46" s="16" t="n"/>
      <c r="J46" s="16" t="n"/>
      <c r="K46" s="16" t="n"/>
      <c r="L46" s="16" t="n"/>
      <c r="M46" s="16" t="n"/>
      <c r="N46" s="16" t="n"/>
      <c r="O46" s="17" t="n"/>
      <c r="P46" s="16" t="n"/>
      <c r="Q46" s="16" t="n"/>
      <c r="R46" s="16" t="n"/>
      <c r="S46" s="16" t="n"/>
      <c r="T46" s="16" t="n"/>
      <c r="U46" s="16" t="n"/>
      <c r="V46" s="16" t="n"/>
      <c r="W46" s="16" t="n"/>
      <c r="X46" s="16" t="n"/>
      <c r="Y46" s="17" t="n"/>
      <c r="Z46" s="16" t="n"/>
      <c r="AA46" s="16" t="n"/>
      <c r="AB46" s="16" t="n"/>
      <c r="AC46" s="16" t="n"/>
    </row>
    <row r="47">
      <c r="A47" s="18" t="inlineStr">
        <is>
          <t>특별이익</t>
        </is>
      </c>
      <c r="B47" s="10" t="n"/>
      <c r="C47" s="19" t="n">
        <v>8</v>
      </c>
      <c r="D47" s="20" t="n">
        <v>6</v>
      </c>
      <c r="E47" s="20" t="n">
        <v>468</v>
      </c>
      <c r="F47" s="20" t="n">
        <v>22</v>
      </c>
      <c r="G47" s="20" t="n">
        <v>341</v>
      </c>
      <c r="H47" s="20" t="n">
        <v>-49</v>
      </c>
      <c r="I47" s="20" t="n">
        <v>1630</v>
      </c>
      <c r="J47" s="20" t="n">
        <v>448</v>
      </c>
      <c r="K47" s="20" t="n">
        <v>-16</v>
      </c>
      <c r="L47" s="20" t="n">
        <v>3</v>
      </c>
      <c r="M47" s="20" t="n">
        <v>161</v>
      </c>
      <c r="N47" s="20" t="n">
        <v>62</v>
      </c>
      <c r="O47" s="19" t="n">
        <v>39</v>
      </c>
      <c r="P47" s="20" t="n">
        <v>60</v>
      </c>
      <c r="Q47" s="20" t="n">
        <v>3</v>
      </c>
      <c r="R47" s="20" t="n">
        <v>315</v>
      </c>
      <c r="S47" s="20" t="n">
        <v>1001</v>
      </c>
      <c r="T47" s="20" t="n">
        <v>3855</v>
      </c>
      <c r="U47" s="20" t="n">
        <v>35</v>
      </c>
      <c r="V47" s="20" t="n">
        <v>498</v>
      </c>
      <c r="W47" s="20" t="n">
        <v>1944</v>
      </c>
      <c r="X47" s="20" t="n">
        <v>596</v>
      </c>
      <c r="Y47" s="19">
        <f>IF(OR(Y4="",Y48=""),"",IFERROR(Y4*Y48,""))</f>
        <v/>
      </c>
      <c r="Z47" s="20">
        <f>IF(OR(Z4="",Z48=""),"",IFERROR(Z4*Z48,""))</f>
        <v/>
      </c>
      <c r="AA47" s="20">
        <f>IF(OR(AA4="",AA48=""),"",IFERROR(AA4*AA48,""))</f>
        <v/>
      </c>
      <c r="AB47" s="20">
        <f>IF(OR(AB4="",AB48=""),"",IFERROR(AB4*AB48,""))</f>
        <v/>
      </c>
      <c r="AC47" s="20">
        <f>IF(OR(AC4="",AC48=""),"",IFERROR(AC4*AC48,""))</f>
        <v/>
      </c>
    </row>
    <row r="48">
      <c r="A48" s="13" t="inlineStr">
        <is>
          <t>% of Sales</t>
        </is>
      </c>
      <c r="B48" s="10" t="inlineStr">
        <is>
          <t>MW = 최근 3년 평균</t>
        </is>
      </c>
      <c r="C48" s="14">
        <f>IF(OR(C47="",C4=""),"",IFERROR(C47/C4,""))</f>
        <v/>
      </c>
      <c r="D48" s="15">
        <f>IF(OR(D47="",D4=""),"",IFERROR(D47/D4,""))</f>
        <v/>
      </c>
      <c r="E48" s="15">
        <f>IF(OR(E47="",E4=""),"",IFERROR(E47/E4,""))</f>
        <v/>
      </c>
      <c r="F48" s="15">
        <f>IF(OR(F47="",F4=""),"",IFERROR(F47/F4,""))</f>
        <v/>
      </c>
      <c r="G48" s="15">
        <f>IF(OR(G47="",G4=""),"",IFERROR(G47/G4,""))</f>
        <v/>
      </c>
      <c r="H48" s="15">
        <f>IF(OR(H47="",H4=""),"",IFERROR(H47/H4,""))</f>
        <v/>
      </c>
      <c r="I48" s="15">
        <f>IF(OR(I47="",I4=""),"",IFERROR(I47/I4,""))</f>
        <v/>
      </c>
      <c r="J48" s="15">
        <f>IF(OR(J47="",J4=""),"",IFERROR(J47/J4,""))</f>
        <v/>
      </c>
      <c r="K48" s="15">
        <f>IF(OR(K47="",K4=""),"",IFERROR(K47/K4,""))</f>
        <v/>
      </c>
      <c r="L48" s="15">
        <f>IF(OR(L47="",L4=""),"",IFERROR(L47/L4,""))</f>
        <v/>
      </c>
      <c r="M48" s="15">
        <f>IF(OR(M47="",M4=""),"",IFERROR(M47/M4,""))</f>
        <v/>
      </c>
      <c r="N48" s="15">
        <f>IF(OR(N47="",N4=""),"",IFERROR(N47/N4,""))</f>
        <v/>
      </c>
      <c r="O48" s="14">
        <f>IF(OR(O47="",O4=""),"",IFERROR(O47/O4,""))</f>
        <v/>
      </c>
      <c r="P48" s="15">
        <f>IF(OR(P47="",P4=""),"",IFERROR(P47/P4,""))</f>
        <v/>
      </c>
      <c r="Q48" s="15">
        <f>IF(OR(Q47="",Q4=""),"",IFERROR(Q47/Q4,""))</f>
        <v/>
      </c>
      <c r="R48" s="15">
        <f>IF(OR(R47="",R4=""),"",IFERROR(R47/R4,""))</f>
        <v/>
      </c>
      <c r="S48" s="15">
        <f>IF(OR(S47="",S4=""),"",IFERROR(S47/S4,""))</f>
        <v/>
      </c>
      <c r="T48" s="15">
        <f>IF(OR(T47="",T4=""),"",IFERROR(T47/T4,""))</f>
        <v/>
      </c>
      <c r="U48" s="15">
        <f>IF(OR(U47="",U4=""),"",IFERROR(U47/U4,""))</f>
        <v/>
      </c>
      <c r="V48" s="15">
        <f>IF(OR(V47="",V4=""),"",IFERROR(V47/V4,""))</f>
        <v/>
      </c>
      <c r="W48" s="15">
        <f>IF(OR(W47="",W4=""),"",IFERROR(W47/W4,""))</f>
        <v/>
      </c>
      <c r="X48" s="15">
        <f>IF(OR(X47="",X4=""),"",IFERROR(X47/X4,""))</f>
        <v/>
      </c>
      <c r="Y48" s="25">
        <f>IFERROR(AVERAGE(V48,W48,X48),"")</f>
        <v/>
      </c>
      <c r="Z48" s="26">
        <f>Y48</f>
        <v/>
      </c>
      <c r="AA48" s="26">
        <f>Z48</f>
        <v/>
      </c>
      <c r="AB48" s="26">
        <f>AA48</f>
        <v/>
      </c>
      <c r="AC48" s="26">
        <f>AB48</f>
        <v/>
      </c>
    </row>
    <row r="49">
      <c r="A49" s="18" t="inlineStr">
        <is>
          <t>특별손실</t>
        </is>
      </c>
      <c r="B49" s="10" t="n"/>
      <c r="C49" s="19" t="n">
        <v>4</v>
      </c>
      <c r="D49" s="20" t="n">
        <v>2</v>
      </c>
      <c r="E49" s="20" t="n">
        <v>1400</v>
      </c>
      <c r="F49" s="20" t="n">
        <v>1</v>
      </c>
      <c r="G49" s="20" t="n">
        <v>2</v>
      </c>
      <c r="H49" s="20" t="n">
        <v>20</v>
      </c>
      <c r="I49" s="20" t="n">
        <v>375</v>
      </c>
      <c r="J49" s="20" t="n">
        <v>4</v>
      </c>
      <c r="K49" s="20" t="n">
        <v>2</v>
      </c>
      <c r="L49" s="20" t="n">
        <v>0</v>
      </c>
      <c r="M49" s="20" t="n">
        <v>493</v>
      </c>
      <c r="N49" s="20" t="n">
        <v>6</v>
      </c>
      <c r="O49" s="19" t="n">
        <v>644</v>
      </c>
      <c r="P49" s="20" t="n">
        <v>328</v>
      </c>
      <c r="Q49" s="20" t="n">
        <v>47</v>
      </c>
      <c r="R49" s="20" t="n">
        <v>18012</v>
      </c>
      <c r="S49" s="20" t="n">
        <v>1373</v>
      </c>
      <c r="T49" s="20" t="n">
        <v>274</v>
      </c>
      <c r="U49" s="20" t="n">
        <v>42</v>
      </c>
      <c r="V49" s="20" t="n">
        <v>1490</v>
      </c>
      <c r="W49" s="20" t="n">
        <v>398</v>
      </c>
      <c r="X49" s="20" t="n">
        <v>499</v>
      </c>
      <c r="Y49" s="19">
        <f>IF(OR(Y4="",Y50=""),"",IFERROR(Y4*Y50,""))</f>
        <v/>
      </c>
      <c r="Z49" s="20">
        <f>IF(OR(Z4="",Z50=""),"",IFERROR(Z4*Z50,""))</f>
        <v/>
      </c>
      <c r="AA49" s="20">
        <f>IF(OR(AA4="",AA50=""),"",IFERROR(AA4*AA50,""))</f>
        <v/>
      </c>
      <c r="AB49" s="20">
        <f>IF(OR(AB4="",AB50=""),"",IFERROR(AB4*AB50,""))</f>
        <v/>
      </c>
      <c r="AC49" s="20">
        <f>IF(OR(AC4="",AC50=""),"",IFERROR(AC4*AC50,""))</f>
        <v/>
      </c>
    </row>
    <row r="50">
      <c r="A50" s="13" t="inlineStr">
        <is>
          <t>% of Sales</t>
        </is>
      </c>
      <c r="B50" s="10" t="n"/>
      <c r="C50" s="14">
        <f>IF(OR(C49="",C4=""),"",IFERROR(C49/C4,""))</f>
        <v/>
      </c>
      <c r="D50" s="15">
        <f>IF(OR(D49="",D4=""),"",IFERROR(D49/D4,""))</f>
        <v/>
      </c>
      <c r="E50" s="15">
        <f>IF(OR(E49="",E4=""),"",IFERROR(E49/E4,""))</f>
        <v/>
      </c>
      <c r="F50" s="15">
        <f>IF(OR(F49="",F4=""),"",IFERROR(F49/F4,""))</f>
        <v/>
      </c>
      <c r="G50" s="15">
        <f>IF(OR(G49="",G4=""),"",IFERROR(G49/G4,""))</f>
        <v/>
      </c>
      <c r="H50" s="15">
        <f>IF(OR(H49="",H4=""),"",IFERROR(H49/H4,""))</f>
        <v/>
      </c>
      <c r="I50" s="15">
        <f>IF(OR(I49="",I4=""),"",IFERROR(I49/I4,""))</f>
        <v/>
      </c>
      <c r="J50" s="15">
        <f>IF(OR(J49="",J4=""),"",IFERROR(J49/J4,""))</f>
        <v/>
      </c>
      <c r="K50" s="15">
        <f>IF(OR(K49="",K4=""),"",IFERROR(K49/K4,""))</f>
        <v/>
      </c>
      <c r="L50" s="15">
        <f>IF(OR(L49="",L4=""),"",IFERROR(L49/L4,""))</f>
        <v/>
      </c>
      <c r="M50" s="15">
        <f>IF(OR(M49="",M4=""),"",IFERROR(M49/M4,""))</f>
        <v/>
      </c>
      <c r="N50" s="15">
        <f>IF(OR(N49="",N4=""),"",IFERROR(N49/N4,""))</f>
        <v/>
      </c>
      <c r="O50" s="14">
        <f>IF(OR(O49="",O4=""),"",IFERROR(O49/O4,""))</f>
        <v/>
      </c>
      <c r="P50" s="15">
        <f>IF(OR(P49="",P4=""),"",IFERROR(P49/P4,""))</f>
        <v/>
      </c>
      <c r="Q50" s="15">
        <f>IF(OR(Q49="",Q4=""),"",IFERROR(Q49/Q4,""))</f>
        <v/>
      </c>
      <c r="R50" s="15">
        <f>IF(OR(R49="",R4=""),"",IFERROR(R49/R4,""))</f>
        <v/>
      </c>
      <c r="S50" s="15">
        <f>IF(OR(S49="",S4=""),"",IFERROR(S49/S4,""))</f>
        <v/>
      </c>
      <c r="T50" s="15">
        <f>IF(OR(T49="",T4=""),"",IFERROR(T49/T4,""))</f>
        <v/>
      </c>
      <c r="U50" s="15">
        <f>IF(OR(U49="",U4=""),"",IFERROR(U49/U4,""))</f>
        <v/>
      </c>
      <c r="V50" s="15">
        <f>IF(OR(V49="",V4=""),"",IFERROR(V49/V4,""))</f>
        <v/>
      </c>
      <c r="W50" s="15">
        <f>IF(OR(W49="",W4=""),"",IFERROR(W49/W4,""))</f>
        <v/>
      </c>
      <c r="X50" s="15">
        <f>IF(OR(X49="",X4=""),"",IFERROR(X49/X4,""))</f>
        <v/>
      </c>
      <c r="Y50" s="25">
        <f>IFERROR(AVERAGE(V50,W50,X50),"")</f>
        <v/>
      </c>
      <c r="Z50" s="26">
        <f>Y50</f>
        <v/>
      </c>
      <c r="AA50" s="26">
        <f>Z50</f>
        <v/>
      </c>
      <c r="AB50" s="26">
        <f>AA50</f>
        <v/>
      </c>
      <c r="AC50" s="26">
        <f>AB50</f>
        <v/>
      </c>
    </row>
    <row r="51">
      <c r="A51" s="18" t="inlineStr">
        <is>
          <t>영업외수익</t>
        </is>
      </c>
      <c r="B51" s="10" t="n"/>
      <c r="C51" s="19" t="n">
        <v>356</v>
      </c>
      <c r="D51" s="20" t="n">
        <v>33</v>
      </c>
      <c r="E51" s="20" t="n">
        <v>492</v>
      </c>
      <c r="F51" s="20" t="n">
        <v>713</v>
      </c>
      <c r="G51" s="20" t="n">
        <v>-263</v>
      </c>
      <c r="H51" s="20" t="n">
        <v>263</v>
      </c>
      <c r="I51" s="20" t="n">
        <v>222</v>
      </c>
      <c r="J51" s="20" t="n">
        <v>341</v>
      </c>
      <c r="K51" s="20" t="n">
        <v>341</v>
      </c>
      <c r="L51" s="20" t="n">
        <v>634</v>
      </c>
      <c r="M51" s="20" t="n">
        <v>326</v>
      </c>
      <c r="N51" s="20" t="n">
        <v>437</v>
      </c>
      <c r="O51" s="19" t="n">
        <v>735</v>
      </c>
      <c r="P51" s="20" t="n">
        <v>1056</v>
      </c>
      <c r="Q51" s="20" t="n">
        <v>704</v>
      </c>
      <c r="R51" s="20" t="n">
        <v>700</v>
      </c>
      <c r="S51" s="20" t="n">
        <v>1490</v>
      </c>
      <c r="T51" s="20" t="n">
        <v>1388</v>
      </c>
      <c r="U51" s="20" t="n">
        <v>1139</v>
      </c>
      <c r="V51" s="20" t="n">
        <v>2121</v>
      </c>
      <c r="W51" s="20" t="n">
        <v>935</v>
      </c>
      <c r="X51" s="20" t="n">
        <v>1642</v>
      </c>
      <c r="Y51" s="19">
        <f>IF(OR(Y4="",Y52=""),"",IFERROR(Y4*Y52,""))</f>
        <v/>
      </c>
      <c r="Z51" s="20">
        <f>IF(OR(Z4="",Z52=""),"",IFERROR(Z4*Z52,""))</f>
        <v/>
      </c>
      <c r="AA51" s="20">
        <f>IF(OR(AA4="",AA52=""),"",IFERROR(AA4*AA52,""))</f>
        <v/>
      </c>
      <c r="AB51" s="20">
        <f>IF(OR(AB4="",AB52=""),"",IFERROR(AB4*AB52,""))</f>
        <v/>
      </c>
      <c r="AC51" s="20">
        <f>IF(OR(AC4="",AC52=""),"",IFERROR(AC4*AC52,""))</f>
        <v/>
      </c>
    </row>
    <row r="52">
      <c r="A52" s="13" t="inlineStr">
        <is>
          <t>% of Sales</t>
        </is>
      </c>
      <c r="B52" s="10" t="n"/>
      <c r="C52" s="14">
        <f>IF(OR(C51="",C4=""),"",IFERROR(C51/C4,""))</f>
        <v/>
      </c>
      <c r="D52" s="15">
        <f>IF(OR(D51="",D4=""),"",IFERROR(D51/D4,""))</f>
        <v/>
      </c>
      <c r="E52" s="15">
        <f>IF(OR(E51="",E4=""),"",IFERROR(E51/E4,""))</f>
        <v/>
      </c>
      <c r="F52" s="15">
        <f>IF(OR(F51="",F4=""),"",IFERROR(F51/F4,""))</f>
        <v/>
      </c>
      <c r="G52" s="15">
        <f>IF(OR(G51="",G4=""),"",IFERROR(G51/G4,""))</f>
        <v/>
      </c>
      <c r="H52" s="15">
        <f>IF(OR(H51="",H4=""),"",IFERROR(H51/H4,""))</f>
        <v/>
      </c>
      <c r="I52" s="15">
        <f>IF(OR(I51="",I4=""),"",IFERROR(I51/I4,""))</f>
        <v/>
      </c>
      <c r="J52" s="15">
        <f>IF(OR(J51="",J4=""),"",IFERROR(J51/J4,""))</f>
        <v/>
      </c>
      <c r="K52" s="15">
        <f>IF(OR(K51="",K4=""),"",IFERROR(K51/K4,""))</f>
        <v/>
      </c>
      <c r="L52" s="15">
        <f>IF(OR(L51="",L4=""),"",IFERROR(L51/L4,""))</f>
        <v/>
      </c>
      <c r="M52" s="15">
        <f>IF(OR(M51="",M4=""),"",IFERROR(M51/M4,""))</f>
        <v/>
      </c>
      <c r="N52" s="15">
        <f>IF(OR(N51="",N4=""),"",IFERROR(N51/N4,""))</f>
        <v/>
      </c>
      <c r="O52" s="14">
        <f>IF(OR(O51="",O4=""),"",IFERROR(O51/O4,""))</f>
        <v/>
      </c>
      <c r="P52" s="15">
        <f>IF(OR(P51="",P4=""),"",IFERROR(P51/P4,""))</f>
        <v/>
      </c>
      <c r="Q52" s="15">
        <f>IF(OR(Q51="",Q4=""),"",IFERROR(Q51/Q4,""))</f>
        <v/>
      </c>
      <c r="R52" s="15">
        <f>IF(OR(R51="",R4=""),"",IFERROR(R51/R4,""))</f>
        <v/>
      </c>
      <c r="S52" s="15">
        <f>IF(OR(S51="",S4=""),"",IFERROR(S51/S4,""))</f>
        <v/>
      </c>
      <c r="T52" s="15">
        <f>IF(OR(T51="",T4=""),"",IFERROR(T51/T4,""))</f>
        <v/>
      </c>
      <c r="U52" s="15">
        <f>IF(OR(U51="",U4=""),"",IFERROR(U51/U4,""))</f>
        <v/>
      </c>
      <c r="V52" s="15">
        <f>IF(OR(V51="",V4=""),"",IFERROR(V51/V4,""))</f>
        <v/>
      </c>
      <c r="W52" s="15">
        <f>IF(OR(W51="",W4=""),"",IFERROR(W51/W4,""))</f>
        <v/>
      </c>
      <c r="X52" s="15">
        <f>IF(OR(X51="",X4=""),"",IFERROR(X51/X4,""))</f>
        <v/>
      </c>
      <c r="Y52" s="25">
        <f>IFERROR(AVERAGE(V52,W52,X52),"")</f>
        <v/>
      </c>
      <c r="Z52" s="26">
        <f>Y52</f>
        <v/>
      </c>
      <c r="AA52" s="26">
        <f>Z52</f>
        <v/>
      </c>
      <c r="AB52" s="26">
        <f>AA52</f>
        <v/>
      </c>
      <c r="AC52" s="26">
        <f>AB52</f>
        <v/>
      </c>
    </row>
    <row r="53">
      <c r="A53" s="18" t="inlineStr">
        <is>
          <t>영업외비용</t>
        </is>
      </c>
      <c r="B53" s="10" t="n"/>
      <c r="C53" s="19" t="n">
        <v>28</v>
      </c>
      <c r="D53" s="20" t="n">
        <v>97</v>
      </c>
      <c r="E53" s="20" t="n">
        <v>70</v>
      </c>
      <c r="F53" s="20" t="n">
        <v>45</v>
      </c>
      <c r="G53" s="20" t="n">
        <v>304</v>
      </c>
      <c r="H53" s="20" t="n">
        <v>-202</v>
      </c>
      <c r="I53" s="20" t="n">
        <v>290</v>
      </c>
      <c r="J53" s="20" t="n">
        <v>221</v>
      </c>
      <c r="K53" s="20" t="n">
        <v>-26</v>
      </c>
      <c r="L53" s="20" t="n">
        <v>72</v>
      </c>
      <c r="M53" s="20" t="n">
        <v>61</v>
      </c>
      <c r="N53" s="20" t="n">
        <v>68</v>
      </c>
      <c r="O53" s="19" t="n">
        <v>1018</v>
      </c>
      <c r="P53" s="20" t="n">
        <v>368</v>
      </c>
      <c r="Q53" s="20" t="n">
        <v>907</v>
      </c>
      <c r="R53" s="20" t="n">
        <v>776</v>
      </c>
      <c r="S53" s="20" t="n">
        <v>307</v>
      </c>
      <c r="T53" s="20" t="n">
        <v>247</v>
      </c>
      <c r="U53" s="20" t="n">
        <v>247</v>
      </c>
      <c r="V53" s="20" t="n">
        <v>223</v>
      </c>
      <c r="W53" s="20" t="n">
        <v>437</v>
      </c>
      <c r="X53" s="20" t="n">
        <v>328</v>
      </c>
      <c r="Y53" s="19">
        <f>IF(OR(Y4="",Y54=""),"",IFERROR(Y4*Y54,""))</f>
        <v/>
      </c>
      <c r="Z53" s="20">
        <f>IF(OR(Z4="",Z54=""),"",IFERROR(Z4*Z54,""))</f>
        <v/>
      </c>
      <c r="AA53" s="20">
        <f>IF(OR(AA4="",AA54=""),"",IFERROR(AA4*AA54,""))</f>
        <v/>
      </c>
      <c r="AB53" s="20">
        <f>IF(OR(AB4="",AB54=""),"",IFERROR(AB4*AB54,""))</f>
        <v/>
      </c>
      <c r="AC53" s="20">
        <f>IF(OR(AC4="",AC54=""),"",IFERROR(AC4*AC54,""))</f>
        <v/>
      </c>
    </row>
    <row r="54">
      <c r="A54" s="13" t="inlineStr">
        <is>
          <t>% of Sales</t>
        </is>
      </c>
      <c r="B54" s="10" t="n"/>
      <c r="C54" s="14">
        <f>IF(OR(C53="",C4=""),"",IFERROR(C53/C4,""))</f>
        <v/>
      </c>
      <c r="D54" s="15">
        <f>IF(OR(D53="",D4=""),"",IFERROR(D53/D4,""))</f>
        <v/>
      </c>
      <c r="E54" s="15">
        <f>IF(OR(E53="",E4=""),"",IFERROR(E53/E4,""))</f>
        <v/>
      </c>
      <c r="F54" s="15">
        <f>IF(OR(F53="",F4=""),"",IFERROR(F53/F4,""))</f>
        <v/>
      </c>
      <c r="G54" s="15">
        <f>IF(OR(G53="",G4=""),"",IFERROR(G53/G4,""))</f>
        <v/>
      </c>
      <c r="H54" s="15">
        <f>IF(OR(H53="",H4=""),"",IFERROR(H53/H4,""))</f>
        <v/>
      </c>
      <c r="I54" s="15">
        <f>IF(OR(I53="",I4=""),"",IFERROR(I53/I4,""))</f>
        <v/>
      </c>
      <c r="J54" s="15">
        <f>IF(OR(J53="",J4=""),"",IFERROR(J53/J4,""))</f>
        <v/>
      </c>
      <c r="K54" s="15">
        <f>IF(OR(K53="",K4=""),"",IFERROR(K53/K4,""))</f>
        <v/>
      </c>
      <c r="L54" s="15">
        <f>IF(OR(L53="",L4=""),"",IFERROR(L53/L4,""))</f>
        <v/>
      </c>
      <c r="M54" s="15">
        <f>IF(OR(M53="",M4=""),"",IFERROR(M53/M4,""))</f>
        <v/>
      </c>
      <c r="N54" s="15">
        <f>IF(OR(N53="",N4=""),"",IFERROR(N53/N4,""))</f>
        <v/>
      </c>
      <c r="O54" s="14">
        <f>IF(OR(O53="",O4=""),"",IFERROR(O53/O4,""))</f>
        <v/>
      </c>
      <c r="P54" s="15">
        <f>IF(OR(P53="",P4=""),"",IFERROR(P53/P4,""))</f>
        <v/>
      </c>
      <c r="Q54" s="15">
        <f>IF(OR(Q53="",Q4=""),"",IFERROR(Q53/Q4,""))</f>
        <v/>
      </c>
      <c r="R54" s="15">
        <f>IF(OR(R53="",R4=""),"",IFERROR(R53/R4,""))</f>
        <v/>
      </c>
      <c r="S54" s="15">
        <f>IF(OR(S53="",S4=""),"",IFERROR(S53/S4,""))</f>
        <v/>
      </c>
      <c r="T54" s="15">
        <f>IF(OR(T53="",T4=""),"",IFERROR(T53/T4,""))</f>
        <v/>
      </c>
      <c r="U54" s="15">
        <f>IF(OR(U53="",U4=""),"",IFERROR(U53/U4,""))</f>
        <v/>
      </c>
      <c r="V54" s="15">
        <f>IF(OR(V53="",V4=""),"",IFERROR(V53/V4,""))</f>
        <v/>
      </c>
      <c r="W54" s="15">
        <f>IF(OR(W53="",W4=""),"",IFERROR(W53/W4,""))</f>
        <v/>
      </c>
      <c r="X54" s="15">
        <f>IF(OR(X53="",X4=""),"",IFERROR(X53/X4,""))</f>
        <v/>
      </c>
      <c r="Y54" s="25">
        <f>IFERROR(AVERAGE(V54,W54,X54),"")</f>
        <v/>
      </c>
      <c r="Z54" s="26">
        <f>Y54</f>
        <v/>
      </c>
      <c r="AA54" s="26">
        <f>Z54</f>
        <v/>
      </c>
      <c r="AB54" s="26">
        <f>AA54</f>
        <v/>
      </c>
      <c r="AC54" s="26">
        <f>AB54</f>
        <v/>
      </c>
    </row>
    <row r="55">
      <c r="A55" s="9" t="inlineStr">
        <is>
          <t>법인세비용차감전순이익(손실)</t>
        </is>
      </c>
      <c r="B55" s="10" t="n"/>
      <c r="C55" s="11" t="n">
        <v>1474</v>
      </c>
      <c r="D55" s="12" t="n">
        <v>223</v>
      </c>
      <c r="E55" s="12" t="n">
        <v>3663</v>
      </c>
      <c r="F55" s="12" t="n">
        <v>1132</v>
      </c>
      <c r="G55" s="12" t="n">
        <v>634</v>
      </c>
      <c r="H55" s="12" t="n">
        <v>2424</v>
      </c>
      <c r="I55" s="12" t="n">
        <v>4970</v>
      </c>
      <c r="J55" s="12" t="n">
        <v>1068</v>
      </c>
      <c r="K55" s="12" t="n">
        <v>3001</v>
      </c>
      <c r="L55" s="12" t="n">
        <v>4347</v>
      </c>
      <c r="M55" s="12" t="n">
        <v>2398</v>
      </c>
      <c r="N55" s="12" t="n">
        <v>963</v>
      </c>
      <c r="O55" s="11" t="n">
        <v>824</v>
      </c>
      <c r="P55" s="12" t="n">
        <v>4152</v>
      </c>
      <c r="Q55" s="12" t="n">
        <v>2458</v>
      </c>
      <c r="R55" s="12" t="n">
        <v>-21176</v>
      </c>
      <c r="S55" s="12" t="n">
        <v>-1522</v>
      </c>
      <c r="T55" s="12" t="n">
        <v>6990</v>
      </c>
      <c r="U55" s="12" t="n">
        <v>6604</v>
      </c>
      <c r="V55" s="12" t="n">
        <v>5805</v>
      </c>
      <c r="W55" s="12" t="n">
        <v>9160</v>
      </c>
      <c r="X55" s="12" t="n">
        <v>10814</v>
      </c>
      <c r="Y55" s="11">
        <f>IF(OR(Y31=""),"",IFERROR(Y31+N(Y47)-N(Y49)+N(Y51)-N(Y53),""))</f>
        <v/>
      </c>
      <c r="Z55" s="12">
        <f>IF(OR(Z31=""),"",IFERROR(Z31+N(Z47)-N(Z49)+N(Z51)-N(Z53),""))</f>
        <v/>
      </c>
      <c r="AA55" s="12">
        <f>IF(OR(AA31=""),"",IFERROR(AA31+N(AA47)-N(AA49)+N(AA51)-N(AA53),""))</f>
        <v/>
      </c>
      <c r="AB55" s="12">
        <f>IF(OR(AB31=""),"",IFERROR(AB31+N(AB47)-N(AB49)+N(AB51)-N(AB53),""))</f>
        <v/>
      </c>
      <c r="AC55" s="12">
        <f>IF(OR(AC31=""),"",IFERROR(AC31+N(AC47)-N(AC49)+N(AC51)-N(AC53),""))</f>
        <v/>
      </c>
    </row>
    <row r="56">
      <c r="A56" s="18" t="inlineStr">
        <is>
          <t>법인세비용(수익)</t>
        </is>
      </c>
      <c r="B56" s="10" t="n"/>
      <c r="C56" s="19" t="n">
        <v>348</v>
      </c>
      <c r="D56" s="20" t="n">
        <v>80</v>
      </c>
      <c r="E56" s="20" t="n">
        <v>305</v>
      </c>
      <c r="F56" s="20" t="n">
        <v>510</v>
      </c>
      <c r="G56" s="20" t="n">
        <v>250</v>
      </c>
      <c r="H56" s="20" t="n">
        <v>517</v>
      </c>
      <c r="I56" s="20" t="n">
        <v>635</v>
      </c>
      <c r="J56" s="20" t="n">
        <v>641</v>
      </c>
      <c r="K56" s="20" t="n">
        <v>1071</v>
      </c>
      <c r="L56" s="20" t="n">
        <v>1352</v>
      </c>
      <c r="M56" s="20" t="n">
        <v>379</v>
      </c>
      <c r="N56" s="20" t="n">
        <v>436</v>
      </c>
      <c r="O56" s="19" t="n">
        <v>166</v>
      </c>
      <c r="P56" s="20" t="n">
        <v>1078</v>
      </c>
      <c r="Q56" s="20" t="n">
        <v>1044</v>
      </c>
      <c r="R56" s="20" t="n">
        <v>4299</v>
      </c>
      <c r="S56" s="20" t="n">
        <v>543</v>
      </c>
      <c r="T56" s="20" t="n">
        <v>804</v>
      </c>
      <c r="U56" s="20" t="n">
        <v>813</v>
      </c>
      <c r="V56" s="20" t="n">
        <v>1147</v>
      </c>
      <c r="W56" s="20" t="n">
        <v>1912</v>
      </c>
      <c r="X56" s="20" t="n">
        <v>3443</v>
      </c>
      <c r="Y56" s="19">
        <f>IF(OR(Y55="",Y57=""),"",IFERROR(MAX(Y55,0)*Y57,""))</f>
        <v/>
      </c>
      <c r="Z56" s="20">
        <f>IF(OR(Z55="",Z57=""),"",IFERROR(MAX(Z55,0)*Z57,""))</f>
        <v/>
      </c>
      <c r="AA56" s="20">
        <f>IF(OR(AA55="",AA57=""),"",IFERROR(MAX(AA55,0)*AA57,""))</f>
        <v/>
      </c>
      <c r="AB56" s="20">
        <f>IF(OR(AB55="",AB57=""),"",IFERROR(MAX(AB55,0)*AB57,""))</f>
        <v/>
      </c>
      <c r="AC56" s="20">
        <f>IF(OR(AC55="",AC57=""),"",IFERROR(MAX(AC55,0)*AC57,""))</f>
        <v/>
      </c>
    </row>
    <row r="57">
      <c r="A57" s="13" t="inlineStr">
        <is>
          <t>법인세율</t>
        </is>
      </c>
      <c r="B57" s="10" t="inlineStr">
        <is>
          <t>MW 기본 30%</t>
        </is>
      </c>
      <c r="C57" s="14">
        <f>IF(OR(C56="",C55=""),"",IFERROR(C56/C55,""))</f>
        <v/>
      </c>
      <c r="D57" s="15">
        <f>IF(OR(D56="",D55=""),"",IFERROR(D56/D55,""))</f>
        <v/>
      </c>
      <c r="E57" s="15">
        <f>IF(OR(E56="",E55=""),"",IFERROR(E56/E55,""))</f>
        <v/>
      </c>
      <c r="F57" s="15">
        <f>IF(OR(F56="",F55=""),"",IFERROR(F56/F55,""))</f>
        <v/>
      </c>
      <c r="G57" s="15">
        <f>IF(OR(G56="",G55=""),"",IFERROR(G56/G55,""))</f>
        <v/>
      </c>
      <c r="H57" s="15">
        <f>IF(OR(H56="",H55=""),"",IFERROR(H56/H55,""))</f>
        <v/>
      </c>
      <c r="I57" s="15">
        <f>IF(OR(I56="",I55=""),"",IFERROR(I56/I55,""))</f>
        <v/>
      </c>
      <c r="J57" s="15">
        <f>IF(OR(J56="",J55=""),"",IFERROR(J56/J55,""))</f>
        <v/>
      </c>
      <c r="K57" s="15">
        <f>IF(OR(K56="",K55=""),"",IFERROR(K56/K55,""))</f>
        <v/>
      </c>
      <c r="L57" s="15">
        <f>IF(OR(L56="",L55=""),"",IFERROR(L56/L55,""))</f>
        <v/>
      </c>
      <c r="M57" s="15">
        <f>IF(OR(M56="",M55=""),"",IFERROR(M56/M55,""))</f>
        <v/>
      </c>
      <c r="N57" s="15">
        <f>IF(OR(N56="",N55=""),"",IFERROR(N56/N55,""))</f>
        <v/>
      </c>
      <c r="O57" s="14">
        <f>IF(OR(O56="",O55=""),"",IFERROR(O56/O55,""))</f>
        <v/>
      </c>
      <c r="P57" s="15">
        <f>IF(OR(P56="",P55=""),"",IFERROR(P56/P55,""))</f>
        <v/>
      </c>
      <c r="Q57" s="15">
        <f>IF(OR(Q56="",Q55=""),"",IFERROR(Q56/Q55,""))</f>
        <v/>
      </c>
      <c r="R57" s="15">
        <f>IF(OR(R56="",R55=""),"",IFERROR(R56/R55,""))</f>
        <v/>
      </c>
      <c r="S57" s="15">
        <f>IF(OR(S56="",S55=""),"",IFERROR(S56/S55,""))</f>
        <v/>
      </c>
      <c r="T57" s="15">
        <f>IF(OR(T56="",T55=""),"",IFERROR(T56/T55,""))</f>
        <v/>
      </c>
      <c r="U57" s="15">
        <f>IF(OR(U56="",U55=""),"",IFERROR(U56/U55,""))</f>
        <v/>
      </c>
      <c r="V57" s="15">
        <f>IF(OR(V56="",V55=""),"",IFERROR(V56/V55,""))</f>
        <v/>
      </c>
      <c r="W57" s="15">
        <f>IF(OR(W56="",W55=""),"",IFERROR(W56/W55,""))</f>
        <v/>
      </c>
      <c r="X57" s="15">
        <f>IF(OR(X56="",X55=""),"",IFERROR(X56/X55,""))</f>
        <v/>
      </c>
      <c r="Y57" s="25" t="n">
        <v>0.3</v>
      </c>
      <c r="Z57" s="26" t="n">
        <v>0.3</v>
      </c>
      <c r="AA57" s="26" t="n">
        <v>0.3</v>
      </c>
      <c r="AB57" s="26" t="n">
        <v>0.3</v>
      </c>
      <c r="AC57" s="26" t="n">
        <v>0.3</v>
      </c>
    </row>
    <row r="58">
      <c r="A58" s="9" t="inlineStr">
        <is>
          <t>당기순이익(손실)</t>
        </is>
      </c>
      <c r="B58" s="10" t="n"/>
      <c r="C58" s="11" t="n">
        <v>1127</v>
      </c>
      <c r="D58" s="12" t="n">
        <v>142</v>
      </c>
      <c r="E58" s="12" t="n">
        <v>3358</v>
      </c>
      <c r="F58" s="12" t="n">
        <v>621</v>
      </c>
      <c r="G58" s="12" t="n">
        <v>384</v>
      </c>
      <c r="H58" s="12" t="n">
        <v>1908</v>
      </c>
      <c r="I58" s="12" t="n">
        <v>4334</v>
      </c>
      <c r="J58" s="12" t="n">
        <v>427</v>
      </c>
      <c r="K58" s="12" t="n">
        <v>1930</v>
      </c>
      <c r="L58" s="12" t="n">
        <v>2995</v>
      </c>
      <c r="M58" s="12" t="n">
        <v>2019</v>
      </c>
      <c r="N58" s="12" t="n">
        <v>526</v>
      </c>
      <c r="O58" s="11" t="n">
        <v>658</v>
      </c>
      <c r="P58" s="12" t="n">
        <v>3074</v>
      </c>
      <c r="Q58" s="12" t="n">
        <v>1414</v>
      </c>
      <c r="R58" s="12" t="n">
        <v>-25476</v>
      </c>
      <c r="S58" s="12" t="n">
        <v>-2065</v>
      </c>
      <c r="T58" s="12" t="n">
        <v>6185</v>
      </c>
      <c r="U58" s="12" t="n">
        <v>5791</v>
      </c>
      <c r="V58" s="12" t="n">
        <v>4657</v>
      </c>
      <c r="W58" s="12" t="n">
        <v>7247</v>
      </c>
      <c r="X58" s="12" t="n">
        <v>7371</v>
      </c>
      <c r="Y58" s="11">
        <f>IF(OR(Y55=""),"",IFERROR(Y55-Y56,""))</f>
        <v/>
      </c>
      <c r="Z58" s="12">
        <f>IF(OR(Z55=""),"",IFERROR(Z55-Z56,""))</f>
        <v/>
      </c>
      <c r="AA58" s="12">
        <f>IF(OR(AA55=""),"",IFERROR(AA55-AA56,""))</f>
        <v/>
      </c>
      <c r="AB58" s="12">
        <f>IF(OR(AB55=""),"",IFERROR(AB55-AB56,""))</f>
        <v/>
      </c>
      <c r="AC58" s="12">
        <f>IF(OR(AC55=""),"",IFERROR(AC55-AC56,""))</f>
        <v/>
      </c>
    </row>
    <row r="59">
      <c r="A59" s="9" t="inlineStr">
        <is>
          <t>지배주주 순이익</t>
        </is>
      </c>
      <c r="B59" s="10" t="n"/>
      <c r="C59" s="11" t="n">
        <v>1126</v>
      </c>
      <c r="D59" s="12" t="n">
        <v>143</v>
      </c>
      <c r="E59" s="12" t="n">
        <v>3357</v>
      </c>
      <c r="F59" s="12" t="n">
        <v>621</v>
      </c>
      <c r="G59" s="12" t="n">
        <v>384</v>
      </c>
      <c r="H59" s="12" t="n">
        <v>1908</v>
      </c>
      <c r="I59" s="12" t="n">
        <v>4334</v>
      </c>
      <c r="J59" s="12" t="n">
        <v>427</v>
      </c>
      <c r="K59" s="12" t="n">
        <v>1930</v>
      </c>
      <c r="L59" s="12" t="n">
        <v>2995</v>
      </c>
      <c r="M59" s="12" t="n">
        <v>2019</v>
      </c>
      <c r="N59" s="12" t="n">
        <v>526</v>
      </c>
      <c r="O59" s="11" t="n">
        <v>657</v>
      </c>
      <c r="P59" s="12" t="n">
        <v>3074</v>
      </c>
      <c r="Q59" s="12" t="n">
        <v>1427</v>
      </c>
      <c r="R59" s="12" t="n">
        <v>-25473</v>
      </c>
      <c r="S59" s="12" t="n">
        <v>-2068</v>
      </c>
      <c r="T59" s="12" t="n">
        <v>6158</v>
      </c>
      <c r="U59" s="12" t="n">
        <v>5716</v>
      </c>
      <c r="V59" s="12" t="n">
        <v>4641</v>
      </c>
      <c r="W59" s="12" t="n">
        <v>7247</v>
      </c>
      <c r="X59" s="12" t="n">
        <v>7371</v>
      </c>
      <c r="Y59" s="11">
        <f>IF(OR(Y58="",Y60=""),"",IFERROR(Y58*Y60,""))</f>
        <v/>
      </c>
      <c r="Z59" s="12">
        <f>IF(OR(Z58="",Z60=""),"",IFERROR(Z58*Z60,""))</f>
        <v/>
      </c>
      <c r="AA59" s="12">
        <f>IF(OR(AA58="",AA60=""),"",IFERROR(AA58*AA60,""))</f>
        <v/>
      </c>
      <c r="AB59" s="12">
        <f>IF(OR(AB58="",AB60=""),"",IFERROR(AB58*AB60,""))</f>
        <v/>
      </c>
      <c r="AC59" s="12">
        <f>IF(OR(AC58="",AC60=""),"",IFERROR(AC58*AC60,""))</f>
        <v/>
      </c>
    </row>
    <row r="60">
      <c r="A60" s="13" t="inlineStr">
        <is>
          <t>지배주주 순이익률</t>
        </is>
      </c>
      <c r="B60" s="10" t="inlineStr">
        <is>
          <t>MW 기본 100%</t>
        </is>
      </c>
      <c r="C60" s="14">
        <f>IF(OR(C59="",C58=""),"",IFERROR(C59/C58,""))</f>
        <v/>
      </c>
      <c r="D60" s="15">
        <f>IF(OR(D59="",D58=""),"",IFERROR(D59/D58,""))</f>
        <v/>
      </c>
      <c r="E60" s="15">
        <f>IF(OR(E59="",E58=""),"",IFERROR(E59/E58,""))</f>
        <v/>
      </c>
      <c r="F60" s="15">
        <f>IF(OR(F59="",F58=""),"",IFERROR(F59/F58,""))</f>
        <v/>
      </c>
      <c r="G60" s="15">
        <f>IF(OR(G59="",G58=""),"",IFERROR(G59/G58,""))</f>
        <v/>
      </c>
      <c r="H60" s="15">
        <f>IF(OR(H59="",H58=""),"",IFERROR(H59/H58,""))</f>
        <v/>
      </c>
      <c r="I60" s="15">
        <f>IF(OR(I59="",I58=""),"",IFERROR(I59/I58,""))</f>
        <v/>
      </c>
      <c r="J60" s="15">
        <f>IF(OR(J59="",J58=""),"",IFERROR(J59/J58,""))</f>
        <v/>
      </c>
      <c r="K60" s="15">
        <f>IF(OR(K59="",K58=""),"",IFERROR(K59/K58,""))</f>
        <v/>
      </c>
      <c r="L60" s="15">
        <f>IF(OR(L59="",L58=""),"",IFERROR(L59/L58,""))</f>
        <v/>
      </c>
      <c r="M60" s="15">
        <f>IF(OR(M59="",M58=""),"",IFERROR(M59/M58,""))</f>
        <v/>
      </c>
      <c r="N60" s="15">
        <f>IF(OR(N59="",N58=""),"",IFERROR(N59/N58,""))</f>
        <v/>
      </c>
      <c r="O60" s="14">
        <f>IF(OR(O59="",O58=""),"",IFERROR(O59/O58,""))</f>
        <v/>
      </c>
      <c r="P60" s="15">
        <f>IF(OR(P59="",P58=""),"",IFERROR(P59/P58,""))</f>
        <v/>
      </c>
      <c r="Q60" s="15">
        <f>IF(OR(Q59="",Q58=""),"",IFERROR(Q59/Q58,""))</f>
        <v/>
      </c>
      <c r="R60" s="15">
        <f>IF(OR(R59="",R58=""),"",IFERROR(R59/R58,""))</f>
        <v/>
      </c>
      <c r="S60" s="15">
        <f>IF(OR(S59="",S58=""),"",IFERROR(S59/S58,""))</f>
        <v/>
      </c>
      <c r="T60" s="15">
        <f>IF(OR(T59="",T58=""),"",IFERROR(T59/T58,""))</f>
        <v/>
      </c>
      <c r="U60" s="15">
        <f>IF(OR(U59="",U58=""),"",IFERROR(U59/U58,""))</f>
        <v/>
      </c>
      <c r="V60" s="15">
        <f>IF(OR(V59="",V58=""),"",IFERROR(V59/V58,""))</f>
        <v/>
      </c>
      <c r="W60" s="15">
        <f>IF(OR(W59="",W58=""),"",IFERROR(W59/W58,""))</f>
        <v/>
      </c>
      <c r="X60" s="15">
        <f>IF(OR(X59="",X58=""),"",IFERROR(X59/X58,""))</f>
        <v/>
      </c>
      <c r="Y60" s="25" t="n">
        <v>1</v>
      </c>
      <c r="Z60" s="26" t="n">
        <v>1</v>
      </c>
      <c r="AA60" s="26" t="n">
        <v>1</v>
      </c>
      <c r="AB60" s="26" t="n">
        <v>1</v>
      </c>
      <c r="AC60" s="26" t="n">
        <v>1</v>
      </c>
    </row>
    <row r="61">
      <c r="A61" s="16" t="inlineStr">
        <is>
          <t>목표주가 산출</t>
        </is>
      </c>
      <c r="B61" s="16" t="n"/>
      <c r="C61" s="17" t="n"/>
      <c r="D61" s="16" t="n"/>
      <c r="E61" s="16" t="n"/>
      <c r="F61" s="16" t="n"/>
      <c r="G61" s="16" t="n"/>
      <c r="H61" s="16" t="n"/>
      <c r="I61" s="16" t="n"/>
      <c r="J61" s="16" t="n"/>
      <c r="K61" s="16" t="n"/>
      <c r="L61" s="16" t="n"/>
      <c r="M61" s="16" t="n"/>
      <c r="N61" s="16" t="n"/>
      <c r="O61" s="17" t="n"/>
      <c r="P61" s="16" t="n"/>
      <c r="Q61" s="16" t="n"/>
      <c r="R61" s="16" t="n"/>
      <c r="S61" s="16" t="n"/>
      <c r="T61" s="16" t="n"/>
      <c r="U61" s="16" t="n"/>
      <c r="V61" s="16" t="n"/>
      <c r="W61" s="16" t="n"/>
      <c r="X61" s="16" t="n"/>
      <c r="Y61" s="17" t="n"/>
      <c r="Z61" s="16" t="n"/>
      <c r="AA61" s="16" t="n"/>
      <c r="AB61" s="16" t="n"/>
      <c r="AC61" s="16" t="n"/>
    </row>
    <row r="62">
      <c r="A62" s="18" t="inlineStr">
        <is>
          <t>현재 주가 (2026.10.26)</t>
        </is>
      </c>
      <c r="B62" s="27" t="n">
        <v>1951</v>
      </c>
      <c r="C62" s="28" t="n"/>
      <c r="D62" s="29" t="n"/>
      <c r="E62" s="29" t="n"/>
      <c r="F62" s="29" t="n"/>
      <c r="G62" s="29" t="n"/>
      <c r="H62" s="29" t="n"/>
      <c r="I62" s="29" t="n"/>
      <c r="J62" s="29" t="n"/>
      <c r="K62" s="29" t="n"/>
      <c r="L62" s="29" t="n"/>
      <c r="M62" s="29" t="n"/>
      <c r="N62" s="29" t="n"/>
      <c r="O62" s="28" t="n"/>
      <c r="P62" s="29" t="n"/>
      <c r="Q62" s="29" t="n"/>
      <c r="R62" s="29" t="n"/>
      <c r="S62" s="29" t="n"/>
      <c r="T62" s="29" t="n"/>
      <c r="U62" s="29" t="n"/>
      <c r="V62" s="29" t="n"/>
      <c r="W62" s="29" t="n"/>
      <c r="X62" s="29" t="n"/>
      <c r="Y62" s="28" t="n"/>
      <c r="Z62" s="29" t="n"/>
      <c r="AA62" s="29" t="n"/>
      <c r="AB62" s="29" t="n"/>
      <c r="AC62" s="29" t="n"/>
    </row>
    <row r="63">
      <c r="A63" s="18" t="inlineStr">
        <is>
          <t>발행주식수 (보통주)</t>
        </is>
      </c>
      <c r="B63" s="27" t="n">
        <v>53478840</v>
      </c>
      <c r="C63" s="28" t="n"/>
      <c r="D63" s="29" t="n"/>
      <c r="E63" s="29" t="n"/>
      <c r="F63" s="29" t="n"/>
      <c r="G63" s="29" t="n"/>
      <c r="H63" s="29" t="n"/>
      <c r="I63" s="29" t="n"/>
      <c r="J63" s="29" t="n"/>
      <c r="K63" s="29" t="n"/>
      <c r="L63" s="29" t="n"/>
      <c r="M63" s="29" t="n"/>
      <c r="N63" s="29" t="n"/>
      <c r="O63" s="28" t="n"/>
      <c r="P63" s="29" t="n"/>
      <c r="Q63" s="29" t="n"/>
      <c r="R63" s="29" t="n"/>
      <c r="S63" s="29" t="n"/>
      <c r="T63" s="29" t="n"/>
      <c r="U63" s="29" t="n"/>
      <c r="V63" s="29" t="n"/>
      <c r="W63" s="29" t="n"/>
      <c r="X63" s="29" t="n"/>
      <c r="Y63" s="28" t="n"/>
      <c r="Z63" s="29" t="n"/>
      <c r="AA63" s="29" t="n"/>
      <c r="AB63" s="29" t="n"/>
      <c r="AC63" s="29" t="n"/>
    </row>
    <row r="64">
      <c r="A64" s="18" t="inlineStr">
        <is>
          <t>시가총액 (백만엔)</t>
        </is>
      </c>
      <c r="B64" s="12">
        <f>IF(OR(B62="",B63=""),"",B62*B63/1000000.0)</f>
        <v/>
      </c>
      <c r="C64" s="19" t="n"/>
      <c r="D64" s="20" t="n"/>
      <c r="E64" s="20" t="n"/>
      <c r="F64" s="20" t="n"/>
      <c r="G64" s="20" t="n"/>
      <c r="H64" s="20" t="n"/>
      <c r="I64" s="20" t="n"/>
      <c r="J64" s="20" t="n"/>
      <c r="K64" s="20" t="n"/>
      <c r="L64" s="20" t="n"/>
      <c r="M64" s="20" t="n"/>
      <c r="N64" s="20" t="n"/>
      <c r="O64" s="19" t="n"/>
      <c r="P64" s="20" t="n"/>
      <c r="Q64" s="20" t="n"/>
      <c r="R64" s="20" t="n"/>
      <c r="S64" s="20" t="n"/>
      <c r="T64" s="20" t="n"/>
      <c r="U64" s="20" t="n"/>
      <c r="V64" s="20" t="n"/>
      <c r="W64" s="20" t="n"/>
      <c r="X64" s="20" t="n"/>
      <c r="Y64" s="19" t="n"/>
      <c r="Z64" s="20" t="n"/>
      <c r="AA64" s="20" t="n"/>
      <c r="AB64" s="20" t="n"/>
      <c r="AC64" s="20" t="n"/>
    </row>
    <row r="65">
      <c r="A65" s="13" t="inlineStr">
        <is>
          <t>OPM</t>
        </is>
      </c>
      <c r="B65" s="10" t="n"/>
      <c r="C65" s="14" t="n"/>
      <c r="D65" s="15" t="n"/>
      <c r="E65" s="15" t="n"/>
      <c r="F65" s="15" t="n"/>
      <c r="G65" s="15" t="n"/>
      <c r="H65" s="15" t="n"/>
      <c r="I65" s="15" t="n"/>
      <c r="J65" s="15" t="n"/>
      <c r="K65" s="15" t="n"/>
      <c r="L65" s="15" t="n"/>
      <c r="M65" s="15" t="n"/>
      <c r="N65" s="15" t="n"/>
      <c r="O65" s="14">
        <f>IF(O32="","",O32)</f>
        <v/>
      </c>
      <c r="P65" s="15">
        <f>IF(P32="","",P32)</f>
        <v/>
      </c>
      <c r="Q65" s="15">
        <f>IF(Q32="","",Q32)</f>
        <v/>
      </c>
      <c r="R65" s="15">
        <f>IF(R32="","",R32)</f>
        <v/>
      </c>
      <c r="S65" s="15">
        <f>IF(S32="","",S32)</f>
        <v/>
      </c>
      <c r="T65" s="15">
        <f>IF(T32="","",T32)</f>
        <v/>
      </c>
      <c r="U65" s="15">
        <f>IF(U32="","",U32)</f>
        <v/>
      </c>
      <c r="V65" s="15">
        <f>IF(V32="","",V32)</f>
        <v/>
      </c>
      <c r="W65" s="15">
        <f>IF(W32="","",W32)</f>
        <v/>
      </c>
      <c r="X65" s="15">
        <f>IF(X32="","",X32)</f>
        <v/>
      </c>
      <c r="Y65" s="14">
        <f>IF(Y32="","",Y32)</f>
        <v/>
      </c>
      <c r="Z65" s="15">
        <f>IF(Z32="","",Z32)</f>
        <v/>
      </c>
      <c r="AA65" s="15">
        <f>IF(AA32="","",AA32)</f>
        <v/>
      </c>
      <c r="AB65" s="15">
        <f>IF(AB32="","",AB32)</f>
        <v/>
      </c>
      <c r="AC65" s="15">
        <f>IF(AC32="","",AC32)</f>
        <v/>
      </c>
    </row>
    <row r="66">
      <c r="A66" s="13" t="inlineStr">
        <is>
          <t>지배주주 순이익 증가율</t>
        </is>
      </c>
      <c r="B66" s="10" t="n"/>
      <c r="C66" s="14" t="n"/>
      <c r="D66" s="15" t="n"/>
      <c r="E66" s="15" t="n"/>
      <c r="F66" s="15" t="n"/>
      <c r="G66" s="15" t="n"/>
      <c r="H66" s="15" t="n"/>
      <c r="I66" s="15" t="n"/>
      <c r="J66" s="15" t="n"/>
      <c r="K66" s="15" t="n"/>
      <c r="L66" s="15" t="n"/>
      <c r="M66" s="15" t="n"/>
      <c r="N66" s="15" t="n"/>
      <c r="O66" s="14" t="n"/>
      <c r="P66" s="15">
        <f>IF(OR(P59="",O59=""),"",IFERROR(P59/O59-1,""))</f>
        <v/>
      </c>
      <c r="Q66" s="15">
        <f>IF(OR(Q59="",P59=""),"",IFERROR(Q59/P59-1,""))</f>
        <v/>
      </c>
      <c r="R66" s="15">
        <f>IF(OR(R59="",Q59=""),"",IFERROR(R59/Q59-1,""))</f>
        <v/>
      </c>
      <c r="S66" s="15">
        <f>IF(OR(S59="",R59=""),"",IFERROR(S59/R59-1,""))</f>
        <v/>
      </c>
      <c r="T66" s="15">
        <f>IF(OR(T59="",S59=""),"",IFERROR(T59/S59-1,""))</f>
        <v/>
      </c>
      <c r="U66" s="15">
        <f>IF(OR(U59="",T59=""),"",IFERROR(U59/T59-1,""))</f>
        <v/>
      </c>
      <c r="V66" s="15">
        <f>IF(OR(V59="",U59=""),"",IFERROR(V59/U59-1,""))</f>
        <v/>
      </c>
      <c r="W66" s="15">
        <f>IF(OR(W59="",V59=""),"",IFERROR(W59/V59-1,""))</f>
        <v/>
      </c>
      <c r="X66" s="15">
        <f>IF(OR(X59="",W59=""),"",IFERROR(X59/W59-1,""))</f>
        <v/>
      </c>
      <c r="Y66" s="14">
        <f>IF(OR(Y59="",X59=""),"",IFERROR(Y59/X59-1,""))</f>
        <v/>
      </c>
      <c r="Z66" s="15">
        <f>IF(OR(Z59="",Y59=""),"",IFERROR(Z59/Y59-1,""))</f>
        <v/>
      </c>
      <c r="AA66" s="15">
        <f>IF(OR(AA59="",Z59=""),"",IFERROR(AA59/Z59-1,""))</f>
        <v/>
      </c>
      <c r="AB66" s="15">
        <f>IF(OR(AB59="",AA59=""),"",IFERROR(AB59/AA59-1,""))</f>
        <v/>
      </c>
      <c r="AC66" s="15">
        <f>IF(OR(AC59="",AB59=""),"",IFERROR(AC59/AB59-1,""))</f>
        <v/>
      </c>
    </row>
    <row r="67">
      <c r="A67" s="18" t="inlineStr">
        <is>
          <t>P/E (현재 주가)</t>
        </is>
      </c>
      <c r="B67" s="10" t="inlineStr">
        <is>
          <t>시총 ÷ 지배순이익</t>
        </is>
      </c>
      <c r="C67" s="30" t="n"/>
      <c r="D67" s="31" t="n"/>
      <c r="E67" s="31" t="n"/>
      <c r="F67" s="31" t="n"/>
      <c r="G67" s="31" t="n"/>
      <c r="H67" s="31" t="n"/>
      <c r="I67" s="31" t="n"/>
      <c r="J67" s="31" t="n"/>
      <c r="K67" s="31" t="n"/>
      <c r="L67" s="31" t="n"/>
      <c r="M67" s="31" t="n"/>
      <c r="N67" s="31" t="n"/>
      <c r="O67" s="30" t="n"/>
      <c r="P67" s="31" t="n"/>
      <c r="Q67" s="31" t="n"/>
      <c r="R67" s="31" t="n"/>
      <c r="S67" s="31" t="n"/>
      <c r="T67" s="31" t="n"/>
      <c r="U67" s="31" t="n"/>
      <c r="V67" s="31" t="n"/>
      <c r="W67" s="31" t="n"/>
      <c r="X67" s="31">
        <f>IF(OR($B$64="",X59=""),"",IFERROR($B$64/X59,""))</f>
        <v/>
      </c>
      <c r="Y67" s="30">
        <f>IF(OR($B$64="",Y59=""),"",IFERROR($B$64/Y59,""))</f>
        <v/>
      </c>
      <c r="Z67" s="31">
        <f>IF(OR($B$64="",Z59=""),"",IFERROR($B$64/Z59,""))</f>
        <v/>
      </c>
      <c r="AA67" s="31">
        <f>IF(OR($B$64="",AA59=""),"",IFERROR($B$64/AA59,""))</f>
        <v/>
      </c>
      <c r="AB67" s="31">
        <f>IF(OR($B$64="",AB59=""),"",IFERROR($B$64/AB59,""))</f>
        <v/>
      </c>
      <c r="AC67" s="31">
        <f>IF(OR($B$64="",AC59=""),"",IFERROR($B$64/AC59,""))</f>
        <v/>
      </c>
    </row>
    <row r="68">
      <c r="A68" s="18" t="inlineStr">
        <is>
          <t>Target P/E</t>
        </is>
      </c>
      <c r="B68" s="10" t="inlineStr">
        <is>
          <t>직접 입력</t>
        </is>
      </c>
      <c r="C68" s="30" t="n"/>
      <c r="D68" s="31" t="n"/>
      <c r="E68" s="31" t="n"/>
      <c r="F68" s="31" t="n"/>
      <c r="G68" s="31" t="n"/>
      <c r="H68" s="31" t="n"/>
      <c r="I68" s="31" t="n"/>
      <c r="J68" s="31" t="n"/>
      <c r="K68" s="31" t="n"/>
      <c r="L68" s="31" t="n"/>
      <c r="M68" s="31" t="n"/>
      <c r="N68" s="31" t="n"/>
      <c r="O68" s="30" t="n"/>
      <c r="P68" s="31" t="n"/>
      <c r="Q68" s="31" t="n"/>
      <c r="R68" s="31" t="n"/>
      <c r="S68" s="31" t="n"/>
      <c r="T68" s="31" t="n"/>
      <c r="U68" s="31" t="n"/>
      <c r="V68" s="31" t="n"/>
      <c r="W68" s="31" t="n"/>
      <c r="X68" s="31" t="n"/>
      <c r="Y68" s="32" t="n"/>
      <c r="Z68" s="33" t="n"/>
      <c r="AA68" s="33" t="n"/>
      <c r="AB68" s="33" t="n"/>
      <c r="AC68" s="33" t="n"/>
    </row>
    <row r="69">
      <c r="A69" s="18" t="inlineStr">
        <is>
          <t>EPS</t>
        </is>
      </c>
      <c r="B69" s="10" t="inlineStr">
        <is>
          <t>지배순이익 ÷ 주식수</t>
        </is>
      </c>
      <c r="C69" s="28" t="n"/>
      <c r="D69" s="29" t="n"/>
      <c r="E69" s="29" t="n"/>
      <c r="F69" s="29" t="n"/>
      <c r="G69" s="29" t="n"/>
      <c r="H69" s="29" t="n"/>
      <c r="I69" s="29" t="n"/>
      <c r="J69" s="29" t="n"/>
      <c r="K69" s="29" t="n"/>
      <c r="L69" s="29" t="n"/>
      <c r="M69" s="29" t="n"/>
      <c r="N69" s="29" t="n"/>
      <c r="O69" s="28">
        <f>IF(OR(O59="",$B$63=""),"",IFERROR(O59*1000000.0/$B$63,""))</f>
        <v/>
      </c>
      <c r="P69" s="29">
        <f>IF(OR(P59="",$B$63=""),"",IFERROR(P59*1000000.0/$B$63,""))</f>
        <v/>
      </c>
      <c r="Q69" s="29">
        <f>IF(OR(Q59="",$B$63=""),"",IFERROR(Q59*1000000.0/$B$63,""))</f>
        <v/>
      </c>
      <c r="R69" s="29">
        <f>IF(OR(R59="",$B$63=""),"",IFERROR(R59*1000000.0/$B$63,""))</f>
        <v/>
      </c>
      <c r="S69" s="29">
        <f>IF(OR(S59="",$B$63=""),"",IFERROR(S59*1000000.0/$B$63,""))</f>
        <v/>
      </c>
      <c r="T69" s="29">
        <f>IF(OR(T59="",$B$63=""),"",IFERROR(T59*1000000.0/$B$63,""))</f>
        <v/>
      </c>
      <c r="U69" s="29">
        <f>IF(OR(U59="",$B$63=""),"",IFERROR(U59*1000000.0/$B$63,""))</f>
        <v/>
      </c>
      <c r="V69" s="29">
        <f>IF(OR(V59="",$B$63=""),"",IFERROR(V59*1000000.0/$B$63,""))</f>
        <v/>
      </c>
      <c r="W69" s="29">
        <f>IF(OR(W59="",$B$63=""),"",IFERROR(W59*1000000.0/$B$63,""))</f>
        <v/>
      </c>
      <c r="X69" s="29">
        <f>IF(OR(X59="",$B$63=""),"",IFERROR(X59*1000000.0/$B$63,""))</f>
        <v/>
      </c>
      <c r="Y69" s="28">
        <f>IF(OR(Y59="",$B$63=""),"",IFERROR(Y59*1000000.0/$B$63,""))</f>
        <v/>
      </c>
      <c r="Z69" s="29">
        <f>IF(OR(Z59="",$B$63=""),"",IFERROR(Z59*1000000.0/$B$63,""))</f>
        <v/>
      </c>
      <c r="AA69" s="29">
        <f>IF(OR(AA59="",$B$63=""),"",IFERROR(AA59*1000000.0/$B$63,""))</f>
        <v/>
      </c>
      <c r="AB69" s="29">
        <f>IF(OR(AB59="",$B$63=""),"",IFERROR(AB59*1000000.0/$B$63,""))</f>
        <v/>
      </c>
      <c r="AC69" s="29">
        <f>IF(OR(AC59="",$B$63=""),"",IFERROR(AC59*1000000.0/$B$63,""))</f>
        <v/>
      </c>
    </row>
    <row r="70">
      <c r="A70" s="9" t="inlineStr">
        <is>
          <t>목표주가</t>
        </is>
      </c>
      <c r="B70" s="10" t="n"/>
      <c r="C70" s="34" t="n"/>
      <c r="D70" s="27" t="n"/>
      <c r="E70" s="27" t="n"/>
      <c r="F70" s="27" t="n"/>
      <c r="G70" s="27" t="n"/>
      <c r="H70" s="27" t="n"/>
      <c r="I70" s="27" t="n"/>
      <c r="J70" s="27" t="n"/>
      <c r="K70" s="27" t="n"/>
      <c r="L70" s="27" t="n"/>
      <c r="M70" s="27" t="n"/>
      <c r="N70" s="27" t="n"/>
      <c r="O70" s="34" t="n"/>
      <c r="P70" s="27" t="n"/>
      <c r="Q70" s="27" t="n"/>
      <c r="R70" s="27" t="n"/>
      <c r="S70" s="27" t="n"/>
      <c r="T70" s="27" t="n"/>
      <c r="U70" s="27" t="n"/>
      <c r="V70" s="27" t="n"/>
      <c r="W70" s="27" t="n"/>
      <c r="X70" s="27" t="n"/>
      <c r="Y70" s="34">
        <f>IF(OR(Y69="",Y68=""),"",IFERROR(Y69*Y68,""))</f>
        <v/>
      </c>
      <c r="Z70" s="27">
        <f>IF(OR(Z69="",Z68=""),"",IFERROR(Z69*Z68,""))</f>
        <v/>
      </c>
      <c r="AA70" s="27">
        <f>IF(OR(AA69="",AA68=""),"",IFERROR(AA69*AA68,""))</f>
        <v/>
      </c>
      <c r="AB70" s="27">
        <f>IF(OR(AB69="",AB68=""),"",IFERROR(AB69*AB68,""))</f>
        <v/>
      </c>
      <c r="AC70" s="27">
        <f>IF(OR(AC69="",AC68=""),"",IFERROR(AC69*AC68,""))</f>
        <v/>
      </c>
    </row>
    <row r="71">
      <c r="A71" s="18" t="inlineStr">
        <is>
          <t>상승여력</t>
        </is>
      </c>
      <c r="B71" s="10" t="n"/>
      <c r="C71" s="35" t="n"/>
      <c r="D71" s="36" t="n"/>
      <c r="E71" s="36" t="n"/>
      <c r="F71" s="36" t="n"/>
      <c r="G71" s="36" t="n"/>
      <c r="H71" s="36" t="n"/>
      <c r="I71" s="36" t="n"/>
      <c r="J71" s="36" t="n"/>
      <c r="K71" s="36" t="n"/>
      <c r="L71" s="36" t="n"/>
      <c r="M71" s="36" t="n"/>
      <c r="N71" s="36" t="n"/>
      <c r="O71" s="35" t="n"/>
      <c r="P71" s="36" t="n"/>
      <c r="Q71" s="36" t="n"/>
      <c r="R71" s="36" t="n"/>
      <c r="S71" s="36" t="n"/>
      <c r="T71" s="36" t="n"/>
      <c r="U71" s="36" t="n"/>
      <c r="V71" s="36" t="n"/>
      <c r="W71" s="36" t="n"/>
      <c r="X71" s="36" t="n"/>
      <c r="Y71" s="37">
        <f>IF(OR(Y70="",$B$62=""),"",IFERROR(Y70/$B$62-1,""))</f>
        <v/>
      </c>
      <c r="Z71" s="38">
        <f>IF(OR(Z70="",$B$62=""),"",IFERROR(Z70/$B$62-1,""))</f>
        <v/>
      </c>
      <c r="AA71" s="38">
        <f>IF(OR(AA70="",$B$62=""),"",IFERROR(AA70/$B$62-1,""))</f>
        <v/>
      </c>
      <c r="AB71" s="38">
        <f>IF(OR(AB70="",$B$62=""),"",IFERROR(AB70/$B$62-1,""))</f>
        <v/>
      </c>
      <c r="AC71" s="38">
        <f>IF(OR(AC70="",$B$62=""),"",IFERROR(AC70/$B$62-1,""))</f>
        <v/>
      </c>
    </row>
    <row r="72">
      <c r="A72" s="16" t="inlineStr">
        <is>
          <t>자산가치 산출</t>
        </is>
      </c>
      <c r="B72" s="16" t="inlineStr">
        <is>
          <t>최신 분기 BS</t>
        </is>
      </c>
      <c r="C72" s="17" t="n"/>
      <c r="D72" s="16" t="n"/>
      <c r="E72" s="16" t="n"/>
      <c r="F72" s="16" t="n"/>
      <c r="G72" s="16" t="n"/>
      <c r="H72" s="16" t="n"/>
      <c r="I72" s="16" t="n"/>
      <c r="J72" s="16" t="n"/>
      <c r="K72" s="16" t="n"/>
      <c r="L72" s="16" t="n"/>
      <c r="M72" s="16" t="n"/>
      <c r="N72" s="16" t="n"/>
      <c r="O72" s="17" t="n"/>
      <c r="P72" s="16" t="n"/>
      <c r="Q72" s="16" t="n"/>
      <c r="R72" s="16" t="n"/>
      <c r="S72" s="16" t="n"/>
      <c r="T72" s="16" t="n"/>
      <c r="U72" s="16" t="n"/>
      <c r="V72" s="16" t="n"/>
      <c r="W72" s="16" t="n"/>
      <c r="X72" s="16" t="n"/>
      <c r="Y72" s="17" t="n"/>
      <c r="Z72" s="16" t="n"/>
      <c r="AA72" s="16" t="n"/>
      <c r="AB72" s="16" t="n"/>
      <c r="AC72" s="16" t="n"/>
    </row>
    <row r="73">
      <c r="A73" s="18" t="inlineStr">
        <is>
          <t>현금및현금성자산</t>
        </is>
      </c>
      <c r="B73" s="10" t="n"/>
      <c r="C73" s="19" t="n"/>
      <c r="D73" s="20" t="n"/>
      <c r="E73" s="20" t="n"/>
      <c r="F73" s="20" t="n"/>
      <c r="G73" s="20" t="n"/>
      <c r="H73" s="20" t="n"/>
      <c r="I73" s="20" t="n"/>
      <c r="J73" s="20" t="n"/>
      <c r="K73" s="20" t="n"/>
      <c r="L73" s="20" t="n"/>
      <c r="M73" s="20" t="n"/>
      <c r="N73" s="20" t="n"/>
      <c r="O73" s="19" t="n"/>
      <c r="P73" s="20" t="n"/>
      <c r="Q73" s="20" t="n"/>
      <c r="R73" s="20" t="n"/>
      <c r="S73" s="20" t="n"/>
      <c r="T73" s="20" t="n"/>
      <c r="U73" s="20" t="n"/>
      <c r="V73" s="20" t="n"/>
      <c r="W73" s="20" t="n"/>
      <c r="X73" s="20">
        <f>'재무상태표'!G6</f>
        <v/>
      </c>
      <c r="Y73" s="19">
        <f>'재무상태표'!G6</f>
        <v/>
      </c>
      <c r="Z73" s="20">
        <f>'재무상태표'!G6</f>
        <v/>
      </c>
      <c r="AA73" s="20">
        <f>'재무상태표'!G6</f>
        <v/>
      </c>
      <c r="AB73" s="20">
        <f>'재무상태표'!G6</f>
        <v/>
      </c>
      <c r="AC73" s="20">
        <f>'재무상태표'!G6</f>
        <v/>
      </c>
    </row>
    <row r="74">
      <c r="A74" s="18" t="inlineStr">
        <is>
          <t>단기금융상품</t>
        </is>
      </c>
      <c r="B74" s="10" t="n"/>
      <c r="C74" s="19" t="n"/>
      <c r="D74" s="20" t="n"/>
      <c r="E74" s="20" t="n"/>
      <c r="F74" s="20" t="n"/>
      <c r="G74" s="20" t="n"/>
      <c r="H74" s="20" t="n"/>
      <c r="I74" s="20" t="n"/>
      <c r="J74" s="20" t="n"/>
      <c r="K74" s="20" t="n"/>
      <c r="L74" s="20" t="n"/>
      <c r="M74" s="20" t="n"/>
      <c r="N74" s="20" t="n"/>
      <c r="O74" s="19" t="n"/>
      <c r="P74" s="20" t="n"/>
      <c r="Q74" s="20" t="n"/>
      <c r="R74" s="20" t="n"/>
      <c r="S74" s="20" t="n"/>
      <c r="T74" s="20" t="n"/>
      <c r="U74" s="20" t="n"/>
      <c r="V74" s="20" t="n"/>
      <c r="W74" s="20" t="n"/>
      <c r="X74" s="20">
        <f>'재무상태표'!G7</f>
        <v/>
      </c>
      <c r="Y74" s="19">
        <f>'재무상태표'!G7</f>
        <v/>
      </c>
      <c r="Z74" s="20">
        <f>'재무상태표'!G7</f>
        <v/>
      </c>
      <c r="AA74" s="20">
        <f>'재무상태표'!G7</f>
        <v/>
      </c>
      <c r="AB74" s="20">
        <f>'재무상태표'!G7</f>
        <v/>
      </c>
      <c r="AC74" s="20">
        <f>'재무상태표'!G7</f>
        <v/>
      </c>
    </row>
    <row r="75">
      <c r="A75" s="18" t="inlineStr">
        <is>
          <t>투자부동산</t>
        </is>
      </c>
      <c r="B75" s="10" t="n"/>
      <c r="C75" s="19" t="n"/>
      <c r="D75" s="20" t="n"/>
      <c r="E75" s="20" t="n"/>
      <c r="F75" s="20" t="n"/>
      <c r="G75" s="20" t="n"/>
      <c r="H75" s="20" t="n"/>
      <c r="I75" s="20" t="n"/>
      <c r="J75" s="20" t="n"/>
      <c r="K75" s="20" t="n"/>
      <c r="L75" s="20" t="n"/>
      <c r="M75" s="20" t="n"/>
      <c r="N75" s="20" t="n"/>
      <c r="O75" s="19" t="n"/>
      <c r="P75" s="20" t="n"/>
      <c r="Q75" s="20" t="n"/>
      <c r="R75" s="20" t="n"/>
      <c r="S75" s="20" t="n"/>
      <c r="T75" s="20" t="n"/>
      <c r="U75" s="20" t="n"/>
      <c r="V75" s="20" t="n"/>
      <c r="W75" s="20" t="n"/>
      <c r="X75" s="20">
        <f>'재무상태표'!G14</f>
        <v/>
      </c>
      <c r="Y75" s="19">
        <f>'재무상태표'!G14</f>
        <v/>
      </c>
      <c r="Z75" s="20">
        <f>'재무상태표'!G14</f>
        <v/>
      </c>
      <c r="AA75" s="20">
        <f>'재무상태표'!G14</f>
        <v/>
      </c>
      <c r="AB75" s="20">
        <f>'재무상태표'!G14</f>
        <v/>
      </c>
      <c r="AC75" s="20">
        <f>'재무상태표'!G14</f>
        <v/>
      </c>
    </row>
    <row r="76">
      <c r="A76" s="18" t="inlineStr">
        <is>
          <t>지배자본</t>
        </is>
      </c>
      <c r="B76" s="10" t="n"/>
      <c r="C76" s="19" t="n"/>
      <c r="D76" s="20" t="n"/>
      <c r="E76" s="20" t="n"/>
      <c r="F76" s="20" t="n"/>
      <c r="G76" s="20" t="n"/>
      <c r="H76" s="20" t="n"/>
      <c r="I76" s="20" t="n"/>
      <c r="J76" s="20" t="n"/>
      <c r="K76" s="20" t="n"/>
      <c r="L76" s="20" t="n"/>
      <c r="M76" s="20" t="n"/>
      <c r="N76" s="20" t="n"/>
      <c r="O76" s="19" t="n"/>
      <c r="P76" s="20" t="n"/>
      <c r="Q76" s="20" t="n"/>
      <c r="R76" s="20" t="n"/>
      <c r="S76" s="20" t="n"/>
      <c r="T76" s="20" t="n"/>
      <c r="U76" s="20" t="n"/>
      <c r="V76" s="20" t="n"/>
      <c r="W76" s="20" t="n"/>
      <c r="X76" s="20">
        <f>'재무상태표'!G31</f>
        <v/>
      </c>
      <c r="Y76" s="19">
        <f>'재무상태표'!G31</f>
        <v/>
      </c>
      <c r="Z76" s="20">
        <f>'재무상태표'!G31</f>
        <v/>
      </c>
      <c r="AA76" s="20">
        <f>'재무상태표'!G31</f>
        <v/>
      </c>
      <c r="AB76" s="20">
        <f>'재무상태표'!G31</f>
        <v/>
      </c>
      <c r="AC76" s="20">
        <f>'재무상태표'!G31</f>
        <v/>
      </c>
    </row>
    <row r="77">
      <c r="A77" s="18" t="inlineStr">
        <is>
          <t>부채</t>
        </is>
      </c>
      <c r="B77" s="10" t="n"/>
      <c r="C77" s="19" t="n"/>
      <c r="D77" s="20" t="n"/>
      <c r="E77" s="20" t="n"/>
      <c r="F77" s="20" t="n"/>
      <c r="G77" s="20" t="n"/>
      <c r="H77" s="20" t="n"/>
      <c r="I77" s="20" t="n"/>
      <c r="J77" s="20" t="n"/>
      <c r="K77" s="20" t="n"/>
      <c r="L77" s="20" t="n"/>
      <c r="M77" s="20" t="n"/>
      <c r="N77" s="20" t="n"/>
      <c r="O77" s="19" t="n"/>
      <c r="P77" s="20" t="n"/>
      <c r="Q77" s="20" t="n"/>
      <c r="R77" s="20" t="n"/>
      <c r="S77" s="20" t="n"/>
      <c r="T77" s="20" t="n"/>
      <c r="U77" s="20" t="n"/>
      <c r="V77" s="20" t="n"/>
      <c r="W77" s="20" t="n"/>
      <c r="X77" s="20">
        <f>'재무상태표'!G27</f>
        <v/>
      </c>
      <c r="Y77" s="19">
        <f>'재무상태표'!G27</f>
        <v/>
      </c>
      <c r="Z77" s="20">
        <f>'재무상태표'!G27</f>
        <v/>
      </c>
      <c r="AA77" s="20">
        <f>'재무상태표'!G27</f>
        <v/>
      </c>
      <c r="AB77" s="20">
        <f>'재무상태표'!G27</f>
        <v/>
      </c>
      <c r="AC77" s="20">
        <f>'재무상태표'!G27</f>
        <v/>
      </c>
    </row>
    <row r="78">
      <c r="A78" s="13" t="inlineStr">
        <is>
          <t>부채비율</t>
        </is>
      </c>
      <c r="B78" s="10" t="n"/>
      <c r="C78" s="14" t="n"/>
      <c r="D78" s="15" t="n"/>
      <c r="E78" s="15" t="n"/>
      <c r="F78" s="15" t="n"/>
      <c r="G78" s="15" t="n"/>
      <c r="H78" s="15" t="n"/>
      <c r="I78" s="15" t="n"/>
      <c r="J78" s="15" t="n"/>
      <c r="K78" s="15" t="n"/>
      <c r="L78" s="15" t="n"/>
      <c r="M78" s="15" t="n"/>
      <c r="N78" s="15" t="n"/>
      <c r="O78" s="14" t="n"/>
      <c r="P78" s="15" t="n"/>
      <c r="Q78" s="15" t="n"/>
      <c r="R78" s="15" t="n"/>
      <c r="S78" s="15" t="n"/>
      <c r="T78" s="15" t="n"/>
      <c r="U78" s="15" t="n"/>
      <c r="V78" s="15" t="n"/>
      <c r="W78" s="15" t="n"/>
      <c r="X78" s="15">
        <f>IF(OR(X77="",X76=""),"",IFERROR(X77/X76,""))</f>
        <v/>
      </c>
      <c r="Y78" s="14">
        <f>IF(OR(Y77="",Y76=""),"",IFERROR(Y77/Y76,""))</f>
        <v/>
      </c>
      <c r="Z78" s="15">
        <f>IF(OR(Z77="",Z76=""),"",IFERROR(Z77/Z76,""))</f>
        <v/>
      </c>
      <c r="AA78" s="15">
        <f>IF(OR(AA77="",AA76=""),"",IFERROR(AA77/AA76,""))</f>
        <v/>
      </c>
      <c r="AB78" s="15">
        <f>IF(OR(AB77="",AB76=""),"",IFERROR(AB77/AB76,""))</f>
        <v/>
      </c>
      <c r="AC78" s="15">
        <f>IF(OR(AC77="",AC76=""),"",IFERROR(AC77/AC76,""))</f>
        <v/>
      </c>
    </row>
    <row r="79">
      <c r="A79" s="9" t="inlineStr">
        <is>
          <t>자산가치</t>
        </is>
      </c>
      <c r="B79" s="10" t="inlineStr">
        <is>
          <t>현금+단기금융+투자부동산</t>
        </is>
      </c>
      <c r="C79" s="11" t="n"/>
      <c r="D79" s="12" t="n"/>
      <c r="E79" s="12" t="n"/>
      <c r="F79" s="12" t="n"/>
      <c r="G79" s="12" t="n"/>
      <c r="H79" s="12" t="n"/>
      <c r="I79" s="12" t="n"/>
      <c r="J79" s="12" t="n"/>
      <c r="K79" s="12" t="n"/>
      <c r="L79" s="12" t="n"/>
      <c r="M79" s="12" t="n"/>
      <c r="N79" s="12" t="n"/>
      <c r="O79" s="11" t="n"/>
      <c r="P79" s="12" t="n"/>
      <c r="Q79" s="12" t="n"/>
      <c r="R79" s="12" t="n"/>
      <c r="S79" s="12" t="n"/>
      <c r="T79" s="12" t="n"/>
      <c r="U79" s="12" t="n"/>
      <c r="V79" s="12" t="n"/>
      <c r="W79" s="12" t="n"/>
      <c r="X79" s="12">
        <f>SUM(X73,X74,X75)</f>
        <v/>
      </c>
      <c r="Y79" s="11">
        <f>SUM(Y73,Y74,Y75)</f>
        <v/>
      </c>
      <c r="Z79" s="12">
        <f>SUM(Z73,Z74,Z75)</f>
        <v/>
      </c>
      <c r="AA79" s="12">
        <f>SUM(AA73,AA74,AA75)</f>
        <v/>
      </c>
      <c r="AB79" s="12">
        <f>SUM(AB73,AB74,AB75)</f>
        <v/>
      </c>
      <c r="AC79" s="12">
        <f>SUM(AC73,AC74,AC75)</f>
        <v/>
      </c>
    </row>
    <row r="80">
      <c r="A80" s="16" t="inlineStr">
        <is>
          <t>기업가치 산출</t>
        </is>
      </c>
      <c r="B80" s="16" t="n"/>
      <c r="C80" s="17" t="n"/>
      <c r="D80" s="16" t="n"/>
      <c r="E80" s="16" t="n"/>
      <c r="F80" s="16" t="n"/>
      <c r="G80" s="16" t="n"/>
      <c r="H80" s="16" t="n"/>
      <c r="I80" s="16" t="n"/>
      <c r="J80" s="16" t="n"/>
      <c r="K80" s="16" t="n"/>
      <c r="L80" s="16" t="n"/>
      <c r="M80" s="16" t="n"/>
      <c r="N80" s="16" t="n"/>
      <c r="O80" s="17" t="n"/>
      <c r="P80" s="16" t="n"/>
      <c r="Q80" s="16" t="n"/>
      <c r="R80" s="16" t="n"/>
      <c r="S80" s="16" t="n"/>
      <c r="T80" s="16" t="n"/>
      <c r="U80" s="16" t="n"/>
      <c r="V80" s="16" t="n"/>
      <c r="W80" s="16" t="n"/>
      <c r="X80" s="16" t="n"/>
      <c r="Y80" s="17" t="n"/>
      <c r="Z80" s="16" t="n"/>
      <c r="AA80" s="16" t="n"/>
      <c r="AB80" s="16" t="n"/>
      <c r="AC80" s="16" t="n"/>
    </row>
    <row r="81">
      <c r="A81" s="18" t="inlineStr">
        <is>
          <t>목표 시가총액 (P/E)</t>
        </is>
      </c>
      <c r="B81" s="10" t="inlineStr">
        <is>
          <t>지배순이익 × Target P/E</t>
        </is>
      </c>
      <c r="C81" s="19" t="n"/>
      <c r="D81" s="20" t="n"/>
      <c r="E81" s="20" t="n"/>
      <c r="F81" s="20" t="n"/>
      <c r="G81" s="20" t="n"/>
      <c r="H81" s="20" t="n"/>
      <c r="I81" s="20" t="n"/>
      <c r="J81" s="20" t="n"/>
      <c r="K81" s="20" t="n"/>
      <c r="L81" s="20" t="n"/>
      <c r="M81" s="20" t="n"/>
      <c r="N81" s="20" t="n"/>
      <c r="O81" s="19" t="n"/>
      <c r="P81" s="20" t="n"/>
      <c r="Q81" s="20" t="n"/>
      <c r="R81" s="20" t="n"/>
      <c r="S81" s="20" t="n"/>
      <c r="T81" s="20" t="n"/>
      <c r="U81" s="20" t="n"/>
      <c r="V81" s="20" t="n"/>
      <c r="W81" s="20" t="n"/>
      <c r="X81" s="20" t="n"/>
      <c r="Y81" s="19">
        <f>IF(OR(Y59="",Y68=""),"",IFERROR(Y59*Y68,""))</f>
        <v/>
      </c>
      <c r="Z81" s="20">
        <f>IF(OR(Z59="",Z68=""),"",IFERROR(Z59*Z68,""))</f>
        <v/>
      </c>
      <c r="AA81" s="20">
        <f>IF(OR(AA59="",AA68=""),"",IFERROR(AA59*AA68,""))</f>
        <v/>
      </c>
      <c r="AB81" s="20">
        <f>IF(OR(AB59="",AB68=""),"",IFERROR(AB59*AB68,""))</f>
        <v/>
      </c>
      <c r="AC81" s="20">
        <f>IF(OR(AC59="",AC68=""),"",IFERROR(AC59*AC68,""))</f>
        <v/>
      </c>
    </row>
    <row r="82">
      <c r="A82" s="9" t="inlineStr">
        <is>
          <t>기업가치</t>
        </is>
      </c>
      <c r="B82" s="10" t="inlineStr">
        <is>
          <t>목표시총 + 자산가치</t>
        </is>
      </c>
      <c r="C82" s="11" t="n"/>
      <c r="D82" s="12" t="n"/>
      <c r="E82" s="12" t="n"/>
      <c r="F82" s="12" t="n"/>
      <c r="G82" s="12" t="n"/>
      <c r="H82" s="12" t="n"/>
      <c r="I82" s="12" t="n"/>
      <c r="J82" s="12" t="n"/>
      <c r="K82" s="12" t="n"/>
      <c r="L82" s="12" t="n"/>
      <c r="M82" s="12" t="n"/>
      <c r="N82" s="12" t="n"/>
      <c r="O82" s="11" t="n"/>
      <c r="P82" s="12" t="n"/>
      <c r="Q82" s="12" t="n"/>
      <c r="R82" s="12" t="n"/>
      <c r="S82" s="12" t="n"/>
      <c r="T82" s="12" t="n"/>
      <c r="U82" s="12" t="n"/>
      <c r="V82" s="12" t="n"/>
      <c r="W82" s="12" t="n"/>
      <c r="X82" s="12" t="n"/>
      <c r="Y82" s="11">
        <f>IF(OR(Y81=""),"",IFERROR(Y81+Y79,""))</f>
        <v/>
      </c>
      <c r="Z82" s="12">
        <f>IF(OR(Z81=""),"",IFERROR(Z81+Z79,""))</f>
        <v/>
      </c>
      <c r="AA82" s="12">
        <f>IF(OR(AA81=""),"",IFERROR(AA81+AA79,""))</f>
        <v/>
      </c>
      <c r="AB82" s="12">
        <f>IF(OR(AB81=""),"",IFERROR(AB81+AB79,""))</f>
        <v/>
      </c>
      <c r="AC82" s="12">
        <f>IF(OR(AC81=""),"",IFERROR(AC81+AC79,""))</f>
        <v/>
      </c>
    </row>
    <row r="83">
      <c r="A83" s="18" t="inlineStr">
        <is>
          <t>현재 시가총액</t>
        </is>
      </c>
      <c r="B83" s="10" t="n"/>
      <c r="C83" s="19" t="n"/>
      <c r="D83" s="20" t="n"/>
      <c r="E83" s="20" t="n"/>
      <c r="F83" s="20" t="n"/>
      <c r="G83" s="20" t="n"/>
      <c r="H83" s="20" t="n"/>
      <c r="I83" s="20" t="n"/>
      <c r="J83" s="20" t="n"/>
      <c r="K83" s="20" t="n"/>
      <c r="L83" s="20" t="n"/>
      <c r="M83" s="20" t="n"/>
      <c r="N83" s="20" t="n"/>
      <c r="O83" s="19" t="n"/>
      <c r="P83" s="20" t="n"/>
      <c r="Q83" s="20" t="n"/>
      <c r="R83" s="20" t="n"/>
      <c r="S83" s="20" t="n"/>
      <c r="T83" s="20" t="n"/>
      <c r="U83" s="20" t="n"/>
      <c r="V83" s="20" t="n"/>
      <c r="W83" s="20" t="n"/>
      <c r="X83" s="20" t="n"/>
      <c r="Y83" s="19">
        <f>$B$64</f>
        <v/>
      </c>
      <c r="Z83" s="20">
        <f>$B$64</f>
        <v/>
      </c>
      <c r="AA83" s="20">
        <f>$B$64</f>
        <v/>
      </c>
      <c r="AB83" s="20">
        <f>$B$64</f>
        <v/>
      </c>
      <c r="AC83" s="20">
        <f>$B$64</f>
        <v/>
      </c>
    </row>
    <row r="84">
      <c r="A84" s="18" t="inlineStr">
        <is>
          <t>상승여력</t>
        </is>
      </c>
      <c r="B84" s="10" t="n"/>
      <c r="C84" s="35" t="n"/>
      <c r="D84" s="36" t="n"/>
      <c r="E84" s="36" t="n"/>
      <c r="F84" s="36" t="n"/>
      <c r="G84" s="36" t="n"/>
      <c r="H84" s="36" t="n"/>
      <c r="I84" s="36" t="n"/>
      <c r="J84" s="36" t="n"/>
      <c r="K84" s="36" t="n"/>
      <c r="L84" s="36" t="n"/>
      <c r="M84" s="36" t="n"/>
      <c r="N84" s="36" t="n"/>
      <c r="O84" s="35" t="n"/>
      <c r="P84" s="36" t="n"/>
      <c r="Q84" s="36" t="n"/>
      <c r="R84" s="36" t="n"/>
      <c r="S84" s="36" t="n"/>
      <c r="T84" s="36" t="n"/>
      <c r="U84" s="36" t="n"/>
      <c r="V84" s="36" t="n"/>
      <c r="W84" s="36" t="n"/>
      <c r="X84" s="36" t="n"/>
      <c r="Y84" s="37">
        <f>IF(OR(Y82="",Y83=""),"",IFERROR(Y82/Y83-1,""))</f>
        <v/>
      </c>
      <c r="Z84" s="38">
        <f>IF(OR(Z82="",Z83=""),"",IFERROR(Z82/Z83-1,""))</f>
        <v/>
      </c>
      <c r="AA84" s="38">
        <f>IF(OR(AA82="",AA83=""),"",IFERROR(AA82/AA83-1,""))</f>
        <v/>
      </c>
      <c r="AB84" s="38">
        <f>IF(OR(AB82="",AB83=""),"",IFERROR(AB82/AB83-1,""))</f>
        <v/>
      </c>
      <c r="AC84" s="38">
        <f>IF(OR(AC82="",AC83=""),"",IFERROR(AC82/AC83-1,""))</f>
        <v/>
      </c>
    </row>
    <row r="85">
      <c r="C85" s="39" t="n"/>
      <c r="O85" s="39" t="n"/>
      <c r="Y85" s="39" t="n"/>
    </row>
    <row r="86">
      <c r="A86" s="40" t="inlineStr">
        <is>
          <t>출처</t>
        </is>
      </c>
      <c r="C86" s="39" t="n"/>
      <c r="O86" s="39" t="n"/>
      <c r="Y86" s="39" t="n"/>
    </row>
    <row r="87">
      <c r="A87" s="41" t="inlineStr">
        <is>
          <t>결산단신 XBRL(TDnet·JPX 보관소) — 쓴 문서는 '출처' 시트</t>
        </is>
      </c>
      <c r="C87" s="39" t="n"/>
      <c r="O87" s="39" t="n"/>
      <c r="Y87" s="39" t="n"/>
    </row>
    <row r="88">
      <c r="A88" s="41" t="inlineStr">
        <is>
          <t>분기 = 누계에서 앞 분기를 뺀 3개월 값</t>
        </is>
      </c>
      <c r="C88" s="39" t="n"/>
      <c r="O88" s="39" t="n"/>
      <c r="Y88" s="39" t="n"/>
    </row>
    <row r="89">
      <c r="A89" s="41" t="inlineStr">
        <is>
          <t>주가: 야후 파이낸스 일봉 2026.10.26</t>
        </is>
      </c>
      <c r="C89" s="39" t="n"/>
      <c r="O89" s="39" t="n"/>
      <c r="Y89" s="39" t="n"/>
    </row>
    <row r="91">
      <c r="A91" s="16" t="inlineStr">
        <is>
          <t>손익계산서 · 전 항목</t>
        </is>
      </c>
      <c r="B91" s="42" t="inlineStr">
        <is>
          <t>분기 = 3개월 단독</t>
        </is>
      </c>
      <c r="C91" s="16" t="n"/>
      <c r="D91" s="16" t="n"/>
      <c r="E91" s="16" t="n"/>
      <c r="F91" s="16" t="n"/>
      <c r="G91" s="16" t="n"/>
      <c r="H91" s="16" t="n"/>
      <c r="I91" s="16" t="n"/>
      <c r="J91" s="16" t="n"/>
      <c r="K91" s="16" t="n"/>
      <c r="L91" s="16" t="n"/>
      <c r="M91" s="16" t="n"/>
      <c r="N91" s="16" t="n"/>
      <c r="O91" s="16" t="n"/>
      <c r="P91" s="16" t="n"/>
      <c r="Q91" s="16" t="n"/>
      <c r="R91" s="16" t="n"/>
      <c r="S91" s="16" t="n"/>
      <c r="T91" s="16" t="n"/>
      <c r="U91" s="16" t="n"/>
      <c r="V91" s="16" t="n"/>
      <c r="W91" s="16" t="n"/>
      <c r="X91" s="16" t="n"/>
      <c r="Y91" s="16" t="n"/>
      <c r="Z91" s="16" t="n"/>
      <c r="AA91" s="16" t="n"/>
      <c r="AB91" s="16" t="n"/>
      <c r="AC91" s="16" t="n"/>
    </row>
    <row r="92">
      <c r="A92" s="5" t="inlineStr">
        <is>
          <t>항목</t>
        </is>
      </c>
      <c r="B92" s="5" t="inlineStr">
        <is>
          <t>참고</t>
        </is>
      </c>
      <c r="C92" s="5" t="inlineStr">
        <is>
          <t>2024.2Q</t>
        </is>
      </c>
      <c r="D92" s="5" t="inlineStr">
        <is>
          <t>2024.3Q</t>
        </is>
      </c>
      <c r="E92" s="5" t="inlineStr">
        <is>
          <t>2024.4Q</t>
        </is>
      </c>
      <c r="F92" s="5" t="inlineStr">
        <is>
          <t>2025.1Q</t>
        </is>
      </c>
      <c r="G92" s="5" t="inlineStr">
        <is>
          <t>2025.2Q</t>
        </is>
      </c>
      <c r="H92" s="5" t="inlineStr">
        <is>
          <t>2025.3Q</t>
        </is>
      </c>
      <c r="I92" s="5" t="inlineStr">
        <is>
          <t>2025.4Q</t>
        </is>
      </c>
      <c r="J92" s="5" t="inlineStr">
        <is>
          <t>2026.1Q</t>
        </is>
      </c>
      <c r="K92" s="5" t="inlineStr">
        <is>
          <t>2026.2Q</t>
        </is>
      </c>
      <c r="L92" s="5" t="inlineStr">
        <is>
          <t>2026.3Q</t>
        </is>
      </c>
      <c r="M92" s="5" t="inlineStr">
        <is>
          <t>2026.4Q</t>
        </is>
      </c>
      <c r="N92" s="5" t="inlineStr">
        <is>
          <t>2027.1Q</t>
        </is>
      </c>
      <c r="O92" s="5" t="inlineStr">
        <is>
          <t>2017</t>
        </is>
      </c>
      <c r="P92" s="5" t="inlineStr">
        <is>
          <t>2018</t>
        </is>
      </c>
      <c r="Q92" s="5" t="inlineStr">
        <is>
          <t>2019</t>
        </is>
      </c>
      <c r="R92" s="5" t="inlineStr">
        <is>
          <t>2020</t>
        </is>
      </c>
      <c r="S92" s="5" t="inlineStr">
        <is>
          <t>2021</t>
        </is>
      </c>
      <c r="T92" s="5" t="inlineStr">
        <is>
          <t>2022</t>
        </is>
      </c>
      <c r="U92" s="5" t="inlineStr">
        <is>
          <t>2023</t>
        </is>
      </c>
      <c r="V92" s="5" t="inlineStr">
        <is>
          <t>2024</t>
        </is>
      </c>
      <c r="W92" s="5" t="inlineStr">
        <is>
          <t>2025</t>
        </is>
      </c>
      <c r="X92" s="5" t="inlineStr">
        <is>
          <t>2026</t>
        </is>
      </c>
      <c r="Y92" s="5" t="inlineStr">
        <is>
          <t>2027(MW)</t>
        </is>
      </c>
      <c r="Z92" s="5" t="inlineStr">
        <is>
          <t>2028(MW)</t>
        </is>
      </c>
      <c r="AA92" s="5" t="inlineStr">
        <is>
          <t>2029(MW)</t>
        </is>
      </c>
      <c r="AB92" s="5" t="inlineStr">
        <is>
          <t>2030(MW)</t>
        </is>
      </c>
      <c r="AC92" s="5" t="inlineStr">
        <is>
          <t>2031(MW)</t>
        </is>
      </c>
    </row>
    <row r="93">
      <c r="A93" s="9" t="inlineStr">
        <is>
          <t>매출액</t>
        </is>
      </c>
      <c r="C93" s="12" t="n">
        <v>27758</v>
      </c>
      <c r="D93" s="12" t="n">
        <v>22139</v>
      </c>
      <c r="E93" s="12" t="n">
        <v>35012</v>
      </c>
      <c r="F93" s="12" t="n">
        <v>24313</v>
      </c>
      <c r="G93" s="12" t="n">
        <v>25822</v>
      </c>
      <c r="H93" s="12" t="n">
        <v>26676</v>
      </c>
      <c r="I93" s="12" t="n">
        <v>34239</v>
      </c>
      <c r="J93" s="12" t="n">
        <v>22538</v>
      </c>
      <c r="K93" s="12" t="n">
        <v>29677</v>
      </c>
      <c r="L93" s="12" t="n">
        <v>33122</v>
      </c>
      <c r="M93" s="12" t="n">
        <v>33274</v>
      </c>
      <c r="N93" s="12" t="n">
        <v>23098</v>
      </c>
      <c r="T93" s="12" t="n">
        <v>24077</v>
      </c>
      <c r="U93" s="12" t="n">
        <v>31416</v>
      </c>
      <c r="V93" s="12" t="n">
        <v>35012</v>
      </c>
      <c r="W93" s="12" t="n">
        <v>34239</v>
      </c>
      <c r="X93" s="12" t="n">
        <v>33274</v>
      </c>
    </row>
    <row r="94">
      <c r="A94" s="43" t="inlineStr">
        <is>
          <t>YoY</t>
        </is>
      </c>
      <c r="B94" s="3" t="inlineStr">
        <is>
          <t>전년 같은 분기·전년 대비</t>
        </is>
      </c>
      <c r="G94" s="15">
        <f>IF(OR(G93="",C93=""),"",IF(C93&lt;=0,"",IFERROR(G93/C93-1,"")))</f>
        <v/>
      </c>
      <c r="H94" s="15">
        <f>IF(OR(H93="",D93=""),"",IF(D93&lt;=0,"",IFERROR(H93/D93-1,"")))</f>
        <v/>
      </c>
      <c r="I94" s="15">
        <f>IF(OR(I93="",E93=""),"",IF(E93&lt;=0,"",IFERROR(I93/E93-1,"")))</f>
        <v/>
      </c>
      <c r="J94" s="15">
        <f>IF(OR(J93="",F93=""),"",IF(F93&lt;=0,"",IFERROR(J93/F93-1,"")))</f>
        <v/>
      </c>
      <c r="K94" s="15">
        <f>IF(OR(K93="",G93=""),"",IF(G93&lt;=0,"",IFERROR(K93/G93-1,"")))</f>
        <v/>
      </c>
      <c r="L94" s="15">
        <f>IF(OR(L93="",H93=""),"",IF(H93&lt;=0,"",IFERROR(L93/H93-1,"")))</f>
        <v/>
      </c>
      <c r="M94" s="15">
        <f>IF(OR(M93="",I93=""),"",IF(I93&lt;=0,"",IFERROR(M93/I93-1,"")))</f>
        <v/>
      </c>
      <c r="N94" s="15">
        <f>IF(OR(N93="",J93=""),"",IF(J93&lt;=0,"",IFERROR(N93/J93-1,"")))</f>
        <v/>
      </c>
      <c r="T94" s="15">
        <f>IF(OR(T93="",S93=""),"",IF(S93&lt;=0,"",IFERROR(T93/S93-1,"")))</f>
        <v/>
      </c>
      <c r="U94" s="15">
        <f>IF(OR(U93="",T93=""),"",IF(T93&lt;=0,"",IFERROR(U93/T93-1,"")))</f>
        <v/>
      </c>
      <c r="V94" s="15">
        <f>IF(OR(V93="",U93=""),"",IF(U93&lt;=0,"",IFERROR(V93/U93-1,"")))</f>
        <v/>
      </c>
      <c r="W94" s="15">
        <f>IF(OR(W93="",V93=""),"",IF(V93&lt;=0,"",IFERROR(W93/V93-1,"")))</f>
        <v/>
      </c>
      <c r="X94" s="15">
        <f>IF(OR(X93="",W93=""),"",IF(W93&lt;=0,"",IFERROR(X93/W93-1,"")))</f>
        <v/>
      </c>
    </row>
    <row r="95">
      <c r="A95" s="18" t="inlineStr">
        <is>
          <t>매출원가</t>
        </is>
      </c>
      <c r="C95" s="20" t="n">
        <v>18946</v>
      </c>
      <c r="D95" s="20" t="n">
        <v>14637</v>
      </c>
      <c r="E95" s="20" t="n">
        <v>22867</v>
      </c>
      <c r="F95" s="20" t="n">
        <v>15641</v>
      </c>
      <c r="G95" s="20" t="n">
        <v>16979</v>
      </c>
      <c r="H95" s="20" t="n">
        <v>17041</v>
      </c>
      <c r="I95" s="20" t="n">
        <v>21898</v>
      </c>
      <c r="J95" s="20" t="n">
        <v>14319</v>
      </c>
      <c r="K95" s="20" t="n">
        <v>18883</v>
      </c>
      <c r="L95" s="20" t="n">
        <v>20138</v>
      </c>
      <c r="M95" s="20" t="n">
        <v>21618</v>
      </c>
      <c r="N95" s="20" t="n">
        <v>14540</v>
      </c>
      <c r="T95" s="20" t="n">
        <v>16632</v>
      </c>
      <c r="U95" s="20" t="n">
        <v>20553</v>
      </c>
      <c r="V95" s="20" t="n">
        <v>22867</v>
      </c>
      <c r="W95" s="20" t="n">
        <v>21898</v>
      </c>
      <c r="X95" s="20" t="n">
        <v>21618</v>
      </c>
    </row>
    <row r="96">
      <c r="A96" s="9" t="inlineStr">
        <is>
          <t>매출총이익</t>
        </is>
      </c>
      <c r="C96" s="12" t="n">
        <v>8812</v>
      </c>
      <c r="D96" s="12" t="n">
        <v>7502</v>
      </c>
      <c r="E96" s="12" t="n">
        <v>12145</v>
      </c>
      <c r="F96" s="12" t="n">
        <v>8672</v>
      </c>
      <c r="G96" s="12" t="n">
        <v>8842</v>
      </c>
      <c r="H96" s="12" t="n">
        <v>9635</v>
      </c>
      <c r="I96" s="12" t="n">
        <v>12342</v>
      </c>
      <c r="J96" s="12" t="n">
        <v>8218</v>
      </c>
      <c r="K96" s="12" t="n">
        <v>10795</v>
      </c>
      <c r="L96" s="12" t="n">
        <v>12983</v>
      </c>
      <c r="M96" s="12" t="n">
        <v>11657</v>
      </c>
      <c r="N96" s="12" t="n">
        <v>8557</v>
      </c>
      <c r="T96" s="12" t="n">
        <v>7444</v>
      </c>
      <c r="U96" s="12" t="n">
        <v>10862</v>
      </c>
      <c r="V96" s="12" t="n">
        <v>12145</v>
      </c>
      <c r="W96" s="12" t="n">
        <v>12342</v>
      </c>
      <c r="X96" s="12" t="n">
        <v>11657</v>
      </c>
    </row>
    <row r="97">
      <c r="A97" s="43" t="inlineStr">
        <is>
          <t>YoY</t>
        </is>
      </c>
      <c r="B97" s="3" t="inlineStr">
        <is>
          <t>전년 같은 분기·전년 대비</t>
        </is>
      </c>
      <c r="G97" s="15">
        <f>IF(OR(G96="",C96=""),"",IF(C96&lt;=0,"",IFERROR(G96/C96-1,"")))</f>
        <v/>
      </c>
      <c r="H97" s="15">
        <f>IF(OR(H96="",D96=""),"",IF(D96&lt;=0,"",IFERROR(H96/D96-1,"")))</f>
        <v/>
      </c>
      <c r="I97" s="15">
        <f>IF(OR(I96="",E96=""),"",IF(E96&lt;=0,"",IFERROR(I96/E96-1,"")))</f>
        <v/>
      </c>
      <c r="J97" s="15">
        <f>IF(OR(J96="",F96=""),"",IF(F96&lt;=0,"",IFERROR(J96/F96-1,"")))</f>
        <v/>
      </c>
      <c r="K97" s="15">
        <f>IF(OR(K96="",G96=""),"",IF(G96&lt;=0,"",IFERROR(K96/G96-1,"")))</f>
        <v/>
      </c>
      <c r="L97" s="15">
        <f>IF(OR(L96="",H96=""),"",IF(H96&lt;=0,"",IFERROR(L96/H96-1,"")))</f>
        <v/>
      </c>
      <c r="M97" s="15">
        <f>IF(OR(M96="",I96=""),"",IF(I96&lt;=0,"",IFERROR(M96/I96-1,"")))</f>
        <v/>
      </c>
      <c r="N97" s="15">
        <f>IF(OR(N96="",J96=""),"",IF(J96&lt;=0,"",IFERROR(N96/J96-1,"")))</f>
        <v/>
      </c>
      <c r="T97" s="15">
        <f>IF(OR(T96="",S96=""),"",IF(S96&lt;=0,"",IFERROR(T96/S96-1,"")))</f>
        <v/>
      </c>
      <c r="U97" s="15">
        <f>IF(OR(U96="",T96=""),"",IF(T96&lt;=0,"",IFERROR(U96/T96-1,"")))</f>
        <v/>
      </c>
      <c r="V97" s="15">
        <f>IF(OR(V96="",U96=""),"",IF(U96&lt;=0,"",IFERROR(V96/U96-1,"")))</f>
        <v/>
      </c>
      <c r="W97" s="15">
        <f>IF(OR(W96="",V96=""),"",IF(V96&lt;=0,"",IFERROR(W96/V96-1,"")))</f>
        <v/>
      </c>
      <c r="X97" s="15">
        <f>IF(OR(X96="",W96=""),"",IF(W96&lt;=0,"",IFERROR(X96/W96-1,"")))</f>
        <v/>
      </c>
    </row>
    <row r="98">
      <c r="A98" s="18" t="inlineStr">
        <is>
          <t>판매비와 관리비</t>
        </is>
      </c>
      <c r="C98" s="20" t="n">
        <v>7669</v>
      </c>
      <c r="D98" s="20" t="n">
        <v>7220</v>
      </c>
      <c r="E98" s="20" t="n">
        <v>7972</v>
      </c>
      <c r="F98" s="20" t="n">
        <v>8229</v>
      </c>
      <c r="G98" s="20" t="n">
        <v>7979</v>
      </c>
      <c r="H98" s="20" t="n">
        <v>7607</v>
      </c>
      <c r="I98" s="20" t="n">
        <v>8561</v>
      </c>
      <c r="J98" s="20" t="n">
        <v>7714</v>
      </c>
      <c r="K98" s="20" t="n">
        <v>8142</v>
      </c>
      <c r="L98" s="20" t="n">
        <v>9201</v>
      </c>
      <c r="M98" s="20" t="n">
        <v>9192</v>
      </c>
      <c r="N98" s="20" t="n">
        <v>8020</v>
      </c>
      <c r="T98" s="20" t="n">
        <v>6391</v>
      </c>
      <c r="U98" s="20" t="n">
        <v>7804</v>
      </c>
      <c r="V98" s="20" t="n">
        <v>7972</v>
      </c>
      <c r="W98" s="20" t="n">
        <v>8561</v>
      </c>
      <c r="X98" s="20" t="n">
        <v>9192</v>
      </c>
    </row>
    <row r="99">
      <c r="A99" s="9" t="inlineStr">
        <is>
          <t>영업이익</t>
        </is>
      </c>
      <c r="C99" s="12" t="n">
        <v>1141</v>
      </c>
      <c r="D99" s="12" t="n">
        <v>282</v>
      </c>
      <c r="E99" s="12" t="n">
        <v>4173</v>
      </c>
      <c r="F99" s="12" t="n">
        <v>442</v>
      </c>
      <c r="G99" s="12" t="n">
        <v>864</v>
      </c>
      <c r="H99" s="12" t="n">
        <v>2028</v>
      </c>
      <c r="I99" s="12" t="n">
        <v>3781</v>
      </c>
      <c r="J99" s="12" t="n">
        <v>504</v>
      </c>
      <c r="K99" s="12" t="n">
        <v>2652</v>
      </c>
      <c r="L99" s="12" t="n">
        <v>3782</v>
      </c>
      <c r="M99" s="12" t="n">
        <v>2466</v>
      </c>
      <c r="N99" s="12" t="n">
        <v>537</v>
      </c>
      <c r="T99" s="12" t="n">
        <v>1053</v>
      </c>
      <c r="U99" s="12" t="n">
        <v>3057</v>
      </c>
      <c r="V99" s="12" t="n">
        <v>4173</v>
      </c>
      <c r="W99" s="12" t="n">
        <v>3781</v>
      </c>
      <c r="X99" s="12" t="n">
        <v>2466</v>
      </c>
    </row>
    <row r="100">
      <c r="A100" s="43" t="inlineStr">
        <is>
          <t>OPM</t>
        </is>
      </c>
      <c r="B100" s="3" t="inlineStr">
        <is>
          <t>영업이익 ÷ 매출</t>
        </is>
      </c>
      <c r="C100" s="15">
        <f>IF(OR(C99="",C93=""),"",IF(C93&lt;=0,"",IFERROR(C99/C93,"")))</f>
        <v/>
      </c>
      <c r="D100" s="15">
        <f>IF(OR(D99="",D93=""),"",IF(D93&lt;=0,"",IFERROR(D99/D93,"")))</f>
        <v/>
      </c>
      <c r="E100" s="15">
        <f>IF(OR(E99="",E93=""),"",IF(E93&lt;=0,"",IFERROR(E99/E93,"")))</f>
        <v/>
      </c>
      <c r="F100" s="15">
        <f>IF(OR(F99="",F93=""),"",IF(F93&lt;=0,"",IFERROR(F99/F93,"")))</f>
        <v/>
      </c>
      <c r="G100" s="15">
        <f>IF(OR(G99="",G93=""),"",IF(G93&lt;=0,"",IFERROR(G99/G93,"")))</f>
        <v/>
      </c>
      <c r="H100" s="15">
        <f>IF(OR(H99="",H93=""),"",IF(H93&lt;=0,"",IFERROR(H99/H93,"")))</f>
        <v/>
      </c>
      <c r="I100" s="15">
        <f>IF(OR(I99="",I93=""),"",IF(I93&lt;=0,"",IFERROR(I99/I93,"")))</f>
        <v/>
      </c>
      <c r="J100" s="15">
        <f>IF(OR(J99="",J93=""),"",IF(J93&lt;=0,"",IFERROR(J99/J93,"")))</f>
        <v/>
      </c>
      <c r="K100" s="15">
        <f>IF(OR(K99="",K93=""),"",IF(K93&lt;=0,"",IFERROR(K99/K93,"")))</f>
        <v/>
      </c>
      <c r="L100" s="15">
        <f>IF(OR(L99="",L93=""),"",IF(L93&lt;=0,"",IFERROR(L99/L93,"")))</f>
        <v/>
      </c>
      <c r="M100" s="15">
        <f>IF(OR(M99="",M93=""),"",IF(M93&lt;=0,"",IFERROR(M99/M93,"")))</f>
        <v/>
      </c>
      <c r="N100" s="15">
        <f>IF(OR(N99="",N93=""),"",IF(N93&lt;=0,"",IFERROR(N99/N93,"")))</f>
        <v/>
      </c>
      <c r="T100" s="15">
        <f>IF(OR(T99="",T93=""),"",IF(T93&lt;=0,"",IFERROR(T99/T93,"")))</f>
        <v/>
      </c>
      <c r="U100" s="15">
        <f>IF(OR(U99="",U93=""),"",IF(U93&lt;=0,"",IFERROR(U99/U93,"")))</f>
        <v/>
      </c>
      <c r="V100" s="15">
        <f>IF(OR(V99="",V93=""),"",IF(V93&lt;=0,"",IFERROR(V99/V93,"")))</f>
        <v/>
      </c>
      <c r="W100" s="15">
        <f>IF(OR(W99="",W93=""),"",IF(W93&lt;=0,"",IFERROR(W99/W93,"")))</f>
        <v/>
      </c>
      <c r="X100" s="15">
        <f>IF(OR(X99="",X93=""),"",IF(X93&lt;=0,"",IFERROR(X99/X93,"")))</f>
        <v/>
      </c>
    </row>
    <row r="101">
      <c r="A101" s="43" t="inlineStr">
        <is>
          <t>YoY</t>
        </is>
      </c>
      <c r="B101" s="3" t="inlineStr">
        <is>
          <t>전년 같은 분기·전년 대비</t>
        </is>
      </c>
      <c r="G101" s="15">
        <f>IF(OR(G99="",C99=""),"",IF(C99&lt;=0,"",IFERROR(G99/C99-1,"")))</f>
        <v/>
      </c>
      <c r="H101" s="15">
        <f>IF(OR(H99="",D99=""),"",IF(D99&lt;=0,"",IFERROR(H99/D99-1,"")))</f>
        <v/>
      </c>
      <c r="I101" s="15">
        <f>IF(OR(I99="",E99=""),"",IF(E99&lt;=0,"",IFERROR(I99/E99-1,"")))</f>
        <v/>
      </c>
      <c r="J101" s="15">
        <f>IF(OR(J99="",F99=""),"",IF(F99&lt;=0,"",IFERROR(J99/F99-1,"")))</f>
        <v/>
      </c>
      <c r="K101" s="15">
        <f>IF(OR(K99="",G99=""),"",IF(G99&lt;=0,"",IFERROR(K99/G99-1,"")))</f>
        <v/>
      </c>
      <c r="L101" s="15">
        <f>IF(OR(L99="",H99=""),"",IF(H99&lt;=0,"",IFERROR(L99/H99-1,"")))</f>
        <v/>
      </c>
      <c r="M101" s="15">
        <f>IF(OR(M99="",I99=""),"",IF(I99&lt;=0,"",IFERROR(M99/I99-1,"")))</f>
        <v/>
      </c>
      <c r="N101" s="15">
        <f>IF(OR(N99="",J99=""),"",IF(J99&lt;=0,"",IFERROR(N99/J99-1,"")))</f>
        <v/>
      </c>
      <c r="T101" s="15">
        <f>IF(OR(T99="",S99=""),"",IF(S99&lt;=0,"",IFERROR(T99/S99-1,"")))</f>
        <v/>
      </c>
      <c r="U101" s="15">
        <f>IF(OR(U99="",T99=""),"",IF(T99&lt;=0,"",IFERROR(U99/T99-1,"")))</f>
        <v/>
      </c>
      <c r="V101" s="15">
        <f>IF(OR(V99="",U99=""),"",IF(U99&lt;=0,"",IFERROR(V99/U99-1,"")))</f>
        <v/>
      </c>
      <c r="W101" s="15">
        <f>IF(OR(W99="",V99=""),"",IF(V99&lt;=0,"",IFERROR(W99/V99-1,"")))</f>
        <v/>
      </c>
      <c r="X101" s="15">
        <f>IF(OR(X99="",W99=""),"",IF(W99&lt;=0,"",IFERROR(X99/W99-1,"")))</f>
        <v/>
      </c>
    </row>
    <row r="102">
      <c r="A102" s="18" t="inlineStr">
        <is>
          <t>이자수익</t>
        </is>
      </c>
      <c r="C102" s="20" t="n">
        <v>35</v>
      </c>
      <c r="D102" s="20" t="n">
        <v>35</v>
      </c>
      <c r="E102" s="20" t="n">
        <v>53</v>
      </c>
      <c r="F102" s="20" t="n">
        <v>59</v>
      </c>
      <c r="G102" s="20" t="n">
        <v>59</v>
      </c>
      <c r="H102" s="20" t="n">
        <v>25</v>
      </c>
      <c r="I102" s="20" t="n">
        <v>85</v>
      </c>
      <c r="J102" s="20" t="n">
        <v>57</v>
      </c>
      <c r="K102" s="20" t="n">
        <v>93</v>
      </c>
      <c r="L102" s="20" t="n">
        <v>59</v>
      </c>
      <c r="M102" s="20" t="n">
        <v>110</v>
      </c>
      <c r="N102" s="20" t="n">
        <v>86</v>
      </c>
      <c r="T102" s="20" t="n">
        <v>13</v>
      </c>
      <c r="U102" s="20" t="n">
        <v>25</v>
      </c>
      <c r="V102" s="20" t="n">
        <v>53</v>
      </c>
      <c r="W102" s="20" t="n">
        <v>85</v>
      </c>
      <c r="X102" s="20" t="n">
        <v>110</v>
      </c>
    </row>
    <row r="103">
      <c r="A103" s="18" t="inlineStr">
        <is>
          <t>배당금수익</t>
        </is>
      </c>
      <c r="C103" s="20" t="n">
        <v>30</v>
      </c>
      <c r="D103" s="20" t="n">
        <v>130</v>
      </c>
      <c r="E103" s="20" t="n">
        <v>18</v>
      </c>
      <c r="F103" s="20" t="n">
        <v>182</v>
      </c>
      <c r="G103" s="20" t="n">
        <v>24</v>
      </c>
      <c r="H103" s="20" t="n">
        <v>165</v>
      </c>
      <c r="I103" s="20" t="n">
        <v>12</v>
      </c>
      <c r="J103" s="20" t="n">
        <v>186</v>
      </c>
      <c r="K103" s="20" t="n">
        <v>35</v>
      </c>
      <c r="L103" s="20" t="n">
        <v>168</v>
      </c>
      <c r="M103" s="20" t="n">
        <v>14</v>
      </c>
      <c r="N103" s="20" t="n">
        <v>208</v>
      </c>
      <c r="T103" s="20" t="n">
        <v>17</v>
      </c>
      <c r="U103" s="20" t="n">
        <v>21</v>
      </c>
      <c r="V103" s="20" t="n">
        <v>18</v>
      </c>
      <c r="W103" s="20" t="n">
        <v>12</v>
      </c>
      <c r="X103" s="20" t="n">
        <v>14</v>
      </c>
    </row>
    <row r="104">
      <c r="A104" s="18" t="inlineStr">
        <is>
          <t>외환차익</t>
        </is>
      </c>
      <c r="C104" s="20" t="n">
        <v>222</v>
      </c>
      <c r="D104" s="20" t="n">
        <v>-251</v>
      </c>
      <c r="E104" s="20" t="n">
        <v>297</v>
      </c>
      <c r="F104" s="20" t="n">
        <v>415</v>
      </c>
      <c r="G104" s="20" t="n">
        <v>-415</v>
      </c>
      <c r="H104" s="20" t="n">
        <v>0</v>
      </c>
      <c r="I104" s="20" t="n">
        <v>0</v>
      </c>
      <c r="J104" s="20" t="n">
        <v>0</v>
      </c>
      <c r="K104" s="20" t="n">
        <v>146</v>
      </c>
      <c r="L104" s="20" t="n">
        <v>289</v>
      </c>
      <c r="M104" s="20" t="n">
        <v>-52</v>
      </c>
      <c r="N104" s="20" t="n">
        <v>53</v>
      </c>
      <c r="T104" s="20" t="n">
        <v>398</v>
      </c>
      <c r="U104" s="20" t="n">
        <v>-82</v>
      </c>
      <c r="V104" s="20" t="n">
        <v>297</v>
      </c>
      <c r="W104" s="20" t="n">
        <v>0</v>
      </c>
      <c r="X104" s="20" t="n">
        <v>-52</v>
      </c>
    </row>
    <row r="105">
      <c r="A105" s="18" t="inlineStr">
        <is>
          <t>기타</t>
        </is>
      </c>
      <c r="C105" s="20" t="n">
        <v>69</v>
      </c>
      <c r="D105" s="20" t="n">
        <v>118</v>
      </c>
      <c r="E105" s="20" t="n">
        <v>125</v>
      </c>
      <c r="F105" s="20" t="n">
        <v>56</v>
      </c>
      <c r="G105" s="20" t="n">
        <v>69</v>
      </c>
      <c r="H105" s="20" t="n">
        <v>73</v>
      </c>
      <c r="I105" s="20" t="n">
        <v>125</v>
      </c>
      <c r="J105" s="20" t="n">
        <v>97</v>
      </c>
      <c r="K105" s="20" t="n">
        <v>66</v>
      </c>
      <c r="L105" s="20" t="n">
        <v>119</v>
      </c>
      <c r="M105" s="20" t="n">
        <v>254</v>
      </c>
      <c r="N105" s="20" t="n">
        <v>88</v>
      </c>
      <c r="T105" s="20" t="n">
        <v>106</v>
      </c>
      <c r="U105" s="20" t="n">
        <v>83</v>
      </c>
      <c r="V105" s="20" t="n">
        <v>125</v>
      </c>
      <c r="W105" s="20" t="n">
        <v>125</v>
      </c>
      <c r="X105" s="20" t="n">
        <v>254</v>
      </c>
    </row>
    <row r="106">
      <c r="A106" s="18" t="inlineStr">
        <is>
          <t>영업외수익 합계</t>
        </is>
      </c>
      <c r="C106" s="20" t="n">
        <v>356</v>
      </c>
      <c r="D106" s="20" t="n">
        <v>33</v>
      </c>
      <c r="E106" s="20" t="n">
        <v>492</v>
      </c>
      <c r="F106" s="20" t="n">
        <v>713</v>
      </c>
      <c r="G106" s="20" t="n">
        <v>-263</v>
      </c>
      <c r="H106" s="20" t="n">
        <v>263</v>
      </c>
      <c r="I106" s="20" t="n">
        <v>222</v>
      </c>
      <c r="J106" s="20" t="n">
        <v>341</v>
      </c>
      <c r="K106" s="20" t="n">
        <v>341</v>
      </c>
      <c r="L106" s="20" t="n">
        <v>634</v>
      </c>
      <c r="M106" s="20" t="n">
        <v>326</v>
      </c>
      <c r="N106" s="20" t="n">
        <v>437</v>
      </c>
      <c r="T106" s="20" t="n">
        <v>535</v>
      </c>
      <c r="U106" s="20" t="n">
        <v>47</v>
      </c>
      <c r="V106" s="20" t="n">
        <v>492</v>
      </c>
      <c r="W106" s="20" t="n">
        <v>222</v>
      </c>
      <c r="X106" s="20" t="n">
        <v>326</v>
      </c>
    </row>
    <row r="107">
      <c r="A107" s="18" t="inlineStr">
        <is>
          <t>이자비용</t>
        </is>
      </c>
      <c r="C107" s="20" t="n">
        <v>20</v>
      </c>
      <c r="D107" s="20" t="n">
        <v>26</v>
      </c>
      <c r="E107" s="20" t="n">
        <v>33</v>
      </c>
      <c r="F107" s="20" t="n">
        <v>26</v>
      </c>
      <c r="G107" s="20" t="n">
        <v>37</v>
      </c>
      <c r="H107" s="20" t="n">
        <v>7</v>
      </c>
      <c r="I107" s="20" t="n">
        <v>38</v>
      </c>
      <c r="J107" s="20" t="n">
        <v>56</v>
      </c>
      <c r="K107" s="20" t="n">
        <v>71</v>
      </c>
      <c r="L107" s="20" t="n">
        <v>66</v>
      </c>
      <c r="M107" s="20" t="n">
        <v>45</v>
      </c>
      <c r="N107" s="20" t="n">
        <v>55</v>
      </c>
      <c r="T107" s="20" t="n">
        <v>15</v>
      </c>
      <c r="U107" s="20" t="n">
        <v>20</v>
      </c>
      <c r="V107" s="20" t="n">
        <v>33</v>
      </c>
      <c r="W107" s="20" t="n">
        <v>38</v>
      </c>
      <c r="X107" s="20" t="n">
        <v>45</v>
      </c>
    </row>
    <row r="108">
      <c r="A108" s="18" t="inlineStr">
        <is>
          <t>Loss On Sales Of Notes Payable NOE</t>
        </is>
      </c>
      <c r="F108" s="20" t="n">
        <v>7</v>
      </c>
    </row>
    <row r="109">
      <c r="A109" s="18" t="inlineStr">
        <is>
          <t>손해배상금</t>
        </is>
      </c>
      <c r="D109" s="20" t="n">
        <v>61</v>
      </c>
      <c r="E109" s="20" t="n">
        <v>11</v>
      </c>
      <c r="I109" s="20" t="n">
        <v>0</v>
      </c>
      <c r="T109" s="20" t="n">
        <v>3</v>
      </c>
      <c r="U109" s="20" t="n">
        <v>47</v>
      </c>
      <c r="V109" s="20" t="n">
        <v>11</v>
      </c>
      <c r="W109" s="20" t="n">
        <v>0</v>
      </c>
    </row>
    <row r="110">
      <c r="A110" s="18" t="inlineStr">
        <is>
          <t>사채발행비</t>
        </is>
      </c>
      <c r="F110" s="20" t="n">
        <v>0</v>
      </c>
      <c r="G110" s="20" t="n">
        <v>0</v>
      </c>
      <c r="J110" s="20" t="n">
        <v>48</v>
      </c>
      <c r="K110" s="20" t="n">
        <v>3</v>
      </c>
      <c r="N110" s="20" t="n">
        <v>0</v>
      </c>
    </row>
    <row r="111">
      <c r="A111" s="18" t="inlineStr">
        <is>
          <t>외환차손</t>
        </is>
      </c>
      <c r="D111" s="20" t="n">
        <v>0</v>
      </c>
      <c r="E111" s="20" t="n">
        <v>0</v>
      </c>
      <c r="F111" s="20" t="n">
        <v>0</v>
      </c>
      <c r="G111" s="20" t="n">
        <v>255</v>
      </c>
      <c r="H111" s="20" t="n">
        <v>-227</v>
      </c>
      <c r="I111" s="20" t="n">
        <v>226</v>
      </c>
      <c r="J111" s="20" t="n">
        <v>106</v>
      </c>
      <c r="K111" s="20" t="n">
        <v>-106</v>
      </c>
      <c r="L111" s="20" t="n">
        <v>0</v>
      </c>
      <c r="M111" s="20" t="n">
        <v>0</v>
      </c>
      <c r="N111" s="20" t="n">
        <v>0</v>
      </c>
      <c r="V111" s="20" t="n">
        <v>0</v>
      </c>
      <c r="W111" s="20" t="n">
        <v>226</v>
      </c>
      <c r="X111" s="20" t="n">
        <v>0</v>
      </c>
    </row>
    <row r="112">
      <c r="A112" s="18" t="inlineStr">
        <is>
          <t>기타</t>
        </is>
      </c>
      <c r="C112" s="20" t="n">
        <v>12</v>
      </c>
      <c r="D112" s="20" t="n">
        <v>9</v>
      </c>
      <c r="E112" s="20" t="n">
        <v>26</v>
      </c>
      <c r="F112" s="20" t="n">
        <v>18</v>
      </c>
      <c r="G112" s="20" t="n">
        <v>12</v>
      </c>
      <c r="H112" s="20" t="n">
        <v>18</v>
      </c>
      <c r="I112" s="20" t="n">
        <v>26</v>
      </c>
      <c r="J112" s="20" t="n">
        <v>10</v>
      </c>
      <c r="K112" s="20" t="n">
        <v>6</v>
      </c>
      <c r="L112" s="20" t="n">
        <v>58</v>
      </c>
      <c r="M112" s="20" t="n">
        <v>-36</v>
      </c>
      <c r="N112" s="20" t="n">
        <v>12</v>
      </c>
      <c r="T112" s="20" t="n">
        <v>80</v>
      </c>
      <c r="U112" s="20" t="n">
        <v>-4</v>
      </c>
      <c r="V112" s="20" t="n">
        <v>26</v>
      </c>
      <c r="W112" s="20" t="n">
        <v>26</v>
      </c>
      <c r="X112" s="20" t="n">
        <v>-36</v>
      </c>
    </row>
    <row r="113">
      <c r="A113" s="18" t="inlineStr">
        <is>
          <t>영업외비용 합계</t>
        </is>
      </c>
      <c r="C113" s="20" t="n">
        <v>28</v>
      </c>
      <c r="D113" s="20" t="n">
        <v>97</v>
      </c>
      <c r="E113" s="20" t="n">
        <v>70</v>
      </c>
      <c r="F113" s="20" t="n">
        <v>45</v>
      </c>
      <c r="G113" s="20" t="n">
        <v>304</v>
      </c>
      <c r="H113" s="20" t="n">
        <v>-202</v>
      </c>
      <c r="I113" s="20" t="n">
        <v>290</v>
      </c>
      <c r="J113" s="20" t="n">
        <v>221</v>
      </c>
      <c r="K113" s="20" t="n">
        <v>-26</v>
      </c>
      <c r="L113" s="20" t="n">
        <v>72</v>
      </c>
      <c r="M113" s="20" t="n">
        <v>61</v>
      </c>
      <c r="N113" s="20" t="n">
        <v>68</v>
      </c>
      <c r="T113" s="20" t="n">
        <v>121</v>
      </c>
      <c r="U113" s="20" t="n">
        <v>97</v>
      </c>
      <c r="V113" s="20" t="n">
        <v>70</v>
      </c>
      <c r="W113" s="20" t="n">
        <v>290</v>
      </c>
      <c r="X113" s="20" t="n">
        <v>61</v>
      </c>
    </row>
    <row r="114">
      <c r="A114" s="9" t="inlineStr">
        <is>
          <t>경상이익</t>
        </is>
      </c>
      <c r="C114" s="12" t="n">
        <v>1470</v>
      </c>
      <c r="D114" s="12" t="n">
        <v>218</v>
      </c>
      <c r="E114" s="12" t="n">
        <v>4596</v>
      </c>
      <c r="F114" s="12" t="n">
        <v>1111</v>
      </c>
      <c r="G114" s="12" t="n">
        <v>295</v>
      </c>
      <c r="H114" s="12" t="n">
        <v>2493</v>
      </c>
      <c r="I114" s="12" t="n">
        <v>3715</v>
      </c>
      <c r="J114" s="12" t="n">
        <v>624</v>
      </c>
      <c r="K114" s="12" t="n">
        <v>3019</v>
      </c>
      <c r="L114" s="12" t="n">
        <v>4344</v>
      </c>
      <c r="M114" s="12" t="n">
        <v>2731</v>
      </c>
      <c r="N114" s="12" t="n">
        <v>906</v>
      </c>
      <c r="T114" s="12" t="n">
        <v>1467</v>
      </c>
      <c r="U114" s="12" t="n">
        <v>3007</v>
      </c>
      <c r="V114" s="12" t="n">
        <v>4596</v>
      </c>
      <c r="W114" s="12" t="n">
        <v>3715</v>
      </c>
      <c r="X114" s="12" t="n">
        <v>2731</v>
      </c>
    </row>
    <row r="115">
      <c r="A115" s="43" t="inlineStr">
        <is>
          <t>YoY</t>
        </is>
      </c>
      <c r="B115" s="3" t="inlineStr">
        <is>
          <t>전년 같은 분기·전년 대비</t>
        </is>
      </c>
      <c r="G115" s="15">
        <f>IF(OR(G114="",C114=""),"",IF(C114&lt;=0,"",IFERROR(G114/C114-1,"")))</f>
        <v/>
      </c>
      <c r="H115" s="15">
        <f>IF(OR(H114="",D114=""),"",IF(D114&lt;=0,"",IFERROR(H114/D114-1,"")))</f>
        <v/>
      </c>
      <c r="I115" s="15">
        <f>IF(OR(I114="",E114=""),"",IF(E114&lt;=0,"",IFERROR(I114/E114-1,"")))</f>
        <v/>
      </c>
      <c r="J115" s="15">
        <f>IF(OR(J114="",F114=""),"",IF(F114&lt;=0,"",IFERROR(J114/F114-1,"")))</f>
        <v/>
      </c>
      <c r="K115" s="15">
        <f>IF(OR(K114="",G114=""),"",IF(G114&lt;=0,"",IFERROR(K114/G114-1,"")))</f>
        <v/>
      </c>
      <c r="L115" s="15">
        <f>IF(OR(L114="",H114=""),"",IF(H114&lt;=0,"",IFERROR(L114/H114-1,"")))</f>
        <v/>
      </c>
      <c r="M115" s="15">
        <f>IF(OR(M114="",I114=""),"",IF(I114&lt;=0,"",IFERROR(M114/I114-1,"")))</f>
        <v/>
      </c>
      <c r="N115" s="15">
        <f>IF(OR(N114="",J114=""),"",IF(J114&lt;=0,"",IFERROR(N114/J114-1,"")))</f>
        <v/>
      </c>
      <c r="T115" s="15">
        <f>IF(OR(T114="",S114=""),"",IF(S114&lt;=0,"",IFERROR(T114/S114-1,"")))</f>
        <v/>
      </c>
      <c r="U115" s="15">
        <f>IF(OR(U114="",T114=""),"",IF(T114&lt;=0,"",IFERROR(U114/T114-1,"")))</f>
        <v/>
      </c>
      <c r="V115" s="15">
        <f>IF(OR(V114="",U114=""),"",IF(U114&lt;=0,"",IFERROR(V114/U114-1,"")))</f>
        <v/>
      </c>
      <c r="W115" s="15">
        <f>IF(OR(W114="",V114=""),"",IF(V114&lt;=0,"",IFERROR(W114/V114-1,"")))</f>
        <v/>
      </c>
      <c r="X115" s="15">
        <f>IF(OR(X114="",W114=""),"",IF(W114&lt;=0,"",IFERROR(X114/W114-1,"")))</f>
        <v/>
      </c>
    </row>
    <row r="116">
      <c r="A116" s="18" t="inlineStr">
        <is>
          <t>고정자산 매각이익</t>
        </is>
      </c>
      <c r="C116" s="20" t="n">
        <v>8</v>
      </c>
      <c r="D116" s="20" t="n">
        <v>6</v>
      </c>
      <c r="E116" s="20" t="n">
        <v>3</v>
      </c>
      <c r="F116" s="20" t="n">
        <v>1</v>
      </c>
      <c r="G116" s="20" t="n">
        <v>205</v>
      </c>
      <c r="H116" s="20" t="n">
        <v>-49</v>
      </c>
      <c r="I116" s="20" t="n">
        <v>7</v>
      </c>
      <c r="J116" s="20" t="n">
        <v>129</v>
      </c>
      <c r="K116" s="20" t="n">
        <v>-16</v>
      </c>
      <c r="L116" s="20" t="n">
        <v>3</v>
      </c>
      <c r="M116" s="20" t="n">
        <v>54</v>
      </c>
      <c r="N116" s="20" t="n">
        <v>6</v>
      </c>
      <c r="T116" s="20" t="n">
        <v>1</v>
      </c>
      <c r="U116" s="20" t="n">
        <v>1</v>
      </c>
      <c r="V116" s="20" t="n">
        <v>3</v>
      </c>
      <c r="W116" s="20" t="n">
        <v>7</v>
      </c>
      <c r="X116" s="20" t="n">
        <v>54</v>
      </c>
    </row>
    <row r="117">
      <c r="A117" s="18" t="inlineStr">
        <is>
          <t>투자유가증권 매각이익</t>
        </is>
      </c>
      <c r="C117" s="20" t="n">
        <v>0</v>
      </c>
      <c r="D117" s="20" t="n">
        <v>0</v>
      </c>
      <c r="E117" s="20" t="n">
        <v>465</v>
      </c>
      <c r="F117" s="20" t="n">
        <v>4</v>
      </c>
      <c r="G117" s="20" t="n">
        <v>136</v>
      </c>
      <c r="H117" s="20" t="n">
        <v>0</v>
      </c>
      <c r="I117" s="20" t="n">
        <v>1624</v>
      </c>
      <c r="J117" s="20" t="n">
        <v>319</v>
      </c>
      <c r="K117" s="20" t="n">
        <v>0</v>
      </c>
      <c r="L117" s="20" t="n">
        <v>0</v>
      </c>
      <c r="M117" s="20" t="n">
        <v>107</v>
      </c>
      <c r="N117" s="20" t="n">
        <v>56</v>
      </c>
      <c r="U117" s="20" t="n">
        <v>0</v>
      </c>
      <c r="V117" s="20" t="n">
        <v>465</v>
      </c>
      <c r="W117" s="20" t="n">
        <v>1624</v>
      </c>
      <c r="X117" s="20" t="n">
        <v>107</v>
      </c>
    </row>
    <row r="118">
      <c r="A118" s="18" t="inlineStr">
        <is>
          <t>보험금 수익</t>
        </is>
      </c>
      <c r="E118" s="20" t="n">
        <v>0</v>
      </c>
      <c r="T118" s="20" t="n">
        <v>146</v>
      </c>
      <c r="U118" s="20" t="n">
        <v>0</v>
      </c>
      <c r="V118" s="20" t="n">
        <v>0</v>
      </c>
    </row>
    <row r="119">
      <c r="A119" s="18" t="inlineStr">
        <is>
          <t>자회사 청산이익</t>
        </is>
      </c>
      <c r="F119" s="20" t="n">
        <v>16</v>
      </c>
      <c r="J119" s="20" t="n">
        <v>0</v>
      </c>
    </row>
    <row r="120">
      <c r="A120" s="18" t="inlineStr">
        <is>
          <t>기타</t>
        </is>
      </c>
      <c r="D120" s="20" t="n">
        <v>0</v>
      </c>
      <c r="E120" s="20" t="n">
        <v>0</v>
      </c>
      <c r="H120" s="20" t="n">
        <v>0</v>
      </c>
      <c r="I120" s="20" t="n">
        <v>-1</v>
      </c>
      <c r="L120" s="20" t="n">
        <v>0</v>
      </c>
      <c r="M120" s="20" t="n">
        <v>0</v>
      </c>
      <c r="T120" s="20" t="n">
        <v>-5</v>
      </c>
      <c r="U120" s="20" t="n">
        <v>0</v>
      </c>
      <c r="V120" s="20" t="n">
        <v>0</v>
      </c>
      <c r="W120" s="20" t="n">
        <v>-1</v>
      </c>
      <c r="X120" s="20" t="n">
        <v>0</v>
      </c>
    </row>
    <row r="121">
      <c r="A121" s="18" t="inlineStr">
        <is>
          <t>특별이익 합계</t>
        </is>
      </c>
      <c r="C121" s="20" t="n">
        <v>8</v>
      </c>
      <c r="D121" s="20" t="n">
        <v>6</v>
      </c>
      <c r="E121" s="20" t="n">
        <v>468</v>
      </c>
      <c r="F121" s="20" t="n">
        <v>22</v>
      </c>
      <c r="G121" s="20" t="n">
        <v>341</v>
      </c>
      <c r="H121" s="20" t="n">
        <v>-49</v>
      </c>
      <c r="I121" s="20" t="n">
        <v>1630</v>
      </c>
      <c r="J121" s="20" t="n">
        <v>448</v>
      </c>
      <c r="K121" s="20" t="n">
        <v>-16</v>
      </c>
      <c r="L121" s="20" t="n">
        <v>3</v>
      </c>
      <c r="M121" s="20" t="n">
        <v>161</v>
      </c>
      <c r="N121" s="20" t="n">
        <v>62</v>
      </c>
      <c r="T121" s="20" t="n">
        <v>148</v>
      </c>
      <c r="U121" s="20" t="n">
        <v>1</v>
      </c>
      <c r="V121" s="20" t="n">
        <v>468</v>
      </c>
      <c r="W121" s="20" t="n">
        <v>1630</v>
      </c>
      <c r="X121" s="20" t="n">
        <v>161</v>
      </c>
    </row>
    <row r="122">
      <c r="A122" s="18" t="inlineStr">
        <is>
          <t>고정자산 매각손실</t>
        </is>
      </c>
      <c r="C122" s="20" t="n">
        <v>0</v>
      </c>
      <c r="D122" s="20" t="n">
        <v>0</v>
      </c>
      <c r="E122" s="20" t="n">
        <v>0</v>
      </c>
      <c r="F122" s="20" t="n">
        <v>0</v>
      </c>
      <c r="G122" s="20" t="n">
        <v>0</v>
      </c>
      <c r="H122" s="20" t="n">
        <v>3</v>
      </c>
      <c r="I122" s="20" t="n">
        <v>0</v>
      </c>
      <c r="J122" s="20" t="n">
        <v>4</v>
      </c>
      <c r="K122" s="20" t="n">
        <v>0</v>
      </c>
      <c r="L122" s="20" t="n">
        <v>0</v>
      </c>
      <c r="M122" s="20" t="n">
        <v>344</v>
      </c>
      <c r="N122" s="20" t="n">
        <v>2</v>
      </c>
      <c r="T122" s="20" t="n">
        <v>0</v>
      </c>
      <c r="U122" s="20" t="n">
        <v>0</v>
      </c>
      <c r="V122" s="20" t="n">
        <v>0</v>
      </c>
      <c r="W122" s="20" t="n">
        <v>0</v>
      </c>
      <c r="X122" s="20" t="n">
        <v>344</v>
      </c>
    </row>
    <row r="123">
      <c r="A123" s="18" t="inlineStr">
        <is>
          <t>고정자산 제각손실</t>
        </is>
      </c>
      <c r="C123" s="20" t="n">
        <v>2</v>
      </c>
      <c r="D123" s="20" t="n">
        <v>1</v>
      </c>
      <c r="E123" s="20" t="n">
        <v>14</v>
      </c>
      <c r="F123" s="20" t="n">
        <v>1</v>
      </c>
      <c r="G123" s="20" t="n">
        <v>2</v>
      </c>
      <c r="H123" s="20" t="n">
        <v>1</v>
      </c>
      <c r="I123" s="20" t="n">
        <v>8</v>
      </c>
      <c r="J123" s="20" t="n">
        <v>0</v>
      </c>
      <c r="K123" s="20" t="n">
        <v>2</v>
      </c>
      <c r="L123" s="20" t="n">
        <v>0</v>
      </c>
      <c r="M123" s="20" t="n">
        <v>52</v>
      </c>
      <c r="N123" s="20" t="n">
        <v>3</v>
      </c>
      <c r="T123" s="20" t="n">
        <v>4</v>
      </c>
      <c r="U123" s="20" t="n">
        <v>18</v>
      </c>
      <c r="V123" s="20" t="n">
        <v>14</v>
      </c>
      <c r="W123" s="20" t="n">
        <v>8</v>
      </c>
      <c r="X123" s="20" t="n">
        <v>52</v>
      </c>
    </row>
    <row r="124">
      <c r="A124" s="18" t="inlineStr">
        <is>
          <t>Provision For Loss On Guarantees EL</t>
        </is>
      </c>
      <c r="F124" s="20" t="n">
        <v>0</v>
      </c>
    </row>
    <row r="125">
      <c r="A125" s="18" t="inlineStr">
        <is>
          <t>사업구조개선비용</t>
        </is>
      </c>
      <c r="T125" s="20" t="n">
        <v>-15</v>
      </c>
      <c r="U125" s="20" t="n">
        <v>0</v>
      </c>
    </row>
    <row r="126">
      <c r="A126" s="18" t="inlineStr">
        <is>
          <t>투자유가증권 평가손실</t>
        </is>
      </c>
      <c r="T126" s="20" t="n">
        <v>0</v>
      </c>
      <c r="U126" s="20" t="n">
        <v>0</v>
      </c>
    </row>
    <row r="127">
      <c r="A127" s="18" t="inlineStr">
        <is>
          <t>재해 손실</t>
        </is>
      </c>
      <c r="C127" s="20" t="n">
        <v>0</v>
      </c>
      <c r="D127" s="20" t="n">
        <v>0</v>
      </c>
      <c r="E127" s="20" t="n">
        <v>0</v>
      </c>
      <c r="I127" s="20" t="n">
        <v>0</v>
      </c>
      <c r="M127" s="20" t="n">
        <v>73</v>
      </c>
      <c r="T127" s="20" t="n">
        <v>0</v>
      </c>
      <c r="U127" s="20" t="n">
        <v>0</v>
      </c>
      <c r="V127" s="20" t="n">
        <v>0</v>
      </c>
      <c r="W127" s="20" t="n">
        <v>0</v>
      </c>
      <c r="X127" s="20" t="n">
        <v>73</v>
      </c>
    </row>
    <row r="128">
      <c r="A128" s="18" t="inlineStr">
        <is>
          <t>Loss On Guarantees EL</t>
        </is>
      </c>
      <c r="D128" s="20" t="n">
        <v>1</v>
      </c>
      <c r="H128" s="20" t="n">
        <v>0</v>
      </c>
    </row>
    <row r="129">
      <c r="A129" s="18" t="inlineStr">
        <is>
          <t>특별손실 합계</t>
        </is>
      </c>
      <c r="C129" s="20" t="n">
        <v>4</v>
      </c>
      <c r="D129" s="20" t="n">
        <v>2</v>
      </c>
      <c r="E129" s="20" t="n">
        <v>1400</v>
      </c>
      <c r="F129" s="20" t="n">
        <v>1</v>
      </c>
      <c r="G129" s="20" t="n">
        <v>2</v>
      </c>
      <c r="H129" s="20" t="n">
        <v>20</v>
      </c>
      <c r="I129" s="20" t="n">
        <v>375</v>
      </c>
      <c r="J129" s="20" t="n">
        <v>4</v>
      </c>
      <c r="K129" s="20" t="n">
        <v>2</v>
      </c>
      <c r="L129" s="20" t="n">
        <v>0</v>
      </c>
      <c r="M129" s="20" t="n">
        <v>493</v>
      </c>
      <c r="N129" s="20" t="n">
        <v>6</v>
      </c>
      <c r="T129" s="20" t="n">
        <v>-10</v>
      </c>
      <c r="U129" s="20" t="n">
        <v>19</v>
      </c>
      <c r="V129" s="20" t="n">
        <v>1400</v>
      </c>
      <c r="W129" s="20" t="n">
        <v>375</v>
      </c>
      <c r="X129" s="20" t="n">
        <v>493</v>
      </c>
    </row>
    <row r="130">
      <c r="A130" s="9" t="inlineStr">
        <is>
          <t>법인세차감전 순이익</t>
        </is>
      </c>
      <c r="C130" s="12" t="n">
        <v>1474</v>
      </c>
      <c r="D130" s="12" t="n">
        <v>223</v>
      </c>
      <c r="E130" s="12" t="n">
        <v>3663</v>
      </c>
      <c r="F130" s="12" t="n">
        <v>1132</v>
      </c>
      <c r="G130" s="12" t="n">
        <v>634</v>
      </c>
      <c r="H130" s="12" t="n">
        <v>2424</v>
      </c>
      <c r="I130" s="12" t="n">
        <v>4970</v>
      </c>
      <c r="J130" s="12" t="n">
        <v>1068</v>
      </c>
      <c r="K130" s="12" t="n">
        <v>3001</v>
      </c>
      <c r="L130" s="12" t="n">
        <v>4347</v>
      </c>
      <c r="M130" s="12" t="n">
        <v>2398</v>
      </c>
      <c r="N130" s="12" t="n">
        <v>963</v>
      </c>
      <c r="T130" s="12" t="n">
        <v>1626</v>
      </c>
      <c r="U130" s="12" t="n">
        <v>2989</v>
      </c>
      <c r="V130" s="12" t="n">
        <v>3663</v>
      </c>
      <c r="W130" s="12" t="n">
        <v>4970</v>
      </c>
      <c r="X130" s="12" t="n">
        <v>2398</v>
      </c>
    </row>
    <row r="131">
      <c r="A131" s="18" t="inlineStr">
        <is>
          <t>법인세·주민세·사업세</t>
        </is>
      </c>
      <c r="C131" s="20" t="n">
        <v>387</v>
      </c>
      <c r="D131" s="20" t="n">
        <v>270</v>
      </c>
      <c r="E131" s="20" t="n">
        <v>536</v>
      </c>
      <c r="F131" s="20" t="n">
        <v>416</v>
      </c>
      <c r="G131" s="20" t="n">
        <v>275</v>
      </c>
      <c r="H131" s="20" t="n">
        <v>567</v>
      </c>
      <c r="I131" s="20" t="n">
        <v>1384</v>
      </c>
      <c r="J131" s="20" t="n">
        <v>1048</v>
      </c>
      <c r="K131" s="20" t="n">
        <v>1192</v>
      </c>
      <c r="L131" s="20" t="n">
        <v>1075</v>
      </c>
      <c r="M131" s="20" t="n">
        <v>360</v>
      </c>
      <c r="N131" s="20" t="n">
        <v>930</v>
      </c>
      <c r="T131" s="20" t="n">
        <v>-186</v>
      </c>
      <c r="U131" s="20" t="n">
        <v>470</v>
      </c>
      <c r="V131" s="20" t="n">
        <v>536</v>
      </c>
      <c r="W131" s="20" t="n">
        <v>1384</v>
      </c>
      <c r="X131" s="20" t="n">
        <v>360</v>
      </c>
    </row>
    <row r="132">
      <c r="A132" s="18" t="inlineStr">
        <is>
          <t>법인세 조정액</t>
        </is>
      </c>
      <c r="C132" s="20" t="n">
        <v>-39</v>
      </c>
      <c r="D132" s="20" t="n">
        <v>-190</v>
      </c>
      <c r="E132" s="20" t="n">
        <v>-230</v>
      </c>
      <c r="F132" s="20" t="n">
        <v>94</v>
      </c>
      <c r="G132" s="20" t="n">
        <v>-25</v>
      </c>
      <c r="H132" s="20" t="n">
        <v>-50</v>
      </c>
      <c r="I132" s="20" t="n">
        <v>-748</v>
      </c>
      <c r="J132" s="20" t="n">
        <v>-407</v>
      </c>
      <c r="K132" s="20" t="n">
        <v>-121</v>
      </c>
      <c r="L132" s="20" t="n">
        <v>277</v>
      </c>
      <c r="M132" s="20" t="n">
        <v>20</v>
      </c>
      <c r="N132" s="20" t="n">
        <v>-493</v>
      </c>
      <c r="T132" s="20" t="n">
        <v>-1</v>
      </c>
      <c r="U132" s="20" t="n">
        <v>-387</v>
      </c>
      <c r="V132" s="20" t="n">
        <v>-230</v>
      </c>
      <c r="W132" s="20" t="n">
        <v>-748</v>
      </c>
      <c r="X132" s="20" t="n">
        <v>20</v>
      </c>
    </row>
    <row r="133">
      <c r="A133" s="18" t="inlineStr">
        <is>
          <t>법인세 등 합계</t>
        </is>
      </c>
      <c r="C133" s="20" t="n">
        <v>348</v>
      </c>
      <c r="D133" s="20" t="n">
        <v>80</v>
      </c>
      <c r="E133" s="20" t="n">
        <v>305</v>
      </c>
      <c r="F133" s="20" t="n">
        <v>510</v>
      </c>
      <c r="G133" s="20" t="n">
        <v>250</v>
      </c>
      <c r="H133" s="20" t="n">
        <v>517</v>
      </c>
      <c r="I133" s="20" t="n">
        <v>635</v>
      </c>
      <c r="J133" s="20" t="n">
        <v>641</v>
      </c>
      <c r="K133" s="20" t="n">
        <v>1071</v>
      </c>
      <c r="L133" s="20" t="n">
        <v>1352</v>
      </c>
      <c r="M133" s="20" t="n">
        <v>379</v>
      </c>
      <c r="N133" s="20" t="n">
        <v>436</v>
      </c>
      <c r="T133" s="20" t="n">
        <v>-187</v>
      </c>
      <c r="U133" s="20" t="n">
        <v>83</v>
      </c>
      <c r="V133" s="20" t="n">
        <v>305</v>
      </c>
      <c r="W133" s="20" t="n">
        <v>635</v>
      </c>
      <c r="X133" s="20" t="n">
        <v>379</v>
      </c>
    </row>
    <row r="134">
      <c r="A134" s="9" t="inlineStr">
        <is>
          <t>순이익</t>
        </is>
      </c>
      <c r="C134" s="12" t="n">
        <v>1127</v>
      </c>
      <c r="D134" s="12" t="n">
        <v>142</v>
      </c>
      <c r="E134" s="12" t="n">
        <v>3358</v>
      </c>
      <c r="F134" s="12" t="n">
        <v>621</v>
      </c>
      <c r="G134" s="12" t="n">
        <v>384</v>
      </c>
      <c r="H134" s="12" t="n">
        <v>1908</v>
      </c>
      <c r="I134" s="12" t="n">
        <v>4334</v>
      </c>
      <c r="J134" s="12" t="n">
        <v>427</v>
      </c>
      <c r="K134" s="12" t="n">
        <v>1930</v>
      </c>
      <c r="L134" s="12" t="n">
        <v>2995</v>
      </c>
      <c r="M134" s="12" t="n">
        <v>2019</v>
      </c>
      <c r="N134" s="12" t="n">
        <v>526</v>
      </c>
      <c r="T134" s="12" t="n">
        <v>1812</v>
      </c>
      <c r="U134" s="12" t="n">
        <v>2907</v>
      </c>
      <c r="V134" s="12" t="n">
        <v>3358</v>
      </c>
      <c r="W134" s="12" t="n">
        <v>4334</v>
      </c>
      <c r="X134" s="12" t="n">
        <v>2019</v>
      </c>
    </row>
    <row r="135">
      <c r="A135" s="43" t="inlineStr">
        <is>
          <t>YoY</t>
        </is>
      </c>
      <c r="B135" s="3" t="inlineStr">
        <is>
          <t>전년 같은 분기·전년 대비</t>
        </is>
      </c>
      <c r="G135" s="15">
        <f>IF(OR(G134="",C134=""),"",IF(C134&lt;=0,"",IFERROR(G134/C134-1,"")))</f>
        <v/>
      </c>
      <c r="H135" s="15">
        <f>IF(OR(H134="",D134=""),"",IF(D134&lt;=0,"",IFERROR(H134/D134-1,"")))</f>
        <v/>
      </c>
      <c r="I135" s="15">
        <f>IF(OR(I134="",E134=""),"",IF(E134&lt;=0,"",IFERROR(I134/E134-1,"")))</f>
        <v/>
      </c>
      <c r="J135" s="15">
        <f>IF(OR(J134="",F134=""),"",IF(F134&lt;=0,"",IFERROR(J134/F134-1,"")))</f>
        <v/>
      </c>
      <c r="K135" s="15">
        <f>IF(OR(K134="",G134=""),"",IF(G134&lt;=0,"",IFERROR(K134/G134-1,"")))</f>
        <v/>
      </c>
      <c r="L135" s="15">
        <f>IF(OR(L134="",H134=""),"",IF(H134&lt;=0,"",IFERROR(L134/H134-1,"")))</f>
        <v/>
      </c>
      <c r="M135" s="15">
        <f>IF(OR(M134="",I134=""),"",IF(I134&lt;=0,"",IFERROR(M134/I134-1,"")))</f>
        <v/>
      </c>
      <c r="N135" s="15">
        <f>IF(OR(N134="",J134=""),"",IF(J134&lt;=0,"",IFERROR(N134/J134-1,"")))</f>
        <v/>
      </c>
      <c r="T135" s="15">
        <f>IF(OR(T134="",S134=""),"",IF(S134&lt;=0,"",IFERROR(T134/S134-1,"")))</f>
        <v/>
      </c>
      <c r="U135" s="15">
        <f>IF(OR(U134="",T134=""),"",IF(T134&lt;=0,"",IFERROR(U134/T134-1,"")))</f>
        <v/>
      </c>
      <c r="V135" s="15">
        <f>IF(OR(V134="",U134=""),"",IF(U134&lt;=0,"",IFERROR(V134/U134-1,"")))</f>
        <v/>
      </c>
      <c r="W135" s="15">
        <f>IF(OR(W134="",V134=""),"",IF(V134&lt;=0,"",IFERROR(W134/V134-1,"")))</f>
        <v/>
      </c>
      <c r="X135" s="15">
        <f>IF(OR(X134="",W134=""),"",IF(W134&lt;=0,"",IFERROR(X134/W134-1,"")))</f>
        <v/>
      </c>
    </row>
    <row r="136">
      <c r="A136" s="9" t="inlineStr">
        <is>
          <t>비지배주주 순이익</t>
        </is>
      </c>
      <c r="C136" s="12" t="n">
        <v>0</v>
      </c>
      <c r="D136" s="12" t="n">
        <v>0</v>
      </c>
      <c r="E136" s="12" t="n">
        <v>0</v>
      </c>
      <c r="F136" s="12" t="n">
        <v>0</v>
      </c>
      <c r="G136" s="12" t="n">
        <v>0</v>
      </c>
      <c r="H136" s="12" t="n">
        <v>0</v>
      </c>
      <c r="I136" s="12" t="n">
        <v>0</v>
      </c>
      <c r="T136" s="12" t="n">
        <v>18</v>
      </c>
      <c r="U136" s="12" t="n">
        <v>29</v>
      </c>
      <c r="V136" s="12" t="n">
        <v>0</v>
      </c>
      <c r="W136" s="12" t="n">
        <v>0</v>
      </c>
    </row>
    <row r="137">
      <c r="A137" s="9" t="inlineStr">
        <is>
          <t>지배주주 순이익</t>
        </is>
      </c>
      <c r="C137" s="12" t="n">
        <v>1126</v>
      </c>
      <c r="D137" s="12" t="n">
        <v>143</v>
      </c>
      <c r="E137" s="12" t="n">
        <v>3357</v>
      </c>
      <c r="F137" s="12" t="n">
        <v>621</v>
      </c>
      <c r="G137" s="12" t="n">
        <v>384</v>
      </c>
      <c r="H137" s="12" t="n">
        <v>1908</v>
      </c>
      <c r="I137" s="12" t="n">
        <v>4334</v>
      </c>
      <c r="J137" s="12" t="n">
        <v>427</v>
      </c>
      <c r="K137" s="12" t="n">
        <v>1930</v>
      </c>
      <c r="L137" s="12" t="n">
        <v>2995</v>
      </c>
      <c r="M137" s="12" t="n">
        <v>2019</v>
      </c>
      <c r="N137" s="12" t="n">
        <v>526</v>
      </c>
      <c r="T137" s="12" t="n">
        <v>1794</v>
      </c>
      <c r="U137" s="12" t="n">
        <v>2877</v>
      </c>
      <c r="V137" s="12" t="n">
        <v>3357</v>
      </c>
      <c r="W137" s="12" t="n">
        <v>4334</v>
      </c>
      <c r="X137" s="12" t="n">
        <v>2019</v>
      </c>
    </row>
    <row r="138">
      <c r="A138" s="43" t="inlineStr">
        <is>
          <t>YoY</t>
        </is>
      </c>
      <c r="B138" s="3" t="inlineStr">
        <is>
          <t>전년 같은 분기·전년 대비</t>
        </is>
      </c>
      <c r="G138" s="15">
        <f>IF(OR(G137="",C137=""),"",IF(C137&lt;=0,"",IFERROR(G137/C137-1,"")))</f>
        <v/>
      </c>
      <c r="H138" s="15">
        <f>IF(OR(H137="",D137=""),"",IF(D137&lt;=0,"",IFERROR(H137/D137-1,"")))</f>
        <v/>
      </c>
      <c r="I138" s="15">
        <f>IF(OR(I137="",E137=""),"",IF(E137&lt;=0,"",IFERROR(I137/E137-1,"")))</f>
        <v/>
      </c>
      <c r="J138" s="15">
        <f>IF(OR(J137="",F137=""),"",IF(F137&lt;=0,"",IFERROR(J137/F137-1,"")))</f>
        <v/>
      </c>
      <c r="K138" s="15">
        <f>IF(OR(K137="",G137=""),"",IF(G137&lt;=0,"",IFERROR(K137/G137-1,"")))</f>
        <v/>
      </c>
      <c r="L138" s="15">
        <f>IF(OR(L137="",H137=""),"",IF(H137&lt;=0,"",IFERROR(L137/H137-1,"")))</f>
        <v/>
      </c>
      <c r="M138" s="15">
        <f>IF(OR(M137="",I137=""),"",IF(I137&lt;=0,"",IFERROR(M137/I137-1,"")))</f>
        <v/>
      </c>
      <c r="N138" s="15">
        <f>IF(OR(N137="",J137=""),"",IF(J137&lt;=0,"",IFERROR(N137/J137-1,"")))</f>
        <v/>
      </c>
      <c r="T138" s="15">
        <f>IF(OR(T137="",S137=""),"",IF(S137&lt;=0,"",IFERROR(T137/S137-1,"")))</f>
        <v/>
      </c>
      <c r="U138" s="15">
        <f>IF(OR(U137="",T137=""),"",IF(T137&lt;=0,"",IFERROR(U137/T137-1,"")))</f>
        <v/>
      </c>
      <c r="V138" s="15">
        <f>IF(OR(V137="",U137=""),"",IF(U137&lt;=0,"",IFERROR(V137/U137-1,"")))</f>
        <v/>
      </c>
      <c r="W138" s="15">
        <f>IF(OR(W137="",V137=""),"",IF(V137&lt;=0,"",IFERROR(W137/V137-1,"")))</f>
        <v/>
      </c>
      <c r="X138" s="15">
        <f>IF(OR(X137="",W137=""),"",IF(W137&lt;=0,"",IFERROR(X137/W137-1,"")))</f>
        <v/>
      </c>
    </row>
    <row r="140">
      <c r="A140" s="16" t="inlineStr">
        <is>
          <t>포괄손익 · 전 항목</t>
        </is>
      </c>
      <c r="B140" s="42" t="inlineStr">
        <is>
          <t>분기 = 3개월 단독</t>
        </is>
      </c>
      <c r="C140" s="16" t="n"/>
      <c r="D140" s="16" t="n"/>
      <c r="E140" s="16" t="n"/>
      <c r="F140" s="16" t="n"/>
      <c r="G140" s="16" t="n"/>
      <c r="H140" s="16" t="n"/>
      <c r="I140" s="16" t="n"/>
      <c r="J140" s="16" t="n"/>
      <c r="K140" s="16" t="n"/>
      <c r="L140" s="16" t="n"/>
      <c r="M140" s="16" t="n"/>
      <c r="N140" s="16" t="n"/>
      <c r="O140" s="16" t="n"/>
      <c r="P140" s="16" t="n"/>
      <c r="Q140" s="16" t="n"/>
      <c r="R140" s="16" t="n"/>
      <c r="S140" s="16" t="n"/>
      <c r="T140" s="16" t="n"/>
      <c r="U140" s="16" t="n"/>
      <c r="V140" s="16" t="n"/>
      <c r="W140" s="16" t="n"/>
      <c r="X140" s="16" t="n"/>
      <c r="Y140" s="16" t="n"/>
      <c r="Z140" s="16" t="n"/>
      <c r="AA140" s="16" t="n"/>
      <c r="AB140" s="16" t="n"/>
      <c r="AC140" s="16" t="n"/>
    </row>
    <row r="141">
      <c r="A141" s="5" t="inlineStr">
        <is>
          <t>항목</t>
        </is>
      </c>
      <c r="B141" s="5" t="inlineStr">
        <is>
          <t>참고</t>
        </is>
      </c>
      <c r="C141" s="5" t="inlineStr">
        <is>
          <t>2024.2Q</t>
        </is>
      </c>
      <c r="D141" s="5" t="inlineStr">
        <is>
          <t>2024.3Q</t>
        </is>
      </c>
      <c r="E141" s="5" t="inlineStr">
        <is>
          <t>2024.4Q</t>
        </is>
      </c>
      <c r="F141" s="5" t="inlineStr">
        <is>
          <t>2025.1Q</t>
        </is>
      </c>
      <c r="G141" s="5" t="inlineStr">
        <is>
          <t>2025.2Q</t>
        </is>
      </c>
      <c r="H141" s="5" t="inlineStr">
        <is>
          <t>2025.3Q</t>
        </is>
      </c>
      <c r="I141" s="5" t="inlineStr">
        <is>
          <t>2025.4Q</t>
        </is>
      </c>
      <c r="J141" s="5" t="inlineStr">
        <is>
          <t>2026.1Q</t>
        </is>
      </c>
      <c r="K141" s="5" t="inlineStr">
        <is>
          <t>2026.2Q</t>
        </is>
      </c>
      <c r="L141" s="5" t="inlineStr">
        <is>
          <t>2026.3Q</t>
        </is>
      </c>
      <c r="M141" s="5" t="inlineStr">
        <is>
          <t>2026.4Q</t>
        </is>
      </c>
      <c r="N141" s="5" t="inlineStr">
        <is>
          <t>2027.1Q</t>
        </is>
      </c>
      <c r="O141" s="5" t="inlineStr">
        <is>
          <t>2017</t>
        </is>
      </c>
      <c r="P141" s="5" t="inlineStr">
        <is>
          <t>2018</t>
        </is>
      </c>
      <c r="Q141" s="5" t="inlineStr">
        <is>
          <t>2019</t>
        </is>
      </c>
      <c r="R141" s="5" t="inlineStr">
        <is>
          <t>2020</t>
        </is>
      </c>
      <c r="S141" s="5" t="inlineStr">
        <is>
          <t>2021</t>
        </is>
      </c>
      <c r="T141" s="5" t="inlineStr">
        <is>
          <t>2022</t>
        </is>
      </c>
      <c r="U141" s="5" t="inlineStr">
        <is>
          <t>2023</t>
        </is>
      </c>
      <c r="V141" s="5" t="inlineStr">
        <is>
          <t>2024</t>
        </is>
      </c>
      <c r="W141" s="5" t="inlineStr">
        <is>
          <t>2025</t>
        </is>
      </c>
      <c r="X141" s="5" t="inlineStr">
        <is>
          <t>2026</t>
        </is>
      </c>
      <c r="Y141" s="5" t="inlineStr">
        <is>
          <t>2027(MW)</t>
        </is>
      </c>
      <c r="Z141" s="5" t="inlineStr">
        <is>
          <t>2028(MW)</t>
        </is>
      </c>
      <c r="AA141" s="5" t="inlineStr">
        <is>
          <t>2029(MW)</t>
        </is>
      </c>
      <c r="AB141" s="5" t="inlineStr">
        <is>
          <t>2030(MW)</t>
        </is>
      </c>
      <c r="AC141" s="5" t="inlineStr">
        <is>
          <t>2031(MW)</t>
        </is>
      </c>
    </row>
    <row r="142">
      <c r="A142" s="9" t="inlineStr">
        <is>
          <t>순이익</t>
        </is>
      </c>
      <c r="C142" s="12" t="n">
        <v>1127</v>
      </c>
      <c r="D142" s="12" t="n">
        <v>142</v>
      </c>
      <c r="E142" s="12" t="n">
        <v>3358</v>
      </c>
      <c r="F142" s="12" t="n">
        <v>621</v>
      </c>
      <c r="G142" s="12" t="n">
        <v>384</v>
      </c>
      <c r="H142" s="12" t="n">
        <v>1908</v>
      </c>
      <c r="I142" s="12" t="n">
        <v>4334</v>
      </c>
      <c r="J142" s="12" t="n">
        <v>427</v>
      </c>
      <c r="K142" s="12" t="n">
        <v>1930</v>
      </c>
      <c r="L142" s="12" t="n">
        <v>2995</v>
      </c>
      <c r="M142" s="12" t="n">
        <v>2019</v>
      </c>
      <c r="N142" s="12" t="n">
        <v>526</v>
      </c>
      <c r="T142" s="12" t="n">
        <v>1812</v>
      </c>
      <c r="U142" s="12" t="n">
        <v>2907</v>
      </c>
      <c r="V142" s="12" t="n">
        <v>3358</v>
      </c>
      <c r="W142" s="12" t="n">
        <v>4334</v>
      </c>
      <c r="X142" s="12" t="n">
        <v>2019</v>
      </c>
    </row>
    <row r="143">
      <c r="A143" s="18" t="inlineStr">
        <is>
          <t>기타유가증권 평가차액</t>
        </is>
      </c>
      <c r="C143" s="20" t="n">
        <v>326</v>
      </c>
      <c r="D143" s="20" t="n">
        <v>1342</v>
      </c>
      <c r="E143" s="20" t="n">
        <v>2188</v>
      </c>
      <c r="F143" s="20" t="n">
        <v>-754</v>
      </c>
      <c r="G143" s="20" t="n">
        <v>-1790</v>
      </c>
      <c r="H143" s="20" t="n">
        <v>5</v>
      </c>
      <c r="I143" s="20" t="n">
        <v>-941</v>
      </c>
      <c r="J143" s="20" t="n">
        <v>158</v>
      </c>
      <c r="K143" s="20" t="n">
        <v>1097</v>
      </c>
      <c r="L143" s="20" t="n">
        <v>1191</v>
      </c>
      <c r="M143" s="20" t="n">
        <v>398</v>
      </c>
      <c r="N143" s="20" t="n">
        <v>3252</v>
      </c>
      <c r="T143" s="20" t="n">
        <v>-77</v>
      </c>
      <c r="U143" s="20" t="n">
        <v>993</v>
      </c>
      <c r="V143" s="20" t="n">
        <v>2188</v>
      </c>
      <c r="W143" s="20" t="n">
        <v>-941</v>
      </c>
      <c r="X143" s="20" t="n">
        <v>398</v>
      </c>
    </row>
    <row r="144">
      <c r="A144" s="18" t="inlineStr">
        <is>
          <t>해외사업환산조정</t>
        </is>
      </c>
      <c r="C144" s="20" t="n">
        <v>203</v>
      </c>
      <c r="D144" s="20" t="n">
        <v>-364</v>
      </c>
      <c r="E144" s="20" t="n">
        <v>683</v>
      </c>
      <c r="F144" s="20" t="n">
        <v>874</v>
      </c>
      <c r="G144" s="20" t="n">
        <v>-1473</v>
      </c>
      <c r="H144" s="20" t="n">
        <v>1046</v>
      </c>
      <c r="I144" s="20" t="n">
        <v>-705</v>
      </c>
      <c r="J144" s="20" t="n">
        <v>-41</v>
      </c>
      <c r="K144" s="20" t="n">
        <v>289</v>
      </c>
      <c r="L144" s="20" t="n">
        <v>848</v>
      </c>
      <c r="M144" s="20" t="n">
        <v>190</v>
      </c>
      <c r="N144" s="20" t="n">
        <v>288</v>
      </c>
      <c r="T144" s="20" t="n">
        <v>643</v>
      </c>
      <c r="U144" s="20" t="n">
        <v>456</v>
      </c>
      <c r="V144" s="20" t="n">
        <v>683</v>
      </c>
      <c r="W144" s="20" t="n">
        <v>-705</v>
      </c>
      <c r="X144" s="20" t="n">
        <v>190</v>
      </c>
    </row>
    <row r="145">
      <c r="A145" s="18" t="inlineStr">
        <is>
          <t>퇴직급여 조정액</t>
        </is>
      </c>
      <c r="C145" s="20" t="n">
        <v>32</v>
      </c>
      <c r="D145" s="20" t="n">
        <v>36</v>
      </c>
      <c r="E145" s="20" t="n">
        <v>825</v>
      </c>
      <c r="F145" s="20" t="n">
        <v>-18</v>
      </c>
      <c r="G145" s="20" t="n">
        <v>63</v>
      </c>
      <c r="H145" s="20" t="n">
        <v>-6</v>
      </c>
      <c r="I145" s="20" t="n">
        <v>949</v>
      </c>
      <c r="J145" s="20" t="n">
        <v>-142</v>
      </c>
      <c r="K145" s="20" t="n">
        <v>-23</v>
      </c>
      <c r="L145" s="20" t="n">
        <v>-42</v>
      </c>
      <c r="M145" s="20" t="n">
        <v>539</v>
      </c>
      <c r="N145" s="20" t="n">
        <v>-5</v>
      </c>
      <c r="T145" s="20" t="n">
        <v>357</v>
      </c>
      <c r="U145" s="20" t="n">
        <v>-712</v>
      </c>
      <c r="V145" s="20" t="n">
        <v>825</v>
      </c>
      <c r="W145" s="20" t="n">
        <v>949</v>
      </c>
      <c r="X145" s="20" t="n">
        <v>539</v>
      </c>
    </row>
    <row r="146">
      <c r="A146" s="18" t="inlineStr">
        <is>
          <t>기타포괄손익 합계</t>
        </is>
      </c>
      <c r="C146" s="20" t="n">
        <v>562</v>
      </c>
      <c r="D146" s="20" t="n">
        <v>1014</v>
      </c>
      <c r="E146" s="20" t="n">
        <v>3697</v>
      </c>
      <c r="F146" s="20" t="n">
        <v>101</v>
      </c>
      <c r="G146" s="20" t="n">
        <v>-3199</v>
      </c>
      <c r="H146" s="20" t="n">
        <v>1046</v>
      </c>
      <c r="I146" s="20" t="n">
        <v>-699</v>
      </c>
      <c r="J146" s="20" t="n">
        <v>-26</v>
      </c>
      <c r="K146" s="20" t="n">
        <v>1363</v>
      </c>
      <c r="L146" s="20" t="n">
        <v>1998</v>
      </c>
      <c r="M146" s="20" t="n">
        <v>1127</v>
      </c>
      <c r="N146" s="20" t="n">
        <v>3535</v>
      </c>
      <c r="T146" s="20" t="n">
        <v>924</v>
      </c>
      <c r="U146" s="20" t="n">
        <v>736</v>
      </c>
      <c r="V146" s="20" t="n">
        <v>3697</v>
      </c>
      <c r="W146" s="20" t="n">
        <v>-699</v>
      </c>
      <c r="X146" s="20" t="n">
        <v>1127</v>
      </c>
    </row>
    <row r="147">
      <c r="A147" s="9" t="inlineStr">
        <is>
          <t>포괄이익</t>
        </is>
      </c>
      <c r="C147" s="12" t="n">
        <v>1688</v>
      </c>
      <c r="D147" s="12" t="n">
        <v>1157</v>
      </c>
      <c r="E147" s="12" t="n">
        <v>7054</v>
      </c>
      <c r="F147" s="12" t="n">
        <v>723</v>
      </c>
      <c r="G147" s="12" t="n">
        <v>-2815</v>
      </c>
      <c r="H147" s="12" t="n">
        <v>2952</v>
      </c>
      <c r="I147" s="12" t="n">
        <v>3636</v>
      </c>
      <c r="J147" s="12" t="n">
        <v>401</v>
      </c>
      <c r="K147" s="12" t="n">
        <v>3294</v>
      </c>
      <c r="L147" s="12" t="n">
        <v>4992</v>
      </c>
      <c r="M147" s="12" t="n">
        <v>3147</v>
      </c>
      <c r="N147" s="12" t="n">
        <v>4062</v>
      </c>
      <c r="T147" s="12" t="n">
        <v>2736</v>
      </c>
      <c r="U147" s="12" t="n">
        <v>3642</v>
      </c>
      <c r="V147" s="12" t="n">
        <v>7054</v>
      </c>
      <c r="W147" s="12" t="n">
        <v>3636</v>
      </c>
      <c r="X147" s="12" t="n">
        <v>3147</v>
      </c>
    </row>
    <row r="148">
      <c r="A148" s="9" t="inlineStr">
        <is>
          <t>지배주주 포괄이익</t>
        </is>
      </c>
      <c r="C148" s="12" t="n">
        <v>1688</v>
      </c>
      <c r="D148" s="12" t="n">
        <v>1157</v>
      </c>
      <c r="E148" s="12" t="n">
        <v>7054</v>
      </c>
      <c r="F148" s="12" t="n">
        <v>723</v>
      </c>
      <c r="G148" s="12" t="n">
        <v>-2815</v>
      </c>
      <c r="H148" s="12" t="n">
        <v>2952</v>
      </c>
      <c r="I148" s="12" t="n">
        <v>3636</v>
      </c>
      <c r="J148" s="12" t="n">
        <v>401</v>
      </c>
      <c r="K148" s="12" t="n">
        <v>3294</v>
      </c>
      <c r="L148" s="12" t="n">
        <v>4992</v>
      </c>
      <c r="M148" s="12" t="n">
        <v>3145</v>
      </c>
      <c r="N148" s="12" t="n">
        <v>4062</v>
      </c>
      <c r="T148" s="12" t="n">
        <v>2713</v>
      </c>
      <c r="U148" s="12" t="n">
        <v>3612</v>
      </c>
      <c r="V148" s="12" t="n">
        <v>7054</v>
      </c>
      <c r="W148" s="12" t="n">
        <v>3636</v>
      </c>
      <c r="X148" s="12" t="n">
        <v>3145</v>
      </c>
    </row>
    <row r="149">
      <c r="A149" s="9" t="inlineStr">
        <is>
          <t>비지배주주 포괄이익</t>
        </is>
      </c>
      <c r="C149" s="12" t="n">
        <v>0</v>
      </c>
      <c r="D149" s="12" t="n">
        <v>0</v>
      </c>
      <c r="E149" s="12" t="n">
        <v>0</v>
      </c>
      <c r="F149" s="12" t="n">
        <v>0</v>
      </c>
      <c r="G149" s="12" t="n">
        <v>0</v>
      </c>
      <c r="H149" s="12" t="n">
        <v>0</v>
      </c>
      <c r="I149" s="12" t="n">
        <v>0</v>
      </c>
      <c r="T149" s="12" t="n">
        <v>24</v>
      </c>
      <c r="U149" s="12" t="n">
        <v>31</v>
      </c>
      <c r="V149" s="12" t="n">
        <v>0</v>
      </c>
      <c r="W149" s="12" t="n">
        <v>0</v>
      </c>
    </row>
    <row r="151">
      <c r="A151" s="16" t="inlineStr">
        <is>
          <t>부문 · 전 항목</t>
        </is>
      </c>
      <c r="B151" s="42" t="inlineStr">
        <is>
          <t>부문 · 항목</t>
        </is>
      </c>
      <c r="C151" s="16" t="n"/>
      <c r="D151" s="16" t="n"/>
      <c r="E151" s="16" t="n"/>
      <c r="F151" s="16" t="n"/>
      <c r="G151" s="16" t="n"/>
      <c r="H151" s="16" t="n"/>
      <c r="I151" s="16" t="n"/>
      <c r="J151" s="16" t="n"/>
      <c r="K151" s="16" t="n"/>
      <c r="L151" s="16" t="n"/>
      <c r="M151" s="16" t="n"/>
      <c r="N151" s="16" t="n"/>
      <c r="O151" s="16" t="n"/>
      <c r="P151" s="16" t="n"/>
      <c r="Q151" s="16" t="n"/>
      <c r="R151" s="16" t="n"/>
      <c r="S151" s="16" t="n"/>
      <c r="T151" s="16" t="n"/>
      <c r="U151" s="16" t="n"/>
      <c r="V151" s="16" t="n"/>
      <c r="W151" s="16" t="n"/>
      <c r="X151" s="16" t="n"/>
      <c r="Y151" s="16" t="n"/>
      <c r="Z151" s="16" t="n"/>
      <c r="AA151" s="16" t="n"/>
      <c r="AB151" s="16" t="n"/>
      <c r="AC151" s="16" t="n"/>
    </row>
    <row r="152">
      <c r="A152" s="5" t="inlineStr">
        <is>
          <t>항목</t>
        </is>
      </c>
      <c r="B152" s="5" t="inlineStr">
        <is>
          <t>참고</t>
        </is>
      </c>
      <c r="C152" s="5" t="inlineStr">
        <is>
          <t>2024.2Q</t>
        </is>
      </c>
      <c r="D152" s="5" t="inlineStr">
        <is>
          <t>2024.3Q</t>
        </is>
      </c>
      <c r="E152" s="5" t="inlineStr">
        <is>
          <t>2024.4Q</t>
        </is>
      </c>
      <c r="F152" s="5" t="inlineStr">
        <is>
          <t>2025.1Q</t>
        </is>
      </c>
      <c r="G152" s="5" t="inlineStr">
        <is>
          <t>2025.2Q</t>
        </is>
      </c>
      <c r="H152" s="5" t="inlineStr">
        <is>
          <t>2025.3Q</t>
        </is>
      </c>
      <c r="I152" s="5" t="inlineStr">
        <is>
          <t>2025.4Q</t>
        </is>
      </c>
      <c r="J152" s="5" t="inlineStr">
        <is>
          <t>2026.1Q</t>
        </is>
      </c>
      <c r="K152" s="5" t="inlineStr">
        <is>
          <t>2026.2Q</t>
        </is>
      </c>
      <c r="L152" s="5" t="inlineStr">
        <is>
          <t>2026.3Q</t>
        </is>
      </c>
      <c r="M152" s="5" t="inlineStr">
        <is>
          <t>2026.4Q</t>
        </is>
      </c>
      <c r="N152" s="5" t="inlineStr">
        <is>
          <t>2027.1Q</t>
        </is>
      </c>
      <c r="O152" s="5" t="inlineStr">
        <is>
          <t>2017</t>
        </is>
      </c>
      <c r="P152" s="5" t="inlineStr">
        <is>
          <t>2018</t>
        </is>
      </c>
      <c r="Q152" s="5" t="inlineStr">
        <is>
          <t>2019</t>
        </is>
      </c>
      <c r="R152" s="5" t="inlineStr">
        <is>
          <t>2020</t>
        </is>
      </c>
      <c r="S152" s="5" t="inlineStr">
        <is>
          <t>2021</t>
        </is>
      </c>
      <c r="T152" s="5" t="inlineStr">
        <is>
          <t>2022</t>
        </is>
      </c>
      <c r="U152" s="5" t="inlineStr">
        <is>
          <t>2023</t>
        </is>
      </c>
      <c r="V152" s="5" t="inlineStr">
        <is>
          <t>2024</t>
        </is>
      </c>
      <c r="W152" s="5" t="inlineStr">
        <is>
          <t>2025</t>
        </is>
      </c>
      <c r="X152" s="5" t="inlineStr">
        <is>
          <t>2026</t>
        </is>
      </c>
      <c r="Y152" s="5" t="inlineStr">
        <is>
          <t>2027(MW)</t>
        </is>
      </c>
      <c r="Z152" s="5" t="inlineStr">
        <is>
          <t>2028(MW)</t>
        </is>
      </c>
      <c r="AA152" s="5" t="inlineStr">
        <is>
          <t>2029(MW)</t>
        </is>
      </c>
      <c r="AB152" s="5" t="inlineStr">
        <is>
          <t>2030(MW)</t>
        </is>
      </c>
      <c r="AC152" s="5" t="inlineStr">
        <is>
          <t>2031(MW)</t>
        </is>
      </c>
    </row>
    <row r="153">
      <c r="A153" s="18" t="inlineStr">
        <is>
          <t>JapanReportableSegmentsMember · 외부 고객 매출</t>
        </is>
      </c>
      <c r="E153" s="20" t="n">
        <v>18125</v>
      </c>
      <c r="F153" s="20" t="n">
        <v>13030</v>
      </c>
      <c r="I153" s="20" t="n">
        <v>14188</v>
      </c>
      <c r="J153" s="20" t="n">
        <v>11925</v>
      </c>
      <c r="M153" s="20" t="n">
        <v>14787</v>
      </c>
      <c r="N153" s="20" t="n">
        <v>10185</v>
      </c>
      <c r="V153" s="20" t="n">
        <v>18125</v>
      </c>
      <c r="W153" s="20" t="n">
        <v>14188</v>
      </c>
      <c r="X153" s="20" t="n">
        <v>14787</v>
      </c>
    </row>
    <row r="154">
      <c r="A154" s="43" t="inlineStr">
        <is>
          <t>YoY</t>
        </is>
      </c>
      <c r="B154" s="3" t="inlineStr">
        <is>
          <t>전년 같은 분기·전년 대비</t>
        </is>
      </c>
      <c r="I154" s="15">
        <f>IF(OR(I153="",E153=""),"",IF(E153&lt;=0,"",IFERROR(I153/E153-1,"")))</f>
        <v/>
      </c>
      <c r="J154" s="15">
        <f>IF(OR(J153="",F153=""),"",IF(F153&lt;=0,"",IFERROR(J153/F153-1,"")))</f>
        <v/>
      </c>
      <c r="M154" s="15">
        <f>IF(OR(M153="",I153=""),"",IF(I153&lt;=0,"",IFERROR(M153/I153-1,"")))</f>
        <v/>
      </c>
      <c r="N154" s="15">
        <f>IF(OR(N153="",J153=""),"",IF(J153&lt;=0,"",IFERROR(N153/J153-1,"")))</f>
        <v/>
      </c>
      <c r="V154" s="15">
        <f>IF(OR(V153="",U153=""),"",IF(U153&lt;=0,"",IFERROR(V153/U153-1,"")))</f>
        <v/>
      </c>
      <c r="W154" s="15">
        <f>IF(OR(W153="",V153=""),"",IF(V153&lt;=0,"",IFERROR(W153/V153-1,"")))</f>
        <v/>
      </c>
      <c r="X154" s="15">
        <f>IF(OR(X153="",W153=""),"",IF(W153&lt;=0,"",IFERROR(X153/W153-1,"")))</f>
        <v/>
      </c>
    </row>
    <row r="155">
      <c r="A155" s="18" t="inlineStr">
        <is>
          <t>NorthAmericaReportableSegmentsMember · 외부 고객 매출</t>
        </is>
      </c>
      <c r="E155" s="20" t="n">
        <v>4847</v>
      </c>
      <c r="F155" s="20" t="n">
        <v>2074</v>
      </c>
      <c r="I155" s="20" t="n">
        <v>3589</v>
      </c>
      <c r="J155" s="20" t="n">
        <v>2074</v>
      </c>
      <c r="M155" s="20" t="n">
        <v>2606</v>
      </c>
      <c r="N155" s="20" t="n">
        <v>1221</v>
      </c>
      <c r="V155" s="20" t="n">
        <v>4847</v>
      </c>
      <c r="W155" s="20" t="n">
        <v>3589</v>
      </c>
      <c r="X155" s="20" t="n">
        <v>2606</v>
      </c>
    </row>
    <row r="156">
      <c r="A156" s="43" t="inlineStr">
        <is>
          <t>YoY</t>
        </is>
      </c>
      <c r="B156" s="3" t="inlineStr">
        <is>
          <t>전년 같은 분기·전년 대비</t>
        </is>
      </c>
      <c r="I156" s="15">
        <f>IF(OR(I155="",E155=""),"",IF(E155&lt;=0,"",IFERROR(I155/E155-1,"")))</f>
        <v/>
      </c>
      <c r="J156" s="15">
        <f>IF(OR(J155="",F155=""),"",IF(F155&lt;=0,"",IFERROR(J155/F155-1,"")))</f>
        <v/>
      </c>
      <c r="M156" s="15">
        <f>IF(OR(M155="",I155=""),"",IF(I155&lt;=0,"",IFERROR(M155/I155-1,"")))</f>
        <v/>
      </c>
      <c r="N156" s="15">
        <f>IF(OR(N155="",J155=""),"",IF(J155&lt;=0,"",IFERROR(N155/J155-1,"")))</f>
        <v/>
      </c>
      <c r="V156" s="15">
        <f>IF(OR(V155="",U155=""),"",IF(U155&lt;=0,"",IFERROR(V155/U155-1,"")))</f>
        <v/>
      </c>
      <c r="W156" s="15">
        <f>IF(OR(W155="",V155=""),"",IF(V155&lt;=0,"",IFERROR(W155/V155-1,"")))</f>
        <v/>
      </c>
      <c r="X156" s="15">
        <f>IF(OR(X155="",W155=""),"",IF(W155&lt;=0,"",IFERROR(X155/W155-1,"")))</f>
        <v/>
      </c>
    </row>
    <row r="157">
      <c r="A157" s="18" t="inlineStr">
        <is>
          <t>EuropeReportableSegmentsMember · 외부 고객 매출</t>
        </is>
      </c>
      <c r="E157" s="20" t="n">
        <v>6623</v>
      </c>
      <c r="F157" s="20" t="n">
        <v>4461</v>
      </c>
      <c r="I157" s="20" t="n">
        <v>8733</v>
      </c>
      <c r="J157" s="20" t="n">
        <v>4669</v>
      </c>
      <c r="M157" s="20" t="n">
        <v>8936</v>
      </c>
      <c r="N157" s="20" t="n">
        <v>6569</v>
      </c>
      <c r="V157" s="20" t="n">
        <v>6623</v>
      </c>
      <c r="W157" s="20" t="n">
        <v>8733</v>
      </c>
      <c r="X157" s="20" t="n">
        <v>8936</v>
      </c>
    </row>
    <row r="158">
      <c r="A158" s="43" t="inlineStr">
        <is>
          <t>YoY</t>
        </is>
      </c>
      <c r="B158" s="3" t="inlineStr">
        <is>
          <t>전년 같은 분기·전년 대비</t>
        </is>
      </c>
      <c r="I158" s="15">
        <f>IF(OR(I157="",E157=""),"",IF(E157&lt;=0,"",IFERROR(I157/E157-1,"")))</f>
        <v/>
      </c>
      <c r="J158" s="15">
        <f>IF(OR(J157="",F157=""),"",IF(F157&lt;=0,"",IFERROR(J157/F157-1,"")))</f>
        <v/>
      </c>
      <c r="M158" s="15">
        <f>IF(OR(M157="",I157=""),"",IF(I157&lt;=0,"",IFERROR(M157/I157-1,"")))</f>
        <v/>
      </c>
      <c r="N158" s="15">
        <f>IF(OR(N157="",J157=""),"",IF(J157&lt;=0,"",IFERROR(N157/J157-1,"")))</f>
        <v/>
      </c>
      <c r="V158" s="15">
        <f>IF(OR(V157="",U157=""),"",IF(U157&lt;=0,"",IFERROR(V157/U157-1,"")))</f>
        <v/>
      </c>
      <c r="W158" s="15">
        <f>IF(OR(W157="",V157=""),"",IF(V157&lt;=0,"",IFERROR(W157/V157-1,"")))</f>
        <v/>
      </c>
      <c r="X158" s="15">
        <f>IF(OR(X157="",W157=""),"",IF(W157&lt;=0,"",IFERROR(X157/W157-1,"")))</f>
        <v/>
      </c>
    </row>
    <row r="159">
      <c r="A159" s="18" t="inlineStr">
        <is>
          <t>ChinaAreaReportableSegmentMember · 외부 고객 매출</t>
        </is>
      </c>
      <c r="E159" s="20" t="n">
        <v>3790</v>
      </c>
      <c r="F159" s="20" t="n">
        <v>3812</v>
      </c>
      <c r="I159" s="20" t="n">
        <v>4620</v>
      </c>
      <c r="J159" s="20" t="n">
        <v>1613</v>
      </c>
      <c r="M159" s="20" t="n">
        <v>4081</v>
      </c>
      <c r="N159" s="20" t="n">
        <v>2947</v>
      </c>
      <c r="V159" s="20" t="n">
        <v>3790</v>
      </c>
      <c r="W159" s="20" t="n">
        <v>4620</v>
      </c>
      <c r="X159" s="20" t="n">
        <v>4081</v>
      </c>
    </row>
    <row r="160">
      <c r="A160" s="43" t="inlineStr">
        <is>
          <t>YoY</t>
        </is>
      </c>
      <c r="B160" s="3" t="inlineStr">
        <is>
          <t>전년 같은 분기·전년 대비</t>
        </is>
      </c>
      <c r="I160" s="15">
        <f>IF(OR(I159="",E159=""),"",IF(E159&lt;=0,"",IFERROR(I159/E159-1,"")))</f>
        <v/>
      </c>
      <c r="J160" s="15">
        <f>IF(OR(J159="",F159=""),"",IF(F159&lt;=0,"",IFERROR(J159/F159-1,"")))</f>
        <v/>
      </c>
      <c r="M160" s="15">
        <f>IF(OR(M159="",I159=""),"",IF(I159&lt;=0,"",IFERROR(M159/I159-1,"")))</f>
        <v/>
      </c>
      <c r="N160" s="15">
        <f>IF(OR(N159="",J159=""),"",IF(J159&lt;=0,"",IFERROR(N159/J159-1,"")))</f>
        <v/>
      </c>
      <c r="V160" s="15">
        <f>IF(OR(V159="",U159=""),"",IF(U159&lt;=0,"",IFERROR(V159/U159-1,"")))</f>
        <v/>
      </c>
      <c r="W160" s="15">
        <f>IF(OR(W159="",V159=""),"",IF(V159&lt;=0,"",IFERROR(W159/V159-1,"")))</f>
        <v/>
      </c>
      <c r="X160" s="15">
        <f>IF(OR(X159="",W159=""),"",IF(W159&lt;=0,"",IFERROR(X159/W159-1,"")))</f>
        <v/>
      </c>
    </row>
    <row r="161">
      <c r="A161" s="18" t="inlineStr">
        <is>
          <t>보고부문 합계 · 외부 고객 매출</t>
        </is>
      </c>
      <c r="E161" s="20" t="n">
        <v>33386</v>
      </c>
      <c r="F161" s="20" t="n">
        <v>23377</v>
      </c>
      <c r="I161" s="20" t="n">
        <v>31131</v>
      </c>
      <c r="J161" s="20" t="n">
        <v>20283</v>
      </c>
      <c r="M161" s="20" t="n">
        <v>30411</v>
      </c>
      <c r="N161" s="20" t="n">
        <v>20923</v>
      </c>
      <c r="V161" s="20" t="n">
        <v>33386</v>
      </c>
      <c r="W161" s="20" t="n">
        <v>31131</v>
      </c>
      <c r="X161" s="20" t="n">
        <v>30411</v>
      </c>
    </row>
    <row r="162">
      <c r="A162" s="43" t="inlineStr">
        <is>
          <t>YoY</t>
        </is>
      </c>
      <c r="B162" s="3" t="inlineStr">
        <is>
          <t>전년 같은 분기·전년 대비</t>
        </is>
      </c>
      <c r="I162" s="15">
        <f>IF(OR(I161="",E161=""),"",IF(E161&lt;=0,"",IFERROR(I161/E161-1,"")))</f>
        <v/>
      </c>
      <c r="J162" s="15">
        <f>IF(OR(J161="",F161=""),"",IF(F161&lt;=0,"",IFERROR(J161/F161-1,"")))</f>
        <v/>
      </c>
      <c r="M162" s="15">
        <f>IF(OR(M161="",I161=""),"",IF(I161&lt;=0,"",IFERROR(M161/I161-1,"")))</f>
        <v/>
      </c>
      <c r="N162" s="15">
        <f>IF(OR(N161="",J161=""),"",IF(J161&lt;=0,"",IFERROR(N161/J161-1,"")))</f>
        <v/>
      </c>
      <c r="V162" s="15">
        <f>IF(OR(V161="",U161=""),"",IF(U161&lt;=0,"",IFERROR(V161/U161-1,"")))</f>
        <v/>
      </c>
      <c r="W162" s="15">
        <f>IF(OR(W161="",V161=""),"",IF(V161&lt;=0,"",IFERROR(W161/V161-1,"")))</f>
        <v/>
      </c>
      <c r="X162" s="15">
        <f>IF(OR(X161="",W161=""),"",IF(W161&lt;=0,"",IFERROR(X161/W161-1,"")))</f>
        <v/>
      </c>
    </row>
    <row r="163">
      <c r="A163" s="18" t="inlineStr">
        <is>
          <t>기타 · 외부 고객 매출</t>
        </is>
      </c>
      <c r="E163" s="20" t="n">
        <v>1625</v>
      </c>
      <c r="F163" s="20" t="n">
        <v>935</v>
      </c>
      <c r="I163" s="20" t="n">
        <v>1342</v>
      </c>
      <c r="J163" s="20" t="n">
        <v>1686</v>
      </c>
      <c r="M163" s="20" t="n">
        <v>1431</v>
      </c>
      <c r="N163" s="20" t="n">
        <v>1303</v>
      </c>
      <c r="V163" s="20" t="n">
        <v>1625</v>
      </c>
      <c r="W163" s="20" t="n">
        <v>1342</v>
      </c>
      <c r="X163" s="20" t="n">
        <v>1431</v>
      </c>
    </row>
    <row r="164">
      <c r="A164" s="43" t="inlineStr">
        <is>
          <t>YoY</t>
        </is>
      </c>
      <c r="B164" s="3" t="inlineStr">
        <is>
          <t>전년 같은 분기·전년 대비</t>
        </is>
      </c>
      <c r="I164" s="15">
        <f>IF(OR(I163="",E163=""),"",IF(E163&lt;=0,"",IFERROR(I163/E163-1,"")))</f>
        <v/>
      </c>
      <c r="J164" s="15">
        <f>IF(OR(J163="",F163=""),"",IF(F163&lt;=0,"",IFERROR(J163/F163-1,"")))</f>
        <v/>
      </c>
      <c r="M164" s="15">
        <f>IF(OR(M163="",I163=""),"",IF(I163&lt;=0,"",IFERROR(M163/I163-1,"")))</f>
        <v/>
      </c>
      <c r="N164" s="15">
        <f>IF(OR(N163="",J163=""),"",IF(J163&lt;=0,"",IFERROR(N163/J163-1,"")))</f>
        <v/>
      </c>
      <c r="V164" s="15">
        <f>IF(OR(V163="",U163=""),"",IF(U163&lt;=0,"",IFERROR(V163/U163-1,"")))</f>
        <v/>
      </c>
      <c r="W164" s="15">
        <f>IF(OR(W163="",V163=""),"",IF(V163&lt;=0,"",IFERROR(W163/V163-1,"")))</f>
        <v/>
      </c>
      <c r="X164" s="15">
        <f>IF(OR(X163="",W163=""),"",IF(W163&lt;=0,"",IFERROR(X163/W163-1,"")))</f>
        <v/>
      </c>
    </row>
    <row r="165">
      <c r="A165" s="18" t="inlineStr">
        <is>
          <t>합계 · 외부 고객 매출</t>
        </is>
      </c>
      <c r="E165" s="20" t="n">
        <v>35012</v>
      </c>
      <c r="F165" s="20" t="n">
        <v>24313</v>
      </c>
      <c r="I165" s="20" t="n">
        <v>32472</v>
      </c>
      <c r="J165" s="20" t="n">
        <v>21969</v>
      </c>
      <c r="M165" s="20" t="n">
        <v>31841</v>
      </c>
      <c r="N165" s="20" t="n">
        <v>22227</v>
      </c>
      <c r="V165" s="20" t="n">
        <v>35012</v>
      </c>
      <c r="W165" s="20" t="n">
        <v>32472</v>
      </c>
      <c r="X165" s="20" t="n">
        <v>31841</v>
      </c>
    </row>
    <row r="166">
      <c r="A166" s="43" t="inlineStr">
        <is>
          <t>YoY</t>
        </is>
      </c>
      <c r="B166" s="3" t="inlineStr">
        <is>
          <t>전년 같은 분기·전년 대비</t>
        </is>
      </c>
      <c r="I166" s="15">
        <f>IF(OR(I165="",E165=""),"",IF(E165&lt;=0,"",IFERROR(I165/E165-1,"")))</f>
        <v/>
      </c>
      <c r="J166" s="15">
        <f>IF(OR(J165="",F165=""),"",IF(F165&lt;=0,"",IFERROR(J165/F165-1,"")))</f>
        <v/>
      </c>
      <c r="M166" s="15">
        <f>IF(OR(M165="",I165=""),"",IF(I165&lt;=0,"",IFERROR(M165/I165-1,"")))</f>
        <v/>
      </c>
      <c r="N166" s="15">
        <f>IF(OR(N165="",J165=""),"",IF(J165&lt;=0,"",IFERROR(N165/J165-1,"")))</f>
        <v/>
      </c>
      <c r="V166" s="15">
        <f>IF(OR(V165="",U165=""),"",IF(U165&lt;=0,"",IFERROR(V165/U165-1,"")))</f>
        <v/>
      </c>
      <c r="W166" s="15">
        <f>IF(OR(W165="",V165=""),"",IF(V165&lt;=0,"",IFERROR(W165/V165-1,"")))</f>
        <v/>
      </c>
      <c r="X166" s="15">
        <f>IF(OR(X165="",W165=""),"",IF(W165&lt;=0,"",IFERROR(X165/W165-1,"")))</f>
        <v/>
      </c>
    </row>
    <row r="167">
      <c r="A167" s="18" t="inlineStr">
        <is>
          <t>조정액 · 외부 고객 매출</t>
        </is>
      </c>
      <c r="I167" s="20" t="n">
        <v>1766</v>
      </c>
      <c r="J167" s="20" t="n">
        <v>568</v>
      </c>
      <c r="M167" s="20" t="n">
        <v>1433</v>
      </c>
      <c r="N167" s="20" t="n">
        <v>871</v>
      </c>
      <c r="W167" s="20" t="n">
        <v>1766</v>
      </c>
      <c r="X167" s="20" t="n">
        <v>1433</v>
      </c>
    </row>
    <row r="168">
      <c r="A168" s="18" t="inlineStr">
        <is>
          <t>EntityTotalMember · 외부 고객 매출</t>
        </is>
      </c>
      <c r="J168" s="20" t="n">
        <v>22538</v>
      </c>
      <c r="N168" s="20" t="n">
        <v>23098</v>
      </c>
    </row>
    <row r="169">
      <c r="A169" s="18" t="inlineStr">
        <is>
          <t>JapanReportableSegmentsMember · 부문 간 내부매출·대체</t>
        </is>
      </c>
      <c r="E169" s="20" t="n">
        <v>6019</v>
      </c>
      <c r="F169" s="20" t="n">
        <v>5952</v>
      </c>
      <c r="I169" s="20" t="n">
        <v>10524</v>
      </c>
      <c r="J169" s="20" t="n">
        <v>7706</v>
      </c>
      <c r="M169" s="20" t="n">
        <v>8213</v>
      </c>
      <c r="N169" s="20" t="n">
        <v>9414</v>
      </c>
      <c r="V169" s="20" t="n">
        <v>6019</v>
      </c>
      <c r="W169" s="20" t="n">
        <v>10524</v>
      </c>
      <c r="X169" s="20" t="n">
        <v>8213</v>
      </c>
    </row>
    <row r="170">
      <c r="A170" s="18" t="inlineStr">
        <is>
          <t>NorthAmericaReportableSegmentsMember · 부문 간 내부매출·대체</t>
        </is>
      </c>
      <c r="E170" s="20" t="n">
        <v>1</v>
      </c>
      <c r="F170" s="20" t="n">
        <v>0</v>
      </c>
      <c r="I170" s="20" t="n">
        <v>5</v>
      </c>
      <c r="J170" s="20" t="n">
        <v>13</v>
      </c>
      <c r="M170" s="20" t="n">
        <v>12</v>
      </c>
      <c r="N170" s="20" t="n">
        <v>14</v>
      </c>
      <c r="V170" s="20" t="n">
        <v>1</v>
      </c>
      <c r="W170" s="20" t="n">
        <v>5</v>
      </c>
      <c r="X170" s="20" t="n">
        <v>12</v>
      </c>
    </row>
    <row r="171">
      <c r="A171" s="18" t="inlineStr">
        <is>
          <t>EuropeReportableSegmentsMember · 부문 간 내부매출·대체</t>
        </is>
      </c>
      <c r="E171" s="20" t="n">
        <v>233</v>
      </c>
      <c r="F171" s="20" t="n">
        <v>83</v>
      </c>
      <c r="I171" s="20" t="n">
        <v>167</v>
      </c>
      <c r="J171" s="20" t="n">
        <v>47</v>
      </c>
      <c r="M171" s="20" t="n">
        <v>116</v>
      </c>
      <c r="N171" s="20" t="n">
        <v>106</v>
      </c>
      <c r="V171" s="20" t="n">
        <v>233</v>
      </c>
      <c r="W171" s="20" t="n">
        <v>167</v>
      </c>
      <c r="X171" s="20" t="n">
        <v>116</v>
      </c>
    </row>
    <row r="172">
      <c r="A172" s="18" t="inlineStr">
        <is>
          <t>ChinaAreaReportableSegmentMember · 부문 간 내부매출·대체</t>
        </is>
      </c>
      <c r="E172" s="20" t="n">
        <v>391</v>
      </c>
      <c r="F172" s="20" t="n">
        <v>390</v>
      </c>
      <c r="I172" s="20" t="n">
        <v>385</v>
      </c>
      <c r="J172" s="20" t="n">
        <v>387</v>
      </c>
      <c r="M172" s="20" t="n">
        <v>528</v>
      </c>
      <c r="N172" s="20" t="n">
        <v>569</v>
      </c>
      <c r="V172" s="20" t="n">
        <v>391</v>
      </c>
      <c r="W172" s="20" t="n">
        <v>385</v>
      </c>
      <c r="X172" s="20" t="n">
        <v>528</v>
      </c>
    </row>
    <row r="173">
      <c r="A173" s="18" t="inlineStr">
        <is>
          <t>보고부문 합계 · 부문 간 내부매출·대체</t>
        </is>
      </c>
      <c r="E173" s="20" t="n">
        <v>6645</v>
      </c>
      <c r="F173" s="20" t="n">
        <v>6427</v>
      </c>
      <c r="I173" s="20" t="n">
        <v>11081</v>
      </c>
      <c r="J173" s="20" t="n">
        <v>8154</v>
      </c>
      <c r="M173" s="20" t="n">
        <v>8870</v>
      </c>
      <c r="N173" s="20" t="n">
        <v>10105</v>
      </c>
      <c r="V173" s="20" t="n">
        <v>6645</v>
      </c>
      <c r="W173" s="20" t="n">
        <v>11081</v>
      </c>
      <c r="X173" s="20" t="n">
        <v>8870</v>
      </c>
    </row>
    <row r="174">
      <c r="A174" s="18" t="inlineStr">
        <is>
          <t>기타 · 부문 간 내부매출·대체</t>
        </is>
      </c>
      <c r="E174" s="20" t="n">
        <v>33</v>
      </c>
      <c r="F174" s="20" t="n">
        <v>35</v>
      </c>
      <c r="I174" s="20" t="n">
        <v>42</v>
      </c>
      <c r="J174" s="20" t="n">
        <v>59</v>
      </c>
      <c r="M174" s="20" t="n">
        <v>64</v>
      </c>
      <c r="N174" s="20" t="n">
        <v>31</v>
      </c>
      <c r="V174" s="20" t="n">
        <v>33</v>
      </c>
      <c r="W174" s="20" t="n">
        <v>42</v>
      </c>
      <c r="X174" s="20" t="n">
        <v>64</v>
      </c>
    </row>
    <row r="175">
      <c r="A175" s="18" t="inlineStr">
        <is>
          <t>합계 · 부문 간 내부매출·대체</t>
        </is>
      </c>
      <c r="E175" s="20" t="n">
        <v>6678</v>
      </c>
      <c r="F175" s="20" t="n">
        <v>6463</v>
      </c>
      <c r="I175" s="20" t="n">
        <v>11123</v>
      </c>
      <c r="J175" s="20" t="n">
        <v>8214</v>
      </c>
      <c r="M175" s="20" t="n">
        <v>8933</v>
      </c>
      <c r="N175" s="20" t="n">
        <v>10136</v>
      </c>
      <c r="V175" s="20" t="n">
        <v>6678</v>
      </c>
      <c r="W175" s="20" t="n">
        <v>11123</v>
      </c>
      <c r="X175" s="20" t="n">
        <v>8933</v>
      </c>
    </row>
    <row r="176">
      <c r="A176" s="18" t="inlineStr">
        <is>
          <t>조정액 · 부문 간 내부매출·대체</t>
        </is>
      </c>
      <c r="I176" s="20" t="n">
        <v>0</v>
      </c>
      <c r="J176" s="20" t="n">
        <v>0</v>
      </c>
      <c r="M176" s="20" t="n">
        <v>0</v>
      </c>
      <c r="N176" s="20" t="n">
        <v>871</v>
      </c>
      <c r="W176" s="20" t="n">
        <v>0</v>
      </c>
      <c r="X176" s="20" t="n">
        <v>0</v>
      </c>
    </row>
    <row r="177">
      <c r="A177" s="18" t="inlineStr">
        <is>
          <t>EntityTotalMember · 부문 간 내부매출·대체</t>
        </is>
      </c>
      <c r="J177" s="20" t="n">
        <v>8214</v>
      </c>
      <c r="N177" s="20" t="n">
        <v>11007</v>
      </c>
    </row>
    <row r="178">
      <c r="A178" s="18" t="inlineStr">
        <is>
          <t>JapanReportableSegmentsMember · 계</t>
        </is>
      </c>
      <c r="E178" s="20" t="n">
        <v>24145</v>
      </c>
      <c r="F178" s="20" t="n">
        <v>18982</v>
      </c>
      <c r="I178" s="20" t="n">
        <v>24713</v>
      </c>
      <c r="J178" s="20" t="n">
        <v>19631</v>
      </c>
      <c r="M178" s="20" t="n">
        <v>22999</v>
      </c>
      <c r="N178" s="20" t="n">
        <v>19600</v>
      </c>
      <c r="V178" s="20" t="n">
        <v>24145</v>
      </c>
      <c r="W178" s="20" t="n">
        <v>24713</v>
      </c>
      <c r="X178" s="20" t="n">
        <v>22999</v>
      </c>
    </row>
    <row r="179">
      <c r="A179" s="43" t="inlineStr">
        <is>
          <t>YoY</t>
        </is>
      </c>
      <c r="B179" s="3" t="inlineStr">
        <is>
          <t>전년 같은 분기·전년 대비</t>
        </is>
      </c>
      <c r="I179" s="15">
        <f>IF(OR(I178="",E178=""),"",IF(E178&lt;=0,"",IFERROR(I178/E178-1,"")))</f>
        <v/>
      </c>
      <c r="J179" s="15">
        <f>IF(OR(J178="",F178=""),"",IF(F178&lt;=0,"",IFERROR(J178/F178-1,"")))</f>
        <v/>
      </c>
      <c r="M179" s="15">
        <f>IF(OR(M178="",I178=""),"",IF(I178&lt;=0,"",IFERROR(M178/I178-1,"")))</f>
        <v/>
      </c>
      <c r="N179" s="15">
        <f>IF(OR(N178="",J178=""),"",IF(J178&lt;=0,"",IFERROR(N178/J178-1,"")))</f>
        <v/>
      </c>
      <c r="V179" s="15">
        <f>IF(OR(V178="",U178=""),"",IF(U178&lt;=0,"",IFERROR(V178/U178-1,"")))</f>
        <v/>
      </c>
      <c r="W179" s="15">
        <f>IF(OR(W178="",V178=""),"",IF(V178&lt;=0,"",IFERROR(W178/V178-1,"")))</f>
        <v/>
      </c>
      <c r="X179" s="15">
        <f>IF(OR(X178="",W178=""),"",IF(W178&lt;=0,"",IFERROR(X178/W178-1,"")))</f>
        <v/>
      </c>
    </row>
    <row r="180">
      <c r="A180" s="18" t="inlineStr">
        <is>
          <t>NorthAmericaReportableSegmentsMember · 계</t>
        </is>
      </c>
      <c r="E180" s="20" t="n">
        <v>4849</v>
      </c>
      <c r="F180" s="20" t="n">
        <v>2075</v>
      </c>
      <c r="I180" s="20" t="n">
        <v>3595</v>
      </c>
      <c r="J180" s="20" t="n">
        <v>2087</v>
      </c>
      <c r="M180" s="20" t="n">
        <v>2618</v>
      </c>
      <c r="N180" s="20" t="n">
        <v>1235</v>
      </c>
      <c r="V180" s="20" t="n">
        <v>4849</v>
      </c>
      <c r="W180" s="20" t="n">
        <v>3595</v>
      </c>
      <c r="X180" s="20" t="n">
        <v>2618</v>
      </c>
    </row>
    <row r="181">
      <c r="A181" s="43" t="inlineStr">
        <is>
          <t>YoY</t>
        </is>
      </c>
      <c r="B181" s="3" t="inlineStr">
        <is>
          <t>전년 같은 분기·전년 대비</t>
        </is>
      </c>
      <c r="I181" s="15">
        <f>IF(OR(I180="",E180=""),"",IF(E180&lt;=0,"",IFERROR(I180/E180-1,"")))</f>
        <v/>
      </c>
      <c r="J181" s="15">
        <f>IF(OR(J180="",F180=""),"",IF(F180&lt;=0,"",IFERROR(J180/F180-1,"")))</f>
        <v/>
      </c>
      <c r="M181" s="15">
        <f>IF(OR(M180="",I180=""),"",IF(I180&lt;=0,"",IFERROR(M180/I180-1,"")))</f>
        <v/>
      </c>
      <c r="N181" s="15">
        <f>IF(OR(N180="",J180=""),"",IF(J180&lt;=0,"",IFERROR(N180/J180-1,"")))</f>
        <v/>
      </c>
      <c r="V181" s="15">
        <f>IF(OR(V180="",U180=""),"",IF(U180&lt;=0,"",IFERROR(V180/U180-1,"")))</f>
        <v/>
      </c>
      <c r="W181" s="15">
        <f>IF(OR(W180="",V180=""),"",IF(V180&lt;=0,"",IFERROR(W180/V180-1,"")))</f>
        <v/>
      </c>
      <c r="X181" s="15">
        <f>IF(OR(X180="",W180=""),"",IF(W180&lt;=0,"",IFERROR(X180/W180-1,"")))</f>
        <v/>
      </c>
    </row>
    <row r="182">
      <c r="A182" s="18" t="inlineStr">
        <is>
          <t>EuropeReportableSegmentsMember · 계</t>
        </is>
      </c>
      <c r="E182" s="20" t="n">
        <v>6856</v>
      </c>
      <c r="F182" s="20" t="n">
        <v>4544</v>
      </c>
      <c r="I182" s="20" t="n">
        <v>8901</v>
      </c>
      <c r="J182" s="20" t="n">
        <v>4717</v>
      </c>
      <c r="M182" s="20" t="n">
        <v>9053</v>
      </c>
      <c r="N182" s="20" t="n">
        <v>6676</v>
      </c>
      <c r="V182" s="20" t="n">
        <v>6856</v>
      </c>
      <c r="W182" s="20" t="n">
        <v>8901</v>
      </c>
      <c r="X182" s="20" t="n">
        <v>9053</v>
      </c>
    </row>
    <row r="183">
      <c r="A183" s="43" t="inlineStr">
        <is>
          <t>YoY</t>
        </is>
      </c>
      <c r="B183" s="3" t="inlineStr">
        <is>
          <t>전년 같은 분기·전년 대비</t>
        </is>
      </c>
      <c r="I183" s="15">
        <f>IF(OR(I182="",E182=""),"",IF(E182&lt;=0,"",IFERROR(I182/E182-1,"")))</f>
        <v/>
      </c>
      <c r="J183" s="15">
        <f>IF(OR(J182="",F182=""),"",IF(F182&lt;=0,"",IFERROR(J182/F182-1,"")))</f>
        <v/>
      </c>
      <c r="M183" s="15">
        <f>IF(OR(M182="",I182=""),"",IF(I182&lt;=0,"",IFERROR(M182/I182-1,"")))</f>
        <v/>
      </c>
      <c r="N183" s="15">
        <f>IF(OR(N182="",J182=""),"",IF(J182&lt;=0,"",IFERROR(N182/J182-1,"")))</f>
        <v/>
      </c>
      <c r="V183" s="15">
        <f>IF(OR(V182="",U182=""),"",IF(U182&lt;=0,"",IFERROR(V182/U182-1,"")))</f>
        <v/>
      </c>
      <c r="W183" s="15">
        <f>IF(OR(W182="",V182=""),"",IF(V182&lt;=0,"",IFERROR(W182/V182-1,"")))</f>
        <v/>
      </c>
      <c r="X183" s="15">
        <f>IF(OR(X182="",W182=""),"",IF(W182&lt;=0,"",IFERROR(X182/W182-1,"")))</f>
        <v/>
      </c>
    </row>
    <row r="184">
      <c r="A184" s="18" t="inlineStr">
        <is>
          <t>ChinaAreaReportableSegmentMember · 계</t>
        </is>
      </c>
      <c r="E184" s="20" t="n">
        <v>4181</v>
      </c>
      <c r="F184" s="20" t="n">
        <v>4202</v>
      </c>
      <c r="I184" s="20" t="n">
        <v>5005</v>
      </c>
      <c r="J184" s="20" t="n">
        <v>2001</v>
      </c>
      <c r="M184" s="20" t="n">
        <v>4610</v>
      </c>
      <c r="N184" s="20" t="n">
        <v>3517</v>
      </c>
      <c r="V184" s="20" t="n">
        <v>4181</v>
      </c>
      <c r="W184" s="20" t="n">
        <v>5005</v>
      </c>
      <c r="X184" s="20" t="n">
        <v>4610</v>
      </c>
    </row>
    <row r="185">
      <c r="A185" s="43" t="inlineStr">
        <is>
          <t>YoY</t>
        </is>
      </c>
      <c r="B185" s="3" t="inlineStr">
        <is>
          <t>전년 같은 분기·전년 대비</t>
        </is>
      </c>
      <c r="I185" s="15">
        <f>IF(OR(I184="",E184=""),"",IF(E184&lt;=0,"",IFERROR(I184/E184-1,"")))</f>
        <v/>
      </c>
      <c r="J185" s="15">
        <f>IF(OR(J184="",F184=""),"",IF(F184&lt;=0,"",IFERROR(J184/F184-1,"")))</f>
        <v/>
      </c>
      <c r="M185" s="15">
        <f>IF(OR(M184="",I184=""),"",IF(I184&lt;=0,"",IFERROR(M184/I184-1,"")))</f>
        <v/>
      </c>
      <c r="N185" s="15">
        <f>IF(OR(N184="",J184=""),"",IF(J184&lt;=0,"",IFERROR(N184/J184-1,"")))</f>
        <v/>
      </c>
      <c r="V185" s="15">
        <f>IF(OR(V184="",U184=""),"",IF(U184&lt;=0,"",IFERROR(V184/U184-1,"")))</f>
        <v/>
      </c>
      <c r="W185" s="15">
        <f>IF(OR(W184="",V184=""),"",IF(V184&lt;=0,"",IFERROR(W184/V184-1,"")))</f>
        <v/>
      </c>
      <c r="X185" s="15">
        <f>IF(OR(X184="",W184=""),"",IF(W184&lt;=0,"",IFERROR(X184/W184-1,"")))</f>
        <v/>
      </c>
    </row>
    <row r="186">
      <c r="A186" s="18" t="inlineStr">
        <is>
          <t>보고부문 합계 · 계</t>
        </is>
      </c>
      <c r="E186" s="20" t="n">
        <v>40031</v>
      </c>
      <c r="F186" s="20" t="n">
        <v>29805</v>
      </c>
      <c r="I186" s="20" t="n">
        <v>42213</v>
      </c>
      <c r="J186" s="20" t="n">
        <v>28437</v>
      </c>
      <c r="M186" s="20" t="n">
        <v>39280</v>
      </c>
      <c r="N186" s="20" t="n">
        <v>31028</v>
      </c>
      <c r="V186" s="20" t="n">
        <v>40031</v>
      </c>
      <c r="W186" s="20" t="n">
        <v>42213</v>
      </c>
      <c r="X186" s="20" t="n">
        <v>39280</v>
      </c>
    </row>
    <row r="187">
      <c r="A187" s="43" t="inlineStr">
        <is>
          <t>YoY</t>
        </is>
      </c>
      <c r="B187" s="3" t="inlineStr">
        <is>
          <t>전년 같은 분기·전년 대비</t>
        </is>
      </c>
      <c r="I187" s="15">
        <f>IF(OR(I186="",E186=""),"",IF(E186&lt;=0,"",IFERROR(I186/E186-1,"")))</f>
        <v/>
      </c>
      <c r="J187" s="15">
        <f>IF(OR(J186="",F186=""),"",IF(F186&lt;=0,"",IFERROR(J186/F186-1,"")))</f>
        <v/>
      </c>
      <c r="M187" s="15">
        <f>IF(OR(M186="",I186=""),"",IF(I186&lt;=0,"",IFERROR(M186/I186-1,"")))</f>
        <v/>
      </c>
      <c r="N187" s="15">
        <f>IF(OR(N186="",J186=""),"",IF(J186&lt;=0,"",IFERROR(N186/J186-1,"")))</f>
        <v/>
      </c>
      <c r="V187" s="15">
        <f>IF(OR(V186="",U186=""),"",IF(U186&lt;=0,"",IFERROR(V186/U186-1,"")))</f>
        <v/>
      </c>
      <c r="W187" s="15">
        <f>IF(OR(W186="",V186=""),"",IF(V186&lt;=0,"",IFERROR(W186/V186-1,"")))</f>
        <v/>
      </c>
      <c r="X187" s="15">
        <f>IF(OR(X186="",W186=""),"",IF(W186&lt;=0,"",IFERROR(X186/W186-1,"")))</f>
        <v/>
      </c>
    </row>
    <row r="188">
      <c r="A188" s="18" t="inlineStr">
        <is>
          <t>기타 · 계</t>
        </is>
      </c>
      <c r="E188" s="20" t="n">
        <v>1659</v>
      </c>
      <c r="F188" s="20" t="n">
        <v>970</v>
      </c>
      <c r="I188" s="20" t="n">
        <v>1383</v>
      </c>
      <c r="J188" s="20" t="n">
        <v>1746</v>
      </c>
      <c r="M188" s="20" t="n">
        <v>1495</v>
      </c>
      <c r="N188" s="20" t="n">
        <v>1334</v>
      </c>
      <c r="V188" s="20" t="n">
        <v>1659</v>
      </c>
      <c r="W188" s="20" t="n">
        <v>1383</v>
      </c>
      <c r="X188" s="20" t="n">
        <v>1495</v>
      </c>
    </row>
    <row r="189">
      <c r="A189" s="43" t="inlineStr">
        <is>
          <t>YoY</t>
        </is>
      </c>
      <c r="B189" s="3" t="inlineStr">
        <is>
          <t>전년 같은 분기·전년 대비</t>
        </is>
      </c>
      <c r="I189" s="15">
        <f>IF(OR(I188="",E188=""),"",IF(E188&lt;=0,"",IFERROR(I188/E188-1,"")))</f>
        <v/>
      </c>
      <c r="J189" s="15">
        <f>IF(OR(J188="",F188=""),"",IF(F188&lt;=0,"",IFERROR(J188/F188-1,"")))</f>
        <v/>
      </c>
      <c r="M189" s="15">
        <f>IF(OR(M188="",I188=""),"",IF(I188&lt;=0,"",IFERROR(M188/I188-1,"")))</f>
        <v/>
      </c>
      <c r="N189" s="15">
        <f>IF(OR(N188="",J188=""),"",IF(J188&lt;=0,"",IFERROR(N188/J188-1,"")))</f>
        <v/>
      </c>
      <c r="V189" s="15">
        <f>IF(OR(V188="",U188=""),"",IF(U188&lt;=0,"",IFERROR(V188/U188-1,"")))</f>
        <v/>
      </c>
      <c r="W189" s="15">
        <f>IF(OR(W188="",V188=""),"",IF(V188&lt;=0,"",IFERROR(W188/V188-1,"")))</f>
        <v/>
      </c>
      <c r="X189" s="15">
        <f>IF(OR(X188="",W188=""),"",IF(W188&lt;=0,"",IFERROR(X188/W188-1,"")))</f>
        <v/>
      </c>
    </row>
    <row r="190">
      <c r="A190" s="18" t="inlineStr">
        <is>
          <t>합계 · 계</t>
        </is>
      </c>
      <c r="E190" s="20" t="n">
        <v>41690</v>
      </c>
      <c r="F190" s="20" t="n">
        <v>30776</v>
      </c>
      <c r="I190" s="20" t="n">
        <v>43596</v>
      </c>
      <c r="J190" s="20" t="n">
        <v>30184</v>
      </c>
      <c r="M190" s="20" t="n">
        <v>40774</v>
      </c>
      <c r="N190" s="20" t="n">
        <v>32363</v>
      </c>
      <c r="V190" s="20" t="n">
        <v>41690</v>
      </c>
      <c r="W190" s="20" t="n">
        <v>43596</v>
      </c>
      <c r="X190" s="20" t="n">
        <v>40774</v>
      </c>
    </row>
    <row r="191">
      <c r="A191" s="43" t="inlineStr">
        <is>
          <t>YoY</t>
        </is>
      </c>
      <c r="B191" s="3" t="inlineStr">
        <is>
          <t>전년 같은 분기·전년 대비</t>
        </is>
      </c>
      <c r="I191" s="15">
        <f>IF(OR(I190="",E190=""),"",IF(E190&lt;=0,"",IFERROR(I190/E190-1,"")))</f>
        <v/>
      </c>
      <c r="J191" s="15">
        <f>IF(OR(J190="",F190=""),"",IF(F190&lt;=0,"",IFERROR(J190/F190-1,"")))</f>
        <v/>
      </c>
      <c r="M191" s="15">
        <f>IF(OR(M190="",I190=""),"",IF(I190&lt;=0,"",IFERROR(M190/I190-1,"")))</f>
        <v/>
      </c>
      <c r="N191" s="15">
        <f>IF(OR(N190="",J190=""),"",IF(J190&lt;=0,"",IFERROR(N190/J190-1,"")))</f>
        <v/>
      </c>
      <c r="V191" s="15">
        <f>IF(OR(V190="",U190=""),"",IF(U190&lt;=0,"",IFERROR(V190/U190-1,"")))</f>
        <v/>
      </c>
      <c r="W191" s="15">
        <f>IF(OR(W190="",V190=""),"",IF(V190&lt;=0,"",IFERROR(W190/V190-1,"")))</f>
        <v/>
      </c>
      <c r="X191" s="15">
        <f>IF(OR(X190="",W190=""),"",IF(W190&lt;=0,"",IFERROR(X190/W190-1,"")))</f>
        <v/>
      </c>
    </row>
    <row r="192">
      <c r="A192" s="18" t="inlineStr">
        <is>
          <t>조정액 · 계</t>
        </is>
      </c>
      <c r="I192" s="20" t="n">
        <v>1766</v>
      </c>
      <c r="J192" s="20" t="n">
        <v>568</v>
      </c>
      <c r="M192" s="20" t="n">
        <v>1433</v>
      </c>
      <c r="N192" s="20" t="n">
        <v>1742</v>
      </c>
      <c r="W192" s="20" t="n">
        <v>1766</v>
      </c>
      <c r="X192" s="20" t="n">
        <v>1433</v>
      </c>
    </row>
    <row r="193">
      <c r="A193" s="18" t="inlineStr">
        <is>
          <t>EntityTotalMember · 계</t>
        </is>
      </c>
      <c r="J193" s="20" t="n">
        <v>30752</v>
      </c>
      <c r="N193" s="20" t="n">
        <v>34105</v>
      </c>
    </row>
    <row r="194">
      <c r="A194" s="18" t="inlineStr">
        <is>
          <t>JapanReportableSegmentsMember · 부문 이익(손실)</t>
        </is>
      </c>
      <c r="E194" s="20" t="n">
        <v>2369</v>
      </c>
      <c r="F194" s="20" t="n">
        <v>1321</v>
      </c>
      <c r="I194" s="20" t="n">
        <v>2770</v>
      </c>
      <c r="J194" s="20" t="n">
        <v>2013</v>
      </c>
      <c r="M194" s="20" t="n">
        <v>1566</v>
      </c>
      <c r="N194" s="20" t="n">
        <v>2069</v>
      </c>
      <c r="V194" s="20" t="n">
        <v>2369</v>
      </c>
      <c r="W194" s="20" t="n">
        <v>2770</v>
      </c>
      <c r="X194" s="20" t="n">
        <v>1566</v>
      </c>
    </row>
    <row r="195">
      <c r="A195" s="43" t="inlineStr">
        <is>
          <t>OPM</t>
        </is>
      </c>
      <c r="B195" s="3" t="inlineStr">
        <is>
          <t>영업이익 ÷ 매출</t>
        </is>
      </c>
      <c r="E195" s="15">
        <f>IF(OR(E194="",E178=""),"",IF(E178&lt;=0,"",IFERROR(E194/E178,"")))</f>
        <v/>
      </c>
      <c r="F195" s="15">
        <f>IF(OR(F194="",F178=""),"",IF(F178&lt;=0,"",IFERROR(F194/F178,"")))</f>
        <v/>
      </c>
      <c r="I195" s="15">
        <f>IF(OR(I194="",I178=""),"",IF(I178&lt;=0,"",IFERROR(I194/I178,"")))</f>
        <v/>
      </c>
      <c r="J195" s="15">
        <f>IF(OR(J194="",J178=""),"",IF(J178&lt;=0,"",IFERROR(J194/J178,"")))</f>
        <v/>
      </c>
      <c r="M195" s="15">
        <f>IF(OR(M194="",M178=""),"",IF(M178&lt;=0,"",IFERROR(M194/M178,"")))</f>
        <v/>
      </c>
      <c r="N195" s="15">
        <f>IF(OR(N194="",N178=""),"",IF(N178&lt;=0,"",IFERROR(N194/N178,"")))</f>
        <v/>
      </c>
      <c r="V195" s="15">
        <f>IF(OR(V194="",V178=""),"",IF(V178&lt;=0,"",IFERROR(V194/V178,"")))</f>
        <v/>
      </c>
      <c r="W195" s="15">
        <f>IF(OR(W194="",W178=""),"",IF(W178&lt;=0,"",IFERROR(W194/W178,"")))</f>
        <v/>
      </c>
      <c r="X195" s="15">
        <f>IF(OR(X194="",X178=""),"",IF(X178&lt;=0,"",IFERROR(X194/X178,"")))</f>
        <v/>
      </c>
    </row>
    <row r="196">
      <c r="A196" s="43" t="inlineStr">
        <is>
          <t>YoY</t>
        </is>
      </c>
      <c r="B196" s="3" t="inlineStr">
        <is>
          <t>전년 같은 분기·전년 대비</t>
        </is>
      </c>
      <c r="I196" s="15">
        <f>IF(OR(I194="",E194=""),"",IF(E194&lt;=0,"",IFERROR(I194/E194-1,"")))</f>
        <v/>
      </c>
      <c r="J196" s="15">
        <f>IF(OR(J194="",F194=""),"",IF(F194&lt;=0,"",IFERROR(J194/F194-1,"")))</f>
        <v/>
      </c>
      <c r="M196" s="15">
        <f>IF(OR(M194="",I194=""),"",IF(I194&lt;=0,"",IFERROR(M194/I194-1,"")))</f>
        <v/>
      </c>
      <c r="N196" s="15">
        <f>IF(OR(N194="",J194=""),"",IF(J194&lt;=0,"",IFERROR(N194/J194-1,"")))</f>
        <v/>
      </c>
      <c r="V196" s="15">
        <f>IF(OR(V194="",U194=""),"",IF(U194&lt;=0,"",IFERROR(V194/U194-1,"")))</f>
        <v/>
      </c>
      <c r="W196" s="15">
        <f>IF(OR(W194="",V194=""),"",IF(V194&lt;=0,"",IFERROR(W194/V194-1,"")))</f>
        <v/>
      </c>
      <c r="X196" s="15">
        <f>IF(OR(X194="",W194=""),"",IF(W194&lt;=0,"",IFERROR(X194/W194-1,"")))</f>
        <v/>
      </c>
    </row>
    <row r="197">
      <c r="A197" s="18" t="inlineStr">
        <is>
          <t>NorthAmericaReportableSegmentsMember · 부문 이익(손실)</t>
        </is>
      </c>
      <c r="E197" s="20" t="n">
        <v>672</v>
      </c>
      <c r="F197" s="20" t="n">
        <v>-22</v>
      </c>
      <c r="I197" s="20" t="n">
        <v>208</v>
      </c>
      <c r="J197" s="20" t="n">
        <v>-40</v>
      </c>
      <c r="M197" s="20" t="n">
        <v>109</v>
      </c>
      <c r="N197" s="20" t="n">
        <v>-159</v>
      </c>
      <c r="V197" s="20" t="n">
        <v>672</v>
      </c>
      <c r="W197" s="20" t="n">
        <v>208</v>
      </c>
      <c r="X197" s="20" t="n">
        <v>109</v>
      </c>
    </row>
    <row r="198">
      <c r="A198" s="43" t="inlineStr">
        <is>
          <t>OPM</t>
        </is>
      </c>
      <c r="B198" s="3" t="inlineStr">
        <is>
          <t>영업이익 ÷ 매출</t>
        </is>
      </c>
      <c r="E198" s="15">
        <f>IF(OR(E197="",E180=""),"",IF(E180&lt;=0,"",IFERROR(E197/E180,"")))</f>
        <v/>
      </c>
      <c r="F198" s="15">
        <f>IF(OR(F197="",F180=""),"",IF(F180&lt;=0,"",IFERROR(F197/F180,"")))</f>
        <v/>
      </c>
      <c r="I198" s="15">
        <f>IF(OR(I197="",I180=""),"",IF(I180&lt;=0,"",IFERROR(I197/I180,"")))</f>
        <v/>
      </c>
      <c r="J198" s="15">
        <f>IF(OR(J197="",J180=""),"",IF(J180&lt;=0,"",IFERROR(J197/J180,"")))</f>
        <v/>
      </c>
      <c r="M198" s="15">
        <f>IF(OR(M197="",M180=""),"",IF(M180&lt;=0,"",IFERROR(M197/M180,"")))</f>
        <v/>
      </c>
      <c r="N198" s="15">
        <f>IF(OR(N197="",N180=""),"",IF(N180&lt;=0,"",IFERROR(N197/N180,"")))</f>
        <v/>
      </c>
      <c r="V198" s="15">
        <f>IF(OR(V197="",V180=""),"",IF(V180&lt;=0,"",IFERROR(V197/V180,"")))</f>
        <v/>
      </c>
      <c r="W198" s="15">
        <f>IF(OR(W197="",W180=""),"",IF(W180&lt;=0,"",IFERROR(W197/W180,"")))</f>
        <v/>
      </c>
      <c r="X198" s="15">
        <f>IF(OR(X197="",X180=""),"",IF(X180&lt;=0,"",IFERROR(X197/X180,"")))</f>
        <v/>
      </c>
    </row>
    <row r="199">
      <c r="A199" s="43" t="inlineStr">
        <is>
          <t>YoY</t>
        </is>
      </c>
      <c r="B199" s="3" t="inlineStr">
        <is>
          <t>전년 같은 분기·전년 대비</t>
        </is>
      </c>
      <c r="I199" s="15">
        <f>IF(OR(I197="",E197=""),"",IF(E197&lt;=0,"",IFERROR(I197/E197-1,"")))</f>
        <v/>
      </c>
      <c r="J199" s="15">
        <f>IF(OR(J197="",F197=""),"",IF(F197&lt;=0,"",IFERROR(J197/F197-1,"")))</f>
        <v/>
      </c>
      <c r="M199" s="15">
        <f>IF(OR(M197="",I197=""),"",IF(I197&lt;=0,"",IFERROR(M197/I197-1,"")))</f>
        <v/>
      </c>
      <c r="N199" s="15">
        <f>IF(OR(N197="",J197=""),"",IF(J197&lt;=0,"",IFERROR(N197/J197-1,"")))</f>
        <v/>
      </c>
      <c r="V199" s="15">
        <f>IF(OR(V197="",U197=""),"",IF(U197&lt;=0,"",IFERROR(V197/U197-1,"")))</f>
        <v/>
      </c>
      <c r="W199" s="15">
        <f>IF(OR(W197="",V197=""),"",IF(V197&lt;=0,"",IFERROR(W197/V197-1,"")))</f>
        <v/>
      </c>
      <c r="X199" s="15">
        <f>IF(OR(X197="",W197=""),"",IF(W197&lt;=0,"",IFERROR(X197/W197-1,"")))</f>
        <v/>
      </c>
    </row>
    <row r="200">
      <c r="A200" s="18" t="inlineStr">
        <is>
          <t>EuropeReportableSegmentsMember · 부문 이익(손실)</t>
        </is>
      </c>
      <c r="E200" s="20" t="n">
        <v>369</v>
      </c>
      <c r="F200" s="20" t="n">
        <v>-1072</v>
      </c>
      <c r="I200" s="20" t="n">
        <v>534</v>
      </c>
      <c r="J200" s="20" t="n">
        <v>-1035</v>
      </c>
      <c r="M200" s="20" t="n">
        <v>216</v>
      </c>
      <c r="N200" s="20" t="n">
        <v>-484</v>
      </c>
      <c r="V200" s="20" t="n">
        <v>369</v>
      </c>
      <c r="W200" s="20" t="n">
        <v>534</v>
      </c>
      <c r="X200" s="20" t="n">
        <v>216</v>
      </c>
    </row>
    <row r="201">
      <c r="A201" s="43" t="inlineStr">
        <is>
          <t>OPM</t>
        </is>
      </c>
      <c r="B201" s="3" t="inlineStr">
        <is>
          <t>영업이익 ÷ 매출</t>
        </is>
      </c>
      <c r="E201" s="15">
        <f>IF(OR(E200="",E182=""),"",IF(E182&lt;=0,"",IFERROR(E200/E182,"")))</f>
        <v/>
      </c>
      <c r="F201" s="15">
        <f>IF(OR(F200="",F182=""),"",IF(F182&lt;=0,"",IFERROR(F200/F182,"")))</f>
        <v/>
      </c>
      <c r="I201" s="15">
        <f>IF(OR(I200="",I182=""),"",IF(I182&lt;=0,"",IFERROR(I200/I182,"")))</f>
        <v/>
      </c>
      <c r="J201" s="15">
        <f>IF(OR(J200="",J182=""),"",IF(J182&lt;=0,"",IFERROR(J200/J182,"")))</f>
        <v/>
      </c>
      <c r="M201" s="15">
        <f>IF(OR(M200="",M182=""),"",IF(M182&lt;=0,"",IFERROR(M200/M182,"")))</f>
        <v/>
      </c>
      <c r="N201" s="15">
        <f>IF(OR(N200="",N182=""),"",IF(N182&lt;=0,"",IFERROR(N200/N182,"")))</f>
        <v/>
      </c>
      <c r="V201" s="15">
        <f>IF(OR(V200="",V182=""),"",IF(V182&lt;=0,"",IFERROR(V200/V182,"")))</f>
        <v/>
      </c>
      <c r="W201" s="15">
        <f>IF(OR(W200="",W182=""),"",IF(W182&lt;=0,"",IFERROR(W200/W182,"")))</f>
        <v/>
      </c>
      <c r="X201" s="15">
        <f>IF(OR(X200="",X182=""),"",IF(X182&lt;=0,"",IFERROR(X200/X182,"")))</f>
        <v/>
      </c>
    </row>
    <row r="202">
      <c r="A202" s="43" t="inlineStr">
        <is>
          <t>YoY</t>
        </is>
      </c>
      <c r="B202" s="3" t="inlineStr">
        <is>
          <t>전년 같은 분기·전년 대비</t>
        </is>
      </c>
      <c r="I202" s="15">
        <f>IF(OR(I200="",E200=""),"",IF(E200&lt;=0,"",IFERROR(I200/E200-1,"")))</f>
        <v/>
      </c>
      <c r="J202" s="15">
        <f>IF(OR(J200="",F200=""),"",IF(F200&lt;=0,"",IFERROR(J200/F200-1,"")))</f>
        <v/>
      </c>
      <c r="M202" s="15">
        <f>IF(OR(M200="",I200=""),"",IF(I200&lt;=0,"",IFERROR(M200/I200-1,"")))</f>
        <v/>
      </c>
      <c r="N202" s="15">
        <f>IF(OR(N200="",J200=""),"",IF(J200&lt;=0,"",IFERROR(N200/J200-1,"")))</f>
        <v/>
      </c>
      <c r="V202" s="15">
        <f>IF(OR(V200="",U200=""),"",IF(U200&lt;=0,"",IFERROR(V200/U200-1,"")))</f>
        <v/>
      </c>
      <c r="W202" s="15">
        <f>IF(OR(W200="",V200=""),"",IF(V200&lt;=0,"",IFERROR(W200/V200-1,"")))</f>
        <v/>
      </c>
      <c r="X202" s="15">
        <f>IF(OR(X200="",W200=""),"",IF(W200&lt;=0,"",IFERROR(X200/W200-1,"")))</f>
        <v/>
      </c>
    </row>
    <row r="203">
      <c r="A203" s="18" t="inlineStr">
        <is>
          <t>ChinaAreaReportableSegmentMember · 부문 이익(손실)</t>
        </is>
      </c>
      <c r="E203" s="20" t="n">
        <v>-144</v>
      </c>
      <c r="F203" s="20" t="n">
        <v>75</v>
      </c>
      <c r="I203" s="20" t="n">
        <v>245</v>
      </c>
      <c r="J203" s="20" t="n">
        <v>-119</v>
      </c>
      <c r="M203" s="20" t="n">
        <v>121</v>
      </c>
      <c r="N203" s="20" t="n">
        <v>49</v>
      </c>
      <c r="V203" s="20" t="n">
        <v>-144</v>
      </c>
      <c r="W203" s="20" t="n">
        <v>245</v>
      </c>
      <c r="X203" s="20" t="n">
        <v>121</v>
      </c>
    </row>
    <row r="204">
      <c r="A204" s="43" t="inlineStr">
        <is>
          <t>OPM</t>
        </is>
      </c>
      <c r="B204" s="3" t="inlineStr">
        <is>
          <t>영업이익 ÷ 매출</t>
        </is>
      </c>
      <c r="E204" s="15">
        <f>IF(OR(E203="",E184=""),"",IF(E184&lt;=0,"",IFERROR(E203/E184,"")))</f>
        <v/>
      </c>
      <c r="F204" s="15">
        <f>IF(OR(F203="",F184=""),"",IF(F184&lt;=0,"",IFERROR(F203/F184,"")))</f>
        <v/>
      </c>
      <c r="I204" s="15">
        <f>IF(OR(I203="",I184=""),"",IF(I184&lt;=0,"",IFERROR(I203/I184,"")))</f>
        <v/>
      </c>
      <c r="J204" s="15">
        <f>IF(OR(J203="",J184=""),"",IF(J184&lt;=0,"",IFERROR(J203/J184,"")))</f>
        <v/>
      </c>
      <c r="M204" s="15">
        <f>IF(OR(M203="",M184=""),"",IF(M184&lt;=0,"",IFERROR(M203/M184,"")))</f>
        <v/>
      </c>
      <c r="N204" s="15">
        <f>IF(OR(N203="",N184=""),"",IF(N184&lt;=0,"",IFERROR(N203/N184,"")))</f>
        <v/>
      </c>
      <c r="V204" s="15">
        <f>IF(OR(V203="",V184=""),"",IF(V184&lt;=0,"",IFERROR(V203/V184,"")))</f>
        <v/>
      </c>
      <c r="W204" s="15">
        <f>IF(OR(W203="",W184=""),"",IF(W184&lt;=0,"",IFERROR(W203/W184,"")))</f>
        <v/>
      </c>
      <c r="X204" s="15">
        <f>IF(OR(X203="",X184=""),"",IF(X184&lt;=0,"",IFERROR(X203/X184,"")))</f>
        <v/>
      </c>
    </row>
    <row r="205">
      <c r="A205" s="43" t="inlineStr">
        <is>
          <t>YoY</t>
        </is>
      </c>
      <c r="B205" s="3" t="inlineStr">
        <is>
          <t>전년 같은 분기·전년 대비</t>
        </is>
      </c>
      <c r="I205" s="15">
        <f>IF(OR(I203="",E203=""),"",IF(E203&lt;=0,"",IFERROR(I203/E203-1,"")))</f>
        <v/>
      </c>
      <c r="J205" s="15">
        <f>IF(OR(J203="",F203=""),"",IF(F203&lt;=0,"",IFERROR(J203/F203-1,"")))</f>
        <v/>
      </c>
      <c r="M205" s="15">
        <f>IF(OR(M203="",I203=""),"",IF(I203&lt;=0,"",IFERROR(M203/I203-1,"")))</f>
        <v/>
      </c>
      <c r="N205" s="15">
        <f>IF(OR(N203="",J203=""),"",IF(J203&lt;=0,"",IFERROR(N203/J203-1,"")))</f>
        <v/>
      </c>
      <c r="V205" s="15">
        <f>IF(OR(V203="",U203=""),"",IF(U203&lt;=0,"",IFERROR(V203/U203-1,"")))</f>
        <v/>
      </c>
      <c r="W205" s="15">
        <f>IF(OR(W203="",V203=""),"",IF(V203&lt;=0,"",IFERROR(W203/V203-1,"")))</f>
        <v/>
      </c>
      <c r="X205" s="15">
        <f>IF(OR(X203="",W203=""),"",IF(W203&lt;=0,"",IFERROR(X203/W203-1,"")))</f>
        <v/>
      </c>
    </row>
    <row r="206">
      <c r="A206" s="18" t="inlineStr">
        <is>
          <t>보고부문 합계 · 부문 이익(손실)</t>
        </is>
      </c>
      <c r="E206" s="20" t="n">
        <v>3267</v>
      </c>
      <c r="F206" s="20" t="n">
        <v>302</v>
      </c>
      <c r="I206" s="20" t="n">
        <v>3757</v>
      </c>
      <c r="J206" s="20" t="n">
        <v>817</v>
      </c>
      <c r="M206" s="20" t="n">
        <v>2011</v>
      </c>
      <c r="N206" s="20" t="n">
        <v>1475</v>
      </c>
      <c r="V206" s="20" t="n">
        <v>3267</v>
      </c>
      <c r="W206" s="20" t="n">
        <v>3757</v>
      </c>
      <c r="X206" s="20" t="n">
        <v>2011</v>
      </c>
    </row>
    <row r="207">
      <c r="A207" s="43" t="inlineStr">
        <is>
          <t>OPM</t>
        </is>
      </c>
      <c r="B207" s="3" t="inlineStr">
        <is>
          <t>영업이익 ÷ 매출</t>
        </is>
      </c>
      <c r="E207" s="15">
        <f>IF(OR(E206="",E186=""),"",IF(E186&lt;=0,"",IFERROR(E206/E186,"")))</f>
        <v/>
      </c>
      <c r="F207" s="15">
        <f>IF(OR(F206="",F186=""),"",IF(F186&lt;=0,"",IFERROR(F206/F186,"")))</f>
        <v/>
      </c>
      <c r="I207" s="15">
        <f>IF(OR(I206="",I186=""),"",IF(I186&lt;=0,"",IFERROR(I206/I186,"")))</f>
        <v/>
      </c>
      <c r="J207" s="15">
        <f>IF(OR(J206="",J186=""),"",IF(J186&lt;=0,"",IFERROR(J206/J186,"")))</f>
        <v/>
      </c>
      <c r="M207" s="15">
        <f>IF(OR(M206="",M186=""),"",IF(M186&lt;=0,"",IFERROR(M206/M186,"")))</f>
        <v/>
      </c>
      <c r="N207" s="15">
        <f>IF(OR(N206="",N186=""),"",IF(N186&lt;=0,"",IFERROR(N206/N186,"")))</f>
        <v/>
      </c>
      <c r="V207" s="15">
        <f>IF(OR(V206="",V186=""),"",IF(V186&lt;=0,"",IFERROR(V206/V186,"")))</f>
        <v/>
      </c>
      <c r="W207" s="15">
        <f>IF(OR(W206="",W186=""),"",IF(W186&lt;=0,"",IFERROR(W206/W186,"")))</f>
        <v/>
      </c>
      <c r="X207" s="15">
        <f>IF(OR(X206="",X186=""),"",IF(X186&lt;=0,"",IFERROR(X206/X186,"")))</f>
        <v/>
      </c>
    </row>
    <row r="208">
      <c r="A208" s="43" t="inlineStr">
        <is>
          <t>YoY</t>
        </is>
      </c>
      <c r="B208" s="3" t="inlineStr">
        <is>
          <t>전년 같은 분기·전년 대비</t>
        </is>
      </c>
      <c r="I208" s="15">
        <f>IF(OR(I206="",E206=""),"",IF(E206&lt;=0,"",IFERROR(I206/E206-1,"")))</f>
        <v/>
      </c>
      <c r="J208" s="15">
        <f>IF(OR(J206="",F206=""),"",IF(F206&lt;=0,"",IFERROR(J206/F206-1,"")))</f>
        <v/>
      </c>
      <c r="M208" s="15">
        <f>IF(OR(M206="",I206=""),"",IF(I206&lt;=0,"",IFERROR(M206/I206-1,"")))</f>
        <v/>
      </c>
      <c r="N208" s="15">
        <f>IF(OR(N206="",J206=""),"",IF(J206&lt;=0,"",IFERROR(N206/J206-1,"")))</f>
        <v/>
      </c>
      <c r="V208" s="15">
        <f>IF(OR(V206="",U206=""),"",IF(U206&lt;=0,"",IFERROR(V206/U206-1,"")))</f>
        <v/>
      </c>
      <c r="W208" s="15">
        <f>IF(OR(W206="",V206=""),"",IF(V206&lt;=0,"",IFERROR(W206/V206-1,"")))</f>
        <v/>
      </c>
      <c r="X208" s="15">
        <f>IF(OR(X206="",W206=""),"",IF(W206&lt;=0,"",IFERROR(X206/W206-1,"")))</f>
        <v/>
      </c>
    </row>
    <row r="209">
      <c r="A209" s="18" t="inlineStr">
        <is>
          <t>기타 · 부문 이익(손실)</t>
        </is>
      </c>
      <c r="E209" s="20" t="n">
        <v>202</v>
      </c>
      <c r="F209" s="20" t="n">
        <v>61</v>
      </c>
      <c r="I209" s="20" t="n">
        <v>39</v>
      </c>
      <c r="J209" s="20" t="n">
        <v>150</v>
      </c>
      <c r="M209" s="20" t="n">
        <v>12</v>
      </c>
      <c r="N209" s="20" t="n">
        <v>82</v>
      </c>
      <c r="V209" s="20" t="n">
        <v>202</v>
      </c>
      <c r="W209" s="20" t="n">
        <v>39</v>
      </c>
      <c r="X209" s="20" t="n">
        <v>12</v>
      </c>
    </row>
    <row r="210">
      <c r="A210" s="43" t="inlineStr">
        <is>
          <t>OPM</t>
        </is>
      </c>
      <c r="B210" s="3" t="inlineStr">
        <is>
          <t>영업이익 ÷ 매출</t>
        </is>
      </c>
      <c r="E210" s="15">
        <f>IF(OR(E209="",E188=""),"",IF(E188&lt;=0,"",IFERROR(E209/E188,"")))</f>
        <v/>
      </c>
      <c r="F210" s="15">
        <f>IF(OR(F209="",F188=""),"",IF(F188&lt;=0,"",IFERROR(F209/F188,"")))</f>
        <v/>
      </c>
      <c r="I210" s="15">
        <f>IF(OR(I209="",I188=""),"",IF(I188&lt;=0,"",IFERROR(I209/I188,"")))</f>
        <v/>
      </c>
      <c r="J210" s="15">
        <f>IF(OR(J209="",J188=""),"",IF(J188&lt;=0,"",IFERROR(J209/J188,"")))</f>
        <v/>
      </c>
      <c r="M210" s="15">
        <f>IF(OR(M209="",M188=""),"",IF(M188&lt;=0,"",IFERROR(M209/M188,"")))</f>
        <v/>
      </c>
      <c r="N210" s="15">
        <f>IF(OR(N209="",N188=""),"",IF(N188&lt;=0,"",IFERROR(N209/N188,"")))</f>
        <v/>
      </c>
      <c r="V210" s="15">
        <f>IF(OR(V209="",V188=""),"",IF(V188&lt;=0,"",IFERROR(V209/V188,"")))</f>
        <v/>
      </c>
      <c r="W210" s="15">
        <f>IF(OR(W209="",W188=""),"",IF(W188&lt;=0,"",IFERROR(W209/W188,"")))</f>
        <v/>
      </c>
      <c r="X210" s="15">
        <f>IF(OR(X209="",X188=""),"",IF(X188&lt;=0,"",IFERROR(X209/X188,"")))</f>
        <v/>
      </c>
    </row>
    <row r="211">
      <c r="A211" s="43" t="inlineStr">
        <is>
          <t>YoY</t>
        </is>
      </c>
      <c r="B211" s="3" t="inlineStr">
        <is>
          <t>전년 같은 분기·전년 대비</t>
        </is>
      </c>
      <c r="I211" s="15">
        <f>IF(OR(I209="",E209=""),"",IF(E209&lt;=0,"",IFERROR(I209/E209-1,"")))</f>
        <v/>
      </c>
      <c r="J211" s="15">
        <f>IF(OR(J209="",F209=""),"",IF(F209&lt;=0,"",IFERROR(J209/F209-1,"")))</f>
        <v/>
      </c>
      <c r="M211" s="15">
        <f>IF(OR(M209="",I209=""),"",IF(I209&lt;=0,"",IFERROR(M209/I209-1,"")))</f>
        <v/>
      </c>
      <c r="N211" s="15">
        <f>IF(OR(N209="",J209=""),"",IF(J209&lt;=0,"",IFERROR(N209/J209-1,"")))</f>
        <v/>
      </c>
      <c r="V211" s="15">
        <f>IF(OR(V209="",U209=""),"",IF(U209&lt;=0,"",IFERROR(V209/U209-1,"")))</f>
        <v/>
      </c>
      <c r="W211" s="15">
        <f>IF(OR(W209="",V209=""),"",IF(V209&lt;=0,"",IFERROR(W209/V209-1,"")))</f>
        <v/>
      </c>
      <c r="X211" s="15">
        <f>IF(OR(X209="",W209=""),"",IF(W209&lt;=0,"",IFERROR(X209/W209-1,"")))</f>
        <v/>
      </c>
    </row>
    <row r="212">
      <c r="A212" s="18" t="inlineStr">
        <is>
          <t>합계 · 부문 이익(손실)</t>
        </is>
      </c>
      <c r="E212" s="20" t="n">
        <v>3469</v>
      </c>
      <c r="F212" s="20" t="n">
        <v>363</v>
      </c>
      <c r="I212" s="20" t="n">
        <v>3796</v>
      </c>
      <c r="J212" s="20" t="n">
        <v>968</v>
      </c>
      <c r="M212" s="20" t="n">
        <v>2023</v>
      </c>
      <c r="N212" s="20" t="n">
        <v>1557</v>
      </c>
      <c r="V212" s="20" t="n">
        <v>3469</v>
      </c>
      <c r="W212" s="20" t="n">
        <v>3796</v>
      </c>
      <c r="X212" s="20" t="n">
        <v>2023</v>
      </c>
    </row>
    <row r="213">
      <c r="A213" s="43" t="inlineStr">
        <is>
          <t>OPM</t>
        </is>
      </c>
      <c r="B213" s="3" t="inlineStr">
        <is>
          <t>영업이익 ÷ 매출</t>
        </is>
      </c>
      <c r="E213" s="15">
        <f>IF(OR(E212="",E190=""),"",IF(E190&lt;=0,"",IFERROR(E212/E190,"")))</f>
        <v/>
      </c>
      <c r="F213" s="15">
        <f>IF(OR(F212="",F190=""),"",IF(F190&lt;=0,"",IFERROR(F212/F190,"")))</f>
        <v/>
      </c>
      <c r="I213" s="15">
        <f>IF(OR(I212="",I190=""),"",IF(I190&lt;=0,"",IFERROR(I212/I190,"")))</f>
        <v/>
      </c>
      <c r="J213" s="15">
        <f>IF(OR(J212="",J190=""),"",IF(J190&lt;=0,"",IFERROR(J212/J190,"")))</f>
        <v/>
      </c>
      <c r="M213" s="15">
        <f>IF(OR(M212="",M190=""),"",IF(M190&lt;=0,"",IFERROR(M212/M190,"")))</f>
        <v/>
      </c>
      <c r="N213" s="15">
        <f>IF(OR(N212="",N190=""),"",IF(N190&lt;=0,"",IFERROR(N212/N190,"")))</f>
        <v/>
      </c>
      <c r="V213" s="15">
        <f>IF(OR(V212="",V190=""),"",IF(V190&lt;=0,"",IFERROR(V212/V190,"")))</f>
        <v/>
      </c>
      <c r="W213" s="15">
        <f>IF(OR(W212="",W190=""),"",IF(W190&lt;=0,"",IFERROR(W212/W190,"")))</f>
        <v/>
      </c>
      <c r="X213" s="15">
        <f>IF(OR(X212="",X190=""),"",IF(X190&lt;=0,"",IFERROR(X212/X190,"")))</f>
        <v/>
      </c>
    </row>
    <row r="214">
      <c r="A214" s="43" t="inlineStr">
        <is>
          <t>YoY</t>
        </is>
      </c>
      <c r="B214" s="3" t="inlineStr">
        <is>
          <t>전년 같은 분기·전년 대비</t>
        </is>
      </c>
      <c r="I214" s="15">
        <f>IF(OR(I212="",E212=""),"",IF(E212&lt;=0,"",IFERROR(I212/E212-1,"")))</f>
        <v/>
      </c>
      <c r="J214" s="15">
        <f>IF(OR(J212="",F212=""),"",IF(F212&lt;=0,"",IFERROR(J212/F212-1,"")))</f>
        <v/>
      </c>
      <c r="M214" s="15">
        <f>IF(OR(M212="",I212=""),"",IF(I212&lt;=0,"",IFERROR(M212/I212-1,"")))</f>
        <v/>
      </c>
      <c r="N214" s="15">
        <f>IF(OR(N212="",J212=""),"",IF(J212&lt;=0,"",IFERROR(N212/J212-1,"")))</f>
        <v/>
      </c>
      <c r="V214" s="15">
        <f>IF(OR(V212="",U212=""),"",IF(U212&lt;=0,"",IFERROR(V212/U212-1,"")))</f>
        <v/>
      </c>
      <c r="W214" s="15">
        <f>IF(OR(W212="",V212=""),"",IF(V212&lt;=0,"",IFERROR(W212/V212-1,"")))</f>
        <v/>
      </c>
      <c r="X214" s="15">
        <f>IF(OR(X212="",W212=""),"",IF(W212&lt;=0,"",IFERROR(X212/W212-1,"")))</f>
        <v/>
      </c>
    </row>
    <row r="215">
      <c r="A215" s="18" t="inlineStr">
        <is>
          <t>조정액 · 부문 이익(손실)</t>
        </is>
      </c>
      <c r="I215" s="20" t="n">
        <v>-14</v>
      </c>
      <c r="J215" s="20" t="n">
        <v>-463</v>
      </c>
      <c r="M215" s="20" t="n">
        <v>441</v>
      </c>
      <c r="N215" s="20" t="n">
        <v>-1019</v>
      </c>
      <c r="W215" s="20" t="n">
        <v>-14</v>
      </c>
      <c r="X215" s="20" t="n">
        <v>441</v>
      </c>
    </row>
    <row r="216">
      <c r="A216" s="18" t="inlineStr">
        <is>
          <t>EntityTotalMember · 부문 이익(손실)</t>
        </is>
      </c>
      <c r="J216" s="20" t="n">
        <v>504</v>
      </c>
      <c r="N216" s="20" t="n">
        <v>537</v>
      </c>
    </row>
    <row r="218">
      <c r="A218" s="16" t="inlineStr">
        <is>
          <t>현금흐름표 · 전 항목</t>
        </is>
      </c>
      <c r="B218" s="42" t="inlineStr">
        <is>
          <t>분기 = 결산기 첫날부터 누계(공시 그대로)</t>
        </is>
      </c>
      <c r="C218" s="16" t="n"/>
      <c r="D218" s="16" t="n"/>
      <c r="E218" s="16" t="n"/>
      <c r="F218" s="16" t="n"/>
      <c r="G218" s="16" t="n"/>
      <c r="H218" s="16" t="n"/>
      <c r="I218" s="16" t="n"/>
      <c r="J218" s="16" t="n"/>
      <c r="K218" s="16" t="n"/>
      <c r="L218" s="16" t="n"/>
      <c r="M218" s="16" t="n"/>
      <c r="N218" s="16" t="n"/>
      <c r="O218" s="16" t="n"/>
      <c r="P218" s="16" t="n"/>
      <c r="Q218" s="16" t="n"/>
      <c r="R218" s="16" t="n"/>
      <c r="S218" s="16" t="n"/>
      <c r="T218" s="16" t="n"/>
      <c r="U218" s="16" t="n"/>
      <c r="V218" s="16" t="n"/>
      <c r="W218" s="16" t="n"/>
      <c r="X218" s="16" t="n"/>
      <c r="Y218" s="16" t="n"/>
      <c r="Z218" s="16" t="n"/>
      <c r="AA218" s="16" t="n"/>
      <c r="AB218" s="16" t="n"/>
      <c r="AC218" s="16" t="n"/>
    </row>
    <row r="219">
      <c r="A219" s="5" t="inlineStr">
        <is>
          <t>항목</t>
        </is>
      </c>
      <c r="B219" s="5" t="inlineStr">
        <is>
          <t>참고</t>
        </is>
      </c>
      <c r="C219" s="5" t="inlineStr">
        <is>
          <t>2024.2Q</t>
        </is>
      </c>
      <c r="D219" s="5" t="inlineStr">
        <is>
          <t>2024.3Q</t>
        </is>
      </c>
      <c r="E219" s="5" t="inlineStr">
        <is>
          <t>2024.4Q</t>
        </is>
      </c>
      <c r="F219" s="5" t="inlineStr">
        <is>
          <t>2025.1Q</t>
        </is>
      </c>
      <c r="G219" s="5" t="inlineStr">
        <is>
          <t>2025.2Q</t>
        </is>
      </c>
      <c r="H219" s="5" t="inlineStr">
        <is>
          <t>2025.3Q</t>
        </is>
      </c>
      <c r="I219" s="5" t="inlineStr">
        <is>
          <t>2025.4Q</t>
        </is>
      </c>
      <c r="J219" s="5" t="inlineStr">
        <is>
          <t>2026.1Q</t>
        </is>
      </c>
      <c r="K219" s="5" t="inlineStr">
        <is>
          <t>2026.2Q</t>
        </is>
      </c>
      <c r="L219" s="5" t="inlineStr">
        <is>
          <t>2026.3Q</t>
        </is>
      </c>
      <c r="M219" s="5" t="inlineStr">
        <is>
          <t>2026.4Q</t>
        </is>
      </c>
      <c r="N219" s="5" t="inlineStr">
        <is>
          <t>2027.1Q</t>
        </is>
      </c>
      <c r="O219" s="5" t="inlineStr">
        <is>
          <t>2017</t>
        </is>
      </c>
      <c r="P219" s="5" t="inlineStr">
        <is>
          <t>2018</t>
        </is>
      </c>
      <c r="Q219" s="5" t="inlineStr">
        <is>
          <t>2019</t>
        </is>
      </c>
      <c r="R219" s="5" t="inlineStr">
        <is>
          <t>2020</t>
        </is>
      </c>
      <c r="S219" s="5" t="inlineStr">
        <is>
          <t>2021</t>
        </is>
      </c>
      <c r="T219" s="5" t="inlineStr">
        <is>
          <t>2022</t>
        </is>
      </c>
      <c r="U219" s="5" t="inlineStr">
        <is>
          <t>2023</t>
        </is>
      </c>
      <c r="V219" s="5" t="inlineStr">
        <is>
          <t>2024</t>
        </is>
      </c>
      <c r="W219" s="5" t="inlineStr">
        <is>
          <t>2025</t>
        </is>
      </c>
      <c r="X219" s="5" t="inlineStr">
        <is>
          <t>2026</t>
        </is>
      </c>
      <c r="Y219" s="5" t="inlineStr">
        <is>
          <t>2027(MW)</t>
        </is>
      </c>
      <c r="Z219" s="5" t="inlineStr">
        <is>
          <t>2028(MW)</t>
        </is>
      </c>
      <c r="AA219" s="5" t="inlineStr">
        <is>
          <t>2029(MW)</t>
        </is>
      </c>
      <c r="AB219" s="5" t="inlineStr">
        <is>
          <t>2030(MW)</t>
        </is>
      </c>
      <c r="AC219" s="5" t="inlineStr">
        <is>
          <t>2031(MW)</t>
        </is>
      </c>
    </row>
    <row r="220">
      <c r="A220" s="9" t="inlineStr">
        <is>
          <t>법인세차감전 순이익</t>
        </is>
      </c>
      <c r="E220" s="12" t="n">
        <v>5805</v>
      </c>
      <c r="I220" s="12" t="n">
        <v>9160</v>
      </c>
      <c r="M220" s="12" t="n">
        <v>10814</v>
      </c>
      <c r="O220" s="12" t="n">
        <v>824</v>
      </c>
      <c r="P220" s="12" t="n">
        <v>4152</v>
      </c>
      <c r="Q220" s="12" t="n">
        <v>2458</v>
      </c>
      <c r="R220" s="12" t="n">
        <v>-21176</v>
      </c>
      <c r="S220" s="12" t="n">
        <v>-1522</v>
      </c>
      <c r="T220" s="12" t="n">
        <v>6990</v>
      </c>
      <c r="U220" s="12" t="n">
        <v>6604</v>
      </c>
      <c r="V220" s="12" t="n">
        <v>5805</v>
      </c>
      <c r="W220" s="12" t="n">
        <v>9160</v>
      </c>
      <c r="X220" s="12" t="n">
        <v>10814</v>
      </c>
    </row>
    <row r="221">
      <c r="A221" s="18" t="inlineStr">
        <is>
          <t>감가상각비</t>
        </is>
      </c>
      <c r="E221" s="20" t="n">
        <v>1967</v>
      </c>
      <c r="I221" s="20" t="n">
        <v>2303</v>
      </c>
      <c r="M221" s="20" t="n">
        <v>2277</v>
      </c>
      <c r="O221" s="20" t="n">
        <v>2132</v>
      </c>
      <c r="P221" s="20" t="n">
        <v>1888</v>
      </c>
      <c r="Q221" s="20" t="n">
        <v>1964</v>
      </c>
      <c r="R221" s="20" t="n">
        <v>2304</v>
      </c>
      <c r="S221" s="20" t="n">
        <v>1604</v>
      </c>
      <c r="T221" s="20" t="n">
        <v>1877</v>
      </c>
      <c r="U221" s="20" t="n">
        <v>1895</v>
      </c>
      <c r="V221" s="20" t="n">
        <v>1967</v>
      </c>
      <c r="W221" s="20" t="n">
        <v>2303</v>
      </c>
      <c r="X221" s="20" t="n">
        <v>2277</v>
      </c>
    </row>
    <row r="222">
      <c r="A222" s="18" t="inlineStr">
        <is>
          <t>손상차손</t>
        </is>
      </c>
      <c r="E222" s="20" t="n">
        <v>1384</v>
      </c>
      <c r="I222" s="20" t="n">
        <v>314</v>
      </c>
      <c r="M222" s="20" t="n">
        <v>0</v>
      </c>
      <c r="O222" s="20" t="n">
        <v>553</v>
      </c>
      <c r="P222" s="20" t="n">
        <v>129</v>
      </c>
      <c r="Q222" s="20" t="n">
        <v>0</v>
      </c>
      <c r="R222" s="20" t="n">
        <v>17757</v>
      </c>
      <c r="S222" s="20" t="n">
        <v>1187</v>
      </c>
      <c r="T222" s="20" t="n">
        <v>0</v>
      </c>
      <c r="U222" s="20" t="n">
        <v>0</v>
      </c>
      <c r="V222" s="20" t="n">
        <v>1384</v>
      </c>
      <c r="W222" s="20" t="n">
        <v>314</v>
      </c>
      <c r="X222" s="20" t="n">
        <v>0</v>
      </c>
    </row>
    <row r="223">
      <c r="A223" s="18" t="inlineStr">
        <is>
          <t>부의 영업권 발생이익</t>
        </is>
      </c>
      <c r="R223" s="20" t="n">
        <v>0</v>
      </c>
      <c r="S223" s="20" t="n">
        <v>-901</v>
      </c>
      <c r="T223" s="20" t="n">
        <v>0</v>
      </c>
    </row>
    <row r="224">
      <c r="A224" s="18" t="inlineStr">
        <is>
          <t>영업권 상각</t>
        </is>
      </c>
      <c r="E224" s="20" t="n">
        <v>577</v>
      </c>
      <c r="I224" s="20" t="n">
        <v>246</v>
      </c>
      <c r="M224" s="20" t="n">
        <v>259</v>
      </c>
      <c r="O224" s="20" t="n">
        <v>151</v>
      </c>
      <c r="P224" s="20" t="n">
        <v>152</v>
      </c>
      <c r="Q224" s="20" t="n">
        <v>199</v>
      </c>
      <c r="R224" s="20" t="n">
        <v>595</v>
      </c>
      <c r="S224" s="20" t="n">
        <v>584</v>
      </c>
      <c r="T224" s="20" t="n">
        <v>502</v>
      </c>
      <c r="U224" s="20" t="n">
        <v>547</v>
      </c>
      <c r="V224" s="20" t="n">
        <v>577</v>
      </c>
      <c r="W224" s="20" t="n">
        <v>246</v>
      </c>
      <c r="X224" s="20" t="n">
        <v>259</v>
      </c>
    </row>
    <row r="225">
      <c r="A225" s="18" t="inlineStr">
        <is>
          <t>고정자산 매각손익</t>
        </is>
      </c>
      <c r="E225" s="20" t="n">
        <v>-25</v>
      </c>
      <c r="I225" s="20" t="n">
        <v>-161</v>
      </c>
      <c r="M225" s="20" t="n">
        <v>178</v>
      </c>
      <c r="S225" s="20" t="n">
        <v>-5</v>
      </c>
      <c r="T225" s="20" t="n">
        <v>-3686</v>
      </c>
      <c r="U225" s="20" t="n">
        <v>-11</v>
      </c>
      <c r="V225" s="20" t="n">
        <v>-25</v>
      </c>
      <c r="W225" s="20" t="n">
        <v>-161</v>
      </c>
      <c r="X225" s="20" t="n">
        <v>178</v>
      </c>
    </row>
    <row r="226">
      <c r="A226" s="18" t="inlineStr">
        <is>
          <t>대손충당금 증감</t>
        </is>
      </c>
      <c r="E226" s="20" t="n">
        <v>72</v>
      </c>
      <c r="I226" s="20" t="n">
        <v>-62</v>
      </c>
      <c r="M226" s="20" t="n">
        <v>152</v>
      </c>
      <c r="O226" s="20" t="n">
        <v>75</v>
      </c>
      <c r="P226" s="20" t="n">
        <v>-22</v>
      </c>
      <c r="Q226" s="20" t="n">
        <v>-57</v>
      </c>
      <c r="R226" s="20" t="n">
        <v>12</v>
      </c>
      <c r="S226" s="20" t="n">
        <v>34</v>
      </c>
      <c r="T226" s="20" t="n">
        <v>27</v>
      </c>
      <c r="U226" s="20" t="n">
        <v>-211</v>
      </c>
      <c r="V226" s="20" t="n">
        <v>72</v>
      </c>
      <c r="W226" s="20" t="n">
        <v>-62</v>
      </c>
      <c r="X226" s="20" t="n">
        <v>152</v>
      </c>
    </row>
    <row r="227">
      <c r="A227" s="18" t="inlineStr">
        <is>
          <t>상여충당금 증감</t>
        </is>
      </c>
      <c r="E227" s="20" t="n">
        <v>-36</v>
      </c>
      <c r="I227" s="20" t="n">
        <v>44</v>
      </c>
      <c r="M227" s="20" t="n">
        <v>66</v>
      </c>
      <c r="O227" s="20" t="n">
        <v>-19</v>
      </c>
      <c r="P227" s="20" t="n">
        <v>52</v>
      </c>
      <c r="Q227" s="20" t="n">
        <v>-18</v>
      </c>
      <c r="R227" s="20" t="n">
        <v>-138</v>
      </c>
      <c r="S227" s="20" t="n">
        <v>-58</v>
      </c>
      <c r="T227" s="20" t="n">
        <v>105</v>
      </c>
      <c r="U227" s="20" t="n">
        <v>132</v>
      </c>
      <c r="V227" s="20" t="n">
        <v>-36</v>
      </c>
      <c r="W227" s="20" t="n">
        <v>44</v>
      </c>
      <c r="X227" s="20" t="n">
        <v>66</v>
      </c>
    </row>
    <row r="228">
      <c r="A228" s="18" t="inlineStr">
        <is>
          <t>퇴직급여부채 증감</t>
        </is>
      </c>
      <c r="E228" s="20" t="n">
        <v>59</v>
      </c>
      <c r="I228" s="20" t="n">
        <v>-19</v>
      </c>
      <c r="M228" s="20" t="n">
        <v>-251</v>
      </c>
      <c r="O228" s="20" t="n">
        <v>157</v>
      </c>
      <c r="P228" s="20" t="n">
        <v>-46</v>
      </c>
      <c r="Q228" s="20" t="n">
        <v>-444</v>
      </c>
      <c r="R228" s="20" t="n">
        <v>-311</v>
      </c>
      <c r="S228" s="20" t="n">
        <v>53</v>
      </c>
      <c r="T228" s="20" t="n">
        <v>-149</v>
      </c>
      <c r="U228" s="20" t="n">
        <v>-222</v>
      </c>
      <c r="V228" s="20" t="n">
        <v>59</v>
      </c>
      <c r="W228" s="20" t="n">
        <v>-19</v>
      </c>
      <c r="X228" s="20" t="n">
        <v>-251</v>
      </c>
    </row>
    <row r="229">
      <c r="A229" s="18" t="inlineStr">
        <is>
          <t>이자·배당금 수익</t>
        </is>
      </c>
      <c r="E229" s="20" t="n">
        <v>-703</v>
      </c>
      <c r="I229" s="20" t="n">
        <v>-612</v>
      </c>
      <c r="M229" s="20" t="n">
        <v>-722</v>
      </c>
      <c r="O229" s="20" t="n">
        <v>-315</v>
      </c>
      <c r="P229" s="20" t="n">
        <v>-336</v>
      </c>
      <c r="Q229" s="20" t="n">
        <v>-350</v>
      </c>
      <c r="R229" s="20" t="n">
        <v>-336</v>
      </c>
      <c r="S229" s="20" t="n">
        <v>-260</v>
      </c>
      <c r="T229" s="20" t="n">
        <v>-296</v>
      </c>
      <c r="U229" s="20" t="n">
        <v>-377</v>
      </c>
      <c r="V229" s="20" t="n">
        <v>-703</v>
      </c>
      <c r="W229" s="20" t="n">
        <v>-612</v>
      </c>
      <c r="X229" s="20" t="n">
        <v>-722</v>
      </c>
    </row>
    <row r="230">
      <c r="A230" s="18" t="inlineStr">
        <is>
          <t>이자비용</t>
        </is>
      </c>
      <c r="E230" s="20" t="n">
        <v>102</v>
      </c>
      <c r="I230" s="20" t="n">
        <v>108</v>
      </c>
      <c r="M230" s="20" t="n">
        <v>238</v>
      </c>
      <c r="O230" s="20" t="n">
        <v>58</v>
      </c>
      <c r="P230" s="20" t="n">
        <v>67</v>
      </c>
      <c r="Q230" s="20" t="n">
        <v>52</v>
      </c>
      <c r="R230" s="20" t="n">
        <v>7</v>
      </c>
      <c r="S230" s="20" t="n">
        <v>51</v>
      </c>
      <c r="T230" s="20" t="n">
        <v>58</v>
      </c>
      <c r="U230" s="20" t="n">
        <v>64</v>
      </c>
      <c r="V230" s="20" t="n">
        <v>102</v>
      </c>
      <c r="W230" s="20" t="n">
        <v>108</v>
      </c>
      <c r="X230" s="20" t="n">
        <v>238</v>
      </c>
    </row>
    <row r="231">
      <c r="A231" s="18" t="inlineStr">
        <is>
          <t>외환차손익</t>
        </is>
      </c>
      <c r="E231" s="20" t="n">
        <v>-921</v>
      </c>
      <c r="I231" s="20" t="n">
        <v>61</v>
      </c>
      <c r="M231" s="20" t="n">
        <v>-899</v>
      </c>
      <c r="O231" s="20" t="n">
        <v>287</v>
      </c>
      <c r="P231" s="20" t="n">
        <v>-195</v>
      </c>
      <c r="Q231" s="20" t="n">
        <v>6</v>
      </c>
      <c r="R231" s="20" t="n">
        <v>151</v>
      </c>
      <c r="S231" s="20" t="n">
        <v>-166</v>
      </c>
      <c r="T231" s="20" t="n">
        <v>-378</v>
      </c>
      <c r="U231" s="20" t="n">
        <v>-167</v>
      </c>
      <c r="V231" s="20" t="n">
        <v>-921</v>
      </c>
      <c r="W231" s="20" t="n">
        <v>61</v>
      </c>
      <c r="X231" s="20" t="n">
        <v>-899</v>
      </c>
    </row>
    <row r="232">
      <c r="A232" s="18" t="inlineStr">
        <is>
          <t>투자유가증권 매각손익</t>
        </is>
      </c>
      <c r="E232" s="20" t="n">
        <v>-472</v>
      </c>
      <c r="I232" s="20" t="n">
        <v>-1764</v>
      </c>
      <c r="M232" s="20" t="n">
        <v>-426</v>
      </c>
      <c r="R232" s="20" t="n">
        <v>-259</v>
      </c>
      <c r="S232" s="20" t="n">
        <v>-93</v>
      </c>
      <c r="T232" s="20" t="n">
        <v>-5</v>
      </c>
      <c r="U232" s="20" t="n">
        <v>0</v>
      </c>
      <c r="V232" s="20" t="n">
        <v>-472</v>
      </c>
      <c r="W232" s="20" t="n">
        <v>-1764</v>
      </c>
      <c r="X232" s="20" t="n">
        <v>-426</v>
      </c>
    </row>
    <row r="233">
      <c r="A233" s="18" t="inlineStr">
        <is>
          <t>매출채권 증감</t>
        </is>
      </c>
      <c r="E233" s="20" t="n">
        <v>-5635</v>
      </c>
      <c r="I233" s="20" t="n">
        <v>8590</v>
      </c>
      <c r="M233" s="20" t="n">
        <v>-350</v>
      </c>
      <c r="O233" s="20" t="n">
        <v>-4632</v>
      </c>
      <c r="P233" s="20" t="n">
        <v>-6173</v>
      </c>
      <c r="Q233" s="20" t="n">
        <v>-828</v>
      </c>
      <c r="R233" s="20" t="n">
        <v>11537</v>
      </c>
      <c r="S233" s="20" t="n">
        <v>3425</v>
      </c>
      <c r="T233" s="20" t="n">
        <v>1616</v>
      </c>
      <c r="U233" s="20" t="n">
        <v>-3153</v>
      </c>
      <c r="V233" s="20" t="n">
        <v>-5635</v>
      </c>
      <c r="W233" s="20" t="n">
        <v>8590</v>
      </c>
      <c r="X233" s="20" t="n">
        <v>-350</v>
      </c>
    </row>
    <row r="234">
      <c r="A234" s="18" t="inlineStr">
        <is>
          <t>재고자산 증감</t>
        </is>
      </c>
      <c r="E234" s="20" t="n">
        <v>-2762</v>
      </c>
      <c r="I234" s="20" t="n">
        <v>-176</v>
      </c>
      <c r="M234" s="20" t="n">
        <v>-728</v>
      </c>
      <c r="O234" s="20" t="n">
        <v>11</v>
      </c>
      <c r="P234" s="20" t="n">
        <v>4158</v>
      </c>
      <c r="Q234" s="20" t="n">
        <v>-3987</v>
      </c>
      <c r="R234" s="20" t="n">
        <v>-4404</v>
      </c>
      <c r="S234" s="20" t="n">
        <v>7575</v>
      </c>
      <c r="T234" s="20" t="n">
        <v>223</v>
      </c>
      <c r="U234" s="20" t="n">
        <v>-4169</v>
      </c>
      <c r="V234" s="20" t="n">
        <v>-2762</v>
      </c>
      <c r="W234" s="20" t="n">
        <v>-176</v>
      </c>
      <c r="X234" s="20" t="n">
        <v>-728</v>
      </c>
    </row>
    <row r="235">
      <c r="A235" s="18" t="inlineStr">
        <is>
          <t>매입채무 증감</t>
        </is>
      </c>
      <c r="E235" s="20" t="n">
        <v>-6760</v>
      </c>
      <c r="I235" s="20" t="n">
        <v>499</v>
      </c>
      <c r="M235" s="20" t="n">
        <v>-5740</v>
      </c>
      <c r="O235" s="20" t="n">
        <v>-1297</v>
      </c>
      <c r="P235" s="20" t="n">
        <v>1341</v>
      </c>
      <c r="Q235" s="20" t="n">
        <v>720</v>
      </c>
      <c r="R235" s="20" t="n">
        <v>-3958</v>
      </c>
      <c r="S235" s="20" t="n">
        <v>-4300</v>
      </c>
      <c r="T235" s="20" t="n">
        <v>2950</v>
      </c>
      <c r="U235" s="20" t="n">
        <v>4713</v>
      </c>
      <c r="V235" s="20" t="n">
        <v>-6760</v>
      </c>
      <c r="W235" s="20" t="n">
        <v>499</v>
      </c>
      <c r="X235" s="20" t="n">
        <v>-5740</v>
      </c>
    </row>
    <row r="236">
      <c r="A236" s="18" t="inlineStr">
        <is>
          <t>선급비용 증감</t>
        </is>
      </c>
      <c r="I236" s="20" t="n">
        <v>54</v>
      </c>
      <c r="M236" s="20" t="n">
        <v>528</v>
      </c>
      <c r="O236" s="20" t="n">
        <v>338</v>
      </c>
      <c r="P236" s="20" t="n">
        <v>-331</v>
      </c>
      <c r="Q236" s="20" t="n">
        <v>150</v>
      </c>
      <c r="R236" s="20" t="n">
        <v>-154</v>
      </c>
      <c r="S236" s="20" t="n">
        <v>195</v>
      </c>
      <c r="W236" s="20" t="n">
        <v>54</v>
      </c>
      <c r="X236" s="20" t="n">
        <v>528</v>
      </c>
    </row>
    <row r="237">
      <c r="A237" s="18" t="inlineStr">
        <is>
          <t>예수금 증감</t>
        </is>
      </c>
      <c r="O237" s="20" t="n">
        <v>-8</v>
      </c>
      <c r="P237" s="20" t="n">
        <v>502</v>
      </c>
      <c r="Q237" s="20" t="n">
        <v>83</v>
      </c>
      <c r="R237" s="20" t="n">
        <v>-828</v>
      </c>
      <c r="S237" s="20" t="n">
        <v>186</v>
      </c>
    </row>
    <row r="238">
      <c r="A238" s="18" t="inlineStr">
        <is>
          <t>미지급 소비세 증감</t>
        </is>
      </c>
      <c r="E238" s="20" t="n">
        <v>328</v>
      </c>
      <c r="I238" s="20" t="n">
        <v>-343</v>
      </c>
      <c r="M238" s="20" t="n">
        <v>373</v>
      </c>
      <c r="O238" s="20" t="n">
        <v>248</v>
      </c>
      <c r="P238" s="20" t="n">
        <v>125</v>
      </c>
      <c r="Q238" s="20" t="n">
        <v>-304</v>
      </c>
      <c r="R238" s="20" t="n">
        <v>-512</v>
      </c>
      <c r="S238" s="20" t="n">
        <v>469</v>
      </c>
      <c r="T238" s="20" t="n">
        <v>-201</v>
      </c>
      <c r="U238" s="20" t="n">
        <v>-209</v>
      </c>
      <c r="V238" s="20" t="n">
        <v>328</v>
      </c>
      <c r="W238" s="20" t="n">
        <v>-343</v>
      </c>
      <c r="X238" s="20" t="n">
        <v>373</v>
      </c>
    </row>
    <row r="239">
      <c r="A239" s="18" t="inlineStr">
        <is>
          <t>기타</t>
        </is>
      </c>
      <c r="E239" s="20" t="n">
        <v>217</v>
      </c>
      <c r="I239" s="20" t="n">
        <v>-373</v>
      </c>
      <c r="M239" s="20" t="n">
        <v>594</v>
      </c>
      <c r="O239" s="20" t="n">
        <v>433</v>
      </c>
      <c r="P239" s="20" t="n">
        <v>261</v>
      </c>
      <c r="Q239" s="20" t="n">
        <v>722</v>
      </c>
      <c r="R239" s="20" t="n">
        <v>1186</v>
      </c>
      <c r="S239" s="20" t="n">
        <v>601</v>
      </c>
      <c r="T239" s="20" t="n">
        <v>-30</v>
      </c>
      <c r="U239" s="20" t="n">
        <v>18</v>
      </c>
      <c r="V239" s="20" t="n">
        <v>217</v>
      </c>
      <c r="W239" s="20" t="n">
        <v>-373</v>
      </c>
      <c r="X239" s="20" t="n">
        <v>594</v>
      </c>
    </row>
    <row r="240">
      <c r="A240" s="18" t="inlineStr">
        <is>
          <t>소계</t>
        </is>
      </c>
      <c r="E240" s="20" t="n">
        <v>-6802</v>
      </c>
      <c r="I240" s="20" t="n">
        <v>17871</v>
      </c>
      <c r="M240" s="20" t="n">
        <v>6363</v>
      </c>
      <c r="O240" s="20" t="n">
        <v>-1001</v>
      </c>
      <c r="P240" s="20" t="n">
        <v>5727</v>
      </c>
      <c r="Q240" s="20" t="n">
        <v>368</v>
      </c>
      <c r="R240" s="20" t="n">
        <v>1471</v>
      </c>
      <c r="S240" s="20" t="n">
        <v>8279</v>
      </c>
      <c r="T240" s="20" t="n">
        <v>9603</v>
      </c>
      <c r="U240" s="20" t="n">
        <v>5453</v>
      </c>
      <c r="V240" s="20" t="n">
        <v>-6802</v>
      </c>
      <c r="W240" s="20" t="n">
        <v>17871</v>
      </c>
      <c r="X240" s="20" t="n">
        <v>6363</v>
      </c>
    </row>
    <row r="241">
      <c r="A241" s="18" t="inlineStr">
        <is>
          <t>이자·배당금 수취</t>
        </is>
      </c>
      <c r="E241" s="20" t="n">
        <v>702</v>
      </c>
      <c r="I241" s="20" t="n">
        <v>606</v>
      </c>
      <c r="M241" s="20" t="n">
        <v>704</v>
      </c>
      <c r="O241" s="20" t="n">
        <v>319</v>
      </c>
      <c r="P241" s="20" t="n">
        <v>337</v>
      </c>
      <c r="Q241" s="20" t="n">
        <v>350</v>
      </c>
      <c r="R241" s="20" t="n">
        <v>337</v>
      </c>
      <c r="S241" s="20" t="n">
        <v>260</v>
      </c>
      <c r="T241" s="20" t="n">
        <v>296</v>
      </c>
      <c r="U241" s="20" t="n">
        <v>373</v>
      </c>
      <c r="V241" s="20" t="n">
        <v>702</v>
      </c>
      <c r="W241" s="20" t="n">
        <v>606</v>
      </c>
      <c r="X241" s="20" t="n">
        <v>704</v>
      </c>
    </row>
    <row r="242">
      <c r="A242" s="18" t="inlineStr">
        <is>
          <t>이자 지급</t>
        </is>
      </c>
      <c r="E242" s="20" t="n">
        <v>-102</v>
      </c>
      <c r="I242" s="20" t="n">
        <v>-101</v>
      </c>
      <c r="M242" s="20" t="n">
        <v>-240</v>
      </c>
      <c r="O242" s="20" t="n">
        <v>-58</v>
      </c>
      <c r="P242" s="20" t="n">
        <v>-67</v>
      </c>
      <c r="Q242" s="20" t="n">
        <v>-52</v>
      </c>
      <c r="R242" s="20" t="n">
        <v>-7</v>
      </c>
      <c r="S242" s="20" t="n">
        <v>-51</v>
      </c>
      <c r="T242" s="20" t="n">
        <v>-58</v>
      </c>
      <c r="U242" s="20" t="n">
        <v>-64</v>
      </c>
      <c r="V242" s="20" t="n">
        <v>-102</v>
      </c>
      <c r="W242" s="20" t="n">
        <v>-101</v>
      </c>
      <c r="X242" s="20" t="n">
        <v>-240</v>
      </c>
    </row>
    <row r="243">
      <c r="A243" s="18" t="inlineStr">
        <is>
          <t>법인세 납부</t>
        </is>
      </c>
      <c r="E243" s="20" t="n">
        <v>-1849</v>
      </c>
      <c r="I243" s="20" t="n">
        <v>-1358</v>
      </c>
      <c r="M243" s="20" t="n">
        <v>-3294</v>
      </c>
      <c r="O243" s="20" t="n">
        <v>-53</v>
      </c>
      <c r="P243" s="20" t="n">
        <v>94</v>
      </c>
      <c r="Q243" s="20" t="n">
        <v>-554</v>
      </c>
      <c r="R243" s="20" t="n">
        <v>6</v>
      </c>
      <c r="S243" s="20" t="n">
        <v>-312</v>
      </c>
      <c r="T243" s="20" t="n">
        <v>-559</v>
      </c>
      <c r="U243" s="20" t="n">
        <v>-1286</v>
      </c>
      <c r="V243" s="20" t="n">
        <v>-1849</v>
      </c>
      <c r="W243" s="20" t="n">
        <v>-1358</v>
      </c>
      <c r="X243" s="20" t="n">
        <v>-3294</v>
      </c>
    </row>
    <row r="244">
      <c r="A244" s="9" t="inlineStr">
        <is>
          <t>영업활동 현금흐름</t>
        </is>
      </c>
      <c r="E244" s="12" t="n">
        <v>-8051</v>
      </c>
      <c r="I244" s="12" t="n">
        <v>17018</v>
      </c>
      <c r="M244" s="12" t="n">
        <v>3533</v>
      </c>
      <c r="O244" s="12" t="n">
        <v>-793</v>
      </c>
      <c r="P244" s="12" t="n">
        <v>6091</v>
      </c>
      <c r="Q244" s="12" t="n">
        <v>112</v>
      </c>
      <c r="R244" s="12" t="n">
        <v>1807</v>
      </c>
      <c r="S244" s="12" t="n">
        <v>8174</v>
      </c>
      <c r="T244" s="12" t="n">
        <v>9281</v>
      </c>
      <c r="U244" s="12" t="n">
        <v>4475</v>
      </c>
      <c r="V244" s="12" t="n">
        <v>-8051</v>
      </c>
      <c r="W244" s="12" t="n">
        <v>17018</v>
      </c>
      <c r="X244" s="12" t="n">
        <v>3533</v>
      </c>
    </row>
    <row r="245">
      <c r="A245" s="18" t="inlineStr">
        <is>
          <t>유가증권 순증감액</t>
        </is>
      </c>
      <c r="E245" s="20" t="n">
        <v>1710</v>
      </c>
      <c r="I245" s="20" t="n">
        <v>0</v>
      </c>
      <c r="O245" s="20" t="n">
        <v>2984</v>
      </c>
      <c r="P245" s="20" t="n">
        <v>1835</v>
      </c>
      <c r="Q245" s="20" t="n">
        <v>1099</v>
      </c>
      <c r="R245" s="20" t="n">
        <v>1799</v>
      </c>
      <c r="S245" s="20" t="n">
        <v>599</v>
      </c>
      <c r="T245" s="20" t="n">
        <v>-2484</v>
      </c>
      <c r="U245" s="20" t="n">
        <v>850</v>
      </c>
      <c r="V245" s="20" t="n">
        <v>1710</v>
      </c>
      <c r="W245" s="20" t="n">
        <v>0</v>
      </c>
    </row>
    <row r="246">
      <c r="A246" s="18" t="inlineStr">
        <is>
          <t>정기예금 예입</t>
        </is>
      </c>
      <c r="E246" s="20" t="n">
        <v>-744</v>
      </c>
      <c r="I246" s="20" t="n">
        <v>-2138</v>
      </c>
      <c r="M246" s="20" t="n">
        <v>-2088</v>
      </c>
      <c r="O246" s="20" t="n">
        <v>-54</v>
      </c>
      <c r="P246" s="20" t="n">
        <v>-2932</v>
      </c>
      <c r="Q246" s="20" t="n">
        <v>-39</v>
      </c>
      <c r="R246" s="20" t="n">
        <v>-111</v>
      </c>
      <c r="S246" s="20" t="n">
        <v>-97</v>
      </c>
      <c r="T246" s="20" t="n">
        <v>-100</v>
      </c>
      <c r="U246" s="20" t="n">
        <v>-204</v>
      </c>
      <c r="V246" s="20" t="n">
        <v>-744</v>
      </c>
      <c r="W246" s="20" t="n">
        <v>-2138</v>
      </c>
      <c r="X246" s="20" t="n">
        <v>-2088</v>
      </c>
    </row>
    <row r="247">
      <c r="A247" s="18" t="inlineStr">
        <is>
          <t>정기예금 인출</t>
        </is>
      </c>
      <c r="E247" s="20" t="n">
        <v>485</v>
      </c>
      <c r="I247" s="20" t="n">
        <v>968</v>
      </c>
      <c r="M247" s="20" t="n">
        <v>2122</v>
      </c>
      <c r="O247" s="20" t="n">
        <v>2138</v>
      </c>
      <c r="P247" s="20" t="n">
        <v>2913</v>
      </c>
      <c r="Q247" s="20" t="n">
        <v>0</v>
      </c>
      <c r="R247" s="20" t="n">
        <v>72</v>
      </c>
      <c r="S247" s="20" t="n">
        <v>72</v>
      </c>
      <c r="T247" s="20" t="n">
        <v>72</v>
      </c>
      <c r="U247" s="20" t="n">
        <v>533</v>
      </c>
      <c r="V247" s="20" t="n">
        <v>485</v>
      </c>
      <c r="W247" s="20" t="n">
        <v>968</v>
      </c>
      <c r="X247" s="20" t="n">
        <v>2122</v>
      </c>
    </row>
    <row r="248">
      <c r="A248" s="18" t="inlineStr">
        <is>
          <t>Purchase Of Property Plant And Equipment And Intangible Assets Inv CF</t>
        </is>
      </c>
      <c r="E248" s="20" t="n">
        <v>-1552</v>
      </c>
      <c r="I248" s="20" t="n">
        <v>-2276</v>
      </c>
      <c r="M248" s="20" t="n">
        <v>-3837</v>
      </c>
      <c r="O248" s="20" t="n">
        <v>-1518</v>
      </c>
      <c r="P248" s="20" t="n">
        <v>-1117</v>
      </c>
      <c r="Q248" s="20" t="n">
        <v>-1121</v>
      </c>
      <c r="R248" s="20" t="n">
        <v>-1062</v>
      </c>
      <c r="S248" s="20" t="n">
        <v>-1137</v>
      </c>
      <c r="T248" s="20" t="n">
        <v>-1922</v>
      </c>
      <c r="U248" s="20" t="n">
        <v>-1713</v>
      </c>
      <c r="V248" s="20" t="n">
        <v>-1552</v>
      </c>
      <c r="W248" s="20" t="n">
        <v>-2276</v>
      </c>
      <c r="X248" s="20" t="n">
        <v>-3837</v>
      </c>
    </row>
    <row r="249">
      <c r="A249" s="18" t="inlineStr">
        <is>
          <t>Proceeds From Sales Of Property Plant And Equipment And Intangible Assets Inv CF</t>
        </is>
      </c>
      <c r="E249" s="20" t="n">
        <v>225</v>
      </c>
      <c r="I249" s="20" t="n">
        <v>443</v>
      </c>
      <c r="M249" s="20" t="n">
        <v>459</v>
      </c>
      <c r="O249" s="20" t="n">
        <v>51</v>
      </c>
      <c r="P249" s="20" t="n">
        <v>168</v>
      </c>
      <c r="Q249" s="20" t="n">
        <v>124</v>
      </c>
      <c r="R249" s="20" t="n">
        <v>4</v>
      </c>
      <c r="S249" s="20" t="n">
        <v>5</v>
      </c>
      <c r="T249" s="20" t="n">
        <v>4111</v>
      </c>
      <c r="U249" s="20" t="n">
        <v>71</v>
      </c>
      <c r="V249" s="20" t="n">
        <v>225</v>
      </c>
      <c r="W249" s="20" t="n">
        <v>443</v>
      </c>
      <c r="X249" s="20" t="n">
        <v>459</v>
      </c>
    </row>
    <row r="250">
      <c r="A250" s="18" t="inlineStr">
        <is>
          <t>보험적립금 적립</t>
        </is>
      </c>
      <c r="E250" s="20" t="n">
        <v>-325</v>
      </c>
      <c r="I250" s="20" t="n">
        <v>0</v>
      </c>
      <c r="M250" s="20" t="n">
        <v>-65</v>
      </c>
      <c r="O250" s="20" t="n">
        <v>-602</v>
      </c>
      <c r="P250" s="20" t="n">
        <v>-187</v>
      </c>
      <c r="Q250" s="20" t="n">
        <v>-272</v>
      </c>
      <c r="R250" s="20" t="n">
        <v>-104</v>
      </c>
      <c r="S250" s="20" t="n">
        <v>-43</v>
      </c>
      <c r="T250" s="20" t="n">
        <v>-1120</v>
      </c>
      <c r="U250" s="20" t="n">
        <v>-59</v>
      </c>
      <c r="V250" s="20" t="n">
        <v>-325</v>
      </c>
      <c r="W250" s="20" t="n">
        <v>0</v>
      </c>
      <c r="X250" s="20" t="n">
        <v>-65</v>
      </c>
    </row>
    <row r="251">
      <c r="A251" s="18" t="inlineStr">
        <is>
          <t>보험적립금 환급</t>
        </is>
      </c>
      <c r="E251" s="20" t="n">
        <v>531</v>
      </c>
      <c r="I251" s="20" t="n">
        <v>0</v>
      </c>
      <c r="M251" s="20" t="n">
        <v>138</v>
      </c>
      <c r="O251" s="20" t="n">
        <v>599</v>
      </c>
      <c r="P251" s="20" t="n">
        <v>188</v>
      </c>
      <c r="Q251" s="20" t="n">
        <v>402</v>
      </c>
      <c r="R251" s="20" t="n">
        <v>68</v>
      </c>
      <c r="S251" s="20" t="n">
        <v>311</v>
      </c>
      <c r="T251" s="20" t="n">
        <v>90</v>
      </c>
      <c r="U251" s="20" t="n">
        <v>68</v>
      </c>
      <c r="V251" s="20" t="n">
        <v>531</v>
      </c>
      <c r="W251" s="20" t="n">
        <v>0</v>
      </c>
      <c r="X251" s="20" t="n">
        <v>138</v>
      </c>
    </row>
    <row r="252">
      <c r="A252" s="18" t="inlineStr">
        <is>
          <t>투자유가증권 취득</t>
        </is>
      </c>
      <c r="E252" s="20" t="n">
        <v>-554</v>
      </c>
      <c r="I252" s="20" t="n">
        <v>-1066</v>
      </c>
      <c r="M252" s="20" t="n">
        <v>-48</v>
      </c>
      <c r="O252" s="20" t="n">
        <v>-144</v>
      </c>
      <c r="P252" s="20" t="n">
        <v>-612</v>
      </c>
      <c r="Q252" s="20" t="n">
        <v>-99</v>
      </c>
      <c r="R252" s="20" t="n">
        <v>-122</v>
      </c>
      <c r="S252" s="20" t="n">
        <v>-60</v>
      </c>
      <c r="T252" s="20" t="n">
        <v>-47</v>
      </c>
      <c r="U252" s="20" t="n">
        <v>-41</v>
      </c>
      <c r="V252" s="20" t="n">
        <v>-554</v>
      </c>
      <c r="W252" s="20" t="n">
        <v>-1066</v>
      </c>
      <c r="X252" s="20" t="n">
        <v>-48</v>
      </c>
    </row>
    <row r="253">
      <c r="A253" s="18" t="inlineStr">
        <is>
          <t>투자유가증권 매각</t>
        </is>
      </c>
      <c r="E253" s="20" t="n">
        <v>660</v>
      </c>
      <c r="I253" s="20" t="n">
        <v>1878</v>
      </c>
      <c r="M253" s="20" t="n">
        <v>561</v>
      </c>
      <c r="O253" s="20" t="n">
        <v>498</v>
      </c>
      <c r="P253" s="20" t="n">
        <v>115</v>
      </c>
      <c r="Q253" s="20" t="n">
        <v>0</v>
      </c>
      <c r="R253" s="20" t="n">
        <v>409</v>
      </c>
      <c r="S253" s="20" t="n">
        <v>197</v>
      </c>
      <c r="T253" s="20" t="n">
        <v>9</v>
      </c>
      <c r="U253" s="20" t="n">
        <v>0</v>
      </c>
      <c r="V253" s="20" t="n">
        <v>660</v>
      </c>
      <c r="W253" s="20" t="n">
        <v>1878</v>
      </c>
      <c r="X253" s="20" t="n">
        <v>561</v>
      </c>
    </row>
    <row r="254">
      <c r="A254" s="18" t="inlineStr">
        <is>
          <t>대여</t>
        </is>
      </c>
      <c r="E254" s="20" t="n">
        <v>0</v>
      </c>
      <c r="T254" s="20" t="n">
        <v>0</v>
      </c>
      <c r="U254" s="20" t="n">
        <v>-42</v>
      </c>
      <c r="V254" s="20" t="n">
        <v>0</v>
      </c>
    </row>
    <row r="255">
      <c r="A255" s="18" t="inlineStr">
        <is>
          <t>대여금 회수</t>
        </is>
      </c>
      <c r="E255" s="20" t="n">
        <v>47</v>
      </c>
      <c r="U255" s="20" t="n">
        <v>0</v>
      </c>
      <c r="V255" s="20" t="n">
        <v>47</v>
      </c>
    </row>
    <row r="256">
      <c r="A256" s="18" t="inlineStr">
        <is>
          <t>기타 지출</t>
        </is>
      </c>
      <c r="E256" s="20" t="n">
        <v>-12</v>
      </c>
      <c r="O256" s="20" t="n">
        <v>-30</v>
      </c>
      <c r="P256" s="20" t="n">
        <v>-3</v>
      </c>
      <c r="Q256" s="20" t="n">
        <v>-4</v>
      </c>
      <c r="R256" s="20" t="n">
        <v>-3</v>
      </c>
      <c r="S256" s="20" t="n">
        <v>-29</v>
      </c>
      <c r="T256" s="20" t="n">
        <v>-7</v>
      </c>
      <c r="U256" s="20" t="n">
        <v>-26</v>
      </c>
      <c r="V256" s="20" t="n">
        <v>-12</v>
      </c>
    </row>
    <row r="257">
      <c r="A257" s="18" t="inlineStr">
        <is>
          <t>기타 수입</t>
        </is>
      </c>
      <c r="E257" s="20" t="n">
        <v>11</v>
      </c>
      <c r="O257" s="20" t="n">
        <v>339</v>
      </c>
      <c r="P257" s="20" t="n">
        <v>-70</v>
      </c>
      <c r="Q257" s="20" t="n">
        <v>7</v>
      </c>
      <c r="R257" s="20" t="n">
        <v>72</v>
      </c>
      <c r="S257" s="20" t="n">
        <v>28</v>
      </c>
      <c r="T257" s="20" t="n">
        <v>21</v>
      </c>
      <c r="U257" s="20" t="n">
        <v>38</v>
      </c>
      <c r="V257" s="20" t="n">
        <v>11</v>
      </c>
    </row>
    <row r="258">
      <c r="A258" s="18" t="inlineStr">
        <is>
          <t>사업양수 지출</t>
        </is>
      </c>
      <c r="E258" s="20" t="n">
        <v>0</v>
      </c>
      <c r="I258" s="20" t="n">
        <v>-2569</v>
      </c>
      <c r="M258" s="20" t="n">
        <v>0</v>
      </c>
      <c r="V258" s="20" t="n">
        <v>0</v>
      </c>
      <c r="W258" s="20" t="n">
        <v>-2569</v>
      </c>
      <c r="X258" s="20" t="n">
        <v>0</v>
      </c>
    </row>
    <row r="259">
      <c r="A259" s="18" t="inlineStr">
        <is>
          <t>연결범위 변경 자회사 주식 취득</t>
        </is>
      </c>
      <c r="E259" s="20" t="n">
        <v>0</v>
      </c>
      <c r="I259" s="20" t="n">
        <v>-18</v>
      </c>
      <c r="M259" s="20" t="n">
        <v>0</v>
      </c>
      <c r="P259" s="20" t="n">
        <v>0</v>
      </c>
      <c r="Q259" s="20" t="n">
        <v>-544</v>
      </c>
      <c r="R259" s="20" t="n">
        <v>-4562</v>
      </c>
      <c r="S259" s="20" t="n">
        <v>-2067</v>
      </c>
      <c r="T259" s="20" t="n">
        <v>0</v>
      </c>
      <c r="V259" s="20" t="n">
        <v>0</v>
      </c>
      <c r="W259" s="20" t="n">
        <v>-18</v>
      </c>
      <c r="X259" s="20" t="n">
        <v>0</v>
      </c>
    </row>
    <row r="260">
      <c r="A260" s="18" t="inlineStr">
        <is>
          <t>장기선급비용 지출</t>
        </is>
      </c>
      <c r="O260" s="20" t="n">
        <v>-0</v>
      </c>
      <c r="P260" s="20" t="n">
        <v>-1</v>
      </c>
      <c r="Q260" s="20" t="n">
        <v>-1</v>
      </c>
      <c r="R260" s="20" t="n">
        <v>-28</v>
      </c>
      <c r="S260" s="20" t="n">
        <v>-0</v>
      </c>
    </row>
    <row r="261">
      <c r="A261" s="18" t="inlineStr">
        <is>
          <t>Payments For Contingent Considerations Of Shares Of Subsidiaries Inv CF</t>
        </is>
      </c>
      <c r="I261" s="20" t="n">
        <v>0</v>
      </c>
      <c r="M261" s="20" t="n">
        <v>-109</v>
      </c>
      <c r="W261" s="20" t="n">
        <v>0</v>
      </c>
      <c r="X261" s="20" t="n">
        <v>-109</v>
      </c>
    </row>
    <row r="262">
      <c r="A262" s="18" t="inlineStr">
        <is>
          <t>기타</t>
        </is>
      </c>
      <c r="E262" s="20" t="n">
        <v>46</v>
      </c>
      <c r="I262" s="20" t="n">
        <v>-1</v>
      </c>
      <c r="M262" s="20" t="n">
        <v>-40</v>
      </c>
      <c r="V262" s="20" t="n">
        <v>46</v>
      </c>
      <c r="W262" s="20" t="n">
        <v>-1</v>
      </c>
      <c r="X262" s="20" t="n">
        <v>-40</v>
      </c>
    </row>
    <row r="263">
      <c r="A263" s="9" t="inlineStr">
        <is>
          <t>투자활동 현금흐름</t>
        </is>
      </c>
      <c r="E263" s="12" t="n">
        <v>483</v>
      </c>
      <c r="I263" s="12" t="n">
        <v>-4781</v>
      </c>
      <c r="M263" s="12" t="n">
        <v>-2908</v>
      </c>
      <c r="O263" s="12" t="n">
        <v>4261</v>
      </c>
      <c r="P263" s="12" t="n">
        <v>295</v>
      </c>
      <c r="Q263" s="12" t="n">
        <v>-449</v>
      </c>
      <c r="R263" s="12" t="n">
        <v>-3569</v>
      </c>
      <c r="S263" s="12" t="n">
        <v>-2220</v>
      </c>
      <c r="T263" s="12" t="n">
        <v>-1379</v>
      </c>
      <c r="U263" s="12" t="n">
        <v>-526</v>
      </c>
      <c r="V263" s="12" t="n">
        <v>483</v>
      </c>
      <c r="W263" s="12" t="n">
        <v>-4781</v>
      </c>
      <c r="X263" s="12" t="n">
        <v>-2908</v>
      </c>
    </row>
    <row r="264">
      <c r="A264" s="18" t="inlineStr">
        <is>
          <t>연결범위 변경 없는 자회사 주식 취득</t>
        </is>
      </c>
      <c r="E264" s="20" t="n">
        <v>-701</v>
      </c>
      <c r="I264" s="20" t="n">
        <v>0</v>
      </c>
      <c r="O264" s="20" t="n">
        <v>-22</v>
      </c>
      <c r="P264" s="20" t="n">
        <v>0</v>
      </c>
      <c r="U264" s="20" t="n">
        <v>0</v>
      </c>
      <c r="V264" s="20" t="n">
        <v>-701</v>
      </c>
      <c r="W264" s="20" t="n">
        <v>0</v>
      </c>
    </row>
    <row r="265">
      <c r="A265" s="18" t="inlineStr">
        <is>
          <t>단기차입금 순증감</t>
        </is>
      </c>
      <c r="E265" s="20" t="n">
        <v>261</v>
      </c>
      <c r="I265" s="20" t="n">
        <v>-407</v>
      </c>
      <c r="M265" s="20" t="n">
        <v>-110</v>
      </c>
      <c r="O265" s="20" t="n">
        <v>118</v>
      </c>
      <c r="P265" s="20" t="n">
        <v>143</v>
      </c>
      <c r="Q265" s="20" t="n">
        <v>-154</v>
      </c>
      <c r="R265" s="20" t="n">
        <v>-0</v>
      </c>
      <c r="S265" s="20" t="n">
        <v>403</v>
      </c>
      <c r="T265" s="20" t="n">
        <v>-72</v>
      </c>
      <c r="U265" s="20" t="n">
        <v>-513</v>
      </c>
      <c r="V265" s="20" t="n">
        <v>261</v>
      </c>
      <c r="W265" s="20" t="n">
        <v>-407</v>
      </c>
      <c r="X265" s="20" t="n">
        <v>-110</v>
      </c>
    </row>
    <row r="266">
      <c r="A266" s="18" t="inlineStr">
        <is>
          <t>장기차입금 상환</t>
        </is>
      </c>
      <c r="E266" s="20" t="n">
        <v>-153</v>
      </c>
      <c r="I266" s="20" t="n">
        <v>-86</v>
      </c>
      <c r="M266" s="20" t="n">
        <v>-71</v>
      </c>
      <c r="O266" s="20" t="n">
        <v>-126</v>
      </c>
      <c r="P266" s="20" t="n">
        <v>0</v>
      </c>
      <c r="R266" s="20" t="n">
        <v>0</v>
      </c>
      <c r="S266" s="20" t="n">
        <v>-97</v>
      </c>
      <c r="T266" s="20" t="n">
        <v>-199</v>
      </c>
      <c r="U266" s="20" t="n">
        <v>-139</v>
      </c>
      <c r="V266" s="20" t="n">
        <v>-153</v>
      </c>
      <c r="W266" s="20" t="n">
        <v>-86</v>
      </c>
      <c r="X266" s="20" t="n">
        <v>-71</v>
      </c>
    </row>
    <row r="267">
      <c r="A267" s="18" t="inlineStr">
        <is>
          <t>리스부채 상환</t>
        </is>
      </c>
      <c r="E267" s="20" t="n">
        <v>-336</v>
      </c>
      <c r="I267" s="20" t="n">
        <v>-353</v>
      </c>
      <c r="M267" s="20" t="n">
        <v>-409</v>
      </c>
      <c r="O267" s="20" t="n">
        <v>-197</v>
      </c>
      <c r="P267" s="20" t="n">
        <v>-154</v>
      </c>
      <c r="Q267" s="20" t="n">
        <v>-304</v>
      </c>
      <c r="R267" s="20" t="n">
        <v>-96</v>
      </c>
      <c r="S267" s="20" t="n">
        <v>-364</v>
      </c>
      <c r="T267" s="20" t="n">
        <v>-372</v>
      </c>
      <c r="U267" s="20" t="n">
        <v>-358</v>
      </c>
      <c r="V267" s="20" t="n">
        <v>-336</v>
      </c>
      <c r="W267" s="20" t="n">
        <v>-353</v>
      </c>
      <c r="X267" s="20" t="n">
        <v>-409</v>
      </c>
    </row>
    <row r="268">
      <c r="A268" s="18" t="inlineStr">
        <is>
          <t>장기차입</t>
        </is>
      </c>
      <c r="I268" s="20" t="n">
        <v>0</v>
      </c>
      <c r="M268" s="20" t="n">
        <v>4</v>
      </c>
      <c r="R268" s="20" t="n">
        <v>0</v>
      </c>
      <c r="S268" s="20" t="n">
        <v>467</v>
      </c>
      <c r="T268" s="20" t="n">
        <v>104</v>
      </c>
      <c r="U268" s="20" t="n">
        <v>0</v>
      </c>
      <c r="W268" s="20" t="n">
        <v>0</v>
      </c>
      <c r="X268" s="20" t="n">
        <v>4</v>
      </c>
    </row>
    <row r="269">
      <c r="A269" s="18" t="inlineStr">
        <is>
          <t>사채 발행</t>
        </is>
      </c>
      <c r="I269" s="20" t="n">
        <v>0</v>
      </c>
      <c r="M269" s="20" t="n">
        <v>8948</v>
      </c>
      <c r="R269" s="20" t="n">
        <v>0</v>
      </c>
      <c r="S269" s="20" t="n">
        <v>10000</v>
      </c>
      <c r="T269" s="20" t="n">
        <v>0</v>
      </c>
      <c r="W269" s="20" t="n">
        <v>0</v>
      </c>
      <c r="X269" s="20" t="n">
        <v>8948</v>
      </c>
    </row>
    <row r="270">
      <c r="A270" s="18" t="inlineStr">
        <is>
          <t>사채 상환</t>
        </is>
      </c>
      <c r="I270" s="20" t="n">
        <v>0</v>
      </c>
      <c r="M270" s="20" t="n">
        <v>-10000</v>
      </c>
      <c r="P270" s="20" t="n">
        <v>0</v>
      </c>
      <c r="Q270" s="20" t="n">
        <v>-10000</v>
      </c>
      <c r="R270" s="20" t="n">
        <v>0</v>
      </c>
      <c r="W270" s="20" t="n">
        <v>0</v>
      </c>
      <c r="X270" s="20" t="n">
        <v>-10000</v>
      </c>
    </row>
    <row r="271">
      <c r="A271" s="18" t="inlineStr">
        <is>
          <t>자기주식 취득</t>
        </is>
      </c>
      <c r="E271" s="20" t="n">
        <v>-1504</v>
      </c>
      <c r="I271" s="20" t="n">
        <v>-199</v>
      </c>
      <c r="M271" s="20" t="n">
        <v>-0</v>
      </c>
      <c r="O271" s="20" t="n">
        <v>-5001</v>
      </c>
      <c r="P271" s="20" t="n">
        <v>-1</v>
      </c>
      <c r="Q271" s="20" t="n">
        <v>-0</v>
      </c>
      <c r="R271" s="20" t="n">
        <v>-2674</v>
      </c>
      <c r="S271" s="20" t="n">
        <v>-0</v>
      </c>
      <c r="T271" s="20" t="n">
        <v>-998</v>
      </c>
      <c r="U271" s="20" t="n">
        <v>-1</v>
      </c>
      <c r="V271" s="20" t="n">
        <v>-1504</v>
      </c>
      <c r="W271" s="20" t="n">
        <v>-199</v>
      </c>
      <c r="X271" s="20" t="n">
        <v>-0</v>
      </c>
    </row>
    <row r="272">
      <c r="A272" s="18" t="inlineStr">
        <is>
          <t>배당금 지급</t>
        </is>
      </c>
      <c r="E272" s="20" t="n">
        <v>-2439</v>
      </c>
      <c r="I272" s="20" t="n">
        <v>-3461</v>
      </c>
      <c r="M272" s="20" t="n">
        <v>-4433</v>
      </c>
      <c r="O272" s="20" t="n">
        <v>-2440</v>
      </c>
      <c r="P272" s="20" t="n">
        <v>-2329</v>
      </c>
      <c r="Q272" s="20" t="n">
        <v>-2329</v>
      </c>
      <c r="R272" s="20" t="n">
        <v>-2287</v>
      </c>
      <c r="S272" s="20" t="n">
        <v>-1120</v>
      </c>
      <c r="T272" s="20" t="n">
        <v>-1402</v>
      </c>
      <c r="U272" s="20" t="n">
        <v>-3064</v>
      </c>
      <c r="V272" s="20" t="n">
        <v>-2439</v>
      </c>
      <c r="W272" s="20" t="n">
        <v>-3461</v>
      </c>
      <c r="X272" s="20" t="n">
        <v>-4433</v>
      </c>
    </row>
    <row r="273">
      <c r="A273" s="18" t="inlineStr">
        <is>
          <t>자기주식 매각</t>
        </is>
      </c>
      <c r="E273" s="20" t="n">
        <v>0</v>
      </c>
      <c r="I273" s="20" t="n">
        <v>198</v>
      </c>
      <c r="M273" s="20" t="n">
        <v>0</v>
      </c>
      <c r="O273" s="20" t="n">
        <v>0</v>
      </c>
      <c r="P273" s="20" t="n">
        <v>0</v>
      </c>
      <c r="Q273" s="20" t="n">
        <v>0</v>
      </c>
      <c r="R273" s="20" t="n">
        <v>0</v>
      </c>
      <c r="S273" s="20" t="n">
        <v>0</v>
      </c>
      <c r="V273" s="20" t="n">
        <v>0</v>
      </c>
      <c r="W273" s="20" t="n">
        <v>198</v>
      </c>
      <c r="X273" s="20" t="n">
        <v>0</v>
      </c>
    </row>
    <row r="274">
      <c r="A274" s="9" t="inlineStr">
        <is>
          <t>재무활동 현금흐름</t>
        </is>
      </c>
      <c r="E274" s="12" t="n">
        <v>-4874</v>
      </c>
      <c r="I274" s="12" t="n">
        <v>-4310</v>
      </c>
      <c r="M274" s="12" t="n">
        <v>-6072</v>
      </c>
      <c r="O274" s="12" t="n">
        <v>-7669</v>
      </c>
      <c r="P274" s="12" t="n">
        <v>-2340</v>
      </c>
      <c r="Q274" s="12" t="n">
        <v>-12789</v>
      </c>
      <c r="R274" s="12" t="n">
        <v>-5057</v>
      </c>
      <c r="S274" s="12" t="n">
        <v>9288</v>
      </c>
      <c r="T274" s="12" t="n">
        <v>-2940</v>
      </c>
      <c r="U274" s="12" t="n">
        <v>-4077</v>
      </c>
      <c r="V274" s="12" t="n">
        <v>-4874</v>
      </c>
      <c r="W274" s="12" t="n">
        <v>-4310</v>
      </c>
      <c r="X274" s="12" t="n">
        <v>-6072</v>
      </c>
    </row>
    <row r="275">
      <c r="A275" s="18" t="inlineStr">
        <is>
          <t>현금성자산 환산차이</t>
        </is>
      </c>
      <c r="E275" s="20" t="n">
        <v>1160</v>
      </c>
      <c r="I275" s="20" t="n">
        <v>-190</v>
      </c>
      <c r="M275" s="20" t="n">
        <v>898</v>
      </c>
      <c r="O275" s="20" t="n">
        <v>-284</v>
      </c>
      <c r="P275" s="20" t="n">
        <v>126</v>
      </c>
      <c r="Q275" s="20" t="n">
        <v>-26</v>
      </c>
      <c r="R275" s="20" t="n">
        <v>-266</v>
      </c>
      <c r="S275" s="20" t="n">
        <v>491</v>
      </c>
      <c r="T275" s="20" t="n">
        <v>1037</v>
      </c>
      <c r="U275" s="20" t="n">
        <v>751</v>
      </c>
      <c r="V275" s="20" t="n">
        <v>1160</v>
      </c>
      <c r="W275" s="20" t="n">
        <v>-190</v>
      </c>
      <c r="X275" s="20" t="n">
        <v>898</v>
      </c>
    </row>
    <row r="276">
      <c r="A276" s="18" t="inlineStr">
        <is>
          <t>현금성자산 증감</t>
        </is>
      </c>
      <c r="E276" s="20" t="n">
        <v>-11281</v>
      </c>
      <c r="I276" s="20" t="n">
        <v>7736</v>
      </c>
      <c r="M276" s="20" t="n">
        <v>-4549</v>
      </c>
      <c r="O276" s="20" t="n">
        <v>-4487</v>
      </c>
      <c r="P276" s="20" t="n">
        <v>4173</v>
      </c>
      <c r="Q276" s="20" t="n">
        <v>-13152</v>
      </c>
      <c r="R276" s="20" t="n">
        <v>-7085</v>
      </c>
      <c r="S276" s="20" t="n">
        <v>15734</v>
      </c>
      <c r="T276" s="20" t="n">
        <v>5999</v>
      </c>
      <c r="U276" s="20" t="n">
        <v>623</v>
      </c>
      <c r="V276" s="20" t="n">
        <v>-11281</v>
      </c>
      <c r="W276" s="20" t="n">
        <v>7736</v>
      </c>
      <c r="X276" s="20" t="n">
        <v>-4549</v>
      </c>
    </row>
  </sheetData>
  <pageMargins left="0.75" right="0.75" top="1" bottom="1" header="0.5" footer="0.5"/>
  <pageSetup orientation="landscape" paperSize="8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L154"/>
  <sheetViews>
    <sheetView showGridLines="0" zoomScale="85"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20" customWidth="1" min="2" max="2"/>
    <col outlineLevel="1" width="11" customWidth="1" min="3" max="3"/>
    <col outlineLevel="1" width="11" customWidth="1" min="4" max="4"/>
    <col outlineLevel="1" width="11" customWidth="1" min="5" max="5"/>
    <col outlineLevel="1" width="11" customWidth="1" min="6" max="6"/>
    <col outlineLevel="1"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</cols>
  <sheetData>
    <row r="1" ht="30" customHeight="1">
      <c r="A1" s="1" t="inlineStr">
        <is>
          <t>6349 재무상태표</t>
        </is>
      </c>
    </row>
    <row r="2">
      <c r="A2" s="44" t="inlineStr">
        <is>
          <t>재무비율은 기말 잔액 기준 · 분기 손익은 최근 4분기 합산(TTM)</t>
        </is>
      </c>
      <c r="B2" s="3" t="inlineStr">
        <is>
          <t>(단위: 백만엔)</t>
        </is>
      </c>
    </row>
    <row r="3">
      <c r="A3" s="5" t="inlineStr">
        <is>
          <t>항목</t>
        </is>
      </c>
      <c r="B3" s="5" t="inlineStr">
        <is>
          <t>참고</t>
        </is>
      </c>
      <c r="C3" s="6" t="inlineStr">
        <is>
          <t>2026.1Q</t>
        </is>
      </c>
      <c r="D3" s="5" t="inlineStr">
        <is>
          <t>2026.2Q</t>
        </is>
      </c>
      <c r="E3" s="5" t="inlineStr">
        <is>
          <t>2026.3Q</t>
        </is>
      </c>
      <c r="F3" s="5" t="inlineStr">
        <is>
          <t>2026.4Q</t>
        </is>
      </c>
      <c r="G3" s="5" t="inlineStr">
        <is>
          <t>2027.1Q</t>
        </is>
      </c>
      <c r="H3" s="6" t="inlineStr">
        <is>
          <t>2022</t>
        </is>
      </c>
      <c r="I3" s="5" t="inlineStr">
        <is>
          <t>2023</t>
        </is>
      </c>
      <c r="J3" s="5" t="inlineStr">
        <is>
          <t>2024</t>
        </is>
      </c>
      <c r="K3" s="5" t="inlineStr">
        <is>
          <t>2025</t>
        </is>
      </c>
      <c r="L3" s="5" t="inlineStr">
        <is>
          <t>2026</t>
        </is>
      </c>
    </row>
    <row r="4">
      <c r="A4" s="16" t="inlineStr">
        <is>
          <t>자산</t>
        </is>
      </c>
      <c r="B4" s="16" t="n"/>
      <c r="C4" s="17" t="n"/>
      <c r="D4" s="16" t="n"/>
      <c r="E4" s="16" t="n"/>
      <c r="F4" s="16" t="n"/>
      <c r="G4" s="16" t="n"/>
      <c r="H4" s="17" t="n"/>
      <c r="I4" s="16" t="n"/>
      <c r="J4" s="16" t="n"/>
      <c r="K4" s="16" t="n"/>
      <c r="L4" s="16" t="n"/>
    </row>
    <row r="5">
      <c r="A5" s="9" t="inlineStr">
        <is>
          <t>유동자산</t>
        </is>
      </c>
      <c r="B5" s="10" t="n"/>
      <c r="C5" s="11" t="n">
        <v>132019</v>
      </c>
      <c r="D5" s="12" t="n">
        <v>133745</v>
      </c>
      <c r="E5" s="12" t="n">
        <v>125884</v>
      </c>
      <c r="F5" s="12" t="n">
        <v>121364</v>
      </c>
      <c r="G5" s="12" t="n">
        <v>118929</v>
      </c>
      <c r="H5" s="11" t="n">
        <v>116269</v>
      </c>
      <c r="I5" s="12" t="n">
        <v>123646</v>
      </c>
      <c r="J5" s="12" t="n">
        <v>118963</v>
      </c>
      <c r="K5" s="12" t="n">
        <v>124039</v>
      </c>
      <c r="L5" s="12" t="n">
        <v>121364</v>
      </c>
    </row>
    <row r="6">
      <c r="A6" s="18" t="inlineStr">
        <is>
          <t>현금및현금성자산</t>
        </is>
      </c>
      <c r="B6" s="10" t="n"/>
      <c r="C6" s="19" t="n">
        <v>40955</v>
      </c>
      <c r="D6" s="20" t="n">
        <v>44764</v>
      </c>
      <c r="E6" s="20" t="n">
        <v>40401</v>
      </c>
      <c r="F6" s="20" t="n">
        <v>50095</v>
      </c>
      <c r="G6" s="20" t="n">
        <v>45955</v>
      </c>
      <c r="H6" s="19" t="n">
        <v>48296</v>
      </c>
      <c r="I6" s="20" t="n">
        <v>47642</v>
      </c>
      <c r="J6" s="20" t="n">
        <v>39789</v>
      </c>
      <c r="K6" s="20" t="n">
        <v>48148</v>
      </c>
      <c r="L6" s="20" t="n">
        <v>50095</v>
      </c>
    </row>
    <row r="7">
      <c r="A7" s="18" t="inlineStr">
        <is>
          <t>단기금융상품</t>
        </is>
      </c>
      <c r="B7" s="10" t="n"/>
      <c r="C7" s="19" t="n">
        <v>21603</v>
      </c>
      <c r="D7" s="20" t="n">
        <v>19003</v>
      </c>
      <c r="E7" s="20" t="n">
        <v>11743</v>
      </c>
      <c r="F7" s="20" t="n">
        <v>4333</v>
      </c>
      <c r="G7" s="20" t="n">
        <v>4168</v>
      </c>
      <c r="H7" s="19" t="n">
        <v>15622</v>
      </c>
      <c r="I7" s="20" t="n">
        <v>15719</v>
      </c>
      <c r="J7" s="20" t="n">
        <v>10825</v>
      </c>
      <c r="K7" s="20" t="n">
        <v>11321</v>
      </c>
      <c r="L7" s="20" t="n">
        <v>4333</v>
      </c>
    </row>
    <row r="8">
      <c r="A8" s="18" t="inlineStr">
        <is>
          <t>매출채권</t>
        </is>
      </c>
      <c r="B8" s="10" t="n"/>
      <c r="C8" s="19" t="n">
        <v>16072</v>
      </c>
      <c r="D8" s="20" t="n">
        <v>15363</v>
      </c>
      <c r="E8" s="20" t="n">
        <v>18420</v>
      </c>
      <c r="F8" s="20" t="n">
        <v>17738</v>
      </c>
      <c r="G8" s="20" t="n">
        <v>14927</v>
      </c>
      <c r="H8" s="19" t="n">
        <v>15480</v>
      </c>
      <c r="I8" s="20" t="n">
        <v>17614</v>
      </c>
      <c r="J8" s="20" t="n">
        <v>20083</v>
      </c>
      <c r="K8" s="20" t="n">
        <v>16159</v>
      </c>
      <c r="L8" s="20" t="n">
        <v>17738</v>
      </c>
    </row>
    <row r="9">
      <c r="A9" s="18" t="inlineStr">
        <is>
          <t>재고자산</t>
        </is>
      </c>
      <c r="B9" s="10" t="n"/>
      <c r="C9" s="19" t="n">
        <v>46841</v>
      </c>
      <c r="D9" s="20" t="n">
        <v>47455</v>
      </c>
      <c r="E9" s="20" t="n">
        <v>48398</v>
      </c>
      <c r="F9" s="20" t="n">
        <v>44639</v>
      </c>
      <c r="G9" s="20" t="n">
        <v>47939</v>
      </c>
      <c r="H9" s="19" t="n">
        <v>32396</v>
      </c>
      <c r="I9" s="20" t="n">
        <v>37416</v>
      </c>
      <c r="J9" s="20" t="n">
        <v>41944</v>
      </c>
      <c r="K9" s="20" t="n">
        <v>42491</v>
      </c>
      <c r="L9" s="20" t="n">
        <v>44639</v>
      </c>
    </row>
    <row r="10">
      <c r="A10" s="18" t="inlineStr">
        <is>
          <t>기타유동자산</t>
        </is>
      </c>
      <c r="B10" s="10" t="inlineStr">
        <is>
          <t>총계 − 위 항목</t>
        </is>
      </c>
      <c r="C10" s="19">
        <f>IF(OR(C5=""),"",IFERROR(C5-SUM(C6,C7,C8,C9),""))</f>
        <v/>
      </c>
      <c r="D10" s="20">
        <f>IF(OR(D5=""),"",IFERROR(D5-SUM(D6,D7,D8,D9),""))</f>
        <v/>
      </c>
      <c r="E10" s="20">
        <f>IF(OR(E5=""),"",IFERROR(E5-SUM(E6,E7,E8,E9),""))</f>
        <v/>
      </c>
      <c r="F10" s="20">
        <f>IF(OR(F5=""),"",IFERROR(F5-SUM(F6,F7,F8,F9),""))</f>
        <v/>
      </c>
      <c r="G10" s="20">
        <f>IF(OR(G5=""),"",IFERROR(G5-SUM(G6,G7,G8,G9),""))</f>
        <v/>
      </c>
      <c r="H10" s="19">
        <f>IF(OR(H5=""),"",IFERROR(H5-SUM(H6,H7,H8,H9),""))</f>
        <v/>
      </c>
      <c r="I10" s="20">
        <f>IF(OR(I5=""),"",IFERROR(I5-SUM(I6,I7,I8,I9),""))</f>
        <v/>
      </c>
      <c r="J10" s="20">
        <f>IF(OR(J5=""),"",IFERROR(J5-SUM(J6,J7,J8,J9),""))</f>
        <v/>
      </c>
      <c r="K10" s="20">
        <f>IF(OR(K5=""),"",IFERROR(K5-SUM(K6,K7,K8,K9),""))</f>
        <v/>
      </c>
      <c r="L10" s="20">
        <f>IF(OR(L5=""),"",IFERROR(L5-SUM(L6,L7,L8,L9),""))</f>
        <v/>
      </c>
    </row>
    <row r="11">
      <c r="A11" s="9" t="inlineStr">
        <is>
          <t>비유동자산</t>
        </is>
      </c>
      <c r="B11" s="10" t="n"/>
      <c r="C11" s="11" t="n">
        <v>49535</v>
      </c>
      <c r="D11" s="12" t="n">
        <v>51977</v>
      </c>
      <c r="E11" s="12" t="n">
        <v>54749</v>
      </c>
      <c r="F11" s="12" t="n">
        <v>56793</v>
      </c>
      <c r="G11" s="12" t="n">
        <v>61579</v>
      </c>
      <c r="H11" s="11" t="n">
        <v>40811</v>
      </c>
      <c r="I11" s="12" t="n">
        <v>41876</v>
      </c>
      <c r="J11" s="12" t="n">
        <v>48625</v>
      </c>
      <c r="K11" s="12" t="n">
        <v>48906</v>
      </c>
      <c r="L11" s="12" t="n">
        <v>56793</v>
      </c>
    </row>
    <row r="12">
      <c r="A12" s="18" t="inlineStr">
        <is>
          <t>유형자산</t>
        </is>
      </c>
      <c r="B12" s="10" t="n"/>
      <c r="C12" s="19" t="n">
        <v>21270</v>
      </c>
      <c r="D12" s="20" t="n">
        <v>22338</v>
      </c>
      <c r="E12" s="20" t="n">
        <v>22645</v>
      </c>
      <c r="F12" s="20" t="n">
        <v>23424</v>
      </c>
      <c r="G12" s="20" t="n">
        <v>23873</v>
      </c>
      <c r="H12" s="19" t="n">
        <v>16966</v>
      </c>
      <c r="I12" s="20" t="n">
        <v>18038</v>
      </c>
      <c r="J12" s="20" t="n">
        <v>18715</v>
      </c>
      <c r="K12" s="20" t="n">
        <v>20782</v>
      </c>
      <c r="L12" s="20" t="n">
        <v>23424</v>
      </c>
    </row>
    <row r="13">
      <c r="A13" s="18" t="inlineStr">
        <is>
          <t>무형자산</t>
        </is>
      </c>
      <c r="B13" s="10" t="n"/>
      <c r="C13" s="19" t="n">
        <v>2296</v>
      </c>
      <c r="D13" s="20" t="n">
        <v>2323</v>
      </c>
      <c r="E13" s="20" t="n">
        <v>2427</v>
      </c>
      <c r="F13" s="20" t="n">
        <v>2447</v>
      </c>
      <c r="G13" s="20" t="n">
        <v>2404</v>
      </c>
      <c r="H13" s="19" t="n">
        <v>3937</v>
      </c>
      <c r="I13" s="20" t="n">
        <v>3271</v>
      </c>
      <c r="J13" s="20" t="n">
        <v>1290</v>
      </c>
      <c r="K13" s="20" t="n">
        <v>2540</v>
      </c>
      <c r="L13" s="20" t="n">
        <v>2447</v>
      </c>
    </row>
    <row r="14">
      <c r="A14" s="18" t="inlineStr">
        <is>
          <t>투자부동산</t>
        </is>
      </c>
      <c r="B14" s="10" t="n"/>
      <c r="C14" s="19" t="n"/>
      <c r="D14" s="20" t="n"/>
      <c r="E14" s="20" t="n"/>
      <c r="F14" s="20" t="n"/>
      <c r="G14" s="20" t="n"/>
      <c r="H14" s="19" t="n"/>
      <c r="I14" s="20" t="n"/>
      <c r="J14" s="20" t="n"/>
      <c r="K14" s="20" t="n"/>
      <c r="L14" s="20" t="n"/>
    </row>
    <row r="15">
      <c r="A15" s="18" t="inlineStr">
        <is>
          <t>기타비유동자산</t>
        </is>
      </c>
      <c r="B15" s="10" t="inlineStr">
        <is>
          <t>총계 − 위 항목</t>
        </is>
      </c>
      <c r="C15" s="19">
        <f>IF(OR(C11=""),"",IFERROR(C11-SUM(C12,C13,C14),""))</f>
        <v/>
      </c>
      <c r="D15" s="20">
        <f>IF(OR(D11=""),"",IFERROR(D11-SUM(D12,D13,D14),""))</f>
        <v/>
      </c>
      <c r="E15" s="20">
        <f>IF(OR(E11=""),"",IFERROR(E11-SUM(E12,E13,E14),""))</f>
        <v/>
      </c>
      <c r="F15" s="20">
        <f>IF(OR(F11=""),"",IFERROR(F11-SUM(F12,F13,F14),""))</f>
        <v/>
      </c>
      <c r="G15" s="20">
        <f>IF(OR(G11=""),"",IFERROR(G11-SUM(G12,G13,G14),""))</f>
        <v/>
      </c>
      <c r="H15" s="19">
        <f>IF(OR(H11=""),"",IFERROR(H11-SUM(H12,H13,H14),""))</f>
        <v/>
      </c>
      <c r="I15" s="20">
        <f>IF(OR(I11=""),"",IFERROR(I11-SUM(I12,I13,I14),""))</f>
        <v/>
      </c>
      <c r="J15" s="20">
        <f>IF(OR(J11=""),"",IFERROR(J11-SUM(J12,J13,J14),""))</f>
        <v/>
      </c>
      <c r="K15" s="20">
        <f>IF(OR(K11=""),"",IFERROR(K11-SUM(K12,K13,K14),""))</f>
        <v/>
      </c>
      <c r="L15" s="20">
        <f>IF(OR(L11=""),"",IFERROR(L11-SUM(L12,L13,L14),""))</f>
        <v/>
      </c>
    </row>
    <row r="16">
      <c r="A16" s="9" t="inlineStr">
        <is>
          <t>자산총계</t>
        </is>
      </c>
      <c r="B16" s="10" t="n"/>
      <c r="C16" s="11" t="n">
        <v>181555</v>
      </c>
      <c r="D16" s="12" t="n">
        <v>185723</v>
      </c>
      <c r="E16" s="12" t="n">
        <v>180633</v>
      </c>
      <c r="F16" s="12" t="n">
        <v>178158</v>
      </c>
      <c r="G16" s="12" t="n">
        <v>180509</v>
      </c>
      <c r="H16" s="11" t="n">
        <v>157081</v>
      </c>
      <c r="I16" s="12" t="n">
        <v>165523</v>
      </c>
      <c r="J16" s="12" t="n">
        <v>167588</v>
      </c>
      <c r="K16" s="12" t="n">
        <v>172946</v>
      </c>
      <c r="L16" s="12" t="n">
        <v>178158</v>
      </c>
    </row>
    <row r="17">
      <c r="A17" s="16" t="inlineStr">
        <is>
          <t>부채</t>
        </is>
      </c>
      <c r="B17" s="16" t="n"/>
      <c r="C17" s="17" t="n"/>
      <c r="D17" s="16" t="n"/>
      <c r="E17" s="16" t="n"/>
      <c r="F17" s="16" t="n"/>
      <c r="G17" s="16" t="n"/>
      <c r="H17" s="17" t="n"/>
      <c r="I17" s="16" t="n"/>
      <c r="J17" s="16" t="n"/>
      <c r="K17" s="16" t="n"/>
      <c r="L17" s="16" t="n"/>
    </row>
    <row r="18">
      <c r="A18" s="9" t="inlineStr">
        <is>
          <t>유동부채</t>
        </is>
      </c>
      <c r="B18" s="10" t="n"/>
      <c r="C18" s="11" t="n">
        <v>54751</v>
      </c>
      <c r="D18" s="12" t="n">
        <v>55432</v>
      </c>
      <c r="E18" s="12" t="n">
        <v>46183</v>
      </c>
      <c r="F18" s="12" t="n">
        <v>40646</v>
      </c>
      <c r="G18" s="12" t="n">
        <v>39756</v>
      </c>
      <c r="H18" s="11" t="n">
        <v>39049</v>
      </c>
      <c r="I18" s="12" t="n">
        <v>44362</v>
      </c>
      <c r="J18" s="12" t="n">
        <v>37719</v>
      </c>
      <c r="K18" s="12" t="n">
        <v>53178</v>
      </c>
      <c r="L18" s="12" t="n">
        <v>40646</v>
      </c>
    </row>
    <row r="19">
      <c r="A19" s="18" t="inlineStr">
        <is>
          <t>매입채무</t>
        </is>
      </c>
      <c r="B19" s="10" t="n"/>
      <c r="C19" s="19" t="n">
        <v>6506</v>
      </c>
      <c r="D19" s="20" t="n">
        <v>6035</v>
      </c>
      <c r="E19" s="20" t="n">
        <v>7419</v>
      </c>
      <c r="F19" s="20" t="n">
        <v>7198</v>
      </c>
      <c r="G19" s="20" t="n">
        <v>6959</v>
      </c>
      <c r="H19" s="19" t="n">
        <v>6576</v>
      </c>
      <c r="I19" s="20" t="n">
        <v>8298</v>
      </c>
      <c r="J19" s="20" t="n">
        <v>7101</v>
      </c>
      <c r="K19" s="20" t="n">
        <v>7442</v>
      </c>
      <c r="L19" s="20" t="n">
        <v>7198</v>
      </c>
    </row>
    <row r="20">
      <c r="A20" s="18" t="inlineStr">
        <is>
          <t>단기차입금</t>
        </is>
      </c>
      <c r="B20" s="10" t="n"/>
      <c r="C20" s="19" t="n">
        <v>863</v>
      </c>
      <c r="D20" s="20" t="n">
        <v>1135</v>
      </c>
      <c r="E20" s="20" t="n">
        <v>697</v>
      </c>
      <c r="F20" s="20" t="n">
        <v>101</v>
      </c>
      <c r="G20" s="20" t="n">
        <v>1307</v>
      </c>
      <c r="H20" s="19" t="n">
        <v>850</v>
      </c>
      <c r="I20" s="20" t="n">
        <v>377</v>
      </c>
      <c r="J20" s="20" t="n">
        <v>620</v>
      </c>
      <c r="K20" s="20" t="n">
        <v>191</v>
      </c>
      <c r="L20" s="20" t="n">
        <v>101</v>
      </c>
    </row>
    <row r="21">
      <c r="A21" s="18" t="inlineStr">
        <is>
          <t>유동성장기부채</t>
        </is>
      </c>
      <c r="B21" s="10" t="n"/>
      <c r="C21" s="19" t="n">
        <v>10000</v>
      </c>
      <c r="D21" s="20" t="n">
        <v>10000</v>
      </c>
      <c r="E21" s="20" t="n">
        <v>0</v>
      </c>
      <c r="F21" s="20" t="n">
        <v>0</v>
      </c>
      <c r="G21" s="20" t="n"/>
      <c r="H21" s="19" t="n"/>
      <c r="I21" s="20" t="n"/>
      <c r="J21" s="20" t="n">
        <v>0</v>
      </c>
      <c r="K21" s="20" t="n">
        <v>10000</v>
      </c>
      <c r="L21" s="20" t="n">
        <v>0</v>
      </c>
    </row>
    <row r="22">
      <c r="A22" s="18" t="inlineStr">
        <is>
          <t>기타유동부채</t>
        </is>
      </c>
      <c r="B22" s="10" t="inlineStr">
        <is>
          <t>총계 − 위 항목</t>
        </is>
      </c>
      <c r="C22" s="19">
        <f>IF(OR(C18=""),"",IFERROR(C18-SUM(C19,C20,C21),""))</f>
        <v/>
      </c>
      <c r="D22" s="20">
        <f>IF(OR(D18=""),"",IFERROR(D18-SUM(D19,D20,D21),""))</f>
        <v/>
      </c>
      <c r="E22" s="20">
        <f>IF(OR(E18=""),"",IFERROR(E18-SUM(E19,E20,E21),""))</f>
        <v/>
      </c>
      <c r="F22" s="20">
        <f>IF(OR(F18=""),"",IFERROR(F18-SUM(F19,F20,F21),""))</f>
        <v/>
      </c>
      <c r="G22" s="20">
        <f>IF(OR(G18=""),"",IFERROR(G18-SUM(G19,G20,G21),""))</f>
        <v/>
      </c>
      <c r="H22" s="19">
        <f>IF(OR(H18=""),"",IFERROR(H18-SUM(H19,H20,H21),""))</f>
        <v/>
      </c>
      <c r="I22" s="20">
        <f>IF(OR(I18=""),"",IFERROR(I18-SUM(I19,I20,I21),""))</f>
        <v/>
      </c>
      <c r="J22" s="20">
        <f>IF(OR(J18=""),"",IFERROR(J18-SUM(J19,J20,J21),""))</f>
        <v/>
      </c>
      <c r="K22" s="20">
        <f>IF(OR(K18=""),"",IFERROR(K18-SUM(K19,K20,K21),""))</f>
        <v/>
      </c>
      <c r="L22" s="20">
        <f>IF(OR(L18=""),"",IFERROR(L18-SUM(L19,L20,L21),""))</f>
        <v/>
      </c>
    </row>
    <row r="23">
      <c r="A23" s="9" t="inlineStr">
        <is>
          <t>비유동부채</t>
        </is>
      </c>
      <c r="B23" s="10" t="n"/>
      <c r="C23" s="11" t="n">
        <v>13468</v>
      </c>
      <c r="D23" s="12" t="n">
        <v>13660</v>
      </c>
      <c r="E23" s="12" t="n">
        <v>14698</v>
      </c>
      <c r="F23" s="12" t="n">
        <v>14615</v>
      </c>
      <c r="G23" s="12" t="n">
        <v>15665</v>
      </c>
      <c r="H23" s="11" t="n">
        <v>14649</v>
      </c>
      <c r="I23" s="12" t="n">
        <v>14026</v>
      </c>
      <c r="J23" s="12" t="n">
        <v>15402</v>
      </c>
      <c r="K23" s="12" t="n">
        <v>4269</v>
      </c>
      <c r="L23" s="12" t="n">
        <v>14615</v>
      </c>
    </row>
    <row r="24">
      <c r="A24" s="18" t="inlineStr">
        <is>
          <t>장기차입금</t>
        </is>
      </c>
      <c r="B24" s="10" t="n"/>
      <c r="C24" s="19" t="n">
        <v>101</v>
      </c>
      <c r="D24" s="20" t="n">
        <v>87</v>
      </c>
      <c r="E24" s="20" t="n">
        <v>77</v>
      </c>
      <c r="F24" s="20" t="n">
        <v>57</v>
      </c>
      <c r="G24" s="20" t="n">
        <v>38</v>
      </c>
      <c r="H24" s="19" t="n">
        <v>357</v>
      </c>
      <c r="I24" s="20" t="n">
        <v>238</v>
      </c>
      <c r="J24" s="20" t="n">
        <v>181</v>
      </c>
      <c r="K24" s="20" t="n">
        <v>114</v>
      </c>
      <c r="L24" s="20" t="n">
        <v>57</v>
      </c>
    </row>
    <row r="25">
      <c r="A25" s="18" t="inlineStr">
        <is>
          <t>사채</t>
        </is>
      </c>
      <c r="B25" s="10" t="n"/>
      <c r="C25" s="19" t="n">
        <v>9000</v>
      </c>
      <c r="D25" s="20" t="n">
        <v>9000</v>
      </c>
      <c r="E25" s="20" t="n">
        <v>9000</v>
      </c>
      <c r="F25" s="20" t="n">
        <v>9000</v>
      </c>
      <c r="G25" s="20" t="n">
        <v>9000</v>
      </c>
      <c r="H25" s="19" t="n">
        <v>10000</v>
      </c>
      <c r="I25" s="20" t="n">
        <v>10000</v>
      </c>
      <c r="J25" s="20" t="n">
        <v>10000</v>
      </c>
      <c r="K25" s="20" t="n">
        <v>0</v>
      </c>
      <c r="L25" s="20" t="n">
        <v>9000</v>
      </c>
    </row>
    <row r="26">
      <c r="A26" s="18" t="inlineStr">
        <is>
          <t>기타비유동부채</t>
        </is>
      </c>
      <c r="B26" s="10" t="inlineStr">
        <is>
          <t>총계 − 위 항목</t>
        </is>
      </c>
      <c r="C26" s="19">
        <f>IF(OR(C23=""),"",IFERROR(C23-SUM(C24,C25),""))</f>
        <v/>
      </c>
      <c r="D26" s="20">
        <f>IF(OR(D23=""),"",IFERROR(D23-SUM(D24,D25),""))</f>
        <v/>
      </c>
      <c r="E26" s="20">
        <f>IF(OR(E23=""),"",IFERROR(E23-SUM(E24,E25),""))</f>
        <v/>
      </c>
      <c r="F26" s="20">
        <f>IF(OR(F23=""),"",IFERROR(F23-SUM(F24,F25),""))</f>
        <v/>
      </c>
      <c r="G26" s="20">
        <f>IF(OR(G23=""),"",IFERROR(G23-SUM(G24,G25),""))</f>
        <v/>
      </c>
      <c r="H26" s="19">
        <f>IF(OR(H23=""),"",IFERROR(H23-SUM(H24,H25),""))</f>
        <v/>
      </c>
      <c r="I26" s="20">
        <f>IF(OR(I23=""),"",IFERROR(I23-SUM(I24,I25),""))</f>
        <v/>
      </c>
      <c r="J26" s="20">
        <f>IF(OR(J23=""),"",IFERROR(J23-SUM(J24,J25),""))</f>
        <v/>
      </c>
      <c r="K26" s="20">
        <f>IF(OR(K23=""),"",IFERROR(K23-SUM(K24,K25),""))</f>
        <v/>
      </c>
      <c r="L26" s="20">
        <f>IF(OR(L23=""),"",IFERROR(L23-SUM(L24,L25),""))</f>
        <v/>
      </c>
    </row>
    <row r="27">
      <c r="A27" s="9" t="inlineStr">
        <is>
          <t>부채총계</t>
        </is>
      </c>
      <c r="B27" s="10" t="n"/>
      <c r="C27" s="11" t="n">
        <v>68220</v>
      </c>
      <c r="D27" s="12" t="n">
        <v>69092</v>
      </c>
      <c r="E27" s="12" t="n">
        <v>60882</v>
      </c>
      <c r="F27" s="12" t="n">
        <v>55261</v>
      </c>
      <c r="G27" s="12" t="n">
        <v>55421</v>
      </c>
      <c r="H27" s="11" t="n">
        <v>53698</v>
      </c>
      <c r="I27" s="12" t="n">
        <v>58389</v>
      </c>
      <c r="J27" s="12" t="n">
        <v>53121</v>
      </c>
      <c r="K27" s="12" t="n">
        <v>57447</v>
      </c>
      <c r="L27" s="12" t="n">
        <v>55261</v>
      </c>
    </row>
    <row r="28">
      <c r="A28" s="18" t="inlineStr">
        <is>
          <t>총차입금</t>
        </is>
      </c>
      <c r="B28" s="10" t="inlineStr">
        <is>
          <t>단기+유동성장기+장기+사채</t>
        </is>
      </c>
      <c r="C28" s="19">
        <f>SUM(C20,C21,C24,C25)</f>
        <v/>
      </c>
      <c r="D28" s="20">
        <f>SUM(D20,D21,D24,D25)</f>
        <v/>
      </c>
      <c r="E28" s="20">
        <f>SUM(E20,E21,E24,E25)</f>
        <v/>
      </c>
      <c r="F28" s="20">
        <f>SUM(F20,F21,F24,F25)</f>
        <v/>
      </c>
      <c r="G28" s="20">
        <f>SUM(G20,G21,G24,G25)</f>
        <v/>
      </c>
      <c r="H28" s="19">
        <f>SUM(H20,H21,H24,H25)</f>
        <v/>
      </c>
      <c r="I28" s="20">
        <f>SUM(I20,I21,I24,I25)</f>
        <v/>
      </c>
      <c r="J28" s="20">
        <f>SUM(J20,J21,J24,J25)</f>
        <v/>
      </c>
      <c r="K28" s="20">
        <f>SUM(K20,K21,K24,K25)</f>
        <v/>
      </c>
      <c r="L28" s="20">
        <f>SUM(L20,L21,L24,L25)</f>
        <v/>
      </c>
    </row>
    <row r="29">
      <c r="A29" s="18" t="inlineStr">
        <is>
          <t>순차입금</t>
        </is>
      </c>
      <c r="B29" s="10" t="inlineStr">
        <is>
          <t>음수 = 순현금</t>
        </is>
      </c>
      <c r="C29" s="19">
        <f>C28-C6-N(C7)</f>
        <v/>
      </c>
      <c r="D29" s="20">
        <f>D28-D6-N(D7)</f>
        <v/>
      </c>
      <c r="E29" s="20">
        <f>E28-E6-N(E7)</f>
        <v/>
      </c>
      <c r="F29" s="20">
        <f>F28-F6-N(F7)</f>
        <v/>
      </c>
      <c r="G29" s="20">
        <f>G28-G6-N(G7)</f>
        <v/>
      </c>
      <c r="H29" s="19">
        <f>H28-H6-N(H7)</f>
        <v/>
      </c>
      <c r="I29" s="20">
        <f>I28-I6-N(I7)</f>
        <v/>
      </c>
      <c r="J29" s="20">
        <f>J28-J6-N(J7)</f>
        <v/>
      </c>
      <c r="K29" s="20">
        <f>K28-K6-N(K7)</f>
        <v/>
      </c>
      <c r="L29" s="20">
        <f>L28-L6-N(L7)</f>
        <v/>
      </c>
    </row>
    <row r="30">
      <c r="A30" s="16" t="inlineStr">
        <is>
          <t>자본</t>
        </is>
      </c>
      <c r="B30" s="16" t="n"/>
      <c r="C30" s="17" t="n"/>
      <c r="D30" s="16" t="n"/>
      <c r="E30" s="16" t="n"/>
      <c r="F30" s="16" t="n"/>
      <c r="G30" s="16" t="n"/>
      <c r="H30" s="17" t="n"/>
      <c r="I30" s="16" t="n"/>
      <c r="J30" s="16" t="n"/>
      <c r="K30" s="16" t="n"/>
      <c r="L30" s="16" t="n"/>
    </row>
    <row r="31">
      <c r="A31" s="9" t="inlineStr">
        <is>
          <t>지배주주지분</t>
        </is>
      </c>
      <c r="B31" s="10" t="n"/>
      <c r="C31" s="11" t="n">
        <v>113335</v>
      </c>
      <c r="D31" s="12" t="n">
        <v>116630</v>
      </c>
      <c r="E31" s="12" t="n">
        <v>119750</v>
      </c>
      <c r="F31" s="12" t="n">
        <v>122896</v>
      </c>
      <c r="G31" s="12" t="n">
        <v>125087</v>
      </c>
      <c r="H31" s="11" t="n">
        <v>103287</v>
      </c>
      <c r="I31" s="12" t="n">
        <v>106965</v>
      </c>
      <c r="J31" s="12" t="n">
        <v>114467</v>
      </c>
      <c r="K31" s="12" t="n">
        <v>115498</v>
      </c>
      <c r="L31" s="12" t="n">
        <v>122896</v>
      </c>
    </row>
    <row r="32">
      <c r="A32" s="18" t="inlineStr">
        <is>
          <t>자본금</t>
        </is>
      </c>
      <c r="B32" s="10" t="n"/>
      <c r="C32" s="19" t="n">
        <v>37714</v>
      </c>
      <c r="D32" s="20" t="n">
        <v>37714</v>
      </c>
      <c r="E32" s="20" t="n">
        <v>37714</v>
      </c>
      <c r="F32" s="20" t="n">
        <v>37714</v>
      </c>
      <c r="G32" s="20" t="n">
        <v>37714</v>
      </c>
      <c r="H32" s="19" t="n">
        <v>37714</v>
      </c>
      <c r="I32" s="20" t="n">
        <v>37714</v>
      </c>
      <c r="J32" s="20" t="n">
        <v>37714</v>
      </c>
      <c r="K32" s="20" t="n">
        <v>37714</v>
      </c>
      <c r="L32" s="20" t="n">
        <v>37714</v>
      </c>
    </row>
    <row r="33">
      <c r="A33" s="18" t="inlineStr">
        <is>
          <t>이익잉여금</t>
        </is>
      </c>
      <c r="B33" s="10" t="n"/>
      <c r="C33" s="19" t="n">
        <v>29168</v>
      </c>
      <c r="D33" s="20" t="n">
        <v>31097</v>
      </c>
      <c r="E33" s="20" t="n">
        <v>32220</v>
      </c>
      <c r="F33" s="20" t="n">
        <v>34238</v>
      </c>
      <c r="G33" s="20" t="n">
        <v>32893</v>
      </c>
      <c r="H33" s="19" t="n">
        <v>27416</v>
      </c>
      <c r="I33" s="20" t="n">
        <v>28693</v>
      </c>
      <c r="J33" s="20" t="n">
        <v>29433</v>
      </c>
      <c r="K33" s="20" t="n">
        <v>31305</v>
      </c>
      <c r="L33" s="20" t="n">
        <v>34238</v>
      </c>
    </row>
    <row r="34">
      <c r="A34" s="18" t="inlineStr">
        <is>
          <t>비지배지분</t>
        </is>
      </c>
      <c r="B34" s="10" t="n"/>
      <c r="C34" s="19" t="n"/>
      <c r="D34" s="20" t="n"/>
      <c r="E34" s="20" t="n"/>
      <c r="F34" s="20" t="n"/>
      <c r="G34" s="20" t="n"/>
      <c r="H34" s="19" t="n">
        <v>95</v>
      </c>
      <c r="I34" s="20" t="n">
        <v>168</v>
      </c>
      <c r="J34" s="20" t="n">
        <v>0</v>
      </c>
      <c r="K34" s="20" t="n"/>
      <c r="L34" s="20" t="n"/>
    </row>
    <row r="35">
      <c r="A35" s="9" t="inlineStr">
        <is>
          <t>자본총계</t>
        </is>
      </c>
      <c r="B35" s="10" t="n"/>
      <c r="C35" s="11" t="n">
        <v>113335</v>
      </c>
      <c r="D35" s="12" t="n">
        <v>116630</v>
      </c>
      <c r="E35" s="12" t="n">
        <v>119750</v>
      </c>
      <c r="F35" s="12" t="n">
        <v>122896</v>
      </c>
      <c r="G35" s="12" t="n">
        <v>125087</v>
      </c>
      <c r="H35" s="11" t="n">
        <v>103382</v>
      </c>
      <c r="I35" s="12" t="n">
        <v>107133</v>
      </c>
      <c r="J35" s="12" t="n">
        <v>114467</v>
      </c>
      <c r="K35" s="12" t="n">
        <v>115498</v>
      </c>
      <c r="L35" s="12" t="n">
        <v>122896</v>
      </c>
    </row>
    <row r="36">
      <c r="A36" s="16" t="inlineStr">
        <is>
          <t>현금흐름 요약</t>
        </is>
      </c>
      <c r="B36" s="16" t="inlineStr">
        <is>
          <t>분기 = TTM (있을 때만)</t>
        </is>
      </c>
      <c r="C36" s="17" t="n"/>
      <c r="D36" s="16" t="n"/>
      <c r="E36" s="16" t="n"/>
      <c r="F36" s="16" t="n"/>
      <c r="G36" s="16" t="n"/>
      <c r="H36" s="17" t="n"/>
      <c r="I36" s="16" t="n"/>
      <c r="J36" s="16" t="n"/>
      <c r="K36" s="16" t="n"/>
      <c r="L36" s="16" t="n"/>
    </row>
    <row r="37">
      <c r="A37" s="9" t="inlineStr">
        <is>
          <t>영업활동현금흐름</t>
        </is>
      </c>
      <c r="B37" s="10" t="n"/>
      <c r="C37" s="11" t="n"/>
      <c r="D37" s="12" t="n"/>
      <c r="E37" s="12" t="n"/>
      <c r="F37" s="12" t="n">
        <v>3533</v>
      </c>
      <c r="G37" s="12" t="n"/>
      <c r="H37" s="11" t="n">
        <v>9281</v>
      </c>
      <c r="I37" s="12" t="n">
        <v>4475</v>
      </c>
      <c r="J37" s="12" t="n">
        <v>-8051</v>
      </c>
      <c r="K37" s="12" t="n">
        <v>17018</v>
      </c>
      <c r="L37" s="12" t="n">
        <v>3533</v>
      </c>
    </row>
    <row r="38">
      <c r="A38" s="18" t="inlineStr">
        <is>
          <t>CAPEX (유·무형 취득)</t>
        </is>
      </c>
      <c r="B38" s="10" t="inlineStr">
        <is>
          <t>양수로 입력</t>
        </is>
      </c>
      <c r="C38" s="19" t="n"/>
      <c r="D38" s="20" t="n"/>
      <c r="E38" s="20" t="n"/>
      <c r="F38" s="20" t="n"/>
      <c r="G38" s="20" t="n"/>
      <c r="H38" s="19" t="n"/>
      <c r="I38" s="20" t="n"/>
      <c r="J38" s="20" t="n"/>
      <c r="K38" s="20" t="n"/>
      <c r="L38" s="20" t="n"/>
    </row>
    <row r="39">
      <c r="A39" s="9" t="inlineStr">
        <is>
          <t>FCF</t>
        </is>
      </c>
      <c r="B39" s="10" t="n"/>
      <c r="C39" s="11">
        <f>IF(OR(C37="",C38=""),"",IFERROR(C37-C38,""))</f>
        <v/>
      </c>
      <c r="D39" s="12">
        <f>IF(OR(D37="",D38=""),"",IFERROR(D37-D38,""))</f>
        <v/>
      </c>
      <c r="E39" s="12">
        <f>IF(OR(E37="",E38=""),"",IFERROR(E37-E38,""))</f>
        <v/>
      </c>
      <c r="F39" s="12">
        <f>IF(OR(F37="",F38=""),"",IFERROR(F37-F38,""))</f>
        <v/>
      </c>
      <c r="G39" s="12">
        <f>IF(OR(G37="",G38=""),"",IFERROR(G37-G38,""))</f>
        <v/>
      </c>
      <c r="H39" s="11">
        <f>IF(OR(H37="",H38=""),"",IFERROR(H37-H38,""))</f>
        <v/>
      </c>
      <c r="I39" s="12">
        <f>IF(OR(I37="",I38=""),"",IFERROR(I37-I38,""))</f>
        <v/>
      </c>
      <c r="J39" s="12">
        <f>IF(OR(J37="",J38=""),"",IFERROR(J37-J38,""))</f>
        <v/>
      </c>
      <c r="K39" s="12">
        <f>IF(OR(K37="",K38=""),"",IFERROR(K37-K38,""))</f>
        <v/>
      </c>
      <c r="L39" s="12">
        <f>IF(OR(L37="",L38=""),"",IFERROR(L37-L38,""))</f>
        <v/>
      </c>
    </row>
    <row r="40">
      <c r="A40" s="18" t="inlineStr">
        <is>
          <t>배당금 지급</t>
        </is>
      </c>
      <c r="B40" s="10" t="inlineStr">
        <is>
          <t>양수로 입력</t>
        </is>
      </c>
      <c r="C40" s="19" t="n"/>
      <c r="D40" s="20" t="n"/>
      <c r="E40" s="20" t="n"/>
      <c r="F40" s="20" t="n">
        <v>4433</v>
      </c>
      <c r="G40" s="20" t="n"/>
      <c r="H40" s="19" t="n">
        <v>1402</v>
      </c>
      <c r="I40" s="20" t="n">
        <v>3064</v>
      </c>
      <c r="J40" s="20" t="n">
        <v>2439</v>
      </c>
      <c r="K40" s="20" t="n">
        <v>3461</v>
      </c>
      <c r="L40" s="20" t="n">
        <v>4433</v>
      </c>
    </row>
    <row r="41">
      <c r="A41" s="16" t="inlineStr">
        <is>
          <t>주요 재무 비율</t>
        </is>
      </c>
      <c r="B41" s="16" t="inlineStr">
        <is>
          <t>기준 (빨간 글씨 = 미달)</t>
        </is>
      </c>
      <c r="C41" s="17" t="n"/>
      <c r="D41" s="16" t="n"/>
      <c r="E41" s="16" t="n"/>
      <c r="F41" s="16" t="n"/>
      <c r="G41" s="16" t="n"/>
      <c r="H41" s="17" t="n"/>
      <c r="I41" s="16" t="n"/>
      <c r="J41" s="16" t="n"/>
      <c r="K41" s="16" t="n"/>
      <c r="L41" s="16" t="n"/>
    </row>
    <row r="42">
      <c r="A42" s="23" t="inlineStr">
        <is>
          <t>안정성</t>
        </is>
      </c>
      <c r="B42" s="23" t="n"/>
      <c r="C42" s="24" t="n"/>
      <c r="D42" s="23" t="n"/>
      <c r="E42" s="23" t="n"/>
      <c r="F42" s="23" t="n"/>
      <c r="G42" s="23" t="n"/>
      <c r="H42" s="24" t="n"/>
      <c r="I42" s="23" t="n"/>
      <c r="J42" s="23" t="n"/>
      <c r="K42" s="23" t="n"/>
      <c r="L42" s="23" t="n"/>
    </row>
    <row r="43">
      <c r="A43" s="45" t="inlineStr">
        <is>
          <t>부채비율</t>
        </is>
      </c>
      <c r="B43" s="10" t="inlineStr">
        <is>
          <t>100%↓</t>
        </is>
      </c>
      <c r="C43" s="35">
        <f>IF(OR(C27="",C35=""),"",IFERROR(C27/C35,""))</f>
        <v/>
      </c>
      <c r="D43" s="36">
        <f>IF(OR(D27="",D35=""),"",IFERROR(D27/D35,""))</f>
        <v/>
      </c>
      <c r="E43" s="36">
        <f>IF(OR(E27="",E35=""),"",IFERROR(E27/E35,""))</f>
        <v/>
      </c>
      <c r="F43" s="36">
        <f>IF(OR(F27="",F35=""),"",IFERROR(F27/F35,""))</f>
        <v/>
      </c>
      <c r="G43" s="36">
        <f>IF(OR(G27="",G35=""),"",IFERROR(G27/G35,""))</f>
        <v/>
      </c>
      <c r="H43" s="35">
        <f>IF(OR(H27="",H35=""),"",IFERROR(H27/H35,""))</f>
        <v/>
      </c>
      <c r="I43" s="36">
        <f>IF(OR(I27="",I35=""),"",IFERROR(I27/I35,""))</f>
        <v/>
      </c>
      <c r="J43" s="36">
        <f>IF(OR(J27="",J35=""),"",IFERROR(J27/J35,""))</f>
        <v/>
      </c>
      <c r="K43" s="36">
        <f>IF(OR(K27="",K35=""),"",IFERROR(K27/K35,""))</f>
        <v/>
      </c>
      <c r="L43" s="36">
        <f>IF(OR(L27="",L35=""),"",IFERROR(L27/L35,""))</f>
        <v/>
      </c>
    </row>
    <row r="44">
      <c r="A44" s="45" t="inlineStr">
        <is>
          <t>순차입금비율</t>
        </is>
      </c>
      <c r="B44" s="10" t="inlineStr">
        <is>
          <t>0%↓ 순현금</t>
        </is>
      </c>
      <c r="C44" s="35">
        <f>IF(OR(C29="",C35=""),"",IFERROR(C29/C35,""))</f>
        <v/>
      </c>
      <c r="D44" s="36">
        <f>IF(OR(D29="",D35=""),"",IFERROR(D29/D35,""))</f>
        <v/>
      </c>
      <c r="E44" s="36">
        <f>IF(OR(E29="",E35=""),"",IFERROR(E29/E35,""))</f>
        <v/>
      </c>
      <c r="F44" s="36">
        <f>IF(OR(F29="",F35=""),"",IFERROR(F29/F35,""))</f>
        <v/>
      </c>
      <c r="G44" s="36">
        <f>IF(OR(G29="",G35=""),"",IFERROR(G29/G35,""))</f>
        <v/>
      </c>
      <c r="H44" s="35">
        <f>IF(OR(H29="",H35=""),"",IFERROR(H29/H35,""))</f>
        <v/>
      </c>
      <c r="I44" s="36">
        <f>IF(OR(I29="",I35=""),"",IFERROR(I29/I35,""))</f>
        <v/>
      </c>
      <c r="J44" s="36">
        <f>IF(OR(J29="",J35=""),"",IFERROR(J29/J35,""))</f>
        <v/>
      </c>
      <c r="K44" s="36">
        <f>IF(OR(K29="",K35=""),"",IFERROR(K29/K35,""))</f>
        <v/>
      </c>
      <c r="L44" s="36">
        <f>IF(OR(L29="",L35=""),"",IFERROR(L29/L35,""))</f>
        <v/>
      </c>
    </row>
    <row r="45">
      <c r="A45" s="45" t="inlineStr">
        <is>
          <t>자기자본비율</t>
        </is>
      </c>
      <c r="B45" s="10" t="inlineStr">
        <is>
          <t>50%↑</t>
        </is>
      </c>
      <c r="C45" s="35">
        <f>IF(OR(C35="",C16=""),"",IFERROR(C35/C16,""))</f>
        <v/>
      </c>
      <c r="D45" s="36">
        <f>IF(OR(D35="",D16=""),"",IFERROR(D35/D16,""))</f>
        <v/>
      </c>
      <c r="E45" s="36">
        <f>IF(OR(E35="",E16=""),"",IFERROR(E35/E16,""))</f>
        <v/>
      </c>
      <c r="F45" s="36">
        <f>IF(OR(F35="",F16=""),"",IFERROR(F35/F16,""))</f>
        <v/>
      </c>
      <c r="G45" s="36">
        <f>IF(OR(G35="",G16=""),"",IFERROR(G35/G16,""))</f>
        <v/>
      </c>
      <c r="H45" s="35">
        <f>IF(OR(H35="",H16=""),"",IFERROR(H35/H16,""))</f>
        <v/>
      </c>
      <c r="I45" s="36">
        <f>IF(OR(I35="",I16=""),"",IFERROR(I35/I16,""))</f>
        <v/>
      </c>
      <c r="J45" s="36">
        <f>IF(OR(J35="",J16=""),"",IFERROR(J35/J16,""))</f>
        <v/>
      </c>
      <c r="K45" s="36">
        <f>IF(OR(K35="",K16=""),"",IFERROR(K35/K16,""))</f>
        <v/>
      </c>
      <c r="L45" s="36">
        <f>IF(OR(L35="",L16=""),"",IFERROR(L35/L16,""))</f>
        <v/>
      </c>
    </row>
    <row r="46">
      <c r="A46" s="45" t="inlineStr">
        <is>
          <t>유동비율</t>
        </is>
      </c>
      <c r="B46" s="10" t="inlineStr">
        <is>
          <t>150%↑</t>
        </is>
      </c>
      <c r="C46" s="35">
        <f>IF(OR(C5="",C18=""),"",IFERROR(C5/C18,""))</f>
        <v/>
      </c>
      <c r="D46" s="36">
        <f>IF(OR(D5="",D18=""),"",IFERROR(D5/D18,""))</f>
        <v/>
      </c>
      <c r="E46" s="36">
        <f>IF(OR(E5="",E18=""),"",IFERROR(E5/E18,""))</f>
        <v/>
      </c>
      <c r="F46" s="36">
        <f>IF(OR(F5="",F18=""),"",IFERROR(F5/F18,""))</f>
        <v/>
      </c>
      <c r="G46" s="36">
        <f>IF(OR(G5="",G18=""),"",IFERROR(G5/G18,""))</f>
        <v/>
      </c>
      <c r="H46" s="35">
        <f>IF(OR(H5="",H18=""),"",IFERROR(H5/H18,""))</f>
        <v/>
      </c>
      <c r="I46" s="36">
        <f>IF(OR(I5="",I18=""),"",IFERROR(I5/I18,""))</f>
        <v/>
      </c>
      <c r="J46" s="36">
        <f>IF(OR(J5="",J18=""),"",IFERROR(J5/J18,""))</f>
        <v/>
      </c>
      <c r="K46" s="36">
        <f>IF(OR(K5="",K18=""),"",IFERROR(K5/K18,""))</f>
        <v/>
      </c>
      <c r="L46" s="36">
        <f>IF(OR(L5="",L18=""),"",IFERROR(L5/L18,""))</f>
        <v/>
      </c>
    </row>
    <row r="47">
      <c r="A47" s="45" t="inlineStr">
        <is>
          <t>당좌비율</t>
        </is>
      </c>
      <c r="B47" s="10" t="inlineStr">
        <is>
          <t>100%↑</t>
        </is>
      </c>
      <c r="C47" s="35">
        <f>IF(OR(C5="",C18=""),"",IFERROR((C5-N(C9))/C18,""))</f>
        <v/>
      </c>
      <c r="D47" s="36">
        <f>IF(OR(D5="",D18=""),"",IFERROR((D5-N(D9))/D18,""))</f>
        <v/>
      </c>
      <c r="E47" s="36">
        <f>IF(OR(E5="",E18=""),"",IFERROR((E5-N(E9))/E18,""))</f>
        <v/>
      </c>
      <c r="F47" s="36">
        <f>IF(OR(F5="",F18=""),"",IFERROR((F5-N(F9))/F18,""))</f>
        <v/>
      </c>
      <c r="G47" s="36">
        <f>IF(OR(G5="",G18=""),"",IFERROR((G5-N(G9))/G18,""))</f>
        <v/>
      </c>
      <c r="H47" s="35">
        <f>IF(OR(H5="",H18=""),"",IFERROR((H5-N(H9))/H18,""))</f>
        <v/>
      </c>
      <c r="I47" s="36">
        <f>IF(OR(I5="",I18=""),"",IFERROR((I5-N(I9))/I18,""))</f>
        <v/>
      </c>
      <c r="J47" s="36">
        <f>IF(OR(J5="",J18=""),"",IFERROR((J5-N(J9))/J18,""))</f>
        <v/>
      </c>
      <c r="K47" s="36">
        <f>IF(OR(K5="",K18=""),"",IFERROR((K5-N(K9))/K18,""))</f>
        <v/>
      </c>
      <c r="L47" s="36">
        <f>IF(OR(L5="",L18=""),"",IFERROR((L5-N(L9))/L18,""))</f>
        <v/>
      </c>
    </row>
    <row r="48">
      <c r="A48" s="45" t="inlineStr">
        <is>
          <t>이자보상배율</t>
        </is>
      </c>
      <c r="B48" s="10" t="inlineStr">
        <is>
          <t>5x↑ (금융원가 기준)</t>
        </is>
      </c>
      <c r="C48" s="30">
        <f>IFERROR((IF(COUNT('연간'!G31:J31)&lt;4,"",SUM('연간'!G31:J31)))/(IF(COUNT('연간'!G53:J53)&lt;4,"",SUM('연간'!G53:J53))),"")</f>
        <v/>
      </c>
      <c r="D48" s="31">
        <f>IFERROR((IF(COUNT('연간'!H31:K31)&lt;4,"",SUM('연간'!H31:K31)))/(IF(COUNT('연간'!H53:K53)&lt;4,"",SUM('연간'!H53:K53))),"")</f>
        <v/>
      </c>
      <c r="E48" s="31">
        <f>IFERROR((IF(COUNT('연간'!I31:L31)&lt;4,"",SUM('연간'!I31:L31)))/(IF(COUNT('연간'!I53:L53)&lt;4,"",SUM('연간'!I53:L53))),"")</f>
        <v/>
      </c>
      <c r="F48" s="31">
        <f>IFERROR((IF(COUNT('연간'!J31:M31)&lt;4,"",SUM('연간'!J31:M31)))/(IF(COUNT('연간'!J53:M53)&lt;4,"",SUM('연간'!J53:M53))),"")</f>
        <v/>
      </c>
      <c r="G48" s="31">
        <f>IFERROR((IF(COUNT('연간'!K31:N31)&lt;4,"",SUM('연간'!K31:N31)))/(IF(COUNT('연간'!K53:N53)&lt;4,"",SUM('연간'!K53:N53))),"")</f>
        <v/>
      </c>
      <c r="H48" s="30">
        <f>IFERROR(('연간'!T31)/('연간'!T53),"")</f>
        <v/>
      </c>
      <c r="I48" s="31">
        <f>IFERROR(('연간'!U31)/('연간'!U53),"")</f>
        <v/>
      </c>
      <c r="J48" s="31">
        <f>IFERROR(('연간'!V31)/('연간'!V53),"")</f>
        <v/>
      </c>
      <c r="K48" s="31">
        <f>IFERROR(('연간'!W31)/('연간'!W53),"")</f>
        <v/>
      </c>
      <c r="L48" s="31">
        <f>IFERROR(('연간'!X31)/('연간'!X53),"")</f>
        <v/>
      </c>
    </row>
    <row r="49">
      <c r="A49" s="45" t="inlineStr">
        <is>
          <t>차입금 상환연수</t>
        </is>
      </c>
      <c r="B49" s="10" t="inlineStr">
        <is>
          <t>4년↓ (버핏)</t>
        </is>
      </c>
      <c r="C49" s="46">
        <f>IFERROR(IF((IF(COUNT('연간'!G59:J59)&lt;4,"",SUM('연간'!G59:J59)))&lt;=0,"적자",C28/(IF(COUNT('연간'!G59:J59)&lt;4,"",SUM('연간'!G59:J59)))),"")</f>
        <v/>
      </c>
      <c r="D49" s="47">
        <f>IFERROR(IF((IF(COUNT('연간'!H59:K59)&lt;4,"",SUM('연간'!H59:K59)))&lt;=0,"적자",D28/(IF(COUNT('연간'!H59:K59)&lt;4,"",SUM('연간'!H59:K59)))),"")</f>
        <v/>
      </c>
      <c r="E49" s="47">
        <f>IFERROR(IF((IF(COUNT('연간'!I59:L59)&lt;4,"",SUM('연간'!I59:L59)))&lt;=0,"적자",E28/(IF(COUNT('연간'!I59:L59)&lt;4,"",SUM('연간'!I59:L59)))),"")</f>
        <v/>
      </c>
      <c r="F49" s="47">
        <f>IFERROR(IF((IF(COUNT('연간'!J59:M59)&lt;4,"",SUM('연간'!J59:M59)))&lt;=0,"적자",F28/(IF(COUNT('연간'!J59:M59)&lt;4,"",SUM('연간'!J59:M59)))),"")</f>
        <v/>
      </c>
      <c r="G49" s="47">
        <f>IFERROR(IF((IF(COUNT('연간'!K59:N59)&lt;4,"",SUM('연간'!K59:N59)))&lt;=0,"적자",G28/(IF(COUNT('연간'!K59:N59)&lt;4,"",SUM('연간'!K59:N59)))),"")</f>
        <v/>
      </c>
      <c r="H49" s="46">
        <f>IFERROR(IF(('연간'!T59)&lt;=0,"적자",H28/('연간'!T59)),"")</f>
        <v/>
      </c>
      <c r="I49" s="47">
        <f>IFERROR(IF(('연간'!U59)&lt;=0,"적자",I28/('연간'!U59)),"")</f>
        <v/>
      </c>
      <c r="J49" s="47">
        <f>IFERROR(IF(('연간'!V59)&lt;=0,"적자",J28/('연간'!V59)),"")</f>
        <v/>
      </c>
      <c r="K49" s="47">
        <f>IFERROR(IF(('연간'!W59)&lt;=0,"적자",K28/('연간'!W59)),"")</f>
        <v/>
      </c>
      <c r="L49" s="47">
        <f>IFERROR(IF(('연간'!X59)&lt;=0,"적자",L28/('연간'!X59)),"")</f>
        <v/>
      </c>
    </row>
    <row r="50">
      <c r="A50" s="23" t="inlineStr">
        <is>
          <t>수익성</t>
        </is>
      </c>
      <c r="B50" s="23" t="n"/>
      <c r="C50" s="24" t="n"/>
      <c r="D50" s="23" t="n"/>
      <c r="E50" s="23" t="n"/>
      <c r="F50" s="23" t="n"/>
      <c r="G50" s="23" t="n"/>
      <c r="H50" s="24" t="n"/>
      <c r="I50" s="23" t="n"/>
      <c r="J50" s="23" t="n"/>
      <c r="K50" s="23" t="n"/>
      <c r="L50" s="23" t="n"/>
    </row>
    <row r="51">
      <c r="A51" s="45" t="inlineStr">
        <is>
          <t>ROE</t>
        </is>
      </c>
      <c r="B51" s="10" t="inlineStr">
        <is>
          <t>15%↑ (버핏)</t>
        </is>
      </c>
      <c r="C51" s="35">
        <f>IFERROR((IF(COUNT('연간'!G59:J59)&lt;4,"",SUM('연간'!G59:J59)))/C31,"")</f>
        <v/>
      </c>
      <c r="D51" s="36">
        <f>IFERROR((IF(COUNT('연간'!H59:K59)&lt;4,"",SUM('연간'!H59:K59)))/D31,"")</f>
        <v/>
      </c>
      <c r="E51" s="36">
        <f>IFERROR((IF(COUNT('연간'!I59:L59)&lt;4,"",SUM('연간'!I59:L59)))/E31,"")</f>
        <v/>
      </c>
      <c r="F51" s="36">
        <f>IFERROR((IF(COUNT('연간'!J59:M59)&lt;4,"",SUM('연간'!J59:M59)))/F31,"")</f>
        <v/>
      </c>
      <c r="G51" s="36">
        <f>IFERROR((IF(COUNT('연간'!K59:N59)&lt;4,"",SUM('연간'!K59:N59)))/G31,"")</f>
        <v/>
      </c>
      <c r="H51" s="35">
        <f>IFERROR(('연간'!T59)/H31,"")</f>
        <v/>
      </c>
      <c r="I51" s="36">
        <f>IFERROR(('연간'!U59)/I31,"")</f>
        <v/>
      </c>
      <c r="J51" s="36">
        <f>IFERROR(('연간'!V59)/J31,"")</f>
        <v/>
      </c>
      <c r="K51" s="36">
        <f>IFERROR(('연간'!W59)/K31,"")</f>
        <v/>
      </c>
      <c r="L51" s="36">
        <f>IFERROR(('연간'!X59)/L31,"")</f>
        <v/>
      </c>
    </row>
    <row r="52">
      <c r="A52" s="45" t="inlineStr">
        <is>
          <t>ROA</t>
        </is>
      </c>
      <c r="B52" s="10" t="inlineStr">
        <is>
          <t>5%↑</t>
        </is>
      </c>
      <c r="C52" s="35">
        <f>IFERROR((IF(COUNT('연간'!G58:J58)&lt;4,"",SUM('연간'!G58:J58)))/C16,"")</f>
        <v/>
      </c>
      <c r="D52" s="36">
        <f>IFERROR((IF(COUNT('연간'!H58:K58)&lt;4,"",SUM('연간'!H58:K58)))/D16,"")</f>
        <v/>
      </c>
      <c r="E52" s="36">
        <f>IFERROR((IF(COUNT('연간'!I58:L58)&lt;4,"",SUM('연간'!I58:L58)))/E16,"")</f>
        <v/>
      </c>
      <c r="F52" s="36">
        <f>IFERROR((IF(COUNT('연간'!J58:M58)&lt;4,"",SUM('연간'!J58:M58)))/F16,"")</f>
        <v/>
      </c>
      <c r="G52" s="36">
        <f>IFERROR((IF(COUNT('연간'!K58:N58)&lt;4,"",SUM('연간'!K58:N58)))/G16,"")</f>
        <v/>
      </c>
      <c r="H52" s="35">
        <f>IFERROR(('연간'!T58)/H16,"")</f>
        <v/>
      </c>
      <c r="I52" s="36">
        <f>IFERROR(('연간'!U58)/I16,"")</f>
        <v/>
      </c>
      <c r="J52" s="36">
        <f>IFERROR(('연간'!V58)/J16,"")</f>
        <v/>
      </c>
      <c r="K52" s="36">
        <f>IFERROR(('연간'!W58)/K16,"")</f>
        <v/>
      </c>
      <c r="L52" s="36">
        <f>IFERROR(('연간'!X58)/L16,"")</f>
        <v/>
      </c>
    </row>
    <row r="53">
      <c r="A53" s="45" t="inlineStr">
        <is>
          <t>ROIC</t>
        </is>
      </c>
      <c r="B53" s="10" t="inlineStr">
        <is>
          <t>10%↑ (세후영업이익 기준)</t>
        </is>
      </c>
      <c r="C53" s="35">
        <f>IFERROR((IF(COUNT('연간'!G31:J31)&lt;4,"",SUM('연간'!G31:J31)))*(1-0.3)/(C35+C29),"")</f>
        <v/>
      </c>
      <c r="D53" s="36">
        <f>IFERROR((IF(COUNT('연간'!H31:K31)&lt;4,"",SUM('연간'!H31:K31)))*(1-0.3)/(D35+D29),"")</f>
        <v/>
      </c>
      <c r="E53" s="36">
        <f>IFERROR((IF(COUNT('연간'!I31:L31)&lt;4,"",SUM('연간'!I31:L31)))*(1-0.3)/(E35+E29),"")</f>
        <v/>
      </c>
      <c r="F53" s="36">
        <f>IFERROR((IF(COUNT('연간'!J31:M31)&lt;4,"",SUM('연간'!J31:M31)))*(1-0.3)/(F35+F29),"")</f>
        <v/>
      </c>
      <c r="G53" s="36">
        <f>IFERROR((IF(COUNT('연간'!K31:N31)&lt;4,"",SUM('연간'!K31:N31)))*(1-0.3)/(G35+G29),"")</f>
        <v/>
      </c>
      <c r="H53" s="35">
        <f>IFERROR(('연간'!T31)*(1-0.3)/(H35+H29),"")</f>
        <v/>
      </c>
      <c r="I53" s="36">
        <f>IFERROR(('연간'!U31)*(1-0.3)/(I35+I29),"")</f>
        <v/>
      </c>
      <c r="J53" s="36">
        <f>IFERROR(('연간'!V31)*(1-0.3)/(J35+J29),"")</f>
        <v/>
      </c>
      <c r="K53" s="36">
        <f>IFERROR(('연간'!W31)*(1-0.3)/(K35+K29),"")</f>
        <v/>
      </c>
      <c r="L53" s="36">
        <f>IFERROR(('연간'!X31)*(1-0.3)/(L35+L29),"")</f>
        <v/>
      </c>
    </row>
    <row r="54">
      <c r="A54" s="45" t="inlineStr">
        <is>
          <t>매출총이익률 (GPM)</t>
        </is>
      </c>
      <c r="B54" s="10" t="inlineStr">
        <is>
          <t>40%↑ (해자 신호)</t>
        </is>
      </c>
      <c r="C54" s="35">
        <f>IFERROR((IF(COUNT('연간'!G27:J27)&lt;4,"",SUM('연간'!G27:J27)))/(IF(COUNT('연간'!G4:J4)&lt;4,"",SUM('연간'!G4:J4))),"")</f>
        <v/>
      </c>
      <c r="D54" s="36">
        <f>IFERROR((IF(COUNT('연간'!H27:K27)&lt;4,"",SUM('연간'!H27:K27)))/(IF(COUNT('연간'!H4:K4)&lt;4,"",SUM('연간'!H4:K4))),"")</f>
        <v/>
      </c>
      <c r="E54" s="36">
        <f>IFERROR((IF(COUNT('연간'!I27:L27)&lt;4,"",SUM('연간'!I27:L27)))/(IF(COUNT('연간'!I4:L4)&lt;4,"",SUM('연간'!I4:L4))),"")</f>
        <v/>
      </c>
      <c r="F54" s="36">
        <f>IFERROR((IF(COUNT('연간'!J27:M27)&lt;4,"",SUM('연간'!J27:M27)))/(IF(COUNT('연간'!J4:M4)&lt;4,"",SUM('연간'!J4:M4))),"")</f>
        <v/>
      </c>
      <c r="G54" s="36">
        <f>IFERROR((IF(COUNT('연간'!K27:N27)&lt;4,"",SUM('연간'!K27:N27)))/(IF(COUNT('연간'!K4:N4)&lt;4,"",SUM('연간'!K4:N4))),"")</f>
        <v/>
      </c>
      <c r="H54" s="35">
        <f>IFERROR(('연간'!T27)/('연간'!T4),"")</f>
        <v/>
      </c>
      <c r="I54" s="36">
        <f>IFERROR(('연간'!U27)/('연간'!U4),"")</f>
        <v/>
      </c>
      <c r="J54" s="36">
        <f>IFERROR(('연간'!V27)/('연간'!V4),"")</f>
        <v/>
      </c>
      <c r="K54" s="36">
        <f>IFERROR(('연간'!W27)/('연간'!W4),"")</f>
        <v/>
      </c>
      <c r="L54" s="36">
        <f>IFERROR(('연간'!X27)/('연간'!X4),"")</f>
        <v/>
      </c>
    </row>
    <row r="55">
      <c r="A55" s="45" t="inlineStr">
        <is>
          <t>영업이익률 (OPM)</t>
        </is>
      </c>
      <c r="B55" s="10" t="inlineStr">
        <is>
          <t>15%↑</t>
        </is>
      </c>
      <c r="C55" s="35">
        <f>IFERROR((IF(COUNT('연간'!G31:J31)&lt;4,"",SUM('연간'!G31:J31)))/(IF(COUNT('연간'!G4:J4)&lt;4,"",SUM('연간'!G4:J4))),"")</f>
        <v/>
      </c>
      <c r="D55" s="36">
        <f>IFERROR((IF(COUNT('연간'!H31:K31)&lt;4,"",SUM('연간'!H31:K31)))/(IF(COUNT('연간'!H4:K4)&lt;4,"",SUM('연간'!H4:K4))),"")</f>
        <v/>
      </c>
      <c r="E55" s="36">
        <f>IFERROR((IF(COUNT('연간'!I31:L31)&lt;4,"",SUM('연간'!I31:L31)))/(IF(COUNT('연간'!I4:L4)&lt;4,"",SUM('연간'!I4:L4))),"")</f>
        <v/>
      </c>
      <c r="F55" s="36">
        <f>IFERROR((IF(COUNT('연간'!J31:M31)&lt;4,"",SUM('연간'!J31:M31)))/(IF(COUNT('연간'!J4:M4)&lt;4,"",SUM('연간'!J4:M4))),"")</f>
        <v/>
      </c>
      <c r="G55" s="36">
        <f>IFERROR((IF(COUNT('연간'!K31:N31)&lt;4,"",SUM('연간'!K31:N31)))/(IF(COUNT('연간'!K4:N4)&lt;4,"",SUM('연간'!K4:N4))),"")</f>
        <v/>
      </c>
      <c r="H55" s="35">
        <f>IFERROR(('연간'!T31)/('연간'!T4),"")</f>
        <v/>
      </c>
      <c r="I55" s="36">
        <f>IFERROR(('연간'!U31)/('연간'!U4),"")</f>
        <v/>
      </c>
      <c r="J55" s="36">
        <f>IFERROR(('연간'!V31)/('연간'!V4),"")</f>
        <v/>
      </c>
      <c r="K55" s="36">
        <f>IFERROR(('연간'!W31)/('연간'!W4),"")</f>
        <v/>
      </c>
      <c r="L55" s="36">
        <f>IFERROR(('연간'!X31)/('연간'!X4),"")</f>
        <v/>
      </c>
    </row>
    <row r="56">
      <c r="A56" s="45" t="inlineStr">
        <is>
          <t>순이익률</t>
        </is>
      </c>
      <c r="B56" s="10" t="inlineStr">
        <is>
          <t>10%↑</t>
        </is>
      </c>
      <c r="C56" s="35">
        <f>IFERROR((IF(COUNT('연간'!G58:J58)&lt;4,"",SUM('연간'!G58:J58)))/(IF(COUNT('연간'!G4:J4)&lt;4,"",SUM('연간'!G4:J4))),"")</f>
        <v/>
      </c>
      <c r="D56" s="36">
        <f>IFERROR((IF(COUNT('연간'!H58:K58)&lt;4,"",SUM('연간'!H58:K58)))/(IF(COUNT('연간'!H4:K4)&lt;4,"",SUM('연간'!H4:K4))),"")</f>
        <v/>
      </c>
      <c r="E56" s="36">
        <f>IFERROR((IF(COUNT('연간'!I58:L58)&lt;4,"",SUM('연간'!I58:L58)))/(IF(COUNT('연간'!I4:L4)&lt;4,"",SUM('연간'!I4:L4))),"")</f>
        <v/>
      </c>
      <c r="F56" s="36">
        <f>IFERROR((IF(COUNT('연간'!J58:M58)&lt;4,"",SUM('연간'!J58:M58)))/(IF(COUNT('연간'!J4:M4)&lt;4,"",SUM('연간'!J4:M4))),"")</f>
        <v/>
      </c>
      <c r="G56" s="36">
        <f>IFERROR((IF(COUNT('연간'!K58:N58)&lt;4,"",SUM('연간'!K58:N58)))/(IF(COUNT('연간'!K4:N4)&lt;4,"",SUM('연간'!K4:N4))),"")</f>
        <v/>
      </c>
      <c r="H56" s="35">
        <f>IFERROR(('연간'!T58)/('연간'!T4),"")</f>
        <v/>
      </c>
      <c r="I56" s="36">
        <f>IFERROR(('연간'!U58)/('연간'!U4),"")</f>
        <v/>
      </c>
      <c r="J56" s="36">
        <f>IFERROR(('연간'!V58)/('연간'!V4),"")</f>
        <v/>
      </c>
      <c r="K56" s="36">
        <f>IFERROR(('연간'!W58)/('연간'!W4),"")</f>
        <v/>
      </c>
      <c r="L56" s="36">
        <f>IFERROR(('연간'!X58)/('연간'!X4),"")</f>
        <v/>
      </c>
    </row>
    <row r="57">
      <c r="A57" s="23" t="inlineStr">
        <is>
          <t>효율성 (회전율)</t>
        </is>
      </c>
      <c r="B57" s="23" t="n"/>
      <c r="C57" s="24" t="n"/>
      <c r="D57" s="23" t="n"/>
      <c r="E57" s="23" t="n"/>
      <c r="F57" s="23" t="n"/>
      <c r="G57" s="23" t="n"/>
      <c r="H57" s="24" t="n"/>
      <c r="I57" s="23" t="n"/>
      <c r="J57" s="23" t="n"/>
      <c r="K57" s="23" t="n"/>
      <c r="L57" s="23" t="n"/>
    </row>
    <row r="58">
      <c r="A58" s="45" t="inlineStr">
        <is>
          <t>총자산회전율</t>
        </is>
      </c>
      <c r="B58" s="10" t="inlineStr">
        <is>
          <t>높을수록↑</t>
        </is>
      </c>
      <c r="C58" s="30">
        <f>IFERROR((IF(COUNT('연간'!G4:J4)&lt;4,"",SUM('연간'!G4:J4)))/C16,"")</f>
        <v/>
      </c>
      <c r="D58" s="31">
        <f>IFERROR((IF(COUNT('연간'!H4:K4)&lt;4,"",SUM('연간'!H4:K4)))/D16,"")</f>
        <v/>
      </c>
      <c r="E58" s="31">
        <f>IFERROR((IF(COUNT('연간'!I4:L4)&lt;4,"",SUM('연간'!I4:L4)))/E16,"")</f>
        <v/>
      </c>
      <c r="F58" s="31">
        <f>IFERROR((IF(COUNT('연간'!J4:M4)&lt;4,"",SUM('연간'!J4:M4)))/F16,"")</f>
        <v/>
      </c>
      <c r="G58" s="31">
        <f>IFERROR((IF(COUNT('연간'!K4:N4)&lt;4,"",SUM('연간'!K4:N4)))/G16,"")</f>
        <v/>
      </c>
      <c r="H58" s="30">
        <f>IFERROR(('연간'!T4)/H16,"")</f>
        <v/>
      </c>
      <c r="I58" s="31">
        <f>IFERROR(('연간'!U4)/I16,"")</f>
        <v/>
      </c>
      <c r="J58" s="31">
        <f>IFERROR(('연간'!V4)/J16,"")</f>
        <v/>
      </c>
      <c r="K58" s="31">
        <f>IFERROR(('연간'!W4)/K16,"")</f>
        <v/>
      </c>
      <c r="L58" s="31">
        <f>IFERROR(('연간'!X4)/L16,"")</f>
        <v/>
      </c>
    </row>
    <row r="59">
      <c r="A59" s="45" t="inlineStr">
        <is>
          <t>매출채권회전일수</t>
        </is>
      </c>
      <c r="B59" s="10" t="inlineStr">
        <is>
          <t>짧을수록↑</t>
        </is>
      </c>
      <c r="C59" s="48">
        <f>IFERROR(C8/(IF(COUNT('연간'!G4:J4)&lt;4,"",SUM('연간'!G4:J4)))*365,"")</f>
        <v/>
      </c>
      <c r="D59" s="49">
        <f>IFERROR(D8/(IF(COUNT('연간'!H4:K4)&lt;4,"",SUM('연간'!H4:K4)))*365,"")</f>
        <v/>
      </c>
      <c r="E59" s="49">
        <f>IFERROR(E8/(IF(COUNT('연간'!I4:L4)&lt;4,"",SUM('연간'!I4:L4)))*365,"")</f>
        <v/>
      </c>
      <c r="F59" s="49">
        <f>IFERROR(F8/(IF(COUNT('연간'!J4:M4)&lt;4,"",SUM('연간'!J4:M4)))*365,"")</f>
        <v/>
      </c>
      <c r="G59" s="49">
        <f>IFERROR(G8/(IF(COUNT('연간'!K4:N4)&lt;4,"",SUM('연간'!K4:N4)))*365,"")</f>
        <v/>
      </c>
      <c r="H59" s="48">
        <f>IFERROR(H8/('연간'!T4)*365,"")</f>
        <v/>
      </c>
      <c r="I59" s="49">
        <f>IFERROR(I8/('연간'!U4)*365,"")</f>
        <v/>
      </c>
      <c r="J59" s="49">
        <f>IFERROR(J8/('연간'!V4)*365,"")</f>
        <v/>
      </c>
      <c r="K59" s="49">
        <f>IFERROR(K8/('연간'!W4)*365,"")</f>
        <v/>
      </c>
      <c r="L59" s="49">
        <f>IFERROR(L8/('연간'!X4)*365,"")</f>
        <v/>
      </c>
    </row>
    <row r="60">
      <c r="A60" s="45" t="inlineStr">
        <is>
          <t>재고자산회전일수</t>
        </is>
      </c>
      <c r="B60" s="10" t="inlineStr">
        <is>
          <t>짧을수록↑</t>
        </is>
      </c>
      <c r="C60" s="48">
        <f>IFERROR(C9/(IF(COUNT('연간'!G26:J26)&lt;4,"",SUM('연간'!G26:J26)))*365,"")</f>
        <v/>
      </c>
      <c r="D60" s="49">
        <f>IFERROR(D9/(IF(COUNT('연간'!H26:K26)&lt;4,"",SUM('연간'!H26:K26)))*365,"")</f>
        <v/>
      </c>
      <c r="E60" s="49">
        <f>IFERROR(E9/(IF(COUNT('연간'!I26:L26)&lt;4,"",SUM('연간'!I26:L26)))*365,"")</f>
        <v/>
      </c>
      <c r="F60" s="49">
        <f>IFERROR(F9/(IF(COUNT('연간'!J26:M26)&lt;4,"",SUM('연간'!J26:M26)))*365,"")</f>
        <v/>
      </c>
      <c r="G60" s="49">
        <f>IFERROR(G9/(IF(COUNT('연간'!K26:N26)&lt;4,"",SUM('연간'!K26:N26)))*365,"")</f>
        <v/>
      </c>
      <c r="H60" s="48">
        <f>IFERROR(H9/('연간'!T26)*365,"")</f>
        <v/>
      </c>
      <c r="I60" s="49">
        <f>IFERROR(I9/('연간'!U26)*365,"")</f>
        <v/>
      </c>
      <c r="J60" s="49">
        <f>IFERROR(J9/('연간'!V26)*365,"")</f>
        <v/>
      </c>
      <c r="K60" s="49">
        <f>IFERROR(K9/('연간'!W26)*365,"")</f>
        <v/>
      </c>
      <c r="L60" s="49">
        <f>IFERROR(L9/('연간'!X26)*365,"")</f>
        <v/>
      </c>
    </row>
    <row r="61">
      <c r="A61" s="45" t="inlineStr">
        <is>
          <t>매입채무회전일수</t>
        </is>
      </c>
      <c r="B61" s="10" t="inlineStr">
        <is>
          <t>길수록 유리</t>
        </is>
      </c>
      <c r="C61" s="48">
        <f>IFERROR(C19/(IF(COUNT('연간'!G26:J26)&lt;4,"",SUM('연간'!G26:J26)))*365,"")</f>
        <v/>
      </c>
      <c r="D61" s="49">
        <f>IFERROR(D19/(IF(COUNT('연간'!H26:K26)&lt;4,"",SUM('연간'!H26:K26)))*365,"")</f>
        <v/>
      </c>
      <c r="E61" s="49">
        <f>IFERROR(E19/(IF(COUNT('연간'!I26:L26)&lt;4,"",SUM('연간'!I26:L26)))*365,"")</f>
        <v/>
      </c>
      <c r="F61" s="49">
        <f>IFERROR(F19/(IF(COUNT('연간'!J26:M26)&lt;4,"",SUM('연간'!J26:M26)))*365,"")</f>
        <v/>
      </c>
      <c r="G61" s="49">
        <f>IFERROR(G19/(IF(COUNT('연간'!K26:N26)&lt;4,"",SUM('연간'!K26:N26)))*365,"")</f>
        <v/>
      </c>
      <c r="H61" s="48">
        <f>IFERROR(H19/('연간'!T26)*365,"")</f>
        <v/>
      </c>
      <c r="I61" s="49">
        <f>IFERROR(I19/('연간'!U26)*365,"")</f>
        <v/>
      </c>
      <c r="J61" s="49">
        <f>IFERROR(J19/('연간'!V26)*365,"")</f>
        <v/>
      </c>
      <c r="K61" s="49">
        <f>IFERROR(K19/('연간'!W26)*365,"")</f>
        <v/>
      </c>
      <c r="L61" s="49">
        <f>IFERROR(L19/('연간'!X26)*365,"")</f>
        <v/>
      </c>
    </row>
    <row r="62">
      <c r="A62" s="45" t="inlineStr">
        <is>
          <t>현금전환주기 (CCC)</t>
        </is>
      </c>
      <c r="B62" s="10" t="inlineStr">
        <is>
          <t>짧을수록↑</t>
        </is>
      </c>
      <c r="C62" s="48">
        <f>IF(OR(C59="",C60="",C61=""),"",IFERROR(C59+C60-C61,""))</f>
        <v/>
      </c>
      <c r="D62" s="49">
        <f>IF(OR(D59="",D60="",D61=""),"",IFERROR(D59+D60-D61,""))</f>
        <v/>
      </c>
      <c r="E62" s="49">
        <f>IF(OR(E59="",E60="",E61=""),"",IFERROR(E59+E60-E61,""))</f>
        <v/>
      </c>
      <c r="F62" s="49">
        <f>IF(OR(F59="",F60="",F61=""),"",IFERROR(F59+F60-F61,""))</f>
        <v/>
      </c>
      <c r="G62" s="49">
        <f>IF(OR(G59="",G60="",G61=""),"",IFERROR(G59+G60-G61,""))</f>
        <v/>
      </c>
      <c r="H62" s="48">
        <f>IF(OR(H59="",H60="",H61=""),"",IFERROR(H59+H60-H61,""))</f>
        <v/>
      </c>
      <c r="I62" s="49">
        <f>IF(OR(I59="",I60="",I61=""),"",IFERROR(I59+I60-I61,""))</f>
        <v/>
      </c>
      <c r="J62" s="49">
        <f>IF(OR(J59="",J60="",J61=""),"",IFERROR(J59+J60-J61,""))</f>
        <v/>
      </c>
      <c r="K62" s="49">
        <f>IF(OR(K59="",K60="",K61=""),"",IFERROR(K59+K60-K61,""))</f>
        <v/>
      </c>
      <c r="L62" s="49">
        <f>IF(OR(L59="",L60="",L61=""),"",IFERROR(L59+L60-L61,""))</f>
        <v/>
      </c>
    </row>
    <row r="63">
      <c r="A63" s="23" t="inlineStr">
        <is>
          <t>현금흐름</t>
        </is>
      </c>
      <c r="B63" s="23" t="n"/>
      <c r="C63" s="24" t="n"/>
      <c r="D63" s="23" t="n"/>
      <c r="E63" s="23" t="n"/>
      <c r="F63" s="23" t="n"/>
      <c r="G63" s="23" t="n"/>
      <c r="H63" s="24" t="n"/>
      <c r="I63" s="23" t="n"/>
      <c r="J63" s="23" t="n"/>
      <c r="K63" s="23" t="n"/>
      <c r="L63" s="23" t="n"/>
    </row>
    <row r="64">
      <c r="A64" s="45" t="inlineStr">
        <is>
          <t>영업현금흐름 / 순이익</t>
        </is>
      </c>
      <c r="B64" s="10" t="inlineStr">
        <is>
          <t>1x↑ (이익의 질)</t>
        </is>
      </c>
      <c r="C64" s="30">
        <f>IF(C37="","",IFERROR(C37/(IF(COUNT('연간'!G58:J58)&lt;4,"",SUM('연간'!G58:J58))),""))</f>
        <v/>
      </c>
      <c r="D64" s="31">
        <f>IF(D37="","",IFERROR(D37/(IF(COUNT('연간'!H58:K58)&lt;4,"",SUM('연간'!H58:K58))),""))</f>
        <v/>
      </c>
      <c r="E64" s="31">
        <f>IF(E37="","",IFERROR(E37/(IF(COUNT('연간'!I58:L58)&lt;4,"",SUM('연간'!I58:L58))),""))</f>
        <v/>
      </c>
      <c r="F64" s="31">
        <f>IF(F37="","",IFERROR(F37/(IF(COUNT('연간'!J58:M58)&lt;4,"",SUM('연간'!J58:M58))),""))</f>
        <v/>
      </c>
      <c r="G64" s="31">
        <f>IF(G37="","",IFERROR(G37/(IF(COUNT('연간'!K58:N58)&lt;4,"",SUM('연간'!K58:N58))),""))</f>
        <v/>
      </c>
      <c r="H64" s="30">
        <f>IF(H37="","",IFERROR(H37/('연간'!T58),""))</f>
        <v/>
      </c>
      <c r="I64" s="31">
        <f>IF(I37="","",IFERROR(I37/('연간'!U58),""))</f>
        <v/>
      </c>
      <c r="J64" s="31">
        <f>IF(J37="","",IFERROR(J37/('연간'!V58),""))</f>
        <v/>
      </c>
      <c r="K64" s="31">
        <f>IF(K37="","",IFERROR(K37/('연간'!W58),""))</f>
        <v/>
      </c>
      <c r="L64" s="31">
        <f>IF(L37="","",IFERROR(L37/('연간'!X58),""))</f>
        <v/>
      </c>
    </row>
    <row r="65">
      <c r="A65" s="45" t="inlineStr">
        <is>
          <t>FCF 마진</t>
        </is>
      </c>
      <c r="B65" s="10" t="inlineStr">
        <is>
          <t>5%↑</t>
        </is>
      </c>
      <c r="C65" s="35">
        <f>IF(C39="","",IFERROR(C39/(IF(COUNT('연간'!G4:J4)&lt;4,"",SUM('연간'!G4:J4))),""))</f>
        <v/>
      </c>
      <c r="D65" s="36">
        <f>IF(D39="","",IFERROR(D39/(IF(COUNT('연간'!H4:K4)&lt;4,"",SUM('연간'!H4:K4))),""))</f>
        <v/>
      </c>
      <c r="E65" s="36">
        <f>IF(E39="","",IFERROR(E39/(IF(COUNT('연간'!I4:L4)&lt;4,"",SUM('연간'!I4:L4))),""))</f>
        <v/>
      </c>
      <c r="F65" s="36">
        <f>IF(F39="","",IFERROR(F39/(IF(COUNT('연간'!J4:M4)&lt;4,"",SUM('연간'!J4:M4))),""))</f>
        <v/>
      </c>
      <c r="G65" s="36">
        <f>IF(G39="","",IFERROR(G39/(IF(COUNT('연간'!K4:N4)&lt;4,"",SUM('연간'!K4:N4))),""))</f>
        <v/>
      </c>
      <c r="H65" s="35">
        <f>IF(H39="","",IFERROR(H39/('연간'!T4),""))</f>
        <v/>
      </c>
      <c r="I65" s="36">
        <f>IF(I39="","",IFERROR(I39/('연간'!U4),""))</f>
        <v/>
      </c>
      <c r="J65" s="36">
        <f>IF(J39="","",IFERROR(J39/('연간'!V4),""))</f>
        <v/>
      </c>
      <c r="K65" s="36">
        <f>IF(K39="","",IFERROR(K39/('연간'!W4),""))</f>
        <v/>
      </c>
      <c r="L65" s="36">
        <f>IF(L39="","",IFERROR(L39/('연간'!X4),""))</f>
        <v/>
      </c>
    </row>
    <row r="66">
      <c r="A66" s="45" t="inlineStr">
        <is>
          <t>CAPEX / 매출</t>
        </is>
      </c>
      <c r="B66" s="10" t="inlineStr">
        <is>
          <t>낮을수록↑ (자본 가벼움)</t>
        </is>
      </c>
      <c r="C66" s="35">
        <f>IF(C38="","",IFERROR(C38/(IF(COUNT('연간'!G4:J4)&lt;4,"",SUM('연간'!G4:J4))),""))</f>
        <v/>
      </c>
      <c r="D66" s="36">
        <f>IF(D38="","",IFERROR(D38/(IF(COUNT('연간'!H4:K4)&lt;4,"",SUM('연간'!H4:K4))),""))</f>
        <v/>
      </c>
      <c r="E66" s="36">
        <f>IF(E38="","",IFERROR(E38/(IF(COUNT('연간'!I4:L4)&lt;4,"",SUM('연간'!I4:L4))),""))</f>
        <v/>
      </c>
      <c r="F66" s="36">
        <f>IF(F38="","",IFERROR(F38/(IF(COUNT('연간'!J4:M4)&lt;4,"",SUM('연간'!J4:M4))),""))</f>
        <v/>
      </c>
      <c r="G66" s="36">
        <f>IF(G38="","",IFERROR(G38/(IF(COUNT('연간'!K4:N4)&lt;4,"",SUM('연간'!K4:N4))),""))</f>
        <v/>
      </c>
      <c r="H66" s="35">
        <f>IF(H38="","",IFERROR(H38/('연간'!T4),""))</f>
        <v/>
      </c>
      <c r="I66" s="36">
        <f>IF(I38="","",IFERROR(I38/('연간'!U4),""))</f>
        <v/>
      </c>
      <c r="J66" s="36">
        <f>IF(J38="","",IFERROR(J38/('연간'!V4),""))</f>
        <v/>
      </c>
      <c r="K66" s="36">
        <f>IF(K38="","",IFERROR(K38/('연간'!W4),""))</f>
        <v/>
      </c>
      <c r="L66" s="36">
        <f>IF(L38="","",IFERROR(L38/('연간'!X4),""))</f>
        <v/>
      </c>
    </row>
    <row r="67">
      <c r="A67" s="45" t="inlineStr">
        <is>
          <t>배당성향</t>
        </is>
      </c>
      <c r="B67" s="10" t="inlineStr">
        <is>
          <t>참고</t>
        </is>
      </c>
      <c r="C67" s="35">
        <f>IF(C40="","",IFERROR(C40/(IF(COUNT('연간'!G59:J59)&lt;4,"",SUM('연간'!G59:J59))),""))</f>
        <v/>
      </c>
      <c r="D67" s="36">
        <f>IF(D40="","",IFERROR(D40/(IF(COUNT('연간'!H59:K59)&lt;4,"",SUM('연간'!H59:K59))),""))</f>
        <v/>
      </c>
      <c r="E67" s="36">
        <f>IF(E40="","",IFERROR(E40/(IF(COUNT('연간'!I59:L59)&lt;4,"",SUM('연간'!I59:L59))),""))</f>
        <v/>
      </c>
      <c r="F67" s="36">
        <f>IF(F40="","",IFERROR(F40/(IF(COUNT('연간'!J59:M59)&lt;4,"",SUM('연간'!J59:M59))),""))</f>
        <v/>
      </c>
      <c r="G67" s="36">
        <f>IF(G40="","",IFERROR(G40/(IF(COUNT('연간'!K59:N59)&lt;4,"",SUM('연간'!K59:N59))),""))</f>
        <v/>
      </c>
      <c r="H67" s="35">
        <f>IF(H40="","",IFERROR(H40/('연간'!T59),""))</f>
        <v/>
      </c>
      <c r="I67" s="36">
        <f>IF(I40="","",IFERROR(I40/('연간'!U59),""))</f>
        <v/>
      </c>
      <c r="J67" s="36">
        <f>IF(J40="","",IFERROR(J40/('연간'!V59),""))</f>
        <v/>
      </c>
      <c r="K67" s="36">
        <f>IF(K40="","",IFERROR(K40/('연간'!W59),""))</f>
        <v/>
      </c>
      <c r="L67" s="36">
        <f>IF(L40="","",IFERROR(L40/('연간'!X59),""))</f>
        <v/>
      </c>
    </row>
    <row r="69">
      <c r="A69" s="16" t="inlineStr">
        <is>
          <t>재무상태표 · 전 항목</t>
        </is>
      </c>
      <c r="B69" s="42" t="inlineStr">
        <is>
          <t>분기 말 잔액</t>
        </is>
      </c>
      <c r="C69" s="16" t="n"/>
      <c r="D69" s="16" t="n"/>
      <c r="E69" s="16" t="n"/>
      <c r="F69" s="16" t="n"/>
      <c r="G69" s="16" t="n"/>
      <c r="H69" s="16" t="n"/>
      <c r="I69" s="16" t="n"/>
      <c r="J69" s="16" t="n"/>
      <c r="K69" s="16" t="n"/>
      <c r="L69" s="16" t="n"/>
    </row>
    <row r="70">
      <c r="A70" s="5" t="inlineStr">
        <is>
          <t>항목</t>
        </is>
      </c>
      <c r="B70" s="5" t="inlineStr">
        <is>
          <t>참고</t>
        </is>
      </c>
      <c r="C70" s="5" t="inlineStr">
        <is>
          <t>2026.1Q</t>
        </is>
      </c>
      <c r="D70" s="5" t="inlineStr">
        <is>
          <t>2026.2Q</t>
        </is>
      </c>
      <c r="E70" s="5" t="inlineStr">
        <is>
          <t>2026.3Q</t>
        </is>
      </c>
      <c r="F70" s="5" t="inlineStr">
        <is>
          <t>2026.4Q</t>
        </is>
      </c>
      <c r="G70" s="5" t="inlineStr">
        <is>
          <t>2027.1Q</t>
        </is>
      </c>
      <c r="H70" s="5" t="inlineStr">
        <is>
          <t>2022</t>
        </is>
      </c>
      <c r="I70" s="5" t="inlineStr">
        <is>
          <t>2023</t>
        </is>
      </c>
      <c r="J70" s="5" t="inlineStr">
        <is>
          <t>2024</t>
        </is>
      </c>
      <c r="K70" s="5" t="inlineStr">
        <is>
          <t>2025</t>
        </is>
      </c>
      <c r="L70" s="5" t="inlineStr">
        <is>
          <t>2026</t>
        </is>
      </c>
    </row>
    <row r="71">
      <c r="A71" s="18" t="inlineStr">
        <is>
          <t>현금 및 예금</t>
        </is>
      </c>
      <c r="C71" s="20" t="n">
        <v>40955</v>
      </c>
      <c r="D71" s="20" t="n">
        <v>44764</v>
      </c>
      <c r="E71" s="20" t="n">
        <v>40401</v>
      </c>
      <c r="F71" s="20" t="n">
        <v>50095</v>
      </c>
      <c r="G71" s="20" t="n">
        <v>45955</v>
      </c>
      <c r="H71" s="20" t="n">
        <v>48296</v>
      </c>
      <c r="I71" s="20" t="n">
        <v>47642</v>
      </c>
      <c r="J71" s="20" t="n">
        <v>39789</v>
      </c>
      <c r="K71" s="20" t="n">
        <v>48148</v>
      </c>
      <c r="L71" s="20" t="n">
        <v>50095</v>
      </c>
    </row>
    <row r="72">
      <c r="A72" s="18" t="inlineStr">
        <is>
          <t>받을어음·매출채권</t>
        </is>
      </c>
      <c r="H72" s="20" t="n">
        <v>0</v>
      </c>
    </row>
    <row r="73">
      <c r="A73" s="18" t="inlineStr">
        <is>
          <t>받을어음·매출채권·계약자산</t>
        </is>
      </c>
      <c r="C73" s="20" t="n">
        <v>16072</v>
      </c>
      <c r="D73" s="20" t="n">
        <v>15363</v>
      </c>
      <c r="E73" s="20" t="n">
        <v>18420</v>
      </c>
      <c r="F73" s="20" t="n">
        <v>17738</v>
      </c>
      <c r="G73" s="20" t="n">
        <v>14927</v>
      </c>
      <c r="H73" s="20" t="n">
        <v>15480</v>
      </c>
      <c r="I73" s="20" t="n">
        <v>17614</v>
      </c>
      <c r="J73" s="20" t="n">
        <v>20083</v>
      </c>
      <c r="K73" s="20" t="n">
        <v>16159</v>
      </c>
      <c r="L73" s="20" t="n">
        <v>17738</v>
      </c>
    </row>
    <row r="74">
      <c r="A74" s="18" t="inlineStr">
        <is>
          <t>전자기록채권</t>
        </is>
      </c>
      <c r="C74" s="20" t="n">
        <v>2152</v>
      </c>
      <c r="D74" s="20" t="n">
        <v>2762</v>
      </c>
      <c r="E74" s="20" t="n">
        <v>3433</v>
      </c>
      <c r="F74" s="20" t="n">
        <v>1575</v>
      </c>
      <c r="G74" s="20" t="n">
        <v>1889</v>
      </c>
      <c r="H74" s="20" t="n">
        <v>1871</v>
      </c>
      <c r="I74" s="20" t="n">
        <v>2003</v>
      </c>
      <c r="J74" s="20" t="n">
        <v>2861</v>
      </c>
      <c r="K74" s="20" t="n">
        <v>2231</v>
      </c>
      <c r="L74" s="20" t="n">
        <v>1575</v>
      </c>
    </row>
    <row r="75">
      <c r="A75" s="18" t="inlineStr">
        <is>
          <t>유가증권</t>
        </is>
      </c>
      <c r="C75" s="20" t="n">
        <v>21603</v>
      </c>
      <c r="D75" s="20" t="n">
        <v>19003</v>
      </c>
      <c r="E75" s="20" t="n">
        <v>11743</v>
      </c>
      <c r="F75" s="20" t="n">
        <v>4333</v>
      </c>
      <c r="G75" s="20" t="n">
        <v>4168</v>
      </c>
      <c r="H75" s="20" t="n">
        <v>15622</v>
      </c>
      <c r="I75" s="20" t="n">
        <v>15719</v>
      </c>
      <c r="J75" s="20" t="n">
        <v>10825</v>
      </c>
      <c r="K75" s="20" t="n">
        <v>11321</v>
      </c>
      <c r="L75" s="20" t="n">
        <v>4333</v>
      </c>
    </row>
    <row r="76">
      <c r="A76" s="18" t="inlineStr">
        <is>
          <t>상품·제품</t>
        </is>
      </c>
      <c r="C76" s="20" t="n">
        <v>22996</v>
      </c>
      <c r="D76" s="20" t="n">
        <v>23301</v>
      </c>
      <c r="E76" s="20" t="n">
        <v>22481</v>
      </c>
      <c r="F76" s="20" t="n">
        <v>18608</v>
      </c>
      <c r="G76" s="20" t="n">
        <v>21096</v>
      </c>
      <c r="H76" s="20" t="n">
        <v>13522</v>
      </c>
      <c r="I76" s="20" t="n">
        <v>16429</v>
      </c>
      <c r="J76" s="20" t="n">
        <v>18590</v>
      </c>
      <c r="K76" s="20" t="n">
        <v>21228</v>
      </c>
      <c r="L76" s="20" t="n">
        <v>18608</v>
      </c>
    </row>
    <row r="77">
      <c r="A77" s="18" t="inlineStr">
        <is>
          <t>재공품</t>
        </is>
      </c>
      <c r="C77" s="20" t="n">
        <v>14634</v>
      </c>
      <c r="D77" s="20" t="n">
        <v>15275</v>
      </c>
      <c r="E77" s="20" t="n">
        <v>16465</v>
      </c>
      <c r="F77" s="20" t="n">
        <v>16823</v>
      </c>
      <c r="G77" s="20" t="n">
        <v>17154</v>
      </c>
      <c r="H77" s="20" t="n">
        <v>10794</v>
      </c>
      <c r="I77" s="20" t="n">
        <v>12349</v>
      </c>
      <c r="J77" s="20" t="n">
        <v>14026</v>
      </c>
      <c r="K77" s="20" t="n">
        <v>12378</v>
      </c>
      <c r="L77" s="20" t="n">
        <v>16823</v>
      </c>
    </row>
    <row r="78">
      <c r="A78" s="18" t="inlineStr">
        <is>
          <t>원재료·저장품</t>
        </is>
      </c>
      <c r="C78" s="20" t="n">
        <v>9211</v>
      </c>
      <c r="D78" s="20" t="n">
        <v>8879</v>
      </c>
      <c r="E78" s="20" t="n">
        <v>9452</v>
      </c>
      <c r="F78" s="20" t="n">
        <v>9208</v>
      </c>
      <c r="G78" s="20" t="n">
        <v>9689</v>
      </c>
      <c r="H78" s="20" t="n">
        <v>8080</v>
      </c>
      <c r="I78" s="20" t="n">
        <v>8638</v>
      </c>
      <c r="J78" s="20" t="n">
        <v>9328</v>
      </c>
      <c r="K78" s="20" t="n">
        <v>8885</v>
      </c>
      <c r="L78" s="20" t="n">
        <v>9208</v>
      </c>
    </row>
    <row r="79">
      <c r="A79" s="18" t="inlineStr">
        <is>
          <t>Current Portion Of Insurance Funds CA</t>
        </is>
      </c>
      <c r="H79" s="20" t="n">
        <v>68</v>
      </c>
      <c r="I79" s="20" t="n">
        <v>0</v>
      </c>
    </row>
    <row r="80">
      <c r="A80" s="18" t="inlineStr">
        <is>
          <t>기타</t>
        </is>
      </c>
      <c r="C80" s="20" t="n">
        <v>4674</v>
      </c>
      <c r="D80" s="20" t="n">
        <v>4693</v>
      </c>
      <c r="E80" s="20" t="n">
        <v>3793</v>
      </c>
      <c r="F80" s="20" t="n">
        <v>3464</v>
      </c>
      <c r="G80" s="20" t="n">
        <v>4568</v>
      </c>
      <c r="H80" s="20" t="n">
        <v>3024</v>
      </c>
      <c r="I80" s="20" t="n">
        <v>3528</v>
      </c>
      <c r="J80" s="20" t="n">
        <v>3831</v>
      </c>
      <c r="K80" s="20" t="n">
        <v>3993</v>
      </c>
      <c r="L80" s="20" t="n">
        <v>3464</v>
      </c>
    </row>
    <row r="81">
      <c r="A81" s="18" t="inlineStr">
        <is>
          <t>대손충당금</t>
        </is>
      </c>
      <c r="C81" s="20" t="n">
        <v>-281</v>
      </c>
      <c r="D81" s="20" t="n">
        <v>-297</v>
      </c>
      <c r="E81" s="20" t="n">
        <v>-309</v>
      </c>
      <c r="F81" s="20" t="n">
        <v>-484</v>
      </c>
      <c r="G81" s="20" t="n">
        <v>-519</v>
      </c>
      <c r="H81" s="20" t="n">
        <v>-490</v>
      </c>
      <c r="I81" s="20" t="n">
        <v>-279</v>
      </c>
      <c r="J81" s="20" t="n">
        <v>-373</v>
      </c>
      <c r="K81" s="20" t="n">
        <v>-307</v>
      </c>
      <c r="L81" s="20" t="n">
        <v>-484</v>
      </c>
    </row>
    <row r="82">
      <c r="A82" s="9" t="inlineStr">
        <is>
          <t>유동자산 합계</t>
        </is>
      </c>
      <c r="C82" s="12" t="n">
        <v>132019</v>
      </c>
      <c r="D82" s="12" t="n">
        <v>133745</v>
      </c>
      <c r="E82" s="12" t="n">
        <v>125884</v>
      </c>
      <c r="F82" s="12" t="n">
        <v>121364</v>
      </c>
      <c r="G82" s="12" t="n">
        <v>118929</v>
      </c>
      <c r="H82" s="12" t="n">
        <v>116269</v>
      </c>
      <c r="I82" s="12" t="n">
        <v>123646</v>
      </c>
      <c r="J82" s="12" t="n">
        <v>118963</v>
      </c>
      <c r="K82" s="12" t="n">
        <v>124039</v>
      </c>
      <c r="L82" s="12" t="n">
        <v>121364</v>
      </c>
    </row>
    <row r="83">
      <c r="A83" s="18" t="inlineStr">
        <is>
          <t>건물·구축물</t>
        </is>
      </c>
      <c r="F83" s="20" t="n">
        <v>28920</v>
      </c>
      <c r="H83" s="20" t="n">
        <v>28616</v>
      </c>
      <c r="I83" s="20" t="n">
        <v>27542</v>
      </c>
      <c r="J83" s="20" t="n">
        <v>28466</v>
      </c>
      <c r="K83" s="20" t="n">
        <v>28756</v>
      </c>
      <c r="L83" s="20" t="n">
        <v>28920</v>
      </c>
    </row>
    <row r="84">
      <c r="A84" s="18" t="inlineStr">
        <is>
          <t>감가상각누계액</t>
        </is>
      </c>
      <c r="F84" s="20" t="n">
        <v>-22086</v>
      </c>
      <c r="H84" s="20" t="n">
        <v>-23579</v>
      </c>
      <c r="I84" s="20" t="n">
        <v>-21596</v>
      </c>
      <c r="J84" s="20" t="n">
        <v>-22111</v>
      </c>
      <c r="K84" s="20" t="n">
        <v>-22505</v>
      </c>
      <c r="L84" s="20" t="n">
        <v>-22086</v>
      </c>
    </row>
    <row r="85">
      <c r="A85" s="18" t="inlineStr">
        <is>
          <t>건물·구축물(순액)</t>
        </is>
      </c>
      <c r="F85" s="20" t="n">
        <v>6834</v>
      </c>
      <c r="H85" s="20" t="n">
        <v>5036</v>
      </c>
      <c r="I85" s="20" t="n">
        <v>5945</v>
      </c>
      <c r="J85" s="20" t="n">
        <v>6355</v>
      </c>
      <c r="K85" s="20" t="n">
        <v>6251</v>
      </c>
      <c r="L85" s="20" t="n">
        <v>6834</v>
      </c>
    </row>
    <row r="86">
      <c r="A86" s="18" t="inlineStr">
        <is>
          <t>기계장치·운반구</t>
        </is>
      </c>
      <c r="F86" s="20" t="n">
        <v>18214</v>
      </c>
      <c r="H86" s="20" t="n">
        <v>16132</v>
      </c>
      <c r="I86" s="20" t="n">
        <v>14921</v>
      </c>
      <c r="J86" s="20" t="n">
        <v>15676</v>
      </c>
      <c r="K86" s="20" t="n">
        <v>17043</v>
      </c>
      <c r="L86" s="20" t="n">
        <v>18214</v>
      </c>
    </row>
    <row r="87">
      <c r="A87" s="18" t="inlineStr">
        <is>
          <t>감가상각누계액</t>
        </is>
      </c>
      <c r="F87" s="20" t="n">
        <v>-14870</v>
      </c>
      <c r="H87" s="20" t="n">
        <v>-14441</v>
      </c>
      <c r="I87" s="20" t="n">
        <v>-13134</v>
      </c>
      <c r="J87" s="20" t="n">
        <v>-13518</v>
      </c>
      <c r="K87" s="20" t="n">
        <v>-13834</v>
      </c>
      <c r="L87" s="20" t="n">
        <v>-14870</v>
      </c>
    </row>
    <row r="88">
      <c r="A88" s="18" t="inlineStr">
        <is>
          <t>기계장치·운반구(순액)</t>
        </is>
      </c>
      <c r="F88" s="20" t="n">
        <v>3343</v>
      </c>
      <c r="H88" s="20" t="n">
        <v>1690</v>
      </c>
      <c r="I88" s="20" t="n">
        <v>1787</v>
      </c>
      <c r="J88" s="20" t="n">
        <v>2158</v>
      </c>
      <c r="K88" s="20" t="n">
        <v>3209</v>
      </c>
      <c r="L88" s="20" t="n">
        <v>3343</v>
      </c>
    </row>
    <row r="89">
      <c r="A89" s="18" t="inlineStr">
        <is>
          <t>토지</t>
        </is>
      </c>
      <c r="C89" s="20" t="n">
        <v>8261</v>
      </c>
      <c r="D89" s="20" t="n">
        <v>8981</v>
      </c>
      <c r="E89" s="20" t="n">
        <v>9058</v>
      </c>
      <c r="F89" s="20" t="n">
        <v>8625</v>
      </c>
      <c r="G89" s="20" t="n">
        <v>8684</v>
      </c>
      <c r="H89" s="20" t="n">
        <v>8315</v>
      </c>
      <c r="I89" s="20" t="n">
        <v>8384</v>
      </c>
      <c r="J89" s="20" t="n">
        <v>8395</v>
      </c>
      <c r="K89" s="20" t="n">
        <v>8221</v>
      </c>
      <c r="L89" s="20" t="n">
        <v>8625</v>
      </c>
    </row>
    <row r="90">
      <c r="A90" s="18" t="inlineStr">
        <is>
          <t>리스자산</t>
        </is>
      </c>
      <c r="F90" s="20" t="n">
        <v>3503</v>
      </c>
      <c r="J90" s="20" t="n">
        <v>1736</v>
      </c>
      <c r="K90" s="20" t="n">
        <v>2845</v>
      </c>
      <c r="L90" s="20" t="n">
        <v>3503</v>
      </c>
    </row>
    <row r="91">
      <c r="A91" s="18" t="inlineStr">
        <is>
          <t>감가상각누계액</t>
        </is>
      </c>
      <c r="F91" s="20" t="n">
        <v>-1303</v>
      </c>
      <c r="J91" s="20" t="n">
        <v>-991</v>
      </c>
      <c r="K91" s="20" t="n">
        <v>-975</v>
      </c>
      <c r="L91" s="20" t="n">
        <v>-1303</v>
      </c>
    </row>
    <row r="92">
      <c r="A92" s="18" t="inlineStr">
        <is>
          <t>리스자산(순액)</t>
        </is>
      </c>
      <c r="F92" s="20" t="n">
        <v>2200</v>
      </c>
      <c r="J92" s="20" t="n">
        <v>744</v>
      </c>
      <c r="K92" s="20" t="n">
        <v>1870</v>
      </c>
      <c r="L92" s="20" t="n">
        <v>2200</v>
      </c>
    </row>
    <row r="93">
      <c r="A93" s="18" t="inlineStr">
        <is>
          <t>건설중인자산</t>
        </is>
      </c>
      <c r="F93" s="20" t="n">
        <v>1106</v>
      </c>
      <c r="H93" s="20" t="n">
        <v>620</v>
      </c>
      <c r="I93" s="20" t="n">
        <v>433</v>
      </c>
      <c r="J93" s="20" t="n">
        <v>122</v>
      </c>
      <c r="K93" s="20" t="n">
        <v>88</v>
      </c>
      <c r="L93" s="20" t="n">
        <v>1106</v>
      </c>
    </row>
    <row r="94">
      <c r="A94" s="18" t="inlineStr">
        <is>
          <t>기타</t>
        </is>
      </c>
      <c r="F94" s="20" t="n">
        <v>7063</v>
      </c>
      <c r="H94" s="20" t="n">
        <v>8048</v>
      </c>
      <c r="I94" s="20" t="n">
        <v>8635</v>
      </c>
      <c r="J94" s="20" t="n">
        <v>7475</v>
      </c>
      <c r="K94" s="20" t="n">
        <v>7731</v>
      </c>
      <c r="L94" s="20" t="n">
        <v>7063</v>
      </c>
    </row>
    <row r="95">
      <c r="A95" s="18" t="inlineStr">
        <is>
          <t>감가상각누계액</t>
        </is>
      </c>
      <c r="F95" s="20" t="n">
        <v>-5748</v>
      </c>
      <c r="H95" s="20" t="n">
        <v>-6744</v>
      </c>
      <c r="I95" s="20" t="n">
        <v>-7148</v>
      </c>
      <c r="J95" s="20" t="n">
        <v>-6536</v>
      </c>
      <c r="K95" s="20" t="n">
        <v>-6589</v>
      </c>
      <c r="L95" s="20" t="n">
        <v>-5748</v>
      </c>
    </row>
    <row r="96">
      <c r="A96" s="18" t="inlineStr">
        <is>
          <t>기타(순액)</t>
        </is>
      </c>
      <c r="C96" s="20" t="n">
        <v>13008</v>
      </c>
      <c r="D96" s="20" t="n">
        <v>13356</v>
      </c>
      <c r="E96" s="20" t="n">
        <v>13586</v>
      </c>
      <c r="F96" s="20" t="n">
        <v>14799</v>
      </c>
      <c r="G96" s="20" t="n">
        <v>15188</v>
      </c>
      <c r="H96" s="20" t="n">
        <v>1303</v>
      </c>
      <c r="I96" s="20" t="n">
        <v>1486</v>
      </c>
      <c r="J96" s="20" t="n">
        <v>939</v>
      </c>
      <c r="K96" s="20" t="n">
        <v>1141</v>
      </c>
      <c r="L96" s="20" t="n">
        <v>14799</v>
      </c>
    </row>
    <row r="97">
      <c r="A97" s="18" t="inlineStr">
        <is>
          <t>유형자산 합계</t>
        </is>
      </c>
      <c r="C97" s="20" t="n">
        <v>21270</v>
      </c>
      <c r="D97" s="20" t="n">
        <v>22338</v>
      </c>
      <c r="E97" s="20" t="n">
        <v>22645</v>
      </c>
      <c r="F97" s="20" t="n">
        <v>23424</v>
      </c>
      <c r="G97" s="20" t="n">
        <v>23873</v>
      </c>
      <c r="H97" s="20" t="n">
        <v>16966</v>
      </c>
      <c r="I97" s="20" t="n">
        <v>18038</v>
      </c>
      <c r="J97" s="20" t="n">
        <v>18715</v>
      </c>
      <c r="K97" s="20" t="n">
        <v>20782</v>
      </c>
      <c r="L97" s="20" t="n">
        <v>23424</v>
      </c>
    </row>
    <row r="98">
      <c r="A98" s="18" t="inlineStr">
        <is>
          <t>영업권</t>
        </is>
      </c>
      <c r="C98" s="20" t="n">
        <v>1035</v>
      </c>
      <c r="D98" s="20" t="n">
        <v>997</v>
      </c>
      <c r="E98" s="20" t="n">
        <v>1088</v>
      </c>
      <c r="F98" s="20" t="n">
        <v>939</v>
      </c>
      <c r="G98" s="20" t="n">
        <v>896</v>
      </c>
      <c r="H98" s="20" t="n">
        <v>2427</v>
      </c>
      <c r="I98" s="20" t="n">
        <v>2085</v>
      </c>
      <c r="J98" s="20" t="n">
        <v>319</v>
      </c>
      <c r="K98" s="20" t="n">
        <v>1038</v>
      </c>
      <c r="L98" s="20" t="n">
        <v>939</v>
      </c>
    </row>
    <row r="99">
      <c r="A99" s="18" t="inlineStr">
        <is>
          <t>기타</t>
        </is>
      </c>
      <c r="C99" s="20" t="n">
        <v>1261</v>
      </c>
      <c r="D99" s="20" t="n">
        <v>1325</v>
      </c>
      <c r="E99" s="20" t="n">
        <v>1339</v>
      </c>
      <c r="F99" s="20" t="n">
        <v>1507</v>
      </c>
      <c r="G99" s="20" t="n">
        <v>1507</v>
      </c>
      <c r="H99" s="20" t="n">
        <v>1509</v>
      </c>
      <c r="I99" s="20" t="n">
        <v>1186</v>
      </c>
      <c r="J99" s="20" t="n">
        <v>970</v>
      </c>
      <c r="K99" s="20" t="n">
        <v>1502</v>
      </c>
      <c r="L99" s="20" t="n">
        <v>1507</v>
      </c>
    </row>
    <row r="100">
      <c r="A100" s="18" t="inlineStr">
        <is>
          <t>무형자산 합계</t>
        </is>
      </c>
      <c r="C100" s="20" t="n">
        <v>2296</v>
      </c>
      <c r="D100" s="20" t="n">
        <v>2323</v>
      </c>
      <c r="E100" s="20" t="n">
        <v>2427</v>
      </c>
      <c r="F100" s="20" t="n">
        <v>2447</v>
      </c>
      <c r="G100" s="20" t="n">
        <v>2404</v>
      </c>
      <c r="H100" s="20" t="n">
        <v>3937</v>
      </c>
      <c r="I100" s="20" t="n">
        <v>3271</v>
      </c>
      <c r="J100" s="20" t="n">
        <v>1290</v>
      </c>
      <c r="K100" s="20" t="n">
        <v>2540</v>
      </c>
      <c r="L100" s="20" t="n">
        <v>2447</v>
      </c>
    </row>
    <row r="101">
      <c r="A101" s="18" t="inlineStr">
        <is>
          <t>투자유가증권</t>
        </is>
      </c>
      <c r="F101" s="20" t="n">
        <v>17828</v>
      </c>
      <c r="H101" s="20" t="n">
        <v>9384</v>
      </c>
      <c r="I101" s="20" t="n">
        <v>10370</v>
      </c>
      <c r="J101" s="20" t="n">
        <v>17716</v>
      </c>
      <c r="K101" s="20" t="n">
        <v>13749</v>
      </c>
      <c r="L101" s="20" t="n">
        <v>17828</v>
      </c>
    </row>
    <row r="102">
      <c r="A102" s="18" t="inlineStr">
        <is>
          <t>이연법인세자산</t>
        </is>
      </c>
      <c r="F102" s="20" t="n">
        <v>1489</v>
      </c>
      <c r="H102" s="20" t="n">
        <v>1088</v>
      </c>
      <c r="I102" s="20" t="n">
        <v>1233</v>
      </c>
      <c r="J102" s="20" t="n">
        <v>1235</v>
      </c>
      <c r="K102" s="20" t="n">
        <v>1318</v>
      </c>
      <c r="L102" s="20" t="n">
        <v>1489</v>
      </c>
    </row>
    <row r="103">
      <c r="A103" s="18" t="inlineStr">
        <is>
          <t>보험적립금</t>
        </is>
      </c>
      <c r="F103" s="20" t="n">
        <v>6872</v>
      </c>
      <c r="H103" s="20" t="n">
        <v>7171</v>
      </c>
      <c r="I103" s="20" t="n">
        <v>7231</v>
      </c>
      <c r="J103" s="20" t="n">
        <v>7075</v>
      </c>
      <c r="K103" s="20" t="n">
        <v>7045</v>
      </c>
      <c r="L103" s="20" t="n">
        <v>6872</v>
      </c>
    </row>
    <row r="104">
      <c r="A104" s="18" t="inlineStr">
        <is>
          <t>퇴직급여자산</t>
        </is>
      </c>
      <c r="F104" s="20" t="n">
        <v>3880</v>
      </c>
      <c r="H104" s="20" t="n">
        <v>1784</v>
      </c>
      <c r="I104" s="20" t="n">
        <v>1302</v>
      </c>
      <c r="J104" s="20" t="n">
        <v>2176</v>
      </c>
      <c r="K104" s="20" t="n">
        <v>3125</v>
      </c>
      <c r="L104" s="20" t="n">
        <v>3880</v>
      </c>
    </row>
    <row r="105">
      <c r="A105" s="18" t="inlineStr">
        <is>
          <t>기타</t>
        </is>
      </c>
      <c r="F105" s="20" t="n">
        <v>920</v>
      </c>
      <c r="H105" s="20" t="n">
        <v>543</v>
      </c>
      <c r="I105" s="20" t="n">
        <v>510</v>
      </c>
      <c r="J105" s="20" t="n">
        <v>495</v>
      </c>
      <c r="K105" s="20" t="n">
        <v>424</v>
      </c>
      <c r="L105" s="20" t="n">
        <v>920</v>
      </c>
    </row>
    <row r="106">
      <c r="A106" s="18" t="inlineStr">
        <is>
          <t>대손충당금</t>
        </is>
      </c>
      <c r="F106" s="20" t="n">
        <v>-69</v>
      </c>
      <c r="H106" s="20" t="n">
        <v>-65</v>
      </c>
      <c r="I106" s="20" t="n">
        <v>-83</v>
      </c>
      <c r="J106" s="20" t="n">
        <v>-80</v>
      </c>
      <c r="K106" s="20" t="n">
        <v>-81</v>
      </c>
      <c r="L106" s="20" t="n">
        <v>-69</v>
      </c>
    </row>
    <row r="107">
      <c r="A107" s="18" t="inlineStr">
        <is>
          <t>투자 및 기타자산</t>
        </is>
      </c>
      <c r="C107" s="20" t="n">
        <v>25968</v>
      </c>
      <c r="D107" s="20" t="n">
        <v>27316</v>
      </c>
      <c r="E107" s="20" t="n">
        <v>29676</v>
      </c>
      <c r="F107" s="20" t="n">
        <v>30921</v>
      </c>
      <c r="G107" s="20" t="n">
        <v>35301</v>
      </c>
      <c r="H107" s="20" t="n">
        <v>19907</v>
      </c>
      <c r="I107" s="20" t="n">
        <v>20565</v>
      </c>
      <c r="J107" s="20" t="n">
        <v>28619</v>
      </c>
      <c r="K107" s="20" t="n">
        <v>25582</v>
      </c>
      <c r="L107" s="20" t="n">
        <v>30921</v>
      </c>
    </row>
    <row r="108">
      <c r="A108" s="9" t="inlineStr">
        <is>
          <t>비유동자산 합계</t>
        </is>
      </c>
      <c r="C108" s="12" t="n">
        <v>49535</v>
      </c>
      <c r="D108" s="12" t="n">
        <v>51977</v>
      </c>
      <c r="E108" s="12" t="n">
        <v>54749</v>
      </c>
      <c r="F108" s="12" t="n">
        <v>56793</v>
      </c>
      <c r="G108" s="12" t="n">
        <v>61579</v>
      </c>
      <c r="H108" s="12" t="n">
        <v>40811</v>
      </c>
      <c r="I108" s="12" t="n">
        <v>41876</v>
      </c>
      <c r="J108" s="12" t="n">
        <v>48625</v>
      </c>
      <c r="K108" s="12" t="n">
        <v>48906</v>
      </c>
      <c r="L108" s="12" t="n">
        <v>56793</v>
      </c>
    </row>
    <row r="109">
      <c r="A109" s="9" t="inlineStr">
        <is>
          <t>자산 합계</t>
        </is>
      </c>
      <c r="C109" s="12" t="n">
        <v>181555</v>
      </c>
      <c r="D109" s="12" t="n">
        <v>185723</v>
      </c>
      <c r="E109" s="12" t="n">
        <v>180633</v>
      </c>
      <c r="F109" s="12" t="n">
        <v>178158</v>
      </c>
      <c r="G109" s="12" t="n">
        <v>180509</v>
      </c>
      <c r="H109" s="12" t="n">
        <v>157081</v>
      </c>
      <c r="I109" s="12" t="n">
        <v>165523</v>
      </c>
      <c r="J109" s="12" t="n">
        <v>167588</v>
      </c>
      <c r="K109" s="12" t="n">
        <v>172946</v>
      </c>
      <c r="L109" s="12" t="n">
        <v>178158</v>
      </c>
    </row>
    <row r="110">
      <c r="A110" s="18" t="inlineStr">
        <is>
          <t>지급어음·매입채무</t>
        </is>
      </c>
      <c r="C110" s="20" t="n">
        <v>6506</v>
      </c>
      <c r="D110" s="20" t="n">
        <v>6035</v>
      </c>
      <c r="E110" s="20" t="n">
        <v>7419</v>
      </c>
      <c r="F110" s="20" t="n">
        <v>7198</v>
      </c>
      <c r="G110" s="20" t="n">
        <v>6959</v>
      </c>
      <c r="H110" s="20" t="n">
        <v>6576</v>
      </c>
      <c r="I110" s="20" t="n">
        <v>8298</v>
      </c>
      <c r="J110" s="20" t="n">
        <v>7101</v>
      </c>
      <c r="K110" s="20" t="n">
        <v>7442</v>
      </c>
      <c r="L110" s="20" t="n">
        <v>7198</v>
      </c>
    </row>
    <row r="111">
      <c r="A111" s="18" t="inlineStr">
        <is>
          <t>전자기록채무</t>
        </is>
      </c>
      <c r="C111" s="20" t="n">
        <v>7155</v>
      </c>
      <c r="D111" s="20" t="n">
        <v>6478</v>
      </c>
      <c r="E111" s="20" t="n">
        <v>7582</v>
      </c>
      <c r="F111" s="20" t="n">
        <v>2305</v>
      </c>
      <c r="G111" s="20" t="n">
        <v>2012</v>
      </c>
      <c r="H111" s="20" t="n">
        <v>9227</v>
      </c>
      <c r="I111" s="20" t="n">
        <v>12534</v>
      </c>
      <c r="J111" s="20" t="n">
        <v>7174</v>
      </c>
      <c r="K111" s="20" t="n">
        <v>7388</v>
      </c>
      <c r="L111" s="20" t="n">
        <v>2305</v>
      </c>
    </row>
    <row r="112">
      <c r="A112" s="18" t="inlineStr">
        <is>
          <t>단기차입금</t>
        </is>
      </c>
      <c r="C112" s="20" t="n">
        <v>863</v>
      </c>
      <c r="D112" s="20" t="n">
        <v>1135</v>
      </c>
      <c r="E112" s="20" t="n">
        <v>697</v>
      </c>
      <c r="F112" s="20" t="n">
        <v>101</v>
      </c>
      <c r="G112" s="20" t="n">
        <v>1307</v>
      </c>
      <c r="H112" s="20" t="n">
        <v>850</v>
      </c>
      <c r="I112" s="20" t="n">
        <v>377</v>
      </c>
      <c r="J112" s="20" t="n">
        <v>620</v>
      </c>
      <c r="K112" s="20" t="n">
        <v>191</v>
      </c>
      <c r="L112" s="20" t="n">
        <v>101</v>
      </c>
    </row>
    <row r="113">
      <c r="A113" s="18" t="inlineStr">
        <is>
          <t>1년 내 상환 예정 사채</t>
        </is>
      </c>
      <c r="C113" s="20" t="n">
        <v>10000</v>
      </c>
      <c r="D113" s="20" t="n">
        <v>10000</v>
      </c>
      <c r="E113" s="20" t="n">
        <v>0</v>
      </c>
      <c r="F113" s="20" t="n">
        <v>0</v>
      </c>
      <c r="J113" s="20" t="n">
        <v>0</v>
      </c>
      <c r="K113" s="20" t="n">
        <v>10000</v>
      </c>
      <c r="L113" s="20" t="n">
        <v>0</v>
      </c>
    </row>
    <row r="114">
      <c r="A114" s="18" t="inlineStr">
        <is>
          <t>미지급법인세</t>
        </is>
      </c>
      <c r="C114" s="20" t="n">
        <v>1187</v>
      </c>
      <c r="D114" s="20" t="n">
        <v>2429</v>
      </c>
      <c r="E114" s="20" t="n">
        <v>2229</v>
      </c>
      <c r="F114" s="20" t="n">
        <v>2489</v>
      </c>
      <c r="G114" s="20" t="n">
        <v>1185</v>
      </c>
      <c r="H114" s="20" t="n">
        <v>847</v>
      </c>
      <c r="I114" s="20" t="n">
        <v>1054</v>
      </c>
      <c r="J114" s="20" t="n">
        <v>822</v>
      </c>
      <c r="K114" s="20" t="n">
        <v>2110</v>
      </c>
      <c r="L114" s="20" t="n">
        <v>2489</v>
      </c>
    </row>
    <row r="115">
      <c r="A115" s="18" t="inlineStr">
        <is>
          <t>선수금</t>
        </is>
      </c>
      <c r="H115" s="20" t="n">
        <v>14</v>
      </c>
    </row>
    <row r="116">
      <c r="A116" s="18" t="inlineStr">
        <is>
          <t>계약부채</t>
        </is>
      </c>
      <c r="D116" s="20" t="n">
        <v>19804</v>
      </c>
      <c r="E116" s="20" t="n">
        <v>18102</v>
      </c>
      <c r="F116" s="20" t="n">
        <v>16912</v>
      </c>
      <c r="H116" s="20" t="n">
        <v>12730</v>
      </c>
      <c r="I116" s="20" t="n">
        <v>12796</v>
      </c>
      <c r="J116" s="20" t="n">
        <v>12042</v>
      </c>
      <c r="K116" s="20" t="n">
        <v>16195</v>
      </c>
      <c r="L116" s="20" t="n">
        <v>16912</v>
      </c>
    </row>
    <row r="117">
      <c r="A117" s="18" t="inlineStr">
        <is>
          <t>상여충당금</t>
        </is>
      </c>
      <c r="F117" s="20" t="n">
        <v>1184</v>
      </c>
      <c r="H117" s="20" t="n">
        <v>977</v>
      </c>
      <c r="I117" s="20" t="n">
        <v>1109</v>
      </c>
      <c r="J117" s="20" t="n">
        <v>1073</v>
      </c>
      <c r="K117" s="20" t="n">
        <v>1117</v>
      </c>
      <c r="L117" s="20" t="n">
        <v>1184</v>
      </c>
    </row>
    <row r="118">
      <c r="A118" s="18" t="inlineStr">
        <is>
          <t>임원 상여충당금</t>
        </is>
      </c>
      <c r="H118" s="20" t="n">
        <v>45</v>
      </c>
    </row>
    <row r="119">
      <c r="A119" s="18" t="inlineStr">
        <is>
          <t>제품보증 충당금</t>
        </is>
      </c>
      <c r="F119" s="20" t="n">
        <v>1139</v>
      </c>
      <c r="H119" s="20" t="n">
        <v>741</v>
      </c>
      <c r="I119" s="20" t="n">
        <v>802</v>
      </c>
      <c r="J119" s="20" t="n">
        <v>930</v>
      </c>
      <c r="K119" s="20" t="n">
        <v>739</v>
      </c>
      <c r="L119" s="20" t="n">
        <v>1139</v>
      </c>
    </row>
    <row r="120">
      <c r="A120" s="18" t="inlineStr">
        <is>
          <t>Provision For Loss On Guarantees CL</t>
        </is>
      </c>
      <c r="H120" s="20" t="n">
        <v>88</v>
      </c>
    </row>
    <row r="121">
      <c r="A121" s="18" t="inlineStr">
        <is>
          <t>계약손실 충당금</t>
        </is>
      </c>
      <c r="H121" s="20" t="n">
        <v>26</v>
      </c>
    </row>
    <row r="122">
      <c r="A122" s="18" t="inlineStr">
        <is>
          <t>Provision For Loss On Construction Contracts</t>
        </is>
      </c>
      <c r="H122" s="20" t="n">
        <v>19</v>
      </c>
    </row>
    <row r="123">
      <c r="A123" s="18" t="inlineStr">
        <is>
          <t>사업구조개선 충당금</t>
        </is>
      </c>
      <c r="H123" s="20" t="n">
        <v>106</v>
      </c>
    </row>
    <row r="124">
      <c r="A124" s="18" t="inlineStr">
        <is>
          <t>재해손실 충당금</t>
        </is>
      </c>
      <c r="H124" s="20" t="n">
        <v>20</v>
      </c>
    </row>
    <row r="125">
      <c r="A125" s="18" t="inlineStr">
        <is>
          <t>Provision For Loss On Litigation CL</t>
        </is>
      </c>
      <c r="H125" s="20" t="n">
        <v>71</v>
      </c>
    </row>
    <row r="126">
      <c r="A126" s="18" t="inlineStr">
        <is>
          <t>Deferred Installment Income CL</t>
        </is>
      </c>
      <c r="H126" s="20" t="n">
        <v>0</v>
      </c>
    </row>
    <row r="127">
      <c r="A127" s="18" t="inlineStr">
        <is>
          <t>기타 충당금</t>
        </is>
      </c>
      <c r="F127" s="20" t="n">
        <v>143</v>
      </c>
      <c r="H127" s="20" t="n">
        <v>377</v>
      </c>
      <c r="I127" s="20" t="n">
        <v>300</v>
      </c>
      <c r="J127" s="20" t="n">
        <v>379</v>
      </c>
      <c r="K127" s="20" t="n">
        <v>320</v>
      </c>
      <c r="L127" s="20" t="n">
        <v>143</v>
      </c>
    </row>
    <row r="128">
      <c r="A128" s="18" t="inlineStr">
        <is>
          <t>충당금</t>
        </is>
      </c>
      <c r="C128" s="20" t="n">
        <v>1420</v>
      </c>
      <c r="D128" s="20" t="n">
        <v>2086</v>
      </c>
      <c r="E128" s="20" t="n">
        <v>1459</v>
      </c>
      <c r="F128" s="20" t="n">
        <v>2467</v>
      </c>
      <c r="G128" s="20" t="n">
        <v>2921</v>
      </c>
      <c r="H128" s="20" t="n">
        <v>2095</v>
      </c>
      <c r="I128" s="20" t="n">
        <v>2212</v>
      </c>
      <c r="J128" s="20" t="n">
        <v>2383</v>
      </c>
      <c r="K128" s="20" t="n">
        <v>2177</v>
      </c>
      <c r="L128" s="20" t="n">
        <v>2467</v>
      </c>
    </row>
    <row r="129">
      <c r="A129" s="18" t="inlineStr">
        <is>
          <t>기타</t>
        </is>
      </c>
      <c r="C129" s="20" t="n">
        <v>27618</v>
      </c>
      <c r="D129" s="20" t="n">
        <v>7464</v>
      </c>
      <c r="E129" s="20" t="n">
        <v>8692</v>
      </c>
      <c r="F129" s="20" t="n">
        <v>26083</v>
      </c>
      <c r="G129" s="20" t="n">
        <v>25370</v>
      </c>
      <c r="H129" s="20" t="n">
        <v>6720</v>
      </c>
      <c r="I129" s="20" t="n">
        <v>7088</v>
      </c>
      <c r="J129" s="20" t="n">
        <v>7572</v>
      </c>
      <c r="K129" s="20" t="n">
        <v>7673</v>
      </c>
      <c r="L129" s="20" t="n">
        <v>26083</v>
      </c>
    </row>
    <row r="130">
      <c r="A130" s="9" t="inlineStr">
        <is>
          <t>유동부채 합계</t>
        </is>
      </c>
      <c r="C130" s="12" t="n">
        <v>54751</v>
      </c>
      <c r="D130" s="12" t="n">
        <v>55432</v>
      </c>
      <c r="E130" s="12" t="n">
        <v>46183</v>
      </c>
      <c r="F130" s="12" t="n">
        <v>40646</v>
      </c>
      <c r="G130" s="12" t="n">
        <v>39756</v>
      </c>
      <c r="H130" s="12" t="n">
        <v>39049</v>
      </c>
      <c r="I130" s="12" t="n">
        <v>44362</v>
      </c>
      <c r="J130" s="12" t="n">
        <v>37719</v>
      </c>
      <c r="K130" s="12" t="n">
        <v>53178</v>
      </c>
      <c r="L130" s="12" t="n">
        <v>40646</v>
      </c>
    </row>
    <row r="131">
      <c r="A131" s="18" t="inlineStr">
        <is>
          <t>사채</t>
        </is>
      </c>
      <c r="C131" s="20" t="n">
        <v>9000</v>
      </c>
      <c r="D131" s="20" t="n">
        <v>9000</v>
      </c>
      <c r="E131" s="20" t="n">
        <v>9000</v>
      </c>
      <c r="F131" s="20" t="n">
        <v>9000</v>
      </c>
      <c r="G131" s="20" t="n">
        <v>9000</v>
      </c>
      <c r="H131" s="20" t="n">
        <v>10000</v>
      </c>
      <c r="I131" s="20" t="n">
        <v>10000</v>
      </c>
      <c r="J131" s="20" t="n">
        <v>10000</v>
      </c>
      <c r="K131" s="20" t="n">
        <v>0</v>
      </c>
      <c r="L131" s="20" t="n">
        <v>9000</v>
      </c>
    </row>
    <row r="132">
      <c r="A132" s="18" t="inlineStr">
        <is>
          <t>장기차입금</t>
        </is>
      </c>
      <c r="C132" s="20" t="n">
        <v>101</v>
      </c>
      <c r="D132" s="20" t="n">
        <v>87</v>
      </c>
      <c r="E132" s="20" t="n">
        <v>77</v>
      </c>
      <c r="F132" s="20" t="n">
        <v>57</v>
      </c>
      <c r="G132" s="20" t="n">
        <v>38</v>
      </c>
      <c r="H132" s="20" t="n">
        <v>357</v>
      </c>
      <c r="I132" s="20" t="n">
        <v>238</v>
      </c>
      <c r="J132" s="20" t="n">
        <v>181</v>
      </c>
      <c r="K132" s="20" t="n">
        <v>114</v>
      </c>
      <c r="L132" s="20" t="n">
        <v>57</v>
      </c>
    </row>
    <row r="133">
      <c r="A133" s="18" t="inlineStr">
        <is>
          <t>이연법인세부채</t>
        </is>
      </c>
      <c r="F133" s="20" t="n">
        <v>2491</v>
      </c>
      <c r="H133" s="20" t="n">
        <v>1420</v>
      </c>
      <c r="I133" s="20" t="n">
        <v>961</v>
      </c>
      <c r="J133" s="20" t="n">
        <v>2849</v>
      </c>
      <c r="K133" s="20" t="n">
        <v>1089</v>
      </c>
      <c r="L133" s="20" t="n">
        <v>2491</v>
      </c>
    </row>
    <row r="134">
      <c r="A134" s="18" t="inlineStr">
        <is>
          <t>임원 퇴직위로 충당금</t>
        </is>
      </c>
      <c r="H134" s="20" t="n">
        <v>24</v>
      </c>
    </row>
    <row r="135">
      <c r="A135" s="18" t="inlineStr">
        <is>
          <t>계약손실 충당금</t>
        </is>
      </c>
      <c r="H135" s="20" t="n">
        <v>17</v>
      </c>
    </row>
    <row r="136">
      <c r="A136" s="18" t="inlineStr">
        <is>
          <t>퇴직급여부채</t>
        </is>
      </c>
      <c r="C136" s="20" t="n">
        <v>1111</v>
      </c>
      <c r="D136" s="20" t="n">
        <v>1142</v>
      </c>
      <c r="E136" s="20" t="n">
        <v>1179</v>
      </c>
      <c r="F136" s="20" t="n">
        <v>837</v>
      </c>
      <c r="G136" s="20" t="n">
        <v>830</v>
      </c>
      <c r="H136" s="20" t="n">
        <v>1832</v>
      </c>
      <c r="I136" s="20" t="n">
        <v>1738</v>
      </c>
      <c r="J136" s="20" t="n">
        <v>1367</v>
      </c>
      <c r="K136" s="20" t="n">
        <v>970</v>
      </c>
      <c r="L136" s="20" t="n">
        <v>837</v>
      </c>
    </row>
    <row r="137">
      <c r="A137" s="18" t="inlineStr">
        <is>
          <t>리스부채</t>
        </is>
      </c>
      <c r="F137" s="20" t="n">
        <v>1820</v>
      </c>
      <c r="I137" s="20" t="n">
        <v>411</v>
      </c>
      <c r="J137" s="20" t="n">
        <v>452</v>
      </c>
      <c r="K137" s="20" t="n">
        <v>1536</v>
      </c>
      <c r="L137" s="20" t="n">
        <v>1820</v>
      </c>
    </row>
    <row r="138">
      <c r="A138" s="18" t="inlineStr">
        <is>
          <t>기타 충당금</t>
        </is>
      </c>
      <c r="F138" s="20" t="n">
        <v>9</v>
      </c>
      <c r="H138" s="20" t="n">
        <v>41</v>
      </c>
      <c r="I138" s="20" t="n">
        <v>15</v>
      </c>
      <c r="J138" s="20" t="n">
        <v>10</v>
      </c>
      <c r="K138" s="20" t="n">
        <v>24</v>
      </c>
      <c r="L138" s="20" t="n">
        <v>9</v>
      </c>
    </row>
    <row r="139">
      <c r="A139" s="18" t="inlineStr">
        <is>
          <t>충당금</t>
        </is>
      </c>
      <c r="C139" s="20" t="n">
        <v>20</v>
      </c>
      <c r="D139" s="20" t="n">
        <v>14</v>
      </c>
      <c r="E139" s="20" t="n">
        <v>14</v>
      </c>
      <c r="F139" s="20" t="n">
        <v>9</v>
      </c>
      <c r="G139" s="20" t="n">
        <v>43</v>
      </c>
      <c r="H139" s="20" t="n">
        <v>41</v>
      </c>
      <c r="I139" s="20" t="n">
        <v>15</v>
      </c>
      <c r="J139" s="20" t="n">
        <v>10</v>
      </c>
      <c r="K139" s="20" t="n">
        <v>24</v>
      </c>
      <c r="L139" s="20" t="n">
        <v>9</v>
      </c>
    </row>
    <row r="140">
      <c r="A140" s="18" t="inlineStr">
        <is>
          <t>기타</t>
        </is>
      </c>
      <c r="C140" s="20" t="n">
        <v>3234</v>
      </c>
      <c r="D140" s="20" t="n">
        <v>3415</v>
      </c>
      <c r="E140" s="20" t="n">
        <v>4426</v>
      </c>
      <c r="F140" s="20" t="n">
        <v>4710</v>
      </c>
      <c r="G140" s="20" t="n">
        <v>5752</v>
      </c>
      <c r="H140" s="20" t="n">
        <v>996</v>
      </c>
      <c r="I140" s="20" t="n">
        <v>661</v>
      </c>
      <c r="J140" s="20" t="n">
        <v>992</v>
      </c>
      <c r="K140" s="20" t="n">
        <v>533</v>
      </c>
      <c r="L140" s="20" t="n">
        <v>4710</v>
      </c>
    </row>
    <row r="141">
      <c r="A141" s="9" t="inlineStr">
        <is>
          <t>비유동부채 합계</t>
        </is>
      </c>
      <c r="C141" s="12" t="n">
        <v>13468</v>
      </c>
      <c r="D141" s="12" t="n">
        <v>13660</v>
      </c>
      <c r="E141" s="12" t="n">
        <v>14698</v>
      </c>
      <c r="F141" s="12" t="n">
        <v>14615</v>
      </c>
      <c r="G141" s="12" t="n">
        <v>15665</v>
      </c>
      <c r="H141" s="12" t="n">
        <v>14649</v>
      </c>
      <c r="I141" s="12" t="n">
        <v>14026</v>
      </c>
      <c r="J141" s="12" t="n">
        <v>15402</v>
      </c>
      <c r="K141" s="12" t="n">
        <v>4269</v>
      </c>
      <c r="L141" s="12" t="n">
        <v>14615</v>
      </c>
    </row>
    <row r="142">
      <c r="A142" s="9" t="inlineStr">
        <is>
          <t>부채 합계</t>
        </is>
      </c>
      <c r="C142" s="12" t="n">
        <v>68220</v>
      </c>
      <c r="D142" s="12" t="n">
        <v>69092</v>
      </c>
      <c r="E142" s="12" t="n">
        <v>60882</v>
      </c>
      <c r="F142" s="12" t="n">
        <v>55261</v>
      </c>
      <c r="G142" s="12" t="n">
        <v>55421</v>
      </c>
      <c r="H142" s="12" t="n">
        <v>53698</v>
      </c>
      <c r="I142" s="12" t="n">
        <v>58389</v>
      </c>
      <c r="J142" s="12" t="n">
        <v>53121</v>
      </c>
      <c r="K142" s="12" t="n">
        <v>57447</v>
      </c>
      <c r="L142" s="12" t="n">
        <v>55261</v>
      </c>
    </row>
    <row r="143">
      <c r="A143" s="18" t="inlineStr">
        <is>
          <t>자본금</t>
        </is>
      </c>
      <c r="C143" s="20" t="n">
        <v>37714</v>
      </c>
      <c r="D143" s="20" t="n">
        <v>37714</v>
      </c>
      <c r="E143" s="20" t="n">
        <v>37714</v>
      </c>
      <c r="F143" s="20" t="n">
        <v>37714</v>
      </c>
      <c r="G143" s="20" t="n">
        <v>37714</v>
      </c>
      <c r="H143" s="20" t="n">
        <v>37714</v>
      </c>
      <c r="I143" s="20" t="n">
        <v>37714</v>
      </c>
      <c r="J143" s="20" t="n">
        <v>37714</v>
      </c>
      <c r="K143" s="20" t="n">
        <v>37714</v>
      </c>
      <c r="L143" s="20" t="n">
        <v>37714</v>
      </c>
    </row>
    <row r="144">
      <c r="A144" s="18" t="inlineStr">
        <is>
          <t>자본잉여금</t>
        </is>
      </c>
      <c r="C144" s="20" t="n">
        <v>37286</v>
      </c>
      <c r="D144" s="20" t="n">
        <v>37286</v>
      </c>
      <c r="E144" s="20" t="n">
        <v>37286</v>
      </c>
      <c r="F144" s="20" t="n">
        <v>37286</v>
      </c>
      <c r="G144" s="20" t="n">
        <v>37286</v>
      </c>
      <c r="H144" s="20" t="n">
        <v>37788</v>
      </c>
      <c r="I144" s="20" t="n">
        <v>37788</v>
      </c>
      <c r="J144" s="20" t="n">
        <v>37286</v>
      </c>
      <c r="K144" s="20" t="n">
        <v>37286</v>
      </c>
      <c r="L144" s="20" t="n">
        <v>37286</v>
      </c>
    </row>
    <row r="145">
      <c r="A145" s="18" t="inlineStr">
        <is>
          <t>이익잉여금</t>
        </is>
      </c>
      <c r="C145" s="20" t="n">
        <v>29168</v>
      </c>
      <c r="D145" s="20" t="n">
        <v>31097</v>
      </c>
      <c r="E145" s="20" t="n">
        <v>32220</v>
      </c>
      <c r="F145" s="20" t="n">
        <v>34238</v>
      </c>
      <c r="G145" s="20" t="n">
        <v>32893</v>
      </c>
      <c r="H145" s="20" t="n">
        <v>27416</v>
      </c>
      <c r="I145" s="20" t="n">
        <v>28693</v>
      </c>
      <c r="J145" s="20" t="n">
        <v>29433</v>
      </c>
      <c r="K145" s="20" t="n">
        <v>31305</v>
      </c>
      <c r="L145" s="20" t="n">
        <v>34238</v>
      </c>
    </row>
    <row r="146">
      <c r="A146" s="18" t="inlineStr">
        <is>
          <t>자기주식</t>
        </is>
      </c>
      <c r="C146" s="20" t="n">
        <v>-380</v>
      </c>
      <c r="D146" s="20" t="n">
        <v>-377</v>
      </c>
      <c r="E146" s="20" t="n">
        <v>-378</v>
      </c>
      <c r="F146" s="20" t="n">
        <v>-378</v>
      </c>
      <c r="G146" s="20" t="n">
        <v>-378</v>
      </c>
      <c r="H146" s="20" t="n">
        <v>-3619</v>
      </c>
      <c r="I146" s="20" t="n">
        <v>-2248</v>
      </c>
      <c r="J146" s="20" t="n">
        <v>-2289</v>
      </c>
      <c r="K146" s="20" t="n">
        <v>-380</v>
      </c>
      <c r="L146" s="20" t="n">
        <v>-378</v>
      </c>
    </row>
    <row r="147">
      <c r="A147" s="9" t="inlineStr">
        <is>
          <t>주주자본 합계</t>
        </is>
      </c>
      <c r="C147" s="12" t="n">
        <v>103789</v>
      </c>
      <c r="D147" s="12" t="n">
        <v>105721</v>
      </c>
      <c r="E147" s="12" t="n">
        <v>106843</v>
      </c>
      <c r="F147" s="12" t="n">
        <v>108861</v>
      </c>
      <c r="G147" s="12" t="n">
        <v>107517</v>
      </c>
      <c r="H147" s="12" t="n">
        <v>99300</v>
      </c>
      <c r="I147" s="12" t="n">
        <v>101948</v>
      </c>
      <c r="J147" s="12" t="n">
        <v>102144</v>
      </c>
      <c r="K147" s="12" t="n">
        <v>105926</v>
      </c>
      <c r="L147" s="12" t="n">
        <v>108861</v>
      </c>
    </row>
    <row r="148">
      <c r="A148" s="18" t="inlineStr">
        <is>
          <t>기타유가증권 평가차액</t>
        </is>
      </c>
      <c r="C148" s="20" t="n">
        <v>5759</v>
      </c>
      <c r="D148" s="20" t="n">
        <v>6856</v>
      </c>
      <c r="E148" s="20" t="n">
        <v>8048</v>
      </c>
      <c r="F148" s="20" t="n">
        <v>8445</v>
      </c>
      <c r="G148" s="20" t="n">
        <v>11698</v>
      </c>
      <c r="H148" s="20" t="n">
        <v>3538</v>
      </c>
      <c r="I148" s="20" t="n">
        <v>4206</v>
      </c>
      <c r="J148" s="20" t="n">
        <v>9082</v>
      </c>
      <c r="K148" s="20" t="n">
        <v>5601</v>
      </c>
      <c r="L148" s="20" t="n">
        <v>8445</v>
      </c>
    </row>
    <row r="149">
      <c r="A149" s="18" t="inlineStr">
        <is>
          <t>해외사업환산조정</t>
        </is>
      </c>
      <c r="C149" s="20" t="n">
        <v>2917</v>
      </c>
      <c r="D149" s="20" t="n">
        <v>3206</v>
      </c>
      <c r="E149" s="20" t="n">
        <v>4054</v>
      </c>
      <c r="F149" s="20" t="n">
        <v>4244</v>
      </c>
      <c r="G149" s="20" t="n">
        <v>4533</v>
      </c>
      <c r="H149" s="20" t="n">
        <v>652</v>
      </c>
      <c r="I149" s="20" t="n">
        <v>1676</v>
      </c>
      <c r="J149" s="20" t="n">
        <v>3217</v>
      </c>
      <c r="K149" s="20" t="n">
        <v>2958</v>
      </c>
      <c r="L149" s="20" t="n">
        <v>4244</v>
      </c>
    </row>
    <row r="150">
      <c r="A150" s="18" t="inlineStr">
        <is>
          <t>퇴직급여 조정누계액</t>
        </is>
      </c>
      <c r="C150" s="20" t="n">
        <v>868</v>
      </c>
      <c r="D150" s="20" t="n">
        <v>846</v>
      </c>
      <c r="E150" s="20" t="n">
        <v>803</v>
      </c>
      <c r="F150" s="20" t="n">
        <v>1343</v>
      </c>
      <c r="G150" s="20" t="n">
        <v>1338</v>
      </c>
      <c r="H150" s="20" t="n">
        <v>-204</v>
      </c>
      <c r="I150" s="20" t="n">
        <v>-866</v>
      </c>
      <c r="J150" s="20" t="n">
        <v>23</v>
      </c>
      <c r="K150" s="20" t="n">
        <v>1011</v>
      </c>
      <c r="L150" s="20" t="n">
        <v>1343</v>
      </c>
    </row>
    <row r="151">
      <c r="A151" s="18" t="inlineStr">
        <is>
          <t>기타포괄손익누계액 합계</t>
        </is>
      </c>
      <c r="C151" s="20" t="n">
        <v>9545</v>
      </c>
      <c r="D151" s="20" t="n">
        <v>10909</v>
      </c>
      <c r="E151" s="20" t="n">
        <v>12907</v>
      </c>
      <c r="F151" s="20" t="n">
        <v>14034</v>
      </c>
      <c r="G151" s="20" t="n">
        <v>17570</v>
      </c>
      <c r="H151" s="20" t="n">
        <v>3986</v>
      </c>
      <c r="I151" s="20" t="n">
        <v>5016</v>
      </c>
      <c r="J151" s="20" t="n">
        <v>12322</v>
      </c>
      <c r="K151" s="20" t="n">
        <v>9571</v>
      </c>
      <c r="L151" s="20" t="n">
        <v>14034</v>
      </c>
    </row>
    <row r="152">
      <c r="A152" s="18" t="inlineStr">
        <is>
          <t>비지배지분</t>
        </is>
      </c>
      <c r="H152" s="20" t="n">
        <v>95</v>
      </c>
      <c r="I152" s="20" t="n">
        <v>168</v>
      </c>
      <c r="J152" s="20" t="n">
        <v>0</v>
      </c>
    </row>
    <row r="153">
      <c r="A153" s="9" t="inlineStr">
        <is>
          <t>순자산 합계</t>
        </is>
      </c>
      <c r="C153" s="12" t="n">
        <v>113335</v>
      </c>
      <c r="D153" s="12" t="n">
        <v>116630</v>
      </c>
      <c r="E153" s="12" t="n">
        <v>119750</v>
      </c>
      <c r="F153" s="12" t="n">
        <v>122896</v>
      </c>
      <c r="G153" s="12" t="n">
        <v>125087</v>
      </c>
      <c r="H153" s="12" t="n">
        <v>103382</v>
      </c>
      <c r="I153" s="12" t="n">
        <v>107133</v>
      </c>
      <c r="J153" s="12" t="n">
        <v>114467</v>
      </c>
      <c r="K153" s="12" t="n">
        <v>115498</v>
      </c>
      <c r="L153" s="12" t="n">
        <v>122896</v>
      </c>
    </row>
    <row r="154">
      <c r="A154" s="9" t="inlineStr">
        <is>
          <t>부채·순자산 합계</t>
        </is>
      </c>
      <c r="C154" s="12" t="n">
        <v>181555</v>
      </c>
      <c r="D154" s="12" t="n">
        <v>185723</v>
      </c>
      <c r="E154" s="12" t="n">
        <v>180633</v>
      </c>
      <c r="F154" s="12" t="n">
        <v>178158</v>
      </c>
      <c r="G154" s="12" t="n">
        <v>180509</v>
      </c>
      <c r="H154" s="12" t="n">
        <v>157081</v>
      </c>
      <c r="I154" s="12" t="n">
        <v>165523</v>
      </c>
      <c r="J154" s="12" t="n">
        <v>167588</v>
      </c>
      <c r="K154" s="12" t="n">
        <v>172946</v>
      </c>
      <c r="L154" s="12" t="n">
        <v>178158</v>
      </c>
    </row>
  </sheetData>
  <conditionalFormatting sqref="C43:L43">
    <cfRule type="expression" priority="1" dxfId="0">
      <formula>AND(ISNUMBER(C43),C43&gt;1.0)</formula>
    </cfRule>
  </conditionalFormatting>
  <conditionalFormatting sqref="C44:L44">
    <cfRule type="expression" priority="2" dxfId="0">
      <formula>AND(ISNUMBER(C44),C44&gt;0.5)</formula>
    </cfRule>
  </conditionalFormatting>
  <conditionalFormatting sqref="C45:L45">
    <cfRule type="expression" priority="3" dxfId="0">
      <formula>AND(ISNUMBER(C45),C45&lt;0.5)</formula>
    </cfRule>
  </conditionalFormatting>
  <conditionalFormatting sqref="C46:L46">
    <cfRule type="expression" priority="4" dxfId="0">
      <formula>AND(ISNUMBER(C46),C46&lt;1.5)</formula>
    </cfRule>
  </conditionalFormatting>
  <conditionalFormatting sqref="C47:L47">
    <cfRule type="expression" priority="5" dxfId="0">
      <formula>AND(ISNUMBER(C47),C47&lt;1.0)</formula>
    </cfRule>
  </conditionalFormatting>
  <conditionalFormatting sqref="C48:L48">
    <cfRule type="expression" priority="6" dxfId="0">
      <formula>AND(ISNUMBER(C48),C48&lt;5)</formula>
    </cfRule>
  </conditionalFormatting>
  <conditionalFormatting sqref="C49:L49">
    <cfRule type="expression" priority="7" dxfId="0">
      <formula>AND(ISNUMBER(C49),C49&gt;4)</formula>
    </cfRule>
  </conditionalFormatting>
  <conditionalFormatting sqref="C51:L51">
    <cfRule type="expression" priority="8" dxfId="0">
      <formula>AND(ISNUMBER(C51),C51&lt;0.15)</formula>
    </cfRule>
  </conditionalFormatting>
  <conditionalFormatting sqref="C52:L52">
    <cfRule type="expression" priority="9" dxfId="0">
      <formula>AND(ISNUMBER(C52),C52&lt;0.05)</formula>
    </cfRule>
  </conditionalFormatting>
  <conditionalFormatting sqref="C53:L53">
    <cfRule type="expression" priority="10" dxfId="0">
      <formula>AND(ISNUMBER(C53),C53&lt;0.1)</formula>
    </cfRule>
  </conditionalFormatting>
  <conditionalFormatting sqref="C54:L54">
    <cfRule type="expression" priority="11" dxfId="0">
      <formula>AND(ISNUMBER(C54),C54&lt;0.4)</formula>
    </cfRule>
  </conditionalFormatting>
  <conditionalFormatting sqref="C55:L55">
    <cfRule type="expression" priority="12" dxfId="0">
      <formula>AND(ISNUMBER(C55),C55&lt;0.15)</formula>
    </cfRule>
  </conditionalFormatting>
  <conditionalFormatting sqref="C56:L56">
    <cfRule type="expression" priority="13" dxfId="0">
      <formula>AND(ISNUMBER(C56),C56&lt;0.1)</formula>
    </cfRule>
  </conditionalFormatting>
  <conditionalFormatting sqref="C64:L64">
    <cfRule type="expression" priority="14" dxfId="0">
      <formula>AND(ISNUMBER(C64),C64&lt;1.0)</formula>
    </cfRule>
  </conditionalFormatting>
  <conditionalFormatting sqref="C65:L65">
    <cfRule type="expression" priority="15" dxfId="0">
      <formula>AND(ISNUMBER(C65),C65&lt;0.05)</formula>
    </cfRule>
  </conditionalFormatting>
  <pageMargins left="0.75" right="0.75" top="1" bottom="1" header="0.5" footer="0.5"/>
  <pageSetup orientation="landscape" paperSize="8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4"/>
  <sheetViews>
    <sheetView showGridLines="0" workbookViewId="0">
      <selection activeCell="A1" sqref="A1"/>
    </sheetView>
  </sheetViews>
  <sheetFormatPr baseColWidth="8" defaultRowHeight="15"/>
  <cols>
    <col width="12" customWidth="1" min="1" max="1"/>
    <col width="34" customWidth="1" min="2" max="2"/>
    <col width="60" customWidth="1" min="3" max="3"/>
  </cols>
  <sheetData>
    <row r="1">
      <c r="A1" s="50" t="inlineStr">
        <is>
          <t>출처 · 쓴 결산단신</t>
        </is>
      </c>
    </row>
    <row r="3">
      <c r="A3" s="51" t="inlineStr">
        <is>
          <t>공시일</t>
        </is>
      </c>
      <c r="B3" s="51" t="inlineStr">
        <is>
          <t>문서</t>
        </is>
      </c>
      <c r="C3" s="51" t="inlineStr">
        <is>
          <t>PDF</t>
        </is>
      </c>
    </row>
    <row r="4">
      <c r="A4" t="inlineStr">
        <is>
          <t>2026-07-29</t>
        </is>
      </c>
      <c r="B4" t="inlineStr">
        <is>
          <t>2027년 3월 결산기 １분기 결산단신</t>
        </is>
      </c>
      <c r="C4" t="inlineStr">
        <is>
          <t>https://www2.jpx.co.jp/disc/63490/140120260728500947.pdf</t>
        </is>
      </c>
    </row>
    <row r="5">
      <c r="A5" t="inlineStr">
        <is>
          <t>2026-05-14</t>
        </is>
      </c>
      <c r="B5" t="inlineStr">
        <is>
          <t>2026년 3월 결산기 연간 결산단신</t>
        </is>
      </c>
      <c r="C5" t="inlineStr">
        <is>
          <t>https://www2.jpx.co.jp/disc/63490/140120260513529183.pdf</t>
        </is>
      </c>
    </row>
    <row r="6">
      <c r="A6" t="inlineStr">
        <is>
          <t>2026-01-29</t>
        </is>
      </c>
      <c r="B6" t="inlineStr">
        <is>
          <t>2026년 3월 결산기 ３분기 결산단신</t>
        </is>
      </c>
      <c r="C6" t="inlineStr">
        <is>
          <t>https://www2.jpx.co.jp/disc/63490/140120260128540744.pdf</t>
        </is>
      </c>
    </row>
    <row r="7">
      <c r="A7" t="inlineStr">
        <is>
          <t>2025-10-29</t>
        </is>
      </c>
      <c r="B7" t="inlineStr">
        <is>
          <t>2026년 3월 결산기 ２분기 결산단신</t>
        </is>
      </c>
      <c r="C7" t="inlineStr">
        <is>
          <t>https://www2.jpx.co.jp/disc/63490/140120251028580637.pdf</t>
        </is>
      </c>
    </row>
    <row r="8">
      <c r="A8" t="inlineStr">
        <is>
          <t>2025-07-29</t>
        </is>
      </c>
      <c r="B8" t="inlineStr">
        <is>
          <t>2026년 3월 결산기 １분기 결산단신</t>
        </is>
      </c>
      <c r="C8" t="inlineStr">
        <is>
          <t>https://www2.jpx.co.jp/disc/63490/140120250728521615.pdf</t>
        </is>
      </c>
    </row>
    <row r="9">
      <c r="A9" t="inlineStr">
        <is>
          <t>2025-05-14</t>
        </is>
      </c>
      <c r="B9" t="inlineStr">
        <is>
          <t>2025년 3월 결산기 연간 결산단신</t>
        </is>
      </c>
      <c r="C9" t="inlineStr">
        <is>
          <t>https://www2.jpx.co.jp/disc/63490/140120250513547835.pdf</t>
        </is>
      </c>
    </row>
    <row r="10">
      <c r="A10" t="inlineStr">
        <is>
          <t>2025-01-30</t>
        </is>
      </c>
      <c r="B10" t="inlineStr">
        <is>
          <t>2025년 3월 결산기 ３분기 결산단신</t>
        </is>
      </c>
      <c r="C10" t="inlineStr">
        <is>
          <t>https://www2.jpx.co.jp/disc/63490/140120250129557130.pdf</t>
        </is>
      </c>
    </row>
    <row r="11">
      <c r="A11" t="inlineStr">
        <is>
          <t>2024-10-31</t>
        </is>
      </c>
      <c r="B11" t="inlineStr">
        <is>
          <t>2025년 3월 결산기 ２분기 결산단신</t>
        </is>
      </c>
      <c r="C11" t="inlineStr">
        <is>
          <t>https://www2.jpx.co.jp/disc/63490/140120241030505643.pdf</t>
        </is>
      </c>
    </row>
    <row r="12">
      <c r="A12" t="inlineStr">
        <is>
          <t>2024-07-30</t>
        </is>
      </c>
      <c r="B12" t="inlineStr">
        <is>
          <t>2025년 3월 결산기 １분기 결산단신</t>
        </is>
      </c>
      <c r="C12" t="inlineStr">
        <is>
          <t>https://www2.jpx.co.jp/disc/63490/140120240725554528.pdf</t>
        </is>
      </c>
    </row>
    <row r="13">
      <c r="A13" t="inlineStr">
        <is>
          <t>2024-05-14</t>
        </is>
      </c>
      <c r="B13" t="inlineStr">
        <is>
          <t>2024년 3월 결산기 연간 결산단신</t>
        </is>
      </c>
      <c r="C13" t="inlineStr">
        <is>
          <t>https://www2.jpx.co.jp/disc/63490/140120240513593727.pdf</t>
        </is>
      </c>
    </row>
    <row r="14">
      <c r="A14" t="inlineStr">
        <is>
          <t>2024-01-31</t>
        </is>
      </c>
      <c r="B14" t="inlineStr">
        <is>
          <t>2024년 3월 결산기 ３분기 결산단신</t>
        </is>
      </c>
      <c r="C14" t="inlineStr">
        <is>
          <t>https://www2.jpx.co.jp/disc/63490/140120240130522078.pdf</t>
        </is>
      </c>
    </row>
    <row r="15">
      <c r="A15" t="inlineStr">
        <is>
          <t>2023-10-30</t>
        </is>
      </c>
      <c r="B15" t="inlineStr">
        <is>
          <t>2024년 3월 결산기 ２분기 결산단신</t>
        </is>
      </c>
      <c r="C15" t="inlineStr">
        <is>
          <t>https://www2.jpx.co.jp/disc/63490/140120231030573841.pdf</t>
        </is>
      </c>
    </row>
    <row r="16">
      <c r="A16" t="inlineStr">
        <is>
          <t>2023-07-31</t>
        </is>
      </c>
      <c r="B16" t="inlineStr">
        <is>
          <t>2024년 3월 결산기 １분기 결산단신</t>
        </is>
      </c>
      <c r="C16" t="inlineStr">
        <is>
          <t>https://www2.jpx.co.jp/disc/63490/140120230731529940.pdf</t>
        </is>
      </c>
    </row>
    <row r="17">
      <c r="A17" t="inlineStr">
        <is>
          <t>2023-05-15</t>
        </is>
      </c>
      <c r="B17" t="inlineStr">
        <is>
          <t>2023년 3월 결산기 연간 결산단신</t>
        </is>
      </c>
      <c r="C17" t="inlineStr">
        <is>
          <t>https://www2.jpx.co.jp/disc/63490/140120230515571783.pdf</t>
        </is>
      </c>
    </row>
    <row r="18">
      <c r="A18" t="inlineStr">
        <is>
          <t>2023-01-31</t>
        </is>
      </c>
      <c r="B18" t="inlineStr">
        <is>
          <t>2023년 3월 결산기 ３분기 결산단신</t>
        </is>
      </c>
      <c r="C18" t="inlineStr">
        <is>
          <t>https://www2.jpx.co.jp/disc/63490/140120230130596227.pdf</t>
        </is>
      </c>
    </row>
    <row r="19">
      <c r="A19" t="inlineStr">
        <is>
          <t>2022-10-28</t>
        </is>
      </c>
      <c r="B19" t="inlineStr">
        <is>
          <t>2023년 3월 결산기 ２분기 결산단신</t>
        </is>
      </c>
      <c r="C19" t="inlineStr">
        <is>
          <t>https://www2.jpx.co.jp/disc/63490/140120221027551429.pdf</t>
        </is>
      </c>
    </row>
    <row r="20">
      <c r="A20" t="inlineStr">
        <is>
          <t>2022-05-13</t>
        </is>
      </c>
      <c r="B20" t="inlineStr">
        <is>
          <t>2022년 3월 결산기 연간 결산단신</t>
        </is>
      </c>
      <c r="C20" t="inlineStr">
        <is>
          <t>https://www2.jpx.co.jp/disc/63490/140120220513545301.pdf</t>
        </is>
      </c>
    </row>
    <row r="21">
      <c r="A21" t="inlineStr">
        <is>
          <t>2021-05-14</t>
        </is>
      </c>
      <c r="B21" t="inlineStr">
        <is>
          <t>2021년 3월 결산기 연간 결산단신</t>
        </is>
      </c>
      <c r="C21" t="inlineStr">
        <is>
          <t>https://www2.jpx.co.jp/disc/63490/140120210513417233.pdf</t>
        </is>
      </c>
    </row>
    <row r="22">
      <c r="A22" t="inlineStr">
        <is>
          <t>2020-05-26</t>
        </is>
      </c>
      <c r="B22" t="inlineStr">
        <is>
          <t>2020년 3월 결산기 연간 결산단신</t>
        </is>
      </c>
      <c r="C22" t="inlineStr">
        <is>
          <t>https://www2.jpx.co.jp/disc/63490/140120200525424242.pdf</t>
        </is>
      </c>
    </row>
    <row r="23">
      <c r="A23" t="inlineStr">
        <is>
          <t>2019-05-13</t>
        </is>
      </c>
      <c r="B23" t="inlineStr">
        <is>
          <t>2019년 3월 결산기 연간 결산단신</t>
        </is>
      </c>
      <c r="C23" t="inlineStr">
        <is>
          <t>https://www2.jpx.co.jp/disc/63490/140120190510421384.pdf</t>
        </is>
      </c>
    </row>
    <row r="24">
      <c r="A24" t="inlineStr">
        <is>
          <t>2018-05-11</t>
        </is>
      </c>
      <c r="B24" t="inlineStr">
        <is>
          <t>연간 결산단신</t>
        </is>
      </c>
      <c r="C24" t="inlineStr">
        <is>
          <t>https://www2.jpx.co.jp/disc/63490/140120180510432664.pdf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2026-10-26T10:55:20Z</dcterms:created>
  <dcterms:modified xmlns:dcterms="http://purl.org/dc/terms/" xmlns:xsi="http://www.w3.org/2001/XMLSchema-instance" xsi:type="dcterms:W3CDTF">2026-10-26T10:55:20Z</dcterms:modified>
</cp:coreProperties>
</file>