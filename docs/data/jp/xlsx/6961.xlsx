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62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6961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2027.1Q = 2027년 3월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9485</v>
      </c>
      <c r="D4" s="12" t="n">
        <v>8754</v>
      </c>
      <c r="E4" s="12" t="n">
        <v>9851</v>
      </c>
      <c r="F4" s="12" t="n">
        <v>10601</v>
      </c>
      <c r="G4" s="12" t="n">
        <v>9099</v>
      </c>
      <c r="H4" s="12" t="n">
        <v>9105</v>
      </c>
      <c r="I4" s="12" t="n">
        <v>9264</v>
      </c>
      <c r="J4" s="12" t="n">
        <v>8999</v>
      </c>
      <c r="K4" s="12" t="n">
        <v>11902</v>
      </c>
      <c r="L4" s="12" t="n">
        <v>11473</v>
      </c>
      <c r="M4" s="12" t="n">
        <v>10166</v>
      </c>
      <c r="N4" s="12" t="n">
        <v>12572</v>
      </c>
      <c r="O4" s="11" t="n">
        <v>32991</v>
      </c>
      <c r="P4" s="12" t="n">
        <v>33288</v>
      </c>
      <c r="Q4" s="12" t="n">
        <v>31281</v>
      </c>
      <c r="R4" s="12" t="n">
        <v>31456</v>
      </c>
      <c r="S4" s="12" t="n">
        <v>29437</v>
      </c>
      <c r="T4" s="12" t="n">
        <v>32894</v>
      </c>
      <c r="U4" s="12" t="n">
        <v>42240</v>
      </c>
      <c r="V4" s="12" t="n">
        <v>37805</v>
      </c>
      <c r="W4" s="12" t="n">
        <v>38069</v>
      </c>
      <c r="X4" s="12" t="n">
        <v>42540</v>
      </c>
      <c r="Y4" s="11">
        <f>IF(COUNT(Y7,Y10,Y13,Y16,Y19,Y22,Y25,Y28)=0,"",SUM(Y7,Y10,Y13,Y16,Y19,Y22,Y25,Y28))</f>
        <v/>
      </c>
      <c r="Z4" s="12">
        <f>IF(COUNT(Z7,Z10,Z13,Z16,Z19,Z22,Z25,Z28)=0,"",SUM(Z7,Z10,Z13,Z16,Z19,Z22,Z25,Z28))</f>
        <v/>
      </c>
      <c r="AA4" s="12">
        <f>IF(COUNT(AA7,AA10,AA13,AA16,AA19,AA22,AA25,AA28)=0,"",SUM(AA7,AA10,AA13,AA16,AA19,AA22,AA25,AA28))</f>
        <v/>
      </c>
      <c r="AB4" s="12">
        <f>IF(COUNT(AB7,AB10,AB13,AB16,AB19,AB22,AB25,AB28)=0,"",SUM(AB7,AB10,AB13,AB16,AB19,AB22,AB25,AB28))</f>
        <v/>
      </c>
      <c r="AC4" s="12">
        <f>IF(COUNT(AC7,AC10,AC13,AC16,AC19,AC22,AC25,AC28)=0,"",SUM(AC7,AC10,AC13,AC16,AC19,AC22,AC25,AC28))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Semiconductor</t>
        </is>
      </c>
      <c r="B7" s="10" t="n"/>
      <c r="C7" s="19" t="n">
        <v>4014</v>
      </c>
      <c r="D7" s="20" t="n">
        <v>3422</v>
      </c>
      <c r="E7" s="20" t="n"/>
      <c r="F7" s="20" t="n">
        <v>4570</v>
      </c>
      <c r="G7" s="20" t="n">
        <v>3686</v>
      </c>
      <c r="H7" s="20" t="n">
        <v>3730</v>
      </c>
      <c r="I7" s="20" t="n"/>
      <c r="J7" s="20" t="n">
        <v>4888</v>
      </c>
      <c r="K7" s="20" t="n">
        <v>5797</v>
      </c>
      <c r="L7" s="20" t="n">
        <v>7166</v>
      </c>
      <c r="M7" s="20" t="n"/>
      <c r="N7" s="20" t="n">
        <v>7878</v>
      </c>
      <c r="O7" s="19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Life Science</t>
        </is>
      </c>
      <c r="B10" s="10" t="n"/>
      <c r="C10" s="19" t="n"/>
      <c r="D10" s="20" t="n"/>
      <c r="E10" s="20" t="n"/>
      <c r="F10" s="20" t="n">
        <v>766</v>
      </c>
      <c r="G10" s="20" t="n"/>
      <c r="H10" s="20" t="n"/>
      <c r="I10" s="20" t="n"/>
      <c r="J10" s="20" t="n">
        <v>516</v>
      </c>
      <c r="K10" s="20" t="n"/>
      <c r="L10" s="20" t="n"/>
      <c r="M10" s="20" t="n"/>
      <c r="N10" s="20" t="n">
        <v>276</v>
      </c>
      <c r="O10" s="19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Digital Communcation Business Member</t>
        </is>
      </c>
      <c r="B13" s="10" t="n"/>
      <c r="C13" s="19" t="n"/>
      <c r="D13" s="20" t="n"/>
      <c r="E13" s="20" t="n"/>
      <c r="F13" s="20" t="n">
        <v>1705</v>
      </c>
      <c r="G13" s="20" t="n"/>
      <c r="H13" s="20" t="n"/>
      <c r="I13" s="20" t="n"/>
      <c r="J13" s="20" t="n">
        <v>420</v>
      </c>
      <c r="K13" s="20" t="n"/>
      <c r="L13" s="20" t="n"/>
      <c r="M13" s="20" t="n"/>
      <c r="N13" s="20" t="n"/>
      <c r="O13" s="19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Digital Communication Business Member</t>
        </is>
      </c>
      <c r="B16" s="10" t="n"/>
      <c r="C16" s="19" t="n"/>
      <c r="D16" s="20" t="n"/>
      <c r="E16" s="20" t="n"/>
      <c r="F16" s="20" t="n"/>
      <c r="G16" s="20" t="n"/>
      <c r="H16" s="20" t="n"/>
      <c r="I16" s="20" t="n"/>
      <c r="J16" s="20" t="n">
        <v>420</v>
      </c>
      <c r="K16" s="20" t="n"/>
      <c r="L16" s="20" t="n"/>
      <c r="M16" s="20" t="n"/>
      <c r="N16" s="20" t="n">
        <v>457</v>
      </c>
      <c r="O16" s="19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8" t="inlineStr">
        <is>
          <t>Energy Saving Solution Business Reportable Segments Member</t>
        </is>
      </c>
      <c r="B19" s="10" t="n"/>
      <c r="C19" s="19" t="n">
        <v>3290</v>
      </c>
      <c r="D19" s="20" t="n">
        <v>3313</v>
      </c>
      <c r="E19" s="20" t="n">
        <v>3530</v>
      </c>
      <c r="F19" s="20" t="n">
        <v>3558</v>
      </c>
      <c r="G19" s="20" t="n">
        <v>3437</v>
      </c>
      <c r="H19" s="20" t="n">
        <v>3604</v>
      </c>
      <c r="I19" s="20" t="n">
        <v>3399</v>
      </c>
      <c r="J19" s="20" t="n">
        <v>3173</v>
      </c>
      <c r="K19" s="20" t="n">
        <v>3635</v>
      </c>
      <c r="L19" s="20" t="n">
        <v>3661</v>
      </c>
      <c r="M19" s="20" t="n">
        <v>3732</v>
      </c>
      <c r="N19" s="20" t="n">
        <v>3959</v>
      </c>
      <c r="O19" s="19" t="n"/>
      <c r="P19" s="20" t="n"/>
      <c r="Q19" s="20" t="n"/>
      <c r="R19" s="20" t="n"/>
      <c r="S19" s="20" t="n"/>
      <c r="T19" s="20" t="n"/>
      <c r="U19" s="20" t="n"/>
      <c r="V19" s="20" t="n">
        <v>13122</v>
      </c>
      <c r="W19" s="20" t="n">
        <v>13998</v>
      </c>
      <c r="X19" s="20" t="n">
        <v>14201</v>
      </c>
      <c r="Y19" s="21" t="n"/>
      <c r="Z19" s="22" t="n"/>
      <c r="AA19" s="22" t="n"/>
      <c r="AB19" s="22" t="n"/>
      <c r="AC19" s="22" t="n"/>
    </row>
    <row r="20">
      <c r="A20" s="13" t="inlineStr">
        <is>
          <t>비중</t>
        </is>
      </c>
      <c r="B20" s="10" t="n"/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14">
        <f>IF(OR(Y19="",Y4=""),"",IFERROR(Y19/Y4,""))</f>
        <v/>
      </c>
      <c r="Z20" s="15">
        <f>IF(OR(Z19="",Z4=""),"",IFERROR(Z19/Z4,""))</f>
        <v/>
      </c>
      <c r="AA20" s="15">
        <f>IF(OR(AA19="",AA4=""),"",IFERROR(AA19/AA4,""))</f>
        <v/>
      </c>
      <c r="AB20" s="15">
        <f>IF(OR(AB19="",AB4=""),"",IFERROR(AB19/AB4,""))</f>
        <v/>
      </c>
      <c r="AC20" s="15">
        <f>IF(OR(AC19="",AC4=""),"",IFERROR(AC19/AC4,""))</f>
        <v/>
      </c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IF(OR(G19="",C19=""),"",IFERROR(G19/C19-1,""))</f>
        <v/>
      </c>
      <c r="H21" s="15">
        <f>IF(OR(H19="",D19=""),"",IFERROR(H19/D19-1,""))</f>
        <v/>
      </c>
      <c r="I21" s="15">
        <f>IF(OR(I19="",E19=""),"",IFERROR(I19/E19-1,""))</f>
        <v/>
      </c>
      <c r="J21" s="15">
        <f>IF(OR(J19="",F19=""),"",IFERROR(J19/F19-1,""))</f>
        <v/>
      </c>
      <c r="K21" s="15">
        <f>IF(OR(K19="",G19=""),"",IFERROR(K19/G19-1,""))</f>
        <v/>
      </c>
      <c r="L21" s="15">
        <f>IF(OR(L19="",H19=""),"",IFERROR(L19/H19-1,""))</f>
        <v/>
      </c>
      <c r="M21" s="15">
        <f>IF(OR(M19="",I19=""),"",IFERROR(M19/I19-1,""))</f>
        <v/>
      </c>
      <c r="N21" s="15">
        <f>IF(OR(N19="",J19=""),"",IFERROR(N19/J19-1,""))</f>
        <v/>
      </c>
      <c r="O21" s="14" t="n"/>
      <c r="P21" s="15">
        <f>IF(OR(P19="",O19=""),"",IFERROR(P19/O19-1,""))</f>
        <v/>
      </c>
      <c r="Q21" s="15">
        <f>IF(OR(Q19="",P19=""),"",IFERROR(Q19/P19-1,""))</f>
        <v/>
      </c>
      <c r="R21" s="15">
        <f>IF(OR(R19="",Q19=""),"",IFERROR(R19/Q19-1,""))</f>
        <v/>
      </c>
      <c r="S21" s="15">
        <f>IF(OR(S19="",R19=""),"",IFERROR(S19/R19-1,""))</f>
        <v/>
      </c>
      <c r="T21" s="15">
        <f>IF(OR(T19="",S19=""),"",IFERROR(T19/S19-1,""))</f>
        <v/>
      </c>
      <c r="U21" s="15">
        <f>IF(OR(U19="",T19=""),"",IFERROR(U19/T19-1,""))</f>
        <v/>
      </c>
      <c r="V21" s="15">
        <f>IF(OR(V19="",U19=""),"",IFERROR(V19/U19-1,""))</f>
        <v/>
      </c>
      <c r="W21" s="15">
        <f>IF(OR(W19="",V19=""),"",IFERROR(W19/V19-1,""))</f>
        <v/>
      </c>
      <c r="X21" s="15">
        <f>IF(OR(X19="",W19=""),"",IFERROR(X19/W19-1,""))</f>
        <v/>
      </c>
      <c r="Y21" s="14">
        <f>IF(OR(Y19="",X19=""),"",IFERROR(Y19/X19-1,""))</f>
        <v/>
      </c>
      <c r="Z21" s="15">
        <f>IF(OR(Z19="",Y19=""),"",IFERROR(Z19/Y19-1,""))</f>
        <v/>
      </c>
      <c r="AA21" s="15">
        <f>IF(OR(AA19="",Z19=""),"",IFERROR(AA19/Z19-1,""))</f>
        <v/>
      </c>
      <c r="AB21" s="15">
        <f>IF(OR(AB19="",AA19=""),"",IFERROR(AB19/AA19-1,""))</f>
        <v/>
      </c>
      <c r="AC21" s="15">
        <f>IF(OR(AC19="",AB19=""),"",IFERROR(AC19/AB19-1,""))</f>
        <v/>
      </c>
    </row>
    <row r="22">
      <c r="A22" s="18" t="inlineStr">
        <is>
          <t>Semiconductor</t>
        </is>
      </c>
      <c r="B22" s="10" t="n"/>
      <c r="C22" s="19" t="n"/>
      <c r="D22" s="20" t="n"/>
      <c r="E22" s="20" t="n"/>
      <c r="F22" s="20" t="n"/>
      <c r="G22" s="20" t="n"/>
      <c r="H22" s="20" t="n"/>
      <c r="I22" s="20" t="n"/>
      <c r="J22" s="20" t="n"/>
      <c r="K22" s="20" t="n"/>
      <c r="L22" s="20" t="n"/>
      <c r="M22" s="20" t="n"/>
      <c r="N22" s="20" t="n"/>
      <c r="O22" s="19" t="n"/>
      <c r="P22" s="20" t="n"/>
      <c r="Q22" s="20" t="n"/>
      <c r="R22" s="20" t="n"/>
      <c r="S22" s="20" t="n"/>
      <c r="T22" s="20" t="n"/>
      <c r="U22" s="20" t="n"/>
      <c r="V22" s="20" t="n">
        <v>16677</v>
      </c>
      <c r="W22" s="20" t="n">
        <v>16123</v>
      </c>
      <c r="X22" s="20" t="n">
        <v>23603</v>
      </c>
      <c r="Y22" s="21" t="n"/>
      <c r="Z22" s="22" t="n"/>
      <c r="AA22" s="22" t="n"/>
      <c r="AB22" s="22" t="n"/>
      <c r="AC22" s="22" t="n"/>
    </row>
    <row r="23">
      <c r="A23" s="13" t="inlineStr">
        <is>
          <t>비중</t>
        </is>
      </c>
      <c r="B23" s="10" t="n"/>
      <c r="C23" s="14">
        <f>IF(OR(C22="",C4=""),"",IFERROR(C22/C4,""))</f>
        <v/>
      </c>
      <c r="D23" s="15">
        <f>IF(OR(D22="",D4=""),"",IFERROR(D22/D4,""))</f>
        <v/>
      </c>
      <c r="E23" s="15">
        <f>IF(OR(E22="",E4=""),"",IFERROR(E22/E4,""))</f>
        <v/>
      </c>
      <c r="F23" s="15">
        <f>IF(OR(F22="",F4=""),"",IFERROR(F22/F4,""))</f>
        <v/>
      </c>
      <c r="G23" s="15">
        <f>IF(OR(G22="",G4=""),"",IFERROR(G22/G4,""))</f>
        <v/>
      </c>
      <c r="H23" s="15">
        <f>IF(OR(H22="",H4=""),"",IFERROR(H22/H4,""))</f>
        <v/>
      </c>
      <c r="I23" s="15">
        <f>IF(OR(I22="",I4=""),"",IFERROR(I22/I4,""))</f>
        <v/>
      </c>
      <c r="J23" s="15">
        <f>IF(OR(J22="",J4=""),"",IFERROR(J22/J4,""))</f>
        <v/>
      </c>
      <c r="K23" s="15">
        <f>IF(OR(K22="",K4=""),"",IFERROR(K22/K4,""))</f>
        <v/>
      </c>
      <c r="L23" s="15">
        <f>IF(OR(L22="",L4=""),"",IFERROR(L22/L4,""))</f>
        <v/>
      </c>
      <c r="M23" s="15">
        <f>IF(OR(M22="",M4=""),"",IFERROR(M22/M4,""))</f>
        <v/>
      </c>
      <c r="N23" s="15">
        <f>IF(OR(N22="",N4=""),"",IFERROR(N22/N4,""))</f>
        <v/>
      </c>
      <c r="O23" s="14">
        <f>IF(OR(O22="",O4=""),"",IFERROR(O22/O4,""))</f>
        <v/>
      </c>
      <c r="P23" s="15">
        <f>IF(OR(P22="",P4=""),"",IFERROR(P22/P4,""))</f>
        <v/>
      </c>
      <c r="Q23" s="15">
        <f>IF(OR(Q22="",Q4=""),"",IFERROR(Q22/Q4,""))</f>
        <v/>
      </c>
      <c r="R23" s="15">
        <f>IF(OR(R22="",R4=""),"",IFERROR(R22/R4,""))</f>
        <v/>
      </c>
      <c r="S23" s="15">
        <f>IF(OR(S22="",S4=""),"",IFERROR(S22/S4,""))</f>
        <v/>
      </c>
      <c r="T23" s="15">
        <f>IF(OR(T22="",T4=""),"",IFERROR(T22/T4,""))</f>
        <v/>
      </c>
      <c r="U23" s="15">
        <f>IF(OR(U22="",U4=""),"",IFERROR(U22/U4,""))</f>
        <v/>
      </c>
      <c r="V23" s="15">
        <f>IF(OR(V22="",V4=""),"",IFERROR(V22/V4,""))</f>
        <v/>
      </c>
      <c r="W23" s="15">
        <f>IF(OR(W22="",W4=""),"",IFERROR(W22/W4,""))</f>
        <v/>
      </c>
      <c r="X23" s="15">
        <f>IF(OR(X22="",X4=""),"",IFERROR(X22/X4,""))</f>
        <v/>
      </c>
      <c r="Y23" s="14">
        <f>IF(OR(Y22="",Y4=""),"",IFERROR(Y22/Y4,""))</f>
        <v/>
      </c>
      <c r="Z23" s="15">
        <f>IF(OR(Z22="",Z4=""),"",IFERROR(Z22/Z4,""))</f>
        <v/>
      </c>
      <c r="AA23" s="15">
        <f>IF(OR(AA22="",AA4=""),"",IFERROR(AA22/AA4,""))</f>
        <v/>
      </c>
      <c r="AB23" s="15">
        <f>IF(OR(AB22="",AB4=""),"",IFERROR(AB22/AB4,""))</f>
        <v/>
      </c>
      <c r="AC23" s="15">
        <f>IF(OR(AC22="",AC4=""),"",IFERROR(AC22/AC4,""))</f>
        <v/>
      </c>
    </row>
    <row r="24">
      <c r="A24" s="13" t="inlineStr">
        <is>
          <t>YoY</t>
        </is>
      </c>
      <c r="B24" s="10" t="n"/>
      <c r="C24" s="14" t="n"/>
      <c r="D24" s="15" t="n"/>
      <c r="E24" s="15" t="n"/>
      <c r="F24" s="15" t="n"/>
      <c r="G24" s="15">
        <f>IF(OR(G22="",C22=""),"",IFERROR(G22/C22-1,""))</f>
        <v/>
      </c>
      <c r="H24" s="15">
        <f>IF(OR(H22="",D22=""),"",IFERROR(H22/D22-1,""))</f>
        <v/>
      </c>
      <c r="I24" s="15">
        <f>IF(OR(I22="",E22=""),"",IFERROR(I22/E22-1,""))</f>
        <v/>
      </c>
      <c r="J24" s="15">
        <f>IF(OR(J22="",F22=""),"",IFERROR(J22/F22-1,""))</f>
        <v/>
      </c>
      <c r="K24" s="15">
        <f>IF(OR(K22="",G22=""),"",IFERROR(K22/G22-1,""))</f>
        <v/>
      </c>
      <c r="L24" s="15">
        <f>IF(OR(L22="",H22=""),"",IFERROR(L22/H22-1,""))</f>
        <v/>
      </c>
      <c r="M24" s="15">
        <f>IF(OR(M22="",I22=""),"",IFERROR(M22/I22-1,""))</f>
        <v/>
      </c>
      <c r="N24" s="15">
        <f>IF(OR(N22="",J22=""),"",IFERROR(N22/J22-1,""))</f>
        <v/>
      </c>
      <c r="O24" s="14" t="n"/>
      <c r="P24" s="15">
        <f>IF(OR(P22="",O22=""),"",IFERROR(P22/O22-1,""))</f>
        <v/>
      </c>
      <c r="Q24" s="15">
        <f>IF(OR(Q22="",P22=""),"",IFERROR(Q22/P22-1,""))</f>
        <v/>
      </c>
      <c r="R24" s="15">
        <f>IF(OR(R22="",Q22=""),"",IFERROR(R22/Q22-1,""))</f>
        <v/>
      </c>
      <c r="S24" s="15">
        <f>IF(OR(S22="",R22=""),"",IFERROR(S22/R22-1,""))</f>
        <v/>
      </c>
      <c r="T24" s="15">
        <f>IF(OR(T22="",S22=""),"",IFERROR(T22/S22-1,""))</f>
        <v/>
      </c>
      <c r="U24" s="15">
        <f>IF(OR(U22="",T22=""),"",IFERROR(U22/T22-1,""))</f>
        <v/>
      </c>
      <c r="V24" s="15">
        <f>IF(OR(V22="",U22=""),"",IFERROR(V22/U22-1,""))</f>
        <v/>
      </c>
      <c r="W24" s="15">
        <f>IF(OR(W22="",V22=""),"",IFERROR(W22/V22-1,""))</f>
        <v/>
      </c>
      <c r="X24" s="15">
        <f>IF(OR(X22="",W22=""),"",IFERROR(X22/W22-1,""))</f>
        <v/>
      </c>
      <c r="Y24" s="14">
        <f>IF(OR(Y22="",X22=""),"",IFERROR(Y22/X22-1,""))</f>
        <v/>
      </c>
      <c r="Z24" s="15">
        <f>IF(OR(Z22="",Y22=""),"",IFERROR(Z22/Y22-1,""))</f>
        <v/>
      </c>
      <c r="AA24" s="15">
        <f>IF(OR(AA22="",Z22=""),"",IFERROR(AA22/Z22-1,""))</f>
        <v/>
      </c>
      <c r="AB24" s="15">
        <f>IF(OR(AB22="",AA22=""),"",IFERROR(AB22/AA22-1,""))</f>
        <v/>
      </c>
      <c r="AC24" s="15">
        <f>IF(OR(AC22="",AB22=""),"",IFERROR(AC22/AB22-1,""))</f>
        <v/>
      </c>
    </row>
    <row r="25">
      <c r="A25" s="18" t="inlineStr">
        <is>
          <t>Life Science</t>
        </is>
      </c>
      <c r="B25" s="10" t="n"/>
      <c r="C25" s="19" t="n"/>
      <c r="D25" s="20" t="n">
        <v>593</v>
      </c>
      <c r="E25" s="20" t="n">
        <v>515</v>
      </c>
      <c r="F25" s="20" t="n"/>
      <c r="G25" s="20" t="n"/>
      <c r="H25" s="20" t="n">
        <v>638</v>
      </c>
      <c r="I25" s="20" t="n">
        <v>945</v>
      </c>
      <c r="J25" s="20" t="n"/>
      <c r="K25" s="20" t="n"/>
      <c r="L25" s="20" t="n">
        <v>262</v>
      </c>
      <c r="M25" s="20" t="n">
        <v>201</v>
      </c>
      <c r="N25" s="20" t="n"/>
      <c r="O25" s="19" t="n"/>
      <c r="P25" s="20" t="n"/>
      <c r="Q25" s="20" t="n"/>
      <c r="R25" s="20" t="n"/>
      <c r="S25" s="20" t="n"/>
      <c r="T25" s="20" t="n"/>
      <c r="U25" s="20" t="n"/>
      <c r="V25" s="20" t="n">
        <v>2368</v>
      </c>
      <c r="W25" s="20" t="n">
        <v>3054</v>
      </c>
      <c r="X25" s="20" t="n">
        <v>3083</v>
      </c>
      <c r="Y25" s="21" t="n"/>
      <c r="Z25" s="22" t="n"/>
      <c r="AA25" s="22" t="n"/>
      <c r="AB25" s="22" t="n"/>
      <c r="AC25" s="22" t="n"/>
    </row>
    <row r="26">
      <c r="A26" s="13" t="inlineStr">
        <is>
          <t>비중</t>
        </is>
      </c>
      <c r="B26" s="10" t="n"/>
      <c r="C26" s="14">
        <f>IF(OR(C25="",C4=""),"",IFERROR(C25/C4,""))</f>
        <v/>
      </c>
      <c r="D26" s="15">
        <f>IF(OR(D25="",D4=""),"",IFERROR(D25/D4,""))</f>
        <v/>
      </c>
      <c r="E26" s="15">
        <f>IF(OR(E25="",E4=""),"",IFERROR(E25/E4,""))</f>
        <v/>
      </c>
      <c r="F26" s="15">
        <f>IF(OR(F25="",F4=""),"",IFERROR(F25/F4,""))</f>
        <v/>
      </c>
      <c r="G26" s="15">
        <f>IF(OR(G25="",G4=""),"",IFERROR(G25/G4,""))</f>
        <v/>
      </c>
      <c r="H26" s="15">
        <f>IF(OR(H25="",H4=""),"",IFERROR(H25/H4,""))</f>
        <v/>
      </c>
      <c r="I26" s="15">
        <f>IF(OR(I25="",I4=""),"",IFERROR(I25/I4,""))</f>
        <v/>
      </c>
      <c r="J26" s="15">
        <f>IF(OR(J25="",J4=""),"",IFERROR(J25/J4,""))</f>
        <v/>
      </c>
      <c r="K26" s="15">
        <f>IF(OR(K25="",K4=""),"",IFERROR(K25/K4,""))</f>
        <v/>
      </c>
      <c r="L26" s="15">
        <f>IF(OR(L25="",L4=""),"",IFERROR(L25/L4,""))</f>
        <v/>
      </c>
      <c r="M26" s="15">
        <f>IF(OR(M25="",M4=""),"",IFERROR(M25/M4,""))</f>
        <v/>
      </c>
      <c r="N26" s="15">
        <f>IF(OR(N25="",N4=""),"",IFERROR(N25/N4,""))</f>
        <v/>
      </c>
      <c r="O26" s="14">
        <f>IF(OR(O25="",O4=""),"",IFERROR(O25/O4,""))</f>
        <v/>
      </c>
      <c r="P26" s="15">
        <f>IF(OR(P25="",P4=""),"",IFERROR(P25/P4,""))</f>
        <v/>
      </c>
      <c r="Q26" s="15">
        <f>IF(OR(Q25="",Q4=""),"",IFERROR(Q25/Q4,""))</f>
        <v/>
      </c>
      <c r="R26" s="15">
        <f>IF(OR(R25="",R4=""),"",IFERROR(R25/R4,""))</f>
        <v/>
      </c>
      <c r="S26" s="15">
        <f>IF(OR(S25="",S4=""),"",IFERROR(S25/S4,""))</f>
        <v/>
      </c>
      <c r="T26" s="15">
        <f>IF(OR(T25="",T4=""),"",IFERROR(T25/T4,""))</f>
        <v/>
      </c>
      <c r="U26" s="15">
        <f>IF(OR(U25="",U4=""),"",IFERROR(U25/U4,""))</f>
        <v/>
      </c>
      <c r="V26" s="15">
        <f>IF(OR(V25="",V4=""),"",IFERROR(V25/V4,""))</f>
        <v/>
      </c>
      <c r="W26" s="15">
        <f>IF(OR(W25="",W4=""),"",IFERROR(W25/W4,""))</f>
        <v/>
      </c>
      <c r="X26" s="15">
        <f>IF(OR(X25="",X4=""),"",IFERROR(X25/X4,""))</f>
        <v/>
      </c>
      <c r="Y26" s="14">
        <f>IF(OR(Y25="",Y4=""),"",IFERROR(Y25/Y4,""))</f>
        <v/>
      </c>
      <c r="Z26" s="15">
        <f>IF(OR(Z25="",Z4=""),"",IFERROR(Z25/Z4,""))</f>
        <v/>
      </c>
      <c r="AA26" s="15">
        <f>IF(OR(AA25="",AA4=""),"",IFERROR(AA25/AA4,""))</f>
        <v/>
      </c>
      <c r="AB26" s="15">
        <f>IF(OR(AB25="",AB4=""),"",IFERROR(AB25/AB4,""))</f>
        <v/>
      </c>
      <c r="AC26" s="15">
        <f>IF(OR(AC25="",AC4=""),"",IFERROR(AC25/AC4,""))</f>
        <v/>
      </c>
    </row>
    <row r="27">
      <c r="A27" s="13" t="inlineStr">
        <is>
          <t>YoY</t>
        </is>
      </c>
      <c r="B27" s="10" t="n"/>
      <c r="C27" s="14" t="n"/>
      <c r="D27" s="15" t="n"/>
      <c r="E27" s="15" t="n"/>
      <c r="F27" s="15" t="n"/>
      <c r="G27" s="15">
        <f>IF(OR(G25="",C25=""),"",IFERROR(G25/C25-1,""))</f>
        <v/>
      </c>
      <c r="H27" s="15">
        <f>IF(OR(H25="",D25=""),"",IFERROR(H25/D25-1,""))</f>
        <v/>
      </c>
      <c r="I27" s="15">
        <f>IF(OR(I25="",E25=""),"",IFERROR(I25/E25-1,""))</f>
        <v/>
      </c>
      <c r="J27" s="15">
        <f>IF(OR(J25="",F25=""),"",IFERROR(J25/F25-1,""))</f>
        <v/>
      </c>
      <c r="K27" s="15">
        <f>IF(OR(K25="",G25=""),"",IFERROR(K25/G25-1,""))</f>
        <v/>
      </c>
      <c r="L27" s="15">
        <f>IF(OR(L25="",H25=""),"",IFERROR(L25/H25-1,""))</f>
        <v/>
      </c>
      <c r="M27" s="15">
        <f>IF(OR(M25="",I25=""),"",IFERROR(M25/I25-1,""))</f>
        <v/>
      </c>
      <c r="N27" s="15">
        <f>IF(OR(N25="",J25=""),"",IFERROR(N25/J25-1,""))</f>
        <v/>
      </c>
      <c r="O27" s="14" t="n"/>
      <c r="P27" s="15">
        <f>IF(OR(P25="",O25=""),"",IFERROR(P25/O25-1,""))</f>
        <v/>
      </c>
      <c r="Q27" s="15">
        <f>IF(OR(Q25="",P25=""),"",IFERROR(Q25/P25-1,""))</f>
        <v/>
      </c>
      <c r="R27" s="15">
        <f>IF(OR(R25="",Q25=""),"",IFERROR(R25/Q25-1,""))</f>
        <v/>
      </c>
      <c r="S27" s="15">
        <f>IF(OR(S25="",R25=""),"",IFERROR(S25/R25-1,""))</f>
        <v/>
      </c>
      <c r="T27" s="15">
        <f>IF(OR(T25="",S25=""),"",IFERROR(T25/S25-1,""))</f>
        <v/>
      </c>
      <c r="U27" s="15">
        <f>IF(OR(U25="",T25=""),"",IFERROR(U25/T25-1,""))</f>
        <v/>
      </c>
      <c r="V27" s="15">
        <f>IF(OR(V25="",U25=""),"",IFERROR(V25/U25-1,""))</f>
        <v/>
      </c>
      <c r="W27" s="15">
        <f>IF(OR(W25="",V25=""),"",IFERROR(W25/V25-1,""))</f>
        <v/>
      </c>
      <c r="X27" s="15">
        <f>IF(OR(X25="",W25=""),"",IFERROR(X25/W25-1,""))</f>
        <v/>
      </c>
      <c r="Y27" s="14">
        <f>IF(OR(Y25="",X25=""),"",IFERROR(Y25/X25-1,""))</f>
        <v/>
      </c>
      <c r="Z27" s="15">
        <f>IF(OR(Z25="",Y25=""),"",IFERROR(Z25/Y25-1,""))</f>
        <v/>
      </c>
      <c r="AA27" s="15">
        <f>IF(OR(AA25="",Z25=""),"",IFERROR(AA25/Z25-1,""))</f>
        <v/>
      </c>
      <c r="AB27" s="15">
        <f>IF(OR(AB25="",AA25=""),"",IFERROR(AB25/AA25-1,""))</f>
        <v/>
      </c>
      <c r="AC27" s="15">
        <f>IF(OR(AC25="",AB25=""),"",IFERROR(AC25/AB25-1,""))</f>
        <v/>
      </c>
    </row>
    <row r="28">
      <c r="A28" s="18" t="inlineStr">
        <is>
          <t>Digital Communication</t>
        </is>
      </c>
      <c r="B28" s="10" t="n"/>
      <c r="C28" s="19" t="n"/>
      <c r="D28" s="20" t="n">
        <v>1425</v>
      </c>
      <c r="E28" s="20" t="n">
        <v>1239</v>
      </c>
      <c r="F28" s="20" t="n"/>
      <c r="G28" s="20" t="n"/>
      <c r="H28" s="20" t="n">
        <v>1131</v>
      </c>
      <c r="I28" s="20" t="n">
        <v>784</v>
      </c>
      <c r="J28" s="20" t="n"/>
      <c r="K28" s="20" t="n"/>
      <c r="L28" s="20" t="n">
        <v>384</v>
      </c>
      <c r="M28" s="20" t="n">
        <v>482</v>
      </c>
      <c r="N28" s="20" t="n"/>
      <c r="O28" s="19" t="n"/>
      <c r="P28" s="20" t="n"/>
      <c r="Q28" s="20" t="n"/>
      <c r="R28" s="20" t="n"/>
      <c r="S28" s="20" t="n"/>
      <c r="T28" s="20" t="n"/>
      <c r="U28" s="20" t="n"/>
      <c r="V28" s="20" t="n">
        <v>5636</v>
      </c>
      <c r="W28" s="20" t="n">
        <v>4893</v>
      </c>
      <c r="X28" s="20" t="n">
        <v>1652</v>
      </c>
      <c r="Y28" s="21" t="n"/>
      <c r="Z28" s="22" t="n"/>
      <c r="AA28" s="22" t="n"/>
      <c r="AB28" s="22" t="n"/>
      <c r="AC28" s="22" t="n"/>
    </row>
    <row r="29">
      <c r="A29" s="13" t="inlineStr">
        <is>
          <t>비중</t>
        </is>
      </c>
      <c r="B29" s="10" t="n"/>
      <c r="C29" s="14">
        <f>IF(OR(C28="",C4=""),"",IFERROR(C28/C4,""))</f>
        <v/>
      </c>
      <c r="D29" s="15">
        <f>IF(OR(D28="",D4=""),"",IFERROR(D28/D4,""))</f>
        <v/>
      </c>
      <c r="E29" s="15">
        <f>IF(OR(E28="",E4=""),"",IFERROR(E28/E4,""))</f>
        <v/>
      </c>
      <c r="F29" s="15">
        <f>IF(OR(F28="",F4=""),"",IFERROR(F28/F4,""))</f>
        <v/>
      </c>
      <c r="G29" s="15">
        <f>IF(OR(G28="",G4=""),"",IFERROR(G28/G4,""))</f>
        <v/>
      </c>
      <c r="H29" s="15">
        <f>IF(OR(H28="",H4=""),"",IFERROR(H28/H4,""))</f>
        <v/>
      </c>
      <c r="I29" s="15">
        <f>IF(OR(I28="",I4=""),"",IFERROR(I28/I4,""))</f>
        <v/>
      </c>
      <c r="J29" s="15">
        <f>IF(OR(J28="",J4=""),"",IFERROR(J28/J4,""))</f>
        <v/>
      </c>
      <c r="K29" s="15">
        <f>IF(OR(K28="",K4=""),"",IFERROR(K28/K4,""))</f>
        <v/>
      </c>
      <c r="L29" s="15">
        <f>IF(OR(L28="",L4=""),"",IFERROR(L28/L4,""))</f>
        <v/>
      </c>
      <c r="M29" s="15">
        <f>IF(OR(M28="",M4=""),"",IFERROR(M28/M4,""))</f>
        <v/>
      </c>
      <c r="N29" s="15">
        <f>IF(OR(N28="",N4=""),"",IFERROR(N28/N4,""))</f>
        <v/>
      </c>
      <c r="O29" s="14">
        <f>IF(OR(O28="",O4=""),"",IFERROR(O28/O4,""))</f>
        <v/>
      </c>
      <c r="P29" s="15">
        <f>IF(OR(P28="",P4=""),"",IFERROR(P28/P4,""))</f>
        <v/>
      </c>
      <c r="Q29" s="15">
        <f>IF(OR(Q28="",Q4=""),"",IFERROR(Q28/Q4,""))</f>
        <v/>
      </c>
      <c r="R29" s="15">
        <f>IF(OR(R28="",R4=""),"",IFERROR(R28/R4,""))</f>
        <v/>
      </c>
      <c r="S29" s="15">
        <f>IF(OR(S28="",S4=""),"",IFERROR(S28/S4,""))</f>
        <v/>
      </c>
      <c r="T29" s="15">
        <f>IF(OR(T28="",T4=""),"",IFERROR(T28/T4,""))</f>
        <v/>
      </c>
      <c r="U29" s="15">
        <f>IF(OR(U28="",U4=""),"",IFERROR(U28/U4,""))</f>
        <v/>
      </c>
      <c r="V29" s="15">
        <f>IF(OR(V28="",V4=""),"",IFERROR(V28/V4,""))</f>
        <v/>
      </c>
      <c r="W29" s="15">
        <f>IF(OR(W28="",W4=""),"",IFERROR(W28/W4,""))</f>
        <v/>
      </c>
      <c r="X29" s="15">
        <f>IF(OR(X28="",X4=""),"",IFERROR(X28/X4,""))</f>
        <v/>
      </c>
      <c r="Y29" s="14">
        <f>IF(OR(Y28="",Y4=""),"",IFERROR(Y28/Y4,""))</f>
        <v/>
      </c>
      <c r="Z29" s="15">
        <f>IF(OR(Z28="",Z4=""),"",IFERROR(Z28/Z4,""))</f>
        <v/>
      </c>
      <c r="AA29" s="15">
        <f>IF(OR(AA28="",AA4=""),"",IFERROR(AA28/AA4,""))</f>
        <v/>
      </c>
      <c r="AB29" s="15">
        <f>IF(OR(AB28="",AB4=""),"",IFERROR(AB28/AB4,""))</f>
        <v/>
      </c>
      <c r="AC29" s="15">
        <f>IF(OR(AC28="",AC4=""),"",IFERROR(AC28/AC4,""))</f>
        <v/>
      </c>
    </row>
    <row r="30">
      <c r="A30" s="13" t="inlineStr">
        <is>
          <t>YoY</t>
        </is>
      </c>
      <c r="B30" s="10" t="n"/>
      <c r="C30" s="14" t="n"/>
      <c r="D30" s="15" t="n"/>
      <c r="E30" s="15" t="n"/>
      <c r="F30" s="15" t="n"/>
      <c r="G30" s="15">
        <f>IF(OR(G28="",C28=""),"",IFERROR(G28/C28-1,""))</f>
        <v/>
      </c>
      <c r="H30" s="15">
        <f>IF(OR(H28="",D28=""),"",IFERROR(H28/D28-1,""))</f>
        <v/>
      </c>
      <c r="I30" s="15">
        <f>IF(OR(I28="",E28=""),"",IFERROR(I28/E28-1,""))</f>
        <v/>
      </c>
      <c r="J30" s="15">
        <f>IF(OR(J28="",F28=""),"",IFERROR(J28/F28-1,""))</f>
        <v/>
      </c>
      <c r="K30" s="15">
        <f>IF(OR(K28="",G28=""),"",IFERROR(K28/G28-1,""))</f>
        <v/>
      </c>
      <c r="L30" s="15">
        <f>IF(OR(L28="",H28=""),"",IFERROR(L28/H28-1,""))</f>
        <v/>
      </c>
      <c r="M30" s="15">
        <f>IF(OR(M28="",I28=""),"",IFERROR(M28/I28-1,""))</f>
        <v/>
      </c>
      <c r="N30" s="15">
        <f>IF(OR(N28="",J28=""),"",IFERROR(N28/J28-1,""))</f>
        <v/>
      </c>
      <c r="O30" s="14" t="n"/>
      <c r="P30" s="15">
        <f>IF(OR(P28="",O28=""),"",IFERROR(P28/O28-1,""))</f>
        <v/>
      </c>
      <c r="Q30" s="15">
        <f>IF(OR(Q28="",P28=""),"",IFERROR(Q28/P28-1,""))</f>
        <v/>
      </c>
      <c r="R30" s="15">
        <f>IF(OR(R28="",Q28=""),"",IFERROR(R28/Q28-1,""))</f>
        <v/>
      </c>
      <c r="S30" s="15">
        <f>IF(OR(S28="",R28=""),"",IFERROR(S28/R28-1,""))</f>
        <v/>
      </c>
      <c r="T30" s="15">
        <f>IF(OR(T28="",S28=""),"",IFERROR(T28/S28-1,""))</f>
        <v/>
      </c>
      <c r="U30" s="15">
        <f>IF(OR(U28="",T28=""),"",IFERROR(U28/T28-1,""))</f>
        <v/>
      </c>
      <c r="V30" s="15">
        <f>IF(OR(V28="",U28=""),"",IFERROR(V28/U28-1,""))</f>
        <v/>
      </c>
      <c r="W30" s="15">
        <f>IF(OR(W28="",V28=""),"",IFERROR(W28/V28-1,""))</f>
        <v/>
      </c>
      <c r="X30" s="15">
        <f>IF(OR(X28="",W28=""),"",IFERROR(X28/W28-1,""))</f>
        <v/>
      </c>
      <c r="Y30" s="14">
        <f>IF(OR(Y28="",X28=""),"",IFERROR(Y28/X28-1,""))</f>
        <v/>
      </c>
      <c r="Z30" s="15">
        <f>IF(OR(Z28="",Y28=""),"",IFERROR(Z28/Y28-1,""))</f>
        <v/>
      </c>
      <c r="AA30" s="15">
        <f>IF(OR(AA28="",Z28=""),"",IFERROR(AA28/Z28-1,""))</f>
        <v/>
      </c>
      <c r="AB30" s="15">
        <f>IF(OR(AB28="",AA28=""),"",IFERROR(AB28/AA28-1,""))</f>
        <v/>
      </c>
      <c r="AC30" s="15">
        <f>IF(OR(AC28="",AB28=""),"",IFERROR(AC28/AB28-1,""))</f>
        <v/>
      </c>
    </row>
    <row r="31">
      <c r="A31" s="16" t="inlineStr">
        <is>
          <t>매출원가</t>
        </is>
      </c>
      <c r="B31" s="16" t="n"/>
      <c r="C31" s="17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7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7" t="n"/>
      <c r="Z31" s="16" t="n"/>
      <c r="AA31" s="16" t="n"/>
      <c r="AB31" s="16" t="n"/>
      <c r="AC31" s="16" t="n"/>
    </row>
    <row r="32">
      <c r="A32" s="18" t="inlineStr">
        <is>
          <t>전체 매출원가</t>
        </is>
      </c>
      <c r="B32" s="10" t="n"/>
      <c r="C32" s="19" t="n">
        <v>5114</v>
      </c>
      <c r="D32" s="20" t="n">
        <v>4793</v>
      </c>
      <c r="E32" s="20" t="n">
        <v>5721</v>
      </c>
      <c r="F32" s="20" t="n">
        <v>5394</v>
      </c>
      <c r="G32" s="20" t="n">
        <v>4792</v>
      </c>
      <c r="H32" s="20" t="n">
        <v>5319</v>
      </c>
      <c r="I32" s="20" t="n">
        <v>5093</v>
      </c>
      <c r="J32" s="20" t="n">
        <v>5009</v>
      </c>
      <c r="K32" s="20" t="n">
        <v>6572</v>
      </c>
      <c r="L32" s="20" t="n">
        <v>5994</v>
      </c>
      <c r="M32" s="20" t="n">
        <v>5610</v>
      </c>
      <c r="N32" s="20" t="n">
        <v>6475</v>
      </c>
      <c r="O32" s="19" t="n">
        <v>17917</v>
      </c>
      <c r="P32" s="20" t="n">
        <v>17870</v>
      </c>
      <c r="Q32" s="20" t="n">
        <v>18128</v>
      </c>
      <c r="R32" s="20" t="n">
        <v>18403</v>
      </c>
      <c r="S32" s="20" t="n">
        <v>17563</v>
      </c>
      <c r="T32" s="20" t="n">
        <v>19528</v>
      </c>
      <c r="U32" s="20" t="n">
        <v>21793</v>
      </c>
      <c r="V32" s="20" t="n">
        <v>20799</v>
      </c>
      <c r="W32" s="20" t="n">
        <v>20598</v>
      </c>
      <c r="X32" s="20" t="n">
        <v>23185</v>
      </c>
      <c r="Y32" s="19" t="n"/>
      <c r="Z32" s="20" t="n"/>
      <c r="AA32" s="20" t="n"/>
      <c r="AB32" s="20" t="n"/>
      <c r="AC32" s="20" t="n"/>
    </row>
    <row r="33">
      <c r="A33" s="18" t="inlineStr">
        <is>
          <t>매출총이익</t>
        </is>
      </c>
      <c r="B33" s="10" t="n"/>
      <c r="C33" s="19">
        <f>IF(OR(C4="",C32=""),"",IFERROR(C4-C32,""))</f>
        <v/>
      </c>
      <c r="D33" s="20">
        <f>IF(OR(D4="",D32=""),"",IFERROR(D4-D32,""))</f>
        <v/>
      </c>
      <c r="E33" s="20">
        <f>IF(OR(E4="",E32=""),"",IFERROR(E4-E32,""))</f>
        <v/>
      </c>
      <c r="F33" s="20">
        <f>IF(OR(F4="",F32=""),"",IFERROR(F4-F32,""))</f>
        <v/>
      </c>
      <c r="G33" s="20">
        <f>IF(OR(G4="",G32=""),"",IFERROR(G4-G32,""))</f>
        <v/>
      </c>
      <c r="H33" s="20">
        <f>IF(OR(H4="",H32=""),"",IFERROR(H4-H32,""))</f>
        <v/>
      </c>
      <c r="I33" s="20">
        <f>IF(OR(I4="",I32=""),"",IFERROR(I4-I32,""))</f>
        <v/>
      </c>
      <c r="J33" s="20">
        <f>IF(OR(J4="",J32=""),"",IFERROR(J4-J32,""))</f>
        <v/>
      </c>
      <c r="K33" s="20">
        <f>IF(OR(K4="",K32=""),"",IFERROR(K4-K32,""))</f>
        <v/>
      </c>
      <c r="L33" s="20">
        <f>IF(OR(L4="",L32=""),"",IFERROR(L4-L32,""))</f>
        <v/>
      </c>
      <c r="M33" s="20">
        <f>IF(OR(M4="",M32=""),"",IFERROR(M4-M32,""))</f>
        <v/>
      </c>
      <c r="N33" s="20">
        <f>IF(OR(N4="",N32=""),"",IFERROR(N4-N32,""))</f>
        <v/>
      </c>
      <c r="O33" s="19">
        <f>IF(OR(O4="",O32=""),"",IFERROR(O4-O32,""))</f>
        <v/>
      </c>
      <c r="P33" s="20">
        <f>IF(OR(P4="",P32=""),"",IFERROR(P4-P32,""))</f>
        <v/>
      </c>
      <c r="Q33" s="20">
        <f>IF(OR(Q4="",Q32=""),"",IFERROR(Q4-Q32,""))</f>
        <v/>
      </c>
      <c r="R33" s="20">
        <f>IF(OR(R4="",R32=""),"",IFERROR(R4-R32,""))</f>
        <v/>
      </c>
      <c r="S33" s="20">
        <f>IF(OR(S4="",S32=""),"",IFERROR(S4-S32,""))</f>
        <v/>
      </c>
      <c r="T33" s="20">
        <f>IF(OR(T4="",T32=""),"",IFERROR(T4-T32,""))</f>
        <v/>
      </c>
      <c r="U33" s="20">
        <f>IF(OR(U4="",U32=""),"",IFERROR(U4-U32,""))</f>
        <v/>
      </c>
      <c r="V33" s="20">
        <f>IF(OR(V4="",V32=""),"",IFERROR(V4-V32,""))</f>
        <v/>
      </c>
      <c r="W33" s="20">
        <f>IF(OR(W4="",W32=""),"",IFERROR(W4-W32,""))</f>
        <v/>
      </c>
      <c r="X33" s="20">
        <f>IF(OR(X4="",X32=""),"",IFERROR(X4-X32,""))</f>
        <v/>
      </c>
      <c r="Y33" s="19" t="n"/>
      <c r="Z33" s="20" t="n"/>
      <c r="AA33" s="20" t="n"/>
      <c r="AB33" s="20" t="n"/>
      <c r="AC33" s="20" t="n"/>
    </row>
    <row r="34">
      <c r="A34" s="13" t="inlineStr">
        <is>
          <t>GPM</t>
        </is>
      </c>
      <c r="B34" s="10" t="n"/>
      <c r="C34" s="14">
        <f>IF(OR(C33="",C4=""),"",IFERROR(C33/C4,""))</f>
        <v/>
      </c>
      <c r="D34" s="15">
        <f>IF(OR(D33="",D4=""),"",IFERROR(D33/D4,""))</f>
        <v/>
      </c>
      <c r="E34" s="15">
        <f>IF(OR(E33="",E4=""),"",IFERROR(E33/E4,""))</f>
        <v/>
      </c>
      <c r="F34" s="15">
        <f>IF(OR(F33="",F4=""),"",IFERROR(F33/F4,""))</f>
        <v/>
      </c>
      <c r="G34" s="15">
        <f>IF(OR(G33="",G4=""),"",IFERROR(G33/G4,""))</f>
        <v/>
      </c>
      <c r="H34" s="15">
        <f>IF(OR(H33="",H4=""),"",IFERROR(H33/H4,""))</f>
        <v/>
      </c>
      <c r="I34" s="15">
        <f>IF(OR(I33="",I4=""),"",IFERROR(I33/I4,""))</f>
        <v/>
      </c>
      <c r="J34" s="15">
        <f>IF(OR(J33="",J4=""),"",IFERROR(J33/J4,""))</f>
        <v/>
      </c>
      <c r="K34" s="15">
        <f>IF(OR(K33="",K4=""),"",IFERROR(K33/K4,""))</f>
        <v/>
      </c>
      <c r="L34" s="15">
        <f>IF(OR(L33="",L4=""),"",IFERROR(L33/L4,""))</f>
        <v/>
      </c>
      <c r="M34" s="15">
        <f>IF(OR(M33="",M4=""),"",IFERROR(M33/M4,""))</f>
        <v/>
      </c>
      <c r="N34" s="15">
        <f>IF(OR(N33="",N4=""),"",IFERROR(N33/N4,""))</f>
        <v/>
      </c>
      <c r="O34" s="14">
        <f>IF(OR(O33="",O4=""),"",IFERROR(O33/O4,""))</f>
        <v/>
      </c>
      <c r="P34" s="15">
        <f>IF(OR(P33="",P4=""),"",IFERROR(P33/P4,""))</f>
        <v/>
      </c>
      <c r="Q34" s="15">
        <f>IF(OR(Q33="",Q4=""),"",IFERROR(Q33/Q4,""))</f>
        <v/>
      </c>
      <c r="R34" s="15">
        <f>IF(OR(R33="",R4=""),"",IFERROR(R33/R4,""))</f>
        <v/>
      </c>
      <c r="S34" s="15">
        <f>IF(OR(S33="",S4=""),"",IFERROR(S33/S4,""))</f>
        <v/>
      </c>
      <c r="T34" s="15">
        <f>IF(OR(T33="",T4=""),"",IFERROR(T33/T4,""))</f>
        <v/>
      </c>
      <c r="U34" s="15">
        <f>IF(OR(U33="",U4=""),"",IFERROR(U33/U4,""))</f>
        <v/>
      </c>
      <c r="V34" s="15">
        <f>IF(OR(V33="",V4=""),"",IFERROR(V33/V4,""))</f>
        <v/>
      </c>
      <c r="W34" s="15">
        <f>IF(OR(W33="",W4=""),"",IFERROR(W33/W4,""))</f>
        <v/>
      </c>
      <c r="X34" s="15">
        <f>IF(OR(X33="",X4=""),"",IFERROR(X33/X4,""))</f>
        <v/>
      </c>
      <c r="Y34" s="14">
        <f>IF(OR(Y33="",Y4=""),"",IFERROR(Y33/Y4,""))</f>
        <v/>
      </c>
      <c r="Z34" s="15">
        <f>IF(OR(Z33="",Z4=""),"",IFERROR(Z33/Z4,""))</f>
        <v/>
      </c>
      <c r="AA34" s="15">
        <f>IF(OR(AA33="",AA4=""),"",IFERROR(AA33/AA4,""))</f>
        <v/>
      </c>
      <c r="AB34" s="15">
        <f>IF(OR(AB33="",AB4=""),"",IFERROR(AB33/AB4,""))</f>
        <v/>
      </c>
      <c r="AC34" s="15">
        <f>IF(OR(AC33="",AC4=""),"",IFERROR(AC33/AC4,""))</f>
        <v/>
      </c>
    </row>
    <row r="35">
      <c r="A35" s="23" t="inlineStr">
        <is>
          <t>판매관리비</t>
        </is>
      </c>
      <c r="B35" s="23" t="n"/>
      <c r="C35" s="24" t="n"/>
      <c r="D35" s="23" t="n"/>
      <c r="E35" s="23" t="n"/>
      <c r="F35" s="23" t="n"/>
      <c r="G35" s="23" t="n"/>
      <c r="H35" s="23" t="n"/>
      <c r="I35" s="23" t="n"/>
      <c r="J35" s="23" t="n"/>
      <c r="K35" s="23" t="n"/>
      <c r="L35" s="23" t="n"/>
      <c r="M35" s="23" t="n"/>
      <c r="N35" s="23" t="n"/>
      <c r="O35" s="24" t="n"/>
      <c r="P35" s="23" t="n"/>
      <c r="Q35" s="23" t="n"/>
      <c r="R35" s="23" t="n"/>
      <c r="S35" s="23" t="n"/>
      <c r="T35" s="23" t="n"/>
      <c r="U35" s="23" t="n"/>
      <c r="V35" s="23" t="n"/>
      <c r="W35" s="23" t="n"/>
      <c r="X35" s="23" t="n"/>
      <c r="Y35" s="24" t="n"/>
      <c r="Z35" s="23" t="n"/>
      <c r="AA35" s="23" t="n"/>
      <c r="AB35" s="23" t="n"/>
      <c r="AC35" s="23" t="n"/>
    </row>
    <row r="36">
      <c r="A36" s="18" t="inlineStr">
        <is>
          <t>전체 판관비</t>
        </is>
      </c>
      <c r="B36" s="10" t="n"/>
      <c r="C36" s="19" t="n">
        <v>3166</v>
      </c>
      <c r="D36" s="20" t="n">
        <v>3022</v>
      </c>
      <c r="E36" s="20" t="n">
        <v>3040</v>
      </c>
      <c r="F36" s="20" t="n">
        <v>3053</v>
      </c>
      <c r="G36" s="20" t="n">
        <v>3106</v>
      </c>
      <c r="H36" s="20" t="n">
        <v>3057</v>
      </c>
      <c r="I36" s="20" t="n">
        <v>2967</v>
      </c>
      <c r="J36" s="20" t="n">
        <v>3084</v>
      </c>
      <c r="K36" s="20" t="n">
        <v>3184</v>
      </c>
      <c r="L36" s="20" t="n">
        <v>3330</v>
      </c>
      <c r="M36" s="20" t="n">
        <v>3592</v>
      </c>
      <c r="N36" s="20" t="n">
        <v>3768</v>
      </c>
      <c r="O36" s="19" t="n">
        <v>10922</v>
      </c>
      <c r="P36" s="20" t="n">
        <v>11050</v>
      </c>
      <c r="Q36" s="20" t="n">
        <v>11417</v>
      </c>
      <c r="R36" s="20" t="n">
        <v>10889</v>
      </c>
      <c r="S36" s="20" t="n">
        <v>9753</v>
      </c>
      <c r="T36" s="20" t="n">
        <v>9764</v>
      </c>
      <c r="U36" s="20" t="n">
        <v>11627</v>
      </c>
      <c r="V36" s="20" t="n">
        <v>12360</v>
      </c>
      <c r="W36" s="20" t="n">
        <v>12183</v>
      </c>
      <c r="X36" s="20" t="n">
        <v>13190</v>
      </c>
      <c r="Y36" s="19" t="n"/>
      <c r="Z36" s="20" t="n"/>
      <c r="AA36" s="20" t="n"/>
      <c r="AB36" s="20" t="n"/>
      <c r="AC36" s="20" t="n"/>
    </row>
    <row r="37">
      <c r="A37" s="9" t="inlineStr">
        <is>
          <t>영업이익</t>
        </is>
      </c>
      <c r="B37" s="10" t="inlineStr">
        <is>
          <t>MW = 매출 × OPM</t>
        </is>
      </c>
      <c r="C37" s="11" t="n">
        <v>1204</v>
      </c>
      <c r="D37" s="12" t="n">
        <v>938</v>
      </c>
      <c r="E37" s="12" t="n">
        <v>1091</v>
      </c>
      <c r="F37" s="12" t="n">
        <v>2153</v>
      </c>
      <c r="G37" s="12" t="n">
        <v>1201</v>
      </c>
      <c r="H37" s="12" t="n">
        <v>730</v>
      </c>
      <c r="I37" s="12" t="n">
        <v>1203</v>
      </c>
      <c r="J37" s="12" t="n">
        <v>905</v>
      </c>
      <c r="K37" s="12" t="n">
        <v>2146</v>
      </c>
      <c r="L37" s="12" t="n">
        <v>2149</v>
      </c>
      <c r="M37" s="12" t="n">
        <v>964</v>
      </c>
      <c r="N37" s="12" t="n">
        <v>2329</v>
      </c>
      <c r="O37" s="11" t="n">
        <v>4151</v>
      </c>
      <c r="P37" s="12" t="n">
        <v>4368</v>
      </c>
      <c r="Q37" s="12" t="n">
        <v>1735</v>
      </c>
      <c r="R37" s="12" t="n">
        <v>2163</v>
      </c>
      <c r="S37" s="12" t="n">
        <v>2120</v>
      </c>
      <c r="T37" s="12" t="n">
        <v>3600</v>
      </c>
      <c r="U37" s="12" t="n">
        <v>8820</v>
      </c>
      <c r="V37" s="12" t="n">
        <v>4645</v>
      </c>
      <c r="W37" s="12" t="n">
        <v>5287</v>
      </c>
      <c r="X37" s="12" t="n">
        <v>6164</v>
      </c>
      <c r="Y37" s="11">
        <f>IF(OR(Y4="",Y38=""),"",IFERROR(Y4*Y38,""))</f>
        <v/>
      </c>
      <c r="Z37" s="12">
        <f>IF(OR(Z4="",Z38=""),"",IFERROR(Z4*Z38,""))</f>
        <v/>
      </c>
      <c r="AA37" s="12">
        <f>IF(OR(AA4="",AA38=""),"",IFERROR(AA4*AA38,""))</f>
        <v/>
      </c>
      <c r="AB37" s="12">
        <f>IF(OR(AB4="",AB38=""),"",IFERROR(AB4*AB38,""))</f>
        <v/>
      </c>
      <c r="AC37" s="12">
        <f>IF(OR(AC4="",AC38=""),"",IFERROR(AC4*AC38,""))</f>
        <v/>
      </c>
    </row>
    <row r="38">
      <c r="A38" s="13" t="inlineStr">
        <is>
          <t>OPM</t>
        </is>
      </c>
      <c r="B38" s="10" t="inlineStr">
        <is>
          <t>MW 입력</t>
        </is>
      </c>
      <c r="C38" s="14">
        <f>IF(OR(C37="",C4=""),"",IFERROR(C37/C4,""))</f>
        <v/>
      </c>
      <c r="D38" s="15">
        <f>IF(OR(D37="",D4=""),"",IFERROR(D37/D4,""))</f>
        <v/>
      </c>
      <c r="E38" s="15">
        <f>IF(OR(E37="",E4=""),"",IFERROR(E37/E4,""))</f>
        <v/>
      </c>
      <c r="F38" s="15">
        <f>IF(OR(F37="",F4=""),"",IFERROR(F37/F4,""))</f>
        <v/>
      </c>
      <c r="G38" s="15">
        <f>IF(OR(G37="",G4=""),"",IFERROR(G37/G4,""))</f>
        <v/>
      </c>
      <c r="H38" s="15">
        <f>IF(OR(H37="",H4=""),"",IFERROR(H37/H4,""))</f>
        <v/>
      </c>
      <c r="I38" s="15">
        <f>IF(OR(I37="",I4=""),"",IFERROR(I37/I4,""))</f>
        <v/>
      </c>
      <c r="J38" s="15">
        <f>IF(OR(J37="",J4=""),"",IFERROR(J37/J4,""))</f>
        <v/>
      </c>
      <c r="K38" s="15">
        <f>IF(OR(K37="",K4=""),"",IFERROR(K37/K4,""))</f>
        <v/>
      </c>
      <c r="L38" s="15">
        <f>IF(OR(L37="",L4=""),"",IFERROR(L37/L4,""))</f>
        <v/>
      </c>
      <c r="M38" s="15">
        <f>IF(OR(M37="",M4=""),"",IFERROR(M37/M4,""))</f>
        <v/>
      </c>
      <c r="N38" s="15">
        <f>IF(OR(N37="",N4=""),"",IFERROR(N37/N4,""))</f>
        <v/>
      </c>
      <c r="O38" s="14">
        <f>IF(OR(O37="",O4=""),"",IFERROR(O37/O4,""))</f>
        <v/>
      </c>
      <c r="P38" s="15">
        <f>IF(OR(P37="",P4=""),"",IFERROR(P37/P4,""))</f>
        <v/>
      </c>
      <c r="Q38" s="15">
        <f>IF(OR(Q37="",Q4=""),"",IFERROR(Q37/Q4,""))</f>
        <v/>
      </c>
      <c r="R38" s="15">
        <f>IF(OR(R37="",R4=""),"",IFERROR(R37/R4,""))</f>
        <v/>
      </c>
      <c r="S38" s="15">
        <f>IF(OR(S37="",S4=""),"",IFERROR(S37/S4,""))</f>
        <v/>
      </c>
      <c r="T38" s="15">
        <f>IF(OR(T37="",T4=""),"",IFERROR(T37/T4,""))</f>
        <v/>
      </c>
      <c r="U38" s="15">
        <f>IF(OR(U37="",U4=""),"",IFERROR(U37/U4,""))</f>
        <v/>
      </c>
      <c r="V38" s="15">
        <f>IF(OR(V37="",V4=""),"",IFERROR(V37/V4,""))</f>
        <v/>
      </c>
      <c r="W38" s="15">
        <f>IF(OR(W37="",W4=""),"",IFERROR(W37/W4,""))</f>
        <v/>
      </c>
      <c r="X38" s="15">
        <f>IF(OR(X37="",X4=""),"",IFERROR(X37/X4,""))</f>
        <v/>
      </c>
      <c r="Y38" s="25" t="n"/>
      <c r="Z38" s="26" t="n"/>
      <c r="AA38" s="26" t="n"/>
      <c r="AB38" s="26" t="n"/>
      <c r="AC38" s="26" t="n"/>
    </row>
    <row r="39">
      <c r="A39" s="13" t="inlineStr">
        <is>
          <t>증가율</t>
        </is>
      </c>
      <c r="B39" s="10" t="n"/>
      <c r="C39" s="14" t="n"/>
      <c r="D39" s="15" t="n"/>
      <c r="E39" s="15" t="n"/>
      <c r="F39" s="15" t="n"/>
      <c r="G39" s="15">
        <f>IF(OR(G37="",C37=""),"",IFERROR(G37/C37-1,""))</f>
        <v/>
      </c>
      <c r="H39" s="15">
        <f>IF(OR(H37="",D37=""),"",IFERROR(H37/D37-1,""))</f>
        <v/>
      </c>
      <c r="I39" s="15">
        <f>IF(OR(I37="",E37=""),"",IFERROR(I37/E37-1,""))</f>
        <v/>
      </c>
      <c r="J39" s="15">
        <f>IF(OR(J37="",F37=""),"",IFERROR(J37/F37-1,""))</f>
        <v/>
      </c>
      <c r="K39" s="15">
        <f>IF(OR(K37="",G37=""),"",IFERROR(K37/G37-1,""))</f>
        <v/>
      </c>
      <c r="L39" s="15">
        <f>IF(OR(L37="",H37=""),"",IFERROR(L37/H37-1,""))</f>
        <v/>
      </c>
      <c r="M39" s="15">
        <f>IF(OR(M37="",I37=""),"",IFERROR(M37/I37-1,""))</f>
        <v/>
      </c>
      <c r="N39" s="15">
        <f>IF(OR(N37="",J37=""),"",IFERROR(N37/J37-1,""))</f>
        <v/>
      </c>
      <c r="O39" s="14" t="n"/>
      <c r="P39" s="15">
        <f>IF(OR(P37="",O37=""),"",IFERROR(P37/O37-1,""))</f>
        <v/>
      </c>
      <c r="Q39" s="15">
        <f>IF(OR(Q37="",P37=""),"",IFERROR(Q37/P37-1,""))</f>
        <v/>
      </c>
      <c r="R39" s="15">
        <f>IF(OR(R37="",Q37=""),"",IFERROR(R37/Q37-1,""))</f>
        <v/>
      </c>
      <c r="S39" s="15">
        <f>IF(OR(S37="",R37=""),"",IFERROR(S37/R37-1,""))</f>
        <v/>
      </c>
      <c r="T39" s="15">
        <f>IF(OR(T37="",S37=""),"",IFERROR(T37/S37-1,""))</f>
        <v/>
      </c>
      <c r="U39" s="15">
        <f>IF(OR(U37="",T37=""),"",IFERROR(U37/T37-1,""))</f>
        <v/>
      </c>
      <c r="V39" s="15">
        <f>IF(OR(V37="",U37=""),"",IFERROR(V37/U37-1,""))</f>
        <v/>
      </c>
      <c r="W39" s="15">
        <f>IF(OR(W37="",V37=""),"",IFERROR(W37/V37-1,""))</f>
        <v/>
      </c>
      <c r="X39" s="15">
        <f>IF(OR(X37="",W37=""),"",IFERROR(X37/W37-1,""))</f>
        <v/>
      </c>
      <c r="Y39" s="14">
        <f>IF(OR(Y37="",X37=""),"",IFERROR(Y37/X37-1,""))</f>
        <v/>
      </c>
      <c r="Z39" s="15">
        <f>IF(OR(Z37="",Y37=""),"",IFERROR(Z37/Y37-1,""))</f>
        <v/>
      </c>
      <c r="AA39" s="15">
        <f>IF(OR(AA37="",Z37=""),"",IFERROR(AA37/Z37-1,""))</f>
        <v/>
      </c>
      <c r="AB39" s="15">
        <f>IF(OR(AB37="",AA37=""),"",IFERROR(AB37/AA37-1,""))</f>
        <v/>
      </c>
      <c r="AC39" s="15">
        <f>IF(OR(AC37="",AB37=""),"",IFERROR(AC37/AB37-1,""))</f>
        <v/>
      </c>
    </row>
    <row r="40">
      <c r="A40" s="16" t="inlineStr">
        <is>
          <t>비용의 성격별 분류</t>
        </is>
      </c>
      <c r="B40" s="16" t="inlineStr">
        <is>
          <t>참고 데이터</t>
        </is>
      </c>
      <c r="C40" s="17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7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7" t="n"/>
      <c r="Z40" s="16" t="n"/>
      <c r="AA40" s="16" t="n"/>
      <c r="AB40" s="16" t="n"/>
      <c r="AC40" s="16" t="n"/>
    </row>
    <row r="41">
      <c r="A41" s="9" t="inlineStr">
        <is>
          <t>총 판관비</t>
        </is>
      </c>
      <c r="B41" s="10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2" t="n"/>
      <c r="M41" s="12" t="n"/>
      <c r="N41" s="12" t="n"/>
      <c r="O41" s="11">
        <f>IF(O36="","",O36)</f>
        <v/>
      </c>
      <c r="P41" s="12">
        <f>IF(P36="","",P36)</f>
        <v/>
      </c>
      <c r="Q41" s="12">
        <f>IF(Q36="","",Q36)</f>
        <v/>
      </c>
      <c r="R41" s="12">
        <f>IF(R36="","",R36)</f>
        <v/>
      </c>
      <c r="S41" s="12">
        <f>IF(S36="","",S36)</f>
        <v/>
      </c>
      <c r="T41" s="12">
        <f>IF(T36="","",T36)</f>
        <v/>
      </c>
      <c r="U41" s="12">
        <f>IF(U36="","",U36)</f>
        <v/>
      </c>
      <c r="V41" s="12">
        <f>IF(V36="","",V36)</f>
        <v/>
      </c>
      <c r="W41" s="12">
        <f>IF(W36="","",W36)</f>
        <v/>
      </c>
      <c r="X41" s="12">
        <f>IF(X36="","",X36)</f>
        <v/>
      </c>
      <c r="Y41" s="11" t="n"/>
      <c r="Z41" s="12" t="n"/>
      <c r="AA41" s="12" t="n"/>
      <c r="AB41" s="12" t="n"/>
      <c r="AC41" s="12" t="n"/>
    </row>
    <row r="42">
      <c r="A42" s="18" t="inlineStr">
        <is>
          <t>급여</t>
        </is>
      </c>
      <c r="B42" s="10" t="inlineStr">
        <is>
          <t>고정비</t>
        </is>
      </c>
      <c r="C42" s="19" t="n"/>
      <c r="D42" s="20" t="n"/>
      <c r="E42" s="20" t="n"/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19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19" t="n"/>
      <c r="Z42" s="20" t="n"/>
      <c r="AA42" s="20" t="n"/>
      <c r="AB42" s="20" t="n"/>
      <c r="AC42" s="20" t="n"/>
    </row>
    <row r="43">
      <c r="A43" s="13" t="inlineStr">
        <is>
          <t>% of Sales</t>
        </is>
      </c>
      <c r="B43" s="10" t="n"/>
      <c r="C43" s="14" t="n"/>
      <c r="D43" s="15" t="n"/>
      <c r="E43" s="15" t="n"/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4">
        <f>IF(OR(O42="",O4=""),"",IFERROR(O42/O4,""))</f>
        <v/>
      </c>
      <c r="P43" s="15">
        <f>IF(OR(P42="",P4=""),"",IFERROR(P42/P4,""))</f>
        <v/>
      </c>
      <c r="Q43" s="15">
        <f>IF(OR(Q42="",Q4=""),"",IFERROR(Q42/Q4,""))</f>
        <v/>
      </c>
      <c r="R43" s="15">
        <f>IF(OR(R42="",R4=""),"",IFERROR(R42/R4,""))</f>
        <v/>
      </c>
      <c r="S43" s="15">
        <f>IF(OR(S42="",S4=""),"",IFERROR(S42/S4,""))</f>
        <v/>
      </c>
      <c r="T43" s="15">
        <f>IF(OR(T42="",T4=""),"",IFERROR(T42/T4,""))</f>
        <v/>
      </c>
      <c r="U43" s="15">
        <f>IF(OR(U42="",U4=""),"",IFERROR(U42/U4,""))</f>
        <v/>
      </c>
      <c r="V43" s="15">
        <f>IF(OR(V42="",V4=""),"",IFERROR(V42/V4,""))</f>
        <v/>
      </c>
      <c r="W43" s="15">
        <f>IF(OR(W42="",W4=""),"",IFERROR(W42/W4,""))</f>
        <v/>
      </c>
      <c r="X43" s="15">
        <f>IF(OR(X42="",X4=""),"",IFERROR(X42/X4,""))</f>
        <v/>
      </c>
      <c r="Y43" s="14" t="n"/>
      <c r="Z43" s="15" t="n"/>
      <c r="AA43" s="15" t="n"/>
      <c r="AB43" s="15" t="n"/>
      <c r="AC43" s="15" t="n"/>
    </row>
    <row r="44">
      <c r="A44" s="18" t="inlineStr">
        <is>
          <t>감가상각비</t>
        </is>
      </c>
      <c r="B44" s="10" t="inlineStr">
        <is>
          <t>고정비</t>
        </is>
      </c>
      <c r="C44" s="19" t="n"/>
      <c r="D44" s="20" t="n"/>
      <c r="E44" s="20" t="n"/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19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19" t="n"/>
      <c r="Z44" s="20" t="n"/>
      <c r="AA44" s="20" t="n"/>
      <c r="AB44" s="20" t="n"/>
      <c r="AC44" s="20" t="n"/>
    </row>
    <row r="45">
      <c r="A45" s="13" t="inlineStr">
        <is>
          <t>% of Sales</t>
        </is>
      </c>
      <c r="B45" s="10" t="n"/>
      <c r="C45" s="14" t="n"/>
      <c r="D45" s="15" t="n"/>
      <c r="E45" s="15" t="n"/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  <c r="O45" s="14">
        <f>IF(OR(O44="",O4=""),"",IFERROR(O44/O4,""))</f>
        <v/>
      </c>
      <c r="P45" s="15">
        <f>IF(OR(P44="",P4=""),"",IFERROR(P44/P4,""))</f>
        <v/>
      </c>
      <c r="Q45" s="15">
        <f>IF(OR(Q44="",Q4=""),"",IFERROR(Q44/Q4,""))</f>
        <v/>
      </c>
      <c r="R45" s="15">
        <f>IF(OR(R44="",R4=""),"",IFERROR(R44/R4,""))</f>
        <v/>
      </c>
      <c r="S45" s="15">
        <f>IF(OR(S44="",S4=""),"",IFERROR(S44/S4,""))</f>
        <v/>
      </c>
      <c r="T45" s="15">
        <f>IF(OR(T44="",T4=""),"",IFERROR(T44/T4,""))</f>
        <v/>
      </c>
      <c r="U45" s="15">
        <f>IF(OR(U44="",U4=""),"",IFERROR(U44/U4,""))</f>
        <v/>
      </c>
      <c r="V45" s="15">
        <f>IF(OR(V44="",V4=""),"",IFERROR(V44/V4,""))</f>
        <v/>
      </c>
      <c r="W45" s="15">
        <f>IF(OR(W44="",W4=""),"",IFERROR(W44/W4,""))</f>
        <v/>
      </c>
      <c r="X45" s="15">
        <f>IF(OR(X44="",X4=""),"",IFERROR(X44/X4,""))</f>
        <v/>
      </c>
      <c r="Y45" s="14" t="n"/>
      <c r="Z45" s="15" t="n"/>
      <c r="AA45" s="15" t="n"/>
      <c r="AB45" s="15" t="n"/>
      <c r="AC45" s="15" t="n"/>
    </row>
    <row r="46">
      <c r="A46" s="18" t="inlineStr">
        <is>
          <t>지급수수료</t>
        </is>
      </c>
      <c r="B46" s="10" t="inlineStr">
        <is>
          <t>고정비</t>
        </is>
      </c>
      <c r="C46" s="19" t="n"/>
      <c r="D46" s="20" t="n"/>
      <c r="E46" s="20" t="n"/>
      <c r="F46" s="20" t="n"/>
      <c r="G46" s="20" t="n"/>
      <c r="H46" s="20" t="n"/>
      <c r="I46" s="20" t="n"/>
      <c r="J46" s="20" t="n"/>
      <c r="K46" s="20" t="n"/>
      <c r="L46" s="20" t="n"/>
      <c r="M46" s="20" t="n"/>
      <c r="N46" s="20" t="n"/>
      <c r="O46" s="19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19" t="n"/>
      <c r="Z46" s="20" t="n"/>
      <c r="AA46" s="20" t="n"/>
      <c r="AB46" s="20" t="n"/>
      <c r="AC46" s="20" t="n"/>
    </row>
    <row r="47">
      <c r="A47" s="13" t="inlineStr">
        <is>
          <t>% of Sales</t>
        </is>
      </c>
      <c r="B47" s="10" t="n"/>
      <c r="C47" s="14" t="n"/>
      <c r="D47" s="15" t="n"/>
      <c r="E47" s="15" t="n"/>
      <c r="F47" s="15" t="n"/>
      <c r="G47" s="15" t="n"/>
      <c r="H47" s="15" t="n"/>
      <c r="I47" s="15" t="n"/>
      <c r="J47" s="15" t="n"/>
      <c r="K47" s="15" t="n"/>
      <c r="L47" s="15" t="n"/>
      <c r="M47" s="15" t="n"/>
      <c r="N47" s="15" t="n"/>
      <c r="O47" s="14">
        <f>IF(OR(O46="",O4=""),"",IFERROR(O46/O4,""))</f>
        <v/>
      </c>
      <c r="P47" s="15">
        <f>IF(OR(P46="",P4=""),"",IFERROR(P46/P4,""))</f>
        <v/>
      </c>
      <c r="Q47" s="15">
        <f>IF(OR(Q46="",Q4=""),"",IFERROR(Q46/Q4,""))</f>
        <v/>
      </c>
      <c r="R47" s="15">
        <f>IF(OR(R46="",R4=""),"",IFERROR(R46/R4,""))</f>
        <v/>
      </c>
      <c r="S47" s="15">
        <f>IF(OR(S46="",S4=""),"",IFERROR(S46/S4,""))</f>
        <v/>
      </c>
      <c r="T47" s="15">
        <f>IF(OR(T46="",T4=""),"",IFERROR(T46/T4,""))</f>
        <v/>
      </c>
      <c r="U47" s="15">
        <f>IF(OR(U46="",U4=""),"",IFERROR(U46/U4,""))</f>
        <v/>
      </c>
      <c r="V47" s="15">
        <f>IF(OR(V46="",V4=""),"",IFERROR(V46/V4,""))</f>
        <v/>
      </c>
      <c r="W47" s="15">
        <f>IF(OR(W46="",W4=""),"",IFERROR(W46/W4,""))</f>
        <v/>
      </c>
      <c r="X47" s="15">
        <f>IF(OR(X46="",X4=""),"",IFERROR(X46/X4,""))</f>
        <v/>
      </c>
      <c r="Y47" s="14" t="n"/>
      <c r="Z47" s="15" t="n"/>
      <c r="AA47" s="15" t="n"/>
      <c r="AB47" s="15" t="n"/>
      <c r="AC47" s="15" t="n"/>
    </row>
    <row r="48">
      <c r="A48" s="18" t="inlineStr">
        <is>
          <t>연구개발비</t>
        </is>
      </c>
      <c r="B48" s="10" t="inlineStr">
        <is>
          <t>변동비</t>
        </is>
      </c>
      <c r="C48" s="19" t="n"/>
      <c r="D48" s="20" t="n"/>
      <c r="E48" s="20" t="n"/>
      <c r="F48" s="20" t="n"/>
      <c r="G48" s="20" t="n"/>
      <c r="H48" s="20" t="n"/>
      <c r="I48" s="20" t="n"/>
      <c r="J48" s="20" t="n"/>
      <c r="K48" s="20" t="n"/>
      <c r="L48" s="20" t="n"/>
      <c r="M48" s="20" t="n"/>
      <c r="N48" s="20" t="n"/>
      <c r="O48" s="19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19" t="n"/>
      <c r="Z48" s="20" t="n"/>
      <c r="AA48" s="20" t="n"/>
      <c r="AB48" s="20" t="n"/>
      <c r="AC48" s="20" t="n"/>
    </row>
    <row r="49">
      <c r="A49" s="13" t="inlineStr">
        <is>
          <t>% of Sales</t>
        </is>
      </c>
      <c r="B49" s="10" t="n"/>
      <c r="C49" s="14" t="n"/>
      <c r="D49" s="15" t="n"/>
      <c r="E49" s="15" t="n"/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4">
        <f>IF(OR(O48="",O4=""),"",IFERROR(O48/O4,""))</f>
        <v/>
      </c>
      <c r="P49" s="15">
        <f>IF(OR(P48="",P4=""),"",IFERROR(P48/P4,""))</f>
        <v/>
      </c>
      <c r="Q49" s="15">
        <f>IF(OR(Q48="",Q4=""),"",IFERROR(Q48/Q4,""))</f>
        <v/>
      </c>
      <c r="R49" s="15">
        <f>IF(OR(R48="",R4=""),"",IFERROR(R48/R4,""))</f>
        <v/>
      </c>
      <c r="S49" s="15">
        <f>IF(OR(S48="",S4=""),"",IFERROR(S48/S4,""))</f>
        <v/>
      </c>
      <c r="T49" s="15">
        <f>IF(OR(T48="",T4=""),"",IFERROR(T48/T4,""))</f>
        <v/>
      </c>
      <c r="U49" s="15">
        <f>IF(OR(U48="",U4=""),"",IFERROR(U48/U4,""))</f>
        <v/>
      </c>
      <c r="V49" s="15">
        <f>IF(OR(V48="",V4=""),"",IFERROR(V48/V4,""))</f>
        <v/>
      </c>
      <c r="W49" s="15">
        <f>IF(OR(W48="",W4=""),"",IFERROR(W48/W4,""))</f>
        <v/>
      </c>
      <c r="X49" s="15">
        <f>IF(OR(X48="",X4=""),"",IFERROR(X48/X4,""))</f>
        <v/>
      </c>
      <c r="Y49" s="14" t="n"/>
      <c r="Z49" s="15" t="n"/>
      <c r="AA49" s="15" t="n"/>
      <c r="AB49" s="15" t="n"/>
      <c r="AC49" s="15" t="n"/>
    </row>
    <row r="50">
      <c r="A50" s="18" t="inlineStr">
        <is>
          <t>기타비용</t>
        </is>
      </c>
      <c r="B50" s="10" t="inlineStr">
        <is>
          <t>변동비</t>
        </is>
      </c>
      <c r="C50" s="19" t="n"/>
      <c r="D50" s="20" t="n"/>
      <c r="E50" s="20" t="n"/>
      <c r="F50" s="20" t="n"/>
      <c r="G50" s="20" t="n"/>
      <c r="H50" s="20" t="n"/>
      <c r="I50" s="20" t="n"/>
      <c r="J50" s="20" t="n"/>
      <c r="K50" s="20" t="n"/>
      <c r="L50" s="20" t="n"/>
      <c r="M50" s="20" t="n"/>
      <c r="N50" s="20" t="n"/>
      <c r="O50" s="19">
        <f>IF(OR(O41="",O42="",O44="",O46="",O48=""),"",IFERROR(O41-O42-O44-O46-O48,""))</f>
        <v/>
      </c>
      <c r="P50" s="20">
        <f>IF(OR(P41="",P42="",P44="",P46="",P48=""),"",IFERROR(P41-P42-P44-P46-P48,""))</f>
        <v/>
      </c>
      <c r="Q50" s="20">
        <f>IF(OR(Q41="",Q42="",Q44="",Q46="",Q48=""),"",IFERROR(Q41-Q42-Q44-Q46-Q48,""))</f>
        <v/>
      </c>
      <c r="R50" s="20">
        <f>IF(OR(R41="",R42="",R44="",R46="",R48=""),"",IFERROR(R41-R42-R44-R46-R48,""))</f>
        <v/>
      </c>
      <c r="S50" s="20">
        <f>IF(OR(S41="",S42="",S44="",S46="",S48=""),"",IFERROR(S41-S42-S44-S46-S48,""))</f>
        <v/>
      </c>
      <c r="T50" s="20">
        <f>IF(OR(T41="",T42="",T44="",T46="",T48=""),"",IFERROR(T41-T42-T44-T46-T48,""))</f>
        <v/>
      </c>
      <c r="U50" s="20">
        <f>IF(OR(U41="",U42="",U44="",U46="",U48=""),"",IFERROR(U41-U42-U44-U46-U48,""))</f>
        <v/>
      </c>
      <c r="V50" s="20">
        <f>IF(OR(V41="",V42="",V44="",V46="",V48=""),"",IFERROR(V41-V42-V44-V46-V48,""))</f>
        <v/>
      </c>
      <c r="W50" s="20">
        <f>IF(OR(W41="",W42="",W44="",W46="",W48=""),"",IFERROR(W41-W42-W44-W46-W48,""))</f>
        <v/>
      </c>
      <c r="X50" s="20">
        <f>IF(OR(X41="",X42="",X44="",X46="",X48=""),"",IFERROR(X41-X42-X44-X46-X48,""))</f>
        <v/>
      </c>
      <c r="Y50" s="19" t="n"/>
      <c r="Z50" s="20" t="n"/>
      <c r="AA50" s="20" t="n"/>
      <c r="AB50" s="20" t="n"/>
      <c r="AC50" s="20" t="n"/>
    </row>
    <row r="51">
      <c r="A51" s="13" t="inlineStr">
        <is>
          <t>% of Sales</t>
        </is>
      </c>
      <c r="B51" s="10" t="n"/>
      <c r="C51" s="14" t="n"/>
      <c r="D51" s="15" t="n"/>
      <c r="E51" s="15" t="n"/>
      <c r="F51" s="15" t="n"/>
      <c r="G51" s="15" t="n"/>
      <c r="H51" s="15" t="n"/>
      <c r="I51" s="15" t="n"/>
      <c r="J51" s="15" t="n"/>
      <c r="K51" s="15" t="n"/>
      <c r="L51" s="15" t="n"/>
      <c r="M51" s="15" t="n"/>
      <c r="N51" s="15" t="n"/>
      <c r="O51" s="14">
        <f>IF(OR(O50="",O4=""),"",IFERROR(O50/O4,""))</f>
        <v/>
      </c>
      <c r="P51" s="15">
        <f>IF(OR(P50="",P4=""),"",IFERROR(P50/P4,""))</f>
        <v/>
      </c>
      <c r="Q51" s="15">
        <f>IF(OR(Q50="",Q4=""),"",IFERROR(Q50/Q4,""))</f>
        <v/>
      </c>
      <c r="R51" s="15">
        <f>IF(OR(R50="",R4=""),"",IFERROR(R50/R4,""))</f>
        <v/>
      </c>
      <c r="S51" s="15">
        <f>IF(OR(S50="",S4=""),"",IFERROR(S50/S4,""))</f>
        <v/>
      </c>
      <c r="T51" s="15">
        <f>IF(OR(T50="",T4=""),"",IFERROR(T50/T4,""))</f>
        <v/>
      </c>
      <c r="U51" s="15">
        <f>IF(OR(U50="",U4=""),"",IFERROR(U50/U4,""))</f>
        <v/>
      </c>
      <c r="V51" s="15">
        <f>IF(OR(V50="",V4=""),"",IFERROR(V50/V4,""))</f>
        <v/>
      </c>
      <c r="W51" s="15">
        <f>IF(OR(W50="",W4=""),"",IFERROR(W50/W4,""))</f>
        <v/>
      </c>
      <c r="X51" s="15">
        <f>IF(OR(X50="",X4=""),"",IFERROR(X50/X4,""))</f>
        <v/>
      </c>
      <c r="Y51" s="14" t="n"/>
      <c r="Z51" s="15" t="n"/>
      <c r="AA51" s="15" t="n"/>
      <c r="AB51" s="15" t="n"/>
      <c r="AC51" s="15" t="n"/>
    </row>
    <row r="52">
      <c r="A52" s="16" t="inlineStr">
        <is>
          <t>당기순이익 추정</t>
        </is>
      </c>
      <c r="B52" s="16" t="n"/>
      <c r="C52" s="17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7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7" t="n"/>
      <c r="Z52" s="16" t="n"/>
      <c r="AA52" s="16" t="n"/>
      <c r="AB52" s="16" t="n"/>
      <c r="AC52" s="16" t="n"/>
    </row>
    <row r="53">
      <c r="A53" s="18" t="inlineStr">
        <is>
          <t>특별이익</t>
        </is>
      </c>
      <c r="B53" s="10" t="n"/>
      <c r="C53" s="19" t="n">
        <v>16</v>
      </c>
      <c r="D53" s="20" t="n">
        <v>13</v>
      </c>
      <c r="E53" s="20" t="n">
        <v>235</v>
      </c>
      <c r="F53" s="20" t="n">
        <v>12</v>
      </c>
      <c r="G53" s="20" t="n">
        <v>50</v>
      </c>
      <c r="H53" s="20" t="n">
        <v>8</v>
      </c>
      <c r="I53" s="20" t="n">
        <v>24</v>
      </c>
      <c r="J53" s="20" t="n">
        <v>9</v>
      </c>
      <c r="K53" s="20" t="n">
        <v>3</v>
      </c>
      <c r="L53" s="20" t="n">
        <v>4</v>
      </c>
      <c r="M53" s="20" t="n">
        <v>16</v>
      </c>
      <c r="N53" s="20" t="n">
        <v>3</v>
      </c>
      <c r="O53" s="19" t="n">
        <v>2300</v>
      </c>
      <c r="P53" s="20" t="n">
        <v>14</v>
      </c>
      <c r="Q53" s="20" t="n">
        <v>468</v>
      </c>
      <c r="R53" s="20" t="n">
        <v>436</v>
      </c>
      <c r="S53" s="20" t="n">
        <v>182</v>
      </c>
      <c r="T53" s="20" t="n">
        <v>863</v>
      </c>
      <c r="U53" s="20" t="n">
        <v>34</v>
      </c>
      <c r="V53" s="20" t="n">
        <v>285</v>
      </c>
      <c r="W53" s="20" t="n">
        <v>94</v>
      </c>
      <c r="X53" s="20" t="n">
        <v>32</v>
      </c>
      <c r="Y53" s="19">
        <f>IF(OR(Y4="",Y54=""),"",IFERROR(Y4*Y54,""))</f>
        <v/>
      </c>
      <c r="Z53" s="20">
        <f>IF(OR(Z4="",Z54=""),"",IFERROR(Z4*Z54,""))</f>
        <v/>
      </c>
      <c r="AA53" s="20">
        <f>IF(OR(AA4="",AA54=""),"",IFERROR(AA4*AA54,""))</f>
        <v/>
      </c>
      <c r="AB53" s="20">
        <f>IF(OR(AB4="",AB54=""),"",IFERROR(AB4*AB54,""))</f>
        <v/>
      </c>
      <c r="AC53" s="20">
        <f>IF(OR(AC4="",AC54=""),"",IFERROR(AC4*AC54,""))</f>
        <v/>
      </c>
    </row>
    <row r="54">
      <c r="A54" s="13" t="inlineStr">
        <is>
          <t>% of Sales</t>
        </is>
      </c>
      <c r="B54" s="10" t="inlineStr">
        <is>
          <t>MW = 최근 3년 평균</t>
        </is>
      </c>
      <c r="C54" s="14">
        <f>IF(OR(C53="",C4=""),"",IFERROR(C53/C4,""))</f>
        <v/>
      </c>
      <c r="D54" s="15">
        <f>IF(OR(D53="",D4=""),"",IFERROR(D53/D4,""))</f>
        <v/>
      </c>
      <c r="E54" s="15">
        <f>IF(OR(E53="",E4=""),"",IFERROR(E53/E4,""))</f>
        <v/>
      </c>
      <c r="F54" s="15">
        <f>IF(OR(F53="",F4=""),"",IFERROR(F53/F4,""))</f>
        <v/>
      </c>
      <c r="G54" s="15">
        <f>IF(OR(G53="",G4=""),"",IFERROR(G53/G4,""))</f>
        <v/>
      </c>
      <c r="H54" s="15">
        <f>IF(OR(H53="",H4=""),"",IFERROR(H53/H4,""))</f>
        <v/>
      </c>
      <c r="I54" s="15">
        <f>IF(OR(I53="",I4=""),"",IFERROR(I53/I4,""))</f>
        <v/>
      </c>
      <c r="J54" s="15">
        <f>IF(OR(J53="",J4=""),"",IFERROR(J53/J4,""))</f>
        <v/>
      </c>
      <c r="K54" s="15">
        <f>IF(OR(K53="",K4=""),"",IFERROR(K53/K4,""))</f>
        <v/>
      </c>
      <c r="L54" s="15">
        <f>IF(OR(L53="",L4=""),"",IFERROR(L53/L4,""))</f>
        <v/>
      </c>
      <c r="M54" s="15">
        <f>IF(OR(M53="",M4=""),"",IFERROR(M53/M4,""))</f>
        <v/>
      </c>
      <c r="N54" s="15">
        <f>IF(OR(N53="",N4=""),"",IFERROR(N53/N4,""))</f>
        <v/>
      </c>
      <c r="O54" s="14">
        <f>IF(OR(O53="",O4=""),"",IFERROR(O53/O4,""))</f>
        <v/>
      </c>
      <c r="P54" s="15">
        <f>IF(OR(P53="",P4=""),"",IFERROR(P53/P4,""))</f>
        <v/>
      </c>
      <c r="Q54" s="15">
        <f>IF(OR(Q53="",Q4=""),"",IFERROR(Q53/Q4,""))</f>
        <v/>
      </c>
      <c r="R54" s="15">
        <f>IF(OR(R53="",R4=""),"",IFERROR(R53/R4,""))</f>
        <v/>
      </c>
      <c r="S54" s="15">
        <f>IF(OR(S53="",S4=""),"",IFERROR(S53/S4,""))</f>
        <v/>
      </c>
      <c r="T54" s="15">
        <f>IF(OR(T53="",T4=""),"",IFERROR(T53/T4,""))</f>
        <v/>
      </c>
      <c r="U54" s="15">
        <f>IF(OR(U53="",U4=""),"",IFERROR(U53/U4,""))</f>
        <v/>
      </c>
      <c r="V54" s="15">
        <f>IF(OR(V53="",V4=""),"",IFERROR(V53/V4,""))</f>
        <v/>
      </c>
      <c r="W54" s="15">
        <f>IF(OR(W53="",W4=""),"",IFERROR(W53/W4,""))</f>
        <v/>
      </c>
      <c r="X54" s="15">
        <f>IF(OR(X53="",X4=""),"",IFERROR(X53/X4,""))</f>
        <v/>
      </c>
      <c r="Y54" s="25">
        <f>IFERROR(AVERAGE(V54,W54,X54),"")</f>
        <v/>
      </c>
      <c r="Z54" s="26">
        <f>Y54</f>
        <v/>
      </c>
      <c r="AA54" s="26">
        <f>Z54</f>
        <v/>
      </c>
      <c r="AB54" s="26">
        <f>AA54</f>
        <v/>
      </c>
      <c r="AC54" s="26">
        <f>AB54</f>
        <v/>
      </c>
    </row>
    <row r="55">
      <c r="A55" s="18" t="inlineStr">
        <is>
          <t>특별손실</t>
        </is>
      </c>
      <c r="B55" s="10" t="n"/>
      <c r="C55" s="19" t="n">
        <v>81</v>
      </c>
      <c r="D55" s="20" t="n">
        <v>78</v>
      </c>
      <c r="E55" s="20" t="n">
        <v>77</v>
      </c>
      <c r="F55" s="20" t="n">
        <v>204</v>
      </c>
      <c r="G55" s="20" t="n">
        <v>29</v>
      </c>
      <c r="H55" s="20" t="n">
        <v>17</v>
      </c>
      <c r="I55" s="20" t="n">
        <v>38</v>
      </c>
      <c r="J55" s="20" t="n">
        <v>198</v>
      </c>
      <c r="K55" s="20" t="n">
        <v>-11</v>
      </c>
      <c r="L55" s="20" t="n">
        <v>-1</v>
      </c>
      <c r="M55" s="20" t="n">
        <v>5</v>
      </c>
      <c r="N55" s="20" t="n">
        <v>7</v>
      </c>
      <c r="O55" s="19" t="n">
        <v>21</v>
      </c>
      <c r="P55" s="20" t="n">
        <v>74</v>
      </c>
      <c r="Q55" s="20" t="n">
        <v>1227</v>
      </c>
      <c r="R55" s="20" t="n">
        <v>1094</v>
      </c>
      <c r="S55" s="20" t="n">
        <v>603</v>
      </c>
      <c r="T55" s="20" t="n">
        <v>281</v>
      </c>
      <c r="U55" s="20" t="n">
        <v>2135</v>
      </c>
      <c r="V55" s="20" t="n">
        <v>525</v>
      </c>
      <c r="W55" s="20" t="n">
        <v>288</v>
      </c>
      <c r="X55" s="20" t="n">
        <v>191</v>
      </c>
      <c r="Y55" s="19">
        <f>IF(OR(Y4="",Y56=""),"",IFERROR(Y4*Y56,""))</f>
        <v/>
      </c>
      <c r="Z55" s="20">
        <f>IF(OR(Z4="",Z56=""),"",IFERROR(Z4*Z56,""))</f>
        <v/>
      </c>
      <c r="AA55" s="20">
        <f>IF(OR(AA4="",AA56=""),"",IFERROR(AA4*AA56,""))</f>
        <v/>
      </c>
      <c r="AB55" s="20">
        <f>IF(OR(AB4="",AB56=""),"",IFERROR(AB4*AB56,""))</f>
        <v/>
      </c>
      <c r="AC55" s="20">
        <f>IF(OR(AC4="",AC56=""),"",IFERROR(AC4*AC56,""))</f>
        <v/>
      </c>
    </row>
    <row r="56">
      <c r="A56" s="13" t="inlineStr">
        <is>
          <t>% of Sales</t>
        </is>
      </c>
      <c r="B56" s="10" t="n"/>
      <c r="C56" s="14">
        <f>IF(OR(C55="",C4=""),"",IFERROR(C55/C4,""))</f>
        <v/>
      </c>
      <c r="D56" s="15">
        <f>IF(OR(D55="",D4=""),"",IFERROR(D55/D4,""))</f>
        <v/>
      </c>
      <c r="E56" s="15">
        <f>IF(OR(E55="",E4=""),"",IFERROR(E55/E4,""))</f>
        <v/>
      </c>
      <c r="F56" s="15">
        <f>IF(OR(F55="",F4=""),"",IFERROR(F55/F4,""))</f>
        <v/>
      </c>
      <c r="G56" s="15">
        <f>IF(OR(G55="",G4=""),"",IFERROR(G55/G4,""))</f>
        <v/>
      </c>
      <c r="H56" s="15">
        <f>IF(OR(H55="",H4=""),"",IFERROR(H55/H4,""))</f>
        <v/>
      </c>
      <c r="I56" s="15">
        <f>IF(OR(I55="",I4=""),"",IFERROR(I55/I4,""))</f>
        <v/>
      </c>
      <c r="J56" s="15">
        <f>IF(OR(J55="",J4=""),"",IFERROR(J55/J4,""))</f>
        <v/>
      </c>
      <c r="K56" s="15">
        <f>IF(OR(K55="",K4=""),"",IFERROR(K55/K4,""))</f>
        <v/>
      </c>
      <c r="L56" s="15">
        <f>IF(OR(L55="",L4=""),"",IFERROR(L55/L4,""))</f>
        <v/>
      </c>
      <c r="M56" s="15">
        <f>IF(OR(M55="",M4=""),"",IFERROR(M55/M4,""))</f>
        <v/>
      </c>
      <c r="N56" s="15">
        <f>IF(OR(N55="",N4=""),"",IFERROR(N55/N4,""))</f>
        <v/>
      </c>
      <c r="O56" s="14">
        <f>IF(OR(O55="",O4=""),"",IFERROR(O55/O4,""))</f>
        <v/>
      </c>
      <c r="P56" s="15">
        <f>IF(OR(P55="",P4=""),"",IFERROR(P55/P4,""))</f>
        <v/>
      </c>
      <c r="Q56" s="15">
        <f>IF(OR(Q55="",Q4=""),"",IFERROR(Q55/Q4,""))</f>
        <v/>
      </c>
      <c r="R56" s="15">
        <f>IF(OR(R55="",R4=""),"",IFERROR(R55/R4,""))</f>
        <v/>
      </c>
      <c r="S56" s="15">
        <f>IF(OR(S55="",S4=""),"",IFERROR(S55/S4,""))</f>
        <v/>
      </c>
      <c r="T56" s="15">
        <f>IF(OR(T55="",T4=""),"",IFERROR(T55/T4,""))</f>
        <v/>
      </c>
      <c r="U56" s="15">
        <f>IF(OR(U55="",U4=""),"",IFERROR(U55/U4,""))</f>
        <v/>
      </c>
      <c r="V56" s="15">
        <f>IF(OR(V55="",V4=""),"",IFERROR(V55/V4,""))</f>
        <v/>
      </c>
      <c r="W56" s="15">
        <f>IF(OR(W55="",W4=""),"",IFERROR(W55/W4,""))</f>
        <v/>
      </c>
      <c r="X56" s="15">
        <f>IF(OR(X55="",X4=""),"",IFERROR(X55/X4,""))</f>
        <v/>
      </c>
      <c r="Y56" s="25">
        <f>IFERROR(AVERAGE(V56,W56,X56),"")</f>
        <v/>
      </c>
      <c r="Z56" s="26">
        <f>Y56</f>
        <v/>
      </c>
      <c r="AA56" s="26">
        <f>Z56</f>
        <v/>
      </c>
      <c r="AB56" s="26">
        <f>AA56</f>
        <v/>
      </c>
      <c r="AC56" s="26">
        <f>AB56</f>
        <v/>
      </c>
    </row>
    <row r="57">
      <c r="A57" s="18" t="inlineStr">
        <is>
          <t>영업외수익</t>
        </is>
      </c>
      <c r="B57" s="10" t="n"/>
      <c r="C57" s="19" t="n">
        <v>258</v>
      </c>
      <c r="D57" s="20" t="n">
        <v>-130</v>
      </c>
      <c r="E57" s="20" t="n">
        <v>334</v>
      </c>
      <c r="F57" s="20" t="n">
        <v>211</v>
      </c>
      <c r="G57" s="20" t="n">
        <v>31</v>
      </c>
      <c r="H57" s="20" t="n">
        <v>200</v>
      </c>
      <c r="I57" s="20" t="n">
        <v>101</v>
      </c>
      <c r="J57" s="20" t="n">
        <v>97</v>
      </c>
      <c r="K57" s="20" t="n">
        <v>66</v>
      </c>
      <c r="L57" s="20" t="n">
        <v>132</v>
      </c>
      <c r="M57" s="20" t="n">
        <v>258</v>
      </c>
      <c r="N57" s="20" t="n">
        <v>126</v>
      </c>
      <c r="O57" s="19" t="n">
        <v>360</v>
      </c>
      <c r="P57" s="20" t="n">
        <v>209</v>
      </c>
      <c r="Q57" s="20" t="n">
        <v>575</v>
      </c>
      <c r="R57" s="20" t="n">
        <v>391</v>
      </c>
      <c r="S57" s="20" t="n">
        <v>242</v>
      </c>
      <c r="T57" s="20" t="n">
        <v>323</v>
      </c>
      <c r="U57" s="20" t="n">
        <v>400</v>
      </c>
      <c r="V57" s="20" t="n">
        <v>764</v>
      </c>
      <c r="W57" s="20" t="n">
        <v>543</v>
      </c>
      <c r="X57" s="20" t="n">
        <v>553</v>
      </c>
      <c r="Y57" s="19">
        <f>IF(OR(Y4="",Y58=""),"",IFERROR(Y4*Y58,""))</f>
        <v/>
      </c>
      <c r="Z57" s="20">
        <f>IF(OR(Z4="",Z58=""),"",IFERROR(Z4*Z58,""))</f>
        <v/>
      </c>
      <c r="AA57" s="20">
        <f>IF(OR(AA4="",AA58=""),"",IFERROR(AA4*AA58,""))</f>
        <v/>
      </c>
      <c r="AB57" s="20">
        <f>IF(OR(AB4="",AB58=""),"",IFERROR(AB4*AB58,""))</f>
        <v/>
      </c>
      <c r="AC57" s="20">
        <f>IF(OR(AC4="",AC58=""),"",IFERROR(AC4*AC58,""))</f>
        <v/>
      </c>
    </row>
    <row r="58">
      <c r="A58" s="13" t="inlineStr">
        <is>
          <t>% of Sales</t>
        </is>
      </c>
      <c r="B58" s="10" t="n"/>
      <c r="C58" s="14">
        <f>IF(OR(C57="",C4=""),"",IFERROR(C57/C4,""))</f>
        <v/>
      </c>
      <c r="D58" s="15">
        <f>IF(OR(D57="",D4=""),"",IFERROR(D57/D4,""))</f>
        <v/>
      </c>
      <c r="E58" s="15">
        <f>IF(OR(E57="",E4=""),"",IFERROR(E57/E4,""))</f>
        <v/>
      </c>
      <c r="F58" s="15">
        <f>IF(OR(F57="",F4=""),"",IFERROR(F57/F4,""))</f>
        <v/>
      </c>
      <c r="G58" s="15">
        <f>IF(OR(G57="",G4=""),"",IFERROR(G57/G4,""))</f>
        <v/>
      </c>
      <c r="H58" s="15">
        <f>IF(OR(H57="",H4=""),"",IFERROR(H57/H4,""))</f>
        <v/>
      </c>
      <c r="I58" s="15">
        <f>IF(OR(I57="",I4=""),"",IFERROR(I57/I4,""))</f>
        <v/>
      </c>
      <c r="J58" s="15">
        <f>IF(OR(J57="",J4=""),"",IFERROR(J57/J4,""))</f>
        <v/>
      </c>
      <c r="K58" s="15">
        <f>IF(OR(K57="",K4=""),"",IFERROR(K57/K4,""))</f>
        <v/>
      </c>
      <c r="L58" s="15">
        <f>IF(OR(L57="",L4=""),"",IFERROR(L57/L4,""))</f>
        <v/>
      </c>
      <c r="M58" s="15">
        <f>IF(OR(M57="",M4=""),"",IFERROR(M57/M4,""))</f>
        <v/>
      </c>
      <c r="N58" s="15">
        <f>IF(OR(N57="",N4=""),"",IFERROR(N57/N4,""))</f>
        <v/>
      </c>
      <c r="O58" s="14">
        <f>IF(OR(O57="",O4=""),"",IFERROR(O57/O4,""))</f>
        <v/>
      </c>
      <c r="P58" s="15">
        <f>IF(OR(P57="",P4=""),"",IFERROR(P57/P4,""))</f>
        <v/>
      </c>
      <c r="Q58" s="15">
        <f>IF(OR(Q57="",Q4=""),"",IFERROR(Q57/Q4,""))</f>
        <v/>
      </c>
      <c r="R58" s="15">
        <f>IF(OR(R57="",R4=""),"",IFERROR(R57/R4,""))</f>
        <v/>
      </c>
      <c r="S58" s="15">
        <f>IF(OR(S57="",S4=""),"",IFERROR(S57/S4,""))</f>
        <v/>
      </c>
      <c r="T58" s="15">
        <f>IF(OR(T57="",T4=""),"",IFERROR(T57/T4,""))</f>
        <v/>
      </c>
      <c r="U58" s="15">
        <f>IF(OR(U57="",U4=""),"",IFERROR(U57/U4,""))</f>
        <v/>
      </c>
      <c r="V58" s="15">
        <f>IF(OR(V57="",V4=""),"",IFERROR(V57/V4,""))</f>
        <v/>
      </c>
      <c r="W58" s="15">
        <f>IF(OR(W57="",W4=""),"",IFERROR(W57/W4,""))</f>
        <v/>
      </c>
      <c r="X58" s="15">
        <f>IF(OR(X57="",X4=""),"",IFERROR(X57/X4,""))</f>
        <v/>
      </c>
      <c r="Y58" s="25">
        <f>IFERROR(AVERAGE(V58,W58,X58),"")</f>
        <v/>
      </c>
      <c r="Z58" s="26">
        <f>Y58</f>
        <v/>
      </c>
      <c r="AA58" s="26">
        <f>Z58</f>
        <v/>
      </c>
      <c r="AB58" s="26">
        <f>AA58</f>
        <v/>
      </c>
      <c r="AC58" s="26">
        <f>AB58</f>
        <v/>
      </c>
    </row>
    <row r="59">
      <c r="A59" s="18" t="inlineStr">
        <is>
          <t>영업외비용</t>
        </is>
      </c>
      <c r="B59" s="10" t="n"/>
      <c r="C59" s="19" t="n">
        <v>48</v>
      </c>
      <c r="D59" s="20" t="n">
        <v>33</v>
      </c>
      <c r="E59" s="20" t="n">
        <v>32</v>
      </c>
      <c r="F59" s="20" t="n">
        <v>30</v>
      </c>
      <c r="G59" s="20" t="n">
        <v>422</v>
      </c>
      <c r="H59" s="20" t="n">
        <v>-236</v>
      </c>
      <c r="I59" s="20" t="n">
        <v>169</v>
      </c>
      <c r="J59" s="20" t="n">
        <v>177</v>
      </c>
      <c r="K59" s="20" t="n">
        <v>-44</v>
      </c>
      <c r="L59" s="20" t="n">
        <v>-15</v>
      </c>
      <c r="M59" s="20" t="n">
        <v>117</v>
      </c>
      <c r="N59" s="20" t="n">
        <v>52</v>
      </c>
      <c r="O59" s="19" t="n">
        <v>434</v>
      </c>
      <c r="P59" s="20" t="n">
        <v>731</v>
      </c>
      <c r="Q59" s="20" t="n">
        <v>433</v>
      </c>
      <c r="R59" s="20" t="n">
        <v>403</v>
      </c>
      <c r="S59" s="20" t="n">
        <v>456</v>
      </c>
      <c r="T59" s="20" t="n">
        <v>472</v>
      </c>
      <c r="U59" s="20" t="n">
        <v>435</v>
      </c>
      <c r="V59" s="20" t="n">
        <v>146</v>
      </c>
      <c r="W59" s="20" t="n">
        <v>385</v>
      </c>
      <c r="X59" s="20" t="n">
        <v>235</v>
      </c>
      <c r="Y59" s="19">
        <f>IF(OR(Y4="",Y60=""),"",IFERROR(Y4*Y60,""))</f>
        <v/>
      </c>
      <c r="Z59" s="20">
        <f>IF(OR(Z4="",Z60=""),"",IFERROR(Z4*Z60,""))</f>
        <v/>
      </c>
      <c r="AA59" s="20">
        <f>IF(OR(AA4="",AA60=""),"",IFERROR(AA4*AA60,""))</f>
        <v/>
      </c>
      <c r="AB59" s="20">
        <f>IF(OR(AB4="",AB60=""),"",IFERROR(AB4*AB60,""))</f>
        <v/>
      </c>
      <c r="AC59" s="20">
        <f>IF(OR(AC4="",AC60=""),"",IFERROR(AC4*AC60,""))</f>
        <v/>
      </c>
    </row>
    <row r="60">
      <c r="A60" s="13" t="inlineStr">
        <is>
          <t>% of Sales</t>
        </is>
      </c>
      <c r="B60" s="10" t="n"/>
      <c r="C60" s="14">
        <f>IF(OR(C59="",C4=""),"",IFERROR(C59/C4,""))</f>
        <v/>
      </c>
      <c r="D60" s="15">
        <f>IF(OR(D59="",D4=""),"",IFERROR(D59/D4,""))</f>
        <v/>
      </c>
      <c r="E60" s="15">
        <f>IF(OR(E59="",E4=""),"",IFERROR(E59/E4,""))</f>
        <v/>
      </c>
      <c r="F60" s="15">
        <f>IF(OR(F59="",F4=""),"",IFERROR(F59/F4,""))</f>
        <v/>
      </c>
      <c r="G60" s="15">
        <f>IF(OR(G59="",G4=""),"",IFERROR(G59/G4,""))</f>
        <v/>
      </c>
      <c r="H60" s="15">
        <f>IF(OR(H59="",H4=""),"",IFERROR(H59/H4,""))</f>
        <v/>
      </c>
      <c r="I60" s="15">
        <f>IF(OR(I59="",I4=""),"",IFERROR(I59/I4,""))</f>
        <v/>
      </c>
      <c r="J60" s="15">
        <f>IF(OR(J59="",J4=""),"",IFERROR(J59/J4,""))</f>
        <v/>
      </c>
      <c r="K60" s="15">
        <f>IF(OR(K59="",K4=""),"",IFERROR(K59/K4,""))</f>
        <v/>
      </c>
      <c r="L60" s="15">
        <f>IF(OR(L59="",L4=""),"",IFERROR(L59/L4,""))</f>
        <v/>
      </c>
      <c r="M60" s="15">
        <f>IF(OR(M59="",M4=""),"",IFERROR(M59/M4,""))</f>
        <v/>
      </c>
      <c r="N60" s="15">
        <f>IF(OR(N59="",N4=""),"",IFERROR(N59/N4,""))</f>
        <v/>
      </c>
      <c r="O60" s="14">
        <f>IF(OR(O59="",O4=""),"",IFERROR(O59/O4,""))</f>
        <v/>
      </c>
      <c r="P60" s="15">
        <f>IF(OR(P59="",P4=""),"",IFERROR(P59/P4,""))</f>
        <v/>
      </c>
      <c r="Q60" s="15">
        <f>IF(OR(Q59="",Q4=""),"",IFERROR(Q59/Q4,""))</f>
        <v/>
      </c>
      <c r="R60" s="15">
        <f>IF(OR(R59="",R4=""),"",IFERROR(R59/R4,""))</f>
        <v/>
      </c>
      <c r="S60" s="15">
        <f>IF(OR(S59="",S4=""),"",IFERROR(S59/S4,""))</f>
        <v/>
      </c>
      <c r="T60" s="15">
        <f>IF(OR(T59="",T4=""),"",IFERROR(T59/T4,""))</f>
        <v/>
      </c>
      <c r="U60" s="15">
        <f>IF(OR(U59="",U4=""),"",IFERROR(U59/U4,""))</f>
        <v/>
      </c>
      <c r="V60" s="15">
        <f>IF(OR(V59="",V4=""),"",IFERROR(V59/V4,""))</f>
        <v/>
      </c>
      <c r="W60" s="15">
        <f>IF(OR(W59="",W4=""),"",IFERROR(W59/W4,""))</f>
        <v/>
      </c>
      <c r="X60" s="15">
        <f>IF(OR(X59="",X4=""),"",IFERROR(X59/X4,""))</f>
        <v/>
      </c>
      <c r="Y60" s="25">
        <f>IFERROR(AVERAGE(V60,W60,X60),"")</f>
        <v/>
      </c>
      <c r="Z60" s="26">
        <f>Y60</f>
        <v/>
      </c>
      <c r="AA60" s="26">
        <f>Z60</f>
        <v/>
      </c>
      <c r="AB60" s="26">
        <f>AA60</f>
        <v/>
      </c>
      <c r="AC60" s="26">
        <f>AB60</f>
        <v/>
      </c>
    </row>
    <row r="61">
      <c r="A61" s="9" t="inlineStr">
        <is>
          <t>법인세비용차감전순이익(손실)</t>
        </is>
      </c>
      <c r="B61" s="10" t="n"/>
      <c r="C61" s="11" t="n">
        <v>1349</v>
      </c>
      <c r="D61" s="12" t="n">
        <v>711</v>
      </c>
      <c r="E61" s="12" t="n">
        <v>1550</v>
      </c>
      <c r="F61" s="12" t="n">
        <v>2141</v>
      </c>
      <c r="G61" s="12" t="n">
        <v>832</v>
      </c>
      <c r="H61" s="12" t="n">
        <v>1157</v>
      </c>
      <c r="I61" s="12" t="n">
        <v>1122</v>
      </c>
      <c r="J61" s="12" t="n">
        <v>636</v>
      </c>
      <c r="K61" s="12" t="n">
        <v>2270</v>
      </c>
      <c r="L61" s="12" t="n">
        <v>2302</v>
      </c>
      <c r="M61" s="12" t="n">
        <v>1115</v>
      </c>
      <c r="N61" s="12" t="n">
        <v>2400</v>
      </c>
      <c r="O61" s="11" t="n">
        <v>6356</v>
      </c>
      <c r="P61" s="12" t="n">
        <v>3786</v>
      </c>
      <c r="Q61" s="12" t="n">
        <v>1119</v>
      </c>
      <c r="R61" s="12" t="n">
        <v>1492</v>
      </c>
      <c r="S61" s="12" t="n">
        <v>1484</v>
      </c>
      <c r="T61" s="12" t="n">
        <v>4033</v>
      </c>
      <c r="U61" s="12" t="n">
        <v>6684</v>
      </c>
      <c r="V61" s="12" t="n">
        <v>5023</v>
      </c>
      <c r="W61" s="12" t="n">
        <v>5252</v>
      </c>
      <c r="X61" s="12" t="n">
        <v>6323</v>
      </c>
      <c r="Y61" s="11">
        <f>IF(OR(Y37=""),"",IFERROR(Y37+N(Y53)-N(Y55)+N(Y57)-N(Y59),""))</f>
        <v/>
      </c>
      <c r="Z61" s="12">
        <f>IF(OR(Z37=""),"",IFERROR(Z37+N(Z53)-N(Z55)+N(Z57)-N(Z59),""))</f>
        <v/>
      </c>
      <c r="AA61" s="12">
        <f>IF(OR(AA37=""),"",IFERROR(AA37+N(AA53)-N(AA55)+N(AA57)-N(AA59),""))</f>
        <v/>
      </c>
      <c r="AB61" s="12">
        <f>IF(OR(AB37=""),"",IFERROR(AB37+N(AB53)-N(AB55)+N(AB57)-N(AB59),""))</f>
        <v/>
      </c>
      <c r="AC61" s="12">
        <f>IF(OR(AC37=""),"",IFERROR(AC37+N(AC53)-N(AC55)+N(AC57)-N(AC59),""))</f>
        <v/>
      </c>
    </row>
    <row r="62">
      <c r="A62" s="18" t="inlineStr">
        <is>
          <t>법인세비용(수익)</t>
        </is>
      </c>
      <c r="B62" s="10" t="n"/>
      <c r="C62" s="19" t="n">
        <v>253</v>
      </c>
      <c r="D62" s="20" t="n">
        <v>234</v>
      </c>
      <c r="E62" s="20" t="n">
        <v>360</v>
      </c>
      <c r="F62" s="20" t="n">
        <v>611</v>
      </c>
      <c r="G62" s="20" t="n">
        <v>227</v>
      </c>
      <c r="H62" s="20" t="n">
        <v>342</v>
      </c>
      <c r="I62" s="20" t="n">
        <v>12</v>
      </c>
      <c r="J62" s="20" t="n">
        <v>270</v>
      </c>
      <c r="K62" s="20" t="n">
        <v>367</v>
      </c>
      <c r="L62" s="20" t="n">
        <v>650</v>
      </c>
      <c r="M62" s="20" t="n">
        <v>-249</v>
      </c>
      <c r="N62" s="20" t="n">
        <v>607</v>
      </c>
      <c r="O62" s="19" t="n">
        <v>1180</v>
      </c>
      <c r="P62" s="20" t="n">
        <v>1205</v>
      </c>
      <c r="Q62" s="20" t="n">
        <v>740</v>
      </c>
      <c r="R62" s="20" t="n">
        <v>916</v>
      </c>
      <c r="S62" s="20" t="n">
        <v>544</v>
      </c>
      <c r="T62" s="20" t="n">
        <v>1404</v>
      </c>
      <c r="U62" s="20" t="n">
        <v>1839</v>
      </c>
      <c r="V62" s="20" t="n">
        <v>1504</v>
      </c>
      <c r="W62" s="20" t="n">
        <v>1192</v>
      </c>
      <c r="X62" s="20" t="n">
        <v>1038</v>
      </c>
      <c r="Y62" s="19">
        <f>IF(OR(Y61="",Y63=""),"",IFERROR(MAX(Y61,0)*Y63,""))</f>
        <v/>
      </c>
      <c r="Z62" s="20">
        <f>IF(OR(Z61="",Z63=""),"",IFERROR(MAX(Z61,0)*Z63,""))</f>
        <v/>
      </c>
      <c r="AA62" s="20">
        <f>IF(OR(AA61="",AA63=""),"",IFERROR(MAX(AA61,0)*AA63,""))</f>
        <v/>
      </c>
      <c r="AB62" s="20">
        <f>IF(OR(AB61="",AB63=""),"",IFERROR(MAX(AB61,0)*AB63,""))</f>
        <v/>
      </c>
      <c r="AC62" s="20">
        <f>IF(OR(AC61="",AC63=""),"",IFERROR(MAX(AC61,0)*AC63,""))</f>
        <v/>
      </c>
    </row>
    <row r="63">
      <c r="A63" s="13" t="inlineStr">
        <is>
          <t>법인세율</t>
        </is>
      </c>
      <c r="B63" s="10" t="inlineStr">
        <is>
          <t>MW 기본 30%</t>
        </is>
      </c>
      <c r="C63" s="14">
        <f>IF(OR(C62="",C61=""),"",IFERROR(C62/C61,""))</f>
        <v/>
      </c>
      <c r="D63" s="15">
        <f>IF(OR(D62="",D61=""),"",IFERROR(D62/D61,""))</f>
        <v/>
      </c>
      <c r="E63" s="15">
        <f>IF(OR(E62="",E61=""),"",IFERROR(E62/E61,""))</f>
        <v/>
      </c>
      <c r="F63" s="15">
        <f>IF(OR(F62="",F61=""),"",IFERROR(F62/F61,""))</f>
        <v/>
      </c>
      <c r="G63" s="15">
        <f>IF(OR(G62="",G61=""),"",IFERROR(G62/G61,""))</f>
        <v/>
      </c>
      <c r="H63" s="15">
        <f>IF(OR(H62="",H61=""),"",IFERROR(H62/H61,""))</f>
        <v/>
      </c>
      <c r="I63" s="15">
        <f>IF(OR(I62="",I61=""),"",IFERROR(I62/I61,""))</f>
        <v/>
      </c>
      <c r="J63" s="15">
        <f>IF(OR(J62="",J61=""),"",IFERROR(J62/J61,""))</f>
        <v/>
      </c>
      <c r="K63" s="15">
        <f>IF(OR(K62="",K61=""),"",IFERROR(K62/K61,""))</f>
        <v/>
      </c>
      <c r="L63" s="15">
        <f>IF(OR(L62="",L61=""),"",IFERROR(L62/L61,""))</f>
        <v/>
      </c>
      <c r="M63" s="15">
        <f>IF(OR(M62="",M61=""),"",IFERROR(M62/M61,""))</f>
        <v/>
      </c>
      <c r="N63" s="15">
        <f>IF(OR(N62="",N61=""),"",IFERROR(N62/N61,""))</f>
        <v/>
      </c>
      <c r="O63" s="14">
        <f>IF(OR(O62="",O61=""),"",IFERROR(O62/O61,""))</f>
        <v/>
      </c>
      <c r="P63" s="15">
        <f>IF(OR(P62="",P61=""),"",IFERROR(P62/P61,""))</f>
        <v/>
      </c>
      <c r="Q63" s="15">
        <f>IF(OR(Q62="",Q61=""),"",IFERROR(Q62/Q61,""))</f>
        <v/>
      </c>
      <c r="R63" s="15">
        <f>IF(OR(R62="",R61=""),"",IFERROR(R62/R61,""))</f>
        <v/>
      </c>
      <c r="S63" s="15">
        <f>IF(OR(S62="",S61=""),"",IFERROR(S62/S61,""))</f>
        <v/>
      </c>
      <c r="T63" s="15">
        <f>IF(OR(T62="",T61=""),"",IFERROR(T62/T61,""))</f>
        <v/>
      </c>
      <c r="U63" s="15">
        <f>IF(OR(U62="",U61=""),"",IFERROR(U62/U61,""))</f>
        <v/>
      </c>
      <c r="V63" s="15">
        <f>IF(OR(V62="",V61=""),"",IFERROR(V62/V61,""))</f>
        <v/>
      </c>
      <c r="W63" s="15">
        <f>IF(OR(W62="",W61=""),"",IFERROR(W62/W61,""))</f>
        <v/>
      </c>
      <c r="X63" s="15">
        <f>IF(OR(X62="",X61=""),"",IFERROR(X62/X61,""))</f>
        <v/>
      </c>
      <c r="Y63" s="25" t="n">
        <v>0.3</v>
      </c>
      <c r="Z63" s="26" t="n">
        <v>0.3</v>
      </c>
      <c r="AA63" s="26" t="n">
        <v>0.3</v>
      </c>
      <c r="AB63" s="26" t="n">
        <v>0.3</v>
      </c>
      <c r="AC63" s="26" t="n">
        <v>0.3</v>
      </c>
    </row>
    <row r="64">
      <c r="A64" s="9" t="inlineStr">
        <is>
          <t>당기순이익(손실)</t>
        </is>
      </c>
      <c r="B64" s="10" t="n"/>
      <c r="C64" s="11" t="n">
        <v>1096</v>
      </c>
      <c r="D64" s="12" t="n">
        <v>476</v>
      </c>
      <c r="E64" s="12" t="n">
        <v>1191</v>
      </c>
      <c r="F64" s="12" t="n">
        <v>1530</v>
      </c>
      <c r="G64" s="12" t="n">
        <v>604</v>
      </c>
      <c r="H64" s="12" t="n">
        <v>815</v>
      </c>
      <c r="I64" s="12" t="n">
        <v>1110</v>
      </c>
      <c r="J64" s="12" t="n">
        <v>365</v>
      </c>
      <c r="K64" s="12" t="n">
        <v>1903</v>
      </c>
      <c r="L64" s="12" t="n">
        <v>1653</v>
      </c>
      <c r="M64" s="12" t="n">
        <v>1364</v>
      </c>
      <c r="N64" s="12" t="n">
        <v>1792</v>
      </c>
      <c r="O64" s="11" t="n">
        <v>5176</v>
      </c>
      <c r="P64" s="12" t="n">
        <v>2580</v>
      </c>
      <c r="Q64" s="12" t="n">
        <v>378</v>
      </c>
      <c r="R64" s="12" t="n">
        <v>575</v>
      </c>
      <c r="S64" s="12" t="n">
        <v>939</v>
      </c>
      <c r="T64" s="12" t="n">
        <v>2628</v>
      </c>
      <c r="U64" s="12" t="n">
        <v>4844</v>
      </c>
      <c r="V64" s="12" t="n">
        <v>3519</v>
      </c>
      <c r="W64" s="12" t="n">
        <v>4059</v>
      </c>
      <c r="X64" s="12" t="n">
        <v>5285</v>
      </c>
      <c r="Y64" s="11">
        <f>IF(OR(Y61=""),"",IFERROR(Y61-Y62,""))</f>
        <v/>
      </c>
      <c r="Z64" s="12">
        <f>IF(OR(Z61=""),"",IFERROR(Z61-Z62,""))</f>
        <v/>
      </c>
      <c r="AA64" s="12">
        <f>IF(OR(AA61=""),"",IFERROR(AA61-AA62,""))</f>
        <v/>
      </c>
      <c r="AB64" s="12">
        <f>IF(OR(AB61=""),"",IFERROR(AB61-AB62,""))</f>
        <v/>
      </c>
      <c r="AC64" s="12">
        <f>IF(OR(AC61=""),"",IFERROR(AC61-AC62,""))</f>
        <v/>
      </c>
    </row>
    <row r="65">
      <c r="A65" s="9" t="inlineStr">
        <is>
          <t>지배주주 순이익</t>
        </is>
      </c>
      <c r="B65" s="10" t="n"/>
      <c r="C65" s="11" t="n">
        <v>1063</v>
      </c>
      <c r="D65" s="12" t="n">
        <v>486</v>
      </c>
      <c r="E65" s="12" t="n">
        <v>1159</v>
      </c>
      <c r="F65" s="12" t="n">
        <v>1518</v>
      </c>
      <c r="G65" s="12" t="n">
        <v>576</v>
      </c>
      <c r="H65" s="12" t="n">
        <v>778</v>
      </c>
      <c r="I65" s="12" t="n">
        <v>1071</v>
      </c>
      <c r="J65" s="12" t="n">
        <v>362</v>
      </c>
      <c r="K65" s="12" t="n">
        <v>1885</v>
      </c>
      <c r="L65" s="12" t="n">
        <v>1629</v>
      </c>
      <c r="M65" s="12" t="n">
        <v>1357</v>
      </c>
      <c r="N65" s="12" t="n">
        <v>1782</v>
      </c>
      <c r="O65" s="11" t="n">
        <v>5152</v>
      </c>
      <c r="P65" s="12" t="n">
        <v>2536</v>
      </c>
      <c r="Q65" s="12" t="n">
        <v>332</v>
      </c>
      <c r="R65" s="12" t="n">
        <v>489</v>
      </c>
      <c r="S65" s="12" t="n">
        <v>893</v>
      </c>
      <c r="T65" s="12" t="n">
        <v>2528</v>
      </c>
      <c r="U65" s="12" t="n">
        <v>4621</v>
      </c>
      <c r="V65" s="12" t="n">
        <v>3443</v>
      </c>
      <c r="W65" s="12" t="n">
        <v>3943</v>
      </c>
      <c r="X65" s="12" t="n">
        <v>5233</v>
      </c>
      <c r="Y65" s="11">
        <f>IF(OR(Y64="",Y66=""),"",IFERROR(Y64*Y66,""))</f>
        <v/>
      </c>
      <c r="Z65" s="12">
        <f>IF(OR(Z64="",Z66=""),"",IFERROR(Z64*Z66,""))</f>
        <v/>
      </c>
      <c r="AA65" s="12">
        <f>IF(OR(AA64="",AA66=""),"",IFERROR(AA64*AA66,""))</f>
        <v/>
      </c>
      <c r="AB65" s="12">
        <f>IF(OR(AB64="",AB66=""),"",IFERROR(AB64*AB66,""))</f>
        <v/>
      </c>
      <c r="AC65" s="12">
        <f>IF(OR(AC64="",AC66=""),"",IFERROR(AC64*AC66,""))</f>
        <v/>
      </c>
    </row>
    <row r="66">
      <c r="A66" s="13" t="inlineStr">
        <is>
          <t>지배주주 순이익률</t>
        </is>
      </c>
      <c r="B66" s="10" t="inlineStr">
        <is>
          <t>MW 기본 100%</t>
        </is>
      </c>
      <c r="C66" s="14">
        <f>IF(OR(C65="",C64=""),"",IFERROR(C65/C64,""))</f>
        <v/>
      </c>
      <c r="D66" s="15">
        <f>IF(OR(D65="",D64=""),"",IFERROR(D65/D64,""))</f>
        <v/>
      </c>
      <c r="E66" s="15">
        <f>IF(OR(E65="",E64=""),"",IFERROR(E65/E64,""))</f>
        <v/>
      </c>
      <c r="F66" s="15">
        <f>IF(OR(F65="",F64=""),"",IFERROR(F65/F64,""))</f>
        <v/>
      </c>
      <c r="G66" s="15">
        <f>IF(OR(G65="",G64=""),"",IFERROR(G65/G64,""))</f>
        <v/>
      </c>
      <c r="H66" s="15">
        <f>IF(OR(H65="",H64=""),"",IFERROR(H65/H64,""))</f>
        <v/>
      </c>
      <c r="I66" s="15">
        <f>IF(OR(I65="",I64=""),"",IFERROR(I65/I64,""))</f>
        <v/>
      </c>
      <c r="J66" s="15">
        <f>IF(OR(J65="",J64=""),"",IFERROR(J65/J64,""))</f>
        <v/>
      </c>
      <c r="K66" s="15">
        <f>IF(OR(K65="",K64=""),"",IFERROR(K65/K64,""))</f>
        <v/>
      </c>
      <c r="L66" s="15">
        <f>IF(OR(L65="",L64=""),"",IFERROR(L65/L64,""))</f>
        <v/>
      </c>
      <c r="M66" s="15">
        <f>IF(OR(M65="",M64=""),"",IFERROR(M65/M64,""))</f>
        <v/>
      </c>
      <c r="N66" s="15">
        <f>IF(OR(N65="",N64=""),"",IFERROR(N65/N64,""))</f>
        <v/>
      </c>
      <c r="O66" s="14">
        <f>IF(OR(O65="",O64=""),"",IFERROR(O65/O64,""))</f>
        <v/>
      </c>
      <c r="P66" s="15">
        <f>IF(OR(P65="",P64=""),"",IFERROR(P65/P64,""))</f>
        <v/>
      </c>
      <c r="Q66" s="15">
        <f>IF(OR(Q65="",Q64=""),"",IFERROR(Q65/Q64,""))</f>
        <v/>
      </c>
      <c r="R66" s="15">
        <f>IF(OR(R65="",R64=""),"",IFERROR(R65/R64,""))</f>
        <v/>
      </c>
      <c r="S66" s="15">
        <f>IF(OR(S65="",S64=""),"",IFERROR(S65/S64,""))</f>
        <v/>
      </c>
      <c r="T66" s="15">
        <f>IF(OR(T65="",T64=""),"",IFERROR(T65/T64,""))</f>
        <v/>
      </c>
      <c r="U66" s="15">
        <f>IF(OR(U65="",U64=""),"",IFERROR(U65/U64,""))</f>
        <v/>
      </c>
      <c r="V66" s="15">
        <f>IF(OR(V65="",V64=""),"",IFERROR(V65/V64,""))</f>
        <v/>
      </c>
      <c r="W66" s="15">
        <f>IF(OR(W65="",W64=""),"",IFERROR(W65/W64,""))</f>
        <v/>
      </c>
      <c r="X66" s="15">
        <f>IF(OR(X65="",X64=""),"",IFERROR(X65/X64,""))</f>
        <v/>
      </c>
      <c r="Y66" s="25" t="n">
        <v>1</v>
      </c>
      <c r="Z66" s="26" t="n">
        <v>1</v>
      </c>
      <c r="AA66" s="26" t="n">
        <v>1</v>
      </c>
      <c r="AB66" s="26" t="n">
        <v>1</v>
      </c>
      <c r="AC66" s="26" t="n">
        <v>1</v>
      </c>
    </row>
    <row r="67">
      <c r="A67" s="16" t="inlineStr">
        <is>
          <t>목표주가 산출</t>
        </is>
      </c>
      <c r="B67" s="16" t="n"/>
      <c r="C67" s="17" t="n"/>
      <c r="D67" s="16" t="n"/>
      <c r="E67" s="16" t="n"/>
      <c r="F67" s="16" t="n"/>
      <c r="G67" s="16" t="n"/>
      <c r="H67" s="16" t="n"/>
      <c r="I67" s="16" t="n"/>
      <c r="J67" s="16" t="n"/>
      <c r="K67" s="16" t="n"/>
      <c r="L67" s="16" t="n"/>
      <c r="M67" s="16" t="n"/>
      <c r="N67" s="16" t="n"/>
      <c r="O67" s="17" t="n"/>
      <c r="P67" s="16" t="n"/>
      <c r="Q67" s="16" t="n"/>
      <c r="R67" s="16" t="n"/>
      <c r="S67" s="16" t="n"/>
      <c r="T67" s="16" t="n"/>
      <c r="U67" s="16" t="n"/>
      <c r="V67" s="16" t="n"/>
      <c r="W67" s="16" t="n"/>
      <c r="X67" s="16" t="n"/>
      <c r="Y67" s="17" t="n"/>
      <c r="Z67" s="16" t="n"/>
      <c r="AA67" s="16" t="n"/>
      <c r="AB67" s="16" t="n"/>
      <c r="AC67" s="16" t="n"/>
    </row>
    <row r="68">
      <c r="A68" s="18" t="inlineStr">
        <is>
          <t>현재 주가 ()</t>
        </is>
      </c>
      <c r="B68" s="27" t="n"/>
      <c r="C68" s="28" t="n"/>
      <c r="D68" s="29" t="n"/>
      <c r="E68" s="29" t="n"/>
      <c r="F68" s="29" t="n"/>
      <c r="G68" s="29" t="n"/>
      <c r="H68" s="29" t="n"/>
      <c r="I68" s="29" t="n"/>
      <c r="J68" s="29" t="n"/>
      <c r="K68" s="29" t="n"/>
      <c r="L68" s="29" t="n"/>
      <c r="M68" s="29" t="n"/>
      <c r="N68" s="29" t="n"/>
      <c r="O68" s="28" t="n"/>
      <c r="P68" s="29" t="n"/>
      <c r="Q68" s="29" t="n"/>
      <c r="R68" s="29" t="n"/>
      <c r="S68" s="29" t="n"/>
      <c r="T68" s="29" t="n"/>
      <c r="U68" s="29" t="n"/>
      <c r="V68" s="29" t="n"/>
      <c r="W68" s="29" t="n"/>
      <c r="X68" s="29" t="n"/>
      <c r="Y68" s="28" t="n"/>
      <c r="Z68" s="29" t="n"/>
      <c r="AA68" s="29" t="n"/>
      <c r="AB68" s="29" t="n"/>
      <c r="AC68" s="29" t="n"/>
    </row>
    <row r="69">
      <c r="A69" s="18" t="inlineStr">
        <is>
          <t>발행주식수 (보통주)</t>
        </is>
      </c>
      <c r="B69" s="27" t="n"/>
      <c r="C69" s="28" t="n"/>
      <c r="D69" s="29" t="n"/>
      <c r="E69" s="29" t="n"/>
      <c r="F69" s="29" t="n"/>
      <c r="G69" s="29" t="n"/>
      <c r="H69" s="29" t="n"/>
      <c r="I69" s="29" t="n"/>
      <c r="J69" s="29" t="n"/>
      <c r="K69" s="29" t="n"/>
      <c r="L69" s="29" t="n"/>
      <c r="M69" s="29" t="n"/>
      <c r="N69" s="29" t="n"/>
      <c r="O69" s="28" t="n"/>
      <c r="P69" s="29" t="n"/>
      <c r="Q69" s="29" t="n"/>
      <c r="R69" s="29" t="n"/>
      <c r="S69" s="29" t="n"/>
      <c r="T69" s="29" t="n"/>
      <c r="U69" s="29" t="n"/>
      <c r="V69" s="29" t="n"/>
      <c r="W69" s="29" t="n"/>
      <c r="X69" s="29" t="n"/>
      <c r="Y69" s="28" t="n"/>
      <c r="Z69" s="29" t="n"/>
      <c r="AA69" s="29" t="n"/>
      <c r="AB69" s="29" t="n"/>
      <c r="AC69" s="29" t="n"/>
    </row>
    <row r="70">
      <c r="A70" s="18" t="inlineStr">
        <is>
          <t>시가총액 (백만엔)</t>
        </is>
      </c>
      <c r="B70" s="12">
        <f>IF(OR(B68="",B69=""),"",B68*B69/1000000.0)</f>
        <v/>
      </c>
      <c r="C70" s="19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19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19" t="n"/>
      <c r="Z70" s="20" t="n"/>
      <c r="AA70" s="20" t="n"/>
      <c r="AB70" s="20" t="n"/>
      <c r="AC70" s="20" t="n"/>
    </row>
    <row r="71">
      <c r="A71" s="13" t="inlineStr">
        <is>
          <t>OPM</t>
        </is>
      </c>
      <c r="B71" s="10" t="n"/>
      <c r="C71" s="14" t="n"/>
      <c r="D71" s="15" t="n"/>
      <c r="E71" s="15" t="n"/>
      <c r="F71" s="15" t="n"/>
      <c r="G71" s="15" t="n"/>
      <c r="H71" s="15" t="n"/>
      <c r="I71" s="15" t="n"/>
      <c r="J71" s="15" t="n"/>
      <c r="K71" s="15" t="n"/>
      <c r="L71" s="15" t="n"/>
      <c r="M71" s="15" t="n"/>
      <c r="N71" s="15" t="n"/>
      <c r="O71" s="14">
        <f>IF(O38="","",O38)</f>
        <v/>
      </c>
      <c r="P71" s="15">
        <f>IF(P38="","",P38)</f>
        <v/>
      </c>
      <c r="Q71" s="15">
        <f>IF(Q38="","",Q38)</f>
        <v/>
      </c>
      <c r="R71" s="15">
        <f>IF(R38="","",R38)</f>
        <v/>
      </c>
      <c r="S71" s="15">
        <f>IF(S38="","",S38)</f>
        <v/>
      </c>
      <c r="T71" s="15">
        <f>IF(T38="","",T38)</f>
        <v/>
      </c>
      <c r="U71" s="15">
        <f>IF(U38="","",U38)</f>
        <v/>
      </c>
      <c r="V71" s="15">
        <f>IF(V38="","",V38)</f>
        <v/>
      </c>
      <c r="W71" s="15">
        <f>IF(W38="","",W38)</f>
        <v/>
      </c>
      <c r="X71" s="15">
        <f>IF(X38="","",X38)</f>
        <v/>
      </c>
      <c r="Y71" s="14">
        <f>IF(Y38="","",Y38)</f>
        <v/>
      </c>
      <c r="Z71" s="15">
        <f>IF(Z38="","",Z38)</f>
        <v/>
      </c>
      <c r="AA71" s="15">
        <f>IF(AA38="","",AA38)</f>
        <v/>
      </c>
      <c r="AB71" s="15">
        <f>IF(AB38="","",AB38)</f>
        <v/>
      </c>
      <c r="AC71" s="15">
        <f>IF(AC38="","",AC38)</f>
        <v/>
      </c>
    </row>
    <row r="72">
      <c r="A72" s="13" t="inlineStr">
        <is>
          <t>지배주주 순이익 증가율</t>
        </is>
      </c>
      <c r="B72" s="10" t="n"/>
      <c r="C72" s="14" t="n"/>
      <c r="D72" s="15" t="n"/>
      <c r="E72" s="15" t="n"/>
      <c r="F72" s="15" t="n"/>
      <c r="G72" s="15" t="n"/>
      <c r="H72" s="15" t="n"/>
      <c r="I72" s="15" t="n"/>
      <c r="J72" s="15" t="n"/>
      <c r="K72" s="15" t="n"/>
      <c r="L72" s="15" t="n"/>
      <c r="M72" s="15" t="n"/>
      <c r="N72" s="15" t="n"/>
      <c r="O72" s="14" t="n"/>
      <c r="P72" s="15">
        <f>IF(OR(P65="",O65=""),"",IFERROR(P65/O65-1,""))</f>
        <v/>
      </c>
      <c r="Q72" s="15">
        <f>IF(OR(Q65="",P65=""),"",IFERROR(Q65/P65-1,""))</f>
        <v/>
      </c>
      <c r="R72" s="15">
        <f>IF(OR(R65="",Q65=""),"",IFERROR(R65/Q65-1,""))</f>
        <v/>
      </c>
      <c r="S72" s="15">
        <f>IF(OR(S65="",R65=""),"",IFERROR(S65/R65-1,""))</f>
        <v/>
      </c>
      <c r="T72" s="15">
        <f>IF(OR(T65="",S65=""),"",IFERROR(T65/S65-1,""))</f>
        <v/>
      </c>
      <c r="U72" s="15">
        <f>IF(OR(U65="",T65=""),"",IFERROR(U65/T65-1,""))</f>
        <v/>
      </c>
      <c r="V72" s="15">
        <f>IF(OR(V65="",U65=""),"",IFERROR(V65/U65-1,""))</f>
        <v/>
      </c>
      <c r="W72" s="15">
        <f>IF(OR(W65="",V65=""),"",IFERROR(W65/V65-1,""))</f>
        <v/>
      </c>
      <c r="X72" s="15">
        <f>IF(OR(X65="",W65=""),"",IFERROR(X65/W65-1,""))</f>
        <v/>
      </c>
      <c r="Y72" s="14">
        <f>IF(OR(Y65="",X65=""),"",IFERROR(Y65/X65-1,""))</f>
        <v/>
      </c>
      <c r="Z72" s="15">
        <f>IF(OR(Z65="",Y65=""),"",IFERROR(Z65/Y65-1,""))</f>
        <v/>
      </c>
      <c r="AA72" s="15">
        <f>IF(OR(AA65="",Z65=""),"",IFERROR(AA65/Z65-1,""))</f>
        <v/>
      </c>
      <c r="AB72" s="15">
        <f>IF(OR(AB65="",AA65=""),"",IFERROR(AB65/AA65-1,""))</f>
        <v/>
      </c>
      <c r="AC72" s="15">
        <f>IF(OR(AC65="",AB65=""),"",IFERROR(AC65/AB65-1,""))</f>
        <v/>
      </c>
    </row>
    <row r="73">
      <c r="A73" s="18" t="inlineStr">
        <is>
          <t>P/E (현재 주가)</t>
        </is>
      </c>
      <c r="B73" s="10" t="inlineStr">
        <is>
          <t>시총 ÷ 지배순이익</t>
        </is>
      </c>
      <c r="C73" s="30" t="n"/>
      <c r="D73" s="31" t="n"/>
      <c r="E73" s="31" t="n"/>
      <c r="F73" s="31" t="n"/>
      <c r="G73" s="31" t="n"/>
      <c r="H73" s="31" t="n"/>
      <c r="I73" s="31" t="n"/>
      <c r="J73" s="31" t="n"/>
      <c r="K73" s="31" t="n"/>
      <c r="L73" s="31" t="n"/>
      <c r="M73" s="31" t="n"/>
      <c r="N73" s="31" t="n"/>
      <c r="O73" s="30" t="n"/>
      <c r="P73" s="31" t="n"/>
      <c r="Q73" s="31" t="n"/>
      <c r="R73" s="31" t="n"/>
      <c r="S73" s="31" t="n"/>
      <c r="T73" s="31" t="n"/>
      <c r="U73" s="31" t="n"/>
      <c r="V73" s="31" t="n"/>
      <c r="W73" s="31" t="n"/>
      <c r="X73" s="31">
        <f>IF(OR($B$70="",X65=""),"",IFERROR($B$70/X65,""))</f>
        <v/>
      </c>
      <c r="Y73" s="30">
        <f>IF(OR($B$70="",Y65=""),"",IFERROR($B$70/Y65,""))</f>
        <v/>
      </c>
      <c r="Z73" s="31">
        <f>IF(OR($B$70="",Z65=""),"",IFERROR($B$70/Z65,""))</f>
        <v/>
      </c>
      <c r="AA73" s="31">
        <f>IF(OR($B$70="",AA65=""),"",IFERROR($B$70/AA65,""))</f>
        <v/>
      </c>
      <c r="AB73" s="31">
        <f>IF(OR($B$70="",AB65=""),"",IFERROR($B$70/AB65,""))</f>
        <v/>
      </c>
      <c r="AC73" s="31">
        <f>IF(OR($B$70="",AC65=""),"",IFERROR($B$70/AC65,""))</f>
        <v/>
      </c>
    </row>
    <row r="74">
      <c r="A74" s="18" t="inlineStr">
        <is>
          <t>Target P/E</t>
        </is>
      </c>
      <c r="B74" s="10" t="inlineStr">
        <is>
          <t>직접 입력</t>
        </is>
      </c>
      <c r="C74" s="30" t="n"/>
      <c r="D74" s="31" t="n"/>
      <c r="E74" s="31" t="n"/>
      <c r="F74" s="31" t="n"/>
      <c r="G74" s="31" t="n"/>
      <c r="H74" s="31" t="n"/>
      <c r="I74" s="31" t="n"/>
      <c r="J74" s="31" t="n"/>
      <c r="K74" s="31" t="n"/>
      <c r="L74" s="31" t="n"/>
      <c r="M74" s="31" t="n"/>
      <c r="N74" s="31" t="n"/>
      <c r="O74" s="30" t="n"/>
      <c r="P74" s="31" t="n"/>
      <c r="Q74" s="31" t="n"/>
      <c r="R74" s="31" t="n"/>
      <c r="S74" s="31" t="n"/>
      <c r="T74" s="31" t="n"/>
      <c r="U74" s="31" t="n"/>
      <c r="V74" s="31" t="n"/>
      <c r="W74" s="31" t="n"/>
      <c r="X74" s="31" t="n"/>
      <c r="Y74" s="32" t="n"/>
      <c r="Z74" s="33" t="n"/>
      <c r="AA74" s="33" t="n"/>
      <c r="AB74" s="33" t="n"/>
      <c r="AC74" s="33" t="n"/>
    </row>
    <row r="75">
      <c r="A75" s="18" t="inlineStr">
        <is>
          <t>EPS</t>
        </is>
      </c>
      <c r="B75" s="10" t="inlineStr">
        <is>
          <t>지배순이익 ÷ 주식수</t>
        </is>
      </c>
      <c r="C75" s="28" t="n"/>
      <c r="D75" s="29" t="n"/>
      <c r="E75" s="29" t="n"/>
      <c r="F75" s="29" t="n"/>
      <c r="G75" s="29" t="n"/>
      <c r="H75" s="29" t="n"/>
      <c r="I75" s="29" t="n"/>
      <c r="J75" s="29" t="n"/>
      <c r="K75" s="29" t="n"/>
      <c r="L75" s="29" t="n"/>
      <c r="M75" s="29" t="n"/>
      <c r="N75" s="29" t="n"/>
      <c r="O75" s="28">
        <f>IF(OR(O65="",$B$69=""),"",IFERROR(O65*1000000.0/$B$69,""))</f>
        <v/>
      </c>
      <c r="P75" s="29">
        <f>IF(OR(P65="",$B$69=""),"",IFERROR(P65*1000000.0/$B$69,""))</f>
        <v/>
      </c>
      <c r="Q75" s="29">
        <f>IF(OR(Q65="",$B$69=""),"",IFERROR(Q65*1000000.0/$B$69,""))</f>
        <v/>
      </c>
      <c r="R75" s="29">
        <f>IF(OR(R65="",$B$69=""),"",IFERROR(R65*1000000.0/$B$69,""))</f>
        <v/>
      </c>
      <c r="S75" s="29">
        <f>IF(OR(S65="",$B$69=""),"",IFERROR(S65*1000000.0/$B$69,""))</f>
        <v/>
      </c>
      <c r="T75" s="29">
        <f>IF(OR(T65="",$B$69=""),"",IFERROR(T65*1000000.0/$B$69,""))</f>
        <v/>
      </c>
      <c r="U75" s="29">
        <f>IF(OR(U65="",$B$69=""),"",IFERROR(U65*1000000.0/$B$69,""))</f>
        <v/>
      </c>
      <c r="V75" s="29">
        <f>IF(OR(V65="",$B$69=""),"",IFERROR(V65*1000000.0/$B$69,""))</f>
        <v/>
      </c>
      <c r="W75" s="29">
        <f>IF(OR(W65="",$B$69=""),"",IFERROR(W65*1000000.0/$B$69,""))</f>
        <v/>
      </c>
      <c r="X75" s="29">
        <f>IF(OR(X65="",$B$69=""),"",IFERROR(X65*1000000.0/$B$69,""))</f>
        <v/>
      </c>
      <c r="Y75" s="28">
        <f>IF(OR(Y65="",$B$69=""),"",IFERROR(Y65*1000000.0/$B$69,""))</f>
        <v/>
      </c>
      <c r="Z75" s="29">
        <f>IF(OR(Z65="",$B$69=""),"",IFERROR(Z65*1000000.0/$B$69,""))</f>
        <v/>
      </c>
      <c r="AA75" s="29">
        <f>IF(OR(AA65="",$B$69=""),"",IFERROR(AA65*1000000.0/$B$69,""))</f>
        <v/>
      </c>
      <c r="AB75" s="29">
        <f>IF(OR(AB65="",$B$69=""),"",IFERROR(AB65*1000000.0/$B$69,""))</f>
        <v/>
      </c>
      <c r="AC75" s="29">
        <f>IF(OR(AC65="",$B$69=""),"",IFERROR(AC65*1000000.0/$B$69,""))</f>
        <v/>
      </c>
    </row>
    <row r="76">
      <c r="A76" s="9" t="inlineStr">
        <is>
          <t>목표주가</t>
        </is>
      </c>
      <c r="B76" s="10" t="n"/>
      <c r="C76" s="34" t="n"/>
      <c r="D76" s="27" t="n"/>
      <c r="E76" s="27" t="n"/>
      <c r="F76" s="27" t="n"/>
      <c r="G76" s="27" t="n"/>
      <c r="H76" s="27" t="n"/>
      <c r="I76" s="27" t="n"/>
      <c r="J76" s="27" t="n"/>
      <c r="K76" s="27" t="n"/>
      <c r="L76" s="27" t="n"/>
      <c r="M76" s="27" t="n"/>
      <c r="N76" s="27" t="n"/>
      <c r="O76" s="34" t="n"/>
      <c r="P76" s="27" t="n"/>
      <c r="Q76" s="27" t="n"/>
      <c r="R76" s="27" t="n"/>
      <c r="S76" s="27" t="n"/>
      <c r="T76" s="27" t="n"/>
      <c r="U76" s="27" t="n"/>
      <c r="V76" s="27" t="n"/>
      <c r="W76" s="27" t="n"/>
      <c r="X76" s="27" t="n"/>
      <c r="Y76" s="34">
        <f>IF(OR(Y75="",Y74=""),"",IFERROR(Y75*Y74,""))</f>
        <v/>
      </c>
      <c r="Z76" s="27">
        <f>IF(OR(Z75="",Z74=""),"",IFERROR(Z75*Z74,""))</f>
        <v/>
      </c>
      <c r="AA76" s="27">
        <f>IF(OR(AA75="",AA74=""),"",IFERROR(AA75*AA74,""))</f>
        <v/>
      </c>
      <c r="AB76" s="27">
        <f>IF(OR(AB75="",AB74=""),"",IFERROR(AB75*AB74,""))</f>
        <v/>
      </c>
      <c r="AC76" s="27">
        <f>IF(OR(AC75="",AC74=""),"",IFERROR(AC75*AC74,""))</f>
        <v/>
      </c>
    </row>
    <row r="77">
      <c r="A77" s="18" t="inlineStr">
        <is>
          <t>상승여력</t>
        </is>
      </c>
      <c r="B77" s="10" t="n"/>
      <c r="C77" s="35" t="n"/>
      <c r="D77" s="36" t="n"/>
      <c r="E77" s="36" t="n"/>
      <c r="F77" s="36" t="n"/>
      <c r="G77" s="36" t="n"/>
      <c r="H77" s="36" t="n"/>
      <c r="I77" s="36" t="n"/>
      <c r="J77" s="36" t="n"/>
      <c r="K77" s="36" t="n"/>
      <c r="L77" s="36" t="n"/>
      <c r="M77" s="36" t="n"/>
      <c r="N77" s="36" t="n"/>
      <c r="O77" s="35" t="n"/>
      <c r="P77" s="36" t="n"/>
      <c r="Q77" s="36" t="n"/>
      <c r="R77" s="36" t="n"/>
      <c r="S77" s="36" t="n"/>
      <c r="T77" s="36" t="n"/>
      <c r="U77" s="36" t="n"/>
      <c r="V77" s="36" t="n"/>
      <c r="W77" s="36" t="n"/>
      <c r="X77" s="36" t="n"/>
      <c r="Y77" s="37">
        <f>IF(OR(Y76="",$B$68=""),"",IFERROR(Y76/$B$68-1,""))</f>
        <v/>
      </c>
      <c r="Z77" s="38">
        <f>IF(OR(Z76="",$B$68=""),"",IFERROR(Z76/$B$68-1,""))</f>
        <v/>
      </c>
      <c r="AA77" s="38">
        <f>IF(OR(AA76="",$B$68=""),"",IFERROR(AA76/$B$68-1,""))</f>
        <v/>
      </c>
      <c r="AB77" s="38">
        <f>IF(OR(AB76="",$B$68=""),"",IFERROR(AB76/$B$68-1,""))</f>
        <v/>
      </c>
      <c r="AC77" s="38">
        <f>IF(OR(AC76="",$B$68=""),"",IFERROR(AC76/$B$68-1,""))</f>
        <v/>
      </c>
    </row>
    <row r="78">
      <c r="A78" s="16" t="inlineStr">
        <is>
          <t>자산가치 산출</t>
        </is>
      </c>
      <c r="B78" s="16" t="inlineStr">
        <is>
          <t>최신 분기 BS</t>
        </is>
      </c>
      <c r="C78" s="17" t="n"/>
      <c r="D78" s="16" t="n"/>
      <c r="E78" s="16" t="n"/>
      <c r="F78" s="16" t="n"/>
      <c r="G78" s="16" t="n"/>
      <c r="H78" s="16" t="n"/>
      <c r="I78" s="16" t="n"/>
      <c r="J78" s="16" t="n"/>
      <c r="K78" s="16" t="n"/>
      <c r="L78" s="16" t="n"/>
      <c r="M78" s="16" t="n"/>
      <c r="N78" s="16" t="n"/>
      <c r="O78" s="17" t="n"/>
      <c r="P78" s="16" t="n"/>
      <c r="Q78" s="16" t="n"/>
      <c r="R78" s="16" t="n"/>
      <c r="S78" s="16" t="n"/>
      <c r="T78" s="16" t="n"/>
      <c r="U78" s="16" t="n"/>
      <c r="V78" s="16" t="n"/>
      <c r="W78" s="16" t="n"/>
      <c r="X78" s="16" t="n"/>
      <c r="Y78" s="17" t="n"/>
      <c r="Z78" s="16" t="n"/>
      <c r="AA78" s="16" t="n"/>
      <c r="AB78" s="16" t="n"/>
      <c r="AC78" s="16" t="n"/>
    </row>
    <row r="79">
      <c r="A79" s="18" t="inlineStr">
        <is>
          <t>현금및현금성자산</t>
        </is>
      </c>
      <c r="B79" s="10" t="n"/>
      <c r="C79" s="19" t="n"/>
      <c r="D79" s="20" t="n"/>
      <c r="E79" s="20" t="n"/>
      <c r="F79" s="20" t="n"/>
      <c r="G79" s="20" t="n"/>
      <c r="H79" s="20" t="n"/>
      <c r="I79" s="20" t="n"/>
      <c r="J79" s="20" t="n"/>
      <c r="K79" s="20" t="n"/>
      <c r="L79" s="20" t="n"/>
      <c r="M79" s="20" t="n"/>
      <c r="N79" s="20" t="n"/>
      <c r="O79" s="19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>
        <f>'재무상태표'!G6</f>
        <v/>
      </c>
      <c r="Y79" s="19">
        <f>'재무상태표'!G6</f>
        <v/>
      </c>
      <c r="Z79" s="20">
        <f>'재무상태표'!G6</f>
        <v/>
      </c>
      <c r="AA79" s="20">
        <f>'재무상태표'!G6</f>
        <v/>
      </c>
      <c r="AB79" s="20">
        <f>'재무상태표'!G6</f>
        <v/>
      </c>
      <c r="AC79" s="20">
        <f>'재무상태표'!G6</f>
        <v/>
      </c>
    </row>
    <row r="80">
      <c r="A80" s="18" t="inlineStr">
        <is>
          <t>단기금융상품</t>
        </is>
      </c>
      <c r="B80" s="10" t="n"/>
      <c r="C80" s="19" t="n"/>
      <c r="D80" s="20" t="n"/>
      <c r="E80" s="20" t="n"/>
      <c r="F80" s="20" t="n"/>
      <c r="G80" s="20" t="n"/>
      <c r="H80" s="20" t="n"/>
      <c r="I80" s="20" t="n"/>
      <c r="J80" s="20" t="n"/>
      <c r="K80" s="20" t="n"/>
      <c r="L80" s="20" t="n"/>
      <c r="M80" s="20" t="n"/>
      <c r="N80" s="20" t="n"/>
      <c r="O80" s="19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>
        <f>'재무상태표'!G7</f>
        <v/>
      </c>
      <c r="Y80" s="19">
        <f>'재무상태표'!G7</f>
        <v/>
      </c>
      <c r="Z80" s="20">
        <f>'재무상태표'!G7</f>
        <v/>
      </c>
      <c r="AA80" s="20">
        <f>'재무상태표'!G7</f>
        <v/>
      </c>
      <c r="AB80" s="20">
        <f>'재무상태표'!G7</f>
        <v/>
      </c>
      <c r="AC80" s="20">
        <f>'재무상태표'!G7</f>
        <v/>
      </c>
    </row>
    <row r="81">
      <c r="A81" s="18" t="inlineStr">
        <is>
          <t>투자부동산</t>
        </is>
      </c>
      <c r="B81" s="10" t="n"/>
      <c r="C81" s="19" t="n"/>
      <c r="D81" s="20" t="n"/>
      <c r="E81" s="20" t="n"/>
      <c r="F81" s="20" t="n"/>
      <c r="G81" s="20" t="n"/>
      <c r="H81" s="20" t="n"/>
      <c r="I81" s="20" t="n"/>
      <c r="J81" s="20" t="n"/>
      <c r="K81" s="20" t="n"/>
      <c r="L81" s="20" t="n"/>
      <c r="M81" s="20" t="n"/>
      <c r="N81" s="20" t="n"/>
      <c r="O81" s="19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>
        <f>'재무상태표'!G14</f>
        <v/>
      </c>
      <c r="Y81" s="19">
        <f>'재무상태표'!G14</f>
        <v/>
      </c>
      <c r="Z81" s="20">
        <f>'재무상태표'!G14</f>
        <v/>
      </c>
      <c r="AA81" s="20">
        <f>'재무상태표'!G14</f>
        <v/>
      </c>
      <c r="AB81" s="20">
        <f>'재무상태표'!G14</f>
        <v/>
      </c>
      <c r="AC81" s="20">
        <f>'재무상태표'!G14</f>
        <v/>
      </c>
    </row>
    <row r="82">
      <c r="A82" s="18" t="inlineStr">
        <is>
          <t>지배자본</t>
        </is>
      </c>
      <c r="B82" s="10" t="n"/>
      <c r="C82" s="19" t="n"/>
      <c r="D82" s="20" t="n"/>
      <c r="E82" s="20" t="n"/>
      <c r="F82" s="20" t="n"/>
      <c r="G82" s="20" t="n"/>
      <c r="H82" s="20" t="n"/>
      <c r="I82" s="20" t="n"/>
      <c r="J82" s="20" t="n"/>
      <c r="K82" s="20" t="n"/>
      <c r="L82" s="20" t="n"/>
      <c r="M82" s="20" t="n"/>
      <c r="N82" s="20" t="n"/>
      <c r="O82" s="19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>
        <f>'재무상태표'!G31</f>
        <v/>
      </c>
      <c r="Y82" s="19">
        <f>'재무상태표'!G31</f>
        <v/>
      </c>
      <c r="Z82" s="20">
        <f>'재무상태표'!G31</f>
        <v/>
      </c>
      <c r="AA82" s="20">
        <f>'재무상태표'!G31</f>
        <v/>
      </c>
      <c r="AB82" s="20">
        <f>'재무상태표'!G31</f>
        <v/>
      </c>
      <c r="AC82" s="20">
        <f>'재무상태표'!G31</f>
        <v/>
      </c>
    </row>
    <row r="83">
      <c r="A83" s="18" t="inlineStr">
        <is>
          <t>부채</t>
        </is>
      </c>
      <c r="B83" s="10" t="n"/>
      <c r="C83" s="19" t="n"/>
      <c r="D83" s="20" t="n"/>
      <c r="E83" s="20" t="n"/>
      <c r="F83" s="20" t="n"/>
      <c r="G83" s="20" t="n"/>
      <c r="H83" s="20" t="n"/>
      <c r="I83" s="20" t="n"/>
      <c r="J83" s="20" t="n"/>
      <c r="K83" s="20" t="n"/>
      <c r="L83" s="20" t="n"/>
      <c r="M83" s="20" t="n"/>
      <c r="N83" s="20" t="n"/>
      <c r="O83" s="19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>
        <f>'재무상태표'!G27</f>
        <v/>
      </c>
      <c r="Y83" s="19">
        <f>'재무상태표'!G27</f>
        <v/>
      </c>
      <c r="Z83" s="20">
        <f>'재무상태표'!G27</f>
        <v/>
      </c>
      <c r="AA83" s="20">
        <f>'재무상태표'!G27</f>
        <v/>
      </c>
      <c r="AB83" s="20">
        <f>'재무상태표'!G27</f>
        <v/>
      </c>
      <c r="AC83" s="20">
        <f>'재무상태표'!G27</f>
        <v/>
      </c>
    </row>
    <row r="84">
      <c r="A84" s="13" t="inlineStr">
        <is>
          <t>부채비율</t>
        </is>
      </c>
      <c r="B84" s="10" t="n"/>
      <c r="C84" s="14" t="n"/>
      <c r="D84" s="15" t="n"/>
      <c r="E84" s="15" t="n"/>
      <c r="F84" s="15" t="n"/>
      <c r="G84" s="15" t="n"/>
      <c r="H84" s="15" t="n"/>
      <c r="I84" s="15" t="n"/>
      <c r="J84" s="15" t="n"/>
      <c r="K84" s="15" t="n"/>
      <c r="L84" s="15" t="n"/>
      <c r="M84" s="15" t="n"/>
      <c r="N84" s="15" t="n"/>
      <c r="O84" s="14" t="n"/>
      <c r="P84" s="15" t="n"/>
      <c r="Q84" s="15" t="n"/>
      <c r="R84" s="15" t="n"/>
      <c r="S84" s="15" t="n"/>
      <c r="T84" s="15" t="n"/>
      <c r="U84" s="15" t="n"/>
      <c r="V84" s="15" t="n"/>
      <c r="W84" s="15" t="n"/>
      <c r="X84" s="15">
        <f>IF(OR(X83="",X82=""),"",IFERROR(X83/X82,""))</f>
        <v/>
      </c>
      <c r="Y84" s="14">
        <f>IF(OR(Y83="",Y82=""),"",IFERROR(Y83/Y82,""))</f>
        <v/>
      </c>
      <c r="Z84" s="15">
        <f>IF(OR(Z83="",Z82=""),"",IFERROR(Z83/Z82,""))</f>
        <v/>
      </c>
      <c r="AA84" s="15">
        <f>IF(OR(AA83="",AA82=""),"",IFERROR(AA83/AA82,""))</f>
        <v/>
      </c>
      <c r="AB84" s="15">
        <f>IF(OR(AB83="",AB82=""),"",IFERROR(AB83/AB82,""))</f>
        <v/>
      </c>
      <c r="AC84" s="15">
        <f>IF(OR(AC83="",AC82=""),"",IFERROR(AC83/AC82,""))</f>
        <v/>
      </c>
    </row>
    <row r="85">
      <c r="A85" s="9" t="inlineStr">
        <is>
          <t>자산가치</t>
        </is>
      </c>
      <c r="B85" s="10" t="inlineStr">
        <is>
          <t>현금+단기금융+투자부동산</t>
        </is>
      </c>
      <c r="C85" s="11" t="n"/>
      <c r="D85" s="12" t="n"/>
      <c r="E85" s="12" t="n"/>
      <c r="F85" s="12" t="n"/>
      <c r="G85" s="12" t="n"/>
      <c r="H85" s="12" t="n"/>
      <c r="I85" s="12" t="n"/>
      <c r="J85" s="12" t="n"/>
      <c r="K85" s="12" t="n"/>
      <c r="L85" s="12" t="n"/>
      <c r="M85" s="12" t="n"/>
      <c r="N85" s="12" t="n"/>
      <c r="O85" s="11" t="n"/>
      <c r="P85" s="12" t="n"/>
      <c r="Q85" s="12" t="n"/>
      <c r="R85" s="12" t="n"/>
      <c r="S85" s="12" t="n"/>
      <c r="T85" s="12" t="n"/>
      <c r="U85" s="12" t="n"/>
      <c r="V85" s="12" t="n"/>
      <c r="W85" s="12" t="n"/>
      <c r="X85" s="12">
        <f>SUM(X79,X80,X81)</f>
        <v/>
      </c>
      <c r="Y85" s="11">
        <f>SUM(Y79,Y80,Y81)</f>
        <v/>
      </c>
      <c r="Z85" s="12">
        <f>SUM(Z79,Z80,Z81)</f>
        <v/>
      </c>
      <c r="AA85" s="12">
        <f>SUM(AA79,AA80,AA81)</f>
        <v/>
      </c>
      <c r="AB85" s="12">
        <f>SUM(AB79,AB80,AB81)</f>
        <v/>
      </c>
      <c r="AC85" s="12">
        <f>SUM(AC79,AC80,AC81)</f>
        <v/>
      </c>
    </row>
    <row r="86">
      <c r="A86" s="16" t="inlineStr">
        <is>
          <t>기업가치 산출</t>
        </is>
      </c>
      <c r="B86" s="16" t="n"/>
      <c r="C86" s="17" t="n"/>
      <c r="D86" s="16" t="n"/>
      <c r="E86" s="16" t="n"/>
      <c r="F86" s="16" t="n"/>
      <c r="G86" s="16" t="n"/>
      <c r="H86" s="16" t="n"/>
      <c r="I86" s="16" t="n"/>
      <c r="J86" s="16" t="n"/>
      <c r="K86" s="16" t="n"/>
      <c r="L86" s="16" t="n"/>
      <c r="M86" s="16" t="n"/>
      <c r="N86" s="16" t="n"/>
      <c r="O86" s="17" t="n"/>
      <c r="P86" s="16" t="n"/>
      <c r="Q86" s="16" t="n"/>
      <c r="R86" s="16" t="n"/>
      <c r="S86" s="16" t="n"/>
      <c r="T86" s="16" t="n"/>
      <c r="U86" s="16" t="n"/>
      <c r="V86" s="16" t="n"/>
      <c r="W86" s="16" t="n"/>
      <c r="X86" s="16" t="n"/>
      <c r="Y86" s="17" t="n"/>
      <c r="Z86" s="16" t="n"/>
      <c r="AA86" s="16" t="n"/>
      <c r="AB86" s="16" t="n"/>
      <c r="AC86" s="16" t="n"/>
    </row>
    <row r="87">
      <c r="A87" s="18" t="inlineStr">
        <is>
          <t>목표 시가총액 (P/E)</t>
        </is>
      </c>
      <c r="B87" s="10" t="inlineStr">
        <is>
          <t>지배순이익 × Target P/E</t>
        </is>
      </c>
      <c r="C87" s="19" t="n"/>
      <c r="D87" s="20" t="n"/>
      <c r="E87" s="20" t="n"/>
      <c r="F87" s="20" t="n"/>
      <c r="G87" s="20" t="n"/>
      <c r="H87" s="20" t="n"/>
      <c r="I87" s="20" t="n"/>
      <c r="J87" s="20" t="n"/>
      <c r="K87" s="20" t="n"/>
      <c r="L87" s="20" t="n"/>
      <c r="M87" s="20" t="n"/>
      <c r="N87" s="20" t="n"/>
      <c r="O87" s="19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19">
        <f>IF(OR(Y65="",Y74=""),"",IFERROR(Y65*Y74,""))</f>
        <v/>
      </c>
      <c r="Z87" s="20">
        <f>IF(OR(Z65="",Z74=""),"",IFERROR(Z65*Z74,""))</f>
        <v/>
      </c>
      <c r="AA87" s="20">
        <f>IF(OR(AA65="",AA74=""),"",IFERROR(AA65*AA74,""))</f>
        <v/>
      </c>
      <c r="AB87" s="20">
        <f>IF(OR(AB65="",AB74=""),"",IFERROR(AB65*AB74,""))</f>
        <v/>
      </c>
      <c r="AC87" s="20">
        <f>IF(OR(AC65="",AC74=""),"",IFERROR(AC65*AC74,""))</f>
        <v/>
      </c>
    </row>
    <row r="88">
      <c r="A88" s="9" t="inlineStr">
        <is>
          <t>기업가치</t>
        </is>
      </c>
      <c r="B88" s="10" t="inlineStr">
        <is>
          <t>목표시총 + 자산가치</t>
        </is>
      </c>
      <c r="C88" s="11" t="n"/>
      <c r="D88" s="12" t="n"/>
      <c r="E88" s="12" t="n"/>
      <c r="F88" s="12" t="n"/>
      <c r="G88" s="12" t="n"/>
      <c r="H88" s="12" t="n"/>
      <c r="I88" s="12" t="n"/>
      <c r="J88" s="12" t="n"/>
      <c r="K88" s="12" t="n"/>
      <c r="L88" s="12" t="n"/>
      <c r="M88" s="12" t="n"/>
      <c r="N88" s="12" t="n"/>
      <c r="O88" s="11" t="n"/>
      <c r="P88" s="12" t="n"/>
      <c r="Q88" s="12" t="n"/>
      <c r="R88" s="12" t="n"/>
      <c r="S88" s="12" t="n"/>
      <c r="T88" s="12" t="n"/>
      <c r="U88" s="12" t="n"/>
      <c r="V88" s="12" t="n"/>
      <c r="W88" s="12" t="n"/>
      <c r="X88" s="12" t="n"/>
      <c r="Y88" s="11">
        <f>IF(OR(Y87=""),"",IFERROR(Y87+Y85,""))</f>
        <v/>
      </c>
      <c r="Z88" s="12">
        <f>IF(OR(Z87=""),"",IFERROR(Z87+Z85,""))</f>
        <v/>
      </c>
      <c r="AA88" s="12">
        <f>IF(OR(AA87=""),"",IFERROR(AA87+AA85,""))</f>
        <v/>
      </c>
      <c r="AB88" s="12">
        <f>IF(OR(AB87=""),"",IFERROR(AB87+AB85,""))</f>
        <v/>
      </c>
      <c r="AC88" s="12">
        <f>IF(OR(AC87=""),"",IFERROR(AC87+AC85,""))</f>
        <v/>
      </c>
    </row>
    <row r="89">
      <c r="A89" s="18" t="inlineStr">
        <is>
          <t>현재 시가총액</t>
        </is>
      </c>
      <c r="B89" s="10" t="n"/>
      <c r="C89" s="19" t="n"/>
      <c r="D89" s="20" t="n"/>
      <c r="E89" s="20" t="n"/>
      <c r="F89" s="20" t="n"/>
      <c r="G89" s="20" t="n"/>
      <c r="H89" s="20" t="n"/>
      <c r="I89" s="20" t="n"/>
      <c r="J89" s="20" t="n"/>
      <c r="K89" s="20" t="n"/>
      <c r="L89" s="20" t="n"/>
      <c r="M89" s="20" t="n"/>
      <c r="N89" s="20" t="n"/>
      <c r="O89" s="19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19">
        <f>$B$70</f>
        <v/>
      </c>
      <c r="Z89" s="20">
        <f>$B$70</f>
        <v/>
      </c>
      <c r="AA89" s="20">
        <f>$B$70</f>
        <v/>
      </c>
      <c r="AB89" s="20">
        <f>$B$70</f>
        <v/>
      </c>
      <c r="AC89" s="20">
        <f>$B$70</f>
        <v/>
      </c>
    </row>
    <row r="90">
      <c r="A90" s="18" t="inlineStr">
        <is>
          <t>상승여력</t>
        </is>
      </c>
      <c r="B90" s="10" t="n"/>
      <c r="C90" s="35" t="n"/>
      <c r="D90" s="36" t="n"/>
      <c r="E90" s="36" t="n"/>
      <c r="F90" s="36" t="n"/>
      <c r="G90" s="36" t="n"/>
      <c r="H90" s="36" t="n"/>
      <c r="I90" s="36" t="n"/>
      <c r="J90" s="36" t="n"/>
      <c r="K90" s="36" t="n"/>
      <c r="L90" s="36" t="n"/>
      <c r="M90" s="36" t="n"/>
      <c r="N90" s="36" t="n"/>
      <c r="O90" s="35" t="n"/>
      <c r="P90" s="36" t="n"/>
      <c r="Q90" s="36" t="n"/>
      <c r="R90" s="36" t="n"/>
      <c r="S90" s="36" t="n"/>
      <c r="T90" s="36" t="n"/>
      <c r="U90" s="36" t="n"/>
      <c r="V90" s="36" t="n"/>
      <c r="W90" s="36" t="n"/>
      <c r="X90" s="36" t="n"/>
      <c r="Y90" s="37">
        <f>IF(OR(Y88="",Y89=""),"",IFERROR(Y88/Y89-1,""))</f>
        <v/>
      </c>
      <c r="Z90" s="38">
        <f>IF(OR(Z88="",Z89=""),"",IFERROR(Z88/Z89-1,""))</f>
        <v/>
      </c>
      <c r="AA90" s="38">
        <f>IF(OR(AA88="",AA89=""),"",IFERROR(AA88/AA89-1,""))</f>
        <v/>
      </c>
      <c r="AB90" s="38">
        <f>IF(OR(AB88="",AB89=""),"",IFERROR(AB88/AB89-1,""))</f>
        <v/>
      </c>
      <c r="AC90" s="38">
        <f>IF(OR(AC88="",AC89=""),"",IFERROR(AC88/AC89-1,""))</f>
        <v/>
      </c>
    </row>
    <row r="91">
      <c r="C91" s="39" t="n"/>
      <c r="O91" s="39" t="n"/>
      <c r="Y91" s="39" t="n"/>
    </row>
    <row r="92">
      <c r="A92" s="40" t="inlineStr">
        <is>
          <t>출처</t>
        </is>
      </c>
      <c r="C92" s="39" t="n"/>
      <c r="O92" s="39" t="n"/>
      <c r="Y92" s="39" t="n"/>
    </row>
    <row r="93">
      <c r="A93" s="41" t="inlineStr">
        <is>
          <t>결산단신 XBRL(TDnet·JPX 보관소) — 쓴 문서는 '출처' 시트</t>
        </is>
      </c>
      <c r="C93" s="39" t="n"/>
      <c r="O93" s="39" t="n"/>
      <c r="Y93" s="39" t="n"/>
    </row>
    <row r="94">
      <c r="A94" s="41" t="inlineStr">
        <is>
          <t>분기 = 누계에서 앞 분기를 뺀 3개월 값</t>
        </is>
      </c>
      <c r="C94" s="39" t="n"/>
      <c r="O94" s="39" t="n"/>
      <c r="Y94" s="39" t="n"/>
    </row>
    <row r="95">
      <c r="A95" s="41" t="inlineStr">
        <is>
          <t>주가: 야후 파이낸스 일봉</t>
        </is>
      </c>
      <c r="C95" s="39" t="n"/>
      <c r="O95" s="39" t="n"/>
      <c r="Y95" s="39" t="n"/>
    </row>
    <row r="97">
      <c r="A97" s="16" t="inlineStr">
        <is>
          <t>손익계산서 · 전 항목</t>
        </is>
      </c>
      <c r="B97" s="42" t="inlineStr">
        <is>
          <t>분기 = 3개월 단독</t>
        </is>
      </c>
      <c r="C97" s="16" t="n"/>
      <c r="D97" s="16" t="n"/>
      <c r="E97" s="16" t="n"/>
      <c r="F97" s="16" t="n"/>
      <c r="G97" s="16" t="n"/>
      <c r="H97" s="16" t="n"/>
      <c r="I97" s="16" t="n"/>
      <c r="J97" s="16" t="n"/>
      <c r="K97" s="16" t="n"/>
      <c r="L97" s="16" t="n"/>
      <c r="M97" s="16" t="n"/>
      <c r="N97" s="16" t="n"/>
      <c r="O97" s="16" t="n"/>
      <c r="P97" s="16" t="n"/>
      <c r="Q97" s="16" t="n"/>
      <c r="R97" s="16" t="n"/>
      <c r="S97" s="16" t="n"/>
      <c r="T97" s="16" t="n"/>
      <c r="U97" s="16" t="n"/>
      <c r="V97" s="16" t="n"/>
      <c r="W97" s="16" t="n"/>
      <c r="X97" s="16" t="n"/>
      <c r="Y97" s="16" t="n"/>
      <c r="Z97" s="16" t="n"/>
      <c r="AA97" s="16" t="n"/>
      <c r="AB97" s="16" t="n"/>
      <c r="AC97" s="16" t="n"/>
    </row>
    <row r="98">
      <c r="A98" s="5" t="inlineStr">
        <is>
          <t>항목</t>
        </is>
      </c>
      <c r="B98" s="5" t="inlineStr">
        <is>
          <t>참고</t>
        </is>
      </c>
      <c r="C98" s="5" t="inlineStr">
        <is>
          <t>2024.2Q</t>
        </is>
      </c>
      <c r="D98" s="5" t="inlineStr">
        <is>
          <t>2024.3Q</t>
        </is>
      </c>
      <c r="E98" s="5" t="inlineStr">
        <is>
          <t>2024.4Q</t>
        </is>
      </c>
      <c r="F98" s="5" t="inlineStr">
        <is>
          <t>2025.1Q</t>
        </is>
      </c>
      <c r="G98" s="5" t="inlineStr">
        <is>
          <t>2025.2Q</t>
        </is>
      </c>
      <c r="H98" s="5" t="inlineStr">
        <is>
          <t>2025.3Q</t>
        </is>
      </c>
      <c r="I98" s="5" t="inlineStr">
        <is>
          <t>2025.4Q</t>
        </is>
      </c>
      <c r="J98" s="5" t="inlineStr">
        <is>
          <t>2026.1Q</t>
        </is>
      </c>
      <c r="K98" s="5" t="inlineStr">
        <is>
          <t>2026.2Q</t>
        </is>
      </c>
      <c r="L98" s="5" t="inlineStr">
        <is>
          <t>2026.3Q</t>
        </is>
      </c>
      <c r="M98" s="5" t="inlineStr">
        <is>
          <t>2026.4Q</t>
        </is>
      </c>
      <c r="N98" s="5" t="inlineStr">
        <is>
          <t>2027.1Q</t>
        </is>
      </c>
      <c r="O98" s="5" t="inlineStr">
        <is>
          <t>2017</t>
        </is>
      </c>
      <c r="P98" s="5" t="inlineStr">
        <is>
          <t>2018</t>
        </is>
      </c>
      <c r="Q98" s="5" t="inlineStr">
        <is>
          <t>2019</t>
        </is>
      </c>
      <c r="R98" s="5" t="inlineStr">
        <is>
          <t>2020</t>
        </is>
      </c>
      <c r="S98" s="5" t="inlineStr">
        <is>
          <t>2021</t>
        </is>
      </c>
      <c r="T98" s="5" t="inlineStr">
        <is>
          <t>2022</t>
        </is>
      </c>
      <c r="U98" s="5" t="inlineStr">
        <is>
          <t>2023</t>
        </is>
      </c>
      <c r="V98" s="5" t="inlineStr">
        <is>
          <t>2024</t>
        </is>
      </c>
      <c r="W98" s="5" t="inlineStr">
        <is>
          <t>2025</t>
        </is>
      </c>
      <c r="X98" s="5" t="inlineStr">
        <is>
          <t>2026</t>
        </is>
      </c>
      <c r="Y98" s="5" t="inlineStr">
        <is>
          <t>2027(MW)</t>
        </is>
      </c>
      <c r="Z98" s="5" t="inlineStr">
        <is>
          <t>2028(MW)</t>
        </is>
      </c>
      <c r="AA98" s="5" t="inlineStr">
        <is>
          <t>2029(MW)</t>
        </is>
      </c>
      <c r="AB98" s="5" t="inlineStr">
        <is>
          <t>2030(MW)</t>
        </is>
      </c>
      <c r="AC98" s="5" t="inlineStr">
        <is>
          <t>2031(MW)</t>
        </is>
      </c>
    </row>
    <row r="99">
      <c r="A99" s="9" t="inlineStr">
        <is>
          <t>매출액</t>
        </is>
      </c>
      <c r="C99" s="12" t="n">
        <v>9485</v>
      </c>
      <c r="D99" s="12" t="n">
        <v>8754</v>
      </c>
      <c r="E99" s="12" t="n">
        <v>9851</v>
      </c>
      <c r="F99" s="12" t="n">
        <v>10601</v>
      </c>
      <c r="G99" s="12" t="n">
        <v>9099</v>
      </c>
      <c r="H99" s="12" t="n">
        <v>9105</v>
      </c>
      <c r="I99" s="12" t="n">
        <v>9264</v>
      </c>
      <c r="J99" s="12" t="n">
        <v>8999</v>
      </c>
      <c r="K99" s="12" t="n">
        <v>11902</v>
      </c>
      <c r="L99" s="12" t="n">
        <v>11473</v>
      </c>
      <c r="M99" s="12" t="n">
        <v>10166</v>
      </c>
      <c r="N99" s="12" t="n">
        <v>12572</v>
      </c>
      <c r="T99" s="12" t="n">
        <v>9021</v>
      </c>
      <c r="U99" s="12" t="n">
        <v>9970</v>
      </c>
      <c r="V99" s="12" t="n">
        <v>9851</v>
      </c>
      <c r="W99" s="12" t="n">
        <v>9264</v>
      </c>
      <c r="X99" s="12" t="n">
        <v>10166</v>
      </c>
    </row>
    <row r="100">
      <c r="A100" s="18" t="inlineStr">
        <is>
          <t>매출원가</t>
        </is>
      </c>
      <c r="C100" s="20" t="n">
        <v>5114</v>
      </c>
      <c r="D100" s="20" t="n">
        <v>4793</v>
      </c>
      <c r="E100" s="20" t="n">
        <v>5721</v>
      </c>
      <c r="F100" s="20" t="n">
        <v>5394</v>
      </c>
      <c r="G100" s="20" t="n">
        <v>4792</v>
      </c>
      <c r="H100" s="20" t="n">
        <v>5319</v>
      </c>
      <c r="I100" s="20" t="n">
        <v>5093</v>
      </c>
      <c r="J100" s="20" t="n">
        <v>5009</v>
      </c>
      <c r="K100" s="20" t="n">
        <v>6572</v>
      </c>
      <c r="L100" s="20" t="n">
        <v>5994</v>
      </c>
      <c r="M100" s="20" t="n">
        <v>5610</v>
      </c>
      <c r="N100" s="20" t="n">
        <v>6475</v>
      </c>
      <c r="T100" s="20" t="n">
        <v>5122</v>
      </c>
      <c r="U100" s="20" t="n">
        <v>5197</v>
      </c>
      <c r="V100" s="20" t="n">
        <v>5721</v>
      </c>
      <c r="W100" s="20" t="n">
        <v>5093</v>
      </c>
      <c r="X100" s="20" t="n">
        <v>5610</v>
      </c>
    </row>
    <row r="101">
      <c r="A101" s="9" t="inlineStr">
        <is>
          <t>매출총이익</t>
        </is>
      </c>
      <c r="C101" s="12" t="n">
        <v>4371</v>
      </c>
      <c r="D101" s="12" t="n">
        <v>3960</v>
      </c>
      <c r="E101" s="12" t="n">
        <v>4131</v>
      </c>
      <c r="F101" s="12" t="n">
        <v>5206</v>
      </c>
      <c r="G101" s="12" t="n">
        <v>4308</v>
      </c>
      <c r="H101" s="12" t="n">
        <v>3786</v>
      </c>
      <c r="I101" s="12" t="n">
        <v>4170</v>
      </c>
      <c r="J101" s="12" t="n">
        <v>3990</v>
      </c>
      <c r="K101" s="12" t="n">
        <v>5329</v>
      </c>
      <c r="L101" s="12" t="n">
        <v>5479</v>
      </c>
      <c r="M101" s="12" t="n">
        <v>4557</v>
      </c>
      <c r="N101" s="12" t="n">
        <v>6097</v>
      </c>
      <c r="T101" s="12" t="n">
        <v>3898</v>
      </c>
      <c r="U101" s="12" t="n">
        <v>4774</v>
      </c>
      <c r="V101" s="12" t="n">
        <v>4131</v>
      </c>
      <c r="W101" s="12" t="n">
        <v>4170</v>
      </c>
      <c r="X101" s="12" t="n">
        <v>4557</v>
      </c>
    </row>
    <row r="102">
      <c r="A102" s="18" t="inlineStr">
        <is>
          <t>판매비와 관리비</t>
        </is>
      </c>
      <c r="C102" s="20" t="n">
        <v>3166</v>
      </c>
      <c r="D102" s="20" t="n">
        <v>3022</v>
      </c>
      <c r="E102" s="20" t="n">
        <v>3040</v>
      </c>
      <c r="F102" s="20" t="n">
        <v>3053</v>
      </c>
      <c r="G102" s="20" t="n">
        <v>3106</v>
      </c>
      <c r="H102" s="20" t="n">
        <v>3057</v>
      </c>
      <c r="I102" s="20" t="n">
        <v>2967</v>
      </c>
      <c r="J102" s="20" t="n">
        <v>3084</v>
      </c>
      <c r="K102" s="20" t="n">
        <v>3184</v>
      </c>
      <c r="L102" s="20" t="n">
        <v>3330</v>
      </c>
      <c r="M102" s="20" t="n">
        <v>3592</v>
      </c>
      <c r="N102" s="20" t="n">
        <v>3768</v>
      </c>
      <c r="T102" s="20" t="n">
        <v>2517</v>
      </c>
      <c r="U102" s="20" t="n">
        <v>3019</v>
      </c>
      <c r="V102" s="20" t="n">
        <v>3040</v>
      </c>
      <c r="W102" s="20" t="n">
        <v>2967</v>
      </c>
      <c r="X102" s="20" t="n">
        <v>3592</v>
      </c>
    </row>
    <row r="103">
      <c r="A103" s="9" t="inlineStr">
        <is>
          <t>영업이익</t>
        </is>
      </c>
      <c r="C103" s="12" t="n">
        <v>1204</v>
      </c>
      <c r="D103" s="12" t="n">
        <v>938</v>
      </c>
      <c r="E103" s="12" t="n">
        <v>1091</v>
      </c>
      <c r="F103" s="12" t="n">
        <v>2153</v>
      </c>
      <c r="G103" s="12" t="n">
        <v>1201</v>
      </c>
      <c r="H103" s="12" t="n">
        <v>730</v>
      </c>
      <c r="I103" s="12" t="n">
        <v>1203</v>
      </c>
      <c r="J103" s="12" t="n">
        <v>905</v>
      </c>
      <c r="K103" s="12" t="n">
        <v>2146</v>
      </c>
      <c r="L103" s="12" t="n">
        <v>2149</v>
      </c>
      <c r="M103" s="12" t="n">
        <v>964</v>
      </c>
      <c r="N103" s="12" t="n">
        <v>2329</v>
      </c>
      <c r="T103" s="12" t="n">
        <v>1381</v>
      </c>
      <c r="U103" s="12" t="n">
        <v>1756</v>
      </c>
      <c r="V103" s="12" t="n">
        <v>1091</v>
      </c>
      <c r="W103" s="12" t="n">
        <v>1203</v>
      </c>
      <c r="X103" s="12" t="n">
        <v>964</v>
      </c>
    </row>
    <row r="104">
      <c r="A104" s="18" t="inlineStr">
        <is>
          <t>이자수익</t>
        </is>
      </c>
      <c r="C104" s="20" t="n">
        <v>63</v>
      </c>
      <c r="D104" s="20" t="n">
        <v>76</v>
      </c>
      <c r="E104" s="20" t="n">
        <v>87</v>
      </c>
      <c r="F104" s="20" t="n">
        <v>86</v>
      </c>
      <c r="G104" s="20" t="n">
        <v>86</v>
      </c>
      <c r="H104" s="20" t="n">
        <v>162</v>
      </c>
      <c r="I104" s="20" t="n">
        <v>64</v>
      </c>
      <c r="J104" s="20" t="n">
        <v>54</v>
      </c>
      <c r="K104" s="20" t="n">
        <v>45</v>
      </c>
      <c r="L104" s="20" t="n">
        <v>45</v>
      </c>
      <c r="M104" s="20" t="n">
        <v>51</v>
      </c>
      <c r="N104" s="20" t="n">
        <v>40</v>
      </c>
      <c r="T104" s="20" t="n">
        <v>2</v>
      </c>
      <c r="U104" s="20" t="n">
        <v>51</v>
      </c>
      <c r="V104" s="20" t="n">
        <v>87</v>
      </c>
      <c r="W104" s="20" t="n">
        <v>64</v>
      </c>
      <c r="X104" s="20" t="n">
        <v>51</v>
      </c>
    </row>
    <row r="105">
      <c r="A105" s="18" t="inlineStr">
        <is>
          <t>배당금수익</t>
        </is>
      </c>
      <c r="C105" s="20" t="n">
        <v>0</v>
      </c>
      <c r="D105" s="20" t="n">
        <v>9</v>
      </c>
      <c r="E105" s="20" t="n">
        <v>0</v>
      </c>
      <c r="F105" s="20" t="n">
        <v>9</v>
      </c>
      <c r="G105" s="20" t="n">
        <v>0</v>
      </c>
      <c r="H105" s="20" t="n">
        <v>11</v>
      </c>
      <c r="I105" s="20" t="n">
        <v>0</v>
      </c>
      <c r="J105" s="20" t="n">
        <v>12</v>
      </c>
      <c r="K105" s="20" t="n">
        <v>0</v>
      </c>
      <c r="L105" s="20" t="n">
        <v>12</v>
      </c>
      <c r="M105" s="20" t="n">
        <v>0</v>
      </c>
      <c r="N105" s="20" t="n">
        <v>12</v>
      </c>
      <c r="T105" s="20" t="n">
        <v>2</v>
      </c>
      <c r="U105" s="20" t="n">
        <v>1</v>
      </c>
      <c r="V105" s="20" t="n">
        <v>0</v>
      </c>
      <c r="W105" s="20" t="n">
        <v>0</v>
      </c>
      <c r="X105" s="20" t="n">
        <v>0</v>
      </c>
    </row>
    <row r="106">
      <c r="A106" s="18" t="inlineStr">
        <is>
          <t>외환차익</t>
        </is>
      </c>
      <c r="C106" s="20" t="n">
        <v>159</v>
      </c>
      <c r="D106" s="20" t="n">
        <v>-243</v>
      </c>
      <c r="E106" s="20" t="n">
        <v>207</v>
      </c>
      <c r="F106" s="20" t="n">
        <v>78</v>
      </c>
      <c r="G106" s="20" t="n">
        <v>-78</v>
      </c>
      <c r="H106" s="20" t="n">
        <v>0</v>
      </c>
      <c r="I106" s="20" t="n">
        <v>0</v>
      </c>
      <c r="J106" s="20" t="n">
        <v>0</v>
      </c>
      <c r="M106" s="20" t="n">
        <v>127</v>
      </c>
      <c r="T106" s="20" t="n">
        <v>103</v>
      </c>
      <c r="U106" s="20" t="n">
        <v>30</v>
      </c>
      <c r="V106" s="20" t="n">
        <v>207</v>
      </c>
      <c r="W106" s="20" t="n">
        <v>0</v>
      </c>
      <c r="X106" s="20" t="n">
        <v>127</v>
      </c>
    </row>
    <row r="107">
      <c r="A107" s="18" t="inlineStr">
        <is>
          <t>스크랩 매각이익</t>
        </is>
      </c>
      <c r="C107" s="20" t="n">
        <v>9</v>
      </c>
      <c r="D107" s="20" t="n">
        <v>14</v>
      </c>
      <c r="E107" s="20" t="n">
        <v>18</v>
      </c>
      <c r="F107" s="20" t="n">
        <v>29</v>
      </c>
      <c r="G107" s="20" t="n">
        <v>16</v>
      </c>
      <c r="H107" s="20" t="n">
        <v>18</v>
      </c>
      <c r="I107" s="20" t="n">
        <v>24</v>
      </c>
      <c r="J107" s="20" t="n">
        <v>23</v>
      </c>
      <c r="K107" s="20" t="n">
        <v>11</v>
      </c>
      <c r="L107" s="20" t="n">
        <v>19</v>
      </c>
      <c r="M107" s="20" t="n">
        <v>24</v>
      </c>
      <c r="N107" s="20" t="n">
        <v>31</v>
      </c>
      <c r="T107" s="20" t="n">
        <v>7</v>
      </c>
      <c r="U107" s="20" t="n">
        <v>9</v>
      </c>
      <c r="V107" s="20" t="n">
        <v>18</v>
      </c>
      <c r="W107" s="20" t="n">
        <v>24</v>
      </c>
      <c r="X107" s="20" t="n">
        <v>24</v>
      </c>
    </row>
    <row r="108">
      <c r="A108" s="18" t="inlineStr">
        <is>
          <t>기타</t>
        </is>
      </c>
      <c r="C108" s="20" t="n">
        <v>29</v>
      </c>
      <c r="D108" s="20" t="n">
        <v>14</v>
      </c>
      <c r="E108" s="20" t="n">
        <v>15</v>
      </c>
      <c r="F108" s="20" t="n">
        <v>7</v>
      </c>
      <c r="G108" s="20" t="n">
        <v>7</v>
      </c>
      <c r="H108" s="20" t="n">
        <v>10</v>
      </c>
      <c r="I108" s="20" t="n">
        <v>8</v>
      </c>
      <c r="J108" s="20" t="n">
        <v>6</v>
      </c>
      <c r="K108" s="20" t="n">
        <v>10</v>
      </c>
      <c r="L108" s="20" t="n">
        <v>16</v>
      </c>
      <c r="M108" s="20" t="n">
        <v>54</v>
      </c>
      <c r="N108" s="20" t="n">
        <v>42</v>
      </c>
      <c r="T108" s="20" t="n">
        <v>8</v>
      </c>
      <c r="U108" s="20" t="n">
        <v>11</v>
      </c>
      <c r="V108" s="20" t="n">
        <v>15</v>
      </c>
      <c r="W108" s="20" t="n">
        <v>8</v>
      </c>
      <c r="X108" s="20" t="n">
        <v>54</v>
      </c>
    </row>
    <row r="109">
      <c r="A109" s="18" t="inlineStr">
        <is>
          <t>영업외수익 합계</t>
        </is>
      </c>
      <c r="C109" s="20" t="n">
        <v>258</v>
      </c>
      <c r="D109" s="20" t="n">
        <v>-130</v>
      </c>
      <c r="E109" s="20" t="n">
        <v>334</v>
      </c>
      <c r="F109" s="20" t="n">
        <v>211</v>
      </c>
      <c r="G109" s="20" t="n">
        <v>31</v>
      </c>
      <c r="H109" s="20" t="n">
        <v>200</v>
      </c>
      <c r="I109" s="20" t="n">
        <v>101</v>
      </c>
      <c r="J109" s="20" t="n">
        <v>97</v>
      </c>
      <c r="K109" s="20" t="n">
        <v>66</v>
      </c>
      <c r="L109" s="20" t="n">
        <v>132</v>
      </c>
      <c r="M109" s="20" t="n">
        <v>258</v>
      </c>
      <c r="N109" s="20" t="n">
        <v>126</v>
      </c>
      <c r="T109" s="20" t="n">
        <v>144</v>
      </c>
      <c r="U109" s="20" t="n">
        <v>111</v>
      </c>
      <c r="V109" s="20" t="n">
        <v>334</v>
      </c>
      <c r="W109" s="20" t="n">
        <v>101</v>
      </c>
      <c r="X109" s="20" t="n">
        <v>258</v>
      </c>
    </row>
    <row r="110">
      <c r="A110" s="18" t="inlineStr">
        <is>
          <t>이자비용</t>
        </is>
      </c>
      <c r="C110" s="20" t="n">
        <v>19</v>
      </c>
      <c r="D110" s="20" t="n">
        <v>20</v>
      </c>
      <c r="E110" s="20" t="n">
        <v>20</v>
      </c>
      <c r="F110" s="20" t="n">
        <v>20</v>
      </c>
      <c r="G110" s="20" t="n">
        <v>19</v>
      </c>
      <c r="H110" s="20" t="n">
        <v>20</v>
      </c>
      <c r="I110" s="20" t="n">
        <v>18</v>
      </c>
      <c r="J110" s="20" t="n">
        <v>17</v>
      </c>
      <c r="K110" s="20" t="n">
        <v>18</v>
      </c>
      <c r="L110" s="20" t="n">
        <v>17</v>
      </c>
      <c r="M110" s="20" t="n">
        <v>17</v>
      </c>
      <c r="N110" s="20" t="n">
        <v>19</v>
      </c>
      <c r="T110" s="20" t="n">
        <v>15</v>
      </c>
      <c r="U110" s="20" t="n">
        <v>18</v>
      </c>
      <c r="V110" s="20" t="n">
        <v>20</v>
      </c>
      <c r="W110" s="20" t="n">
        <v>18</v>
      </c>
      <c r="X110" s="20" t="n">
        <v>17</v>
      </c>
    </row>
    <row r="111">
      <c r="A111" s="18" t="inlineStr">
        <is>
          <t>지분법손실</t>
        </is>
      </c>
      <c r="C111" s="20" t="n">
        <v>0</v>
      </c>
      <c r="D111" s="20" t="n">
        <v>0</v>
      </c>
      <c r="E111" s="20" t="n">
        <v>0</v>
      </c>
      <c r="T111" s="20" t="n">
        <v>93</v>
      </c>
      <c r="U111" s="20" t="n">
        <v>0</v>
      </c>
      <c r="V111" s="20" t="n">
        <v>0</v>
      </c>
    </row>
    <row r="112">
      <c r="A112" s="18" t="inlineStr">
        <is>
          <t>보상비 지급</t>
        </is>
      </c>
      <c r="D112" s="20" t="n">
        <v>10</v>
      </c>
      <c r="E112" s="20" t="n">
        <v>1</v>
      </c>
      <c r="H112" s="20" t="n">
        <v>6</v>
      </c>
      <c r="I112" s="20" t="n">
        <v>0</v>
      </c>
      <c r="L112" s="20" t="n">
        <v>0</v>
      </c>
      <c r="M112" s="20" t="n">
        <v>33</v>
      </c>
      <c r="U112" s="20" t="n">
        <v>0</v>
      </c>
      <c r="V112" s="20" t="n">
        <v>1</v>
      </c>
      <c r="W112" s="20" t="n">
        <v>0</v>
      </c>
      <c r="X112" s="20" t="n">
        <v>33</v>
      </c>
    </row>
    <row r="113">
      <c r="A113" s="18" t="inlineStr">
        <is>
          <t>외환차손</t>
        </is>
      </c>
      <c r="D113" s="20" t="n">
        <v>0</v>
      </c>
      <c r="E113" s="20" t="n">
        <v>0</v>
      </c>
      <c r="F113" s="20" t="n">
        <v>0</v>
      </c>
      <c r="G113" s="20" t="n">
        <v>396</v>
      </c>
      <c r="H113" s="20" t="n">
        <v>-275</v>
      </c>
      <c r="I113" s="20" t="n">
        <v>138</v>
      </c>
      <c r="J113" s="20" t="n">
        <v>157</v>
      </c>
      <c r="K113" s="20" t="n">
        <v>-88</v>
      </c>
      <c r="L113" s="20" t="n">
        <v>-69</v>
      </c>
      <c r="M113" s="20" t="n">
        <v>0</v>
      </c>
      <c r="N113" s="20" t="n">
        <v>24</v>
      </c>
      <c r="V113" s="20" t="n">
        <v>0</v>
      </c>
      <c r="W113" s="20" t="n">
        <v>138</v>
      </c>
      <c r="X113" s="20" t="n">
        <v>0</v>
      </c>
    </row>
    <row r="114">
      <c r="A114" s="18" t="inlineStr">
        <is>
          <t>기타</t>
        </is>
      </c>
      <c r="C114" s="20" t="n">
        <v>-4</v>
      </c>
      <c r="D114" s="20" t="n">
        <v>2</v>
      </c>
      <c r="E114" s="20" t="n">
        <v>8</v>
      </c>
      <c r="F114" s="20" t="n">
        <v>10</v>
      </c>
      <c r="G114" s="20" t="n">
        <v>-3</v>
      </c>
      <c r="H114" s="20" t="n">
        <v>12</v>
      </c>
      <c r="I114" s="20" t="n">
        <v>11</v>
      </c>
      <c r="J114" s="20" t="n">
        <v>3</v>
      </c>
      <c r="K114" s="20" t="n">
        <v>26</v>
      </c>
      <c r="L114" s="20" t="n">
        <v>36</v>
      </c>
      <c r="M114" s="20" t="n">
        <v>-17</v>
      </c>
      <c r="N114" s="20" t="n">
        <v>7</v>
      </c>
      <c r="T114" s="20" t="n">
        <v>25</v>
      </c>
      <c r="U114" s="20" t="n">
        <v>9</v>
      </c>
      <c r="V114" s="20" t="n">
        <v>8</v>
      </c>
      <c r="W114" s="20" t="n">
        <v>11</v>
      </c>
      <c r="X114" s="20" t="n">
        <v>-17</v>
      </c>
    </row>
    <row r="115">
      <c r="A115" s="18" t="inlineStr">
        <is>
          <t>영업외비용 합계</t>
        </is>
      </c>
      <c r="C115" s="20" t="n">
        <v>48</v>
      </c>
      <c r="D115" s="20" t="n">
        <v>33</v>
      </c>
      <c r="E115" s="20" t="n">
        <v>32</v>
      </c>
      <c r="F115" s="20" t="n">
        <v>30</v>
      </c>
      <c r="G115" s="20" t="n">
        <v>422</v>
      </c>
      <c r="H115" s="20" t="n">
        <v>-236</v>
      </c>
      <c r="I115" s="20" t="n">
        <v>169</v>
      </c>
      <c r="J115" s="20" t="n">
        <v>177</v>
      </c>
      <c r="K115" s="20" t="n">
        <v>-44</v>
      </c>
      <c r="L115" s="20" t="n">
        <v>-15</v>
      </c>
      <c r="M115" s="20" t="n">
        <v>117</v>
      </c>
      <c r="N115" s="20" t="n">
        <v>52</v>
      </c>
      <c r="T115" s="20" t="n">
        <v>142</v>
      </c>
      <c r="U115" s="20" t="n">
        <v>32</v>
      </c>
      <c r="V115" s="20" t="n">
        <v>32</v>
      </c>
      <c r="W115" s="20" t="n">
        <v>169</v>
      </c>
      <c r="X115" s="20" t="n">
        <v>117</v>
      </c>
    </row>
    <row r="116">
      <c r="A116" s="9" t="inlineStr">
        <is>
          <t>경상이익</t>
        </is>
      </c>
      <c r="C116" s="12" t="n">
        <v>1414</v>
      </c>
      <c r="D116" s="12" t="n">
        <v>776</v>
      </c>
      <c r="E116" s="12" t="n">
        <v>1392</v>
      </c>
      <c r="F116" s="12" t="n">
        <v>2334</v>
      </c>
      <c r="G116" s="12" t="n">
        <v>810</v>
      </c>
      <c r="H116" s="12" t="n">
        <v>1166</v>
      </c>
      <c r="I116" s="12" t="n">
        <v>1136</v>
      </c>
      <c r="J116" s="12" t="n">
        <v>825</v>
      </c>
      <c r="K116" s="12" t="n">
        <v>2255</v>
      </c>
      <c r="L116" s="12" t="n">
        <v>2298</v>
      </c>
      <c r="M116" s="12" t="n">
        <v>1104</v>
      </c>
      <c r="N116" s="12" t="n">
        <v>2404</v>
      </c>
      <c r="T116" s="12" t="n">
        <v>1383</v>
      </c>
      <c r="U116" s="12" t="n">
        <v>1835</v>
      </c>
      <c r="V116" s="12" t="n">
        <v>1392</v>
      </c>
      <c r="W116" s="12" t="n">
        <v>1136</v>
      </c>
      <c r="X116" s="12" t="n">
        <v>1104</v>
      </c>
    </row>
    <row r="117">
      <c r="A117" s="18" t="inlineStr">
        <is>
          <t>고정자산 매각이익</t>
        </is>
      </c>
      <c r="C117" s="20" t="n">
        <v>8</v>
      </c>
      <c r="D117" s="20" t="n">
        <v>12</v>
      </c>
      <c r="E117" s="20" t="n">
        <v>8</v>
      </c>
      <c r="F117" s="20" t="n">
        <v>9</v>
      </c>
      <c r="G117" s="20" t="n">
        <v>4</v>
      </c>
      <c r="H117" s="20" t="n">
        <v>8</v>
      </c>
      <c r="I117" s="20" t="n">
        <v>24</v>
      </c>
      <c r="J117" s="20" t="n">
        <v>9</v>
      </c>
      <c r="K117" s="20" t="n">
        <v>2</v>
      </c>
      <c r="L117" s="20" t="n">
        <v>4</v>
      </c>
      <c r="M117" s="20" t="n">
        <v>14</v>
      </c>
      <c r="N117" s="20" t="n">
        <v>3</v>
      </c>
      <c r="T117" s="20" t="n">
        <v>2</v>
      </c>
      <c r="U117" s="20" t="n">
        <v>9</v>
      </c>
      <c r="V117" s="20" t="n">
        <v>8</v>
      </c>
      <c r="W117" s="20" t="n">
        <v>24</v>
      </c>
      <c r="X117" s="20" t="n">
        <v>14</v>
      </c>
    </row>
    <row r="118">
      <c r="A118" s="18" t="inlineStr">
        <is>
          <t>투자유가증권 매각이익</t>
        </is>
      </c>
      <c r="C118" s="20" t="n">
        <v>8</v>
      </c>
      <c r="D118" s="20" t="n">
        <v>0</v>
      </c>
      <c r="E118" s="20" t="n">
        <v>0</v>
      </c>
      <c r="F118" s="20" t="n">
        <v>2</v>
      </c>
      <c r="G118" s="20" t="n">
        <v>0</v>
      </c>
      <c r="H118" s="20" t="n">
        <v>0</v>
      </c>
      <c r="I118" s="20" t="n">
        <v>0</v>
      </c>
      <c r="J118" s="20" t="n">
        <v>0</v>
      </c>
      <c r="K118" s="20" t="n">
        <v>0</v>
      </c>
      <c r="L118" s="20" t="n">
        <v>0</v>
      </c>
      <c r="M118" s="20" t="n">
        <v>1</v>
      </c>
      <c r="T118" s="20" t="n">
        <v>667</v>
      </c>
      <c r="U118" s="20" t="n">
        <v>0</v>
      </c>
      <c r="V118" s="20" t="n">
        <v>0</v>
      </c>
      <c r="W118" s="20" t="n">
        <v>0</v>
      </c>
      <c r="X118" s="20" t="n">
        <v>1</v>
      </c>
    </row>
    <row r="119">
      <c r="A119" s="18" t="inlineStr">
        <is>
          <t>신주예약권 환입이익</t>
        </is>
      </c>
      <c r="H119" s="20" t="n">
        <v>0</v>
      </c>
      <c r="I119" s="20" t="n">
        <v>0</v>
      </c>
      <c r="L119" s="20" t="n">
        <v>0</v>
      </c>
      <c r="M119" s="20" t="n">
        <v>0</v>
      </c>
      <c r="T119" s="20" t="n">
        <v>0</v>
      </c>
      <c r="U119" s="20" t="n">
        <v>0</v>
      </c>
      <c r="W119" s="20" t="n">
        <v>0</v>
      </c>
      <c r="X119" s="20" t="n">
        <v>0</v>
      </c>
    </row>
    <row r="120">
      <c r="A120" s="18" t="inlineStr">
        <is>
          <t>보상금 수취</t>
        </is>
      </c>
      <c r="D120" s="20" t="n">
        <v>0</v>
      </c>
      <c r="E120" s="20" t="n">
        <v>0</v>
      </c>
      <c r="H120" s="20" t="n">
        <v>0</v>
      </c>
      <c r="I120" s="20" t="n">
        <v>0</v>
      </c>
      <c r="L120" s="20" t="n">
        <v>0</v>
      </c>
      <c r="M120" s="20" t="n">
        <v>0</v>
      </c>
      <c r="V120" s="20" t="n">
        <v>0</v>
      </c>
      <c r="W120" s="20" t="n">
        <v>0</v>
      </c>
      <c r="X120" s="20" t="n">
        <v>0</v>
      </c>
    </row>
    <row r="121">
      <c r="A121" s="18" t="inlineStr">
        <is>
          <t>기타</t>
        </is>
      </c>
      <c r="D121" s="20" t="n">
        <v>0</v>
      </c>
      <c r="E121" s="20" t="n">
        <v>0</v>
      </c>
      <c r="H121" s="20" t="n">
        <v>0</v>
      </c>
      <c r="I121" s="20" t="n">
        <v>0</v>
      </c>
      <c r="L121" s="20" t="n">
        <v>0</v>
      </c>
      <c r="M121" s="20" t="n">
        <v>0</v>
      </c>
      <c r="T121" s="20" t="n">
        <v>0</v>
      </c>
      <c r="U121" s="20" t="n">
        <v>0</v>
      </c>
      <c r="V121" s="20" t="n">
        <v>0</v>
      </c>
      <c r="W121" s="20" t="n">
        <v>0</v>
      </c>
      <c r="X121" s="20" t="n">
        <v>0</v>
      </c>
    </row>
    <row r="122">
      <c r="A122" s="18" t="inlineStr">
        <is>
          <t>특별이익 합계</t>
        </is>
      </c>
      <c r="C122" s="20" t="n">
        <v>16</v>
      </c>
      <c r="D122" s="20" t="n">
        <v>13</v>
      </c>
      <c r="E122" s="20" t="n">
        <v>235</v>
      </c>
      <c r="F122" s="20" t="n">
        <v>12</v>
      </c>
      <c r="G122" s="20" t="n">
        <v>50</v>
      </c>
      <c r="H122" s="20" t="n">
        <v>8</v>
      </c>
      <c r="I122" s="20" t="n">
        <v>24</v>
      </c>
      <c r="J122" s="20" t="n">
        <v>9</v>
      </c>
      <c r="K122" s="20" t="n">
        <v>3</v>
      </c>
      <c r="L122" s="20" t="n">
        <v>4</v>
      </c>
      <c r="M122" s="20" t="n">
        <v>16</v>
      </c>
      <c r="N122" s="20" t="n">
        <v>3</v>
      </c>
      <c r="T122" s="20" t="n">
        <v>671</v>
      </c>
      <c r="U122" s="20" t="n">
        <v>8</v>
      </c>
      <c r="V122" s="20" t="n">
        <v>235</v>
      </c>
      <c r="W122" s="20" t="n">
        <v>24</v>
      </c>
      <c r="X122" s="20" t="n">
        <v>16</v>
      </c>
    </row>
    <row r="123">
      <c r="A123" s="18" t="inlineStr">
        <is>
          <t>고정자산 매각손실</t>
        </is>
      </c>
      <c r="C123" s="20" t="n">
        <v>4</v>
      </c>
      <c r="D123" s="20" t="n">
        <v>2</v>
      </c>
      <c r="E123" s="20" t="n">
        <v>7</v>
      </c>
      <c r="F123" s="20" t="n">
        <v>0</v>
      </c>
      <c r="G123" s="20" t="n">
        <v>0</v>
      </c>
      <c r="H123" s="20" t="n">
        <v>17</v>
      </c>
      <c r="I123" s="20" t="n">
        <v>4</v>
      </c>
      <c r="J123" s="20" t="n">
        <v>0</v>
      </c>
      <c r="K123" s="20" t="n">
        <v>0</v>
      </c>
      <c r="L123" s="20" t="n">
        <v>1</v>
      </c>
      <c r="M123" s="20" t="n">
        <v>3</v>
      </c>
      <c r="N123" s="20" t="n">
        <v>7</v>
      </c>
      <c r="T123" s="20" t="n">
        <v>1</v>
      </c>
      <c r="U123" s="20" t="n">
        <v>2</v>
      </c>
      <c r="V123" s="20" t="n">
        <v>7</v>
      </c>
      <c r="W123" s="20" t="n">
        <v>4</v>
      </c>
      <c r="X123" s="20" t="n">
        <v>3</v>
      </c>
    </row>
    <row r="124">
      <c r="A124" s="18" t="inlineStr">
        <is>
          <t>손상차손</t>
        </is>
      </c>
      <c r="D124" s="20" t="n">
        <v>0</v>
      </c>
      <c r="E124" s="20" t="n">
        <v>27</v>
      </c>
      <c r="T124" s="20" t="n">
        <v>155</v>
      </c>
      <c r="U124" s="20" t="n">
        <v>588</v>
      </c>
      <c r="V124" s="20" t="n">
        <v>27</v>
      </c>
    </row>
    <row r="125">
      <c r="A125" s="18" t="inlineStr">
        <is>
          <t>Loss On Litigation EL</t>
        </is>
      </c>
      <c r="E125" s="20" t="n">
        <v>1</v>
      </c>
      <c r="I125" s="20" t="n">
        <v>0</v>
      </c>
      <c r="U125" s="20" t="n">
        <v>0</v>
      </c>
      <c r="V125" s="20" t="n">
        <v>1</v>
      </c>
      <c r="W125" s="20" t="n">
        <v>0</v>
      </c>
    </row>
    <row r="126">
      <c r="A126" s="18" t="inlineStr">
        <is>
          <t>Provision For Loss On Disaster EL</t>
        </is>
      </c>
      <c r="C126" s="20" t="n">
        <v>0</v>
      </c>
      <c r="D126" s="20" t="n">
        <v>0</v>
      </c>
      <c r="F126" s="20" t="n">
        <v>0</v>
      </c>
      <c r="G126" s="20" t="n">
        <v>0</v>
      </c>
      <c r="H126" s="20" t="n">
        <v>0</v>
      </c>
    </row>
    <row r="127">
      <c r="A127" s="18" t="inlineStr">
        <is>
          <t>투자유가증권 평가손실</t>
        </is>
      </c>
      <c r="D127" s="20" t="n">
        <v>0</v>
      </c>
      <c r="E127" s="20" t="n">
        <v>86</v>
      </c>
      <c r="T127" s="20" t="n">
        <v>0</v>
      </c>
      <c r="U127" s="20" t="n">
        <v>0</v>
      </c>
      <c r="V127" s="20" t="n">
        <v>86</v>
      </c>
    </row>
    <row r="128">
      <c r="A128" s="18" t="inlineStr">
        <is>
          <t>Business Restructuring Expenses EL</t>
        </is>
      </c>
      <c r="C128" s="20" t="n">
        <v>73</v>
      </c>
      <c r="D128" s="20" t="n">
        <v>1</v>
      </c>
      <c r="E128" s="20" t="n">
        <v>2</v>
      </c>
      <c r="F128" s="20" t="n">
        <v>204</v>
      </c>
      <c r="G128" s="20" t="n">
        <v>28</v>
      </c>
      <c r="H128" s="20" t="n">
        <v>1</v>
      </c>
      <c r="I128" s="20" t="n">
        <v>-1</v>
      </c>
      <c r="J128" s="20" t="n">
        <v>198</v>
      </c>
      <c r="K128" s="20" t="n">
        <v>-11</v>
      </c>
      <c r="L128" s="20" t="n">
        <v>-2</v>
      </c>
      <c r="M128" s="20" t="n">
        <v>2</v>
      </c>
      <c r="N128" s="20" t="n">
        <v>0</v>
      </c>
      <c r="T128" s="20" t="n">
        <v>51</v>
      </c>
      <c r="U128" s="20" t="n">
        <v>0</v>
      </c>
      <c r="V128" s="20" t="n">
        <v>2</v>
      </c>
      <c r="W128" s="20" t="n">
        <v>-1</v>
      </c>
      <c r="X128" s="20" t="n">
        <v>2</v>
      </c>
    </row>
    <row r="129">
      <c r="A129" s="18" t="inlineStr">
        <is>
          <t>대손충당금 전입</t>
        </is>
      </c>
      <c r="C129" s="20" t="n">
        <v>4</v>
      </c>
      <c r="D129" s="20" t="n">
        <v>1</v>
      </c>
      <c r="F129" s="20" t="n">
        <v>0</v>
      </c>
      <c r="G129" s="20" t="n">
        <v>0</v>
      </c>
      <c r="H129" s="20" t="n">
        <v>0</v>
      </c>
    </row>
    <row r="130">
      <c r="A130" s="18" t="inlineStr">
        <is>
          <t>기타</t>
        </is>
      </c>
      <c r="T130" s="20" t="n">
        <v>2</v>
      </c>
      <c r="U130" s="20" t="n">
        <v>0</v>
      </c>
    </row>
    <row r="131">
      <c r="A131" s="18" t="inlineStr">
        <is>
          <t>특별손실 합계</t>
        </is>
      </c>
      <c r="C131" s="20" t="n">
        <v>81</v>
      </c>
      <c r="D131" s="20" t="n">
        <v>78</v>
      </c>
      <c r="E131" s="20" t="n">
        <v>77</v>
      </c>
      <c r="F131" s="20" t="n">
        <v>204</v>
      </c>
      <c r="G131" s="20" t="n">
        <v>29</v>
      </c>
      <c r="H131" s="20" t="n">
        <v>17</v>
      </c>
      <c r="I131" s="20" t="n">
        <v>38</v>
      </c>
      <c r="J131" s="20" t="n">
        <v>198</v>
      </c>
      <c r="K131" s="20" t="n">
        <v>-11</v>
      </c>
      <c r="L131" s="20" t="n">
        <v>-1</v>
      </c>
      <c r="M131" s="20" t="n">
        <v>5</v>
      </c>
      <c r="N131" s="20" t="n">
        <v>7</v>
      </c>
      <c r="T131" s="20" t="n">
        <v>210</v>
      </c>
      <c r="U131" s="20" t="n">
        <v>591</v>
      </c>
      <c r="V131" s="20" t="n">
        <v>77</v>
      </c>
      <c r="W131" s="20" t="n">
        <v>38</v>
      </c>
      <c r="X131" s="20" t="n">
        <v>5</v>
      </c>
    </row>
    <row r="132">
      <c r="A132" s="9" t="inlineStr">
        <is>
          <t>법인세차감전 순이익</t>
        </is>
      </c>
      <c r="C132" s="12" t="n">
        <v>1349</v>
      </c>
      <c r="D132" s="12" t="n">
        <v>711</v>
      </c>
      <c r="E132" s="12" t="n">
        <v>1550</v>
      </c>
      <c r="F132" s="12" t="n">
        <v>2141</v>
      </c>
      <c r="G132" s="12" t="n">
        <v>832</v>
      </c>
      <c r="H132" s="12" t="n">
        <v>1157</v>
      </c>
      <c r="I132" s="12" t="n">
        <v>1122</v>
      </c>
      <c r="J132" s="12" t="n">
        <v>636</v>
      </c>
      <c r="K132" s="12" t="n">
        <v>2270</v>
      </c>
      <c r="L132" s="12" t="n">
        <v>2302</v>
      </c>
      <c r="M132" s="12" t="n">
        <v>1115</v>
      </c>
      <c r="N132" s="12" t="n">
        <v>2400</v>
      </c>
      <c r="T132" s="12" t="n">
        <v>1844</v>
      </c>
      <c r="U132" s="12" t="n">
        <v>1253</v>
      </c>
      <c r="V132" s="12" t="n">
        <v>1550</v>
      </c>
      <c r="W132" s="12" t="n">
        <v>1122</v>
      </c>
      <c r="X132" s="12" t="n">
        <v>1115</v>
      </c>
    </row>
    <row r="133">
      <c r="A133" s="18" t="inlineStr">
        <is>
          <t>법인세·주민세·사업세</t>
        </is>
      </c>
      <c r="C133" s="20" t="n">
        <v>488</v>
      </c>
      <c r="D133" s="20" t="n">
        <v>197</v>
      </c>
      <c r="E133" s="20" t="n">
        <v>425</v>
      </c>
      <c r="F133" s="20" t="n">
        <v>476</v>
      </c>
      <c r="G133" s="20" t="n">
        <v>363</v>
      </c>
      <c r="H133" s="20" t="n">
        <v>237</v>
      </c>
      <c r="I133" s="20" t="n">
        <v>138</v>
      </c>
      <c r="J133" s="20" t="n">
        <v>329</v>
      </c>
      <c r="K133" s="20" t="n">
        <v>383</v>
      </c>
      <c r="L133" s="20" t="n">
        <v>563</v>
      </c>
      <c r="M133" s="20" t="n">
        <v>207</v>
      </c>
      <c r="N133" s="20" t="n">
        <v>691</v>
      </c>
      <c r="T133" s="20" t="n">
        <v>319</v>
      </c>
      <c r="U133" s="20" t="n">
        <v>314</v>
      </c>
      <c r="V133" s="20" t="n">
        <v>425</v>
      </c>
      <c r="W133" s="20" t="n">
        <v>138</v>
      </c>
      <c r="X133" s="20" t="n">
        <v>207</v>
      </c>
    </row>
    <row r="134">
      <c r="A134" s="18" t="inlineStr">
        <is>
          <t>법인세 조정액</t>
        </is>
      </c>
      <c r="C134" s="20" t="n">
        <v>-234</v>
      </c>
      <c r="D134" s="20" t="n">
        <v>37</v>
      </c>
      <c r="E134" s="20" t="n">
        <v>-65</v>
      </c>
      <c r="F134" s="20" t="n">
        <v>134</v>
      </c>
      <c r="G134" s="20" t="n">
        <v>-134</v>
      </c>
      <c r="H134" s="20" t="n">
        <v>103</v>
      </c>
      <c r="I134" s="20" t="n">
        <v>-125</v>
      </c>
      <c r="J134" s="20" t="n">
        <v>-58</v>
      </c>
      <c r="K134" s="20" t="n">
        <v>-16</v>
      </c>
      <c r="L134" s="20" t="n">
        <v>85</v>
      </c>
      <c r="M134" s="20" t="n">
        <v>-455</v>
      </c>
      <c r="N134" s="20" t="n">
        <v>-84</v>
      </c>
      <c r="T134" s="20" t="n">
        <v>384</v>
      </c>
      <c r="U134" s="20" t="n">
        <v>-101</v>
      </c>
      <c r="V134" s="20" t="n">
        <v>-65</v>
      </c>
      <c r="W134" s="20" t="n">
        <v>-125</v>
      </c>
      <c r="X134" s="20" t="n">
        <v>-455</v>
      </c>
    </row>
    <row r="135">
      <c r="A135" s="18" t="inlineStr">
        <is>
          <t>법인세 등 합계</t>
        </is>
      </c>
      <c r="C135" s="20" t="n">
        <v>253</v>
      </c>
      <c r="D135" s="20" t="n">
        <v>234</v>
      </c>
      <c r="E135" s="20" t="n">
        <v>360</v>
      </c>
      <c r="F135" s="20" t="n">
        <v>611</v>
      </c>
      <c r="G135" s="20" t="n">
        <v>227</v>
      </c>
      <c r="H135" s="20" t="n">
        <v>342</v>
      </c>
      <c r="I135" s="20" t="n">
        <v>12</v>
      </c>
      <c r="J135" s="20" t="n">
        <v>270</v>
      </c>
      <c r="K135" s="20" t="n">
        <v>367</v>
      </c>
      <c r="L135" s="20" t="n">
        <v>650</v>
      </c>
      <c r="M135" s="20" t="n">
        <v>-249</v>
      </c>
      <c r="N135" s="20" t="n">
        <v>607</v>
      </c>
      <c r="T135" s="20" t="n">
        <v>703</v>
      </c>
      <c r="U135" s="20" t="n">
        <v>212</v>
      </c>
      <c r="V135" s="20" t="n">
        <v>360</v>
      </c>
      <c r="W135" s="20" t="n">
        <v>12</v>
      </c>
      <c r="X135" s="20" t="n">
        <v>-249</v>
      </c>
    </row>
    <row r="136">
      <c r="A136" s="9" t="inlineStr">
        <is>
          <t>순이익</t>
        </is>
      </c>
      <c r="C136" s="12" t="n">
        <v>1096</v>
      </c>
      <c r="D136" s="12" t="n">
        <v>476</v>
      </c>
      <c r="E136" s="12" t="n">
        <v>1191</v>
      </c>
      <c r="F136" s="12" t="n">
        <v>1530</v>
      </c>
      <c r="G136" s="12" t="n">
        <v>604</v>
      </c>
      <c r="H136" s="12" t="n">
        <v>815</v>
      </c>
      <c r="I136" s="12" t="n">
        <v>1110</v>
      </c>
      <c r="J136" s="12" t="n">
        <v>365</v>
      </c>
      <c r="K136" s="12" t="n">
        <v>1903</v>
      </c>
      <c r="L136" s="12" t="n">
        <v>1653</v>
      </c>
      <c r="M136" s="12" t="n">
        <v>1364</v>
      </c>
      <c r="N136" s="12" t="n">
        <v>1792</v>
      </c>
      <c r="T136" s="12" t="n">
        <v>1141</v>
      </c>
      <c r="U136" s="12" t="n">
        <v>1041</v>
      </c>
      <c r="V136" s="12" t="n">
        <v>1191</v>
      </c>
      <c r="W136" s="12" t="n">
        <v>1110</v>
      </c>
      <c r="X136" s="12" t="n">
        <v>1364</v>
      </c>
    </row>
    <row r="137">
      <c r="A137" s="9" t="inlineStr">
        <is>
          <t>비지배주주 순이익</t>
        </is>
      </c>
      <c r="C137" s="12" t="n">
        <v>33</v>
      </c>
      <c r="D137" s="12" t="n">
        <v>-9</v>
      </c>
      <c r="E137" s="12" t="n">
        <v>32</v>
      </c>
      <c r="F137" s="12" t="n">
        <v>11</v>
      </c>
      <c r="G137" s="12" t="n">
        <v>28</v>
      </c>
      <c r="H137" s="12" t="n">
        <v>38</v>
      </c>
      <c r="I137" s="12" t="n">
        <v>39</v>
      </c>
      <c r="J137" s="12" t="n">
        <v>3</v>
      </c>
      <c r="K137" s="12" t="n">
        <v>18</v>
      </c>
      <c r="L137" s="12" t="n">
        <v>23</v>
      </c>
      <c r="M137" s="12" t="n">
        <v>8</v>
      </c>
      <c r="N137" s="12" t="n">
        <v>9</v>
      </c>
      <c r="T137" s="12" t="n">
        <v>51</v>
      </c>
      <c r="U137" s="12" t="n">
        <v>55</v>
      </c>
      <c r="V137" s="12" t="n">
        <v>32</v>
      </c>
      <c r="W137" s="12" t="n">
        <v>39</v>
      </c>
      <c r="X137" s="12" t="n">
        <v>8</v>
      </c>
    </row>
    <row r="138">
      <c r="A138" s="9" t="inlineStr">
        <is>
          <t>지배주주 순이익</t>
        </is>
      </c>
      <c r="C138" s="12" t="n">
        <v>1063</v>
      </c>
      <c r="D138" s="12" t="n">
        <v>486</v>
      </c>
      <c r="E138" s="12" t="n">
        <v>1159</v>
      </c>
      <c r="F138" s="12" t="n">
        <v>1518</v>
      </c>
      <c r="G138" s="12" t="n">
        <v>576</v>
      </c>
      <c r="H138" s="12" t="n">
        <v>778</v>
      </c>
      <c r="I138" s="12" t="n">
        <v>1071</v>
      </c>
      <c r="J138" s="12" t="n">
        <v>362</v>
      </c>
      <c r="K138" s="12" t="n">
        <v>1885</v>
      </c>
      <c r="L138" s="12" t="n">
        <v>1629</v>
      </c>
      <c r="M138" s="12" t="n">
        <v>1357</v>
      </c>
      <c r="N138" s="12" t="n">
        <v>1782</v>
      </c>
      <c r="T138" s="12" t="n">
        <v>1090</v>
      </c>
      <c r="U138" s="12" t="n">
        <v>986</v>
      </c>
      <c r="V138" s="12" t="n">
        <v>1159</v>
      </c>
      <c r="W138" s="12" t="n">
        <v>1071</v>
      </c>
      <c r="X138" s="12" t="n">
        <v>1357</v>
      </c>
    </row>
    <row r="140">
      <c r="A140" s="16" t="inlineStr">
        <is>
          <t>포괄손익 · 전 항목</t>
        </is>
      </c>
      <c r="B140" s="42" t="inlineStr">
        <is>
          <t>분기 = 3개월 단독</t>
        </is>
      </c>
      <c r="C140" s="16" t="n"/>
      <c r="D140" s="16" t="n"/>
      <c r="E140" s="16" t="n"/>
      <c r="F140" s="16" t="n"/>
      <c r="G140" s="16" t="n"/>
      <c r="H140" s="16" t="n"/>
      <c r="I140" s="16" t="n"/>
      <c r="J140" s="16" t="n"/>
      <c r="K140" s="16" t="n"/>
      <c r="L140" s="16" t="n"/>
      <c r="M140" s="16" t="n"/>
      <c r="N140" s="16" t="n"/>
      <c r="O140" s="16" t="n"/>
      <c r="P140" s="16" t="n"/>
      <c r="Q140" s="16" t="n"/>
      <c r="R140" s="16" t="n"/>
      <c r="S140" s="16" t="n"/>
      <c r="T140" s="16" t="n"/>
      <c r="U140" s="16" t="n"/>
      <c r="V140" s="16" t="n"/>
      <c r="W140" s="16" t="n"/>
      <c r="X140" s="16" t="n"/>
      <c r="Y140" s="16" t="n"/>
      <c r="Z140" s="16" t="n"/>
      <c r="AA140" s="16" t="n"/>
      <c r="AB140" s="16" t="n"/>
      <c r="AC140" s="16" t="n"/>
    </row>
    <row r="141">
      <c r="A141" s="5" t="inlineStr">
        <is>
          <t>항목</t>
        </is>
      </c>
      <c r="B141" s="5" t="inlineStr">
        <is>
          <t>참고</t>
        </is>
      </c>
      <c r="C141" s="5" t="inlineStr">
        <is>
          <t>2024.2Q</t>
        </is>
      </c>
      <c r="D141" s="5" t="inlineStr">
        <is>
          <t>2024.3Q</t>
        </is>
      </c>
      <c r="E141" s="5" t="inlineStr">
        <is>
          <t>2024.4Q</t>
        </is>
      </c>
      <c r="F141" s="5" t="inlineStr">
        <is>
          <t>2025.1Q</t>
        </is>
      </c>
      <c r="G141" s="5" t="inlineStr">
        <is>
          <t>2025.2Q</t>
        </is>
      </c>
      <c r="H141" s="5" t="inlineStr">
        <is>
          <t>2025.3Q</t>
        </is>
      </c>
      <c r="I141" s="5" t="inlineStr">
        <is>
          <t>2025.4Q</t>
        </is>
      </c>
      <c r="J141" s="5" t="inlineStr">
        <is>
          <t>2026.1Q</t>
        </is>
      </c>
      <c r="K141" s="5" t="inlineStr">
        <is>
          <t>2026.2Q</t>
        </is>
      </c>
      <c r="L141" s="5" t="inlineStr">
        <is>
          <t>2026.3Q</t>
        </is>
      </c>
      <c r="M141" s="5" t="inlineStr">
        <is>
          <t>2026.4Q</t>
        </is>
      </c>
      <c r="N141" s="5" t="inlineStr">
        <is>
          <t>2027.1Q</t>
        </is>
      </c>
      <c r="O141" s="5" t="inlineStr">
        <is>
          <t>2017</t>
        </is>
      </c>
      <c r="P141" s="5" t="inlineStr">
        <is>
          <t>2018</t>
        </is>
      </c>
      <c r="Q141" s="5" t="inlineStr">
        <is>
          <t>2019</t>
        </is>
      </c>
      <c r="R141" s="5" t="inlineStr">
        <is>
          <t>2020</t>
        </is>
      </c>
      <c r="S141" s="5" t="inlineStr">
        <is>
          <t>2021</t>
        </is>
      </c>
      <c r="T141" s="5" t="inlineStr">
        <is>
          <t>2022</t>
        </is>
      </c>
      <c r="U141" s="5" t="inlineStr">
        <is>
          <t>2023</t>
        </is>
      </c>
      <c r="V141" s="5" t="inlineStr">
        <is>
          <t>2024</t>
        </is>
      </c>
      <c r="W141" s="5" t="inlineStr">
        <is>
          <t>2025</t>
        </is>
      </c>
      <c r="X141" s="5" t="inlineStr">
        <is>
          <t>2026</t>
        </is>
      </c>
      <c r="Y141" s="5" t="inlineStr">
        <is>
          <t>2027(MW)</t>
        </is>
      </c>
      <c r="Z141" s="5" t="inlineStr">
        <is>
          <t>2028(MW)</t>
        </is>
      </c>
      <c r="AA141" s="5" t="inlineStr">
        <is>
          <t>2029(MW)</t>
        </is>
      </c>
      <c r="AB141" s="5" t="inlineStr">
        <is>
          <t>2030(MW)</t>
        </is>
      </c>
      <c r="AC141" s="5" t="inlineStr">
        <is>
          <t>2031(MW)</t>
        </is>
      </c>
    </row>
    <row r="142">
      <c r="A142" s="9" t="inlineStr">
        <is>
          <t>순이익</t>
        </is>
      </c>
      <c r="C142" s="12" t="n">
        <v>1096</v>
      </c>
      <c r="D142" s="12" t="n">
        <v>476</v>
      </c>
      <c r="E142" s="12" t="n">
        <v>1191</v>
      </c>
      <c r="F142" s="12" t="n">
        <v>1530</v>
      </c>
      <c r="G142" s="12" t="n">
        <v>604</v>
      </c>
      <c r="H142" s="12" t="n">
        <v>815</v>
      </c>
      <c r="I142" s="12" t="n">
        <v>1110</v>
      </c>
      <c r="J142" s="12" t="n">
        <v>365</v>
      </c>
      <c r="K142" s="12" t="n">
        <v>1903</v>
      </c>
      <c r="L142" s="12" t="n">
        <v>1653</v>
      </c>
      <c r="M142" s="12" t="n">
        <v>1364</v>
      </c>
      <c r="N142" s="12" t="n">
        <v>1792</v>
      </c>
      <c r="T142" s="12" t="n">
        <v>1141</v>
      </c>
      <c r="U142" s="12" t="n">
        <v>1041</v>
      </c>
      <c r="V142" s="12" t="n">
        <v>1191</v>
      </c>
      <c r="W142" s="12" t="n">
        <v>1110</v>
      </c>
      <c r="X142" s="12" t="n">
        <v>1364</v>
      </c>
    </row>
    <row r="143">
      <c r="A143" s="18" t="inlineStr">
        <is>
          <t>기타유가증권 평가차액</t>
        </is>
      </c>
      <c r="C143" s="20" t="n">
        <v>65</v>
      </c>
      <c r="D143" s="20" t="n">
        <v>-31</v>
      </c>
      <c r="E143" s="20" t="n">
        <v>95</v>
      </c>
      <c r="F143" s="20" t="n">
        <v>38</v>
      </c>
      <c r="G143" s="20" t="n">
        <v>-48</v>
      </c>
      <c r="H143" s="20" t="n">
        <v>107</v>
      </c>
      <c r="I143" s="20" t="n">
        <v>27</v>
      </c>
      <c r="J143" s="20" t="n">
        <v>-2</v>
      </c>
      <c r="K143" s="20" t="n">
        <v>113</v>
      </c>
      <c r="L143" s="20" t="n">
        <v>72</v>
      </c>
      <c r="M143" s="20" t="n">
        <v>54</v>
      </c>
      <c r="N143" s="20" t="n">
        <v>195</v>
      </c>
      <c r="T143" s="20" t="n">
        <v>-677</v>
      </c>
      <c r="U143" s="20" t="n">
        <v>-5</v>
      </c>
      <c r="V143" s="20" t="n">
        <v>95</v>
      </c>
      <c r="W143" s="20" t="n">
        <v>27</v>
      </c>
      <c r="X143" s="20" t="n">
        <v>54</v>
      </c>
    </row>
    <row r="144">
      <c r="A144" s="18" t="inlineStr">
        <is>
          <t>해외사업환산조정</t>
        </is>
      </c>
      <c r="C144" s="20" t="n">
        <v>394</v>
      </c>
      <c r="D144" s="20" t="n">
        <v>-913</v>
      </c>
      <c r="E144" s="20" t="n">
        <v>1163</v>
      </c>
      <c r="F144" s="20" t="n">
        <v>1311</v>
      </c>
      <c r="G144" s="20" t="n">
        <v>-2019</v>
      </c>
      <c r="H144" s="20" t="n">
        <v>1843</v>
      </c>
      <c r="I144" s="20" t="n">
        <v>-1310</v>
      </c>
      <c r="J144" s="20" t="n">
        <v>-277</v>
      </c>
      <c r="K144" s="20" t="n">
        <v>443</v>
      </c>
      <c r="L144" s="20" t="n">
        <v>1120</v>
      </c>
      <c r="M144" s="20" t="n">
        <v>419</v>
      </c>
      <c r="N144" s="20" t="n">
        <v>340</v>
      </c>
      <c r="T144" s="20" t="n">
        <v>1279</v>
      </c>
      <c r="U144" s="20" t="n">
        <v>256</v>
      </c>
      <c r="V144" s="20" t="n">
        <v>1163</v>
      </c>
      <c r="W144" s="20" t="n">
        <v>-1310</v>
      </c>
      <c r="X144" s="20" t="n">
        <v>419</v>
      </c>
    </row>
    <row r="145">
      <c r="A145" s="18" t="inlineStr">
        <is>
          <t>지분법 적용회사 지분 해당액</t>
        </is>
      </c>
      <c r="C145" s="20" t="n">
        <v>0</v>
      </c>
      <c r="D145" s="20" t="n">
        <v>0</v>
      </c>
      <c r="E145" s="20" t="n">
        <v>0</v>
      </c>
      <c r="T145" s="20" t="n">
        <v>-15</v>
      </c>
      <c r="U145" s="20" t="n">
        <v>0</v>
      </c>
      <c r="V145" s="20" t="n">
        <v>0</v>
      </c>
    </row>
    <row r="146">
      <c r="A146" s="18" t="inlineStr">
        <is>
          <t>기타포괄손익 합계</t>
        </is>
      </c>
      <c r="C146" s="20" t="n">
        <v>459</v>
      </c>
      <c r="D146" s="20" t="n">
        <v>-943</v>
      </c>
      <c r="E146" s="20" t="n">
        <v>1257</v>
      </c>
      <c r="F146" s="20" t="n">
        <v>1350</v>
      </c>
      <c r="G146" s="20" t="n">
        <v>-2069</v>
      </c>
      <c r="H146" s="20" t="n">
        <v>1952</v>
      </c>
      <c r="I146" s="20" t="n">
        <v>-1284</v>
      </c>
      <c r="J146" s="20" t="n">
        <v>-280</v>
      </c>
      <c r="K146" s="20" t="n">
        <v>558</v>
      </c>
      <c r="L146" s="20" t="n">
        <v>1191</v>
      </c>
      <c r="M146" s="20" t="n">
        <v>473</v>
      </c>
      <c r="N146" s="20" t="n">
        <v>536</v>
      </c>
      <c r="T146" s="20" t="n">
        <v>587</v>
      </c>
      <c r="U146" s="20" t="n">
        <v>251</v>
      </c>
      <c r="V146" s="20" t="n">
        <v>1257</v>
      </c>
      <c r="W146" s="20" t="n">
        <v>-1284</v>
      </c>
      <c r="X146" s="20" t="n">
        <v>473</v>
      </c>
    </row>
    <row r="147">
      <c r="A147" s="9" t="inlineStr">
        <is>
          <t>포괄이익</t>
        </is>
      </c>
      <c r="C147" s="12" t="n">
        <v>1555</v>
      </c>
      <c r="D147" s="12" t="n">
        <v>-468</v>
      </c>
      <c r="E147" s="12" t="n">
        <v>2449</v>
      </c>
      <c r="F147" s="12" t="n">
        <v>2880</v>
      </c>
      <c r="G147" s="12" t="n">
        <v>-1466</v>
      </c>
      <c r="H147" s="12" t="n">
        <v>2769</v>
      </c>
      <c r="I147" s="12" t="n">
        <v>-175</v>
      </c>
      <c r="J147" s="12" t="n">
        <v>85</v>
      </c>
      <c r="K147" s="12" t="n">
        <v>2461</v>
      </c>
      <c r="L147" s="12" t="n">
        <v>2845</v>
      </c>
      <c r="M147" s="12" t="n">
        <v>1837</v>
      </c>
      <c r="N147" s="12" t="n">
        <v>2329</v>
      </c>
      <c r="T147" s="12" t="n">
        <v>1727</v>
      </c>
      <c r="U147" s="12" t="n">
        <v>1292</v>
      </c>
      <c r="V147" s="12" t="n">
        <v>2449</v>
      </c>
      <c r="W147" s="12" t="n">
        <v>-175</v>
      </c>
      <c r="X147" s="12" t="n">
        <v>1837</v>
      </c>
    </row>
    <row r="148">
      <c r="A148" s="9" t="inlineStr">
        <is>
          <t>지배주주 포괄이익</t>
        </is>
      </c>
      <c r="C148" s="12" t="n">
        <v>1521</v>
      </c>
      <c r="D148" s="12" t="n">
        <v>-451</v>
      </c>
      <c r="E148" s="12" t="n">
        <v>2398</v>
      </c>
      <c r="F148" s="12" t="n">
        <v>2835</v>
      </c>
      <c r="G148" s="12" t="n">
        <v>-1431</v>
      </c>
      <c r="H148" s="12" t="n">
        <v>2685</v>
      </c>
      <c r="I148" s="12" t="n">
        <v>-161</v>
      </c>
      <c r="J148" s="12" t="n">
        <v>70</v>
      </c>
      <c r="K148" s="12" t="n">
        <v>2445</v>
      </c>
      <c r="L148" s="12" t="n">
        <v>2817</v>
      </c>
      <c r="M148" s="12" t="n">
        <v>1830</v>
      </c>
      <c r="N148" s="12" t="n">
        <v>2316</v>
      </c>
      <c r="T148" s="12" t="n">
        <v>1659</v>
      </c>
      <c r="U148" s="12" t="n">
        <v>1228</v>
      </c>
      <c r="V148" s="12" t="n">
        <v>2398</v>
      </c>
      <c r="W148" s="12" t="n">
        <v>-161</v>
      </c>
      <c r="X148" s="12" t="n">
        <v>1830</v>
      </c>
    </row>
    <row r="149">
      <c r="A149" s="9" t="inlineStr">
        <is>
          <t>비지배주주 포괄이익</t>
        </is>
      </c>
      <c r="C149" s="12" t="n">
        <v>33</v>
      </c>
      <c r="D149" s="12" t="n">
        <v>-16</v>
      </c>
      <c r="E149" s="12" t="n">
        <v>50</v>
      </c>
      <c r="F149" s="12" t="n">
        <v>45</v>
      </c>
      <c r="G149" s="12" t="n">
        <v>-35</v>
      </c>
      <c r="H149" s="12" t="n">
        <v>83</v>
      </c>
      <c r="I149" s="12" t="n">
        <v>-13</v>
      </c>
      <c r="J149" s="12" t="n">
        <v>15</v>
      </c>
      <c r="K149" s="12" t="n">
        <v>16</v>
      </c>
      <c r="L149" s="12" t="n">
        <v>27</v>
      </c>
      <c r="M149" s="12" t="n">
        <v>8</v>
      </c>
      <c r="N149" s="12" t="n">
        <v>12</v>
      </c>
      <c r="T149" s="12" t="n">
        <v>67</v>
      </c>
      <c r="U149" s="12" t="n">
        <v>64</v>
      </c>
      <c r="V149" s="12" t="n">
        <v>50</v>
      </c>
      <c r="W149" s="12" t="n">
        <v>-13</v>
      </c>
      <c r="X149" s="12" t="n">
        <v>8</v>
      </c>
    </row>
    <row r="151">
      <c r="A151" s="16" t="inlineStr">
        <is>
          <t>부문 · 전 항목</t>
        </is>
      </c>
      <c r="B151" s="42" t="inlineStr">
        <is>
          <t>부문 · 항목</t>
        </is>
      </c>
      <c r="C151" s="16" t="n"/>
      <c r="D151" s="16" t="n"/>
      <c r="E151" s="16" t="n"/>
      <c r="F151" s="16" t="n"/>
      <c r="G151" s="16" t="n"/>
      <c r="H151" s="16" t="n"/>
      <c r="I151" s="16" t="n"/>
      <c r="J151" s="16" t="n"/>
      <c r="K151" s="16" t="n"/>
      <c r="L151" s="16" t="n"/>
      <c r="M151" s="16" t="n"/>
      <c r="N151" s="16" t="n"/>
      <c r="O151" s="16" t="n"/>
      <c r="P151" s="16" t="n"/>
      <c r="Q151" s="16" t="n"/>
      <c r="R151" s="16" t="n"/>
      <c r="S151" s="16" t="n"/>
      <c r="T151" s="16" t="n"/>
      <c r="U151" s="16" t="n"/>
      <c r="V151" s="16" t="n"/>
      <c r="W151" s="16" t="n"/>
      <c r="X151" s="16" t="n"/>
      <c r="Y151" s="16" t="n"/>
      <c r="Z151" s="16" t="n"/>
      <c r="AA151" s="16" t="n"/>
      <c r="AB151" s="16" t="n"/>
      <c r="AC151" s="16" t="n"/>
    </row>
    <row r="152">
      <c r="A152" s="5" t="inlineStr">
        <is>
          <t>항목</t>
        </is>
      </c>
      <c r="B152" s="5" t="inlineStr">
        <is>
          <t>참고</t>
        </is>
      </c>
      <c r="C152" s="5" t="inlineStr">
        <is>
          <t>2024.2Q</t>
        </is>
      </c>
      <c r="D152" s="5" t="inlineStr">
        <is>
          <t>2024.3Q</t>
        </is>
      </c>
      <c r="E152" s="5" t="inlineStr">
        <is>
          <t>2024.4Q</t>
        </is>
      </c>
      <c r="F152" s="5" t="inlineStr">
        <is>
          <t>2025.1Q</t>
        </is>
      </c>
      <c r="G152" s="5" t="inlineStr">
        <is>
          <t>2025.2Q</t>
        </is>
      </c>
      <c r="H152" s="5" t="inlineStr">
        <is>
          <t>2025.3Q</t>
        </is>
      </c>
      <c r="I152" s="5" t="inlineStr">
        <is>
          <t>2025.4Q</t>
        </is>
      </c>
      <c r="J152" s="5" t="inlineStr">
        <is>
          <t>2026.1Q</t>
        </is>
      </c>
      <c r="K152" s="5" t="inlineStr">
        <is>
          <t>2026.2Q</t>
        </is>
      </c>
      <c r="L152" s="5" t="inlineStr">
        <is>
          <t>2026.3Q</t>
        </is>
      </c>
      <c r="M152" s="5" t="inlineStr">
        <is>
          <t>2026.4Q</t>
        </is>
      </c>
      <c r="N152" s="5" t="inlineStr">
        <is>
          <t>2027.1Q</t>
        </is>
      </c>
      <c r="O152" s="5" t="inlineStr">
        <is>
          <t>2017</t>
        </is>
      </c>
      <c r="P152" s="5" t="inlineStr">
        <is>
          <t>2018</t>
        </is>
      </c>
      <c r="Q152" s="5" t="inlineStr">
        <is>
          <t>2019</t>
        </is>
      </c>
      <c r="R152" s="5" t="inlineStr">
        <is>
          <t>2020</t>
        </is>
      </c>
      <c r="S152" s="5" t="inlineStr">
        <is>
          <t>2021</t>
        </is>
      </c>
      <c r="T152" s="5" t="inlineStr">
        <is>
          <t>2022</t>
        </is>
      </c>
      <c r="U152" s="5" t="inlineStr">
        <is>
          <t>2023</t>
        </is>
      </c>
      <c r="V152" s="5" t="inlineStr">
        <is>
          <t>2024</t>
        </is>
      </c>
      <c r="W152" s="5" t="inlineStr">
        <is>
          <t>2025</t>
        </is>
      </c>
      <c r="X152" s="5" t="inlineStr">
        <is>
          <t>2026</t>
        </is>
      </c>
      <c r="Y152" s="5" t="inlineStr">
        <is>
          <t>2027(MW)</t>
        </is>
      </c>
      <c r="Z152" s="5" t="inlineStr">
        <is>
          <t>2028(MW)</t>
        </is>
      </c>
      <c r="AA152" s="5" t="inlineStr">
        <is>
          <t>2029(MW)</t>
        </is>
      </c>
      <c r="AB152" s="5" t="inlineStr">
        <is>
          <t>2030(MW)</t>
        </is>
      </c>
      <c r="AC152" s="5" t="inlineStr">
        <is>
          <t>2031(MW)</t>
        </is>
      </c>
    </row>
    <row r="153">
      <c r="A153" s="18" t="inlineStr">
        <is>
          <t>Semiconductor · 외부 고객 매출</t>
        </is>
      </c>
      <c r="C153" s="20" t="n">
        <v>4014</v>
      </c>
      <c r="D153" s="20" t="n">
        <v>3422</v>
      </c>
      <c r="F153" s="20" t="n">
        <v>4570</v>
      </c>
      <c r="G153" s="20" t="n">
        <v>3686</v>
      </c>
      <c r="H153" s="20" t="n">
        <v>3730</v>
      </c>
      <c r="J153" s="20" t="n">
        <v>4888</v>
      </c>
      <c r="K153" s="20" t="n">
        <v>5797</v>
      </c>
      <c r="L153" s="20" t="n">
        <v>7166</v>
      </c>
      <c r="N153" s="20" t="n">
        <v>7878</v>
      </c>
    </row>
    <row r="154">
      <c r="A154" s="18" t="inlineStr">
        <is>
          <t>Life Science · 외부 고객 매출</t>
        </is>
      </c>
      <c r="F154" s="20" t="n">
        <v>766</v>
      </c>
      <c r="J154" s="20" t="n">
        <v>516</v>
      </c>
      <c r="N154" s="20" t="n">
        <v>276</v>
      </c>
    </row>
    <row r="155">
      <c r="A155" s="18" t="inlineStr">
        <is>
          <t>Digital Communication · 외부 고객 매출</t>
        </is>
      </c>
      <c r="F155" s="20" t="n">
        <v>1705</v>
      </c>
      <c r="J155" s="20" t="n">
        <v>420</v>
      </c>
    </row>
    <row r="156">
      <c r="A156" s="18" t="inlineStr">
        <is>
          <t>Digital Communication · 외부 고객 매출</t>
        </is>
      </c>
      <c r="J156" s="20" t="n">
        <v>420</v>
      </c>
      <c r="N156" s="20" t="n">
        <v>457</v>
      </c>
    </row>
    <row r="157">
      <c r="A157" s="18" t="inlineStr">
        <is>
          <t>Energy Saving Solution · 외부 고객 매출</t>
        </is>
      </c>
      <c r="C157" s="20" t="n">
        <v>3290</v>
      </c>
      <c r="D157" s="20" t="n">
        <v>3313</v>
      </c>
      <c r="E157" s="20" t="n">
        <v>3530</v>
      </c>
      <c r="F157" s="20" t="n">
        <v>3558</v>
      </c>
      <c r="G157" s="20" t="n">
        <v>3437</v>
      </c>
      <c r="H157" s="20" t="n">
        <v>3604</v>
      </c>
      <c r="I157" s="20" t="n">
        <v>3399</v>
      </c>
      <c r="J157" s="20" t="n">
        <v>3173</v>
      </c>
      <c r="K157" s="20" t="n">
        <v>3635</v>
      </c>
      <c r="L157" s="20" t="n">
        <v>3661</v>
      </c>
      <c r="M157" s="20" t="n">
        <v>3732</v>
      </c>
      <c r="N157" s="20" t="n">
        <v>3959</v>
      </c>
      <c r="V157" s="20" t="n">
        <v>3530</v>
      </c>
      <c r="W157" s="20" t="n">
        <v>3399</v>
      </c>
      <c r="X157" s="20" t="n">
        <v>3732</v>
      </c>
    </row>
    <row r="158">
      <c r="A158" s="9" t="inlineStr">
        <is>
          <t>외부 고객 매출</t>
        </is>
      </c>
      <c r="C158" s="12" t="n">
        <v>9485</v>
      </c>
      <c r="D158" s="12" t="n">
        <v>8754</v>
      </c>
      <c r="E158" s="12" t="n">
        <v>9851</v>
      </c>
      <c r="F158" s="12" t="n">
        <v>10601</v>
      </c>
      <c r="G158" s="12" t="n">
        <v>9099</v>
      </c>
      <c r="H158" s="12" t="n">
        <v>9105</v>
      </c>
      <c r="I158" s="12" t="n">
        <v>9264</v>
      </c>
      <c r="J158" s="12" t="n">
        <v>8999</v>
      </c>
      <c r="K158" s="12" t="n">
        <v>11902</v>
      </c>
      <c r="L158" s="12" t="n">
        <v>11473</v>
      </c>
      <c r="M158" s="12" t="n">
        <v>10166</v>
      </c>
      <c r="N158" s="12" t="n">
        <v>12572</v>
      </c>
      <c r="V158" s="12" t="n">
        <v>9851</v>
      </c>
      <c r="W158" s="12" t="n">
        <v>9264</v>
      </c>
      <c r="X158" s="12" t="n">
        <v>10166</v>
      </c>
    </row>
    <row r="159">
      <c r="A159" s="18" t="inlineStr">
        <is>
          <t>Life Science · 부문 간 내부매출·대체</t>
        </is>
      </c>
      <c r="D159" s="20" t="n">
        <v>0</v>
      </c>
      <c r="E159" s="20" t="n">
        <v>0</v>
      </c>
      <c r="H159" s="20" t="n">
        <v>0</v>
      </c>
      <c r="I159" s="20" t="n">
        <v>0</v>
      </c>
      <c r="L159" s="20" t="n">
        <v>0</v>
      </c>
      <c r="M159" s="20" t="n">
        <v>0</v>
      </c>
      <c r="V159" s="20" t="n">
        <v>0</v>
      </c>
      <c r="W159" s="20" t="n">
        <v>0</v>
      </c>
      <c r="X159" s="20" t="n">
        <v>0</v>
      </c>
    </row>
    <row r="160">
      <c r="A160" s="18" t="inlineStr">
        <is>
          <t>Digital Communication · 부문 간 내부매출·대체</t>
        </is>
      </c>
      <c r="D160" s="20" t="n">
        <v>0</v>
      </c>
      <c r="E160" s="20" t="n">
        <v>0</v>
      </c>
      <c r="H160" s="20" t="n">
        <v>0</v>
      </c>
      <c r="I160" s="20" t="n">
        <v>0</v>
      </c>
      <c r="L160" s="20" t="n">
        <v>0</v>
      </c>
      <c r="M160" s="20" t="n">
        <v>0</v>
      </c>
      <c r="V160" s="20" t="n">
        <v>0</v>
      </c>
      <c r="W160" s="20" t="n">
        <v>0</v>
      </c>
      <c r="X160" s="20" t="n">
        <v>0</v>
      </c>
    </row>
    <row r="161">
      <c r="A161" s="18" t="inlineStr">
        <is>
          <t>Semiconductor · 부문 간 내부매출·대체</t>
        </is>
      </c>
      <c r="C161" s="20" t="n">
        <v>0</v>
      </c>
      <c r="D161" s="20" t="n">
        <v>0</v>
      </c>
      <c r="F161" s="20" t="n">
        <v>0</v>
      </c>
      <c r="G161" s="20" t="n">
        <v>0</v>
      </c>
      <c r="H161" s="20" t="n">
        <v>0</v>
      </c>
      <c r="J161" s="20" t="n">
        <v>0</v>
      </c>
      <c r="K161" s="20" t="n">
        <v>0</v>
      </c>
      <c r="L161" s="20" t="n">
        <v>0</v>
      </c>
      <c r="N161" s="20" t="n">
        <v>0</v>
      </c>
    </row>
    <row r="162">
      <c r="A162" s="18" t="inlineStr">
        <is>
          <t>Life Science · 부문 간 내부매출·대체</t>
        </is>
      </c>
      <c r="F162" s="20" t="n">
        <v>0</v>
      </c>
      <c r="J162" s="20" t="n">
        <v>0</v>
      </c>
      <c r="N162" s="20" t="n">
        <v>0</v>
      </c>
    </row>
    <row r="163">
      <c r="A163" s="18" t="inlineStr">
        <is>
          <t>Digital Communication · 부문 간 내부매출·대체</t>
        </is>
      </c>
      <c r="F163" s="20" t="n">
        <v>0</v>
      </c>
      <c r="J163" s="20" t="n">
        <v>0</v>
      </c>
    </row>
    <row r="164">
      <c r="A164" s="18" t="inlineStr">
        <is>
          <t>Digital Communication · 부문 간 내부매출·대체</t>
        </is>
      </c>
      <c r="J164" s="20" t="n">
        <v>0</v>
      </c>
      <c r="N164" s="20" t="n">
        <v>0</v>
      </c>
    </row>
    <row r="165">
      <c r="A165" s="18" t="inlineStr">
        <is>
          <t>Energy Saving Solution · 부문 간 내부매출·대체</t>
        </is>
      </c>
      <c r="C165" s="20" t="n">
        <v>0</v>
      </c>
      <c r="D165" s="20" t="n">
        <v>0</v>
      </c>
      <c r="E165" s="20" t="n">
        <v>0</v>
      </c>
      <c r="F165" s="20" t="n">
        <v>0</v>
      </c>
      <c r="G165" s="20" t="n">
        <v>0</v>
      </c>
      <c r="H165" s="20" t="n">
        <v>0</v>
      </c>
      <c r="I165" s="20" t="n">
        <v>0</v>
      </c>
      <c r="J165" s="20" t="n">
        <v>0</v>
      </c>
      <c r="K165" s="20" t="n">
        <v>0</v>
      </c>
      <c r="L165" s="20" t="n">
        <v>0</v>
      </c>
      <c r="M165" s="20" t="n">
        <v>0</v>
      </c>
      <c r="N165" s="20" t="n">
        <v>0</v>
      </c>
      <c r="V165" s="20" t="n">
        <v>0</v>
      </c>
      <c r="W165" s="20" t="n">
        <v>0</v>
      </c>
      <c r="X165" s="20" t="n">
        <v>0</v>
      </c>
    </row>
    <row r="166">
      <c r="A166" s="18" t="inlineStr">
        <is>
          <t>부문 간 내부매출·대체</t>
        </is>
      </c>
      <c r="C166" s="20" t="n">
        <v>0</v>
      </c>
      <c r="D166" s="20" t="n">
        <v>0</v>
      </c>
      <c r="E166" s="20" t="n">
        <v>0</v>
      </c>
      <c r="F166" s="20" t="n">
        <v>0</v>
      </c>
      <c r="G166" s="20" t="n">
        <v>0</v>
      </c>
      <c r="H166" s="20" t="n">
        <v>0</v>
      </c>
      <c r="I166" s="20" t="n">
        <v>0</v>
      </c>
      <c r="J166" s="20" t="n">
        <v>0</v>
      </c>
      <c r="K166" s="20" t="n">
        <v>0</v>
      </c>
      <c r="L166" s="20" t="n">
        <v>0</v>
      </c>
      <c r="M166" s="20" t="n">
        <v>0</v>
      </c>
      <c r="N166" s="20" t="n">
        <v>0</v>
      </c>
      <c r="V166" s="20" t="n">
        <v>0</v>
      </c>
      <c r="W166" s="20" t="n">
        <v>0</v>
      </c>
      <c r="X166" s="20" t="n">
        <v>0</v>
      </c>
    </row>
    <row r="167">
      <c r="A167" s="18" t="inlineStr">
        <is>
          <t>Life Science · 계</t>
        </is>
      </c>
      <c r="D167" s="20" t="n">
        <v>593</v>
      </c>
      <c r="E167" s="20" t="n">
        <v>515</v>
      </c>
      <c r="H167" s="20" t="n">
        <v>638</v>
      </c>
      <c r="I167" s="20" t="n">
        <v>945</v>
      </c>
      <c r="L167" s="20" t="n">
        <v>262</v>
      </c>
      <c r="M167" s="20" t="n">
        <v>201</v>
      </c>
      <c r="V167" s="20" t="n">
        <v>515</v>
      </c>
      <c r="W167" s="20" t="n">
        <v>945</v>
      </c>
      <c r="X167" s="20" t="n">
        <v>201</v>
      </c>
    </row>
    <row r="168">
      <c r="A168" s="18" t="inlineStr">
        <is>
          <t>Digital Communication · 계</t>
        </is>
      </c>
      <c r="D168" s="20" t="n">
        <v>1425</v>
      </c>
      <c r="E168" s="20" t="n">
        <v>1239</v>
      </c>
      <c r="H168" s="20" t="n">
        <v>1131</v>
      </c>
      <c r="I168" s="20" t="n">
        <v>784</v>
      </c>
      <c r="L168" s="20" t="n">
        <v>384</v>
      </c>
      <c r="M168" s="20" t="n">
        <v>482</v>
      </c>
      <c r="V168" s="20" t="n">
        <v>1239</v>
      </c>
      <c r="W168" s="20" t="n">
        <v>784</v>
      </c>
      <c r="X168" s="20" t="n">
        <v>482</v>
      </c>
    </row>
    <row r="169">
      <c r="A169" s="18" t="inlineStr">
        <is>
          <t>Semiconductor · 계</t>
        </is>
      </c>
      <c r="C169" s="20" t="n">
        <v>4014</v>
      </c>
      <c r="D169" s="20" t="n">
        <v>3422</v>
      </c>
      <c r="F169" s="20" t="n">
        <v>4570</v>
      </c>
      <c r="G169" s="20" t="n">
        <v>3686</v>
      </c>
      <c r="H169" s="20" t="n">
        <v>3730</v>
      </c>
      <c r="J169" s="20" t="n">
        <v>4888</v>
      </c>
      <c r="K169" s="20" t="n">
        <v>5797</v>
      </c>
      <c r="L169" s="20" t="n">
        <v>7166</v>
      </c>
      <c r="N169" s="20" t="n">
        <v>7878</v>
      </c>
    </row>
    <row r="170">
      <c r="A170" s="18" t="inlineStr">
        <is>
          <t>Life Science · 계</t>
        </is>
      </c>
      <c r="F170" s="20" t="n">
        <v>766</v>
      </c>
      <c r="J170" s="20" t="n">
        <v>516</v>
      </c>
      <c r="N170" s="20" t="n">
        <v>276</v>
      </c>
    </row>
    <row r="171">
      <c r="A171" s="18" t="inlineStr">
        <is>
          <t>Digital Communication · 계</t>
        </is>
      </c>
      <c r="F171" s="20" t="n">
        <v>1705</v>
      </c>
      <c r="J171" s="20" t="n">
        <v>420</v>
      </c>
    </row>
    <row r="172">
      <c r="A172" s="18" t="inlineStr">
        <is>
          <t>Digital Communication · 계</t>
        </is>
      </c>
      <c r="J172" s="20" t="n">
        <v>420</v>
      </c>
      <c r="N172" s="20" t="n">
        <v>457</v>
      </c>
    </row>
    <row r="173">
      <c r="A173" s="18" t="inlineStr">
        <is>
          <t>Energy Saving Solution · 계</t>
        </is>
      </c>
      <c r="C173" s="20" t="n">
        <v>3290</v>
      </c>
      <c r="D173" s="20" t="n">
        <v>3313</v>
      </c>
      <c r="E173" s="20" t="n">
        <v>3530</v>
      </c>
      <c r="F173" s="20" t="n">
        <v>3558</v>
      </c>
      <c r="G173" s="20" t="n">
        <v>3437</v>
      </c>
      <c r="H173" s="20" t="n">
        <v>3604</v>
      </c>
      <c r="I173" s="20" t="n">
        <v>3399</v>
      </c>
      <c r="J173" s="20" t="n">
        <v>3173</v>
      </c>
      <c r="K173" s="20" t="n">
        <v>3635</v>
      </c>
      <c r="L173" s="20" t="n">
        <v>3661</v>
      </c>
      <c r="M173" s="20" t="n">
        <v>3732</v>
      </c>
      <c r="N173" s="20" t="n">
        <v>3959</v>
      </c>
      <c r="V173" s="20" t="n">
        <v>3530</v>
      </c>
      <c r="W173" s="20" t="n">
        <v>3399</v>
      </c>
      <c r="X173" s="20" t="n">
        <v>3732</v>
      </c>
    </row>
    <row r="174">
      <c r="A174" s="9" t="inlineStr">
        <is>
          <t>계</t>
        </is>
      </c>
      <c r="C174" s="12" t="n">
        <v>9485</v>
      </c>
      <c r="D174" s="12" t="n">
        <v>8754</v>
      </c>
      <c r="E174" s="12" t="n">
        <v>9851</v>
      </c>
      <c r="F174" s="12" t="n">
        <v>10601</v>
      </c>
      <c r="G174" s="12" t="n">
        <v>9099</v>
      </c>
      <c r="H174" s="12" t="n">
        <v>9105</v>
      </c>
      <c r="I174" s="12" t="n">
        <v>9264</v>
      </c>
      <c r="J174" s="12" t="n">
        <v>8999</v>
      </c>
      <c r="K174" s="12" t="n">
        <v>11902</v>
      </c>
      <c r="L174" s="12" t="n">
        <v>11473</v>
      </c>
      <c r="M174" s="12" t="n">
        <v>10166</v>
      </c>
      <c r="N174" s="12" t="n">
        <v>12572</v>
      </c>
      <c r="V174" s="12" t="n">
        <v>9851</v>
      </c>
      <c r="W174" s="12" t="n">
        <v>9264</v>
      </c>
      <c r="X174" s="12" t="n">
        <v>10166</v>
      </c>
    </row>
    <row r="175">
      <c r="A175" s="18" t="inlineStr">
        <is>
          <t>Life Science · 부문 이익</t>
        </is>
      </c>
      <c r="D175" s="20" t="n">
        <v>-90</v>
      </c>
      <c r="E175" s="20" t="n">
        <v>-126</v>
      </c>
      <c r="H175" s="20" t="n">
        <v>-70</v>
      </c>
      <c r="I175" s="20" t="n">
        <v>327</v>
      </c>
      <c r="L175" s="20" t="n">
        <v>-51</v>
      </c>
      <c r="M175" s="20" t="n">
        <v>-53</v>
      </c>
      <c r="V175" s="20" t="n">
        <v>-126</v>
      </c>
      <c r="W175" s="20" t="n">
        <v>327</v>
      </c>
      <c r="X175" s="20" t="n">
        <v>-53</v>
      </c>
    </row>
    <row r="176">
      <c r="A176" s="18" t="inlineStr">
        <is>
          <t>Digital Communication · 부문 이익</t>
        </is>
      </c>
      <c r="D176" s="20" t="n">
        <v>754</v>
      </c>
      <c r="E176" s="20" t="n">
        <v>684</v>
      </c>
      <c r="H176" s="20" t="n">
        <v>518</v>
      </c>
      <c r="I176" s="20" t="n">
        <v>263</v>
      </c>
      <c r="L176" s="20" t="n">
        <v>-10</v>
      </c>
      <c r="M176" s="20" t="n">
        <v>-123</v>
      </c>
      <c r="V176" s="20" t="n">
        <v>684</v>
      </c>
      <c r="W176" s="20" t="n">
        <v>263</v>
      </c>
      <c r="X176" s="20" t="n">
        <v>-123</v>
      </c>
    </row>
    <row r="177">
      <c r="A177" s="18" t="inlineStr">
        <is>
          <t>Semiconductor · 부문 이익(손실)</t>
        </is>
      </c>
      <c r="C177" s="20" t="n">
        <v>321</v>
      </c>
      <c r="D177" s="20" t="n">
        <v>42</v>
      </c>
      <c r="F177" s="20" t="n">
        <v>719</v>
      </c>
      <c r="G177" s="20" t="n">
        <v>303</v>
      </c>
      <c r="H177" s="20" t="n">
        <v>87</v>
      </c>
      <c r="J177" s="20" t="n">
        <v>866</v>
      </c>
      <c r="K177" s="20" t="n">
        <v>1413</v>
      </c>
      <c r="L177" s="20" t="n">
        <v>1880</v>
      </c>
      <c r="N177" s="20" t="n">
        <v>2012</v>
      </c>
    </row>
    <row r="178">
      <c r="A178" s="18" t="inlineStr">
        <is>
          <t>Life Science · 부문 이익(손실)</t>
        </is>
      </c>
      <c r="F178" s="20" t="n">
        <v>115</v>
      </c>
      <c r="J178" s="20" t="n">
        <v>-10</v>
      </c>
      <c r="N178" s="20" t="n">
        <v>7</v>
      </c>
    </row>
    <row r="179">
      <c r="A179" s="18" t="inlineStr">
        <is>
          <t>Digital Communication · 부문 이익</t>
        </is>
      </c>
      <c r="F179" s="20" t="n">
        <v>1065</v>
      </c>
      <c r="J179" s="20" t="n">
        <v>-43</v>
      </c>
    </row>
    <row r="180">
      <c r="A180" s="18" t="inlineStr">
        <is>
          <t>Digital Communication · 부문 이익(손실)</t>
        </is>
      </c>
      <c r="J180" s="20" t="n">
        <v>-43</v>
      </c>
      <c r="N180" s="20" t="n">
        <v>-121</v>
      </c>
    </row>
    <row r="181">
      <c r="A181" s="18" t="inlineStr">
        <is>
          <t>Energy Saving Solution · 부문 이익(손실)</t>
        </is>
      </c>
      <c r="C181" s="20" t="n">
        <v>208</v>
      </c>
      <c r="D181" s="20" t="n">
        <v>232</v>
      </c>
      <c r="E181" s="20" t="n">
        <v>196</v>
      </c>
      <c r="F181" s="20" t="n">
        <v>253</v>
      </c>
      <c r="G181" s="20" t="n">
        <v>179</v>
      </c>
      <c r="H181" s="20" t="n">
        <v>193</v>
      </c>
      <c r="I181" s="20" t="n">
        <v>195</v>
      </c>
      <c r="J181" s="20" t="n">
        <v>92</v>
      </c>
      <c r="K181" s="20" t="n">
        <v>294</v>
      </c>
      <c r="L181" s="20" t="n">
        <v>332</v>
      </c>
      <c r="M181" s="20" t="n">
        <v>323</v>
      </c>
      <c r="N181" s="20" t="n">
        <v>430</v>
      </c>
      <c r="V181" s="20" t="n">
        <v>196</v>
      </c>
      <c r="W181" s="20" t="n">
        <v>195</v>
      </c>
      <c r="X181" s="20" t="n">
        <v>323</v>
      </c>
    </row>
    <row r="182">
      <c r="A182" s="9" t="inlineStr">
        <is>
          <t>부문 이익(손실)</t>
        </is>
      </c>
      <c r="C182" s="12" t="n">
        <v>1204</v>
      </c>
      <c r="D182" s="12" t="n">
        <v>938</v>
      </c>
      <c r="E182" s="12" t="n">
        <v>1091</v>
      </c>
      <c r="F182" s="12" t="n">
        <v>2153</v>
      </c>
      <c r="G182" s="12" t="n">
        <v>1201</v>
      </c>
      <c r="H182" s="12" t="n">
        <v>730</v>
      </c>
      <c r="I182" s="12" t="n">
        <v>1203</v>
      </c>
      <c r="J182" s="12" t="n">
        <v>905</v>
      </c>
      <c r="K182" s="12" t="n">
        <v>2146</v>
      </c>
      <c r="L182" s="12" t="n">
        <v>2149</v>
      </c>
      <c r="M182" s="12" t="n">
        <v>964</v>
      </c>
      <c r="N182" s="12" t="n">
        <v>2329</v>
      </c>
      <c r="V182" s="12" t="n">
        <v>1091</v>
      </c>
      <c r="W182" s="12" t="n">
        <v>1203</v>
      </c>
      <c r="X182" s="12" t="n">
        <v>964</v>
      </c>
    </row>
    <row r="183">
      <c r="A183" s="18" t="inlineStr">
        <is>
          <t>Life Science · 외부 고객 매출</t>
        </is>
      </c>
      <c r="D183" s="20" t="n">
        <v>593</v>
      </c>
      <c r="E183" s="20" t="n">
        <v>515</v>
      </c>
      <c r="H183" s="20" t="n">
        <v>638</v>
      </c>
      <c r="I183" s="20" t="n">
        <v>945</v>
      </c>
      <c r="L183" s="20" t="n">
        <v>262</v>
      </c>
      <c r="M183" s="20" t="n">
        <v>201</v>
      </c>
      <c r="V183" s="20" t="n">
        <v>515</v>
      </c>
      <c r="W183" s="20" t="n">
        <v>945</v>
      </c>
      <c r="X183" s="20" t="n">
        <v>201</v>
      </c>
    </row>
    <row r="184">
      <c r="A184" s="18" t="inlineStr">
        <is>
          <t>Digital Communication · 외부 고객 매출</t>
        </is>
      </c>
      <c r="D184" s="20" t="n">
        <v>1425</v>
      </c>
      <c r="E184" s="20" t="n">
        <v>1239</v>
      </c>
      <c r="H184" s="20" t="n">
        <v>1131</v>
      </c>
      <c r="I184" s="20" t="n">
        <v>784</v>
      </c>
      <c r="L184" s="20" t="n">
        <v>384</v>
      </c>
      <c r="M184" s="20" t="n">
        <v>482</v>
      </c>
      <c r="V184" s="20" t="n">
        <v>1239</v>
      </c>
      <c r="W184" s="20" t="n">
        <v>784</v>
      </c>
      <c r="X184" s="20" t="n">
        <v>482</v>
      </c>
    </row>
    <row r="186">
      <c r="A186" s="16" t="inlineStr">
        <is>
          <t>현금흐름표 · 전 항목</t>
        </is>
      </c>
      <c r="B186" s="42" t="inlineStr">
        <is>
          <t>분기 = 결산기 첫날부터 누계(공시 그대로)</t>
        </is>
      </c>
      <c r="C186" s="16" t="n"/>
      <c r="D186" s="16" t="n"/>
      <c r="E186" s="16" t="n"/>
      <c r="F186" s="16" t="n"/>
      <c r="G186" s="16" t="n"/>
      <c r="H186" s="16" t="n"/>
      <c r="I186" s="16" t="n"/>
      <c r="J186" s="16" t="n"/>
      <c r="K186" s="16" t="n"/>
      <c r="L186" s="16" t="n"/>
      <c r="M186" s="16" t="n"/>
      <c r="N186" s="16" t="n"/>
      <c r="O186" s="16" t="n"/>
      <c r="P186" s="16" t="n"/>
      <c r="Q186" s="16" t="n"/>
      <c r="R186" s="16" t="n"/>
      <c r="S186" s="16" t="n"/>
      <c r="T186" s="16" t="n"/>
      <c r="U186" s="16" t="n"/>
      <c r="V186" s="16" t="n"/>
      <c r="W186" s="16" t="n"/>
      <c r="X186" s="16" t="n"/>
      <c r="Y186" s="16" t="n"/>
      <c r="Z186" s="16" t="n"/>
      <c r="AA186" s="16" t="n"/>
      <c r="AB186" s="16" t="n"/>
      <c r="AC186" s="16" t="n"/>
    </row>
    <row r="187">
      <c r="A187" s="5" t="inlineStr">
        <is>
          <t>항목</t>
        </is>
      </c>
      <c r="B187" s="5" t="inlineStr">
        <is>
          <t>참고</t>
        </is>
      </c>
      <c r="C187" s="5" t="inlineStr">
        <is>
          <t>2024.2Q</t>
        </is>
      </c>
      <c r="D187" s="5" t="inlineStr">
        <is>
          <t>2024.3Q</t>
        </is>
      </c>
      <c r="E187" s="5" t="inlineStr">
        <is>
          <t>2024.4Q</t>
        </is>
      </c>
      <c r="F187" s="5" t="inlineStr">
        <is>
          <t>2025.1Q</t>
        </is>
      </c>
      <c r="G187" s="5" t="inlineStr">
        <is>
          <t>2025.2Q</t>
        </is>
      </c>
      <c r="H187" s="5" t="inlineStr">
        <is>
          <t>2025.3Q</t>
        </is>
      </c>
      <c r="I187" s="5" t="inlineStr">
        <is>
          <t>2025.4Q</t>
        </is>
      </c>
      <c r="J187" s="5" t="inlineStr">
        <is>
          <t>2026.1Q</t>
        </is>
      </c>
      <c r="K187" s="5" t="inlineStr">
        <is>
          <t>2026.2Q</t>
        </is>
      </c>
      <c r="L187" s="5" t="inlineStr">
        <is>
          <t>2026.3Q</t>
        </is>
      </c>
      <c r="M187" s="5" t="inlineStr">
        <is>
          <t>2026.4Q</t>
        </is>
      </c>
      <c r="N187" s="5" t="inlineStr">
        <is>
          <t>2027.1Q</t>
        </is>
      </c>
      <c r="O187" s="5" t="inlineStr">
        <is>
          <t>2017</t>
        </is>
      </c>
      <c r="P187" s="5" t="inlineStr">
        <is>
          <t>2018</t>
        </is>
      </c>
      <c r="Q187" s="5" t="inlineStr">
        <is>
          <t>2019</t>
        </is>
      </c>
      <c r="R187" s="5" t="inlineStr">
        <is>
          <t>2020</t>
        </is>
      </c>
      <c r="S187" s="5" t="inlineStr">
        <is>
          <t>2021</t>
        </is>
      </c>
      <c r="T187" s="5" t="inlineStr">
        <is>
          <t>2022</t>
        </is>
      </c>
      <c r="U187" s="5" t="inlineStr">
        <is>
          <t>2023</t>
        </is>
      </c>
      <c r="V187" s="5" t="inlineStr">
        <is>
          <t>2024</t>
        </is>
      </c>
      <c r="W187" s="5" t="inlineStr">
        <is>
          <t>2025</t>
        </is>
      </c>
      <c r="X187" s="5" t="inlineStr">
        <is>
          <t>2026</t>
        </is>
      </c>
      <c r="Y187" s="5" t="inlineStr">
        <is>
          <t>2027(MW)</t>
        </is>
      </c>
      <c r="Z187" s="5" t="inlineStr">
        <is>
          <t>2028(MW)</t>
        </is>
      </c>
      <c r="AA187" s="5" t="inlineStr">
        <is>
          <t>2029(MW)</t>
        </is>
      </c>
      <c r="AB187" s="5" t="inlineStr">
        <is>
          <t>2030(MW)</t>
        </is>
      </c>
      <c r="AC187" s="5" t="inlineStr">
        <is>
          <t>2031(MW)</t>
        </is>
      </c>
    </row>
    <row r="188">
      <c r="A188" s="9" t="inlineStr">
        <is>
          <t>법인세차감전 순이익</t>
        </is>
      </c>
      <c r="E188" s="12" t="n">
        <v>5023</v>
      </c>
      <c r="I188" s="12" t="n">
        <v>5252</v>
      </c>
      <c r="M188" s="12" t="n">
        <v>6323</v>
      </c>
      <c r="O188" s="12" t="n">
        <v>6356</v>
      </c>
      <c r="P188" s="12" t="n">
        <v>3786</v>
      </c>
      <c r="Q188" s="12" t="n">
        <v>1119</v>
      </c>
      <c r="R188" s="12" t="n">
        <v>1492</v>
      </c>
      <c r="S188" s="12" t="n">
        <v>1484</v>
      </c>
      <c r="T188" s="12" t="n">
        <v>4033</v>
      </c>
      <c r="U188" s="12" t="n">
        <v>6684</v>
      </c>
      <c r="V188" s="12" t="n">
        <v>5023</v>
      </c>
      <c r="W188" s="12" t="n">
        <v>5252</v>
      </c>
      <c r="X188" s="12" t="n">
        <v>6323</v>
      </c>
    </row>
    <row r="189">
      <c r="A189" s="18" t="inlineStr">
        <is>
          <t>감가상각비</t>
        </is>
      </c>
      <c r="E189" s="20" t="n">
        <v>2385</v>
      </c>
      <c r="I189" s="20" t="n">
        <v>2417</v>
      </c>
      <c r="M189" s="20" t="n">
        <v>2390</v>
      </c>
      <c r="O189" s="20" t="n">
        <v>2320</v>
      </c>
      <c r="P189" s="20" t="n">
        <v>2029</v>
      </c>
      <c r="Q189" s="20" t="n">
        <v>2254</v>
      </c>
      <c r="R189" s="20" t="n">
        <v>2435</v>
      </c>
      <c r="S189" s="20" t="n">
        <v>2372</v>
      </c>
      <c r="T189" s="20" t="n">
        <v>2312</v>
      </c>
      <c r="U189" s="20" t="n">
        <v>2243</v>
      </c>
      <c r="V189" s="20" t="n">
        <v>2385</v>
      </c>
      <c r="W189" s="20" t="n">
        <v>2417</v>
      </c>
      <c r="X189" s="20" t="n">
        <v>2390</v>
      </c>
    </row>
    <row r="190">
      <c r="A190" s="18" t="inlineStr">
        <is>
          <t>영업권 상각</t>
        </is>
      </c>
      <c r="O190" s="20" t="n">
        <v>48</v>
      </c>
      <c r="P190" s="20" t="n">
        <v>192</v>
      </c>
      <c r="Q190" s="20" t="n">
        <v>332</v>
      </c>
      <c r="R190" s="20" t="n">
        <v>277</v>
      </c>
      <c r="S190" s="20" t="n">
        <v>50</v>
      </c>
      <c r="T190" s="20" t="n">
        <v>53</v>
      </c>
      <c r="U190" s="20" t="n">
        <v>0</v>
      </c>
    </row>
    <row r="191">
      <c r="A191" s="18" t="inlineStr">
        <is>
          <t>Provision For Loss On Litigation Ope CF</t>
        </is>
      </c>
      <c r="O191" s="20" t="n">
        <v>-918</v>
      </c>
      <c r="P191" s="20" t="n">
        <v>13</v>
      </c>
      <c r="Q191" s="20" t="n">
        <v>4</v>
      </c>
    </row>
    <row r="192">
      <c r="A192" s="18" t="inlineStr">
        <is>
          <t>손상차손</t>
        </is>
      </c>
      <c r="E192" s="20" t="n">
        <v>27</v>
      </c>
      <c r="I192" s="20" t="n">
        <v>34</v>
      </c>
      <c r="M192" s="20" t="n">
        <v>0</v>
      </c>
      <c r="P192" s="20" t="n">
        <v>0</v>
      </c>
      <c r="Q192" s="20" t="n">
        <v>106</v>
      </c>
      <c r="R192" s="20" t="n">
        <v>1013</v>
      </c>
      <c r="S192" s="20" t="n">
        <v>25</v>
      </c>
      <c r="T192" s="20" t="n">
        <v>155</v>
      </c>
      <c r="U192" s="20" t="n">
        <v>696</v>
      </c>
      <c r="V192" s="20" t="n">
        <v>27</v>
      </c>
      <c r="W192" s="20" t="n">
        <v>34</v>
      </c>
      <c r="X192" s="20" t="n">
        <v>0</v>
      </c>
    </row>
    <row r="193">
      <c r="A193" s="18" t="inlineStr">
        <is>
          <t>상여충당금 증감</t>
        </is>
      </c>
      <c r="E193" s="20" t="n">
        <v>-115</v>
      </c>
      <c r="I193" s="20" t="n">
        <v>4</v>
      </c>
      <c r="M193" s="20" t="n">
        <v>157</v>
      </c>
      <c r="O193" s="20" t="n">
        <v>-53</v>
      </c>
      <c r="P193" s="20" t="n">
        <v>-27</v>
      </c>
      <c r="Q193" s="20" t="n">
        <v>-54</v>
      </c>
      <c r="R193" s="20" t="n">
        <v>39</v>
      </c>
      <c r="S193" s="20" t="n">
        <v>-27</v>
      </c>
      <c r="T193" s="20" t="n">
        <v>39</v>
      </c>
      <c r="U193" s="20" t="n">
        <v>234</v>
      </c>
      <c r="V193" s="20" t="n">
        <v>-115</v>
      </c>
      <c r="W193" s="20" t="n">
        <v>4</v>
      </c>
      <c r="X193" s="20" t="n">
        <v>157</v>
      </c>
    </row>
    <row r="194">
      <c r="A194" s="18" t="inlineStr">
        <is>
          <t>임원 상여충당금 증감</t>
        </is>
      </c>
      <c r="E194" s="20" t="n">
        <v>20</v>
      </c>
      <c r="I194" s="20" t="n">
        <v>30</v>
      </c>
      <c r="M194" s="20" t="n">
        <v>-23</v>
      </c>
      <c r="O194" s="20" t="n">
        <v>-37</v>
      </c>
      <c r="P194" s="20" t="n">
        <v>-7</v>
      </c>
      <c r="Q194" s="20" t="n">
        <v>-11</v>
      </c>
      <c r="R194" s="20" t="n">
        <v>-9</v>
      </c>
      <c r="S194" s="20" t="n">
        <v>2</v>
      </c>
      <c r="T194" s="20" t="n">
        <v>21</v>
      </c>
      <c r="U194" s="20" t="n">
        <v>14</v>
      </c>
      <c r="V194" s="20" t="n">
        <v>20</v>
      </c>
      <c r="W194" s="20" t="n">
        <v>30</v>
      </c>
      <c r="X194" s="20" t="n">
        <v>-23</v>
      </c>
    </row>
    <row r="195">
      <c r="A195" s="18" t="inlineStr">
        <is>
          <t>대손충당금 증감</t>
        </is>
      </c>
      <c r="E195" s="20" t="n">
        <v>-15</v>
      </c>
      <c r="I195" s="20" t="n">
        <v>2</v>
      </c>
      <c r="M195" s="20" t="n">
        <v>82</v>
      </c>
      <c r="O195" s="20" t="n">
        <v>1</v>
      </c>
      <c r="P195" s="20" t="n">
        <v>2</v>
      </c>
      <c r="Q195" s="20" t="n">
        <v>1</v>
      </c>
      <c r="R195" s="20" t="n">
        <v>-0</v>
      </c>
      <c r="S195" s="20" t="n">
        <v>-1</v>
      </c>
      <c r="T195" s="20" t="n">
        <v>7</v>
      </c>
      <c r="U195" s="20" t="n">
        <v>3</v>
      </c>
      <c r="V195" s="20" t="n">
        <v>-15</v>
      </c>
      <c r="W195" s="20" t="n">
        <v>2</v>
      </c>
      <c r="X195" s="20" t="n">
        <v>82</v>
      </c>
    </row>
    <row r="196">
      <c r="A196" s="18" t="inlineStr">
        <is>
          <t>퇴직급여부채 증감</t>
        </is>
      </c>
      <c r="E196" s="20" t="n">
        <v>-2</v>
      </c>
      <c r="I196" s="20" t="n">
        <v>15</v>
      </c>
      <c r="M196" s="20" t="n">
        <v>9</v>
      </c>
      <c r="O196" s="20" t="n">
        <v>234</v>
      </c>
      <c r="P196" s="20" t="n">
        <v>-14</v>
      </c>
      <c r="Q196" s="20" t="n">
        <v>-337</v>
      </c>
      <c r="R196" s="20" t="n">
        <v>17</v>
      </c>
      <c r="S196" s="20" t="n">
        <v>0</v>
      </c>
      <c r="T196" s="20" t="n">
        <v>2</v>
      </c>
      <c r="U196" s="20" t="n">
        <v>-5</v>
      </c>
      <c r="V196" s="20" t="n">
        <v>-2</v>
      </c>
      <c r="W196" s="20" t="n">
        <v>15</v>
      </c>
      <c r="X196" s="20" t="n">
        <v>9</v>
      </c>
    </row>
    <row r="197">
      <c r="A197" s="18" t="inlineStr">
        <is>
          <t>이자·배당금 수익</t>
        </is>
      </c>
      <c r="E197" s="20" t="n">
        <v>-317</v>
      </c>
      <c r="I197" s="20" t="n">
        <v>-418</v>
      </c>
      <c r="M197" s="20" t="n">
        <v>-220</v>
      </c>
      <c r="O197" s="20" t="n">
        <v>-57</v>
      </c>
      <c r="P197" s="20" t="n">
        <v>-82</v>
      </c>
      <c r="Q197" s="20" t="n">
        <v>-177</v>
      </c>
      <c r="R197" s="20" t="n">
        <v>-195</v>
      </c>
      <c r="S197" s="20" t="n">
        <v>-79</v>
      </c>
      <c r="T197" s="20" t="n">
        <v>-67</v>
      </c>
      <c r="U197" s="20" t="n">
        <v>-110</v>
      </c>
      <c r="V197" s="20" t="n">
        <v>-317</v>
      </c>
      <c r="W197" s="20" t="n">
        <v>-418</v>
      </c>
      <c r="X197" s="20" t="n">
        <v>-220</v>
      </c>
    </row>
    <row r="198">
      <c r="A198" s="18" t="inlineStr">
        <is>
          <t>이자비용</t>
        </is>
      </c>
      <c r="Q198" s="20" t="n">
        <v>0</v>
      </c>
      <c r="R198" s="20" t="n">
        <v>41</v>
      </c>
      <c r="S198" s="20" t="n">
        <v>47</v>
      </c>
    </row>
    <row r="199">
      <c r="A199" s="18" t="inlineStr">
        <is>
          <t>외환차손익</t>
        </is>
      </c>
      <c r="O199" s="20" t="n">
        <v>-8</v>
      </c>
      <c r="P199" s="20" t="n">
        <v>178</v>
      </c>
      <c r="Q199" s="20" t="n">
        <v>-134</v>
      </c>
      <c r="R199" s="20" t="n">
        <v>7</v>
      </c>
    </row>
    <row r="200">
      <c r="A200" s="18" t="inlineStr">
        <is>
          <t>Decrease Increase In Trade Receivables And Contract Assets</t>
        </is>
      </c>
      <c r="S200" s="20" t="n">
        <v>-281</v>
      </c>
      <c r="T200" s="20" t="n">
        <v>-906</v>
      </c>
    </row>
    <row r="201">
      <c r="A201" s="18" t="inlineStr">
        <is>
          <t>지분법손익</t>
        </is>
      </c>
      <c r="E201" s="20" t="n">
        <v>0</v>
      </c>
      <c r="O201" s="20" t="n">
        <v>365</v>
      </c>
      <c r="P201" s="20" t="n">
        <v>245</v>
      </c>
      <c r="Q201" s="20" t="n">
        <v>394</v>
      </c>
      <c r="R201" s="20" t="n">
        <v>196</v>
      </c>
      <c r="S201" s="20" t="n">
        <v>326</v>
      </c>
      <c r="T201" s="20" t="n">
        <v>366</v>
      </c>
      <c r="U201" s="20" t="n">
        <v>346</v>
      </c>
      <c r="V201" s="20" t="n">
        <v>0</v>
      </c>
    </row>
    <row r="202">
      <c r="A202" s="18" t="inlineStr">
        <is>
          <t>지분변동손익</t>
        </is>
      </c>
      <c r="O202" s="20" t="n">
        <v>-39</v>
      </c>
      <c r="P202" s="20" t="n">
        <v>0</v>
      </c>
      <c r="Q202" s="20" t="n">
        <v>-39</v>
      </c>
      <c r="R202" s="20" t="n">
        <v>41</v>
      </c>
      <c r="S202" s="20" t="n">
        <v>0</v>
      </c>
    </row>
    <row r="203">
      <c r="A203" s="18" t="inlineStr">
        <is>
          <t>유형자산 매각손익</t>
        </is>
      </c>
      <c r="E203" s="20" t="n">
        <v>-36</v>
      </c>
      <c r="O203" s="20" t="n">
        <v>-1404</v>
      </c>
      <c r="P203" s="20" t="n">
        <v>-9</v>
      </c>
      <c r="Q203" s="20" t="n">
        <v>-10</v>
      </c>
      <c r="R203" s="20" t="n">
        <v>-31</v>
      </c>
      <c r="S203" s="20" t="n">
        <v>-6</v>
      </c>
      <c r="T203" s="20" t="n">
        <v>-1</v>
      </c>
      <c r="U203" s="20" t="n">
        <v>-21</v>
      </c>
      <c r="V203" s="20" t="n">
        <v>-36</v>
      </c>
    </row>
    <row r="204">
      <c r="A204" s="18" t="inlineStr">
        <is>
          <t>보상금 수취</t>
        </is>
      </c>
      <c r="E204" s="20" t="n">
        <v>0</v>
      </c>
      <c r="I204" s="20" t="n">
        <v>-44</v>
      </c>
      <c r="M204" s="20" t="n">
        <v>0</v>
      </c>
      <c r="V204" s="20" t="n">
        <v>0</v>
      </c>
      <c r="W204" s="20" t="n">
        <v>-44</v>
      </c>
      <c r="X204" s="20" t="n">
        <v>0</v>
      </c>
    </row>
    <row r="205">
      <c r="A205" s="18" t="inlineStr">
        <is>
          <t>신주예약권 환입이익</t>
        </is>
      </c>
      <c r="I205" s="20" t="n">
        <v>0</v>
      </c>
      <c r="M205" s="20" t="n">
        <v>-1</v>
      </c>
      <c r="S205" s="20" t="n">
        <v>-12</v>
      </c>
      <c r="T205" s="20" t="n">
        <v>-190</v>
      </c>
      <c r="U205" s="20" t="n">
        <v>0</v>
      </c>
      <c r="W205" s="20" t="n">
        <v>0</v>
      </c>
      <c r="X205" s="20" t="n">
        <v>-1</v>
      </c>
    </row>
    <row r="206">
      <c r="A206" s="18" t="inlineStr">
        <is>
          <t>고정자산 매각손익</t>
        </is>
      </c>
      <c r="E206" s="20" t="n">
        <v>-36</v>
      </c>
      <c r="I206" s="20" t="n">
        <v>-24</v>
      </c>
      <c r="M206" s="20" t="n">
        <v>-25</v>
      </c>
      <c r="V206" s="20" t="n">
        <v>-36</v>
      </c>
      <c r="W206" s="20" t="n">
        <v>-24</v>
      </c>
      <c r="X206" s="20" t="n">
        <v>-25</v>
      </c>
    </row>
    <row r="207">
      <c r="A207" s="18" t="inlineStr">
        <is>
          <t>투자유가증권 매각손익</t>
        </is>
      </c>
      <c r="E207" s="20" t="n">
        <v>-8</v>
      </c>
      <c r="I207" s="20" t="n">
        <v>-2</v>
      </c>
      <c r="M207" s="20" t="n">
        <v>-1</v>
      </c>
      <c r="P207" s="20" t="n">
        <v>0</v>
      </c>
      <c r="Q207" s="20" t="n">
        <v>-415</v>
      </c>
      <c r="R207" s="20" t="n">
        <v>-1</v>
      </c>
      <c r="S207" s="20" t="n">
        <v>-151</v>
      </c>
      <c r="T207" s="20" t="n">
        <v>-667</v>
      </c>
      <c r="U207" s="20" t="n">
        <v>-7</v>
      </c>
      <c r="V207" s="20" t="n">
        <v>-8</v>
      </c>
      <c r="W207" s="20" t="n">
        <v>-2</v>
      </c>
      <c r="X207" s="20" t="n">
        <v>-1</v>
      </c>
    </row>
    <row r="208">
      <c r="A208" s="18" t="inlineStr">
        <is>
          <t>투자유가증권 평가손익</t>
        </is>
      </c>
      <c r="E208" s="20" t="n">
        <v>86</v>
      </c>
      <c r="I208" s="20" t="n">
        <v>0</v>
      </c>
      <c r="P208" s="20" t="n">
        <v>0</v>
      </c>
      <c r="Q208" s="20" t="n">
        <v>1116</v>
      </c>
      <c r="R208" s="20" t="n">
        <v>23</v>
      </c>
      <c r="S208" s="20" t="n">
        <v>0</v>
      </c>
      <c r="T208" s="20" t="n">
        <v>25</v>
      </c>
      <c r="U208" s="20" t="n">
        <v>1433</v>
      </c>
      <c r="V208" s="20" t="n">
        <v>86</v>
      </c>
      <c r="W208" s="20" t="n">
        <v>0</v>
      </c>
    </row>
    <row r="209">
      <c r="A209" s="18" t="inlineStr">
        <is>
          <t>임원 퇴직위로 충당금 증감</t>
        </is>
      </c>
      <c r="O209" s="20" t="n">
        <v>-9</v>
      </c>
      <c r="P209" s="20" t="n">
        <v>0</v>
      </c>
      <c r="Q209" s="20" t="n">
        <v>0</v>
      </c>
    </row>
    <row r="210">
      <c r="A210" s="18" t="inlineStr">
        <is>
          <t>보험금 수익</t>
        </is>
      </c>
      <c r="E210" s="20" t="n">
        <v>-227</v>
      </c>
      <c r="I210" s="20" t="n">
        <v>0</v>
      </c>
      <c r="U210" s="20" t="n">
        <v>0</v>
      </c>
      <c r="V210" s="20" t="n">
        <v>-227</v>
      </c>
      <c r="W210" s="20" t="n">
        <v>0</v>
      </c>
    </row>
    <row r="211">
      <c r="A211" s="18" t="inlineStr">
        <is>
          <t>Loss On Litigation Ope CF</t>
        </is>
      </c>
      <c r="E211" s="20" t="n">
        <v>74</v>
      </c>
      <c r="I211" s="20" t="n">
        <v>0</v>
      </c>
      <c r="U211" s="20" t="n">
        <v>0</v>
      </c>
      <c r="V211" s="20" t="n">
        <v>74</v>
      </c>
      <c r="W211" s="20" t="n">
        <v>0</v>
      </c>
    </row>
    <row r="212">
      <c r="A212" s="18" t="inlineStr">
        <is>
          <t>재해손실</t>
        </is>
      </c>
      <c r="E212" s="20" t="n">
        <v>53</v>
      </c>
      <c r="I212" s="20" t="n">
        <v>0</v>
      </c>
      <c r="U212" s="20" t="n">
        <v>0</v>
      </c>
      <c r="V212" s="20" t="n">
        <v>53</v>
      </c>
      <c r="W212" s="20" t="n">
        <v>0</v>
      </c>
    </row>
    <row r="213">
      <c r="A213" s="18" t="inlineStr">
        <is>
          <t>Business Restructuring Expenses Ope CF</t>
        </is>
      </c>
      <c r="E213" s="20" t="n">
        <v>106</v>
      </c>
      <c r="I213" s="20" t="n">
        <v>232</v>
      </c>
      <c r="M213" s="20" t="n">
        <v>187</v>
      </c>
      <c r="R213" s="20" t="n">
        <v>0</v>
      </c>
      <c r="S213" s="20" t="n">
        <v>478</v>
      </c>
      <c r="T213" s="20" t="n">
        <v>119</v>
      </c>
      <c r="U213" s="20" t="n">
        <v>0</v>
      </c>
      <c r="V213" s="20" t="n">
        <v>106</v>
      </c>
      <c r="W213" s="20" t="n">
        <v>232</v>
      </c>
      <c r="X213" s="20" t="n">
        <v>187</v>
      </c>
    </row>
    <row r="214">
      <c r="A214" s="18" t="inlineStr">
        <is>
          <t>Increase Decrease In Provision For Loss On Litigation Ope CF</t>
        </is>
      </c>
      <c r="Q214" s="20" t="n">
        <v>4</v>
      </c>
      <c r="R214" s="20" t="n">
        <v>-380</v>
      </c>
      <c r="S214" s="20" t="n">
        <v>0</v>
      </c>
    </row>
    <row r="215">
      <c r="A215" s="18" t="inlineStr">
        <is>
          <t>대손손실</t>
        </is>
      </c>
      <c r="E215" s="20" t="n">
        <v>164</v>
      </c>
      <c r="I215" s="20" t="n">
        <v>0</v>
      </c>
      <c r="U215" s="20" t="n">
        <v>0</v>
      </c>
      <c r="V215" s="20" t="n">
        <v>164</v>
      </c>
      <c r="W215" s="20" t="n">
        <v>0</v>
      </c>
    </row>
    <row r="216">
      <c r="A216" s="18" t="inlineStr">
        <is>
          <t>매출채권 증감</t>
        </is>
      </c>
      <c r="E216" s="20" t="n">
        <v>1104</v>
      </c>
      <c r="I216" s="20" t="n">
        <v>786</v>
      </c>
      <c r="M216" s="20" t="n">
        <v>534</v>
      </c>
      <c r="O216" s="20" t="n">
        <v>-381</v>
      </c>
      <c r="P216" s="20" t="n">
        <v>109</v>
      </c>
      <c r="Q216" s="20" t="n">
        <v>8</v>
      </c>
      <c r="R216" s="20" t="n">
        <v>-181</v>
      </c>
      <c r="S216" s="20" t="n">
        <v>-281</v>
      </c>
      <c r="T216" s="20" t="n">
        <v>-906</v>
      </c>
      <c r="U216" s="20" t="n">
        <v>26</v>
      </c>
      <c r="V216" s="20" t="n">
        <v>1104</v>
      </c>
      <c r="W216" s="20" t="n">
        <v>786</v>
      </c>
      <c r="X216" s="20" t="n">
        <v>534</v>
      </c>
    </row>
    <row r="217">
      <c r="A217" s="18" t="inlineStr">
        <is>
          <t>재고자산 증감</t>
        </is>
      </c>
      <c r="E217" s="20" t="n">
        <v>1273</v>
      </c>
      <c r="I217" s="20" t="n">
        <v>-237</v>
      </c>
      <c r="M217" s="20" t="n">
        <v>-485</v>
      </c>
      <c r="O217" s="20" t="n">
        <v>88</v>
      </c>
      <c r="P217" s="20" t="n">
        <v>-587</v>
      </c>
      <c r="Q217" s="20" t="n">
        <v>91</v>
      </c>
      <c r="R217" s="20" t="n">
        <v>-285</v>
      </c>
      <c r="S217" s="20" t="n">
        <v>-204</v>
      </c>
      <c r="T217" s="20" t="n">
        <v>112</v>
      </c>
      <c r="U217" s="20" t="n">
        <v>-741</v>
      </c>
      <c r="V217" s="20" t="n">
        <v>1273</v>
      </c>
      <c r="W217" s="20" t="n">
        <v>-237</v>
      </c>
      <c r="X217" s="20" t="n">
        <v>-485</v>
      </c>
    </row>
    <row r="218">
      <c r="A218" s="18" t="inlineStr">
        <is>
          <t>매입채무 증감</t>
        </is>
      </c>
      <c r="E218" s="20" t="n">
        <v>-156</v>
      </c>
      <c r="I218" s="20" t="n">
        <v>62</v>
      </c>
      <c r="M218" s="20" t="n">
        <v>364</v>
      </c>
      <c r="O218" s="20" t="n">
        <v>-57</v>
      </c>
      <c r="P218" s="20" t="n">
        <v>208</v>
      </c>
      <c r="Q218" s="20" t="n">
        <v>1</v>
      </c>
      <c r="R218" s="20" t="n">
        <v>92</v>
      </c>
      <c r="S218" s="20" t="n">
        <v>-173</v>
      </c>
      <c r="T218" s="20" t="n">
        <v>-118</v>
      </c>
      <c r="U218" s="20" t="n">
        <v>-613</v>
      </c>
      <c r="V218" s="20" t="n">
        <v>-156</v>
      </c>
      <c r="W218" s="20" t="n">
        <v>62</v>
      </c>
      <c r="X218" s="20" t="n">
        <v>364</v>
      </c>
    </row>
    <row r="219">
      <c r="A219" s="18" t="inlineStr">
        <is>
          <t>Decrease Increase In Consumption Taxes Receivable Payable Ope CF</t>
        </is>
      </c>
      <c r="E219" s="20" t="n">
        <v>153</v>
      </c>
      <c r="I219" s="20" t="n">
        <v>135</v>
      </c>
      <c r="M219" s="20" t="n">
        <v>-763</v>
      </c>
      <c r="S219" s="20" t="n">
        <v>-23</v>
      </c>
      <c r="T219" s="20" t="n">
        <v>-19</v>
      </c>
      <c r="U219" s="20" t="n">
        <v>-157</v>
      </c>
      <c r="V219" s="20" t="n">
        <v>153</v>
      </c>
      <c r="W219" s="20" t="n">
        <v>135</v>
      </c>
      <c r="X219" s="20" t="n">
        <v>-763</v>
      </c>
    </row>
    <row r="220">
      <c r="A220" s="18" t="inlineStr">
        <is>
          <t>미지급금 증감</t>
        </is>
      </c>
      <c r="E220" s="20" t="n">
        <v>-289</v>
      </c>
      <c r="I220" s="20" t="n">
        <v>-339</v>
      </c>
      <c r="O220" s="20" t="n">
        <v>-87</v>
      </c>
      <c r="P220" s="20" t="n">
        <v>354</v>
      </c>
      <c r="Q220" s="20" t="n">
        <v>24</v>
      </c>
      <c r="R220" s="20" t="n">
        <v>-115</v>
      </c>
      <c r="S220" s="20" t="n">
        <v>-132</v>
      </c>
      <c r="T220" s="20" t="n">
        <v>-367</v>
      </c>
      <c r="U220" s="20" t="n">
        <v>116</v>
      </c>
      <c r="V220" s="20" t="n">
        <v>-289</v>
      </c>
      <c r="W220" s="20" t="n">
        <v>-339</v>
      </c>
    </row>
    <row r="221">
      <c r="A221" s="18" t="inlineStr">
        <is>
          <t>미지급금·미지급비용 증감</t>
        </is>
      </c>
      <c r="I221" s="20" t="n">
        <v>-339</v>
      </c>
      <c r="M221" s="20" t="n">
        <v>-23</v>
      </c>
      <c r="W221" s="20" t="n">
        <v>-339</v>
      </c>
      <c r="X221" s="20" t="n">
        <v>-23</v>
      </c>
    </row>
    <row r="222">
      <c r="A222" s="18" t="inlineStr">
        <is>
          <t>기타</t>
        </is>
      </c>
      <c r="E222" s="20" t="n">
        <v>782</v>
      </c>
      <c r="I222" s="20" t="n">
        <v>517</v>
      </c>
      <c r="M222" s="20" t="n">
        <v>-126</v>
      </c>
      <c r="O222" s="20" t="n">
        <v>-97</v>
      </c>
      <c r="P222" s="20" t="n">
        <v>-447</v>
      </c>
      <c r="Q222" s="20" t="n">
        <v>288</v>
      </c>
      <c r="R222" s="20" t="n">
        <v>449</v>
      </c>
      <c r="S222" s="20" t="n">
        <v>66</v>
      </c>
      <c r="T222" s="20" t="n">
        <v>214</v>
      </c>
      <c r="U222" s="20" t="n">
        <v>-156</v>
      </c>
      <c r="V222" s="20" t="n">
        <v>782</v>
      </c>
      <c r="W222" s="20" t="n">
        <v>517</v>
      </c>
      <c r="X222" s="20" t="n">
        <v>-126</v>
      </c>
    </row>
    <row r="223">
      <c r="A223" s="18" t="inlineStr">
        <is>
          <t>소계</t>
        </is>
      </c>
      <c r="E223" s="20" t="n">
        <v>10085</v>
      </c>
      <c r="I223" s="20" t="n">
        <v>8424</v>
      </c>
      <c r="M223" s="20" t="n">
        <v>8380</v>
      </c>
      <c r="O223" s="20" t="n">
        <v>6263</v>
      </c>
      <c r="P223" s="20" t="n">
        <v>5944</v>
      </c>
      <c r="Q223" s="20" t="n">
        <v>4561</v>
      </c>
      <c r="R223" s="20" t="n">
        <v>4919</v>
      </c>
      <c r="S223" s="20" t="n">
        <v>3714</v>
      </c>
      <c r="T223" s="20" t="n">
        <v>5124</v>
      </c>
      <c r="U223" s="20" t="n">
        <v>9987</v>
      </c>
      <c r="V223" s="20" t="n">
        <v>10085</v>
      </c>
      <c r="W223" s="20" t="n">
        <v>8424</v>
      </c>
      <c r="X223" s="20" t="n">
        <v>8380</v>
      </c>
    </row>
    <row r="224">
      <c r="A224" s="18" t="inlineStr">
        <is>
          <t>이자·배당금 수취</t>
        </is>
      </c>
      <c r="E224" s="20" t="n">
        <v>312</v>
      </c>
      <c r="I224" s="20" t="n">
        <v>424</v>
      </c>
      <c r="M224" s="20" t="n">
        <v>221</v>
      </c>
      <c r="O224" s="20" t="n">
        <v>57</v>
      </c>
      <c r="P224" s="20" t="n">
        <v>82</v>
      </c>
      <c r="Q224" s="20" t="n">
        <v>157</v>
      </c>
      <c r="R224" s="20" t="n">
        <v>176</v>
      </c>
      <c r="S224" s="20" t="n">
        <v>53</v>
      </c>
      <c r="T224" s="20" t="n">
        <v>30</v>
      </c>
      <c r="U224" s="20" t="n">
        <v>92</v>
      </c>
      <c r="V224" s="20" t="n">
        <v>312</v>
      </c>
      <c r="W224" s="20" t="n">
        <v>424</v>
      </c>
      <c r="X224" s="20" t="n">
        <v>221</v>
      </c>
    </row>
    <row r="225">
      <c r="A225" s="18" t="inlineStr">
        <is>
          <t>보상금 수취</t>
        </is>
      </c>
      <c r="E225" s="20" t="n">
        <v>0</v>
      </c>
      <c r="I225" s="20" t="n">
        <v>44</v>
      </c>
      <c r="M225" s="20" t="n">
        <v>0</v>
      </c>
      <c r="V225" s="20" t="n">
        <v>0</v>
      </c>
      <c r="W225" s="20" t="n">
        <v>44</v>
      </c>
      <c r="X225" s="20" t="n">
        <v>0</v>
      </c>
    </row>
    <row r="226">
      <c r="A226" s="18" t="inlineStr">
        <is>
          <t>이자 지급</t>
        </is>
      </c>
      <c r="E226" s="20" t="n">
        <v>-31</v>
      </c>
      <c r="I226" s="20" t="n">
        <v>-35</v>
      </c>
      <c r="M226" s="20" t="n">
        <v>-69</v>
      </c>
      <c r="O226" s="20" t="n">
        <v>-0</v>
      </c>
      <c r="P226" s="20" t="n">
        <v>0</v>
      </c>
      <c r="Q226" s="20" t="n">
        <v>0</v>
      </c>
      <c r="R226" s="20" t="n">
        <v>-37</v>
      </c>
      <c r="S226" s="20" t="n">
        <v>-26</v>
      </c>
      <c r="T226" s="20" t="n">
        <v>-35</v>
      </c>
      <c r="U226" s="20" t="n">
        <v>-33</v>
      </c>
      <c r="V226" s="20" t="n">
        <v>-31</v>
      </c>
      <c r="W226" s="20" t="n">
        <v>-35</v>
      </c>
      <c r="X226" s="20" t="n">
        <v>-69</v>
      </c>
    </row>
    <row r="227">
      <c r="A227" s="18" t="inlineStr">
        <is>
          <t>법인세 납부·환급</t>
        </is>
      </c>
      <c r="O227" s="20" t="n">
        <v>-1652</v>
      </c>
      <c r="P227" s="20" t="n">
        <v>-445</v>
      </c>
      <c r="Q227" s="20" t="n">
        <v>-773</v>
      </c>
      <c r="R227" s="20" t="n">
        <v>-1704</v>
      </c>
      <c r="S227" s="20" t="n">
        <v>220</v>
      </c>
      <c r="T227" s="20" t="n">
        <v>-634</v>
      </c>
    </row>
    <row r="228">
      <c r="A228" s="18" t="inlineStr">
        <is>
          <t>The Amount Of The Money Deposit Paid Ope CF</t>
        </is>
      </c>
      <c r="O228" s="20" t="n">
        <v>-570</v>
      </c>
      <c r="P228" s="20" t="n">
        <v>0</v>
      </c>
    </row>
    <row r="229">
      <c r="A229" s="18" t="inlineStr">
        <is>
          <t>기타</t>
        </is>
      </c>
      <c r="R229" s="20" t="n">
        <v>0</v>
      </c>
      <c r="S229" s="20" t="n">
        <v>-40</v>
      </c>
    </row>
    <row r="230">
      <c r="A230" s="18" t="inlineStr">
        <is>
          <t>법인세 납부</t>
        </is>
      </c>
      <c r="E230" s="20" t="n">
        <v>-2140</v>
      </c>
      <c r="I230" s="20" t="n">
        <v>-1519</v>
      </c>
      <c r="M230" s="20" t="n">
        <v>-1351</v>
      </c>
      <c r="T230" s="20" t="n">
        <v>-634</v>
      </c>
      <c r="U230" s="20" t="n">
        <v>-1285</v>
      </c>
      <c r="V230" s="20" t="n">
        <v>-2140</v>
      </c>
      <c r="W230" s="20" t="n">
        <v>-1519</v>
      </c>
      <c r="X230" s="20" t="n">
        <v>-1351</v>
      </c>
    </row>
    <row r="231">
      <c r="A231" s="18" t="inlineStr">
        <is>
          <t>보험금 수취</t>
        </is>
      </c>
      <c r="E231" s="20" t="n">
        <v>227</v>
      </c>
      <c r="I231" s="20" t="n">
        <v>0</v>
      </c>
      <c r="U231" s="20" t="n">
        <v>0</v>
      </c>
      <c r="V231" s="20" t="n">
        <v>227</v>
      </c>
      <c r="W231" s="20" t="n">
        <v>0</v>
      </c>
    </row>
    <row r="232">
      <c r="A232" s="18" t="inlineStr">
        <is>
          <t>소송 관련 손실 지급액</t>
        </is>
      </c>
      <c r="E232" s="20" t="n">
        <v>-74</v>
      </c>
      <c r="I232" s="20" t="n">
        <v>0</v>
      </c>
      <c r="U232" s="20" t="n">
        <v>0</v>
      </c>
      <c r="V232" s="20" t="n">
        <v>-74</v>
      </c>
      <c r="W232" s="20" t="n">
        <v>0</v>
      </c>
    </row>
    <row r="233">
      <c r="A233" s="18" t="inlineStr">
        <is>
          <t>재해손실 지급</t>
        </is>
      </c>
      <c r="E233" s="20" t="n">
        <v>-39</v>
      </c>
      <c r="I233" s="20" t="n">
        <v>0</v>
      </c>
      <c r="U233" s="20" t="n">
        <v>0</v>
      </c>
      <c r="V233" s="20" t="n">
        <v>-39</v>
      </c>
      <c r="W233" s="20" t="n">
        <v>0</v>
      </c>
    </row>
    <row r="234">
      <c r="A234" s="18" t="inlineStr">
        <is>
          <t>특별퇴직금 지급액</t>
        </is>
      </c>
      <c r="E234" s="20" t="n">
        <v>-106</v>
      </c>
      <c r="I234" s="20" t="n">
        <v>-210</v>
      </c>
      <c r="M234" s="20" t="n">
        <v>-188</v>
      </c>
      <c r="S234" s="20" t="n">
        <v>-40</v>
      </c>
      <c r="T234" s="20" t="n">
        <v>-439</v>
      </c>
      <c r="U234" s="20" t="n">
        <v>0</v>
      </c>
      <c r="V234" s="20" t="n">
        <v>-106</v>
      </c>
      <c r="W234" s="20" t="n">
        <v>-210</v>
      </c>
      <c r="X234" s="20" t="n">
        <v>-188</v>
      </c>
    </row>
    <row r="235">
      <c r="A235" s="9" t="inlineStr">
        <is>
          <t>영업활동 현금흐름</t>
        </is>
      </c>
      <c r="E235" s="12" t="n">
        <v>8231</v>
      </c>
      <c r="I235" s="12" t="n">
        <v>7129</v>
      </c>
      <c r="M235" s="12" t="n">
        <v>6992</v>
      </c>
      <c r="O235" s="12" t="n">
        <v>4098</v>
      </c>
      <c r="P235" s="12" t="n">
        <v>5581</v>
      </c>
      <c r="Q235" s="12" t="n">
        <v>3945</v>
      </c>
      <c r="R235" s="12" t="n">
        <v>3354</v>
      </c>
      <c r="S235" s="12" t="n">
        <v>3921</v>
      </c>
      <c r="T235" s="12" t="n">
        <v>4046</v>
      </c>
      <c r="U235" s="12" t="n">
        <v>8761</v>
      </c>
      <c r="V235" s="12" t="n">
        <v>8231</v>
      </c>
      <c r="W235" s="12" t="n">
        <v>7129</v>
      </c>
      <c r="X235" s="12" t="n">
        <v>6992</v>
      </c>
    </row>
    <row r="236">
      <c r="A236" s="18" t="inlineStr">
        <is>
          <t>정기예금 예입</t>
        </is>
      </c>
      <c r="E236" s="20" t="n">
        <v>-88</v>
      </c>
      <c r="I236" s="20" t="n">
        <v>-64</v>
      </c>
      <c r="M236" s="20" t="n">
        <v>-16</v>
      </c>
      <c r="O236" s="20" t="n">
        <v>-799</v>
      </c>
      <c r="P236" s="20" t="n">
        <v>-445</v>
      </c>
      <c r="Q236" s="20" t="n">
        <v>-524</v>
      </c>
      <c r="R236" s="20" t="n">
        <v>-10</v>
      </c>
      <c r="S236" s="20" t="n">
        <v>-71</v>
      </c>
      <c r="T236" s="20" t="n">
        <v>-80</v>
      </c>
      <c r="U236" s="20" t="n">
        <v>-13</v>
      </c>
      <c r="V236" s="20" t="n">
        <v>-88</v>
      </c>
      <c r="W236" s="20" t="n">
        <v>-64</v>
      </c>
      <c r="X236" s="20" t="n">
        <v>-16</v>
      </c>
    </row>
    <row r="237">
      <c r="A237" s="18" t="inlineStr">
        <is>
          <t>정기예금 인출</t>
        </is>
      </c>
      <c r="E237" s="20" t="n">
        <v>13</v>
      </c>
      <c r="I237" s="20" t="n">
        <v>142</v>
      </c>
      <c r="M237" s="20" t="n">
        <v>16</v>
      </c>
      <c r="O237" s="20" t="n">
        <v>882</v>
      </c>
      <c r="P237" s="20" t="n">
        <v>763</v>
      </c>
      <c r="Q237" s="20" t="n">
        <v>661</v>
      </c>
      <c r="R237" s="20" t="n">
        <v>325</v>
      </c>
      <c r="S237" s="20" t="n">
        <v>10</v>
      </c>
      <c r="T237" s="20" t="n">
        <v>79</v>
      </c>
      <c r="U237" s="20" t="n">
        <v>90</v>
      </c>
      <c r="V237" s="20" t="n">
        <v>13</v>
      </c>
      <c r="W237" s="20" t="n">
        <v>142</v>
      </c>
      <c r="X237" s="20" t="n">
        <v>16</v>
      </c>
    </row>
    <row r="238">
      <c r="A238" s="18" t="inlineStr">
        <is>
          <t>유형자산 취득(설비투자)</t>
        </is>
      </c>
      <c r="E238" s="20" t="n">
        <v>-3927</v>
      </c>
      <c r="I238" s="20" t="n">
        <v>-6650</v>
      </c>
      <c r="M238" s="20" t="n">
        <v>-5524</v>
      </c>
      <c r="O238" s="20" t="n">
        <v>-6476</v>
      </c>
      <c r="P238" s="20" t="n">
        <v>-1974</v>
      </c>
      <c r="Q238" s="20" t="n">
        <v>-1831</v>
      </c>
      <c r="R238" s="20" t="n">
        <v>-2047</v>
      </c>
      <c r="S238" s="20" t="n">
        <v>-2227</v>
      </c>
      <c r="T238" s="20" t="n">
        <v>-1744</v>
      </c>
      <c r="U238" s="20" t="n">
        <v>-2377</v>
      </c>
      <c r="V238" s="20" t="n">
        <v>-3927</v>
      </c>
      <c r="W238" s="20" t="n">
        <v>-6650</v>
      </c>
      <c r="X238" s="20" t="n">
        <v>-5524</v>
      </c>
    </row>
    <row r="239">
      <c r="A239" s="18" t="inlineStr">
        <is>
          <t>유형자산 매각</t>
        </is>
      </c>
      <c r="E239" s="20" t="n">
        <v>46</v>
      </c>
      <c r="I239" s="20" t="n">
        <v>51</v>
      </c>
      <c r="M239" s="20" t="n">
        <v>181</v>
      </c>
      <c r="O239" s="20" t="n">
        <v>1903</v>
      </c>
      <c r="P239" s="20" t="n">
        <v>27</v>
      </c>
      <c r="Q239" s="20" t="n">
        <v>37</v>
      </c>
      <c r="R239" s="20" t="n">
        <v>82</v>
      </c>
      <c r="S239" s="20" t="n">
        <v>12</v>
      </c>
      <c r="T239" s="20" t="n">
        <v>7</v>
      </c>
      <c r="U239" s="20" t="n">
        <v>33</v>
      </c>
      <c r="V239" s="20" t="n">
        <v>46</v>
      </c>
      <c r="W239" s="20" t="n">
        <v>51</v>
      </c>
      <c r="X239" s="20" t="n">
        <v>181</v>
      </c>
    </row>
    <row r="240">
      <c r="A240" s="18" t="inlineStr">
        <is>
          <t>무형자산 취득</t>
        </is>
      </c>
      <c r="E240" s="20" t="n">
        <v>-87</v>
      </c>
      <c r="I240" s="20" t="n">
        <v>-293</v>
      </c>
      <c r="M240" s="20" t="n">
        <v>-1567</v>
      </c>
      <c r="O240" s="20" t="n">
        <v>-97</v>
      </c>
      <c r="P240" s="20" t="n">
        <v>-150</v>
      </c>
      <c r="Q240" s="20" t="n">
        <v>-322</v>
      </c>
      <c r="R240" s="20" t="n">
        <v>-143</v>
      </c>
      <c r="S240" s="20" t="n">
        <v>-68</v>
      </c>
      <c r="T240" s="20" t="n">
        <v>-50</v>
      </c>
      <c r="U240" s="20" t="n">
        <v>-46</v>
      </c>
      <c r="V240" s="20" t="n">
        <v>-87</v>
      </c>
      <c r="W240" s="20" t="n">
        <v>-293</v>
      </c>
      <c r="X240" s="20" t="n">
        <v>-1567</v>
      </c>
    </row>
    <row r="241">
      <c r="A241" s="18" t="inlineStr">
        <is>
          <t>Payments Of Short Term Loans Receivable Inv CF</t>
        </is>
      </c>
      <c r="E241" s="20" t="n">
        <v>-41</v>
      </c>
      <c r="I241" s="20" t="n">
        <v>-1</v>
      </c>
      <c r="M241" s="20" t="n">
        <v>0</v>
      </c>
      <c r="T241" s="20" t="n">
        <v>0</v>
      </c>
      <c r="U241" s="20" t="n">
        <v>-119</v>
      </c>
      <c r="V241" s="20" t="n">
        <v>-41</v>
      </c>
      <c r="W241" s="20" t="n">
        <v>-1</v>
      </c>
      <c r="X241" s="20" t="n">
        <v>0</v>
      </c>
    </row>
    <row r="242">
      <c r="A242" s="18" t="inlineStr">
        <is>
          <t>투자유가증권 취득</t>
        </is>
      </c>
      <c r="E242" s="20" t="n">
        <v>0</v>
      </c>
      <c r="I242" s="20" t="n">
        <v>-9</v>
      </c>
      <c r="M242" s="20" t="n">
        <v>0</v>
      </c>
      <c r="O242" s="20" t="n">
        <v>-1187</v>
      </c>
      <c r="P242" s="20" t="n">
        <v>-151</v>
      </c>
      <c r="Q242" s="20" t="n">
        <v>-1324</v>
      </c>
      <c r="R242" s="20" t="n">
        <v>-535</v>
      </c>
      <c r="S242" s="20" t="n">
        <v>-371</v>
      </c>
      <c r="T242" s="20" t="n">
        <v>-519</v>
      </c>
      <c r="U242" s="20" t="n">
        <v>-269</v>
      </c>
      <c r="V242" s="20" t="n">
        <v>0</v>
      </c>
      <c r="W242" s="20" t="n">
        <v>-9</v>
      </c>
      <c r="X242" s="20" t="n">
        <v>0</v>
      </c>
    </row>
    <row r="243">
      <c r="A243" s="18" t="inlineStr">
        <is>
          <t>대여</t>
        </is>
      </c>
      <c r="O243" s="20" t="n">
        <v>-29</v>
      </c>
      <c r="P243" s="20" t="n">
        <v>0</v>
      </c>
      <c r="Q243" s="20" t="n">
        <v>-1</v>
      </c>
    </row>
    <row r="244">
      <c r="A244" s="18" t="inlineStr">
        <is>
          <t>투자유가증권 매각</t>
        </is>
      </c>
      <c r="E244" s="20" t="n">
        <v>12</v>
      </c>
      <c r="I244" s="20" t="n">
        <v>2</v>
      </c>
      <c r="M244" s="20" t="n">
        <v>1</v>
      </c>
      <c r="P244" s="20" t="n">
        <v>0</v>
      </c>
      <c r="Q244" s="20" t="n">
        <v>764</v>
      </c>
      <c r="R244" s="20" t="n">
        <v>5</v>
      </c>
      <c r="S244" s="20" t="n">
        <v>752</v>
      </c>
      <c r="T244" s="20" t="n">
        <v>798</v>
      </c>
      <c r="U244" s="20" t="n">
        <v>276</v>
      </c>
      <c r="V244" s="20" t="n">
        <v>12</v>
      </c>
      <c r="W244" s="20" t="n">
        <v>2</v>
      </c>
      <c r="X244" s="20" t="n">
        <v>1</v>
      </c>
    </row>
    <row r="245">
      <c r="A245" s="18" t="inlineStr">
        <is>
          <t>대여금 회수</t>
        </is>
      </c>
      <c r="O245" s="20" t="n">
        <v>58</v>
      </c>
      <c r="P245" s="20" t="n">
        <v>4</v>
      </c>
      <c r="Q245" s="20" t="n">
        <v>0</v>
      </c>
    </row>
    <row r="246">
      <c r="A246" s="18" t="inlineStr">
        <is>
          <t>연결범위 변경 자회사 주식 취득</t>
        </is>
      </c>
      <c r="O246" s="20" t="n">
        <v>0</v>
      </c>
      <c r="P246" s="20" t="n">
        <v>-2892</v>
      </c>
      <c r="Q246" s="20" t="n">
        <v>0</v>
      </c>
    </row>
    <row r="247">
      <c r="A247" s="18" t="inlineStr">
        <is>
          <t>기타</t>
        </is>
      </c>
      <c r="E247" s="20" t="n">
        <v>-16</v>
      </c>
      <c r="I247" s="20" t="n">
        <v>-65</v>
      </c>
      <c r="M247" s="20" t="n">
        <v>17</v>
      </c>
      <c r="O247" s="20" t="n">
        <v>25</v>
      </c>
      <c r="P247" s="20" t="n">
        <v>-15</v>
      </c>
      <c r="Q247" s="20" t="n">
        <v>128</v>
      </c>
      <c r="R247" s="20" t="n">
        <v>206</v>
      </c>
      <c r="S247" s="20" t="n">
        <v>-3</v>
      </c>
      <c r="T247" s="20" t="n">
        <v>-67</v>
      </c>
      <c r="U247" s="20" t="n">
        <v>-156</v>
      </c>
      <c r="V247" s="20" t="n">
        <v>-16</v>
      </c>
      <c r="W247" s="20" t="n">
        <v>-65</v>
      </c>
      <c r="X247" s="20" t="n">
        <v>17</v>
      </c>
    </row>
    <row r="248">
      <c r="A248" s="9" t="inlineStr">
        <is>
          <t>투자활동 현금흐름</t>
        </is>
      </c>
      <c r="E248" s="12" t="n">
        <v>-4089</v>
      </c>
      <c r="I248" s="12" t="n">
        <v>-6887</v>
      </c>
      <c r="M248" s="12" t="n">
        <v>-6891</v>
      </c>
      <c r="O248" s="12" t="n">
        <v>-5720</v>
      </c>
      <c r="P248" s="12" t="n">
        <v>-4834</v>
      </c>
      <c r="Q248" s="12" t="n">
        <v>-2411</v>
      </c>
      <c r="R248" s="12" t="n">
        <v>-2116</v>
      </c>
      <c r="S248" s="12" t="n">
        <v>-1966</v>
      </c>
      <c r="T248" s="12" t="n">
        <v>-1576</v>
      </c>
      <c r="U248" s="12" t="n">
        <v>-2581</v>
      </c>
      <c r="V248" s="12" t="n">
        <v>-4089</v>
      </c>
      <c r="W248" s="12" t="n">
        <v>-6887</v>
      </c>
      <c r="X248" s="12" t="n">
        <v>-6891</v>
      </c>
    </row>
    <row r="249">
      <c r="A249" s="18" t="inlineStr">
        <is>
          <t>장기차입금 상환</t>
        </is>
      </c>
      <c r="O249" s="20" t="n">
        <v>-100</v>
      </c>
      <c r="P249" s="20" t="n">
        <v>0</v>
      </c>
    </row>
    <row r="250">
      <c r="A250" s="18" t="inlineStr">
        <is>
          <t>단기차입</t>
        </is>
      </c>
      <c r="R250" s="20" t="n">
        <v>0</v>
      </c>
      <c r="S250" s="20" t="n">
        <v>1500</v>
      </c>
    </row>
    <row r="251">
      <c r="A251" s="18" t="inlineStr">
        <is>
          <t>단기차입금 순증감</t>
        </is>
      </c>
      <c r="S251" s="20" t="n">
        <v>1500</v>
      </c>
      <c r="T251" s="20" t="n">
        <v>-1500</v>
      </c>
      <c r="U251" s="20" t="n">
        <v>0</v>
      </c>
    </row>
    <row r="252">
      <c r="A252" s="18" t="inlineStr">
        <is>
          <t>리스부채 상환</t>
        </is>
      </c>
      <c r="E252" s="20" t="n">
        <v>-324</v>
      </c>
      <c r="I252" s="20" t="n">
        <v>-257</v>
      </c>
      <c r="M252" s="20" t="n">
        <v>-241</v>
      </c>
      <c r="Q252" s="20" t="n">
        <v>0</v>
      </c>
      <c r="R252" s="20" t="n">
        <v>-214</v>
      </c>
      <c r="S252" s="20" t="n">
        <v>-249</v>
      </c>
      <c r="T252" s="20" t="n">
        <v>-255</v>
      </c>
      <c r="U252" s="20" t="n">
        <v>-229</v>
      </c>
      <c r="V252" s="20" t="n">
        <v>-324</v>
      </c>
      <c r="W252" s="20" t="n">
        <v>-257</v>
      </c>
      <c r="X252" s="20" t="n">
        <v>-241</v>
      </c>
    </row>
    <row r="253">
      <c r="A253" s="18" t="inlineStr">
        <is>
          <t>비지배주주 납입</t>
        </is>
      </c>
      <c r="Q253" s="20" t="n">
        <v>0</v>
      </c>
      <c r="R253" s="20" t="n">
        <v>176</v>
      </c>
      <c r="S253" s="20" t="n">
        <v>0</v>
      </c>
    </row>
    <row r="254">
      <c r="A254" s="18" t="inlineStr">
        <is>
          <t>자기주식 취득</t>
        </is>
      </c>
      <c r="E254" s="20" t="n">
        <v>-3</v>
      </c>
      <c r="I254" s="20" t="n">
        <v>-1</v>
      </c>
      <c r="M254" s="20" t="n">
        <v>-1</v>
      </c>
      <c r="O254" s="20" t="n">
        <v>-0</v>
      </c>
      <c r="P254" s="20" t="n">
        <v>-7</v>
      </c>
      <c r="Q254" s="20" t="n">
        <v>-133</v>
      </c>
      <c r="R254" s="20" t="n">
        <v>-1333</v>
      </c>
      <c r="S254" s="20" t="n">
        <v>-13914</v>
      </c>
      <c r="T254" s="20" t="n">
        <v>-0</v>
      </c>
      <c r="U254" s="20" t="n">
        <v>-0</v>
      </c>
      <c r="V254" s="20" t="n">
        <v>-3</v>
      </c>
      <c r="W254" s="20" t="n">
        <v>-1</v>
      </c>
      <c r="X254" s="20" t="n">
        <v>-1</v>
      </c>
    </row>
    <row r="255">
      <c r="A255" s="18" t="inlineStr">
        <is>
          <t>배당금 지급</t>
        </is>
      </c>
      <c r="E255" s="20" t="n">
        <v>-529</v>
      </c>
      <c r="I255" s="20" t="n">
        <v>-528</v>
      </c>
      <c r="M255" s="20" t="n">
        <v>-720</v>
      </c>
      <c r="O255" s="20" t="n">
        <v>-1022</v>
      </c>
      <c r="P255" s="20" t="n">
        <v>-1022</v>
      </c>
      <c r="Q255" s="20" t="n">
        <v>-1023</v>
      </c>
      <c r="R255" s="20" t="n">
        <v>-376</v>
      </c>
      <c r="S255" s="20" t="n">
        <v>-364</v>
      </c>
      <c r="T255" s="20" t="n">
        <v>-329</v>
      </c>
      <c r="U255" s="20" t="n">
        <v>-484</v>
      </c>
      <c r="V255" s="20" t="n">
        <v>-529</v>
      </c>
      <c r="W255" s="20" t="n">
        <v>-528</v>
      </c>
      <c r="X255" s="20" t="n">
        <v>-720</v>
      </c>
    </row>
    <row r="256">
      <c r="A256" s="18" t="inlineStr">
        <is>
          <t>비지배주주 배당금 지급</t>
        </is>
      </c>
      <c r="E256" s="20" t="n">
        <v>-109</v>
      </c>
      <c r="I256" s="20" t="n">
        <v>-40</v>
      </c>
      <c r="M256" s="20" t="n">
        <v>-43</v>
      </c>
      <c r="O256" s="20" t="n">
        <v>-7</v>
      </c>
      <c r="P256" s="20" t="n">
        <v>-6</v>
      </c>
      <c r="Q256" s="20" t="n">
        <v>-21</v>
      </c>
      <c r="R256" s="20" t="n">
        <v>-21</v>
      </c>
      <c r="S256" s="20" t="n">
        <v>-64</v>
      </c>
      <c r="T256" s="20" t="n">
        <v>-30</v>
      </c>
      <c r="U256" s="20" t="n">
        <v>-51</v>
      </c>
      <c r="V256" s="20" t="n">
        <v>-109</v>
      </c>
      <c r="W256" s="20" t="n">
        <v>-40</v>
      </c>
      <c r="X256" s="20" t="n">
        <v>-43</v>
      </c>
    </row>
    <row r="257">
      <c r="A257" s="18" t="inlineStr">
        <is>
          <t>스톡옵션 행사 수입</t>
        </is>
      </c>
      <c r="I257" s="20" t="n">
        <v>0</v>
      </c>
      <c r="M257" s="20" t="n">
        <v>636</v>
      </c>
      <c r="Q257" s="20" t="n">
        <v>0</v>
      </c>
      <c r="R257" s="20" t="n">
        <v>34</v>
      </c>
      <c r="S257" s="20" t="n">
        <v>322</v>
      </c>
      <c r="T257" s="20" t="n">
        <v>61</v>
      </c>
      <c r="U257" s="20" t="n">
        <v>0</v>
      </c>
      <c r="W257" s="20" t="n">
        <v>0</v>
      </c>
      <c r="X257" s="20" t="n">
        <v>636</v>
      </c>
    </row>
    <row r="258">
      <c r="A258" s="18" t="inlineStr">
        <is>
          <t>연결범위 변경 없는 자회사 주식 취득</t>
        </is>
      </c>
      <c r="I258" s="20" t="n">
        <v>0</v>
      </c>
      <c r="M258" s="20" t="n">
        <v>-755</v>
      </c>
      <c r="W258" s="20" t="n">
        <v>0</v>
      </c>
      <c r="X258" s="20" t="n">
        <v>-755</v>
      </c>
    </row>
    <row r="259">
      <c r="A259" s="9" t="inlineStr">
        <is>
          <t>재무활동 현금흐름</t>
        </is>
      </c>
      <c r="E259" s="12" t="n">
        <v>-965</v>
      </c>
      <c r="I259" s="12" t="n">
        <v>-828</v>
      </c>
      <c r="M259" s="12" t="n">
        <v>-1125</v>
      </c>
      <c r="O259" s="12" t="n">
        <v>-1130</v>
      </c>
      <c r="P259" s="12" t="n">
        <v>-1037</v>
      </c>
      <c r="Q259" s="12" t="n">
        <v>-1178</v>
      </c>
      <c r="R259" s="12" t="n">
        <v>-1735</v>
      </c>
      <c r="S259" s="12" t="n">
        <v>-12770</v>
      </c>
      <c r="T259" s="12" t="n">
        <v>-2053</v>
      </c>
      <c r="U259" s="12" t="n">
        <v>-765</v>
      </c>
      <c r="V259" s="12" t="n">
        <v>-965</v>
      </c>
      <c r="W259" s="12" t="n">
        <v>-828</v>
      </c>
      <c r="X259" s="12" t="n">
        <v>-1125</v>
      </c>
    </row>
    <row r="260">
      <c r="A260" s="18" t="inlineStr">
        <is>
          <t>현금성자산 환산차이</t>
        </is>
      </c>
      <c r="E260" s="20" t="n">
        <v>766</v>
      </c>
      <c r="I260" s="20" t="n">
        <v>-73</v>
      </c>
      <c r="M260" s="20" t="n">
        <v>788</v>
      </c>
      <c r="O260" s="20" t="n">
        <v>-140</v>
      </c>
      <c r="P260" s="20" t="n">
        <v>-307</v>
      </c>
      <c r="Q260" s="20" t="n">
        <v>196</v>
      </c>
      <c r="R260" s="20" t="n">
        <v>-320</v>
      </c>
      <c r="S260" s="20" t="n">
        <v>229</v>
      </c>
      <c r="T260" s="20" t="n">
        <v>731</v>
      </c>
      <c r="U260" s="20" t="n">
        <v>513</v>
      </c>
      <c r="V260" s="20" t="n">
        <v>766</v>
      </c>
      <c r="W260" s="20" t="n">
        <v>-73</v>
      </c>
      <c r="X260" s="20" t="n">
        <v>788</v>
      </c>
    </row>
    <row r="261">
      <c r="A261" s="18" t="inlineStr">
        <is>
          <t>현금성자산 증감</t>
        </is>
      </c>
      <c r="E261" s="20" t="n">
        <v>3942</v>
      </c>
      <c r="I261" s="20" t="n">
        <v>-660</v>
      </c>
      <c r="M261" s="20" t="n">
        <v>-236</v>
      </c>
      <c r="O261" s="20" t="n">
        <v>-2893</v>
      </c>
      <c r="P261" s="20" t="n">
        <v>-598</v>
      </c>
      <c r="Q261" s="20" t="n">
        <v>552</v>
      </c>
      <c r="R261" s="20" t="n">
        <v>-817</v>
      </c>
      <c r="S261" s="20" t="n">
        <v>-10585</v>
      </c>
      <c r="T261" s="20" t="n">
        <v>1147</v>
      </c>
      <c r="U261" s="20" t="n">
        <v>5927</v>
      </c>
      <c r="V261" s="20" t="n">
        <v>3942</v>
      </c>
      <c r="W261" s="20" t="n">
        <v>-660</v>
      </c>
      <c r="X261" s="20" t="n">
        <v>-236</v>
      </c>
    </row>
    <row r="262">
      <c r="A262" s="18" t="inlineStr">
        <is>
          <t>Increase Decrease In Cash And Cash Equivalents Resulting From Changes In The Accunting Period Of Subsidiaries</t>
        </is>
      </c>
      <c r="P262" s="20" t="n">
        <v>0</v>
      </c>
      <c r="Q262" s="20" t="n">
        <v>-16</v>
      </c>
      <c r="R262" s="20" t="n">
        <v>0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38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6961 재무상태표</t>
        </is>
      </c>
    </row>
    <row r="2">
      <c r="A2" s="43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37708</v>
      </c>
      <c r="D5" s="12" t="n">
        <v>40142</v>
      </c>
      <c r="E5" s="12" t="n">
        <v>38418</v>
      </c>
      <c r="F5" s="12" t="n">
        <v>40578</v>
      </c>
      <c r="G5" s="12" t="n">
        <v>38247</v>
      </c>
      <c r="H5" s="11" t="n">
        <v>29558</v>
      </c>
      <c r="I5" s="12" t="n">
        <v>37438</v>
      </c>
      <c r="J5" s="12" t="n">
        <v>40427</v>
      </c>
      <c r="K5" s="12" t="n">
        <v>38695</v>
      </c>
      <c r="L5" s="12" t="n">
        <v>40578</v>
      </c>
    </row>
    <row r="6">
      <c r="A6" s="18" t="inlineStr">
        <is>
          <t>현금및현금성자산</t>
        </is>
      </c>
      <c r="B6" s="10" t="n"/>
      <c r="C6" s="19" t="n">
        <v>23312</v>
      </c>
      <c r="D6" s="20" t="n">
        <v>24040</v>
      </c>
      <c r="E6" s="20" t="n">
        <v>21701</v>
      </c>
      <c r="F6" s="20" t="n">
        <v>23817</v>
      </c>
      <c r="G6" s="20" t="n">
        <v>17065</v>
      </c>
      <c r="H6" s="19" t="n">
        <v>14914</v>
      </c>
      <c r="I6" s="20" t="n">
        <v>20766</v>
      </c>
      <c r="J6" s="20" t="n">
        <v>24788</v>
      </c>
      <c r="K6" s="20" t="n">
        <v>24050</v>
      </c>
      <c r="L6" s="20" t="n">
        <v>23817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>
        <v>8330</v>
      </c>
      <c r="D8" s="20" t="n">
        <v>10461</v>
      </c>
      <c r="E8" s="20" t="n">
        <v>10060</v>
      </c>
      <c r="F8" s="20" t="n">
        <v>8967</v>
      </c>
      <c r="G8" s="20" t="n">
        <v>10549</v>
      </c>
      <c r="H8" s="19" t="n">
        <v>9291</v>
      </c>
      <c r="I8" s="20" t="n">
        <v>9874</v>
      </c>
      <c r="J8" s="20" t="n">
        <v>9712</v>
      </c>
      <c r="K8" s="20" t="n">
        <v>8807</v>
      </c>
      <c r="L8" s="20" t="n">
        <v>8967</v>
      </c>
    </row>
    <row r="9">
      <c r="A9" s="18" t="inlineStr">
        <is>
          <t>재고자산</t>
        </is>
      </c>
      <c r="B9" s="10" t="n"/>
      <c r="C9" s="19" t="n">
        <v>4669</v>
      </c>
      <c r="D9" s="20" t="n">
        <v>3946</v>
      </c>
      <c r="E9" s="20" t="n">
        <v>4415</v>
      </c>
      <c r="F9" s="20" t="n">
        <v>4888</v>
      </c>
      <c r="G9" s="20" t="n">
        <v>7003</v>
      </c>
      <c r="H9" s="19" t="n">
        <v>3777</v>
      </c>
      <c r="I9" s="20" t="n">
        <v>4678</v>
      </c>
      <c r="J9" s="20" t="n">
        <v>3863</v>
      </c>
      <c r="K9" s="20" t="n">
        <v>4063</v>
      </c>
      <c r="L9" s="20" t="n">
        <v>4888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24215</v>
      </c>
      <c r="D11" s="12" t="n">
        <v>28784</v>
      </c>
      <c r="E11" s="12" t="n">
        <v>29042</v>
      </c>
      <c r="F11" s="12" t="n">
        <v>30469</v>
      </c>
      <c r="G11" s="12" t="n">
        <v>35718</v>
      </c>
      <c r="H11" s="11" t="n">
        <v>17503</v>
      </c>
      <c r="I11" s="12" t="n">
        <v>17161</v>
      </c>
      <c r="J11" s="12" t="n">
        <v>19601</v>
      </c>
      <c r="K11" s="12" t="n">
        <v>24079</v>
      </c>
      <c r="L11" s="12" t="n">
        <v>30469</v>
      </c>
    </row>
    <row r="12">
      <c r="A12" s="18" t="inlineStr">
        <is>
          <t>유형자산</t>
        </is>
      </c>
      <c r="B12" s="10" t="n"/>
      <c r="C12" s="19" t="n">
        <v>21307</v>
      </c>
      <c r="D12" s="20" t="n">
        <v>25260</v>
      </c>
      <c r="E12" s="20" t="n">
        <v>25215</v>
      </c>
      <c r="F12" s="20" t="n">
        <v>25084</v>
      </c>
      <c r="G12" s="20" t="n">
        <v>29715</v>
      </c>
      <c r="H12" s="19" t="n">
        <v>14199</v>
      </c>
      <c r="I12" s="20" t="n">
        <v>15268</v>
      </c>
      <c r="J12" s="20" t="n">
        <v>17573</v>
      </c>
      <c r="K12" s="20" t="n">
        <v>21453</v>
      </c>
      <c r="L12" s="20" t="n">
        <v>25084</v>
      </c>
    </row>
    <row r="13">
      <c r="A13" s="18" t="inlineStr">
        <is>
          <t>무형자산</t>
        </is>
      </c>
      <c r="B13" s="10" t="n"/>
      <c r="C13" s="19" t="n">
        <v>972</v>
      </c>
      <c r="D13" s="20" t="n">
        <v>1487</v>
      </c>
      <c r="E13" s="20" t="n">
        <v>1720</v>
      </c>
      <c r="F13" s="20" t="n">
        <v>2394</v>
      </c>
      <c r="G13" s="20" t="n">
        <v>2700</v>
      </c>
      <c r="H13" s="19" t="n">
        <v>287</v>
      </c>
      <c r="I13" s="20" t="n">
        <v>220</v>
      </c>
      <c r="J13" s="20" t="n">
        <v>214</v>
      </c>
      <c r="K13" s="20" t="n">
        <v>698</v>
      </c>
      <c r="L13" s="20" t="n">
        <v>2394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61923</v>
      </c>
      <c r="D16" s="12" t="n">
        <v>68926</v>
      </c>
      <c r="E16" s="12" t="n">
        <v>67460</v>
      </c>
      <c r="F16" s="12" t="n">
        <v>71047</v>
      </c>
      <c r="G16" s="12" t="n">
        <v>73966</v>
      </c>
      <c r="H16" s="11" t="n">
        <v>47061</v>
      </c>
      <c r="I16" s="12" t="n">
        <v>54599</v>
      </c>
      <c r="J16" s="12" t="n">
        <v>60028</v>
      </c>
      <c r="K16" s="12" t="n">
        <v>62775</v>
      </c>
      <c r="L16" s="12" t="n">
        <v>71047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5492</v>
      </c>
      <c r="D18" s="12" t="n">
        <v>9878</v>
      </c>
      <c r="E18" s="12" t="n">
        <v>5564</v>
      </c>
      <c r="F18" s="12" t="n">
        <v>6689</v>
      </c>
      <c r="G18" s="12" t="n">
        <v>7510</v>
      </c>
      <c r="H18" s="11" t="n">
        <v>4653</v>
      </c>
      <c r="I18" s="12" t="n">
        <v>5918</v>
      </c>
      <c r="J18" s="12" t="n">
        <v>5679</v>
      </c>
      <c r="K18" s="12" t="n">
        <v>5168</v>
      </c>
      <c r="L18" s="12" t="n">
        <v>6689</v>
      </c>
    </row>
    <row r="19">
      <c r="A19" s="18" t="inlineStr">
        <is>
          <t>매입채무</t>
        </is>
      </c>
      <c r="B19" s="10" t="n"/>
      <c r="C19" s="19" t="n">
        <v>1588</v>
      </c>
      <c r="D19" s="20" t="n">
        <v>1556</v>
      </c>
      <c r="E19" s="20" t="n">
        <v>1676</v>
      </c>
      <c r="F19" s="20" t="n">
        <v>1988</v>
      </c>
      <c r="G19" s="20" t="n">
        <v>2844</v>
      </c>
      <c r="H19" s="19" t="n">
        <v>1532</v>
      </c>
      <c r="I19" s="20" t="n">
        <v>1162</v>
      </c>
      <c r="J19" s="20" t="n">
        <v>1311</v>
      </c>
      <c r="K19" s="20" t="n">
        <v>1344</v>
      </c>
      <c r="L19" s="20" t="n">
        <v>1988</v>
      </c>
    </row>
    <row r="20">
      <c r="A20" s="18" t="inlineStr">
        <is>
          <t>단기차입금</t>
        </is>
      </c>
      <c r="B20" s="10" t="n"/>
      <c r="C20" s="19" t="n"/>
      <c r="D20" s="20" t="n"/>
      <c r="E20" s="20" t="n"/>
      <c r="F20" s="20" t="n"/>
      <c r="G20" s="20" t="n"/>
      <c r="H20" s="19" t="n">
        <v>0</v>
      </c>
      <c r="I20" s="20" t="n"/>
      <c r="J20" s="20" t="n"/>
      <c r="K20" s="20" t="n"/>
      <c r="L20" s="20" t="n"/>
    </row>
    <row r="21">
      <c r="A21" s="18" t="inlineStr">
        <is>
          <t>유동성장기부채</t>
        </is>
      </c>
      <c r="B21" s="10" t="n"/>
      <c r="C21" s="19" t="n"/>
      <c r="D21" s="20" t="n"/>
      <c r="E21" s="20" t="n"/>
      <c r="F21" s="20" t="n"/>
      <c r="G21" s="20" t="n"/>
      <c r="H21" s="19" t="n"/>
      <c r="I21" s="20" t="n"/>
      <c r="J21" s="20" t="n"/>
      <c r="K21" s="20" t="n"/>
      <c r="L21" s="20" t="n"/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1266</v>
      </c>
      <c r="D23" s="12" t="n">
        <v>1299</v>
      </c>
      <c r="E23" s="12" t="n">
        <v>1320</v>
      </c>
      <c r="F23" s="12" t="n">
        <v>1785</v>
      </c>
      <c r="G23" s="12" t="n">
        <v>1990</v>
      </c>
      <c r="H23" s="11" t="n">
        <v>914</v>
      </c>
      <c r="I23" s="12" t="n">
        <v>1373</v>
      </c>
      <c r="J23" s="12" t="n">
        <v>1681</v>
      </c>
      <c r="K23" s="12" t="n">
        <v>1390</v>
      </c>
      <c r="L23" s="12" t="n">
        <v>1785</v>
      </c>
    </row>
    <row r="24">
      <c r="A24" s="18" t="inlineStr">
        <is>
          <t>장기차입금</t>
        </is>
      </c>
      <c r="B24" s="10" t="n"/>
      <c r="C24" s="19" t="n"/>
      <c r="D24" s="20" t="n"/>
      <c r="E24" s="20" t="n"/>
      <c r="F24" s="20" t="n"/>
      <c r="G24" s="20" t="n"/>
      <c r="H24" s="19" t="n"/>
      <c r="I24" s="20" t="n"/>
      <c r="J24" s="20" t="n"/>
      <c r="K24" s="20" t="n"/>
      <c r="L24" s="20" t="n"/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/>
      <c r="I25" s="20" t="n"/>
      <c r="J25" s="20" t="n"/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6759</v>
      </c>
      <c r="D27" s="12" t="n">
        <v>11178</v>
      </c>
      <c r="E27" s="12" t="n">
        <v>6885</v>
      </c>
      <c r="F27" s="12" t="n">
        <v>8475</v>
      </c>
      <c r="G27" s="12" t="n">
        <v>9501</v>
      </c>
      <c r="H27" s="11" t="n">
        <v>5568</v>
      </c>
      <c r="I27" s="12" t="n">
        <v>7292</v>
      </c>
      <c r="J27" s="12" t="n">
        <v>7361</v>
      </c>
      <c r="K27" s="12" t="n">
        <v>6559</v>
      </c>
      <c r="L27" s="12" t="n">
        <v>8475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54870</v>
      </c>
      <c r="D31" s="12" t="n">
        <v>57460</v>
      </c>
      <c r="E31" s="12" t="n">
        <v>60345</v>
      </c>
      <c r="F31" s="12" t="n">
        <v>62368</v>
      </c>
      <c r="G31" s="12" t="n">
        <v>64313</v>
      </c>
      <c r="H31" s="11" t="n">
        <v>40968</v>
      </c>
      <c r="I31" s="12" t="n">
        <v>46549</v>
      </c>
      <c r="J31" s="12" t="n">
        <v>51820</v>
      </c>
      <c r="K31" s="12" t="n">
        <v>55271</v>
      </c>
      <c r="L31" s="12" t="n">
        <v>62368</v>
      </c>
    </row>
    <row r="32">
      <c r="A32" s="18" t="inlineStr">
        <is>
          <t>자본금</t>
        </is>
      </c>
      <c r="B32" s="10" t="n"/>
      <c r="C32" s="19" t="n">
        <v>8080</v>
      </c>
      <c r="D32" s="20" t="n">
        <v>8080</v>
      </c>
      <c r="E32" s="20" t="n">
        <v>8080</v>
      </c>
      <c r="F32" s="20" t="n">
        <v>8080</v>
      </c>
      <c r="G32" s="20" t="n">
        <v>8080</v>
      </c>
      <c r="H32" s="19" t="n">
        <v>8080</v>
      </c>
      <c r="I32" s="20" t="n">
        <v>8080</v>
      </c>
      <c r="J32" s="20" t="n">
        <v>8080</v>
      </c>
      <c r="K32" s="20" t="n">
        <v>8080</v>
      </c>
      <c r="L32" s="20" t="n">
        <v>8080</v>
      </c>
    </row>
    <row r="33">
      <c r="A33" s="18" t="inlineStr">
        <is>
          <t>이익잉여금</t>
        </is>
      </c>
      <c r="B33" s="10" t="n"/>
      <c r="C33" s="19" t="n">
        <v>42519</v>
      </c>
      <c r="D33" s="20" t="n">
        <v>44404</v>
      </c>
      <c r="E33" s="20" t="n">
        <v>45634</v>
      </c>
      <c r="F33" s="20" t="n">
        <v>46991</v>
      </c>
      <c r="G33" s="20" t="n">
        <v>48367</v>
      </c>
      <c r="H33" s="19" t="n">
        <v>44636</v>
      </c>
      <c r="I33" s="20" t="n">
        <v>36182</v>
      </c>
      <c r="J33" s="20" t="n">
        <v>39096</v>
      </c>
      <c r="K33" s="20" t="n">
        <v>42510</v>
      </c>
      <c r="L33" s="20" t="n">
        <v>46991</v>
      </c>
    </row>
    <row r="34">
      <c r="A34" s="18" t="inlineStr">
        <is>
          <t>비지배지분</t>
        </is>
      </c>
      <c r="B34" s="10" t="n"/>
      <c r="C34" s="19" t="n">
        <v>99</v>
      </c>
      <c r="D34" s="20" t="n">
        <v>115</v>
      </c>
      <c r="E34" s="20" t="n">
        <v>142</v>
      </c>
      <c r="F34" s="20" t="n">
        <v>150</v>
      </c>
      <c r="G34" s="20" t="n">
        <v>105</v>
      </c>
      <c r="H34" s="19" t="n">
        <v>525</v>
      </c>
      <c r="I34" s="20" t="n">
        <v>705</v>
      </c>
      <c r="J34" s="20" t="n">
        <v>727</v>
      </c>
      <c r="K34" s="20" t="n">
        <v>766</v>
      </c>
      <c r="L34" s="20" t="n">
        <v>150</v>
      </c>
    </row>
    <row r="35">
      <c r="A35" s="9" t="inlineStr">
        <is>
          <t>자본총계</t>
        </is>
      </c>
      <c r="B35" s="10" t="n"/>
      <c r="C35" s="11" t="n">
        <v>55164</v>
      </c>
      <c r="D35" s="12" t="n">
        <v>57748</v>
      </c>
      <c r="E35" s="12" t="n">
        <v>60575</v>
      </c>
      <c r="F35" s="12" t="n">
        <v>62571</v>
      </c>
      <c r="G35" s="12" t="n">
        <v>64465</v>
      </c>
      <c r="H35" s="11" t="n">
        <v>41493</v>
      </c>
      <c r="I35" s="12" t="n">
        <v>47307</v>
      </c>
      <c r="J35" s="12" t="n">
        <v>52667</v>
      </c>
      <c r="K35" s="12" t="n">
        <v>56216</v>
      </c>
      <c r="L35" s="12" t="n">
        <v>62571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/>
      <c r="D37" s="12" t="n"/>
      <c r="E37" s="12" t="n"/>
      <c r="F37" s="12" t="n">
        <v>6992</v>
      </c>
      <c r="G37" s="12" t="n"/>
      <c r="H37" s="11" t="n">
        <v>4046</v>
      </c>
      <c r="I37" s="12" t="n">
        <v>8761</v>
      </c>
      <c r="J37" s="12" t="n">
        <v>8231</v>
      </c>
      <c r="K37" s="12" t="n">
        <v>7129</v>
      </c>
      <c r="L37" s="12" t="n">
        <v>6992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/>
      <c r="D38" s="20" t="n"/>
      <c r="E38" s="20" t="n"/>
      <c r="F38" s="20" t="n">
        <v>7091</v>
      </c>
      <c r="G38" s="20" t="n"/>
      <c r="H38" s="19" t="n">
        <v>1794</v>
      </c>
      <c r="I38" s="20" t="n">
        <v>2423</v>
      </c>
      <c r="J38" s="20" t="n">
        <v>4014</v>
      </c>
      <c r="K38" s="20" t="n">
        <v>6943</v>
      </c>
      <c r="L38" s="20" t="n">
        <v>7091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/>
      <c r="D40" s="20" t="n"/>
      <c r="E40" s="20" t="n"/>
      <c r="F40" s="20" t="n">
        <v>720</v>
      </c>
      <c r="G40" s="20" t="n"/>
      <c r="H40" s="19" t="n">
        <v>329</v>
      </c>
      <c r="I40" s="20" t="n">
        <v>484</v>
      </c>
      <c r="J40" s="20" t="n">
        <v>529</v>
      </c>
      <c r="K40" s="20" t="n">
        <v>528</v>
      </c>
      <c r="L40" s="20" t="n">
        <v>720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4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4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4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4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4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4" t="inlineStr">
        <is>
          <t>이자보상배율</t>
        </is>
      </c>
      <c r="B48" s="10" t="inlineStr">
        <is>
          <t>5x↑ (금융원가 기준)</t>
        </is>
      </c>
      <c r="C48" s="30">
        <f>IFERROR((IF(COUNT('연간'!G37:J37)&lt;4,"",SUM('연간'!G37:J37)))/(IF(COUNT('연간'!G59:J59)&lt;4,"",SUM('연간'!G59:J59))),"")</f>
        <v/>
      </c>
      <c r="D48" s="31">
        <f>IFERROR((IF(COUNT('연간'!H37:K37)&lt;4,"",SUM('연간'!H37:K37)))/(IF(COUNT('연간'!H59:K59)&lt;4,"",SUM('연간'!H59:K59))),"")</f>
        <v/>
      </c>
      <c r="E48" s="31">
        <f>IFERROR((IF(COUNT('연간'!I37:L37)&lt;4,"",SUM('연간'!I37:L37)))/(IF(COUNT('연간'!I59:L59)&lt;4,"",SUM('연간'!I59:L59))),"")</f>
        <v/>
      </c>
      <c r="F48" s="31">
        <f>IFERROR((IF(COUNT('연간'!J37:M37)&lt;4,"",SUM('연간'!J37:M37)))/(IF(COUNT('연간'!J59:M59)&lt;4,"",SUM('연간'!J59:M59))),"")</f>
        <v/>
      </c>
      <c r="G48" s="31">
        <f>IFERROR((IF(COUNT('연간'!K37:N37)&lt;4,"",SUM('연간'!K37:N37)))/(IF(COUNT('연간'!K59:N59)&lt;4,"",SUM('연간'!K59:N59))),"")</f>
        <v/>
      </c>
      <c r="H48" s="30">
        <f>IFERROR(('연간'!T37)/('연간'!T59),"")</f>
        <v/>
      </c>
      <c r="I48" s="31">
        <f>IFERROR(('연간'!U37)/('연간'!U59),"")</f>
        <v/>
      </c>
      <c r="J48" s="31">
        <f>IFERROR(('연간'!V37)/('연간'!V59),"")</f>
        <v/>
      </c>
      <c r="K48" s="31">
        <f>IFERROR(('연간'!W37)/('연간'!W59),"")</f>
        <v/>
      </c>
      <c r="L48" s="31">
        <f>IFERROR(('연간'!X37)/('연간'!X59),"")</f>
        <v/>
      </c>
    </row>
    <row r="49">
      <c r="A49" s="44" t="inlineStr">
        <is>
          <t>차입금 상환연수</t>
        </is>
      </c>
      <c r="B49" s="10" t="inlineStr">
        <is>
          <t>4년↓ (버핏)</t>
        </is>
      </c>
      <c r="C49" s="45">
        <f>IFERROR(IF((IF(COUNT('연간'!G65:J65)&lt;4,"",SUM('연간'!G65:J65)))&lt;=0,"적자",C28/(IF(COUNT('연간'!G65:J65)&lt;4,"",SUM('연간'!G65:J65)))),"")</f>
        <v/>
      </c>
      <c r="D49" s="46">
        <f>IFERROR(IF((IF(COUNT('연간'!H65:K65)&lt;4,"",SUM('연간'!H65:K65)))&lt;=0,"적자",D28/(IF(COUNT('연간'!H65:K65)&lt;4,"",SUM('연간'!H65:K65)))),"")</f>
        <v/>
      </c>
      <c r="E49" s="46">
        <f>IFERROR(IF((IF(COUNT('연간'!I65:L65)&lt;4,"",SUM('연간'!I65:L65)))&lt;=0,"적자",E28/(IF(COUNT('연간'!I65:L65)&lt;4,"",SUM('연간'!I65:L65)))),"")</f>
        <v/>
      </c>
      <c r="F49" s="46">
        <f>IFERROR(IF((IF(COUNT('연간'!J65:M65)&lt;4,"",SUM('연간'!J65:M65)))&lt;=0,"적자",F28/(IF(COUNT('연간'!J65:M65)&lt;4,"",SUM('연간'!J65:M65)))),"")</f>
        <v/>
      </c>
      <c r="G49" s="46">
        <f>IFERROR(IF((IF(COUNT('연간'!K65:N65)&lt;4,"",SUM('연간'!K65:N65)))&lt;=0,"적자",G28/(IF(COUNT('연간'!K65:N65)&lt;4,"",SUM('연간'!K65:N65)))),"")</f>
        <v/>
      </c>
      <c r="H49" s="45">
        <f>IFERROR(IF(('연간'!T65)&lt;=0,"적자",H28/('연간'!T65)),"")</f>
        <v/>
      </c>
      <c r="I49" s="46">
        <f>IFERROR(IF(('연간'!U65)&lt;=0,"적자",I28/('연간'!U65)),"")</f>
        <v/>
      </c>
      <c r="J49" s="46">
        <f>IFERROR(IF(('연간'!V65)&lt;=0,"적자",J28/('연간'!V65)),"")</f>
        <v/>
      </c>
      <c r="K49" s="46">
        <f>IFERROR(IF(('연간'!W65)&lt;=0,"적자",K28/('연간'!W65)),"")</f>
        <v/>
      </c>
      <c r="L49" s="46">
        <f>IFERROR(IF(('연간'!X65)&lt;=0,"적자",L28/('연간'!X65)),"")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4" t="inlineStr">
        <is>
          <t>ROE</t>
        </is>
      </c>
      <c r="B51" s="10" t="inlineStr">
        <is>
          <t>15%↑ (버핏)</t>
        </is>
      </c>
      <c r="C51" s="35">
        <f>IFERROR((IF(COUNT('연간'!G65:J65)&lt;4,"",SUM('연간'!G65:J65)))/C31,"")</f>
        <v/>
      </c>
      <c r="D51" s="36">
        <f>IFERROR((IF(COUNT('연간'!H65:K65)&lt;4,"",SUM('연간'!H65:K65)))/D31,"")</f>
        <v/>
      </c>
      <c r="E51" s="36">
        <f>IFERROR((IF(COUNT('연간'!I65:L65)&lt;4,"",SUM('연간'!I65:L65)))/E31,"")</f>
        <v/>
      </c>
      <c r="F51" s="36">
        <f>IFERROR((IF(COUNT('연간'!J65:M65)&lt;4,"",SUM('연간'!J65:M65)))/F31,"")</f>
        <v/>
      </c>
      <c r="G51" s="36">
        <f>IFERROR((IF(COUNT('연간'!K65:N65)&lt;4,"",SUM('연간'!K65:N65)))/G31,"")</f>
        <v/>
      </c>
      <c r="H51" s="35">
        <f>IFERROR(('연간'!T65)/H31,"")</f>
        <v/>
      </c>
      <c r="I51" s="36">
        <f>IFERROR(('연간'!U65)/I31,"")</f>
        <v/>
      </c>
      <c r="J51" s="36">
        <f>IFERROR(('연간'!V65)/J31,"")</f>
        <v/>
      </c>
      <c r="K51" s="36">
        <f>IFERROR(('연간'!W65)/K31,"")</f>
        <v/>
      </c>
      <c r="L51" s="36">
        <f>IFERROR(('연간'!X65)/L31,"")</f>
        <v/>
      </c>
    </row>
    <row r="52">
      <c r="A52" s="44" t="inlineStr">
        <is>
          <t>ROA</t>
        </is>
      </c>
      <c r="B52" s="10" t="inlineStr">
        <is>
          <t>5%↑</t>
        </is>
      </c>
      <c r="C52" s="35">
        <f>IFERROR((IF(COUNT('연간'!G64:J64)&lt;4,"",SUM('연간'!G64:J64)))/C16,"")</f>
        <v/>
      </c>
      <c r="D52" s="36">
        <f>IFERROR((IF(COUNT('연간'!H64:K64)&lt;4,"",SUM('연간'!H64:K64)))/D16,"")</f>
        <v/>
      </c>
      <c r="E52" s="36">
        <f>IFERROR((IF(COUNT('연간'!I64:L64)&lt;4,"",SUM('연간'!I64:L64)))/E16,"")</f>
        <v/>
      </c>
      <c r="F52" s="36">
        <f>IFERROR((IF(COUNT('연간'!J64:M64)&lt;4,"",SUM('연간'!J64:M64)))/F16,"")</f>
        <v/>
      </c>
      <c r="G52" s="36">
        <f>IFERROR((IF(COUNT('연간'!K64:N64)&lt;4,"",SUM('연간'!K64:N64)))/G16,"")</f>
        <v/>
      </c>
      <c r="H52" s="35">
        <f>IFERROR(('연간'!T64)/H16,"")</f>
        <v/>
      </c>
      <c r="I52" s="36">
        <f>IFERROR(('연간'!U64)/I16,"")</f>
        <v/>
      </c>
      <c r="J52" s="36">
        <f>IFERROR(('연간'!V64)/J16,"")</f>
        <v/>
      </c>
      <c r="K52" s="36">
        <f>IFERROR(('연간'!W64)/K16,"")</f>
        <v/>
      </c>
      <c r="L52" s="36">
        <f>IFERROR(('연간'!X64)/L16,"")</f>
        <v/>
      </c>
    </row>
    <row r="53">
      <c r="A53" s="44" t="inlineStr">
        <is>
          <t>ROIC</t>
        </is>
      </c>
      <c r="B53" s="10" t="inlineStr">
        <is>
          <t>10%↑ (세후영업이익 기준)</t>
        </is>
      </c>
      <c r="C53" s="35">
        <f>IFERROR((IF(COUNT('연간'!G37:J37)&lt;4,"",SUM('연간'!G37:J37)))*(1-0.3)/(C35+C29),"")</f>
        <v/>
      </c>
      <c r="D53" s="36">
        <f>IFERROR((IF(COUNT('연간'!H37:K37)&lt;4,"",SUM('연간'!H37:K37)))*(1-0.3)/(D35+D29),"")</f>
        <v/>
      </c>
      <c r="E53" s="36">
        <f>IFERROR((IF(COUNT('연간'!I37:L37)&lt;4,"",SUM('연간'!I37:L37)))*(1-0.3)/(E35+E29),"")</f>
        <v/>
      </c>
      <c r="F53" s="36">
        <f>IFERROR((IF(COUNT('연간'!J37:M37)&lt;4,"",SUM('연간'!J37:M37)))*(1-0.3)/(F35+F29),"")</f>
        <v/>
      </c>
      <c r="G53" s="36">
        <f>IFERROR((IF(COUNT('연간'!K37:N37)&lt;4,"",SUM('연간'!K37:N37)))*(1-0.3)/(G35+G29),"")</f>
        <v/>
      </c>
      <c r="H53" s="35">
        <f>IFERROR(('연간'!T37)*(1-0.3)/(H35+H29),"")</f>
        <v/>
      </c>
      <c r="I53" s="36">
        <f>IFERROR(('연간'!U37)*(1-0.3)/(I35+I29),"")</f>
        <v/>
      </c>
      <c r="J53" s="36">
        <f>IFERROR(('연간'!V37)*(1-0.3)/(J35+J29),"")</f>
        <v/>
      </c>
      <c r="K53" s="36">
        <f>IFERROR(('연간'!W37)*(1-0.3)/(K35+K29),"")</f>
        <v/>
      </c>
      <c r="L53" s="36">
        <f>IFERROR(('연간'!X37)*(1-0.3)/(L35+L29),"")</f>
        <v/>
      </c>
    </row>
    <row r="54">
      <c r="A54" s="44" t="inlineStr">
        <is>
          <t>매출총이익률 (GPM)</t>
        </is>
      </c>
      <c r="B54" s="10" t="inlineStr">
        <is>
          <t>40%↑ (해자 신호)</t>
        </is>
      </c>
      <c r="C54" s="35">
        <f>IFERROR((IF(COUNT('연간'!G33:J33)&lt;4,"",SUM('연간'!G33:J33)))/(IF(COUNT('연간'!G4:J4)&lt;4,"",SUM('연간'!G4:J4))),"")</f>
        <v/>
      </c>
      <c r="D54" s="36">
        <f>IFERROR((IF(COUNT('연간'!H33:K33)&lt;4,"",SUM('연간'!H33:K33)))/(IF(COUNT('연간'!H4:K4)&lt;4,"",SUM('연간'!H4:K4))),"")</f>
        <v/>
      </c>
      <c r="E54" s="36">
        <f>IFERROR((IF(COUNT('연간'!I33:L33)&lt;4,"",SUM('연간'!I33:L33)))/(IF(COUNT('연간'!I4:L4)&lt;4,"",SUM('연간'!I4:L4))),"")</f>
        <v/>
      </c>
      <c r="F54" s="36">
        <f>IFERROR((IF(COUNT('연간'!J33:M33)&lt;4,"",SUM('연간'!J33:M33)))/(IF(COUNT('연간'!J4:M4)&lt;4,"",SUM('연간'!J4:M4))),"")</f>
        <v/>
      </c>
      <c r="G54" s="36">
        <f>IFERROR((IF(COUNT('연간'!K33:N33)&lt;4,"",SUM('연간'!K33:N33)))/(IF(COUNT('연간'!K4:N4)&lt;4,"",SUM('연간'!K4:N4))),"")</f>
        <v/>
      </c>
      <c r="H54" s="35">
        <f>IFERROR(('연간'!T33)/('연간'!T4),"")</f>
        <v/>
      </c>
      <c r="I54" s="36">
        <f>IFERROR(('연간'!U33)/('연간'!U4),"")</f>
        <v/>
      </c>
      <c r="J54" s="36">
        <f>IFERROR(('연간'!V33)/('연간'!V4),"")</f>
        <v/>
      </c>
      <c r="K54" s="36">
        <f>IFERROR(('연간'!W33)/('연간'!W4),"")</f>
        <v/>
      </c>
      <c r="L54" s="36">
        <f>IFERROR(('연간'!X33)/('연간'!X4),"")</f>
        <v/>
      </c>
    </row>
    <row r="55">
      <c r="A55" s="44" t="inlineStr">
        <is>
          <t>영업이익률 (OPM)</t>
        </is>
      </c>
      <c r="B55" s="10" t="inlineStr">
        <is>
          <t>15%↑</t>
        </is>
      </c>
      <c r="C55" s="35">
        <f>IFERROR((IF(COUNT('연간'!G37:J37)&lt;4,"",SUM('연간'!G37:J37)))/(IF(COUNT('연간'!G4:J4)&lt;4,"",SUM('연간'!G4:J4))),"")</f>
        <v/>
      </c>
      <c r="D55" s="36">
        <f>IFERROR((IF(COUNT('연간'!H37:K37)&lt;4,"",SUM('연간'!H37:K37)))/(IF(COUNT('연간'!H4:K4)&lt;4,"",SUM('연간'!H4:K4))),"")</f>
        <v/>
      </c>
      <c r="E55" s="36">
        <f>IFERROR((IF(COUNT('연간'!I37:L37)&lt;4,"",SUM('연간'!I37:L37)))/(IF(COUNT('연간'!I4:L4)&lt;4,"",SUM('연간'!I4:L4))),"")</f>
        <v/>
      </c>
      <c r="F55" s="36">
        <f>IFERROR((IF(COUNT('연간'!J37:M37)&lt;4,"",SUM('연간'!J37:M37)))/(IF(COUNT('연간'!J4:M4)&lt;4,"",SUM('연간'!J4:M4))),"")</f>
        <v/>
      </c>
      <c r="G55" s="36">
        <f>IFERROR((IF(COUNT('연간'!K37:N37)&lt;4,"",SUM('연간'!K37:N37)))/(IF(COUNT('연간'!K4:N4)&lt;4,"",SUM('연간'!K4:N4))),"")</f>
        <v/>
      </c>
      <c r="H55" s="35">
        <f>IFERROR(('연간'!T37)/('연간'!T4),"")</f>
        <v/>
      </c>
      <c r="I55" s="36">
        <f>IFERROR(('연간'!U37)/('연간'!U4),"")</f>
        <v/>
      </c>
      <c r="J55" s="36">
        <f>IFERROR(('연간'!V37)/('연간'!V4),"")</f>
        <v/>
      </c>
      <c r="K55" s="36">
        <f>IFERROR(('연간'!W37)/('연간'!W4),"")</f>
        <v/>
      </c>
      <c r="L55" s="36">
        <f>IFERROR(('연간'!X37)/('연간'!X4),"")</f>
        <v/>
      </c>
    </row>
    <row r="56">
      <c r="A56" s="44" t="inlineStr">
        <is>
          <t>순이익률</t>
        </is>
      </c>
      <c r="B56" s="10" t="inlineStr">
        <is>
          <t>10%↑</t>
        </is>
      </c>
      <c r="C56" s="35">
        <f>IFERROR((IF(COUNT('연간'!G64:J64)&lt;4,"",SUM('연간'!G64:J64)))/(IF(COUNT('연간'!G4:J4)&lt;4,"",SUM('연간'!G4:J4))),"")</f>
        <v/>
      </c>
      <c r="D56" s="36">
        <f>IFERROR((IF(COUNT('연간'!H64:K64)&lt;4,"",SUM('연간'!H64:K64)))/(IF(COUNT('연간'!H4:K4)&lt;4,"",SUM('연간'!H4:K4))),"")</f>
        <v/>
      </c>
      <c r="E56" s="36">
        <f>IFERROR((IF(COUNT('연간'!I64:L64)&lt;4,"",SUM('연간'!I64:L64)))/(IF(COUNT('연간'!I4:L4)&lt;4,"",SUM('연간'!I4:L4))),"")</f>
        <v/>
      </c>
      <c r="F56" s="36">
        <f>IFERROR((IF(COUNT('연간'!J64:M64)&lt;4,"",SUM('연간'!J64:M64)))/(IF(COUNT('연간'!J4:M4)&lt;4,"",SUM('연간'!J4:M4))),"")</f>
        <v/>
      </c>
      <c r="G56" s="36">
        <f>IFERROR((IF(COUNT('연간'!K64:N64)&lt;4,"",SUM('연간'!K64:N64)))/(IF(COUNT('연간'!K4:N4)&lt;4,"",SUM('연간'!K4:N4))),"")</f>
        <v/>
      </c>
      <c r="H56" s="35">
        <f>IFERROR(('연간'!T64)/('연간'!T4),"")</f>
        <v/>
      </c>
      <c r="I56" s="36">
        <f>IFERROR(('연간'!U64)/('연간'!U4),"")</f>
        <v/>
      </c>
      <c r="J56" s="36">
        <f>IFERROR(('연간'!V64)/('연간'!V4),"")</f>
        <v/>
      </c>
      <c r="K56" s="36">
        <f>IFERROR(('연간'!W64)/('연간'!W4),"")</f>
        <v/>
      </c>
      <c r="L56" s="36">
        <f>IFERROR(('연간'!X64)/('연간'!X4),"")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4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4" t="inlineStr">
        <is>
          <t>매출채권회전일수</t>
        </is>
      </c>
      <c r="B59" s="10" t="inlineStr">
        <is>
          <t>짧을수록↑</t>
        </is>
      </c>
      <c r="C59" s="47">
        <f>IFERROR(C8/(IF(COUNT('연간'!G4:J4)&lt;4,"",SUM('연간'!G4:J4)))*365,"")</f>
        <v/>
      </c>
      <c r="D59" s="48">
        <f>IFERROR(D8/(IF(COUNT('연간'!H4:K4)&lt;4,"",SUM('연간'!H4:K4)))*365,"")</f>
        <v/>
      </c>
      <c r="E59" s="48">
        <f>IFERROR(E8/(IF(COUNT('연간'!I4:L4)&lt;4,"",SUM('연간'!I4:L4)))*365,"")</f>
        <v/>
      </c>
      <c r="F59" s="48">
        <f>IFERROR(F8/(IF(COUNT('연간'!J4:M4)&lt;4,"",SUM('연간'!J4:M4)))*365,"")</f>
        <v/>
      </c>
      <c r="G59" s="48">
        <f>IFERROR(G8/(IF(COUNT('연간'!K4:N4)&lt;4,"",SUM('연간'!K4:N4)))*365,"")</f>
        <v/>
      </c>
      <c r="H59" s="47">
        <f>IFERROR(H8/('연간'!T4)*365,"")</f>
        <v/>
      </c>
      <c r="I59" s="48">
        <f>IFERROR(I8/('연간'!U4)*365,"")</f>
        <v/>
      </c>
      <c r="J59" s="48">
        <f>IFERROR(J8/('연간'!V4)*365,"")</f>
        <v/>
      </c>
      <c r="K59" s="48">
        <f>IFERROR(K8/('연간'!W4)*365,"")</f>
        <v/>
      </c>
      <c r="L59" s="48">
        <f>IFERROR(L8/('연간'!X4)*365,"")</f>
        <v/>
      </c>
    </row>
    <row r="60">
      <c r="A60" s="44" t="inlineStr">
        <is>
          <t>재고자산회전일수</t>
        </is>
      </c>
      <c r="B60" s="10" t="inlineStr">
        <is>
          <t>짧을수록↑</t>
        </is>
      </c>
      <c r="C60" s="47">
        <f>IFERROR(C9/(IF(COUNT('연간'!G32:J32)&lt;4,"",SUM('연간'!G32:J32)))*365,"")</f>
        <v/>
      </c>
      <c r="D60" s="48">
        <f>IFERROR(D9/(IF(COUNT('연간'!H32:K32)&lt;4,"",SUM('연간'!H32:K32)))*365,"")</f>
        <v/>
      </c>
      <c r="E60" s="48">
        <f>IFERROR(E9/(IF(COUNT('연간'!I32:L32)&lt;4,"",SUM('연간'!I32:L32)))*365,"")</f>
        <v/>
      </c>
      <c r="F60" s="48">
        <f>IFERROR(F9/(IF(COUNT('연간'!J32:M32)&lt;4,"",SUM('연간'!J32:M32)))*365,"")</f>
        <v/>
      </c>
      <c r="G60" s="48">
        <f>IFERROR(G9/(IF(COUNT('연간'!K32:N32)&lt;4,"",SUM('연간'!K32:N32)))*365,"")</f>
        <v/>
      </c>
      <c r="H60" s="47">
        <f>IFERROR(H9/('연간'!T32)*365,"")</f>
        <v/>
      </c>
      <c r="I60" s="48">
        <f>IFERROR(I9/('연간'!U32)*365,"")</f>
        <v/>
      </c>
      <c r="J60" s="48">
        <f>IFERROR(J9/('연간'!V32)*365,"")</f>
        <v/>
      </c>
      <c r="K60" s="48">
        <f>IFERROR(K9/('연간'!W32)*365,"")</f>
        <v/>
      </c>
      <c r="L60" s="48">
        <f>IFERROR(L9/('연간'!X32)*365,"")</f>
        <v/>
      </c>
    </row>
    <row r="61">
      <c r="A61" s="44" t="inlineStr">
        <is>
          <t>매입채무회전일수</t>
        </is>
      </c>
      <c r="B61" s="10" t="inlineStr">
        <is>
          <t>길수록 유리</t>
        </is>
      </c>
      <c r="C61" s="47">
        <f>IFERROR(C19/(IF(COUNT('연간'!G32:J32)&lt;4,"",SUM('연간'!G32:J32)))*365,"")</f>
        <v/>
      </c>
      <c r="D61" s="48">
        <f>IFERROR(D19/(IF(COUNT('연간'!H32:K32)&lt;4,"",SUM('연간'!H32:K32)))*365,"")</f>
        <v/>
      </c>
      <c r="E61" s="48">
        <f>IFERROR(E19/(IF(COUNT('연간'!I32:L32)&lt;4,"",SUM('연간'!I32:L32)))*365,"")</f>
        <v/>
      </c>
      <c r="F61" s="48">
        <f>IFERROR(F19/(IF(COUNT('연간'!J32:M32)&lt;4,"",SUM('연간'!J32:M32)))*365,"")</f>
        <v/>
      </c>
      <c r="G61" s="48">
        <f>IFERROR(G19/(IF(COUNT('연간'!K32:N32)&lt;4,"",SUM('연간'!K32:N32)))*365,"")</f>
        <v/>
      </c>
      <c r="H61" s="47">
        <f>IFERROR(H19/('연간'!T32)*365,"")</f>
        <v/>
      </c>
      <c r="I61" s="48">
        <f>IFERROR(I19/('연간'!U32)*365,"")</f>
        <v/>
      </c>
      <c r="J61" s="48">
        <f>IFERROR(J19/('연간'!V32)*365,"")</f>
        <v/>
      </c>
      <c r="K61" s="48">
        <f>IFERROR(K19/('연간'!W32)*365,"")</f>
        <v/>
      </c>
      <c r="L61" s="48">
        <f>IFERROR(L19/('연간'!X32)*365,"")</f>
        <v/>
      </c>
    </row>
    <row r="62">
      <c r="A62" s="44" t="inlineStr">
        <is>
          <t>현금전환주기 (CCC)</t>
        </is>
      </c>
      <c r="B62" s="10" t="inlineStr">
        <is>
          <t>짧을수록↑</t>
        </is>
      </c>
      <c r="C62" s="47">
        <f>IF(OR(C59="",C60="",C61=""),"",IFERROR(C59+C60-C61,""))</f>
        <v/>
      </c>
      <c r="D62" s="48">
        <f>IF(OR(D59="",D60="",D61=""),"",IFERROR(D59+D60-D61,""))</f>
        <v/>
      </c>
      <c r="E62" s="48">
        <f>IF(OR(E59="",E60="",E61=""),"",IFERROR(E59+E60-E61,""))</f>
        <v/>
      </c>
      <c r="F62" s="48">
        <f>IF(OR(F59="",F60="",F61=""),"",IFERROR(F59+F60-F61,""))</f>
        <v/>
      </c>
      <c r="G62" s="48">
        <f>IF(OR(G59="",G60="",G61=""),"",IFERROR(G59+G60-G61,""))</f>
        <v/>
      </c>
      <c r="H62" s="47">
        <f>IF(OR(H59="",H60="",H61=""),"",IFERROR(H59+H60-H61,""))</f>
        <v/>
      </c>
      <c r="I62" s="48">
        <f>IF(OR(I59="",I60="",I61=""),"",IFERROR(I59+I60-I61,""))</f>
        <v/>
      </c>
      <c r="J62" s="48">
        <f>IF(OR(J59="",J60="",J61=""),"",IFERROR(J59+J60-J61,""))</f>
        <v/>
      </c>
      <c r="K62" s="48">
        <f>IF(OR(K59="",K60="",K61=""),"",IFERROR(K59+K60-K61,""))</f>
        <v/>
      </c>
      <c r="L62" s="48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4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IF(C37="","",IFERROR(C37/(IF(COUNT('연간'!G64:J64)&lt;4,"",SUM('연간'!G64:J64))),""))</f>
        <v/>
      </c>
      <c r="D64" s="31">
        <f>IF(D37="","",IFERROR(D37/(IF(COUNT('연간'!H64:K64)&lt;4,"",SUM('연간'!H64:K64))),""))</f>
        <v/>
      </c>
      <c r="E64" s="31">
        <f>IF(E37="","",IFERROR(E37/(IF(COUNT('연간'!I64:L64)&lt;4,"",SUM('연간'!I64:L64))),""))</f>
        <v/>
      </c>
      <c r="F64" s="31">
        <f>IF(F37="","",IFERROR(F37/(IF(COUNT('연간'!J64:M64)&lt;4,"",SUM('연간'!J64:M64))),""))</f>
        <v/>
      </c>
      <c r="G64" s="31">
        <f>IF(G37="","",IFERROR(G37/(IF(COUNT('연간'!K64:N64)&lt;4,"",SUM('연간'!K64:N64))),""))</f>
        <v/>
      </c>
      <c r="H64" s="30">
        <f>IF(H37="","",IFERROR(H37/('연간'!T64),""))</f>
        <v/>
      </c>
      <c r="I64" s="31">
        <f>IF(I37="","",IFERROR(I37/('연간'!U64),""))</f>
        <v/>
      </c>
      <c r="J64" s="31">
        <f>IF(J37="","",IFERROR(J37/('연간'!V64),""))</f>
        <v/>
      </c>
      <c r="K64" s="31">
        <f>IF(K37="","",IFERROR(K37/('연간'!W64),""))</f>
        <v/>
      </c>
      <c r="L64" s="31">
        <f>IF(L37="","",IFERROR(L37/('연간'!X64),""))</f>
        <v/>
      </c>
    </row>
    <row r="65">
      <c r="A65" s="44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4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4" t="inlineStr">
        <is>
          <t>배당성향</t>
        </is>
      </c>
      <c r="B67" s="10" t="inlineStr">
        <is>
          <t>참고</t>
        </is>
      </c>
      <c r="C67" s="35">
        <f>IF(C40="","",IFERROR(C40/(IF(COUNT('연간'!G65:J65)&lt;4,"",SUM('연간'!G65:J65))),""))</f>
        <v/>
      </c>
      <c r="D67" s="36">
        <f>IF(D40="","",IFERROR(D40/(IF(COUNT('연간'!H65:K65)&lt;4,"",SUM('연간'!H65:K65))),""))</f>
        <v/>
      </c>
      <c r="E67" s="36">
        <f>IF(E40="","",IFERROR(E40/(IF(COUNT('연간'!I65:L65)&lt;4,"",SUM('연간'!I65:L65))),""))</f>
        <v/>
      </c>
      <c r="F67" s="36">
        <f>IF(F40="","",IFERROR(F40/(IF(COUNT('연간'!J65:M65)&lt;4,"",SUM('연간'!J65:M65))),""))</f>
        <v/>
      </c>
      <c r="G67" s="36">
        <f>IF(G40="","",IFERROR(G40/(IF(COUNT('연간'!K65:N65)&lt;4,"",SUM('연간'!K65:N65))),""))</f>
        <v/>
      </c>
      <c r="H67" s="35">
        <f>IF(H40="","",IFERROR(H40/('연간'!T65),""))</f>
        <v/>
      </c>
      <c r="I67" s="36">
        <f>IF(I40="","",IFERROR(I40/('연간'!U65),""))</f>
        <v/>
      </c>
      <c r="J67" s="36">
        <f>IF(J40="","",IFERROR(J40/('연간'!V65),""))</f>
        <v/>
      </c>
      <c r="K67" s="36">
        <f>IF(K40="","",IFERROR(K40/('연간'!W65),""))</f>
        <v/>
      </c>
      <c r="L67" s="36">
        <f>IF(L40="","",IFERROR(L40/('연간'!X65),""))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23312</v>
      </c>
      <c r="D71" s="20" t="n">
        <v>24040</v>
      </c>
      <c r="E71" s="20" t="n">
        <v>21701</v>
      </c>
      <c r="F71" s="20" t="n">
        <v>23817</v>
      </c>
      <c r="G71" s="20" t="n">
        <v>17065</v>
      </c>
      <c r="H71" s="20" t="n">
        <v>14914</v>
      </c>
      <c r="I71" s="20" t="n">
        <v>20766</v>
      </c>
      <c r="J71" s="20" t="n">
        <v>24788</v>
      </c>
      <c r="K71" s="20" t="n">
        <v>24050</v>
      </c>
      <c r="L71" s="20" t="n">
        <v>23817</v>
      </c>
    </row>
    <row r="72">
      <c r="A72" s="18" t="inlineStr">
        <is>
          <t>받을어음·매출채권·계약자산</t>
        </is>
      </c>
      <c r="H72" s="20" t="n">
        <v>9312</v>
      </c>
    </row>
    <row r="73">
      <c r="A73" s="18" t="inlineStr">
        <is>
          <t>받을어음·매출채권</t>
        </is>
      </c>
      <c r="C73" s="20" t="n">
        <v>8330</v>
      </c>
      <c r="D73" s="20" t="n">
        <v>10461</v>
      </c>
      <c r="E73" s="20" t="n">
        <v>10060</v>
      </c>
      <c r="F73" s="20" t="n">
        <v>8967</v>
      </c>
      <c r="G73" s="20" t="n">
        <v>10549</v>
      </c>
      <c r="H73" s="20" t="n">
        <v>9291</v>
      </c>
      <c r="I73" s="20" t="n">
        <v>9874</v>
      </c>
      <c r="J73" s="20" t="n">
        <v>9712</v>
      </c>
      <c r="K73" s="20" t="n">
        <v>8807</v>
      </c>
      <c r="L73" s="20" t="n">
        <v>8967</v>
      </c>
    </row>
    <row r="74">
      <c r="A74" s="18" t="inlineStr">
        <is>
          <t>제품</t>
        </is>
      </c>
      <c r="C74" s="20" t="n">
        <v>1643</v>
      </c>
      <c r="D74" s="20" t="n">
        <v>848</v>
      </c>
      <c r="E74" s="20" t="n">
        <v>1071</v>
      </c>
      <c r="F74" s="20" t="n">
        <v>952</v>
      </c>
      <c r="G74" s="20" t="n">
        <v>1037</v>
      </c>
      <c r="H74" s="20" t="n">
        <v>1056</v>
      </c>
      <c r="I74" s="20" t="n">
        <v>1201</v>
      </c>
      <c r="J74" s="20" t="n">
        <v>1119</v>
      </c>
      <c r="K74" s="20" t="n">
        <v>1266</v>
      </c>
      <c r="L74" s="20" t="n">
        <v>952</v>
      </c>
    </row>
    <row r="75">
      <c r="A75" s="18" t="inlineStr">
        <is>
          <t>재공품</t>
        </is>
      </c>
      <c r="C75" s="20" t="n">
        <v>778</v>
      </c>
      <c r="D75" s="20" t="n">
        <v>667</v>
      </c>
      <c r="E75" s="20" t="n">
        <v>679</v>
      </c>
      <c r="F75" s="20" t="n">
        <v>641</v>
      </c>
      <c r="G75" s="20" t="n">
        <v>687</v>
      </c>
      <c r="H75" s="20" t="n">
        <v>489</v>
      </c>
      <c r="I75" s="20" t="n">
        <v>724</v>
      </c>
      <c r="J75" s="20" t="n">
        <v>694</v>
      </c>
      <c r="K75" s="20" t="n">
        <v>782</v>
      </c>
      <c r="L75" s="20" t="n">
        <v>641</v>
      </c>
    </row>
    <row r="76">
      <c r="A76" s="18" t="inlineStr">
        <is>
          <t>원재료·저장품</t>
        </is>
      </c>
      <c r="C76" s="20" t="n">
        <v>2248</v>
      </c>
      <c r="D76" s="20" t="n">
        <v>2431</v>
      </c>
      <c r="E76" s="20" t="n">
        <v>2665</v>
      </c>
      <c r="F76" s="20" t="n">
        <v>3295</v>
      </c>
      <c r="G76" s="20" t="n">
        <v>5279</v>
      </c>
      <c r="H76" s="20" t="n">
        <v>2232</v>
      </c>
      <c r="I76" s="20" t="n">
        <v>2753</v>
      </c>
      <c r="J76" s="20" t="n">
        <v>2050</v>
      </c>
      <c r="K76" s="20" t="n">
        <v>2015</v>
      </c>
      <c r="L76" s="20" t="n">
        <v>3295</v>
      </c>
    </row>
    <row r="77">
      <c r="A77" s="18" t="inlineStr">
        <is>
          <t>미수 소비세</t>
        </is>
      </c>
      <c r="C77" s="20" t="n">
        <v>278</v>
      </c>
      <c r="D77" s="20" t="n">
        <v>559</v>
      </c>
      <c r="E77" s="20" t="n">
        <v>909</v>
      </c>
      <c r="F77" s="20" t="n">
        <v>1294</v>
      </c>
      <c r="G77" s="20" t="n">
        <v>1834</v>
      </c>
      <c r="H77" s="20" t="n">
        <v>807</v>
      </c>
      <c r="I77" s="20" t="n">
        <v>1067</v>
      </c>
      <c r="J77" s="20" t="n">
        <v>965</v>
      </c>
      <c r="K77" s="20" t="n">
        <v>815</v>
      </c>
      <c r="L77" s="20" t="n">
        <v>1294</v>
      </c>
    </row>
    <row r="78">
      <c r="A78" s="18" t="inlineStr">
        <is>
          <t>미수 환급법인세</t>
        </is>
      </c>
      <c r="C78" s="20" t="n">
        <v>180</v>
      </c>
      <c r="D78" s="20" t="n">
        <v>207</v>
      </c>
      <c r="E78" s="20" t="n">
        <v>328</v>
      </c>
      <c r="F78" s="20" t="n">
        <v>482</v>
      </c>
      <c r="G78" s="20" t="n">
        <v>522</v>
      </c>
      <c r="H78" s="20" t="n">
        <v>88</v>
      </c>
      <c r="I78" s="20" t="n">
        <v>79</v>
      </c>
      <c r="J78" s="20" t="n">
        <v>201</v>
      </c>
      <c r="K78" s="20" t="n">
        <v>158</v>
      </c>
      <c r="L78" s="20" t="n">
        <v>482</v>
      </c>
    </row>
    <row r="79">
      <c r="A79" s="18" t="inlineStr">
        <is>
          <t>기타</t>
        </is>
      </c>
      <c r="C79" s="20" t="n">
        <v>948</v>
      </c>
      <c r="D79" s="20" t="n">
        <v>944</v>
      </c>
      <c r="E79" s="20" t="n">
        <v>1019</v>
      </c>
      <c r="F79" s="20" t="n">
        <v>1140</v>
      </c>
      <c r="G79" s="20" t="n">
        <v>1286</v>
      </c>
      <c r="H79" s="20" t="n">
        <v>697</v>
      </c>
      <c r="I79" s="20" t="n">
        <v>995</v>
      </c>
      <c r="J79" s="20" t="n">
        <v>903</v>
      </c>
      <c r="K79" s="20" t="n">
        <v>809</v>
      </c>
      <c r="L79" s="20" t="n">
        <v>1140</v>
      </c>
    </row>
    <row r="80">
      <c r="A80" s="18" t="inlineStr">
        <is>
          <t>대손충당금</t>
        </is>
      </c>
      <c r="C80" s="20" t="n">
        <v>-12</v>
      </c>
      <c r="D80" s="20" t="n">
        <v>-17</v>
      </c>
      <c r="E80" s="20" t="n">
        <v>-15</v>
      </c>
      <c r="F80" s="20" t="n">
        <v>-14</v>
      </c>
      <c r="G80" s="20" t="n">
        <v>-15</v>
      </c>
      <c r="H80" s="20" t="n">
        <v>-20</v>
      </c>
      <c r="I80" s="20" t="n">
        <v>-24</v>
      </c>
      <c r="J80" s="20" t="n">
        <v>-9</v>
      </c>
      <c r="K80" s="20" t="n">
        <v>-11</v>
      </c>
      <c r="L80" s="20" t="n">
        <v>-14</v>
      </c>
    </row>
    <row r="81">
      <c r="A81" s="9" t="inlineStr">
        <is>
          <t>유동자산 합계</t>
        </is>
      </c>
      <c r="C81" s="12" t="n">
        <v>37708</v>
      </c>
      <c r="D81" s="12" t="n">
        <v>40142</v>
      </c>
      <c r="E81" s="12" t="n">
        <v>38418</v>
      </c>
      <c r="F81" s="12" t="n">
        <v>40578</v>
      </c>
      <c r="G81" s="12" t="n">
        <v>38247</v>
      </c>
      <c r="H81" s="12" t="n">
        <v>29558</v>
      </c>
      <c r="I81" s="12" t="n">
        <v>37438</v>
      </c>
      <c r="J81" s="12" t="n">
        <v>40427</v>
      </c>
      <c r="K81" s="12" t="n">
        <v>38695</v>
      </c>
      <c r="L81" s="12" t="n">
        <v>40578</v>
      </c>
    </row>
    <row r="82">
      <c r="A82" s="18" t="inlineStr">
        <is>
          <t>건물·구축물(순액)</t>
        </is>
      </c>
      <c r="C82" s="20" t="n">
        <v>4174</v>
      </c>
      <c r="D82" s="20" t="n">
        <v>4130</v>
      </c>
      <c r="E82" s="20" t="n">
        <v>4140</v>
      </c>
      <c r="F82" s="20" t="n">
        <v>4047</v>
      </c>
      <c r="G82" s="20" t="n">
        <v>3871</v>
      </c>
      <c r="H82" s="20" t="n">
        <v>3051</v>
      </c>
      <c r="I82" s="20" t="n">
        <v>3448</v>
      </c>
      <c r="J82" s="20" t="n">
        <v>4150</v>
      </c>
      <c r="K82" s="20" t="n">
        <v>3904</v>
      </c>
      <c r="L82" s="20" t="n">
        <v>4047</v>
      </c>
    </row>
    <row r="83">
      <c r="A83" s="18" t="inlineStr">
        <is>
          <t>기계장치·운반구(순액)</t>
        </is>
      </c>
      <c r="C83" s="20" t="n">
        <v>2682</v>
      </c>
      <c r="D83" s="20" t="n">
        <v>2554</v>
      </c>
      <c r="E83" s="20" t="n">
        <v>2491</v>
      </c>
      <c r="F83" s="20" t="n">
        <v>2381</v>
      </c>
      <c r="G83" s="20" t="n">
        <v>2462</v>
      </c>
      <c r="H83" s="20" t="n">
        <v>1730</v>
      </c>
      <c r="I83" s="20" t="n">
        <v>2133</v>
      </c>
      <c r="J83" s="20" t="n">
        <v>2586</v>
      </c>
      <c r="K83" s="20" t="n">
        <v>2833</v>
      </c>
      <c r="L83" s="20" t="n">
        <v>2381</v>
      </c>
    </row>
    <row r="84">
      <c r="A84" s="18" t="inlineStr">
        <is>
          <t>공구·기구·비품(순액)</t>
        </is>
      </c>
      <c r="C84" s="20" t="n">
        <v>1245</v>
      </c>
      <c r="D84" s="20" t="n">
        <v>1259</v>
      </c>
      <c r="E84" s="20" t="n">
        <v>1224</v>
      </c>
      <c r="F84" s="20" t="n">
        <v>1317</v>
      </c>
      <c r="G84" s="20" t="n">
        <v>1367</v>
      </c>
      <c r="H84" s="20" t="n">
        <v>1158</v>
      </c>
      <c r="I84" s="20" t="n">
        <v>1162</v>
      </c>
      <c r="J84" s="20" t="n">
        <v>1335</v>
      </c>
      <c r="K84" s="20" t="n">
        <v>1266</v>
      </c>
      <c r="L84" s="20" t="n">
        <v>1317</v>
      </c>
    </row>
    <row r="85">
      <c r="A85" s="18" t="inlineStr">
        <is>
          <t>토지</t>
        </is>
      </c>
      <c r="C85" s="20" t="n">
        <v>6862</v>
      </c>
      <c r="D85" s="20" t="n">
        <v>6870</v>
      </c>
      <c r="E85" s="20" t="n">
        <v>6885</v>
      </c>
      <c r="F85" s="20" t="n">
        <v>6892</v>
      </c>
      <c r="G85" s="20" t="n">
        <v>6897</v>
      </c>
      <c r="H85" s="20" t="n">
        <v>6816</v>
      </c>
      <c r="I85" s="20" t="n">
        <v>6838</v>
      </c>
      <c r="J85" s="20" t="n">
        <v>6875</v>
      </c>
      <c r="K85" s="20" t="n">
        <v>6871</v>
      </c>
      <c r="L85" s="20" t="n">
        <v>6892</v>
      </c>
    </row>
    <row r="86">
      <c r="A86" s="18" t="inlineStr">
        <is>
          <t>사용권자산(순액)</t>
        </is>
      </c>
      <c r="H86" s="20" t="n">
        <v>840</v>
      </c>
    </row>
    <row r="87">
      <c r="A87" s="18" t="inlineStr">
        <is>
          <t>사용권자산(순액)</t>
        </is>
      </c>
      <c r="H87" s="20" t="n">
        <v>840</v>
      </c>
      <c r="I87" s="20" t="n">
        <v>1320</v>
      </c>
      <c r="J87" s="20" t="n">
        <v>1724</v>
      </c>
      <c r="K87" s="20" t="n">
        <v>1396</v>
      </c>
    </row>
    <row r="88">
      <c r="A88" s="18" t="inlineStr">
        <is>
          <t>사용권자산(순액)</t>
        </is>
      </c>
      <c r="C88" s="20" t="n">
        <v>1267</v>
      </c>
      <c r="D88" s="20" t="n">
        <v>1238</v>
      </c>
      <c r="E88" s="20" t="n">
        <v>1222</v>
      </c>
      <c r="I88" s="20" t="n">
        <v>1320</v>
      </c>
      <c r="J88" s="20" t="n">
        <v>1724</v>
      </c>
      <c r="K88" s="20" t="n">
        <v>1396</v>
      </c>
    </row>
    <row r="89">
      <c r="A89" s="18" t="inlineStr">
        <is>
          <t>사용권자산(순액)</t>
        </is>
      </c>
      <c r="F89" s="20" t="n">
        <v>1192</v>
      </c>
      <c r="G89" s="20" t="n">
        <v>1327</v>
      </c>
      <c r="K89" s="20" t="n">
        <v>1396</v>
      </c>
      <c r="L89" s="20" t="n">
        <v>1192</v>
      </c>
    </row>
    <row r="90">
      <c r="A90" s="18" t="inlineStr">
        <is>
          <t>건설중인자산</t>
        </is>
      </c>
      <c r="C90" s="20" t="n">
        <v>5076</v>
      </c>
      <c r="D90" s="20" t="n">
        <v>9207</v>
      </c>
      <c r="E90" s="20" t="n">
        <v>9250</v>
      </c>
      <c r="F90" s="20" t="n">
        <v>9252</v>
      </c>
      <c r="G90" s="20" t="n">
        <v>13788</v>
      </c>
      <c r="H90" s="20" t="n">
        <v>601</v>
      </c>
      <c r="I90" s="20" t="n">
        <v>364</v>
      </c>
      <c r="J90" s="20" t="n">
        <v>900</v>
      </c>
      <c r="K90" s="20" t="n">
        <v>5180</v>
      </c>
      <c r="L90" s="20" t="n">
        <v>9252</v>
      </c>
    </row>
    <row r="91">
      <c r="A91" s="18" t="inlineStr">
        <is>
          <t>유형자산 합계</t>
        </is>
      </c>
      <c r="C91" s="20" t="n">
        <v>21307</v>
      </c>
      <c r="D91" s="20" t="n">
        <v>25260</v>
      </c>
      <c r="E91" s="20" t="n">
        <v>25215</v>
      </c>
      <c r="F91" s="20" t="n">
        <v>25084</v>
      </c>
      <c r="G91" s="20" t="n">
        <v>29715</v>
      </c>
      <c r="H91" s="20" t="n">
        <v>14199</v>
      </c>
      <c r="I91" s="20" t="n">
        <v>15268</v>
      </c>
      <c r="J91" s="20" t="n">
        <v>17573</v>
      </c>
      <c r="K91" s="20" t="n">
        <v>21453</v>
      </c>
      <c r="L91" s="20" t="n">
        <v>25084</v>
      </c>
    </row>
    <row r="92">
      <c r="A92" s="18" t="inlineStr">
        <is>
          <t>소프트웨어</t>
        </is>
      </c>
      <c r="C92" s="20" t="n">
        <v>151</v>
      </c>
      <c r="D92" s="20" t="n">
        <v>296</v>
      </c>
      <c r="E92" s="20" t="n">
        <v>275</v>
      </c>
      <c r="F92" s="20" t="n">
        <v>276</v>
      </c>
      <c r="G92" s="20" t="n">
        <v>2269</v>
      </c>
      <c r="H92" s="20" t="n">
        <v>207</v>
      </c>
      <c r="I92" s="20" t="n">
        <v>142</v>
      </c>
      <c r="J92" s="20" t="n">
        <v>150</v>
      </c>
      <c r="K92" s="20" t="n">
        <v>152</v>
      </c>
      <c r="L92" s="20" t="n">
        <v>276</v>
      </c>
    </row>
    <row r="93">
      <c r="A93" s="18" t="inlineStr">
        <is>
          <t>영업권</t>
        </is>
      </c>
      <c r="H93" s="20" t="n">
        <v>0</v>
      </c>
    </row>
    <row r="94">
      <c r="A94" s="18" t="inlineStr">
        <is>
          <t>개발 중 소프트웨어</t>
        </is>
      </c>
      <c r="F94" s="20" t="n">
        <v>2104</v>
      </c>
      <c r="G94" s="20" t="n">
        <v>419</v>
      </c>
      <c r="K94" s="20" t="n">
        <v>522</v>
      </c>
      <c r="L94" s="20" t="n">
        <v>2104</v>
      </c>
    </row>
    <row r="95">
      <c r="A95" s="18" t="inlineStr">
        <is>
          <t>기타</t>
        </is>
      </c>
      <c r="C95" s="20" t="n">
        <v>821</v>
      </c>
      <c r="D95" s="20" t="n">
        <v>1191</v>
      </c>
      <c r="E95" s="20" t="n">
        <v>1444</v>
      </c>
      <c r="F95" s="20" t="n">
        <v>13</v>
      </c>
      <c r="G95" s="20" t="n">
        <v>11</v>
      </c>
      <c r="H95" s="20" t="n">
        <v>79</v>
      </c>
      <c r="I95" s="20" t="n">
        <v>77</v>
      </c>
      <c r="J95" s="20" t="n">
        <v>63</v>
      </c>
      <c r="K95" s="20" t="n">
        <v>23</v>
      </c>
      <c r="L95" s="20" t="n">
        <v>13</v>
      </c>
    </row>
    <row r="96">
      <c r="A96" s="18" t="inlineStr">
        <is>
          <t>무형자산 합계</t>
        </is>
      </c>
      <c r="C96" s="20" t="n">
        <v>972</v>
      </c>
      <c r="D96" s="20" t="n">
        <v>1487</v>
      </c>
      <c r="E96" s="20" t="n">
        <v>1720</v>
      </c>
      <c r="F96" s="20" t="n">
        <v>2394</v>
      </c>
      <c r="G96" s="20" t="n">
        <v>2700</v>
      </c>
      <c r="H96" s="20" t="n">
        <v>287</v>
      </c>
      <c r="I96" s="20" t="n">
        <v>220</v>
      </c>
      <c r="J96" s="20" t="n">
        <v>214</v>
      </c>
      <c r="K96" s="20" t="n">
        <v>698</v>
      </c>
      <c r="L96" s="20" t="n">
        <v>2394</v>
      </c>
    </row>
    <row r="97">
      <c r="A97" s="18" t="inlineStr">
        <is>
          <t>투자유가증권</t>
        </is>
      </c>
      <c r="F97" s="20" t="n">
        <v>1092</v>
      </c>
      <c r="H97" s="20" t="n">
        <v>2000</v>
      </c>
      <c r="I97" s="20" t="n">
        <v>433</v>
      </c>
      <c r="J97" s="20" t="n">
        <v>555</v>
      </c>
      <c r="K97" s="20" t="n">
        <v>746</v>
      </c>
      <c r="L97" s="20" t="n">
        <v>1092</v>
      </c>
    </row>
    <row r="98">
      <c r="A98" s="18" t="inlineStr">
        <is>
          <t>퇴직급여자산</t>
        </is>
      </c>
      <c r="F98" s="20" t="n">
        <v>478</v>
      </c>
      <c r="H98" s="20" t="n">
        <v>465</v>
      </c>
      <c r="I98" s="20" t="n">
        <v>468</v>
      </c>
      <c r="J98" s="20" t="n">
        <v>471</v>
      </c>
      <c r="K98" s="20" t="n">
        <v>474</v>
      </c>
      <c r="L98" s="20" t="n">
        <v>478</v>
      </c>
    </row>
    <row r="99">
      <c r="A99" s="18" t="inlineStr">
        <is>
          <t>이연법인세자산</t>
        </is>
      </c>
      <c r="F99" s="20" t="n">
        <v>985</v>
      </c>
      <c r="H99" s="20" t="n">
        <v>208</v>
      </c>
      <c r="I99" s="20" t="n">
        <v>284</v>
      </c>
      <c r="J99" s="20" t="n">
        <v>277</v>
      </c>
      <c r="K99" s="20" t="n">
        <v>193</v>
      </c>
      <c r="L99" s="20" t="n">
        <v>985</v>
      </c>
    </row>
    <row r="100">
      <c r="A100" s="18" t="inlineStr">
        <is>
          <t>기타</t>
        </is>
      </c>
      <c r="F100" s="20" t="n">
        <v>521</v>
      </c>
      <c r="H100" s="20" t="n">
        <v>363</v>
      </c>
      <c r="I100" s="20" t="n">
        <v>505</v>
      </c>
      <c r="J100" s="20" t="n">
        <v>528</v>
      </c>
      <c r="K100" s="20" t="n">
        <v>514</v>
      </c>
      <c r="L100" s="20" t="n">
        <v>521</v>
      </c>
    </row>
    <row r="101">
      <c r="A101" s="18" t="inlineStr">
        <is>
          <t>대손충당금</t>
        </is>
      </c>
      <c r="F101" s="20" t="n">
        <v>-85</v>
      </c>
      <c r="H101" s="20" t="n">
        <v>-21</v>
      </c>
      <c r="I101" s="20" t="n">
        <v>-21</v>
      </c>
      <c r="J101" s="20" t="n">
        <v>-21</v>
      </c>
      <c r="K101" s="20" t="n">
        <v>-0</v>
      </c>
      <c r="L101" s="20" t="n">
        <v>-85</v>
      </c>
    </row>
    <row r="102">
      <c r="A102" s="18" t="inlineStr">
        <is>
          <t>투자 및 기타자산 합계</t>
        </is>
      </c>
      <c r="D102" s="20" t="n">
        <v>2036</v>
      </c>
      <c r="E102" s="20" t="n">
        <v>2106</v>
      </c>
      <c r="F102" s="20" t="n">
        <v>2990</v>
      </c>
      <c r="H102" s="20" t="n">
        <v>3017</v>
      </c>
      <c r="I102" s="20" t="n">
        <v>1671</v>
      </c>
      <c r="J102" s="20" t="n">
        <v>1812</v>
      </c>
      <c r="K102" s="20" t="n">
        <v>1927</v>
      </c>
      <c r="L102" s="20" t="n">
        <v>2990</v>
      </c>
    </row>
    <row r="103">
      <c r="A103" s="18" t="inlineStr">
        <is>
          <t>투자 및 기타자산</t>
        </is>
      </c>
      <c r="C103" s="20" t="n">
        <v>1934</v>
      </c>
      <c r="F103" s="20" t="n">
        <v>2990</v>
      </c>
      <c r="G103" s="20" t="n">
        <v>3301</v>
      </c>
      <c r="I103" s="20" t="n">
        <v>1671</v>
      </c>
      <c r="J103" s="20" t="n">
        <v>1812</v>
      </c>
      <c r="K103" s="20" t="n">
        <v>1927</v>
      </c>
      <c r="L103" s="20" t="n">
        <v>2990</v>
      </c>
    </row>
    <row r="104">
      <c r="A104" s="9" t="inlineStr">
        <is>
          <t>비유동자산 합계</t>
        </is>
      </c>
      <c r="C104" s="12" t="n">
        <v>24215</v>
      </c>
      <c r="D104" s="12" t="n">
        <v>28784</v>
      </c>
      <c r="E104" s="12" t="n">
        <v>29042</v>
      </c>
      <c r="F104" s="12" t="n">
        <v>30469</v>
      </c>
      <c r="G104" s="12" t="n">
        <v>35718</v>
      </c>
      <c r="H104" s="12" t="n">
        <v>17503</v>
      </c>
      <c r="I104" s="12" t="n">
        <v>17161</v>
      </c>
      <c r="J104" s="12" t="n">
        <v>19601</v>
      </c>
      <c r="K104" s="12" t="n">
        <v>24079</v>
      </c>
      <c r="L104" s="12" t="n">
        <v>30469</v>
      </c>
    </row>
    <row r="105">
      <c r="A105" s="9" t="inlineStr">
        <is>
          <t>자산 합계</t>
        </is>
      </c>
      <c r="C105" s="12" t="n">
        <v>61923</v>
      </c>
      <c r="D105" s="12" t="n">
        <v>68926</v>
      </c>
      <c r="E105" s="12" t="n">
        <v>67460</v>
      </c>
      <c r="F105" s="12" t="n">
        <v>71047</v>
      </c>
      <c r="G105" s="12" t="n">
        <v>73966</v>
      </c>
      <c r="H105" s="12" t="n">
        <v>47061</v>
      </c>
      <c r="I105" s="12" t="n">
        <v>54599</v>
      </c>
      <c r="J105" s="12" t="n">
        <v>60028</v>
      </c>
      <c r="K105" s="12" t="n">
        <v>62775</v>
      </c>
      <c r="L105" s="12" t="n">
        <v>71047</v>
      </c>
    </row>
    <row r="106">
      <c r="A106" s="18" t="inlineStr">
        <is>
          <t>매입채무</t>
        </is>
      </c>
      <c r="C106" s="20" t="n">
        <v>1588</v>
      </c>
      <c r="D106" s="20" t="n">
        <v>1556</v>
      </c>
      <c r="E106" s="20" t="n">
        <v>1676</v>
      </c>
      <c r="F106" s="20" t="n">
        <v>1988</v>
      </c>
      <c r="G106" s="20" t="n">
        <v>2844</v>
      </c>
      <c r="H106" s="20" t="n">
        <v>1532</v>
      </c>
      <c r="I106" s="20" t="n">
        <v>1162</v>
      </c>
      <c r="J106" s="20" t="n">
        <v>1311</v>
      </c>
      <c r="K106" s="20" t="n">
        <v>1344</v>
      </c>
      <c r="L106" s="20" t="n">
        <v>1988</v>
      </c>
    </row>
    <row r="107">
      <c r="A107" s="18" t="inlineStr">
        <is>
          <t>단기차입금</t>
        </is>
      </c>
      <c r="H107" s="20" t="n">
        <v>0</v>
      </c>
    </row>
    <row r="108">
      <c r="A108" s="18" t="inlineStr">
        <is>
          <t>리스부채</t>
        </is>
      </c>
      <c r="C108" s="20" t="n">
        <v>330</v>
      </c>
      <c r="D108" s="20" t="n">
        <v>304</v>
      </c>
      <c r="E108" s="20" t="n">
        <v>308</v>
      </c>
      <c r="F108" s="20" t="n">
        <v>238</v>
      </c>
      <c r="G108" s="20" t="n">
        <v>235</v>
      </c>
      <c r="H108" s="20" t="n">
        <v>187</v>
      </c>
      <c r="I108" s="20" t="n">
        <v>290</v>
      </c>
      <c r="J108" s="20" t="n">
        <v>352</v>
      </c>
      <c r="K108" s="20" t="n">
        <v>354</v>
      </c>
      <c r="L108" s="20" t="n">
        <v>238</v>
      </c>
    </row>
    <row r="109">
      <c r="A109" s="18" t="inlineStr">
        <is>
          <t>미지급금</t>
        </is>
      </c>
      <c r="C109" s="20" t="n">
        <v>991</v>
      </c>
      <c r="D109" s="20" t="n">
        <v>5165</v>
      </c>
      <c r="E109" s="20" t="n">
        <v>806</v>
      </c>
      <c r="F109" s="20" t="n">
        <v>1246</v>
      </c>
      <c r="G109" s="20" t="n">
        <v>1207</v>
      </c>
      <c r="H109" s="20" t="n">
        <v>566</v>
      </c>
      <c r="I109" s="20" t="n">
        <v>1268</v>
      </c>
      <c r="J109" s="20" t="n">
        <v>1165</v>
      </c>
      <c r="K109" s="20" t="n">
        <v>1039</v>
      </c>
      <c r="L109" s="20" t="n">
        <v>1246</v>
      </c>
    </row>
    <row r="110">
      <c r="A110" s="18" t="inlineStr">
        <is>
          <t>미지급비용</t>
        </is>
      </c>
      <c r="C110" s="20" t="n">
        <v>801</v>
      </c>
      <c r="D110" s="20" t="n">
        <v>837</v>
      </c>
      <c r="E110" s="20" t="n">
        <v>599</v>
      </c>
      <c r="F110" s="20" t="n">
        <v>687</v>
      </c>
      <c r="G110" s="20" t="n">
        <v>619</v>
      </c>
      <c r="H110" s="20" t="n">
        <v>590</v>
      </c>
      <c r="I110" s="20" t="n">
        <v>635</v>
      </c>
      <c r="J110" s="20" t="n">
        <v>622</v>
      </c>
      <c r="K110" s="20" t="n">
        <v>619</v>
      </c>
      <c r="L110" s="20" t="n">
        <v>687</v>
      </c>
    </row>
    <row r="111">
      <c r="A111" s="18" t="inlineStr">
        <is>
          <t>미지급법인세</t>
        </is>
      </c>
      <c r="C111" s="20" t="n">
        <v>448</v>
      </c>
      <c r="D111" s="20" t="n">
        <v>647</v>
      </c>
      <c r="E111" s="20" t="n">
        <v>806</v>
      </c>
      <c r="F111" s="20" t="n">
        <v>1017</v>
      </c>
      <c r="G111" s="20" t="n">
        <v>1237</v>
      </c>
      <c r="H111" s="20" t="n">
        <v>560</v>
      </c>
      <c r="I111" s="20" t="n">
        <v>1166</v>
      </c>
      <c r="J111" s="20" t="n">
        <v>844</v>
      </c>
      <c r="K111" s="20" t="n">
        <v>458</v>
      </c>
      <c r="L111" s="20" t="n">
        <v>1017</v>
      </c>
    </row>
    <row r="112">
      <c r="A112" s="18" t="inlineStr">
        <is>
          <t>계약부채</t>
        </is>
      </c>
      <c r="C112" s="20" t="n">
        <v>187</v>
      </c>
      <c r="D112" s="20" t="n">
        <v>165</v>
      </c>
      <c r="E112" s="20" t="n">
        <v>170</v>
      </c>
      <c r="F112" s="20" t="n">
        <v>152</v>
      </c>
      <c r="G112" s="20" t="n">
        <v>179</v>
      </c>
      <c r="H112" s="20" t="n">
        <v>169</v>
      </c>
      <c r="I112" s="20" t="n">
        <v>151</v>
      </c>
      <c r="J112" s="20" t="n">
        <v>156</v>
      </c>
      <c r="K112" s="20" t="n">
        <v>152</v>
      </c>
      <c r="L112" s="20" t="n">
        <v>152</v>
      </c>
    </row>
    <row r="113">
      <c r="A113" s="18" t="inlineStr">
        <is>
          <t>상여충당금</t>
        </is>
      </c>
      <c r="C113" s="20" t="n">
        <v>423</v>
      </c>
      <c r="D113" s="20" t="n">
        <v>759</v>
      </c>
      <c r="E113" s="20" t="n">
        <v>560</v>
      </c>
      <c r="F113" s="20" t="n">
        <v>932</v>
      </c>
      <c r="G113" s="20" t="n">
        <v>504</v>
      </c>
      <c r="H113" s="20" t="n">
        <v>580</v>
      </c>
      <c r="I113" s="20" t="n">
        <v>828</v>
      </c>
      <c r="J113" s="20" t="n">
        <v>740</v>
      </c>
      <c r="K113" s="20" t="n">
        <v>744</v>
      </c>
      <c r="L113" s="20" t="n">
        <v>932</v>
      </c>
    </row>
    <row r="114">
      <c r="A114" s="18" t="inlineStr">
        <is>
          <t>Provision For Loss On Sublease CL</t>
        </is>
      </c>
      <c r="C114" s="20" t="n">
        <v>27</v>
      </c>
      <c r="D114" s="20" t="n">
        <v>21</v>
      </c>
      <c r="E114" s="20" t="n">
        <v>15</v>
      </c>
      <c r="F114" s="20" t="n">
        <v>7</v>
      </c>
      <c r="G114" s="20" t="n">
        <v>0</v>
      </c>
      <c r="H114" s="20" t="n">
        <v>20</v>
      </c>
      <c r="I114" s="20" t="n">
        <v>25</v>
      </c>
      <c r="J114" s="20" t="n">
        <v>29</v>
      </c>
      <c r="K114" s="20" t="n">
        <v>28</v>
      </c>
      <c r="L114" s="20" t="n">
        <v>7</v>
      </c>
    </row>
    <row r="115">
      <c r="A115" s="18" t="inlineStr">
        <is>
          <t>임원 상여충당금</t>
        </is>
      </c>
      <c r="C115" s="20" t="n">
        <v>17</v>
      </c>
      <c r="D115" s="20" t="n">
        <v>43</v>
      </c>
      <c r="E115" s="20" t="n">
        <v>65</v>
      </c>
      <c r="F115" s="20" t="n">
        <v>95</v>
      </c>
      <c r="G115" s="20" t="n">
        <v>17</v>
      </c>
      <c r="H115" s="20" t="n">
        <v>54</v>
      </c>
      <c r="I115" s="20" t="n">
        <v>68</v>
      </c>
      <c r="J115" s="20" t="n">
        <v>88</v>
      </c>
      <c r="K115" s="20" t="n">
        <v>118</v>
      </c>
      <c r="L115" s="20" t="n">
        <v>95</v>
      </c>
    </row>
    <row r="116">
      <c r="A116" s="18" t="inlineStr">
        <is>
          <t>재해손실 충당금</t>
        </is>
      </c>
      <c r="I116" s="20" t="n">
        <v>0</v>
      </c>
    </row>
    <row r="117">
      <c r="A117" s="18" t="inlineStr">
        <is>
          <t>기타</t>
        </is>
      </c>
      <c r="C117" s="20" t="n">
        <v>675</v>
      </c>
      <c r="D117" s="20" t="n">
        <v>377</v>
      </c>
      <c r="E117" s="20" t="n">
        <v>555</v>
      </c>
      <c r="F117" s="20" t="n">
        <v>322</v>
      </c>
      <c r="G117" s="20" t="n">
        <v>664</v>
      </c>
      <c r="H117" s="20" t="n">
        <v>393</v>
      </c>
      <c r="I117" s="20" t="n">
        <v>319</v>
      </c>
      <c r="J117" s="20" t="n">
        <v>367</v>
      </c>
      <c r="K117" s="20" t="n">
        <v>306</v>
      </c>
      <c r="L117" s="20" t="n">
        <v>322</v>
      </c>
    </row>
    <row r="118">
      <c r="A118" s="9" t="inlineStr">
        <is>
          <t>유동부채 합계</t>
        </is>
      </c>
      <c r="C118" s="12" t="n">
        <v>5492</v>
      </c>
      <c r="D118" s="12" t="n">
        <v>9878</v>
      </c>
      <c r="E118" s="12" t="n">
        <v>5564</v>
      </c>
      <c r="F118" s="12" t="n">
        <v>6689</v>
      </c>
      <c r="G118" s="12" t="n">
        <v>7510</v>
      </c>
      <c r="H118" s="12" t="n">
        <v>4653</v>
      </c>
      <c r="I118" s="12" t="n">
        <v>5918</v>
      </c>
      <c r="J118" s="12" t="n">
        <v>5679</v>
      </c>
      <c r="K118" s="12" t="n">
        <v>5168</v>
      </c>
      <c r="L118" s="12" t="n">
        <v>6689</v>
      </c>
    </row>
    <row r="119">
      <c r="A119" s="18" t="inlineStr">
        <is>
          <t>리스부채</t>
        </is>
      </c>
      <c r="C119" s="20" t="n">
        <v>1006</v>
      </c>
      <c r="D119" s="20" t="n">
        <v>1028</v>
      </c>
      <c r="E119" s="20" t="n">
        <v>954</v>
      </c>
      <c r="F119" s="20" t="n">
        <v>1023</v>
      </c>
      <c r="G119" s="20" t="n">
        <v>1194</v>
      </c>
      <c r="H119" s="20" t="n">
        <v>642</v>
      </c>
      <c r="I119" s="20" t="n">
        <v>1054</v>
      </c>
      <c r="J119" s="20" t="n">
        <v>1373</v>
      </c>
      <c r="K119" s="20" t="n">
        <v>1084</v>
      </c>
      <c r="L119" s="20" t="n">
        <v>1023</v>
      </c>
    </row>
    <row r="120">
      <c r="A120" s="18" t="inlineStr">
        <is>
          <t>퇴직급여부채</t>
        </is>
      </c>
      <c r="C120" s="20" t="n">
        <v>105</v>
      </c>
      <c r="D120" s="20" t="n">
        <v>110</v>
      </c>
      <c r="E120" s="20" t="n">
        <v>121</v>
      </c>
      <c r="F120" s="20" t="n">
        <v>137</v>
      </c>
      <c r="G120" s="20" t="n">
        <v>142</v>
      </c>
      <c r="H120" s="20" t="n">
        <v>80</v>
      </c>
      <c r="I120" s="20" t="n">
        <v>83</v>
      </c>
      <c r="J120" s="20" t="n">
        <v>90</v>
      </c>
      <c r="K120" s="20" t="n">
        <v>112</v>
      </c>
      <c r="L120" s="20" t="n">
        <v>137</v>
      </c>
    </row>
    <row r="121">
      <c r="A121" s="18" t="inlineStr">
        <is>
          <t>이연법인세부채</t>
        </is>
      </c>
      <c r="C121" s="20" t="n">
        <v>24</v>
      </c>
      <c r="D121" s="20" t="n">
        <v>28</v>
      </c>
      <c r="E121" s="20" t="n">
        <v>106</v>
      </c>
      <c r="F121" s="20" t="n">
        <v>448</v>
      </c>
      <c r="G121" s="20" t="n">
        <v>464</v>
      </c>
      <c r="H121" s="20" t="n">
        <v>34</v>
      </c>
      <c r="I121" s="20" t="n">
        <v>27</v>
      </c>
      <c r="J121" s="20" t="n">
        <v>35</v>
      </c>
      <c r="K121" s="20" t="n">
        <v>35</v>
      </c>
      <c r="L121" s="20" t="n">
        <v>448</v>
      </c>
    </row>
    <row r="122">
      <c r="A122" s="18" t="inlineStr">
        <is>
          <t>Provision For Loss On Sublease NCL</t>
        </is>
      </c>
      <c r="C122" s="20" t="n">
        <v>0</v>
      </c>
      <c r="D122" s="20" t="n">
        <v>0</v>
      </c>
      <c r="E122" s="20" t="n">
        <v>0</v>
      </c>
      <c r="F122" s="20" t="n">
        <v>0</v>
      </c>
      <c r="H122" s="20" t="n">
        <v>76</v>
      </c>
      <c r="I122" s="20" t="n">
        <v>57</v>
      </c>
      <c r="J122" s="20" t="n">
        <v>36</v>
      </c>
      <c r="K122" s="20" t="n">
        <v>7</v>
      </c>
      <c r="L122" s="20" t="n">
        <v>0</v>
      </c>
    </row>
    <row r="123">
      <c r="A123" s="18" t="inlineStr">
        <is>
          <t>기타</t>
        </is>
      </c>
      <c r="C123" s="20" t="n">
        <v>130</v>
      </c>
      <c r="D123" s="20" t="n">
        <v>132</v>
      </c>
      <c r="E123" s="20" t="n">
        <v>137</v>
      </c>
      <c r="F123" s="20" t="n">
        <v>175</v>
      </c>
      <c r="G123" s="20" t="n">
        <v>188</v>
      </c>
      <c r="H123" s="20" t="n">
        <v>80</v>
      </c>
      <c r="I123" s="20" t="n">
        <v>150</v>
      </c>
      <c r="J123" s="20" t="n">
        <v>146</v>
      </c>
      <c r="K123" s="20" t="n">
        <v>151</v>
      </c>
      <c r="L123" s="20" t="n">
        <v>175</v>
      </c>
    </row>
    <row r="124">
      <c r="A124" s="9" t="inlineStr">
        <is>
          <t>비유동부채 합계</t>
        </is>
      </c>
      <c r="C124" s="12" t="n">
        <v>1266</v>
      </c>
      <c r="D124" s="12" t="n">
        <v>1299</v>
      </c>
      <c r="E124" s="12" t="n">
        <v>1320</v>
      </c>
      <c r="F124" s="12" t="n">
        <v>1785</v>
      </c>
      <c r="G124" s="12" t="n">
        <v>1990</v>
      </c>
      <c r="H124" s="12" t="n">
        <v>914</v>
      </c>
      <c r="I124" s="12" t="n">
        <v>1373</v>
      </c>
      <c r="J124" s="12" t="n">
        <v>1681</v>
      </c>
      <c r="K124" s="12" t="n">
        <v>1390</v>
      </c>
      <c r="L124" s="12" t="n">
        <v>1785</v>
      </c>
    </row>
    <row r="125">
      <c r="A125" s="9" t="inlineStr">
        <is>
          <t>부채 합계</t>
        </is>
      </c>
      <c r="C125" s="12" t="n">
        <v>6759</v>
      </c>
      <c r="D125" s="12" t="n">
        <v>11178</v>
      </c>
      <c r="E125" s="12" t="n">
        <v>6885</v>
      </c>
      <c r="F125" s="12" t="n">
        <v>8475</v>
      </c>
      <c r="G125" s="12" t="n">
        <v>9501</v>
      </c>
      <c r="H125" s="12" t="n">
        <v>5568</v>
      </c>
      <c r="I125" s="12" t="n">
        <v>7292</v>
      </c>
      <c r="J125" s="12" t="n">
        <v>7361</v>
      </c>
      <c r="K125" s="12" t="n">
        <v>6559</v>
      </c>
      <c r="L125" s="12" t="n">
        <v>8475</v>
      </c>
    </row>
    <row r="126">
      <c r="A126" s="18" t="inlineStr">
        <is>
          <t>자본금</t>
        </is>
      </c>
      <c r="C126" s="20" t="n">
        <v>8080</v>
      </c>
      <c r="D126" s="20" t="n">
        <v>8080</v>
      </c>
      <c r="E126" s="20" t="n">
        <v>8080</v>
      </c>
      <c r="F126" s="20" t="n">
        <v>8080</v>
      </c>
      <c r="G126" s="20" t="n">
        <v>8080</v>
      </c>
      <c r="H126" s="20" t="n">
        <v>8080</v>
      </c>
      <c r="I126" s="20" t="n">
        <v>8080</v>
      </c>
      <c r="J126" s="20" t="n">
        <v>8080</v>
      </c>
      <c r="K126" s="20" t="n">
        <v>8080</v>
      </c>
      <c r="L126" s="20" t="n">
        <v>8080</v>
      </c>
    </row>
    <row r="127">
      <c r="A127" s="18" t="inlineStr">
        <is>
          <t>자본잉여금</t>
        </is>
      </c>
      <c r="C127" s="20" t="n">
        <v>1924</v>
      </c>
      <c r="D127" s="20" t="n">
        <v>1943</v>
      </c>
      <c r="E127" s="20" t="n">
        <v>1999</v>
      </c>
      <c r="F127" s="20" t="n">
        <v>2022</v>
      </c>
      <c r="G127" s="20" t="n">
        <v>2026</v>
      </c>
      <c r="H127" s="20" t="n">
        <v>2008</v>
      </c>
      <c r="I127" s="20" t="n">
        <v>1998</v>
      </c>
      <c r="J127" s="20" t="n">
        <v>2013</v>
      </c>
      <c r="K127" s="20" t="n">
        <v>2042</v>
      </c>
      <c r="L127" s="20" t="n">
        <v>2022</v>
      </c>
    </row>
    <row r="128">
      <c r="A128" s="18" t="inlineStr">
        <is>
          <t>이익잉여금</t>
        </is>
      </c>
      <c r="C128" s="20" t="n">
        <v>42519</v>
      </c>
      <c r="D128" s="20" t="n">
        <v>44404</v>
      </c>
      <c r="E128" s="20" t="n">
        <v>45634</v>
      </c>
      <c r="F128" s="20" t="n">
        <v>46991</v>
      </c>
      <c r="G128" s="20" t="n">
        <v>48367</v>
      </c>
      <c r="H128" s="20" t="n">
        <v>44636</v>
      </c>
      <c r="I128" s="20" t="n">
        <v>36182</v>
      </c>
      <c r="J128" s="20" t="n">
        <v>39096</v>
      </c>
      <c r="K128" s="20" t="n">
        <v>42510</v>
      </c>
      <c r="L128" s="20" t="n">
        <v>46991</v>
      </c>
    </row>
    <row r="129">
      <c r="A129" s="18" t="inlineStr">
        <is>
          <t>자기주식</t>
        </is>
      </c>
      <c r="C129" s="20" t="n">
        <v>-3234</v>
      </c>
      <c r="D129" s="20" t="n">
        <v>-3106</v>
      </c>
      <c r="E129" s="20" t="n">
        <v>-2696</v>
      </c>
      <c r="F129" s="20" t="n">
        <v>-2526</v>
      </c>
      <c r="G129" s="20" t="n">
        <v>-2496</v>
      </c>
      <c r="H129" s="20" t="n">
        <v>-15897</v>
      </c>
      <c r="I129" s="20" t="n">
        <v>-3276</v>
      </c>
      <c r="J129" s="20" t="n">
        <v>-3257</v>
      </c>
      <c r="K129" s="20" t="n">
        <v>-3233</v>
      </c>
      <c r="L129" s="20" t="n">
        <v>-2526</v>
      </c>
    </row>
    <row r="130">
      <c r="A130" s="9" t="inlineStr">
        <is>
          <t>주주자본 합계</t>
        </is>
      </c>
      <c r="C130" s="12" t="n">
        <v>49290</v>
      </c>
      <c r="D130" s="12" t="n">
        <v>51321</v>
      </c>
      <c r="E130" s="12" t="n">
        <v>53017</v>
      </c>
      <c r="F130" s="12" t="n">
        <v>54568</v>
      </c>
      <c r="G130" s="12" t="n">
        <v>55978</v>
      </c>
      <c r="H130" s="12" t="n">
        <v>38828</v>
      </c>
      <c r="I130" s="12" t="n">
        <v>42984</v>
      </c>
      <c r="J130" s="12" t="n">
        <v>45933</v>
      </c>
      <c r="K130" s="12" t="n">
        <v>49399</v>
      </c>
      <c r="L130" s="12" t="n">
        <v>54568</v>
      </c>
    </row>
    <row r="131">
      <c r="A131" s="18" t="inlineStr">
        <is>
          <t>기타유가증권 평가차액</t>
        </is>
      </c>
      <c r="C131" s="20" t="n">
        <v>407</v>
      </c>
      <c r="D131" s="20" t="n">
        <v>521</v>
      </c>
      <c r="E131" s="20" t="n">
        <v>593</v>
      </c>
      <c r="F131" s="20" t="n">
        <v>647</v>
      </c>
      <c r="G131" s="20" t="n">
        <v>843</v>
      </c>
      <c r="H131" s="20" t="n">
        <v>-24</v>
      </c>
      <c r="I131" s="20" t="n">
        <v>103</v>
      </c>
      <c r="J131" s="20" t="n">
        <v>286</v>
      </c>
      <c r="K131" s="20" t="n">
        <v>410</v>
      </c>
      <c r="L131" s="20" t="n">
        <v>647</v>
      </c>
    </row>
    <row r="132">
      <c r="A132" s="18" t="inlineStr">
        <is>
          <t>해외사업환산조정</t>
        </is>
      </c>
      <c r="C132" s="20" t="n">
        <v>5170</v>
      </c>
      <c r="D132" s="20" t="n">
        <v>5616</v>
      </c>
      <c r="E132" s="20" t="n">
        <v>6733</v>
      </c>
      <c r="F132" s="20" t="n">
        <v>7152</v>
      </c>
      <c r="G132" s="20" t="n">
        <v>7490</v>
      </c>
      <c r="H132" s="20" t="n">
        <v>2164</v>
      </c>
      <c r="I132" s="20" t="n">
        <v>3460</v>
      </c>
      <c r="J132" s="20" t="n">
        <v>5599</v>
      </c>
      <c r="K132" s="20" t="n">
        <v>5460</v>
      </c>
      <c r="L132" s="20" t="n">
        <v>7152</v>
      </c>
    </row>
    <row r="133">
      <c r="A133" s="18" t="inlineStr">
        <is>
          <t>퇴직급여 조정누계액</t>
        </is>
      </c>
      <c r="H133" s="20" t="n">
        <v>0</v>
      </c>
    </row>
    <row r="134">
      <c r="A134" s="18" t="inlineStr">
        <is>
          <t>기타포괄손익누계액 합계</t>
        </is>
      </c>
      <c r="C134" s="20" t="n">
        <v>5578</v>
      </c>
      <c r="D134" s="20" t="n">
        <v>6138</v>
      </c>
      <c r="E134" s="20" t="n">
        <v>7326</v>
      </c>
      <c r="F134" s="20" t="n">
        <v>7799</v>
      </c>
      <c r="G134" s="20" t="n">
        <v>8333</v>
      </c>
      <c r="H134" s="20" t="n">
        <v>2139</v>
      </c>
      <c r="I134" s="20" t="n">
        <v>3563</v>
      </c>
      <c r="J134" s="20" t="n">
        <v>5886</v>
      </c>
      <c r="K134" s="20" t="n">
        <v>5870</v>
      </c>
      <c r="L134" s="20" t="n">
        <v>7799</v>
      </c>
    </row>
    <row r="135">
      <c r="A135" s="18" t="inlineStr">
        <is>
          <t>신주예약권</t>
        </is>
      </c>
      <c r="C135" s="20" t="n">
        <v>195</v>
      </c>
      <c r="D135" s="20" t="n">
        <v>173</v>
      </c>
      <c r="E135" s="20" t="n">
        <v>88</v>
      </c>
      <c r="F135" s="20" t="n">
        <v>53</v>
      </c>
      <c r="G135" s="20" t="n">
        <v>47</v>
      </c>
      <c r="H135" s="20" t="n">
        <v>0</v>
      </c>
      <c r="I135" s="20" t="n">
        <v>53</v>
      </c>
      <c r="J135" s="20" t="n">
        <v>120</v>
      </c>
      <c r="K135" s="20" t="n">
        <v>179</v>
      </c>
      <c r="L135" s="20" t="n">
        <v>53</v>
      </c>
    </row>
    <row r="136">
      <c r="A136" s="18" t="inlineStr">
        <is>
          <t>비지배지분</t>
        </is>
      </c>
      <c r="C136" s="20" t="n">
        <v>99</v>
      </c>
      <c r="D136" s="20" t="n">
        <v>115</v>
      </c>
      <c r="E136" s="20" t="n">
        <v>142</v>
      </c>
      <c r="F136" s="20" t="n">
        <v>150</v>
      </c>
      <c r="G136" s="20" t="n">
        <v>105</v>
      </c>
      <c r="H136" s="20" t="n">
        <v>525</v>
      </c>
      <c r="I136" s="20" t="n">
        <v>705</v>
      </c>
      <c r="J136" s="20" t="n">
        <v>727</v>
      </c>
      <c r="K136" s="20" t="n">
        <v>766</v>
      </c>
      <c r="L136" s="20" t="n">
        <v>150</v>
      </c>
    </row>
    <row r="137">
      <c r="A137" s="9" t="inlineStr">
        <is>
          <t>순자산 합계</t>
        </is>
      </c>
      <c r="C137" s="12" t="n">
        <v>55164</v>
      </c>
      <c r="D137" s="12" t="n">
        <v>57748</v>
      </c>
      <c r="E137" s="12" t="n">
        <v>60575</v>
      </c>
      <c r="F137" s="12" t="n">
        <v>62571</v>
      </c>
      <c r="G137" s="12" t="n">
        <v>64465</v>
      </c>
      <c r="H137" s="12" t="n">
        <v>41493</v>
      </c>
      <c r="I137" s="12" t="n">
        <v>47307</v>
      </c>
      <c r="J137" s="12" t="n">
        <v>52667</v>
      </c>
      <c r="K137" s="12" t="n">
        <v>56216</v>
      </c>
      <c r="L137" s="12" t="n">
        <v>62571</v>
      </c>
    </row>
    <row r="138">
      <c r="A138" s="9" t="inlineStr">
        <is>
          <t>부채·순자산 합계</t>
        </is>
      </c>
      <c r="C138" s="12" t="n">
        <v>61923</v>
      </c>
      <c r="D138" s="12" t="n">
        <v>68926</v>
      </c>
      <c r="E138" s="12" t="n">
        <v>67460</v>
      </c>
      <c r="F138" s="12" t="n">
        <v>71047</v>
      </c>
      <c r="G138" s="12" t="n">
        <v>73966</v>
      </c>
      <c r="H138" s="12" t="n">
        <v>47061</v>
      </c>
      <c r="I138" s="12" t="n">
        <v>54599</v>
      </c>
      <c r="J138" s="12" t="n">
        <v>60028</v>
      </c>
      <c r="K138" s="12" t="n">
        <v>62775</v>
      </c>
      <c r="L138" s="12" t="n">
        <v>71047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49" t="inlineStr">
        <is>
          <t>출처 · 쓴 결산단신</t>
        </is>
      </c>
    </row>
    <row r="3">
      <c r="A3" s="50" t="inlineStr">
        <is>
          <t>공시일</t>
        </is>
      </c>
      <c r="B3" s="50" t="inlineStr">
        <is>
          <t>문서</t>
        </is>
      </c>
      <c r="C3" s="50" t="inlineStr">
        <is>
          <t>PDF</t>
        </is>
      </c>
    </row>
    <row r="4">
      <c r="A4" t="inlineStr">
        <is>
          <t>2026-07-29</t>
        </is>
      </c>
      <c r="B4" t="inlineStr">
        <is>
          <t>2027년 3월 결산기 １분기 결산단신</t>
        </is>
      </c>
      <c r="C4" t="inlineStr">
        <is>
          <t>https://www2.jpx.co.jp/disc/69610/140120260729501621.pdf</t>
        </is>
      </c>
    </row>
    <row r="5">
      <c r="A5" t="inlineStr">
        <is>
          <t>2026-04-30</t>
        </is>
      </c>
      <c r="B5" t="inlineStr">
        <is>
          <t>2026년 3월 결산기 연간 결산단신</t>
        </is>
      </c>
      <c r="C5" t="inlineStr">
        <is>
          <t>https://www2.jpx.co.jp/disc/69610/140120260430514859.pdf</t>
        </is>
      </c>
    </row>
    <row r="6">
      <c r="A6" t="inlineStr">
        <is>
          <t>2026-01-30</t>
        </is>
      </c>
      <c r="B6" t="inlineStr">
        <is>
          <t>2026년 3월 결산기 3분기 결산단신</t>
        </is>
      </c>
      <c r="C6" t="inlineStr">
        <is>
          <t>https://www2.jpx.co.jp/disc/69610/140120260130543309.pdf</t>
        </is>
      </c>
    </row>
    <row r="7">
      <c r="A7" t="inlineStr">
        <is>
          <t>2025-10-31</t>
        </is>
      </c>
      <c r="B7" t="inlineStr">
        <is>
          <t>2026년 3월 결산기 ２분기 결산단신</t>
        </is>
      </c>
      <c r="C7" t="inlineStr">
        <is>
          <t>https://www2.jpx.co.jp/disc/69610/140120251031583940.pdf</t>
        </is>
      </c>
    </row>
    <row r="8">
      <c r="A8" t="inlineStr">
        <is>
          <t>2025-07-28</t>
        </is>
      </c>
      <c r="B8" t="inlineStr">
        <is>
          <t>2026년 3월 결산기 １분기 결산단신</t>
        </is>
      </c>
      <c r="C8" t="inlineStr">
        <is>
          <t>https://www2.jpx.co.jp/disc/69610/140120250728521268.pdf</t>
        </is>
      </c>
    </row>
    <row r="9">
      <c r="A9" t="inlineStr">
        <is>
          <t>2025-04-30</t>
        </is>
      </c>
      <c r="B9" t="inlineStr">
        <is>
          <t>2025년 3월 결산기 연간 결산단신</t>
        </is>
      </c>
      <c r="C9" t="inlineStr">
        <is>
          <t>https://www2.jpx.co.jp/disc/69610/140120250430527201.pdf</t>
        </is>
      </c>
    </row>
    <row r="10">
      <c r="A10" t="inlineStr">
        <is>
          <t>2025-01-31</t>
        </is>
      </c>
      <c r="B10" t="inlineStr">
        <is>
          <t>2025년 3월 결산기 ３분기 결산단신</t>
        </is>
      </c>
      <c r="C10" t="inlineStr">
        <is>
          <t>https://www2.jpx.co.jp/disc/69610/140120250131559199.pdf</t>
        </is>
      </c>
    </row>
    <row r="11">
      <c r="A11" t="inlineStr">
        <is>
          <t>2024-10-31</t>
        </is>
      </c>
      <c r="B11" t="inlineStr">
        <is>
          <t>2025년 3월 결산기 ２분기 결산단신</t>
        </is>
      </c>
      <c r="C11" t="inlineStr">
        <is>
          <t>https://www2.jpx.co.jp/disc/69610/140120241030505950.pdf</t>
        </is>
      </c>
    </row>
    <row r="12">
      <c r="A12" t="inlineStr">
        <is>
          <t>2024-07-31</t>
        </is>
      </c>
      <c r="B12" t="inlineStr">
        <is>
          <t>2025년 3월 결산기 1분기 결산단신</t>
        </is>
      </c>
      <c r="C12" t="inlineStr">
        <is>
          <t>https://www2.jpx.co.jp/disc/69610/140120240730557345.pdf</t>
        </is>
      </c>
    </row>
    <row r="13">
      <c r="A13" t="inlineStr">
        <is>
          <t>2024-04-30</t>
        </is>
      </c>
      <c r="B13" t="inlineStr">
        <is>
          <t>2024년 3월 결산기 연간 결산단신</t>
        </is>
      </c>
      <c r="C13" t="inlineStr">
        <is>
          <t>https://www2.jpx.co.jp/disc/69610/140120240430579325.pdf</t>
        </is>
      </c>
    </row>
    <row r="14">
      <c r="A14" t="inlineStr">
        <is>
          <t>2024-01-31</t>
        </is>
      </c>
      <c r="B14" t="inlineStr">
        <is>
          <t>2024년 3월 결산기 ３분기 결산단신</t>
        </is>
      </c>
      <c r="C14" t="inlineStr">
        <is>
          <t>https://www2.jpx.co.jp/disc/69610/140120240130522334.pdf</t>
        </is>
      </c>
    </row>
    <row r="15">
      <c r="A15" t="inlineStr">
        <is>
          <t>2023-10-27</t>
        </is>
      </c>
      <c r="B15" t="inlineStr">
        <is>
          <t>2024년 3월 결산기 ２분기 결산단신</t>
        </is>
      </c>
      <c r="C15" t="inlineStr">
        <is>
          <t>https://www2.jpx.co.jp/disc/69610/140120231026572404.pdf</t>
        </is>
      </c>
    </row>
    <row r="16">
      <c r="A16" t="inlineStr">
        <is>
          <t>2023-07-28</t>
        </is>
      </c>
      <c r="B16" t="inlineStr">
        <is>
          <t>2024년 3월 결산기 １분기 결산단신</t>
        </is>
      </c>
      <c r="C16" t="inlineStr">
        <is>
          <t>https://www2.jpx.co.jp/disc/69610/140120230727528414.pdf</t>
        </is>
      </c>
    </row>
    <row r="17">
      <c r="A17" t="inlineStr">
        <is>
          <t>2023-04-28</t>
        </is>
      </c>
      <c r="B17" t="inlineStr">
        <is>
          <t>2023년 3월 결산기 연간 결산단신</t>
        </is>
      </c>
      <c r="C17" t="inlineStr">
        <is>
          <t>https://www2.jpx.co.jp/disc/69610/140120230428555846.pdf</t>
        </is>
      </c>
    </row>
    <row r="18">
      <c r="A18" t="inlineStr">
        <is>
          <t>2023-01-31</t>
        </is>
      </c>
      <c r="B18" t="inlineStr">
        <is>
          <t>2023년 3월 결산기 ３분기 결산단신</t>
        </is>
      </c>
      <c r="C18" t="inlineStr">
        <is>
          <t>https://www2.jpx.co.jp/disc/69610/140120230130596131.pdf</t>
        </is>
      </c>
    </row>
    <row r="19">
      <c r="A19" t="inlineStr">
        <is>
          <t>2022-10-28</t>
        </is>
      </c>
      <c r="B19" t="inlineStr">
        <is>
          <t>2023년 3월 결산기 2분기 결산단신</t>
        </is>
      </c>
      <c r="C19" t="inlineStr">
        <is>
          <t>https://www2.jpx.co.jp/disc/69610/140120221027551165.pdf</t>
        </is>
      </c>
    </row>
    <row r="20">
      <c r="A20" t="inlineStr">
        <is>
          <t>2022-04-28</t>
        </is>
      </c>
      <c r="B20" t="inlineStr">
        <is>
          <t>2022년 3월 결산기 연간 결산단신</t>
        </is>
      </c>
      <c r="C20" t="inlineStr">
        <is>
          <t>https://www2.jpx.co.jp/disc/69610/140120220428530805.pdf</t>
        </is>
      </c>
    </row>
    <row r="21">
      <c r="A21" t="inlineStr">
        <is>
          <t>2021-04-30</t>
        </is>
      </c>
      <c r="B21" t="inlineStr">
        <is>
          <t>2021년 3월 결산기 연간 결산단신</t>
        </is>
      </c>
      <c r="C21" t="inlineStr">
        <is>
          <t>https://www2.jpx.co.jp/disc/69610/140120210430404561.pdf</t>
        </is>
      </c>
    </row>
    <row r="22">
      <c r="A22" t="inlineStr">
        <is>
          <t>2020-05-07</t>
        </is>
      </c>
      <c r="B22" t="inlineStr">
        <is>
          <t>2020년 3월 결산기 연간 결산단신</t>
        </is>
      </c>
      <c r="C22" t="inlineStr">
        <is>
          <t>https://www2.jpx.co.jp/disc/69610/140120200507404881.pdf</t>
        </is>
      </c>
    </row>
    <row r="23">
      <c r="A23" t="inlineStr">
        <is>
          <t>2019-04-19</t>
        </is>
      </c>
      <c r="B23" t="inlineStr">
        <is>
          <t>2019년 3월 결산기 연간 결산단신</t>
        </is>
      </c>
      <c r="C23" t="inlineStr">
        <is>
          <t>https://www2.jpx.co.jp/disc/69610/140120190418406842.pdf</t>
        </is>
      </c>
    </row>
    <row r="24">
      <c r="A24" t="inlineStr">
        <is>
          <t>2018-04-20</t>
        </is>
      </c>
      <c r="B24" t="inlineStr">
        <is>
          <t>연간 결산단신</t>
        </is>
      </c>
      <c r="C24" t="inlineStr">
        <is>
          <t>https://www2.jpx.co.jp/disc/69610/140120180419415354.pdf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2026-10-25T16:15:22Z</dcterms:created>
  <dcterms:modified xmlns:dcterms="http://purl.org/dc/terms/" xmlns:xsi="http://www.w3.org/2001/XMLSchema-instance" xsi:type="dcterms:W3CDTF">2026-10-25T16:15:22Z</dcterms:modified>
</cp:coreProperties>
</file>