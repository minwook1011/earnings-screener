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1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6961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9485</v>
      </c>
      <c r="D4" s="12" t="n">
        <v>8754</v>
      </c>
      <c r="E4" s="12" t="n">
        <v>9851</v>
      </c>
      <c r="F4" s="12" t="n">
        <v>10601</v>
      </c>
      <c r="G4" s="12" t="n">
        <v>9099</v>
      </c>
      <c r="H4" s="12" t="n">
        <v>9105</v>
      </c>
      <c r="I4" s="12" t="n">
        <v>9264</v>
      </c>
      <c r="J4" s="12" t="n">
        <v>8999</v>
      </c>
      <c r="K4" s="12" t="n">
        <v>11902</v>
      </c>
      <c r="L4" s="12" t="n">
        <v>11473</v>
      </c>
      <c r="M4" s="12" t="n">
        <v>10166</v>
      </c>
      <c r="N4" s="12" t="n">
        <v>12572</v>
      </c>
      <c r="O4" s="11" t="n">
        <v>32991</v>
      </c>
      <c r="P4" s="12" t="n">
        <v>33288</v>
      </c>
      <c r="Q4" s="12" t="n">
        <v>31281</v>
      </c>
      <c r="R4" s="12" t="n">
        <v>31456</v>
      </c>
      <c r="S4" s="12" t="n">
        <v>29437</v>
      </c>
      <c r="T4" s="12" t="n">
        <v>32894</v>
      </c>
      <c r="U4" s="12" t="n">
        <v>42240</v>
      </c>
      <c r="V4" s="12" t="n">
        <v>37805</v>
      </c>
      <c r="W4" s="12" t="n">
        <v>38069</v>
      </c>
      <c r="X4" s="12" t="n">
        <v>42540</v>
      </c>
      <c r="Y4" s="11">
        <f>IF(COUNT(Y7,Y10,Y13,Y16,Y19,Y22,Y25,Y28)=0,"",SUM(Y7,Y10,Y13,Y16,Y19,Y22,Y25,Y28))</f>
        <v/>
      </c>
      <c r="Z4" s="12">
        <f>IF(COUNT(Z7,Z10,Z13,Z16,Z19,Z22,Z25,Z28)=0,"",SUM(Z7,Z10,Z13,Z16,Z19,Z22,Z25,Z28))</f>
        <v/>
      </c>
      <c r="AA4" s="12">
        <f>IF(COUNT(AA7,AA10,AA13,AA16,AA19,AA22,AA25,AA28)=0,"",SUM(AA7,AA10,AA13,AA16,AA19,AA22,AA25,AA28))</f>
        <v/>
      </c>
      <c r="AB4" s="12">
        <f>IF(COUNT(AB7,AB10,AB13,AB16,AB19,AB22,AB25,AB28)=0,"",SUM(AB7,AB10,AB13,AB16,AB19,AB22,AB25,AB28))</f>
        <v/>
      </c>
      <c r="AC4" s="12">
        <f>IF(COUNT(AC7,AC10,AC13,AC16,AC19,AC22,AC25,AC28)=0,"",SUM(AC7,AC10,AC13,AC16,AC19,AC22,AC25,AC28))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Semiconductor Business Reportable Segments</t>
        </is>
      </c>
      <c r="B7" s="10" t="n"/>
      <c r="C7" s="19" t="n">
        <v>4014</v>
      </c>
      <c r="D7" s="20" t="n">
        <v>3422</v>
      </c>
      <c r="E7" s="20" t="n"/>
      <c r="F7" s="20" t="n">
        <v>4570</v>
      </c>
      <c r="G7" s="20" t="n">
        <v>3686</v>
      </c>
      <c r="H7" s="20" t="n">
        <v>3730</v>
      </c>
      <c r="I7" s="20" t="n"/>
      <c r="J7" s="20" t="n">
        <v>4888</v>
      </c>
      <c r="K7" s="20" t="n">
        <v>5797</v>
      </c>
      <c r="L7" s="20" t="n">
        <v>7166</v>
      </c>
      <c r="M7" s="20" t="n"/>
      <c r="N7" s="20" t="n">
        <v>7878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Life Scinece Business Reportable Segments</t>
        </is>
      </c>
      <c r="B10" s="10" t="n"/>
      <c r="C10" s="19" t="n"/>
      <c r="D10" s="20" t="n"/>
      <c r="E10" s="20" t="n"/>
      <c r="F10" s="20" t="n">
        <v>766</v>
      </c>
      <c r="G10" s="20" t="n"/>
      <c r="H10" s="20" t="n"/>
      <c r="I10" s="20" t="n"/>
      <c r="J10" s="20" t="n">
        <v>516</v>
      </c>
      <c r="K10" s="20" t="n"/>
      <c r="L10" s="20" t="n"/>
      <c r="M10" s="20" t="n"/>
      <c r="N10" s="20" t="n">
        <v>276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Digital Communcation Business</t>
        </is>
      </c>
      <c r="B13" s="10" t="n"/>
      <c r="C13" s="19" t="n"/>
      <c r="D13" s="20" t="n"/>
      <c r="E13" s="20" t="n"/>
      <c r="F13" s="20" t="n">
        <v>1705</v>
      </c>
      <c r="G13" s="20" t="n"/>
      <c r="H13" s="20" t="n"/>
      <c r="I13" s="20" t="n"/>
      <c r="J13" s="20" t="n">
        <v>420</v>
      </c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Digital Communication Business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>
        <v>420</v>
      </c>
      <c r="K16" s="20" t="n"/>
      <c r="L16" s="20" t="n"/>
      <c r="M16" s="20" t="n"/>
      <c r="N16" s="20" t="n">
        <v>457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Energy Saving Solution Business Reportable Segments</t>
        </is>
      </c>
      <c r="B19" s="10" t="n"/>
      <c r="C19" s="19" t="n">
        <v>3290</v>
      </c>
      <c r="D19" s="20" t="n">
        <v>3313</v>
      </c>
      <c r="E19" s="20" t="n">
        <v>3530</v>
      </c>
      <c r="F19" s="20" t="n">
        <v>3558</v>
      </c>
      <c r="G19" s="20" t="n">
        <v>3437</v>
      </c>
      <c r="H19" s="20" t="n">
        <v>3604</v>
      </c>
      <c r="I19" s="20" t="n">
        <v>3399</v>
      </c>
      <c r="J19" s="20" t="n">
        <v>3173</v>
      </c>
      <c r="K19" s="20" t="n">
        <v>3635</v>
      </c>
      <c r="L19" s="20" t="n">
        <v>3661</v>
      </c>
      <c r="M19" s="20" t="n">
        <v>3732</v>
      </c>
      <c r="N19" s="20" t="n">
        <v>3959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13122</v>
      </c>
      <c r="W19" s="20" t="n">
        <v>13998</v>
      </c>
      <c r="X19" s="20" t="n">
        <v>14201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Semiconductor Peripherals Business Reportable Segments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>
        <v>16677</v>
      </c>
      <c r="W22" s="20" t="n">
        <v>16123</v>
      </c>
      <c r="X22" s="20" t="n">
        <v>23603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Life Science Business Reportable Segments</t>
        </is>
      </c>
      <c r="B25" s="10" t="n"/>
      <c r="C25" s="19" t="n"/>
      <c r="D25" s="20" t="n">
        <v>593</v>
      </c>
      <c r="E25" s="20" t="n">
        <v>515</v>
      </c>
      <c r="F25" s="20" t="n"/>
      <c r="G25" s="20" t="n"/>
      <c r="H25" s="20" t="n">
        <v>638</v>
      </c>
      <c r="I25" s="20" t="n">
        <v>945</v>
      </c>
      <c r="J25" s="20" t="n"/>
      <c r="K25" s="20" t="n"/>
      <c r="L25" s="20" t="n">
        <v>262</v>
      </c>
      <c r="M25" s="20" t="n">
        <v>201</v>
      </c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>
        <v>2368</v>
      </c>
      <c r="W25" s="20" t="n">
        <v>3054</v>
      </c>
      <c r="X25" s="20" t="n">
        <v>3083</v>
      </c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Digital Communication Business Reportable Segments</t>
        </is>
      </c>
      <c r="B28" s="10" t="n"/>
      <c r="C28" s="19" t="n"/>
      <c r="D28" s="20" t="n">
        <v>1425</v>
      </c>
      <c r="E28" s="20" t="n">
        <v>1239</v>
      </c>
      <c r="F28" s="20" t="n"/>
      <c r="G28" s="20" t="n"/>
      <c r="H28" s="20" t="n">
        <v>1131</v>
      </c>
      <c r="I28" s="20" t="n">
        <v>784</v>
      </c>
      <c r="J28" s="20" t="n"/>
      <c r="K28" s="20" t="n"/>
      <c r="L28" s="20" t="n">
        <v>384</v>
      </c>
      <c r="M28" s="20" t="n">
        <v>482</v>
      </c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>
        <v>5636</v>
      </c>
      <c r="W28" s="20" t="n">
        <v>4893</v>
      </c>
      <c r="X28" s="20" t="n">
        <v>1652</v>
      </c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매출원가</t>
        </is>
      </c>
      <c r="B31" s="16" t="n"/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18" t="inlineStr">
        <is>
          <t>전체 매출원가</t>
        </is>
      </c>
      <c r="B32" s="10" t="n"/>
      <c r="C32" s="19" t="n">
        <v>5114</v>
      </c>
      <c r="D32" s="20" t="n">
        <v>4793</v>
      </c>
      <c r="E32" s="20" t="n">
        <v>5721</v>
      </c>
      <c r="F32" s="20" t="n">
        <v>5394</v>
      </c>
      <c r="G32" s="20" t="n">
        <v>4792</v>
      </c>
      <c r="H32" s="20" t="n">
        <v>5319</v>
      </c>
      <c r="I32" s="20" t="n">
        <v>5093</v>
      </c>
      <c r="J32" s="20" t="n">
        <v>5009</v>
      </c>
      <c r="K32" s="20" t="n">
        <v>6572</v>
      </c>
      <c r="L32" s="20" t="n">
        <v>5994</v>
      </c>
      <c r="M32" s="20" t="n">
        <v>5610</v>
      </c>
      <c r="N32" s="20" t="n">
        <v>6475</v>
      </c>
      <c r="O32" s="19" t="n">
        <v>17917</v>
      </c>
      <c r="P32" s="20" t="n">
        <v>17870</v>
      </c>
      <c r="Q32" s="20" t="n">
        <v>18128</v>
      </c>
      <c r="R32" s="20" t="n">
        <v>18403</v>
      </c>
      <c r="S32" s="20" t="n">
        <v>17563</v>
      </c>
      <c r="T32" s="20" t="n">
        <v>19528</v>
      </c>
      <c r="U32" s="20" t="n">
        <v>21793</v>
      </c>
      <c r="V32" s="20" t="n">
        <v>20799</v>
      </c>
      <c r="W32" s="20" t="n">
        <v>20598</v>
      </c>
      <c r="X32" s="20" t="n">
        <v>23185</v>
      </c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18" t="inlineStr">
        <is>
          <t>매출총이익</t>
        </is>
      </c>
      <c r="B34" s="10" t="n"/>
      <c r="C34" s="19">
        <f>IF(OR(C4="",C32=""),"",IFERROR(C4-C32,""))</f>
        <v/>
      </c>
      <c r="D34" s="20">
        <f>IF(OR(D4="",D32=""),"",IFERROR(D4-D32,""))</f>
        <v/>
      </c>
      <c r="E34" s="20">
        <f>IF(OR(E4="",E32=""),"",IFERROR(E4-E32,""))</f>
        <v/>
      </c>
      <c r="F34" s="20">
        <f>IF(OR(F4="",F32=""),"",IFERROR(F4-F32,""))</f>
        <v/>
      </c>
      <c r="G34" s="20">
        <f>IF(OR(G4="",G32=""),"",IFERROR(G4-G32,""))</f>
        <v/>
      </c>
      <c r="H34" s="20">
        <f>IF(OR(H4="",H32=""),"",IFERROR(H4-H32,""))</f>
        <v/>
      </c>
      <c r="I34" s="20">
        <f>IF(OR(I4="",I32=""),"",IFERROR(I4-I32,""))</f>
        <v/>
      </c>
      <c r="J34" s="20">
        <f>IF(OR(J4="",J32=""),"",IFERROR(J4-J32,""))</f>
        <v/>
      </c>
      <c r="K34" s="20">
        <f>IF(OR(K4="",K32=""),"",IFERROR(K4-K32,""))</f>
        <v/>
      </c>
      <c r="L34" s="20">
        <f>IF(OR(L4="",L32=""),"",IFERROR(L4-L32,""))</f>
        <v/>
      </c>
      <c r="M34" s="20">
        <f>IF(OR(M4="",M32=""),"",IFERROR(M4-M32,""))</f>
        <v/>
      </c>
      <c r="N34" s="20">
        <f>IF(OR(N4="",N32=""),"",IFERROR(N4-N32,""))</f>
        <v/>
      </c>
      <c r="O34" s="19">
        <f>IF(OR(O4="",O32=""),"",IFERROR(O4-O32,""))</f>
        <v/>
      </c>
      <c r="P34" s="20">
        <f>IF(OR(P4="",P32=""),"",IFERROR(P4-P32,""))</f>
        <v/>
      </c>
      <c r="Q34" s="20">
        <f>IF(OR(Q4="",Q32=""),"",IFERROR(Q4-Q32,""))</f>
        <v/>
      </c>
      <c r="R34" s="20">
        <f>IF(OR(R4="",R32=""),"",IFERROR(R4-R32,""))</f>
        <v/>
      </c>
      <c r="S34" s="20">
        <f>IF(OR(S4="",S32=""),"",IFERROR(S4-S32,""))</f>
        <v/>
      </c>
      <c r="T34" s="20">
        <f>IF(OR(T4="",T32=""),"",IFERROR(T4-T32,""))</f>
        <v/>
      </c>
      <c r="U34" s="20">
        <f>IF(OR(U4="",U32=""),"",IFERROR(U4-U32,""))</f>
        <v/>
      </c>
      <c r="V34" s="20">
        <f>IF(OR(V4="",V32=""),"",IFERROR(V4-V32,""))</f>
        <v/>
      </c>
      <c r="W34" s="20">
        <f>IF(OR(W4="",W32=""),"",IFERROR(W4-W32,""))</f>
        <v/>
      </c>
      <c r="X34" s="20">
        <f>IF(OR(X4="",X32=""),"",IFERROR(X4-X32,""))</f>
        <v/>
      </c>
      <c r="Y34" s="19" t="n"/>
      <c r="Z34" s="20" t="n"/>
      <c r="AA34" s="20" t="n"/>
      <c r="AB34" s="20" t="n"/>
      <c r="AC34" s="20" t="n"/>
    </row>
    <row r="35">
      <c r="A35" s="13" t="inlineStr">
        <is>
          <t>GPM</t>
        </is>
      </c>
      <c r="B35" s="10" t="n"/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>
        <f>IF(OR(Y34="",Y4=""),"",IFERROR(Y34/Y4,""))</f>
        <v/>
      </c>
      <c r="Z35" s="15">
        <f>IF(OR(Z34="",Z4=""),"",IFERROR(Z34/Z4,""))</f>
        <v/>
      </c>
      <c r="AA35" s="15">
        <f>IF(OR(AA34="",AA4=""),"",IFERROR(AA34/AA4,""))</f>
        <v/>
      </c>
      <c r="AB35" s="15">
        <f>IF(OR(AB34="",AB4=""),"",IFERROR(AB34/AB4,""))</f>
        <v/>
      </c>
      <c r="AC35" s="15">
        <f>IF(OR(AC34="",AC4=""),"",IFERROR(AC34/AC4,""))</f>
        <v/>
      </c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IF(OR(G34="",C34=""),"",IF(C34&lt;=0,"",IFERROR(G34/C34-1,"")))</f>
        <v/>
      </c>
      <c r="H36" s="15">
        <f>IF(OR(H34="",D34=""),"",IF(D34&lt;=0,"",IFERROR(H34/D34-1,"")))</f>
        <v/>
      </c>
      <c r="I36" s="15">
        <f>IF(OR(I34="",E34=""),"",IF(E34&lt;=0,"",IFERROR(I34/E34-1,"")))</f>
        <v/>
      </c>
      <c r="J36" s="15">
        <f>IF(OR(J34="",F34=""),"",IF(F34&lt;=0,"",IFERROR(J34/F34-1,"")))</f>
        <v/>
      </c>
      <c r="K36" s="15">
        <f>IF(OR(K34="",G34=""),"",IF(G34&lt;=0,"",IFERROR(K34/G34-1,"")))</f>
        <v/>
      </c>
      <c r="L36" s="15">
        <f>IF(OR(L34="",H34=""),"",IF(H34&lt;=0,"",IFERROR(L34/H34-1,"")))</f>
        <v/>
      </c>
      <c r="M36" s="15">
        <f>IF(OR(M34="",I34=""),"",IF(I34&lt;=0,"",IFERROR(M34/I34-1,"")))</f>
        <v/>
      </c>
      <c r="N36" s="15">
        <f>IF(OR(N34="",J34=""),"",IF(J34&lt;=0,"",IFERROR(N34/J34-1,"")))</f>
        <v/>
      </c>
      <c r="O36" s="14" t="n"/>
      <c r="P36" s="15">
        <f>IF(OR(P34="",O34=""),"",IF(O34&lt;=0,"",IFERROR(P34/O34-1,"")))</f>
        <v/>
      </c>
      <c r="Q36" s="15">
        <f>IF(OR(Q34="",P34=""),"",IF(P34&lt;=0,"",IFERROR(Q34/P34-1,"")))</f>
        <v/>
      </c>
      <c r="R36" s="15">
        <f>IF(OR(R34="",Q34=""),"",IF(Q34&lt;=0,"",IFERROR(R34/Q34-1,"")))</f>
        <v/>
      </c>
      <c r="S36" s="15">
        <f>IF(OR(S34="",R34=""),"",IF(R34&lt;=0,"",IFERROR(S34/R34-1,"")))</f>
        <v/>
      </c>
      <c r="T36" s="15">
        <f>IF(OR(T34="",S34=""),"",IF(S34&lt;=0,"",IFERROR(T34/S34-1,"")))</f>
        <v/>
      </c>
      <c r="U36" s="15">
        <f>IF(OR(U34="",T34=""),"",IF(T34&lt;=0,"",IFERROR(U34/T34-1,"")))</f>
        <v/>
      </c>
      <c r="V36" s="15">
        <f>IF(OR(V34="",U34=""),"",IF(U34&lt;=0,"",IFERROR(V34/U34-1,"")))</f>
        <v/>
      </c>
      <c r="W36" s="15">
        <f>IF(OR(W34="",V34=""),"",IF(V34&lt;=0,"",IFERROR(W34/V34-1,"")))</f>
        <v/>
      </c>
      <c r="X36" s="15">
        <f>IF(OR(X34="",W34=""),"",IF(W34&lt;=0,"",IFERROR(X34/W34-1,"")))</f>
        <v/>
      </c>
      <c r="Y36" s="14">
        <f>IF(OR(Y34="",X34=""),"",IF(X34&lt;=0,"",IFERROR(Y34/X34-1,"")))</f>
        <v/>
      </c>
      <c r="Z36" s="15">
        <f>IF(OR(Z34="",Y34=""),"",IF(Y34&lt;=0,"",IFERROR(Z34/Y34-1,"")))</f>
        <v/>
      </c>
      <c r="AA36" s="15">
        <f>IF(OR(AA34="",Z34=""),"",IF(Z34&lt;=0,"",IFERROR(AA34/Z34-1,"")))</f>
        <v/>
      </c>
      <c r="AB36" s="15">
        <f>IF(OR(AB34="",AA34=""),"",IF(AA34&lt;=0,"",IFERROR(AB34/AA34-1,"")))</f>
        <v/>
      </c>
      <c r="AC36" s="15">
        <f>IF(OR(AC34="",AB34=""),"",IF(AB34&lt;=0,"",IFERROR(AC34/AB34-1,"")))</f>
        <v/>
      </c>
    </row>
    <row r="37">
      <c r="A37" s="23" t="inlineStr">
        <is>
          <t>판매관리비</t>
        </is>
      </c>
      <c r="B37" s="23" t="n"/>
      <c r="C37" s="24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4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4" t="n"/>
      <c r="Z37" s="23" t="n"/>
      <c r="AA37" s="23" t="n"/>
      <c r="AB37" s="23" t="n"/>
      <c r="AC37" s="23" t="n"/>
    </row>
    <row r="38">
      <c r="A38" s="18" t="inlineStr">
        <is>
          <t>전체 판관비</t>
        </is>
      </c>
      <c r="B38" s="10" t="n"/>
      <c r="C38" s="19" t="n">
        <v>3166</v>
      </c>
      <c r="D38" s="20" t="n">
        <v>3022</v>
      </c>
      <c r="E38" s="20" t="n">
        <v>3040</v>
      </c>
      <c r="F38" s="20" t="n">
        <v>3053</v>
      </c>
      <c r="G38" s="20" t="n">
        <v>3106</v>
      </c>
      <c r="H38" s="20" t="n">
        <v>3057</v>
      </c>
      <c r="I38" s="20" t="n">
        <v>2967</v>
      </c>
      <c r="J38" s="20" t="n">
        <v>3084</v>
      </c>
      <c r="K38" s="20" t="n">
        <v>3184</v>
      </c>
      <c r="L38" s="20" t="n">
        <v>3330</v>
      </c>
      <c r="M38" s="20" t="n">
        <v>3592</v>
      </c>
      <c r="N38" s="20" t="n">
        <v>3768</v>
      </c>
      <c r="O38" s="19" t="n">
        <v>10922</v>
      </c>
      <c r="P38" s="20" t="n">
        <v>11050</v>
      </c>
      <c r="Q38" s="20" t="n">
        <v>11417</v>
      </c>
      <c r="R38" s="20" t="n">
        <v>10889</v>
      </c>
      <c r="S38" s="20" t="n">
        <v>9753</v>
      </c>
      <c r="T38" s="20" t="n">
        <v>9764</v>
      </c>
      <c r="U38" s="20" t="n">
        <v>11627</v>
      </c>
      <c r="V38" s="20" t="n">
        <v>12360</v>
      </c>
      <c r="W38" s="20" t="n">
        <v>12183</v>
      </c>
      <c r="X38" s="20" t="n">
        <v>13190</v>
      </c>
      <c r="Y38" s="19" t="n"/>
      <c r="Z38" s="20" t="n"/>
      <c r="AA38" s="20" t="n"/>
      <c r="AB38" s="20" t="n"/>
      <c r="AC38" s="20" t="n"/>
    </row>
    <row r="39">
      <c r="A39" s="13" t="inlineStr">
        <is>
          <t>YoY</t>
        </is>
      </c>
      <c r="B39" s="10" t="n"/>
      <c r="C39" s="14" t="n"/>
      <c r="D39" s="15" t="n"/>
      <c r="E39" s="15" t="n"/>
      <c r="F39" s="15" t="n"/>
      <c r="G39" s="15">
        <f>IF(OR(G38="",C38=""),"",IF(C38&lt;=0,"",IFERROR(G38/C38-1,"")))</f>
        <v/>
      </c>
      <c r="H39" s="15">
        <f>IF(OR(H38="",D38=""),"",IF(D38&lt;=0,"",IFERROR(H38/D38-1,"")))</f>
        <v/>
      </c>
      <c r="I39" s="15">
        <f>IF(OR(I38="",E38=""),"",IF(E38&lt;=0,"",IFERROR(I38/E38-1,"")))</f>
        <v/>
      </c>
      <c r="J39" s="15">
        <f>IF(OR(J38="",F38=""),"",IF(F38&lt;=0,"",IFERROR(J38/F38-1,"")))</f>
        <v/>
      </c>
      <c r="K39" s="15">
        <f>IF(OR(K38="",G38=""),"",IF(G38&lt;=0,"",IFERROR(K38/G38-1,"")))</f>
        <v/>
      </c>
      <c r="L39" s="15">
        <f>IF(OR(L38="",H38=""),"",IF(H38&lt;=0,"",IFERROR(L38/H38-1,"")))</f>
        <v/>
      </c>
      <c r="M39" s="15">
        <f>IF(OR(M38="",I38=""),"",IF(I38&lt;=0,"",IFERROR(M38/I38-1,"")))</f>
        <v/>
      </c>
      <c r="N39" s="15">
        <f>IF(OR(N38="",J38=""),"",IF(J38&lt;=0,"",IFERROR(N38/J38-1,"")))</f>
        <v/>
      </c>
      <c r="O39" s="14" t="n"/>
      <c r="P39" s="15">
        <f>IF(OR(P38="",O38=""),"",IF(O38&lt;=0,"",IFERROR(P38/O38-1,"")))</f>
        <v/>
      </c>
      <c r="Q39" s="15">
        <f>IF(OR(Q38="",P38=""),"",IF(P38&lt;=0,"",IFERROR(Q38/P38-1,"")))</f>
        <v/>
      </c>
      <c r="R39" s="15">
        <f>IF(OR(R38="",Q38=""),"",IF(Q38&lt;=0,"",IFERROR(R38/Q38-1,"")))</f>
        <v/>
      </c>
      <c r="S39" s="15">
        <f>IF(OR(S38="",R38=""),"",IF(R38&lt;=0,"",IFERROR(S38/R38-1,"")))</f>
        <v/>
      </c>
      <c r="T39" s="15">
        <f>IF(OR(T38="",S38=""),"",IF(S38&lt;=0,"",IFERROR(T38/S38-1,"")))</f>
        <v/>
      </c>
      <c r="U39" s="15">
        <f>IF(OR(U38="",T38=""),"",IF(T38&lt;=0,"",IFERROR(U38/T38-1,"")))</f>
        <v/>
      </c>
      <c r="V39" s="15">
        <f>IF(OR(V38="",U38=""),"",IF(U38&lt;=0,"",IFERROR(V38/U38-1,"")))</f>
        <v/>
      </c>
      <c r="W39" s="15">
        <f>IF(OR(W38="",V38=""),"",IF(V38&lt;=0,"",IFERROR(W38/V38-1,"")))</f>
        <v/>
      </c>
      <c r="X39" s="15">
        <f>IF(OR(X38="",W38=""),"",IF(W38&lt;=0,"",IFERROR(X38/W38-1,"")))</f>
        <v/>
      </c>
      <c r="Y39" s="14">
        <f>IF(OR(Y38="",X38=""),"",IF(X38&lt;=0,"",IFERROR(Y38/X38-1,"")))</f>
        <v/>
      </c>
      <c r="Z39" s="15">
        <f>IF(OR(Z38="",Y38=""),"",IF(Y38&lt;=0,"",IFERROR(Z38/Y38-1,"")))</f>
        <v/>
      </c>
      <c r="AA39" s="15">
        <f>IF(OR(AA38="",Z38=""),"",IF(Z38&lt;=0,"",IFERROR(AA38/Z38-1,"")))</f>
        <v/>
      </c>
      <c r="AB39" s="15">
        <f>IF(OR(AB38="",AA38=""),"",IF(AA38&lt;=0,"",IFERROR(AB38/AA38-1,"")))</f>
        <v/>
      </c>
      <c r="AC39" s="15">
        <f>IF(OR(AC38="",AB38=""),"",IF(AB38&lt;=0,"",IFERROR(AC38/AB38-1,"")))</f>
        <v/>
      </c>
    </row>
    <row r="40">
      <c r="A40" s="9" t="inlineStr">
        <is>
          <t>영업이익</t>
        </is>
      </c>
      <c r="B40" s="10" t="inlineStr">
        <is>
          <t>MW = 매출 × OPM</t>
        </is>
      </c>
      <c r="C40" s="11" t="n">
        <v>1204</v>
      </c>
      <c r="D40" s="12" t="n">
        <v>938</v>
      </c>
      <c r="E40" s="12" t="n">
        <v>1091</v>
      </c>
      <c r="F40" s="12" t="n">
        <v>2153</v>
      </c>
      <c r="G40" s="12" t="n">
        <v>1201</v>
      </c>
      <c r="H40" s="12" t="n">
        <v>730</v>
      </c>
      <c r="I40" s="12" t="n">
        <v>1203</v>
      </c>
      <c r="J40" s="12" t="n">
        <v>905</v>
      </c>
      <c r="K40" s="12" t="n">
        <v>2146</v>
      </c>
      <c r="L40" s="12" t="n">
        <v>2149</v>
      </c>
      <c r="M40" s="12" t="n">
        <v>964</v>
      </c>
      <c r="N40" s="12" t="n">
        <v>2329</v>
      </c>
      <c r="O40" s="11" t="n">
        <v>4151</v>
      </c>
      <c r="P40" s="12" t="n">
        <v>4368</v>
      </c>
      <c r="Q40" s="12" t="n">
        <v>1735</v>
      </c>
      <c r="R40" s="12" t="n">
        <v>2163</v>
      </c>
      <c r="S40" s="12" t="n">
        <v>2120</v>
      </c>
      <c r="T40" s="12" t="n">
        <v>3600</v>
      </c>
      <c r="U40" s="12" t="n">
        <v>8820</v>
      </c>
      <c r="V40" s="12" t="n">
        <v>4645</v>
      </c>
      <c r="W40" s="12" t="n">
        <v>5287</v>
      </c>
      <c r="X40" s="12" t="n">
        <v>6164</v>
      </c>
      <c r="Y40" s="11">
        <f>IF(OR(Y4="",Y41=""),"",IFERROR(Y4*Y41,""))</f>
        <v/>
      </c>
      <c r="Z40" s="12">
        <f>IF(OR(Z4="",Z41=""),"",IFERROR(Z4*Z41,""))</f>
        <v/>
      </c>
      <c r="AA40" s="12">
        <f>IF(OR(AA4="",AA41=""),"",IFERROR(AA4*AA41,""))</f>
        <v/>
      </c>
      <c r="AB40" s="12">
        <f>IF(OR(AB4="",AB41=""),"",IFERROR(AB4*AB41,""))</f>
        <v/>
      </c>
      <c r="AC40" s="12">
        <f>IF(OR(AC4="",AC41=""),"",IFERROR(AC4*AC41,""))</f>
        <v/>
      </c>
    </row>
    <row r="41">
      <c r="A41" s="13" t="inlineStr">
        <is>
          <t>OPM</t>
        </is>
      </c>
      <c r="B41" s="10" t="inlineStr">
        <is>
          <t>MW 입력</t>
        </is>
      </c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 t="n"/>
      <c r="Z41" s="26" t="n"/>
      <c r="AA41" s="26" t="n"/>
      <c r="AB41" s="26" t="n"/>
      <c r="AC41" s="26" t="n"/>
    </row>
    <row r="42">
      <c r="A42" s="13" t="inlineStr">
        <is>
          <t>증가율</t>
        </is>
      </c>
      <c r="B42" s="10" t="n"/>
      <c r="C42" s="14" t="n"/>
      <c r="D42" s="15" t="n"/>
      <c r="E42" s="15" t="n"/>
      <c r="F42" s="15" t="n"/>
      <c r="G42" s="15">
        <f>IF(OR(G40="",C40=""),"",IFERROR(G40/C40-1,""))</f>
        <v/>
      </c>
      <c r="H42" s="15">
        <f>IF(OR(H40="",D40=""),"",IFERROR(H40/D40-1,""))</f>
        <v/>
      </c>
      <c r="I42" s="15">
        <f>IF(OR(I40="",E40=""),"",IFERROR(I40/E40-1,""))</f>
        <v/>
      </c>
      <c r="J42" s="15">
        <f>IF(OR(J40="",F40=""),"",IFERROR(J40/F40-1,""))</f>
        <v/>
      </c>
      <c r="K42" s="15">
        <f>IF(OR(K40="",G40=""),"",IFERROR(K40/G40-1,""))</f>
        <v/>
      </c>
      <c r="L42" s="15">
        <f>IF(OR(L40="",H40=""),"",IFERROR(L40/H40-1,""))</f>
        <v/>
      </c>
      <c r="M42" s="15">
        <f>IF(OR(M40="",I40=""),"",IFERROR(M40/I40-1,""))</f>
        <v/>
      </c>
      <c r="N42" s="15">
        <f>IF(OR(N40="",J40=""),"",IFERROR(N40/J40-1,""))</f>
        <v/>
      </c>
      <c r="O42" s="14" t="n"/>
      <c r="P42" s="15">
        <f>IF(OR(P40="",O40=""),"",IFERROR(P40/O40-1,""))</f>
        <v/>
      </c>
      <c r="Q42" s="15">
        <f>IF(OR(Q40="",P40=""),"",IFERROR(Q40/P40-1,""))</f>
        <v/>
      </c>
      <c r="R42" s="15">
        <f>IF(OR(R40="",Q40=""),"",IFERROR(R40/Q40-1,""))</f>
        <v/>
      </c>
      <c r="S42" s="15">
        <f>IF(OR(S40="",R40=""),"",IFERROR(S40/R40-1,""))</f>
        <v/>
      </c>
      <c r="T42" s="15">
        <f>IF(OR(T40="",S40=""),"",IFERROR(T40/S40-1,""))</f>
        <v/>
      </c>
      <c r="U42" s="15">
        <f>IF(OR(U40="",T40=""),"",IFERROR(U40/T40-1,""))</f>
        <v/>
      </c>
      <c r="V42" s="15">
        <f>IF(OR(V40="",U40=""),"",IFERROR(V40/U40-1,""))</f>
        <v/>
      </c>
      <c r="W42" s="15">
        <f>IF(OR(W40="",V40=""),"",IFERROR(W40/V40-1,""))</f>
        <v/>
      </c>
      <c r="X42" s="15">
        <f>IF(OR(X40="",W40=""),"",IFERROR(X40/W40-1,""))</f>
        <v/>
      </c>
      <c r="Y42" s="14">
        <f>IF(OR(Y40="",X40=""),"",IFERROR(Y40/X40-1,""))</f>
        <v/>
      </c>
      <c r="Z42" s="15">
        <f>IF(OR(Z40="",Y40=""),"",IFERROR(Z40/Y40-1,""))</f>
        <v/>
      </c>
      <c r="AA42" s="15">
        <f>IF(OR(AA40="",Z40=""),"",IFERROR(AA40/Z40-1,""))</f>
        <v/>
      </c>
      <c r="AB42" s="15">
        <f>IF(OR(AB40="",AA40=""),"",IFERROR(AB40/AA40-1,""))</f>
        <v/>
      </c>
      <c r="AC42" s="15">
        <f>IF(OR(AC40="",AB40=""),"",IFERROR(AC40/AB40-1,""))</f>
        <v/>
      </c>
    </row>
    <row r="43">
      <c r="A43" s="16" t="inlineStr">
        <is>
          <t>비용의 성격별 분류</t>
        </is>
      </c>
      <c r="B43" s="16" t="inlineStr">
        <is>
          <t>참고 데이터</t>
        </is>
      </c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9" t="inlineStr">
        <is>
          <t>총 판관비</t>
        </is>
      </c>
      <c r="B44" s="10" t="n"/>
      <c r="C44" s="11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1">
        <f>IF(O38="","",O38)</f>
        <v/>
      </c>
      <c r="P44" s="12">
        <f>IF(P38="","",P38)</f>
        <v/>
      </c>
      <c r="Q44" s="12">
        <f>IF(Q38="","",Q38)</f>
        <v/>
      </c>
      <c r="R44" s="12">
        <f>IF(R38="","",R38)</f>
        <v/>
      </c>
      <c r="S44" s="12">
        <f>IF(S38="","",S38)</f>
        <v/>
      </c>
      <c r="T44" s="12">
        <f>IF(T38="","",T38)</f>
        <v/>
      </c>
      <c r="U44" s="12">
        <f>IF(U38="","",U38)</f>
        <v/>
      </c>
      <c r="V44" s="12">
        <f>IF(V38="","",V38)</f>
        <v/>
      </c>
      <c r="W44" s="12">
        <f>IF(W38="","",W38)</f>
        <v/>
      </c>
      <c r="X44" s="12">
        <f>IF(X38="","",X38)</f>
        <v/>
      </c>
      <c r="Y44" s="11" t="n"/>
      <c r="Z44" s="12" t="n"/>
      <c r="AA44" s="12" t="n"/>
      <c r="AB44" s="12" t="n"/>
      <c r="AC44" s="12" t="n"/>
    </row>
    <row r="45">
      <c r="A45" s="18" t="inlineStr">
        <is>
          <t>급여</t>
        </is>
      </c>
      <c r="B45" s="10" t="inlineStr">
        <is>
          <t>고정비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감가상각비</t>
        </is>
      </c>
      <c r="B47" s="10" t="inlineStr">
        <is>
          <t>고정비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8" t="inlineStr">
        <is>
          <t>지급수수료</t>
        </is>
      </c>
      <c r="B49" s="10" t="inlineStr">
        <is>
          <t>고정비</t>
        </is>
      </c>
      <c r="C49" s="19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19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19" t="n"/>
      <c r="Z49" s="20" t="n"/>
      <c r="AA49" s="20" t="n"/>
      <c r="AB49" s="20" t="n"/>
      <c r="AC49" s="20" t="n"/>
    </row>
    <row r="50">
      <c r="A50" s="13" t="inlineStr">
        <is>
          <t>% of Sales</t>
        </is>
      </c>
      <c r="B50" s="10" t="n"/>
      <c r="C50" s="14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14" t="n"/>
      <c r="Z50" s="15" t="n"/>
      <c r="AA50" s="15" t="n"/>
      <c r="AB50" s="15" t="n"/>
      <c r="AC50" s="15" t="n"/>
    </row>
    <row r="51">
      <c r="A51" s="18" t="inlineStr">
        <is>
          <t>연구개발비</t>
        </is>
      </c>
      <c r="B51" s="10" t="inlineStr">
        <is>
          <t>변동비</t>
        </is>
      </c>
      <c r="C51" s="19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19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19" t="n"/>
      <c r="Z51" s="20" t="n"/>
      <c r="AA51" s="20" t="n"/>
      <c r="AB51" s="20" t="n"/>
      <c r="AC51" s="20" t="n"/>
    </row>
    <row r="52">
      <c r="A52" s="13" t="inlineStr">
        <is>
          <t>% of Sales</t>
        </is>
      </c>
      <c r="B52" s="10" t="n"/>
      <c r="C52" s="14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14" t="n"/>
      <c r="Z52" s="15" t="n"/>
      <c r="AA52" s="15" t="n"/>
      <c r="AB52" s="15" t="n"/>
      <c r="AC52" s="15" t="n"/>
    </row>
    <row r="53">
      <c r="A53" s="18" t="inlineStr">
        <is>
          <t>기타비용</t>
        </is>
      </c>
      <c r="B53" s="10" t="inlineStr">
        <is>
          <t>변동비</t>
        </is>
      </c>
      <c r="C53" s="19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19">
        <f>IF(OR(O44="",O45="",O47="",O49="",O51=""),"",IFERROR(O44-O45-O47-O49-O51,""))</f>
        <v/>
      </c>
      <c r="P53" s="20">
        <f>IF(OR(P44="",P45="",P47="",P49="",P51=""),"",IFERROR(P44-P45-P47-P49-P51,""))</f>
        <v/>
      </c>
      <c r="Q53" s="20">
        <f>IF(OR(Q44="",Q45="",Q47="",Q49="",Q51=""),"",IFERROR(Q44-Q45-Q47-Q49-Q51,""))</f>
        <v/>
      </c>
      <c r="R53" s="20">
        <f>IF(OR(R44="",R45="",R47="",R49="",R51=""),"",IFERROR(R44-R45-R47-R49-R51,""))</f>
        <v/>
      </c>
      <c r="S53" s="20">
        <f>IF(OR(S44="",S45="",S47="",S49="",S51=""),"",IFERROR(S44-S45-S47-S49-S51,""))</f>
        <v/>
      </c>
      <c r="T53" s="20">
        <f>IF(OR(T44="",T45="",T47="",T49="",T51=""),"",IFERROR(T44-T45-T47-T49-T51,""))</f>
        <v/>
      </c>
      <c r="U53" s="20">
        <f>IF(OR(U44="",U45="",U47="",U49="",U51=""),"",IFERROR(U44-U45-U47-U49-U51,""))</f>
        <v/>
      </c>
      <c r="V53" s="20">
        <f>IF(OR(V44="",V45="",V47="",V49="",V51=""),"",IFERROR(V44-V45-V47-V49-V51,""))</f>
        <v/>
      </c>
      <c r="W53" s="20">
        <f>IF(OR(W44="",W45="",W47="",W49="",W51=""),"",IFERROR(W44-W45-W47-W49-W51,""))</f>
        <v/>
      </c>
      <c r="X53" s="20">
        <f>IF(OR(X44="",X45="",X47="",X49="",X51=""),"",IFERROR(X44-X45-X47-X49-X51,""))</f>
        <v/>
      </c>
      <c r="Y53" s="19" t="n"/>
      <c r="Z53" s="20" t="n"/>
      <c r="AA53" s="20" t="n"/>
      <c r="AB53" s="20" t="n"/>
      <c r="AC53" s="20" t="n"/>
    </row>
    <row r="54">
      <c r="A54" s="13" t="inlineStr">
        <is>
          <t>% of Sales</t>
        </is>
      </c>
      <c r="B54" s="10" t="n"/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14" t="n"/>
      <c r="Z54" s="15" t="n"/>
      <c r="AA54" s="15" t="n"/>
      <c r="AB54" s="15" t="n"/>
      <c r="AC54" s="15" t="n"/>
    </row>
    <row r="55">
      <c r="A55" s="16" t="inlineStr">
        <is>
          <t>당기순이익 추정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특별이익</t>
        </is>
      </c>
      <c r="B56" s="10" t="n"/>
      <c r="C56" s="19" t="n">
        <v>16</v>
      </c>
      <c r="D56" s="20" t="n">
        <v>13</v>
      </c>
      <c r="E56" s="20" t="n">
        <v>235</v>
      </c>
      <c r="F56" s="20" t="n">
        <v>12</v>
      </c>
      <c r="G56" s="20" t="n">
        <v>50</v>
      </c>
      <c r="H56" s="20" t="n">
        <v>8</v>
      </c>
      <c r="I56" s="20" t="n">
        <v>24</v>
      </c>
      <c r="J56" s="20" t="n">
        <v>9</v>
      </c>
      <c r="K56" s="20" t="n">
        <v>3</v>
      </c>
      <c r="L56" s="20" t="n">
        <v>4</v>
      </c>
      <c r="M56" s="20" t="n">
        <v>16</v>
      </c>
      <c r="N56" s="20" t="n">
        <v>3</v>
      </c>
      <c r="O56" s="19" t="n">
        <v>2300</v>
      </c>
      <c r="P56" s="20" t="n">
        <v>14</v>
      </c>
      <c r="Q56" s="20" t="n">
        <v>468</v>
      </c>
      <c r="R56" s="20" t="n">
        <v>436</v>
      </c>
      <c r="S56" s="20" t="n">
        <v>182</v>
      </c>
      <c r="T56" s="20" t="n">
        <v>863</v>
      </c>
      <c r="U56" s="20" t="n">
        <v>34</v>
      </c>
      <c r="V56" s="20" t="n">
        <v>285</v>
      </c>
      <c r="W56" s="20" t="n">
        <v>94</v>
      </c>
      <c r="X56" s="20" t="n">
        <v>32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inlineStr">
        <is>
          <t>MW = 최근 3년 평균</t>
        </is>
      </c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18" t="inlineStr">
        <is>
          <t>특별손실</t>
        </is>
      </c>
      <c r="B58" s="10" t="n"/>
      <c r="C58" s="19" t="n">
        <v>81</v>
      </c>
      <c r="D58" s="20" t="n">
        <v>78</v>
      </c>
      <c r="E58" s="20" t="n">
        <v>77</v>
      </c>
      <c r="F58" s="20" t="n">
        <v>204</v>
      </c>
      <c r="G58" s="20" t="n">
        <v>29</v>
      </c>
      <c r="H58" s="20" t="n">
        <v>17</v>
      </c>
      <c r="I58" s="20" t="n">
        <v>38</v>
      </c>
      <c r="J58" s="20" t="n">
        <v>198</v>
      </c>
      <c r="K58" s="20" t="n">
        <v>-11</v>
      </c>
      <c r="L58" s="20" t="n">
        <v>-1</v>
      </c>
      <c r="M58" s="20" t="n">
        <v>5</v>
      </c>
      <c r="N58" s="20" t="n">
        <v>7</v>
      </c>
      <c r="O58" s="19" t="n">
        <v>21</v>
      </c>
      <c r="P58" s="20" t="n">
        <v>74</v>
      </c>
      <c r="Q58" s="20" t="n">
        <v>1227</v>
      </c>
      <c r="R58" s="20" t="n">
        <v>1094</v>
      </c>
      <c r="S58" s="20" t="n">
        <v>603</v>
      </c>
      <c r="T58" s="20" t="n">
        <v>281</v>
      </c>
      <c r="U58" s="20" t="n">
        <v>2135</v>
      </c>
      <c r="V58" s="20" t="n">
        <v>525</v>
      </c>
      <c r="W58" s="20" t="n">
        <v>288</v>
      </c>
      <c r="X58" s="20" t="n">
        <v>191</v>
      </c>
      <c r="Y58" s="19">
        <f>IF(OR(Y4="",Y59=""),"",IFERROR(Y4*Y59,""))</f>
        <v/>
      </c>
      <c r="Z58" s="20">
        <f>IF(OR(Z4="",Z59=""),"",IFERROR(Z4*Z59,""))</f>
        <v/>
      </c>
      <c r="AA58" s="20">
        <f>IF(OR(AA4="",AA59=""),"",IFERROR(AA4*AA59,""))</f>
        <v/>
      </c>
      <c r="AB58" s="20">
        <f>IF(OR(AB4="",AB59=""),"",IFERROR(AB4*AB59,""))</f>
        <v/>
      </c>
      <c r="AC58" s="20">
        <f>IF(OR(AC4="",AC59=""),"",IFERROR(AC4*AC59,""))</f>
        <v/>
      </c>
    </row>
    <row r="59">
      <c r="A59" s="13" t="inlineStr">
        <is>
          <t>% of Sales</t>
        </is>
      </c>
      <c r="B59" s="10" t="n"/>
      <c r="C59" s="14">
        <f>IF(OR(C58="",C4=""),"",IFERROR(C58/C4,""))</f>
        <v/>
      </c>
      <c r="D59" s="15">
        <f>IF(OR(D58="",D4=""),"",IFERROR(D58/D4,""))</f>
        <v/>
      </c>
      <c r="E59" s="15">
        <f>IF(OR(E58="",E4=""),"",IFERROR(E58/E4,""))</f>
        <v/>
      </c>
      <c r="F59" s="15">
        <f>IF(OR(F58="",F4=""),"",IFERROR(F58/F4,""))</f>
        <v/>
      </c>
      <c r="G59" s="15">
        <f>IF(OR(G58="",G4=""),"",IFERROR(G58/G4,""))</f>
        <v/>
      </c>
      <c r="H59" s="15">
        <f>IF(OR(H58="",H4=""),"",IFERROR(H58/H4,""))</f>
        <v/>
      </c>
      <c r="I59" s="15">
        <f>IF(OR(I58="",I4=""),"",IFERROR(I58/I4,""))</f>
        <v/>
      </c>
      <c r="J59" s="15">
        <f>IF(OR(J58="",J4=""),"",IFERROR(J58/J4,""))</f>
        <v/>
      </c>
      <c r="K59" s="15">
        <f>IF(OR(K58="",K4=""),"",IFERROR(K58/K4,""))</f>
        <v/>
      </c>
      <c r="L59" s="15">
        <f>IF(OR(L58="",L4=""),"",IFERROR(L58/L4,""))</f>
        <v/>
      </c>
      <c r="M59" s="15">
        <f>IF(OR(M58="",M4=""),"",IFERROR(M58/M4,""))</f>
        <v/>
      </c>
      <c r="N59" s="15">
        <f>IF(OR(N58="",N4=""),"",IFERROR(N58/N4,""))</f>
        <v/>
      </c>
      <c r="O59" s="14">
        <f>IF(OR(O58="",O4=""),"",IFERROR(O58/O4,""))</f>
        <v/>
      </c>
      <c r="P59" s="15">
        <f>IF(OR(P58="",P4=""),"",IFERROR(P58/P4,""))</f>
        <v/>
      </c>
      <c r="Q59" s="15">
        <f>IF(OR(Q58="",Q4=""),"",IFERROR(Q58/Q4,""))</f>
        <v/>
      </c>
      <c r="R59" s="15">
        <f>IF(OR(R58="",R4=""),"",IFERROR(R58/R4,""))</f>
        <v/>
      </c>
      <c r="S59" s="15">
        <f>IF(OR(S58="",S4=""),"",IFERROR(S58/S4,""))</f>
        <v/>
      </c>
      <c r="T59" s="15">
        <f>IF(OR(T58="",T4=""),"",IFERROR(T58/T4,""))</f>
        <v/>
      </c>
      <c r="U59" s="15">
        <f>IF(OR(U58="",U4=""),"",IFERROR(U58/U4,""))</f>
        <v/>
      </c>
      <c r="V59" s="15">
        <f>IF(OR(V58="",V4=""),"",IFERROR(V58/V4,""))</f>
        <v/>
      </c>
      <c r="W59" s="15">
        <f>IF(OR(W58="",W4=""),"",IFERROR(W58/W4,""))</f>
        <v/>
      </c>
      <c r="X59" s="15">
        <f>IF(OR(X58="",X4=""),"",IFERROR(X58/X4,""))</f>
        <v/>
      </c>
      <c r="Y59" s="25">
        <f>IFERROR(AVERAGE(V59,W59,X59),"")</f>
        <v/>
      </c>
      <c r="Z59" s="26">
        <f>Y59</f>
        <v/>
      </c>
      <c r="AA59" s="26">
        <f>Z59</f>
        <v/>
      </c>
      <c r="AB59" s="26">
        <f>AA59</f>
        <v/>
      </c>
      <c r="AC59" s="26">
        <f>AB59</f>
        <v/>
      </c>
    </row>
    <row r="60">
      <c r="A60" s="18" t="inlineStr">
        <is>
          <t>영업외수익</t>
        </is>
      </c>
      <c r="B60" s="10" t="n"/>
      <c r="C60" s="19" t="n">
        <v>258</v>
      </c>
      <c r="D60" s="20" t="n">
        <v>-130</v>
      </c>
      <c r="E60" s="20" t="n">
        <v>334</v>
      </c>
      <c r="F60" s="20" t="n">
        <v>211</v>
      </c>
      <c r="G60" s="20" t="n">
        <v>31</v>
      </c>
      <c r="H60" s="20" t="n">
        <v>200</v>
      </c>
      <c r="I60" s="20" t="n">
        <v>101</v>
      </c>
      <c r="J60" s="20" t="n">
        <v>97</v>
      </c>
      <c r="K60" s="20" t="n">
        <v>66</v>
      </c>
      <c r="L60" s="20" t="n">
        <v>132</v>
      </c>
      <c r="M60" s="20" t="n">
        <v>258</v>
      </c>
      <c r="N60" s="20" t="n">
        <v>126</v>
      </c>
      <c r="O60" s="19" t="n">
        <v>360</v>
      </c>
      <c r="P60" s="20" t="n">
        <v>209</v>
      </c>
      <c r="Q60" s="20" t="n">
        <v>575</v>
      </c>
      <c r="R60" s="20" t="n">
        <v>391</v>
      </c>
      <c r="S60" s="20" t="n">
        <v>242</v>
      </c>
      <c r="T60" s="20" t="n">
        <v>323</v>
      </c>
      <c r="U60" s="20" t="n">
        <v>400</v>
      </c>
      <c r="V60" s="20" t="n">
        <v>764</v>
      </c>
      <c r="W60" s="20" t="n">
        <v>543</v>
      </c>
      <c r="X60" s="20" t="n">
        <v>553</v>
      </c>
      <c r="Y60" s="19">
        <f>IF(OR(Y4="",Y61=""),"",IFERROR(Y4*Y61,""))</f>
        <v/>
      </c>
      <c r="Z60" s="20">
        <f>IF(OR(Z4="",Z61=""),"",IFERROR(Z4*Z61,""))</f>
        <v/>
      </c>
      <c r="AA60" s="20">
        <f>IF(OR(AA4="",AA61=""),"",IFERROR(AA4*AA61,""))</f>
        <v/>
      </c>
      <c r="AB60" s="20">
        <f>IF(OR(AB4="",AB61=""),"",IFERROR(AB4*AB61,""))</f>
        <v/>
      </c>
      <c r="AC60" s="20">
        <f>IF(OR(AC4="",AC61=""),"",IFERROR(AC4*AC61,""))</f>
        <v/>
      </c>
    </row>
    <row r="61">
      <c r="A61" s="13" t="inlineStr">
        <is>
          <t>% of Sales</t>
        </is>
      </c>
      <c r="B61" s="10" t="n"/>
      <c r="C61" s="14">
        <f>IF(OR(C60="",C4=""),"",IFERROR(C60/C4,""))</f>
        <v/>
      </c>
      <c r="D61" s="15">
        <f>IF(OR(D60="",D4=""),"",IFERROR(D60/D4,""))</f>
        <v/>
      </c>
      <c r="E61" s="15">
        <f>IF(OR(E60="",E4=""),"",IFERROR(E60/E4,""))</f>
        <v/>
      </c>
      <c r="F61" s="15">
        <f>IF(OR(F60="",F4=""),"",IFERROR(F60/F4,""))</f>
        <v/>
      </c>
      <c r="G61" s="15">
        <f>IF(OR(G60="",G4=""),"",IFERROR(G60/G4,""))</f>
        <v/>
      </c>
      <c r="H61" s="15">
        <f>IF(OR(H60="",H4=""),"",IFERROR(H60/H4,""))</f>
        <v/>
      </c>
      <c r="I61" s="15">
        <f>IF(OR(I60="",I4=""),"",IFERROR(I60/I4,""))</f>
        <v/>
      </c>
      <c r="J61" s="15">
        <f>IF(OR(J60="",J4=""),"",IFERROR(J60/J4,""))</f>
        <v/>
      </c>
      <c r="K61" s="15">
        <f>IF(OR(K60="",K4=""),"",IFERROR(K60/K4,""))</f>
        <v/>
      </c>
      <c r="L61" s="15">
        <f>IF(OR(L60="",L4=""),"",IFERROR(L60/L4,""))</f>
        <v/>
      </c>
      <c r="M61" s="15">
        <f>IF(OR(M60="",M4=""),"",IFERROR(M60/M4,""))</f>
        <v/>
      </c>
      <c r="N61" s="15">
        <f>IF(OR(N60="",N4=""),"",IFERROR(N60/N4,""))</f>
        <v/>
      </c>
      <c r="O61" s="14">
        <f>IF(OR(O60="",O4=""),"",IFERROR(O60/O4,""))</f>
        <v/>
      </c>
      <c r="P61" s="15">
        <f>IF(OR(P60="",P4=""),"",IFERROR(P60/P4,""))</f>
        <v/>
      </c>
      <c r="Q61" s="15">
        <f>IF(OR(Q60="",Q4=""),"",IFERROR(Q60/Q4,""))</f>
        <v/>
      </c>
      <c r="R61" s="15">
        <f>IF(OR(R60="",R4=""),"",IFERROR(R60/R4,""))</f>
        <v/>
      </c>
      <c r="S61" s="15">
        <f>IF(OR(S60="",S4=""),"",IFERROR(S60/S4,""))</f>
        <v/>
      </c>
      <c r="T61" s="15">
        <f>IF(OR(T60="",T4=""),"",IFERROR(T60/T4,""))</f>
        <v/>
      </c>
      <c r="U61" s="15">
        <f>IF(OR(U60="",U4=""),"",IFERROR(U60/U4,""))</f>
        <v/>
      </c>
      <c r="V61" s="15">
        <f>IF(OR(V60="",V4=""),"",IFERROR(V60/V4,""))</f>
        <v/>
      </c>
      <c r="W61" s="15">
        <f>IF(OR(W60="",W4=""),"",IFERROR(W60/W4,""))</f>
        <v/>
      </c>
      <c r="X61" s="15">
        <f>IF(OR(X60="",X4=""),"",IFERROR(X60/X4,""))</f>
        <v/>
      </c>
      <c r="Y61" s="25">
        <f>IFERROR(AVERAGE(V61,W61,X61),"")</f>
        <v/>
      </c>
      <c r="Z61" s="26">
        <f>Y61</f>
        <v/>
      </c>
      <c r="AA61" s="26">
        <f>Z61</f>
        <v/>
      </c>
      <c r="AB61" s="26">
        <f>AA61</f>
        <v/>
      </c>
      <c r="AC61" s="26">
        <f>AB61</f>
        <v/>
      </c>
    </row>
    <row r="62">
      <c r="A62" s="18" t="inlineStr">
        <is>
          <t>영업외비용</t>
        </is>
      </c>
      <c r="B62" s="10" t="n"/>
      <c r="C62" s="19" t="n">
        <v>48</v>
      </c>
      <c r="D62" s="20" t="n">
        <v>33</v>
      </c>
      <c r="E62" s="20" t="n">
        <v>32</v>
      </c>
      <c r="F62" s="20" t="n">
        <v>30</v>
      </c>
      <c r="G62" s="20" t="n">
        <v>422</v>
      </c>
      <c r="H62" s="20" t="n">
        <v>-236</v>
      </c>
      <c r="I62" s="20" t="n">
        <v>169</v>
      </c>
      <c r="J62" s="20" t="n">
        <v>177</v>
      </c>
      <c r="K62" s="20" t="n">
        <v>-44</v>
      </c>
      <c r="L62" s="20" t="n">
        <v>-15</v>
      </c>
      <c r="M62" s="20" t="n">
        <v>117</v>
      </c>
      <c r="N62" s="20" t="n">
        <v>52</v>
      </c>
      <c r="O62" s="19" t="n">
        <v>434</v>
      </c>
      <c r="P62" s="20" t="n">
        <v>731</v>
      </c>
      <c r="Q62" s="20" t="n">
        <v>433</v>
      </c>
      <c r="R62" s="20" t="n">
        <v>403</v>
      </c>
      <c r="S62" s="20" t="n">
        <v>456</v>
      </c>
      <c r="T62" s="20" t="n">
        <v>472</v>
      </c>
      <c r="U62" s="20" t="n">
        <v>435</v>
      </c>
      <c r="V62" s="20" t="n">
        <v>146</v>
      </c>
      <c r="W62" s="20" t="n">
        <v>385</v>
      </c>
      <c r="X62" s="20" t="n">
        <v>235</v>
      </c>
      <c r="Y62" s="19">
        <f>IF(OR(Y4="",Y63=""),"",IFERROR(Y4*Y63,""))</f>
        <v/>
      </c>
      <c r="Z62" s="20">
        <f>IF(OR(Z4="",Z63=""),"",IFERROR(Z4*Z63,""))</f>
        <v/>
      </c>
      <c r="AA62" s="20">
        <f>IF(OR(AA4="",AA63=""),"",IFERROR(AA4*AA63,""))</f>
        <v/>
      </c>
      <c r="AB62" s="20">
        <f>IF(OR(AB4="",AB63=""),"",IFERROR(AB4*AB63,""))</f>
        <v/>
      </c>
      <c r="AC62" s="20">
        <f>IF(OR(AC4="",AC63=""),"",IFERROR(AC4*AC63,""))</f>
        <v/>
      </c>
    </row>
    <row r="63">
      <c r="A63" s="13" t="inlineStr">
        <is>
          <t>% of Sales</t>
        </is>
      </c>
      <c r="B63" s="10" t="n"/>
      <c r="C63" s="14">
        <f>IF(OR(C62="",C4=""),"",IFERROR(C62/C4,""))</f>
        <v/>
      </c>
      <c r="D63" s="15">
        <f>IF(OR(D62="",D4=""),"",IFERROR(D62/D4,""))</f>
        <v/>
      </c>
      <c r="E63" s="15">
        <f>IF(OR(E62="",E4=""),"",IFERROR(E62/E4,""))</f>
        <v/>
      </c>
      <c r="F63" s="15">
        <f>IF(OR(F62="",F4=""),"",IFERROR(F62/F4,""))</f>
        <v/>
      </c>
      <c r="G63" s="15">
        <f>IF(OR(G62="",G4=""),"",IFERROR(G62/G4,""))</f>
        <v/>
      </c>
      <c r="H63" s="15">
        <f>IF(OR(H62="",H4=""),"",IFERROR(H62/H4,""))</f>
        <v/>
      </c>
      <c r="I63" s="15">
        <f>IF(OR(I62="",I4=""),"",IFERROR(I62/I4,""))</f>
        <v/>
      </c>
      <c r="J63" s="15">
        <f>IF(OR(J62="",J4=""),"",IFERROR(J62/J4,""))</f>
        <v/>
      </c>
      <c r="K63" s="15">
        <f>IF(OR(K62="",K4=""),"",IFERROR(K62/K4,""))</f>
        <v/>
      </c>
      <c r="L63" s="15">
        <f>IF(OR(L62="",L4=""),"",IFERROR(L62/L4,""))</f>
        <v/>
      </c>
      <c r="M63" s="15">
        <f>IF(OR(M62="",M4=""),"",IFERROR(M62/M4,""))</f>
        <v/>
      </c>
      <c r="N63" s="15">
        <f>IF(OR(N62="",N4=""),"",IFERROR(N62/N4,""))</f>
        <v/>
      </c>
      <c r="O63" s="14">
        <f>IF(OR(O62="",O4=""),"",IFERROR(O62/O4,""))</f>
        <v/>
      </c>
      <c r="P63" s="15">
        <f>IF(OR(P62="",P4=""),"",IFERROR(P62/P4,""))</f>
        <v/>
      </c>
      <c r="Q63" s="15">
        <f>IF(OR(Q62="",Q4=""),"",IFERROR(Q62/Q4,""))</f>
        <v/>
      </c>
      <c r="R63" s="15">
        <f>IF(OR(R62="",R4=""),"",IFERROR(R62/R4,""))</f>
        <v/>
      </c>
      <c r="S63" s="15">
        <f>IF(OR(S62="",S4=""),"",IFERROR(S62/S4,""))</f>
        <v/>
      </c>
      <c r="T63" s="15">
        <f>IF(OR(T62="",T4=""),"",IFERROR(T62/T4,""))</f>
        <v/>
      </c>
      <c r="U63" s="15">
        <f>IF(OR(U62="",U4=""),"",IFERROR(U62/U4,""))</f>
        <v/>
      </c>
      <c r="V63" s="15">
        <f>IF(OR(V62="",V4=""),"",IFERROR(V62/V4,""))</f>
        <v/>
      </c>
      <c r="W63" s="15">
        <f>IF(OR(W62="",W4=""),"",IFERROR(W62/W4,""))</f>
        <v/>
      </c>
      <c r="X63" s="15">
        <f>IF(OR(X62="",X4=""),"",IFERROR(X62/X4,""))</f>
        <v/>
      </c>
      <c r="Y63" s="25">
        <f>IFERROR(AVERAGE(V63,W63,X63),"")</f>
        <v/>
      </c>
      <c r="Z63" s="26">
        <f>Y63</f>
        <v/>
      </c>
      <c r="AA63" s="26">
        <f>Z63</f>
        <v/>
      </c>
      <c r="AB63" s="26">
        <f>AA63</f>
        <v/>
      </c>
      <c r="AC63" s="26">
        <f>AB63</f>
        <v/>
      </c>
    </row>
    <row r="64">
      <c r="A64" s="9" t="inlineStr">
        <is>
          <t>법인세비용차감전순이익(손실)</t>
        </is>
      </c>
      <c r="B64" s="10" t="n"/>
      <c r="C64" s="11" t="n">
        <v>1349</v>
      </c>
      <c r="D64" s="12" t="n">
        <v>711</v>
      </c>
      <c r="E64" s="12" t="n">
        <v>1550</v>
      </c>
      <c r="F64" s="12" t="n">
        <v>2141</v>
      </c>
      <c r="G64" s="12" t="n">
        <v>832</v>
      </c>
      <c r="H64" s="12" t="n">
        <v>1157</v>
      </c>
      <c r="I64" s="12" t="n">
        <v>1122</v>
      </c>
      <c r="J64" s="12" t="n">
        <v>636</v>
      </c>
      <c r="K64" s="12" t="n">
        <v>2270</v>
      </c>
      <c r="L64" s="12" t="n">
        <v>2302</v>
      </c>
      <c r="M64" s="12" t="n">
        <v>1115</v>
      </c>
      <c r="N64" s="12" t="n">
        <v>2400</v>
      </c>
      <c r="O64" s="11" t="n">
        <v>6356</v>
      </c>
      <c r="P64" s="12" t="n">
        <v>3786</v>
      </c>
      <c r="Q64" s="12" t="n">
        <v>1119</v>
      </c>
      <c r="R64" s="12" t="n">
        <v>1492</v>
      </c>
      <c r="S64" s="12" t="n">
        <v>1484</v>
      </c>
      <c r="T64" s="12" t="n">
        <v>4033</v>
      </c>
      <c r="U64" s="12" t="n">
        <v>6684</v>
      </c>
      <c r="V64" s="12" t="n">
        <v>5023</v>
      </c>
      <c r="W64" s="12" t="n">
        <v>5252</v>
      </c>
      <c r="X64" s="12" t="n">
        <v>6323</v>
      </c>
      <c r="Y64" s="11">
        <f>IF(OR(Y40=""),"",IFERROR(Y40+N(Y56)-N(Y58)+N(Y60)-N(Y62),""))</f>
        <v/>
      </c>
      <c r="Z64" s="12">
        <f>IF(OR(Z40=""),"",IFERROR(Z40+N(Z56)-N(Z58)+N(Z60)-N(Z62),""))</f>
        <v/>
      </c>
      <c r="AA64" s="12">
        <f>IF(OR(AA40=""),"",IFERROR(AA40+N(AA56)-N(AA58)+N(AA60)-N(AA62),""))</f>
        <v/>
      </c>
      <c r="AB64" s="12">
        <f>IF(OR(AB40=""),"",IFERROR(AB40+N(AB56)-N(AB58)+N(AB60)-N(AB62),""))</f>
        <v/>
      </c>
      <c r="AC64" s="12">
        <f>IF(OR(AC40=""),"",IFERROR(AC40+N(AC56)-N(AC58)+N(AC60)-N(AC62),""))</f>
        <v/>
      </c>
    </row>
    <row r="65">
      <c r="A65" s="13" t="inlineStr">
        <is>
          <t>YoY</t>
        </is>
      </c>
      <c r="B65" s="10" t="n"/>
      <c r="C65" s="14" t="n"/>
      <c r="D65" s="15" t="n"/>
      <c r="E65" s="15" t="n"/>
      <c r="F65" s="15" t="n"/>
      <c r="G65" s="15">
        <f>IF(OR(G64="",C64=""),"",IF(C64&lt;=0,"",IFERROR(G64/C64-1,"")))</f>
        <v/>
      </c>
      <c r="H65" s="15">
        <f>IF(OR(H64="",D64=""),"",IF(D64&lt;=0,"",IFERROR(H64/D64-1,"")))</f>
        <v/>
      </c>
      <c r="I65" s="15">
        <f>IF(OR(I64="",E64=""),"",IF(E64&lt;=0,"",IFERROR(I64/E64-1,"")))</f>
        <v/>
      </c>
      <c r="J65" s="15">
        <f>IF(OR(J64="",F64=""),"",IF(F64&lt;=0,"",IFERROR(J64/F64-1,"")))</f>
        <v/>
      </c>
      <c r="K65" s="15">
        <f>IF(OR(K64="",G64=""),"",IF(G64&lt;=0,"",IFERROR(K64/G64-1,"")))</f>
        <v/>
      </c>
      <c r="L65" s="15">
        <f>IF(OR(L64="",H64=""),"",IF(H64&lt;=0,"",IFERROR(L64/H64-1,"")))</f>
        <v/>
      </c>
      <c r="M65" s="15">
        <f>IF(OR(M64="",I64=""),"",IF(I64&lt;=0,"",IFERROR(M64/I64-1,"")))</f>
        <v/>
      </c>
      <c r="N65" s="15">
        <f>IF(OR(N64="",J64=""),"",IF(J64&lt;=0,"",IFERROR(N64/J64-1,"")))</f>
        <v/>
      </c>
      <c r="O65" s="14" t="n"/>
      <c r="P65" s="15">
        <f>IF(OR(P64="",O64=""),"",IF(O64&lt;=0,"",IFERROR(P64/O64-1,"")))</f>
        <v/>
      </c>
      <c r="Q65" s="15">
        <f>IF(OR(Q64="",P64=""),"",IF(P64&lt;=0,"",IFERROR(Q64/P64-1,"")))</f>
        <v/>
      </c>
      <c r="R65" s="15">
        <f>IF(OR(R64="",Q64=""),"",IF(Q64&lt;=0,"",IFERROR(R64/Q64-1,"")))</f>
        <v/>
      </c>
      <c r="S65" s="15">
        <f>IF(OR(S64="",R64=""),"",IF(R64&lt;=0,"",IFERROR(S64/R64-1,"")))</f>
        <v/>
      </c>
      <c r="T65" s="15">
        <f>IF(OR(T64="",S64=""),"",IF(S64&lt;=0,"",IFERROR(T64/S64-1,"")))</f>
        <v/>
      </c>
      <c r="U65" s="15">
        <f>IF(OR(U64="",T64=""),"",IF(T64&lt;=0,"",IFERROR(U64/T64-1,"")))</f>
        <v/>
      </c>
      <c r="V65" s="15">
        <f>IF(OR(V64="",U64=""),"",IF(U64&lt;=0,"",IFERROR(V64/U64-1,"")))</f>
        <v/>
      </c>
      <c r="W65" s="15">
        <f>IF(OR(W64="",V64=""),"",IF(V64&lt;=0,"",IFERROR(W64/V64-1,"")))</f>
        <v/>
      </c>
      <c r="X65" s="15">
        <f>IF(OR(X64="",W64=""),"",IF(W64&lt;=0,"",IFERROR(X64/W64-1,"")))</f>
        <v/>
      </c>
      <c r="Y65" s="14">
        <f>IF(OR(Y64="",X64=""),"",IF(X64&lt;=0,"",IFERROR(Y64/X64-1,"")))</f>
        <v/>
      </c>
      <c r="Z65" s="15">
        <f>IF(OR(Z64="",Y64=""),"",IF(Y64&lt;=0,"",IFERROR(Z64/Y64-1,"")))</f>
        <v/>
      </c>
      <c r="AA65" s="15">
        <f>IF(OR(AA64="",Z64=""),"",IF(Z64&lt;=0,"",IFERROR(AA64/Z64-1,"")))</f>
        <v/>
      </c>
      <c r="AB65" s="15">
        <f>IF(OR(AB64="",AA64=""),"",IF(AA64&lt;=0,"",IFERROR(AB64/AA64-1,"")))</f>
        <v/>
      </c>
      <c r="AC65" s="15">
        <f>IF(OR(AC64="",AB64=""),"",IF(AB64&lt;=0,"",IFERROR(AC64/AB64-1,"")))</f>
        <v/>
      </c>
    </row>
    <row r="66">
      <c r="A66" s="18" t="inlineStr">
        <is>
          <t>법인세비용(수익)</t>
        </is>
      </c>
      <c r="B66" s="10" t="n"/>
      <c r="C66" s="19" t="n">
        <v>253</v>
      </c>
      <c r="D66" s="20" t="n">
        <v>234</v>
      </c>
      <c r="E66" s="20" t="n">
        <v>360</v>
      </c>
      <c r="F66" s="20" t="n">
        <v>611</v>
      </c>
      <c r="G66" s="20" t="n">
        <v>227</v>
      </c>
      <c r="H66" s="20" t="n">
        <v>342</v>
      </c>
      <c r="I66" s="20" t="n">
        <v>12</v>
      </c>
      <c r="J66" s="20" t="n">
        <v>270</v>
      </c>
      <c r="K66" s="20" t="n">
        <v>367</v>
      </c>
      <c r="L66" s="20" t="n">
        <v>650</v>
      </c>
      <c r="M66" s="20" t="n">
        <v>-249</v>
      </c>
      <c r="N66" s="20" t="n">
        <v>607</v>
      </c>
      <c r="O66" s="19" t="n">
        <v>1180</v>
      </c>
      <c r="P66" s="20" t="n">
        <v>1205</v>
      </c>
      <c r="Q66" s="20" t="n">
        <v>740</v>
      </c>
      <c r="R66" s="20" t="n">
        <v>916</v>
      </c>
      <c r="S66" s="20" t="n">
        <v>544</v>
      </c>
      <c r="T66" s="20" t="n">
        <v>1404</v>
      </c>
      <c r="U66" s="20" t="n">
        <v>1839</v>
      </c>
      <c r="V66" s="20" t="n">
        <v>1504</v>
      </c>
      <c r="W66" s="20" t="n">
        <v>1192</v>
      </c>
      <c r="X66" s="20" t="n">
        <v>1038</v>
      </c>
      <c r="Y66" s="19">
        <f>IF(OR(Y64="",Y67=""),"",IFERROR(MAX(Y64,0)*Y67,""))</f>
        <v/>
      </c>
      <c r="Z66" s="20">
        <f>IF(OR(Z64="",Z67=""),"",IFERROR(MAX(Z64,0)*Z67,""))</f>
        <v/>
      </c>
      <c r="AA66" s="20">
        <f>IF(OR(AA64="",AA67=""),"",IFERROR(MAX(AA64,0)*AA67,""))</f>
        <v/>
      </c>
      <c r="AB66" s="20">
        <f>IF(OR(AB64="",AB67=""),"",IFERROR(MAX(AB64,0)*AB67,""))</f>
        <v/>
      </c>
      <c r="AC66" s="20">
        <f>IF(OR(AC64="",AC67=""),"",IFERROR(MAX(AC64,0)*AC67,""))</f>
        <v/>
      </c>
    </row>
    <row r="67">
      <c r="A67" s="13" t="inlineStr">
        <is>
          <t>법인세율</t>
        </is>
      </c>
      <c r="B67" s="10" t="inlineStr">
        <is>
          <t>MW 기본 30%</t>
        </is>
      </c>
      <c r="C67" s="14">
        <f>IF(OR(C66="",C64=""),"",IFERROR(C66/C64,""))</f>
        <v/>
      </c>
      <c r="D67" s="15">
        <f>IF(OR(D66="",D64=""),"",IFERROR(D66/D64,""))</f>
        <v/>
      </c>
      <c r="E67" s="15">
        <f>IF(OR(E66="",E64=""),"",IFERROR(E66/E64,""))</f>
        <v/>
      </c>
      <c r="F67" s="15">
        <f>IF(OR(F66="",F64=""),"",IFERROR(F66/F64,""))</f>
        <v/>
      </c>
      <c r="G67" s="15">
        <f>IF(OR(G66="",G64=""),"",IFERROR(G66/G64,""))</f>
        <v/>
      </c>
      <c r="H67" s="15">
        <f>IF(OR(H66="",H64=""),"",IFERROR(H66/H64,""))</f>
        <v/>
      </c>
      <c r="I67" s="15">
        <f>IF(OR(I66="",I64=""),"",IFERROR(I66/I64,""))</f>
        <v/>
      </c>
      <c r="J67" s="15">
        <f>IF(OR(J66="",J64=""),"",IFERROR(J66/J64,""))</f>
        <v/>
      </c>
      <c r="K67" s="15">
        <f>IF(OR(K66="",K64=""),"",IFERROR(K66/K64,""))</f>
        <v/>
      </c>
      <c r="L67" s="15">
        <f>IF(OR(L66="",L64=""),"",IFERROR(L66/L64,""))</f>
        <v/>
      </c>
      <c r="M67" s="15">
        <f>IF(OR(M66="",M64=""),"",IFERROR(M66/M64,""))</f>
        <v/>
      </c>
      <c r="N67" s="15">
        <f>IF(OR(N66="",N64=""),"",IFERROR(N66/N64,""))</f>
        <v/>
      </c>
      <c r="O67" s="14">
        <f>IF(OR(O66="",O64=""),"",IFERROR(O66/O64,""))</f>
        <v/>
      </c>
      <c r="P67" s="15">
        <f>IF(OR(P66="",P64=""),"",IFERROR(P66/P64,""))</f>
        <v/>
      </c>
      <c r="Q67" s="15">
        <f>IF(OR(Q66="",Q64=""),"",IFERROR(Q66/Q64,""))</f>
        <v/>
      </c>
      <c r="R67" s="15">
        <f>IF(OR(R66="",R64=""),"",IFERROR(R66/R64,""))</f>
        <v/>
      </c>
      <c r="S67" s="15">
        <f>IF(OR(S66="",S64=""),"",IFERROR(S66/S64,""))</f>
        <v/>
      </c>
      <c r="T67" s="15">
        <f>IF(OR(T66="",T64=""),"",IFERROR(T66/T64,""))</f>
        <v/>
      </c>
      <c r="U67" s="15">
        <f>IF(OR(U66="",U64=""),"",IFERROR(U66/U64,""))</f>
        <v/>
      </c>
      <c r="V67" s="15">
        <f>IF(OR(V66="",V64=""),"",IFERROR(V66/V64,""))</f>
        <v/>
      </c>
      <c r="W67" s="15">
        <f>IF(OR(W66="",W64=""),"",IFERROR(W66/W64,""))</f>
        <v/>
      </c>
      <c r="X67" s="15">
        <f>IF(OR(X66="",X64=""),"",IFERROR(X66/X64,""))</f>
        <v/>
      </c>
      <c r="Y67" s="25" t="n">
        <v>0.3</v>
      </c>
      <c r="Z67" s="26" t="n">
        <v>0.3</v>
      </c>
      <c r="AA67" s="26" t="n">
        <v>0.3</v>
      </c>
      <c r="AB67" s="26" t="n">
        <v>0.3</v>
      </c>
      <c r="AC67" s="26" t="n">
        <v>0.3</v>
      </c>
    </row>
    <row r="68">
      <c r="A68" s="9" t="inlineStr">
        <is>
          <t>당기순이익(손실)</t>
        </is>
      </c>
      <c r="B68" s="10" t="n"/>
      <c r="C68" s="11" t="n">
        <v>1096</v>
      </c>
      <c r="D68" s="12" t="n">
        <v>476</v>
      </c>
      <c r="E68" s="12" t="n">
        <v>1191</v>
      </c>
      <c r="F68" s="12" t="n">
        <v>1530</v>
      </c>
      <c r="G68" s="12" t="n">
        <v>604</v>
      </c>
      <c r="H68" s="12" t="n">
        <v>815</v>
      </c>
      <c r="I68" s="12" t="n">
        <v>1110</v>
      </c>
      <c r="J68" s="12" t="n">
        <v>365</v>
      </c>
      <c r="K68" s="12" t="n">
        <v>1903</v>
      </c>
      <c r="L68" s="12" t="n">
        <v>1653</v>
      </c>
      <c r="M68" s="12" t="n">
        <v>1364</v>
      </c>
      <c r="N68" s="12" t="n">
        <v>1792</v>
      </c>
      <c r="O68" s="11" t="n">
        <v>5176</v>
      </c>
      <c r="P68" s="12" t="n">
        <v>2580</v>
      </c>
      <c r="Q68" s="12" t="n">
        <v>378</v>
      </c>
      <c r="R68" s="12" t="n">
        <v>575</v>
      </c>
      <c r="S68" s="12" t="n">
        <v>939</v>
      </c>
      <c r="T68" s="12" t="n">
        <v>2628</v>
      </c>
      <c r="U68" s="12" t="n">
        <v>4844</v>
      </c>
      <c r="V68" s="12" t="n">
        <v>3519</v>
      </c>
      <c r="W68" s="12" t="n">
        <v>4059</v>
      </c>
      <c r="X68" s="12" t="n">
        <v>5285</v>
      </c>
      <c r="Y68" s="11">
        <f>IF(OR(Y64=""),"",IFERROR(Y64-Y66,""))</f>
        <v/>
      </c>
      <c r="Z68" s="12">
        <f>IF(OR(Z64=""),"",IFERROR(Z64-Z66,""))</f>
        <v/>
      </c>
      <c r="AA68" s="12">
        <f>IF(OR(AA64=""),"",IFERROR(AA64-AA66,""))</f>
        <v/>
      </c>
      <c r="AB68" s="12">
        <f>IF(OR(AB64=""),"",IFERROR(AB64-AB66,""))</f>
        <v/>
      </c>
      <c r="AC68" s="12">
        <f>IF(OR(AC64=""),"",IFERROR(AC64-AC66,""))</f>
        <v/>
      </c>
    </row>
    <row r="69">
      <c r="A69" s="13" t="inlineStr">
        <is>
          <t>YoY</t>
        </is>
      </c>
      <c r="B69" s="10" t="n"/>
      <c r="C69" s="14" t="n"/>
      <c r="D69" s="15" t="n"/>
      <c r="E69" s="15" t="n"/>
      <c r="F69" s="15" t="n"/>
      <c r="G69" s="15">
        <f>IF(OR(G68="",C68=""),"",IF(C68&lt;=0,"",IFERROR(G68/C68-1,"")))</f>
        <v/>
      </c>
      <c r="H69" s="15">
        <f>IF(OR(H68="",D68=""),"",IF(D68&lt;=0,"",IFERROR(H68/D68-1,"")))</f>
        <v/>
      </c>
      <c r="I69" s="15">
        <f>IF(OR(I68="",E68=""),"",IF(E68&lt;=0,"",IFERROR(I68/E68-1,"")))</f>
        <v/>
      </c>
      <c r="J69" s="15">
        <f>IF(OR(J68="",F68=""),"",IF(F68&lt;=0,"",IFERROR(J68/F68-1,"")))</f>
        <v/>
      </c>
      <c r="K69" s="15">
        <f>IF(OR(K68="",G68=""),"",IF(G68&lt;=0,"",IFERROR(K68/G68-1,"")))</f>
        <v/>
      </c>
      <c r="L69" s="15">
        <f>IF(OR(L68="",H68=""),"",IF(H68&lt;=0,"",IFERROR(L68/H68-1,"")))</f>
        <v/>
      </c>
      <c r="M69" s="15">
        <f>IF(OR(M68="",I68=""),"",IF(I68&lt;=0,"",IFERROR(M68/I68-1,"")))</f>
        <v/>
      </c>
      <c r="N69" s="15">
        <f>IF(OR(N68="",J68=""),"",IF(J68&lt;=0,"",IFERROR(N68/J68-1,"")))</f>
        <v/>
      </c>
      <c r="O69" s="14" t="n"/>
      <c r="P69" s="15">
        <f>IF(OR(P68="",O68=""),"",IF(O68&lt;=0,"",IFERROR(P68/O68-1,"")))</f>
        <v/>
      </c>
      <c r="Q69" s="15">
        <f>IF(OR(Q68="",P68=""),"",IF(P68&lt;=0,"",IFERROR(Q68/P68-1,"")))</f>
        <v/>
      </c>
      <c r="R69" s="15">
        <f>IF(OR(R68="",Q68=""),"",IF(Q68&lt;=0,"",IFERROR(R68/Q68-1,"")))</f>
        <v/>
      </c>
      <c r="S69" s="15">
        <f>IF(OR(S68="",R68=""),"",IF(R68&lt;=0,"",IFERROR(S68/R68-1,"")))</f>
        <v/>
      </c>
      <c r="T69" s="15">
        <f>IF(OR(T68="",S68=""),"",IF(S68&lt;=0,"",IFERROR(T68/S68-1,"")))</f>
        <v/>
      </c>
      <c r="U69" s="15">
        <f>IF(OR(U68="",T68=""),"",IF(T68&lt;=0,"",IFERROR(U68/T68-1,"")))</f>
        <v/>
      </c>
      <c r="V69" s="15">
        <f>IF(OR(V68="",U68=""),"",IF(U68&lt;=0,"",IFERROR(V68/U68-1,"")))</f>
        <v/>
      </c>
      <c r="W69" s="15">
        <f>IF(OR(W68="",V68=""),"",IF(V68&lt;=0,"",IFERROR(W68/V68-1,"")))</f>
        <v/>
      </c>
      <c r="X69" s="15">
        <f>IF(OR(X68="",W68=""),"",IF(W68&lt;=0,"",IFERROR(X68/W68-1,"")))</f>
        <v/>
      </c>
      <c r="Y69" s="14">
        <f>IF(OR(Y68="",X68=""),"",IF(X68&lt;=0,"",IFERROR(Y68/X68-1,"")))</f>
        <v/>
      </c>
      <c r="Z69" s="15">
        <f>IF(OR(Z68="",Y68=""),"",IF(Y68&lt;=0,"",IFERROR(Z68/Y68-1,"")))</f>
        <v/>
      </c>
      <c r="AA69" s="15">
        <f>IF(OR(AA68="",Z68=""),"",IF(Z68&lt;=0,"",IFERROR(AA68/Z68-1,"")))</f>
        <v/>
      </c>
      <c r="AB69" s="15">
        <f>IF(OR(AB68="",AA68=""),"",IF(AA68&lt;=0,"",IFERROR(AB68/AA68-1,"")))</f>
        <v/>
      </c>
      <c r="AC69" s="15">
        <f>IF(OR(AC68="",AB68=""),"",IF(AB68&lt;=0,"",IFERROR(AC68/AB68-1,"")))</f>
        <v/>
      </c>
    </row>
    <row r="70">
      <c r="A70" s="9" t="inlineStr">
        <is>
          <t>지배주주 순이익</t>
        </is>
      </c>
      <c r="B70" s="10" t="n"/>
      <c r="C70" s="11" t="n">
        <v>1063</v>
      </c>
      <c r="D70" s="12" t="n">
        <v>486</v>
      </c>
      <c r="E70" s="12" t="n">
        <v>1159</v>
      </c>
      <c r="F70" s="12" t="n">
        <v>1518</v>
      </c>
      <c r="G70" s="12" t="n">
        <v>576</v>
      </c>
      <c r="H70" s="12" t="n">
        <v>778</v>
      </c>
      <c r="I70" s="12" t="n">
        <v>1071</v>
      </c>
      <c r="J70" s="12" t="n">
        <v>362</v>
      </c>
      <c r="K70" s="12" t="n">
        <v>1885</v>
      </c>
      <c r="L70" s="12" t="n">
        <v>1629</v>
      </c>
      <c r="M70" s="12" t="n">
        <v>1357</v>
      </c>
      <c r="N70" s="12" t="n">
        <v>1782</v>
      </c>
      <c r="O70" s="11" t="n">
        <v>5152</v>
      </c>
      <c r="P70" s="12" t="n">
        <v>2536</v>
      </c>
      <c r="Q70" s="12" t="n">
        <v>332</v>
      </c>
      <c r="R70" s="12" t="n">
        <v>489</v>
      </c>
      <c r="S70" s="12" t="n">
        <v>893</v>
      </c>
      <c r="T70" s="12" t="n">
        <v>2528</v>
      </c>
      <c r="U70" s="12" t="n">
        <v>4621</v>
      </c>
      <c r="V70" s="12" t="n">
        <v>3443</v>
      </c>
      <c r="W70" s="12" t="n">
        <v>3943</v>
      </c>
      <c r="X70" s="12" t="n">
        <v>5233</v>
      </c>
      <c r="Y70" s="11">
        <f>IF(OR(Y68="",Y71=""),"",IFERROR(Y68*Y71,""))</f>
        <v/>
      </c>
      <c r="Z70" s="12">
        <f>IF(OR(Z68="",Z71=""),"",IFERROR(Z68*Z71,""))</f>
        <v/>
      </c>
      <c r="AA70" s="12">
        <f>IF(OR(AA68="",AA71=""),"",IFERROR(AA68*AA71,""))</f>
        <v/>
      </c>
      <c r="AB70" s="12">
        <f>IF(OR(AB68="",AB71=""),"",IFERROR(AB68*AB71,""))</f>
        <v/>
      </c>
      <c r="AC70" s="12">
        <f>IF(OR(AC68="",AC71=""),"",IFERROR(AC68*AC71,""))</f>
        <v/>
      </c>
    </row>
    <row r="71">
      <c r="A71" s="13" t="inlineStr">
        <is>
          <t>지배주주 순이익률</t>
        </is>
      </c>
      <c r="B71" s="10" t="inlineStr">
        <is>
          <t>MW 기본 100%</t>
        </is>
      </c>
      <c r="C71" s="14">
        <f>IF(OR(C70="",C68=""),"",IFERROR(C70/C68,""))</f>
        <v/>
      </c>
      <c r="D71" s="15">
        <f>IF(OR(D70="",D68=""),"",IFERROR(D70/D68,""))</f>
        <v/>
      </c>
      <c r="E71" s="15">
        <f>IF(OR(E70="",E68=""),"",IFERROR(E70/E68,""))</f>
        <v/>
      </c>
      <c r="F71" s="15">
        <f>IF(OR(F70="",F68=""),"",IFERROR(F70/F68,""))</f>
        <v/>
      </c>
      <c r="G71" s="15">
        <f>IF(OR(G70="",G68=""),"",IFERROR(G70/G68,""))</f>
        <v/>
      </c>
      <c r="H71" s="15">
        <f>IF(OR(H70="",H68=""),"",IFERROR(H70/H68,""))</f>
        <v/>
      </c>
      <c r="I71" s="15">
        <f>IF(OR(I70="",I68=""),"",IFERROR(I70/I68,""))</f>
        <v/>
      </c>
      <c r="J71" s="15">
        <f>IF(OR(J70="",J68=""),"",IFERROR(J70/J68,""))</f>
        <v/>
      </c>
      <c r="K71" s="15">
        <f>IF(OR(K70="",K68=""),"",IFERROR(K70/K68,""))</f>
        <v/>
      </c>
      <c r="L71" s="15">
        <f>IF(OR(L70="",L68=""),"",IFERROR(L70/L68,""))</f>
        <v/>
      </c>
      <c r="M71" s="15">
        <f>IF(OR(M70="",M68=""),"",IFERROR(M70/M68,""))</f>
        <v/>
      </c>
      <c r="N71" s="15">
        <f>IF(OR(N70="",N68=""),"",IFERROR(N70/N68,""))</f>
        <v/>
      </c>
      <c r="O71" s="14">
        <f>IF(OR(O70="",O68=""),"",IFERROR(O70/O68,""))</f>
        <v/>
      </c>
      <c r="P71" s="15">
        <f>IF(OR(P70="",P68=""),"",IFERROR(P70/P68,""))</f>
        <v/>
      </c>
      <c r="Q71" s="15">
        <f>IF(OR(Q70="",Q68=""),"",IFERROR(Q70/Q68,""))</f>
        <v/>
      </c>
      <c r="R71" s="15">
        <f>IF(OR(R70="",R68=""),"",IFERROR(R70/R68,""))</f>
        <v/>
      </c>
      <c r="S71" s="15">
        <f>IF(OR(S70="",S68=""),"",IFERROR(S70/S68,""))</f>
        <v/>
      </c>
      <c r="T71" s="15">
        <f>IF(OR(T70="",T68=""),"",IFERROR(T70/T68,""))</f>
        <v/>
      </c>
      <c r="U71" s="15">
        <f>IF(OR(U70="",U68=""),"",IFERROR(U70/U68,""))</f>
        <v/>
      </c>
      <c r="V71" s="15">
        <f>IF(OR(V70="",V68=""),"",IFERROR(V70/V68,""))</f>
        <v/>
      </c>
      <c r="W71" s="15">
        <f>IF(OR(W70="",W68=""),"",IFERROR(W70/W68,""))</f>
        <v/>
      </c>
      <c r="X71" s="15">
        <f>IF(OR(X70="",X68=""),"",IFERROR(X70/X68,""))</f>
        <v/>
      </c>
      <c r="Y71" s="25" t="n">
        <v>1</v>
      </c>
      <c r="Z71" s="26" t="n">
        <v>1</v>
      </c>
      <c r="AA71" s="26" t="n">
        <v>1</v>
      </c>
      <c r="AB71" s="26" t="n">
        <v>1</v>
      </c>
      <c r="AC71" s="26" t="n">
        <v>1</v>
      </c>
    </row>
    <row r="72">
      <c r="A72" s="13" t="inlineStr">
        <is>
          <t>지배주주 순이익 YoY</t>
        </is>
      </c>
      <c r="B72" s="10" t="n"/>
      <c r="C72" s="14" t="n"/>
      <c r="D72" s="15" t="n"/>
      <c r="E72" s="15" t="n"/>
      <c r="F72" s="15" t="n"/>
      <c r="G72" s="15">
        <f>IF(OR(G70="",C70=""),"",IF(C70&lt;=0,"",IFERROR(G70/C70-1,"")))</f>
        <v/>
      </c>
      <c r="H72" s="15">
        <f>IF(OR(H70="",D70=""),"",IF(D70&lt;=0,"",IFERROR(H70/D70-1,"")))</f>
        <v/>
      </c>
      <c r="I72" s="15">
        <f>IF(OR(I70="",E70=""),"",IF(E70&lt;=0,"",IFERROR(I70/E70-1,"")))</f>
        <v/>
      </c>
      <c r="J72" s="15">
        <f>IF(OR(J70="",F70=""),"",IF(F70&lt;=0,"",IFERROR(J70/F70-1,"")))</f>
        <v/>
      </c>
      <c r="K72" s="15">
        <f>IF(OR(K70="",G70=""),"",IF(G70&lt;=0,"",IFERROR(K70/G70-1,"")))</f>
        <v/>
      </c>
      <c r="L72" s="15">
        <f>IF(OR(L70="",H70=""),"",IF(H70&lt;=0,"",IFERROR(L70/H70-1,"")))</f>
        <v/>
      </c>
      <c r="M72" s="15">
        <f>IF(OR(M70="",I70=""),"",IF(I70&lt;=0,"",IFERROR(M70/I70-1,"")))</f>
        <v/>
      </c>
      <c r="N72" s="15">
        <f>IF(OR(N70="",J70=""),"",IF(J70&lt;=0,"",IFERROR(N70/J70-1,"")))</f>
        <v/>
      </c>
      <c r="O72" s="14" t="n"/>
      <c r="P72" s="15">
        <f>IF(OR(P70="",O70=""),"",IF(O70&lt;=0,"",IFERROR(P70/O70-1,"")))</f>
        <v/>
      </c>
      <c r="Q72" s="15">
        <f>IF(OR(Q70="",P70=""),"",IF(P70&lt;=0,"",IFERROR(Q70/P70-1,"")))</f>
        <v/>
      </c>
      <c r="R72" s="15">
        <f>IF(OR(R70="",Q70=""),"",IF(Q70&lt;=0,"",IFERROR(R70/Q70-1,"")))</f>
        <v/>
      </c>
      <c r="S72" s="15">
        <f>IF(OR(S70="",R70=""),"",IF(R70&lt;=0,"",IFERROR(S70/R70-1,"")))</f>
        <v/>
      </c>
      <c r="T72" s="15">
        <f>IF(OR(T70="",S70=""),"",IF(S70&lt;=0,"",IFERROR(T70/S70-1,"")))</f>
        <v/>
      </c>
      <c r="U72" s="15">
        <f>IF(OR(U70="",T70=""),"",IF(T70&lt;=0,"",IFERROR(U70/T70-1,"")))</f>
        <v/>
      </c>
      <c r="V72" s="15">
        <f>IF(OR(V70="",U70=""),"",IF(U70&lt;=0,"",IFERROR(V70/U70-1,"")))</f>
        <v/>
      </c>
      <c r="W72" s="15">
        <f>IF(OR(W70="",V70=""),"",IF(V70&lt;=0,"",IFERROR(W70/V70-1,"")))</f>
        <v/>
      </c>
      <c r="X72" s="15">
        <f>IF(OR(X70="",W70=""),"",IF(W70&lt;=0,"",IFERROR(X70/W70-1,"")))</f>
        <v/>
      </c>
      <c r="Y72" s="14">
        <f>IF(OR(Y70="",X70=""),"",IF(X70&lt;=0,"",IFERROR(Y70/X70-1,"")))</f>
        <v/>
      </c>
      <c r="Z72" s="15">
        <f>IF(OR(Z70="",Y70=""),"",IF(Y70&lt;=0,"",IFERROR(Z70/Y70-1,"")))</f>
        <v/>
      </c>
      <c r="AA72" s="15">
        <f>IF(OR(AA70="",Z70=""),"",IF(Z70&lt;=0,"",IFERROR(AA70/Z70-1,"")))</f>
        <v/>
      </c>
      <c r="AB72" s="15">
        <f>IF(OR(AB70="",AA70=""),"",IF(AA70&lt;=0,"",IFERROR(AB70/AA70-1,"")))</f>
        <v/>
      </c>
      <c r="AC72" s="15">
        <f>IF(OR(AC70="",AB70=""),"",IF(AB70&lt;=0,"",IFERROR(AC70/AB70-1,"")))</f>
        <v/>
      </c>
    </row>
    <row r="73">
      <c r="A73" s="16" t="inlineStr">
        <is>
          <t>목표주가 산출</t>
        </is>
      </c>
      <c r="B73" s="16" t="n"/>
      <c r="C73" s="17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7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7" t="n"/>
      <c r="Z73" s="16" t="n"/>
      <c r="AA73" s="16" t="n"/>
      <c r="AB73" s="16" t="n"/>
      <c r="AC73" s="16" t="n"/>
    </row>
    <row r="74">
      <c r="A74" s="18" t="inlineStr">
        <is>
          <t>현재 주가 (2026.10.28)</t>
        </is>
      </c>
      <c r="B74" s="27" t="n">
        <v>9590</v>
      </c>
      <c r="C74" s="28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8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8" t="n"/>
      <c r="Z74" s="29" t="n"/>
      <c r="AA74" s="29" t="n"/>
      <c r="AB74" s="29" t="n"/>
      <c r="AC74" s="29" t="n"/>
    </row>
    <row r="75">
      <c r="A75" s="18" t="inlineStr">
        <is>
          <t>발행주식수 (보통주)</t>
        </is>
      </c>
      <c r="B75" s="27" t="n">
        <v>9732897</v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8" t="n"/>
      <c r="Z75" s="29" t="n"/>
      <c r="AA75" s="29" t="n"/>
      <c r="AB75" s="29" t="n"/>
      <c r="AC75" s="29" t="n"/>
    </row>
    <row r="76">
      <c r="A76" s="18" t="inlineStr">
        <is>
          <t>시가총액 (백만엔)</t>
        </is>
      </c>
      <c r="B76" s="12">
        <f>IF(OR(B74="",B75=""),"",B74*B75/1000000.0)</f>
        <v/>
      </c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19" t="n"/>
      <c r="Z76" s="20" t="n"/>
      <c r="AA76" s="20" t="n"/>
      <c r="AB76" s="20" t="n"/>
      <c r="AC76" s="20" t="n"/>
    </row>
    <row r="77">
      <c r="A77" s="13" t="inlineStr">
        <is>
          <t>OPM</t>
        </is>
      </c>
      <c r="B77" s="10" t="n"/>
      <c r="C77" s="14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4">
        <f>IF(O41="","",O41)</f>
        <v/>
      </c>
      <c r="P77" s="15">
        <f>IF(P41="","",P41)</f>
        <v/>
      </c>
      <c r="Q77" s="15">
        <f>IF(Q41="","",Q41)</f>
        <v/>
      </c>
      <c r="R77" s="15">
        <f>IF(R41="","",R41)</f>
        <v/>
      </c>
      <c r="S77" s="15">
        <f>IF(S41="","",S41)</f>
        <v/>
      </c>
      <c r="T77" s="15">
        <f>IF(T41="","",T41)</f>
        <v/>
      </c>
      <c r="U77" s="15">
        <f>IF(U41="","",U41)</f>
        <v/>
      </c>
      <c r="V77" s="15">
        <f>IF(V41="","",V41)</f>
        <v/>
      </c>
      <c r="W77" s="15">
        <f>IF(W41="","",W41)</f>
        <v/>
      </c>
      <c r="X77" s="15">
        <f>IF(X41="","",X41)</f>
        <v/>
      </c>
      <c r="Y77" s="14">
        <f>IF(Y41="","",Y41)</f>
        <v/>
      </c>
      <c r="Z77" s="15">
        <f>IF(Z41="","",Z41)</f>
        <v/>
      </c>
      <c r="AA77" s="15">
        <f>IF(AA41="","",AA41)</f>
        <v/>
      </c>
      <c r="AB77" s="15">
        <f>IF(AB41="","",AB41)</f>
        <v/>
      </c>
      <c r="AC77" s="15">
        <f>IF(AC41="","",AC41)</f>
        <v/>
      </c>
    </row>
    <row r="78">
      <c r="A78" s="13" t="inlineStr">
        <is>
          <t>지배주주 순이익 증가율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>
        <f>IF(OR(P70="",O70=""),"",IFERROR(P70/O70-1,""))</f>
        <v/>
      </c>
      <c r="Q78" s="15">
        <f>IF(OR(Q70="",P70=""),"",IFERROR(Q70/P70-1,""))</f>
        <v/>
      </c>
      <c r="R78" s="15">
        <f>IF(OR(R70="",Q70=""),"",IFERROR(R70/Q70-1,""))</f>
        <v/>
      </c>
      <c r="S78" s="15">
        <f>IF(OR(S70="",R70=""),"",IFERROR(S70/R70-1,""))</f>
        <v/>
      </c>
      <c r="T78" s="15">
        <f>IF(OR(T70="",S70=""),"",IFERROR(T70/S70-1,""))</f>
        <v/>
      </c>
      <c r="U78" s="15">
        <f>IF(OR(U70="",T70=""),"",IFERROR(U70/T70-1,""))</f>
        <v/>
      </c>
      <c r="V78" s="15">
        <f>IF(OR(V70="",U70=""),"",IFERROR(V70/U70-1,""))</f>
        <v/>
      </c>
      <c r="W78" s="15">
        <f>IF(OR(W70="",V70=""),"",IFERROR(W70/V70-1,""))</f>
        <v/>
      </c>
      <c r="X78" s="15">
        <f>IF(OR(X70="",W70=""),"",IFERROR(X70/W70-1,""))</f>
        <v/>
      </c>
      <c r="Y78" s="14">
        <f>IF(OR(Y70="",X70=""),"",IFERROR(Y70/X70-1,""))</f>
        <v/>
      </c>
      <c r="Z78" s="15">
        <f>IF(OR(Z70="",Y70=""),"",IFERROR(Z70/Y70-1,""))</f>
        <v/>
      </c>
      <c r="AA78" s="15">
        <f>IF(OR(AA70="",Z70=""),"",IFERROR(AA70/Z70-1,""))</f>
        <v/>
      </c>
      <c r="AB78" s="15">
        <f>IF(OR(AB70="",AA70=""),"",IFERROR(AB70/AA70-1,""))</f>
        <v/>
      </c>
      <c r="AC78" s="15">
        <f>IF(OR(AC70="",AB70=""),"",IFERROR(AC70/AB70-1,""))</f>
        <v/>
      </c>
    </row>
    <row r="79">
      <c r="A79" s="18" t="inlineStr">
        <is>
          <t>P/E (현재 주가)</t>
        </is>
      </c>
      <c r="B79" s="10" t="inlineStr">
        <is>
          <t>시총 ÷ 지배순이익</t>
        </is>
      </c>
      <c r="C79" s="30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0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>
        <f>IF(OR($B$76="",X70=""),"",IFERROR($B$76/X70,""))</f>
        <v/>
      </c>
      <c r="Y79" s="30">
        <f>IF(OR($B$76="",Y70=""),"",IFERROR($B$76/Y70,""))</f>
        <v/>
      </c>
      <c r="Z79" s="31">
        <f>IF(OR($B$76="",Z70=""),"",IFERROR($B$76/Z70,""))</f>
        <v/>
      </c>
      <c r="AA79" s="31">
        <f>IF(OR($B$76="",AA70=""),"",IFERROR($B$76/AA70,""))</f>
        <v/>
      </c>
      <c r="AB79" s="31">
        <f>IF(OR($B$76="",AB70=""),"",IFERROR($B$76/AB70,""))</f>
        <v/>
      </c>
      <c r="AC79" s="31">
        <f>IF(OR($B$76="",AC70=""),"",IFERROR($B$76/AC70,""))</f>
        <v/>
      </c>
    </row>
    <row r="80">
      <c r="A80" s="18" t="inlineStr">
        <is>
          <t>Target P/E</t>
        </is>
      </c>
      <c r="B80" s="10" t="inlineStr">
        <is>
          <t>직접 입력</t>
        </is>
      </c>
      <c r="C80" s="30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0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2" t="n"/>
      <c r="Z80" s="33" t="n"/>
      <c r="AA80" s="33" t="n"/>
      <c r="AB80" s="33" t="n"/>
      <c r="AC80" s="33" t="n"/>
    </row>
    <row r="81">
      <c r="A81" s="18" t="inlineStr">
        <is>
          <t>EPS</t>
        </is>
      </c>
      <c r="B81" s="10" t="inlineStr">
        <is>
          <t>지배순이익 ÷ 주식수</t>
        </is>
      </c>
      <c r="C81" s="28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8">
        <f>IF(OR(O70="",$B$75=""),"",IFERROR(O70*1000000.0/$B$75,""))</f>
        <v/>
      </c>
      <c r="P81" s="29">
        <f>IF(OR(P70="",$B$75=""),"",IFERROR(P70*1000000.0/$B$75,""))</f>
        <v/>
      </c>
      <c r="Q81" s="29">
        <f>IF(OR(Q70="",$B$75=""),"",IFERROR(Q70*1000000.0/$B$75,""))</f>
        <v/>
      </c>
      <c r="R81" s="29">
        <f>IF(OR(R70="",$B$75=""),"",IFERROR(R70*1000000.0/$B$75,""))</f>
        <v/>
      </c>
      <c r="S81" s="29">
        <f>IF(OR(S70="",$B$75=""),"",IFERROR(S70*1000000.0/$B$75,""))</f>
        <v/>
      </c>
      <c r="T81" s="29">
        <f>IF(OR(T70="",$B$75=""),"",IFERROR(T70*1000000.0/$B$75,""))</f>
        <v/>
      </c>
      <c r="U81" s="29">
        <f>IF(OR(U70="",$B$75=""),"",IFERROR(U70*1000000.0/$B$75,""))</f>
        <v/>
      </c>
      <c r="V81" s="29">
        <f>IF(OR(V70="",$B$75=""),"",IFERROR(V70*1000000.0/$B$75,""))</f>
        <v/>
      </c>
      <c r="W81" s="29">
        <f>IF(OR(W70="",$B$75=""),"",IFERROR(W70*1000000.0/$B$75,""))</f>
        <v/>
      </c>
      <c r="X81" s="29">
        <f>IF(OR(X70="",$B$75=""),"",IFERROR(X70*1000000.0/$B$75,""))</f>
        <v/>
      </c>
      <c r="Y81" s="28">
        <f>IF(OR(Y70="",$B$75=""),"",IFERROR(Y70*1000000.0/$B$75,""))</f>
        <v/>
      </c>
      <c r="Z81" s="29">
        <f>IF(OR(Z70="",$B$75=""),"",IFERROR(Z70*1000000.0/$B$75,""))</f>
        <v/>
      </c>
      <c r="AA81" s="29">
        <f>IF(OR(AA70="",$B$75=""),"",IFERROR(AA70*1000000.0/$B$75,""))</f>
        <v/>
      </c>
      <c r="AB81" s="29">
        <f>IF(OR(AB70="",$B$75=""),"",IFERROR(AB70*1000000.0/$B$75,""))</f>
        <v/>
      </c>
      <c r="AC81" s="29">
        <f>IF(OR(AC70="",$B$75=""),"",IFERROR(AC70*1000000.0/$B$75,""))</f>
        <v/>
      </c>
    </row>
    <row r="82">
      <c r="A82" s="9" t="inlineStr">
        <is>
          <t>목표주가</t>
        </is>
      </c>
      <c r="B82" s="10" t="n"/>
      <c r="C82" s="34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34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34">
        <f>IF(OR(Y81="",Y80=""),"",IFERROR(Y81*Y80,""))</f>
        <v/>
      </c>
      <c r="Z82" s="27">
        <f>IF(OR(Z81="",Z80=""),"",IFERROR(Z81*Z80,""))</f>
        <v/>
      </c>
      <c r="AA82" s="27">
        <f>IF(OR(AA81="",AA80=""),"",IFERROR(AA81*AA80,""))</f>
        <v/>
      </c>
      <c r="AB82" s="27">
        <f>IF(OR(AB81="",AB80=""),"",IFERROR(AB81*AB80,""))</f>
        <v/>
      </c>
      <c r="AC82" s="27">
        <f>IF(OR(AC81="",AC80=""),"",IFERROR(AC81*AC80,""))</f>
        <v/>
      </c>
    </row>
    <row r="83">
      <c r="A83" s="18" t="inlineStr">
        <is>
          <t>상승여력</t>
        </is>
      </c>
      <c r="B83" s="10" t="n"/>
      <c r="C83" s="35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5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7">
        <f>IF(OR(Y82="",$B$74=""),"",IFERROR(Y82/$B$74-1,""))</f>
        <v/>
      </c>
      <c r="Z83" s="38">
        <f>IF(OR(Z82="",$B$74=""),"",IFERROR(Z82/$B$74-1,""))</f>
        <v/>
      </c>
      <c r="AA83" s="38">
        <f>IF(OR(AA82="",$B$74=""),"",IFERROR(AA82/$B$74-1,""))</f>
        <v/>
      </c>
      <c r="AB83" s="38">
        <f>IF(OR(AB82="",$B$74=""),"",IFERROR(AB82/$B$74-1,""))</f>
        <v/>
      </c>
      <c r="AC83" s="38">
        <f>IF(OR(AC82="",$B$74=""),"",IFERROR(AC82/$B$74-1,""))</f>
        <v/>
      </c>
    </row>
    <row r="84">
      <c r="A84" s="16" t="inlineStr">
        <is>
          <t>자산가치 산출</t>
        </is>
      </c>
      <c r="B84" s="16" t="inlineStr">
        <is>
          <t>최신 분기 BS</t>
        </is>
      </c>
      <c r="C84" s="17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7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7" t="n"/>
      <c r="Z84" s="16" t="n"/>
      <c r="AA84" s="16" t="n"/>
      <c r="AB84" s="16" t="n"/>
      <c r="AC84" s="16" t="n"/>
    </row>
    <row r="85">
      <c r="A85" s="18" t="inlineStr">
        <is>
          <t>현금및현금성자산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'재무상태표'!G6</f>
        <v/>
      </c>
      <c r="Y85" s="19">
        <f>'재무상태표'!G6</f>
        <v/>
      </c>
      <c r="Z85" s="20">
        <f>'재무상태표'!G6</f>
        <v/>
      </c>
      <c r="AA85" s="20">
        <f>'재무상태표'!G6</f>
        <v/>
      </c>
      <c r="AB85" s="20">
        <f>'재무상태표'!G6</f>
        <v/>
      </c>
      <c r="AC85" s="20">
        <f>'재무상태표'!G6</f>
        <v/>
      </c>
    </row>
    <row r="86">
      <c r="A86" s="18" t="inlineStr">
        <is>
          <t>단기금융상품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'재무상태표'!G7</f>
        <v/>
      </c>
      <c r="Y86" s="19">
        <f>'재무상태표'!G7</f>
        <v/>
      </c>
      <c r="Z86" s="20">
        <f>'재무상태표'!G7</f>
        <v/>
      </c>
      <c r="AA86" s="20">
        <f>'재무상태표'!G7</f>
        <v/>
      </c>
      <c r="AB86" s="20">
        <f>'재무상태표'!G7</f>
        <v/>
      </c>
      <c r="AC86" s="20">
        <f>'재무상태표'!G7</f>
        <v/>
      </c>
    </row>
    <row r="87">
      <c r="A87" s="18" t="inlineStr">
        <is>
          <t>투자부동산</t>
        </is>
      </c>
      <c r="B87" s="10" t="n"/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>
        <f>'재무상태표'!G14</f>
        <v/>
      </c>
      <c r="Y87" s="19">
        <f>'재무상태표'!G14</f>
        <v/>
      </c>
      <c r="Z87" s="20">
        <f>'재무상태표'!G14</f>
        <v/>
      </c>
      <c r="AA87" s="20">
        <f>'재무상태표'!G14</f>
        <v/>
      </c>
      <c r="AB87" s="20">
        <f>'재무상태표'!G14</f>
        <v/>
      </c>
      <c r="AC87" s="20">
        <f>'재무상태표'!G14</f>
        <v/>
      </c>
    </row>
    <row r="88">
      <c r="A88" s="18" t="inlineStr">
        <is>
          <t>지배자본</t>
        </is>
      </c>
      <c r="B88" s="10" t="n"/>
      <c r="C88" s="19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19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>
        <f>'재무상태표'!G31</f>
        <v/>
      </c>
      <c r="Y88" s="19">
        <f>'재무상태표'!G31</f>
        <v/>
      </c>
      <c r="Z88" s="20">
        <f>'재무상태표'!G31</f>
        <v/>
      </c>
      <c r="AA88" s="20">
        <f>'재무상태표'!G31</f>
        <v/>
      </c>
      <c r="AB88" s="20">
        <f>'재무상태표'!G31</f>
        <v/>
      </c>
      <c r="AC88" s="20">
        <f>'재무상태표'!G31</f>
        <v/>
      </c>
    </row>
    <row r="89">
      <c r="A89" s="18" t="inlineStr">
        <is>
          <t>부채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>
        <f>'재무상태표'!G27</f>
        <v/>
      </c>
      <c r="Y89" s="19">
        <f>'재무상태표'!G27</f>
        <v/>
      </c>
      <c r="Z89" s="20">
        <f>'재무상태표'!G27</f>
        <v/>
      </c>
      <c r="AA89" s="20">
        <f>'재무상태표'!G27</f>
        <v/>
      </c>
      <c r="AB89" s="20">
        <f>'재무상태표'!G27</f>
        <v/>
      </c>
      <c r="AC89" s="20">
        <f>'재무상태표'!G27</f>
        <v/>
      </c>
    </row>
    <row r="90">
      <c r="A90" s="13" t="inlineStr">
        <is>
          <t>부채비율</t>
        </is>
      </c>
      <c r="B90" s="10" t="n"/>
      <c r="C90" s="14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4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>
        <f>IF(OR(X89="",X88=""),"",IFERROR(X89/X88,""))</f>
        <v/>
      </c>
      <c r="Y90" s="14">
        <f>IF(OR(Y89="",Y88=""),"",IFERROR(Y89/Y88,""))</f>
        <v/>
      </c>
      <c r="Z90" s="15">
        <f>IF(OR(Z89="",Z88=""),"",IFERROR(Z89/Z88,""))</f>
        <v/>
      </c>
      <c r="AA90" s="15">
        <f>IF(OR(AA89="",AA88=""),"",IFERROR(AA89/AA88,""))</f>
        <v/>
      </c>
      <c r="AB90" s="15">
        <f>IF(OR(AB89="",AB88=""),"",IFERROR(AB89/AB88,""))</f>
        <v/>
      </c>
      <c r="AC90" s="15">
        <f>IF(OR(AC89="",AC88=""),"",IFERROR(AC89/AC88,""))</f>
        <v/>
      </c>
    </row>
    <row r="91">
      <c r="A91" s="9" t="inlineStr">
        <is>
          <t>자산가치</t>
        </is>
      </c>
      <c r="B91" s="10" t="inlineStr">
        <is>
          <t>현금+단기금융+투자부동산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>
        <f>SUM(X85,X86,X87)</f>
        <v/>
      </c>
      <c r="Y91" s="11">
        <f>SUM(Y85,Y86,Y87)</f>
        <v/>
      </c>
      <c r="Z91" s="12">
        <f>SUM(Z85,Z86,Z87)</f>
        <v/>
      </c>
      <c r="AA91" s="12">
        <f>SUM(AA85,AA86,AA87)</f>
        <v/>
      </c>
      <c r="AB91" s="12">
        <f>SUM(AB85,AB86,AB87)</f>
        <v/>
      </c>
      <c r="AC91" s="12">
        <f>SUM(AC85,AC86,AC87)</f>
        <v/>
      </c>
    </row>
    <row r="92">
      <c r="A92" s="16" t="inlineStr">
        <is>
          <t>기업가치 산출</t>
        </is>
      </c>
      <c r="B92" s="16" t="n"/>
      <c r="C92" s="17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7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7" t="n"/>
      <c r="Z92" s="16" t="n"/>
      <c r="AA92" s="16" t="n"/>
      <c r="AB92" s="16" t="n"/>
      <c r="AC92" s="16" t="n"/>
    </row>
    <row r="93">
      <c r="A93" s="18" t="inlineStr">
        <is>
          <t>목표 시가총액 (P/E)</t>
        </is>
      </c>
      <c r="B93" s="10" t="inlineStr">
        <is>
          <t>지배순이익 × Target P/E</t>
        </is>
      </c>
      <c r="C93" s="19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19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19">
        <f>IF(OR(Y70="",Y80=""),"",IFERROR(Y70*Y80,""))</f>
        <v/>
      </c>
      <c r="Z93" s="20">
        <f>IF(OR(Z70="",Z80=""),"",IFERROR(Z70*Z80,""))</f>
        <v/>
      </c>
      <c r="AA93" s="20">
        <f>IF(OR(AA70="",AA80=""),"",IFERROR(AA70*AA80,""))</f>
        <v/>
      </c>
      <c r="AB93" s="20">
        <f>IF(OR(AB70="",AB80=""),"",IFERROR(AB70*AB80,""))</f>
        <v/>
      </c>
      <c r="AC93" s="20">
        <f>IF(OR(AC70="",AC80=""),"",IFERROR(AC70*AC80,""))</f>
        <v/>
      </c>
    </row>
    <row r="94">
      <c r="A94" s="9" t="inlineStr">
        <is>
          <t>기업가치</t>
        </is>
      </c>
      <c r="B94" s="10" t="inlineStr">
        <is>
          <t>목표시총 + 자산가치</t>
        </is>
      </c>
      <c r="C94" s="11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1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1">
        <f>IF(OR(Y93=""),"",IFERROR(Y93+Y91,""))</f>
        <v/>
      </c>
      <c r="Z94" s="12">
        <f>IF(OR(Z93=""),"",IFERROR(Z93+Z91,""))</f>
        <v/>
      </c>
      <c r="AA94" s="12">
        <f>IF(OR(AA93=""),"",IFERROR(AA93+AA91,""))</f>
        <v/>
      </c>
      <c r="AB94" s="12">
        <f>IF(OR(AB93=""),"",IFERROR(AB93+AB91,""))</f>
        <v/>
      </c>
      <c r="AC94" s="12">
        <f>IF(OR(AC93=""),"",IFERROR(AC93+AC91,""))</f>
        <v/>
      </c>
    </row>
    <row r="95">
      <c r="A95" s="18" t="inlineStr">
        <is>
          <t>현재 시가총액</t>
        </is>
      </c>
      <c r="B95" s="10" t="n"/>
      <c r="C95" s="19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19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19">
        <f>$B$76</f>
        <v/>
      </c>
      <c r="Z95" s="20">
        <f>$B$76</f>
        <v/>
      </c>
      <c r="AA95" s="20">
        <f>$B$76</f>
        <v/>
      </c>
      <c r="AB95" s="20">
        <f>$B$76</f>
        <v/>
      </c>
      <c r="AC95" s="20">
        <f>$B$76</f>
        <v/>
      </c>
    </row>
    <row r="96">
      <c r="A96" s="18" t="inlineStr">
        <is>
          <t>상승여력</t>
        </is>
      </c>
      <c r="B96" s="10" t="n"/>
      <c r="C96" s="35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5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7">
        <f>IF(OR(Y94="",Y95=""),"",IFERROR(Y94/Y95-1,""))</f>
        <v/>
      </c>
      <c r="Z96" s="38">
        <f>IF(OR(Z94="",Z95=""),"",IFERROR(Z94/Z95-1,""))</f>
        <v/>
      </c>
      <c r="AA96" s="38">
        <f>IF(OR(AA94="",AA95=""),"",IFERROR(AA94/AA95-1,""))</f>
        <v/>
      </c>
      <c r="AB96" s="38">
        <f>IF(OR(AB94="",AB95=""),"",IFERROR(AB94/AB95-1,""))</f>
        <v/>
      </c>
      <c r="AC96" s="38">
        <f>IF(OR(AC94="",AC95=""),"",IFERROR(AC94/AC95-1,""))</f>
        <v/>
      </c>
    </row>
    <row r="97">
      <c r="C97" s="39" t="n"/>
      <c r="O97" s="39" t="n"/>
      <c r="Y97" s="39" t="n"/>
    </row>
    <row r="98">
      <c r="A98" s="40" t="inlineStr">
        <is>
          <t>출처</t>
        </is>
      </c>
      <c r="C98" s="39" t="n"/>
      <c r="O98" s="39" t="n"/>
      <c r="Y98" s="39" t="n"/>
    </row>
    <row r="99">
      <c r="A99" s="41" t="inlineStr">
        <is>
          <t>결산단신 XBRL(TDnet·JPX 보관소) — 쓴 문서는 '출처' 시트</t>
        </is>
      </c>
      <c r="C99" s="39" t="n"/>
      <c r="O99" s="39" t="n"/>
      <c r="Y99" s="39" t="n"/>
    </row>
    <row r="100">
      <c r="A100" s="41" t="inlineStr">
        <is>
          <t>분기 = 누계에서 앞 분기를 뺀 3개월 값</t>
        </is>
      </c>
      <c r="C100" s="39" t="n"/>
      <c r="O100" s="39" t="n"/>
      <c r="Y100" s="39" t="n"/>
    </row>
    <row r="101">
      <c r="A101" s="41" t="inlineStr">
        <is>
          <t>주가: 야후 파이낸스 일봉 2026.10.28</t>
        </is>
      </c>
      <c r="C101" s="39" t="n"/>
      <c r="O101" s="39" t="n"/>
      <c r="Y101" s="39" t="n"/>
    </row>
    <row r="103">
      <c r="A103" s="16" t="inlineStr">
        <is>
          <t>손익계산서 · 전 항목</t>
        </is>
      </c>
      <c r="B103" s="42" t="inlineStr">
        <is>
          <t>분기 = 3개월 단독</t>
        </is>
      </c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</row>
    <row r="104">
      <c r="A104" s="5" t="inlineStr">
        <is>
          <t>항목</t>
        </is>
      </c>
      <c r="B104" s="5" t="inlineStr">
        <is>
          <t>참고</t>
        </is>
      </c>
      <c r="C104" s="5" t="inlineStr">
        <is>
          <t>2024.2Q</t>
        </is>
      </c>
      <c r="D104" s="5" t="inlineStr">
        <is>
          <t>2024.3Q</t>
        </is>
      </c>
      <c r="E104" s="5" t="inlineStr">
        <is>
          <t>2024.4Q</t>
        </is>
      </c>
      <c r="F104" s="5" t="inlineStr">
        <is>
          <t>2025.1Q</t>
        </is>
      </c>
      <c r="G104" s="5" t="inlineStr">
        <is>
          <t>2025.2Q</t>
        </is>
      </c>
      <c r="H104" s="5" t="inlineStr">
        <is>
          <t>2025.3Q</t>
        </is>
      </c>
      <c r="I104" s="5" t="inlineStr">
        <is>
          <t>2025.4Q</t>
        </is>
      </c>
      <c r="J104" s="5" t="inlineStr">
        <is>
          <t>2026.1Q</t>
        </is>
      </c>
      <c r="K104" s="5" t="inlineStr">
        <is>
          <t>2026.2Q</t>
        </is>
      </c>
      <c r="L104" s="5" t="inlineStr">
        <is>
          <t>2026.3Q</t>
        </is>
      </c>
      <c r="M104" s="5" t="inlineStr">
        <is>
          <t>2026.4Q</t>
        </is>
      </c>
      <c r="N104" s="5" t="inlineStr">
        <is>
          <t>2027.1Q</t>
        </is>
      </c>
      <c r="O104" s="5" t="inlineStr">
        <is>
          <t>2017</t>
        </is>
      </c>
      <c r="P104" s="5" t="inlineStr">
        <is>
          <t>2018</t>
        </is>
      </c>
      <c r="Q104" s="5" t="inlineStr">
        <is>
          <t>2019</t>
        </is>
      </c>
      <c r="R104" s="5" t="inlineStr">
        <is>
          <t>2020</t>
        </is>
      </c>
      <c r="S104" s="5" t="inlineStr">
        <is>
          <t>2021</t>
        </is>
      </c>
      <c r="T104" s="5" t="inlineStr">
        <is>
          <t>2022</t>
        </is>
      </c>
      <c r="U104" s="5" t="inlineStr">
        <is>
          <t>2023</t>
        </is>
      </c>
      <c r="V104" s="5" t="inlineStr">
        <is>
          <t>2024</t>
        </is>
      </c>
      <c r="W104" s="5" t="inlineStr">
        <is>
          <t>2025</t>
        </is>
      </c>
      <c r="X104" s="5" t="inlineStr">
        <is>
          <t>2026</t>
        </is>
      </c>
      <c r="Y104" s="5" t="inlineStr">
        <is>
          <t>2027(MW)</t>
        </is>
      </c>
      <c r="Z104" s="5" t="inlineStr">
        <is>
          <t>2028(MW)</t>
        </is>
      </c>
      <c r="AA104" s="5" t="inlineStr">
        <is>
          <t>2029(MW)</t>
        </is>
      </c>
      <c r="AB104" s="5" t="inlineStr">
        <is>
          <t>2030(MW)</t>
        </is>
      </c>
      <c r="AC104" s="5" t="inlineStr">
        <is>
          <t>2031(MW)</t>
        </is>
      </c>
    </row>
    <row r="105">
      <c r="A105" s="9" t="inlineStr">
        <is>
          <t>매출액</t>
        </is>
      </c>
      <c r="C105" s="12" t="n">
        <v>9485</v>
      </c>
      <c r="D105" s="12" t="n">
        <v>8754</v>
      </c>
      <c r="E105" s="12" t="n">
        <v>9851</v>
      </c>
      <c r="F105" s="12" t="n">
        <v>10601</v>
      </c>
      <c r="G105" s="12" t="n">
        <v>9099</v>
      </c>
      <c r="H105" s="12" t="n">
        <v>9105</v>
      </c>
      <c r="I105" s="12" t="n">
        <v>9264</v>
      </c>
      <c r="J105" s="12" t="n">
        <v>8999</v>
      </c>
      <c r="K105" s="12" t="n">
        <v>11902</v>
      </c>
      <c r="L105" s="12" t="n">
        <v>11473</v>
      </c>
      <c r="M105" s="12" t="n">
        <v>10166</v>
      </c>
      <c r="N105" s="12" t="n">
        <v>12572</v>
      </c>
      <c r="T105" s="12" t="n">
        <v>9021</v>
      </c>
      <c r="U105" s="12" t="n">
        <v>9970</v>
      </c>
      <c r="V105" s="12" t="n">
        <v>9851</v>
      </c>
      <c r="W105" s="12" t="n">
        <v>9264</v>
      </c>
      <c r="X105" s="12" t="n">
        <v>10166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IF(OR(G105="",C105=""),"",IF(C105&lt;=0,"",IFERROR(G105/C105-1,"")))</f>
        <v/>
      </c>
      <c r="H106" s="15">
        <f>IF(OR(H105="",D105=""),"",IF(D105&lt;=0,"",IFERROR(H105/D105-1,"")))</f>
        <v/>
      </c>
      <c r="I106" s="15">
        <f>IF(OR(I105="",E105=""),"",IF(E105&lt;=0,"",IFERROR(I105/E105-1,"")))</f>
        <v/>
      </c>
      <c r="J106" s="15">
        <f>IF(OR(J105="",F105=""),"",IF(F105&lt;=0,"",IFERROR(J105/F105-1,"")))</f>
        <v/>
      </c>
      <c r="K106" s="15">
        <f>IF(OR(K105="",G105=""),"",IF(G105&lt;=0,"",IFERROR(K105/G105-1,"")))</f>
        <v/>
      </c>
      <c r="L106" s="15">
        <f>IF(OR(L105="",H105=""),"",IF(H105&lt;=0,"",IFERROR(L105/H105-1,"")))</f>
        <v/>
      </c>
      <c r="M106" s="15">
        <f>IF(OR(M105="",I105=""),"",IF(I105&lt;=0,"",IFERROR(M105/I105-1,"")))</f>
        <v/>
      </c>
      <c r="N106" s="15">
        <f>IF(OR(N105="",J105=""),"",IF(J105&lt;=0,"",IFERROR(N105/J105-1,"")))</f>
        <v/>
      </c>
      <c r="T106" s="15">
        <f>IF(OR(T105="",S105=""),"",IF(S105&lt;=0,"",IFERROR(T105/S105-1,"")))</f>
        <v/>
      </c>
      <c r="U106" s="15">
        <f>IF(OR(U105="",T105=""),"",IF(T105&lt;=0,"",IFERROR(U105/T105-1,"")))</f>
        <v/>
      </c>
      <c r="V106" s="15">
        <f>IF(OR(V105="",U105=""),"",IF(U105&lt;=0,"",IFERROR(V105/U105-1,"")))</f>
        <v/>
      </c>
      <c r="W106" s="15">
        <f>IF(OR(W105="",V105=""),"",IF(V105&lt;=0,"",IFERROR(W105/V105-1,"")))</f>
        <v/>
      </c>
      <c r="X106" s="15">
        <f>IF(OR(X105="",W105=""),"",IF(W105&lt;=0,"",IFERROR(X105/W105-1,"")))</f>
        <v/>
      </c>
    </row>
    <row r="107">
      <c r="A107" s="18" t="inlineStr">
        <is>
          <t>매출원가</t>
        </is>
      </c>
      <c r="C107" s="20" t="n">
        <v>5114</v>
      </c>
      <c r="D107" s="20" t="n">
        <v>4793</v>
      </c>
      <c r="E107" s="20" t="n">
        <v>5721</v>
      </c>
      <c r="F107" s="20" t="n">
        <v>5394</v>
      </c>
      <c r="G107" s="20" t="n">
        <v>4792</v>
      </c>
      <c r="H107" s="20" t="n">
        <v>5319</v>
      </c>
      <c r="I107" s="20" t="n">
        <v>5093</v>
      </c>
      <c r="J107" s="20" t="n">
        <v>5009</v>
      </c>
      <c r="K107" s="20" t="n">
        <v>6572</v>
      </c>
      <c r="L107" s="20" t="n">
        <v>5994</v>
      </c>
      <c r="M107" s="20" t="n">
        <v>5610</v>
      </c>
      <c r="N107" s="20" t="n">
        <v>6475</v>
      </c>
      <c r="T107" s="20" t="n">
        <v>5122</v>
      </c>
      <c r="U107" s="20" t="n">
        <v>5197</v>
      </c>
      <c r="V107" s="20" t="n">
        <v>5721</v>
      </c>
      <c r="W107" s="20" t="n">
        <v>5093</v>
      </c>
      <c r="X107" s="20" t="n">
        <v>5610</v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IF(OR(G107="",C107=""),"",IF(G107*C107&lt;=0,"",IFERROR(G107/C107-1,"")))</f>
        <v/>
      </c>
      <c r="H108" s="15">
        <f>IF(OR(H107="",D107=""),"",IF(H107*D107&lt;=0,"",IFERROR(H107/D107-1,"")))</f>
        <v/>
      </c>
      <c r="I108" s="15">
        <f>IF(OR(I107="",E107=""),"",IF(I107*E107&lt;=0,"",IFERROR(I107/E107-1,"")))</f>
        <v/>
      </c>
      <c r="J108" s="15">
        <f>IF(OR(J107="",F107=""),"",IF(J107*F107&lt;=0,"",IFERROR(J107/F107-1,"")))</f>
        <v/>
      </c>
      <c r="K108" s="15">
        <f>IF(OR(K107="",G107=""),"",IF(K107*G107&lt;=0,"",IFERROR(K107/G107-1,"")))</f>
        <v/>
      </c>
      <c r="L108" s="15">
        <f>IF(OR(L107="",H107=""),"",IF(L107*H107&lt;=0,"",IFERROR(L107/H107-1,"")))</f>
        <v/>
      </c>
      <c r="M108" s="15">
        <f>IF(OR(M107="",I107=""),"",IF(M107*I107&lt;=0,"",IFERROR(M107/I107-1,"")))</f>
        <v/>
      </c>
      <c r="N108" s="15">
        <f>IF(OR(N107="",J107=""),"",IF(N107*J107&lt;=0,"",IFERROR(N107/J107-1,"")))</f>
        <v/>
      </c>
      <c r="T108" s="15">
        <f>IF(OR(T107="",S107=""),"",IF(T107*S107&lt;=0,"",IFERROR(T107/S107-1,"")))</f>
        <v/>
      </c>
      <c r="U108" s="15">
        <f>IF(OR(U107="",T107=""),"",IF(U107*T107&lt;=0,"",IFERROR(U107/T107-1,"")))</f>
        <v/>
      </c>
      <c r="V108" s="15">
        <f>IF(OR(V107="",U107=""),"",IF(V107*U107&lt;=0,"",IFERROR(V107/U107-1,"")))</f>
        <v/>
      </c>
      <c r="W108" s="15">
        <f>IF(OR(W107="",V107=""),"",IF(W107*V107&lt;=0,"",IFERROR(W107/V107-1,"")))</f>
        <v/>
      </c>
      <c r="X108" s="15">
        <f>IF(OR(X107="",W107=""),"",IF(X107*W107&lt;=0,"",IFERROR(X107/W107-1,"")))</f>
        <v/>
      </c>
    </row>
    <row r="109">
      <c r="A109" s="9" t="inlineStr">
        <is>
          <t>매출총이익</t>
        </is>
      </c>
      <c r="C109" s="12" t="n">
        <v>4371</v>
      </c>
      <c r="D109" s="12" t="n">
        <v>3960</v>
      </c>
      <c r="E109" s="12" t="n">
        <v>4131</v>
      </c>
      <c r="F109" s="12" t="n">
        <v>5206</v>
      </c>
      <c r="G109" s="12" t="n">
        <v>4308</v>
      </c>
      <c r="H109" s="12" t="n">
        <v>3786</v>
      </c>
      <c r="I109" s="12" t="n">
        <v>4170</v>
      </c>
      <c r="J109" s="12" t="n">
        <v>3990</v>
      </c>
      <c r="K109" s="12" t="n">
        <v>5329</v>
      </c>
      <c r="L109" s="12" t="n">
        <v>5479</v>
      </c>
      <c r="M109" s="12" t="n">
        <v>4557</v>
      </c>
      <c r="N109" s="12" t="n">
        <v>6097</v>
      </c>
      <c r="T109" s="12" t="n">
        <v>3898</v>
      </c>
      <c r="U109" s="12" t="n">
        <v>4774</v>
      </c>
      <c r="V109" s="12" t="n">
        <v>4131</v>
      </c>
      <c r="W109" s="12" t="n">
        <v>4170</v>
      </c>
      <c r="X109" s="12" t="n">
        <v>4557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IF(OR(G109="",C109=""),"",IF(C109&lt;=0,"",IFERROR(G109/C109-1,"")))</f>
        <v/>
      </c>
      <c r="H110" s="15">
        <f>IF(OR(H109="",D109=""),"",IF(D109&lt;=0,"",IFERROR(H109/D109-1,"")))</f>
        <v/>
      </c>
      <c r="I110" s="15">
        <f>IF(OR(I109="",E109=""),"",IF(E109&lt;=0,"",IFERROR(I109/E109-1,"")))</f>
        <v/>
      </c>
      <c r="J110" s="15">
        <f>IF(OR(J109="",F109=""),"",IF(F109&lt;=0,"",IFERROR(J109/F109-1,"")))</f>
        <v/>
      </c>
      <c r="K110" s="15">
        <f>IF(OR(K109="",G109=""),"",IF(G109&lt;=0,"",IFERROR(K109/G109-1,"")))</f>
        <v/>
      </c>
      <c r="L110" s="15">
        <f>IF(OR(L109="",H109=""),"",IF(H109&lt;=0,"",IFERROR(L109/H109-1,"")))</f>
        <v/>
      </c>
      <c r="M110" s="15">
        <f>IF(OR(M109="",I109=""),"",IF(I109&lt;=0,"",IFERROR(M109/I109-1,"")))</f>
        <v/>
      </c>
      <c r="N110" s="15">
        <f>IF(OR(N109="",J109=""),"",IF(J109&lt;=0,"",IFERROR(N109/J109-1,"")))</f>
        <v/>
      </c>
      <c r="T110" s="15">
        <f>IF(OR(T109="",S109=""),"",IF(S109&lt;=0,"",IFERROR(T109/S109-1,"")))</f>
        <v/>
      </c>
      <c r="U110" s="15">
        <f>IF(OR(U109="",T109=""),"",IF(T109&lt;=0,"",IFERROR(U109/T109-1,"")))</f>
        <v/>
      </c>
      <c r="V110" s="15">
        <f>IF(OR(V109="",U109=""),"",IF(U109&lt;=0,"",IFERROR(V109/U109-1,"")))</f>
        <v/>
      </c>
      <c r="W110" s="15">
        <f>IF(OR(W109="",V109=""),"",IF(V109&lt;=0,"",IFERROR(W109/V109-1,"")))</f>
        <v/>
      </c>
      <c r="X110" s="15">
        <f>IF(OR(X109="",W109=""),"",IF(W109&lt;=0,"",IFERROR(X109/W109-1,"")))</f>
        <v/>
      </c>
    </row>
    <row r="111">
      <c r="A111" s="18" t="inlineStr">
        <is>
          <t>판매비와 관리비</t>
        </is>
      </c>
      <c r="C111" s="20" t="n">
        <v>3166</v>
      </c>
      <c r="D111" s="20" t="n">
        <v>3022</v>
      </c>
      <c r="E111" s="20" t="n">
        <v>3040</v>
      </c>
      <c r="F111" s="20" t="n">
        <v>3053</v>
      </c>
      <c r="G111" s="20" t="n">
        <v>3106</v>
      </c>
      <c r="H111" s="20" t="n">
        <v>3057</v>
      </c>
      <c r="I111" s="20" t="n">
        <v>2967</v>
      </c>
      <c r="J111" s="20" t="n">
        <v>3084</v>
      </c>
      <c r="K111" s="20" t="n">
        <v>3184</v>
      </c>
      <c r="L111" s="20" t="n">
        <v>3330</v>
      </c>
      <c r="M111" s="20" t="n">
        <v>3592</v>
      </c>
      <c r="N111" s="20" t="n">
        <v>3768</v>
      </c>
      <c r="T111" s="20" t="n">
        <v>2517</v>
      </c>
      <c r="U111" s="20" t="n">
        <v>3019</v>
      </c>
      <c r="V111" s="20" t="n">
        <v>3040</v>
      </c>
      <c r="W111" s="20" t="n">
        <v>2967</v>
      </c>
      <c r="X111" s="20" t="n">
        <v>3592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IF(OR(G111="",C111=""),"",IF(G111*C111&lt;=0,"",IFERROR(G111/C111-1,"")))</f>
        <v/>
      </c>
      <c r="H112" s="15">
        <f>IF(OR(H111="",D111=""),"",IF(H111*D111&lt;=0,"",IFERROR(H111/D111-1,"")))</f>
        <v/>
      </c>
      <c r="I112" s="15">
        <f>IF(OR(I111="",E111=""),"",IF(I111*E111&lt;=0,"",IFERROR(I111/E111-1,"")))</f>
        <v/>
      </c>
      <c r="J112" s="15">
        <f>IF(OR(J111="",F111=""),"",IF(J111*F111&lt;=0,"",IFERROR(J111/F111-1,"")))</f>
        <v/>
      </c>
      <c r="K112" s="15">
        <f>IF(OR(K111="",G111=""),"",IF(K111*G111&lt;=0,"",IFERROR(K111/G111-1,"")))</f>
        <v/>
      </c>
      <c r="L112" s="15">
        <f>IF(OR(L111="",H111=""),"",IF(L111*H111&lt;=0,"",IFERROR(L111/H111-1,"")))</f>
        <v/>
      </c>
      <c r="M112" s="15">
        <f>IF(OR(M111="",I111=""),"",IF(M111*I111&lt;=0,"",IFERROR(M111/I111-1,"")))</f>
        <v/>
      </c>
      <c r="N112" s="15">
        <f>IF(OR(N111="",J111=""),"",IF(N111*J111&lt;=0,"",IFERROR(N111/J111-1,"")))</f>
        <v/>
      </c>
      <c r="T112" s="15">
        <f>IF(OR(T111="",S111=""),"",IF(T111*S111&lt;=0,"",IFERROR(T111/S111-1,"")))</f>
        <v/>
      </c>
      <c r="U112" s="15">
        <f>IF(OR(U111="",T111=""),"",IF(U111*T111&lt;=0,"",IFERROR(U111/T111-1,"")))</f>
        <v/>
      </c>
      <c r="V112" s="15">
        <f>IF(OR(V111="",U111=""),"",IF(V111*U111&lt;=0,"",IFERROR(V111/U111-1,"")))</f>
        <v/>
      </c>
      <c r="W112" s="15">
        <f>IF(OR(W111="",V111=""),"",IF(W111*V111&lt;=0,"",IFERROR(W111/V111-1,"")))</f>
        <v/>
      </c>
      <c r="X112" s="15">
        <f>IF(OR(X111="",W111=""),"",IF(X111*W111&lt;=0,"",IFERROR(X111/W111-1,"")))</f>
        <v/>
      </c>
    </row>
    <row r="113">
      <c r="A113" s="9" t="inlineStr">
        <is>
          <t>영업이익</t>
        </is>
      </c>
      <c r="C113" s="12" t="n">
        <v>1204</v>
      </c>
      <c r="D113" s="12" t="n">
        <v>938</v>
      </c>
      <c r="E113" s="12" t="n">
        <v>1091</v>
      </c>
      <c r="F113" s="12" t="n">
        <v>2153</v>
      </c>
      <c r="G113" s="12" t="n">
        <v>1201</v>
      </c>
      <c r="H113" s="12" t="n">
        <v>730</v>
      </c>
      <c r="I113" s="12" t="n">
        <v>1203</v>
      </c>
      <c r="J113" s="12" t="n">
        <v>905</v>
      </c>
      <c r="K113" s="12" t="n">
        <v>2146</v>
      </c>
      <c r="L113" s="12" t="n">
        <v>2149</v>
      </c>
      <c r="M113" s="12" t="n">
        <v>964</v>
      </c>
      <c r="N113" s="12" t="n">
        <v>2329</v>
      </c>
      <c r="T113" s="12" t="n">
        <v>1381</v>
      </c>
      <c r="U113" s="12" t="n">
        <v>1756</v>
      </c>
      <c r="V113" s="12" t="n">
        <v>1091</v>
      </c>
      <c r="W113" s="12" t="n">
        <v>1203</v>
      </c>
      <c r="X113" s="12" t="n">
        <v>964</v>
      </c>
    </row>
    <row r="114">
      <c r="A114" s="43" t="inlineStr">
        <is>
          <t>OPM</t>
        </is>
      </c>
      <c r="B114" s="3" t="inlineStr">
        <is>
          <t>영업이익 ÷ 매출</t>
        </is>
      </c>
      <c r="C114" s="15">
        <f>IF(OR(C113="",C105=""),"",IF(C105&lt;=0,"",IFERROR(C113/C105,"")))</f>
        <v/>
      </c>
      <c r="D114" s="15">
        <f>IF(OR(D113="",D105=""),"",IF(D105&lt;=0,"",IFERROR(D113/D105,"")))</f>
        <v/>
      </c>
      <c r="E114" s="15">
        <f>IF(OR(E113="",E105=""),"",IF(E105&lt;=0,"",IFERROR(E113/E105,"")))</f>
        <v/>
      </c>
      <c r="F114" s="15">
        <f>IF(OR(F113="",F105=""),"",IF(F105&lt;=0,"",IFERROR(F113/F105,"")))</f>
        <v/>
      </c>
      <c r="G114" s="15">
        <f>IF(OR(G113="",G105=""),"",IF(G105&lt;=0,"",IFERROR(G113/G105,"")))</f>
        <v/>
      </c>
      <c r="H114" s="15">
        <f>IF(OR(H113="",H105=""),"",IF(H105&lt;=0,"",IFERROR(H113/H105,"")))</f>
        <v/>
      </c>
      <c r="I114" s="15">
        <f>IF(OR(I113="",I105=""),"",IF(I105&lt;=0,"",IFERROR(I113/I105,"")))</f>
        <v/>
      </c>
      <c r="J114" s="15">
        <f>IF(OR(J113="",J105=""),"",IF(J105&lt;=0,"",IFERROR(J113/J105,"")))</f>
        <v/>
      </c>
      <c r="K114" s="15">
        <f>IF(OR(K113="",K105=""),"",IF(K105&lt;=0,"",IFERROR(K113/K105,"")))</f>
        <v/>
      </c>
      <c r="L114" s="15">
        <f>IF(OR(L113="",L105=""),"",IF(L105&lt;=0,"",IFERROR(L113/L105,"")))</f>
        <v/>
      </c>
      <c r="M114" s="15">
        <f>IF(OR(M113="",M105=""),"",IF(M105&lt;=0,"",IFERROR(M113/M105,"")))</f>
        <v/>
      </c>
      <c r="N114" s="15">
        <f>IF(OR(N113="",N105=""),"",IF(N105&lt;=0,"",IFERROR(N113/N105,"")))</f>
        <v/>
      </c>
      <c r="T114" s="15">
        <f>IF(OR(T113="",T105=""),"",IF(T105&lt;=0,"",IFERROR(T113/T105,"")))</f>
        <v/>
      </c>
      <c r="U114" s="15">
        <f>IF(OR(U113="",U105=""),"",IF(U105&lt;=0,"",IFERROR(U113/U105,"")))</f>
        <v/>
      </c>
      <c r="V114" s="15">
        <f>IF(OR(V113="",V105=""),"",IF(V105&lt;=0,"",IFERROR(V113/V105,"")))</f>
        <v/>
      </c>
      <c r="W114" s="15">
        <f>IF(OR(W113="",W105=""),"",IF(W105&lt;=0,"",IFERROR(W113/W105,"")))</f>
        <v/>
      </c>
      <c r="X114" s="15">
        <f>IF(OR(X113="",X105=""),"",IF(X105&lt;=0,"",IFERROR(X113/X105,"")))</f>
        <v/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IF(OR(G113="",C113=""),"",IF(C113&lt;=0,"",IFERROR(G113/C113-1,"")))</f>
        <v/>
      </c>
      <c r="H115" s="15">
        <f>IF(OR(H113="",D113=""),"",IF(D113&lt;=0,"",IFERROR(H113/D113-1,"")))</f>
        <v/>
      </c>
      <c r="I115" s="15">
        <f>IF(OR(I113="",E113=""),"",IF(E113&lt;=0,"",IFERROR(I113/E113-1,"")))</f>
        <v/>
      </c>
      <c r="J115" s="15">
        <f>IF(OR(J113="",F113=""),"",IF(F113&lt;=0,"",IFERROR(J113/F113-1,"")))</f>
        <v/>
      </c>
      <c r="K115" s="15">
        <f>IF(OR(K113="",G113=""),"",IF(G113&lt;=0,"",IFERROR(K113/G113-1,"")))</f>
        <v/>
      </c>
      <c r="L115" s="15">
        <f>IF(OR(L113="",H113=""),"",IF(H113&lt;=0,"",IFERROR(L113/H113-1,"")))</f>
        <v/>
      </c>
      <c r="M115" s="15">
        <f>IF(OR(M113="",I113=""),"",IF(I113&lt;=0,"",IFERROR(M113/I113-1,"")))</f>
        <v/>
      </c>
      <c r="N115" s="15">
        <f>IF(OR(N113="",J113=""),"",IF(J113&lt;=0,"",IFERROR(N113/J113-1,"")))</f>
        <v/>
      </c>
      <c r="T115" s="15">
        <f>IF(OR(T113="",S113=""),"",IF(S113&lt;=0,"",IFERROR(T113/S113-1,"")))</f>
        <v/>
      </c>
      <c r="U115" s="15">
        <f>IF(OR(U113="",T113=""),"",IF(T113&lt;=0,"",IFERROR(U113/T113-1,"")))</f>
        <v/>
      </c>
      <c r="V115" s="15">
        <f>IF(OR(V113="",U113=""),"",IF(U113&lt;=0,"",IFERROR(V113/U113-1,"")))</f>
        <v/>
      </c>
      <c r="W115" s="15">
        <f>IF(OR(W113="",V113=""),"",IF(V113&lt;=0,"",IFERROR(W113/V113-1,"")))</f>
        <v/>
      </c>
      <c r="X115" s="15">
        <f>IF(OR(X113="",W113=""),"",IF(W113&lt;=0,"",IFERROR(X113/W113-1,"")))</f>
        <v/>
      </c>
    </row>
    <row r="116">
      <c r="A116" s="18" t="inlineStr">
        <is>
          <t>이자수익</t>
        </is>
      </c>
      <c r="C116" s="20" t="n">
        <v>63</v>
      </c>
      <c r="D116" s="20" t="n">
        <v>76</v>
      </c>
      <c r="E116" s="20" t="n">
        <v>87</v>
      </c>
      <c r="F116" s="20" t="n">
        <v>86</v>
      </c>
      <c r="G116" s="20" t="n">
        <v>86</v>
      </c>
      <c r="H116" s="20" t="n">
        <v>162</v>
      </c>
      <c r="I116" s="20" t="n">
        <v>64</v>
      </c>
      <c r="J116" s="20" t="n">
        <v>54</v>
      </c>
      <c r="K116" s="20" t="n">
        <v>45</v>
      </c>
      <c r="L116" s="20" t="n">
        <v>45</v>
      </c>
      <c r="M116" s="20" t="n">
        <v>51</v>
      </c>
      <c r="N116" s="20" t="n">
        <v>40</v>
      </c>
      <c r="T116" s="20" t="n">
        <v>2</v>
      </c>
      <c r="U116" s="20" t="n">
        <v>51</v>
      </c>
      <c r="V116" s="20" t="n">
        <v>87</v>
      </c>
      <c r="W116" s="20" t="n">
        <v>64</v>
      </c>
      <c r="X116" s="20" t="n">
        <v>51</v>
      </c>
    </row>
    <row r="117">
      <c r="A117" s="18" t="inlineStr">
        <is>
          <t>배당금수익</t>
        </is>
      </c>
      <c r="C117" s="20" t="n">
        <v>0</v>
      </c>
      <c r="D117" s="20" t="n">
        <v>9</v>
      </c>
      <c r="E117" s="20" t="n">
        <v>0</v>
      </c>
      <c r="F117" s="20" t="n">
        <v>9</v>
      </c>
      <c r="G117" s="20" t="n">
        <v>0</v>
      </c>
      <c r="H117" s="20" t="n">
        <v>11</v>
      </c>
      <c r="I117" s="20" t="n">
        <v>0</v>
      </c>
      <c r="J117" s="20" t="n">
        <v>12</v>
      </c>
      <c r="K117" s="20" t="n">
        <v>0</v>
      </c>
      <c r="L117" s="20" t="n">
        <v>12</v>
      </c>
      <c r="M117" s="20" t="n">
        <v>0</v>
      </c>
      <c r="N117" s="20" t="n">
        <v>12</v>
      </c>
      <c r="T117" s="20" t="n">
        <v>2</v>
      </c>
      <c r="U117" s="20" t="n">
        <v>1</v>
      </c>
      <c r="V117" s="20" t="n">
        <v>0</v>
      </c>
      <c r="W117" s="20" t="n">
        <v>0</v>
      </c>
      <c r="X117" s="20" t="n">
        <v>0</v>
      </c>
    </row>
    <row r="118">
      <c r="A118" s="18" t="inlineStr">
        <is>
          <t>외환차익</t>
        </is>
      </c>
      <c r="C118" s="20" t="n">
        <v>159</v>
      </c>
      <c r="D118" s="20" t="n">
        <v>-243</v>
      </c>
      <c r="E118" s="20" t="n">
        <v>207</v>
      </c>
      <c r="F118" s="20" t="n">
        <v>78</v>
      </c>
      <c r="G118" s="20" t="n">
        <v>-78</v>
      </c>
      <c r="H118" s="20" t="n">
        <v>0</v>
      </c>
      <c r="I118" s="20" t="n">
        <v>0</v>
      </c>
      <c r="J118" s="20" t="n">
        <v>0</v>
      </c>
      <c r="M118" s="20" t="n">
        <v>127</v>
      </c>
      <c r="T118" s="20" t="n">
        <v>103</v>
      </c>
      <c r="U118" s="20" t="n">
        <v>30</v>
      </c>
      <c r="V118" s="20" t="n">
        <v>207</v>
      </c>
      <c r="W118" s="20" t="n">
        <v>0</v>
      </c>
      <c r="X118" s="20" t="n">
        <v>127</v>
      </c>
    </row>
    <row r="119">
      <c r="A119" s="18" t="inlineStr">
        <is>
          <t>스크랩 매각이익</t>
        </is>
      </c>
      <c r="C119" s="20" t="n">
        <v>9</v>
      </c>
      <c r="D119" s="20" t="n">
        <v>14</v>
      </c>
      <c r="E119" s="20" t="n">
        <v>18</v>
      </c>
      <c r="F119" s="20" t="n">
        <v>29</v>
      </c>
      <c r="G119" s="20" t="n">
        <v>16</v>
      </c>
      <c r="H119" s="20" t="n">
        <v>18</v>
      </c>
      <c r="I119" s="20" t="n">
        <v>24</v>
      </c>
      <c r="J119" s="20" t="n">
        <v>23</v>
      </c>
      <c r="K119" s="20" t="n">
        <v>11</v>
      </c>
      <c r="L119" s="20" t="n">
        <v>19</v>
      </c>
      <c r="M119" s="20" t="n">
        <v>24</v>
      </c>
      <c r="N119" s="20" t="n">
        <v>31</v>
      </c>
      <c r="T119" s="20" t="n">
        <v>7</v>
      </c>
      <c r="U119" s="20" t="n">
        <v>9</v>
      </c>
      <c r="V119" s="20" t="n">
        <v>18</v>
      </c>
      <c r="W119" s="20" t="n">
        <v>24</v>
      </c>
      <c r="X119" s="20" t="n">
        <v>24</v>
      </c>
    </row>
    <row r="120">
      <c r="A120" s="18" t="inlineStr">
        <is>
          <t>기타</t>
        </is>
      </c>
      <c r="C120" s="20" t="n">
        <v>29</v>
      </c>
      <c r="D120" s="20" t="n">
        <v>14</v>
      </c>
      <c r="E120" s="20" t="n">
        <v>15</v>
      </c>
      <c r="F120" s="20" t="n">
        <v>7</v>
      </c>
      <c r="G120" s="20" t="n">
        <v>7</v>
      </c>
      <c r="H120" s="20" t="n">
        <v>10</v>
      </c>
      <c r="I120" s="20" t="n">
        <v>8</v>
      </c>
      <c r="J120" s="20" t="n">
        <v>6</v>
      </c>
      <c r="K120" s="20" t="n">
        <v>10</v>
      </c>
      <c r="L120" s="20" t="n">
        <v>16</v>
      </c>
      <c r="M120" s="20" t="n">
        <v>54</v>
      </c>
      <c r="N120" s="20" t="n">
        <v>42</v>
      </c>
      <c r="T120" s="20" t="n">
        <v>8</v>
      </c>
      <c r="U120" s="20" t="n">
        <v>11</v>
      </c>
      <c r="V120" s="20" t="n">
        <v>15</v>
      </c>
      <c r="W120" s="20" t="n">
        <v>8</v>
      </c>
      <c r="X120" s="20" t="n">
        <v>54</v>
      </c>
    </row>
    <row r="121">
      <c r="A121" s="18" t="inlineStr">
        <is>
          <t>영업외수익 합계</t>
        </is>
      </c>
      <c r="C121" s="20" t="n">
        <v>258</v>
      </c>
      <c r="D121" s="20" t="n">
        <v>-130</v>
      </c>
      <c r="E121" s="20" t="n">
        <v>334</v>
      </c>
      <c r="F121" s="20" t="n">
        <v>211</v>
      </c>
      <c r="G121" s="20" t="n">
        <v>31</v>
      </c>
      <c r="H121" s="20" t="n">
        <v>200</v>
      </c>
      <c r="I121" s="20" t="n">
        <v>101</v>
      </c>
      <c r="J121" s="20" t="n">
        <v>97</v>
      </c>
      <c r="K121" s="20" t="n">
        <v>66</v>
      </c>
      <c r="L121" s="20" t="n">
        <v>132</v>
      </c>
      <c r="M121" s="20" t="n">
        <v>258</v>
      </c>
      <c r="N121" s="20" t="n">
        <v>126</v>
      </c>
      <c r="T121" s="20" t="n">
        <v>144</v>
      </c>
      <c r="U121" s="20" t="n">
        <v>111</v>
      </c>
      <c r="V121" s="20" t="n">
        <v>334</v>
      </c>
      <c r="W121" s="20" t="n">
        <v>101</v>
      </c>
      <c r="X121" s="20" t="n">
        <v>258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T122" s="15">
        <f>IF(OR(T121="",S121=""),"",IF(T121*S121&lt;=0,"",IFERROR(T121/S121-1,"")))</f>
        <v/>
      </c>
      <c r="U122" s="15">
        <f>IF(OR(U121="",T121=""),"",IF(U121*T121&lt;=0,"",IFERROR(U121/T121-1,"")))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18" t="inlineStr">
        <is>
          <t>이자비용</t>
        </is>
      </c>
      <c r="C123" s="20" t="n">
        <v>19</v>
      </c>
      <c r="D123" s="20" t="n">
        <v>20</v>
      </c>
      <c r="E123" s="20" t="n">
        <v>20</v>
      </c>
      <c r="F123" s="20" t="n">
        <v>20</v>
      </c>
      <c r="G123" s="20" t="n">
        <v>19</v>
      </c>
      <c r="H123" s="20" t="n">
        <v>20</v>
      </c>
      <c r="I123" s="20" t="n">
        <v>18</v>
      </c>
      <c r="J123" s="20" t="n">
        <v>17</v>
      </c>
      <c r="K123" s="20" t="n">
        <v>18</v>
      </c>
      <c r="L123" s="20" t="n">
        <v>17</v>
      </c>
      <c r="M123" s="20" t="n">
        <v>17</v>
      </c>
      <c r="N123" s="20" t="n">
        <v>19</v>
      </c>
      <c r="T123" s="20" t="n">
        <v>15</v>
      </c>
      <c r="U123" s="20" t="n">
        <v>18</v>
      </c>
      <c r="V123" s="20" t="n">
        <v>20</v>
      </c>
      <c r="W123" s="20" t="n">
        <v>18</v>
      </c>
      <c r="X123" s="20" t="n">
        <v>17</v>
      </c>
    </row>
    <row r="124">
      <c r="A124" s="18" t="inlineStr">
        <is>
          <t>지분법손실</t>
        </is>
      </c>
      <c r="C124" s="20" t="n">
        <v>0</v>
      </c>
      <c r="D124" s="20" t="n">
        <v>0</v>
      </c>
      <c r="E124" s="20" t="n">
        <v>0</v>
      </c>
      <c r="T124" s="20" t="n">
        <v>93</v>
      </c>
      <c r="U124" s="20" t="n">
        <v>0</v>
      </c>
      <c r="V124" s="20" t="n">
        <v>0</v>
      </c>
    </row>
    <row r="125">
      <c r="A125" s="18" t="inlineStr">
        <is>
          <t>보상비 지급</t>
        </is>
      </c>
      <c r="D125" s="20" t="n">
        <v>10</v>
      </c>
      <c r="E125" s="20" t="n">
        <v>1</v>
      </c>
      <c r="H125" s="20" t="n">
        <v>6</v>
      </c>
      <c r="I125" s="20" t="n">
        <v>0</v>
      </c>
      <c r="L125" s="20" t="n">
        <v>0</v>
      </c>
      <c r="M125" s="20" t="n">
        <v>33</v>
      </c>
      <c r="U125" s="20" t="n">
        <v>0</v>
      </c>
      <c r="V125" s="20" t="n">
        <v>1</v>
      </c>
      <c r="W125" s="20" t="n">
        <v>0</v>
      </c>
      <c r="X125" s="20" t="n">
        <v>33</v>
      </c>
    </row>
    <row r="126">
      <c r="A126" s="18" t="inlineStr">
        <is>
          <t>외환차손</t>
        </is>
      </c>
      <c r="D126" s="20" t="n">
        <v>0</v>
      </c>
      <c r="E126" s="20" t="n">
        <v>0</v>
      </c>
      <c r="F126" s="20" t="n">
        <v>0</v>
      </c>
      <c r="G126" s="20" t="n">
        <v>396</v>
      </c>
      <c r="H126" s="20" t="n">
        <v>-275</v>
      </c>
      <c r="I126" s="20" t="n">
        <v>138</v>
      </c>
      <c r="J126" s="20" t="n">
        <v>157</v>
      </c>
      <c r="K126" s="20" t="n">
        <v>-88</v>
      </c>
      <c r="L126" s="20" t="n">
        <v>-69</v>
      </c>
      <c r="M126" s="20" t="n">
        <v>0</v>
      </c>
      <c r="N126" s="20" t="n">
        <v>24</v>
      </c>
      <c r="V126" s="20" t="n">
        <v>0</v>
      </c>
      <c r="W126" s="20" t="n">
        <v>138</v>
      </c>
      <c r="X126" s="20" t="n">
        <v>0</v>
      </c>
    </row>
    <row r="127">
      <c r="A127" s="18" t="inlineStr">
        <is>
          <t>기타</t>
        </is>
      </c>
      <c r="C127" s="20" t="n">
        <v>-4</v>
      </c>
      <c r="D127" s="20" t="n">
        <v>2</v>
      </c>
      <c r="E127" s="20" t="n">
        <v>8</v>
      </c>
      <c r="F127" s="20" t="n">
        <v>10</v>
      </c>
      <c r="G127" s="20" t="n">
        <v>-3</v>
      </c>
      <c r="H127" s="20" t="n">
        <v>12</v>
      </c>
      <c r="I127" s="20" t="n">
        <v>11</v>
      </c>
      <c r="J127" s="20" t="n">
        <v>3</v>
      </c>
      <c r="K127" s="20" t="n">
        <v>26</v>
      </c>
      <c r="L127" s="20" t="n">
        <v>36</v>
      </c>
      <c r="M127" s="20" t="n">
        <v>-17</v>
      </c>
      <c r="N127" s="20" t="n">
        <v>7</v>
      </c>
      <c r="T127" s="20" t="n">
        <v>25</v>
      </c>
      <c r="U127" s="20" t="n">
        <v>9</v>
      </c>
      <c r="V127" s="20" t="n">
        <v>8</v>
      </c>
      <c r="W127" s="20" t="n">
        <v>11</v>
      </c>
      <c r="X127" s="20" t="n">
        <v>-17</v>
      </c>
    </row>
    <row r="128">
      <c r="A128" s="18" t="inlineStr">
        <is>
          <t>영업외비용 합계</t>
        </is>
      </c>
      <c r="C128" s="20" t="n">
        <v>48</v>
      </c>
      <c r="D128" s="20" t="n">
        <v>33</v>
      </c>
      <c r="E128" s="20" t="n">
        <v>32</v>
      </c>
      <c r="F128" s="20" t="n">
        <v>30</v>
      </c>
      <c r="G128" s="20" t="n">
        <v>422</v>
      </c>
      <c r="H128" s="20" t="n">
        <v>-236</v>
      </c>
      <c r="I128" s="20" t="n">
        <v>169</v>
      </c>
      <c r="J128" s="20" t="n">
        <v>177</v>
      </c>
      <c r="K128" s="20" t="n">
        <v>-44</v>
      </c>
      <c r="L128" s="20" t="n">
        <v>-15</v>
      </c>
      <c r="M128" s="20" t="n">
        <v>117</v>
      </c>
      <c r="N128" s="20" t="n">
        <v>52</v>
      </c>
      <c r="T128" s="20" t="n">
        <v>142</v>
      </c>
      <c r="U128" s="20" t="n">
        <v>32</v>
      </c>
      <c r="V128" s="20" t="n">
        <v>32</v>
      </c>
      <c r="W128" s="20" t="n">
        <v>169</v>
      </c>
      <c r="X128" s="20" t="n">
        <v>117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IF(OR(G128="",C128=""),"",IF(G128*C128&lt;=0,"",IFERROR(G128/C128-1,"")))</f>
        <v/>
      </c>
      <c r="H129" s="15">
        <f>IF(OR(H128="",D128=""),"",IF(H128*D128&lt;=0,"",IFERROR(H128/D128-1,"")))</f>
        <v/>
      </c>
      <c r="I129" s="15">
        <f>IF(OR(I128="",E128=""),"",IF(I128*E128&lt;=0,"",IFERROR(I128/E128-1,"")))</f>
        <v/>
      </c>
      <c r="J129" s="15">
        <f>IF(OR(J128="",F128=""),"",IF(J128*F128&lt;=0,"",IFERROR(J128/F128-1,"")))</f>
        <v/>
      </c>
      <c r="K129" s="15">
        <f>IF(OR(K128="",G128=""),"",IF(K128*G128&lt;=0,"",IFERROR(K128/G128-1,"")))</f>
        <v/>
      </c>
      <c r="L129" s="15">
        <f>IF(OR(L128="",H128=""),"",IF(L128*H128&lt;=0,"",IFERROR(L128/H128-1,"")))</f>
        <v/>
      </c>
      <c r="M129" s="15">
        <f>IF(OR(M128="",I128=""),"",IF(M128*I128&lt;=0,"",IFERROR(M128/I128-1,"")))</f>
        <v/>
      </c>
      <c r="N129" s="15">
        <f>IF(OR(N128="",J128=""),"",IF(N128*J128&lt;=0,"",IFERROR(N128/J128-1,"")))</f>
        <v/>
      </c>
      <c r="T129" s="15">
        <f>IF(OR(T128="",S128=""),"",IF(T128*S128&lt;=0,"",IFERROR(T128/S128-1,"")))</f>
        <v/>
      </c>
      <c r="U129" s="15">
        <f>IF(OR(U128="",T128=""),"",IF(U128*T128&lt;=0,"",IFERROR(U128/T128-1,"")))</f>
        <v/>
      </c>
      <c r="V129" s="15">
        <f>IF(OR(V128="",U128=""),"",IF(V128*U128&lt;=0,"",IFERROR(V128/U128-1,"")))</f>
        <v/>
      </c>
      <c r="W129" s="15">
        <f>IF(OR(W128="",V128=""),"",IF(W128*V128&lt;=0,"",IFERROR(W128/V128-1,"")))</f>
        <v/>
      </c>
      <c r="X129" s="15">
        <f>IF(OR(X128="",W128=""),"",IF(X128*W128&lt;=0,"",IFERROR(X128/W128-1,"")))</f>
        <v/>
      </c>
    </row>
    <row r="130">
      <c r="A130" s="9" t="inlineStr">
        <is>
          <t>경상이익</t>
        </is>
      </c>
      <c r="C130" s="12" t="n">
        <v>1414</v>
      </c>
      <c r="D130" s="12" t="n">
        <v>776</v>
      </c>
      <c r="E130" s="12" t="n">
        <v>1392</v>
      </c>
      <c r="F130" s="12" t="n">
        <v>2334</v>
      </c>
      <c r="G130" s="12" t="n">
        <v>810</v>
      </c>
      <c r="H130" s="12" t="n">
        <v>1166</v>
      </c>
      <c r="I130" s="12" t="n">
        <v>1136</v>
      </c>
      <c r="J130" s="12" t="n">
        <v>825</v>
      </c>
      <c r="K130" s="12" t="n">
        <v>2255</v>
      </c>
      <c r="L130" s="12" t="n">
        <v>2298</v>
      </c>
      <c r="M130" s="12" t="n">
        <v>1104</v>
      </c>
      <c r="N130" s="12" t="n">
        <v>2404</v>
      </c>
      <c r="T130" s="12" t="n">
        <v>1383</v>
      </c>
      <c r="U130" s="12" t="n">
        <v>1835</v>
      </c>
      <c r="V130" s="12" t="n">
        <v>1392</v>
      </c>
      <c r="W130" s="12" t="n">
        <v>1136</v>
      </c>
      <c r="X130" s="12" t="n">
        <v>1104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IF(OR(G130="",C130=""),"",IF(C130&lt;=0,"",IFERROR(G130/C130-1,"")))</f>
        <v/>
      </c>
      <c r="H131" s="15">
        <f>IF(OR(H130="",D130=""),"",IF(D130&lt;=0,"",IFERROR(H130/D130-1,"")))</f>
        <v/>
      </c>
      <c r="I131" s="15">
        <f>IF(OR(I130="",E130=""),"",IF(E130&lt;=0,"",IFERROR(I130/E130-1,"")))</f>
        <v/>
      </c>
      <c r="J131" s="15">
        <f>IF(OR(J130="",F130=""),"",IF(F130&lt;=0,"",IFERROR(J130/F130-1,"")))</f>
        <v/>
      </c>
      <c r="K131" s="15">
        <f>IF(OR(K130="",G130=""),"",IF(G130&lt;=0,"",IFERROR(K130/G130-1,"")))</f>
        <v/>
      </c>
      <c r="L131" s="15">
        <f>IF(OR(L130="",H130=""),"",IF(H130&lt;=0,"",IFERROR(L130/H130-1,"")))</f>
        <v/>
      </c>
      <c r="M131" s="15">
        <f>IF(OR(M130="",I130=""),"",IF(I130&lt;=0,"",IFERROR(M130/I130-1,"")))</f>
        <v/>
      </c>
      <c r="N131" s="15">
        <f>IF(OR(N130="",J130=""),"",IF(J130&lt;=0,"",IFERROR(N130/J130-1,"")))</f>
        <v/>
      </c>
      <c r="T131" s="15">
        <f>IF(OR(T130="",S130=""),"",IF(S130&lt;=0,"",IFERROR(T130/S130-1,"")))</f>
        <v/>
      </c>
      <c r="U131" s="15">
        <f>IF(OR(U130="",T130=""),"",IF(T130&lt;=0,"",IFERROR(U130/T130-1,"")))</f>
        <v/>
      </c>
      <c r="V131" s="15">
        <f>IF(OR(V130="",U130=""),"",IF(U130&lt;=0,"",IFERROR(V130/U130-1,"")))</f>
        <v/>
      </c>
      <c r="W131" s="15">
        <f>IF(OR(W130="",V130=""),"",IF(V130&lt;=0,"",IFERROR(W130/V130-1,"")))</f>
        <v/>
      </c>
      <c r="X131" s="15">
        <f>IF(OR(X130="",W130=""),"",IF(W130&lt;=0,"",IFERROR(X130/W130-1,"")))</f>
        <v/>
      </c>
    </row>
    <row r="132">
      <c r="A132" s="18" t="inlineStr">
        <is>
          <t>고정자산 매각이익</t>
        </is>
      </c>
      <c r="C132" s="20" t="n">
        <v>8</v>
      </c>
      <c r="D132" s="20" t="n">
        <v>12</v>
      </c>
      <c r="E132" s="20" t="n">
        <v>8</v>
      </c>
      <c r="F132" s="20" t="n">
        <v>9</v>
      </c>
      <c r="G132" s="20" t="n">
        <v>4</v>
      </c>
      <c r="H132" s="20" t="n">
        <v>8</v>
      </c>
      <c r="I132" s="20" t="n">
        <v>24</v>
      </c>
      <c r="J132" s="20" t="n">
        <v>9</v>
      </c>
      <c r="K132" s="20" t="n">
        <v>2</v>
      </c>
      <c r="L132" s="20" t="n">
        <v>4</v>
      </c>
      <c r="M132" s="20" t="n">
        <v>14</v>
      </c>
      <c r="N132" s="20" t="n">
        <v>3</v>
      </c>
      <c r="T132" s="20" t="n">
        <v>2</v>
      </c>
      <c r="U132" s="20" t="n">
        <v>9</v>
      </c>
      <c r="V132" s="20" t="n">
        <v>8</v>
      </c>
      <c r="W132" s="20" t="n">
        <v>24</v>
      </c>
      <c r="X132" s="20" t="n">
        <v>14</v>
      </c>
    </row>
    <row r="133">
      <c r="A133" s="18" t="inlineStr">
        <is>
          <t>투자유가증권 매각이익</t>
        </is>
      </c>
      <c r="C133" s="20" t="n">
        <v>8</v>
      </c>
      <c r="D133" s="20" t="n">
        <v>0</v>
      </c>
      <c r="E133" s="20" t="n">
        <v>0</v>
      </c>
      <c r="F133" s="20" t="n">
        <v>2</v>
      </c>
      <c r="G133" s="20" t="n">
        <v>0</v>
      </c>
      <c r="H133" s="20" t="n">
        <v>0</v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1</v>
      </c>
      <c r="T133" s="20" t="n">
        <v>667</v>
      </c>
      <c r="U133" s="20" t="n">
        <v>0</v>
      </c>
      <c r="V133" s="20" t="n">
        <v>0</v>
      </c>
      <c r="W133" s="20" t="n">
        <v>0</v>
      </c>
      <c r="X133" s="20" t="n">
        <v>1</v>
      </c>
    </row>
    <row r="134">
      <c r="A134" s="18" t="inlineStr">
        <is>
          <t>신주예약권 환입이익</t>
        </is>
      </c>
      <c r="H134" s="20" t="n">
        <v>0</v>
      </c>
      <c r="I134" s="20" t="n">
        <v>0</v>
      </c>
      <c r="L134" s="20" t="n">
        <v>0</v>
      </c>
      <c r="M134" s="20" t="n">
        <v>0</v>
      </c>
      <c r="T134" s="20" t="n">
        <v>0</v>
      </c>
      <c r="U134" s="20" t="n">
        <v>0</v>
      </c>
      <c r="W134" s="20" t="n">
        <v>0</v>
      </c>
      <c r="X134" s="20" t="n">
        <v>0</v>
      </c>
    </row>
    <row r="135">
      <c r="A135" s="18" t="inlineStr">
        <is>
          <t>보상금 수취</t>
        </is>
      </c>
      <c r="D135" s="20" t="n">
        <v>0</v>
      </c>
      <c r="E135" s="20" t="n">
        <v>0</v>
      </c>
      <c r="H135" s="20" t="n">
        <v>0</v>
      </c>
      <c r="I135" s="20" t="n">
        <v>0</v>
      </c>
      <c r="L135" s="20" t="n">
        <v>0</v>
      </c>
      <c r="M135" s="20" t="n">
        <v>0</v>
      </c>
      <c r="V135" s="20" t="n">
        <v>0</v>
      </c>
      <c r="W135" s="20" t="n">
        <v>0</v>
      </c>
      <c r="X135" s="20" t="n">
        <v>0</v>
      </c>
    </row>
    <row r="136">
      <c r="A136" s="18" t="inlineStr">
        <is>
          <t>기타</t>
        </is>
      </c>
      <c r="D136" s="20" t="n">
        <v>0</v>
      </c>
      <c r="E136" s="20" t="n">
        <v>0</v>
      </c>
      <c r="H136" s="20" t="n">
        <v>0</v>
      </c>
      <c r="I136" s="20" t="n">
        <v>0</v>
      </c>
      <c r="L136" s="20" t="n">
        <v>0</v>
      </c>
      <c r="M136" s="20" t="n">
        <v>0</v>
      </c>
      <c r="T136" s="20" t="n">
        <v>0</v>
      </c>
      <c r="U136" s="20" t="n">
        <v>0</v>
      </c>
      <c r="V136" s="20" t="n">
        <v>0</v>
      </c>
      <c r="W136" s="20" t="n">
        <v>0</v>
      </c>
      <c r="X136" s="20" t="n">
        <v>0</v>
      </c>
    </row>
    <row r="137">
      <c r="A137" s="18" t="inlineStr">
        <is>
          <t>특별이익 합계</t>
        </is>
      </c>
      <c r="C137" s="20" t="n">
        <v>16</v>
      </c>
      <c r="D137" s="20" t="n">
        <v>13</v>
      </c>
      <c r="E137" s="20" t="n">
        <v>235</v>
      </c>
      <c r="F137" s="20" t="n">
        <v>12</v>
      </c>
      <c r="G137" s="20" t="n">
        <v>50</v>
      </c>
      <c r="H137" s="20" t="n">
        <v>8</v>
      </c>
      <c r="I137" s="20" t="n">
        <v>24</v>
      </c>
      <c r="J137" s="20" t="n">
        <v>9</v>
      </c>
      <c r="K137" s="20" t="n">
        <v>3</v>
      </c>
      <c r="L137" s="20" t="n">
        <v>4</v>
      </c>
      <c r="M137" s="20" t="n">
        <v>16</v>
      </c>
      <c r="N137" s="20" t="n">
        <v>3</v>
      </c>
      <c r="T137" s="20" t="n">
        <v>671</v>
      </c>
      <c r="U137" s="20" t="n">
        <v>8</v>
      </c>
      <c r="V137" s="20" t="n">
        <v>235</v>
      </c>
      <c r="W137" s="20" t="n">
        <v>24</v>
      </c>
      <c r="X137" s="20" t="n">
        <v>16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IF(OR(G137="",C137=""),"",IF(G137*C137&lt;=0,"",IFERROR(G137/C137-1,"")))</f>
        <v/>
      </c>
      <c r="H138" s="15">
        <f>IF(OR(H137="",D137=""),"",IF(H137*D137&lt;=0,"",IFERROR(H137/D137-1,"")))</f>
        <v/>
      </c>
      <c r="I138" s="15">
        <f>IF(OR(I137="",E137=""),"",IF(I137*E137&lt;=0,"",IFERROR(I137/E137-1,"")))</f>
        <v/>
      </c>
      <c r="J138" s="15">
        <f>IF(OR(J137="",F137=""),"",IF(J137*F137&lt;=0,"",IFERROR(J137/F137-1,"")))</f>
        <v/>
      </c>
      <c r="K138" s="15">
        <f>IF(OR(K137="",G137=""),"",IF(K137*G137&lt;=0,"",IFERROR(K137/G137-1,"")))</f>
        <v/>
      </c>
      <c r="L138" s="15">
        <f>IF(OR(L137="",H137=""),"",IF(L137*H137&lt;=0,"",IFERROR(L137/H137-1,"")))</f>
        <v/>
      </c>
      <c r="M138" s="15">
        <f>IF(OR(M137="",I137=""),"",IF(M137*I137&lt;=0,"",IFERROR(M137/I137-1,"")))</f>
        <v/>
      </c>
      <c r="N138" s="15">
        <f>IF(OR(N137="",J137=""),"",IF(N137*J137&lt;=0,"",IFERROR(N137/J137-1,"")))</f>
        <v/>
      </c>
      <c r="T138" s="15">
        <f>IF(OR(T137="",S137=""),"",IF(T137*S137&lt;=0,"",IFERROR(T137/S137-1,"")))</f>
        <v/>
      </c>
      <c r="U138" s="15">
        <f>IF(OR(U137="",T137=""),"",IF(U137*T137&lt;=0,"",IFERROR(U137/T137-1,"")))</f>
        <v/>
      </c>
      <c r="V138" s="15">
        <f>IF(OR(V137="",U137=""),"",IF(V137*U137&lt;=0,"",IFERROR(V137/U137-1,"")))</f>
        <v/>
      </c>
      <c r="W138" s="15">
        <f>IF(OR(W137="",V137=""),"",IF(W137*V137&lt;=0,"",IFERROR(W137/V137-1,"")))</f>
        <v/>
      </c>
      <c r="X138" s="15">
        <f>IF(OR(X137="",W137=""),"",IF(X137*W137&lt;=0,"",IFERROR(X137/W137-1,"")))</f>
        <v/>
      </c>
    </row>
    <row r="139">
      <c r="A139" s="18" t="inlineStr">
        <is>
          <t>고정자산 매각손실</t>
        </is>
      </c>
      <c r="C139" s="20" t="n">
        <v>4</v>
      </c>
      <c r="D139" s="20" t="n">
        <v>2</v>
      </c>
      <c r="E139" s="20" t="n">
        <v>7</v>
      </c>
      <c r="F139" s="20" t="n">
        <v>0</v>
      </c>
      <c r="G139" s="20" t="n">
        <v>0</v>
      </c>
      <c r="H139" s="20" t="n">
        <v>17</v>
      </c>
      <c r="I139" s="20" t="n">
        <v>4</v>
      </c>
      <c r="J139" s="20" t="n">
        <v>0</v>
      </c>
      <c r="K139" s="20" t="n">
        <v>0</v>
      </c>
      <c r="L139" s="20" t="n">
        <v>1</v>
      </c>
      <c r="M139" s="20" t="n">
        <v>3</v>
      </c>
      <c r="N139" s="20" t="n">
        <v>7</v>
      </c>
      <c r="T139" s="20" t="n">
        <v>1</v>
      </c>
      <c r="U139" s="20" t="n">
        <v>2</v>
      </c>
      <c r="V139" s="20" t="n">
        <v>7</v>
      </c>
      <c r="W139" s="20" t="n">
        <v>4</v>
      </c>
      <c r="X139" s="20" t="n">
        <v>3</v>
      </c>
    </row>
    <row r="140">
      <c r="A140" s="18" t="inlineStr">
        <is>
          <t>손상차손</t>
        </is>
      </c>
      <c r="D140" s="20" t="n">
        <v>0</v>
      </c>
      <c r="E140" s="20" t="n">
        <v>27</v>
      </c>
      <c r="T140" s="20" t="n">
        <v>155</v>
      </c>
      <c r="U140" s="20" t="n">
        <v>588</v>
      </c>
      <c r="V140" s="20" t="n">
        <v>27</v>
      </c>
    </row>
    <row r="141">
      <c r="A141" s="18" t="inlineStr">
        <is>
          <t>Loss On Litigation EL</t>
        </is>
      </c>
      <c r="E141" s="20" t="n">
        <v>1</v>
      </c>
      <c r="I141" s="20" t="n">
        <v>0</v>
      </c>
      <c r="U141" s="20" t="n">
        <v>0</v>
      </c>
      <c r="V141" s="20" t="n">
        <v>1</v>
      </c>
      <c r="W141" s="20" t="n">
        <v>0</v>
      </c>
    </row>
    <row r="142">
      <c r="A142" s="18" t="inlineStr">
        <is>
          <t>Provision For Loss On Disaster EL</t>
        </is>
      </c>
      <c r="C142" s="20" t="n">
        <v>0</v>
      </c>
      <c r="D142" s="20" t="n">
        <v>0</v>
      </c>
      <c r="F142" s="20" t="n">
        <v>0</v>
      </c>
      <c r="G142" s="20" t="n">
        <v>0</v>
      </c>
      <c r="H142" s="20" t="n">
        <v>0</v>
      </c>
    </row>
    <row r="143">
      <c r="A143" s="18" t="inlineStr">
        <is>
          <t>투자유가증권 평가손실</t>
        </is>
      </c>
      <c r="D143" s="20" t="n">
        <v>0</v>
      </c>
      <c r="E143" s="20" t="n">
        <v>86</v>
      </c>
      <c r="T143" s="20" t="n">
        <v>0</v>
      </c>
      <c r="U143" s="20" t="n">
        <v>0</v>
      </c>
      <c r="V143" s="20" t="n">
        <v>86</v>
      </c>
    </row>
    <row r="144">
      <c r="A144" s="18" t="inlineStr">
        <is>
          <t>사업 재구축 비용</t>
        </is>
      </c>
      <c r="C144" s="20" t="n">
        <v>73</v>
      </c>
      <c r="D144" s="20" t="n">
        <v>1</v>
      </c>
      <c r="E144" s="20" t="n">
        <v>2</v>
      </c>
      <c r="F144" s="20" t="n">
        <v>204</v>
      </c>
      <c r="G144" s="20" t="n">
        <v>28</v>
      </c>
      <c r="H144" s="20" t="n">
        <v>1</v>
      </c>
      <c r="I144" s="20" t="n">
        <v>-1</v>
      </c>
      <c r="J144" s="20" t="n">
        <v>198</v>
      </c>
      <c r="K144" s="20" t="n">
        <v>-11</v>
      </c>
      <c r="L144" s="20" t="n">
        <v>-2</v>
      </c>
      <c r="M144" s="20" t="n">
        <v>2</v>
      </c>
      <c r="N144" s="20" t="n">
        <v>0</v>
      </c>
      <c r="T144" s="20" t="n">
        <v>51</v>
      </c>
      <c r="U144" s="20" t="n">
        <v>0</v>
      </c>
      <c r="V144" s="20" t="n">
        <v>2</v>
      </c>
      <c r="W144" s="20" t="n">
        <v>-1</v>
      </c>
      <c r="X144" s="20" t="n">
        <v>2</v>
      </c>
    </row>
    <row r="145">
      <c r="A145" s="18" t="inlineStr">
        <is>
          <t>대손충당금 전입</t>
        </is>
      </c>
      <c r="C145" s="20" t="n">
        <v>4</v>
      </c>
      <c r="D145" s="20" t="n">
        <v>1</v>
      </c>
      <c r="F145" s="20" t="n">
        <v>0</v>
      </c>
      <c r="G145" s="20" t="n">
        <v>0</v>
      </c>
      <c r="H145" s="20" t="n">
        <v>0</v>
      </c>
    </row>
    <row r="146">
      <c r="A146" s="18" t="inlineStr">
        <is>
          <t>기타</t>
        </is>
      </c>
      <c r="T146" s="20" t="n">
        <v>2</v>
      </c>
      <c r="U146" s="20" t="n">
        <v>0</v>
      </c>
    </row>
    <row r="147">
      <c r="A147" s="18" t="inlineStr">
        <is>
          <t>특별손실 합계</t>
        </is>
      </c>
      <c r="C147" s="20" t="n">
        <v>81</v>
      </c>
      <c r="D147" s="20" t="n">
        <v>78</v>
      </c>
      <c r="E147" s="20" t="n">
        <v>77</v>
      </c>
      <c r="F147" s="20" t="n">
        <v>204</v>
      </c>
      <c r="G147" s="20" t="n">
        <v>29</v>
      </c>
      <c r="H147" s="20" t="n">
        <v>17</v>
      </c>
      <c r="I147" s="20" t="n">
        <v>38</v>
      </c>
      <c r="J147" s="20" t="n">
        <v>198</v>
      </c>
      <c r="K147" s="20" t="n">
        <v>-11</v>
      </c>
      <c r="L147" s="20" t="n">
        <v>-1</v>
      </c>
      <c r="M147" s="20" t="n">
        <v>5</v>
      </c>
      <c r="N147" s="20" t="n">
        <v>7</v>
      </c>
      <c r="T147" s="20" t="n">
        <v>210</v>
      </c>
      <c r="U147" s="20" t="n">
        <v>591</v>
      </c>
      <c r="V147" s="20" t="n">
        <v>77</v>
      </c>
      <c r="W147" s="20" t="n">
        <v>38</v>
      </c>
      <c r="X147" s="20" t="n">
        <v>5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IF(OR(G147="",C147=""),"",IF(G147*C147&lt;=0,"",IFERROR(G147/C147-1,"")))</f>
        <v/>
      </c>
      <c r="H148" s="15">
        <f>IF(OR(H147="",D147=""),"",IF(H147*D147&lt;=0,"",IFERROR(H147/D147-1,"")))</f>
        <v/>
      </c>
      <c r="I148" s="15">
        <f>IF(OR(I147="",E147=""),"",IF(I147*E147&lt;=0,"",IFERROR(I147/E147-1,"")))</f>
        <v/>
      </c>
      <c r="J148" s="15">
        <f>IF(OR(J147="",F147=""),"",IF(J147*F147&lt;=0,"",IFERROR(J147/F147-1,"")))</f>
        <v/>
      </c>
      <c r="K148" s="15">
        <f>IF(OR(K147="",G147=""),"",IF(K147*G147&lt;=0,"",IFERROR(K147/G147-1,"")))</f>
        <v/>
      </c>
      <c r="L148" s="15">
        <f>IF(OR(L147="",H147=""),"",IF(L147*H147&lt;=0,"",IFERROR(L147/H147-1,"")))</f>
        <v/>
      </c>
      <c r="M148" s="15">
        <f>IF(OR(M147="",I147=""),"",IF(M147*I147&lt;=0,"",IFERROR(M147/I147-1,"")))</f>
        <v/>
      </c>
      <c r="N148" s="15">
        <f>IF(OR(N147="",J147=""),"",IF(N147*J147&lt;=0,"",IFERROR(N147/J147-1,"")))</f>
        <v/>
      </c>
      <c r="T148" s="15">
        <f>IF(OR(T147="",S147=""),"",IF(T147*S147&lt;=0,"",IFERROR(T147/S147-1,"")))</f>
        <v/>
      </c>
      <c r="U148" s="15">
        <f>IF(OR(U147="",T147=""),"",IF(U147*T147&lt;=0,"",IFERROR(U147/T147-1,"")))</f>
        <v/>
      </c>
      <c r="V148" s="15">
        <f>IF(OR(V147="",U147=""),"",IF(V147*U147&lt;=0,"",IFERROR(V147/U147-1,"")))</f>
        <v/>
      </c>
      <c r="W148" s="15">
        <f>IF(OR(W147="",V147=""),"",IF(W147*V147&lt;=0,"",IFERROR(W147/V147-1,"")))</f>
        <v/>
      </c>
      <c r="X148" s="15">
        <f>IF(OR(X147="",W147=""),"",IF(X147*W147&lt;=0,"",IFERROR(X147/W147-1,"")))</f>
        <v/>
      </c>
    </row>
    <row r="149">
      <c r="A149" s="9" t="inlineStr">
        <is>
          <t>법인세차감전 순이익</t>
        </is>
      </c>
      <c r="C149" s="12" t="n">
        <v>1349</v>
      </c>
      <c r="D149" s="12" t="n">
        <v>711</v>
      </c>
      <c r="E149" s="12" t="n">
        <v>1550</v>
      </c>
      <c r="F149" s="12" t="n">
        <v>2141</v>
      </c>
      <c r="G149" s="12" t="n">
        <v>832</v>
      </c>
      <c r="H149" s="12" t="n">
        <v>1157</v>
      </c>
      <c r="I149" s="12" t="n">
        <v>1122</v>
      </c>
      <c r="J149" s="12" t="n">
        <v>636</v>
      </c>
      <c r="K149" s="12" t="n">
        <v>2270</v>
      </c>
      <c r="L149" s="12" t="n">
        <v>2302</v>
      </c>
      <c r="M149" s="12" t="n">
        <v>1115</v>
      </c>
      <c r="N149" s="12" t="n">
        <v>2400</v>
      </c>
      <c r="T149" s="12" t="n">
        <v>1844</v>
      </c>
      <c r="U149" s="12" t="n">
        <v>1253</v>
      </c>
      <c r="V149" s="12" t="n">
        <v>1550</v>
      </c>
      <c r="W149" s="12" t="n">
        <v>1122</v>
      </c>
      <c r="X149" s="12" t="n">
        <v>1115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G150" s="15">
        <f>IF(OR(G149="",C149=""),"",IF(C149&lt;=0,"",IFERROR(G149/C149-1,"")))</f>
        <v/>
      </c>
      <c r="H150" s="15">
        <f>IF(OR(H149="",D149=""),"",IF(D149&lt;=0,"",IFERROR(H149/D149-1,"")))</f>
        <v/>
      </c>
      <c r="I150" s="15">
        <f>IF(OR(I149="",E149=""),"",IF(E149&lt;=0,"",IFERROR(I149/E149-1,"")))</f>
        <v/>
      </c>
      <c r="J150" s="15">
        <f>IF(OR(J149="",F149=""),"",IF(F149&lt;=0,"",IFERROR(J149/F149-1,"")))</f>
        <v/>
      </c>
      <c r="K150" s="15">
        <f>IF(OR(K149="",G149=""),"",IF(G149&lt;=0,"",IFERROR(K149/G149-1,"")))</f>
        <v/>
      </c>
      <c r="L150" s="15">
        <f>IF(OR(L149="",H149=""),"",IF(H149&lt;=0,"",IFERROR(L149/H149-1,"")))</f>
        <v/>
      </c>
      <c r="M150" s="15">
        <f>IF(OR(M149="",I149=""),"",IF(I149&lt;=0,"",IFERROR(M149/I149-1,"")))</f>
        <v/>
      </c>
      <c r="N150" s="15">
        <f>IF(OR(N149="",J149=""),"",IF(J149&lt;=0,"",IFERROR(N149/J149-1,"")))</f>
        <v/>
      </c>
      <c r="T150" s="15">
        <f>IF(OR(T149="",S149=""),"",IF(S149&lt;=0,"",IFERROR(T149/S149-1,"")))</f>
        <v/>
      </c>
      <c r="U150" s="15">
        <f>IF(OR(U149="",T149=""),"",IF(T149&lt;=0,"",IFERROR(U149/T149-1,"")))</f>
        <v/>
      </c>
      <c r="V150" s="15">
        <f>IF(OR(V149="",U149=""),"",IF(U149&lt;=0,"",IFERROR(V149/U149-1,"")))</f>
        <v/>
      </c>
      <c r="W150" s="15">
        <f>IF(OR(W149="",V149=""),"",IF(V149&lt;=0,"",IFERROR(W149/V149-1,"")))</f>
        <v/>
      </c>
      <c r="X150" s="15">
        <f>IF(OR(X149="",W149=""),"",IF(W149&lt;=0,"",IFERROR(X149/W149-1,"")))</f>
        <v/>
      </c>
    </row>
    <row r="151">
      <c r="A151" s="18" t="inlineStr">
        <is>
          <t>법인세·주민세·사업세</t>
        </is>
      </c>
      <c r="C151" s="20" t="n">
        <v>488</v>
      </c>
      <c r="D151" s="20" t="n">
        <v>197</v>
      </c>
      <c r="E151" s="20" t="n">
        <v>425</v>
      </c>
      <c r="F151" s="20" t="n">
        <v>476</v>
      </c>
      <c r="G151" s="20" t="n">
        <v>363</v>
      </c>
      <c r="H151" s="20" t="n">
        <v>237</v>
      </c>
      <c r="I151" s="20" t="n">
        <v>138</v>
      </c>
      <c r="J151" s="20" t="n">
        <v>329</v>
      </c>
      <c r="K151" s="20" t="n">
        <v>383</v>
      </c>
      <c r="L151" s="20" t="n">
        <v>563</v>
      </c>
      <c r="M151" s="20" t="n">
        <v>207</v>
      </c>
      <c r="N151" s="20" t="n">
        <v>691</v>
      </c>
      <c r="T151" s="20" t="n">
        <v>319</v>
      </c>
      <c r="U151" s="20" t="n">
        <v>314</v>
      </c>
      <c r="V151" s="20" t="n">
        <v>425</v>
      </c>
      <c r="W151" s="20" t="n">
        <v>138</v>
      </c>
      <c r="X151" s="20" t="n">
        <v>207</v>
      </c>
    </row>
    <row r="152">
      <c r="A152" s="18" t="inlineStr">
        <is>
          <t>법인세 조정액</t>
        </is>
      </c>
      <c r="C152" s="20" t="n">
        <v>-234</v>
      </c>
      <c r="D152" s="20" t="n">
        <v>37</v>
      </c>
      <c r="E152" s="20" t="n">
        <v>-65</v>
      </c>
      <c r="F152" s="20" t="n">
        <v>134</v>
      </c>
      <c r="G152" s="20" t="n">
        <v>-134</v>
      </c>
      <c r="H152" s="20" t="n">
        <v>103</v>
      </c>
      <c r="I152" s="20" t="n">
        <v>-125</v>
      </c>
      <c r="J152" s="20" t="n">
        <v>-58</v>
      </c>
      <c r="K152" s="20" t="n">
        <v>-16</v>
      </c>
      <c r="L152" s="20" t="n">
        <v>85</v>
      </c>
      <c r="M152" s="20" t="n">
        <v>-455</v>
      </c>
      <c r="N152" s="20" t="n">
        <v>-84</v>
      </c>
      <c r="T152" s="20" t="n">
        <v>384</v>
      </c>
      <c r="U152" s="20" t="n">
        <v>-101</v>
      </c>
      <c r="V152" s="20" t="n">
        <v>-65</v>
      </c>
      <c r="W152" s="20" t="n">
        <v>-125</v>
      </c>
      <c r="X152" s="20" t="n">
        <v>-455</v>
      </c>
    </row>
    <row r="153">
      <c r="A153" s="18" t="inlineStr">
        <is>
          <t>법인세 등 합계</t>
        </is>
      </c>
      <c r="C153" s="20" t="n">
        <v>253</v>
      </c>
      <c r="D153" s="20" t="n">
        <v>234</v>
      </c>
      <c r="E153" s="20" t="n">
        <v>360</v>
      </c>
      <c r="F153" s="20" t="n">
        <v>611</v>
      </c>
      <c r="G153" s="20" t="n">
        <v>227</v>
      </c>
      <c r="H153" s="20" t="n">
        <v>342</v>
      </c>
      <c r="I153" s="20" t="n">
        <v>12</v>
      </c>
      <c r="J153" s="20" t="n">
        <v>270</v>
      </c>
      <c r="K153" s="20" t="n">
        <v>367</v>
      </c>
      <c r="L153" s="20" t="n">
        <v>650</v>
      </c>
      <c r="M153" s="20" t="n">
        <v>-249</v>
      </c>
      <c r="N153" s="20" t="n">
        <v>607</v>
      </c>
      <c r="T153" s="20" t="n">
        <v>703</v>
      </c>
      <c r="U153" s="20" t="n">
        <v>212</v>
      </c>
      <c r="V153" s="20" t="n">
        <v>360</v>
      </c>
      <c r="W153" s="20" t="n">
        <v>12</v>
      </c>
      <c r="X153" s="20" t="n">
        <v>-249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IF(OR(G153="",C153=""),"",IF(G153*C153&lt;=0,"",IFERROR(G153/C153-1,"")))</f>
        <v/>
      </c>
      <c r="H154" s="15">
        <f>IF(OR(H153="",D153=""),"",IF(H153*D153&lt;=0,"",IFERROR(H153/D153-1,"")))</f>
        <v/>
      </c>
      <c r="I154" s="15">
        <f>IF(OR(I153="",E153=""),"",IF(I153*E153&lt;=0,"",IFERROR(I153/E153-1,"")))</f>
        <v/>
      </c>
      <c r="J154" s="15">
        <f>IF(OR(J153="",F153=""),"",IF(J153*F153&lt;=0,"",IFERROR(J153/F153-1,"")))</f>
        <v/>
      </c>
      <c r="K154" s="15">
        <f>IF(OR(K153="",G153=""),"",IF(K153*G153&lt;=0,"",IFERROR(K153/G153-1,"")))</f>
        <v/>
      </c>
      <c r="L154" s="15">
        <f>IF(OR(L153="",H153=""),"",IF(L153*H153&lt;=0,"",IFERROR(L153/H153-1,"")))</f>
        <v/>
      </c>
      <c r="M154" s="15">
        <f>IF(OR(M153="",I153=""),"",IF(M153*I153&lt;=0,"",IFERROR(M153/I153-1,"")))</f>
        <v/>
      </c>
      <c r="N154" s="15">
        <f>IF(OR(N153="",J153=""),"",IF(N153*J153&lt;=0,"",IFERROR(N153/J153-1,"")))</f>
        <v/>
      </c>
      <c r="T154" s="15">
        <f>IF(OR(T153="",S153=""),"",IF(T153*S153&lt;=0,"",IFERROR(T153/S153-1,"")))</f>
        <v/>
      </c>
      <c r="U154" s="15">
        <f>IF(OR(U153="",T153=""),"",IF(U153*T153&lt;=0,"",IFERROR(U153/T153-1,"")))</f>
        <v/>
      </c>
      <c r="V154" s="15">
        <f>IF(OR(V153="",U153=""),"",IF(V153*U153&lt;=0,"",IFERROR(V153/U153-1,"")))</f>
        <v/>
      </c>
      <c r="W154" s="15">
        <f>IF(OR(W153="",V153=""),"",IF(W153*V153&lt;=0,"",IFERROR(W153/V153-1,"")))</f>
        <v/>
      </c>
      <c r="X154" s="15">
        <f>IF(OR(X153="",W153=""),"",IF(X153*W153&lt;=0,"",IFERROR(X153/W153-1,"")))</f>
        <v/>
      </c>
    </row>
    <row r="155">
      <c r="A155" s="9" t="inlineStr">
        <is>
          <t>순이익</t>
        </is>
      </c>
      <c r="C155" s="12" t="n">
        <v>1096</v>
      </c>
      <c r="D155" s="12" t="n">
        <v>476</v>
      </c>
      <c r="E155" s="12" t="n">
        <v>1191</v>
      </c>
      <c r="F155" s="12" t="n">
        <v>1530</v>
      </c>
      <c r="G155" s="12" t="n">
        <v>604</v>
      </c>
      <c r="H155" s="12" t="n">
        <v>815</v>
      </c>
      <c r="I155" s="12" t="n">
        <v>1110</v>
      </c>
      <c r="J155" s="12" t="n">
        <v>365</v>
      </c>
      <c r="K155" s="12" t="n">
        <v>1903</v>
      </c>
      <c r="L155" s="12" t="n">
        <v>1653</v>
      </c>
      <c r="M155" s="12" t="n">
        <v>1364</v>
      </c>
      <c r="N155" s="12" t="n">
        <v>1792</v>
      </c>
      <c r="T155" s="12" t="n">
        <v>1141</v>
      </c>
      <c r="U155" s="12" t="n">
        <v>1041</v>
      </c>
      <c r="V155" s="12" t="n">
        <v>1191</v>
      </c>
      <c r="W155" s="12" t="n">
        <v>1110</v>
      </c>
      <c r="X155" s="12" t="n">
        <v>1364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T156" s="15">
        <f>IF(OR(T155="",S155=""),"",IF(S155&lt;=0,"",IFERROR(T155/S155-1,"")))</f>
        <v/>
      </c>
      <c r="U156" s="15">
        <f>IF(OR(U155="",T155=""),"",IF(T155&lt;=0,"",IFERROR(U155/T155-1,"")))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9" t="inlineStr">
        <is>
          <t>비지배주주 순이익</t>
        </is>
      </c>
      <c r="C157" s="12" t="n">
        <v>33</v>
      </c>
      <c r="D157" s="12" t="n">
        <v>-9</v>
      </c>
      <c r="E157" s="12" t="n">
        <v>32</v>
      </c>
      <c r="F157" s="12" t="n">
        <v>11</v>
      </c>
      <c r="G157" s="12" t="n">
        <v>28</v>
      </c>
      <c r="H157" s="12" t="n">
        <v>38</v>
      </c>
      <c r="I157" s="12" t="n">
        <v>39</v>
      </c>
      <c r="J157" s="12" t="n">
        <v>3</v>
      </c>
      <c r="K157" s="12" t="n">
        <v>18</v>
      </c>
      <c r="L157" s="12" t="n">
        <v>23</v>
      </c>
      <c r="M157" s="12" t="n">
        <v>8</v>
      </c>
      <c r="N157" s="12" t="n">
        <v>9</v>
      </c>
      <c r="T157" s="12" t="n">
        <v>51</v>
      </c>
      <c r="U157" s="12" t="n">
        <v>55</v>
      </c>
      <c r="V157" s="12" t="n">
        <v>32</v>
      </c>
      <c r="W157" s="12" t="n">
        <v>39</v>
      </c>
      <c r="X157" s="12" t="n">
        <v>8</v>
      </c>
    </row>
    <row r="158">
      <c r="A158" s="9" t="inlineStr">
        <is>
          <t>지배주주 순이익</t>
        </is>
      </c>
      <c r="C158" s="12" t="n">
        <v>1063</v>
      </c>
      <c r="D158" s="12" t="n">
        <v>486</v>
      </c>
      <c r="E158" s="12" t="n">
        <v>1159</v>
      </c>
      <c r="F158" s="12" t="n">
        <v>1518</v>
      </c>
      <c r="G158" s="12" t="n">
        <v>576</v>
      </c>
      <c r="H158" s="12" t="n">
        <v>778</v>
      </c>
      <c r="I158" s="12" t="n">
        <v>1071</v>
      </c>
      <c r="J158" s="12" t="n">
        <v>362</v>
      </c>
      <c r="K158" s="12" t="n">
        <v>1885</v>
      </c>
      <c r="L158" s="12" t="n">
        <v>1629</v>
      </c>
      <c r="M158" s="12" t="n">
        <v>1357</v>
      </c>
      <c r="N158" s="12" t="n">
        <v>1782</v>
      </c>
      <c r="T158" s="12" t="n">
        <v>1090</v>
      </c>
      <c r="U158" s="12" t="n">
        <v>986</v>
      </c>
      <c r="V158" s="12" t="n">
        <v>1159</v>
      </c>
      <c r="W158" s="12" t="n">
        <v>1071</v>
      </c>
      <c r="X158" s="12" t="n">
        <v>1357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N159" s="15">
        <f>IF(OR(N158="",J158=""),"",IF(J158&lt;=0,"",IFERROR(N158/J158-1,"")))</f>
        <v/>
      </c>
      <c r="T159" s="15">
        <f>IF(OR(T158="",S158=""),"",IF(S158&lt;=0,"",IFERROR(T158/S158-1,"")))</f>
        <v/>
      </c>
      <c r="U159" s="15">
        <f>IF(OR(U158="",T158=""),"",IF(T158&lt;=0,"",IFERROR(U158/T158-1,"")))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1">
      <c r="A161" s="16" t="inlineStr">
        <is>
          <t>포괄손익 · 전 항목</t>
        </is>
      </c>
      <c r="B161" s="42" t="inlineStr">
        <is>
          <t>분기 = 3개월 단독</t>
        </is>
      </c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</row>
    <row r="162">
      <c r="A162" s="5" t="inlineStr">
        <is>
          <t>항목</t>
        </is>
      </c>
      <c r="B162" s="5" t="inlineStr">
        <is>
          <t>참고</t>
        </is>
      </c>
      <c r="C162" s="5" t="inlineStr">
        <is>
          <t>2024.2Q</t>
        </is>
      </c>
      <c r="D162" s="5" t="inlineStr">
        <is>
          <t>2024.3Q</t>
        </is>
      </c>
      <c r="E162" s="5" t="inlineStr">
        <is>
          <t>2024.4Q</t>
        </is>
      </c>
      <c r="F162" s="5" t="inlineStr">
        <is>
          <t>2025.1Q</t>
        </is>
      </c>
      <c r="G162" s="5" t="inlineStr">
        <is>
          <t>2025.2Q</t>
        </is>
      </c>
      <c r="H162" s="5" t="inlineStr">
        <is>
          <t>2025.3Q</t>
        </is>
      </c>
      <c r="I162" s="5" t="inlineStr">
        <is>
          <t>2025.4Q</t>
        </is>
      </c>
      <c r="J162" s="5" t="inlineStr">
        <is>
          <t>2026.1Q</t>
        </is>
      </c>
      <c r="K162" s="5" t="inlineStr">
        <is>
          <t>2026.2Q</t>
        </is>
      </c>
      <c r="L162" s="5" t="inlineStr">
        <is>
          <t>2026.3Q</t>
        </is>
      </c>
      <c r="M162" s="5" t="inlineStr">
        <is>
          <t>2026.4Q</t>
        </is>
      </c>
      <c r="N162" s="5" t="inlineStr">
        <is>
          <t>2027.1Q</t>
        </is>
      </c>
      <c r="O162" s="5" t="inlineStr">
        <is>
          <t>2017</t>
        </is>
      </c>
      <c r="P162" s="5" t="inlineStr">
        <is>
          <t>2018</t>
        </is>
      </c>
      <c r="Q162" s="5" t="inlineStr">
        <is>
          <t>2019</t>
        </is>
      </c>
      <c r="R162" s="5" t="inlineStr">
        <is>
          <t>2020</t>
        </is>
      </c>
      <c r="S162" s="5" t="inlineStr">
        <is>
          <t>2021</t>
        </is>
      </c>
      <c r="T162" s="5" t="inlineStr">
        <is>
          <t>2022</t>
        </is>
      </c>
      <c r="U162" s="5" t="inlineStr">
        <is>
          <t>2023</t>
        </is>
      </c>
      <c r="V162" s="5" t="inlineStr">
        <is>
          <t>2024</t>
        </is>
      </c>
      <c r="W162" s="5" t="inlineStr">
        <is>
          <t>2025</t>
        </is>
      </c>
      <c r="X162" s="5" t="inlineStr">
        <is>
          <t>2026</t>
        </is>
      </c>
      <c r="Y162" s="5" t="inlineStr">
        <is>
          <t>2027(MW)</t>
        </is>
      </c>
      <c r="Z162" s="5" t="inlineStr">
        <is>
          <t>2028(MW)</t>
        </is>
      </c>
      <c r="AA162" s="5" t="inlineStr">
        <is>
          <t>2029(MW)</t>
        </is>
      </c>
      <c r="AB162" s="5" t="inlineStr">
        <is>
          <t>2030(MW)</t>
        </is>
      </c>
      <c r="AC162" s="5" t="inlineStr">
        <is>
          <t>2031(MW)</t>
        </is>
      </c>
    </row>
    <row r="163">
      <c r="A163" s="9" t="inlineStr">
        <is>
          <t>순이익</t>
        </is>
      </c>
      <c r="C163" s="12" t="n">
        <v>1096</v>
      </c>
      <c r="D163" s="12" t="n">
        <v>476</v>
      </c>
      <c r="E163" s="12" t="n">
        <v>1191</v>
      </c>
      <c r="F163" s="12" t="n">
        <v>1530</v>
      </c>
      <c r="G163" s="12" t="n">
        <v>604</v>
      </c>
      <c r="H163" s="12" t="n">
        <v>815</v>
      </c>
      <c r="I163" s="12" t="n">
        <v>1110</v>
      </c>
      <c r="J163" s="12" t="n">
        <v>365</v>
      </c>
      <c r="K163" s="12" t="n">
        <v>1903</v>
      </c>
      <c r="L163" s="12" t="n">
        <v>1653</v>
      </c>
      <c r="M163" s="12" t="n">
        <v>1364</v>
      </c>
      <c r="N163" s="12" t="n">
        <v>1792</v>
      </c>
      <c r="T163" s="12" t="n">
        <v>1141</v>
      </c>
      <c r="U163" s="12" t="n">
        <v>1041</v>
      </c>
      <c r="V163" s="12" t="n">
        <v>1191</v>
      </c>
      <c r="W163" s="12" t="n">
        <v>1110</v>
      </c>
      <c r="X163" s="12" t="n">
        <v>1364</v>
      </c>
    </row>
    <row r="164">
      <c r="A164" s="18" t="inlineStr">
        <is>
          <t>기타유가증권 평가차액</t>
        </is>
      </c>
      <c r="C164" s="20" t="n">
        <v>65</v>
      </c>
      <c r="D164" s="20" t="n">
        <v>-31</v>
      </c>
      <c r="E164" s="20" t="n">
        <v>95</v>
      </c>
      <c r="F164" s="20" t="n">
        <v>38</v>
      </c>
      <c r="G164" s="20" t="n">
        <v>-48</v>
      </c>
      <c r="H164" s="20" t="n">
        <v>107</v>
      </c>
      <c r="I164" s="20" t="n">
        <v>27</v>
      </c>
      <c r="J164" s="20" t="n">
        <v>-2</v>
      </c>
      <c r="K164" s="20" t="n">
        <v>113</v>
      </c>
      <c r="L164" s="20" t="n">
        <v>72</v>
      </c>
      <c r="M164" s="20" t="n">
        <v>54</v>
      </c>
      <c r="N164" s="20" t="n">
        <v>195</v>
      </c>
      <c r="T164" s="20" t="n">
        <v>-677</v>
      </c>
      <c r="U164" s="20" t="n">
        <v>-5</v>
      </c>
      <c r="V164" s="20" t="n">
        <v>95</v>
      </c>
      <c r="W164" s="20" t="n">
        <v>27</v>
      </c>
      <c r="X164" s="20" t="n">
        <v>54</v>
      </c>
    </row>
    <row r="165">
      <c r="A165" s="18" t="inlineStr">
        <is>
          <t>해외사업환산조정</t>
        </is>
      </c>
      <c r="C165" s="20" t="n">
        <v>394</v>
      </c>
      <c r="D165" s="20" t="n">
        <v>-913</v>
      </c>
      <c r="E165" s="20" t="n">
        <v>1163</v>
      </c>
      <c r="F165" s="20" t="n">
        <v>1311</v>
      </c>
      <c r="G165" s="20" t="n">
        <v>-2019</v>
      </c>
      <c r="H165" s="20" t="n">
        <v>1843</v>
      </c>
      <c r="I165" s="20" t="n">
        <v>-1310</v>
      </c>
      <c r="J165" s="20" t="n">
        <v>-277</v>
      </c>
      <c r="K165" s="20" t="n">
        <v>443</v>
      </c>
      <c r="L165" s="20" t="n">
        <v>1120</v>
      </c>
      <c r="M165" s="20" t="n">
        <v>419</v>
      </c>
      <c r="N165" s="20" t="n">
        <v>340</v>
      </c>
      <c r="T165" s="20" t="n">
        <v>1279</v>
      </c>
      <c r="U165" s="20" t="n">
        <v>256</v>
      </c>
      <c r="V165" s="20" t="n">
        <v>1163</v>
      </c>
      <c r="W165" s="20" t="n">
        <v>-1310</v>
      </c>
      <c r="X165" s="20" t="n">
        <v>419</v>
      </c>
    </row>
    <row r="166">
      <c r="A166" s="18" t="inlineStr">
        <is>
          <t>지분법 적용회사 지분 해당액</t>
        </is>
      </c>
      <c r="C166" s="20" t="n">
        <v>0</v>
      </c>
      <c r="D166" s="20" t="n">
        <v>0</v>
      </c>
      <c r="E166" s="20" t="n">
        <v>0</v>
      </c>
      <c r="T166" s="20" t="n">
        <v>-15</v>
      </c>
      <c r="U166" s="20" t="n">
        <v>0</v>
      </c>
      <c r="V166" s="20" t="n">
        <v>0</v>
      </c>
    </row>
    <row r="167">
      <c r="A167" s="18" t="inlineStr">
        <is>
          <t>기타포괄손익 합계</t>
        </is>
      </c>
      <c r="C167" s="20" t="n">
        <v>459</v>
      </c>
      <c r="D167" s="20" t="n">
        <v>-943</v>
      </c>
      <c r="E167" s="20" t="n">
        <v>1257</v>
      </c>
      <c r="F167" s="20" t="n">
        <v>1350</v>
      </c>
      <c r="G167" s="20" t="n">
        <v>-2069</v>
      </c>
      <c r="H167" s="20" t="n">
        <v>1952</v>
      </c>
      <c r="I167" s="20" t="n">
        <v>-1284</v>
      </c>
      <c r="J167" s="20" t="n">
        <v>-280</v>
      </c>
      <c r="K167" s="20" t="n">
        <v>558</v>
      </c>
      <c r="L167" s="20" t="n">
        <v>1191</v>
      </c>
      <c r="M167" s="20" t="n">
        <v>473</v>
      </c>
      <c r="N167" s="20" t="n">
        <v>536</v>
      </c>
      <c r="T167" s="20" t="n">
        <v>587</v>
      </c>
      <c r="U167" s="20" t="n">
        <v>251</v>
      </c>
      <c r="V167" s="20" t="n">
        <v>1257</v>
      </c>
      <c r="W167" s="20" t="n">
        <v>-1284</v>
      </c>
      <c r="X167" s="20" t="n">
        <v>473</v>
      </c>
    </row>
    <row r="168">
      <c r="A168" s="9" t="inlineStr">
        <is>
          <t>포괄이익</t>
        </is>
      </c>
      <c r="C168" s="12" t="n">
        <v>1555</v>
      </c>
      <c r="D168" s="12" t="n">
        <v>-468</v>
      </c>
      <c r="E168" s="12" t="n">
        <v>2449</v>
      </c>
      <c r="F168" s="12" t="n">
        <v>2880</v>
      </c>
      <c r="G168" s="12" t="n">
        <v>-1466</v>
      </c>
      <c r="H168" s="12" t="n">
        <v>2769</v>
      </c>
      <c r="I168" s="12" t="n">
        <v>-175</v>
      </c>
      <c r="J168" s="12" t="n">
        <v>85</v>
      </c>
      <c r="K168" s="12" t="n">
        <v>2461</v>
      </c>
      <c r="L168" s="12" t="n">
        <v>2845</v>
      </c>
      <c r="M168" s="12" t="n">
        <v>1837</v>
      </c>
      <c r="N168" s="12" t="n">
        <v>2329</v>
      </c>
      <c r="T168" s="12" t="n">
        <v>1727</v>
      </c>
      <c r="U168" s="12" t="n">
        <v>1292</v>
      </c>
      <c r="V168" s="12" t="n">
        <v>2449</v>
      </c>
      <c r="W168" s="12" t="n">
        <v>-175</v>
      </c>
      <c r="X168" s="12" t="n">
        <v>1837</v>
      </c>
    </row>
    <row r="169">
      <c r="A169" s="9" t="inlineStr">
        <is>
          <t>지배주주 포괄이익</t>
        </is>
      </c>
      <c r="C169" s="12" t="n">
        <v>1521</v>
      </c>
      <c r="D169" s="12" t="n">
        <v>-451</v>
      </c>
      <c r="E169" s="12" t="n">
        <v>2398</v>
      </c>
      <c r="F169" s="12" t="n">
        <v>2835</v>
      </c>
      <c r="G169" s="12" t="n">
        <v>-1431</v>
      </c>
      <c r="H169" s="12" t="n">
        <v>2685</v>
      </c>
      <c r="I169" s="12" t="n">
        <v>-161</v>
      </c>
      <c r="J169" s="12" t="n">
        <v>70</v>
      </c>
      <c r="K169" s="12" t="n">
        <v>2445</v>
      </c>
      <c r="L169" s="12" t="n">
        <v>2817</v>
      </c>
      <c r="M169" s="12" t="n">
        <v>1830</v>
      </c>
      <c r="N169" s="12" t="n">
        <v>2316</v>
      </c>
      <c r="T169" s="12" t="n">
        <v>1659</v>
      </c>
      <c r="U169" s="12" t="n">
        <v>1228</v>
      </c>
      <c r="V169" s="12" t="n">
        <v>2398</v>
      </c>
      <c r="W169" s="12" t="n">
        <v>-161</v>
      </c>
      <c r="X169" s="12" t="n">
        <v>1830</v>
      </c>
    </row>
    <row r="170">
      <c r="A170" s="9" t="inlineStr">
        <is>
          <t>비지배주주 포괄이익</t>
        </is>
      </c>
      <c r="C170" s="12" t="n">
        <v>33</v>
      </c>
      <c r="D170" s="12" t="n">
        <v>-16</v>
      </c>
      <c r="E170" s="12" t="n">
        <v>50</v>
      </c>
      <c r="F170" s="12" t="n">
        <v>45</v>
      </c>
      <c r="G170" s="12" t="n">
        <v>-35</v>
      </c>
      <c r="H170" s="12" t="n">
        <v>83</v>
      </c>
      <c r="I170" s="12" t="n">
        <v>-13</v>
      </c>
      <c r="J170" s="12" t="n">
        <v>15</v>
      </c>
      <c r="K170" s="12" t="n">
        <v>16</v>
      </c>
      <c r="L170" s="12" t="n">
        <v>27</v>
      </c>
      <c r="M170" s="12" t="n">
        <v>8</v>
      </c>
      <c r="N170" s="12" t="n">
        <v>12</v>
      </c>
      <c r="T170" s="12" t="n">
        <v>67</v>
      </c>
      <c r="U170" s="12" t="n">
        <v>64</v>
      </c>
      <c r="V170" s="12" t="n">
        <v>50</v>
      </c>
      <c r="W170" s="12" t="n">
        <v>-13</v>
      </c>
      <c r="X170" s="12" t="n">
        <v>8</v>
      </c>
    </row>
    <row r="172">
      <c r="A172" s="16" t="inlineStr">
        <is>
          <t>부문 · 전 항목</t>
        </is>
      </c>
      <c r="B172" s="42" t="inlineStr">
        <is>
          <t>부문 · 항목</t>
        </is>
      </c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</row>
    <row r="173">
      <c r="A173" s="5" t="inlineStr">
        <is>
          <t>항목</t>
        </is>
      </c>
      <c r="B173" s="5" t="inlineStr">
        <is>
          <t>참고</t>
        </is>
      </c>
      <c r="C173" s="5" t="inlineStr">
        <is>
          <t>2024.2Q</t>
        </is>
      </c>
      <c r="D173" s="5" t="inlineStr">
        <is>
          <t>2024.3Q</t>
        </is>
      </c>
      <c r="E173" s="5" t="inlineStr">
        <is>
          <t>2024.4Q</t>
        </is>
      </c>
      <c r="F173" s="5" t="inlineStr">
        <is>
          <t>2025.1Q</t>
        </is>
      </c>
      <c r="G173" s="5" t="inlineStr">
        <is>
          <t>2025.2Q</t>
        </is>
      </c>
      <c r="H173" s="5" t="inlineStr">
        <is>
          <t>2025.3Q</t>
        </is>
      </c>
      <c r="I173" s="5" t="inlineStr">
        <is>
          <t>2025.4Q</t>
        </is>
      </c>
      <c r="J173" s="5" t="inlineStr">
        <is>
          <t>2026.1Q</t>
        </is>
      </c>
      <c r="K173" s="5" t="inlineStr">
        <is>
          <t>2026.2Q</t>
        </is>
      </c>
      <c r="L173" s="5" t="inlineStr">
        <is>
          <t>2026.3Q</t>
        </is>
      </c>
      <c r="M173" s="5" t="inlineStr">
        <is>
          <t>2026.4Q</t>
        </is>
      </c>
      <c r="N173" s="5" t="inlineStr">
        <is>
          <t>2027.1Q</t>
        </is>
      </c>
      <c r="O173" s="5" t="inlineStr">
        <is>
          <t>2017</t>
        </is>
      </c>
      <c r="P173" s="5" t="inlineStr">
        <is>
          <t>2018</t>
        </is>
      </c>
      <c r="Q173" s="5" t="inlineStr">
        <is>
          <t>2019</t>
        </is>
      </c>
      <c r="R173" s="5" t="inlineStr">
        <is>
          <t>2020</t>
        </is>
      </c>
      <c r="S173" s="5" t="inlineStr">
        <is>
          <t>2021</t>
        </is>
      </c>
      <c r="T173" s="5" t="inlineStr">
        <is>
          <t>2022</t>
        </is>
      </c>
      <c r="U173" s="5" t="inlineStr">
        <is>
          <t>2023</t>
        </is>
      </c>
      <c r="V173" s="5" t="inlineStr">
        <is>
          <t>2024</t>
        </is>
      </c>
      <c r="W173" s="5" t="inlineStr">
        <is>
          <t>2025</t>
        </is>
      </c>
      <c r="X173" s="5" t="inlineStr">
        <is>
          <t>2026</t>
        </is>
      </c>
      <c r="Y173" s="5" t="inlineStr">
        <is>
          <t>2027(MW)</t>
        </is>
      </c>
      <c r="Z173" s="5" t="inlineStr">
        <is>
          <t>2028(MW)</t>
        </is>
      </c>
      <c r="AA173" s="5" t="inlineStr">
        <is>
          <t>2029(MW)</t>
        </is>
      </c>
      <c r="AB173" s="5" t="inlineStr">
        <is>
          <t>2030(MW)</t>
        </is>
      </c>
      <c r="AC173" s="5" t="inlineStr">
        <is>
          <t>2031(MW)</t>
        </is>
      </c>
    </row>
    <row r="174">
      <c r="A174" s="18" t="inlineStr">
        <is>
          <t>Semiconductor · 외부 고객 매출</t>
        </is>
      </c>
      <c r="C174" s="20" t="n">
        <v>4014</v>
      </c>
      <c r="D174" s="20" t="n">
        <v>3422</v>
      </c>
      <c r="F174" s="20" t="n">
        <v>4570</v>
      </c>
      <c r="G174" s="20" t="n">
        <v>3686</v>
      </c>
      <c r="H174" s="20" t="n">
        <v>3730</v>
      </c>
      <c r="J174" s="20" t="n">
        <v>4888</v>
      </c>
      <c r="K174" s="20" t="n">
        <v>5797</v>
      </c>
      <c r="L174" s="20" t="n">
        <v>7166</v>
      </c>
      <c r="N174" s="20" t="n">
        <v>7878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J175" s="15">
        <f>IF(OR(J174="",F174=""),"",IF(F174&lt;=0,"",IFERROR(J174/F174-1,"")))</f>
        <v/>
      </c>
      <c r="K175" s="15">
        <f>IF(OR(K174="",G174=""),"",IF(G174&lt;=0,"",IFERROR(K174/G174-1,"")))</f>
        <v/>
      </c>
      <c r="L175" s="15">
        <f>IF(OR(L174="",H174=""),"",IF(H174&lt;=0,"",IFERROR(L174/H174-1,"")))</f>
        <v/>
      </c>
      <c r="N175" s="15">
        <f>IF(OR(N174="",J174=""),"",IF(J174&lt;=0,"",IFERROR(N174/J174-1,"")))</f>
        <v/>
      </c>
    </row>
    <row r="176">
      <c r="A176" s="18" t="inlineStr">
        <is>
          <t>Life Science · 외부 고객 매출</t>
        </is>
      </c>
      <c r="F176" s="20" t="n">
        <v>766</v>
      </c>
      <c r="J176" s="20" t="n">
        <v>516</v>
      </c>
      <c r="N176" s="20" t="n">
        <v>276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J177" s="15">
        <f>IF(OR(J176="",F176=""),"",IF(F176&lt;=0,"",IFERROR(J176/F176-1,"")))</f>
        <v/>
      </c>
      <c r="N177" s="15">
        <f>IF(OR(N176="",J176=""),"",IF(J176&lt;=0,"",IFERROR(N176/J176-1,"")))</f>
        <v/>
      </c>
    </row>
    <row r="178">
      <c r="A178" s="18" t="inlineStr">
        <is>
          <t>Digital Communication · 외부 고객 매출</t>
        </is>
      </c>
      <c r="F178" s="20" t="n">
        <v>1705</v>
      </c>
      <c r="J178" s="20" t="n">
        <v>420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J179" s="15">
        <f>IF(OR(J178="",F178=""),"",IF(F178&lt;=0,"",IFERROR(J178/F178-1,"")))</f>
        <v/>
      </c>
    </row>
    <row r="180">
      <c r="A180" s="18" t="inlineStr">
        <is>
          <t>Digital Communication · 외부 고객 매출</t>
        </is>
      </c>
      <c r="J180" s="20" t="n">
        <v>420</v>
      </c>
      <c r="N180" s="20" t="n">
        <v>457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J181" s="15">
        <f>IF(OR(J180="",F180=""),"",IF(F180&lt;=0,"",IFERROR(J180/F180-1,"")))</f>
        <v/>
      </c>
      <c r="N181" s="15">
        <f>IF(OR(N180="",J180=""),"",IF(J180&lt;=0,"",IFERROR(N180/J180-1,"")))</f>
        <v/>
      </c>
    </row>
    <row r="182">
      <c r="A182" s="18" t="inlineStr">
        <is>
          <t>Energy Saving Solution · 외부 고객 매출</t>
        </is>
      </c>
      <c r="C182" s="20" t="n">
        <v>3290</v>
      </c>
      <c r="D182" s="20" t="n">
        <v>3313</v>
      </c>
      <c r="E182" s="20" t="n">
        <v>3530</v>
      </c>
      <c r="F182" s="20" t="n">
        <v>3558</v>
      </c>
      <c r="G182" s="20" t="n">
        <v>3437</v>
      </c>
      <c r="H182" s="20" t="n">
        <v>3604</v>
      </c>
      <c r="I182" s="20" t="n">
        <v>3399</v>
      </c>
      <c r="J182" s="20" t="n">
        <v>3173</v>
      </c>
      <c r="K182" s="20" t="n">
        <v>3635</v>
      </c>
      <c r="L182" s="20" t="n">
        <v>3661</v>
      </c>
      <c r="M182" s="20" t="n">
        <v>3732</v>
      </c>
      <c r="N182" s="20" t="n">
        <v>3959</v>
      </c>
      <c r="V182" s="20" t="n">
        <v>3530</v>
      </c>
      <c r="W182" s="20" t="n">
        <v>3399</v>
      </c>
      <c r="X182" s="20" t="n">
        <v>3732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H183" s="15">
        <f>IF(OR(H182="",D182=""),"",IF(D182&lt;=0,"",IFERROR(H182/D182-1,"")))</f>
        <v/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K183" s="15">
        <f>IF(OR(K182="",G182=""),"",IF(G182&lt;=0,"",IFERROR(K182/G182-1,"")))</f>
        <v/>
      </c>
      <c r="L183" s="15">
        <f>IF(OR(L182="",H182=""),"",IF(H182&lt;=0,"",IFERROR(L182/H182-1,"")))</f>
        <v/>
      </c>
      <c r="M183" s="15">
        <f>IF(OR(M182="",I182=""),"",IF(I182&lt;=0,"",IFERROR(M182/I182-1,"")))</f>
        <v/>
      </c>
      <c r="N183" s="15">
        <f>IF(OR(N182="",J182=""),"",IF(J182&lt;=0,"",IFERROR(N182/J182-1,"")))</f>
        <v/>
      </c>
      <c r="V183" s="15">
        <f>IF(OR(V182="",U182=""),"",IF(U182&lt;=0,"",IFERROR(V182/U182-1,"")))</f>
        <v/>
      </c>
      <c r="W183" s="15">
        <f>IF(OR(W182="",V182=""),"",IF(V182&lt;=0,"",IFERROR(W182/V182-1,"")))</f>
        <v/>
      </c>
      <c r="X183" s="15">
        <f>IF(OR(X182="",W182=""),"",IF(W182&lt;=0,"",IFERROR(X182/W182-1,"")))</f>
        <v/>
      </c>
    </row>
    <row r="184">
      <c r="A184" s="9" t="inlineStr">
        <is>
          <t>외부 고객 매출</t>
        </is>
      </c>
      <c r="C184" s="12" t="n">
        <v>9485</v>
      </c>
      <c r="D184" s="12" t="n">
        <v>8754</v>
      </c>
      <c r="E184" s="12" t="n">
        <v>9851</v>
      </c>
      <c r="F184" s="12" t="n">
        <v>10601</v>
      </c>
      <c r="G184" s="12" t="n">
        <v>9099</v>
      </c>
      <c r="H184" s="12" t="n">
        <v>9105</v>
      </c>
      <c r="I184" s="12" t="n">
        <v>9264</v>
      </c>
      <c r="J184" s="12" t="n">
        <v>8999</v>
      </c>
      <c r="K184" s="12" t="n">
        <v>11902</v>
      </c>
      <c r="L184" s="12" t="n">
        <v>11473</v>
      </c>
      <c r="M184" s="12" t="n">
        <v>10166</v>
      </c>
      <c r="N184" s="12" t="n">
        <v>12572</v>
      </c>
      <c r="V184" s="12" t="n">
        <v>9851</v>
      </c>
      <c r="W184" s="12" t="n">
        <v>9264</v>
      </c>
      <c r="X184" s="12" t="n">
        <v>10166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IF(OR(G184="",C184=""),"",IF(C184&lt;=0,"",IFERROR(G184/C184-1,"")))</f>
        <v/>
      </c>
      <c r="H185" s="15">
        <f>IF(OR(H184="",D184=""),"",IF(D184&lt;=0,"",IFERROR(H184/D184-1,"")))</f>
        <v/>
      </c>
      <c r="I185" s="15">
        <f>IF(OR(I184="",E184=""),"",IF(E184&lt;=0,"",IFERROR(I184/E184-1,"")))</f>
        <v/>
      </c>
      <c r="J185" s="15">
        <f>IF(OR(J184="",F184=""),"",IF(F184&lt;=0,"",IFERROR(J184/F184-1,"")))</f>
        <v/>
      </c>
      <c r="K185" s="15">
        <f>IF(OR(K184="",G184=""),"",IF(G184&lt;=0,"",IFERROR(K184/G184-1,"")))</f>
        <v/>
      </c>
      <c r="L185" s="15">
        <f>IF(OR(L184="",H184=""),"",IF(H184&lt;=0,"",IFERROR(L184/H184-1,"")))</f>
        <v/>
      </c>
      <c r="M185" s="15">
        <f>IF(OR(M184="",I184=""),"",IF(I184&lt;=0,"",IFERROR(M184/I184-1,"")))</f>
        <v/>
      </c>
      <c r="N185" s="15">
        <f>IF(OR(N184="",J184=""),"",IF(J184&lt;=0,"",IFERROR(N184/J184-1,"")))</f>
        <v/>
      </c>
      <c r="V185" s="15">
        <f>IF(OR(V184="",U184=""),"",IF(U184&lt;=0,"",IFERROR(V184/U184-1,"")))</f>
        <v/>
      </c>
      <c r="W185" s="15">
        <f>IF(OR(W184="",V184=""),"",IF(V184&lt;=0,"",IFERROR(W184/V184-1,"")))</f>
        <v/>
      </c>
      <c r="X185" s="15">
        <f>IF(OR(X184="",W184=""),"",IF(W184&lt;=0,"",IFERROR(X184/W184-1,"")))</f>
        <v/>
      </c>
    </row>
    <row r="186">
      <c r="A186" s="18" t="inlineStr">
        <is>
          <t>Life Science · 부문 간 내부매출·대체</t>
        </is>
      </c>
      <c r="D186" s="20" t="n">
        <v>0</v>
      </c>
      <c r="E186" s="20" t="n">
        <v>0</v>
      </c>
      <c r="H186" s="20" t="n">
        <v>0</v>
      </c>
      <c r="I186" s="20" t="n">
        <v>0</v>
      </c>
      <c r="L186" s="20" t="n">
        <v>0</v>
      </c>
      <c r="M186" s="20" t="n">
        <v>0</v>
      </c>
      <c r="V186" s="20" t="n">
        <v>0</v>
      </c>
      <c r="W186" s="20" t="n">
        <v>0</v>
      </c>
      <c r="X186" s="20" t="n">
        <v>0</v>
      </c>
    </row>
    <row r="187">
      <c r="A187" s="18" t="inlineStr">
        <is>
          <t>Digital Communication · 부문 간 내부매출·대체</t>
        </is>
      </c>
      <c r="D187" s="20" t="n">
        <v>0</v>
      </c>
      <c r="E187" s="20" t="n">
        <v>0</v>
      </c>
      <c r="H187" s="20" t="n">
        <v>0</v>
      </c>
      <c r="I187" s="20" t="n">
        <v>0</v>
      </c>
      <c r="L187" s="20" t="n">
        <v>0</v>
      </c>
      <c r="M187" s="20" t="n">
        <v>0</v>
      </c>
      <c r="V187" s="20" t="n">
        <v>0</v>
      </c>
      <c r="W187" s="20" t="n">
        <v>0</v>
      </c>
      <c r="X187" s="20" t="n">
        <v>0</v>
      </c>
    </row>
    <row r="188">
      <c r="A188" s="18" t="inlineStr">
        <is>
          <t>Semiconductor · 부문 간 내부매출·대체</t>
        </is>
      </c>
      <c r="C188" s="20" t="n">
        <v>0</v>
      </c>
      <c r="D188" s="20" t="n">
        <v>0</v>
      </c>
      <c r="F188" s="20" t="n">
        <v>0</v>
      </c>
      <c r="G188" s="20" t="n">
        <v>0</v>
      </c>
      <c r="H188" s="20" t="n">
        <v>0</v>
      </c>
      <c r="J188" s="20" t="n">
        <v>0</v>
      </c>
      <c r="K188" s="20" t="n">
        <v>0</v>
      </c>
      <c r="L188" s="20" t="n">
        <v>0</v>
      </c>
      <c r="N188" s="20" t="n">
        <v>0</v>
      </c>
    </row>
    <row r="189">
      <c r="A189" s="18" t="inlineStr">
        <is>
          <t>Life Science · 부문 간 내부매출·대체</t>
        </is>
      </c>
      <c r="F189" s="20" t="n">
        <v>0</v>
      </c>
      <c r="J189" s="20" t="n">
        <v>0</v>
      </c>
      <c r="N189" s="20" t="n">
        <v>0</v>
      </c>
    </row>
    <row r="190">
      <c r="A190" s="18" t="inlineStr">
        <is>
          <t>Digital Communication · 부문 간 내부매출·대체</t>
        </is>
      </c>
      <c r="F190" s="20" t="n">
        <v>0</v>
      </c>
      <c r="J190" s="20" t="n">
        <v>0</v>
      </c>
    </row>
    <row r="191">
      <c r="A191" s="18" t="inlineStr">
        <is>
          <t>Digital Communication · 부문 간 내부매출·대체</t>
        </is>
      </c>
      <c r="J191" s="20" t="n">
        <v>0</v>
      </c>
      <c r="N191" s="20" t="n">
        <v>0</v>
      </c>
    </row>
    <row r="192">
      <c r="A192" s="18" t="inlineStr">
        <is>
          <t>Energy Saving Solution · 부문 간 내부매출·대체</t>
        </is>
      </c>
      <c r="C192" s="20" t="n">
        <v>0</v>
      </c>
      <c r="D192" s="20" t="n">
        <v>0</v>
      </c>
      <c r="E192" s="20" t="n">
        <v>0</v>
      </c>
      <c r="F192" s="20" t="n">
        <v>0</v>
      </c>
      <c r="G192" s="20" t="n">
        <v>0</v>
      </c>
      <c r="H192" s="20" t="n">
        <v>0</v>
      </c>
      <c r="I192" s="20" t="n">
        <v>0</v>
      </c>
      <c r="J192" s="20" t="n">
        <v>0</v>
      </c>
      <c r="K192" s="20" t="n">
        <v>0</v>
      </c>
      <c r="L192" s="20" t="n">
        <v>0</v>
      </c>
      <c r="M192" s="20" t="n">
        <v>0</v>
      </c>
      <c r="N192" s="20" t="n">
        <v>0</v>
      </c>
      <c r="V192" s="20" t="n">
        <v>0</v>
      </c>
      <c r="W192" s="20" t="n">
        <v>0</v>
      </c>
      <c r="X192" s="20" t="n">
        <v>0</v>
      </c>
    </row>
    <row r="193">
      <c r="A193" s="18" t="inlineStr">
        <is>
          <t>부문 간 내부매출·대체</t>
        </is>
      </c>
      <c r="C193" s="20" t="n">
        <v>0</v>
      </c>
      <c r="D193" s="20" t="n">
        <v>0</v>
      </c>
      <c r="E193" s="20" t="n">
        <v>0</v>
      </c>
      <c r="F193" s="20" t="n">
        <v>0</v>
      </c>
      <c r="G193" s="20" t="n">
        <v>0</v>
      </c>
      <c r="H193" s="20" t="n">
        <v>0</v>
      </c>
      <c r="I193" s="20" t="n">
        <v>0</v>
      </c>
      <c r="J193" s="20" t="n">
        <v>0</v>
      </c>
      <c r="K193" s="20" t="n">
        <v>0</v>
      </c>
      <c r="L193" s="20" t="n">
        <v>0</v>
      </c>
      <c r="M193" s="20" t="n">
        <v>0</v>
      </c>
      <c r="N193" s="20" t="n">
        <v>0</v>
      </c>
      <c r="V193" s="20" t="n">
        <v>0</v>
      </c>
      <c r="W193" s="20" t="n">
        <v>0</v>
      </c>
      <c r="X193" s="20" t="n">
        <v>0</v>
      </c>
    </row>
    <row r="194">
      <c r="A194" s="18" t="inlineStr">
        <is>
          <t>Life Science · 계</t>
        </is>
      </c>
      <c r="D194" s="20" t="n">
        <v>593</v>
      </c>
      <c r="E194" s="20" t="n">
        <v>515</v>
      </c>
      <c r="H194" s="20" t="n">
        <v>638</v>
      </c>
      <c r="I194" s="20" t="n">
        <v>945</v>
      </c>
      <c r="L194" s="20" t="n">
        <v>262</v>
      </c>
      <c r="M194" s="20" t="n">
        <v>201</v>
      </c>
      <c r="V194" s="20" t="n">
        <v>515</v>
      </c>
      <c r="W194" s="20" t="n">
        <v>945</v>
      </c>
      <c r="X194" s="20" t="n">
        <v>201</v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H195" s="15">
        <f>IF(OR(H194="",D194=""),"",IF(D194&lt;=0,"",IFERROR(H194/D194-1,"")))</f>
        <v/>
      </c>
      <c r="I195" s="15">
        <f>IF(OR(I194="",E194=""),"",IF(E194&lt;=0,"",IFERROR(I194/E194-1,"")))</f>
        <v/>
      </c>
      <c r="L195" s="15">
        <f>IF(OR(L194="",H194=""),"",IF(H194&lt;=0,"",IFERROR(L194/H194-1,"")))</f>
        <v/>
      </c>
      <c r="M195" s="15">
        <f>IF(OR(M194="",I194=""),"",IF(I194&lt;=0,"",IFERROR(M194/I194-1,"")))</f>
        <v/>
      </c>
      <c r="V195" s="15">
        <f>IF(OR(V194="",U194=""),"",IF(U194&lt;=0,"",IFERROR(V194/U194-1,"")))</f>
        <v/>
      </c>
      <c r="W195" s="15">
        <f>IF(OR(W194="",V194=""),"",IF(V194&lt;=0,"",IFERROR(W194/V194-1,"")))</f>
        <v/>
      </c>
      <c r="X195" s="15">
        <f>IF(OR(X194="",W194=""),"",IF(W194&lt;=0,"",IFERROR(X194/W194-1,"")))</f>
        <v/>
      </c>
    </row>
    <row r="196">
      <c r="A196" s="18" t="inlineStr">
        <is>
          <t>Digital Communication · 계</t>
        </is>
      </c>
      <c r="D196" s="20" t="n">
        <v>1425</v>
      </c>
      <c r="E196" s="20" t="n">
        <v>1239</v>
      </c>
      <c r="H196" s="20" t="n">
        <v>1131</v>
      </c>
      <c r="I196" s="20" t="n">
        <v>784</v>
      </c>
      <c r="L196" s="20" t="n">
        <v>384</v>
      </c>
      <c r="M196" s="20" t="n">
        <v>482</v>
      </c>
      <c r="V196" s="20" t="n">
        <v>1239</v>
      </c>
      <c r="W196" s="20" t="n">
        <v>784</v>
      </c>
      <c r="X196" s="20" t="n">
        <v>482</v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H197" s="15">
        <f>IF(OR(H196="",D196=""),"",IF(D196&lt;=0,"",IFERROR(H196/D196-1,"")))</f>
        <v/>
      </c>
      <c r="I197" s="15">
        <f>IF(OR(I196="",E196=""),"",IF(E196&lt;=0,"",IFERROR(I196/E196-1,"")))</f>
        <v/>
      </c>
      <c r="L197" s="15">
        <f>IF(OR(L196="",H196=""),"",IF(H196&lt;=0,"",IFERROR(L196/H196-1,"")))</f>
        <v/>
      </c>
      <c r="M197" s="15">
        <f>IF(OR(M196="",I196=""),"",IF(I196&lt;=0,"",IFERROR(M196/I196-1,"")))</f>
        <v/>
      </c>
      <c r="V197" s="15">
        <f>IF(OR(V196="",U196=""),"",IF(U196&lt;=0,"",IFERROR(V196/U196-1,"")))</f>
        <v/>
      </c>
      <c r="W197" s="15">
        <f>IF(OR(W196="",V196=""),"",IF(V196&lt;=0,"",IFERROR(W196/V196-1,"")))</f>
        <v/>
      </c>
      <c r="X197" s="15">
        <f>IF(OR(X196="",W196=""),"",IF(W196&lt;=0,"",IFERROR(X196/W196-1,"")))</f>
        <v/>
      </c>
    </row>
    <row r="198">
      <c r="A198" s="18" t="inlineStr">
        <is>
          <t>Semiconductor · 계</t>
        </is>
      </c>
      <c r="C198" s="20" t="n">
        <v>4014</v>
      </c>
      <c r="D198" s="20" t="n">
        <v>3422</v>
      </c>
      <c r="F198" s="20" t="n">
        <v>4570</v>
      </c>
      <c r="G198" s="20" t="n">
        <v>3686</v>
      </c>
      <c r="H198" s="20" t="n">
        <v>3730</v>
      </c>
      <c r="J198" s="20" t="n">
        <v>4888</v>
      </c>
      <c r="K198" s="20" t="n">
        <v>5797</v>
      </c>
      <c r="L198" s="20" t="n">
        <v>7166</v>
      </c>
      <c r="N198" s="20" t="n">
        <v>7878</v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IF(OR(G198="",C198=""),"",IF(C198&lt;=0,"",IFERROR(G198/C198-1,"")))</f>
        <v/>
      </c>
      <c r="H199" s="15">
        <f>IF(OR(H198="",D198=""),"",IF(D198&lt;=0,"",IFERROR(H198/D198-1,"")))</f>
        <v/>
      </c>
      <c r="J199" s="15">
        <f>IF(OR(J198="",F198=""),"",IF(F198&lt;=0,"",IFERROR(J198/F198-1,"")))</f>
        <v/>
      </c>
      <c r="K199" s="15">
        <f>IF(OR(K198="",G198=""),"",IF(G198&lt;=0,"",IFERROR(K198/G198-1,"")))</f>
        <v/>
      </c>
      <c r="L199" s="15">
        <f>IF(OR(L198="",H198=""),"",IF(H198&lt;=0,"",IFERROR(L198/H198-1,"")))</f>
        <v/>
      </c>
      <c r="N199" s="15">
        <f>IF(OR(N198="",J198=""),"",IF(J198&lt;=0,"",IFERROR(N198/J198-1,"")))</f>
        <v/>
      </c>
    </row>
    <row r="200">
      <c r="A200" s="18" t="inlineStr">
        <is>
          <t>Life Science · 계</t>
        </is>
      </c>
      <c r="F200" s="20" t="n">
        <v>766</v>
      </c>
      <c r="J200" s="20" t="n">
        <v>516</v>
      </c>
      <c r="N200" s="20" t="n">
        <v>276</v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J201" s="15">
        <f>IF(OR(J200="",F200=""),"",IF(F200&lt;=0,"",IFERROR(J200/F200-1,"")))</f>
        <v/>
      </c>
      <c r="N201" s="15">
        <f>IF(OR(N200="",J200=""),"",IF(J200&lt;=0,"",IFERROR(N200/J200-1,"")))</f>
        <v/>
      </c>
    </row>
    <row r="202">
      <c r="A202" s="18" t="inlineStr">
        <is>
          <t>Digital Communication · 계</t>
        </is>
      </c>
      <c r="F202" s="20" t="n">
        <v>1705</v>
      </c>
      <c r="J202" s="20" t="n">
        <v>420</v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J203" s="15">
        <f>IF(OR(J202="",F202=""),"",IF(F202&lt;=0,"",IFERROR(J202/F202-1,"")))</f>
        <v/>
      </c>
    </row>
    <row r="204">
      <c r="A204" s="18" t="inlineStr">
        <is>
          <t>Digital Communication · 계</t>
        </is>
      </c>
      <c r="J204" s="20" t="n">
        <v>420</v>
      </c>
      <c r="N204" s="20" t="n">
        <v>457</v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J205" s="15">
        <f>IF(OR(J204="",F204=""),"",IF(F204&lt;=0,"",IFERROR(J204/F204-1,"")))</f>
        <v/>
      </c>
      <c r="N205" s="15">
        <f>IF(OR(N204="",J204=""),"",IF(J204&lt;=0,"",IFERROR(N204/J204-1,"")))</f>
        <v/>
      </c>
    </row>
    <row r="206">
      <c r="A206" s="18" t="inlineStr">
        <is>
          <t>Energy Saving Solution · 계</t>
        </is>
      </c>
      <c r="C206" s="20" t="n">
        <v>3290</v>
      </c>
      <c r="D206" s="20" t="n">
        <v>3313</v>
      </c>
      <c r="E206" s="20" t="n">
        <v>3530</v>
      </c>
      <c r="F206" s="20" t="n">
        <v>3558</v>
      </c>
      <c r="G206" s="20" t="n">
        <v>3437</v>
      </c>
      <c r="H206" s="20" t="n">
        <v>3604</v>
      </c>
      <c r="I206" s="20" t="n">
        <v>3399</v>
      </c>
      <c r="J206" s="20" t="n">
        <v>3173</v>
      </c>
      <c r="K206" s="20" t="n">
        <v>3635</v>
      </c>
      <c r="L206" s="20" t="n">
        <v>3661</v>
      </c>
      <c r="M206" s="20" t="n">
        <v>3732</v>
      </c>
      <c r="N206" s="20" t="n">
        <v>3959</v>
      </c>
      <c r="V206" s="20" t="n">
        <v>3530</v>
      </c>
      <c r="W206" s="20" t="n">
        <v>3399</v>
      </c>
      <c r="X206" s="20" t="n">
        <v>3732</v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G207" s="15">
        <f>IF(OR(G206="",C206=""),"",IF(C206&lt;=0,"",IFERROR(G206/C206-1,"")))</f>
        <v/>
      </c>
      <c r="H207" s="15">
        <f>IF(OR(H206="",D206=""),"",IF(D206&lt;=0,"",IFERROR(H206/D206-1,"")))</f>
        <v/>
      </c>
      <c r="I207" s="15">
        <f>IF(OR(I206="",E206=""),"",IF(E206&lt;=0,"",IFERROR(I206/E206-1,"")))</f>
        <v/>
      </c>
      <c r="J207" s="15">
        <f>IF(OR(J206="",F206=""),"",IF(F206&lt;=0,"",IFERROR(J206/F206-1,"")))</f>
        <v/>
      </c>
      <c r="K207" s="15">
        <f>IF(OR(K206="",G206=""),"",IF(G206&lt;=0,"",IFERROR(K206/G206-1,"")))</f>
        <v/>
      </c>
      <c r="L207" s="15">
        <f>IF(OR(L206="",H206=""),"",IF(H206&lt;=0,"",IFERROR(L206/H206-1,"")))</f>
        <v/>
      </c>
      <c r="M207" s="15">
        <f>IF(OR(M206="",I206=""),"",IF(I206&lt;=0,"",IFERROR(M206/I206-1,"")))</f>
        <v/>
      </c>
      <c r="N207" s="15">
        <f>IF(OR(N206="",J206=""),"",IF(J206&lt;=0,"",IFERROR(N206/J206-1,"")))</f>
        <v/>
      </c>
      <c r="V207" s="15">
        <f>IF(OR(V206="",U206=""),"",IF(U206&lt;=0,"",IFERROR(V206/U206-1,"")))</f>
        <v/>
      </c>
      <c r="W207" s="15">
        <f>IF(OR(W206="",V206=""),"",IF(V206&lt;=0,"",IFERROR(W206/V206-1,"")))</f>
        <v/>
      </c>
      <c r="X207" s="15">
        <f>IF(OR(X206="",W206=""),"",IF(W206&lt;=0,"",IFERROR(X206/W206-1,"")))</f>
        <v/>
      </c>
    </row>
    <row r="208">
      <c r="A208" s="9" t="inlineStr">
        <is>
          <t>계</t>
        </is>
      </c>
      <c r="C208" s="12" t="n">
        <v>9485</v>
      </c>
      <c r="D208" s="12" t="n">
        <v>8754</v>
      </c>
      <c r="E208" s="12" t="n">
        <v>9851</v>
      </c>
      <c r="F208" s="12" t="n">
        <v>10601</v>
      </c>
      <c r="G208" s="12" t="n">
        <v>9099</v>
      </c>
      <c r="H208" s="12" t="n">
        <v>9105</v>
      </c>
      <c r="I208" s="12" t="n">
        <v>9264</v>
      </c>
      <c r="J208" s="12" t="n">
        <v>8999</v>
      </c>
      <c r="K208" s="12" t="n">
        <v>11902</v>
      </c>
      <c r="L208" s="12" t="n">
        <v>11473</v>
      </c>
      <c r="M208" s="12" t="n">
        <v>10166</v>
      </c>
      <c r="N208" s="12" t="n">
        <v>12572</v>
      </c>
      <c r="V208" s="12" t="n">
        <v>9851</v>
      </c>
      <c r="W208" s="12" t="n">
        <v>9264</v>
      </c>
      <c r="X208" s="12" t="n">
        <v>10166</v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G209" s="15">
        <f>IF(OR(G208="",C208=""),"",IF(C208&lt;=0,"",IFERROR(G208/C208-1,"")))</f>
        <v/>
      </c>
      <c r="H209" s="15">
        <f>IF(OR(H208="",D208=""),"",IF(D208&lt;=0,"",IFERROR(H208/D208-1,"")))</f>
        <v/>
      </c>
      <c r="I209" s="15">
        <f>IF(OR(I208="",E208=""),"",IF(E208&lt;=0,"",IFERROR(I208/E208-1,"")))</f>
        <v/>
      </c>
      <c r="J209" s="15">
        <f>IF(OR(J208="",F208=""),"",IF(F208&lt;=0,"",IFERROR(J208/F208-1,"")))</f>
        <v/>
      </c>
      <c r="K209" s="15">
        <f>IF(OR(K208="",G208=""),"",IF(G208&lt;=0,"",IFERROR(K208/G208-1,"")))</f>
        <v/>
      </c>
      <c r="L209" s="15">
        <f>IF(OR(L208="",H208=""),"",IF(H208&lt;=0,"",IFERROR(L208/H208-1,"")))</f>
        <v/>
      </c>
      <c r="M209" s="15">
        <f>IF(OR(M208="",I208=""),"",IF(I208&lt;=0,"",IFERROR(M208/I208-1,"")))</f>
        <v/>
      </c>
      <c r="N209" s="15">
        <f>IF(OR(N208="",J208=""),"",IF(J208&lt;=0,"",IFERROR(N208/J208-1,"")))</f>
        <v/>
      </c>
      <c r="V209" s="15">
        <f>IF(OR(V208="",U208=""),"",IF(U208&lt;=0,"",IFERROR(V208/U208-1,"")))</f>
        <v/>
      </c>
      <c r="W209" s="15">
        <f>IF(OR(W208="",V208=""),"",IF(V208&lt;=0,"",IFERROR(W208/V208-1,"")))</f>
        <v/>
      </c>
      <c r="X209" s="15">
        <f>IF(OR(X208="",W208=""),"",IF(W208&lt;=0,"",IFERROR(X208/W208-1,"")))</f>
        <v/>
      </c>
    </row>
    <row r="210">
      <c r="A210" s="18" t="inlineStr">
        <is>
          <t>Life Science · 부문 이익</t>
        </is>
      </c>
      <c r="D210" s="20" t="n">
        <v>-90</v>
      </c>
      <c r="E210" s="20" t="n">
        <v>-126</v>
      </c>
      <c r="H210" s="20" t="n">
        <v>-70</v>
      </c>
      <c r="I210" s="20" t="n">
        <v>327</v>
      </c>
      <c r="L210" s="20" t="n">
        <v>-51</v>
      </c>
      <c r="M210" s="20" t="n">
        <v>-53</v>
      </c>
      <c r="V210" s="20" t="n">
        <v>-126</v>
      </c>
      <c r="W210" s="20" t="n">
        <v>327</v>
      </c>
      <c r="X210" s="20" t="n">
        <v>-53</v>
      </c>
    </row>
    <row r="211">
      <c r="A211" s="43" t="inlineStr">
        <is>
          <t>OPM</t>
        </is>
      </c>
      <c r="B211" s="3" t="inlineStr">
        <is>
          <t>영업이익 ÷ 매출</t>
        </is>
      </c>
      <c r="D211" s="15">
        <f>IF(OR(D210="",D194=""),"",IF(D194&lt;=0,"",IFERROR(D210/D194,"")))</f>
        <v/>
      </c>
      <c r="E211" s="15">
        <f>IF(OR(E210="",E194=""),"",IF(E194&lt;=0,"",IFERROR(E210/E194,"")))</f>
        <v/>
      </c>
      <c r="H211" s="15">
        <f>IF(OR(H210="",H194=""),"",IF(H194&lt;=0,"",IFERROR(H210/H194,"")))</f>
        <v/>
      </c>
      <c r="I211" s="15">
        <f>IF(OR(I210="",I194=""),"",IF(I194&lt;=0,"",IFERROR(I210/I194,"")))</f>
        <v/>
      </c>
      <c r="L211" s="15">
        <f>IF(OR(L210="",L194=""),"",IF(L194&lt;=0,"",IFERROR(L210/L194,"")))</f>
        <v/>
      </c>
      <c r="M211" s="15">
        <f>IF(OR(M210="",M194=""),"",IF(M194&lt;=0,"",IFERROR(M210/M194,"")))</f>
        <v/>
      </c>
      <c r="V211" s="15">
        <f>IF(OR(V210="",V194=""),"",IF(V194&lt;=0,"",IFERROR(V210/V194,"")))</f>
        <v/>
      </c>
      <c r="W211" s="15">
        <f>IF(OR(W210="",W194=""),"",IF(W194&lt;=0,"",IFERROR(W210/W194,"")))</f>
        <v/>
      </c>
      <c r="X211" s="15">
        <f>IF(OR(X210="",X194=""),"",IF(X194&lt;=0,"",IFERROR(X210/X194,"")))</f>
        <v/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H212" s="15">
        <f>IF(OR(H210="",D210=""),"",IF(D210&lt;=0,"",IFERROR(H210/D210-1,"")))</f>
        <v/>
      </c>
      <c r="I212" s="15">
        <f>IF(OR(I210="",E210=""),"",IF(E210&lt;=0,"",IFERROR(I210/E210-1,"")))</f>
        <v/>
      </c>
      <c r="L212" s="15">
        <f>IF(OR(L210="",H210=""),"",IF(H210&lt;=0,"",IFERROR(L210/H210-1,"")))</f>
        <v/>
      </c>
      <c r="M212" s="15">
        <f>IF(OR(M210="",I210=""),"",IF(I210&lt;=0,"",IFERROR(M210/I210-1,"")))</f>
        <v/>
      </c>
      <c r="V212" s="15">
        <f>IF(OR(V210="",U210=""),"",IF(U210&lt;=0,"",IFERROR(V210/U210-1,"")))</f>
        <v/>
      </c>
      <c r="W212" s="15">
        <f>IF(OR(W210="",V210=""),"",IF(V210&lt;=0,"",IFERROR(W210/V210-1,"")))</f>
        <v/>
      </c>
      <c r="X212" s="15">
        <f>IF(OR(X210="",W210=""),"",IF(W210&lt;=0,"",IFERROR(X210/W210-1,"")))</f>
        <v/>
      </c>
    </row>
    <row r="213">
      <c r="A213" s="18" t="inlineStr">
        <is>
          <t>Digital Communication · 부문 이익</t>
        </is>
      </c>
      <c r="D213" s="20" t="n">
        <v>754</v>
      </c>
      <c r="E213" s="20" t="n">
        <v>684</v>
      </c>
      <c r="H213" s="20" t="n">
        <v>518</v>
      </c>
      <c r="I213" s="20" t="n">
        <v>263</v>
      </c>
      <c r="L213" s="20" t="n">
        <v>-10</v>
      </c>
      <c r="M213" s="20" t="n">
        <v>-123</v>
      </c>
      <c r="V213" s="20" t="n">
        <v>684</v>
      </c>
      <c r="W213" s="20" t="n">
        <v>263</v>
      </c>
      <c r="X213" s="20" t="n">
        <v>-123</v>
      </c>
    </row>
    <row r="214">
      <c r="A214" s="43" t="inlineStr">
        <is>
          <t>OPM</t>
        </is>
      </c>
      <c r="B214" s="3" t="inlineStr">
        <is>
          <t>영업이익 ÷ 매출</t>
        </is>
      </c>
      <c r="D214" s="15">
        <f>IF(OR(D213="",D196=""),"",IF(D196&lt;=0,"",IFERROR(D213/D196,"")))</f>
        <v/>
      </c>
      <c r="E214" s="15">
        <f>IF(OR(E213="",E196=""),"",IF(E196&lt;=0,"",IFERROR(E213/E196,"")))</f>
        <v/>
      </c>
      <c r="H214" s="15">
        <f>IF(OR(H213="",H196=""),"",IF(H196&lt;=0,"",IFERROR(H213/H196,"")))</f>
        <v/>
      </c>
      <c r="I214" s="15">
        <f>IF(OR(I213="",I196=""),"",IF(I196&lt;=0,"",IFERROR(I213/I196,"")))</f>
        <v/>
      </c>
      <c r="L214" s="15">
        <f>IF(OR(L213="",L196=""),"",IF(L196&lt;=0,"",IFERROR(L213/L196,"")))</f>
        <v/>
      </c>
      <c r="M214" s="15">
        <f>IF(OR(M213="",M196=""),"",IF(M196&lt;=0,"",IFERROR(M213/M196,"")))</f>
        <v/>
      </c>
      <c r="V214" s="15">
        <f>IF(OR(V213="",V196=""),"",IF(V196&lt;=0,"",IFERROR(V213/V196,"")))</f>
        <v/>
      </c>
      <c r="W214" s="15">
        <f>IF(OR(W213="",W196=""),"",IF(W196&lt;=0,"",IFERROR(W213/W196,"")))</f>
        <v/>
      </c>
      <c r="X214" s="15">
        <f>IF(OR(X213="",X196=""),"",IF(X196&lt;=0,"",IFERROR(X213/X196,"")))</f>
        <v/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H215" s="15">
        <f>IF(OR(H213="",D213=""),"",IF(D213&lt;=0,"",IFERROR(H213/D213-1,"")))</f>
        <v/>
      </c>
      <c r="I215" s="15">
        <f>IF(OR(I213="",E213=""),"",IF(E213&lt;=0,"",IFERROR(I213/E213-1,"")))</f>
        <v/>
      </c>
      <c r="L215" s="15">
        <f>IF(OR(L213="",H213=""),"",IF(H213&lt;=0,"",IFERROR(L213/H213-1,"")))</f>
        <v/>
      </c>
      <c r="M215" s="15">
        <f>IF(OR(M213="",I213=""),"",IF(I213&lt;=0,"",IFERROR(M213/I213-1,"")))</f>
        <v/>
      </c>
      <c r="V215" s="15">
        <f>IF(OR(V213="",U213=""),"",IF(U213&lt;=0,"",IFERROR(V213/U213-1,"")))</f>
        <v/>
      </c>
      <c r="W215" s="15">
        <f>IF(OR(W213="",V213=""),"",IF(V213&lt;=0,"",IFERROR(W213/V213-1,"")))</f>
        <v/>
      </c>
      <c r="X215" s="15">
        <f>IF(OR(X213="",W213=""),"",IF(W213&lt;=0,"",IFERROR(X213/W213-1,"")))</f>
        <v/>
      </c>
    </row>
    <row r="216">
      <c r="A216" s="18" t="inlineStr">
        <is>
          <t>Semiconductor · 부문 이익(손실)</t>
        </is>
      </c>
      <c r="C216" s="20" t="n">
        <v>321</v>
      </c>
      <c r="D216" s="20" t="n">
        <v>42</v>
      </c>
      <c r="F216" s="20" t="n">
        <v>719</v>
      </c>
      <c r="G216" s="20" t="n">
        <v>303</v>
      </c>
      <c r="H216" s="20" t="n">
        <v>87</v>
      </c>
      <c r="J216" s="20" t="n">
        <v>866</v>
      </c>
      <c r="K216" s="20" t="n">
        <v>1413</v>
      </c>
      <c r="L216" s="20" t="n">
        <v>1880</v>
      </c>
      <c r="N216" s="20" t="n">
        <v>2012</v>
      </c>
    </row>
    <row r="217">
      <c r="A217" s="43" t="inlineStr">
        <is>
          <t>OPM</t>
        </is>
      </c>
      <c r="B217" s="3" t="inlineStr">
        <is>
          <t>영업이익 ÷ 매출</t>
        </is>
      </c>
      <c r="C217" s="15">
        <f>IF(OR(C216="",C198=""),"",IF(C198&lt;=0,"",IFERROR(C216/C198,"")))</f>
        <v/>
      </c>
      <c r="D217" s="15">
        <f>IF(OR(D216="",D198=""),"",IF(D198&lt;=0,"",IFERROR(D216/D198,"")))</f>
        <v/>
      </c>
      <c r="F217" s="15">
        <f>IF(OR(F216="",F198=""),"",IF(F198&lt;=0,"",IFERROR(F216/F198,"")))</f>
        <v/>
      </c>
      <c r="G217" s="15">
        <f>IF(OR(G216="",G198=""),"",IF(G198&lt;=0,"",IFERROR(G216/G198,"")))</f>
        <v/>
      </c>
      <c r="H217" s="15">
        <f>IF(OR(H216="",H198=""),"",IF(H198&lt;=0,"",IFERROR(H216/H198,"")))</f>
        <v/>
      </c>
      <c r="J217" s="15">
        <f>IF(OR(J216="",J198=""),"",IF(J198&lt;=0,"",IFERROR(J216/J198,"")))</f>
        <v/>
      </c>
      <c r="K217" s="15">
        <f>IF(OR(K216="",K198=""),"",IF(K198&lt;=0,"",IFERROR(K216/K198,"")))</f>
        <v/>
      </c>
      <c r="L217" s="15">
        <f>IF(OR(L216="",L198=""),"",IF(L198&lt;=0,"",IFERROR(L216/L198,"")))</f>
        <v/>
      </c>
      <c r="N217" s="15">
        <f>IF(OR(N216="",N198=""),"",IF(N198&lt;=0,"",IFERROR(N216/N198,"")))</f>
        <v/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G218" s="15">
        <f>IF(OR(G216="",C216=""),"",IF(C216&lt;=0,"",IFERROR(G216/C216-1,"")))</f>
        <v/>
      </c>
      <c r="H218" s="15">
        <f>IF(OR(H216="",D216=""),"",IF(D216&lt;=0,"",IFERROR(H216/D216-1,"")))</f>
        <v/>
      </c>
      <c r="J218" s="15">
        <f>IF(OR(J216="",F216=""),"",IF(F216&lt;=0,"",IFERROR(J216/F216-1,"")))</f>
        <v/>
      </c>
      <c r="K218" s="15">
        <f>IF(OR(K216="",G216=""),"",IF(G216&lt;=0,"",IFERROR(K216/G216-1,"")))</f>
        <v/>
      </c>
      <c r="L218" s="15">
        <f>IF(OR(L216="",H216=""),"",IF(H216&lt;=0,"",IFERROR(L216/H216-1,"")))</f>
        <v/>
      </c>
      <c r="N218" s="15">
        <f>IF(OR(N216="",J216=""),"",IF(J216&lt;=0,"",IFERROR(N216/J216-1,"")))</f>
        <v/>
      </c>
    </row>
    <row r="219">
      <c r="A219" s="18" t="inlineStr">
        <is>
          <t>Life Science · 부문 이익(손실)</t>
        </is>
      </c>
      <c r="F219" s="20" t="n">
        <v>115</v>
      </c>
      <c r="J219" s="20" t="n">
        <v>-10</v>
      </c>
      <c r="N219" s="20" t="n">
        <v>7</v>
      </c>
    </row>
    <row r="220">
      <c r="A220" s="43" t="inlineStr">
        <is>
          <t>OPM</t>
        </is>
      </c>
      <c r="B220" s="3" t="inlineStr">
        <is>
          <t>영업이익 ÷ 매출</t>
        </is>
      </c>
      <c r="F220" s="15">
        <f>IF(OR(F219="",F200=""),"",IF(F200&lt;=0,"",IFERROR(F219/F200,"")))</f>
        <v/>
      </c>
      <c r="J220" s="15">
        <f>IF(OR(J219="",J200=""),"",IF(J200&lt;=0,"",IFERROR(J219/J200,"")))</f>
        <v/>
      </c>
      <c r="N220" s="15">
        <f>IF(OR(N219="",N200=""),"",IF(N200&lt;=0,"",IFERROR(N219/N200,"")))</f>
        <v/>
      </c>
    </row>
    <row r="221">
      <c r="A221" s="43" t="inlineStr">
        <is>
          <t>YoY</t>
        </is>
      </c>
      <c r="B221" s="3" t="inlineStr">
        <is>
          <t>전년 같은 분기·전년 대비</t>
        </is>
      </c>
      <c r="J221" s="15">
        <f>IF(OR(J219="",F219=""),"",IF(F219&lt;=0,"",IFERROR(J219/F219-1,"")))</f>
        <v/>
      </c>
      <c r="N221" s="15">
        <f>IF(OR(N219="",J219=""),"",IF(J219&lt;=0,"",IFERROR(N219/J219-1,"")))</f>
        <v/>
      </c>
    </row>
    <row r="222">
      <c r="A222" s="18" t="inlineStr">
        <is>
          <t>Digital Communication · 부문 이익</t>
        </is>
      </c>
      <c r="F222" s="20" t="n">
        <v>1065</v>
      </c>
      <c r="J222" s="20" t="n">
        <v>-43</v>
      </c>
    </row>
    <row r="223">
      <c r="A223" s="43" t="inlineStr">
        <is>
          <t>OPM</t>
        </is>
      </c>
      <c r="B223" s="3" t="inlineStr">
        <is>
          <t>영업이익 ÷ 매출</t>
        </is>
      </c>
      <c r="F223" s="15">
        <f>IF(OR(F222="",F202=""),"",IF(F202&lt;=0,"",IFERROR(F222/F202,"")))</f>
        <v/>
      </c>
      <c r="J223" s="15">
        <f>IF(OR(J222="",J202=""),"",IF(J202&lt;=0,"",IFERROR(J222/J202,"")))</f>
        <v/>
      </c>
    </row>
    <row r="224">
      <c r="A224" s="43" t="inlineStr">
        <is>
          <t>YoY</t>
        </is>
      </c>
      <c r="B224" s="3" t="inlineStr">
        <is>
          <t>전년 같은 분기·전년 대비</t>
        </is>
      </c>
      <c r="J224" s="15">
        <f>IF(OR(J222="",F222=""),"",IF(F222&lt;=0,"",IFERROR(J222/F222-1,"")))</f>
        <v/>
      </c>
    </row>
    <row r="225">
      <c r="A225" s="18" t="inlineStr">
        <is>
          <t>Digital Communication · 부문 이익(손실)</t>
        </is>
      </c>
      <c r="J225" s="20" t="n">
        <v>-43</v>
      </c>
      <c r="N225" s="20" t="n">
        <v>-121</v>
      </c>
    </row>
    <row r="226">
      <c r="A226" s="43" t="inlineStr">
        <is>
          <t>OPM</t>
        </is>
      </c>
      <c r="B226" s="3" t="inlineStr">
        <is>
          <t>영업이익 ÷ 매출</t>
        </is>
      </c>
      <c r="J226" s="15">
        <f>IF(OR(J225="",J204=""),"",IF(J204&lt;=0,"",IFERROR(J225/J204,"")))</f>
        <v/>
      </c>
      <c r="N226" s="15">
        <f>IF(OR(N225="",N204=""),"",IF(N204&lt;=0,"",IFERROR(N225/N204,"")))</f>
        <v/>
      </c>
    </row>
    <row r="227">
      <c r="A227" s="43" t="inlineStr">
        <is>
          <t>YoY</t>
        </is>
      </c>
      <c r="B227" s="3" t="inlineStr">
        <is>
          <t>전년 같은 분기·전년 대비</t>
        </is>
      </c>
      <c r="J227" s="15">
        <f>IF(OR(J225="",F225=""),"",IF(F225&lt;=0,"",IFERROR(J225/F225-1,"")))</f>
        <v/>
      </c>
      <c r="N227" s="15">
        <f>IF(OR(N225="",J225=""),"",IF(J225&lt;=0,"",IFERROR(N225/J225-1,"")))</f>
        <v/>
      </c>
    </row>
    <row r="228">
      <c r="A228" s="18" t="inlineStr">
        <is>
          <t>Energy Saving Solution · 부문 이익(손실)</t>
        </is>
      </c>
      <c r="C228" s="20" t="n">
        <v>208</v>
      </c>
      <c r="D228" s="20" t="n">
        <v>232</v>
      </c>
      <c r="E228" s="20" t="n">
        <v>196</v>
      </c>
      <c r="F228" s="20" t="n">
        <v>253</v>
      </c>
      <c r="G228" s="20" t="n">
        <v>179</v>
      </c>
      <c r="H228" s="20" t="n">
        <v>193</v>
      </c>
      <c r="I228" s="20" t="n">
        <v>195</v>
      </c>
      <c r="J228" s="20" t="n">
        <v>92</v>
      </c>
      <c r="K228" s="20" t="n">
        <v>294</v>
      </c>
      <c r="L228" s="20" t="n">
        <v>332</v>
      </c>
      <c r="M228" s="20" t="n">
        <v>323</v>
      </c>
      <c r="N228" s="20" t="n">
        <v>430</v>
      </c>
      <c r="V228" s="20" t="n">
        <v>196</v>
      </c>
      <c r="W228" s="20" t="n">
        <v>195</v>
      </c>
      <c r="X228" s="20" t="n">
        <v>323</v>
      </c>
    </row>
    <row r="229">
      <c r="A229" s="43" t="inlineStr">
        <is>
          <t>OPM</t>
        </is>
      </c>
      <c r="B229" s="3" t="inlineStr">
        <is>
          <t>영업이익 ÷ 매출</t>
        </is>
      </c>
      <c r="C229" s="15">
        <f>IF(OR(C228="",C206=""),"",IF(C206&lt;=0,"",IFERROR(C228/C206,"")))</f>
        <v/>
      </c>
      <c r="D229" s="15">
        <f>IF(OR(D228="",D206=""),"",IF(D206&lt;=0,"",IFERROR(D228/D206,"")))</f>
        <v/>
      </c>
      <c r="E229" s="15">
        <f>IF(OR(E228="",E206=""),"",IF(E206&lt;=0,"",IFERROR(E228/E206,"")))</f>
        <v/>
      </c>
      <c r="F229" s="15">
        <f>IF(OR(F228="",F206=""),"",IF(F206&lt;=0,"",IFERROR(F228/F206,"")))</f>
        <v/>
      </c>
      <c r="G229" s="15">
        <f>IF(OR(G228="",G206=""),"",IF(G206&lt;=0,"",IFERROR(G228/G206,"")))</f>
        <v/>
      </c>
      <c r="H229" s="15">
        <f>IF(OR(H228="",H206=""),"",IF(H206&lt;=0,"",IFERROR(H228/H206,"")))</f>
        <v/>
      </c>
      <c r="I229" s="15">
        <f>IF(OR(I228="",I206=""),"",IF(I206&lt;=0,"",IFERROR(I228/I206,"")))</f>
        <v/>
      </c>
      <c r="J229" s="15">
        <f>IF(OR(J228="",J206=""),"",IF(J206&lt;=0,"",IFERROR(J228/J206,"")))</f>
        <v/>
      </c>
      <c r="K229" s="15">
        <f>IF(OR(K228="",K206=""),"",IF(K206&lt;=0,"",IFERROR(K228/K206,"")))</f>
        <v/>
      </c>
      <c r="L229" s="15">
        <f>IF(OR(L228="",L206=""),"",IF(L206&lt;=0,"",IFERROR(L228/L206,"")))</f>
        <v/>
      </c>
      <c r="M229" s="15">
        <f>IF(OR(M228="",M206=""),"",IF(M206&lt;=0,"",IFERROR(M228/M206,"")))</f>
        <v/>
      </c>
      <c r="N229" s="15">
        <f>IF(OR(N228="",N206=""),"",IF(N206&lt;=0,"",IFERROR(N228/N206,"")))</f>
        <v/>
      </c>
      <c r="V229" s="15">
        <f>IF(OR(V228="",V206=""),"",IF(V206&lt;=0,"",IFERROR(V228/V206,"")))</f>
        <v/>
      </c>
      <c r="W229" s="15">
        <f>IF(OR(W228="",W206=""),"",IF(W206&lt;=0,"",IFERROR(W228/W206,"")))</f>
        <v/>
      </c>
      <c r="X229" s="15">
        <f>IF(OR(X228="",X206=""),"",IF(X206&lt;=0,"",IFERROR(X228/X206,"")))</f>
        <v/>
      </c>
    </row>
    <row r="230">
      <c r="A230" s="43" t="inlineStr">
        <is>
          <t>YoY</t>
        </is>
      </c>
      <c r="B230" s="3" t="inlineStr">
        <is>
          <t>전년 같은 분기·전년 대비</t>
        </is>
      </c>
      <c r="G230" s="15">
        <f>IF(OR(G228="",C228=""),"",IF(C228&lt;=0,"",IFERROR(G228/C228-1,"")))</f>
        <v/>
      </c>
      <c r="H230" s="15">
        <f>IF(OR(H228="",D228=""),"",IF(D228&lt;=0,"",IFERROR(H228/D228-1,"")))</f>
        <v/>
      </c>
      <c r="I230" s="15">
        <f>IF(OR(I228="",E228=""),"",IF(E228&lt;=0,"",IFERROR(I228/E228-1,"")))</f>
        <v/>
      </c>
      <c r="J230" s="15">
        <f>IF(OR(J228="",F228=""),"",IF(F228&lt;=0,"",IFERROR(J228/F228-1,"")))</f>
        <v/>
      </c>
      <c r="K230" s="15">
        <f>IF(OR(K228="",G228=""),"",IF(G228&lt;=0,"",IFERROR(K228/G228-1,"")))</f>
        <v/>
      </c>
      <c r="L230" s="15">
        <f>IF(OR(L228="",H228=""),"",IF(H228&lt;=0,"",IFERROR(L228/H228-1,"")))</f>
        <v/>
      </c>
      <c r="M230" s="15">
        <f>IF(OR(M228="",I228=""),"",IF(I228&lt;=0,"",IFERROR(M228/I228-1,"")))</f>
        <v/>
      </c>
      <c r="N230" s="15">
        <f>IF(OR(N228="",J228=""),"",IF(J228&lt;=0,"",IFERROR(N228/J228-1,"")))</f>
        <v/>
      </c>
      <c r="V230" s="15">
        <f>IF(OR(V228="",U228=""),"",IF(U228&lt;=0,"",IFERROR(V228/U228-1,"")))</f>
        <v/>
      </c>
      <c r="W230" s="15">
        <f>IF(OR(W228="",V228=""),"",IF(V228&lt;=0,"",IFERROR(W228/V228-1,"")))</f>
        <v/>
      </c>
      <c r="X230" s="15">
        <f>IF(OR(X228="",W228=""),"",IF(W228&lt;=0,"",IFERROR(X228/W228-1,"")))</f>
        <v/>
      </c>
    </row>
    <row r="231">
      <c r="A231" s="9" t="inlineStr">
        <is>
          <t>부문 이익(손실)</t>
        </is>
      </c>
      <c r="C231" s="12" t="n">
        <v>1204</v>
      </c>
      <c r="D231" s="12" t="n">
        <v>938</v>
      </c>
      <c r="E231" s="12" t="n">
        <v>1091</v>
      </c>
      <c r="F231" s="12" t="n">
        <v>2153</v>
      </c>
      <c r="G231" s="12" t="n">
        <v>1201</v>
      </c>
      <c r="H231" s="12" t="n">
        <v>730</v>
      </c>
      <c r="I231" s="12" t="n">
        <v>1203</v>
      </c>
      <c r="J231" s="12" t="n">
        <v>905</v>
      </c>
      <c r="K231" s="12" t="n">
        <v>2146</v>
      </c>
      <c r="L231" s="12" t="n">
        <v>2149</v>
      </c>
      <c r="M231" s="12" t="n">
        <v>964</v>
      </c>
      <c r="N231" s="12" t="n">
        <v>2329</v>
      </c>
      <c r="V231" s="12" t="n">
        <v>1091</v>
      </c>
      <c r="W231" s="12" t="n">
        <v>1203</v>
      </c>
      <c r="X231" s="12" t="n">
        <v>964</v>
      </c>
    </row>
    <row r="232">
      <c r="A232" s="43" t="inlineStr">
        <is>
          <t>OPM</t>
        </is>
      </c>
      <c r="B232" s="3" t="inlineStr">
        <is>
          <t>영업이익 ÷ 매출</t>
        </is>
      </c>
      <c r="C232" s="15">
        <f>IF(OR(C231="",C184=""),"",IF(C184&lt;=0,"",IFERROR(C231/C184,"")))</f>
        <v/>
      </c>
      <c r="D232" s="15">
        <f>IF(OR(D231="",D184=""),"",IF(D184&lt;=0,"",IFERROR(D231/D184,"")))</f>
        <v/>
      </c>
      <c r="E232" s="15">
        <f>IF(OR(E231="",E184=""),"",IF(E184&lt;=0,"",IFERROR(E231/E184,"")))</f>
        <v/>
      </c>
      <c r="F232" s="15">
        <f>IF(OR(F231="",F184=""),"",IF(F184&lt;=0,"",IFERROR(F231/F184,"")))</f>
        <v/>
      </c>
      <c r="G232" s="15">
        <f>IF(OR(G231="",G184=""),"",IF(G184&lt;=0,"",IFERROR(G231/G184,"")))</f>
        <v/>
      </c>
      <c r="H232" s="15">
        <f>IF(OR(H231="",H184=""),"",IF(H184&lt;=0,"",IFERROR(H231/H184,"")))</f>
        <v/>
      </c>
      <c r="I232" s="15">
        <f>IF(OR(I231="",I184=""),"",IF(I184&lt;=0,"",IFERROR(I231/I184,"")))</f>
        <v/>
      </c>
      <c r="J232" s="15">
        <f>IF(OR(J231="",J184=""),"",IF(J184&lt;=0,"",IFERROR(J231/J184,"")))</f>
        <v/>
      </c>
      <c r="K232" s="15">
        <f>IF(OR(K231="",K184=""),"",IF(K184&lt;=0,"",IFERROR(K231/K184,"")))</f>
        <v/>
      </c>
      <c r="L232" s="15">
        <f>IF(OR(L231="",L184=""),"",IF(L184&lt;=0,"",IFERROR(L231/L184,"")))</f>
        <v/>
      </c>
      <c r="M232" s="15">
        <f>IF(OR(M231="",M184=""),"",IF(M184&lt;=0,"",IFERROR(M231/M184,"")))</f>
        <v/>
      </c>
      <c r="N232" s="15">
        <f>IF(OR(N231="",N184=""),"",IF(N184&lt;=0,"",IFERROR(N231/N184,"")))</f>
        <v/>
      </c>
      <c r="V232" s="15">
        <f>IF(OR(V231="",V184=""),"",IF(V184&lt;=0,"",IFERROR(V231/V184,"")))</f>
        <v/>
      </c>
      <c r="W232" s="15">
        <f>IF(OR(W231="",W184=""),"",IF(W184&lt;=0,"",IFERROR(W231/W184,"")))</f>
        <v/>
      </c>
      <c r="X232" s="15">
        <f>IF(OR(X231="",X184=""),"",IF(X184&lt;=0,"",IFERROR(X231/X184,"")))</f>
        <v/>
      </c>
    </row>
    <row r="233">
      <c r="A233" s="43" t="inlineStr">
        <is>
          <t>YoY</t>
        </is>
      </c>
      <c r="B233" s="3" t="inlineStr">
        <is>
          <t>전년 같은 분기·전년 대비</t>
        </is>
      </c>
      <c r="G233" s="15">
        <f>IF(OR(G231="",C231=""),"",IF(C231&lt;=0,"",IFERROR(G231/C231-1,"")))</f>
        <v/>
      </c>
      <c r="H233" s="15">
        <f>IF(OR(H231="",D231=""),"",IF(D231&lt;=0,"",IFERROR(H231/D231-1,"")))</f>
        <v/>
      </c>
      <c r="I233" s="15">
        <f>IF(OR(I231="",E231=""),"",IF(E231&lt;=0,"",IFERROR(I231/E231-1,"")))</f>
        <v/>
      </c>
      <c r="J233" s="15">
        <f>IF(OR(J231="",F231=""),"",IF(F231&lt;=0,"",IFERROR(J231/F231-1,"")))</f>
        <v/>
      </c>
      <c r="K233" s="15">
        <f>IF(OR(K231="",G231=""),"",IF(G231&lt;=0,"",IFERROR(K231/G231-1,"")))</f>
        <v/>
      </c>
      <c r="L233" s="15">
        <f>IF(OR(L231="",H231=""),"",IF(H231&lt;=0,"",IFERROR(L231/H231-1,"")))</f>
        <v/>
      </c>
      <c r="M233" s="15">
        <f>IF(OR(M231="",I231=""),"",IF(I231&lt;=0,"",IFERROR(M231/I231-1,"")))</f>
        <v/>
      </c>
      <c r="N233" s="15">
        <f>IF(OR(N231="",J231=""),"",IF(J231&lt;=0,"",IFERROR(N231/J231-1,"")))</f>
        <v/>
      </c>
      <c r="V233" s="15">
        <f>IF(OR(V231="",U231=""),"",IF(U231&lt;=0,"",IFERROR(V231/U231-1,"")))</f>
        <v/>
      </c>
      <c r="W233" s="15">
        <f>IF(OR(W231="",V231=""),"",IF(V231&lt;=0,"",IFERROR(W231/V231-1,"")))</f>
        <v/>
      </c>
      <c r="X233" s="15">
        <f>IF(OR(X231="",W231=""),"",IF(W231&lt;=0,"",IFERROR(X231/W231-1,"")))</f>
        <v/>
      </c>
    </row>
    <row r="234">
      <c r="A234" s="18" t="inlineStr">
        <is>
          <t>Life Science · 외부 고객 매출</t>
        </is>
      </c>
      <c r="D234" s="20" t="n">
        <v>593</v>
      </c>
      <c r="E234" s="20" t="n">
        <v>515</v>
      </c>
      <c r="H234" s="20" t="n">
        <v>638</v>
      </c>
      <c r="I234" s="20" t="n">
        <v>945</v>
      </c>
      <c r="L234" s="20" t="n">
        <v>262</v>
      </c>
      <c r="M234" s="20" t="n">
        <v>201</v>
      </c>
      <c r="V234" s="20" t="n">
        <v>515</v>
      </c>
      <c r="W234" s="20" t="n">
        <v>945</v>
      </c>
      <c r="X234" s="20" t="n">
        <v>201</v>
      </c>
    </row>
    <row r="235">
      <c r="A235" s="43" t="inlineStr">
        <is>
          <t>YoY</t>
        </is>
      </c>
      <c r="B235" s="3" t="inlineStr">
        <is>
          <t>전년 같은 분기·전년 대비</t>
        </is>
      </c>
      <c r="H235" s="15">
        <f>IF(OR(H234="",D234=""),"",IF(D234&lt;=0,"",IFERROR(H234/D234-1,"")))</f>
        <v/>
      </c>
      <c r="I235" s="15">
        <f>IF(OR(I234="",E234=""),"",IF(E234&lt;=0,"",IFERROR(I234/E234-1,"")))</f>
        <v/>
      </c>
      <c r="L235" s="15">
        <f>IF(OR(L234="",H234=""),"",IF(H234&lt;=0,"",IFERROR(L234/H234-1,"")))</f>
        <v/>
      </c>
      <c r="M235" s="15">
        <f>IF(OR(M234="",I234=""),"",IF(I234&lt;=0,"",IFERROR(M234/I234-1,"")))</f>
        <v/>
      </c>
      <c r="V235" s="15">
        <f>IF(OR(V234="",U234=""),"",IF(U234&lt;=0,"",IFERROR(V234/U234-1,"")))</f>
        <v/>
      </c>
      <c r="W235" s="15">
        <f>IF(OR(W234="",V234=""),"",IF(V234&lt;=0,"",IFERROR(W234/V234-1,"")))</f>
        <v/>
      </c>
      <c r="X235" s="15">
        <f>IF(OR(X234="",W234=""),"",IF(W234&lt;=0,"",IFERROR(X234/W234-1,"")))</f>
        <v/>
      </c>
    </row>
    <row r="236">
      <c r="A236" s="18" t="inlineStr">
        <is>
          <t>Digital Communication · 외부 고객 매출</t>
        </is>
      </c>
      <c r="D236" s="20" t="n">
        <v>1425</v>
      </c>
      <c r="E236" s="20" t="n">
        <v>1239</v>
      </c>
      <c r="H236" s="20" t="n">
        <v>1131</v>
      </c>
      <c r="I236" s="20" t="n">
        <v>784</v>
      </c>
      <c r="L236" s="20" t="n">
        <v>384</v>
      </c>
      <c r="M236" s="20" t="n">
        <v>482</v>
      </c>
      <c r="V236" s="20" t="n">
        <v>1239</v>
      </c>
      <c r="W236" s="20" t="n">
        <v>784</v>
      </c>
      <c r="X236" s="20" t="n">
        <v>482</v>
      </c>
    </row>
    <row r="237">
      <c r="A237" s="43" t="inlineStr">
        <is>
          <t>YoY</t>
        </is>
      </c>
      <c r="B237" s="3" t="inlineStr">
        <is>
          <t>전년 같은 분기·전년 대비</t>
        </is>
      </c>
      <c r="H237" s="15">
        <f>IF(OR(H236="",D236=""),"",IF(D236&lt;=0,"",IFERROR(H236/D236-1,"")))</f>
        <v/>
      </c>
      <c r="I237" s="15">
        <f>IF(OR(I236="",E236=""),"",IF(E236&lt;=0,"",IFERROR(I236/E236-1,"")))</f>
        <v/>
      </c>
      <c r="L237" s="15">
        <f>IF(OR(L236="",H236=""),"",IF(H236&lt;=0,"",IFERROR(L236/H236-1,"")))</f>
        <v/>
      </c>
      <c r="M237" s="15">
        <f>IF(OR(M236="",I236=""),"",IF(I236&lt;=0,"",IFERROR(M236/I236-1,"")))</f>
        <v/>
      </c>
      <c r="V237" s="15">
        <f>IF(OR(V236="",U236=""),"",IF(U236&lt;=0,"",IFERROR(V236/U236-1,"")))</f>
        <v/>
      </c>
      <c r="W237" s="15">
        <f>IF(OR(W236="",V236=""),"",IF(V236&lt;=0,"",IFERROR(W236/V236-1,"")))</f>
        <v/>
      </c>
      <c r="X237" s="15">
        <f>IF(OR(X236="",W236=""),"",IF(W236&lt;=0,"",IFERROR(X236/W236-1,"")))</f>
        <v/>
      </c>
    </row>
    <row r="239">
      <c r="A239" s="16" t="inlineStr">
        <is>
          <t>현금흐름표 · 전 항목</t>
        </is>
      </c>
      <c r="B239" s="42" t="inlineStr">
        <is>
          <t>분기 = 결산기 첫날부터 누계(공시 그대로)</t>
        </is>
      </c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</row>
    <row r="240">
      <c r="A240" s="5" t="inlineStr">
        <is>
          <t>항목</t>
        </is>
      </c>
      <c r="B240" s="5" t="inlineStr">
        <is>
          <t>참고</t>
        </is>
      </c>
      <c r="C240" s="5" t="inlineStr">
        <is>
          <t>2024.2Q</t>
        </is>
      </c>
      <c r="D240" s="5" t="inlineStr">
        <is>
          <t>2024.3Q</t>
        </is>
      </c>
      <c r="E240" s="5" t="inlineStr">
        <is>
          <t>2024.4Q</t>
        </is>
      </c>
      <c r="F240" s="5" t="inlineStr">
        <is>
          <t>2025.1Q</t>
        </is>
      </c>
      <c r="G240" s="5" t="inlineStr">
        <is>
          <t>2025.2Q</t>
        </is>
      </c>
      <c r="H240" s="5" t="inlineStr">
        <is>
          <t>2025.3Q</t>
        </is>
      </c>
      <c r="I240" s="5" t="inlineStr">
        <is>
          <t>2025.4Q</t>
        </is>
      </c>
      <c r="J240" s="5" t="inlineStr">
        <is>
          <t>2026.1Q</t>
        </is>
      </c>
      <c r="K240" s="5" t="inlineStr">
        <is>
          <t>2026.2Q</t>
        </is>
      </c>
      <c r="L240" s="5" t="inlineStr">
        <is>
          <t>2026.3Q</t>
        </is>
      </c>
      <c r="M240" s="5" t="inlineStr">
        <is>
          <t>2026.4Q</t>
        </is>
      </c>
      <c r="N240" s="5" t="inlineStr">
        <is>
          <t>2027.1Q</t>
        </is>
      </c>
      <c r="O240" s="5" t="inlineStr">
        <is>
          <t>2017</t>
        </is>
      </c>
      <c r="P240" s="5" t="inlineStr">
        <is>
          <t>2018</t>
        </is>
      </c>
      <c r="Q240" s="5" t="inlineStr">
        <is>
          <t>2019</t>
        </is>
      </c>
      <c r="R240" s="5" t="inlineStr">
        <is>
          <t>2020</t>
        </is>
      </c>
      <c r="S240" s="5" t="inlineStr">
        <is>
          <t>2021</t>
        </is>
      </c>
      <c r="T240" s="5" t="inlineStr">
        <is>
          <t>2022</t>
        </is>
      </c>
      <c r="U240" s="5" t="inlineStr">
        <is>
          <t>2023</t>
        </is>
      </c>
      <c r="V240" s="5" t="inlineStr">
        <is>
          <t>2024</t>
        </is>
      </c>
      <c r="W240" s="5" t="inlineStr">
        <is>
          <t>2025</t>
        </is>
      </c>
      <c r="X240" s="5" t="inlineStr">
        <is>
          <t>2026</t>
        </is>
      </c>
      <c r="Y240" s="5" t="inlineStr">
        <is>
          <t>2027(MW)</t>
        </is>
      </c>
      <c r="Z240" s="5" t="inlineStr">
        <is>
          <t>2028(MW)</t>
        </is>
      </c>
      <c r="AA240" s="5" t="inlineStr">
        <is>
          <t>2029(MW)</t>
        </is>
      </c>
      <c r="AB240" s="5" t="inlineStr">
        <is>
          <t>2030(MW)</t>
        </is>
      </c>
      <c r="AC240" s="5" t="inlineStr">
        <is>
          <t>2031(MW)</t>
        </is>
      </c>
    </row>
    <row r="241">
      <c r="A241" s="9" t="inlineStr">
        <is>
          <t>법인세차감전 순이익</t>
        </is>
      </c>
      <c r="E241" s="12" t="n">
        <v>5023</v>
      </c>
      <c r="I241" s="12" t="n">
        <v>5252</v>
      </c>
      <c r="M241" s="12" t="n">
        <v>6323</v>
      </c>
      <c r="O241" s="12" t="n">
        <v>6356</v>
      </c>
      <c r="P241" s="12" t="n">
        <v>3786</v>
      </c>
      <c r="Q241" s="12" t="n">
        <v>1119</v>
      </c>
      <c r="R241" s="12" t="n">
        <v>1492</v>
      </c>
      <c r="S241" s="12" t="n">
        <v>1484</v>
      </c>
      <c r="T241" s="12" t="n">
        <v>4033</v>
      </c>
      <c r="U241" s="12" t="n">
        <v>6684</v>
      </c>
      <c r="V241" s="12" t="n">
        <v>5023</v>
      </c>
      <c r="W241" s="12" t="n">
        <v>5252</v>
      </c>
      <c r="X241" s="12" t="n">
        <v>6323</v>
      </c>
    </row>
    <row r="242">
      <c r="A242" s="18" t="inlineStr">
        <is>
          <t>감가상각비</t>
        </is>
      </c>
      <c r="E242" s="20" t="n">
        <v>2385</v>
      </c>
      <c r="I242" s="20" t="n">
        <v>2417</v>
      </c>
      <c r="M242" s="20" t="n">
        <v>2390</v>
      </c>
      <c r="O242" s="20" t="n">
        <v>2320</v>
      </c>
      <c r="P242" s="20" t="n">
        <v>2029</v>
      </c>
      <c r="Q242" s="20" t="n">
        <v>2254</v>
      </c>
      <c r="R242" s="20" t="n">
        <v>2435</v>
      </c>
      <c r="S242" s="20" t="n">
        <v>2372</v>
      </c>
      <c r="T242" s="20" t="n">
        <v>2312</v>
      </c>
      <c r="U242" s="20" t="n">
        <v>2243</v>
      </c>
      <c r="V242" s="20" t="n">
        <v>2385</v>
      </c>
      <c r="W242" s="20" t="n">
        <v>2417</v>
      </c>
      <c r="X242" s="20" t="n">
        <v>2390</v>
      </c>
    </row>
    <row r="243">
      <c r="A243" s="18" t="inlineStr">
        <is>
          <t>영업권 상각</t>
        </is>
      </c>
      <c r="O243" s="20" t="n">
        <v>48</v>
      </c>
      <c r="P243" s="20" t="n">
        <v>192</v>
      </c>
      <c r="Q243" s="20" t="n">
        <v>332</v>
      </c>
      <c r="R243" s="20" t="n">
        <v>277</v>
      </c>
      <c r="S243" s="20" t="n">
        <v>50</v>
      </c>
      <c r="T243" s="20" t="n">
        <v>53</v>
      </c>
      <c r="U243" s="20" t="n">
        <v>0</v>
      </c>
    </row>
    <row r="244">
      <c r="A244" s="18" t="inlineStr">
        <is>
          <t>소송 손실 충당금 증감액(△는 감소)</t>
        </is>
      </c>
      <c r="O244" s="20" t="n">
        <v>-918</v>
      </c>
      <c r="P244" s="20" t="n">
        <v>13</v>
      </c>
      <c r="Q244" s="20" t="n">
        <v>4</v>
      </c>
    </row>
    <row r="245">
      <c r="A245" s="18" t="inlineStr">
        <is>
          <t>손상차손</t>
        </is>
      </c>
      <c r="E245" s="20" t="n">
        <v>27</v>
      </c>
      <c r="I245" s="20" t="n">
        <v>34</v>
      </c>
      <c r="M245" s="20" t="n">
        <v>0</v>
      </c>
      <c r="P245" s="20" t="n">
        <v>0</v>
      </c>
      <c r="Q245" s="20" t="n">
        <v>106</v>
      </c>
      <c r="R245" s="20" t="n">
        <v>1013</v>
      </c>
      <c r="S245" s="20" t="n">
        <v>25</v>
      </c>
      <c r="T245" s="20" t="n">
        <v>155</v>
      </c>
      <c r="U245" s="20" t="n">
        <v>696</v>
      </c>
      <c r="V245" s="20" t="n">
        <v>27</v>
      </c>
      <c r="W245" s="20" t="n">
        <v>34</v>
      </c>
      <c r="X245" s="20" t="n">
        <v>0</v>
      </c>
    </row>
    <row r="246">
      <c r="A246" s="18" t="inlineStr">
        <is>
          <t>상여충당금 증감</t>
        </is>
      </c>
      <c r="E246" s="20" t="n">
        <v>-115</v>
      </c>
      <c r="I246" s="20" t="n">
        <v>4</v>
      </c>
      <c r="M246" s="20" t="n">
        <v>157</v>
      </c>
      <c r="O246" s="20" t="n">
        <v>-53</v>
      </c>
      <c r="P246" s="20" t="n">
        <v>-27</v>
      </c>
      <c r="Q246" s="20" t="n">
        <v>-54</v>
      </c>
      <c r="R246" s="20" t="n">
        <v>39</v>
      </c>
      <c r="S246" s="20" t="n">
        <v>-27</v>
      </c>
      <c r="T246" s="20" t="n">
        <v>39</v>
      </c>
      <c r="U246" s="20" t="n">
        <v>234</v>
      </c>
      <c r="V246" s="20" t="n">
        <v>-115</v>
      </c>
      <c r="W246" s="20" t="n">
        <v>4</v>
      </c>
      <c r="X246" s="20" t="n">
        <v>157</v>
      </c>
    </row>
    <row r="247">
      <c r="A247" s="18" t="inlineStr">
        <is>
          <t>임원 상여충당금 증감</t>
        </is>
      </c>
      <c r="E247" s="20" t="n">
        <v>20</v>
      </c>
      <c r="I247" s="20" t="n">
        <v>30</v>
      </c>
      <c r="M247" s="20" t="n">
        <v>-23</v>
      </c>
      <c r="O247" s="20" t="n">
        <v>-37</v>
      </c>
      <c r="P247" s="20" t="n">
        <v>-7</v>
      </c>
      <c r="Q247" s="20" t="n">
        <v>-11</v>
      </c>
      <c r="R247" s="20" t="n">
        <v>-9</v>
      </c>
      <c r="S247" s="20" t="n">
        <v>2</v>
      </c>
      <c r="T247" s="20" t="n">
        <v>21</v>
      </c>
      <c r="U247" s="20" t="n">
        <v>14</v>
      </c>
      <c r="V247" s="20" t="n">
        <v>20</v>
      </c>
      <c r="W247" s="20" t="n">
        <v>30</v>
      </c>
      <c r="X247" s="20" t="n">
        <v>-23</v>
      </c>
    </row>
    <row r="248">
      <c r="A248" s="18" t="inlineStr">
        <is>
          <t>대손충당금 증감</t>
        </is>
      </c>
      <c r="E248" s="20" t="n">
        <v>-15</v>
      </c>
      <c r="I248" s="20" t="n">
        <v>2</v>
      </c>
      <c r="M248" s="20" t="n">
        <v>82</v>
      </c>
      <c r="O248" s="20" t="n">
        <v>1</v>
      </c>
      <c r="P248" s="20" t="n">
        <v>2</v>
      </c>
      <c r="Q248" s="20" t="n">
        <v>1</v>
      </c>
      <c r="R248" s="20" t="n">
        <v>-0</v>
      </c>
      <c r="S248" s="20" t="n">
        <v>-1</v>
      </c>
      <c r="T248" s="20" t="n">
        <v>7</v>
      </c>
      <c r="U248" s="20" t="n">
        <v>3</v>
      </c>
      <c r="V248" s="20" t="n">
        <v>-15</v>
      </c>
      <c r="W248" s="20" t="n">
        <v>2</v>
      </c>
      <c r="X248" s="20" t="n">
        <v>82</v>
      </c>
    </row>
    <row r="249">
      <c r="A249" s="18" t="inlineStr">
        <is>
          <t>퇴직급여부채 증감</t>
        </is>
      </c>
      <c r="E249" s="20" t="n">
        <v>-2</v>
      </c>
      <c r="I249" s="20" t="n">
        <v>15</v>
      </c>
      <c r="M249" s="20" t="n">
        <v>9</v>
      </c>
      <c r="O249" s="20" t="n">
        <v>234</v>
      </c>
      <c r="P249" s="20" t="n">
        <v>-14</v>
      </c>
      <c r="Q249" s="20" t="n">
        <v>-337</v>
      </c>
      <c r="R249" s="20" t="n">
        <v>17</v>
      </c>
      <c r="S249" s="20" t="n">
        <v>0</v>
      </c>
      <c r="T249" s="20" t="n">
        <v>2</v>
      </c>
      <c r="U249" s="20" t="n">
        <v>-5</v>
      </c>
      <c r="V249" s="20" t="n">
        <v>-2</v>
      </c>
      <c r="W249" s="20" t="n">
        <v>15</v>
      </c>
      <c r="X249" s="20" t="n">
        <v>9</v>
      </c>
    </row>
    <row r="250">
      <c r="A250" s="18" t="inlineStr">
        <is>
          <t>이자·배당금 수익</t>
        </is>
      </c>
      <c r="E250" s="20" t="n">
        <v>-317</v>
      </c>
      <c r="I250" s="20" t="n">
        <v>-418</v>
      </c>
      <c r="M250" s="20" t="n">
        <v>-220</v>
      </c>
      <c r="O250" s="20" t="n">
        <v>-57</v>
      </c>
      <c r="P250" s="20" t="n">
        <v>-82</v>
      </c>
      <c r="Q250" s="20" t="n">
        <v>-177</v>
      </c>
      <c r="R250" s="20" t="n">
        <v>-195</v>
      </c>
      <c r="S250" s="20" t="n">
        <v>-79</v>
      </c>
      <c r="T250" s="20" t="n">
        <v>-67</v>
      </c>
      <c r="U250" s="20" t="n">
        <v>-110</v>
      </c>
      <c r="V250" s="20" t="n">
        <v>-317</v>
      </c>
      <c r="W250" s="20" t="n">
        <v>-418</v>
      </c>
      <c r="X250" s="20" t="n">
        <v>-220</v>
      </c>
    </row>
    <row r="251">
      <c r="A251" s="18" t="inlineStr">
        <is>
          <t>이자비용</t>
        </is>
      </c>
      <c r="Q251" s="20" t="n">
        <v>0</v>
      </c>
      <c r="R251" s="20" t="n">
        <v>41</v>
      </c>
      <c r="S251" s="20" t="n">
        <v>47</v>
      </c>
    </row>
    <row r="252">
      <c r="A252" s="18" t="inlineStr">
        <is>
          <t>외환차손익</t>
        </is>
      </c>
      <c r="O252" s="20" t="n">
        <v>-8</v>
      </c>
      <c r="P252" s="20" t="n">
        <v>178</v>
      </c>
      <c r="Q252" s="20" t="n">
        <v>-134</v>
      </c>
      <c r="R252" s="20" t="n">
        <v>7</v>
      </c>
    </row>
    <row r="253">
      <c r="A253" s="18" t="inlineStr">
        <is>
          <t>Decrease Increase In Trade Receivables And Contract Assets</t>
        </is>
      </c>
      <c r="S253" s="20" t="n">
        <v>-281</v>
      </c>
      <c r="T253" s="20" t="n">
        <v>-906</v>
      </c>
    </row>
    <row r="254">
      <c r="A254" s="18" t="inlineStr">
        <is>
          <t>지분법손익</t>
        </is>
      </c>
      <c r="E254" s="20" t="n">
        <v>0</v>
      </c>
      <c r="O254" s="20" t="n">
        <v>365</v>
      </c>
      <c r="P254" s="20" t="n">
        <v>245</v>
      </c>
      <c r="Q254" s="20" t="n">
        <v>394</v>
      </c>
      <c r="R254" s="20" t="n">
        <v>196</v>
      </c>
      <c r="S254" s="20" t="n">
        <v>326</v>
      </c>
      <c r="T254" s="20" t="n">
        <v>366</v>
      </c>
      <c r="U254" s="20" t="n">
        <v>346</v>
      </c>
      <c r="V254" s="20" t="n">
        <v>0</v>
      </c>
    </row>
    <row r="255">
      <c r="A255" s="18" t="inlineStr">
        <is>
          <t>지분변동손익</t>
        </is>
      </c>
      <c r="O255" s="20" t="n">
        <v>-39</v>
      </c>
      <c r="P255" s="20" t="n">
        <v>0</v>
      </c>
      <c r="Q255" s="20" t="n">
        <v>-39</v>
      </c>
      <c r="R255" s="20" t="n">
        <v>41</v>
      </c>
      <c r="S255" s="20" t="n">
        <v>0</v>
      </c>
    </row>
    <row r="256">
      <c r="A256" s="18" t="inlineStr">
        <is>
          <t>유형자산 매각손익</t>
        </is>
      </c>
      <c r="E256" s="20" t="n">
        <v>-36</v>
      </c>
      <c r="O256" s="20" t="n">
        <v>-1404</v>
      </c>
      <c r="P256" s="20" t="n">
        <v>-9</v>
      </c>
      <c r="Q256" s="20" t="n">
        <v>-10</v>
      </c>
      <c r="R256" s="20" t="n">
        <v>-31</v>
      </c>
      <c r="S256" s="20" t="n">
        <v>-6</v>
      </c>
      <c r="T256" s="20" t="n">
        <v>-1</v>
      </c>
      <c r="U256" s="20" t="n">
        <v>-21</v>
      </c>
      <c r="V256" s="20" t="n">
        <v>-36</v>
      </c>
    </row>
    <row r="257">
      <c r="A257" s="18" t="inlineStr">
        <is>
          <t>보상금 수취</t>
        </is>
      </c>
      <c r="E257" s="20" t="n">
        <v>0</v>
      </c>
      <c r="I257" s="20" t="n">
        <v>-44</v>
      </c>
      <c r="M257" s="20" t="n">
        <v>0</v>
      </c>
      <c r="V257" s="20" t="n">
        <v>0</v>
      </c>
      <c r="W257" s="20" t="n">
        <v>-44</v>
      </c>
      <c r="X257" s="20" t="n">
        <v>0</v>
      </c>
    </row>
    <row r="258">
      <c r="A258" s="18" t="inlineStr">
        <is>
          <t>신주예약권 환입이익</t>
        </is>
      </c>
      <c r="I258" s="20" t="n">
        <v>0</v>
      </c>
      <c r="M258" s="20" t="n">
        <v>-1</v>
      </c>
      <c r="S258" s="20" t="n">
        <v>-12</v>
      </c>
      <c r="T258" s="20" t="n">
        <v>-190</v>
      </c>
      <c r="U258" s="20" t="n">
        <v>0</v>
      </c>
      <c r="W258" s="20" t="n">
        <v>0</v>
      </c>
      <c r="X258" s="20" t="n">
        <v>-1</v>
      </c>
    </row>
    <row r="259">
      <c r="A259" s="18" t="inlineStr">
        <is>
          <t>고정자산 매각손익</t>
        </is>
      </c>
      <c r="E259" s="20" t="n">
        <v>-36</v>
      </c>
      <c r="I259" s="20" t="n">
        <v>-24</v>
      </c>
      <c r="M259" s="20" t="n">
        <v>-25</v>
      </c>
      <c r="V259" s="20" t="n">
        <v>-36</v>
      </c>
      <c r="W259" s="20" t="n">
        <v>-24</v>
      </c>
      <c r="X259" s="20" t="n">
        <v>-25</v>
      </c>
    </row>
    <row r="260">
      <c r="A260" s="18" t="inlineStr">
        <is>
          <t>투자유가증권 매각손익</t>
        </is>
      </c>
      <c r="E260" s="20" t="n">
        <v>-8</v>
      </c>
      <c r="I260" s="20" t="n">
        <v>-2</v>
      </c>
      <c r="M260" s="20" t="n">
        <v>-1</v>
      </c>
      <c r="P260" s="20" t="n">
        <v>0</v>
      </c>
      <c r="Q260" s="20" t="n">
        <v>-415</v>
      </c>
      <c r="R260" s="20" t="n">
        <v>-1</v>
      </c>
      <c r="S260" s="20" t="n">
        <v>-151</v>
      </c>
      <c r="T260" s="20" t="n">
        <v>-667</v>
      </c>
      <c r="U260" s="20" t="n">
        <v>-7</v>
      </c>
      <c r="V260" s="20" t="n">
        <v>-8</v>
      </c>
      <c r="W260" s="20" t="n">
        <v>-2</v>
      </c>
      <c r="X260" s="20" t="n">
        <v>-1</v>
      </c>
    </row>
    <row r="261">
      <c r="A261" s="18" t="inlineStr">
        <is>
          <t>투자유가증권 평가손익</t>
        </is>
      </c>
      <c r="E261" s="20" t="n">
        <v>86</v>
      </c>
      <c r="I261" s="20" t="n">
        <v>0</v>
      </c>
      <c r="P261" s="20" t="n">
        <v>0</v>
      </c>
      <c r="Q261" s="20" t="n">
        <v>1116</v>
      </c>
      <c r="R261" s="20" t="n">
        <v>23</v>
      </c>
      <c r="S261" s="20" t="n">
        <v>0</v>
      </c>
      <c r="T261" s="20" t="n">
        <v>25</v>
      </c>
      <c r="U261" s="20" t="n">
        <v>1433</v>
      </c>
      <c r="V261" s="20" t="n">
        <v>86</v>
      </c>
      <c r="W261" s="20" t="n">
        <v>0</v>
      </c>
    </row>
    <row r="262">
      <c r="A262" s="18" t="inlineStr">
        <is>
          <t>임원 퇴직위로 충당금 증감</t>
        </is>
      </c>
      <c r="O262" s="20" t="n">
        <v>-9</v>
      </c>
      <c r="P262" s="20" t="n">
        <v>0</v>
      </c>
      <c r="Q262" s="20" t="n">
        <v>0</v>
      </c>
    </row>
    <row r="263">
      <c r="A263" s="18" t="inlineStr">
        <is>
          <t>보험금 수익</t>
        </is>
      </c>
      <c r="E263" s="20" t="n">
        <v>-227</v>
      </c>
      <c r="I263" s="20" t="n">
        <v>0</v>
      </c>
      <c r="U263" s="20" t="n">
        <v>0</v>
      </c>
      <c r="V263" s="20" t="n">
        <v>-227</v>
      </c>
      <c r="W263" s="20" t="n">
        <v>0</v>
      </c>
    </row>
    <row r="264">
      <c r="A264" s="18" t="inlineStr">
        <is>
          <t>Loss On Litigation Ope CF</t>
        </is>
      </c>
      <c r="E264" s="20" t="n">
        <v>74</v>
      </c>
      <c r="I264" s="20" t="n">
        <v>0</v>
      </c>
      <c r="U264" s="20" t="n">
        <v>0</v>
      </c>
      <c r="V264" s="20" t="n">
        <v>74</v>
      </c>
      <c r="W264" s="20" t="n">
        <v>0</v>
      </c>
    </row>
    <row r="265">
      <c r="A265" s="18" t="inlineStr">
        <is>
          <t>재해손실</t>
        </is>
      </c>
      <c r="E265" s="20" t="n">
        <v>53</v>
      </c>
      <c r="I265" s="20" t="n">
        <v>0</v>
      </c>
      <c r="U265" s="20" t="n">
        <v>0</v>
      </c>
      <c r="V265" s="20" t="n">
        <v>53</v>
      </c>
      <c r="W265" s="20" t="n">
        <v>0</v>
      </c>
    </row>
    <row r="266">
      <c r="A266" s="18" t="inlineStr">
        <is>
          <t>사업 재구축 비용</t>
        </is>
      </c>
      <c r="E266" s="20" t="n">
        <v>106</v>
      </c>
      <c r="I266" s="20" t="n">
        <v>232</v>
      </c>
      <c r="M266" s="20" t="n">
        <v>187</v>
      </c>
      <c r="R266" s="20" t="n">
        <v>0</v>
      </c>
      <c r="S266" s="20" t="n">
        <v>478</v>
      </c>
      <c r="T266" s="20" t="n">
        <v>119</v>
      </c>
      <c r="U266" s="20" t="n">
        <v>0</v>
      </c>
      <c r="V266" s="20" t="n">
        <v>106</v>
      </c>
      <c r="W266" s="20" t="n">
        <v>232</v>
      </c>
      <c r="X266" s="20" t="n">
        <v>187</v>
      </c>
    </row>
    <row r="267">
      <c r="A267" s="18" t="inlineStr">
        <is>
          <t>소송 손실 충당금 증감액(△는 감소)</t>
        </is>
      </c>
      <c r="Q267" s="20" t="n">
        <v>4</v>
      </c>
      <c r="R267" s="20" t="n">
        <v>-380</v>
      </c>
      <c r="S267" s="20" t="n">
        <v>0</v>
      </c>
    </row>
    <row r="268">
      <c r="A268" s="18" t="inlineStr">
        <is>
          <t>대손손실</t>
        </is>
      </c>
      <c r="E268" s="20" t="n">
        <v>164</v>
      </c>
      <c r="I268" s="20" t="n">
        <v>0</v>
      </c>
      <c r="U268" s="20" t="n">
        <v>0</v>
      </c>
      <c r="V268" s="20" t="n">
        <v>164</v>
      </c>
      <c r="W268" s="20" t="n">
        <v>0</v>
      </c>
    </row>
    <row r="269">
      <c r="A269" s="18" t="inlineStr">
        <is>
          <t>매출채권 증감</t>
        </is>
      </c>
      <c r="E269" s="20" t="n">
        <v>1104</v>
      </c>
      <c r="I269" s="20" t="n">
        <v>786</v>
      </c>
      <c r="M269" s="20" t="n">
        <v>534</v>
      </c>
      <c r="O269" s="20" t="n">
        <v>-381</v>
      </c>
      <c r="P269" s="20" t="n">
        <v>109</v>
      </c>
      <c r="Q269" s="20" t="n">
        <v>8</v>
      </c>
      <c r="R269" s="20" t="n">
        <v>-181</v>
      </c>
      <c r="S269" s="20" t="n">
        <v>-281</v>
      </c>
      <c r="T269" s="20" t="n">
        <v>-906</v>
      </c>
      <c r="U269" s="20" t="n">
        <v>26</v>
      </c>
      <c r="V269" s="20" t="n">
        <v>1104</v>
      </c>
      <c r="W269" s="20" t="n">
        <v>786</v>
      </c>
      <c r="X269" s="20" t="n">
        <v>534</v>
      </c>
    </row>
    <row r="270">
      <c r="A270" s="18" t="inlineStr">
        <is>
          <t>재고자산 증감</t>
        </is>
      </c>
      <c r="E270" s="20" t="n">
        <v>1273</v>
      </c>
      <c r="I270" s="20" t="n">
        <v>-237</v>
      </c>
      <c r="M270" s="20" t="n">
        <v>-485</v>
      </c>
      <c r="O270" s="20" t="n">
        <v>88</v>
      </c>
      <c r="P270" s="20" t="n">
        <v>-587</v>
      </c>
      <c r="Q270" s="20" t="n">
        <v>91</v>
      </c>
      <c r="R270" s="20" t="n">
        <v>-285</v>
      </c>
      <c r="S270" s="20" t="n">
        <v>-204</v>
      </c>
      <c r="T270" s="20" t="n">
        <v>112</v>
      </c>
      <c r="U270" s="20" t="n">
        <v>-741</v>
      </c>
      <c r="V270" s="20" t="n">
        <v>1273</v>
      </c>
      <c r="W270" s="20" t="n">
        <v>-237</v>
      </c>
      <c r="X270" s="20" t="n">
        <v>-485</v>
      </c>
    </row>
    <row r="271">
      <c r="A271" s="18" t="inlineStr">
        <is>
          <t>매입채무 증감</t>
        </is>
      </c>
      <c r="E271" s="20" t="n">
        <v>-156</v>
      </c>
      <c r="I271" s="20" t="n">
        <v>62</v>
      </c>
      <c r="M271" s="20" t="n">
        <v>364</v>
      </c>
      <c r="O271" s="20" t="n">
        <v>-57</v>
      </c>
      <c r="P271" s="20" t="n">
        <v>208</v>
      </c>
      <c r="Q271" s="20" t="n">
        <v>1</v>
      </c>
      <c r="R271" s="20" t="n">
        <v>92</v>
      </c>
      <c r="S271" s="20" t="n">
        <v>-173</v>
      </c>
      <c r="T271" s="20" t="n">
        <v>-118</v>
      </c>
      <c r="U271" s="20" t="n">
        <v>-613</v>
      </c>
      <c r="V271" s="20" t="n">
        <v>-156</v>
      </c>
      <c r="W271" s="20" t="n">
        <v>62</v>
      </c>
      <c r="X271" s="20" t="n">
        <v>364</v>
      </c>
    </row>
    <row r="272">
      <c r="A272" s="18" t="inlineStr">
        <is>
          <t>미지급·미수 소비세 등 증감액</t>
        </is>
      </c>
      <c r="E272" s="20" t="n">
        <v>153</v>
      </c>
      <c r="I272" s="20" t="n">
        <v>135</v>
      </c>
      <c r="M272" s="20" t="n">
        <v>-763</v>
      </c>
      <c r="S272" s="20" t="n">
        <v>-23</v>
      </c>
      <c r="T272" s="20" t="n">
        <v>-19</v>
      </c>
      <c r="U272" s="20" t="n">
        <v>-157</v>
      </c>
      <c r="V272" s="20" t="n">
        <v>153</v>
      </c>
      <c r="W272" s="20" t="n">
        <v>135</v>
      </c>
      <c r="X272" s="20" t="n">
        <v>-763</v>
      </c>
    </row>
    <row r="273">
      <c r="A273" s="18" t="inlineStr">
        <is>
          <t>미지급금 증감</t>
        </is>
      </c>
      <c r="E273" s="20" t="n">
        <v>-289</v>
      </c>
      <c r="I273" s="20" t="n">
        <v>-339</v>
      </c>
      <c r="O273" s="20" t="n">
        <v>-87</v>
      </c>
      <c r="P273" s="20" t="n">
        <v>354</v>
      </c>
      <c r="Q273" s="20" t="n">
        <v>24</v>
      </c>
      <c r="R273" s="20" t="n">
        <v>-115</v>
      </c>
      <c r="S273" s="20" t="n">
        <v>-132</v>
      </c>
      <c r="T273" s="20" t="n">
        <v>-367</v>
      </c>
      <c r="U273" s="20" t="n">
        <v>116</v>
      </c>
      <c r="V273" s="20" t="n">
        <v>-289</v>
      </c>
      <c r="W273" s="20" t="n">
        <v>-339</v>
      </c>
    </row>
    <row r="274">
      <c r="A274" s="18" t="inlineStr">
        <is>
          <t>미지급금·미지급비용 증감</t>
        </is>
      </c>
      <c r="I274" s="20" t="n">
        <v>-339</v>
      </c>
      <c r="M274" s="20" t="n">
        <v>-23</v>
      </c>
      <c r="W274" s="20" t="n">
        <v>-339</v>
      </c>
      <c r="X274" s="20" t="n">
        <v>-23</v>
      </c>
    </row>
    <row r="275">
      <c r="A275" s="18" t="inlineStr">
        <is>
          <t>기타</t>
        </is>
      </c>
      <c r="E275" s="20" t="n">
        <v>782</v>
      </c>
      <c r="I275" s="20" t="n">
        <v>517</v>
      </c>
      <c r="M275" s="20" t="n">
        <v>-126</v>
      </c>
      <c r="O275" s="20" t="n">
        <v>-97</v>
      </c>
      <c r="P275" s="20" t="n">
        <v>-447</v>
      </c>
      <c r="Q275" s="20" t="n">
        <v>288</v>
      </c>
      <c r="R275" s="20" t="n">
        <v>449</v>
      </c>
      <c r="S275" s="20" t="n">
        <v>66</v>
      </c>
      <c r="T275" s="20" t="n">
        <v>214</v>
      </c>
      <c r="U275" s="20" t="n">
        <v>-156</v>
      </c>
      <c r="V275" s="20" t="n">
        <v>782</v>
      </c>
      <c r="W275" s="20" t="n">
        <v>517</v>
      </c>
      <c r="X275" s="20" t="n">
        <v>-126</v>
      </c>
    </row>
    <row r="276">
      <c r="A276" s="18" t="inlineStr">
        <is>
          <t>소계</t>
        </is>
      </c>
      <c r="E276" s="20" t="n">
        <v>10085</v>
      </c>
      <c r="I276" s="20" t="n">
        <v>8424</v>
      </c>
      <c r="M276" s="20" t="n">
        <v>8380</v>
      </c>
      <c r="O276" s="20" t="n">
        <v>6263</v>
      </c>
      <c r="P276" s="20" t="n">
        <v>5944</v>
      </c>
      <c r="Q276" s="20" t="n">
        <v>4561</v>
      </c>
      <c r="R276" s="20" t="n">
        <v>4919</v>
      </c>
      <c r="S276" s="20" t="n">
        <v>3714</v>
      </c>
      <c r="T276" s="20" t="n">
        <v>5124</v>
      </c>
      <c r="U276" s="20" t="n">
        <v>9987</v>
      </c>
      <c r="V276" s="20" t="n">
        <v>10085</v>
      </c>
      <c r="W276" s="20" t="n">
        <v>8424</v>
      </c>
      <c r="X276" s="20" t="n">
        <v>8380</v>
      </c>
    </row>
    <row r="277">
      <c r="A277" s="18" t="inlineStr">
        <is>
          <t>이자·배당금 수취</t>
        </is>
      </c>
      <c r="E277" s="20" t="n">
        <v>312</v>
      </c>
      <c r="I277" s="20" t="n">
        <v>424</v>
      </c>
      <c r="M277" s="20" t="n">
        <v>221</v>
      </c>
      <c r="O277" s="20" t="n">
        <v>57</v>
      </c>
      <c r="P277" s="20" t="n">
        <v>82</v>
      </c>
      <c r="Q277" s="20" t="n">
        <v>157</v>
      </c>
      <c r="R277" s="20" t="n">
        <v>176</v>
      </c>
      <c r="S277" s="20" t="n">
        <v>53</v>
      </c>
      <c r="T277" s="20" t="n">
        <v>30</v>
      </c>
      <c r="U277" s="20" t="n">
        <v>92</v>
      </c>
      <c r="V277" s="20" t="n">
        <v>312</v>
      </c>
      <c r="W277" s="20" t="n">
        <v>424</v>
      </c>
      <c r="X277" s="20" t="n">
        <v>221</v>
      </c>
    </row>
    <row r="278">
      <c r="A278" s="18" t="inlineStr">
        <is>
          <t>보상금 수취</t>
        </is>
      </c>
      <c r="E278" s="20" t="n">
        <v>0</v>
      </c>
      <c r="I278" s="20" t="n">
        <v>44</v>
      </c>
      <c r="M278" s="20" t="n">
        <v>0</v>
      </c>
      <c r="V278" s="20" t="n">
        <v>0</v>
      </c>
      <c r="W278" s="20" t="n">
        <v>44</v>
      </c>
      <c r="X278" s="20" t="n">
        <v>0</v>
      </c>
    </row>
    <row r="279">
      <c r="A279" s="18" t="inlineStr">
        <is>
          <t>이자 지급</t>
        </is>
      </c>
      <c r="E279" s="20" t="n">
        <v>-31</v>
      </c>
      <c r="I279" s="20" t="n">
        <v>-35</v>
      </c>
      <c r="M279" s="20" t="n">
        <v>-69</v>
      </c>
      <c r="O279" s="20" t="n">
        <v>-0</v>
      </c>
      <c r="P279" s="20" t="n">
        <v>0</v>
      </c>
      <c r="Q279" s="20" t="n">
        <v>0</v>
      </c>
      <c r="R279" s="20" t="n">
        <v>-37</v>
      </c>
      <c r="S279" s="20" t="n">
        <v>-26</v>
      </c>
      <c r="T279" s="20" t="n">
        <v>-35</v>
      </c>
      <c r="U279" s="20" t="n">
        <v>-33</v>
      </c>
      <c r="V279" s="20" t="n">
        <v>-31</v>
      </c>
      <c r="W279" s="20" t="n">
        <v>-35</v>
      </c>
      <c r="X279" s="20" t="n">
        <v>-69</v>
      </c>
    </row>
    <row r="280">
      <c r="A280" s="18" t="inlineStr">
        <is>
          <t>법인세 납부·환급</t>
        </is>
      </c>
      <c r="O280" s="20" t="n">
        <v>-1652</v>
      </c>
      <c r="P280" s="20" t="n">
        <v>-445</v>
      </c>
      <c r="Q280" s="20" t="n">
        <v>-773</v>
      </c>
      <c r="R280" s="20" t="n">
        <v>-1704</v>
      </c>
      <c r="S280" s="20" t="n">
        <v>220</v>
      </c>
      <c r="T280" s="20" t="n">
        <v>-634</v>
      </c>
    </row>
    <row r="281">
      <c r="A281" s="18" t="inlineStr">
        <is>
          <t>The Amount Of The Money Deposit Paid Ope CF</t>
        </is>
      </c>
      <c r="O281" s="20" t="n">
        <v>-570</v>
      </c>
      <c r="P281" s="20" t="n">
        <v>0</v>
      </c>
    </row>
    <row r="282">
      <c r="A282" s="18" t="inlineStr">
        <is>
          <t>기타</t>
        </is>
      </c>
      <c r="R282" s="20" t="n">
        <v>0</v>
      </c>
      <c r="S282" s="20" t="n">
        <v>-40</v>
      </c>
    </row>
    <row r="283">
      <c r="A283" s="18" t="inlineStr">
        <is>
          <t>법인세 납부</t>
        </is>
      </c>
      <c r="E283" s="20" t="n">
        <v>-2140</v>
      </c>
      <c r="I283" s="20" t="n">
        <v>-1519</v>
      </c>
      <c r="M283" s="20" t="n">
        <v>-1351</v>
      </c>
      <c r="T283" s="20" t="n">
        <v>-634</v>
      </c>
      <c r="U283" s="20" t="n">
        <v>-1285</v>
      </c>
      <c r="V283" s="20" t="n">
        <v>-2140</v>
      </c>
      <c r="W283" s="20" t="n">
        <v>-1519</v>
      </c>
      <c r="X283" s="20" t="n">
        <v>-1351</v>
      </c>
    </row>
    <row r="284">
      <c r="A284" s="18" t="inlineStr">
        <is>
          <t>보험금 수취</t>
        </is>
      </c>
      <c r="E284" s="20" t="n">
        <v>227</v>
      </c>
      <c r="I284" s="20" t="n">
        <v>0</v>
      </c>
      <c r="U284" s="20" t="n">
        <v>0</v>
      </c>
      <c r="V284" s="20" t="n">
        <v>227</v>
      </c>
      <c r="W284" s="20" t="n">
        <v>0</v>
      </c>
    </row>
    <row r="285">
      <c r="A285" s="18" t="inlineStr">
        <is>
          <t>소송 관련 손실 지급액</t>
        </is>
      </c>
      <c r="E285" s="20" t="n">
        <v>-74</v>
      </c>
      <c r="I285" s="20" t="n">
        <v>0</v>
      </c>
      <c r="U285" s="20" t="n">
        <v>0</v>
      </c>
      <c r="V285" s="20" t="n">
        <v>-74</v>
      </c>
      <c r="W285" s="20" t="n">
        <v>0</v>
      </c>
    </row>
    <row r="286">
      <c r="A286" s="18" t="inlineStr">
        <is>
          <t>재해손실 지급</t>
        </is>
      </c>
      <c r="E286" s="20" t="n">
        <v>-39</v>
      </c>
      <c r="I286" s="20" t="n">
        <v>0</v>
      </c>
      <c r="U286" s="20" t="n">
        <v>0</v>
      </c>
      <c r="V286" s="20" t="n">
        <v>-39</v>
      </c>
      <c r="W286" s="20" t="n">
        <v>0</v>
      </c>
    </row>
    <row r="287">
      <c r="A287" s="18" t="inlineStr">
        <is>
          <t>특별퇴직금 지급액</t>
        </is>
      </c>
      <c r="E287" s="20" t="n">
        <v>-106</v>
      </c>
      <c r="I287" s="20" t="n">
        <v>-210</v>
      </c>
      <c r="M287" s="20" t="n">
        <v>-188</v>
      </c>
      <c r="S287" s="20" t="n">
        <v>-40</v>
      </c>
      <c r="T287" s="20" t="n">
        <v>-439</v>
      </c>
      <c r="U287" s="20" t="n">
        <v>0</v>
      </c>
      <c r="V287" s="20" t="n">
        <v>-106</v>
      </c>
      <c r="W287" s="20" t="n">
        <v>-210</v>
      </c>
      <c r="X287" s="20" t="n">
        <v>-188</v>
      </c>
    </row>
    <row r="288">
      <c r="A288" s="9" t="inlineStr">
        <is>
          <t>영업활동 현금흐름</t>
        </is>
      </c>
      <c r="E288" s="12" t="n">
        <v>8231</v>
      </c>
      <c r="I288" s="12" t="n">
        <v>7129</v>
      </c>
      <c r="M288" s="12" t="n">
        <v>6992</v>
      </c>
      <c r="O288" s="12" t="n">
        <v>4098</v>
      </c>
      <c r="P288" s="12" t="n">
        <v>5581</v>
      </c>
      <c r="Q288" s="12" t="n">
        <v>3945</v>
      </c>
      <c r="R288" s="12" t="n">
        <v>3354</v>
      </c>
      <c r="S288" s="12" t="n">
        <v>3921</v>
      </c>
      <c r="T288" s="12" t="n">
        <v>4046</v>
      </c>
      <c r="U288" s="12" t="n">
        <v>8761</v>
      </c>
      <c r="V288" s="12" t="n">
        <v>8231</v>
      </c>
      <c r="W288" s="12" t="n">
        <v>7129</v>
      </c>
      <c r="X288" s="12" t="n">
        <v>6992</v>
      </c>
    </row>
    <row r="289">
      <c r="A289" s="18" t="inlineStr">
        <is>
          <t>정기예금 예입</t>
        </is>
      </c>
      <c r="E289" s="20" t="n">
        <v>-88</v>
      </c>
      <c r="I289" s="20" t="n">
        <v>-64</v>
      </c>
      <c r="M289" s="20" t="n">
        <v>-16</v>
      </c>
      <c r="O289" s="20" t="n">
        <v>-799</v>
      </c>
      <c r="P289" s="20" t="n">
        <v>-445</v>
      </c>
      <c r="Q289" s="20" t="n">
        <v>-524</v>
      </c>
      <c r="R289" s="20" t="n">
        <v>-10</v>
      </c>
      <c r="S289" s="20" t="n">
        <v>-71</v>
      </c>
      <c r="T289" s="20" t="n">
        <v>-80</v>
      </c>
      <c r="U289" s="20" t="n">
        <v>-13</v>
      </c>
      <c r="V289" s="20" t="n">
        <v>-88</v>
      </c>
      <c r="W289" s="20" t="n">
        <v>-64</v>
      </c>
      <c r="X289" s="20" t="n">
        <v>-16</v>
      </c>
    </row>
    <row r="290">
      <c r="A290" s="18" t="inlineStr">
        <is>
          <t>정기예금 인출</t>
        </is>
      </c>
      <c r="E290" s="20" t="n">
        <v>13</v>
      </c>
      <c r="I290" s="20" t="n">
        <v>142</v>
      </c>
      <c r="M290" s="20" t="n">
        <v>16</v>
      </c>
      <c r="O290" s="20" t="n">
        <v>882</v>
      </c>
      <c r="P290" s="20" t="n">
        <v>763</v>
      </c>
      <c r="Q290" s="20" t="n">
        <v>661</v>
      </c>
      <c r="R290" s="20" t="n">
        <v>325</v>
      </c>
      <c r="S290" s="20" t="n">
        <v>10</v>
      </c>
      <c r="T290" s="20" t="n">
        <v>79</v>
      </c>
      <c r="U290" s="20" t="n">
        <v>90</v>
      </c>
      <c r="V290" s="20" t="n">
        <v>13</v>
      </c>
      <c r="W290" s="20" t="n">
        <v>142</v>
      </c>
      <c r="X290" s="20" t="n">
        <v>16</v>
      </c>
    </row>
    <row r="291">
      <c r="A291" s="18" t="inlineStr">
        <is>
          <t>유형자산 취득(설비투자)</t>
        </is>
      </c>
      <c r="E291" s="20" t="n">
        <v>-3927</v>
      </c>
      <c r="I291" s="20" t="n">
        <v>-6650</v>
      </c>
      <c r="M291" s="20" t="n">
        <v>-5524</v>
      </c>
      <c r="O291" s="20" t="n">
        <v>-6476</v>
      </c>
      <c r="P291" s="20" t="n">
        <v>-1974</v>
      </c>
      <c r="Q291" s="20" t="n">
        <v>-1831</v>
      </c>
      <c r="R291" s="20" t="n">
        <v>-2047</v>
      </c>
      <c r="S291" s="20" t="n">
        <v>-2227</v>
      </c>
      <c r="T291" s="20" t="n">
        <v>-1744</v>
      </c>
      <c r="U291" s="20" t="n">
        <v>-2377</v>
      </c>
      <c r="V291" s="20" t="n">
        <v>-3927</v>
      </c>
      <c r="W291" s="20" t="n">
        <v>-6650</v>
      </c>
      <c r="X291" s="20" t="n">
        <v>-5524</v>
      </c>
    </row>
    <row r="292">
      <c r="A292" s="18" t="inlineStr">
        <is>
          <t>유형자산 매각</t>
        </is>
      </c>
      <c r="E292" s="20" t="n">
        <v>46</v>
      </c>
      <c r="I292" s="20" t="n">
        <v>51</v>
      </c>
      <c r="M292" s="20" t="n">
        <v>181</v>
      </c>
      <c r="O292" s="20" t="n">
        <v>1903</v>
      </c>
      <c r="P292" s="20" t="n">
        <v>27</v>
      </c>
      <c r="Q292" s="20" t="n">
        <v>37</v>
      </c>
      <c r="R292" s="20" t="n">
        <v>82</v>
      </c>
      <c r="S292" s="20" t="n">
        <v>12</v>
      </c>
      <c r="T292" s="20" t="n">
        <v>7</v>
      </c>
      <c r="U292" s="20" t="n">
        <v>33</v>
      </c>
      <c r="V292" s="20" t="n">
        <v>46</v>
      </c>
      <c r="W292" s="20" t="n">
        <v>51</v>
      </c>
      <c r="X292" s="20" t="n">
        <v>181</v>
      </c>
    </row>
    <row r="293">
      <c r="A293" s="18" t="inlineStr">
        <is>
          <t>무형자산 취득</t>
        </is>
      </c>
      <c r="E293" s="20" t="n">
        <v>-87</v>
      </c>
      <c r="I293" s="20" t="n">
        <v>-293</v>
      </c>
      <c r="M293" s="20" t="n">
        <v>-1567</v>
      </c>
      <c r="O293" s="20" t="n">
        <v>-97</v>
      </c>
      <c r="P293" s="20" t="n">
        <v>-150</v>
      </c>
      <c r="Q293" s="20" t="n">
        <v>-322</v>
      </c>
      <c r="R293" s="20" t="n">
        <v>-143</v>
      </c>
      <c r="S293" s="20" t="n">
        <v>-68</v>
      </c>
      <c r="T293" s="20" t="n">
        <v>-50</v>
      </c>
      <c r="U293" s="20" t="n">
        <v>-46</v>
      </c>
      <c r="V293" s="20" t="n">
        <v>-87</v>
      </c>
      <c r="W293" s="20" t="n">
        <v>-293</v>
      </c>
      <c r="X293" s="20" t="n">
        <v>-1567</v>
      </c>
    </row>
    <row r="294">
      <c r="A294" s="18" t="inlineStr">
        <is>
          <t>단기대여 지출</t>
        </is>
      </c>
      <c r="E294" s="20" t="n">
        <v>-41</v>
      </c>
      <c r="I294" s="20" t="n">
        <v>-1</v>
      </c>
      <c r="M294" s="20" t="n">
        <v>0</v>
      </c>
      <c r="T294" s="20" t="n">
        <v>0</v>
      </c>
      <c r="U294" s="20" t="n">
        <v>-119</v>
      </c>
      <c r="V294" s="20" t="n">
        <v>-41</v>
      </c>
      <c r="W294" s="20" t="n">
        <v>-1</v>
      </c>
      <c r="X294" s="20" t="n">
        <v>0</v>
      </c>
    </row>
    <row r="295">
      <c r="A295" s="18" t="inlineStr">
        <is>
          <t>투자유가증권 취득</t>
        </is>
      </c>
      <c r="E295" s="20" t="n">
        <v>0</v>
      </c>
      <c r="I295" s="20" t="n">
        <v>-9</v>
      </c>
      <c r="M295" s="20" t="n">
        <v>0</v>
      </c>
      <c r="O295" s="20" t="n">
        <v>-1187</v>
      </c>
      <c r="P295" s="20" t="n">
        <v>-151</v>
      </c>
      <c r="Q295" s="20" t="n">
        <v>-1324</v>
      </c>
      <c r="R295" s="20" t="n">
        <v>-535</v>
      </c>
      <c r="S295" s="20" t="n">
        <v>-371</v>
      </c>
      <c r="T295" s="20" t="n">
        <v>-519</v>
      </c>
      <c r="U295" s="20" t="n">
        <v>-269</v>
      </c>
      <c r="V295" s="20" t="n">
        <v>0</v>
      </c>
      <c r="W295" s="20" t="n">
        <v>-9</v>
      </c>
      <c r="X295" s="20" t="n">
        <v>0</v>
      </c>
    </row>
    <row r="296">
      <c r="A296" s="18" t="inlineStr">
        <is>
          <t>대여</t>
        </is>
      </c>
      <c r="O296" s="20" t="n">
        <v>-29</v>
      </c>
      <c r="P296" s="20" t="n">
        <v>0</v>
      </c>
      <c r="Q296" s="20" t="n">
        <v>-1</v>
      </c>
    </row>
    <row r="297">
      <c r="A297" s="18" t="inlineStr">
        <is>
          <t>투자유가증권 매각</t>
        </is>
      </c>
      <c r="E297" s="20" t="n">
        <v>12</v>
      </c>
      <c r="I297" s="20" t="n">
        <v>2</v>
      </c>
      <c r="M297" s="20" t="n">
        <v>1</v>
      </c>
      <c r="P297" s="20" t="n">
        <v>0</v>
      </c>
      <c r="Q297" s="20" t="n">
        <v>764</v>
      </c>
      <c r="R297" s="20" t="n">
        <v>5</v>
      </c>
      <c r="S297" s="20" t="n">
        <v>752</v>
      </c>
      <c r="T297" s="20" t="n">
        <v>798</v>
      </c>
      <c r="U297" s="20" t="n">
        <v>276</v>
      </c>
      <c r="V297" s="20" t="n">
        <v>12</v>
      </c>
      <c r="W297" s="20" t="n">
        <v>2</v>
      </c>
      <c r="X297" s="20" t="n">
        <v>1</v>
      </c>
    </row>
    <row r="298">
      <c r="A298" s="18" t="inlineStr">
        <is>
          <t>대여금 회수</t>
        </is>
      </c>
      <c r="O298" s="20" t="n">
        <v>58</v>
      </c>
      <c r="P298" s="20" t="n">
        <v>4</v>
      </c>
      <c r="Q298" s="20" t="n">
        <v>0</v>
      </c>
    </row>
    <row r="299">
      <c r="A299" s="18" t="inlineStr">
        <is>
          <t>연결범위 변경 자회사 주식 취득</t>
        </is>
      </c>
      <c r="O299" s="20" t="n">
        <v>0</v>
      </c>
      <c r="P299" s="20" t="n">
        <v>-2892</v>
      </c>
      <c r="Q299" s="20" t="n">
        <v>0</v>
      </c>
    </row>
    <row r="300">
      <c r="A300" s="18" t="inlineStr">
        <is>
          <t>기타</t>
        </is>
      </c>
      <c r="E300" s="20" t="n">
        <v>-16</v>
      </c>
      <c r="I300" s="20" t="n">
        <v>-65</v>
      </c>
      <c r="M300" s="20" t="n">
        <v>17</v>
      </c>
      <c r="O300" s="20" t="n">
        <v>25</v>
      </c>
      <c r="P300" s="20" t="n">
        <v>-15</v>
      </c>
      <c r="Q300" s="20" t="n">
        <v>128</v>
      </c>
      <c r="R300" s="20" t="n">
        <v>206</v>
      </c>
      <c r="S300" s="20" t="n">
        <v>-3</v>
      </c>
      <c r="T300" s="20" t="n">
        <v>-67</v>
      </c>
      <c r="U300" s="20" t="n">
        <v>-156</v>
      </c>
      <c r="V300" s="20" t="n">
        <v>-16</v>
      </c>
      <c r="W300" s="20" t="n">
        <v>-65</v>
      </c>
      <c r="X300" s="20" t="n">
        <v>17</v>
      </c>
    </row>
    <row r="301">
      <c r="A301" s="9" t="inlineStr">
        <is>
          <t>투자활동 현금흐름</t>
        </is>
      </c>
      <c r="E301" s="12" t="n">
        <v>-4089</v>
      </c>
      <c r="I301" s="12" t="n">
        <v>-6887</v>
      </c>
      <c r="M301" s="12" t="n">
        <v>-6891</v>
      </c>
      <c r="O301" s="12" t="n">
        <v>-5720</v>
      </c>
      <c r="P301" s="12" t="n">
        <v>-4834</v>
      </c>
      <c r="Q301" s="12" t="n">
        <v>-2411</v>
      </c>
      <c r="R301" s="12" t="n">
        <v>-2116</v>
      </c>
      <c r="S301" s="12" t="n">
        <v>-1966</v>
      </c>
      <c r="T301" s="12" t="n">
        <v>-1576</v>
      </c>
      <c r="U301" s="12" t="n">
        <v>-2581</v>
      </c>
      <c r="V301" s="12" t="n">
        <v>-4089</v>
      </c>
      <c r="W301" s="12" t="n">
        <v>-6887</v>
      </c>
      <c r="X301" s="12" t="n">
        <v>-6891</v>
      </c>
    </row>
    <row r="302">
      <c r="A302" s="18" t="inlineStr">
        <is>
          <t>장기차입금 상환</t>
        </is>
      </c>
      <c r="O302" s="20" t="n">
        <v>-100</v>
      </c>
      <c r="P302" s="20" t="n">
        <v>0</v>
      </c>
    </row>
    <row r="303">
      <c r="A303" s="18" t="inlineStr">
        <is>
          <t>단기차입</t>
        </is>
      </c>
      <c r="R303" s="20" t="n">
        <v>0</v>
      </c>
      <c r="S303" s="20" t="n">
        <v>1500</v>
      </c>
    </row>
    <row r="304">
      <c r="A304" s="18" t="inlineStr">
        <is>
          <t>단기차입금 순증감</t>
        </is>
      </c>
      <c r="S304" s="20" t="n">
        <v>1500</v>
      </c>
      <c r="T304" s="20" t="n">
        <v>-1500</v>
      </c>
      <c r="U304" s="20" t="n">
        <v>0</v>
      </c>
    </row>
    <row r="305">
      <c r="A305" s="18" t="inlineStr">
        <is>
          <t>리스부채 상환</t>
        </is>
      </c>
      <c r="E305" s="20" t="n">
        <v>-324</v>
      </c>
      <c r="I305" s="20" t="n">
        <v>-257</v>
      </c>
      <c r="M305" s="20" t="n">
        <v>-241</v>
      </c>
      <c r="Q305" s="20" t="n">
        <v>0</v>
      </c>
      <c r="R305" s="20" t="n">
        <v>-214</v>
      </c>
      <c r="S305" s="20" t="n">
        <v>-249</v>
      </c>
      <c r="T305" s="20" t="n">
        <v>-255</v>
      </c>
      <c r="U305" s="20" t="n">
        <v>-229</v>
      </c>
      <c r="V305" s="20" t="n">
        <v>-324</v>
      </c>
      <c r="W305" s="20" t="n">
        <v>-257</v>
      </c>
      <c r="X305" s="20" t="n">
        <v>-241</v>
      </c>
    </row>
    <row r="306">
      <c r="A306" s="18" t="inlineStr">
        <is>
          <t>비지배주주 납입</t>
        </is>
      </c>
      <c r="Q306" s="20" t="n">
        <v>0</v>
      </c>
      <c r="R306" s="20" t="n">
        <v>176</v>
      </c>
      <c r="S306" s="20" t="n">
        <v>0</v>
      </c>
    </row>
    <row r="307">
      <c r="A307" s="18" t="inlineStr">
        <is>
          <t>자기주식 취득</t>
        </is>
      </c>
      <c r="E307" s="20" t="n">
        <v>-3</v>
      </c>
      <c r="I307" s="20" t="n">
        <v>-1</v>
      </c>
      <c r="M307" s="20" t="n">
        <v>-1</v>
      </c>
      <c r="O307" s="20" t="n">
        <v>-0</v>
      </c>
      <c r="P307" s="20" t="n">
        <v>-7</v>
      </c>
      <c r="Q307" s="20" t="n">
        <v>-133</v>
      </c>
      <c r="R307" s="20" t="n">
        <v>-1333</v>
      </c>
      <c r="S307" s="20" t="n">
        <v>-13914</v>
      </c>
      <c r="T307" s="20" t="n">
        <v>-0</v>
      </c>
      <c r="U307" s="20" t="n">
        <v>-0</v>
      </c>
      <c r="V307" s="20" t="n">
        <v>-3</v>
      </c>
      <c r="W307" s="20" t="n">
        <v>-1</v>
      </c>
      <c r="X307" s="20" t="n">
        <v>-1</v>
      </c>
    </row>
    <row r="308">
      <c r="A308" s="18" t="inlineStr">
        <is>
          <t>배당금 지급</t>
        </is>
      </c>
      <c r="E308" s="20" t="n">
        <v>-529</v>
      </c>
      <c r="I308" s="20" t="n">
        <v>-528</v>
      </c>
      <c r="M308" s="20" t="n">
        <v>-720</v>
      </c>
      <c r="O308" s="20" t="n">
        <v>-1022</v>
      </c>
      <c r="P308" s="20" t="n">
        <v>-1022</v>
      </c>
      <c r="Q308" s="20" t="n">
        <v>-1023</v>
      </c>
      <c r="R308" s="20" t="n">
        <v>-376</v>
      </c>
      <c r="S308" s="20" t="n">
        <v>-364</v>
      </c>
      <c r="T308" s="20" t="n">
        <v>-329</v>
      </c>
      <c r="U308" s="20" t="n">
        <v>-484</v>
      </c>
      <c r="V308" s="20" t="n">
        <v>-529</v>
      </c>
      <c r="W308" s="20" t="n">
        <v>-528</v>
      </c>
      <c r="X308" s="20" t="n">
        <v>-720</v>
      </c>
    </row>
    <row r="309">
      <c r="A309" s="18" t="inlineStr">
        <is>
          <t>비지배주주 배당금 지급</t>
        </is>
      </c>
      <c r="E309" s="20" t="n">
        <v>-109</v>
      </c>
      <c r="I309" s="20" t="n">
        <v>-40</v>
      </c>
      <c r="M309" s="20" t="n">
        <v>-43</v>
      </c>
      <c r="O309" s="20" t="n">
        <v>-7</v>
      </c>
      <c r="P309" s="20" t="n">
        <v>-6</v>
      </c>
      <c r="Q309" s="20" t="n">
        <v>-21</v>
      </c>
      <c r="R309" s="20" t="n">
        <v>-21</v>
      </c>
      <c r="S309" s="20" t="n">
        <v>-64</v>
      </c>
      <c r="T309" s="20" t="n">
        <v>-30</v>
      </c>
      <c r="U309" s="20" t="n">
        <v>-51</v>
      </c>
      <c r="V309" s="20" t="n">
        <v>-109</v>
      </c>
      <c r="W309" s="20" t="n">
        <v>-40</v>
      </c>
      <c r="X309" s="20" t="n">
        <v>-43</v>
      </c>
    </row>
    <row r="310">
      <c r="A310" s="18" t="inlineStr">
        <is>
          <t>스톡옵션 행사 수입</t>
        </is>
      </c>
      <c r="I310" s="20" t="n">
        <v>0</v>
      </c>
      <c r="M310" s="20" t="n">
        <v>636</v>
      </c>
      <c r="Q310" s="20" t="n">
        <v>0</v>
      </c>
      <c r="R310" s="20" t="n">
        <v>34</v>
      </c>
      <c r="S310" s="20" t="n">
        <v>322</v>
      </c>
      <c r="T310" s="20" t="n">
        <v>61</v>
      </c>
      <c r="U310" s="20" t="n">
        <v>0</v>
      </c>
      <c r="W310" s="20" t="n">
        <v>0</v>
      </c>
      <c r="X310" s="20" t="n">
        <v>636</v>
      </c>
    </row>
    <row r="311">
      <c r="A311" s="18" t="inlineStr">
        <is>
          <t>연결범위 변경 없는 자회사 주식 취득</t>
        </is>
      </c>
      <c r="I311" s="20" t="n">
        <v>0</v>
      </c>
      <c r="M311" s="20" t="n">
        <v>-755</v>
      </c>
      <c r="W311" s="20" t="n">
        <v>0</v>
      </c>
      <c r="X311" s="20" t="n">
        <v>-755</v>
      </c>
    </row>
    <row r="312">
      <c r="A312" s="9" t="inlineStr">
        <is>
          <t>재무활동 현금흐름</t>
        </is>
      </c>
      <c r="E312" s="12" t="n">
        <v>-965</v>
      </c>
      <c r="I312" s="12" t="n">
        <v>-828</v>
      </c>
      <c r="M312" s="12" t="n">
        <v>-1125</v>
      </c>
      <c r="O312" s="12" t="n">
        <v>-1130</v>
      </c>
      <c r="P312" s="12" t="n">
        <v>-1037</v>
      </c>
      <c r="Q312" s="12" t="n">
        <v>-1178</v>
      </c>
      <c r="R312" s="12" t="n">
        <v>-1735</v>
      </c>
      <c r="S312" s="12" t="n">
        <v>-12770</v>
      </c>
      <c r="T312" s="12" t="n">
        <v>-2053</v>
      </c>
      <c r="U312" s="12" t="n">
        <v>-765</v>
      </c>
      <c r="V312" s="12" t="n">
        <v>-965</v>
      </c>
      <c r="W312" s="12" t="n">
        <v>-828</v>
      </c>
      <c r="X312" s="12" t="n">
        <v>-1125</v>
      </c>
    </row>
    <row r="313">
      <c r="A313" s="18" t="inlineStr">
        <is>
          <t>현금성자산 환산차이</t>
        </is>
      </c>
      <c r="E313" s="20" t="n">
        <v>766</v>
      </c>
      <c r="I313" s="20" t="n">
        <v>-73</v>
      </c>
      <c r="M313" s="20" t="n">
        <v>788</v>
      </c>
      <c r="O313" s="20" t="n">
        <v>-140</v>
      </c>
      <c r="P313" s="20" t="n">
        <v>-307</v>
      </c>
      <c r="Q313" s="20" t="n">
        <v>196</v>
      </c>
      <c r="R313" s="20" t="n">
        <v>-320</v>
      </c>
      <c r="S313" s="20" t="n">
        <v>229</v>
      </c>
      <c r="T313" s="20" t="n">
        <v>731</v>
      </c>
      <c r="U313" s="20" t="n">
        <v>513</v>
      </c>
      <c r="V313" s="20" t="n">
        <v>766</v>
      </c>
      <c r="W313" s="20" t="n">
        <v>-73</v>
      </c>
      <c r="X313" s="20" t="n">
        <v>788</v>
      </c>
    </row>
    <row r="314">
      <c r="A314" s="18" t="inlineStr">
        <is>
          <t>현금성자산 증감</t>
        </is>
      </c>
      <c r="E314" s="20" t="n">
        <v>3942</v>
      </c>
      <c r="I314" s="20" t="n">
        <v>-660</v>
      </c>
      <c r="M314" s="20" t="n">
        <v>-236</v>
      </c>
      <c r="O314" s="20" t="n">
        <v>-2893</v>
      </c>
      <c r="P314" s="20" t="n">
        <v>-598</v>
      </c>
      <c r="Q314" s="20" t="n">
        <v>552</v>
      </c>
      <c r="R314" s="20" t="n">
        <v>-817</v>
      </c>
      <c r="S314" s="20" t="n">
        <v>-10585</v>
      </c>
      <c r="T314" s="20" t="n">
        <v>1147</v>
      </c>
      <c r="U314" s="20" t="n">
        <v>5927</v>
      </c>
      <c r="V314" s="20" t="n">
        <v>3942</v>
      </c>
      <c r="W314" s="20" t="n">
        <v>-660</v>
      </c>
      <c r="X314" s="20" t="n">
        <v>-236</v>
      </c>
    </row>
    <row r="315">
      <c r="A315" s="18" t="inlineStr">
        <is>
          <t>Increase Decrease In Cash And Cash Equivalents Resulting From Changes In The Accunting Period Of Subsidiaries</t>
        </is>
      </c>
      <c r="P315" s="20" t="n">
        <v>0</v>
      </c>
      <c r="Q315" s="20" t="n">
        <v>-16</v>
      </c>
      <c r="R315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6961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37708</v>
      </c>
      <c r="D5" s="12" t="n">
        <v>40142</v>
      </c>
      <c r="E5" s="12" t="n">
        <v>38418</v>
      </c>
      <c r="F5" s="12" t="n">
        <v>40578</v>
      </c>
      <c r="G5" s="12" t="n">
        <v>38247</v>
      </c>
      <c r="H5" s="11" t="n">
        <v>29558</v>
      </c>
      <c r="I5" s="12" t="n">
        <v>37438</v>
      </c>
      <c r="J5" s="12" t="n">
        <v>40427</v>
      </c>
      <c r="K5" s="12" t="n">
        <v>38695</v>
      </c>
      <c r="L5" s="12" t="n">
        <v>40578</v>
      </c>
    </row>
    <row r="6">
      <c r="A6" s="18" t="inlineStr">
        <is>
          <t>현금및현금성자산</t>
        </is>
      </c>
      <c r="B6" s="10" t="n"/>
      <c r="C6" s="19" t="n">
        <v>23312</v>
      </c>
      <c r="D6" s="20" t="n">
        <v>24040</v>
      </c>
      <c r="E6" s="20" t="n">
        <v>21701</v>
      </c>
      <c r="F6" s="20" t="n">
        <v>23817</v>
      </c>
      <c r="G6" s="20" t="n">
        <v>17065</v>
      </c>
      <c r="H6" s="19" t="n">
        <v>14914</v>
      </c>
      <c r="I6" s="20" t="n">
        <v>20766</v>
      </c>
      <c r="J6" s="20" t="n">
        <v>24788</v>
      </c>
      <c r="K6" s="20" t="n">
        <v>24050</v>
      </c>
      <c r="L6" s="20" t="n">
        <v>23817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8330</v>
      </c>
      <c r="D8" s="20" t="n">
        <v>10461</v>
      </c>
      <c r="E8" s="20" t="n">
        <v>10060</v>
      </c>
      <c r="F8" s="20" t="n">
        <v>8967</v>
      </c>
      <c r="G8" s="20" t="n">
        <v>10549</v>
      </c>
      <c r="H8" s="19" t="n">
        <v>9291</v>
      </c>
      <c r="I8" s="20" t="n">
        <v>9874</v>
      </c>
      <c r="J8" s="20" t="n">
        <v>9712</v>
      </c>
      <c r="K8" s="20" t="n">
        <v>8807</v>
      </c>
      <c r="L8" s="20" t="n">
        <v>8967</v>
      </c>
    </row>
    <row r="9">
      <c r="A9" s="18" t="inlineStr">
        <is>
          <t>재고자산</t>
        </is>
      </c>
      <c r="B9" s="10" t="n"/>
      <c r="C9" s="19" t="n">
        <v>4669</v>
      </c>
      <c r="D9" s="20" t="n">
        <v>3946</v>
      </c>
      <c r="E9" s="20" t="n">
        <v>4415</v>
      </c>
      <c r="F9" s="20" t="n">
        <v>4888</v>
      </c>
      <c r="G9" s="20" t="n">
        <v>7003</v>
      </c>
      <c r="H9" s="19" t="n">
        <v>3777</v>
      </c>
      <c r="I9" s="20" t="n">
        <v>4678</v>
      </c>
      <c r="J9" s="20" t="n">
        <v>3863</v>
      </c>
      <c r="K9" s="20" t="n">
        <v>4063</v>
      </c>
      <c r="L9" s="20" t="n">
        <v>4888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24215</v>
      </c>
      <c r="D11" s="12" t="n">
        <v>28784</v>
      </c>
      <c r="E11" s="12" t="n">
        <v>29042</v>
      </c>
      <c r="F11" s="12" t="n">
        <v>30469</v>
      </c>
      <c r="G11" s="12" t="n">
        <v>35718</v>
      </c>
      <c r="H11" s="11" t="n">
        <v>17503</v>
      </c>
      <c r="I11" s="12" t="n">
        <v>17161</v>
      </c>
      <c r="J11" s="12" t="n">
        <v>19601</v>
      </c>
      <c r="K11" s="12" t="n">
        <v>24079</v>
      </c>
      <c r="L11" s="12" t="n">
        <v>30469</v>
      </c>
    </row>
    <row r="12">
      <c r="A12" s="18" t="inlineStr">
        <is>
          <t>유형자산</t>
        </is>
      </c>
      <c r="B12" s="10" t="n"/>
      <c r="C12" s="19" t="n">
        <v>21307</v>
      </c>
      <c r="D12" s="20" t="n">
        <v>25260</v>
      </c>
      <c r="E12" s="20" t="n">
        <v>25215</v>
      </c>
      <c r="F12" s="20" t="n">
        <v>25084</v>
      </c>
      <c r="G12" s="20" t="n">
        <v>29715</v>
      </c>
      <c r="H12" s="19" t="n">
        <v>14199</v>
      </c>
      <c r="I12" s="20" t="n">
        <v>15268</v>
      </c>
      <c r="J12" s="20" t="n">
        <v>17573</v>
      </c>
      <c r="K12" s="20" t="n">
        <v>21453</v>
      </c>
      <c r="L12" s="20" t="n">
        <v>25084</v>
      </c>
    </row>
    <row r="13">
      <c r="A13" s="18" t="inlineStr">
        <is>
          <t>무형자산</t>
        </is>
      </c>
      <c r="B13" s="10" t="n"/>
      <c r="C13" s="19" t="n">
        <v>972</v>
      </c>
      <c r="D13" s="20" t="n">
        <v>1487</v>
      </c>
      <c r="E13" s="20" t="n">
        <v>1720</v>
      </c>
      <c r="F13" s="20" t="n">
        <v>2394</v>
      </c>
      <c r="G13" s="20" t="n">
        <v>2700</v>
      </c>
      <c r="H13" s="19" t="n">
        <v>287</v>
      </c>
      <c r="I13" s="20" t="n">
        <v>220</v>
      </c>
      <c r="J13" s="20" t="n">
        <v>214</v>
      </c>
      <c r="K13" s="20" t="n">
        <v>698</v>
      </c>
      <c r="L13" s="20" t="n">
        <v>2394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61923</v>
      </c>
      <c r="D16" s="12" t="n">
        <v>68926</v>
      </c>
      <c r="E16" s="12" t="n">
        <v>67460</v>
      </c>
      <c r="F16" s="12" t="n">
        <v>71047</v>
      </c>
      <c r="G16" s="12" t="n">
        <v>73966</v>
      </c>
      <c r="H16" s="11" t="n">
        <v>47061</v>
      </c>
      <c r="I16" s="12" t="n">
        <v>54599</v>
      </c>
      <c r="J16" s="12" t="n">
        <v>60028</v>
      </c>
      <c r="K16" s="12" t="n">
        <v>62775</v>
      </c>
      <c r="L16" s="12" t="n">
        <v>71047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5492</v>
      </c>
      <c r="D18" s="12" t="n">
        <v>9878</v>
      </c>
      <c r="E18" s="12" t="n">
        <v>5564</v>
      </c>
      <c r="F18" s="12" t="n">
        <v>6689</v>
      </c>
      <c r="G18" s="12" t="n">
        <v>7510</v>
      </c>
      <c r="H18" s="11" t="n">
        <v>4653</v>
      </c>
      <c r="I18" s="12" t="n">
        <v>5918</v>
      </c>
      <c r="J18" s="12" t="n">
        <v>5679</v>
      </c>
      <c r="K18" s="12" t="n">
        <v>5168</v>
      </c>
      <c r="L18" s="12" t="n">
        <v>6689</v>
      </c>
    </row>
    <row r="19">
      <c r="A19" s="18" t="inlineStr">
        <is>
          <t>매입채무</t>
        </is>
      </c>
      <c r="B19" s="10" t="n"/>
      <c r="C19" s="19" t="n">
        <v>1588</v>
      </c>
      <c r="D19" s="20" t="n">
        <v>1556</v>
      </c>
      <c r="E19" s="20" t="n">
        <v>1676</v>
      </c>
      <c r="F19" s="20" t="n">
        <v>1988</v>
      </c>
      <c r="G19" s="20" t="n">
        <v>2844</v>
      </c>
      <c r="H19" s="19" t="n">
        <v>1532</v>
      </c>
      <c r="I19" s="20" t="n">
        <v>1162</v>
      </c>
      <c r="J19" s="20" t="n">
        <v>1311</v>
      </c>
      <c r="K19" s="20" t="n">
        <v>1344</v>
      </c>
      <c r="L19" s="20" t="n">
        <v>1988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>
        <v>0</v>
      </c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1266</v>
      </c>
      <c r="D23" s="12" t="n">
        <v>1299</v>
      </c>
      <c r="E23" s="12" t="n">
        <v>1320</v>
      </c>
      <c r="F23" s="12" t="n">
        <v>1785</v>
      </c>
      <c r="G23" s="12" t="n">
        <v>1990</v>
      </c>
      <c r="H23" s="11" t="n">
        <v>914</v>
      </c>
      <c r="I23" s="12" t="n">
        <v>1373</v>
      </c>
      <c r="J23" s="12" t="n">
        <v>1681</v>
      </c>
      <c r="K23" s="12" t="n">
        <v>1390</v>
      </c>
      <c r="L23" s="12" t="n">
        <v>1785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6759</v>
      </c>
      <c r="D27" s="12" t="n">
        <v>11178</v>
      </c>
      <c r="E27" s="12" t="n">
        <v>6885</v>
      </c>
      <c r="F27" s="12" t="n">
        <v>8475</v>
      </c>
      <c r="G27" s="12" t="n">
        <v>9501</v>
      </c>
      <c r="H27" s="11" t="n">
        <v>5568</v>
      </c>
      <c r="I27" s="12" t="n">
        <v>7292</v>
      </c>
      <c r="J27" s="12" t="n">
        <v>7361</v>
      </c>
      <c r="K27" s="12" t="n">
        <v>6559</v>
      </c>
      <c r="L27" s="12" t="n">
        <v>8475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54870</v>
      </c>
      <c r="D31" s="12" t="n">
        <v>57460</v>
      </c>
      <c r="E31" s="12" t="n">
        <v>60345</v>
      </c>
      <c r="F31" s="12" t="n">
        <v>62368</v>
      </c>
      <c r="G31" s="12" t="n">
        <v>64313</v>
      </c>
      <c r="H31" s="11" t="n">
        <v>40968</v>
      </c>
      <c r="I31" s="12" t="n">
        <v>46549</v>
      </c>
      <c r="J31" s="12" t="n">
        <v>51820</v>
      </c>
      <c r="K31" s="12" t="n">
        <v>55271</v>
      </c>
      <c r="L31" s="12" t="n">
        <v>62368</v>
      </c>
    </row>
    <row r="32">
      <c r="A32" s="18" t="inlineStr">
        <is>
          <t>자본금</t>
        </is>
      </c>
      <c r="B32" s="10" t="n"/>
      <c r="C32" s="19" t="n">
        <v>8080</v>
      </c>
      <c r="D32" s="20" t="n">
        <v>8080</v>
      </c>
      <c r="E32" s="20" t="n">
        <v>8080</v>
      </c>
      <c r="F32" s="20" t="n">
        <v>8080</v>
      </c>
      <c r="G32" s="20" t="n">
        <v>8080</v>
      </c>
      <c r="H32" s="19" t="n">
        <v>8080</v>
      </c>
      <c r="I32" s="20" t="n">
        <v>8080</v>
      </c>
      <c r="J32" s="20" t="n">
        <v>8080</v>
      </c>
      <c r="K32" s="20" t="n">
        <v>8080</v>
      </c>
      <c r="L32" s="20" t="n">
        <v>8080</v>
      </c>
    </row>
    <row r="33">
      <c r="A33" s="18" t="inlineStr">
        <is>
          <t>이익잉여금</t>
        </is>
      </c>
      <c r="B33" s="10" t="n"/>
      <c r="C33" s="19" t="n">
        <v>42519</v>
      </c>
      <c r="D33" s="20" t="n">
        <v>44404</v>
      </c>
      <c r="E33" s="20" t="n">
        <v>45634</v>
      </c>
      <c r="F33" s="20" t="n">
        <v>46991</v>
      </c>
      <c r="G33" s="20" t="n">
        <v>48367</v>
      </c>
      <c r="H33" s="19" t="n">
        <v>44636</v>
      </c>
      <c r="I33" s="20" t="n">
        <v>36182</v>
      </c>
      <c r="J33" s="20" t="n">
        <v>39096</v>
      </c>
      <c r="K33" s="20" t="n">
        <v>42510</v>
      </c>
      <c r="L33" s="20" t="n">
        <v>46991</v>
      </c>
    </row>
    <row r="34">
      <c r="A34" s="18" t="inlineStr">
        <is>
          <t>비지배지분</t>
        </is>
      </c>
      <c r="B34" s="10" t="n"/>
      <c r="C34" s="19" t="n">
        <v>99</v>
      </c>
      <c r="D34" s="20" t="n">
        <v>115</v>
      </c>
      <c r="E34" s="20" t="n">
        <v>142</v>
      </c>
      <c r="F34" s="20" t="n">
        <v>150</v>
      </c>
      <c r="G34" s="20" t="n">
        <v>105</v>
      </c>
      <c r="H34" s="19" t="n">
        <v>525</v>
      </c>
      <c r="I34" s="20" t="n">
        <v>705</v>
      </c>
      <c r="J34" s="20" t="n">
        <v>727</v>
      </c>
      <c r="K34" s="20" t="n">
        <v>766</v>
      </c>
      <c r="L34" s="20" t="n">
        <v>150</v>
      </c>
    </row>
    <row r="35">
      <c r="A35" s="9" t="inlineStr">
        <is>
          <t>자본총계</t>
        </is>
      </c>
      <c r="B35" s="10" t="n"/>
      <c r="C35" s="11" t="n">
        <v>55164</v>
      </c>
      <c r="D35" s="12" t="n">
        <v>57748</v>
      </c>
      <c r="E35" s="12" t="n">
        <v>60575</v>
      </c>
      <c r="F35" s="12" t="n">
        <v>62571</v>
      </c>
      <c r="G35" s="12" t="n">
        <v>64465</v>
      </c>
      <c r="H35" s="11" t="n">
        <v>41493</v>
      </c>
      <c r="I35" s="12" t="n">
        <v>47307</v>
      </c>
      <c r="J35" s="12" t="n">
        <v>52667</v>
      </c>
      <c r="K35" s="12" t="n">
        <v>56216</v>
      </c>
      <c r="L35" s="12" t="n">
        <v>62571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6992</v>
      </c>
      <c r="G37" s="12" t="n"/>
      <c r="H37" s="11" t="n">
        <v>4046</v>
      </c>
      <c r="I37" s="12" t="n">
        <v>8761</v>
      </c>
      <c r="J37" s="12" t="n">
        <v>8231</v>
      </c>
      <c r="K37" s="12" t="n">
        <v>7129</v>
      </c>
      <c r="L37" s="12" t="n">
        <v>6992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7091</v>
      </c>
      <c r="G38" s="20" t="n"/>
      <c r="H38" s="19" t="n">
        <v>1794</v>
      </c>
      <c r="I38" s="20" t="n">
        <v>2423</v>
      </c>
      <c r="J38" s="20" t="n">
        <v>4014</v>
      </c>
      <c r="K38" s="20" t="n">
        <v>6943</v>
      </c>
      <c r="L38" s="20" t="n">
        <v>7091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720</v>
      </c>
      <c r="G40" s="20" t="n"/>
      <c r="H40" s="19" t="n">
        <v>329</v>
      </c>
      <c r="I40" s="20" t="n">
        <v>484</v>
      </c>
      <c r="J40" s="20" t="n">
        <v>529</v>
      </c>
      <c r="K40" s="20" t="n">
        <v>528</v>
      </c>
      <c r="L40" s="20" t="n">
        <v>720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IFERROR((IF(COUNT('연간'!G40:J40)&lt;4,"",SUM('연간'!G40:J40)))/(IF(COUNT('연간'!G62:J62)&lt;4,"",SUM('연간'!G62:J62))),"")</f>
        <v/>
      </c>
      <c r="D48" s="31">
        <f>IFERROR((IF(COUNT('연간'!H40:K40)&lt;4,"",SUM('연간'!H40:K40)))/(IF(COUNT('연간'!H62:K62)&lt;4,"",SUM('연간'!H62:K62))),"")</f>
        <v/>
      </c>
      <c r="E48" s="31">
        <f>IFERROR((IF(COUNT('연간'!I40:L40)&lt;4,"",SUM('연간'!I40:L40)))/(IF(COUNT('연간'!I62:L62)&lt;4,"",SUM('연간'!I62:L62))),"")</f>
        <v/>
      </c>
      <c r="F48" s="31">
        <f>IFERROR((IF(COUNT('연간'!J40:M40)&lt;4,"",SUM('연간'!J40:M40)))/(IF(COUNT('연간'!J62:M62)&lt;4,"",SUM('연간'!J62:M62))),"")</f>
        <v/>
      </c>
      <c r="G48" s="31">
        <f>IFERROR((IF(COUNT('연간'!K40:N40)&lt;4,"",SUM('연간'!K40:N40)))/(IF(COUNT('연간'!K62:N62)&lt;4,"",SUM('연간'!K62:N62))),"")</f>
        <v/>
      </c>
      <c r="H48" s="30">
        <f>IFERROR(('연간'!T40)/('연간'!T62),"")</f>
        <v/>
      </c>
      <c r="I48" s="31">
        <f>IFERROR(('연간'!U40)/('연간'!U62),"")</f>
        <v/>
      </c>
      <c r="J48" s="31">
        <f>IFERROR(('연간'!V40)/('연간'!V62),"")</f>
        <v/>
      </c>
      <c r="K48" s="31">
        <f>IFERROR(('연간'!W40)/('연간'!W62),"")</f>
        <v/>
      </c>
      <c r="L48" s="31">
        <f>IFERROR(('연간'!X40)/('연간'!X62),"")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IFERROR(IF((IF(COUNT('연간'!G70:J70)&lt;4,"",SUM('연간'!G70:J70)))&lt;=0,"적자",C28/(IF(COUNT('연간'!G70:J70)&lt;4,"",SUM('연간'!G70:J70)))),"")</f>
        <v/>
      </c>
      <c r="D49" s="47">
        <f>IFERROR(IF((IF(COUNT('연간'!H70:K70)&lt;4,"",SUM('연간'!H70:K70)))&lt;=0,"적자",D28/(IF(COUNT('연간'!H70:K70)&lt;4,"",SUM('연간'!H70:K70)))),"")</f>
        <v/>
      </c>
      <c r="E49" s="47">
        <f>IFERROR(IF((IF(COUNT('연간'!I70:L70)&lt;4,"",SUM('연간'!I70:L70)))&lt;=0,"적자",E28/(IF(COUNT('연간'!I70:L70)&lt;4,"",SUM('연간'!I70:L70)))),"")</f>
        <v/>
      </c>
      <c r="F49" s="47">
        <f>IFERROR(IF((IF(COUNT('연간'!J70:M70)&lt;4,"",SUM('연간'!J70:M70)))&lt;=0,"적자",F28/(IF(COUNT('연간'!J70:M70)&lt;4,"",SUM('연간'!J70:M70)))),"")</f>
        <v/>
      </c>
      <c r="G49" s="47">
        <f>IFERROR(IF((IF(COUNT('연간'!K70:N70)&lt;4,"",SUM('연간'!K70:N70)))&lt;=0,"적자",G28/(IF(COUNT('연간'!K70:N70)&lt;4,"",SUM('연간'!K70:N70)))),"")</f>
        <v/>
      </c>
      <c r="H49" s="46">
        <f>IFERROR(IF(('연간'!T70)&lt;=0,"적자",H28/('연간'!T70)),"")</f>
        <v/>
      </c>
      <c r="I49" s="47">
        <f>IFERROR(IF(('연간'!U70)&lt;=0,"적자",I28/('연간'!U70)),"")</f>
        <v/>
      </c>
      <c r="J49" s="47">
        <f>IFERROR(IF(('연간'!V70)&lt;=0,"적자",J28/('연간'!V70)),"")</f>
        <v/>
      </c>
      <c r="K49" s="47">
        <f>IFERROR(IF(('연간'!W70)&lt;=0,"적자",K28/('연간'!W70)),"")</f>
        <v/>
      </c>
      <c r="L49" s="47">
        <f>IFERROR(IF(('연간'!X70)&lt;=0,"적자",L28/('연간'!X70)),"")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IFERROR((IF(COUNT('연간'!G70:J70)&lt;4,"",SUM('연간'!G70:J70)))/C31,"")</f>
        <v/>
      </c>
      <c r="D51" s="36">
        <f>IFERROR((IF(COUNT('연간'!H70:K70)&lt;4,"",SUM('연간'!H70:K70)))/D31,"")</f>
        <v/>
      </c>
      <c r="E51" s="36">
        <f>IFERROR((IF(COUNT('연간'!I70:L70)&lt;4,"",SUM('연간'!I70:L70)))/E31,"")</f>
        <v/>
      </c>
      <c r="F51" s="36">
        <f>IFERROR((IF(COUNT('연간'!J70:M70)&lt;4,"",SUM('연간'!J70:M70)))/F31,"")</f>
        <v/>
      </c>
      <c r="G51" s="36">
        <f>IFERROR((IF(COUNT('연간'!K70:N70)&lt;4,"",SUM('연간'!K70:N70)))/G31,"")</f>
        <v/>
      </c>
      <c r="H51" s="35">
        <f>IFERROR(('연간'!T70)/H31,"")</f>
        <v/>
      </c>
      <c r="I51" s="36">
        <f>IFERROR(('연간'!U70)/I31,"")</f>
        <v/>
      </c>
      <c r="J51" s="36">
        <f>IFERROR(('연간'!V70)/J31,"")</f>
        <v/>
      </c>
      <c r="K51" s="36">
        <f>IFERROR(('연간'!W70)/K31,"")</f>
        <v/>
      </c>
      <c r="L51" s="36">
        <f>IFERROR(('연간'!X70)/L31,"")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IFERROR((IF(COUNT('연간'!G68:J68)&lt;4,"",SUM('연간'!G68:J68)))/C16,"")</f>
        <v/>
      </c>
      <c r="D52" s="36">
        <f>IFERROR((IF(COUNT('연간'!H68:K68)&lt;4,"",SUM('연간'!H68:K68)))/D16,"")</f>
        <v/>
      </c>
      <c r="E52" s="36">
        <f>IFERROR((IF(COUNT('연간'!I68:L68)&lt;4,"",SUM('연간'!I68:L68)))/E16,"")</f>
        <v/>
      </c>
      <c r="F52" s="36">
        <f>IFERROR((IF(COUNT('연간'!J68:M68)&lt;4,"",SUM('연간'!J68:M68)))/F16,"")</f>
        <v/>
      </c>
      <c r="G52" s="36">
        <f>IFERROR((IF(COUNT('연간'!K68:N68)&lt;4,"",SUM('연간'!K68:N68)))/G16,"")</f>
        <v/>
      </c>
      <c r="H52" s="35">
        <f>IFERROR(('연간'!T68)/H16,"")</f>
        <v/>
      </c>
      <c r="I52" s="36">
        <f>IFERROR(('연간'!U68)/I16,"")</f>
        <v/>
      </c>
      <c r="J52" s="36">
        <f>IFERROR(('연간'!V68)/J16,"")</f>
        <v/>
      </c>
      <c r="K52" s="36">
        <f>IFERROR(('연간'!W68)/K16,"")</f>
        <v/>
      </c>
      <c r="L52" s="36">
        <f>IFERROR(('연간'!X68)/L16,"")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IFERROR((IF(COUNT('연간'!G40:J40)&lt;4,"",SUM('연간'!G40:J40)))*(1-0.3)/(C35+C29),"")</f>
        <v/>
      </c>
      <c r="D53" s="36">
        <f>IFERROR((IF(COUNT('연간'!H40:K40)&lt;4,"",SUM('연간'!H40:K40)))*(1-0.3)/(D35+D29),"")</f>
        <v/>
      </c>
      <c r="E53" s="36">
        <f>IFERROR((IF(COUNT('연간'!I40:L40)&lt;4,"",SUM('연간'!I40:L40)))*(1-0.3)/(E35+E29),"")</f>
        <v/>
      </c>
      <c r="F53" s="36">
        <f>IFERROR((IF(COUNT('연간'!J40:M40)&lt;4,"",SUM('연간'!J40:M40)))*(1-0.3)/(F35+F29),"")</f>
        <v/>
      </c>
      <c r="G53" s="36">
        <f>IFERROR((IF(COUNT('연간'!K40:N40)&lt;4,"",SUM('연간'!K40:N40)))*(1-0.3)/(G35+G29),"")</f>
        <v/>
      </c>
      <c r="H53" s="35">
        <f>IFERROR(('연간'!T40)*(1-0.3)/(H35+H29),"")</f>
        <v/>
      </c>
      <c r="I53" s="36">
        <f>IFERROR(('연간'!U40)*(1-0.3)/(I35+I29),"")</f>
        <v/>
      </c>
      <c r="J53" s="36">
        <f>IFERROR(('연간'!V40)*(1-0.3)/(J35+J29),"")</f>
        <v/>
      </c>
      <c r="K53" s="36">
        <f>IFERROR(('연간'!W40)*(1-0.3)/(K35+K29),"")</f>
        <v/>
      </c>
      <c r="L53" s="36">
        <f>IFERROR(('연간'!X40)*(1-0.3)/(L35+L29),"")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IFERROR((IF(COUNT('연간'!G34:J34)&lt;4,"",SUM('연간'!G34:J34)))/(IF(COUNT('연간'!G4:J4)&lt;4,"",SUM('연간'!G4:J4))),"")</f>
        <v/>
      </c>
      <c r="D54" s="36">
        <f>IFERROR((IF(COUNT('연간'!H34:K34)&lt;4,"",SUM('연간'!H34:K34)))/(IF(COUNT('연간'!H4:K4)&lt;4,"",SUM('연간'!H4:K4))),"")</f>
        <v/>
      </c>
      <c r="E54" s="36">
        <f>IFERROR((IF(COUNT('연간'!I34:L34)&lt;4,"",SUM('연간'!I34:L34)))/(IF(COUNT('연간'!I4:L4)&lt;4,"",SUM('연간'!I4:L4))),"")</f>
        <v/>
      </c>
      <c r="F54" s="36">
        <f>IFERROR((IF(COUNT('연간'!J34:M34)&lt;4,"",SUM('연간'!J34:M34)))/(IF(COUNT('연간'!J4:M4)&lt;4,"",SUM('연간'!J4:M4))),"")</f>
        <v/>
      </c>
      <c r="G54" s="36">
        <f>IFERROR((IF(COUNT('연간'!K34:N34)&lt;4,"",SUM('연간'!K34:N34)))/(IF(COUNT('연간'!K4:N4)&lt;4,"",SUM('연간'!K4:N4))),"")</f>
        <v/>
      </c>
      <c r="H54" s="35">
        <f>IFERROR(('연간'!T34)/('연간'!T4),"")</f>
        <v/>
      </c>
      <c r="I54" s="36">
        <f>IFERROR(('연간'!U34)/('연간'!U4),"")</f>
        <v/>
      </c>
      <c r="J54" s="36">
        <f>IFERROR(('연간'!V34)/('연간'!V4),"")</f>
        <v/>
      </c>
      <c r="K54" s="36">
        <f>IFERROR(('연간'!W34)/('연간'!W4),"")</f>
        <v/>
      </c>
      <c r="L54" s="36">
        <f>IFERROR(('연간'!X34)/('연간'!X4),"")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IFERROR((IF(COUNT('연간'!G40:J40)&lt;4,"",SUM('연간'!G40:J40)))/(IF(COUNT('연간'!G4:J4)&lt;4,"",SUM('연간'!G4:J4))),"")</f>
        <v/>
      </c>
      <c r="D55" s="36">
        <f>IFERROR((IF(COUNT('연간'!H40:K40)&lt;4,"",SUM('연간'!H40:K40)))/(IF(COUNT('연간'!H4:K4)&lt;4,"",SUM('연간'!H4:K4))),"")</f>
        <v/>
      </c>
      <c r="E55" s="36">
        <f>IFERROR((IF(COUNT('연간'!I40:L40)&lt;4,"",SUM('연간'!I40:L40)))/(IF(COUNT('연간'!I4:L4)&lt;4,"",SUM('연간'!I4:L4))),"")</f>
        <v/>
      </c>
      <c r="F55" s="36">
        <f>IFERROR((IF(COUNT('연간'!J40:M40)&lt;4,"",SUM('연간'!J40:M40)))/(IF(COUNT('연간'!J4:M4)&lt;4,"",SUM('연간'!J4:M4))),"")</f>
        <v/>
      </c>
      <c r="G55" s="36">
        <f>IFERROR((IF(COUNT('연간'!K40:N40)&lt;4,"",SUM('연간'!K40:N40)))/(IF(COUNT('연간'!K4:N4)&lt;4,"",SUM('연간'!K4:N4))),"")</f>
        <v/>
      </c>
      <c r="H55" s="35">
        <f>IFERROR(('연간'!T40)/('연간'!T4),"")</f>
        <v/>
      </c>
      <c r="I55" s="36">
        <f>IFERROR(('연간'!U40)/('연간'!U4),"")</f>
        <v/>
      </c>
      <c r="J55" s="36">
        <f>IFERROR(('연간'!V40)/('연간'!V4),"")</f>
        <v/>
      </c>
      <c r="K55" s="36">
        <f>IFERROR(('연간'!W40)/('연간'!W4),"")</f>
        <v/>
      </c>
      <c r="L55" s="36">
        <f>IFERROR(('연간'!X40)/('연간'!X4),"")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IFERROR((IF(COUNT('연간'!G68:J68)&lt;4,"",SUM('연간'!G68:J68)))/(IF(COUNT('연간'!G4:J4)&lt;4,"",SUM('연간'!G4:J4))),"")</f>
        <v/>
      </c>
      <c r="D56" s="36">
        <f>IFERROR((IF(COUNT('연간'!H68:K68)&lt;4,"",SUM('연간'!H68:K68)))/(IF(COUNT('연간'!H4:K4)&lt;4,"",SUM('연간'!H4:K4))),"")</f>
        <v/>
      </c>
      <c r="E56" s="36">
        <f>IFERROR((IF(COUNT('연간'!I68:L68)&lt;4,"",SUM('연간'!I68:L68)))/(IF(COUNT('연간'!I4:L4)&lt;4,"",SUM('연간'!I4:L4))),"")</f>
        <v/>
      </c>
      <c r="F56" s="36">
        <f>IFERROR((IF(COUNT('연간'!J68:M68)&lt;4,"",SUM('연간'!J68:M68)))/(IF(COUNT('연간'!J4:M4)&lt;4,"",SUM('연간'!J4:M4))),"")</f>
        <v/>
      </c>
      <c r="G56" s="36">
        <f>IFERROR((IF(COUNT('연간'!K68:N68)&lt;4,"",SUM('연간'!K68:N68)))/(IF(COUNT('연간'!K4:N4)&lt;4,"",SUM('연간'!K4:N4))),"")</f>
        <v/>
      </c>
      <c r="H56" s="35">
        <f>IFERROR(('연간'!T68)/('연간'!T4),"")</f>
        <v/>
      </c>
      <c r="I56" s="36">
        <f>IFERROR(('연간'!U68)/('연간'!U4),"")</f>
        <v/>
      </c>
      <c r="J56" s="36">
        <f>IFERROR(('연간'!V68)/('연간'!V4),"")</f>
        <v/>
      </c>
      <c r="K56" s="36">
        <f>IFERROR(('연간'!W68)/('연간'!W4),"")</f>
        <v/>
      </c>
      <c r="L56" s="36">
        <f>IFERROR(('연간'!X68)/('연간'!X4),"")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IFERROR(C9/(IF(COUNT('연간'!G32:J32)&lt;4,"",SUM('연간'!G32:J32)))*365,"")</f>
        <v/>
      </c>
      <c r="D60" s="49">
        <f>IFERROR(D9/(IF(COUNT('연간'!H32:K32)&lt;4,"",SUM('연간'!H32:K32)))*365,"")</f>
        <v/>
      </c>
      <c r="E60" s="49">
        <f>IFERROR(E9/(IF(COUNT('연간'!I32:L32)&lt;4,"",SUM('연간'!I32:L32)))*365,"")</f>
        <v/>
      </c>
      <c r="F60" s="49">
        <f>IFERROR(F9/(IF(COUNT('연간'!J32:M32)&lt;4,"",SUM('연간'!J32:M32)))*365,"")</f>
        <v/>
      </c>
      <c r="G60" s="49">
        <f>IFERROR(G9/(IF(COUNT('연간'!K32:N32)&lt;4,"",SUM('연간'!K32:N32)))*365,"")</f>
        <v/>
      </c>
      <c r="H60" s="48">
        <f>IFERROR(H9/('연간'!T32)*365,"")</f>
        <v/>
      </c>
      <c r="I60" s="49">
        <f>IFERROR(I9/('연간'!U32)*365,"")</f>
        <v/>
      </c>
      <c r="J60" s="49">
        <f>IFERROR(J9/('연간'!V32)*365,"")</f>
        <v/>
      </c>
      <c r="K60" s="49">
        <f>IFERROR(K9/('연간'!W32)*365,"")</f>
        <v/>
      </c>
      <c r="L60" s="49">
        <f>IFERROR(L9/('연간'!X32)*365,"")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IFERROR(C19/(IF(COUNT('연간'!G32:J32)&lt;4,"",SUM('연간'!G32:J32)))*365,"")</f>
        <v/>
      </c>
      <c r="D61" s="49">
        <f>IFERROR(D19/(IF(COUNT('연간'!H32:K32)&lt;4,"",SUM('연간'!H32:K32)))*365,"")</f>
        <v/>
      </c>
      <c r="E61" s="49">
        <f>IFERROR(E19/(IF(COUNT('연간'!I32:L32)&lt;4,"",SUM('연간'!I32:L32)))*365,"")</f>
        <v/>
      </c>
      <c r="F61" s="49">
        <f>IFERROR(F19/(IF(COUNT('연간'!J32:M32)&lt;4,"",SUM('연간'!J32:M32)))*365,"")</f>
        <v/>
      </c>
      <c r="G61" s="49">
        <f>IFERROR(G19/(IF(COUNT('연간'!K32:N32)&lt;4,"",SUM('연간'!K32:N32)))*365,"")</f>
        <v/>
      </c>
      <c r="H61" s="48">
        <f>IFERROR(H19/('연간'!T32)*365,"")</f>
        <v/>
      </c>
      <c r="I61" s="49">
        <f>IFERROR(I19/('연간'!U32)*365,"")</f>
        <v/>
      </c>
      <c r="J61" s="49">
        <f>IFERROR(J19/('연간'!V32)*365,"")</f>
        <v/>
      </c>
      <c r="K61" s="49">
        <f>IFERROR(K19/('연간'!W32)*365,"")</f>
        <v/>
      </c>
      <c r="L61" s="49">
        <f>IFERROR(L19/('연간'!X32)*365,"")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IF(C37="","",IFERROR(C37/(IF(COUNT('연간'!G68:J68)&lt;4,"",SUM('연간'!G68:J68))),""))</f>
        <v/>
      </c>
      <c r="D64" s="31">
        <f>IF(D37="","",IFERROR(D37/(IF(COUNT('연간'!H68:K68)&lt;4,"",SUM('연간'!H68:K68))),""))</f>
        <v/>
      </c>
      <c r="E64" s="31">
        <f>IF(E37="","",IFERROR(E37/(IF(COUNT('연간'!I68:L68)&lt;4,"",SUM('연간'!I68:L68))),""))</f>
        <v/>
      </c>
      <c r="F64" s="31">
        <f>IF(F37="","",IFERROR(F37/(IF(COUNT('연간'!J68:M68)&lt;4,"",SUM('연간'!J68:M68))),""))</f>
        <v/>
      </c>
      <c r="G64" s="31">
        <f>IF(G37="","",IFERROR(G37/(IF(COUNT('연간'!K68:N68)&lt;4,"",SUM('연간'!K68:N68))),""))</f>
        <v/>
      </c>
      <c r="H64" s="30">
        <f>IF(H37="","",IFERROR(H37/('연간'!T68),""))</f>
        <v/>
      </c>
      <c r="I64" s="31">
        <f>IF(I37="","",IFERROR(I37/('연간'!U68),""))</f>
        <v/>
      </c>
      <c r="J64" s="31">
        <f>IF(J37="","",IFERROR(J37/('연간'!V68),""))</f>
        <v/>
      </c>
      <c r="K64" s="31">
        <f>IF(K37="","",IFERROR(K37/('연간'!W68),""))</f>
        <v/>
      </c>
      <c r="L64" s="31">
        <f>IF(L37="","",IFERROR(L37/('연간'!X68),""))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IF(C40="","",IFERROR(C40/(IF(COUNT('연간'!G70:J70)&lt;4,"",SUM('연간'!G70:J70))),""))</f>
        <v/>
      </c>
      <c r="D67" s="36">
        <f>IF(D40="","",IFERROR(D40/(IF(COUNT('연간'!H70:K70)&lt;4,"",SUM('연간'!H70:K70))),""))</f>
        <v/>
      </c>
      <c r="E67" s="36">
        <f>IF(E40="","",IFERROR(E40/(IF(COUNT('연간'!I70:L70)&lt;4,"",SUM('연간'!I70:L70))),""))</f>
        <v/>
      </c>
      <c r="F67" s="36">
        <f>IF(F40="","",IFERROR(F40/(IF(COUNT('연간'!J70:M70)&lt;4,"",SUM('연간'!J70:M70))),""))</f>
        <v/>
      </c>
      <c r="G67" s="36">
        <f>IF(G40="","",IFERROR(G40/(IF(COUNT('연간'!K70:N70)&lt;4,"",SUM('연간'!K70:N70))),""))</f>
        <v/>
      </c>
      <c r="H67" s="35">
        <f>IF(H40="","",IFERROR(H40/('연간'!T70),""))</f>
        <v/>
      </c>
      <c r="I67" s="36">
        <f>IF(I40="","",IFERROR(I40/('연간'!U70),""))</f>
        <v/>
      </c>
      <c r="J67" s="36">
        <f>IF(J40="","",IFERROR(J40/('연간'!V70),""))</f>
        <v/>
      </c>
      <c r="K67" s="36">
        <f>IF(K40="","",IFERROR(K40/('연간'!W70),""))</f>
        <v/>
      </c>
      <c r="L67" s="36">
        <f>IF(L40="","",IFERROR(L40/('연간'!X70),""))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23312</v>
      </c>
      <c r="D71" s="20" t="n">
        <v>24040</v>
      </c>
      <c r="E71" s="20" t="n">
        <v>21701</v>
      </c>
      <c r="F71" s="20" t="n">
        <v>23817</v>
      </c>
      <c r="G71" s="20" t="n">
        <v>17065</v>
      </c>
      <c r="H71" s="20" t="n">
        <v>14914</v>
      </c>
      <c r="I71" s="20" t="n">
        <v>20766</v>
      </c>
      <c r="J71" s="20" t="n">
        <v>24788</v>
      </c>
      <c r="K71" s="20" t="n">
        <v>24050</v>
      </c>
      <c r="L71" s="20" t="n">
        <v>23817</v>
      </c>
    </row>
    <row r="72">
      <c r="A72" s="18" t="inlineStr">
        <is>
          <t>받을어음·매출채권·계약자산</t>
        </is>
      </c>
      <c r="H72" s="20" t="n">
        <v>9312</v>
      </c>
    </row>
    <row r="73">
      <c r="A73" s="18" t="inlineStr">
        <is>
          <t>받을어음·매출채권</t>
        </is>
      </c>
      <c r="C73" s="20" t="n">
        <v>8330</v>
      </c>
      <c r="D73" s="20" t="n">
        <v>10461</v>
      </c>
      <c r="E73" s="20" t="n">
        <v>10060</v>
      </c>
      <c r="F73" s="20" t="n">
        <v>8967</v>
      </c>
      <c r="G73" s="20" t="n">
        <v>10549</v>
      </c>
      <c r="H73" s="20" t="n">
        <v>9291</v>
      </c>
      <c r="I73" s="20" t="n">
        <v>9874</v>
      </c>
      <c r="J73" s="20" t="n">
        <v>9712</v>
      </c>
      <c r="K73" s="20" t="n">
        <v>8807</v>
      </c>
      <c r="L73" s="20" t="n">
        <v>8967</v>
      </c>
    </row>
    <row r="74">
      <c r="A74" s="18" t="inlineStr">
        <is>
          <t>제품</t>
        </is>
      </c>
      <c r="C74" s="20" t="n">
        <v>1643</v>
      </c>
      <c r="D74" s="20" t="n">
        <v>848</v>
      </c>
      <c r="E74" s="20" t="n">
        <v>1071</v>
      </c>
      <c r="F74" s="20" t="n">
        <v>952</v>
      </c>
      <c r="G74" s="20" t="n">
        <v>1037</v>
      </c>
      <c r="H74" s="20" t="n">
        <v>1056</v>
      </c>
      <c r="I74" s="20" t="n">
        <v>1201</v>
      </c>
      <c r="J74" s="20" t="n">
        <v>1119</v>
      </c>
      <c r="K74" s="20" t="n">
        <v>1266</v>
      </c>
      <c r="L74" s="20" t="n">
        <v>952</v>
      </c>
    </row>
    <row r="75">
      <c r="A75" s="18" t="inlineStr">
        <is>
          <t>재공품</t>
        </is>
      </c>
      <c r="C75" s="20" t="n">
        <v>778</v>
      </c>
      <c r="D75" s="20" t="n">
        <v>667</v>
      </c>
      <c r="E75" s="20" t="n">
        <v>679</v>
      </c>
      <c r="F75" s="20" t="n">
        <v>641</v>
      </c>
      <c r="G75" s="20" t="n">
        <v>687</v>
      </c>
      <c r="H75" s="20" t="n">
        <v>489</v>
      </c>
      <c r="I75" s="20" t="n">
        <v>724</v>
      </c>
      <c r="J75" s="20" t="n">
        <v>694</v>
      </c>
      <c r="K75" s="20" t="n">
        <v>782</v>
      </c>
      <c r="L75" s="20" t="n">
        <v>641</v>
      </c>
    </row>
    <row r="76">
      <c r="A76" s="18" t="inlineStr">
        <is>
          <t>원재료·저장품</t>
        </is>
      </c>
      <c r="C76" s="20" t="n">
        <v>2248</v>
      </c>
      <c r="D76" s="20" t="n">
        <v>2431</v>
      </c>
      <c r="E76" s="20" t="n">
        <v>2665</v>
      </c>
      <c r="F76" s="20" t="n">
        <v>3295</v>
      </c>
      <c r="G76" s="20" t="n">
        <v>5279</v>
      </c>
      <c r="H76" s="20" t="n">
        <v>2232</v>
      </c>
      <c r="I76" s="20" t="n">
        <v>2753</v>
      </c>
      <c r="J76" s="20" t="n">
        <v>2050</v>
      </c>
      <c r="K76" s="20" t="n">
        <v>2015</v>
      </c>
      <c r="L76" s="20" t="n">
        <v>3295</v>
      </c>
    </row>
    <row r="77">
      <c r="A77" s="18" t="inlineStr">
        <is>
          <t>미수 소비세</t>
        </is>
      </c>
      <c r="C77" s="20" t="n">
        <v>278</v>
      </c>
      <c r="D77" s="20" t="n">
        <v>559</v>
      </c>
      <c r="E77" s="20" t="n">
        <v>909</v>
      </c>
      <c r="F77" s="20" t="n">
        <v>1294</v>
      </c>
      <c r="G77" s="20" t="n">
        <v>1834</v>
      </c>
      <c r="H77" s="20" t="n">
        <v>807</v>
      </c>
      <c r="I77" s="20" t="n">
        <v>1067</v>
      </c>
      <c r="J77" s="20" t="n">
        <v>965</v>
      </c>
      <c r="K77" s="20" t="n">
        <v>815</v>
      </c>
      <c r="L77" s="20" t="n">
        <v>1294</v>
      </c>
    </row>
    <row r="78">
      <c r="A78" s="18" t="inlineStr">
        <is>
          <t>미수 환급법인세</t>
        </is>
      </c>
      <c r="C78" s="20" t="n">
        <v>180</v>
      </c>
      <c r="D78" s="20" t="n">
        <v>207</v>
      </c>
      <c r="E78" s="20" t="n">
        <v>328</v>
      </c>
      <c r="F78" s="20" t="n">
        <v>482</v>
      </c>
      <c r="G78" s="20" t="n">
        <v>522</v>
      </c>
      <c r="H78" s="20" t="n">
        <v>88</v>
      </c>
      <c r="I78" s="20" t="n">
        <v>79</v>
      </c>
      <c r="J78" s="20" t="n">
        <v>201</v>
      </c>
      <c r="K78" s="20" t="n">
        <v>158</v>
      </c>
      <c r="L78" s="20" t="n">
        <v>482</v>
      </c>
    </row>
    <row r="79">
      <c r="A79" s="18" t="inlineStr">
        <is>
          <t>기타</t>
        </is>
      </c>
      <c r="C79" s="20" t="n">
        <v>948</v>
      </c>
      <c r="D79" s="20" t="n">
        <v>944</v>
      </c>
      <c r="E79" s="20" t="n">
        <v>1019</v>
      </c>
      <c r="F79" s="20" t="n">
        <v>1140</v>
      </c>
      <c r="G79" s="20" t="n">
        <v>1286</v>
      </c>
      <c r="H79" s="20" t="n">
        <v>697</v>
      </c>
      <c r="I79" s="20" t="n">
        <v>995</v>
      </c>
      <c r="J79" s="20" t="n">
        <v>903</v>
      </c>
      <c r="K79" s="20" t="n">
        <v>809</v>
      </c>
      <c r="L79" s="20" t="n">
        <v>1140</v>
      </c>
    </row>
    <row r="80">
      <c r="A80" s="18" t="inlineStr">
        <is>
          <t>대손충당금</t>
        </is>
      </c>
      <c r="C80" s="20" t="n">
        <v>-12</v>
      </c>
      <c r="D80" s="20" t="n">
        <v>-17</v>
      </c>
      <c r="E80" s="20" t="n">
        <v>-15</v>
      </c>
      <c r="F80" s="20" t="n">
        <v>-14</v>
      </c>
      <c r="G80" s="20" t="n">
        <v>-15</v>
      </c>
      <c r="H80" s="20" t="n">
        <v>-20</v>
      </c>
      <c r="I80" s="20" t="n">
        <v>-24</v>
      </c>
      <c r="J80" s="20" t="n">
        <v>-9</v>
      </c>
      <c r="K80" s="20" t="n">
        <v>-11</v>
      </c>
      <c r="L80" s="20" t="n">
        <v>-14</v>
      </c>
    </row>
    <row r="81">
      <c r="A81" s="9" t="inlineStr">
        <is>
          <t>유동자산 합계</t>
        </is>
      </c>
      <c r="C81" s="12" t="n">
        <v>37708</v>
      </c>
      <c r="D81" s="12" t="n">
        <v>40142</v>
      </c>
      <c r="E81" s="12" t="n">
        <v>38418</v>
      </c>
      <c r="F81" s="12" t="n">
        <v>40578</v>
      </c>
      <c r="G81" s="12" t="n">
        <v>38247</v>
      </c>
      <c r="H81" s="12" t="n">
        <v>29558</v>
      </c>
      <c r="I81" s="12" t="n">
        <v>37438</v>
      </c>
      <c r="J81" s="12" t="n">
        <v>40427</v>
      </c>
      <c r="K81" s="12" t="n">
        <v>38695</v>
      </c>
      <c r="L81" s="12" t="n">
        <v>40578</v>
      </c>
    </row>
    <row r="82">
      <c r="A82" s="18" t="inlineStr">
        <is>
          <t>건물·구축물(순액)</t>
        </is>
      </c>
      <c r="C82" s="20" t="n">
        <v>4174</v>
      </c>
      <c r="D82" s="20" t="n">
        <v>4130</v>
      </c>
      <c r="E82" s="20" t="n">
        <v>4140</v>
      </c>
      <c r="F82" s="20" t="n">
        <v>4047</v>
      </c>
      <c r="G82" s="20" t="n">
        <v>3871</v>
      </c>
      <c r="H82" s="20" t="n">
        <v>3051</v>
      </c>
      <c r="I82" s="20" t="n">
        <v>3448</v>
      </c>
      <c r="J82" s="20" t="n">
        <v>4150</v>
      </c>
      <c r="K82" s="20" t="n">
        <v>3904</v>
      </c>
      <c r="L82" s="20" t="n">
        <v>4047</v>
      </c>
    </row>
    <row r="83">
      <c r="A83" s="18" t="inlineStr">
        <is>
          <t>기계장치·운반구(순액)</t>
        </is>
      </c>
      <c r="C83" s="20" t="n">
        <v>2682</v>
      </c>
      <c r="D83" s="20" t="n">
        <v>2554</v>
      </c>
      <c r="E83" s="20" t="n">
        <v>2491</v>
      </c>
      <c r="F83" s="20" t="n">
        <v>2381</v>
      </c>
      <c r="G83" s="20" t="n">
        <v>2462</v>
      </c>
      <c r="H83" s="20" t="n">
        <v>1730</v>
      </c>
      <c r="I83" s="20" t="n">
        <v>2133</v>
      </c>
      <c r="J83" s="20" t="n">
        <v>2586</v>
      </c>
      <c r="K83" s="20" t="n">
        <v>2833</v>
      </c>
      <c r="L83" s="20" t="n">
        <v>2381</v>
      </c>
    </row>
    <row r="84">
      <c r="A84" s="18" t="inlineStr">
        <is>
          <t>공구·기구·비품(순액)</t>
        </is>
      </c>
      <c r="C84" s="20" t="n">
        <v>1245</v>
      </c>
      <c r="D84" s="20" t="n">
        <v>1259</v>
      </c>
      <c r="E84" s="20" t="n">
        <v>1224</v>
      </c>
      <c r="F84" s="20" t="n">
        <v>1317</v>
      </c>
      <c r="G84" s="20" t="n">
        <v>1367</v>
      </c>
      <c r="H84" s="20" t="n">
        <v>1158</v>
      </c>
      <c r="I84" s="20" t="n">
        <v>1162</v>
      </c>
      <c r="J84" s="20" t="n">
        <v>1335</v>
      </c>
      <c r="K84" s="20" t="n">
        <v>1266</v>
      </c>
      <c r="L84" s="20" t="n">
        <v>1317</v>
      </c>
    </row>
    <row r="85">
      <c r="A85" s="18" t="inlineStr">
        <is>
          <t>토지</t>
        </is>
      </c>
      <c r="C85" s="20" t="n">
        <v>6862</v>
      </c>
      <c r="D85" s="20" t="n">
        <v>6870</v>
      </c>
      <c r="E85" s="20" t="n">
        <v>6885</v>
      </c>
      <c r="F85" s="20" t="n">
        <v>6892</v>
      </c>
      <c r="G85" s="20" t="n">
        <v>6897</v>
      </c>
      <c r="H85" s="20" t="n">
        <v>6816</v>
      </c>
      <c r="I85" s="20" t="n">
        <v>6838</v>
      </c>
      <c r="J85" s="20" t="n">
        <v>6875</v>
      </c>
      <c r="K85" s="20" t="n">
        <v>6871</v>
      </c>
      <c r="L85" s="20" t="n">
        <v>6892</v>
      </c>
    </row>
    <row r="86">
      <c r="A86" s="18" t="inlineStr">
        <is>
          <t>사용권자산(순액)</t>
        </is>
      </c>
      <c r="H86" s="20" t="n">
        <v>840</v>
      </c>
    </row>
    <row r="87">
      <c r="A87" s="18" t="inlineStr">
        <is>
          <t>사용권자산(순액)</t>
        </is>
      </c>
      <c r="H87" s="20" t="n">
        <v>840</v>
      </c>
      <c r="I87" s="20" t="n">
        <v>1320</v>
      </c>
      <c r="J87" s="20" t="n">
        <v>1724</v>
      </c>
      <c r="K87" s="20" t="n">
        <v>1396</v>
      </c>
    </row>
    <row r="88">
      <c r="A88" s="18" t="inlineStr">
        <is>
          <t>사용권자산(순액)</t>
        </is>
      </c>
      <c r="C88" s="20" t="n">
        <v>1267</v>
      </c>
      <c r="D88" s="20" t="n">
        <v>1238</v>
      </c>
      <c r="E88" s="20" t="n">
        <v>1222</v>
      </c>
      <c r="I88" s="20" t="n">
        <v>1320</v>
      </c>
      <c r="J88" s="20" t="n">
        <v>1724</v>
      </c>
      <c r="K88" s="20" t="n">
        <v>1396</v>
      </c>
    </row>
    <row r="89">
      <c r="A89" s="18" t="inlineStr">
        <is>
          <t>사용권자산(순액)</t>
        </is>
      </c>
      <c r="F89" s="20" t="n">
        <v>1192</v>
      </c>
      <c r="G89" s="20" t="n">
        <v>1327</v>
      </c>
      <c r="K89" s="20" t="n">
        <v>1396</v>
      </c>
      <c r="L89" s="20" t="n">
        <v>1192</v>
      </c>
    </row>
    <row r="90">
      <c r="A90" s="18" t="inlineStr">
        <is>
          <t>건설중인자산</t>
        </is>
      </c>
      <c r="C90" s="20" t="n">
        <v>5076</v>
      </c>
      <c r="D90" s="20" t="n">
        <v>9207</v>
      </c>
      <c r="E90" s="20" t="n">
        <v>9250</v>
      </c>
      <c r="F90" s="20" t="n">
        <v>9252</v>
      </c>
      <c r="G90" s="20" t="n">
        <v>13788</v>
      </c>
      <c r="H90" s="20" t="n">
        <v>601</v>
      </c>
      <c r="I90" s="20" t="n">
        <v>364</v>
      </c>
      <c r="J90" s="20" t="n">
        <v>900</v>
      </c>
      <c r="K90" s="20" t="n">
        <v>5180</v>
      </c>
      <c r="L90" s="20" t="n">
        <v>9252</v>
      </c>
    </row>
    <row r="91">
      <c r="A91" s="18" t="inlineStr">
        <is>
          <t>유형자산 합계</t>
        </is>
      </c>
      <c r="C91" s="20" t="n">
        <v>21307</v>
      </c>
      <c r="D91" s="20" t="n">
        <v>25260</v>
      </c>
      <c r="E91" s="20" t="n">
        <v>25215</v>
      </c>
      <c r="F91" s="20" t="n">
        <v>25084</v>
      </c>
      <c r="G91" s="20" t="n">
        <v>29715</v>
      </c>
      <c r="H91" s="20" t="n">
        <v>14199</v>
      </c>
      <c r="I91" s="20" t="n">
        <v>15268</v>
      </c>
      <c r="J91" s="20" t="n">
        <v>17573</v>
      </c>
      <c r="K91" s="20" t="n">
        <v>21453</v>
      </c>
      <c r="L91" s="20" t="n">
        <v>25084</v>
      </c>
    </row>
    <row r="92">
      <c r="A92" s="18" t="inlineStr">
        <is>
          <t>소프트웨어</t>
        </is>
      </c>
      <c r="C92" s="20" t="n">
        <v>151</v>
      </c>
      <c r="D92" s="20" t="n">
        <v>296</v>
      </c>
      <c r="E92" s="20" t="n">
        <v>275</v>
      </c>
      <c r="F92" s="20" t="n">
        <v>276</v>
      </c>
      <c r="G92" s="20" t="n">
        <v>2269</v>
      </c>
      <c r="H92" s="20" t="n">
        <v>207</v>
      </c>
      <c r="I92" s="20" t="n">
        <v>142</v>
      </c>
      <c r="J92" s="20" t="n">
        <v>150</v>
      </c>
      <c r="K92" s="20" t="n">
        <v>152</v>
      </c>
      <c r="L92" s="20" t="n">
        <v>276</v>
      </c>
    </row>
    <row r="93">
      <c r="A93" s="18" t="inlineStr">
        <is>
          <t>영업권</t>
        </is>
      </c>
      <c r="H93" s="20" t="n">
        <v>0</v>
      </c>
    </row>
    <row r="94">
      <c r="A94" s="18" t="inlineStr">
        <is>
          <t>개발 중 소프트웨어</t>
        </is>
      </c>
      <c r="F94" s="20" t="n">
        <v>2104</v>
      </c>
      <c r="G94" s="20" t="n">
        <v>419</v>
      </c>
      <c r="K94" s="20" t="n">
        <v>522</v>
      </c>
      <c r="L94" s="20" t="n">
        <v>2104</v>
      </c>
    </row>
    <row r="95">
      <c r="A95" s="18" t="inlineStr">
        <is>
          <t>기타</t>
        </is>
      </c>
      <c r="C95" s="20" t="n">
        <v>821</v>
      </c>
      <c r="D95" s="20" t="n">
        <v>1191</v>
      </c>
      <c r="E95" s="20" t="n">
        <v>1444</v>
      </c>
      <c r="F95" s="20" t="n">
        <v>13</v>
      </c>
      <c r="G95" s="20" t="n">
        <v>11</v>
      </c>
      <c r="H95" s="20" t="n">
        <v>79</v>
      </c>
      <c r="I95" s="20" t="n">
        <v>77</v>
      </c>
      <c r="J95" s="20" t="n">
        <v>63</v>
      </c>
      <c r="K95" s="20" t="n">
        <v>23</v>
      </c>
      <c r="L95" s="20" t="n">
        <v>13</v>
      </c>
    </row>
    <row r="96">
      <c r="A96" s="18" t="inlineStr">
        <is>
          <t>무형자산 합계</t>
        </is>
      </c>
      <c r="C96" s="20" t="n">
        <v>972</v>
      </c>
      <c r="D96" s="20" t="n">
        <v>1487</v>
      </c>
      <c r="E96" s="20" t="n">
        <v>1720</v>
      </c>
      <c r="F96" s="20" t="n">
        <v>2394</v>
      </c>
      <c r="G96" s="20" t="n">
        <v>2700</v>
      </c>
      <c r="H96" s="20" t="n">
        <v>287</v>
      </c>
      <c r="I96" s="20" t="n">
        <v>220</v>
      </c>
      <c r="J96" s="20" t="n">
        <v>214</v>
      </c>
      <c r="K96" s="20" t="n">
        <v>698</v>
      </c>
      <c r="L96" s="20" t="n">
        <v>2394</v>
      </c>
    </row>
    <row r="97">
      <c r="A97" s="18" t="inlineStr">
        <is>
          <t>투자유가증권</t>
        </is>
      </c>
      <c r="F97" s="20" t="n">
        <v>1092</v>
      </c>
      <c r="H97" s="20" t="n">
        <v>2000</v>
      </c>
      <c r="I97" s="20" t="n">
        <v>433</v>
      </c>
      <c r="J97" s="20" t="n">
        <v>555</v>
      </c>
      <c r="K97" s="20" t="n">
        <v>746</v>
      </c>
      <c r="L97" s="20" t="n">
        <v>1092</v>
      </c>
    </row>
    <row r="98">
      <c r="A98" s="18" t="inlineStr">
        <is>
          <t>퇴직급여자산</t>
        </is>
      </c>
      <c r="F98" s="20" t="n">
        <v>478</v>
      </c>
      <c r="H98" s="20" t="n">
        <v>465</v>
      </c>
      <c r="I98" s="20" t="n">
        <v>468</v>
      </c>
      <c r="J98" s="20" t="n">
        <v>471</v>
      </c>
      <c r="K98" s="20" t="n">
        <v>474</v>
      </c>
      <c r="L98" s="20" t="n">
        <v>478</v>
      </c>
    </row>
    <row r="99">
      <c r="A99" s="18" t="inlineStr">
        <is>
          <t>이연법인세자산</t>
        </is>
      </c>
      <c r="F99" s="20" t="n">
        <v>985</v>
      </c>
      <c r="H99" s="20" t="n">
        <v>208</v>
      </c>
      <c r="I99" s="20" t="n">
        <v>284</v>
      </c>
      <c r="J99" s="20" t="n">
        <v>277</v>
      </c>
      <c r="K99" s="20" t="n">
        <v>193</v>
      </c>
      <c r="L99" s="20" t="n">
        <v>985</v>
      </c>
    </row>
    <row r="100">
      <c r="A100" s="18" t="inlineStr">
        <is>
          <t>기타</t>
        </is>
      </c>
      <c r="F100" s="20" t="n">
        <v>521</v>
      </c>
      <c r="H100" s="20" t="n">
        <v>363</v>
      </c>
      <c r="I100" s="20" t="n">
        <v>505</v>
      </c>
      <c r="J100" s="20" t="n">
        <v>528</v>
      </c>
      <c r="K100" s="20" t="n">
        <v>514</v>
      </c>
      <c r="L100" s="20" t="n">
        <v>521</v>
      </c>
    </row>
    <row r="101">
      <c r="A101" s="18" t="inlineStr">
        <is>
          <t>대손충당금</t>
        </is>
      </c>
      <c r="F101" s="20" t="n">
        <v>-85</v>
      </c>
      <c r="H101" s="20" t="n">
        <v>-21</v>
      </c>
      <c r="I101" s="20" t="n">
        <v>-21</v>
      </c>
      <c r="J101" s="20" t="n">
        <v>-21</v>
      </c>
      <c r="K101" s="20" t="n">
        <v>-0</v>
      </c>
      <c r="L101" s="20" t="n">
        <v>-85</v>
      </c>
    </row>
    <row r="102">
      <c r="A102" s="18" t="inlineStr">
        <is>
          <t>투자 및 기타자산 합계</t>
        </is>
      </c>
      <c r="D102" s="20" t="n">
        <v>2036</v>
      </c>
      <c r="E102" s="20" t="n">
        <v>2106</v>
      </c>
      <c r="F102" s="20" t="n">
        <v>2990</v>
      </c>
      <c r="H102" s="20" t="n">
        <v>3017</v>
      </c>
      <c r="I102" s="20" t="n">
        <v>1671</v>
      </c>
      <c r="J102" s="20" t="n">
        <v>1812</v>
      </c>
      <c r="K102" s="20" t="n">
        <v>1927</v>
      </c>
      <c r="L102" s="20" t="n">
        <v>2990</v>
      </c>
    </row>
    <row r="103">
      <c r="A103" s="18" t="inlineStr">
        <is>
          <t>투자 및 기타자산</t>
        </is>
      </c>
      <c r="C103" s="20" t="n">
        <v>1934</v>
      </c>
      <c r="F103" s="20" t="n">
        <v>2990</v>
      </c>
      <c r="G103" s="20" t="n">
        <v>3301</v>
      </c>
      <c r="I103" s="20" t="n">
        <v>1671</v>
      </c>
      <c r="J103" s="20" t="n">
        <v>1812</v>
      </c>
      <c r="K103" s="20" t="n">
        <v>1927</v>
      </c>
      <c r="L103" s="20" t="n">
        <v>2990</v>
      </c>
    </row>
    <row r="104">
      <c r="A104" s="9" t="inlineStr">
        <is>
          <t>비유동자산 합계</t>
        </is>
      </c>
      <c r="C104" s="12" t="n">
        <v>24215</v>
      </c>
      <c r="D104" s="12" t="n">
        <v>28784</v>
      </c>
      <c r="E104" s="12" t="n">
        <v>29042</v>
      </c>
      <c r="F104" s="12" t="n">
        <v>30469</v>
      </c>
      <c r="G104" s="12" t="n">
        <v>35718</v>
      </c>
      <c r="H104" s="12" t="n">
        <v>17503</v>
      </c>
      <c r="I104" s="12" t="n">
        <v>17161</v>
      </c>
      <c r="J104" s="12" t="n">
        <v>19601</v>
      </c>
      <c r="K104" s="12" t="n">
        <v>24079</v>
      </c>
      <c r="L104" s="12" t="n">
        <v>30469</v>
      </c>
    </row>
    <row r="105">
      <c r="A105" s="9" t="inlineStr">
        <is>
          <t>자산 합계</t>
        </is>
      </c>
      <c r="C105" s="12" t="n">
        <v>61923</v>
      </c>
      <c r="D105" s="12" t="n">
        <v>68926</v>
      </c>
      <c r="E105" s="12" t="n">
        <v>67460</v>
      </c>
      <c r="F105" s="12" t="n">
        <v>71047</v>
      </c>
      <c r="G105" s="12" t="n">
        <v>73966</v>
      </c>
      <c r="H105" s="12" t="n">
        <v>47061</v>
      </c>
      <c r="I105" s="12" t="n">
        <v>54599</v>
      </c>
      <c r="J105" s="12" t="n">
        <v>60028</v>
      </c>
      <c r="K105" s="12" t="n">
        <v>62775</v>
      </c>
      <c r="L105" s="12" t="n">
        <v>71047</v>
      </c>
    </row>
    <row r="106">
      <c r="A106" s="18" t="inlineStr">
        <is>
          <t>매입채무</t>
        </is>
      </c>
      <c r="C106" s="20" t="n">
        <v>1588</v>
      </c>
      <c r="D106" s="20" t="n">
        <v>1556</v>
      </c>
      <c r="E106" s="20" t="n">
        <v>1676</v>
      </c>
      <c r="F106" s="20" t="n">
        <v>1988</v>
      </c>
      <c r="G106" s="20" t="n">
        <v>2844</v>
      </c>
      <c r="H106" s="20" t="n">
        <v>1532</v>
      </c>
      <c r="I106" s="20" t="n">
        <v>1162</v>
      </c>
      <c r="J106" s="20" t="n">
        <v>1311</v>
      </c>
      <c r="K106" s="20" t="n">
        <v>1344</v>
      </c>
      <c r="L106" s="20" t="n">
        <v>1988</v>
      </c>
    </row>
    <row r="107">
      <c r="A107" s="18" t="inlineStr">
        <is>
          <t>단기차입금</t>
        </is>
      </c>
      <c r="H107" s="20" t="n">
        <v>0</v>
      </c>
    </row>
    <row r="108">
      <c r="A108" s="18" t="inlineStr">
        <is>
          <t>리스부채</t>
        </is>
      </c>
      <c r="C108" s="20" t="n">
        <v>330</v>
      </c>
      <c r="D108" s="20" t="n">
        <v>304</v>
      </c>
      <c r="E108" s="20" t="n">
        <v>308</v>
      </c>
      <c r="F108" s="20" t="n">
        <v>238</v>
      </c>
      <c r="G108" s="20" t="n">
        <v>235</v>
      </c>
      <c r="H108" s="20" t="n">
        <v>187</v>
      </c>
      <c r="I108" s="20" t="n">
        <v>290</v>
      </c>
      <c r="J108" s="20" t="n">
        <v>352</v>
      </c>
      <c r="K108" s="20" t="n">
        <v>354</v>
      </c>
      <c r="L108" s="20" t="n">
        <v>238</v>
      </c>
    </row>
    <row r="109">
      <c r="A109" s="18" t="inlineStr">
        <is>
          <t>미지급금</t>
        </is>
      </c>
      <c r="C109" s="20" t="n">
        <v>991</v>
      </c>
      <c r="D109" s="20" t="n">
        <v>5165</v>
      </c>
      <c r="E109" s="20" t="n">
        <v>806</v>
      </c>
      <c r="F109" s="20" t="n">
        <v>1246</v>
      </c>
      <c r="G109" s="20" t="n">
        <v>1207</v>
      </c>
      <c r="H109" s="20" t="n">
        <v>566</v>
      </c>
      <c r="I109" s="20" t="n">
        <v>1268</v>
      </c>
      <c r="J109" s="20" t="n">
        <v>1165</v>
      </c>
      <c r="K109" s="20" t="n">
        <v>1039</v>
      </c>
      <c r="L109" s="20" t="n">
        <v>1246</v>
      </c>
    </row>
    <row r="110">
      <c r="A110" s="18" t="inlineStr">
        <is>
          <t>미지급비용</t>
        </is>
      </c>
      <c r="C110" s="20" t="n">
        <v>801</v>
      </c>
      <c r="D110" s="20" t="n">
        <v>837</v>
      </c>
      <c r="E110" s="20" t="n">
        <v>599</v>
      </c>
      <c r="F110" s="20" t="n">
        <v>687</v>
      </c>
      <c r="G110" s="20" t="n">
        <v>619</v>
      </c>
      <c r="H110" s="20" t="n">
        <v>590</v>
      </c>
      <c r="I110" s="20" t="n">
        <v>635</v>
      </c>
      <c r="J110" s="20" t="n">
        <v>622</v>
      </c>
      <c r="K110" s="20" t="n">
        <v>619</v>
      </c>
      <c r="L110" s="20" t="n">
        <v>687</v>
      </c>
    </row>
    <row r="111">
      <c r="A111" s="18" t="inlineStr">
        <is>
          <t>미지급법인세</t>
        </is>
      </c>
      <c r="C111" s="20" t="n">
        <v>448</v>
      </c>
      <c r="D111" s="20" t="n">
        <v>647</v>
      </c>
      <c r="E111" s="20" t="n">
        <v>806</v>
      </c>
      <c r="F111" s="20" t="n">
        <v>1017</v>
      </c>
      <c r="G111" s="20" t="n">
        <v>1237</v>
      </c>
      <c r="H111" s="20" t="n">
        <v>560</v>
      </c>
      <c r="I111" s="20" t="n">
        <v>1166</v>
      </c>
      <c r="J111" s="20" t="n">
        <v>844</v>
      </c>
      <c r="K111" s="20" t="n">
        <v>458</v>
      </c>
      <c r="L111" s="20" t="n">
        <v>1017</v>
      </c>
    </row>
    <row r="112">
      <c r="A112" s="18" t="inlineStr">
        <is>
          <t>계약부채</t>
        </is>
      </c>
      <c r="C112" s="20" t="n">
        <v>187</v>
      </c>
      <c r="D112" s="20" t="n">
        <v>165</v>
      </c>
      <c r="E112" s="20" t="n">
        <v>170</v>
      </c>
      <c r="F112" s="20" t="n">
        <v>152</v>
      </c>
      <c r="G112" s="20" t="n">
        <v>179</v>
      </c>
      <c r="H112" s="20" t="n">
        <v>169</v>
      </c>
      <c r="I112" s="20" t="n">
        <v>151</v>
      </c>
      <c r="J112" s="20" t="n">
        <v>156</v>
      </c>
      <c r="K112" s="20" t="n">
        <v>152</v>
      </c>
      <c r="L112" s="20" t="n">
        <v>152</v>
      </c>
    </row>
    <row r="113">
      <c r="A113" s="18" t="inlineStr">
        <is>
          <t>상여충당금</t>
        </is>
      </c>
      <c r="C113" s="20" t="n">
        <v>423</v>
      </c>
      <c r="D113" s="20" t="n">
        <v>759</v>
      </c>
      <c r="E113" s="20" t="n">
        <v>560</v>
      </c>
      <c r="F113" s="20" t="n">
        <v>932</v>
      </c>
      <c r="G113" s="20" t="n">
        <v>504</v>
      </c>
      <c r="H113" s="20" t="n">
        <v>580</v>
      </c>
      <c r="I113" s="20" t="n">
        <v>828</v>
      </c>
      <c r="J113" s="20" t="n">
        <v>740</v>
      </c>
      <c r="K113" s="20" t="n">
        <v>744</v>
      </c>
      <c r="L113" s="20" t="n">
        <v>932</v>
      </c>
    </row>
    <row r="114">
      <c r="A114" s="18" t="inlineStr">
        <is>
          <t>Provision For Loss On Sublease CL</t>
        </is>
      </c>
      <c r="C114" s="20" t="n">
        <v>27</v>
      </c>
      <c r="D114" s="20" t="n">
        <v>21</v>
      </c>
      <c r="E114" s="20" t="n">
        <v>15</v>
      </c>
      <c r="F114" s="20" t="n">
        <v>7</v>
      </c>
      <c r="G114" s="20" t="n">
        <v>0</v>
      </c>
      <c r="H114" s="20" t="n">
        <v>20</v>
      </c>
      <c r="I114" s="20" t="n">
        <v>25</v>
      </c>
      <c r="J114" s="20" t="n">
        <v>29</v>
      </c>
      <c r="K114" s="20" t="n">
        <v>28</v>
      </c>
      <c r="L114" s="20" t="n">
        <v>7</v>
      </c>
    </row>
    <row r="115">
      <c r="A115" s="18" t="inlineStr">
        <is>
          <t>임원 상여충당금</t>
        </is>
      </c>
      <c r="C115" s="20" t="n">
        <v>17</v>
      </c>
      <c r="D115" s="20" t="n">
        <v>43</v>
      </c>
      <c r="E115" s="20" t="n">
        <v>65</v>
      </c>
      <c r="F115" s="20" t="n">
        <v>95</v>
      </c>
      <c r="G115" s="20" t="n">
        <v>17</v>
      </c>
      <c r="H115" s="20" t="n">
        <v>54</v>
      </c>
      <c r="I115" s="20" t="n">
        <v>68</v>
      </c>
      <c r="J115" s="20" t="n">
        <v>88</v>
      </c>
      <c r="K115" s="20" t="n">
        <v>118</v>
      </c>
      <c r="L115" s="20" t="n">
        <v>95</v>
      </c>
    </row>
    <row r="116">
      <c r="A116" s="18" t="inlineStr">
        <is>
          <t>재해손실 충당금</t>
        </is>
      </c>
      <c r="I116" s="20" t="n">
        <v>0</v>
      </c>
    </row>
    <row r="117">
      <c r="A117" s="18" t="inlineStr">
        <is>
          <t>기타</t>
        </is>
      </c>
      <c r="C117" s="20" t="n">
        <v>675</v>
      </c>
      <c r="D117" s="20" t="n">
        <v>377</v>
      </c>
      <c r="E117" s="20" t="n">
        <v>555</v>
      </c>
      <c r="F117" s="20" t="n">
        <v>322</v>
      </c>
      <c r="G117" s="20" t="n">
        <v>664</v>
      </c>
      <c r="H117" s="20" t="n">
        <v>393</v>
      </c>
      <c r="I117" s="20" t="n">
        <v>319</v>
      </c>
      <c r="J117" s="20" t="n">
        <v>367</v>
      </c>
      <c r="K117" s="20" t="n">
        <v>306</v>
      </c>
      <c r="L117" s="20" t="n">
        <v>322</v>
      </c>
    </row>
    <row r="118">
      <c r="A118" s="9" t="inlineStr">
        <is>
          <t>유동부채 합계</t>
        </is>
      </c>
      <c r="C118" s="12" t="n">
        <v>5492</v>
      </c>
      <c r="D118" s="12" t="n">
        <v>9878</v>
      </c>
      <c r="E118" s="12" t="n">
        <v>5564</v>
      </c>
      <c r="F118" s="12" t="n">
        <v>6689</v>
      </c>
      <c r="G118" s="12" t="n">
        <v>7510</v>
      </c>
      <c r="H118" s="12" t="n">
        <v>4653</v>
      </c>
      <c r="I118" s="12" t="n">
        <v>5918</v>
      </c>
      <c r="J118" s="12" t="n">
        <v>5679</v>
      </c>
      <c r="K118" s="12" t="n">
        <v>5168</v>
      </c>
      <c r="L118" s="12" t="n">
        <v>6689</v>
      </c>
    </row>
    <row r="119">
      <c r="A119" s="18" t="inlineStr">
        <is>
          <t>리스부채</t>
        </is>
      </c>
      <c r="C119" s="20" t="n">
        <v>1006</v>
      </c>
      <c r="D119" s="20" t="n">
        <v>1028</v>
      </c>
      <c r="E119" s="20" t="n">
        <v>954</v>
      </c>
      <c r="F119" s="20" t="n">
        <v>1023</v>
      </c>
      <c r="G119" s="20" t="n">
        <v>1194</v>
      </c>
      <c r="H119" s="20" t="n">
        <v>642</v>
      </c>
      <c r="I119" s="20" t="n">
        <v>1054</v>
      </c>
      <c r="J119" s="20" t="n">
        <v>1373</v>
      </c>
      <c r="K119" s="20" t="n">
        <v>1084</v>
      </c>
      <c r="L119" s="20" t="n">
        <v>1023</v>
      </c>
    </row>
    <row r="120">
      <c r="A120" s="18" t="inlineStr">
        <is>
          <t>퇴직급여부채</t>
        </is>
      </c>
      <c r="C120" s="20" t="n">
        <v>105</v>
      </c>
      <c r="D120" s="20" t="n">
        <v>110</v>
      </c>
      <c r="E120" s="20" t="n">
        <v>121</v>
      </c>
      <c r="F120" s="20" t="n">
        <v>137</v>
      </c>
      <c r="G120" s="20" t="n">
        <v>142</v>
      </c>
      <c r="H120" s="20" t="n">
        <v>80</v>
      </c>
      <c r="I120" s="20" t="n">
        <v>83</v>
      </c>
      <c r="J120" s="20" t="n">
        <v>90</v>
      </c>
      <c r="K120" s="20" t="n">
        <v>112</v>
      </c>
      <c r="L120" s="20" t="n">
        <v>137</v>
      </c>
    </row>
    <row r="121">
      <c r="A121" s="18" t="inlineStr">
        <is>
          <t>이연법인세부채</t>
        </is>
      </c>
      <c r="C121" s="20" t="n">
        <v>24</v>
      </c>
      <c r="D121" s="20" t="n">
        <v>28</v>
      </c>
      <c r="E121" s="20" t="n">
        <v>106</v>
      </c>
      <c r="F121" s="20" t="n">
        <v>448</v>
      </c>
      <c r="G121" s="20" t="n">
        <v>464</v>
      </c>
      <c r="H121" s="20" t="n">
        <v>34</v>
      </c>
      <c r="I121" s="20" t="n">
        <v>27</v>
      </c>
      <c r="J121" s="20" t="n">
        <v>35</v>
      </c>
      <c r="K121" s="20" t="n">
        <v>35</v>
      </c>
      <c r="L121" s="20" t="n">
        <v>448</v>
      </c>
    </row>
    <row r="122">
      <c r="A122" s="18" t="inlineStr">
        <is>
          <t>Provision For Loss On Sublease NCL</t>
        </is>
      </c>
      <c r="C122" s="20" t="n">
        <v>0</v>
      </c>
      <c r="D122" s="20" t="n">
        <v>0</v>
      </c>
      <c r="E122" s="20" t="n">
        <v>0</v>
      </c>
      <c r="F122" s="20" t="n">
        <v>0</v>
      </c>
      <c r="H122" s="20" t="n">
        <v>76</v>
      </c>
      <c r="I122" s="20" t="n">
        <v>57</v>
      </c>
      <c r="J122" s="20" t="n">
        <v>36</v>
      </c>
      <c r="K122" s="20" t="n">
        <v>7</v>
      </c>
      <c r="L122" s="20" t="n">
        <v>0</v>
      </c>
    </row>
    <row r="123">
      <c r="A123" s="18" t="inlineStr">
        <is>
          <t>기타</t>
        </is>
      </c>
      <c r="C123" s="20" t="n">
        <v>130</v>
      </c>
      <c r="D123" s="20" t="n">
        <v>132</v>
      </c>
      <c r="E123" s="20" t="n">
        <v>137</v>
      </c>
      <c r="F123" s="20" t="n">
        <v>175</v>
      </c>
      <c r="G123" s="20" t="n">
        <v>188</v>
      </c>
      <c r="H123" s="20" t="n">
        <v>80</v>
      </c>
      <c r="I123" s="20" t="n">
        <v>150</v>
      </c>
      <c r="J123" s="20" t="n">
        <v>146</v>
      </c>
      <c r="K123" s="20" t="n">
        <v>151</v>
      </c>
      <c r="L123" s="20" t="n">
        <v>175</v>
      </c>
    </row>
    <row r="124">
      <c r="A124" s="9" t="inlineStr">
        <is>
          <t>비유동부채 합계</t>
        </is>
      </c>
      <c r="C124" s="12" t="n">
        <v>1266</v>
      </c>
      <c r="D124" s="12" t="n">
        <v>1299</v>
      </c>
      <c r="E124" s="12" t="n">
        <v>1320</v>
      </c>
      <c r="F124" s="12" t="n">
        <v>1785</v>
      </c>
      <c r="G124" s="12" t="n">
        <v>1990</v>
      </c>
      <c r="H124" s="12" t="n">
        <v>914</v>
      </c>
      <c r="I124" s="12" t="n">
        <v>1373</v>
      </c>
      <c r="J124" s="12" t="n">
        <v>1681</v>
      </c>
      <c r="K124" s="12" t="n">
        <v>1390</v>
      </c>
      <c r="L124" s="12" t="n">
        <v>1785</v>
      </c>
    </row>
    <row r="125">
      <c r="A125" s="9" t="inlineStr">
        <is>
          <t>부채 합계</t>
        </is>
      </c>
      <c r="C125" s="12" t="n">
        <v>6759</v>
      </c>
      <c r="D125" s="12" t="n">
        <v>11178</v>
      </c>
      <c r="E125" s="12" t="n">
        <v>6885</v>
      </c>
      <c r="F125" s="12" t="n">
        <v>8475</v>
      </c>
      <c r="G125" s="12" t="n">
        <v>9501</v>
      </c>
      <c r="H125" s="12" t="n">
        <v>5568</v>
      </c>
      <c r="I125" s="12" t="n">
        <v>7292</v>
      </c>
      <c r="J125" s="12" t="n">
        <v>7361</v>
      </c>
      <c r="K125" s="12" t="n">
        <v>6559</v>
      </c>
      <c r="L125" s="12" t="n">
        <v>8475</v>
      </c>
    </row>
    <row r="126">
      <c r="A126" s="18" t="inlineStr">
        <is>
          <t>자본금</t>
        </is>
      </c>
      <c r="C126" s="20" t="n">
        <v>8080</v>
      </c>
      <c r="D126" s="20" t="n">
        <v>8080</v>
      </c>
      <c r="E126" s="20" t="n">
        <v>8080</v>
      </c>
      <c r="F126" s="20" t="n">
        <v>8080</v>
      </c>
      <c r="G126" s="20" t="n">
        <v>8080</v>
      </c>
      <c r="H126" s="20" t="n">
        <v>8080</v>
      </c>
      <c r="I126" s="20" t="n">
        <v>8080</v>
      </c>
      <c r="J126" s="20" t="n">
        <v>8080</v>
      </c>
      <c r="K126" s="20" t="n">
        <v>8080</v>
      </c>
      <c r="L126" s="20" t="n">
        <v>8080</v>
      </c>
    </row>
    <row r="127">
      <c r="A127" s="18" t="inlineStr">
        <is>
          <t>자본잉여금</t>
        </is>
      </c>
      <c r="C127" s="20" t="n">
        <v>1924</v>
      </c>
      <c r="D127" s="20" t="n">
        <v>1943</v>
      </c>
      <c r="E127" s="20" t="n">
        <v>1999</v>
      </c>
      <c r="F127" s="20" t="n">
        <v>2022</v>
      </c>
      <c r="G127" s="20" t="n">
        <v>2026</v>
      </c>
      <c r="H127" s="20" t="n">
        <v>2008</v>
      </c>
      <c r="I127" s="20" t="n">
        <v>1998</v>
      </c>
      <c r="J127" s="20" t="n">
        <v>2013</v>
      </c>
      <c r="K127" s="20" t="n">
        <v>2042</v>
      </c>
      <c r="L127" s="20" t="n">
        <v>2022</v>
      </c>
    </row>
    <row r="128">
      <c r="A128" s="18" t="inlineStr">
        <is>
          <t>이익잉여금</t>
        </is>
      </c>
      <c r="C128" s="20" t="n">
        <v>42519</v>
      </c>
      <c r="D128" s="20" t="n">
        <v>44404</v>
      </c>
      <c r="E128" s="20" t="n">
        <v>45634</v>
      </c>
      <c r="F128" s="20" t="n">
        <v>46991</v>
      </c>
      <c r="G128" s="20" t="n">
        <v>48367</v>
      </c>
      <c r="H128" s="20" t="n">
        <v>44636</v>
      </c>
      <c r="I128" s="20" t="n">
        <v>36182</v>
      </c>
      <c r="J128" s="20" t="n">
        <v>39096</v>
      </c>
      <c r="K128" s="20" t="n">
        <v>42510</v>
      </c>
      <c r="L128" s="20" t="n">
        <v>46991</v>
      </c>
    </row>
    <row r="129">
      <c r="A129" s="18" t="inlineStr">
        <is>
          <t>자기주식</t>
        </is>
      </c>
      <c r="C129" s="20" t="n">
        <v>-3234</v>
      </c>
      <c r="D129" s="20" t="n">
        <v>-3106</v>
      </c>
      <c r="E129" s="20" t="n">
        <v>-2696</v>
      </c>
      <c r="F129" s="20" t="n">
        <v>-2526</v>
      </c>
      <c r="G129" s="20" t="n">
        <v>-2496</v>
      </c>
      <c r="H129" s="20" t="n">
        <v>-15897</v>
      </c>
      <c r="I129" s="20" t="n">
        <v>-3276</v>
      </c>
      <c r="J129" s="20" t="n">
        <v>-3257</v>
      </c>
      <c r="K129" s="20" t="n">
        <v>-3233</v>
      </c>
      <c r="L129" s="20" t="n">
        <v>-2526</v>
      </c>
    </row>
    <row r="130">
      <c r="A130" s="9" t="inlineStr">
        <is>
          <t>주주자본 합계</t>
        </is>
      </c>
      <c r="C130" s="12" t="n">
        <v>49290</v>
      </c>
      <c r="D130" s="12" t="n">
        <v>51321</v>
      </c>
      <c r="E130" s="12" t="n">
        <v>53017</v>
      </c>
      <c r="F130" s="12" t="n">
        <v>54568</v>
      </c>
      <c r="G130" s="12" t="n">
        <v>55978</v>
      </c>
      <c r="H130" s="12" t="n">
        <v>38828</v>
      </c>
      <c r="I130" s="12" t="n">
        <v>42984</v>
      </c>
      <c r="J130" s="12" t="n">
        <v>45933</v>
      </c>
      <c r="K130" s="12" t="n">
        <v>49399</v>
      </c>
      <c r="L130" s="12" t="n">
        <v>54568</v>
      </c>
    </row>
    <row r="131">
      <c r="A131" s="18" t="inlineStr">
        <is>
          <t>기타유가증권 평가차액</t>
        </is>
      </c>
      <c r="C131" s="20" t="n">
        <v>407</v>
      </c>
      <c r="D131" s="20" t="n">
        <v>521</v>
      </c>
      <c r="E131" s="20" t="n">
        <v>593</v>
      </c>
      <c r="F131" s="20" t="n">
        <v>647</v>
      </c>
      <c r="G131" s="20" t="n">
        <v>843</v>
      </c>
      <c r="H131" s="20" t="n">
        <v>-24</v>
      </c>
      <c r="I131" s="20" t="n">
        <v>103</v>
      </c>
      <c r="J131" s="20" t="n">
        <v>286</v>
      </c>
      <c r="K131" s="20" t="n">
        <v>410</v>
      </c>
      <c r="L131" s="20" t="n">
        <v>647</v>
      </c>
    </row>
    <row r="132">
      <c r="A132" s="18" t="inlineStr">
        <is>
          <t>해외사업환산조정</t>
        </is>
      </c>
      <c r="C132" s="20" t="n">
        <v>5170</v>
      </c>
      <c r="D132" s="20" t="n">
        <v>5616</v>
      </c>
      <c r="E132" s="20" t="n">
        <v>6733</v>
      </c>
      <c r="F132" s="20" t="n">
        <v>7152</v>
      </c>
      <c r="G132" s="20" t="n">
        <v>7490</v>
      </c>
      <c r="H132" s="20" t="n">
        <v>2164</v>
      </c>
      <c r="I132" s="20" t="n">
        <v>3460</v>
      </c>
      <c r="J132" s="20" t="n">
        <v>5599</v>
      </c>
      <c r="K132" s="20" t="n">
        <v>5460</v>
      </c>
      <c r="L132" s="20" t="n">
        <v>7152</v>
      </c>
    </row>
    <row r="133">
      <c r="A133" s="18" t="inlineStr">
        <is>
          <t>퇴직급여 조정누계액</t>
        </is>
      </c>
      <c r="H133" s="20" t="n">
        <v>0</v>
      </c>
    </row>
    <row r="134">
      <c r="A134" s="18" t="inlineStr">
        <is>
          <t>기타포괄손익누계액 합계</t>
        </is>
      </c>
      <c r="C134" s="20" t="n">
        <v>5578</v>
      </c>
      <c r="D134" s="20" t="n">
        <v>6138</v>
      </c>
      <c r="E134" s="20" t="n">
        <v>7326</v>
      </c>
      <c r="F134" s="20" t="n">
        <v>7799</v>
      </c>
      <c r="G134" s="20" t="n">
        <v>8333</v>
      </c>
      <c r="H134" s="20" t="n">
        <v>2139</v>
      </c>
      <c r="I134" s="20" t="n">
        <v>3563</v>
      </c>
      <c r="J134" s="20" t="n">
        <v>5886</v>
      </c>
      <c r="K134" s="20" t="n">
        <v>5870</v>
      </c>
      <c r="L134" s="20" t="n">
        <v>7799</v>
      </c>
    </row>
    <row r="135">
      <c r="A135" s="18" t="inlineStr">
        <is>
          <t>신주예약권</t>
        </is>
      </c>
      <c r="C135" s="20" t="n">
        <v>195</v>
      </c>
      <c r="D135" s="20" t="n">
        <v>173</v>
      </c>
      <c r="E135" s="20" t="n">
        <v>88</v>
      </c>
      <c r="F135" s="20" t="n">
        <v>53</v>
      </c>
      <c r="G135" s="20" t="n">
        <v>47</v>
      </c>
      <c r="H135" s="20" t="n">
        <v>0</v>
      </c>
      <c r="I135" s="20" t="n">
        <v>53</v>
      </c>
      <c r="J135" s="20" t="n">
        <v>120</v>
      </c>
      <c r="K135" s="20" t="n">
        <v>179</v>
      </c>
      <c r="L135" s="20" t="n">
        <v>53</v>
      </c>
    </row>
    <row r="136">
      <c r="A136" s="18" t="inlineStr">
        <is>
          <t>비지배지분</t>
        </is>
      </c>
      <c r="C136" s="20" t="n">
        <v>99</v>
      </c>
      <c r="D136" s="20" t="n">
        <v>115</v>
      </c>
      <c r="E136" s="20" t="n">
        <v>142</v>
      </c>
      <c r="F136" s="20" t="n">
        <v>150</v>
      </c>
      <c r="G136" s="20" t="n">
        <v>105</v>
      </c>
      <c r="H136" s="20" t="n">
        <v>525</v>
      </c>
      <c r="I136" s="20" t="n">
        <v>705</v>
      </c>
      <c r="J136" s="20" t="n">
        <v>727</v>
      </c>
      <c r="K136" s="20" t="n">
        <v>766</v>
      </c>
      <c r="L136" s="20" t="n">
        <v>150</v>
      </c>
    </row>
    <row r="137">
      <c r="A137" s="9" t="inlineStr">
        <is>
          <t>순자산 합계</t>
        </is>
      </c>
      <c r="C137" s="12" t="n">
        <v>55164</v>
      </c>
      <c r="D137" s="12" t="n">
        <v>57748</v>
      </c>
      <c r="E137" s="12" t="n">
        <v>60575</v>
      </c>
      <c r="F137" s="12" t="n">
        <v>62571</v>
      </c>
      <c r="G137" s="12" t="n">
        <v>64465</v>
      </c>
      <c r="H137" s="12" t="n">
        <v>41493</v>
      </c>
      <c r="I137" s="12" t="n">
        <v>47307</v>
      </c>
      <c r="J137" s="12" t="n">
        <v>52667</v>
      </c>
      <c r="K137" s="12" t="n">
        <v>56216</v>
      </c>
      <c r="L137" s="12" t="n">
        <v>62571</v>
      </c>
    </row>
    <row r="138">
      <c r="A138" s="9" t="inlineStr">
        <is>
          <t>부채·순자산 합계</t>
        </is>
      </c>
      <c r="C138" s="12" t="n">
        <v>61923</v>
      </c>
      <c r="D138" s="12" t="n">
        <v>68926</v>
      </c>
      <c r="E138" s="12" t="n">
        <v>67460</v>
      </c>
      <c r="F138" s="12" t="n">
        <v>71047</v>
      </c>
      <c r="G138" s="12" t="n">
        <v>73966</v>
      </c>
      <c r="H138" s="12" t="n">
        <v>47061</v>
      </c>
      <c r="I138" s="12" t="n">
        <v>54599</v>
      </c>
      <c r="J138" s="12" t="n">
        <v>60028</v>
      </c>
      <c r="K138" s="12" t="n">
        <v>62775</v>
      </c>
      <c r="L138" s="12" t="n">
        <v>71047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１분기 결산단신</t>
        </is>
      </c>
      <c r="C4" t="inlineStr">
        <is>
          <t>https://www2.jpx.co.jp/disc/69610/140120260729501621.pdf</t>
        </is>
      </c>
    </row>
    <row r="5">
      <c r="A5" t="inlineStr">
        <is>
          <t>2026-04-30</t>
        </is>
      </c>
      <c r="B5" t="inlineStr">
        <is>
          <t>2026년 3월 결산기 연간 결산단신</t>
        </is>
      </c>
      <c r="C5" t="inlineStr">
        <is>
          <t>https://www2.jpx.co.jp/disc/69610/140120260430514859.pdf</t>
        </is>
      </c>
    </row>
    <row r="6">
      <c r="A6" t="inlineStr">
        <is>
          <t>2026-01-30</t>
        </is>
      </c>
      <c r="B6" t="inlineStr">
        <is>
          <t>2026년 3월 결산기 3분기 결산단신</t>
        </is>
      </c>
      <c r="C6" t="inlineStr">
        <is>
          <t>https://www2.jpx.co.jp/disc/69610/140120260130543309.pdf</t>
        </is>
      </c>
    </row>
    <row r="7">
      <c r="A7" t="inlineStr">
        <is>
          <t>2025-10-31</t>
        </is>
      </c>
      <c r="B7" t="inlineStr">
        <is>
          <t>2026년 3월 결산기 ２분기 결산단신</t>
        </is>
      </c>
      <c r="C7" t="inlineStr">
        <is>
          <t>https://www2.jpx.co.jp/disc/69610/140120251031583940.pdf</t>
        </is>
      </c>
    </row>
    <row r="8">
      <c r="A8" t="inlineStr">
        <is>
          <t>2025-07-28</t>
        </is>
      </c>
      <c r="B8" t="inlineStr">
        <is>
          <t>2026년 3월 결산기 １분기 결산단신</t>
        </is>
      </c>
      <c r="C8" t="inlineStr">
        <is>
          <t>https://www2.jpx.co.jp/disc/69610/140120250728521268.pdf</t>
        </is>
      </c>
    </row>
    <row r="9">
      <c r="A9" t="inlineStr">
        <is>
          <t>2025-04-30</t>
        </is>
      </c>
      <c r="B9" t="inlineStr">
        <is>
          <t>2025년 3월 결산기 연간 결산단신</t>
        </is>
      </c>
      <c r="C9" t="inlineStr">
        <is>
          <t>https://www2.jpx.co.jp/disc/69610/140120250430527201.pdf</t>
        </is>
      </c>
    </row>
    <row r="10">
      <c r="A10" t="inlineStr">
        <is>
          <t>2025-01-31</t>
        </is>
      </c>
      <c r="B10" t="inlineStr">
        <is>
          <t>2025년 3월 결산기 ３분기 결산단신</t>
        </is>
      </c>
      <c r="C10" t="inlineStr">
        <is>
          <t>https://www2.jpx.co.jp/disc/69610/140120250131559199.pdf</t>
        </is>
      </c>
    </row>
    <row r="11">
      <c r="A11" t="inlineStr">
        <is>
          <t>2024-10-31</t>
        </is>
      </c>
      <c r="B11" t="inlineStr">
        <is>
          <t>2025년 3월 결산기 ２분기 결산단신</t>
        </is>
      </c>
      <c r="C11" t="inlineStr">
        <is>
          <t>https://www2.jpx.co.jp/disc/69610/140120241030505950.pdf</t>
        </is>
      </c>
    </row>
    <row r="12">
      <c r="A12" t="inlineStr">
        <is>
          <t>2024-07-31</t>
        </is>
      </c>
      <c r="B12" t="inlineStr">
        <is>
          <t>2025년 3월 결산기 1분기 결산단신</t>
        </is>
      </c>
      <c r="C12" t="inlineStr">
        <is>
          <t>https://www2.jpx.co.jp/disc/69610/140120240730557345.pdf</t>
        </is>
      </c>
    </row>
    <row r="13">
      <c r="A13" t="inlineStr">
        <is>
          <t>2024-04-30</t>
        </is>
      </c>
      <c r="B13" t="inlineStr">
        <is>
          <t>2024년 3월 결산기 연간 결산단신</t>
        </is>
      </c>
      <c r="C13" t="inlineStr">
        <is>
          <t>https://www2.jpx.co.jp/disc/69610/140120240430579325.pdf</t>
        </is>
      </c>
    </row>
    <row r="14">
      <c r="A14" t="inlineStr">
        <is>
          <t>2024-01-31</t>
        </is>
      </c>
      <c r="B14" t="inlineStr">
        <is>
          <t>2024년 3월 결산기 ３분기 결산단신</t>
        </is>
      </c>
      <c r="C14" t="inlineStr">
        <is>
          <t>https://www2.jpx.co.jp/disc/69610/140120240130522334.pdf</t>
        </is>
      </c>
    </row>
    <row r="15">
      <c r="A15" t="inlineStr">
        <is>
          <t>2023-10-27</t>
        </is>
      </c>
      <c r="B15" t="inlineStr">
        <is>
          <t>2024년 3월 결산기 ２분기 결산단신</t>
        </is>
      </c>
      <c r="C15" t="inlineStr">
        <is>
          <t>https://www2.jpx.co.jp/disc/69610/140120231026572404.pdf</t>
        </is>
      </c>
    </row>
    <row r="16">
      <c r="A16" t="inlineStr">
        <is>
          <t>2023-07-28</t>
        </is>
      </c>
      <c r="B16" t="inlineStr">
        <is>
          <t>2024년 3월 결산기 １분기 결산단신</t>
        </is>
      </c>
      <c r="C16" t="inlineStr">
        <is>
          <t>https://www2.jpx.co.jp/disc/69610/140120230727528414.pdf</t>
        </is>
      </c>
    </row>
    <row r="17">
      <c r="A17" t="inlineStr">
        <is>
          <t>2023-04-28</t>
        </is>
      </c>
      <c r="B17" t="inlineStr">
        <is>
          <t>2023년 3월 결산기 연간 결산단신</t>
        </is>
      </c>
      <c r="C17" t="inlineStr">
        <is>
          <t>https://www2.jpx.co.jp/disc/69610/140120230428555846.pdf</t>
        </is>
      </c>
    </row>
    <row r="18">
      <c r="A18" t="inlineStr">
        <is>
          <t>2023-01-31</t>
        </is>
      </c>
      <c r="B18" t="inlineStr">
        <is>
          <t>2023년 3월 결산기 ３분기 결산단신</t>
        </is>
      </c>
      <c r="C18" t="inlineStr">
        <is>
          <t>https://www2.jpx.co.jp/disc/69610/140120230130596131.pdf</t>
        </is>
      </c>
    </row>
    <row r="19">
      <c r="A19" t="inlineStr">
        <is>
          <t>2022-10-28</t>
        </is>
      </c>
      <c r="B19" t="inlineStr">
        <is>
          <t>2023년 3월 결산기 2분기 결산단신</t>
        </is>
      </c>
      <c r="C19" t="inlineStr">
        <is>
          <t>https://www2.jpx.co.jp/disc/69610/140120221027551165.pdf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https://www2.jpx.co.jp/disc/69610/140120220428530805.pdf</t>
        </is>
      </c>
    </row>
    <row r="21">
      <c r="A21" t="inlineStr">
        <is>
          <t>2021-04-30</t>
        </is>
      </c>
      <c r="B21" t="inlineStr">
        <is>
          <t>2021년 3월 결산기 연간 결산단신</t>
        </is>
      </c>
      <c r="C21" t="inlineStr">
        <is>
          <t>https://www2.jpx.co.jp/disc/69610/140120210430404561.pdf</t>
        </is>
      </c>
    </row>
    <row r="22">
      <c r="A22" t="inlineStr">
        <is>
          <t>2020-05-07</t>
        </is>
      </c>
      <c r="B22" t="inlineStr">
        <is>
          <t>2020년 3월 결산기 연간 결산단신</t>
        </is>
      </c>
      <c r="C22" t="inlineStr">
        <is>
          <t>https://www2.jpx.co.jp/disc/69610/140120200507404881.pdf</t>
        </is>
      </c>
    </row>
    <row r="23">
      <c r="A23" t="inlineStr">
        <is>
          <t>2019-04-19</t>
        </is>
      </c>
      <c r="B23" t="inlineStr">
        <is>
          <t>2019년 3월 결산기 연간 결산단신</t>
        </is>
      </c>
      <c r="C23" t="inlineStr">
        <is>
          <t>https://www2.jpx.co.jp/disc/69610/140120190418406842.pdf</t>
        </is>
      </c>
    </row>
    <row r="24">
      <c r="A24" t="inlineStr">
        <is>
          <t>2018-04-20</t>
        </is>
      </c>
      <c r="B24" t="inlineStr">
        <is>
          <t>연간 결산단신</t>
        </is>
      </c>
      <c r="C24" t="inlineStr">
        <is>
          <t>https://www2.jpx.co.jp/disc/69610/140120180419415354.pdf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2026-10-28T06:59:22Z</dcterms:created>
  <dcterms:modified xmlns:dcterms="http://purl.org/dc/terms/" xmlns:xsi="http://www.w3.org/2001/XMLSchema-instance" xsi:type="dcterms:W3CDTF">2026-10-28T06:59:23Z</dcterms:modified>
</cp:coreProperties>
</file>