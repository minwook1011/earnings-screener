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7283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78618</v>
      </c>
      <c r="D4" s="12" t="n">
        <v>85676</v>
      </c>
      <c r="E4" s="12" t="n">
        <v>80911</v>
      </c>
      <c r="F4" s="12" t="n">
        <v>83187</v>
      </c>
      <c r="G4" s="12" t="n">
        <v>83216</v>
      </c>
      <c r="H4" s="12" t="n">
        <v>86742</v>
      </c>
      <c r="I4" s="12" t="n">
        <v>-127889</v>
      </c>
      <c r="J4" s="12" t="n">
        <v>79923</v>
      </c>
      <c r="K4" s="12" t="n">
        <v>83173</v>
      </c>
      <c r="L4" s="12" t="n">
        <v>84090</v>
      </c>
      <c r="M4" s="12" t="n">
        <v>-116970</v>
      </c>
      <c r="N4" s="12" t="n">
        <v>83927</v>
      </c>
      <c r="O4" s="11" t="n">
        <v>90824</v>
      </c>
      <c r="P4" s="12" t="n">
        <v>212524</v>
      </c>
      <c r="Q4" s="12" t="n">
        <v>213494</v>
      </c>
      <c r="R4" s="12" t="n">
        <v>205489</v>
      </c>
      <c r="S4" s="12" t="n">
        <v>181427</v>
      </c>
      <c r="T4" s="12" t="n">
        <v>193751</v>
      </c>
      <c r="U4" s="12" t="n">
        <v>240806</v>
      </c>
      <c r="V4" s="12" t="n">
        <v>314336</v>
      </c>
      <c r="W4" s="12" t="n">
        <v>125256</v>
      </c>
      <c r="X4" s="12" t="n">
        <v>130216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JapanReportableSegmentsMember</t>
        </is>
      </c>
      <c r="B7" s="10" t="n"/>
      <c r="C7" s="19" t="n">
        <v>24146</v>
      </c>
      <c r="D7" s="20" t="n">
        <v>25234</v>
      </c>
      <c r="E7" s="20" t="n">
        <v>22418</v>
      </c>
      <c r="F7" s="20" t="n">
        <v>22756</v>
      </c>
      <c r="G7" s="20" t="n">
        <v>24771</v>
      </c>
      <c r="H7" s="20" t="n">
        <v>26619</v>
      </c>
      <c r="I7" s="20" t="n">
        <v>25783</v>
      </c>
      <c r="J7" s="20" t="n">
        <v>24138</v>
      </c>
      <c r="K7" s="20" t="n">
        <v>25559</v>
      </c>
      <c r="L7" s="20" t="n">
        <v>25349</v>
      </c>
      <c r="M7" s="20" t="n">
        <v>26164</v>
      </c>
      <c r="N7" s="20" t="n">
        <v>26169</v>
      </c>
      <c r="O7" s="19" t="n"/>
      <c r="P7" s="20" t="n"/>
      <c r="Q7" s="20" t="n"/>
      <c r="R7" s="20" t="n"/>
      <c r="S7" s="20" t="n"/>
      <c r="T7" s="20" t="n"/>
      <c r="U7" s="20" t="n"/>
      <c r="V7" s="20" t="n">
        <v>91948</v>
      </c>
      <c r="W7" s="20" t="n">
        <v>99929</v>
      </c>
      <c r="X7" s="20" t="n">
        <v>101210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AsiaReportableSegmentsMember</t>
        </is>
      </c>
      <c r="B10" s="10" t="n"/>
      <c r="C10" s="19" t="n">
        <v>34047</v>
      </c>
      <c r="D10" s="20" t="n">
        <v>38602</v>
      </c>
      <c r="E10" s="20" t="n">
        <v>34740</v>
      </c>
      <c r="F10" s="20" t="n">
        <v>35462</v>
      </c>
      <c r="G10" s="20" t="n">
        <v>37563</v>
      </c>
      <c r="H10" s="20" t="n">
        <v>37631</v>
      </c>
      <c r="I10" s="20" t="n">
        <v>33398</v>
      </c>
      <c r="J10" s="20" t="n">
        <v>32805</v>
      </c>
      <c r="K10" s="20" t="n">
        <v>34476</v>
      </c>
      <c r="L10" s="20" t="n">
        <v>35440</v>
      </c>
      <c r="M10" s="20" t="n">
        <v>33059</v>
      </c>
      <c r="N10" s="20" t="n">
        <v>32761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135682</v>
      </c>
      <c r="W10" s="20" t="n">
        <v>144054</v>
      </c>
      <c r="X10" s="20" t="n">
        <v>135780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AmericasReportableSegmentMember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71096</v>
      </c>
      <c r="W13" s="20" t="n">
        <v>77344</v>
      </c>
      <c r="X13" s="20" t="n">
        <v>77591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AmericasReportableSegmentsMember</t>
        </is>
      </c>
      <c r="B16" s="10" t="n"/>
      <c r="C16" s="19" t="n">
        <v>17137</v>
      </c>
      <c r="D16" s="20" t="n">
        <v>17816</v>
      </c>
      <c r="E16" s="20" t="n"/>
      <c r="F16" s="20" t="n">
        <v>20486</v>
      </c>
      <c r="G16" s="20" t="n">
        <v>16990</v>
      </c>
      <c r="H16" s="20" t="n">
        <v>18856</v>
      </c>
      <c r="I16" s="20" t="n"/>
      <c r="J16" s="20" t="n">
        <v>18995</v>
      </c>
      <c r="K16" s="20" t="n">
        <v>19124</v>
      </c>
      <c r="L16" s="20" t="n">
        <v>19188</v>
      </c>
      <c r="M16" s="20" t="n"/>
      <c r="N16" s="20" t="n">
        <v>21360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EuropeReportableSegmentsMember</t>
        </is>
      </c>
      <c r="B19" s="10" t="n"/>
      <c r="C19" s="19" t="n">
        <v>3289</v>
      </c>
      <c r="D19" s="20" t="n">
        <v>4023</v>
      </c>
      <c r="E19" s="20" t="n">
        <v>4414</v>
      </c>
      <c r="F19" s="20" t="n">
        <v>4482</v>
      </c>
      <c r="G19" s="20" t="n">
        <v>3891</v>
      </c>
      <c r="H19" s="20" t="n">
        <v>3637</v>
      </c>
      <c r="I19" s="20" t="n">
        <v>3919</v>
      </c>
      <c r="J19" s="20" t="n">
        <v>3984</v>
      </c>
      <c r="K19" s="20" t="n">
        <v>4014</v>
      </c>
      <c r="L19" s="20" t="n">
        <v>4113</v>
      </c>
      <c r="M19" s="20" t="n">
        <v>4140</v>
      </c>
      <c r="N19" s="20" t="n">
        <v>3636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15608</v>
      </c>
      <c r="W19" s="20" t="n">
        <v>15929</v>
      </c>
      <c r="X19" s="20" t="n">
        <v>16251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>
        <v>83187</v>
      </c>
      <c r="G22" s="20" t="n"/>
      <c r="H22" s="20" t="n"/>
      <c r="I22" s="20" t="n"/>
      <c r="J22" s="20" t="n">
        <v>79923</v>
      </c>
      <c r="K22" s="20" t="n"/>
      <c r="L22" s="20" t="n"/>
      <c r="M22" s="20" t="n"/>
      <c r="N22" s="20" t="n">
        <v>83927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67710</v>
      </c>
      <c r="D26" s="20" t="n">
        <v>73539</v>
      </c>
      <c r="E26" s="20" t="n">
        <v>71588</v>
      </c>
      <c r="F26" s="20" t="n">
        <v>71704</v>
      </c>
      <c r="G26" s="20" t="n">
        <v>71130</v>
      </c>
      <c r="H26" s="20" t="n">
        <v>73633</v>
      </c>
      <c r="I26" s="20" t="n">
        <v>-106213</v>
      </c>
      <c r="J26" s="20" t="n">
        <v>70269</v>
      </c>
      <c r="K26" s="20" t="n">
        <v>72099</v>
      </c>
      <c r="L26" s="20" t="n">
        <v>72251</v>
      </c>
      <c r="M26" s="20" t="n">
        <v>-97253</v>
      </c>
      <c r="N26" s="20" t="n">
        <v>71681</v>
      </c>
      <c r="O26" s="19" t="n">
        <v>84416</v>
      </c>
      <c r="P26" s="20" t="n">
        <v>186550</v>
      </c>
      <c r="Q26" s="20" t="n">
        <v>187905</v>
      </c>
      <c r="R26" s="20" t="n">
        <v>181124</v>
      </c>
      <c r="S26" s="20" t="n">
        <v>160964</v>
      </c>
      <c r="T26" s="20" t="n">
        <v>168824</v>
      </c>
      <c r="U26" s="20" t="n">
        <v>208051</v>
      </c>
      <c r="V26" s="20" t="n">
        <v>273117</v>
      </c>
      <c r="W26" s="20" t="n">
        <v>110254</v>
      </c>
      <c r="X26" s="20" t="n">
        <v>117366</v>
      </c>
      <c r="Y26" s="19" t="n"/>
      <c r="Z26" s="20" t="n"/>
      <c r="AA26" s="20" t="n"/>
      <c r="AB26" s="20" t="n"/>
      <c r="AC26" s="20" t="n"/>
    </row>
    <row r="27">
      <c r="A27" s="18" t="inlineStr">
        <is>
          <t>매출총이익</t>
        </is>
      </c>
      <c r="B27" s="10" t="n"/>
      <c r="C27" s="19">
        <f>IF(OR(C4="",C26=""),"",IFERROR(C4-C26,""))</f>
        <v/>
      </c>
      <c r="D27" s="20">
        <f>IF(OR(D4="",D26=""),"",IFERROR(D4-D26,""))</f>
        <v/>
      </c>
      <c r="E27" s="20">
        <f>IF(OR(E4="",E26=""),"",IFERROR(E4-E26,""))</f>
        <v/>
      </c>
      <c r="F27" s="20">
        <f>IF(OR(F4="",F26=""),"",IFERROR(F4-F26,""))</f>
        <v/>
      </c>
      <c r="G27" s="20">
        <f>IF(OR(G4="",G26=""),"",IFERROR(G4-G26,""))</f>
        <v/>
      </c>
      <c r="H27" s="20">
        <f>IF(OR(H4="",H26=""),"",IFERROR(H4-H26,""))</f>
        <v/>
      </c>
      <c r="I27" s="20">
        <f>IF(OR(I4="",I26=""),"",IFERROR(I4-I26,""))</f>
        <v/>
      </c>
      <c r="J27" s="20">
        <f>IF(OR(J4="",J26=""),"",IFERROR(J4-J26,""))</f>
        <v/>
      </c>
      <c r="K27" s="20">
        <f>IF(OR(K4="",K26=""),"",IFERROR(K4-K26,""))</f>
        <v/>
      </c>
      <c r="L27" s="20">
        <f>IF(OR(L4="",L26=""),"",IFERROR(L4-L26,""))</f>
        <v/>
      </c>
      <c r="M27" s="20">
        <f>IF(OR(M4="",M26=""),"",IFERROR(M4-M26,""))</f>
        <v/>
      </c>
      <c r="N27" s="20">
        <f>IF(OR(N4="",N26=""),"",IFERROR(N4-N26,""))</f>
        <v/>
      </c>
      <c r="O27" s="19">
        <f>IF(OR(O4="",O26=""),"",IFERROR(O4-O26,""))</f>
        <v/>
      </c>
      <c r="P27" s="20">
        <f>IF(OR(P4="",P26=""),"",IFERROR(P4-P26,""))</f>
        <v/>
      </c>
      <c r="Q27" s="20">
        <f>IF(OR(Q4="",Q26=""),"",IFERROR(Q4-Q26,""))</f>
        <v/>
      </c>
      <c r="R27" s="20">
        <f>IF(OR(R4="",R26=""),"",IFERROR(R4-R26,""))</f>
        <v/>
      </c>
      <c r="S27" s="20">
        <f>IF(OR(S4="",S26=""),"",IFERROR(S4-S26,""))</f>
        <v/>
      </c>
      <c r="T27" s="20">
        <f>IF(OR(T4="",T26=""),"",IFERROR(T4-T26,""))</f>
        <v/>
      </c>
      <c r="U27" s="20">
        <f>IF(OR(U4="",U26=""),"",IFERROR(U4-U26,""))</f>
        <v/>
      </c>
      <c r="V27" s="20">
        <f>IF(OR(V4="",V26=""),"",IFERROR(V4-V26,""))</f>
        <v/>
      </c>
      <c r="W27" s="20">
        <f>IF(OR(W4="",W26=""),"",IFERROR(W4-W26,""))</f>
        <v/>
      </c>
      <c r="X27" s="20">
        <f>IF(OR(X4="",X26=""),"",IFERROR(X4-X26,""))</f>
        <v/>
      </c>
      <c r="Y27" s="19" t="n"/>
      <c r="Z27" s="20" t="n"/>
      <c r="AA27" s="20" t="n"/>
      <c r="AB27" s="20" t="n"/>
      <c r="AC27" s="20" t="n"/>
    </row>
    <row r="28">
      <c r="A28" s="13" t="inlineStr">
        <is>
          <t>GPM</t>
        </is>
      </c>
      <c r="B28" s="10" t="n"/>
      <c r="C28" s="14">
        <f>IF(OR(C27="",C4=""),"",IFERROR(C27/C4,""))</f>
        <v/>
      </c>
      <c r="D28" s="15">
        <f>IF(OR(D27="",D4=""),"",IFERROR(D27/D4,""))</f>
        <v/>
      </c>
      <c r="E28" s="15">
        <f>IF(OR(E27="",E4=""),"",IFERROR(E27/E4,""))</f>
        <v/>
      </c>
      <c r="F28" s="15">
        <f>IF(OR(F27="",F4=""),"",IFERROR(F27/F4,""))</f>
        <v/>
      </c>
      <c r="G28" s="15">
        <f>IF(OR(G27="",G4=""),"",IFERROR(G27/G4,""))</f>
        <v/>
      </c>
      <c r="H28" s="15">
        <f>IF(OR(H27="",H4=""),"",IFERROR(H27/H4,""))</f>
        <v/>
      </c>
      <c r="I28" s="15">
        <f>IF(OR(I27="",I4=""),"",IFERROR(I27/I4,""))</f>
        <v/>
      </c>
      <c r="J28" s="15">
        <f>IF(OR(J27="",J4=""),"",IFERROR(J27/J4,""))</f>
        <v/>
      </c>
      <c r="K28" s="15">
        <f>IF(OR(K27="",K4=""),"",IFERROR(K27/K4,""))</f>
        <v/>
      </c>
      <c r="L28" s="15">
        <f>IF(OR(L27="",L4=""),"",IFERROR(L27/L4,""))</f>
        <v/>
      </c>
      <c r="M28" s="15">
        <f>IF(OR(M27="",M4=""),"",IFERROR(M27/M4,""))</f>
        <v/>
      </c>
      <c r="N28" s="15">
        <f>IF(OR(N27="",N4=""),"",IFERROR(N27/N4,""))</f>
        <v/>
      </c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>
        <f>IF(OR(Y27="",Y4=""),"",IFERROR(Y27/Y4,""))</f>
        <v/>
      </c>
      <c r="Z28" s="15">
        <f>IF(OR(Z27="",Z4=""),"",IFERROR(Z27/Z4,""))</f>
        <v/>
      </c>
      <c r="AA28" s="15">
        <f>IF(OR(AA27="",AA4=""),"",IFERROR(AA27/AA4,""))</f>
        <v/>
      </c>
      <c r="AB28" s="15">
        <f>IF(OR(AB27="",AB4=""),"",IFERROR(AB27/AB4,""))</f>
        <v/>
      </c>
      <c r="AC28" s="15">
        <f>IF(OR(AC27="",AC4=""),"",IFERROR(AC27/AC4,""))</f>
        <v/>
      </c>
    </row>
    <row r="29">
      <c r="A29" s="23" t="inlineStr">
        <is>
          <t>판매관리비</t>
        </is>
      </c>
      <c r="B29" s="23" t="n"/>
      <c r="C29" s="24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</row>
    <row r="30">
      <c r="A30" s="18" t="inlineStr">
        <is>
          <t>전체 판관비</t>
        </is>
      </c>
      <c r="B30" s="10" t="n"/>
      <c r="C30" s="19" t="n">
        <v>6325</v>
      </c>
      <c r="D30" s="20" t="n">
        <v>5990</v>
      </c>
      <c r="E30" s="20" t="n">
        <v>8486</v>
      </c>
      <c r="F30" s="20" t="n">
        <v>5687</v>
      </c>
      <c r="G30" s="20" t="n">
        <v>6924</v>
      </c>
      <c r="H30" s="20" t="n">
        <v>7467</v>
      </c>
      <c r="I30" s="20" t="n">
        <v>-6555</v>
      </c>
      <c r="J30" s="20" t="n">
        <v>6129</v>
      </c>
      <c r="K30" s="20" t="n">
        <v>5200</v>
      </c>
      <c r="L30" s="20" t="n">
        <v>6467</v>
      </c>
      <c r="M30" s="20" t="n">
        <v>-7470</v>
      </c>
      <c r="N30" s="20" t="n">
        <v>6641</v>
      </c>
      <c r="O30" s="19" t="n">
        <v>6354</v>
      </c>
      <c r="P30" s="20" t="n">
        <v>16553</v>
      </c>
      <c r="Q30" s="20" t="n">
        <v>17361</v>
      </c>
      <c r="R30" s="20" t="n">
        <v>17139</v>
      </c>
      <c r="S30" s="20" t="n">
        <v>15506</v>
      </c>
      <c r="T30" s="20" t="n">
        <v>15117</v>
      </c>
      <c r="U30" s="20" t="n">
        <v>19122</v>
      </c>
      <c r="V30" s="20" t="n">
        <v>25720</v>
      </c>
      <c r="W30" s="20" t="n">
        <v>13523</v>
      </c>
      <c r="X30" s="20" t="n">
        <v>10326</v>
      </c>
      <c r="Y30" s="19" t="n"/>
      <c r="Z30" s="20" t="n"/>
      <c r="AA30" s="20" t="n"/>
      <c r="AB30" s="20" t="n"/>
      <c r="AC30" s="20" t="n"/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4583</v>
      </c>
      <c r="D31" s="12" t="n">
        <v>6147</v>
      </c>
      <c r="E31" s="12" t="n">
        <v>837</v>
      </c>
      <c r="F31" s="12" t="n">
        <v>5796</v>
      </c>
      <c r="G31" s="12" t="n">
        <v>5161</v>
      </c>
      <c r="H31" s="12" t="n">
        <v>5642</v>
      </c>
      <c r="I31" s="12" t="n">
        <v>-15120</v>
      </c>
      <c r="J31" s="12" t="n">
        <v>3523</v>
      </c>
      <c r="K31" s="12" t="n">
        <v>5874</v>
      </c>
      <c r="L31" s="12" t="n">
        <v>5373</v>
      </c>
      <c r="M31" s="12" t="n">
        <v>-12247</v>
      </c>
      <c r="N31" s="12" t="n">
        <v>5604</v>
      </c>
      <c r="O31" s="11" t="n">
        <v>53</v>
      </c>
      <c r="P31" s="12" t="n">
        <v>9421</v>
      </c>
      <c r="Q31" s="12" t="n">
        <v>8227</v>
      </c>
      <c r="R31" s="12" t="n">
        <v>7226</v>
      </c>
      <c r="S31" s="12" t="n">
        <v>4956</v>
      </c>
      <c r="T31" s="12" t="n">
        <v>9809</v>
      </c>
      <c r="U31" s="12" t="n">
        <v>13632</v>
      </c>
      <c r="V31" s="12" t="n">
        <v>15498</v>
      </c>
      <c r="W31" s="12" t="n">
        <v>1479</v>
      </c>
      <c r="X31" s="12" t="n">
        <v>2523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IF(O30="","",O30)</f>
        <v/>
      </c>
      <c r="P35" s="12">
        <f>IF(P30="","",P30)</f>
        <v/>
      </c>
      <c r="Q35" s="12">
        <f>IF(Q30="","",Q30)</f>
        <v/>
      </c>
      <c r="R35" s="12">
        <f>IF(R30="","",R30)</f>
        <v/>
      </c>
      <c r="S35" s="12">
        <f>IF(S30="","",S30)</f>
        <v/>
      </c>
      <c r="T35" s="12">
        <f>IF(T30="","",T30)</f>
        <v/>
      </c>
      <c r="U35" s="12">
        <f>IF(U30="","",U30)</f>
        <v/>
      </c>
      <c r="V35" s="12">
        <f>IF(V30="","",V30)</f>
        <v/>
      </c>
      <c r="W35" s="12">
        <f>IF(W30="","",W30)</f>
        <v/>
      </c>
      <c r="X35" s="12">
        <f>IF(X30="","",X30)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>
        <v>6061</v>
      </c>
      <c r="P36" s="20" t="n">
        <v>6183</v>
      </c>
      <c r="Q36" s="20" t="n">
        <v>6364</v>
      </c>
      <c r="R36" s="20" t="n">
        <v>6600</v>
      </c>
      <c r="S36" s="20" t="n">
        <v>5746</v>
      </c>
      <c r="T36" s="20" t="n">
        <v>6135</v>
      </c>
      <c r="U36" s="20" t="n">
        <v>7122</v>
      </c>
      <c r="V36" s="20" t="n">
        <v>8202</v>
      </c>
      <c r="W36" s="20" t="n">
        <v>9057</v>
      </c>
      <c r="X36" s="20" t="n">
        <v>9834</v>
      </c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0</v>
      </c>
      <c r="E47" s="20" t="n">
        <v>0</v>
      </c>
      <c r="F47" s="20" t="n">
        <v>11</v>
      </c>
      <c r="G47" s="20" t="n">
        <v>0</v>
      </c>
      <c r="H47" s="20" t="n">
        <v>0</v>
      </c>
      <c r="I47" s="20" t="n">
        <v>0</v>
      </c>
      <c r="J47" s="20" t="n">
        <v>3229</v>
      </c>
      <c r="K47" s="20" t="n">
        <v>646</v>
      </c>
      <c r="L47" s="20" t="n">
        <v>0</v>
      </c>
      <c r="M47" s="20" t="n">
        <v>2491</v>
      </c>
      <c r="N47" s="20" t="n">
        <v>0</v>
      </c>
      <c r="O47" s="19" t="n">
        <v>15</v>
      </c>
      <c r="P47" s="20" t="n">
        <v>286</v>
      </c>
      <c r="Q47" s="20" t="n">
        <v>1707</v>
      </c>
      <c r="R47" s="20" t="n">
        <v>57</v>
      </c>
      <c r="S47" s="20" t="n">
        <v>36</v>
      </c>
      <c r="T47" s="20" t="n">
        <v>44</v>
      </c>
      <c r="U47" s="20" t="n">
        <v>19</v>
      </c>
      <c r="V47" s="20" t="n">
        <v>24</v>
      </c>
      <c r="W47" s="20" t="n">
        <v>11</v>
      </c>
      <c r="X47" s="20" t="n">
        <v>6366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0</v>
      </c>
      <c r="D49" s="20" t="n">
        <v>0</v>
      </c>
      <c r="E49" s="20" t="n">
        <v>0</v>
      </c>
      <c r="F49" s="20" t="n">
        <v>0</v>
      </c>
      <c r="G49" s="20" t="n">
        <v>0</v>
      </c>
      <c r="H49" s="20" t="n">
        <v>0</v>
      </c>
      <c r="I49" s="20" t="n">
        <v>0</v>
      </c>
      <c r="J49" s="20" t="n">
        <v>1244</v>
      </c>
      <c r="K49" s="20" t="n">
        <v>1307</v>
      </c>
      <c r="L49" s="20" t="n">
        <v>0</v>
      </c>
      <c r="M49" s="20" t="n">
        <v>522</v>
      </c>
      <c r="N49" s="20" t="n">
        <v>0</v>
      </c>
      <c r="O49" s="19" t="n">
        <v>0</v>
      </c>
      <c r="P49" s="20" t="n">
        <v>1944</v>
      </c>
      <c r="Q49" s="20" t="n">
        <v>0</v>
      </c>
      <c r="R49" s="20" t="n">
        <v>10860</v>
      </c>
      <c r="S49" s="20" t="n">
        <v>0</v>
      </c>
      <c r="T49" s="20" t="n">
        <v>0</v>
      </c>
      <c r="U49" s="20" t="n">
        <v>818</v>
      </c>
      <c r="V49" s="20" t="n">
        <v>0</v>
      </c>
      <c r="W49" s="20" t="n">
        <v>0</v>
      </c>
      <c r="X49" s="20" t="n">
        <v>3073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805</v>
      </c>
      <c r="D51" s="20" t="n">
        <v>-134</v>
      </c>
      <c r="E51" s="20" t="n">
        <v>585</v>
      </c>
      <c r="F51" s="20" t="n">
        <v>1251</v>
      </c>
      <c r="G51" s="20" t="n">
        <v>-117</v>
      </c>
      <c r="H51" s="20" t="n">
        <v>556</v>
      </c>
      <c r="I51" s="20" t="n">
        <v>14354</v>
      </c>
      <c r="J51" s="20" t="n">
        <v>552</v>
      </c>
      <c r="K51" s="20" t="n">
        <v>506</v>
      </c>
      <c r="L51" s="20" t="n">
        <v>800</v>
      </c>
      <c r="M51" s="20" t="n">
        <v>12102</v>
      </c>
      <c r="N51" s="20" t="n">
        <v>929</v>
      </c>
      <c r="O51" s="19" t="n">
        <v>3414</v>
      </c>
      <c r="P51" s="20" t="n">
        <v>722</v>
      </c>
      <c r="Q51" s="20" t="n">
        <v>759</v>
      </c>
      <c r="R51" s="20" t="n">
        <v>686</v>
      </c>
      <c r="S51" s="20" t="n">
        <v>1064</v>
      </c>
      <c r="T51" s="20" t="n">
        <v>1293</v>
      </c>
      <c r="U51" s="20" t="n">
        <v>1050</v>
      </c>
      <c r="V51" s="20" t="n">
        <v>2286</v>
      </c>
      <c r="W51" s="20" t="n">
        <v>16044</v>
      </c>
      <c r="X51" s="20" t="n">
        <v>13960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356</v>
      </c>
      <c r="D53" s="20" t="n">
        <v>-57</v>
      </c>
      <c r="E53" s="20" t="n">
        <v>180</v>
      </c>
      <c r="F53" s="20" t="n">
        <v>108</v>
      </c>
      <c r="G53" s="20" t="n">
        <v>698</v>
      </c>
      <c r="H53" s="20" t="n">
        <v>386</v>
      </c>
      <c r="I53" s="20" t="n">
        <v>-561</v>
      </c>
      <c r="J53" s="20" t="n">
        <v>692</v>
      </c>
      <c r="K53" s="20" t="n">
        <v>-62</v>
      </c>
      <c r="L53" s="20" t="n">
        <v>172</v>
      </c>
      <c r="M53" s="20" t="n">
        <v>-267</v>
      </c>
      <c r="N53" s="20" t="n">
        <v>288</v>
      </c>
      <c r="O53" s="19" t="n">
        <v>224</v>
      </c>
      <c r="P53" s="20" t="n">
        <v>373</v>
      </c>
      <c r="Q53" s="20" t="n">
        <v>804</v>
      </c>
      <c r="R53" s="20" t="n">
        <v>1046</v>
      </c>
      <c r="S53" s="20" t="n">
        <v>1034</v>
      </c>
      <c r="T53" s="20" t="n">
        <v>847</v>
      </c>
      <c r="U53" s="20" t="n">
        <v>599</v>
      </c>
      <c r="V53" s="20" t="n">
        <v>583</v>
      </c>
      <c r="W53" s="20" t="n">
        <v>631</v>
      </c>
      <c r="X53" s="20" t="n">
        <v>535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5032</v>
      </c>
      <c r="D55" s="12" t="n">
        <v>6070</v>
      </c>
      <c r="E55" s="12" t="n">
        <v>1243</v>
      </c>
      <c r="F55" s="12" t="n">
        <v>6950</v>
      </c>
      <c r="G55" s="12" t="n">
        <v>4347</v>
      </c>
      <c r="H55" s="12" t="n">
        <v>5812</v>
      </c>
      <c r="I55" s="12" t="n">
        <v>-205</v>
      </c>
      <c r="J55" s="12" t="n">
        <v>5369</v>
      </c>
      <c r="K55" s="12" t="n">
        <v>5781</v>
      </c>
      <c r="L55" s="12" t="n">
        <v>6001</v>
      </c>
      <c r="M55" s="12" t="n">
        <v>2089</v>
      </c>
      <c r="N55" s="12" t="n">
        <v>6246</v>
      </c>
      <c r="O55" s="11" t="n">
        <v>3258</v>
      </c>
      <c r="P55" s="12" t="n">
        <v>8112</v>
      </c>
      <c r="Q55" s="12" t="n">
        <v>9889</v>
      </c>
      <c r="R55" s="12" t="n">
        <v>-3936</v>
      </c>
      <c r="S55" s="12" t="n">
        <v>5023</v>
      </c>
      <c r="T55" s="12" t="n">
        <v>10299</v>
      </c>
      <c r="U55" s="12" t="n">
        <v>13284</v>
      </c>
      <c r="V55" s="12" t="n">
        <v>17226</v>
      </c>
      <c r="W55" s="12" t="n">
        <v>16904</v>
      </c>
      <c r="X55" s="12" t="n">
        <v>19240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8" t="inlineStr">
        <is>
          <t>법인세비용(수익)</t>
        </is>
      </c>
      <c r="B56" s="10" t="n"/>
      <c r="C56" s="19" t="n">
        <v>1151</v>
      </c>
      <c r="D56" s="20" t="n">
        <v>1876</v>
      </c>
      <c r="E56" s="20" t="n">
        <v>915</v>
      </c>
      <c r="F56" s="20" t="n">
        <v>1334</v>
      </c>
      <c r="G56" s="20" t="n">
        <v>1494</v>
      </c>
      <c r="H56" s="20" t="n">
        <v>1883</v>
      </c>
      <c r="I56" s="20" t="n">
        <v>-4298</v>
      </c>
      <c r="J56" s="20" t="n">
        <v>1649</v>
      </c>
      <c r="K56" s="20" t="n">
        <v>1539</v>
      </c>
      <c r="L56" s="20" t="n">
        <v>1393</v>
      </c>
      <c r="M56" s="20" t="n">
        <v>-914</v>
      </c>
      <c r="N56" s="20" t="n">
        <v>1707</v>
      </c>
      <c r="O56" s="19" t="n">
        <v>324</v>
      </c>
      <c r="P56" s="20" t="n">
        <v>3243</v>
      </c>
      <c r="Q56" s="20" t="n">
        <v>3262</v>
      </c>
      <c r="R56" s="20" t="n">
        <v>931</v>
      </c>
      <c r="S56" s="20" t="n">
        <v>1273</v>
      </c>
      <c r="T56" s="20" t="n">
        <v>2927</v>
      </c>
      <c r="U56" s="20" t="n">
        <v>4146</v>
      </c>
      <c r="V56" s="20" t="n">
        <v>4789</v>
      </c>
      <c r="W56" s="20" t="n">
        <v>413</v>
      </c>
      <c r="X56" s="20" t="n">
        <v>3667</v>
      </c>
      <c r="Y56" s="19">
        <f>IF(OR(Y55="",Y57=""),"",IFERROR(MAX(Y55,0)*Y57,""))</f>
        <v/>
      </c>
      <c r="Z56" s="20">
        <f>IF(OR(Z55="",Z57=""),"",IFERROR(MAX(Z55,0)*Z57,""))</f>
        <v/>
      </c>
      <c r="AA56" s="20">
        <f>IF(OR(AA55="",AA57=""),"",IFERROR(MAX(AA55,0)*AA57,""))</f>
        <v/>
      </c>
      <c r="AB56" s="20">
        <f>IF(OR(AB55="",AB57=""),"",IFERROR(MAX(AB55,0)*AB57,""))</f>
        <v/>
      </c>
      <c r="AC56" s="20">
        <f>IF(OR(AC55="",AC57=""),"",IFERROR(MAX(AC55,0)*AC57,""))</f>
        <v/>
      </c>
    </row>
    <row r="57">
      <c r="A57" s="13" t="inlineStr">
        <is>
          <t>법인세율</t>
        </is>
      </c>
      <c r="B57" s="10" t="inlineStr">
        <is>
          <t>MW 기본 30%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0.3</v>
      </c>
      <c r="Z57" s="26" t="n">
        <v>0.3</v>
      </c>
      <c r="AA57" s="26" t="n">
        <v>0.3</v>
      </c>
      <c r="AB57" s="26" t="n">
        <v>0.3</v>
      </c>
      <c r="AC57" s="26" t="n">
        <v>0.3</v>
      </c>
    </row>
    <row r="58">
      <c r="A58" s="9" t="inlineStr">
        <is>
          <t>당기순이익(손실)</t>
        </is>
      </c>
      <c r="B58" s="10" t="n"/>
      <c r="C58" s="11" t="n">
        <v>3881</v>
      </c>
      <c r="D58" s="12" t="n">
        <v>4194</v>
      </c>
      <c r="E58" s="12" t="n">
        <v>327</v>
      </c>
      <c r="F58" s="12" t="n">
        <v>5616</v>
      </c>
      <c r="G58" s="12" t="n">
        <v>2853</v>
      </c>
      <c r="H58" s="12" t="n">
        <v>3928</v>
      </c>
      <c r="I58" s="12" t="n">
        <v>4094</v>
      </c>
      <c r="J58" s="12" t="n">
        <v>3719</v>
      </c>
      <c r="K58" s="12" t="n">
        <v>4242</v>
      </c>
      <c r="L58" s="12" t="n">
        <v>4608</v>
      </c>
      <c r="M58" s="12" t="n">
        <v>3004</v>
      </c>
      <c r="N58" s="12" t="n">
        <v>4538</v>
      </c>
      <c r="O58" s="11" t="n">
        <v>2934</v>
      </c>
      <c r="P58" s="12" t="n">
        <v>4868</v>
      </c>
      <c r="Q58" s="12" t="n">
        <v>6626</v>
      </c>
      <c r="R58" s="12" t="n">
        <v>-4867</v>
      </c>
      <c r="S58" s="12" t="n">
        <v>3749</v>
      </c>
      <c r="T58" s="12" t="n">
        <v>7371</v>
      </c>
      <c r="U58" s="12" t="n">
        <v>9138</v>
      </c>
      <c r="V58" s="12" t="n">
        <v>12436</v>
      </c>
      <c r="W58" s="12" t="n">
        <v>16491</v>
      </c>
      <c r="X58" s="12" t="n">
        <v>15573</v>
      </c>
      <c r="Y58" s="11">
        <f>IF(OR(Y55=""),"",IFERROR(Y55-Y56,""))</f>
        <v/>
      </c>
      <c r="Z58" s="12">
        <f>IF(OR(Z55=""),"",IFERROR(Z55-Z56,""))</f>
        <v/>
      </c>
      <c r="AA58" s="12">
        <f>IF(OR(AA55=""),"",IFERROR(AA55-AA56,""))</f>
        <v/>
      </c>
      <c r="AB58" s="12">
        <f>IF(OR(AB55=""),"",IFERROR(AB55-AB56,""))</f>
        <v/>
      </c>
      <c r="AC58" s="12">
        <f>IF(OR(AC55=""),"",IFERROR(AC55-AC56,""))</f>
        <v/>
      </c>
    </row>
    <row r="59">
      <c r="A59" s="9" t="inlineStr">
        <is>
          <t>지배주주 순이익</t>
        </is>
      </c>
      <c r="B59" s="10" t="n"/>
      <c r="C59" s="11" t="n">
        <v>3658</v>
      </c>
      <c r="D59" s="12" t="n">
        <v>3981</v>
      </c>
      <c r="E59" s="12" t="n">
        <v>238</v>
      </c>
      <c r="F59" s="12" t="n">
        <v>5375</v>
      </c>
      <c r="G59" s="12" t="n">
        <v>2632</v>
      </c>
      <c r="H59" s="12" t="n">
        <v>3734</v>
      </c>
      <c r="I59" s="12" t="n">
        <v>1493</v>
      </c>
      <c r="J59" s="12" t="n">
        <v>3555</v>
      </c>
      <c r="K59" s="12" t="n">
        <v>4027</v>
      </c>
      <c r="L59" s="12" t="n">
        <v>4383</v>
      </c>
      <c r="M59" s="12" t="n">
        <v>1109</v>
      </c>
      <c r="N59" s="12" t="n">
        <v>4353</v>
      </c>
      <c r="O59" s="11" t="n">
        <v>4505</v>
      </c>
      <c r="P59" s="12" t="n">
        <v>4526</v>
      </c>
      <c r="Q59" s="12" t="n">
        <v>6124</v>
      </c>
      <c r="R59" s="12" t="n">
        <v>-5073</v>
      </c>
      <c r="S59" s="12" t="n">
        <v>3525</v>
      </c>
      <c r="T59" s="12" t="n">
        <v>6831</v>
      </c>
      <c r="U59" s="12" t="n">
        <v>8504</v>
      </c>
      <c r="V59" s="12" t="n">
        <v>11744</v>
      </c>
      <c r="W59" s="12" t="n">
        <v>13234</v>
      </c>
      <c r="X59" s="12" t="n">
        <v>13074</v>
      </c>
      <c r="Y59" s="11">
        <f>IF(OR(Y58="",Y60=""),"",IFERROR(Y58*Y60,""))</f>
        <v/>
      </c>
      <c r="Z59" s="12">
        <f>IF(OR(Z58="",Z60=""),"",IFERROR(Z58*Z60,""))</f>
        <v/>
      </c>
      <c r="AA59" s="12">
        <f>IF(OR(AA58="",AA60=""),"",IFERROR(AA58*AA60,""))</f>
        <v/>
      </c>
      <c r="AB59" s="12">
        <f>IF(OR(AB58="",AB60=""),"",IFERROR(AB58*AB60,""))</f>
        <v/>
      </c>
      <c r="AC59" s="12">
        <f>IF(OR(AC58="",AC60=""),"",IFERROR(AC58*AC60,""))</f>
        <v/>
      </c>
    </row>
    <row r="60">
      <c r="A60" s="13" t="inlineStr">
        <is>
          <t>지배주주 순이익률</t>
        </is>
      </c>
      <c r="B60" s="10" t="inlineStr">
        <is>
          <t>MW 기본 100%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1</v>
      </c>
      <c r="Z60" s="26" t="n">
        <v>1</v>
      </c>
      <c r="AA60" s="26" t="n">
        <v>1</v>
      </c>
      <c r="AB60" s="26" t="n">
        <v>1</v>
      </c>
      <c r="AC60" s="26" t="n">
        <v>1</v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(2026.10.26)</t>
        </is>
      </c>
      <c r="B62" s="27" t="n">
        <v>2028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63406879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IF(O32="","",O32)</f>
        <v/>
      </c>
      <c r="P65" s="15">
        <f>IF(P32="","",P32)</f>
        <v/>
      </c>
      <c r="Q65" s="15">
        <f>IF(Q32="","",Q32)</f>
        <v/>
      </c>
      <c r="R65" s="15">
        <f>IF(R32="","",R32)</f>
        <v/>
      </c>
      <c r="S65" s="15">
        <f>IF(S32="","",S32)</f>
        <v/>
      </c>
      <c r="T65" s="15">
        <f>IF(T32="","",T32)</f>
        <v/>
      </c>
      <c r="U65" s="15">
        <f>IF(U32="","",U32)</f>
        <v/>
      </c>
      <c r="V65" s="15">
        <f>IF(V32="","",V32)</f>
        <v/>
      </c>
      <c r="W65" s="15">
        <f>IF(W32="","",W32)</f>
        <v/>
      </c>
      <c r="X65" s="15">
        <f>IF(X32="","",X32)</f>
        <v/>
      </c>
      <c r="Y65" s="14">
        <f>IF(Y32="","",Y32)</f>
        <v/>
      </c>
      <c r="Z65" s="15">
        <f>IF(Z32="","",Z32)</f>
        <v/>
      </c>
      <c r="AA65" s="15">
        <f>IF(AA32="","",AA32)</f>
        <v/>
      </c>
      <c r="AB65" s="15">
        <f>IF(AB32="","",AB32)</f>
        <v/>
      </c>
      <c r="AC65" s="15">
        <f>IF(AC32="","",AC32)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IF(OR(P59="",O59=""),"",IFERROR(P59/O59-1,""))</f>
        <v/>
      </c>
      <c r="Q66" s="15">
        <f>IF(OR(Q59="",P59=""),"",IFERROR(Q59/P59-1,""))</f>
        <v/>
      </c>
      <c r="R66" s="15">
        <f>IF(OR(R59="",Q59=""),"",IFERROR(R59/Q59-1,""))</f>
        <v/>
      </c>
      <c r="S66" s="15">
        <f>IF(OR(S59="",R59=""),"",IFERROR(S59/R59-1,""))</f>
        <v/>
      </c>
      <c r="T66" s="15">
        <f>IF(OR(T59="",S59=""),"",IFERROR(T59/S59-1,""))</f>
        <v/>
      </c>
      <c r="U66" s="15">
        <f>IF(OR(U59="",T59=""),"",IFERROR(U59/T59-1,""))</f>
        <v/>
      </c>
      <c r="V66" s="15">
        <f>IF(OR(V59="",U59=""),"",IFERROR(V59/U59-1,""))</f>
        <v/>
      </c>
      <c r="W66" s="15">
        <f>IF(OR(W59="",V59=""),"",IFERROR(W59/V59-1,""))</f>
        <v/>
      </c>
      <c r="X66" s="15">
        <f>IF(OR(X59="",W59=""),"",IFERROR(X59/W59-1,""))</f>
        <v/>
      </c>
      <c r="Y66" s="14">
        <f>IF(OR(Y59="",X59=""),"",IFERROR(Y59/X59-1,""))</f>
        <v/>
      </c>
      <c r="Z66" s="15">
        <f>IF(OR(Z59="",Y59=""),"",IFERROR(Z59/Y59-1,""))</f>
        <v/>
      </c>
      <c r="AA66" s="15">
        <f>IF(OR(AA59="",Z59=""),"",IFERROR(AA59/Z59-1,""))</f>
        <v/>
      </c>
      <c r="AB66" s="15">
        <f>IF(OR(AB59="",AA59=""),"",IFERROR(AB59/AA59-1,""))</f>
        <v/>
      </c>
      <c r="AC66" s="15">
        <f>IF(OR(AC59="",AB59=""),"",IFERROR(AC59/AB59-1,""))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IF(OR($B$64="",X59=""),"",IFERROR($B$64/X59,""))</f>
        <v/>
      </c>
      <c r="Y67" s="30">
        <f>IF(OR($B$64="",Y59=""),"",IFERROR($B$64/Y59,""))</f>
        <v/>
      </c>
      <c r="Z67" s="31">
        <f>IF(OR($B$64="",Z59=""),"",IFERROR($B$64/Z59,""))</f>
        <v/>
      </c>
      <c r="AA67" s="31">
        <f>IF(OR($B$64="",AA59=""),"",IFERROR($B$64/AA59,""))</f>
        <v/>
      </c>
      <c r="AB67" s="31">
        <f>IF(OR($B$64="",AB59=""),"",IFERROR($B$64/AB59,""))</f>
        <v/>
      </c>
      <c r="AC67" s="31">
        <f>IF(OR($B$64="",AC59=""),"",IFERROR($B$64/AC59,""))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IF(OR(O59="",$B$63=""),"",IFERROR(O59*1000000.0/$B$63,""))</f>
        <v/>
      </c>
      <c r="P69" s="29">
        <f>IF(OR(P59="",$B$63=""),"",IFERROR(P59*1000000.0/$B$63,""))</f>
        <v/>
      </c>
      <c r="Q69" s="29">
        <f>IF(OR(Q59="",$B$63=""),"",IFERROR(Q59*1000000.0/$B$63,""))</f>
        <v/>
      </c>
      <c r="R69" s="29">
        <f>IF(OR(R59="",$B$63=""),"",IFERROR(R59*1000000.0/$B$63,""))</f>
        <v/>
      </c>
      <c r="S69" s="29">
        <f>IF(OR(S59="",$B$63=""),"",IFERROR(S59*1000000.0/$B$63,""))</f>
        <v/>
      </c>
      <c r="T69" s="29">
        <f>IF(OR(T59="",$B$63=""),"",IFERROR(T59*1000000.0/$B$63,""))</f>
        <v/>
      </c>
      <c r="U69" s="29">
        <f>IF(OR(U59="",$B$63=""),"",IFERROR(U59*1000000.0/$B$63,""))</f>
        <v/>
      </c>
      <c r="V69" s="29">
        <f>IF(OR(V59="",$B$63=""),"",IFERROR(V59*1000000.0/$B$63,""))</f>
        <v/>
      </c>
      <c r="W69" s="29">
        <f>IF(OR(W59="",$B$63=""),"",IFERROR(W59*1000000.0/$B$63,""))</f>
        <v/>
      </c>
      <c r="X69" s="29">
        <f>IF(OR(X59="",$B$63=""),"",IFERROR(X59*1000000.0/$B$63,""))</f>
        <v/>
      </c>
      <c r="Y69" s="28">
        <f>IF(OR(Y59="",$B$63=""),"",IFERROR(Y59*1000000.0/$B$63,""))</f>
        <v/>
      </c>
      <c r="Z69" s="29">
        <f>IF(OR(Z59="",$B$63=""),"",IFERROR(Z59*1000000.0/$B$63,""))</f>
        <v/>
      </c>
      <c r="AA69" s="29">
        <f>IF(OR(AA59="",$B$63=""),"",IFERROR(AA59*1000000.0/$B$63,""))</f>
        <v/>
      </c>
      <c r="AB69" s="29">
        <f>IF(OR(AB59="",$B$63=""),"",IFERROR(AB59*1000000.0/$B$63,""))</f>
        <v/>
      </c>
      <c r="AC69" s="29">
        <f>IF(OR(AC59="",$B$63=""),"",IFERROR(AC59*1000000.0/$B$63,""))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IF(OR(Y59="",Y68=""),"",IFERROR(Y59*Y68,""))</f>
        <v/>
      </c>
      <c r="Z81" s="20">
        <f>IF(OR(Z59="",Z68=""),"",IFERROR(Z59*Z68,""))</f>
        <v/>
      </c>
      <c r="AA81" s="20">
        <f>IF(OR(AA59="",AA68=""),"",IFERROR(AA59*AA68,""))</f>
        <v/>
      </c>
      <c r="AB81" s="20">
        <f>IF(OR(AB59="",AB68=""),"",IFERROR(AB59*AB68,""))</f>
        <v/>
      </c>
      <c r="AC81" s="20">
        <f>IF(OR(AC59="",AC68=""),"",IFERROR(AC59*AC68,""))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2026.10.26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2024.2Q</t>
        </is>
      </c>
      <c r="D92" s="5" t="inlineStr">
        <is>
          <t>2024.3Q</t>
        </is>
      </c>
      <c r="E92" s="5" t="inlineStr">
        <is>
          <t>2024.4Q</t>
        </is>
      </c>
      <c r="F92" s="5" t="inlineStr">
        <is>
          <t>2025.1Q</t>
        </is>
      </c>
      <c r="G92" s="5" t="inlineStr">
        <is>
          <t>2025.2Q</t>
        </is>
      </c>
      <c r="H92" s="5" t="inlineStr">
        <is>
          <t>2025.3Q</t>
        </is>
      </c>
      <c r="I92" s="5" t="inlineStr">
        <is>
          <t>2025.4Q</t>
        </is>
      </c>
      <c r="J92" s="5" t="inlineStr">
        <is>
          <t>2026.1Q</t>
        </is>
      </c>
      <c r="K92" s="5" t="inlineStr">
        <is>
          <t>2026.2Q</t>
        </is>
      </c>
      <c r="L92" s="5" t="inlineStr">
        <is>
          <t>2026.3Q</t>
        </is>
      </c>
      <c r="M92" s="5" t="inlineStr">
        <is>
          <t>2026.4Q</t>
        </is>
      </c>
      <c r="N92" s="5" t="inlineStr">
        <is>
          <t>2027.1Q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78618</v>
      </c>
      <c r="D93" s="12" t="n">
        <v>85676</v>
      </c>
      <c r="E93" s="12" t="n">
        <v>80911</v>
      </c>
      <c r="F93" s="12" t="n">
        <v>83187</v>
      </c>
      <c r="G93" s="12" t="n">
        <v>83216</v>
      </c>
      <c r="H93" s="12" t="n">
        <v>86742</v>
      </c>
      <c r="I93" s="12" t="n">
        <v>-127889</v>
      </c>
      <c r="J93" s="12" t="n">
        <v>79923</v>
      </c>
      <c r="K93" s="12" t="n">
        <v>83173</v>
      </c>
      <c r="L93" s="12" t="n">
        <v>84090</v>
      </c>
      <c r="M93" s="12" t="n">
        <v>-116970</v>
      </c>
      <c r="N93" s="12" t="n">
        <v>83927</v>
      </c>
      <c r="T93" s="12" t="n">
        <v>51121</v>
      </c>
      <c r="U93" s="12" t="n">
        <v>68419</v>
      </c>
      <c r="V93" s="12" t="n">
        <v>80911</v>
      </c>
      <c r="W93" s="12" t="n">
        <v>-127889</v>
      </c>
      <c r="X93" s="12" t="n">
        <v>-116970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67710</v>
      </c>
      <c r="D95" s="20" t="n">
        <v>73539</v>
      </c>
      <c r="E95" s="20" t="n">
        <v>71588</v>
      </c>
      <c r="F95" s="20" t="n">
        <v>71704</v>
      </c>
      <c r="G95" s="20" t="n">
        <v>71130</v>
      </c>
      <c r="H95" s="20" t="n">
        <v>73633</v>
      </c>
      <c r="I95" s="20" t="n">
        <v>-106213</v>
      </c>
      <c r="J95" s="20" t="n">
        <v>70269</v>
      </c>
      <c r="K95" s="20" t="n">
        <v>72099</v>
      </c>
      <c r="L95" s="20" t="n">
        <v>72251</v>
      </c>
      <c r="M95" s="20" t="n">
        <v>-97253</v>
      </c>
      <c r="N95" s="20" t="n">
        <v>71681</v>
      </c>
      <c r="T95" s="20" t="n">
        <v>44410</v>
      </c>
      <c r="U95" s="20" t="n">
        <v>58581</v>
      </c>
      <c r="V95" s="20" t="n">
        <v>71588</v>
      </c>
      <c r="W95" s="20" t="n">
        <v>-106213</v>
      </c>
      <c r="X95" s="20" t="n">
        <v>-97253</v>
      </c>
    </row>
    <row r="96">
      <c r="A96" s="9" t="inlineStr">
        <is>
          <t>매출총이익</t>
        </is>
      </c>
      <c r="C96" s="12" t="n">
        <v>10908</v>
      </c>
      <c r="D96" s="12" t="n">
        <v>12137</v>
      </c>
      <c r="E96" s="12" t="n">
        <v>9323</v>
      </c>
      <c r="F96" s="12" t="n">
        <v>11483</v>
      </c>
      <c r="G96" s="12" t="n">
        <v>12085</v>
      </c>
      <c r="H96" s="12" t="n">
        <v>13110</v>
      </c>
      <c r="I96" s="12" t="n">
        <v>-21676</v>
      </c>
      <c r="J96" s="12" t="n">
        <v>9653</v>
      </c>
      <c r="K96" s="12" t="n">
        <v>11074</v>
      </c>
      <c r="L96" s="12" t="n">
        <v>11840</v>
      </c>
      <c r="M96" s="12" t="n">
        <v>-19718</v>
      </c>
      <c r="N96" s="12" t="n">
        <v>12246</v>
      </c>
      <c r="T96" s="12" t="n">
        <v>6712</v>
      </c>
      <c r="U96" s="12" t="n">
        <v>9838</v>
      </c>
      <c r="V96" s="12" t="n">
        <v>9323</v>
      </c>
      <c r="W96" s="12" t="n">
        <v>-21676</v>
      </c>
      <c r="X96" s="12" t="n">
        <v>-19718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판매비와 관리비</t>
        </is>
      </c>
      <c r="C98" s="20" t="n">
        <v>6325</v>
      </c>
      <c r="D98" s="20" t="n">
        <v>5990</v>
      </c>
      <c r="E98" s="20" t="n">
        <v>8486</v>
      </c>
      <c r="F98" s="20" t="n">
        <v>5687</v>
      </c>
      <c r="G98" s="20" t="n">
        <v>6924</v>
      </c>
      <c r="H98" s="20" t="n">
        <v>7467</v>
      </c>
      <c r="I98" s="20" t="n">
        <v>-6555</v>
      </c>
      <c r="J98" s="20" t="n">
        <v>6129</v>
      </c>
      <c r="K98" s="20" t="n">
        <v>5200</v>
      </c>
      <c r="L98" s="20" t="n">
        <v>6467</v>
      </c>
      <c r="M98" s="20" t="n">
        <v>-7470</v>
      </c>
      <c r="N98" s="20" t="n">
        <v>6641</v>
      </c>
      <c r="T98" s="20" t="n">
        <v>4209</v>
      </c>
      <c r="U98" s="20" t="n">
        <v>5593</v>
      </c>
      <c r="V98" s="20" t="n">
        <v>8486</v>
      </c>
      <c r="W98" s="20" t="n">
        <v>-6555</v>
      </c>
      <c r="X98" s="20" t="n">
        <v>-7470</v>
      </c>
    </row>
    <row r="99">
      <c r="A99" s="9" t="inlineStr">
        <is>
          <t>영업이익</t>
        </is>
      </c>
      <c r="C99" s="12" t="n">
        <v>4583</v>
      </c>
      <c r="D99" s="12" t="n">
        <v>6147</v>
      </c>
      <c r="E99" s="12" t="n">
        <v>837</v>
      </c>
      <c r="F99" s="12" t="n">
        <v>5796</v>
      </c>
      <c r="G99" s="12" t="n">
        <v>5161</v>
      </c>
      <c r="H99" s="12" t="n">
        <v>5642</v>
      </c>
      <c r="I99" s="12" t="n">
        <v>-15120</v>
      </c>
      <c r="J99" s="12" t="n">
        <v>3523</v>
      </c>
      <c r="K99" s="12" t="n">
        <v>5874</v>
      </c>
      <c r="L99" s="12" t="n">
        <v>5373</v>
      </c>
      <c r="M99" s="12" t="n">
        <v>-12247</v>
      </c>
      <c r="N99" s="12" t="n">
        <v>5604</v>
      </c>
      <c r="T99" s="12" t="n">
        <v>2503</v>
      </c>
      <c r="U99" s="12" t="n">
        <v>4246</v>
      </c>
      <c r="V99" s="12" t="n">
        <v>837</v>
      </c>
      <c r="W99" s="12" t="n">
        <v>-15120</v>
      </c>
      <c r="X99" s="12" t="n">
        <v>-12247</v>
      </c>
    </row>
    <row r="100">
      <c r="A100" s="43" t="inlineStr">
        <is>
          <t>OPM</t>
        </is>
      </c>
      <c r="B100" s="3" t="inlineStr">
        <is>
          <t>영업이익 ÷ 매출</t>
        </is>
      </c>
      <c r="C100" s="15">
        <f>IF(OR(C99="",C93=""),"",IF(C93&lt;=0,"",IFERROR(C99/C93,"")))</f>
        <v/>
      </c>
      <c r="D100" s="15">
        <f>IF(OR(D99="",D93=""),"",IF(D93&lt;=0,"",IFERROR(D99/D93,"")))</f>
        <v/>
      </c>
      <c r="E100" s="15">
        <f>IF(OR(E99="",E93=""),"",IF(E93&lt;=0,"",IFERROR(E99/E93,"")))</f>
        <v/>
      </c>
      <c r="F100" s="15">
        <f>IF(OR(F99="",F93=""),"",IF(F93&lt;=0,"",IFERROR(F99/F93,"")))</f>
        <v/>
      </c>
      <c r="G100" s="15">
        <f>IF(OR(G99="",G93=""),"",IF(G93&lt;=0,"",IFERROR(G99/G93,"")))</f>
        <v/>
      </c>
      <c r="H100" s="15">
        <f>IF(OR(H99="",H93=""),"",IF(H93&lt;=0,"",IFERROR(H99/H93,"")))</f>
        <v/>
      </c>
      <c r="I100" s="15">
        <f>IF(OR(I99="",I93=""),"",IF(I93&lt;=0,"",IFERROR(I99/I93,"")))</f>
        <v/>
      </c>
      <c r="J100" s="15">
        <f>IF(OR(J99="",J93=""),"",IF(J93&lt;=0,"",IFERROR(J99/J93,"")))</f>
        <v/>
      </c>
      <c r="K100" s="15">
        <f>IF(OR(K99="",K93=""),"",IF(K93&lt;=0,"",IFERROR(K99/K93,"")))</f>
        <v/>
      </c>
      <c r="L100" s="15">
        <f>IF(OR(L99="",L93=""),"",IF(L93&lt;=0,"",IFERROR(L99/L93,"")))</f>
        <v/>
      </c>
      <c r="M100" s="15">
        <f>IF(OR(M99="",M93=""),"",IF(M93&lt;=0,"",IFERROR(M99/M93,"")))</f>
        <v/>
      </c>
      <c r="N100" s="15">
        <f>IF(OR(N99="",N93=""),"",IF(N93&lt;=0,"",IFERROR(N99/N93,"")))</f>
        <v/>
      </c>
      <c r="T100" s="15">
        <f>IF(OR(T99="",T93=""),"",IF(T93&lt;=0,"",IFERROR(T99/T93,"")))</f>
        <v/>
      </c>
      <c r="U100" s="15">
        <f>IF(OR(U99="",U93=""),"",IF(U93&lt;=0,"",IFERROR(U99/U93,"")))</f>
        <v/>
      </c>
      <c r="V100" s="15">
        <f>IF(OR(V99="",V93=""),"",IF(V93&lt;=0,"",IFERROR(V99/V93,"")))</f>
        <v/>
      </c>
      <c r="W100" s="15">
        <f>IF(OR(W99="",W93=""),"",IF(W93&lt;=0,"",IFERROR(W99/W93,"")))</f>
        <v/>
      </c>
      <c r="X100" s="15">
        <f>IF(OR(X99="",X93=""),"",IF(X93&lt;=0,"",IFERROR(X99/X93,"")))</f>
        <v/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IF(OR(G99="",C99=""),"",IF(C99&lt;=0,"",IFERROR(G99/C99-1,"")))</f>
        <v/>
      </c>
      <c r="H101" s="15">
        <f>IF(OR(H99="",D99=""),"",IF(D99&lt;=0,"",IFERROR(H99/D99-1,"")))</f>
        <v/>
      </c>
      <c r="I101" s="15">
        <f>IF(OR(I99="",E99=""),"",IF(E99&lt;=0,"",IFERROR(I99/E99-1,"")))</f>
        <v/>
      </c>
      <c r="J101" s="15">
        <f>IF(OR(J99="",F99=""),"",IF(F99&lt;=0,"",IFERROR(J99/F99-1,"")))</f>
        <v/>
      </c>
      <c r="K101" s="15">
        <f>IF(OR(K99="",G99=""),"",IF(G99&lt;=0,"",IFERROR(K99/G99-1,"")))</f>
        <v/>
      </c>
      <c r="L101" s="15">
        <f>IF(OR(L99="",H99=""),"",IF(H99&lt;=0,"",IFERROR(L99/H99-1,"")))</f>
        <v/>
      </c>
      <c r="M101" s="15">
        <f>IF(OR(M99="",I99=""),"",IF(I99&lt;=0,"",IFERROR(M99/I99-1,"")))</f>
        <v/>
      </c>
      <c r="N101" s="15">
        <f>IF(OR(N99="",J99=""),"",IF(J99&lt;=0,"",IFERROR(N99/J99-1,"")))</f>
        <v/>
      </c>
      <c r="T101" s="15">
        <f>IF(OR(T99="",S99=""),"",IF(S99&lt;=0,"",IFERROR(T99/S99-1,"")))</f>
        <v/>
      </c>
      <c r="U101" s="15">
        <f>IF(OR(U99="",T99=""),"",IF(T99&lt;=0,"",IFERROR(U99/T99-1,"")))</f>
        <v/>
      </c>
      <c r="V101" s="15">
        <f>IF(OR(V99="",U99=""),"",IF(U99&lt;=0,"",IFERROR(V99/U99-1,"")))</f>
        <v/>
      </c>
      <c r="W101" s="15">
        <f>IF(OR(W99="",V99=""),"",IF(V99&lt;=0,"",IFERROR(W99/V99-1,"")))</f>
        <v/>
      </c>
      <c r="X101" s="15">
        <f>IF(OR(X99="",W99=""),"",IF(W99&lt;=0,"",IFERROR(X99/W99-1,"")))</f>
        <v/>
      </c>
    </row>
    <row r="102">
      <c r="A102" s="18" t="inlineStr">
        <is>
          <t>이자수익</t>
        </is>
      </c>
      <c r="C102" s="20" t="n">
        <v>229</v>
      </c>
      <c r="D102" s="20" t="n">
        <v>-66</v>
      </c>
      <c r="E102" s="20" t="n">
        <v>246</v>
      </c>
      <c r="F102" s="20" t="n">
        <v>191</v>
      </c>
      <c r="G102" s="20" t="n">
        <v>220</v>
      </c>
      <c r="H102" s="20" t="n">
        <v>225</v>
      </c>
      <c r="I102" s="20" t="n">
        <v>720</v>
      </c>
      <c r="J102" s="20" t="n">
        <v>350</v>
      </c>
      <c r="K102" s="20" t="n">
        <v>257</v>
      </c>
      <c r="L102" s="20" t="n">
        <v>193</v>
      </c>
      <c r="M102" s="20" t="n">
        <v>346</v>
      </c>
      <c r="N102" s="20" t="n">
        <v>265</v>
      </c>
      <c r="T102" s="20" t="n">
        <v>77</v>
      </c>
      <c r="U102" s="20" t="n">
        <v>26</v>
      </c>
      <c r="V102" s="20" t="n">
        <v>246</v>
      </c>
      <c r="W102" s="20" t="n">
        <v>720</v>
      </c>
      <c r="X102" s="20" t="n">
        <v>346</v>
      </c>
    </row>
    <row r="103">
      <c r="A103" s="18" t="inlineStr">
        <is>
          <t>배당금수익</t>
        </is>
      </c>
      <c r="C103" s="20" t="n">
        <v>4</v>
      </c>
      <c r="D103" s="20" t="n">
        <v>70</v>
      </c>
      <c r="E103" s="20" t="n">
        <v>1</v>
      </c>
      <c r="F103" s="20" t="n">
        <v>98</v>
      </c>
      <c r="G103" s="20" t="n">
        <v>7</v>
      </c>
      <c r="H103" s="20" t="n">
        <v>86</v>
      </c>
      <c r="I103" s="20" t="n">
        <v>2</v>
      </c>
      <c r="J103" s="20" t="n">
        <v>106</v>
      </c>
      <c r="K103" s="20" t="n">
        <v>4</v>
      </c>
      <c r="L103" s="20" t="n">
        <v>26</v>
      </c>
      <c r="M103" s="20" t="n">
        <v>2</v>
      </c>
      <c r="N103" s="20" t="n">
        <v>51</v>
      </c>
      <c r="T103" s="20" t="n">
        <v>1</v>
      </c>
      <c r="U103" s="20" t="n">
        <v>0</v>
      </c>
      <c r="V103" s="20" t="n">
        <v>1</v>
      </c>
      <c r="W103" s="20" t="n">
        <v>2</v>
      </c>
      <c r="X103" s="20" t="n">
        <v>2</v>
      </c>
    </row>
    <row r="104">
      <c r="A104" s="18" t="inlineStr">
        <is>
          <t>외환차익</t>
        </is>
      </c>
      <c r="C104" s="20" t="n">
        <v>497</v>
      </c>
      <c r="D104" s="20" t="n">
        <v>-322</v>
      </c>
      <c r="E104" s="20" t="n">
        <v>222</v>
      </c>
      <c r="F104" s="20" t="n">
        <v>493</v>
      </c>
      <c r="G104" s="20" t="n">
        <v>-493</v>
      </c>
      <c r="H104" s="20" t="n">
        <v>0</v>
      </c>
      <c r="I104" s="20" t="n">
        <v>0</v>
      </c>
      <c r="J104" s="20" t="n">
        <v>0</v>
      </c>
      <c r="K104" s="20" t="n">
        <v>55</v>
      </c>
      <c r="L104" s="20" t="n">
        <v>419</v>
      </c>
      <c r="M104" s="20" t="n">
        <v>-78</v>
      </c>
      <c r="N104" s="20" t="n">
        <v>396</v>
      </c>
      <c r="T104" s="20" t="n">
        <v>284</v>
      </c>
      <c r="U104" s="20" t="n">
        <v>-645</v>
      </c>
      <c r="V104" s="20" t="n">
        <v>222</v>
      </c>
      <c r="W104" s="20" t="n">
        <v>0</v>
      </c>
      <c r="X104" s="20" t="n">
        <v>-78</v>
      </c>
    </row>
    <row r="105">
      <c r="A105" s="18" t="inlineStr">
        <is>
          <t>투자유가증권 매각이익</t>
        </is>
      </c>
      <c r="C105" s="20" t="n">
        <v>0</v>
      </c>
      <c r="D105" s="20" t="n">
        <v>0</v>
      </c>
      <c r="E105" s="20" t="n">
        <v>0</v>
      </c>
      <c r="F105" s="20" t="n">
        <v>356</v>
      </c>
      <c r="G105" s="20" t="n">
        <v>0</v>
      </c>
      <c r="H105" s="20" t="n">
        <v>0</v>
      </c>
      <c r="I105" s="20" t="n">
        <v>0</v>
      </c>
      <c r="J105" s="20" t="n">
        <v>0</v>
      </c>
      <c r="K105" s="20" t="n">
        <v>0</v>
      </c>
      <c r="L105" s="20" t="n">
        <v>0</v>
      </c>
      <c r="M105" s="20" t="n">
        <v>0</v>
      </c>
      <c r="V105" s="20" t="n">
        <v>0</v>
      </c>
      <c r="W105" s="20" t="n">
        <v>0</v>
      </c>
      <c r="X105" s="20" t="n">
        <v>0</v>
      </c>
    </row>
    <row r="106">
      <c r="A106" s="18" t="inlineStr">
        <is>
          <t>기타</t>
        </is>
      </c>
      <c r="C106" s="20" t="n">
        <v>75</v>
      </c>
      <c r="D106" s="20" t="n">
        <v>184</v>
      </c>
      <c r="E106" s="20" t="n">
        <v>-124</v>
      </c>
      <c r="F106" s="20" t="n">
        <v>110</v>
      </c>
      <c r="G106" s="20" t="n">
        <v>151</v>
      </c>
      <c r="H106" s="20" t="n">
        <v>245</v>
      </c>
      <c r="I106" s="20" t="n">
        <v>-370</v>
      </c>
      <c r="J106" s="20" t="n">
        <v>95</v>
      </c>
      <c r="K106" s="20" t="n">
        <v>188</v>
      </c>
      <c r="L106" s="20" t="n">
        <v>163</v>
      </c>
      <c r="M106" s="20" t="n">
        <v>-223</v>
      </c>
      <c r="N106" s="20" t="n">
        <v>215</v>
      </c>
      <c r="T106" s="20" t="n">
        <v>41</v>
      </c>
      <c r="U106" s="20" t="n">
        <v>92</v>
      </c>
      <c r="V106" s="20" t="n">
        <v>-124</v>
      </c>
      <c r="W106" s="20" t="n">
        <v>-370</v>
      </c>
      <c r="X106" s="20" t="n">
        <v>-223</v>
      </c>
    </row>
    <row r="107">
      <c r="A107" s="18" t="inlineStr">
        <is>
          <t>영업외수익 합계</t>
        </is>
      </c>
      <c r="C107" s="20" t="n">
        <v>805</v>
      </c>
      <c r="D107" s="20" t="n">
        <v>-134</v>
      </c>
      <c r="E107" s="20" t="n">
        <v>585</v>
      </c>
      <c r="F107" s="20" t="n">
        <v>1251</v>
      </c>
      <c r="G107" s="20" t="n">
        <v>-117</v>
      </c>
      <c r="H107" s="20" t="n">
        <v>556</v>
      </c>
      <c r="I107" s="20" t="n">
        <v>14354</v>
      </c>
      <c r="J107" s="20" t="n">
        <v>552</v>
      </c>
      <c r="K107" s="20" t="n">
        <v>506</v>
      </c>
      <c r="L107" s="20" t="n">
        <v>800</v>
      </c>
      <c r="M107" s="20" t="n">
        <v>12102</v>
      </c>
      <c r="N107" s="20" t="n">
        <v>929</v>
      </c>
      <c r="T107" s="20" t="n">
        <v>433</v>
      </c>
      <c r="U107" s="20" t="n">
        <v>-454</v>
      </c>
      <c r="V107" s="20" t="n">
        <v>585</v>
      </c>
      <c r="W107" s="20" t="n">
        <v>14354</v>
      </c>
      <c r="X107" s="20" t="n">
        <v>12102</v>
      </c>
    </row>
    <row r="108">
      <c r="A108" s="18" t="inlineStr">
        <is>
          <t>이자비용</t>
        </is>
      </c>
      <c r="C108" s="20" t="n">
        <v>208</v>
      </c>
      <c r="D108" s="20" t="n">
        <v>-112</v>
      </c>
      <c r="E108" s="20" t="n">
        <v>37</v>
      </c>
      <c r="F108" s="20" t="n">
        <v>34</v>
      </c>
      <c r="G108" s="20" t="n">
        <v>46</v>
      </c>
      <c r="H108" s="20" t="n">
        <v>38</v>
      </c>
      <c r="I108" s="20" t="n">
        <v>1</v>
      </c>
      <c r="J108" s="20" t="n">
        <v>177</v>
      </c>
      <c r="K108" s="20" t="n">
        <v>153</v>
      </c>
      <c r="L108" s="20" t="n">
        <v>105</v>
      </c>
      <c r="M108" s="20" t="n">
        <v>-75</v>
      </c>
      <c r="N108" s="20" t="n">
        <v>180</v>
      </c>
      <c r="T108" s="20" t="n">
        <v>45</v>
      </c>
      <c r="U108" s="20" t="n">
        <v>35</v>
      </c>
      <c r="V108" s="20" t="n">
        <v>37</v>
      </c>
      <c r="W108" s="20" t="n">
        <v>1</v>
      </c>
      <c r="X108" s="20" t="n">
        <v>-75</v>
      </c>
    </row>
    <row r="109">
      <c r="A109" s="18" t="inlineStr">
        <is>
          <t>외환차손</t>
        </is>
      </c>
      <c r="D109" s="20" t="n">
        <v>0</v>
      </c>
      <c r="E109" s="20" t="n">
        <v>0</v>
      </c>
      <c r="F109" s="20" t="n">
        <v>0</v>
      </c>
      <c r="G109" s="20" t="n">
        <v>326</v>
      </c>
      <c r="H109" s="20" t="n">
        <v>34</v>
      </c>
      <c r="I109" s="20" t="n">
        <v>-163</v>
      </c>
      <c r="J109" s="20" t="n">
        <v>273</v>
      </c>
      <c r="K109" s="20" t="n">
        <v>-273</v>
      </c>
      <c r="L109" s="20" t="n">
        <v>0</v>
      </c>
      <c r="M109" s="20" t="n">
        <v>0</v>
      </c>
      <c r="N109" s="20" t="n">
        <v>0</v>
      </c>
      <c r="V109" s="20" t="n">
        <v>0</v>
      </c>
      <c r="W109" s="20" t="n">
        <v>-163</v>
      </c>
      <c r="X109" s="20" t="n">
        <v>0</v>
      </c>
    </row>
    <row r="110">
      <c r="A110" s="18" t="inlineStr">
        <is>
          <t>지급수수료</t>
        </is>
      </c>
      <c r="J110" s="20" t="n">
        <v>0</v>
      </c>
      <c r="N110" s="20" t="n">
        <v>60</v>
      </c>
    </row>
    <row r="111">
      <c r="A111" s="18" t="inlineStr">
        <is>
          <t>고정자산 제각·매각손실</t>
        </is>
      </c>
      <c r="C111" s="20" t="n">
        <v>93</v>
      </c>
      <c r="D111" s="20" t="n">
        <v>81</v>
      </c>
      <c r="E111" s="20" t="n">
        <v>122</v>
      </c>
      <c r="F111" s="20" t="n">
        <v>50</v>
      </c>
      <c r="G111" s="20" t="n">
        <v>277</v>
      </c>
      <c r="H111" s="20" t="n">
        <v>250</v>
      </c>
      <c r="I111" s="20" t="n">
        <v>-374</v>
      </c>
      <c r="J111" s="20" t="n">
        <v>83</v>
      </c>
      <c r="K111" s="20" t="n">
        <v>21</v>
      </c>
      <c r="L111" s="20" t="n">
        <v>42</v>
      </c>
      <c r="M111" s="20" t="n">
        <v>-36</v>
      </c>
      <c r="N111" s="20" t="n">
        <v>17</v>
      </c>
      <c r="T111" s="20" t="n">
        <v>270</v>
      </c>
      <c r="U111" s="20" t="n">
        <v>95</v>
      </c>
      <c r="V111" s="20" t="n">
        <v>122</v>
      </c>
      <c r="W111" s="20" t="n">
        <v>-374</v>
      </c>
      <c r="X111" s="20" t="n">
        <v>-36</v>
      </c>
    </row>
    <row r="112">
      <c r="A112" s="18" t="inlineStr">
        <is>
          <t>관계회사 청산손실</t>
        </is>
      </c>
      <c r="T112" s="20" t="n">
        <v>24</v>
      </c>
      <c r="U112" s="20" t="n">
        <v>0</v>
      </c>
    </row>
    <row r="113">
      <c r="A113" s="18" t="inlineStr">
        <is>
          <t>기타</t>
        </is>
      </c>
      <c r="C113" s="20" t="n">
        <v>55</v>
      </c>
      <c r="D113" s="20" t="n">
        <v>-26</v>
      </c>
      <c r="E113" s="20" t="n">
        <v>21</v>
      </c>
      <c r="F113" s="20" t="n">
        <v>23</v>
      </c>
      <c r="G113" s="20" t="n">
        <v>48</v>
      </c>
      <c r="H113" s="20" t="n">
        <v>65</v>
      </c>
      <c r="I113" s="20" t="n">
        <v>-25</v>
      </c>
      <c r="J113" s="20" t="n">
        <v>156</v>
      </c>
      <c r="K113" s="20" t="n">
        <v>39</v>
      </c>
      <c r="L113" s="20" t="n">
        <v>25</v>
      </c>
      <c r="M113" s="20" t="n">
        <v>-156</v>
      </c>
      <c r="N113" s="20" t="n">
        <v>29</v>
      </c>
      <c r="T113" s="20" t="n">
        <v>11</v>
      </c>
      <c r="U113" s="20" t="n">
        <v>40</v>
      </c>
      <c r="V113" s="20" t="n">
        <v>21</v>
      </c>
      <c r="W113" s="20" t="n">
        <v>-25</v>
      </c>
      <c r="X113" s="20" t="n">
        <v>-156</v>
      </c>
    </row>
    <row r="114">
      <c r="A114" s="18" t="inlineStr">
        <is>
          <t>영업외비용 합계</t>
        </is>
      </c>
      <c r="C114" s="20" t="n">
        <v>356</v>
      </c>
      <c r="D114" s="20" t="n">
        <v>-57</v>
      </c>
      <c r="E114" s="20" t="n">
        <v>180</v>
      </c>
      <c r="F114" s="20" t="n">
        <v>108</v>
      </c>
      <c r="G114" s="20" t="n">
        <v>698</v>
      </c>
      <c r="H114" s="20" t="n">
        <v>386</v>
      </c>
      <c r="I114" s="20" t="n">
        <v>-561</v>
      </c>
      <c r="J114" s="20" t="n">
        <v>692</v>
      </c>
      <c r="K114" s="20" t="n">
        <v>-62</v>
      </c>
      <c r="L114" s="20" t="n">
        <v>172</v>
      </c>
      <c r="M114" s="20" t="n">
        <v>-267</v>
      </c>
      <c r="N114" s="20" t="n">
        <v>288</v>
      </c>
      <c r="T114" s="20" t="n">
        <v>349</v>
      </c>
      <c r="U114" s="20" t="n">
        <v>170</v>
      </c>
      <c r="V114" s="20" t="n">
        <v>180</v>
      </c>
      <c r="W114" s="20" t="n">
        <v>-561</v>
      </c>
      <c r="X114" s="20" t="n">
        <v>-267</v>
      </c>
    </row>
    <row r="115">
      <c r="A115" s="9" t="inlineStr">
        <is>
          <t>경상이익</t>
        </is>
      </c>
      <c r="C115" s="12" t="n">
        <v>5032</v>
      </c>
      <c r="D115" s="12" t="n">
        <v>6070</v>
      </c>
      <c r="E115" s="12" t="n">
        <v>1242</v>
      </c>
      <c r="F115" s="12" t="n">
        <v>6938</v>
      </c>
      <c r="G115" s="12" t="n">
        <v>4347</v>
      </c>
      <c r="H115" s="12" t="n">
        <v>5812</v>
      </c>
      <c r="I115" s="12" t="n">
        <v>-205</v>
      </c>
      <c r="J115" s="12" t="n">
        <v>3384</v>
      </c>
      <c r="K115" s="12" t="n">
        <v>6441</v>
      </c>
      <c r="L115" s="12" t="n">
        <v>6001</v>
      </c>
      <c r="M115" s="12" t="n">
        <v>121</v>
      </c>
      <c r="N115" s="12" t="n">
        <v>6246</v>
      </c>
      <c r="T115" s="12" t="n">
        <v>2586</v>
      </c>
      <c r="U115" s="12" t="n">
        <v>3623</v>
      </c>
      <c r="V115" s="12" t="n">
        <v>1242</v>
      </c>
      <c r="W115" s="12" t="n">
        <v>-205</v>
      </c>
      <c r="X115" s="12" t="n">
        <v>121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IF(OR(G115="",C115=""),"",IF(C115&lt;=0,"",IFERROR(G115/C115-1,"")))</f>
        <v/>
      </c>
      <c r="H116" s="15">
        <f>IF(OR(H115="",D115=""),"",IF(D115&lt;=0,"",IFERROR(H115/D115-1,"")))</f>
        <v/>
      </c>
      <c r="I116" s="15">
        <f>IF(OR(I115="",E115=""),"",IF(E115&lt;=0,"",IFERROR(I115/E115-1,"")))</f>
        <v/>
      </c>
      <c r="J116" s="15">
        <f>IF(OR(J115="",F115=""),"",IF(F115&lt;=0,"",IFERROR(J115/F115-1,"")))</f>
        <v/>
      </c>
      <c r="K116" s="15">
        <f>IF(OR(K115="",G115=""),"",IF(G115&lt;=0,"",IFERROR(K115/G115-1,"")))</f>
        <v/>
      </c>
      <c r="L116" s="15">
        <f>IF(OR(L115="",H115=""),"",IF(H115&lt;=0,"",IFERROR(L115/H115-1,"")))</f>
        <v/>
      </c>
      <c r="M116" s="15">
        <f>IF(OR(M115="",I115=""),"",IF(I115&lt;=0,"",IFERROR(M115/I115-1,"")))</f>
        <v/>
      </c>
      <c r="N116" s="15">
        <f>IF(OR(N115="",J115=""),"",IF(J115&lt;=0,"",IFERROR(N115/J115-1,"")))</f>
        <v/>
      </c>
      <c r="T116" s="15">
        <f>IF(OR(T115="",S115=""),"",IF(S115&lt;=0,"",IFERROR(T115/S115-1,"")))</f>
        <v/>
      </c>
      <c r="U116" s="15">
        <f>IF(OR(U115="",T115=""),"",IF(T115&lt;=0,"",IFERROR(U115/T115-1,"")))</f>
        <v/>
      </c>
      <c r="V116" s="15">
        <f>IF(OR(V115="",U115=""),"",IF(U115&lt;=0,"",IFERROR(V115/U115-1,"")))</f>
        <v/>
      </c>
      <c r="W116" s="15">
        <f>IF(OR(W115="",V115=""),"",IF(V115&lt;=0,"",IFERROR(W115/V115-1,"")))</f>
        <v/>
      </c>
      <c r="X116" s="15">
        <f>IF(OR(X115="",W115=""),"",IF(W115&lt;=0,"",IFERROR(X115/W115-1,"")))</f>
        <v/>
      </c>
    </row>
    <row r="117">
      <c r="A117" s="18" t="inlineStr">
        <is>
          <t>고정자산 매각이익</t>
        </is>
      </c>
      <c r="H117" s="20" t="n">
        <v>0</v>
      </c>
      <c r="I117" s="20" t="n">
        <v>0</v>
      </c>
      <c r="L117" s="20" t="n">
        <v>0</v>
      </c>
      <c r="M117" s="20" t="n">
        <v>0</v>
      </c>
      <c r="W117" s="20" t="n">
        <v>0</v>
      </c>
      <c r="X117" s="20" t="n">
        <v>0</v>
      </c>
    </row>
    <row r="118">
      <c r="A118" s="18" t="inlineStr">
        <is>
          <t>고정자산 수증이익</t>
        </is>
      </c>
      <c r="F118" s="20" t="n">
        <v>0</v>
      </c>
      <c r="J118" s="20" t="n">
        <v>1289</v>
      </c>
      <c r="N118" s="20" t="n">
        <v>0</v>
      </c>
    </row>
    <row r="119">
      <c r="A119" s="18" t="inlineStr">
        <is>
          <t>투자유가증권 매각이익</t>
        </is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1933</v>
      </c>
      <c r="K119" s="20" t="n">
        <v>0</v>
      </c>
      <c r="L119" s="20" t="n">
        <v>0</v>
      </c>
      <c r="M119" s="20" t="n">
        <v>2291</v>
      </c>
      <c r="N119" s="20" t="n">
        <v>0</v>
      </c>
      <c r="W119" s="20" t="n">
        <v>0</v>
      </c>
      <c r="X119" s="20" t="n">
        <v>2291</v>
      </c>
    </row>
    <row r="120">
      <c r="A120" s="18" t="inlineStr">
        <is>
          <t>보조금 수입</t>
        </is>
      </c>
      <c r="H120" s="20" t="n">
        <v>0</v>
      </c>
      <c r="I120" s="20" t="n">
        <v>0</v>
      </c>
      <c r="L120" s="20" t="n">
        <v>0</v>
      </c>
      <c r="M120" s="20" t="n">
        <v>200</v>
      </c>
      <c r="W120" s="20" t="n">
        <v>0</v>
      </c>
      <c r="X120" s="20" t="n">
        <v>200</v>
      </c>
    </row>
    <row r="121">
      <c r="A121" s="18" t="inlineStr">
        <is>
          <t>신주예약권 환입이익</t>
        </is>
      </c>
      <c r="C121" s="20" t="n">
        <v>0</v>
      </c>
      <c r="D121" s="20" t="n">
        <v>0</v>
      </c>
      <c r="E121" s="20" t="n">
        <v>0</v>
      </c>
      <c r="F121" s="20" t="n">
        <v>11</v>
      </c>
      <c r="G121" s="20" t="n">
        <v>0</v>
      </c>
      <c r="H121" s="20" t="n">
        <v>0</v>
      </c>
      <c r="I121" s="20" t="n">
        <v>0</v>
      </c>
      <c r="J121" s="20" t="n">
        <v>6</v>
      </c>
      <c r="K121" s="20" t="n">
        <v>0</v>
      </c>
      <c r="L121" s="20" t="n">
        <v>0</v>
      </c>
      <c r="M121" s="20" t="n">
        <v>0</v>
      </c>
      <c r="N121" s="20" t="n">
        <v>0</v>
      </c>
      <c r="T121" s="20" t="n">
        <v>0</v>
      </c>
      <c r="U121" s="20" t="n">
        <v>0</v>
      </c>
      <c r="V121" s="20" t="n">
        <v>0</v>
      </c>
      <c r="W121" s="20" t="n">
        <v>0</v>
      </c>
      <c r="X121" s="20" t="n">
        <v>0</v>
      </c>
    </row>
    <row r="122">
      <c r="A122" s="18" t="inlineStr">
        <is>
          <t>특별이익 합계</t>
        </is>
      </c>
      <c r="C122" s="20" t="n">
        <v>0</v>
      </c>
      <c r="D122" s="20" t="n">
        <v>0</v>
      </c>
      <c r="E122" s="20" t="n">
        <v>0</v>
      </c>
      <c r="F122" s="20" t="n">
        <v>11</v>
      </c>
      <c r="G122" s="20" t="n">
        <v>0</v>
      </c>
      <c r="H122" s="20" t="n">
        <v>0</v>
      </c>
      <c r="I122" s="20" t="n">
        <v>0</v>
      </c>
      <c r="J122" s="20" t="n">
        <v>3229</v>
      </c>
      <c r="K122" s="20" t="n">
        <v>646</v>
      </c>
      <c r="L122" s="20" t="n">
        <v>0</v>
      </c>
      <c r="M122" s="20" t="n">
        <v>2491</v>
      </c>
      <c r="N122" s="20" t="n">
        <v>0</v>
      </c>
      <c r="T122" s="20" t="n">
        <v>0</v>
      </c>
      <c r="U122" s="20" t="n">
        <v>0</v>
      </c>
      <c r="V122" s="20" t="n">
        <v>0</v>
      </c>
      <c r="W122" s="20" t="n">
        <v>0</v>
      </c>
      <c r="X122" s="20" t="n">
        <v>2491</v>
      </c>
    </row>
    <row r="123">
      <c r="A123" s="18" t="inlineStr">
        <is>
          <t>Estimated Loss On Leaked Fund Of American Subsidiary EL</t>
        </is>
      </c>
      <c r="C123" s="20" t="n">
        <v>0</v>
      </c>
      <c r="D123" s="20" t="n">
        <v>0</v>
      </c>
      <c r="E123" s="20" t="n">
        <v>0</v>
      </c>
      <c r="T123" s="20" t="n">
        <v>0</v>
      </c>
      <c r="U123" s="20" t="n">
        <v>10</v>
      </c>
      <c r="V123" s="20" t="n">
        <v>0</v>
      </c>
    </row>
    <row r="124">
      <c r="A124" s="18" t="inlineStr">
        <is>
          <t>고정자산 압축손실</t>
        </is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1244</v>
      </c>
      <c r="K124" s="20" t="n">
        <v>409</v>
      </c>
      <c r="L124" s="20" t="n">
        <v>0</v>
      </c>
      <c r="M124" s="20" t="n">
        <v>196</v>
      </c>
      <c r="N124" s="20" t="n">
        <v>0</v>
      </c>
      <c r="W124" s="20" t="n">
        <v>0</v>
      </c>
      <c r="X124" s="20" t="n">
        <v>196</v>
      </c>
    </row>
    <row r="125">
      <c r="A125" s="18" t="inlineStr">
        <is>
          <t>관계회사 주식 매각손실</t>
        </is>
      </c>
      <c r="H125" s="20" t="n">
        <v>0</v>
      </c>
      <c r="I125" s="20" t="n">
        <v>0</v>
      </c>
      <c r="L125" s="20" t="n">
        <v>0</v>
      </c>
      <c r="M125" s="20" t="n">
        <v>327</v>
      </c>
      <c r="W125" s="20" t="n">
        <v>0</v>
      </c>
      <c r="X125" s="20" t="n">
        <v>327</v>
      </c>
    </row>
    <row r="126">
      <c r="A126" s="18" t="inlineStr">
        <is>
          <t>특별손실 합계</t>
        </is>
      </c>
      <c r="C126" s="20" t="n">
        <v>0</v>
      </c>
      <c r="D126" s="20" t="n">
        <v>0</v>
      </c>
      <c r="E126" s="20" t="n">
        <v>0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1244</v>
      </c>
      <c r="K126" s="20" t="n">
        <v>1307</v>
      </c>
      <c r="L126" s="20" t="n">
        <v>0</v>
      </c>
      <c r="M126" s="20" t="n">
        <v>522</v>
      </c>
      <c r="N126" s="20" t="n">
        <v>0</v>
      </c>
      <c r="T126" s="20" t="n">
        <v>0</v>
      </c>
      <c r="U126" s="20" t="n">
        <v>10</v>
      </c>
      <c r="V126" s="20" t="n">
        <v>0</v>
      </c>
      <c r="W126" s="20" t="n">
        <v>0</v>
      </c>
      <c r="X126" s="20" t="n">
        <v>522</v>
      </c>
    </row>
    <row r="127">
      <c r="A127" s="9" t="inlineStr">
        <is>
          <t>법인세차감전 순이익</t>
        </is>
      </c>
      <c r="C127" s="12" t="n">
        <v>5032</v>
      </c>
      <c r="D127" s="12" t="n">
        <v>6070</v>
      </c>
      <c r="E127" s="12" t="n">
        <v>1243</v>
      </c>
      <c r="F127" s="12" t="n">
        <v>6950</v>
      </c>
      <c r="G127" s="12" t="n">
        <v>4347</v>
      </c>
      <c r="H127" s="12" t="n">
        <v>5812</v>
      </c>
      <c r="I127" s="12" t="n">
        <v>-205</v>
      </c>
      <c r="J127" s="12" t="n">
        <v>5369</v>
      </c>
      <c r="K127" s="12" t="n">
        <v>5781</v>
      </c>
      <c r="L127" s="12" t="n">
        <v>6001</v>
      </c>
      <c r="M127" s="12" t="n">
        <v>2089</v>
      </c>
      <c r="N127" s="12" t="n">
        <v>6246</v>
      </c>
      <c r="T127" s="12" t="n">
        <v>2586</v>
      </c>
      <c r="U127" s="12" t="n">
        <v>3612</v>
      </c>
      <c r="V127" s="12" t="n">
        <v>1243</v>
      </c>
      <c r="W127" s="12" t="n">
        <v>-205</v>
      </c>
      <c r="X127" s="12" t="n">
        <v>2089</v>
      </c>
    </row>
    <row r="128">
      <c r="A128" s="18" t="inlineStr">
        <is>
          <t>법인세·주민세·사업세</t>
        </is>
      </c>
      <c r="C128" s="20" t="n">
        <v>922</v>
      </c>
      <c r="D128" s="20" t="n">
        <v>1572</v>
      </c>
      <c r="E128" s="20" t="n">
        <v>868</v>
      </c>
      <c r="F128" s="20" t="n">
        <v>1608</v>
      </c>
      <c r="G128" s="20" t="n">
        <v>1412</v>
      </c>
      <c r="H128" s="20" t="n">
        <v>1386</v>
      </c>
      <c r="I128" s="20" t="n">
        <v>-3566</v>
      </c>
      <c r="J128" s="20" t="n">
        <v>2377</v>
      </c>
      <c r="K128" s="20" t="n">
        <v>1341</v>
      </c>
      <c r="L128" s="20" t="n">
        <v>867</v>
      </c>
      <c r="M128" s="20" t="n">
        <v>-3046</v>
      </c>
      <c r="N128" s="20" t="n">
        <v>2590</v>
      </c>
      <c r="T128" s="20" t="n">
        <v>525</v>
      </c>
      <c r="U128" s="20" t="n">
        <v>677</v>
      </c>
      <c r="V128" s="20" t="n">
        <v>868</v>
      </c>
      <c r="W128" s="20" t="n">
        <v>-3566</v>
      </c>
      <c r="X128" s="20" t="n">
        <v>-3046</v>
      </c>
    </row>
    <row r="129">
      <c r="A129" s="18" t="inlineStr">
        <is>
          <t>법인세 조정액</t>
        </is>
      </c>
      <c r="C129" s="20" t="n">
        <v>228</v>
      </c>
      <c r="D129" s="20" t="n">
        <v>304</v>
      </c>
      <c r="E129" s="20" t="n">
        <v>48</v>
      </c>
      <c r="F129" s="20" t="n">
        <v>-274</v>
      </c>
      <c r="G129" s="20" t="n">
        <v>82</v>
      </c>
      <c r="H129" s="20" t="n">
        <v>497</v>
      </c>
      <c r="I129" s="20" t="n">
        <v>-731</v>
      </c>
      <c r="J129" s="20" t="n">
        <v>-727</v>
      </c>
      <c r="K129" s="20" t="n">
        <v>198</v>
      </c>
      <c r="L129" s="20" t="n">
        <v>525</v>
      </c>
      <c r="M129" s="20" t="n">
        <v>2131</v>
      </c>
      <c r="N129" s="20" t="n">
        <v>-883</v>
      </c>
      <c r="T129" s="20" t="n">
        <v>205</v>
      </c>
      <c r="U129" s="20" t="n">
        <v>1070</v>
      </c>
      <c r="V129" s="20" t="n">
        <v>48</v>
      </c>
      <c r="W129" s="20" t="n">
        <v>-731</v>
      </c>
      <c r="X129" s="20" t="n">
        <v>2131</v>
      </c>
    </row>
    <row r="130">
      <c r="A130" s="18" t="inlineStr">
        <is>
          <t>법인세 등 합계</t>
        </is>
      </c>
      <c r="C130" s="20" t="n">
        <v>1151</v>
      </c>
      <c r="D130" s="20" t="n">
        <v>1876</v>
      </c>
      <c r="E130" s="20" t="n">
        <v>915</v>
      </c>
      <c r="F130" s="20" t="n">
        <v>1334</v>
      </c>
      <c r="G130" s="20" t="n">
        <v>1494</v>
      </c>
      <c r="H130" s="20" t="n">
        <v>1883</v>
      </c>
      <c r="I130" s="20" t="n">
        <v>-4298</v>
      </c>
      <c r="J130" s="20" t="n">
        <v>1649</v>
      </c>
      <c r="K130" s="20" t="n">
        <v>1539</v>
      </c>
      <c r="L130" s="20" t="n">
        <v>1393</v>
      </c>
      <c r="M130" s="20" t="n">
        <v>-914</v>
      </c>
      <c r="N130" s="20" t="n">
        <v>1707</v>
      </c>
      <c r="T130" s="20" t="n">
        <v>730</v>
      </c>
      <c r="U130" s="20" t="n">
        <v>1747</v>
      </c>
      <c r="V130" s="20" t="n">
        <v>915</v>
      </c>
      <c r="W130" s="20" t="n">
        <v>-4298</v>
      </c>
      <c r="X130" s="20" t="n">
        <v>-914</v>
      </c>
    </row>
    <row r="131">
      <c r="A131" s="9" t="inlineStr">
        <is>
          <t>순이익</t>
        </is>
      </c>
      <c r="C131" s="12" t="n">
        <v>3881</v>
      </c>
      <c r="D131" s="12" t="n">
        <v>4194</v>
      </c>
      <c r="E131" s="12" t="n">
        <v>327</v>
      </c>
      <c r="F131" s="12" t="n">
        <v>5616</v>
      </c>
      <c r="G131" s="12" t="n">
        <v>2853</v>
      </c>
      <c r="H131" s="12" t="n">
        <v>3928</v>
      </c>
      <c r="I131" s="12" t="n">
        <v>4094</v>
      </c>
      <c r="J131" s="12" t="n">
        <v>3719</v>
      </c>
      <c r="K131" s="12" t="n">
        <v>4242</v>
      </c>
      <c r="L131" s="12" t="n">
        <v>4608</v>
      </c>
      <c r="M131" s="12" t="n">
        <v>3004</v>
      </c>
      <c r="N131" s="12" t="n">
        <v>4538</v>
      </c>
      <c r="T131" s="12" t="n">
        <v>1856</v>
      </c>
      <c r="U131" s="12" t="n">
        <v>1865</v>
      </c>
      <c r="V131" s="12" t="n">
        <v>327</v>
      </c>
      <c r="W131" s="12" t="n">
        <v>4094</v>
      </c>
      <c r="X131" s="12" t="n">
        <v>3004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3">
      <c r="A133" s="9" t="inlineStr">
        <is>
          <t>비지배주주 순이익</t>
        </is>
      </c>
      <c r="C133" s="12" t="n">
        <v>223</v>
      </c>
      <c r="D133" s="12" t="n">
        <v>212</v>
      </c>
      <c r="E133" s="12" t="n">
        <v>89</v>
      </c>
      <c r="F133" s="12" t="n">
        <v>241</v>
      </c>
      <c r="G133" s="12" t="n">
        <v>221</v>
      </c>
      <c r="H133" s="12" t="n">
        <v>194</v>
      </c>
      <c r="I133" s="12" t="n">
        <v>55</v>
      </c>
      <c r="J133" s="12" t="n">
        <v>164</v>
      </c>
      <c r="K133" s="12" t="n">
        <v>215</v>
      </c>
      <c r="L133" s="12" t="n">
        <v>225</v>
      </c>
      <c r="M133" s="12" t="n">
        <v>100</v>
      </c>
      <c r="N133" s="12" t="n">
        <v>185</v>
      </c>
      <c r="T133" s="12" t="n">
        <v>155</v>
      </c>
      <c r="U133" s="12" t="n">
        <v>205</v>
      </c>
      <c r="V133" s="12" t="n">
        <v>89</v>
      </c>
      <c r="W133" s="12" t="n">
        <v>55</v>
      </c>
      <c r="X133" s="12" t="n">
        <v>100</v>
      </c>
    </row>
    <row r="134">
      <c r="A134" s="9" t="inlineStr">
        <is>
          <t>지배주주 순이익</t>
        </is>
      </c>
      <c r="C134" s="12" t="n">
        <v>3658</v>
      </c>
      <c r="D134" s="12" t="n">
        <v>3981</v>
      </c>
      <c r="E134" s="12" t="n">
        <v>238</v>
      </c>
      <c r="F134" s="12" t="n">
        <v>5375</v>
      </c>
      <c r="G134" s="12" t="n">
        <v>2632</v>
      </c>
      <c r="H134" s="12" t="n">
        <v>3734</v>
      </c>
      <c r="I134" s="12" t="n">
        <v>1493</v>
      </c>
      <c r="J134" s="12" t="n">
        <v>3555</v>
      </c>
      <c r="K134" s="12" t="n">
        <v>4027</v>
      </c>
      <c r="L134" s="12" t="n">
        <v>4383</v>
      </c>
      <c r="M134" s="12" t="n">
        <v>1109</v>
      </c>
      <c r="N134" s="12" t="n">
        <v>4353</v>
      </c>
      <c r="T134" s="12" t="n">
        <v>1701</v>
      </c>
      <c r="U134" s="12" t="n">
        <v>1660</v>
      </c>
      <c r="V134" s="12" t="n">
        <v>238</v>
      </c>
      <c r="W134" s="12" t="n">
        <v>1493</v>
      </c>
      <c r="X134" s="12" t="n">
        <v>1109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7">
      <c r="A137" s="16" t="inlineStr">
        <is>
          <t>포괄손익 · 전 항목</t>
        </is>
      </c>
      <c r="B137" s="42" t="inlineStr">
        <is>
          <t>분기 = 3개월 단독</t>
        </is>
      </c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</row>
    <row r="138">
      <c r="A138" s="5" t="inlineStr">
        <is>
          <t>항목</t>
        </is>
      </c>
      <c r="B138" s="5" t="inlineStr">
        <is>
          <t>참고</t>
        </is>
      </c>
      <c r="C138" s="5" t="inlineStr">
        <is>
          <t>2024.2Q</t>
        </is>
      </c>
      <c r="D138" s="5" t="inlineStr">
        <is>
          <t>2024.3Q</t>
        </is>
      </c>
      <c r="E138" s="5" t="inlineStr">
        <is>
          <t>2024.4Q</t>
        </is>
      </c>
      <c r="F138" s="5" t="inlineStr">
        <is>
          <t>2025.1Q</t>
        </is>
      </c>
      <c r="G138" s="5" t="inlineStr">
        <is>
          <t>2025.2Q</t>
        </is>
      </c>
      <c r="H138" s="5" t="inlineStr">
        <is>
          <t>2025.3Q</t>
        </is>
      </c>
      <c r="I138" s="5" t="inlineStr">
        <is>
          <t>2025.4Q</t>
        </is>
      </c>
      <c r="J138" s="5" t="inlineStr">
        <is>
          <t>2026.1Q</t>
        </is>
      </c>
      <c r="K138" s="5" t="inlineStr">
        <is>
          <t>2026.2Q</t>
        </is>
      </c>
      <c r="L138" s="5" t="inlineStr">
        <is>
          <t>2026.3Q</t>
        </is>
      </c>
      <c r="M138" s="5" t="inlineStr">
        <is>
          <t>2026.4Q</t>
        </is>
      </c>
      <c r="N138" s="5" t="inlineStr">
        <is>
          <t>2027.1Q</t>
        </is>
      </c>
      <c r="O138" s="5" t="inlineStr">
        <is>
          <t>2017</t>
        </is>
      </c>
      <c r="P138" s="5" t="inlineStr">
        <is>
          <t>2018</t>
        </is>
      </c>
      <c r="Q138" s="5" t="inlineStr">
        <is>
          <t>2019</t>
        </is>
      </c>
      <c r="R138" s="5" t="inlineStr">
        <is>
          <t>2020</t>
        </is>
      </c>
      <c r="S138" s="5" t="inlineStr">
        <is>
          <t>2021</t>
        </is>
      </c>
      <c r="T138" s="5" t="inlineStr">
        <is>
          <t>2022</t>
        </is>
      </c>
      <c r="U138" s="5" t="inlineStr">
        <is>
          <t>2023</t>
        </is>
      </c>
      <c r="V138" s="5" t="inlineStr">
        <is>
          <t>2024</t>
        </is>
      </c>
      <c r="W138" s="5" t="inlineStr">
        <is>
          <t>2025</t>
        </is>
      </c>
      <c r="X138" s="5" t="inlineStr">
        <is>
          <t>2026</t>
        </is>
      </c>
      <c r="Y138" s="5" t="inlineStr">
        <is>
          <t>2027(MW)</t>
        </is>
      </c>
      <c r="Z138" s="5" t="inlineStr">
        <is>
          <t>2028(MW)</t>
        </is>
      </c>
      <c r="AA138" s="5" t="inlineStr">
        <is>
          <t>2029(MW)</t>
        </is>
      </c>
      <c r="AB138" s="5" t="inlineStr">
        <is>
          <t>2030(MW)</t>
        </is>
      </c>
      <c r="AC138" s="5" t="inlineStr">
        <is>
          <t>2031(MW)</t>
        </is>
      </c>
    </row>
    <row r="139">
      <c r="A139" s="9" t="inlineStr">
        <is>
          <t>순이익</t>
        </is>
      </c>
      <c r="C139" s="12" t="n">
        <v>3881</v>
      </c>
      <c r="D139" s="12" t="n">
        <v>4194</v>
      </c>
      <c r="E139" s="12" t="n">
        <v>327</v>
      </c>
      <c r="F139" s="12" t="n">
        <v>5616</v>
      </c>
      <c r="G139" s="12" t="n">
        <v>2853</v>
      </c>
      <c r="H139" s="12" t="n">
        <v>3928</v>
      </c>
      <c r="I139" s="12" t="n">
        <v>1549</v>
      </c>
      <c r="J139" s="12" t="n">
        <v>3719</v>
      </c>
      <c r="K139" s="12" t="n">
        <v>4242</v>
      </c>
      <c r="L139" s="12" t="n">
        <v>4608</v>
      </c>
      <c r="M139" s="12" t="n">
        <v>1210</v>
      </c>
      <c r="N139" s="12" t="n">
        <v>4538</v>
      </c>
      <c r="T139" s="12" t="n">
        <v>1856</v>
      </c>
      <c r="U139" s="12" t="n">
        <v>1865</v>
      </c>
      <c r="V139" s="12" t="n">
        <v>327</v>
      </c>
      <c r="W139" s="12" t="n">
        <v>1549</v>
      </c>
      <c r="X139" s="12" t="n">
        <v>1210</v>
      </c>
    </row>
    <row r="140">
      <c r="A140" s="18" t="inlineStr">
        <is>
          <t>기타유가증권 평가차액</t>
        </is>
      </c>
      <c r="C140" s="20" t="n">
        <v>291</v>
      </c>
      <c r="D140" s="20" t="n">
        <v>-369</v>
      </c>
      <c r="E140" s="20" t="n">
        <v>1660</v>
      </c>
      <c r="F140" s="20" t="n">
        <v>-1244</v>
      </c>
      <c r="G140" s="20" t="n">
        <v>-594</v>
      </c>
      <c r="H140" s="20" t="n">
        <v>472</v>
      </c>
      <c r="I140" s="20" t="n">
        <v>-608</v>
      </c>
      <c r="J140" s="20" t="n">
        <v>-1148</v>
      </c>
      <c r="K140" s="20" t="n">
        <v>255</v>
      </c>
      <c r="L140" s="20" t="n">
        <v>299</v>
      </c>
      <c r="M140" s="20" t="n">
        <v>-1428</v>
      </c>
      <c r="N140" s="20" t="n">
        <v>-64</v>
      </c>
      <c r="T140" s="20" t="n">
        <v>-470</v>
      </c>
      <c r="U140" s="20" t="n">
        <v>278</v>
      </c>
      <c r="V140" s="20" t="n">
        <v>1660</v>
      </c>
      <c r="W140" s="20" t="n">
        <v>-608</v>
      </c>
      <c r="X140" s="20" t="n">
        <v>-1428</v>
      </c>
    </row>
    <row r="141">
      <c r="A141" s="18" t="inlineStr">
        <is>
          <t>해외사업환산조정</t>
        </is>
      </c>
      <c r="C141" s="20" t="n">
        <v>1928</v>
      </c>
      <c r="D141" s="20" t="n">
        <v>-2505</v>
      </c>
      <c r="E141" s="20" t="n">
        <v>3724</v>
      </c>
      <c r="F141" s="20" t="n">
        <v>4037</v>
      </c>
      <c r="G141" s="20" t="n">
        <v>-6718</v>
      </c>
      <c r="H141" s="20" t="n">
        <v>3907</v>
      </c>
      <c r="I141" s="20" t="n">
        <v>-4335</v>
      </c>
      <c r="J141" s="20" t="n">
        <v>-1346</v>
      </c>
      <c r="K141" s="20" t="n">
        <v>2234</v>
      </c>
      <c r="L141" s="20" t="n">
        <v>4721</v>
      </c>
      <c r="M141" s="20" t="n">
        <v>1419</v>
      </c>
      <c r="N141" s="20" t="n">
        <v>1080</v>
      </c>
      <c r="T141" s="20" t="n">
        <v>2254</v>
      </c>
      <c r="U141" s="20" t="n">
        <v>-3901</v>
      </c>
      <c r="V141" s="20" t="n">
        <v>3724</v>
      </c>
      <c r="W141" s="20" t="n">
        <v>-4335</v>
      </c>
      <c r="X141" s="20" t="n">
        <v>1419</v>
      </c>
    </row>
    <row r="142">
      <c r="A142" s="18" t="inlineStr">
        <is>
          <t>퇴직급여 조정액</t>
        </is>
      </c>
      <c r="C142" s="20" t="n">
        <v>-67</v>
      </c>
      <c r="D142" s="20" t="n">
        <v>-19</v>
      </c>
      <c r="E142" s="20" t="n">
        <v>8556</v>
      </c>
      <c r="F142" s="20" t="n">
        <v>-244</v>
      </c>
      <c r="G142" s="20" t="n">
        <v>-221</v>
      </c>
      <c r="H142" s="20" t="n">
        <v>-274</v>
      </c>
      <c r="I142" s="20" t="n">
        <v>-2852</v>
      </c>
      <c r="J142" s="20" t="n">
        <v>-155</v>
      </c>
      <c r="K142" s="20" t="n">
        <v>-127</v>
      </c>
      <c r="L142" s="20" t="n">
        <v>-160</v>
      </c>
      <c r="M142" s="20" t="n">
        <v>2691</v>
      </c>
      <c r="N142" s="20" t="n">
        <v>-225</v>
      </c>
      <c r="T142" s="20" t="n">
        <v>2006</v>
      </c>
      <c r="U142" s="20" t="n">
        <v>-1565</v>
      </c>
      <c r="V142" s="20" t="n">
        <v>8556</v>
      </c>
      <c r="W142" s="20" t="n">
        <v>-2852</v>
      </c>
      <c r="X142" s="20" t="n">
        <v>2691</v>
      </c>
    </row>
    <row r="143">
      <c r="A143" s="18" t="inlineStr">
        <is>
          <t>기타포괄손익 합계</t>
        </is>
      </c>
      <c r="C143" s="20" t="n">
        <v>2152</v>
      </c>
      <c r="D143" s="20" t="n">
        <v>-2893</v>
      </c>
      <c r="E143" s="20" t="n">
        <v>13940</v>
      </c>
      <c r="F143" s="20" t="n">
        <v>2549</v>
      </c>
      <c r="G143" s="20" t="n">
        <v>-7534</v>
      </c>
      <c r="H143" s="20" t="n">
        <v>4107</v>
      </c>
      <c r="I143" s="20" t="n">
        <v>-7797</v>
      </c>
      <c r="J143" s="20" t="n">
        <v>-2650</v>
      </c>
      <c r="K143" s="20" t="n">
        <v>2362</v>
      </c>
      <c r="L143" s="20" t="n">
        <v>4860</v>
      </c>
      <c r="M143" s="20" t="n">
        <v>2683</v>
      </c>
      <c r="N143" s="20" t="n">
        <v>790</v>
      </c>
      <c r="T143" s="20" t="n">
        <v>3791</v>
      </c>
      <c r="U143" s="20" t="n">
        <v>-5187</v>
      </c>
      <c r="V143" s="20" t="n">
        <v>13940</v>
      </c>
      <c r="W143" s="20" t="n">
        <v>-7797</v>
      </c>
      <c r="X143" s="20" t="n">
        <v>2683</v>
      </c>
    </row>
    <row r="144">
      <c r="A144" s="9" t="inlineStr">
        <is>
          <t>포괄이익</t>
        </is>
      </c>
      <c r="C144" s="12" t="n">
        <v>6032</v>
      </c>
      <c r="D144" s="12" t="n">
        <v>1302</v>
      </c>
      <c r="E144" s="12" t="n">
        <v>14266</v>
      </c>
      <c r="F144" s="12" t="n">
        <v>8165</v>
      </c>
      <c r="G144" s="12" t="n">
        <v>-4681</v>
      </c>
      <c r="H144" s="12" t="n">
        <v>8035</v>
      </c>
      <c r="I144" s="12" t="n">
        <v>-6248</v>
      </c>
      <c r="J144" s="12" t="n">
        <v>1068</v>
      </c>
      <c r="K144" s="12" t="n">
        <v>6605</v>
      </c>
      <c r="L144" s="12" t="n">
        <v>9469</v>
      </c>
      <c r="M144" s="12" t="n">
        <v>3893</v>
      </c>
      <c r="N144" s="12" t="n">
        <v>5329</v>
      </c>
      <c r="T144" s="12" t="n">
        <v>5647</v>
      </c>
      <c r="U144" s="12" t="n">
        <v>-3323</v>
      </c>
      <c r="V144" s="12" t="n">
        <v>14266</v>
      </c>
      <c r="W144" s="12" t="n">
        <v>-6248</v>
      </c>
      <c r="X144" s="12" t="n">
        <v>3893</v>
      </c>
    </row>
    <row r="145">
      <c r="A145" s="9" t="inlineStr">
        <is>
          <t>지배주주 포괄이익</t>
        </is>
      </c>
      <c r="C145" s="12" t="n">
        <v>5741</v>
      </c>
      <c r="D145" s="12" t="n">
        <v>1221</v>
      </c>
      <c r="E145" s="12" t="n">
        <v>14025</v>
      </c>
      <c r="F145" s="12" t="n">
        <v>7706</v>
      </c>
      <c r="G145" s="12" t="n">
        <v>-4687</v>
      </c>
      <c r="H145" s="12" t="n">
        <v>7732</v>
      </c>
      <c r="I145" s="12" t="n">
        <v>-6072</v>
      </c>
      <c r="J145" s="12" t="n">
        <v>983</v>
      </c>
      <c r="K145" s="12" t="n">
        <v>6387</v>
      </c>
      <c r="L145" s="12" t="n">
        <v>9044</v>
      </c>
      <c r="M145" s="12" t="n">
        <v>4351</v>
      </c>
      <c r="N145" s="12" t="n">
        <v>5175</v>
      </c>
      <c r="T145" s="12" t="n">
        <v>5356</v>
      </c>
      <c r="U145" s="12" t="n">
        <v>-3289</v>
      </c>
      <c r="V145" s="12" t="n">
        <v>14025</v>
      </c>
      <c r="W145" s="12" t="n">
        <v>-6072</v>
      </c>
      <c r="X145" s="12" t="n">
        <v>4351</v>
      </c>
    </row>
    <row r="146">
      <c r="A146" s="9" t="inlineStr">
        <is>
          <t>비지배주주 포괄이익</t>
        </is>
      </c>
      <c r="C146" s="12" t="n">
        <v>292</v>
      </c>
      <c r="D146" s="12" t="n">
        <v>80</v>
      </c>
      <c r="E146" s="12" t="n">
        <v>242</v>
      </c>
      <c r="F146" s="12" t="n">
        <v>458</v>
      </c>
      <c r="G146" s="12" t="n">
        <v>6</v>
      </c>
      <c r="H146" s="12" t="n">
        <v>303</v>
      </c>
      <c r="I146" s="12" t="n">
        <v>-176</v>
      </c>
      <c r="J146" s="12" t="n">
        <v>85</v>
      </c>
      <c r="K146" s="12" t="n">
        <v>218</v>
      </c>
      <c r="L146" s="12" t="n">
        <v>425</v>
      </c>
      <c r="M146" s="12" t="n">
        <v>147</v>
      </c>
      <c r="N146" s="12" t="n">
        <v>154</v>
      </c>
      <c r="T146" s="12" t="n">
        <v>292</v>
      </c>
      <c r="U146" s="12" t="n">
        <v>-33</v>
      </c>
      <c r="V146" s="12" t="n">
        <v>242</v>
      </c>
      <c r="W146" s="12" t="n">
        <v>-176</v>
      </c>
      <c r="X146" s="12" t="n">
        <v>147</v>
      </c>
    </row>
    <row r="148">
      <c r="A148" s="16" t="inlineStr">
        <is>
          <t>부문 · 전 항목</t>
        </is>
      </c>
      <c r="B148" s="42" t="inlineStr">
        <is>
          <t>부문 · 항목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2024.2Q</t>
        </is>
      </c>
      <c r="D149" s="5" t="inlineStr">
        <is>
          <t>2024.3Q</t>
        </is>
      </c>
      <c r="E149" s="5" t="inlineStr">
        <is>
          <t>2024.4Q</t>
        </is>
      </c>
      <c r="F149" s="5" t="inlineStr">
        <is>
          <t>2025.1Q</t>
        </is>
      </c>
      <c r="G149" s="5" t="inlineStr">
        <is>
          <t>2025.2Q</t>
        </is>
      </c>
      <c r="H149" s="5" t="inlineStr">
        <is>
          <t>2025.3Q</t>
        </is>
      </c>
      <c r="I149" s="5" t="inlineStr">
        <is>
          <t>2025.4Q</t>
        </is>
      </c>
      <c r="J149" s="5" t="inlineStr">
        <is>
          <t>2026.1Q</t>
        </is>
      </c>
      <c r="K149" s="5" t="inlineStr">
        <is>
          <t>2026.2Q</t>
        </is>
      </c>
      <c r="L149" s="5" t="inlineStr">
        <is>
          <t>2026.3Q</t>
        </is>
      </c>
      <c r="M149" s="5" t="inlineStr">
        <is>
          <t>2026.4Q</t>
        </is>
      </c>
      <c r="N149" s="5" t="inlineStr">
        <is>
          <t>2027.1Q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18" t="inlineStr">
        <is>
          <t>JapanReportableSegmentsMember · Revenues From External Customers</t>
        </is>
      </c>
      <c r="C150" s="20" t="n">
        <v>24146</v>
      </c>
      <c r="D150" s="20" t="n">
        <v>25234</v>
      </c>
      <c r="E150" s="20" t="n">
        <v>22418</v>
      </c>
      <c r="F150" s="20" t="n">
        <v>22756</v>
      </c>
      <c r="G150" s="20" t="n">
        <v>24771</v>
      </c>
      <c r="H150" s="20" t="n">
        <v>26619</v>
      </c>
      <c r="I150" s="20" t="n">
        <v>25783</v>
      </c>
      <c r="J150" s="20" t="n">
        <v>24138</v>
      </c>
      <c r="K150" s="20" t="n">
        <v>25559</v>
      </c>
      <c r="L150" s="20" t="n">
        <v>25349</v>
      </c>
      <c r="M150" s="20" t="n">
        <v>26164</v>
      </c>
      <c r="N150" s="20" t="n">
        <v>26169</v>
      </c>
      <c r="V150" s="20" t="n">
        <v>22418</v>
      </c>
      <c r="W150" s="20" t="n">
        <v>25783</v>
      </c>
      <c r="X150" s="20" t="n">
        <v>26164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AsiaReportableSegmentsMember · Revenues From External Customers</t>
        </is>
      </c>
      <c r="C152" s="20" t="n">
        <v>34047</v>
      </c>
      <c r="D152" s="20" t="n">
        <v>38602</v>
      </c>
      <c r="E152" s="20" t="n">
        <v>34740</v>
      </c>
      <c r="F152" s="20" t="n">
        <v>35462</v>
      </c>
      <c r="G152" s="20" t="n">
        <v>37563</v>
      </c>
      <c r="H152" s="20" t="n">
        <v>37631</v>
      </c>
      <c r="I152" s="20" t="n">
        <v>33398</v>
      </c>
      <c r="J152" s="20" t="n">
        <v>32805</v>
      </c>
      <c r="K152" s="20" t="n">
        <v>34476</v>
      </c>
      <c r="L152" s="20" t="n">
        <v>35440</v>
      </c>
      <c r="M152" s="20" t="n">
        <v>33059</v>
      </c>
      <c r="N152" s="20" t="n">
        <v>32761</v>
      </c>
      <c r="V152" s="20" t="n">
        <v>34740</v>
      </c>
      <c r="W152" s="20" t="n">
        <v>33398</v>
      </c>
      <c r="X152" s="20" t="n">
        <v>33059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J153" s="15">
        <f>IF(OR(J152="",F152=""),"",IF(F152&lt;=0,"",IFERROR(J152/F152-1,"")))</f>
        <v/>
      </c>
      <c r="K153" s="15">
        <f>IF(OR(K152="",G152=""),"",IF(G152&lt;=0,"",IFERROR(K152/G152-1,"")))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N153" s="15">
        <f>IF(OR(N152="",J152=""),"",IF(J152&lt;=0,"",IFERROR(N152/J152-1,"")))</f>
        <v/>
      </c>
      <c r="V153" s="15">
        <f>IF(OR(V152="",U152=""),"",IF(U152&lt;=0,"",IFERROR(V152/U152-1,"")))</f>
        <v/>
      </c>
      <c r="W153" s="15">
        <f>IF(OR(W152="",V152=""),"",IF(V152&lt;=0,"",IFERROR(W152/V152-1,"")))</f>
        <v/>
      </c>
      <c r="X153" s="15">
        <f>IF(OR(X152="",W152=""),"",IF(W152&lt;=0,"",IFERROR(X152/W152-1,"")))</f>
        <v/>
      </c>
    </row>
    <row r="154">
      <c r="A154" s="18" t="inlineStr">
        <is>
          <t>AmericasReportableSegmentsMember · Revenues From External Customers</t>
        </is>
      </c>
      <c r="C154" s="20" t="n">
        <v>17137</v>
      </c>
      <c r="D154" s="20" t="n">
        <v>17816</v>
      </c>
      <c r="F154" s="20" t="n">
        <v>20486</v>
      </c>
      <c r="G154" s="20" t="n">
        <v>16990</v>
      </c>
      <c r="H154" s="20" t="n">
        <v>18856</v>
      </c>
      <c r="J154" s="20" t="n">
        <v>18995</v>
      </c>
      <c r="K154" s="20" t="n">
        <v>19124</v>
      </c>
      <c r="L154" s="20" t="n">
        <v>19188</v>
      </c>
      <c r="N154" s="20" t="n">
        <v>21360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N155" s="15">
        <f>IF(OR(N154="",J154=""),"",IF(J154&lt;=0,"",IFERROR(N154/J154-1,"")))</f>
        <v/>
      </c>
    </row>
    <row r="156">
      <c r="A156" s="18" t="inlineStr">
        <is>
          <t>EuropeReportableSegmentsMember · Revenues From External Customers</t>
        </is>
      </c>
      <c r="C156" s="20" t="n">
        <v>3289</v>
      </c>
      <c r="D156" s="20" t="n">
        <v>4023</v>
      </c>
      <c r="E156" s="20" t="n">
        <v>4414</v>
      </c>
      <c r="F156" s="20" t="n">
        <v>4482</v>
      </c>
      <c r="G156" s="20" t="n">
        <v>3891</v>
      </c>
      <c r="H156" s="20" t="n">
        <v>3637</v>
      </c>
      <c r="I156" s="20" t="n">
        <v>3919</v>
      </c>
      <c r="J156" s="20" t="n">
        <v>3984</v>
      </c>
      <c r="K156" s="20" t="n">
        <v>4014</v>
      </c>
      <c r="L156" s="20" t="n">
        <v>4113</v>
      </c>
      <c r="M156" s="20" t="n">
        <v>4140</v>
      </c>
      <c r="N156" s="20" t="n">
        <v>3636</v>
      </c>
      <c r="V156" s="20" t="n">
        <v>4414</v>
      </c>
      <c r="W156" s="20" t="n">
        <v>3919</v>
      </c>
      <c r="X156" s="20" t="n">
        <v>4140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V157" s="15">
        <f>IF(OR(V156="",U156=""),"",IF(U156&lt;=0,"",IFERROR(V156/U156-1,"")))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합계 · Revenues From External Customers</t>
        </is>
      </c>
      <c r="C158" s="20" t="n">
        <v>78618</v>
      </c>
      <c r="D158" s="20" t="n">
        <v>85676</v>
      </c>
      <c r="E158" s="20" t="n">
        <v>80911</v>
      </c>
      <c r="F158" s="20" t="n">
        <v>83187</v>
      </c>
      <c r="G158" s="20" t="n">
        <v>83216</v>
      </c>
      <c r="H158" s="20" t="n">
        <v>86742</v>
      </c>
      <c r="I158" s="20" t="n">
        <v>84114</v>
      </c>
      <c r="J158" s="20" t="n">
        <v>79923</v>
      </c>
      <c r="K158" s="20" t="n">
        <v>83173</v>
      </c>
      <c r="L158" s="20" t="n">
        <v>84090</v>
      </c>
      <c r="M158" s="20" t="n">
        <v>83648</v>
      </c>
      <c r="N158" s="20" t="n">
        <v>83927</v>
      </c>
      <c r="V158" s="20" t="n">
        <v>80911</v>
      </c>
      <c r="W158" s="20" t="n">
        <v>84114</v>
      </c>
      <c r="X158" s="20" t="n">
        <v>83648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조정액 · Revenues From External Customers</t>
        </is>
      </c>
      <c r="C160" s="20" t="n">
        <v>0</v>
      </c>
      <c r="D160" s="20" t="n">
        <v>0</v>
      </c>
      <c r="E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0</v>
      </c>
      <c r="N160" s="20" t="n">
        <v>0</v>
      </c>
      <c r="V160" s="20" t="n">
        <v>0</v>
      </c>
      <c r="W160" s="20" t="n">
        <v>0</v>
      </c>
      <c r="X160" s="20" t="n">
        <v>0</v>
      </c>
    </row>
    <row r="161">
      <c r="A161" s="9" t="inlineStr">
        <is>
          <t>Revenues From External Customers</t>
        </is>
      </c>
      <c r="C161" s="12" t="n">
        <v>78618</v>
      </c>
      <c r="D161" s="12" t="n">
        <v>85676</v>
      </c>
      <c r="E161" s="12" t="n">
        <v>80911</v>
      </c>
      <c r="F161" s="12" t="n">
        <v>83187</v>
      </c>
      <c r="G161" s="12" t="n">
        <v>83216</v>
      </c>
      <c r="H161" s="12" t="n">
        <v>86742</v>
      </c>
      <c r="I161" s="12" t="n">
        <v>84114</v>
      </c>
      <c r="V161" s="12" t="n">
        <v>80911</v>
      </c>
      <c r="W161" s="12" t="n">
        <v>84114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</row>
    <row r="163">
      <c r="A163" s="18" t="inlineStr">
        <is>
          <t>EntityTotalMember · Revenues From External Customers</t>
        </is>
      </c>
      <c r="F163" s="20" t="n">
        <v>83187</v>
      </c>
      <c r="J163" s="20" t="n">
        <v>79923</v>
      </c>
      <c r="N163" s="20" t="n">
        <v>83927</v>
      </c>
    </row>
    <row r="164">
      <c r="A164" s="18" t="inlineStr">
        <is>
          <t>JapanReportableSegmentsMember · Transactions With Other Segments</t>
        </is>
      </c>
      <c r="C164" s="20" t="n">
        <v>5658</v>
      </c>
      <c r="D164" s="20" t="n">
        <v>6110</v>
      </c>
      <c r="E164" s="20" t="n">
        <v>5801</v>
      </c>
      <c r="F164" s="20" t="n">
        <v>8563</v>
      </c>
      <c r="G164" s="20" t="n">
        <v>8174</v>
      </c>
      <c r="H164" s="20" t="n">
        <v>8577</v>
      </c>
      <c r="I164" s="20" t="n">
        <v>8381</v>
      </c>
      <c r="J164" s="20" t="n">
        <v>8741</v>
      </c>
      <c r="K164" s="20" t="n">
        <v>9782</v>
      </c>
      <c r="L164" s="20" t="n">
        <v>10098</v>
      </c>
      <c r="M164" s="20" t="n">
        <v>9763</v>
      </c>
      <c r="N164" s="20" t="n">
        <v>10507</v>
      </c>
      <c r="V164" s="20" t="n">
        <v>5801</v>
      </c>
      <c r="W164" s="20" t="n">
        <v>8381</v>
      </c>
      <c r="X164" s="20" t="n">
        <v>9763</v>
      </c>
    </row>
    <row r="165">
      <c r="A165" s="18" t="inlineStr">
        <is>
          <t>AsiaReportableSegmentsMember · Transactions With Other Segments</t>
        </is>
      </c>
      <c r="C165" s="20" t="n">
        <v>296</v>
      </c>
      <c r="D165" s="20" t="n">
        <v>308</v>
      </c>
      <c r="E165" s="20" t="n">
        <v>381</v>
      </c>
      <c r="F165" s="20" t="n">
        <v>397</v>
      </c>
      <c r="G165" s="20" t="n">
        <v>399</v>
      </c>
      <c r="H165" s="20" t="n">
        <v>258</v>
      </c>
      <c r="I165" s="20" t="n">
        <v>236</v>
      </c>
      <c r="J165" s="20" t="n">
        <v>310</v>
      </c>
      <c r="K165" s="20" t="n">
        <v>311</v>
      </c>
      <c r="L165" s="20" t="n">
        <v>290</v>
      </c>
      <c r="M165" s="20" t="n">
        <v>287</v>
      </c>
      <c r="N165" s="20" t="n">
        <v>331</v>
      </c>
      <c r="V165" s="20" t="n">
        <v>381</v>
      </c>
      <c r="W165" s="20" t="n">
        <v>236</v>
      </c>
      <c r="X165" s="20" t="n">
        <v>287</v>
      </c>
    </row>
    <row r="166">
      <c r="A166" s="18" t="inlineStr">
        <is>
          <t>AmericasReportableSegmentsMember · Transactions With Other Segments</t>
        </is>
      </c>
      <c r="C166" s="20" t="n">
        <v>42</v>
      </c>
      <c r="D166" s="20" t="n">
        <v>19</v>
      </c>
      <c r="F166" s="20" t="n">
        <v>15</v>
      </c>
      <c r="G166" s="20" t="n">
        <v>33</v>
      </c>
      <c r="H166" s="20" t="n">
        <v>33</v>
      </c>
      <c r="J166" s="20" t="n">
        <v>9</v>
      </c>
      <c r="K166" s="20" t="n">
        <v>18</v>
      </c>
      <c r="L166" s="20" t="n">
        <v>18</v>
      </c>
      <c r="N166" s="20" t="n">
        <v>24</v>
      </c>
    </row>
    <row r="167">
      <c r="A167" s="18" t="inlineStr">
        <is>
          <t>EuropeReportableSegmentsMember · Transactions With Other Segments</t>
        </is>
      </c>
      <c r="C167" s="20" t="n">
        <v>13</v>
      </c>
      <c r="D167" s="20" t="n">
        <v>10</v>
      </c>
      <c r="E167" s="20" t="n">
        <v>15</v>
      </c>
      <c r="F167" s="20" t="n">
        <v>21</v>
      </c>
      <c r="G167" s="20" t="n">
        <v>11</v>
      </c>
      <c r="H167" s="20" t="n">
        <v>21</v>
      </c>
      <c r="I167" s="20" t="n">
        <v>9</v>
      </c>
      <c r="J167" s="20" t="n">
        <v>2</v>
      </c>
      <c r="K167" s="20" t="n">
        <v>18</v>
      </c>
      <c r="L167" s="20" t="n">
        <v>7</v>
      </c>
      <c r="M167" s="20" t="n">
        <v>10</v>
      </c>
      <c r="N167" s="20" t="n">
        <v>24</v>
      </c>
      <c r="V167" s="20" t="n">
        <v>15</v>
      </c>
      <c r="W167" s="20" t="n">
        <v>9</v>
      </c>
      <c r="X167" s="20" t="n">
        <v>10</v>
      </c>
    </row>
    <row r="168">
      <c r="A168" s="18" t="inlineStr">
        <is>
          <t>합계 · Transactions With Other Segments</t>
        </is>
      </c>
      <c r="C168" s="20" t="n">
        <v>6009</v>
      </c>
      <c r="D168" s="20" t="n">
        <v>6447</v>
      </c>
      <c r="E168" s="20" t="n">
        <v>6203</v>
      </c>
      <c r="F168" s="20" t="n">
        <v>8997</v>
      </c>
      <c r="G168" s="20" t="n">
        <v>8617</v>
      </c>
      <c r="H168" s="20" t="n">
        <v>8890</v>
      </c>
      <c r="I168" s="20" t="n">
        <v>8643</v>
      </c>
      <c r="J168" s="20" t="n">
        <v>9064</v>
      </c>
      <c r="K168" s="20" t="n">
        <v>10128</v>
      </c>
      <c r="L168" s="20" t="n">
        <v>10413</v>
      </c>
      <c r="M168" s="20" t="n">
        <v>10080</v>
      </c>
      <c r="N168" s="20" t="n">
        <v>10888</v>
      </c>
      <c r="V168" s="20" t="n">
        <v>6203</v>
      </c>
      <c r="W168" s="20" t="n">
        <v>8643</v>
      </c>
      <c r="X168" s="20" t="n">
        <v>10080</v>
      </c>
    </row>
    <row r="169">
      <c r="A169" s="18" t="inlineStr">
        <is>
          <t>조정액 · Transactions With Other Segments</t>
        </is>
      </c>
      <c r="C169" s="20" t="n">
        <v>-6009</v>
      </c>
      <c r="D169" s="20" t="n">
        <v>-6447</v>
      </c>
      <c r="E169" s="20" t="n">
        <v>-6203</v>
      </c>
      <c r="F169" s="20" t="n">
        <v>-8997</v>
      </c>
      <c r="G169" s="20" t="n">
        <v>-8617</v>
      </c>
      <c r="H169" s="20" t="n">
        <v>-8890</v>
      </c>
      <c r="I169" s="20" t="n">
        <v>-8643</v>
      </c>
      <c r="J169" s="20" t="n">
        <v>-9064</v>
      </c>
      <c r="K169" s="20" t="n">
        <v>-10128</v>
      </c>
      <c r="L169" s="20" t="n">
        <v>-10413</v>
      </c>
      <c r="M169" s="20" t="n">
        <v>-10080</v>
      </c>
      <c r="N169" s="20" t="n">
        <v>-10888</v>
      </c>
      <c r="V169" s="20" t="n">
        <v>-6203</v>
      </c>
      <c r="W169" s="20" t="n">
        <v>-8643</v>
      </c>
      <c r="X169" s="20" t="n">
        <v>-10080</v>
      </c>
    </row>
    <row r="170">
      <c r="A170" s="18" t="inlineStr">
        <is>
          <t>Transactions With Other Segments</t>
        </is>
      </c>
      <c r="C170" s="20" t="n">
        <v>0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V170" s="20" t="n">
        <v>0</v>
      </c>
      <c r="W170" s="20" t="n">
        <v>0</v>
      </c>
    </row>
    <row r="171">
      <c r="A171" s="18" t="inlineStr">
        <is>
          <t>EntityTotalMember · Transactions With Other Segments</t>
        </is>
      </c>
      <c r="F171" s="20" t="n">
        <v>0</v>
      </c>
      <c r="J171" s="20" t="n">
        <v>0</v>
      </c>
      <c r="N171" s="20" t="n">
        <v>0</v>
      </c>
    </row>
    <row r="172">
      <c r="A172" s="18" t="inlineStr">
        <is>
          <t>JapanReportableSegmentsMember · 계</t>
        </is>
      </c>
      <c r="C172" s="20" t="n">
        <v>29804</v>
      </c>
      <c r="D172" s="20" t="n">
        <v>31345</v>
      </c>
      <c r="E172" s="20" t="n">
        <v>28219</v>
      </c>
      <c r="F172" s="20" t="n">
        <v>31319</v>
      </c>
      <c r="G172" s="20" t="n">
        <v>32946</v>
      </c>
      <c r="H172" s="20" t="n">
        <v>35196</v>
      </c>
      <c r="I172" s="20" t="n">
        <v>34164</v>
      </c>
      <c r="J172" s="20" t="n">
        <v>32879</v>
      </c>
      <c r="K172" s="20" t="n">
        <v>35341</v>
      </c>
      <c r="L172" s="20" t="n">
        <v>35447</v>
      </c>
      <c r="M172" s="20" t="n">
        <v>35928</v>
      </c>
      <c r="N172" s="20" t="n">
        <v>36677</v>
      </c>
      <c r="V172" s="20" t="n">
        <v>28219</v>
      </c>
      <c r="W172" s="20" t="n">
        <v>34164</v>
      </c>
      <c r="X172" s="20" t="n">
        <v>35928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AsiaReportableSegmentsMember · 계</t>
        </is>
      </c>
      <c r="C174" s="20" t="n">
        <v>34343</v>
      </c>
      <c r="D174" s="20" t="n">
        <v>38909</v>
      </c>
      <c r="E174" s="20" t="n">
        <v>35122</v>
      </c>
      <c r="F174" s="20" t="n">
        <v>35860</v>
      </c>
      <c r="G174" s="20" t="n">
        <v>37962</v>
      </c>
      <c r="H174" s="20" t="n">
        <v>37889</v>
      </c>
      <c r="I174" s="20" t="n">
        <v>33634</v>
      </c>
      <c r="J174" s="20" t="n">
        <v>33115</v>
      </c>
      <c r="K174" s="20" t="n">
        <v>34788</v>
      </c>
      <c r="L174" s="20" t="n">
        <v>35730</v>
      </c>
      <c r="M174" s="20" t="n">
        <v>33346</v>
      </c>
      <c r="N174" s="20" t="n">
        <v>33092</v>
      </c>
      <c r="V174" s="20" t="n">
        <v>35122</v>
      </c>
      <c r="W174" s="20" t="n">
        <v>33634</v>
      </c>
      <c r="X174" s="20" t="n">
        <v>33346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N175" s="15">
        <f>IF(OR(N174="",J174=""),"",IF(J174&lt;=0,"",IFERROR(N174/J174-1,"")))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AmericasReportableSegmentsMember · 계</t>
        </is>
      </c>
      <c r="C176" s="20" t="n">
        <v>17179</v>
      </c>
      <c r="D176" s="20" t="n">
        <v>17836</v>
      </c>
      <c r="F176" s="20" t="n">
        <v>20501</v>
      </c>
      <c r="G176" s="20" t="n">
        <v>17024</v>
      </c>
      <c r="H176" s="20" t="n">
        <v>18888</v>
      </c>
      <c r="J176" s="20" t="n">
        <v>19004</v>
      </c>
      <c r="K176" s="20" t="n">
        <v>19142</v>
      </c>
      <c r="L176" s="20" t="n">
        <v>19206</v>
      </c>
      <c r="N176" s="20" t="n">
        <v>21385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N177" s="15">
        <f>IF(OR(N176="",J176=""),"",IF(J176&lt;=0,"",IFERROR(N176/J176-1,"")))</f>
        <v/>
      </c>
    </row>
    <row r="178">
      <c r="A178" s="18" t="inlineStr">
        <is>
          <t>EuropeReportableSegmentsMember · 계</t>
        </is>
      </c>
      <c r="C178" s="20" t="n">
        <v>3301</v>
      </c>
      <c r="D178" s="20" t="n">
        <v>4033</v>
      </c>
      <c r="E178" s="20" t="n">
        <v>4430</v>
      </c>
      <c r="F178" s="20" t="n">
        <v>4504</v>
      </c>
      <c r="G178" s="20" t="n">
        <v>3901</v>
      </c>
      <c r="H178" s="20" t="n">
        <v>3658</v>
      </c>
      <c r="I178" s="20" t="n">
        <v>3929</v>
      </c>
      <c r="J178" s="20" t="n">
        <v>3987</v>
      </c>
      <c r="K178" s="20" t="n">
        <v>4031</v>
      </c>
      <c r="L178" s="20" t="n">
        <v>4120</v>
      </c>
      <c r="M178" s="20" t="n">
        <v>4150</v>
      </c>
      <c r="N178" s="20" t="n">
        <v>3660</v>
      </c>
      <c r="V178" s="20" t="n">
        <v>4430</v>
      </c>
      <c r="W178" s="20" t="n">
        <v>3929</v>
      </c>
      <c r="X178" s="20" t="n">
        <v>4150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합계 · 계</t>
        </is>
      </c>
      <c r="C180" s="20" t="n">
        <v>84627</v>
      </c>
      <c r="D180" s="20" t="n">
        <v>92124</v>
      </c>
      <c r="E180" s="20" t="n">
        <v>87113</v>
      </c>
      <c r="F180" s="20" t="n">
        <v>92185</v>
      </c>
      <c r="G180" s="20" t="n">
        <v>91832</v>
      </c>
      <c r="H180" s="20" t="n">
        <v>95633</v>
      </c>
      <c r="I180" s="20" t="n">
        <v>92756</v>
      </c>
      <c r="J180" s="20" t="n">
        <v>88987</v>
      </c>
      <c r="K180" s="20" t="n">
        <v>93302</v>
      </c>
      <c r="L180" s="20" t="n">
        <v>94503</v>
      </c>
      <c r="M180" s="20" t="n">
        <v>93728</v>
      </c>
      <c r="N180" s="20" t="n">
        <v>94816</v>
      </c>
      <c r="V180" s="20" t="n">
        <v>87113</v>
      </c>
      <c r="W180" s="20" t="n">
        <v>92756</v>
      </c>
      <c r="X180" s="20" t="n">
        <v>93728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조정액 · 계</t>
        </is>
      </c>
      <c r="C182" s="20" t="n">
        <v>-6009</v>
      </c>
      <c r="D182" s="20" t="n">
        <v>-6447</v>
      </c>
      <c r="E182" s="20" t="n">
        <v>-6203</v>
      </c>
      <c r="F182" s="20" t="n">
        <v>-8997</v>
      </c>
      <c r="G182" s="20" t="n">
        <v>-8617</v>
      </c>
      <c r="H182" s="20" t="n">
        <v>-8890</v>
      </c>
      <c r="I182" s="20" t="n">
        <v>-8643</v>
      </c>
      <c r="J182" s="20" t="n">
        <v>-9064</v>
      </c>
      <c r="K182" s="20" t="n">
        <v>-10128</v>
      </c>
      <c r="L182" s="20" t="n">
        <v>-10413</v>
      </c>
      <c r="M182" s="20" t="n">
        <v>-10080</v>
      </c>
      <c r="N182" s="20" t="n">
        <v>-10888</v>
      </c>
      <c r="V182" s="20" t="n">
        <v>-6203</v>
      </c>
      <c r="W182" s="20" t="n">
        <v>-8643</v>
      </c>
      <c r="X182" s="20" t="n">
        <v>-10080</v>
      </c>
    </row>
    <row r="183">
      <c r="A183" s="9" t="inlineStr">
        <is>
          <t>계</t>
        </is>
      </c>
      <c r="C183" s="12" t="n">
        <v>78618</v>
      </c>
      <c r="D183" s="12" t="n">
        <v>85676</v>
      </c>
      <c r="E183" s="12" t="n">
        <v>80911</v>
      </c>
      <c r="F183" s="12" t="n">
        <v>83187</v>
      </c>
      <c r="G183" s="12" t="n">
        <v>83216</v>
      </c>
      <c r="H183" s="12" t="n">
        <v>86742</v>
      </c>
      <c r="I183" s="12" t="n">
        <v>84114</v>
      </c>
      <c r="V183" s="12" t="n">
        <v>80911</v>
      </c>
      <c r="W183" s="12" t="n">
        <v>84114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</row>
    <row r="185">
      <c r="A185" s="18" t="inlineStr">
        <is>
          <t>EntityTotalMember · 계</t>
        </is>
      </c>
      <c r="F185" s="20" t="n">
        <v>83187</v>
      </c>
      <c r="J185" s="20" t="n">
        <v>79923</v>
      </c>
      <c r="N185" s="20" t="n">
        <v>83927</v>
      </c>
    </row>
    <row r="186">
      <c r="A186" s="18" t="inlineStr">
        <is>
          <t>JapanReportableSegmentsMember · 부문 이익(손실)</t>
        </is>
      </c>
      <c r="C186" s="20" t="n">
        <v>490</v>
      </c>
      <c r="D186" s="20" t="n">
        <v>826</v>
      </c>
      <c r="E186" s="20" t="n">
        <v>-939</v>
      </c>
      <c r="F186" s="20" t="n">
        <v>829</v>
      </c>
      <c r="G186" s="20" t="n">
        <v>672</v>
      </c>
      <c r="H186" s="20" t="n">
        <v>7</v>
      </c>
      <c r="I186" s="20" t="n">
        <v>810</v>
      </c>
      <c r="J186" s="20" t="n">
        <v>-663</v>
      </c>
      <c r="K186" s="20" t="n">
        <v>2189</v>
      </c>
      <c r="L186" s="20" t="n">
        <v>1467</v>
      </c>
      <c r="M186" s="20" t="n">
        <v>167</v>
      </c>
      <c r="N186" s="20" t="n">
        <v>-177</v>
      </c>
      <c r="V186" s="20" t="n">
        <v>-939</v>
      </c>
      <c r="W186" s="20" t="n">
        <v>810</v>
      </c>
      <c r="X186" s="20" t="n">
        <v>167</v>
      </c>
    </row>
    <row r="187">
      <c r="A187" s="43" t="inlineStr">
        <is>
          <t>OPM</t>
        </is>
      </c>
      <c r="B187" s="3" t="inlineStr">
        <is>
          <t>영업이익 ÷ 매출</t>
        </is>
      </c>
      <c r="C187" s="15">
        <f>IF(OR(C186="",C172=""),"",IF(C172&lt;=0,"",IFERROR(C186/C172,"")))</f>
        <v/>
      </c>
      <c r="D187" s="15">
        <f>IF(OR(D186="",D172=""),"",IF(D172&lt;=0,"",IFERROR(D186/D172,"")))</f>
        <v/>
      </c>
      <c r="E187" s="15">
        <f>IF(OR(E186="",E172=""),"",IF(E172&lt;=0,"",IFERROR(E186/E172,"")))</f>
        <v/>
      </c>
      <c r="F187" s="15">
        <f>IF(OR(F186="",F172=""),"",IF(F172&lt;=0,"",IFERROR(F186/F172,"")))</f>
        <v/>
      </c>
      <c r="G187" s="15">
        <f>IF(OR(G186="",G172=""),"",IF(G172&lt;=0,"",IFERROR(G186/G172,"")))</f>
        <v/>
      </c>
      <c r="H187" s="15">
        <f>IF(OR(H186="",H172=""),"",IF(H172&lt;=0,"",IFERROR(H186/H172,"")))</f>
        <v/>
      </c>
      <c r="I187" s="15">
        <f>IF(OR(I186="",I172=""),"",IF(I172&lt;=0,"",IFERROR(I186/I172,"")))</f>
        <v/>
      </c>
      <c r="J187" s="15">
        <f>IF(OR(J186="",J172=""),"",IF(J172&lt;=0,"",IFERROR(J186/J172,"")))</f>
        <v/>
      </c>
      <c r="K187" s="15">
        <f>IF(OR(K186="",K172=""),"",IF(K172&lt;=0,"",IFERROR(K186/K172,"")))</f>
        <v/>
      </c>
      <c r="L187" s="15">
        <f>IF(OR(L186="",L172=""),"",IF(L172&lt;=0,"",IFERROR(L186/L172,"")))</f>
        <v/>
      </c>
      <c r="M187" s="15">
        <f>IF(OR(M186="",M172=""),"",IF(M172&lt;=0,"",IFERROR(M186/M172,"")))</f>
        <v/>
      </c>
      <c r="N187" s="15">
        <f>IF(OR(N186="",N172=""),"",IF(N172&lt;=0,"",IFERROR(N186/N172,"")))</f>
        <v/>
      </c>
      <c r="V187" s="15">
        <f>IF(OR(V186="",V172=""),"",IF(V172&lt;=0,"",IFERROR(V186/V172,"")))</f>
        <v/>
      </c>
      <c r="W187" s="15">
        <f>IF(OR(W186="",W172=""),"",IF(W172&lt;=0,"",IFERROR(W186/W172,"")))</f>
        <v/>
      </c>
      <c r="X187" s="15">
        <f>IF(OR(X186="",X172=""),"",IF(X172&lt;=0,"",IFERROR(X186/X172,"")))</f>
        <v/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IF(OR(G186="",C186=""),"",IF(C186&lt;=0,"",IFERROR(G186/C186-1,"")))</f>
        <v/>
      </c>
      <c r="H188" s="15">
        <f>IF(OR(H186="",D186=""),"",IF(D186&lt;=0,"",IFERROR(H186/D186-1,"")))</f>
        <v/>
      </c>
      <c r="I188" s="15">
        <f>IF(OR(I186="",E186=""),"",IF(E186&lt;=0,"",IFERROR(I186/E186-1,"")))</f>
        <v/>
      </c>
      <c r="J188" s="15">
        <f>IF(OR(J186="",F186=""),"",IF(F186&lt;=0,"",IFERROR(J186/F186-1,"")))</f>
        <v/>
      </c>
      <c r="K188" s="15">
        <f>IF(OR(K186="",G186=""),"",IF(G186&lt;=0,"",IFERROR(K186/G186-1,"")))</f>
        <v/>
      </c>
      <c r="L188" s="15">
        <f>IF(OR(L186="",H186=""),"",IF(H186&lt;=0,"",IFERROR(L186/H186-1,"")))</f>
        <v/>
      </c>
      <c r="M188" s="15">
        <f>IF(OR(M186="",I186=""),"",IF(I186&lt;=0,"",IFERROR(M186/I186-1,"")))</f>
        <v/>
      </c>
      <c r="N188" s="15">
        <f>IF(OR(N186="",J186=""),"",IF(J186&lt;=0,"",IFERROR(N186/J186-1,"")))</f>
        <v/>
      </c>
      <c r="V188" s="15">
        <f>IF(OR(V186="",U186=""),"",IF(U186&lt;=0,"",IFERROR(V186/U186-1,"")))</f>
        <v/>
      </c>
      <c r="W188" s="15">
        <f>IF(OR(W186="",V186=""),"",IF(V186&lt;=0,"",IFERROR(W186/V186-1,"")))</f>
        <v/>
      </c>
      <c r="X188" s="15">
        <f>IF(OR(X186="",W186=""),"",IF(W186&lt;=0,"",IFERROR(X186/W186-1,"")))</f>
        <v/>
      </c>
    </row>
    <row r="189">
      <c r="A189" s="18" t="inlineStr">
        <is>
          <t>AsiaReportableSegmentsMember · 부문 이익(손실)</t>
        </is>
      </c>
      <c r="C189" s="20" t="n">
        <v>3111</v>
      </c>
      <c r="D189" s="20" t="n">
        <v>3293</v>
      </c>
      <c r="E189" s="20" t="n">
        <v>-702</v>
      </c>
      <c r="F189" s="20" t="n">
        <v>3329</v>
      </c>
      <c r="G189" s="20" t="n">
        <v>3225</v>
      </c>
      <c r="H189" s="20" t="n">
        <v>3147</v>
      </c>
      <c r="I189" s="20" t="n">
        <v>-1899</v>
      </c>
      <c r="J189" s="20" t="n">
        <v>2254</v>
      </c>
      <c r="K189" s="20" t="n">
        <v>2519</v>
      </c>
      <c r="L189" s="20" t="n">
        <v>2885</v>
      </c>
      <c r="M189" s="20" t="n">
        <v>1708</v>
      </c>
      <c r="N189" s="20" t="n">
        <v>2056</v>
      </c>
      <c r="V189" s="20" t="n">
        <v>-702</v>
      </c>
      <c r="W189" s="20" t="n">
        <v>-1899</v>
      </c>
      <c r="X189" s="20" t="n">
        <v>1708</v>
      </c>
    </row>
    <row r="190">
      <c r="A190" s="43" t="inlineStr">
        <is>
          <t>OPM</t>
        </is>
      </c>
      <c r="B190" s="3" t="inlineStr">
        <is>
          <t>영업이익 ÷ 매출</t>
        </is>
      </c>
      <c r="C190" s="15">
        <f>IF(OR(C189="",C174=""),"",IF(C174&lt;=0,"",IFERROR(C189/C174,"")))</f>
        <v/>
      </c>
      <c r="D190" s="15">
        <f>IF(OR(D189="",D174=""),"",IF(D174&lt;=0,"",IFERROR(D189/D174,"")))</f>
        <v/>
      </c>
      <c r="E190" s="15">
        <f>IF(OR(E189="",E174=""),"",IF(E174&lt;=0,"",IFERROR(E189/E174,"")))</f>
        <v/>
      </c>
      <c r="F190" s="15">
        <f>IF(OR(F189="",F174=""),"",IF(F174&lt;=0,"",IFERROR(F189/F174,"")))</f>
        <v/>
      </c>
      <c r="G190" s="15">
        <f>IF(OR(G189="",G174=""),"",IF(G174&lt;=0,"",IFERROR(G189/G174,"")))</f>
        <v/>
      </c>
      <c r="H190" s="15">
        <f>IF(OR(H189="",H174=""),"",IF(H174&lt;=0,"",IFERROR(H189/H174,"")))</f>
        <v/>
      </c>
      <c r="I190" s="15">
        <f>IF(OR(I189="",I174=""),"",IF(I174&lt;=0,"",IFERROR(I189/I174,"")))</f>
        <v/>
      </c>
      <c r="J190" s="15">
        <f>IF(OR(J189="",J174=""),"",IF(J174&lt;=0,"",IFERROR(J189/J174,"")))</f>
        <v/>
      </c>
      <c r="K190" s="15">
        <f>IF(OR(K189="",K174=""),"",IF(K174&lt;=0,"",IFERROR(K189/K174,"")))</f>
        <v/>
      </c>
      <c r="L190" s="15">
        <f>IF(OR(L189="",L174=""),"",IF(L174&lt;=0,"",IFERROR(L189/L174,"")))</f>
        <v/>
      </c>
      <c r="M190" s="15">
        <f>IF(OR(M189="",M174=""),"",IF(M174&lt;=0,"",IFERROR(M189/M174,"")))</f>
        <v/>
      </c>
      <c r="N190" s="15">
        <f>IF(OR(N189="",N174=""),"",IF(N174&lt;=0,"",IFERROR(N189/N174,"")))</f>
        <v/>
      </c>
      <c r="V190" s="15">
        <f>IF(OR(V189="",V174=""),"",IF(V174&lt;=0,"",IFERROR(V189/V174,"")))</f>
        <v/>
      </c>
      <c r="W190" s="15">
        <f>IF(OR(W189="",W174=""),"",IF(W174&lt;=0,"",IFERROR(W189/W174,"")))</f>
        <v/>
      </c>
      <c r="X190" s="15">
        <f>IF(OR(X189="",X174=""),"",IF(X174&lt;=0,"",IFERROR(X189/X174,"")))</f>
        <v/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IF(OR(G189="",C189=""),"",IF(C189&lt;=0,"",IFERROR(G189/C189-1,"")))</f>
        <v/>
      </c>
      <c r="H191" s="15">
        <f>IF(OR(H189="",D189=""),"",IF(D189&lt;=0,"",IFERROR(H189/D189-1,"")))</f>
        <v/>
      </c>
      <c r="I191" s="15">
        <f>IF(OR(I189="",E189=""),"",IF(E189&lt;=0,"",IFERROR(I189/E189-1,"")))</f>
        <v/>
      </c>
      <c r="J191" s="15">
        <f>IF(OR(J189="",F189=""),"",IF(F189&lt;=0,"",IFERROR(J189/F189-1,"")))</f>
        <v/>
      </c>
      <c r="K191" s="15">
        <f>IF(OR(K189="",G189=""),"",IF(G189&lt;=0,"",IFERROR(K189/G189-1,"")))</f>
        <v/>
      </c>
      <c r="L191" s="15">
        <f>IF(OR(L189="",H189=""),"",IF(H189&lt;=0,"",IFERROR(L189/H189-1,"")))</f>
        <v/>
      </c>
      <c r="M191" s="15">
        <f>IF(OR(M189="",I189=""),"",IF(I189&lt;=0,"",IFERROR(M189/I189-1,"")))</f>
        <v/>
      </c>
      <c r="N191" s="15">
        <f>IF(OR(N189="",J189=""),"",IF(J189&lt;=0,"",IFERROR(N189/J189-1,"")))</f>
        <v/>
      </c>
      <c r="V191" s="15">
        <f>IF(OR(V189="",U189=""),"",IF(U189&lt;=0,"",IFERROR(V189/U189-1,"")))</f>
        <v/>
      </c>
      <c r="W191" s="15">
        <f>IF(OR(W189="",V189=""),"",IF(V189&lt;=0,"",IFERROR(W189/V189-1,"")))</f>
        <v/>
      </c>
      <c r="X191" s="15">
        <f>IF(OR(X189="",W189=""),"",IF(W189&lt;=0,"",IFERROR(X189/W189-1,"")))</f>
        <v/>
      </c>
    </row>
    <row r="192">
      <c r="A192" s="18" t="inlineStr">
        <is>
          <t>AmericasReportableSegmentsMember · 부문 이익(손실)</t>
        </is>
      </c>
      <c r="C192" s="20" t="n">
        <v>890</v>
      </c>
      <c r="D192" s="20" t="n">
        <v>1653</v>
      </c>
      <c r="F192" s="20" t="n">
        <v>1186</v>
      </c>
      <c r="G192" s="20" t="n">
        <v>1193</v>
      </c>
      <c r="H192" s="20" t="n">
        <v>2234</v>
      </c>
      <c r="J192" s="20" t="n">
        <v>1404</v>
      </c>
      <c r="K192" s="20" t="n">
        <v>982</v>
      </c>
      <c r="L192" s="20" t="n">
        <v>790</v>
      </c>
      <c r="N192" s="20" t="n">
        <v>3357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IF(OR(C192="",C176=""),"",IF(C176&lt;=0,"",IFERROR(C192/C176,"")))</f>
        <v/>
      </c>
      <c r="D193" s="15">
        <f>IF(OR(D192="",D176=""),"",IF(D176&lt;=0,"",IFERROR(D192/D176,"")))</f>
        <v/>
      </c>
      <c r="F193" s="15">
        <f>IF(OR(F192="",F176=""),"",IF(F176&lt;=0,"",IFERROR(F192/F176,"")))</f>
        <v/>
      </c>
      <c r="G193" s="15">
        <f>IF(OR(G192="",G176=""),"",IF(G176&lt;=0,"",IFERROR(G192/G176,"")))</f>
        <v/>
      </c>
      <c r="H193" s="15">
        <f>IF(OR(H192="",H176=""),"",IF(H176&lt;=0,"",IFERROR(H192/H176,"")))</f>
        <v/>
      </c>
      <c r="J193" s="15">
        <f>IF(OR(J192="",J176=""),"",IF(J176&lt;=0,"",IFERROR(J192/J176,"")))</f>
        <v/>
      </c>
      <c r="K193" s="15">
        <f>IF(OR(K192="",K176=""),"",IF(K176&lt;=0,"",IFERROR(K192/K176,"")))</f>
        <v/>
      </c>
      <c r="L193" s="15">
        <f>IF(OR(L192="",L176=""),"",IF(L176&lt;=0,"",IFERROR(L192/L176,"")))</f>
        <v/>
      </c>
      <c r="N193" s="15">
        <f>IF(OR(N192="",N176=""),"",IF(N176&lt;=0,"",IFERROR(N192/N176,"")))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J194" s="15">
        <f>IF(OR(J192="",F192=""),"",IF(F192&lt;=0,"",IFERROR(J192/F192-1,"")))</f>
        <v/>
      </c>
      <c r="K194" s="15">
        <f>IF(OR(K192="",G192=""),"",IF(G192&lt;=0,"",IFERROR(K192/G192-1,"")))</f>
        <v/>
      </c>
      <c r="L194" s="15">
        <f>IF(OR(L192="",H192=""),"",IF(H192&lt;=0,"",IFERROR(L192/H192-1,"")))</f>
        <v/>
      </c>
      <c r="N194" s="15">
        <f>IF(OR(N192="",J192=""),"",IF(J192&lt;=0,"",IFERROR(N192/J192-1,"")))</f>
        <v/>
      </c>
    </row>
    <row r="195">
      <c r="A195" s="18" t="inlineStr">
        <is>
          <t>EuropeReportableSegmentsMember · 부문 이익(손실)</t>
        </is>
      </c>
      <c r="C195" s="20" t="n">
        <v>16</v>
      </c>
      <c r="D195" s="20" t="n">
        <v>290</v>
      </c>
      <c r="E195" s="20" t="n">
        <v>427</v>
      </c>
      <c r="F195" s="20" t="n">
        <v>444</v>
      </c>
      <c r="G195" s="20" t="n">
        <v>398</v>
      </c>
      <c r="H195" s="20" t="n">
        <v>202</v>
      </c>
      <c r="I195" s="20" t="n">
        <v>243</v>
      </c>
      <c r="J195" s="20" t="n">
        <v>259</v>
      </c>
      <c r="K195" s="20" t="n">
        <v>262</v>
      </c>
      <c r="L195" s="20" t="n">
        <v>361</v>
      </c>
      <c r="M195" s="20" t="n">
        <v>298</v>
      </c>
      <c r="N195" s="20" t="n">
        <v>96</v>
      </c>
      <c r="V195" s="20" t="n">
        <v>427</v>
      </c>
      <c r="W195" s="20" t="n">
        <v>243</v>
      </c>
      <c r="X195" s="20" t="n">
        <v>298</v>
      </c>
    </row>
    <row r="196">
      <c r="A196" s="43" t="inlineStr">
        <is>
          <t>OPM</t>
        </is>
      </c>
      <c r="B196" s="3" t="inlineStr">
        <is>
          <t>영업이익 ÷ 매출</t>
        </is>
      </c>
      <c r="C196" s="15">
        <f>IF(OR(C195="",C178=""),"",IF(C178&lt;=0,"",IFERROR(C195/C178,"")))</f>
        <v/>
      </c>
      <c r="D196" s="15">
        <f>IF(OR(D195="",D178=""),"",IF(D178&lt;=0,"",IFERROR(D195/D178,"")))</f>
        <v/>
      </c>
      <c r="E196" s="15">
        <f>IF(OR(E195="",E178=""),"",IF(E178&lt;=0,"",IFERROR(E195/E178,"")))</f>
        <v/>
      </c>
      <c r="F196" s="15">
        <f>IF(OR(F195="",F178=""),"",IF(F178&lt;=0,"",IFERROR(F195/F178,"")))</f>
        <v/>
      </c>
      <c r="G196" s="15">
        <f>IF(OR(G195="",G178=""),"",IF(G178&lt;=0,"",IFERROR(G195/G178,"")))</f>
        <v/>
      </c>
      <c r="H196" s="15">
        <f>IF(OR(H195="",H178=""),"",IF(H178&lt;=0,"",IFERROR(H195/H178,"")))</f>
        <v/>
      </c>
      <c r="I196" s="15">
        <f>IF(OR(I195="",I178=""),"",IF(I178&lt;=0,"",IFERROR(I195/I178,"")))</f>
        <v/>
      </c>
      <c r="J196" s="15">
        <f>IF(OR(J195="",J178=""),"",IF(J178&lt;=0,"",IFERROR(J195/J178,"")))</f>
        <v/>
      </c>
      <c r="K196" s="15">
        <f>IF(OR(K195="",K178=""),"",IF(K178&lt;=0,"",IFERROR(K195/K178,"")))</f>
        <v/>
      </c>
      <c r="L196" s="15">
        <f>IF(OR(L195="",L178=""),"",IF(L178&lt;=0,"",IFERROR(L195/L178,"")))</f>
        <v/>
      </c>
      <c r="M196" s="15">
        <f>IF(OR(M195="",M178=""),"",IF(M178&lt;=0,"",IFERROR(M195/M178,"")))</f>
        <v/>
      </c>
      <c r="N196" s="15">
        <f>IF(OR(N195="",N178=""),"",IF(N178&lt;=0,"",IFERROR(N195/N178,"")))</f>
        <v/>
      </c>
      <c r="V196" s="15">
        <f>IF(OR(V195="",V178=""),"",IF(V178&lt;=0,"",IFERROR(V195/V178,"")))</f>
        <v/>
      </c>
      <c r="W196" s="15">
        <f>IF(OR(W195="",W178=""),"",IF(W178&lt;=0,"",IFERROR(W195/W178,"")))</f>
        <v/>
      </c>
      <c r="X196" s="15">
        <f>IF(OR(X195="",X178=""),"",IF(X178&lt;=0,"",IFERROR(X195/X178,"")))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  <c r="H197" s="15">
        <f>IF(OR(H195="",D195=""),"",IF(D195&lt;=0,"",IFERROR(H195/D195-1,"")))</f>
        <v/>
      </c>
      <c r="I197" s="15">
        <f>IF(OR(I195="",E195=""),"",IF(E195&lt;=0,"",IFERROR(I195/E195-1,"")))</f>
        <v/>
      </c>
      <c r="J197" s="15">
        <f>IF(OR(J195="",F195=""),"",IF(F195&lt;=0,"",IFERROR(J195/F195-1,"")))</f>
        <v/>
      </c>
      <c r="K197" s="15">
        <f>IF(OR(K195="",G195=""),"",IF(G195&lt;=0,"",IFERROR(K195/G195-1,"")))</f>
        <v/>
      </c>
      <c r="L197" s="15">
        <f>IF(OR(L195="",H195=""),"",IF(H195&lt;=0,"",IFERROR(L195/H195-1,"")))</f>
        <v/>
      </c>
      <c r="M197" s="15">
        <f>IF(OR(M195="",I195=""),"",IF(I195&lt;=0,"",IFERROR(M195/I195-1,"")))</f>
        <v/>
      </c>
      <c r="N197" s="15">
        <f>IF(OR(N195="",J195=""),"",IF(J195&lt;=0,"",IFERROR(N195/J195-1,"")))</f>
        <v/>
      </c>
      <c r="V197" s="15">
        <f>IF(OR(V195="",U195=""),"",IF(U195&lt;=0,"",IFERROR(V195/U195-1,"")))</f>
        <v/>
      </c>
      <c r="W197" s="15">
        <f>IF(OR(W195="",V195=""),"",IF(V195&lt;=0,"",IFERROR(W195/V195-1,"")))</f>
        <v/>
      </c>
      <c r="X197" s="15">
        <f>IF(OR(X195="",W195=""),"",IF(W195&lt;=0,"",IFERROR(X195/W195-1,"")))</f>
        <v/>
      </c>
    </row>
    <row r="198">
      <c r="A198" s="18" t="inlineStr">
        <is>
          <t>합계 · 부문 이익(손실)</t>
        </is>
      </c>
      <c r="C198" s="20" t="n">
        <v>4506</v>
      </c>
      <c r="D198" s="20" t="n">
        <v>6064</v>
      </c>
      <c r="E198" s="20" t="n">
        <v>702</v>
      </c>
      <c r="F198" s="20" t="n">
        <v>5791</v>
      </c>
      <c r="G198" s="20" t="n">
        <v>5487</v>
      </c>
      <c r="H198" s="20" t="n">
        <v>5590</v>
      </c>
      <c r="I198" s="20" t="n">
        <v>1695</v>
      </c>
      <c r="J198" s="20" t="n">
        <v>3254</v>
      </c>
      <c r="K198" s="20" t="n">
        <v>5954</v>
      </c>
      <c r="L198" s="20" t="n">
        <v>5503</v>
      </c>
      <c r="M198" s="20" t="n">
        <v>3399</v>
      </c>
      <c r="N198" s="20" t="n">
        <v>5333</v>
      </c>
      <c r="V198" s="20" t="n">
        <v>702</v>
      </c>
      <c r="W198" s="20" t="n">
        <v>1695</v>
      </c>
      <c r="X198" s="20" t="n">
        <v>3399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IF(OR(C198="",C180=""),"",IF(C180&lt;=0,"",IFERROR(C198/C180,"")))</f>
        <v/>
      </c>
      <c r="D199" s="15">
        <f>IF(OR(D198="",D180=""),"",IF(D180&lt;=0,"",IFERROR(D198/D180,"")))</f>
        <v/>
      </c>
      <c r="E199" s="15">
        <f>IF(OR(E198="",E180=""),"",IF(E180&lt;=0,"",IFERROR(E198/E180,"")))</f>
        <v/>
      </c>
      <c r="F199" s="15">
        <f>IF(OR(F198="",F180=""),"",IF(F180&lt;=0,"",IFERROR(F198/F180,"")))</f>
        <v/>
      </c>
      <c r="G199" s="15">
        <f>IF(OR(G198="",G180=""),"",IF(G180&lt;=0,"",IFERROR(G198/G180,"")))</f>
        <v/>
      </c>
      <c r="H199" s="15">
        <f>IF(OR(H198="",H180=""),"",IF(H180&lt;=0,"",IFERROR(H198/H180,"")))</f>
        <v/>
      </c>
      <c r="I199" s="15">
        <f>IF(OR(I198="",I180=""),"",IF(I180&lt;=0,"",IFERROR(I198/I180,"")))</f>
        <v/>
      </c>
      <c r="J199" s="15">
        <f>IF(OR(J198="",J180=""),"",IF(J180&lt;=0,"",IFERROR(J198/J180,"")))</f>
        <v/>
      </c>
      <c r="K199" s="15">
        <f>IF(OR(K198="",K180=""),"",IF(K180&lt;=0,"",IFERROR(K198/K180,"")))</f>
        <v/>
      </c>
      <c r="L199" s="15">
        <f>IF(OR(L198="",L180=""),"",IF(L180&lt;=0,"",IFERROR(L198/L180,"")))</f>
        <v/>
      </c>
      <c r="M199" s="15">
        <f>IF(OR(M198="",M180=""),"",IF(M180&lt;=0,"",IFERROR(M198/M180,"")))</f>
        <v/>
      </c>
      <c r="N199" s="15">
        <f>IF(OR(N198="",N180=""),"",IF(N180&lt;=0,"",IFERROR(N198/N180,"")))</f>
        <v/>
      </c>
      <c r="V199" s="15">
        <f>IF(OR(V198="",V180=""),"",IF(V180&lt;=0,"",IFERROR(V198/V180,"")))</f>
        <v/>
      </c>
      <c r="W199" s="15">
        <f>IF(OR(W198="",W180=""),"",IF(W180&lt;=0,"",IFERROR(W198/W180,"")))</f>
        <v/>
      </c>
      <c r="X199" s="15">
        <f>IF(OR(X198="",X180=""),"",IF(X180&lt;=0,"",IFERROR(X198/X180,"")))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K200" s="15">
        <f>IF(OR(K198="",G198=""),"",IF(G198&lt;=0,"",IFERROR(K198/G198-1,"")))</f>
        <v/>
      </c>
      <c r="L200" s="15">
        <f>IF(OR(L198="",H198=""),"",IF(H198&lt;=0,"",IFERROR(L198/H198-1,"")))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조정액 · 부문 이익(손실)</t>
        </is>
      </c>
      <c r="C201" s="20" t="n">
        <v>77</v>
      </c>
      <c r="D201" s="20" t="n">
        <v>83</v>
      </c>
      <c r="E201" s="20" t="n">
        <v>135</v>
      </c>
      <c r="F201" s="20" t="n">
        <v>4</v>
      </c>
      <c r="G201" s="20" t="n">
        <v>-325</v>
      </c>
      <c r="H201" s="20" t="n">
        <v>53</v>
      </c>
      <c r="I201" s="20" t="n">
        <v>44</v>
      </c>
      <c r="J201" s="20" t="n">
        <v>269</v>
      </c>
      <c r="K201" s="20" t="n">
        <v>-80</v>
      </c>
      <c r="L201" s="20" t="n">
        <v>-130</v>
      </c>
      <c r="M201" s="20" t="n">
        <v>117</v>
      </c>
      <c r="N201" s="20" t="n">
        <v>271</v>
      </c>
      <c r="V201" s="20" t="n">
        <v>135</v>
      </c>
      <c r="W201" s="20" t="n">
        <v>44</v>
      </c>
      <c r="X201" s="20" t="n">
        <v>117</v>
      </c>
    </row>
    <row r="202">
      <c r="A202" s="9" t="inlineStr">
        <is>
          <t>부문 이익</t>
        </is>
      </c>
      <c r="C202" s="12" t="n">
        <v>4583</v>
      </c>
      <c r="D202" s="12" t="n">
        <v>6147</v>
      </c>
      <c r="E202" s="12" t="n">
        <v>837</v>
      </c>
      <c r="F202" s="12" t="n">
        <v>5796</v>
      </c>
      <c r="G202" s="12" t="n">
        <v>5161</v>
      </c>
      <c r="H202" s="12" t="n">
        <v>5642</v>
      </c>
      <c r="I202" s="12" t="n">
        <v>1739</v>
      </c>
      <c r="V202" s="12" t="n">
        <v>837</v>
      </c>
      <c r="W202" s="12" t="n">
        <v>1739</v>
      </c>
    </row>
    <row r="203">
      <c r="A203" s="43" t="inlineStr">
        <is>
          <t>OPM</t>
        </is>
      </c>
      <c r="B203" s="3" t="inlineStr">
        <is>
          <t>영업이익 ÷ 매출</t>
        </is>
      </c>
      <c r="C203" s="15">
        <f>IF(OR(C202="",C161=""),"",IF(C161&lt;=0,"",IFERROR(C202/C161,"")))</f>
        <v/>
      </c>
      <c r="D203" s="15">
        <f>IF(OR(D202="",D161=""),"",IF(D161&lt;=0,"",IFERROR(D202/D161,"")))</f>
        <v/>
      </c>
      <c r="E203" s="15">
        <f>IF(OR(E202="",E161=""),"",IF(E161&lt;=0,"",IFERROR(E202/E161,"")))</f>
        <v/>
      </c>
      <c r="F203" s="15">
        <f>IF(OR(F202="",F161=""),"",IF(F161&lt;=0,"",IFERROR(F202/F161,"")))</f>
        <v/>
      </c>
      <c r="G203" s="15">
        <f>IF(OR(G202="",G161=""),"",IF(G161&lt;=0,"",IFERROR(G202/G161,"")))</f>
        <v/>
      </c>
      <c r="H203" s="15">
        <f>IF(OR(H202="",H161=""),"",IF(H161&lt;=0,"",IFERROR(H202/H161,"")))</f>
        <v/>
      </c>
      <c r="I203" s="15">
        <f>IF(OR(I202="",I161=""),"",IF(I161&lt;=0,"",IFERROR(I202/I161,"")))</f>
        <v/>
      </c>
      <c r="V203" s="15">
        <f>IF(OR(V202="",V161=""),"",IF(V161&lt;=0,"",IFERROR(V202/V161,"")))</f>
        <v/>
      </c>
      <c r="W203" s="15">
        <f>IF(OR(W202="",W161=""),"",IF(W161&lt;=0,"",IFERROR(W202/W161,"")))</f>
        <v/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IF(OR(G202="",C202=""),"",IF(C202&lt;=0,"",IFERROR(G202/C202-1,"")))</f>
        <v/>
      </c>
      <c r="H204" s="15">
        <f>IF(OR(H202="",D202=""),"",IF(D202&lt;=0,"",IFERROR(H202/D202-1,"")))</f>
        <v/>
      </c>
      <c r="I204" s="15">
        <f>IF(OR(I202="",E202=""),"",IF(E202&lt;=0,"",IFERROR(I202/E202-1,"")))</f>
        <v/>
      </c>
      <c r="V204" s="15">
        <f>IF(OR(V202="",U202=""),"",IF(U202&lt;=0,"",IFERROR(V202/U202-1,"")))</f>
        <v/>
      </c>
      <c r="W204" s="15">
        <f>IF(OR(W202="",V202=""),"",IF(V202&lt;=0,"",IFERROR(W202/V202-1,"")))</f>
        <v/>
      </c>
    </row>
    <row r="205">
      <c r="A205" s="18" t="inlineStr">
        <is>
          <t>EntityTotalMember · 부문 이익(손실)</t>
        </is>
      </c>
      <c r="F205" s="20" t="n">
        <v>5796</v>
      </c>
      <c r="J205" s="20" t="n">
        <v>3523</v>
      </c>
      <c r="N205" s="20" t="n">
        <v>5604</v>
      </c>
    </row>
    <row r="207">
      <c r="A207" s="16" t="inlineStr">
        <is>
          <t>현금흐름표 · 전 항목</t>
        </is>
      </c>
      <c r="B207" s="42" t="inlineStr">
        <is>
          <t>분기 = 결산기 첫날부터 누계(공시 그대로)</t>
        </is>
      </c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</row>
    <row r="208">
      <c r="A208" s="5" t="inlineStr">
        <is>
          <t>항목</t>
        </is>
      </c>
      <c r="B208" s="5" t="inlineStr">
        <is>
          <t>참고</t>
        </is>
      </c>
      <c r="C208" s="5" t="inlineStr">
        <is>
          <t>2024.2Q</t>
        </is>
      </c>
      <c r="D208" s="5" t="inlineStr">
        <is>
          <t>2024.3Q</t>
        </is>
      </c>
      <c r="E208" s="5" t="inlineStr">
        <is>
          <t>2024.4Q</t>
        </is>
      </c>
      <c r="F208" s="5" t="inlineStr">
        <is>
          <t>2025.1Q</t>
        </is>
      </c>
      <c r="G208" s="5" t="inlineStr">
        <is>
          <t>2025.2Q</t>
        </is>
      </c>
      <c r="H208" s="5" t="inlineStr">
        <is>
          <t>2025.3Q</t>
        </is>
      </c>
      <c r="I208" s="5" t="inlineStr">
        <is>
          <t>2025.4Q</t>
        </is>
      </c>
      <c r="J208" s="5" t="inlineStr">
        <is>
          <t>2026.1Q</t>
        </is>
      </c>
      <c r="K208" s="5" t="inlineStr">
        <is>
          <t>2026.2Q</t>
        </is>
      </c>
      <c r="L208" s="5" t="inlineStr">
        <is>
          <t>2026.3Q</t>
        </is>
      </c>
      <c r="M208" s="5" t="inlineStr">
        <is>
          <t>2026.4Q</t>
        </is>
      </c>
      <c r="N208" s="5" t="inlineStr">
        <is>
          <t>2027.1Q</t>
        </is>
      </c>
      <c r="O208" s="5" t="inlineStr">
        <is>
          <t>2017</t>
        </is>
      </c>
      <c r="P208" s="5" t="inlineStr">
        <is>
          <t>2018</t>
        </is>
      </c>
      <c r="Q208" s="5" t="inlineStr">
        <is>
          <t>2019</t>
        </is>
      </c>
      <c r="R208" s="5" t="inlineStr">
        <is>
          <t>2020</t>
        </is>
      </c>
      <c r="S208" s="5" t="inlineStr">
        <is>
          <t>2021</t>
        </is>
      </c>
      <c r="T208" s="5" t="inlineStr">
        <is>
          <t>2022</t>
        </is>
      </c>
      <c r="U208" s="5" t="inlineStr">
        <is>
          <t>2023</t>
        </is>
      </c>
      <c r="V208" s="5" t="inlineStr">
        <is>
          <t>2024</t>
        </is>
      </c>
      <c r="W208" s="5" t="inlineStr">
        <is>
          <t>2025</t>
        </is>
      </c>
      <c r="X208" s="5" t="inlineStr">
        <is>
          <t>2026</t>
        </is>
      </c>
      <c r="Y208" s="5" t="inlineStr">
        <is>
          <t>2027(MW)</t>
        </is>
      </c>
      <c r="Z208" s="5" t="inlineStr">
        <is>
          <t>2028(MW)</t>
        </is>
      </c>
      <c r="AA208" s="5" t="inlineStr">
        <is>
          <t>2029(MW)</t>
        </is>
      </c>
      <c r="AB208" s="5" t="inlineStr">
        <is>
          <t>2030(MW)</t>
        </is>
      </c>
      <c r="AC208" s="5" t="inlineStr">
        <is>
          <t>2031(MW)</t>
        </is>
      </c>
    </row>
    <row r="209">
      <c r="A209" s="9" t="inlineStr">
        <is>
          <t>법인세차감전 순이익</t>
        </is>
      </c>
      <c r="E209" s="12" t="n">
        <v>17226</v>
      </c>
      <c r="I209" s="12" t="n">
        <v>19303</v>
      </c>
      <c r="M209" s="12" t="n">
        <v>21045</v>
      </c>
      <c r="O209" s="12" t="n">
        <v>7422</v>
      </c>
      <c r="P209" s="12" t="n">
        <v>8112</v>
      </c>
      <c r="Q209" s="12" t="n">
        <v>9889</v>
      </c>
      <c r="R209" s="12" t="n">
        <v>-3936</v>
      </c>
      <c r="S209" s="12" t="n">
        <v>5023</v>
      </c>
      <c r="T209" s="12" t="n">
        <v>10299</v>
      </c>
      <c r="U209" s="12" t="n">
        <v>13284</v>
      </c>
      <c r="V209" s="12" t="n">
        <v>17226</v>
      </c>
      <c r="W209" s="12" t="n">
        <v>19303</v>
      </c>
      <c r="X209" s="12" t="n">
        <v>21045</v>
      </c>
    </row>
    <row r="210">
      <c r="A210" s="18" t="inlineStr">
        <is>
          <t>감가상각비</t>
        </is>
      </c>
      <c r="E210" s="20" t="n">
        <v>14831</v>
      </c>
      <c r="I210" s="20" t="n">
        <v>13773</v>
      </c>
      <c r="M210" s="20" t="n">
        <v>13507</v>
      </c>
      <c r="O210" s="20" t="n">
        <v>10700</v>
      </c>
      <c r="P210" s="20" t="n">
        <v>10773</v>
      </c>
      <c r="Q210" s="20" t="n">
        <v>11033</v>
      </c>
      <c r="R210" s="20" t="n">
        <v>12554</v>
      </c>
      <c r="S210" s="20" t="n">
        <v>11011</v>
      </c>
      <c r="T210" s="20" t="n">
        <v>10174</v>
      </c>
      <c r="U210" s="20" t="n">
        <v>12994</v>
      </c>
      <c r="V210" s="20" t="n">
        <v>14831</v>
      </c>
      <c r="W210" s="20" t="n">
        <v>13773</v>
      </c>
      <c r="X210" s="20" t="n">
        <v>13507</v>
      </c>
    </row>
    <row r="211">
      <c r="A211" s="18" t="inlineStr">
        <is>
          <t>손상차손</t>
        </is>
      </c>
      <c r="I211" s="20" t="n">
        <v>0</v>
      </c>
      <c r="M211" s="20" t="n">
        <v>1805</v>
      </c>
      <c r="Q211" s="20" t="n">
        <v>0</v>
      </c>
      <c r="R211" s="20" t="n">
        <v>10074</v>
      </c>
      <c r="S211" s="20" t="n">
        <v>0</v>
      </c>
      <c r="W211" s="20" t="n">
        <v>0</v>
      </c>
      <c r="X211" s="20" t="n">
        <v>1805</v>
      </c>
    </row>
    <row r="212">
      <c r="A212" s="18" t="inlineStr">
        <is>
          <t>영업권 상각</t>
        </is>
      </c>
      <c r="E212" s="20" t="n">
        <v>118</v>
      </c>
      <c r="I212" s="20" t="n">
        <v>122</v>
      </c>
      <c r="M212" s="20" t="n">
        <v>120</v>
      </c>
      <c r="T212" s="20" t="n">
        <v>0</v>
      </c>
      <c r="U212" s="20" t="n">
        <v>56</v>
      </c>
      <c r="V212" s="20" t="n">
        <v>118</v>
      </c>
      <c r="W212" s="20" t="n">
        <v>122</v>
      </c>
      <c r="X212" s="20" t="n">
        <v>120</v>
      </c>
    </row>
    <row r="213">
      <c r="A213" s="18" t="inlineStr">
        <is>
          <t>대손충당금 증감</t>
        </is>
      </c>
      <c r="E213" s="20" t="n">
        <v>45</v>
      </c>
      <c r="I213" s="20" t="n">
        <v>-43</v>
      </c>
      <c r="M213" s="20" t="n">
        <v>11</v>
      </c>
      <c r="O213" s="20" t="n">
        <v>-11</v>
      </c>
      <c r="P213" s="20" t="n">
        <v>18</v>
      </c>
      <c r="Q213" s="20" t="n">
        <v>-6</v>
      </c>
      <c r="R213" s="20" t="n">
        <v>-3</v>
      </c>
      <c r="S213" s="20" t="n">
        <v>-12</v>
      </c>
      <c r="T213" s="20" t="n">
        <v>4</v>
      </c>
      <c r="U213" s="20" t="n">
        <v>-5</v>
      </c>
      <c r="V213" s="20" t="n">
        <v>45</v>
      </c>
      <c r="W213" s="20" t="n">
        <v>-43</v>
      </c>
      <c r="X213" s="20" t="n">
        <v>11</v>
      </c>
    </row>
    <row r="214">
      <c r="A214" s="18" t="inlineStr">
        <is>
          <t>제품보증 충당금 증감</t>
        </is>
      </c>
      <c r="E214" s="20" t="n">
        <v>4176</v>
      </c>
      <c r="I214" s="20" t="n">
        <v>7345</v>
      </c>
      <c r="M214" s="20" t="n">
        <v>-7751</v>
      </c>
      <c r="O214" s="20" t="n">
        <v>-1298</v>
      </c>
      <c r="P214" s="20" t="n">
        <v>-1145</v>
      </c>
      <c r="Q214" s="20" t="n">
        <v>-231</v>
      </c>
      <c r="R214" s="20" t="n">
        <v>-974</v>
      </c>
      <c r="S214" s="20" t="n">
        <v>-152</v>
      </c>
      <c r="T214" s="20" t="n">
        <v>128</v>
      </c>
      <c r="U214" s="20" t="n">
        <v>688</v>
      </c>
      <c r="V214" s="20" t="n">
        <v>4176</v>
      </c>
      <c r="W214" s="20" t="n">
        <v>7345</v>
      </c>
      <c r="X214" s="20" t="n">
        <v>-7751</v>
      </c>
    </row>
    <row r="215">
      <c r="A215" s="18" t="inlineStr">
        <is>
          <t>임원 상여충당금 증감</t>
        </is>
      </c>
      <c r="E215" s="20" t="n">
        <v>3</v>
      </c>
      <c r="I215" s="20" t="n">
        <v>37</v>
      </c>
      <c r="M215" s="20" t="n">
        <v>-23</v>
      </c>
      <c r="O215" s="20" t="n">
        <v>7</v>
      </c>
      <c r="P215" s="20" t="n">
        <v>-1</v>
      </c>
      <c r="Q215" s="20" t="n">
        <v>-14</v>
      </c>
      <c r="R215" s="20" t="n">
        <v>-47</v>
      </c>
      <c r="S215" s="20" t="n">
        <v>16</v>
      </c>
      <c r="T215" s="20" t="n">
        <v>4</v>
      </c>
      <c r="U215" s="20" t="n">
        <v>8</v>
      </c>
      <c r="V215" s="20" t="n">
        <v>3</v>
      </c>
      <c r="W215" s="20" t="n">
        <v>37</v>
      </c>
      <c r="X215" s="20" t="n">
        <v>-23</v>
      </c>
    </row>
    <row r="216">
      <c r="A216" s="18" t="inlineStr">
        <is>
          <t>사업구조개선 충당금 증감액</t>
        </is>
      </c>
      <c r="E216" s="20" t="n">
        <v>-30</v>
      </c>
      <c r="I216" s="20" t="n">
        <v>-55</v>
      </c>
      <c r="M216" s="20" t="n">
        <v>-89</v>
      </c>
      <c r="R216" s="20" t="n">
        <v>0</v>
      </c>
      <c r="S216" s="20" t="n">
        <v>-577</v>
      </c>
      <c r="T216" s="20" t="n">
        <v>-52</v>
      </c>
      <c r="U216" s="20" t="n">
        <v>-97</v>
      </c>
      <c r="V216" s="20" t="n">
        <v>-30</v>
      </c>
      <c r="W216" s="20" t="n">
        <v>-55</v>
      </c>
      <c r="X216" s="20" t="n">
        <v>-89</v>
      </c>
    </row>
    <row r="217">
      <c r="A217" s="18" t="inlineStr">
        <is>
          <t>퇴직급여부채 증감</t>
        </is>
      </c>
      <c r="E217" s="20" t="n">
        <v>214</v>
      </c>
      <c r="I217" s="20" t="n">
        <v>8101</v>
      </c>
      <c r="M217" s="20" t="n">
        <v>-3266</v>
      </c>
      <c r="O217" s="20" t="n">
        <v>629</v>
      </c>
      <c r="P217" s="20" t="n">
        <v>197</v>
      </c>
      <c r="Q217" s="20" t="n">
        <v>594</v>
      </c>
      <c r="R217" s="20" t="n">
        <v>595</v>
      </c>
      <c r="S217" s="20" t="n">
        <v>667</v>
      </c>
      <c r="T217" s="20" t="n">
        <v>-658</v>
      </c>
      <c r="U217" s="20" t="n">
        <v>64</v>
      </c>
      <c r="V217" s="20" t="n">
        <v>214</v>
      </c>
      <c r="W217" s="20" t="n">
        <v>8101</v>
      </c>
      <c r="X217" s="20" t="n">
        <v>-3266</v>
      </c>
    </row>
    <row r="218">
      <c r="A218" s="18" t="inlineStr">
        <is>
          <t>퇴직급여자산 증감</t>
        </is>
      </c>
      <c r="E218" s="20" t="n">
        <v>-1259</v>
      </c>
      <c r="I218" s="20" t="n">
        <v>-10060</v>
      </c>
      <c r="M218" s="20" t="n">
        <v>3132</v>
      </c>
      <c r="O218" s="20" t="n">
        <v>425</v>
      </c>
      <c r="P218" s="20" t="n">
        <v>499</v>
      </c>
      <c r="Q218" s="20" t="n">
        <v>-655</v>
      </c>
      <c r="R218" s="20" t="n">
        <v>-834</v>
      </c>
      <c r="S218" s="20" t="n">
        <v>-308</v>
      </c>
      <c r="T218" s="20" t="n">
        <v>-919</v>
      </c>
      <c r="U218" s="20" t="n">
        <v>-1586</v>
      </c>
      <c r="V218" s="20" t="n">
        <v>-1259</v>
      </c>
      <c r="W218" s="20" t="n">
        <v>-10060</v>
      </c>
      <c r="X218" s="20" t="n">
        <v>3132</v>
      </c>
    </row>
    <row r="219">
      <c r="A219" s="18" t="inlineStr">
        <is>
          <t>임원 퇴직위로 충당금 증감</t>
        </is>
      </c>
      <c r="E219" s="20" t="n">
        <v>3</v>
      </c>
      <c r="I219" s="20" t="n">
        <v>1</v>
      </c>
      <c r="M219" s="20" t="n">
        <v>-0</v>
      </c>
      <c r="O219" s="20" t="n">
        <v>-2</v>
      </c>
      <c r="P219" s="20" t="n">
        <v>3</v>
      </c>
      <c r="Q219" s="20" t="n">
        <v>3</v>
      </c>
      <c r="R219" s="20" t="n">
        <v>-14</v>
      </c>
      <c r="S219" s="20" t="n">
        <v>8</v>
      </c>
      <c r="T219" s="20" t="n">
        <v>1</v>
      </c>
      <c r="U219" s="20" t="n">
        <v>-21</v>
      </c>
      <c r="V219" s="20" t="n">
        <v>3</v>
      </c>
      <c r="W219" s="20" t="n">
        <v>1</v>
      </c>
      <c r="X219" s="20" t="n">
        <v>-0</v>
      </c>
    </row>
    <row r="220">
      <c r="A220" s="18" t="inlineStr">
        <is>
          <t>이자·배당금 수익</t>
        </is>
      </c>
      <c r="E220" s="20" t="n">
        <v>-608</v>
      </c>
      <c r="I220" s="20" t="n">
        <v>-1550</v>
      </c>
      <c r="M220" s="20" t="n">
        <v>-1284</v>
      </c>
      <c r="O220" s="20" t="n">
        <v>-282</v>
      </c>
      <c r="P220" s="20" t="n">
        <v>-413</v>
      </c>
      <c r="Q220" s="20" t="n">
        <v>-489</v>
      </c>
      <c r="R220" s="20" t="n">
        <v>-409</v>
      </c>
      <c r="S220" s="20" t="n">
        <v>-338</v>
      </c>
      <c r="T220" s="20" t="n">
        <v>-381</v>
      </c>
      <c r="U220" s="20" t="n">
        <v>-321</v>
      </c>
      <c r="V220" s="20" t="n">
        <v>-608</v>
      </c>
      <c r="W220" s="20" t="n">
        <v>-1550</v>
      </c>
      <c r="X220" s="20" t="n">
        <v>-1284</v>
      </c>
    </row>
    <row r="221">
      <c r="A221" s="18" t="inlineStr">
        <is>
          <t>이자비용</t>
        </is>
      </c>
      <c r="E221" s="20" t="n">
        <v>185</v>
      </c>
      <c r="I221" s="20" t="n">
        <v>565</v>
      </c>
      <c r="M221" s="20" t="n">
        <v>650</v>
      </c>
      <c r="O221" s="20" t="n">
        <v>160</v>
      </c>
      <c r="P221" s="20" t="n">
        <v>117</v>
      </c>
      <c r="Q221" s="20" t="n">
        <v>142</v>
      </c>
      <c r="R221" s="20" t="n">
        <v>193</v>
      </c>
      <c r="S221" s="20" t="n">
        <v>264</v>
      </c>
      <c r="T221" s="20" t="n">
        <v>202</v>
      </c>
      <c r="U221" s="20" t="n">
        <v>225</v>
      </c>
      <c r="V221" s="20" t="n">
        <v>185</v>
      </c>
      <c r="W221" s="20" t="n">
        <v>565</v>
      </c>
      <c r="X221" s="20" t="n">
        <v>650</v>
      </c>
    </row>
    <row r="222">
      <c r="A222" s="18" t="inlineStr">
        <is>
          <t>사채발행비</t>
        </is>
      </c>
      <c r="O222" s="20" t="n">
        <v>0</v>
      </c>
      <c r="P222" s="20" t="n">
        <v>49</v>
      </c>
      <c r="Q222" s="20" t="n">
        <v>0</v>
      </c>
    </row>
    <row r="223">
      <c r="A223" s="18" t="inlineStr">
        <is>
          <t>외환차손익</t>
        </is>
      </c>
      <c r="E223" s="20" t="n">
        <v>-131</v>
      </c>
      <c r="I223" s="20" t="n">
        <v>34</v>
      </c>
      <c r="M223" s="20" t="n">
        <v>-262</v>
      </c>
      <c r="O223" s="20" t="n">
        <v>-164</v>
      </c>
      <c r="P223" s="20" t="n">
        <v>86</v>
      </c>
      <c r="Q223" s="20" t="n">
        <v>-99</v>
      </c>
      <c r="R223" s="20" t="n">
        <v>179</v>
      </c>
      <c r="S223" s="20" t="n">
        <v>7</v>
      </c>
      <c r="T223" s="20" t="n">
        <v>-419</v>
      </c>
      <c r="U223" s="20" t="n">
        <v>106</v>
      </c>
      <c r="V223" s="20" t="n">
        <v>-131</v>
      </c>
      <c r="W223" s="20" t="n">
        <v>34</v>
      </c>
      <c r="X223" s="20" t="n">
        <v>-262</v>
      </c>
    </row>
    <row r="224">
      <c r="A224" s="18" t="inlineStr">
        <is>
          <t>관계회사 출자금 매각손익</t>
        </is>
      </c>
      <c r="R224" s="20" t="n">
        <v>0</v>
      </c>
      <c r="S224" s="20" t="n">
        <v>293</v>
      </c>
      <c r="T224" s="20" t="n">
        <v>0</v>
      </c>
    </row>
    <row r="225">
      <c r="A225" s="18" t="inlineStr">
        <is>
          <t>관계회사 청산손익</t>
        </is>
      </c>
      <c r="S225" s="20" t="n">
        <v>0</v>
      </c>
      <c r="T225" s="20" t="n">
        <v>207</v>
      </c>
      <c r="U225" s="20" t="n">
        <v>0</v>
      </c>
    </row>
    <row r="226">
      <c r="A226" s="18" t="inlineStr">
        <is>
          <t>고정자산 제각·매각손익</t>
        </is>
      </c>
      <c r="E226" s="20" t="n">
        <v>294</v>
      </c>
      <c r="I226" s="20" t="n">
        <v>419</v>
      </c>
      <c r="M226" s="20" t="n">
        <v>-419</v>
      </c>
      <c r="O226" s="20" t="n">
        <v>237</v>
      </c>
      <c r="P226" s="20" t="n">
        <v>84</v>
      </c>
      <c r="Q226" s="20" t="n">
        <v>185</v>
      </c>
      <c r="R226" s="20" t="n">
        <v>402</v>
      </c>
      <c r="S226" s="20" t="n">
        <v>410</v>
      </c>
      <c r="T226" s="20" t="n">
        <v>306</v>
      </c>
      <c r="U226" s="20" t="n">
        <v>137</v>
      </c>
      <c r="V226" s="20" t="n">
        <v>294</v>
      </c>
      <c r="W226" s="20" t="n">
        <v>419</v>
      </c>
      <c r="X226" s="20" t="n">
        <v>-419</v>
      </c>
    </row>
    <row r="227">
      <c r="A227" s="18" t="inlineStr">
        <is>
          <t>보험금 수익</t>
        </is>
      </c>
      <c r="R227" s="20" t="n">
        <v>-5</v>
      </c>
      <c r="S227" s="20" t="n">
        <v>-181</v>
      </c>
    </row>
    <row r="228">
      <c r="A228" s="18" t="inlineStr">
        <is>
          <t>매출채권 증감</t>
        </is>
      </c>
      <c r="E228" s="20" t="n">
        <v>-3857</v>
      </c>
      <c r="I228" s="20" t="n">
        <v>827</v>
      </c>
      <c r="M228" s="20" t="n">
        <v>-1910</v>
      </c>
      <c r="O228" s="20" t="n">
        <v>-3153</v>
      </c>
      <c r="P228" s="20" t="n">
        <v>2848</v>
      </c>
      <c r="Q228" s="20" t="n">
        <v>-1082</v>
      </c>
      <c r="R228" s="20" t="n">
        <v>667</v>
      </c>
      <c r="S228" s="20" t="n">
        <v>2618</v>
      </c>
      <c r="T228" s="20" t="n">
        <v>954</v>
      </c>
      <c r="U228" s="20" t="n">
        <v>-986</v>
      </c>
      <c r="V228" s="20" t="n">
        <v>-3857</v>
      </c>
      <c r="W228" s="20" t="n">
        <v>827</v>
      </c>
      <c r="X228" s="20" t="n">
        <v>-1910</v>
      </c>
    </row>
    <row r="229">
      <c r="A229" s="18" t="inlineStr">
        <is>
          <t>재고자산 증감</t>
        </is>
      </c>
      <c r="E229" s="20" t="n">
        <v>1942</v>
      </c>
      <c r="I229" s="20" t="n">
        <v>-6525</v>
      </c>
      <c r="M229" s="20" t="n">
        <v>-2419</v>
      </c>
      <c r="O229" s="20" t="n">
        <v>540</v>
      </c>
      <c r="P229" s="20" t="n">
        <v>-1088</v>
      </c>
      <c r="Q229" s="20" t="n">
        <v>264</v>
      </c>
      <c r="R229" s="20" t="n">
        <v>-1695</v>
      </c>
      <c r="S229" s="20" t="n">
        <v>1084</v>
      </c>
      <c r="T229" s="20" t="n">
        <v>-4628</v>
      </c>
      <c r="U229" s="20" t="n">
        <v>-826</v>
      </c>
      <c r="V229" s="20" t="n">
        <v>1942</v>
      </c>
      <c r="W229" s="20" t="n">
        <v>-6525</v>
      </c>
      <c r="X229" s="20" t="n">
        <v>-2419</v>
      </c>
    </row>
    <row r="230">
      <c r="A230" s="18" t="inlineStr">
        <is>
          <t>매입채무 증감</t>
        </is>
      </c>
      <c r="E230" s="20" t="n">
        <v>7371</v>
      </c>
      <c r="I230" s="20" t="n">
        <v>834</v>
      </c>
      <c r="M230" s="20" t="n">
        <v>-3554</v>
      </c>
      <c r="O230" s="20" t="n">
        <v>1281</v>
      </c>
      <c r="P230" s="20" t="n">
        <v>-1203</v>
      </c>
      <c r="Q230" s="20" t="n">
        <v>-3323</v>
      </c>
      <c r="R230" s="20" t="n">
        <v>-603</v>
      </c>
      <c r="S230" s="20" t="n">
        <v>-619</v>
      </c>
      <c r="T230" s="20" t="n">
        <v>-352</v>
      </c>
      <c r="U230" s="20" t="n">
        <v>2881</v>
      </c>
      <c r="V230" s="20" t="n">
        <v>7371</v>
      </c>
      <c r="W230" s="20" t="n">
        <v>834</v>
      </c>
      <c r="X230" s="20" t="n">
        <v>-3554</v>
      </c>
    </row>
    <row r="231">
      <c r="A231" s="18" t="inlineStr">
        <is>
          <t>투자유가증권 매각손익</t>
        </is>
      </c>
      <c r="I231" s="20" t="n">
        <v>-356</v>
      </c>
      <c r="M231" s="20" t="n">
        <v>-4224</v>
      </c>
      <c r="W231" s="20" t="n">
        <v>-356</v>
      </c>
      <c r="X231" s="20" t="n">
        <v>-4224</v>
      </c>
    </row>
    <row r="232">
      <c r="A232" s="18" t="inlineStr">
        <is>
          <t>고정자산 압축손실</t>
        </is>
      </c>
      <c r="I232" s="20" t="n">
        <v>0</v>
      </c>
      <c r="M232" s="20" t="n">
        <v>1849</v>
      </c>
      <c r="O232" s="20" t="n">
        <v>0</v>
      </c>
      <c r="P232" s="20" t="n">
        <v>272</v>
      </c>
      <c r="Q232" s="20" t="n">
        <v>21</v>
      </c>
      <c r="R232" s="20" t="n">
        <v>0</v>
      </c>
      <c r="W232" s="20" t="n">
        <v>0</v>
      </c>
      <c r="X232" s="20" t="n">
        <v>1849</v>
      </c>
    </row>
    <row r="233">
      <c r="A233" s="18" t="inlineStr">
        <is>
          <t>Loss On Antitrust Law Ope CF</t>
        </is>
      </c>
      <c r="O233" s="20" t="n">
        <v>0</v>
      </c>
      <c r="P233" s="20" t="n">
        <v>1672</v>
      </c>
      <c r="Q233" s="20" t="n">
        <v>0</v>
      </c>
    </row>
    <row r="234">
      <c r="A234" s="18" t="inlineStr">
        <is>
          <t>Reversal Of Loss On Anti Monopoly Act Ope CF</t>
        </is>
      </c>
      <c r="P234" s="20" t="n">
        <v>0</v>
      </c>
      <c r="Q234" s="20" t="n">
        <v>-1692</v>
      </c>
      <c r="R234" s="20" t="n">
        <v>0</v>
      </c>
    </row>
    <row r="235">
      <c r="A235" s="18" t="inlineStr">
        <is>
          <t>보조금 수입</t>
        </is>
      </c>
      <c r="I235" s="20" t="n">
        <v>0</v>
      </c>
      <c r="M235" s="20" t="n">
        <v>-1532</v>
      </c>
      <c r="O235" s="20" t="n">
        <v>0</v>
      </c>
      <c r="P235" s="20" t="n">
        <v>-272</v>
      </c>
      <c r="Q235" s="20" t="n">
        <v>-21</v>
      </c>
      <c r="R235" s="20" t="n">
        <v>-112</v>
      </c>
      <c r="S235" s="20" t="n">
        <v>-388</v>
      </c>
      <c r="W235" s="20" t="n">
        <v>0</v>
      </c>
      <c r="X235" s="20" t="n">
        <v>-1532</v>
      </c>
    </row>
    <row r="236">
      <c r="A236" s="18" t="inlineStr">
        <is>
          <t>사업구조개선비용</t>
        </is>
      </c>
      <c r="Q236" s="20" t="n">
        <v>0</v>
      </c>
      <c r="R236" s="20" t="n">
        <v>786</v>
      </c>
      <c r="S236" s="20" t="n">
        <v>0</v>
      </c>
    </row>
    <row r="237">
      <c r="A237" s="18" t="inlineStr">
        <is>
          <t>미지급비용 증감</t>
        </is>
      </c>
      <c r="E237" s="20" t="n">
        <v>938</v>
      </c>
      <c r="I237" s="20" t="n">
        <v>416</v>
      </c>
      <c r="M237" s="20" t="n">
        <v>912</v>
      </c>
      <c r="O237" s="20" t="n">
        <v>730</v>
      </c>
      <c r="P237" s="20" t="n">
        <v>-522</v>
      </c>
      <c r="Q237" s="20" t="n">
        <v>262</v>
      </c>
      <c r="R237" s="20" t="n">
        <v>42</v>
      </c>
      <c r="S237" s="20" t="n">
        <v>-340</v>
      </c>
      <c r="T237" s="20" t="n">
        <v>176</v>
      </c>
      <c r="U237" s="20" t="n">
        <v>159</v>
      </c>
      <c r="V237" s="20" t="n">
        <v>938</v>
      </c>
      <c r="W237" s="20" t="n">
        <v>416</v>
      </c>
      <c r="X237" s="20" t="n">
        <v>912</v>
      </c>
    </row>
    <row r="238">
      <c r="A238" s="18" t="inlineStr">
        <is>
          <t>기타</t>
        </is>
      </c>
      <c r="E238" s="20" t="n">
        <v>1235</v>
      </c>
      <c r="I238" s="20" t="n">
        <v>-857</v>
      </c>
      <c r="M238" s="20" t="n">
        <v>-2836</v>
      </c>
      <c r="O238" s="20" t="n">
        <v>-1056</v>
      </c>
      <c r="P238" s="20" t="n">
        <v>-3634</v>
      </c>
      <c r="Q238" s="20" t="n">
        <v>-1074</v>
      </c>
      <c r="R238" s="20" t="n">
        <v>-365</v>
      </c>
      <c r="S238" s="20" t="n">
        <v>141</v>
      </c>
      <c r="T238" s="20" t="n">
        <v>317</v>
      </c>
      <c r="U238" s="20" t="n">
        <v>-3592</v>
      </c>
      <c r="V238" s="20" t="n">
        <v>1235</v>
      </c>
      <c r="W238" s="20" t="n">
        <v>-857</v>
      </c>
      <c r="X238" s="20" t="n">
        <v>-2836</v>
      </c>
    </row>
    <row r="239">
      <c r="A239" s="18" t="inlineStr">
        <is>
          <t>소계</t>
        </is>
      </c>
      <c r="E239" s="20" t="n">
        <v>42697</v>
      </c>
      <c r="I239" s="20" t="n">
        <v>32336</v>
      </c>
      <c r="M239" s="20" t="n">
        <v>13461</v>
      </c>
      <c r="O239" s="20" t="n">
        <v>16165</v>
      </c>
      <c r="P239" s="20" t="n">
        <v>16454</v>
      </c>
      <c r="Q239" s="20" t="n">
        <v>13705</v>
      </c>
      <c r="R239" s="20" t="n">
        <v>16495</v>
      </c>
      <c r="S239" s="20" t="n">
        <v>19197</v>
      </c>
      <c r="T239" s="20" t="n">
        <v>15365</v>
      </c>
      <c r="U239" s="20" t="n">
        <v>23168</v>
      </c>
      <c r="V239" s="20" t="n">
        <v>42697</v>
      </c>
      <c r="W239" s="20" t="n">
        <v>32336</v>
      </c>
      <c r="X239" s="20" t="n">
        <v>13461</v>
      </c>
    </row>
    <row r="240">
      <c r="A240" s="18" t="inlineStr">
        <is>
          <t>이자·배당금 수취</t>
        </is>
      </c>
      <c r="E240" s="20" t="n">
        <v>623</v>
      </c>
      <c r="I240" s="20" t="n">
        <v>1557</v>
      </c>
      <c r="M240" s="20" t="n">
        <v>1289</v>
      </c>
      <c r="O240" s="20" t="n">
        <v>279</v>
      </c>
      <c r="P240" s="20" t="n">
        <v>415</v>
      </c>
      <c r="Q240" s="20" t="n">
        <v>498</v>
      </c>
      <c r="R240" s="20" t="n">
        <v>429</v>
      </c>
      <c r="S240" s="20" t="n">
        <v>326</v>
      </c>
      <c r="T240" s="20" t="n">
        <v>393</v>
      </c>
      <c r="U240" s="20" t="n">
        <v>321</v>
      </c>
      <c r="V240" s="20" t="n">
        <v>623</v>
      </c>
      <c r="W240" s="20" t="n">
        <v>1557</v>
      </c>
      <c r="X240" s="20" t="n">
        <v>1289</v>
      </c>
    </row>
    <row r="241">
      <c r="A241" s="18" t="inlineStr">
        <is>
          <t>이자 지급</t>
        </is>
      </c>
      <c r="E241" s="20" t="n">
        <v>-187</v>
      </c>
      <c r="I241" s="20" t="n">
        <v>-517</v>
      </c>
      <c r="M241" s="20" t="n">
        <v>-751</v>
      </c>
      <c r="O241" s="20" t="n">
        <v>-163</v>
      </c>
      <c r="P241" s="20" t="n">
        <v>-114</v>
      </c>
      <c r="Q241" s="20" t="n">
        <v>-143</v>
      </c>
      <c r="R241" s="20" t="n">
        <v>-194</v>
      </c>
      <c r="S241" s="20" t="n">
        <v>-263</v>
      </c>
      <c r="T241" s="20" t="n">
        <v>-199</v>
      </c>
      <c r="U241" s="20" t="n">
        <v>-222</v>
      </c>
      <c r="V241" s="20" t="n">
        <v>-187</v>
      </c>
      <c r="W241" s="20" t="n">
        <v>-517</v>
      </c>
      <c r="X241" s="20" t="n">
        <v>-751</v>
      </c>
    </row>
    <row r="242">
      <c r="A242" s="18" t="inlineStr">
        <is>
          <t>보험금 수취</t>
        </is>
      </c>
      <c r="R242" s="20" t="n">
        <v>5</v>
      </c>
      <c r="S242" s="20" t="n">
        <v>181</v>
      </c>
    </row>
    <row r="243">
      <c r="A243" s="18" t="inlineStr">
        <is>
          <t>법인세 납부</t>
        </is>
      </c>
      <c r="E243" s="20" t="n">
        <v>-4505</v>
      </c>
      <c r="I243" s="20" t="n">
        <v>-5153</v>
      </c>
      <c r="M243" s="20" t="n">
        <v>-6938</v>
      </c>
      <c r="O243" s="20" t="n">
        <v>-1885</v>
      </c>
      <c r="P243" s="20" t="n">
        <v>-2987</v>
      </c>
      <c r="Q243" s="20" t="n">
        <v>-2638</v>
      </c>
      <c r="R243" s="20" t="n">
        <v>-2169</v>
      </c>
      <c r="S243" s="20" t="n">
        <v>-1497</v>
      </c>
      <c r="T243" s="20" t="n">
        <v>-2015</v>
      </c>
      <c r="U243" s="20" t="n">
        <v>-2998</v>
      </c>
      <c r="V243" s="20" t="n">
        <v>-4505</v>
      </c>
      <c r="W243" s="20" t="n">
        <v>-5153</v>
      </c>
      <c r="X243" s="20" t="n">
        <v>-6938</v>
      </c>
    </row>
    <row r="244">
      <c r="A244" s="18" t="inlineStr">
        <is>
          <t>보조금 수취</t>
        </is>
      </c>
      <c r="I244" s="20" t="n">
        <v>0</v>
      </c>
      <c r="M244" s="20" t="n">
        <v>143</v>
      </c>
      <c r="R244" s="20" t="n">
        <v>112</v>
      </c>
      <c r="S244" s="20" t="n">
        <v>388</v>
      </c>
      <c r="W244" s="20" t="n">
        <v>0</v>
      </c>
      <c r="X244" s="20" t="n">
        <v>143</v>
      </c>
    </row>
    <row r="245">
      <c r="A245" s="9" t="inlineStr">
        <is>
          <t>영업활동 현금흐름</t>
        </is>
      </c>
      <c r="E245" s="12" t="n">
        <v>38627</v>
      </c>
      <c r="I245" s="12" t="n">
        <v>28222</v>
      </c>
      <c r="M245" s="12" t="n">
        <v>7204</v>
      </c>
      <c r="O245" s="12" t="n">
        <v>14395</v>
      </c>
      <c r="P245" s="12" t="n">
        <v>13767</v>
      </c>
      <c r="Q245" s="12" t="n">
        <v>11421</v>
      </c>
      <c r="R245" s="12" t="n">
        <v>14678</v>
      </c>
      <c r="S245" s="12" t="n">
        <v>17761</v>
      </c>
      <c r="T245" s="12" t="n">
        <v>13544</v>
      </c>
      <c r="U245" s="12" t="n">
        <v>20269</v>
      </c>
      <c r="V245" s="12" t="n">
        <v>38627</v>
      </c>
      <c r="W245" s="12" t="n">
        <v>28222</v>
      </c>
      <c r="X245" s="12" t="n">
        <v>7204</v>
      </c>
    </row>
    <row r="246">
      <c r="A246" s="18" t="inlineStr">
        <is>
          <t>정기예금 예입</t>
        </is>
      </c>
      <c r="E246" s="20" t="n">
        <v>-18</v>
      </c>
      <c r="I246" s="20" t="n">
        <v>-1663</v>
      </c>
      <c r="M246" s="20" t="n">
        <v>-18</v>
      </c>
      <c r="O246" s="20" t="n">
        <v>-1451</v>
      </c>
      <c r="P246" s="20" t="n">
        <v>-1295</v>
      </c>
      <c r="Q246" s="20" t="n">
        <v>-1476</v>
      </c>
      <c r="R246" s="20" t="n">
        <v>-823</v>
      </c>
      <c r="S246" s="20" t="n">
        <v>-728</v>
      </c>
      <c r="T246" s="20" t="n">
        <v>-94</v>
      </c>
      <c r="U246" s="20" t="n">
        <v>-358</v>
      </c>
      <c r="V246" s="20" t="n">
        <v>-18</v>
      </c>
      <c r="W246" s="20" t="n">
        <v>-1663</v>
      </c>
      <c r="X246" s="20" t="n">
        <v>-18</v>
      </c>
    </row>
    <row r="247">
      <c r="A247" s="18" t="inlineStr">
        <is>
          <t>정기예금 인출</t>
        </is>
      </c>
      <c r="E247" s="20" t="n">
        <v>1048</v>
      </c>
      <c r="I247" s="20" t="n">
        <v>44</v>
      </c>
      <c r="M247" s="20" t="n">
        <v>1625</v>
      </c>
      <c r="O247" s="20" t="n">
        <v>352</v>
      </c>
      <c r="P247" s="20" t="n">
        <v>1358</v>
      </c>
      <c r="Q247" s="20" t="n">
        <v>1438</v>
      </c>
      <c r="R247" s="20" t="n">
        <v>821</v>
      </c>
      <c r="S247" s="20" t="n">
        <v>317</v>
      </c>
      <c r="T247" s="20" t="n">
        <v>738</v>
      </c>
      <c r="U247" s="20" t="n">
        <v>678</v>
      </c>
      <c r="V247" s="20" t="n">
        <v>1048</v>
      </c>
      <c r="W247" s="20" t="n">
        <v>44</v>
      </c>
      <c r="X247" s="20" t="n">
        <v>1625</v>
      </c>
    </row>
    <row r="248">
      <c r="A248" s="18" t="inlineStr">
        <is>
          <t>유가증권 취득</t>
        </is>
      </c>
      <c r="E248" s="20" t="n">
        <v>0</v>
      </c>
      <c r="T248" s="20" t="n">
        <v>0</v>
      </c>
      <c r="U248" s="20" t="n">
        <v>-957</v>
      </c>
      <c r="V248" s="20" t="n">
        <v>0</v>
      </c>
    </row>
    <row r="249">
      <c r="A249" s="18" t="inlineStr">
        <is>
          <t>유가증권 매각</t>
        </is>
      </c>
      <c r="E249" s="20" t="n">
        <v>550</v>
      </c>
      <c r="I249" s="20" t="n">
        <v>485</v>
      </c>
      <c r="M249" s="20" t="n">
        <v>0</v>
      </c>
      <c r="U249" s="20" t="n">
        <v>0</v>
      </c>
      <c r="V249" s="20" t="n">
        <v>550</v>
      </c>
      <c r="W249" s="20" t="n">
        <v>485</v>
      </c>
      <c r="X249" s="20" t="n">
        <v>0</v>
      </c>
    </row>
    <row r="250">
      <c r="A250" s="18" t="inlineStr">
        <is>
          <t>고정자산 취득</t>
        </is>
      </c>
      <c r="E250" s="20" t="n">
        <v>-12337</v>
      </c>
      <c r="I250" s="20" t="n">
        <v>-20353</v>
      </c>
      <c r="M250" s="20" t="n">
        <v>-18188</v>
      </c>
      <c r="O250" s="20" t="n">
        <v>-15463</v>
      </c>
      <c r="P250" s="20" t="n">
        <v>-12094</v>
      </c>
      <c r="Q250" s="20" t="n">
        <v>-18037</v>
      </c>
      <c r="R250" s="20" t="n">
        <v>-17449</v>
      </c>
      <c r="S250" s="20" t="n">
        <v>-6640</v>
      </c>
      <c r="T250" s="20" t="n">
        <v>-7979</v>
      </c>
      <c r="U250" s="20" t="n">
        <v>-6425</v>
      </c>
      <c r="V250" s="20" t="n">
        <v>-12337</v>
      </c>
      <c r="W250" s="20" t="n">
        <v>-20353</v>
      </c>
      <c r="X250" s="20" t="n">
        <v>-18188</v>
      </c>
    </row>
    <row r="251">
      <c r="A251" s="18" t="inlineStr">
        <is>
          <t>고정자산 매각</t>
        </is>
      </c>
      <c r="E251" s="20" t="n">
        <v>1308</v>
      </c>
      <c r="I251" s="20" t="n">
        <v>1013</v>
      </c>
      <c r="M251" s="20" t="n">
        <v>991</v>
      </c>
      <c r="O251" s="20" t="n">
        <v>422</v>
      </c>
      <c r="P251" s="20" t="n">
        <v>628</v>
      </c>
      <c r="Q251" s="20" t="n">
        <v>676</v>
      </c>
      <c r="R251" s="20" t="n">
        <v>863</v>
      </c>
      <c r="S251" s="20" t="n">
        <v>371</v>
      </c>
      <c r="T251" s="20" t="n">
        <v>396</v>
      </c>
      <c r="U251" s="20" t="n">
        <v>793</v>
      </c>
      <c r="V251" s="20" t="n">
        <v>1308</v>
      </c>
      <c r="W251" s="20" t="n">
        <v>1013</v>
      </c>
      <c r="X251" s="20" t="n">
        <v>991</v>
      </c>
    </row>
    <row r="252">
      <c r="A252" s="18" t="inlineStr">
        <is>
          <t>Subsidy Income Inv CF</t>
        </is>
      </c>
      <c r="O252" s="20" t="n">
        <v>0</v>
      </c>
      <c r="P252" s="20" t="n">
        <v>272</v>
      </c>
      <c r="Q252" s="20" t="n">
        <v>21</v>
      </c>
      <c r="R252" s="20" t="n">
        <v>0</v>
      </c>
    </row>
    <row r="253">
      <c r="A253" s="18" t="inlineStr">
        <is>
          <t>사업양수 지출</t>
        </is>
      </c>
      <c r="E253" s="20" t="n">
        <v>0</v>
      </c>
      <c r="T253" s="20" t="n">
        <v>0</v>
      </c>
      <c r="U253" s="20" t="n">
        <v>-16279</v>
      </c>
      <c r="V253" s="20" t="n">
        <v>0</v>
      </c>
    </row>
    <row r="254">
      <c r="A254" s="18" t="inlineStr">
        <is>
          <t>Purchase Of Equity Of Subsidiaries Resulting In Change In Scope Of Consolidation Inv CF</t>
        </is>
      </c>
      <c r="E254" s="20" t="n">
        <v>0</v>
      </c>
      <c r="T254" s="20" t="n">
        <v>0</v>
      </c>
      <c r="U254" s="20" t="n">
        <v>-198</v>
      </c>
      <c r="V254" s="20" t="n">
        <v>0</v>
      </c>
    </row>
    <row r="255">
      <c r="A255" s="18" t="inlineStr">
        <is>
          <t>투자유가증권 취득</t>
        </is>
      </c>
      <c r="E255" s="20" t="n">
        <v>-180</v>
      </c>
      <c r="I255" s="20" t="n">
        <v>0</v>
      </c>
      <c r="M255" s="20" t="n">
        <v>-3</v>
      </c>
      <c r="O255" s="20" t="n">
        <v>-1</v>
      </c>
      <c r="P255" s="20" t="n">
        <v>-1</v>
      </c>
      <c r="Q255" s="20" t="n">
        <v>-1308</v>
      </c>
      <c r="R255" s="20" t="n">
        <v>-1</v>
      </c>
      <c r="S255" s="20" t="n">
        <v>-2</v>
      </c>
      <c r="T255" s="20" t="n">
        <v>-0</v>
      </c>
      <c r="U255" s="20" t="n">
        <v>-0</v>
      </c>
      <c r="V255" s="20" t="n">
        <v>-180</v>
      </c>
      <c r="W255" s="20" t="n">
        <v>0</v>
      </c>
      <c r="X255" s="20" t="n">
        <v>-3</v>
      </c>
    </row>
    <row r="256">
      <c r="A256" s="18" t="inlineStr">
        <is>
          <t>투자유가증권 매각</t>
        </is>
      </c>
      <c r="E256" s="20" t="n">
        <v>0</v>
      </c>
      <c r="I256" s="20" t="n">
        <v>365</v>
      </c>
      <c r="M256" s="20" t="n">
        <v>4956</v>
      </c>
      <c r="Q256" s="20" t="n">
        <v>0</v>
      </c>
      <c r="R256" s="20" t="n">
        <v>1</v>
      </c>
      <c r="S256" s="20" t="n">
        <v>0</v>
      </c>
      <c r="T256" s="20" t="n">
        <v>10</v>
      </c>
      <c r="U256" s="20" t="n">
        <v>36</v>
      </c>
      <c r="V256" s="20" t="n">
        <v>0</v>
      </c>
      <c r="W256" s="20" t="n">
        <v>365</v>
      </c>
      <c r="X256" s="20" t="n">
        <v>4956</v>
      </c>
    </row>
    <row r="257">
      <c r="A257" s="18" t="inlineStr">
        <is>
          <t>대여</t>
        </is>
      </c>
      <c r="E257" s="20" t="n">
        <v>-311</v>
      </c>
      <c r="I257" s="20" t="n">
        <v>-312</v>
      </c>
      <c r="M257" s="20" t="n">
        <v>-441</v>
      </c>
      <c r="O257" s="20" t="n">
        <v>-115</v>
      </c>
      <c r="P257" s="20" t="n">
        <v>-166</v>
      </c>
      <c r="Q257" s="20" t="n">
        <v>-104</v>
      </c>
      <c r="R257" s="20" t="n">
        <v>-177</v>
      </c>
      <c r="S257" s="20" t="n">
        <v>-102</v>
      </c>
      <c r="T257" s="20" t="n">
        <v>-161</v>
      </c>
      <c r="U257" s="20" t="n">
        <v>-7059</v>
      </c>
      <c r="V257" s="20" t="n">
        <v>-311</v>
      </c>
      <c r="W257" s="20" t="n">
        <v>-312</v>
      </c>
      <c r="X257" s="20" t="n">
        <v>-441</v>
      </c>
    </row>
    <row r="258">
      <c r="A258" s="18" t="inlineStr">
        <is>
          <t>대여금 회수</t>
        </is>
      </c>
      <c r="E258" s="20" t="n">
        <v>275</v>
      </c>
      <c r="I258" s="20" t="n">
        <v>292</v>
      </c>
      <c r="M258" s="20" t="n">
        <v>312</v>
      </c>
      <c r="O258" s="20" t="n">
        <v>162</v>
      </c>
      <c r="P258" s="20" t="n">
        <v>152</v>
      </c>
      <c r="Q258" s="20" t="n">
        <v>109</v>
      </c>
      <c r="R258" s="20" t="n">
        <v>129</v>
      </c>
      <c r="S258" s="20" t="n">
        <v>132</v>
      </c>
      <c r="T258" s="20" t="n">
        <v>136</v>
      </c>
      <c r="U258" s="20" t="n">
        <v>170</v>
      </c>
      <c r="V258" s="20" t="n">
        <v>275</v>
      </c>
      <c r="W258" s="20" t="n">
        <v>292</v>
      </c>
      <c r="X258" s="20" t="n">
        <v>312</v>
      </c>
    </row>
    <row r="259">
      <c r="A259" s="18" t="inlineStr">
        <is>
          <t>기타</t>
        </is>
      </c>
      <c r="O259" s="20" t="n">
        <v>-336</v>
      </c>
      <c r="P259" s="20" t="n">
        <v>0</v>
      </c>
      <c r="Q259" s="20" t="n">
        <v>249</v>
      </c>
      <c r="R259" s="20" t="n">
        <v>46</v>
      </c>
      <c r="S259" s="20" t="n">
        <v>-132</v>
      </c>
      <c r="T259" s="20" t="n">
        <v>-0</v>
      </c>
      <c r="U259" s="20" t="n">
        <v>0</v>
      </c>
    </row>
    <row r="260">
      <c r="A260" s="18" t="inlineStr">
        <is>
          <t>연결범위 변경 자회사 주식 매각(지출)</t>
        </is>
      </c>
      <c r="I260" s="20" t="n">
        <v>0</v>
      </c>
      <c r="M260" s="20" t="n">
        <v>-809</v>
      </c>
      <c r="W260" s="20" t="n">
        <v>0</v>
      </c>
      <c r="X260" s="20" t="n">
        <v>-809</v>
      </c>
    </row>
    <row r="261">
      <c r="A261" s="9" t="inlineStr">
        <is>
          <t>투자활동 현금흐름</t>
        </is>
      </c>
      <c r="E261" s="12" t="n">
        <v>-9664</v>
      </c>
      <c r="I261" s="12" t="n">
        <v>-20128</v>
      </c>
      <c r="M261" s="12" t="n">
        <v>-11574</v>
      </c>
      <c r="O261" s="12" t="n">
        <v>-16431</v>
      </c>
      <c r="P261" s="12" t="n">
        <v>-11145</v>
      </c>
      <c r="Q261" s="12" t="n">
        <v>-18429</v>
      </c>
      <c r="R261" s="12" t="n">
        <v>-16591</v>
      </c>
      <c r="S261" s="12" t="n">
        <v>-6785</v>
      </c>
      <c r="T261" s="12" t="n">
        <v>-6955</v>
      </c>
      <c r="U261" s="12" t="n">
        <v>-29599</v>
      </c>
      <c r="V261" s="12" t="n">
        <v>-9664</v>
      </c>
      <c r="W261" s="12" t="n">
        <v>-20128</v>
      </c>
      <c r="X261" s="12" t="n">
        <v>-11574</v>
      </c>
    </row>
    <row r="262">
      <c r="A262" s="18" t="inlineStr">
        <is>
          <t>단기차입</t>
        </is>
      </c>
      <c r="E262" s="20" t="n">
        <v>2704</v>
      </c>
      <c r="I262" s="20" t="n">
        <v>3675</v>
      </c>
      <c r="M262" s="20" t="n">
        <v>4689</v>
      </c>
      <c r="O262" s="20" t="n">
        <v>30235</v>
      </c>
      <c r="P262" s="20" t="n">
        <v>7363</v>
      </c>
      <c r="Q262" s="20" t="n">
        <v>4337</v>
      </c>
      <c r="R262" s="20" t="n">
        <v>9648</v>
      </c>
      <c r="S262" s="20" t="n">
        <v>8161</v>
      </c>
      <c r="T262" s="20" t="n">
        <v>6895</v>
      </c>
      <c r="U262" s="20" t="n">
        <v>2598</v>
      </c>
      <c r="V262" s="20" t="n">
        <v>2704</v>
      </c>
      <c r="W262" s="20" t="n">
        <v>3675</v>
      </c>
      <c r="X262" s="20" t="n">
        <v>4689</v>
      </c>
    </row>
    <row r="263">
      <c r="A263" s="18" t="inlineStr">
        <is>
          <t>단기차입금 상환</t>
        </is>
      </c>
      <c r="E263" s="20" t="n">
        <v>-3192</v>
      </c>
      <c r="I263" s="20" t="n">
        <v>-3206</v>
      </c>
      <c r="M263" s="20" t="n">
        <v>-3247</v>
      </c>
      <c r="O263" s="20" t="n">
        <v>-31450</v>
      </c>
      <c r="P263" s="20" t="n">
        <v>-5922</v>
      </c>
      <c r="Q263" s="20" t="n">
        <v>-2761</v>
      </c>
      <c r="R263" s="20" t="n">
        <v>-7889</v>
      </c>
      <c r="S263" s="20" t="n">
        <v>-7933</v>
      </c>
      <c r="T263" s="20" t="n">
        <v>-10852</v>
      </c>
      <c r="U263" s="20" t="n">
        <v>-3786</v>
      </c>
      <c r="V263" s="20" t="n">
        <v>-3192</v>
      </c>
      <c r="W263" s="20" t="n">
        <v>-3206</v>
      </c>
      <c r="X263" s="20" t="n">
        <v>-3247</v>
      </c>
    </row>
    <row r="264">
      <c r="A264" s="18" t="inlineStr">
        <is>
          <t>장기차입</t>
        </is>
      </c>
      <c r="E264" s="20" t="n">
        <v>0</v>
      </c>
      <c r="I264" s="20" t="n">
        <v>23043</v>
      </c>
      <c r="M264" s="20" t="n">
        <v>21096</v>
      </c>
      <c r="O264" s="20" t="n">
        <v>4011</v>
      </c>
      <c r="P264" s="20" t="n">
        <v>2245</v>
      </c>
      <c r="Q264" s="20" t="n">
        <v>8111</v>
      </c>
      <c r="R264" s="20" t="n">
        <v>8576</v>
      </c>
      <c r="S264" s="20" t="n">
        <v>3180</v>
      </c>
      <c r="T264" s="20" t="n">
        <v>8500</v>
      </c>
      <c r="U264" s="20" t="n">
        <v>20000</v>
      </c>
      <c r="V264" s="20" t="n">
        <v>0</v>
      </c>
      <c r="W264" s="20" t="n">
        <v>23043</v>
      </c>
      <c r="X264" s="20" t="n">
        <v>21096</v>
      </c>
    </row>
    <row r="265">
      <c r="A265" s="18" t="inlineStr">
        <is>
          <t>장기차입금 상환</t>
        </is>
      </c>
      <c r="E265" s="20" t="n">
        <v>-6324</v>
      </c>
      <c r="I265" s="20" t="n">
        <v>-8016</v>
      </c>
      <c r="M265" s="20" t="n">
        <v>-3011</v>
      </c>
      <c r="O265" s="20" t="n">
        <v>-4153</v>
      </c>
      <c r="P265" s="20" t="n">
        <v>-5</v>
      </c>
      <c r="Q265" s="20" t="n">
        <v>-8002</v>
      </c>
      <c r="R265" s="20" t="n">
        <v>-6000</v>
      </c>
      <c r="S265" s="20" t="n">
        <v>-3000</v>
      </c>
      <c r="T265" s="20" t="n">
        <v>-6380</v>
      </c>
      <c r="U265" s="20" t="n">
        <v>-2348</v>
      </c>
      <c r="V265" s="20" t="n">
        <v>-6324</v>
      </c>
      <c r="W265" s="20" t="n">
        <v>-8016</v>
      </c>
      <c r="X265" s="20" t="n">
        <v>-3011</v>
      </c>
    </row>
    <row r="266">
      <c r="A266" s="18" t="inlineStr">
        <is>
          <t>사채 발행</t>
        </is>
      </c>
      <c r="O266" s="20" t="n">
        <v>0</v>
      </c>
      <c r="P266" s="20" t="n">
        <v>9952</v>
      </c>
      <c r="Q266" s="20" t="n">
        <v>0</v>
      </c>
    </row>
    <row r="267">
      <c r="A267" s="18" t="inlineStr">
        <is>
          <t>사채 상환</t>
        </is>
      </c>
      <c r="E267" s="20" t="n">
        <v>0</v>
      </c>
      <c r="T267" s="20" t="n">
        <v>0</v>
      </c>
      <c r="U267" s="20" t="n">
        <v>-10000</v>
      </c>
      <c r="V267" s="20" t="n">
        <v>0</v>
      </c>
    </row>
    <row r="268">
      <c r="A268" s="18" t="inlineStr">
        <is>
          <t>신주예약권 행사에 따른 주식 발행</t>
        </is>
      </c>
      <c r="E268" s="20" t="n">
        <v>215</v>
      </c>
      <c r="I268" s="20" t="n">
        <v>46</v>
      </c>
      <c r="M268" s="20" t="n">
        <v>6</v>
      </c>
      <c r="O268" s="20" t="n">
        <v>28</v>
      </c>
      <c r="P268" s="20" t="n">
        <v>214</v>
      </c>
      <c r="Q268" s="20" t="n">
        <v>50</v>
      </c>
      <c r="R268" s="20" t="n">
        <v>5</v>
      </c>
      <c r="S268" s="20" t="n">
        <v>0</v>
      </c>
      <c r="T268" s="20" t="n">
        <v>43</v>
      </c>
      <c r="U268" s="20" t="n">
        <v>9</v>
      </c>
      <c r="V268" s="20" t="n">
        <v>215</v>
      </c>
      <c r="W268" s="20" t="n">
        <v>46</v>
      </c>
      <c r="X268" s="20" t="n">
        <v>6</v>
      </c>
    </row>
    <row r="269">
      <c r="A269" s="18" t="inlineStr">
        <is>
          <t>자기주식 취득</t>
        </is>
      </c>
      <c r="E269" s="20" t="n">
        <v>-1000</v>
      </c>
      <c r="I269" s="20" t="n">
        <v>-0</v>
      </c>
      <c r="M269" s="20" t="n">
        <v>-9405</v>
      </c>
      <c r="O269" s="20" t="n">
        <v>-0</v>
      </c>
      <c r="P269" s="20" t="n">
        <v>-0</v>
      </c>
      <c r="Q269" s="20" t="n">
        <v>-0</v>
      </c>
      <c r="R269" s="20" t="n">
        <v>-1</v>
      </c>
      <c r="S269" s="20" t="n">
        <v>-0</v>
      </c>
      <c r="T269" s="20" t="n">
        <v>-58</v>
      </c>
      <c r="U269" s="20" t="n">
        <v>-0</v>
      </c>
      <c r="V269" s="20" t="n">
        <v>-1000</v>
      </c>
      <c r="W269" s="20" t="n">
        <v>-0</v>
      </c>
      <c r="X269" s="20" t="n">
        <v>-9405</v>
      </c>
    </row>
    <row r="270">
      <c r="A270" s="18" t="inlineStr">
        <is>
          <t>자기주식 매각</t>
        </is>
      </c>
      <c r="E270" s="20" t="n">
        <v>27</v>
      </c>
      <c r="I270" s="20" t="n">
        <v>31</v>
      </c>
      <c r="M270" s="20" t="n">
        <v>25</v>
      </c>
      <c r="Q270" s="20" t="n">
        <v>0</v>
      </c>
      <c r="R270" s="20" t="n">
        <v>0</v>
      </c>
      <c r="S270" s="20" t="n">
        <v>0</v>
      </c>
      <c r="T270" s="20" t="n">
        <v>0</v>
      </c>
      <c r="U270" s="20" t="n">
        <v>0</v>
      </c>
      <c r="V270" s="20" t="n">
        <v>27</v>
      </c>
      <c r="W270" s="20" t="n">
        <v>31</v>
      </c>
      <c r="X270" s="20" t="n">
        <v>25</v>
      </c>
    </row>
    <row r="271">
      <c r="A271" s="18" t="inlineStr">
        <is>
          <t>배당금 지급</t>
        </is>
      </c>
      <c r="E271" s="20" t="n">
        <v>-2948</v>
      </c>
      <c r="I271" s="20" t="n">
        <v>-3684</v>
      </c>
      <c r="M271" s="20" t="n">
        <v>-4422</v>
      </c>
      <c r="O271" s="20" t="n">
        <v>-1817</v>
      </c>
      <c r="P271" s="20" t="n">
        <v>-1693</v>
      </c>
      <c r="Q271" s="20" t="n">
        <v>-1825</v>
      </c>
      <c r="R271" s="20" t="n">
        <v>-1637</v>
      </c>
      <c r="S271" s="20" t="n">
        <v>-881</v>
      </c>
      <c r="T271" s="20" t="n">
        <v>-1638</v>
      </c>
      <c r="U271" s="20" t="n">
        <v>-1826</v>
      </c>
      <c r="V271" s="20" t="n">
        <v>-2948</v>
      </c>
      <c r="W271" s="20" t="n">
        <v>-3684</v>
      </c>
      <c r="X271" s="20" t="n">
        <v>-4422</v>
      </c>
    </row>
    <row r="272">
      <c r="A272" s="18" t="inlineStr">
        <is>
          <t>비지배주주 배당금 지급</t>
        </is>
      </c>
      <c r="E272" s="20" t="n">
        <v>-502</v>
      </c>
      <c r="I272" s="20" t="n">
        <v>-595</v>
      </c>
      <c r="M272" s="20" t="n">
        <v>-1035</v>
      </c>
      <c r="O272" s="20" t="n">
        <v>-125</v>
      </c>
      <c r="P272" s="20" t="n">
        <v>-170</v>
      </c>
      <c r="Q272" s="20" t="n">
        <v>-268</v>
      </c>
      <c r="R272" s="20" t="n">
        <v>-332</v>
      </c>
      <c r="S272" s="20" t="n">
        <v>-263</v>
      </c>
      <c r="T272" s="20" t="n">
        <v>-201</v>
      </c>
      <c r="U272" s="20" t="n">
        <v>-440</v>
      </c>
      <c r="V272" s="20" t="n">
        <v>-502</v>
      </c>
      <c r="W272" s="20" t="n">
        <v>-595</v>
      </c>
      <c r="X272" s="20" t="n">
        <v>-1035</v>
      </c>
    </row>
    <row r="273">
      <c r="A273" s="18" t="inlineStr">
        <is>
          <t>기타</t>
        </is>
      </c>
      <c r="O273" s="20" t="n">
        <v>-238</v>
      </c>
      <c r="P273" s="20" t="n">
        <v>-203</v>
      </c>
      <c r="Q273" s="20" t="n">
        <v>-76</v>
      </c>
      <c r="R273" s="20" t="n">
        <v>-664</v>
      </c>
    </row>
    <row r="274">
      <c r="A274" s="18" t="inlineStr">
        <is>
          <t>리스부채 상환</t>
        </is>
      </c>
      <c r="E274" s="20" t="n">
        <v>-411</v>
      </c>
      <c r="I274" s="20" t="n">
        <v>-344</v>
      </c>
      <c r="M274" s="20" t="n">
        <v>-562</v>
      </c>
      <c r="R274" s="20" t="n">
        <v>-664</v>
      </c>
      <c r="S274" s="20" t="n">
        <v>-438</v>
      </c>
      <c r="T274" s="20" t="n">
        <v>-435</v>
      </c>
      <c r="U274" s="20" t="n">
        <v>-227</v>
      </c>
      <c r="V274" s="20" t="n">
        <v>-411</v>
      </c>
      <c r="W274" s="20" t="n">
        <v>-344</v>
      </c>
      <c r="X274" s="20" t="n">
        <v>-562</v>
      </c>
    </row>
    <row r="275">
      <c r="A275" s="18" t="inlineStr">
        <is>
          <t>비지배지분으로부터 자회사 지분 취득 지출</t>
        </is>
      </c>
      <c r="E275" s="20" t="n">
        <v>0</v>
      </c>
      <c r="T275" s="20" t="n">
        <v>0</v>
      </c>
      <c r="U275" s="20" t="n">
        <v>-442</v>
      </c>
      <c r="V275" s="20" t="n">
        <v>0</v>
      </c>
    </row>
    <row r="276">
      <c r="A276" s="9" t="inlineStr">
        <is>
          <t>재무활동 현금흐름</t>
        </is>
      </c>
      <c r="E276" s="12" t="n">
        <v>-11431</v>
      </c>
      <c r="I276" s="12" t="n">
        <v>10949</v>
      </c>
      <c r="M276" s="12" t="n">
        <v>4133</v>
      </c>
      <c r="O276" s="12" t="n">
        <v>-3510</v>
      </c>
      <c r="P276" s="12" t="n">
        <v>11779</v>
      </c>
      <c r="Q276" s="12" t="n">
        <v>-435</v>
      </c>
      <c r="R276" s="12" t="n">
        <v>1704</v>
      </c>
      <c r="S276" s="12" t="n">
        <v>-1176</v>
      </c>
      <c r="T276" s="12" t="n">
        <v>-4128</v>
      </c>
      <c r="U276" s="12" t="n">
        <v>3536</v>
      </c>
      <c r="V276" s="12" t="n">
        <v>-11431</v>
      </c>
      <c r="W276" s="12" t="n">
        <v>10949</v>
      </c>
      <c r="X276" s="12" t="n">
        <v>4133</v>
      </c>
    </row>
    <row r="277">
      <c r="A277" s="18" t="inlineStr">
        <is>
          <t>현금성자산 환산차이</t>
        </is>
      </c>
      <c r="E277" s="20" t="n">
        <v>2760</v>
      </c>
      <c r="I277" s="20" t="n">
        <v>-1407</v>
      </c>
      <c r="M277" s="20" t="n">
        <v>3726</v>
      </c>
      <c r="O277" s="20" t="n">
        <v>-592</v>
      </c>
      <c r="P277" s="20" t="n">
        <v>354</v>
      </c>
      <c r="Q277" s="20" t="n">
        <v>-830</v>
      </c>
      <c r="R277" s="20" t="n">
        <v>-465</v>
      </c>
      <c r="S277" s="20" t="n">
        <v>-105</v>
      </c>
      <c r="T277" s="20" t="n">
        <v>1920</v>
      </c>
      <c r="U277" s="20" t="n">
        <v>1014</v>
      </c>
      <c r="V277" s="20" t="n">
        <v>2760</v>
      </c>
      <c r="W277" s="20" t="n">
        <v>-1407</v>
      </c>
      <c r="X277" s="20" t="n">
        <v>3726</v>
      </c>
    </row>
    <row r="278">
      <c r="A278" s="18" t="inlineStr">
        <is>
          <t>현금성자산 증감</t>
        </is>
      </c>
      <c r="E278" s="20" t="n">
        <v>20292</v>
      </c>
      <c r="I278" s="20" t="n">
        <v>17636</v>
      </c>
      <c r="M278" s="20" t="n">
        <v>3488</v>
      </c>
      <c r="O278" s="20" t="n">
        <v>-6138</v>
      </c>
      <c r="P278" s="20" t="n">
        <v>14756</v>
      </c>
      <c r="Q278" s="20" t="n">
        <v>-8274</v>
      </c>
      <c r="R278" s="20" t="n">
        <v>-673</v>
      </c>
      <c r="S278" s="20" t="n">
        <v>9694</v>
      </c>
      <c r="T278" s="20" t="n">
        <v>4381</v>
      </c>
      <c r="U278" s="20" t="n">
        <v>-4778</v>
      </c>
      <c r="V278" s="20" t="n">
        <v>20292</v>
      </c>
      <c r="W278" s="20" t="n">
        <v>17636</v>
      </c>
      <c r="X278" s="20" t="n">
        <v>3488</v>
      </c>
    </row>
    <row r="279">
      <c r="A279" s="18" t="inlineStr">
        <is>
          <t>신규 연결 현금성자산 증가</t>
        </is>
      </c>
      <c r="O279" s="20" t="n">
        <v>0</v>
      </c>
      <c r="P279" s="20" t="n">
        <v>100</v>
      </c>
      <c r="Q279" s="20" t="n">
        <v>0</v>
      </c>
      <c r="R279" s="20" t="n">
        <v>85</v>
      </c>
      <c r="S279" s="20" t="n">
        <v>0</v>
      </c>
    </row>
    <row r="280">
      <c r="A280" s="18" t="inlineStr">
        <is>
          <t>Increase Decrease In Beginning Balance Of Cash And Cash Equivalents Resulting From Change In Fiscal Period Of Consolidated Subsidiaries Fin CF</t>
        </is>
      </c>
      <c r="E280" s="20" t="n">
        <v>2229</v>
      </c>
      <c r="U280" s="20" t="n">
        <v>0</v>
      </c>
      <c r="V280" s="20" t="n">
        <v>2229</v>
      </c>
    </row>
    <row r="281">
      <c r="A281" s="18" t="inlineStr">
        <is>
          <t>Increase Decrease In Beginning Balance Of Cash And Cash Equivalents Resulting From Change In Fiscal Period Of Consolidated Subsidiaries</t>
        </is>
      </c>
      <c r="E281" s="20" t="n">
        <v>2229</v>
      </c>
      <c r="I281" s="20" t="n">
        <v>0</v>
      </c>
      <c r="V281" s="20" t="n">
        <v>2229</v>
      </c>
      <c r="W281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7283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164512</v>
      </c>
      <c r="D5" s="12" t="n">
        <v>160447</v>
      </c>
      <c r="E5" s="12" t="n">
        <v>184316</v>
      </c>
      <c r="F5" s="12" t="n">
        <v>186234</v>
      </c>
      <c r="G5" s="12" t="n">
        <v>185110</v>
      </c>
      <c r="H5" s="11" t="n">
        <v>112172</v>
      </c>
      <c r="I5" s="12" t="n">
        <v>53601</v>
      </c>
      <c r="J5" s="12" t="n">
        <v>149636</v>
      </c>
      <c r="K5" s="12" t="n">
        <v>174864</v>
      </c>
      <c r="L5" s="12" t="n">
        <v>186234</v>
      </c>
    </row>
    <row r="6">
      <c r="A6" s="18" t="inlineStr">
        <is>
          <t>현금및현금성자산</t>
        </is>
      </c>
      <c r="B6" s="10" t="n"/>
      <c r="C6" s="19" t="n">
        <v>76249</v>
      </c>
      <c r="D6" s="20" t="n">
        <v>67245</v>
      </c>
      <c r="E6" s="20" t="n">
        <v>86602</v>
      </c>
      <c r="F6" s="20" t="n">
        <v>87663</v>
      </c>
      <c r="G6" s="20" t="n">
        <v>78974</v>
      </c>
      <c r="H6" s="19" t="n">
        <v>45602</v>
      </c>
      <c r="I6" s="20" t="n">
        <v>17991</v>
      </c>
      <c r="J6" s="20" t="n">
        <v>65554</v>
      </c>
      <c r="K6" s="20" t="n">
        <v>85776</v>
      </c>
      <c r="L6" s="20" t="n">
        <v>87663</v>
      </c>
    </row>
    <row r="7">
      <c r="A7" s="18" t="inlineStr">
        <is>
          <t>단기금융상품</t>
        </is>
      </c>
      <c r="B7" s="10" t="n"/>
      <c r="C7" s="19" t="n">
        <v>1000</v>
      </c>
      <c r="D7" s="20" t="n">
        <v>1000</v>
      </c>
      <c r="E7" s="20" t="n">
        <v>1500</v>
      </c>
      <c r="F7" s="20" t="n"/>
      <c r="G7" s="20" t="n"/>
      <c r="H7" s="19" t="n">
        <v>4484</v>
      </c>
      <c r="I7" s="20" t="n">
        <v>2484</v>
      </c>
      <c r="J7" s="20" t="n">
        <v>1482</v>
      </c>
      <c r="K7" s="20" t="n">
        <v>0</v>
      </c>
      <c r="L7" s="20" t="n"/>
    </row>
    <row r="8">
      <c r="A8" s="18" t="inlineStr">
        <is>
          <t>매출채권</t>
        </is>
      </c>
      <c r="B8" s="10" t="n"/>
      <c r="C8" s="19" t="n">
        <v>37698</v>
      </c>
      <c r="D8" s="20" t="n">
        <v>39694</v>
      </c>
      <c r="E8" s="20" t="n">
        <v>37253</v>
      </c>
      <c r="F8" s="20" t="n">
        <v>40407</v>
      </c>
      <c r="G8" s="20" t="n">
        <v>44230</v>
      </c>
      <c r="H8" s="19" t="n">
        <v>26201</v>
      </c>
      <c r="I8" s="20" t="n">
        <v>30664</v>
      </c>
      <c r="J8" s="20" t="n">
        <v>39279</v>
      </c>
      <c r="K8" s="20" t="n">
        <v>37563</v>
      </c>
      <c r="L8" s="20" t="n">
        <v>40407</v>
      </c>
    </row>
    <row r="9">
      <c r="A9" s="18" t="inlineStr">
        <is>
          <t>재고자산</t>
        </is>
      </c>
      <c r="B9" s="10" t="n"/>
      <c r="C9" s="19" t="n">
        <v>38140</v>
      </c>
      <c r="D9" s="20" t="n">
        <v>39498</v>
      </c>
      <c r="E9" s="20" t="n">
        <v>42003</v>
      </c>
      <c r="F9" s="20" t="n">
        <v>45618</v>
      </c>
      <c r="G9" s="20" t="n">
        <v>48006</v>
      </c>
      <c r="H9" s="19" t="n">
        <v>29423</v>
      </c>
      <c r="I9" s="20" t="n">
        <v>13259</v>
      </c>
      <c r="J9" s="20" t="n">
        <v>35300</v>
      </c>
      <c r="K9" s="20" t="n">
        <v>41521</v>
      </c>
      <c r="L9" s="20" t="n">
        <v>45618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124220</v>
      </c>
      <c r="D11" s="12" t="n">
        <v>126267</v>
      </c>
      <c r="E11" s="12" t="n">
        <v>121285</v>
      </c>
      <c r="F11" s="12" t="n">
        <v>125242</v>
      </c>
      <c r="G11" s="12" t="n">
        <v>133524</v>
      </c>
      <c r="H11" s="11" t="n">
        <v>89763</v>
      </c>
      <c r="I11" s="12" t="n">
        <v>98029</v>
      </c>
      <c r="J11" s="12" t="n">
        <v>122912</v>
      </c>
      <c r="K11" s="12" t="n">
        <v>126118</v>
      </c>
      <c r="L11" s="12" t="n">
        <v>125242</v>
      </c>
    </row>
    <row r="12">
      <c r="A12" s="18" t="inlineStr">
        <is>
          <t>유형자산</t>
        </is>
      </c>
      <c r="B12" s="10" t="n"/>
      <c r="C12" s="19" t="n">
        <v>86340</v>
      </c>
      <c r="D12" s="20" t="n">
        <v>88039</v>
      </c>
      <c r="E12" s="20" t="n">
        <v>90579</v>
      </c>
      <c r="F12" s="20" t="n">
        <v>91353</v>
      </c>
      <c r="G12" s="20" t="n">
        <v>97680</v>
      </c>
      <c r="H12" s="19" t="n">
        <v>64980</v>
      </c>
      <c r="I12" s="20" t="n">
        <v>32198</v>
      </c>
      <c r="J12" s="20" t="n">
        <v>83599</v>
      </c>
      <c r="K12" s="20" t="n">
        <v>86121</v>
      </c>
      <c r="L12" s="20" t="n">
        <v>91353</v>
      </c>
    </row>
    <row r="13">
      <c r="A13" s="18" t="inlineStr">
        <is>
          <t>무형자산</t>
        </is>
      </c>
      <c r="B13" s="10" t="n"/>
      <c r="C13" s="19" t="n">
        <v>2418</v>
      </c>
      <c r="D13" s="20" t="n">
        <v>2510</v>
      </c>
      <c r="E13" s="20" t="n">
        <v>2568</v>
      </c>
      <c r="F13" s="20" t="n">
        <v>2726</v>
      </c>
      <c r="G13" s="20" t="n">
        <v>3667</v>
      </c>
      <c r="H13" s="19" t="n">
        <v>899</v>
      </c>
      <c r="I13" s="20" t="n">
        <v>1240</v>
      </c>
      <c r="J13" s="20" t="n">
        <v>2398</v>
      </c>
      <c r="K13" s="20" t="n">
        <v>2404</v>
      </c>
      <c r="L13" s="20" t="n">
        <v>2726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288732</v>
      </c>
      <c r="D16" s="12" t="n">
        <v>286714</v>
      </c>
      <c r="E16" s="12" t="n">
        <v>305602</v>
      </c>
      <c r="F16" s="12" t="n">
        <v>311476</v>
      </c>
      <c r="G16" s="12" t="n">
        <v>318634</v>
      </c>
      <c r="H16" s="11" t="n">
        <v>201936</v>
      </c>
      <c r="I16" s="12" t="n">
        <v>151630</v>
      </c>
      <c r="J16" s="12" t="n">
        <v>272549</v>
      </c>
      <c r="K16" s="12" t="n">
        <v>300982</v>
      </c>
      <c r="L16" s="12" t="n">
        <v>311476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84735</v>
      </c>
      <c r="D18" s="12" t="n">
        <v>75001</v>
      </c>
      <c r="E18" s="12" t="n">
        <v>80994</v>
      </c>
      <c r="F18" s="12" t="n">
        <v>92223</v>
      </c>
      <c r="G18" s="12" t="n">
        <v>95114</v>
      </c>
      <c r="H18" s="11" t="n">
        <v>57293</v>
      </c>
      <c r="I18" s="12" t="n">
        <v>28671</v>
      </c>
      <c r="J18" s="12" t="n">
        <v>82067</v>
      </c>
      <c r="K18" s="12" t="n">
        <v>85745</v>
      </c>
      <c r="L18" s="12" t="n">
        <v>92223</v>
      </c>
    </row>
    <row r="19">
      <c r="A19" s="18" t="inlineStr">
        <is>
          <t>매입채무</t>
        </is>
      </c>
      <c r="B19" s="10" t="n"/>
      <c r="C19" s="19" t="n">
        <v>32585</v>
      </c>
      <c r="D19" s="20" t="n">
        <v>31937</v>
      </c>
      <c r="E19" s="20" t="n">
        <v>31581</v>
      </c>
      <c r="F19" s="20" t="n">
        <v>33156</v>
      </c>
      <c r="G19" s="20" t="n">
        <v>33519</v>
      </c>
      <c r="H19" s="19" t="n">
        <v>21432</v>
      </c>
      <c r="I19" s="20" t="n">
        <v>27390</v>
      </c>
      <c r="J19" s="20" t="n">
        <v>32872</v>
      </c>
      <c r="K19" s="20" t="n">
        <v>33722</v>
      </c>
      <c r="L19" s="20" t="n">
        <v>33156</v>
      </c>
    </row>
    <row r="20">
      <c r="A20" s="18" t="inlineStr">
        <is>
          <t>단기차입금</t>
        </is>
      </c>
      <c r="B20" s="10" t="n"/>
      <c r="C20" s="19" t="n">
        <v>1904</v>
      </c>
      <c r="D20" s="20" t="n">
        <v>1574</v>
      </c>
      <c r="E20" s="20" t="n">
        <v>1730</v>
      </c>
      <c r="F20" s="20" t="n">
        <v>2764</v>
      </c>
      <c r="G20" s="20" t="n">
        <v>2699</v>
      </c>
      <c r="H20" s="19" t="n">
        <v>3845</v>
      </c>
      <c r="I20" s="20" t="n">
        <v>2909</v>
      </c>
      <c r="J20" s="20" t="n">
        <v>2219</v>
      </c>
      <c r="K20" s="20" t="n">
        <v>1676</v>
      </c>
      <c r="L20" s="20" t="n">
        <v>2764</v>
      </c>
    </row>
    <row r="21">
      <c r="A21" s="18" t="inlineStr">
        <is>
          <t>유동성장기부채</t>
        </is>
      </c>
      <c r="B21" s="10" t="n"/>
      <c r="C21" s="19" t="n">
        <v>3001</v>
      </c>
      <c r="D21" s="20" t="n">
        <v>3000</v>
      </c>
      <c r="E21" s="20" t="n">
        <v>8500</v>
      </c>
      <c r="F21" s="20" t="n">
        <v>20500</v>
      </c>
      <c r="G21" s="20" t="n">
        <v>20500</v>
      </c>
      <c r="H21" s="19" t="n">
        <v>12339</v>
      </c>
      <c r="I21" s="20" t="n">
        <v>6000</v>
      </c>
      <c r="J21" s="20" t="n">
        <v>8091</v>
      </c>
      <c r="K21" s="20" t="n">
        <v>3011</v>
      </c>
      <c r="L21" s="20" t="n">
        <v>20500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74920</v>
      </c>
      <c r="D23" s="12" t="n">
        <v>76344</v>
      </c>
      <c r="E23" s="12" t="n">
        <v>81872</v>
      </c>
      <c r="F23" s="12" t="n">
        <v>72922</v>
      </c>
      <c r="G23" s="12" t="n">
        <v>74313</v>
      </c>
      <c r="H23" s="11" t="n">
        <v>43752</v>
      </c>
      <c r="I23" s="12" t="n">
        <v>52776</v>
      </c>
      <c r="J23" s="12" t="n">
        <v>50922</v>
      </c>
      <c r="K23" s="12" t="n">
        <v>74898</v>
      </c>
      <c r="L23" s="12" t="n">
        <v>72922</v>
      </c>
    </row>
    <row r="24">
      <c r="A24" s="18" t="inlineStr">
        <is>
          <t>장기차입금</t>
        </is>
      </c>
      <c r="B24" s="10" t="n"/>
      <c r="C24" s="19" t="n">
        <v>51510</v>
      </c>
      <c r="D24" s="20" t="n">
        <v>51507</v>
      </c>
      <c r="E24" s="20" t="n">
        <v>64028</v>
      </c>
      <c r="F24" s="20" t="n">
        <v>52109</v>
      </c>
      <c r="G24" s="20" t="n">
        <v>53181</v>
      </c>
      <c r="H24" s="19" t="n">
        <v>25918</v>
      </c>
      <c r="I24" s="20" t="n">
        <v>39500</v>
      </c>
      <c r="J24" s="20" t="n">
        <v>31526</v>
      </c>
      <c r="K24" s="20" t="n">
        <v>51528</v>
      </c>
      <c r="L24" s="20" t="n">
        <v>52109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>
        <v>0</v>
      </c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159655</v>
      </c>
      <c r="D27" s="12" t="n">
        <v>151345</v>
      </c>
      <c r="E27" s="12" t="n">
        <v>162867</v>
      </c>
      <c r="F27" s="12" t="n">
        <v>165146</v>
      </c>
      <c r="G27" s="12" t="n">
        <v>169427</v>
      </c>
      <c r="H27" s="11" t="n">
        <v>101046</v>
      </c>
      <c r="I27" s="12" t="n">
        <v>81448</v>
      </c>
      <c r="J27" s="12" t="n">
        <v>132990</v>
      </c>
      <c r="K27" s="12" t="n">
        <v>160644</v>
      </c>
      <c r="L27" s="12" t="n">
        <v>165146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125095</v>
      </c>
      <c r="D31" s="12" t="n">
        <v>131174</v>
      </c>
      <c r="E31" s="12" t="n">
        <v>138108</v>
      </c>
      <c r="F31" s="12" t="n">
        <v>141853</v>
      </c>
      <c r="G31" s="12" t="n">
        <v>144998</v>
      </c>
      <c r="H31" s="11" t="n">
        <v>96946</v>
      </c>
      <c r="I31" s="12" t="n">
        <v>66208</v>
      </c>
      <c r="J31" s="12" t="n">
        <v>134742</v>
      </c>
      <c r="K31" s="12" t="n">
        <v>135822</v>
      </c>
      <c r="L31" s="12" t="n">
        <v>141853</v>
      </c>
    </row>
    <row r="32">
      <c r="A32" s="18" t="inlineStr">
        <is>
          <t>자본금</t>
        </is>
      </c>
      <c r="B32" s="10" t="n"/>
      <c r="C32" s="19" t="n">
        <v>10870</v>
      </c>
      <c r="D32" s="20" t="n">
        <v>10870</v>
      </c>
      <c r="E32" s="20" t="n">
        <v>10870</v>
      </c>
      <c r="F32" s="20" t="n">
        <v>10870</v>
      </c>
      <c r="G32" s="20" t="n">
        <v>10870</v>
      </c>
      <c r="H32" s="19" t="n">
        <v>10708</v>
      </c>
      <c r="I32" s="20" t="n">
        <v>10714</v>
      </c>
      <c r="J32" s="20" t="n">
        <v>10838</v>
      </c>
      <c r="K32" s="20" t="n">
        <v>10866</v>
      </c>
      <c r="L32" s="20" t="n">
        <v>10870</v>
      </c>
    </row>
    <row r="33">
      <c r="A33" s="18" t="inlineStr">
        <is>
          <t>이익잉여금</t>
        </is>
      </c>
      <c r="B33" s="10" t="n"/>
      <c r="C33" s="19" t="n">
        <v>93512</v>
      </c>
      <c r="D33" s="20" t="n">
        <v>97539</v>
      </c>
      <c r="E33" s="20" t="n">
        <v>99812</v>
      </c>
      <c r="F33" s="20" t="n">
        <v>100922</v>
      </c>
      <c r="G33" s="20" t="n">
        <v>103245</v>
      </c>
      <c r="H33" s="19" t="n">
        <v>67281</v>
      </c>
      <c r="I33" s="20" t="n">
        <v>44001</v>
      </c>
      <c r="J33" s="20" t="n">
        <v>82720</v>
      </c>
      <c r="K33" s="20" t="n">
        <v>92269</v>
      </c>
      <c r="L33" s="20" t="n">
        <v>100922</v>
      </c>
    </row>
    <row r="34">
      <c r="A34" s="18" t="inlineStr">
        <is>
          <t>비지배지분</t>
        </is>
      </c>
      <c r="B34" s="10" t="n"/>
      <c r="C34" s="19" t="n">
        <v>3981</v>
      </c>
      <c r="D34" s="20" t="n">
        <v>4195</v>
      </c>
      <c r="E34" s="20" t="n">
        <v>4627</v>
      </c>
      <c r="F34" s="20" t="n">
        <v>4476</v>
      </c>
      <c r="G34" s="20" t="n">
        <v>4208</v>
      </c>
      <c r="H34" s="19" t="n">
        <v>3836</v>
      </c>
      <c r="I34" s="20" t="n">
        <v>3888</v>
      </c>
      <c r="J34" s="20" t="n">
        <v>4789</v>
      </c>
      <c r="K34" s="20" t="n">
        <v>4509</v>
      </c>
      <c r="L34" s="20" t="n">
        <v>4476</v>
      </c>
    </row>
    <row r="35">
      <c r="A35" s="9" t="inlineStr">
        <is>
          <t>자본총계</t>
        </is>
      </c>
      <c r="B35" s="10" t="n"/>
      <c r="C35" s="11" t="n">
        <v>129076</v>
      </c>
      <c r="D35" s="12" t="n">
        <v>135369</v>
      </c>
      <c r="E35" s="12" t="n">
        <v>142735</v>
      </c>
      <c r="F35" s="12" t="n">
        <v>146329</v>
      </c>
      <c r="G35" s="12" t="n">
        <v>149206</v>
      </c>
      <c r="H35" s="11" t="n">
        <v>100889</v>
      </c>
      <c r="I35" s="12" t="n">
        <v>70182</v>
      </c>
      <c r="J35" s="12" t="n">
        <v>139558</v>
      </c>
      <c r="K35" s="12" t="n">
        <v>140338</v>
      </c>
      <c r="L35" s="12" t="n">
        <v>146329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7204</v>
      </c>
      <c r="G37" s="12" t="n"/>
      <c r="H37" s="11" t="n">
        <v>13544</v>
      </c>
      <c r="I37" s="12" t="n">
        <v>20269</v>
      </c>
      <c r="J37" s="12" t="n">
        <v>38627</v>
      </c>
      <c r="K37" s="12" t="n">
        <v>28222</v>
      </c>
      <c r="L37" s="12" t="n">
        <v>7204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4422</v>
      </c>
      <c r="G40" s="20" t="n"/>
      <c r="H40" s="19" t="n">
        <v>1638</v>
      </c>
      <c r="I40" s="20" t="n">
        <v>1826</v>
      </c>
      <c r="J40" s="20" t="n">
        <v>2948</v>
      </c>
      <c r="K40" s="20" t="n">
        <v>3684</v>
      </c>
      <c r="L40" s="20" t="n">
        <v>4422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IFERROR(IF((IF(COUNT('연간'!G59:J59)&lt;4,"",SUM('연간'!G59:J59)))&lt;=0,"적자",C28/(IF(COUNT('연간'!G59:J59)&lt;4,"",SUM('연간'!G59:J59)))),"")</f>
        <v/>
      </c>
      <c r="D49" s="47">
        <f>IFERROR(IF((IF(COUNT('연간'!H59:K59)&lt;4,"",SUM('연간'!H59:K59)))&lt;=0,"적자",D28/(IF(COUNT('연간'!H59:K59)&lt;4,"",SUM('연간'!H59:K59)))),"")</f>
        <v/>
      </c>
      <c r="E49" s="47">
        <f>IFERROR(IF((IF(COUNT('연간'!I59:L59)&lt;4,"",SUM('연간'!I59:L59)))&lt;=0,"적자",E28/(IF(COUNT('연간'!I59:L59)&lt;4,"",SUM('연간'!I59:L59)))),"")</f>
        <v/>
      </c>
      <c r="F49" s="47">
        <f>IFERROR(IF((IF(COUNT('연간'!J59:M59)&lt;4,"",SUM('연간'!J59:M59)))&lt;=0,"적자",F28/(IF(COUNT('연간'!J59:M59)&lt;4,"",SUM('연간'!J59:M59)))),"")</f>
        <v/>
      </c>
      <c r="G49" s="47">
        <f>IFERROR(IF((IF(COUNT('연간'!K59:N59)&lt;4,"",SUM('연간'!K59:N59)))&lt;=0,"적자",G28/(IF(COUNT('연간'!K59:N59)&lt;4,"",SUM('연간'!K59:N59)))),"")</f>
        <v/>
      </c>
      <c r="H49" s="46">
        <f>IFERROR(IF(('연간'!T59)&lt;=0,"적자",H28/('연간'!T59)),"")</f>
        <v/>
      </c>
      <c r="I49" s="47">
        <f>IFERROR(IF(('연간'!U59)&lt;=0,"적자",I28/('연간'!U59)),"")</f>
        <v/>
      </c>
      <c r="J49" s="47">
        <f>IFERROR(IF(('연간'!V59)&lt;=0,"적자",J28/('연간'!V59)),"")</f>
        <v/>
      </c>
      <c r="K49" s="47">
        <f>IFERROR(IF(('연간'!W59)&lt;=0,"적자",K28/('연간'!W59)),"")</f>
        <v/>
      </c>
      <c r="L49" s="47">
        <f>IFERROR(IF(('연간'!X59)&lt;=0,"적자",L28/('연간'!X59)),"")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IFERROR((IF(COUNT('연간'!G59:J59)&lt;4,"",SUM('연간'!G59:J59)))/C31,"")</f>
        <v/>
      </c>
      <c r="D51" s="36">
        <f>IFERROR((IF(COUNT('연간'!H59:K59)&lt;4,"",SUM('연간'!H59:K59)))/D31,"")</f>
        <v/>
      </c>
      <c r="E51" s="36">
        <f>IFERROR((IF(COUNT('연간'!I59:L59)&lt;4,"",SUM('연간'!I59:L59)))/E31,"")</f>
        <v/>
      </c>
      <c r="F51" s="36">
        <f>IFERROR((IF(COUNT('연간'!J59:M59)&lt;4,"",SUM('연간'!J59:M59)))/F31,"")</f>
        <v/>
      </c>
      <c r="G51" s="36">
        <f>IFERROR((IF(COUNT('연간'!K59:N59)&lt;4,"",SUM('연간'!K59:N59)))/G31,"")</f>
        <v/>
      </c>
      <c r="H51" s="35">
        <f>IFERROR(('연간'!T59)/H31,"")</f>
        <v/>
      </c>
      <c r="I51" s="36">
        <f>IFERROR(('연간'!U59)/I31,"")</f>
        <v/>
      </c>
      <c r="J51" s="36">
        <f>IFERROR(('연간'!V59)/J31,"")</f>
        <v/>
      </c>
      <c r="K51" s="36">
        <f>IFERROR(('연간'!W59)/K31,"")</f>
        <v/>
      </c>
      <c r="L51" s="36">
        <f>IFERROR(('연간'!X59)/L31,"")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IFERROR((IF(COUNT('연간'!G58:J58)&lt;4,"",SUM('연간'!G58:J58)))/C16,"")</f>
        <v/>
      </c>
      <c r="D52" s="36">
        <f>IFERROR((IF(COUNT('연간'!H58:K58)&lt;4,"",SUM('연간'!H58:K58)))/D16,"")</f>
        <v/>
      </c>
      <c r="E52" s="36">
        <f>IFERROR((IF(COUNT('연간'!I58:L58)&lt;4,"",SUM('연간'!I58:L58)))/E16,"")</f>
        <v/>
      </c>
      <c r="F52" s="36">
        <f>IFERROR((IF(COUNT('연간'!J58:M58)&lt;4,"",SUM('연간'!J58:M58)))/F16,"")</f>
        <v/>
      </c>
      <c r="G52" s="36">
        <f>IFERROR((IF(COUNT('연간'!K58:N58)&lt;4,"",SUM('연간'!K58:N58)))/G16,"")</f>
        <v/>
      </c>
      <c r="H52" s="35">
        <f>IFERROR(('연간'!T58)/H16,"")</f>
        <v/>
      </c>
      <c r="I52" s="36">
        <f>IFERROR(('연간'!U58)/I16,"")</f>
        <v/>
      </c>
      <c r="J52" s="36">
        <f>IFERROR(('연간'!V58)/J16,"")</f>
        <v/>
      </c>
      <c r="K52" s="36">
        <f>IFERROR(('연간'!W58)/K16,"")</f>
        <v/>
      </c>
      <c r="L52" s="36">
        <f>IFERROR(('연간'!X58)/L16,"")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IFERROR((IF(COUNT('연간'!G27:J27)&lt;4,"",SUM('연간'!G27:J27)))/(IF(COUNT('연간'!G4:J4)&lt;4,"",SUM('연간'!G4:J4))),"")</f>
        <v/>
      </c>
      <c r="D54" s="36">
        <f>IFERROR((IF(COUNT('연간'!H27:K27)&lt;4,"",SUM('연간'!H27:K27)))/(IF(COUNT('연간'!H4:K4)&lt;4,"",SUM('연간'!H4:K4))),"")</f>
        <v/>
      </c>
      <c r="E54" s="36">
        <f>IFERROR((IF(COUNT('연간'!I27:L27)&lt;4,"",SUM('연간'!I27:L27)))/(IF(COUNT('연간'!I4:L4)&lt;4,"",SUM('연간'!I4:L4))),"")</f>
        <v/>
      </c>
      <c r="F54" s="36">
        <f>IFERROR((IF(COUNT('연간'!J27:M27)&lt;4,"",SUM('연간'!J27:M27)))/(IF(COUNT('연간'!J4:M4)&lt;4,"",SUM('연간'!J4:M4))),"")</f>
        <v/>
      </c>
      <c r="G54" s="36">
        <f>IFERROR((IF(COUNT('연간'!K27:N27)&lt;4,"",SUM('연간'!K27:N27)))/(IF(COUNT('연간'!K4:N4)&lt;4,"",SUM('연간'!K4:N4))),"")</f>
        <v/>
      </c>
      <c r="H54" s="35">
        <f>IFERROR(('연간'!T27)/('연간'!T4),"")</f>
        <v/>
      </c>
      <c r="I54" s="36">
        <f>IFERROR(('연간'!U27)/('연간'!U4),"")</f>
        <v/>
      </c>
      <c r="J54" s="36">
        <f>IFERROR(('연간'!V27)/('연간'!V4),"")</f>
        <v/>
      </c>
      <c r="K54" s="36">
        <f>IFERROR(('연간'!W27)/('연간'!W4),"")</f>
        <v/>
      </c>
      <c r="L54" s="36">
        <f>IFERROR(('연간'!X27)/('연간'!X4),"")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IFERROR((IF(COUNT('연간'!G58:J58)&lt;4,"",SUM('연간'!G58:J58)))/(IF(COUNT('연간'!G4:J4)&lt;4,"",SUM('연간'!G4:J4))),"")</f>
        <v/>
      </c>
      <c r="D56" s="36">
        <f>IFERROR((IF(COUNT('연간'!H58:K58)&lt;4,"",SUM('연간'!H58:K58)))/(IF(COUNT('연간'!H4:K4)&lt;4,"",SUM('연간'!H4:K4))),"")</f>
        <v/>
      </c>
      <c r="E56" s="36">
        <f>IFERROR((IF(COUNT('연간'!I58:L58)&lt;4,"",SUM('연간'!I58:L58)))/(IF(COUNT('연간'!I4:L4)&lt;4,"",SUM('연간'!I4:L4))),"")</f>
        <v/>
      </c>
      <c r="F56" s="36">
        <f>IFERROR((IF(COUNT('연간'!J58:M58)&lt;4,"",SUM('연간'!J58:M58)))/(IF(COUNT('연간'!J4:M4)&lt;4,"",SUM('연간'!J4:M4))),"")</f>
        <v/>
      </c>
      <c r="G56" s="36">
        <f>IFERROR((IF(COUNT('연간'!K58:N58)&lt;4,"",SUM('연간'!K58:N58)))/(IF(COUNT('연간'!K4:N4)&lt;4,"",SUM('연간'!K4:N4))),"")</f>
        <v/>
      </c>
      <c r="H56" s="35">
        <f>IFERROR(('연간'!T58)/('연간'!T4),"")</f>
        <v/>
      </c>
      <c r="I56" s="36">
        <f>IFERROR(('연간'!U58)/('연간'!U4),"")</f>
        <v/>
      </c>
      <c r="J56" s="36">
        <f>IFERROR(('연간'!V58)/('연간'!V4),"")</f>
        <v/>
      </c>
      <c r="K56" s="36">
        <f>IFERROR(('연간'!W58)/('연간'!W4),"")</f>
        <v/>
      </c>
      <c r="L56" s="36">
        <f>IFERROR(('연간'!X58)/('연간'!X4),"")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IF(C37="","",IFERROR(C37/(IF(COUNT('연간'!G58:J58)&lt;4,"",SUM('연간'!G58:J58))),""))</f>
        <v/>
      </c>
      <c r="D64" s="31">
        <f>IF(D37="","",IFERROR(D37/(IF(COUNT('연간'!H58:K58)&lt;4,"",SUM('연간'!H58:K58))),""))</f>
        <v/>
      </c>
      <c r="E64" s="31">
        <f>IF(E37="","",IFERROR(E37/(IF(COUNT('연간'!I58:L58)&lt;4,"",SUM('연간'!I58:L58))),""))</f>
        <v/>
      </c>
      <c r="F64" s="31">
        <f>IF(F37="","",IFERROR(F37/(IF(COUNT('연간'!J58:M58)&lt;4,"",SUM('연간'!J58:M58))),""))</f>
        <v/>
      </c>
      <c r="G64" s="31">
        <f>IF(G37="","",IFERROR(G37/(IF(COUNT('연간'!K58:N58)&lt;4,"",SUM('연간'!K58:N58))),""))</f>
        <v/>
      </c>
      <c r="H64" s="30">
        <f>IF(H37="","",IFERROR(H37/('연간'!T58),""))</f>
        <v/>
      </c>
      <c r="I64" s="31">
        <f>IF(I37="","",IFERROR(I37/('연간'!U58),""))</f>
        <v/>
      </c>
      <c r="J64" s="31">
        <f>IF(J37="","",IFERROR(J37/('연간'!V58),""))</f>
        <v/>
      </c>
      <c r="K64" s="31">
        <f>IF(K37="","",IFERROR(K37/('연간'!W58),""))</f>
        <v/>
      </c>
      <c r="L64" s="31">
        <f>IF(L37="","",IFERROR(L37/('연간'!X58),""))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IF(C40="","",IFERROR(C40/(IF(COUNT('연간'!G59:J59)&lt;4,"",SUM('연간'!G59:J59))),""))</f>
        <v/>
      </c>
      <c r="D67" s="36">
        <f>IF(D40="","",IFERROR(D40/(IF(COUNT('연간'!H59:K59)&lt;4,"",SUM('연간'!H59:K59))),""))</f>
        <v/>
      </c>
      <c r="E67" s="36">
        <f>IF(E40="","",IFERROR(E40/(IF(COUNT('연간'!I59:L59)&lt;4,"",SUM('연간'!I59:L59))),""))</f>
        <v/>
      </c>
      <c r="F67" s="36">
        <f>IF(F40="","",IFERROR(F40/(IF(COUNT('연간'!J59:M59)&lt;4,"",SUM('연간'!J59:M59))),""))</f>
        <v/>
      </c>
      <c r="G67" s="36">
        <f>IF(G40="","",IFERROR(G40/(IF(COUNT('연간'!K59:N59)&lt;4,"",SUM('연간'!K59:N59))),""))</f>
        <v/>
      </c>
      <c r="H67" s="35">
        <f>IF(H40="","",IFERROR(H40/('연간'!T59),""))</f>
        <v/>
      </c>
      <c r="I67" s="36">
        <f>IF(I40="","",IFERROR(I40/('연간'!U59),""))</f>
        <v/>
      </c>
      <c r="J67" s="36">
        <f>IF(J40="","",IFERROR(J40/('연간'!V59),""))</f>
        <v/>
      </c>
      <c r="K67" s="36">
        <f>IF(K40="","",IFERROR(K40/('연간'!W59),""))</f>
        <v/>
      </c>
      <c r="L67" s="36">
        <f>IF(L40="","",IFERROR(L40/('연간'!X59),""))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76249</v>
      </c>
      <c r="D71" s="20" t="n">
        <v>67245</v>
      </c>
      <c r="E71" s="20" t="n">
        <v>86602</v>
      </c>
      <c r="F71" s="20" t="n">
        <v>87663</v>
      </c>
      <c r="G71" s="20" t="n">
        <v>78974</v>
      </c>
      <c r="H71" s="20" t="n">
        <v>45602</v>
      </c>
      <c r="I71" s="20" t="n">
        <v>17991</v>
      </c>
      <c r="J71" s="20" t="n">
        <v>65554</v>
      </c>
      <c r="K71" s="20" t="n">
        <v>85776</v>
      </c>
      <c r="L71" s="20" t="n">
        <v>87663</v>
      </c>
    </row>
    <row r="72">
      <c r="A72" s="18" t="inlineStr">
        <is>
          <t>받을어음·매출채권</t>
        </is>
      </c>
      <c r="C72" s="20" t="n">
        <v>37698</v>
      </c>
      <c r="D72" s="20" t="n">
        <v>39694</v>
      </c>
      <c r="E72" s="20" t="n">
        <v>37253</v>
      </c>
      <c r="F72" s="20" t="n">
        <v>40407</v>
      </c>
      <c r="G72" s="20" t="n">
        <v>44230</v>
      </c>
      <c r="H72" s="20" t="n">
        <v>26201</v>
      </c>
      <c r="I72" s="20" t="n">
        <v>30664</v>
      </c>
      <c r="J72" s="20" t="n">
        <v>39279</v>
      </c>
      <c r="K72" s="20" t="n">
        <v>37563</v>
      </c>
      <c r="L72" s="20" t="n">
        <v>40407</v>
      </c>
    </row>
    <row r="73">
      <c r="A73" s="18" t="inlineStr">
        <is>
          <t>전자기록채권</t>
        </is>
      </c>
      <c r="C73" s="20" t="n">
        <v>3753</v>
      </c>
      <c r="D73" s="20" t="n">
        <v>3890</v>
      </c>
      <c r="E73" s="20" t="n">
        <v>4840</v>
      </c>
      <c r="F73" s="20" t="n">
        <v>4508</v>
      </c>
      <c r="G73" s="20" t="n">
        <v>4070</v>
      </c>
      <c r="H73" s="20" t="n">
        <v>4031</v>
      </c>
      <c r="I73" s="20" t="n">
        <v>3686</v>
      </c>
      <c r="J73" s="20" t="n">
        <v>3752</v>
      </c>
      <c r="K73" s="20" t="n">
        <v>3900</v>
      </c>
      <c r="L73" s="20" t="n">
        <v>4508</v>
      </c>
    </row>
    <row r="74">
      <c r="A74" s="18" t="inlineStr">
        <is>
          <t>유가증권</t>
        </is>
      </c>
      <c r="C74" s="20" t="n">
        <v>1000</v>
      </c>
      <c r="D74" s="20" t="n">
        <v>1000</v>
      </c>
      <c r="E74" s="20" t="n">
        <v>1500</v>
      </c>
      <c r="H74" s="20" t="n">
        <v>4484</v>
      </c>
      <c r="I74" s="20" t="n">
        <v>2484</v>
      </c>
      <c r="J74" s="20" t="n">
        <v>1482</v>
      </c>
      <c r="K74" s="20" t="n">
        <v>0</v>
      </c>
    </row>
    <row r="75">
      <c r="A75" s="18" t="inlineStr">
        <is>
          <t>매출채권</t>
        </is>
      </c>
      <c r="F75" s="20" t="n">
        <v>22956</v>
      </c>
      <c r="H75" s="20" t="n">
        <v>14128</v>
      </c>
      <c r="I75" s="20" t="n">
        <v>15987</v>
      </c>
      <c r="J75" s="20" t="n">
        <v>17345</v>
      </c>
      <c r="K75" s="20" t="n">
        <v>21356</v>
      </c>
      <c r="L75" s="20" t="n">
        <v>22956</v>
      </c>
    </row>
    <row r="76">
      <c r="A76" s="18" t="inlineStr">
        <is>
          <t>제품</t>
        </is>
      </c>
      <c r="F76" s="20" t="n">
        <v>3097</v>
      </c>
      <c r="H76" s="20" t="n">
        <v>1919</v>
      </c>
      <c r="I76" s="20" t="n">
        <v>1517</v>
      </c>
      <c r="J76" s="20" t="n">
        <v>1734</v>
      </c>
      <c r="K76" s="20" t="n">
        <v>2317</v>
      </c>
      <c r="L76" s="20" t="n">
        <v>3097</v>
      </c>
    </row>
    <row r="77">
      <c r="A77" s="18" t="inlineStr">
        <is>
          <t>상품·제품</t>
        </is>
      </c>
      <c r="C77" s="20" t="n">
        <v>9218</v>
      </c>
      <c r="D77" s="20" t="n">
        <v>9031</v>
      </c>
      <c r="E77" s="20" t="n">
        <v>9751</v>
      </c>
      <c r="F77" s="20" t="n">
        <v>9795</v>
      </c>
      <c r="G77" s="20" t="n">
        <v>11266</v>
      </c>
      <c r="H77" s="20" t="n">
        <v>7762</v>
      </c>
      <c r="I77" s="20" t="n">
        <v>7820</v>
      </c>
      <c r="J77" s="20" t="n">
        <v>8287</v>
      </c>
      <c r="K77" s="20" t="n">
        <v>9756</v>
      </c>
      <c r="L77" s="20" t="n">
        <v>9795</v>
      </c>
    </row>
    <row r="78">
      <c r="A78" s="18" t="inlineStr">
        <is>
          <t>재공품</t>
        </is>
      </c>
      <c r="C78" s="20" t="n">
        <v>8710</v>
      </c>
      <c r="D78" s="20" t="n">
        <v>9656</v>
      </c>
      <c r="E78" s="20" t="n">
        <v>9120</v>
      </c>
      <c r="F78" s="20" t="n">
        <v>9243</v>
      </c>
      <c r="G78" s="20" t="n">
        <v>10762</v>
      </c>
      <c r="H78" s="20" t="n">
        <v>4126</v>
      </c>
      <c r="I78" s="20" t="n">
        <v>3627</v>
      </c>
      <c r="J78" s="20" t="n">
        <v>6320</v>
      </c>
      <c r="K78" s="20" t="n">
        <v>8674</v>
      </c>
      <c r="L78" s="20" t="n">
        <v>9243</v>
      </c>
    </row>
    <row r="79">
      <c r="A79" s="18" t="inlineStr">
        <is>
          <t>원재료·저장품</t>
        </is>
      </c>
      <c r="C79" s="20" t="n">
        <v>20212</v>
      </c>
      <c r="D79" s="20" t="n">
        <v>20811</v>
      </c>
      <c r="E79" s="20" t="n">
        <v>23132</v>
      </c>
      <c r="F79" s="20" t="n">
        <v>23483</v>
      </c>
      <c r="G79" s="20" t="n">
        <v>25978</v>
      </c>
      <c r="H79" s="20" t="n">
        <v>15616</v>
      </c>
      <c r="I79" s="20" t="n">
        <v>295</v>
      </c>
      <c r="J79" s="20" t="n">
        <v>18959</v>
      </c>
      <c r="K79" s="20" t="n">
        <v>20774</v>
      </c>
      <c r="L79" s="20" t="n">
        <v>23483</v>
      </c>
    </row>
    <row r="80">
      <c r="A80" s="18" t="inlineStr">
        <is>
          <t>선급금</t>
        </is>
      </c>
      <c r="F80" s="20" t="n">
        <v>4107</v>
      </c>
      <c r="H80" s="20" t="n">
        <v>2665</v>
      </c>
      <c r="I80" s="20" t="n">
        <v>2677</v>
      </c>
      <c r="J80" s="20" t="n">
        <v>2759</v>
      </c>
      <c r="K80" s="20" t="n">
        <v>3101</v>
      </c>
      <c r="L80" s="20" t="n">
        <v>4107</v>
      </c>
    </row>
    <row r="81">
      <c r="A81" s="18" t="inlineStr">
        <is>
          <t>선급비용</t>
        </is>
      </c>
      <c r="F81" s="20" t="n">
        <v>56</v>
      </c>
      <c r="H81" s="20" t="n">
        <v>54</v>
      </c>
      <c r="I81" s="20" t="n">
        <v>70</v>
      </c>
      <c r="J81" s="20" t="n">
        <v>72</v>
      </c>
      <c r="K81" s="20" t="n">
        <v>42</v>
      </c>
      <c r="L81" s="20" t="n">
        <v>56</v>
      </c>
    </row>
    <row r="82">
      <c r="A82" s="18" t="inlineStr">
        <is>
          <t>미수금</t>
        </is>
      </c>
      <c r="F82" s="20" t="n">
        <v>8573</v>
      </c>
      <c r="J82" s="20" t="n">
        <v>3749</v>
      </c>
      <c r="K82" s="20" t="n">
        <v>11112</v>
      </c>
      <c r="L82" s="20" t="n">
        <v>8573</v>
      </c>
    </row>
    <row r="83">
      <c r="A83" s="18" t="inlineStr">
        <is>
          <t>기타</t>
        </is>
      </c>
      <c r="C83" s="20" t="n">
        <v>7701</v>
      </c>
      <c r="D83" s="20" t="n">
        <v>9158</v>
      </c>
      <c r="E83" s="20" t="n">
        <v>12159</v>
      </c>
      <c r="F83" s="20" t="n">
        <v>11181</v>
      </c>
      <c r="G83" s="20" t="n">
        <v>9861</v>
      </c>
      <c r="H83" s="20" t="n">
        <v>4380</v>
      </c>
      <c r="I83" s="20" t="n">
        <v>5262</v>
      </c>
      <c r="J83" s="20" t="n">
        <v>6084</v>
      </c>
      <c r="K83" s="20" t="n">
        <v>8457</v>
      </c>
      <c r="L83" s="20" t="n">
        <v>11181</v>
      </c>
    </row>
    <row r="84">
      <c r="A84" s="18" t="inlineStr">
        <is>
          <t>대손충당금</t>
        </is>
      </c>
      <c r="C84" s="20" t="n">
        <v>-31</v>
      </c>
      <c r="D84" s="20" t="n">
        <v>-40</v>
      </c>
      <c r="E84" s="20" t="n">
        <v>-43</v>
      </c>
      <c r="F84" s="20" t="n">
        <v>-49</v>
      </c>
      <c r="G84" s="20" t="n">
        <v>-34</v>
      </c>
      <c r="H84" s="20" t="n">
        <v>-33</v>
      </c>
      <c r="I84" s="20" t="n">
        <v>-33</v>
      </c>
      <c r="J84" s="20" t="n">
        <v>-82</v>
      </c>
      <c r="K84" s="20" t="n">
        <v>-38</v>
      </c>
      <c r="L84" s="20" t="n">
        <v>-49</v>
      </c>
    </row>
    <row r="85">
      <c r="A85" s="9" t="inlineStr">
        <is>
          <t>유동자산 합계</t>
        </is>
      </c>
      <c r="C85" s="12" t="n">
        <v>164512</v>
      </c>
      <c r="D85" s="12" t="n">
        <v>160447</v>
      </c>
      <c r="E85" s="12" t="n">
        <v>184316</v>
      </c>
      <c r="F85" s="12" t="n">
        <v>186234</v>
      </c>
      <c r="G85" s="12" t="n">
        <v>185110</v>
      </c>
      <c r="H85" s="12" t="n">
        <v>112172</v>
      </c>
      <c r="I85" s="12" t="n">
        <v>53601</v>
      </c>
      <c r="J85" s="12" t="n">
        <v>149636</v>
      </c>
      <c r="K85" s="12" t="n">
        <v>174864</v>
      </c>
      <c r="L85" s="12" t="n">
        <v>186234</v>
      </c>
    </row>
    <row r="86">
      <c r="A86" s="18" t="inlineStr">
        <is>
          <t>건물</t>
        </is>
      </c>
      <c r="F86" s="20" t="n">
        <v>18973</v>
      </c>
      <c r="H86" s="20" t="n">
        <v>8338</v>
      </c>
      <c r="I86" s="20" t="n">
        <v>8364</v>
      </c>
      <c r="J86" s="20" t="n">
        <v>8156</v>
      </c>
      <c r="K86" s="20" t="n">
        <v>10214</v>
      </c>
      <c r="L86" s="20" t="n">
        <v>18973</v>
      </c>
    </row>
    <row r="87">
      <c r="A87" s="18" t="inlineStr">
        <is>
          <t>구축물</t>
        </is>
      </c>
      <c r="F87" s="20" t="n">
        <v>1865</v>
      </c>
      <c r="H87" s="20" t="n">
        <v>794</v>
      </c>
      <c r="I87" s="20" t="n">
        <v>749</v>
      </c>
      <c r="J87" s="20" t="n">
        <v>900</v>
      </c>
      <c r="K87" s="20" t="n">
        <v>1139</v>
      </c>
      <c r="L87" s="20" t="n">
        <v>1865</v>
      </c>
    </row>
    <row r="88">
      <c r="A88" s="18" t="inlineStr">
        <is>
          <t>기계장치</t>
        </is>
      </c>
      <c r="F88" s="20" t="n">
        <v>11904</v>
      </c>
      <c r="H88" s="20" t="n">
        <v>6912</v>
      </c>
      <c r="I88" s="20" t="n">
        <v>14619</v>
      </c>
      <c r="J88" s="20" t="n">
        <v>14006</v>
      </c>
      <c r="K88" s="20" t="n">
        <v>12595</v>
      </c>
      <c r="L88" s="20" t="n">
        <v>11904</v>
      </c>
    </row>
    <row r="89">
      <c r="A89" s="18" t="inlineStr">
        <is>
          <t>Car And Industrial Vehicle Net</t>
        </is>
      </c>
      <c r="F89" s="20" t="n">
        <v>101</v>
      </c>
      <c r="H89" s="20" t="n">
        <v>38</v>
      </c>
      <c r="I89" s="20" t="n">
        <v>52</v>
      </c>
      <c r="J89" s="20" t="n">
        <v>31</v>
      </c>
      <c r="K89" s="20" t="n">
        <v>65</v>
      </c>
      <c r="L89" s="20" t="n">
        <v>101</v>
      </c>
    </row>
    <row r="90">
      <c r="A90" s="18" t="inlineStr">
        <is>
          <t>공구·기구·비품</t>
        </is>
      </c>
      <c r="F90" s="20" t="n">
        <v>1282</v>
      </c>
      <c r="H90" s="20" t="n">
        <v>829</v>
      </c>
      <c r="I90" s="20" t="n">
        <v>1535</v>
      </c>
      <c r="J90" s="20" t="n">
        <v>955</v>
      </c>
      <c r="K90" s="20" t="n">
        <v>947</v>
      </c>
      <c r="L90" s="20" t="n">
        <v>1282</v>
      </c>
    </row>
    <row r="91">
      <c r="A91" s="18" t="inlineStr">
        <is>
          <t>건물·구축물</t>
        </is>
      </c>
      <c r="F91" s="20" t="n">
        <v>77845</v>
      </c>
      <c r="H91" s="20" t="n">
        <v>56014</v>
      </c>
      <c r="I91" s="20" t="n">
        <v>59921</v>
      </c>
      <c r="J91" s="20" t="n">
        <v>63157</v>
      </c>
      <c r="K91" s="20" t="n">
        <v>66037</v>
      </c>
      <c r="L91" s="20" t="n">
        <v>77845</v>
      </c>
    </row>
    <row r="92">
      <c r="A92" s="18" t="inlineStr">
        <is>
          <t>감가상각누계액</t>
        </is>
      </c>
      <c r="F92" s="20" t="n">
        <v>-44824</v>
      </c>
      <c r="H92" s="20" t="n">
        <v>-36136</v>
      </c>
      <c r="I92" s="20" t="n">
        <v>-39281</v>
      </c>
      <c r="J92" s="20" t="n">
        <v>-41735</v>
      </c>
      <c r="K92" s="20" t="n">
        <v>-42605</v>
      </c>
      <c r="L92" s="20" t="n">
        <v>-44824</v>
      </c>
    </row>
    <row r="93">
      <c r="A93" s="18" t="inlineStr">
        <is>
          <t>건물·구축물(순액)</t>
        </is>
      </c>
      <c r="C93" s="20" t="n">
        <v>30696</v>
      </c>
      <c r="D93" s="20" t="n">
        <v>31957</v>
      </c>
      <c r="E93" s="20" t="n">
        <v>33837</v>
      </c>
      <c r="F93" s="20" t="n">
        <v>33021</v>
      </c>
      <c r="G93" s="20" t="n">
        <v>34880</v>
      </c>
      <c r="H93" s="20" t="n">
        <v>19877</v>
      </c>
      <c r="I93" s="20" t="n">
        <v>20639</v>
      </c>
      <c r="J93" s="20" t="n">
        <v>21422</v>
      </c>
      <c r="K93" s="20" t="n">
        <v>23431</v>
      </c>
      <c r="L93" s="20" t="n">
        <v>33021</v>
      </c>
    </row>
    <row r="94">
      <c r="A94" s="18" t="inlineStr">
        <is>
          <t>기계장치·운반구</t>
        </is>
      </c>
      <c r="F94" s="20" t="n">
        <v>190870</v>
      </c>
      <c r="H94" s="20" t="n">
        <v>151800</v>
      </c>
      <c r="I94" s="20" t="n">
        <v>179585</v>
      </c>
      <c r="J94" s="20" t="n">
        <v>191185</v>
      </c>
      <c r="K94" s="20" t="n">
        <v>183139</v>
      </c>
      <c r="L94" s="20" t="n">
        <v>190870</v>
      </c>
    </row>
    <row r="95">
      <c r="A95" s="18" t="inlineStr">
        <is>
          <t>감가상각누계액</t>
        </is>
      </c>
      <c r="F95" s="20" t="n">
        <v>-156993</v>
      </c>
      <c r="H95" s="20" t="n">
        <v>-121179</v>
      </c>
      <c r="I95" s="20" t="n">
        <v>-137248</v>
      </c>
      <c r="J95" s="20" t="n">
        <v>-149505</v>
      </c>
      <c r="K95" s="20" t="n">
        <v>-148007</v>
      </c>
      <c r="L95" s="20" t="n">
        <v>-156993</v>
      </c>
    </row>
    <row r="96">
      <c r="A96" s="18" t="inlineStr">
        <is>
          <t>기계장치·운반구(순액)</t>
        </is>
      </c>
      <c r="C96" s="20" t="n">
        <v>33518</v>
      </c>
      <c r="D96" s="20" t="n">
        <v>33741</v>
      </c>
      <c r="E96" s="20" t="n">
        <v>33727</v>
      </c>
      <c r="F96" s="20" t="n">
        <v>33876</v>
      </c>
      <c r="G96" s="20" t="n">
        <v>35699</v>
      </c>
      <c r="H96" s="20" t="n">
        <v>30620</v>
      </c>
      <c r="I96" s="20" t="n">
        <v>42337</v>
      </c>
      <c r="J96" s="20" t="n">
        <v>41680</v>
      </c>
      <c r="K96" s="20" t="n">
        <v>35132</v>
      </c>
      <c r="L96" s="20" t="n">
        <v>33876</v>
      </c>
    </row>
    <row r="97">
      <c r="A97" s="18" t="inlineStr">
        <is>
          <t>토지</t>
        </is>
      </c>
      <c r="C97" s="20" t="n">
        <v>8344</v>
      </c>
      <c r="D97" s="20" t="n">
        <v>8297</v>
      </c>
      <c r="E97" s="20" t="n">
        <v>8323</v>
      </c>
      <c r="F97" s="20" t="n">
        <v>8794</v>
      </c>
      <c r="G97" s="20" t="n">
        <v>9985</v>
      </c>
      <c r="H97" s="20" t="n">
        <v>7065</v>
      </c>
      <c r="I97" s="20" t="n">
        <v>5787</v>
      </c>
      <c r="J97" s="20" t="n">
        <v>8617</v>
      </c>
      <c r="K97" s="20" t="n">
        <v>8375</v>
      </c>
      <c r="L97" s="20" t="n">
        <v>8794</v>
      </c>
    </row>
    <row r="98">
      <c r="A98" s="18" t="inlineStr">
        <is>
          <t>리스자산</t>
        </is>
      </c>
      <c r="F98" s="20" t="n">
        <v>154</v>
      </c>
      <c r="H98" s="20" t="n">
        <v>114</v>
      </c>
      <c r="I98" s="20" t="n">
        <v>90</v>
      </c>
      <c r="J98" s="20" t="n">
        <v>104</v>
      </c>
      <c r="K98" s="20" t="n">
        <v>126</v>
      </c>
      <c r="L98" s="20" t="n">
        <v>154</v>
      </c>
    </row>
    <row r="99">
      <c r="A99" s="18" t="inlineStr">
        <is>
          <t>건설중인자산</t>
        </is>
      </c>
      <c r="C99" s="20" t="n">
        <v>7893</v>
      </c>
      <c r="D99" s="20" t="n">
        <v>7989</v>
      </c>
      <c r="E99" s="20" t="n">
        <v>8450</v>
      </c>
      <c r="F99" s="20" t="n">
        <v>8815</v>
      </c>
      <c r="G99" s="20" t="n">
        <v>10385</v>
      </c>
      <c r="H99" s="20" t="n">
        <v>3208</v>
      </c>
      <c r="I99" s="20" t="n">
        <v>997</v>
      </c>
      <c r="J99" s="20" t="n">
        <v>6331</v>
      </c>
      <c r="K99" s="20" t="n">
        <v>13802</v>
      </c>
      <c r="L99" s="20" t="n">
        <v>8815</v>
      </c>
    </row>
    <row r="100">
      <c r="A100" s="18" t="inlineStr">
        <is>
          <t>기타</t>
        </is>
      </c>
      <c r="F100" s="20" t="n">
        <v>47392</v>
      </c>
      <c r="H100" s="20" t="n">
        <v>32295</v>
      </c>
      <c r="I100" s="20" t="n">
        <v>40538</v>
      </c>
      <c r="J100" s="20" t="n">
        <v>41270</v>
      </c>
      <c r="K100" s="20" t="n">
        <v>43470</v>
      </c>
      <c r="L100" s="20" t="n">
        <v>47392</v>
      </c>
    </row>
    <row r="101">
      <c r="A101" s="18" t="inlineStr">
        <is>
          <t>감가상각누계액</t>
        </is>
      </c>
      <c r="F101" s="20" t="n">
        <v>-40547</v>
      </c>
      <c r="H101" s="20" t="n">
        <v>-28087</v>
      </c>
      <c r="I101" s="20" t="n">
        <v>-34416</v>
      </c>
      <c r="J101" s="20" t="n">
        <v>-35722</v>
      </c>
      <c r="K101" s="20" t="n">
        <v>-38090</v>
      </c>
      <c r="L101" s="20" t="n">
        <v>-40547</v>
      </c>
    </row>
    <row r="102">
      <c r="A102" s="18" t="inlineStr">
        <is>
          <t>기타(순액)</t>
        </is>
      </c>
      <c r="C102" s="20" t="n">
        <v>5887</v>
      </c>
      <c r="D102" s="20" t="n">
        <v>6053</v>
      </c>
      <c r="E102" s="20" t="n">
        <v>6240</v>
      </c>
      <c r="F102" s="20" t="n">
        <v>6845</v>
      </c>
      <c r="G102" s="20" t="n">
        <v>6730</v>
      </c>
      <c r="H102" s="20" t="n">
        <v>4207</v>
      </c>
      <c r="I102" s="20" t="n">
        <v>6122</v>
      </c>
      <c r="J102" s="20" t="n">
        <v>5547</v>
      </c>
      <c r="K102" s="20" t="n">
        <v>5380</v>
      </c>
      <c r="L102" s="20" t="n">
        <v>6845</v>
      </c>
    </row>
    <row r="103">
      <c r="A103" s="18" t="inlineStr">
        <is>
          <t>유형자산 합계</t>
        </is>
      </c>
      <c r="C103" s="20" t="n">
        <v>86340</v>
      </c>
      <c r="D103" s="20" t="n">
        <v>88039</v>
      </c>
      <c r="E103" s="20" t="n">
        <v>90579</v>
      </c>
      <c r="F103" s="20" t="n">
        <v>91353</v>
      </c>
      <c r="G103" s="20" t="n">
        <v>97680</v>
      </c>
      <c r="H103" s="20" t="n">
        <v>64980</v>
      </c>
      <c r="I103" s="20" t="n">
        <v>32198</v>
      </c>
      <c r="J103" s="20" t="n">
        <v>83599</v>
      </c>
      <c r="K103" s="20" t="n">
        <v>86121</v>
      </c>
      <c r="L103" s="20" t="n">
        <v>91353</v>
      </c>
    </row>
    <row r="104">
      <c r="A104" s="18" t="inlineStr">
        <is>
          <t>차지권</t>
        </is>
      </c>
      <c r="F104" s="20" t="n">
        <v>28</v>
      </c>
      <c r="H104" s="20" t="n">
        <v>28</v>
      </c>
      <c r="I104" s="20" t="n">
        <v>28</v>
      </c>
      <c r="J104" s="20" t="n">
        <v>28</v>
      </c>
      <c r="K104" s="20" t="n">
        <v>28</v>
      </c>
      <c r="L104" s="20" t="n">
        <v>28</v>
      </c>
    </row>
    <row r="105">
      <c r="A105" s="18" t="inlineStr">
        <is>
          <t>소프트웨어</t>
        </is>
      </c>
      <c r="F105" s="20" t="n">
        <v>1001</v>
      </c>
      <c r="H105" s="20" t="n">
        <v>318</v>
      </c>
      <c r="I105" s="20" t="n">
        <v>366</v>
      </c>
      <c r="J105" s="20" t="n">
        <v>606</v>
      </c>
      <c r="K105" s="20" t="n">
        <v>539</v>
      </c>
      <c r="L105" s="20" t="n">
        <v>1001</v>
      </c>
    </row>
    <row r="106">
      <c r="A106" s="18" t="inlineStr">
        <is>
          <t>영업권</t>
        </is>
      </c>
      <c r="F106" s="20" t="n">
        <v>446</v>
      </c>
      <c r="H106" s="20" t="n">
        <v>0</v>
      </c>
      <c r="I106" s="20" t="n">
        <v>655</v>
      </c>
      <c r="J106" s="20" t="n">
        <v>585</v>
      </c>
      <c r="K106" s="20" t="n">
        <v>516</v>
      </c>
      <c r="L106" s="20" t="n">
        <v>446</v>
      </c>
    </row>
    <row r="107">
      <c r="A107" s="18" t="inlineStr">
        <is>
          <t>리스자산</t>
        </is>
      </c>
      <c r="F107" s="20" t="n">
        <v>0</v>
      </c>
      <c r="H107" s="20" t="n">
        <v>26</v>
      </c>
      <c r="I107" s="20" t="n">
        <v>10</v>
      </c>
      <c r="J107" s="20" t="n">
        <v>1</v>
      </c>
      <c r="K107" s="20" t="n">
        <v>0</v>
      </c>
      <c r="L107" s="20" t="n">
        <v>0</v>
      </c>
    </row>
    <row r="108">
      <c r="A108" s="18" t="inlineStr">
        <is>
          <t>기타</t>
        </is>
      </c>
      <c r="F108" s="20" t="n">
        <v>367</v>
      </c>
      <c r="H108" s="20" t="n">
        <v>899</v>
      </c>
      <c r="I108" s="20" t="n">
        <v>179</v>
      </c>
      <c r="J108" s="20" t="n">
        <v>233</v>
      </c>
      <c r="K108" s="20" t="n">
        <v>462</v>
      </c>
      <c r="L108" s="20" t="n">
        <v>367</v>
      </c>
    </row>
    <row r="109">
      <c r="A109" s="18" t="inlineStr">
        <is>
          <t>무형자산</t>
        </is>
      </c>
      <c r="C109" s="20" t="n">
        <v>2418</v>
      </c>
      <c r="D109" s="20" t="n">
        <v>2510</v>
      </c>
      <c r="E109" s="20" t="n">
        <v>2568</v>
      </c>
      <c r="F109" s="20" t="n">
        <v>2726</v>
      </c>
      <c r="G109" s="20" t="n">
        <v>3667</v>
      </c>
      <c r="H109" s="20" t="n">
        <v>899</v>
      </c>
      <c r="I109" s="20" t="n">
        <v>1240</v>
      </c>
      <c r="J109" s="20" t="n">
        <v>2398</v>
      </c>
      <c r="K109" s="20" t="n">
        <v>2404</v>
      </c>
      <c r="L109" s="20" t="n">
        <v>2726</v>
      </c>
    </row>
    <row r="110">
      <c r="A110" s="18" t="inlineStr">
        <is>
          <t>투자유가증권</t>
        </is>
      </c>
      <c r="C110" s="20" t="n">
        <v>4039</v>
      </c>
      <c r="D110" s="20" t="n">
        <v>4412</v>
      </c>
      <c r="E110" s="20" t="n">
        <v>4846</v>
      </c>
      <c r="F110" s="20" t="n">
        <v>2729</v>
      </c>
      <c r="G110" s="20" t="n">
        <v>3703</v>
      </c>
      <c r="H110" s="20" t="n">
        <v>5799</v>
      </c>
      <c r="I110" s="20" t="n">
        <v>4231</v>
      </c>
      <c r="J110" s="20" t="n">
        <v>9200</v>
      </c>
      <c r="K110" s="20" t="n">
        <v>6443</v>
      </c>
      <c r="L110" s="20" t="n">
        <v>2729</v>
      </c>
    </row>
    <row r="111">
      <c r="A111" s="18" t="inlineStr">
        <is>
          <t>Investments In Subsidiaries And Affiliates IOA</t>
        </is>
      </c>
      <c r="F111" s="20" t="n">
        <v>41877</v>
      </c>
      <c r="H111" s="20" t="n">
        <v>34966</v>
      </c>
      <c r="I111" s="20" t="n">
        <v>39787</v>
      </c>
      <c r="J111" s="20" t="n">
        <v>40899</v>
      </c>
      <c r="K111" s="20" t="n">
        <v>41610</v>
      </c>
      <c r="L111" s="20" t="n">
        <v>41877</v>
      </c>
    </row>
    <row r="112">
      <c r="A112" s="18" t="inlineStr">
        <is>
          <t>장기대여금</t>
        </is>
      </c>
      <c r="F112" s="20" t="n">
        <v>265</v>
      </c>
      <c r="H112" s="20" t="n">
        <v>44</v>
      </c>
      <c r="I112" s="20" t="n">
        <v>7099</v>
      </c>
      <c r="J112" s="20" t="n">
        <v>7115</v>
      </c>
      <c r="K112" s="20" t="n">
        <v>253</v>
      </c>
      <c r="L112" s="20" t="n">
        <v>265</v>
      </c>
    </row>
    <row r="113">
      <c r="A113" s="18" t="inlineStr">
        <is>
          <t>장기선급비용</t>
        </is>
      </c>
      <c r="F113" s="20" t="n">
        <v>91</v>
      </c>
      <c r="H113" s="20" t="n">
        <v>143</v>
      </c>
      <c r="I113" s="20" t="n">
        <v>128</v>
      </c>
      <c r="J113" s="20" t="n">
        <v>86</v>
      </c>
      <c r="K113" s="20" t="n">
        <v>66</v>
      </c>
      <c r="L113" s="20" t="n">
        <v>91</v>
      </c>
    </row>
    <row r="114">
      <c r="A114" s="18" t="inlineStr">
        <is>
          <t>퇴직급여자산</t>
        </is>
      </c>
      <c r="C114" s="20" t="n">
        <v>25923</v>
      </c>
      <c r="D114" s="20" t="n">
        <v>25952</v>
      </c>
      <c r="E114" s="20" t="n">
        <v>17966</v>
      </c>
      <c r="F114" s="20" t="n">
        <v>22012</v>
      </c>
      <c r="G114" s="20" t="n">
        <v>21933</v>
      </c>
      <c r="H114" s="20" t="n">
        <v>11762</v>
      </c>
      <c r="I114" s="20" t="n">
        <v>10222</v>
      </c>
      <c r="J114" s="20" t="n">
        <v>23309</v>
      </c>
      <c r="K114" s="20" t="n">
        <v>25896</v>
      </c>
      <c r="L114" s="20" t="n">
        <v>22012</v>
      </c>
    </row>
    <row r="115">
      <c r="A115" s="18" t="inlineStr">
        <is>
          <t>이연법인세자산</t>
        </is>
      </c>
      <c r="C115" s="20" t="n">
        <v>3641</v>
      </c>
      <c r="D115" s="20" t="n">
        <v>3409</v>
      </c>
      <c r="E115" s="20" t="n">
        <v>3507</v>
      </c>
      <c r="F115" s="20" t="n">
        <v>4134</v>
      </c>
      <c r="G115" s="20" t="n">
        <v>4257</v>
      </c>
      <c r="H115" s="20" t="n">
        <v>5350</v>
      </c>
      <c r="I115" s="20" t="n">
        <v>6001</v>
      </c>
      <c r="J115" s="20" t="n">
        <v>2707</v>
      </c>
      <c r="K115" s="20" t="n">
        <v>3253</v>
      </c>
      <c r="L115" s="20" t="n">
        <v>4134</v>
      </c>
    </row>
    <row r="116">
      <c r="A116" s="18" t="inlineStr">
        <is>
          <t>선급연금비용</t>
        </is>
      </c>
      <c r="F116" s="20" t="n">
        <v>11446</v>
      </c>
      <c r="H116" s="20" t="n">
        <v>5672</v>
      </c>
      <c r="I116" s="20" t="n">
        <v>7269</v>
      </c>
      <c r="J116" s="20" t="n">
        <v>8524</v>
      </c>
      <c r="K116" s="20" t="n">
        <v>10581</v>
      </c>
      <c r="L116" s="20" t="n">
        <v>11446</v>
      </c>
    </row>
    <row r="117">
      <c r="A117" s="18" t="inlineStr">
        <is>
          <t>보증금</t>
        </is>
      </c>
      <c r="F117" s="20" t="n">
        <v>198</v>
      </c>
      <c r="K117" s="20" t="n">
        <v>103</v>
      </c>
      <c r="L117" s="20" t="n">
        <v>198</v>
      </c>
    </row>
    <row r="118">
      <c r="A118" s="18" t="inlineStr">
        <is>
          <t>Long Term Accounts Receivable Other</t>
        </is>
      </c>
      <c r="F118" s="20" t="n">
        <v>1</v>
      </c>
      <c r="J118" s="20" t="n">
        <v>0</v>
      </c>
      <c r="K118" s="20" t="n">
        <v>20</v>
      </c>
      <c r="L118" s="20" t="n">
        <v>1</v>
      </c>
    </row>
    <row r="119">
      <c r="A119" s="18" t="inlineStr">
        <is>
          <t>기타</t>
        </is>
      </c>
      <c r="C119" s="20" t="n">
        <v>1901</v>
      </c>
      <c r="D119" s="20" t="n">
        <v>1989</v>
      </c>
      <c r="E119" s="20" t="n">
        <v>1862</v>
      </c>
      <c r="F119" s="20" t="n">
        <v>2330</v>
      </c>
      <c r="G119" s="20" t="n">
        <v>2326</v>
      </c>
      <c r="H119" s="20" t="n">
        <v>1019</v>
      </c>
      <c r="I119" s="20" t="n">
        <v>101</v>
      </c>
      <c r="J119" s="20" t="n">
        <v>1743</v>
      </c>
      <c r="K119" s="20" t="n">
        <v>2043</v>
      </c>
      <c r="L119" s="20" t="n">
        <v>2330</v>
      </c>
    </row>
    <row r="120">
      <c r="A120" s="18" t="inlineStr">
        <is>
          <t>대손충당금</t>
        </is>
      </c>
      <c r="C120" s="20" t="n">
        <v>-45</v>
      </c>
      <c r="D120" s="20" t="n">
        <v>-45</v>
      </c>
      <c r="E120" s="20" t="n">
        <v>-45</v>
      </c>
      <c r="F120" s="20" t="n">
        <v>-45</v>
      </c>
      <c r="G120" s="20" t="n">
        <v>-45</v>
      </c>
      <c r="H120" s="20" t="n">
        <v>-47</v>
      </c>
      <c r="I120" s="20" t="n">
        <v>-28</v>
      </c>
      <c r="J120" s="20" t="n">
        <v>-45</v>
      </c>
      <c r="K120" s="20" t="n">
        <v>-45</v>
      </c>
      <c r="L120" s="20" t="n">
        <v>-45</v>
      </c>
    </row>
    <row r="121">
      <c r="A121" s="18" t="inlineStr">
        <is>
          <t>투자 및 기타자산 합계</t>
        </is>
      </c>
      <c r="C121" s="20" t="n">
        <v>35461</v>
      </c>
      <c r="D121" s="20" t="n">
        <v>35718</v>
      </c>
      <c r="E121" s="20" t="n">
        <v>28137</v>
      </c>
      <c r="F121" s="20" t="n">
        <v>31161</v>
      </c>
      <c r="G121" s="20" t="n">
        <v>32176</v>
      </c>
      <c r="H121" s="20" t="n">
        <v>23883</v>
      </c>
      <c r="I121" s="20" t="n">
        <v>64590</v>
      </c>
      <c r="J121" s="20" t="n">
        <v>36915</v>
      </c>
      <c r="K121" s="20" t="n">
        <v>37591</v>
      </c>
      <c r="L121" s="20" t="n">
        <v>31161</v>
      </c>
    </row>
    <row r="122">
      <c r="A122" s="9" t="inlineStr">
        <is>
          <t>비유동자산 합계</t>
        </is>
      </c>
      <c r="C122" s="12" t="n">
        <v>124220</v>
      </c>
      <c r="D122" s="12" t="n">
        <v>126267</v>
      </c>
      <c r="E122" s="12" t="n">
        <v>121285</v>
      </c>
      <c r="F122" s="12" t="n">
        <v>125242</v>
      </c>
      <c r="G122" s="12" t="n">
        <v>133524</v>
      </c>
      <c r="H122" s="12" t="n">
        <v>89763</v>
      </c>
      <c r="I122" s="12" t="n">
        <v>98029</v>
      </c>
      <c r="J122" s="12" t="n">
        <v>122912</v>
      </c>
      <c r="K122" s="12" t="n">
        <v>126118</v>
      </c>
      <c r="L122" s="12" t="n">
        <v>125242</v>
      </c>
    </row>
    <row r="123">
      <c r="A123" s="9" t="inlineStr">
        <is>
          <t>자산 합계</t>
        </is>
      </c>
      <c r="C123" s="12" t="n">
        <v>288732</v>
      </c>
      <c r="D123" s="12" t="n">
        <v>286714</v>
      </c>
      <c r="E123" s="12" t="n">
        <v>305602</v>
      </c>
      <c r="F123" s="12" t="n">
        <v>311476</v>
      </c>
      <c r="G123" s="12" t="n">
        <v>318634</v>
      </c>
      <c r="H123" s="12" t="n">
        <v>201936</v>
      </c>
      <c r="I123" s="12" t="n">
        <v>151630</v>
      </c>
      <c r="J123" s="12" t="n">
        <v>272549</v>
      </c>
      <c r="K123" s="12" t="n">
        <v>300982</v>
      </c>
      <c r="L123" s="12" t="n">
        <v>311476</v>
      </c>
    </row>
    <row r="124">
      <c r="A124" s="18" t="inlineStr">
        <is>
          <t>지급어음</t>
        </is>
      </c>
      <c r="H124" s="20" t="n">
        <v>15</v>
      </c>
      <c r="I124" s="20" t="n">
        <v>8</v>
      </c>
      <c r="J124" s="20" t="n">
        <v>0</v>
      </c>
    </row>
    <row r="125">
      <c r="A125" s="18" t="inlineStr">
        <is>
          <t>지급어음·매입채무</t>
        </is>
      </c>
      <c r="C125" s="20" t="n">
        <v>32585</v>
      </c>
      <c r="D125" s="20" t="n">
        <v>31937</v>
      </c>
      <c r="E125" s="20" t="n">
        <v>31581</v>
      </c>
      <c r="F125" s="20" t="n">
        <v>33156</v>
      </c>
      <c r="G125" s="20" t="n">
        <v>33519</v>
      </c>
      <c r="H125" s="20" t="n">
        <v>21432</v>
      </c>
      <c r="I125" s="20" t="n">
        <v>27390</v>
      </c>
      <c r="J125" s="20" t="n">
        <v>32872</v>
      </c>
      <c r="K125" s="20" t="n">
        <v>33722</v>
      </c>
      <c r="L125" s="20" t="n">
        <v>33156</v>
      </c>
    </row>
    <row r="126">
      <c r="A126" s="18" t="inlineStr">
        <is>
          <t>전자기록채무</t>
        </is>
      </c>
      <c r="C126" s="20" t="n">
        <v>6860</v>
      </c>
      <c r="D126" s="20" t="n">
        <v>4860</v>
      </c>
      <c r="E126" s="20" t="n">
        <v>8113</v>
      </c>
      <c r="F126" s="20" t="n">
        <v>4742</v>
      </c>
      <c r="G126" s="20" t="n">
        <v>4105</v>
      </c>
      <c r="H126" s="20" t="n">
        <v>3054</v>
      </c>
      <c r="I126" s="20" t="n">
        <v>2165</v>
      </c>
      <c r="J126" s="20" t="n">
        <v>7462</v>
      </c>
      <c r="K126" s="20" t="n">
        <v>6748</v>
      </c>
      <c r="L126" s="20" t="n">
        <v>4742</v>
      </c>
    </row>
    <row r="127">
      <c r="A127" s="18" t="inlineStr">
        <is>
          <t>매입채무</t>
        </is>
      </c>
      <c r="F127" s="20" t="n">
        <v>13308</v>
      </c>
      <c r="H127" s="20" t="n">
        <v>7780</v>
      </c>
      <c r="I127" s="20" t="n">
        <v>8466</v>
      </c>
      <c r="J127" s="20" t="n">
        <v>10146</v>
      </c>
      <c r="K127" s="20" t="n">
        <v>12084</v>
      </c>
      <c r="L127" s="20" t="n">
        <v>13308</v>
      </c>
    </row>
    <row r="128">
      <c r="A128" s="18" t="inlineStr">
        <is>
          <t>Short Term Loans Payable To Subsidiaries And Affiliates</t>
        </is>
      </c>
      <c r="F128" s="20" t="n">
        <v>2894</v>
      </c>
      <c r="H128" s="20" t="n">
        <v>2559</v>
      </c>
      <c r="I128" s="20" t="n">
        <v>2231</v>
      </c>
      <c r="J128" s="20" t="n">
        <v>2234</v>
      </c>
      <c r="K128" s="20" t="n">
        <v>2475</v>
      </c>
      <c r="L128" s="20" t="n">
        <v>2894</v>
      </c>
    </row>
    <row r="129">
      <c r="A129" s="18" t="inlineStr">
        <is>
          <t>단기차입금</t>
        </is>
      </c>
      <c r="C129" s="20" t="n">
        <v>1904</v>
      </c>
      <c r="D129" s="20" t="n">
        <v>1574</v>
      </c>
      <c r="E129" s="20" t="n">
        <v>1730</v>
      </c>
      <c r="F129" s="20" t="n">
        <v>2764</v>
      </c>
      <c r="G129" s="20" t="n">
        <v>2699</v>
      </c>
      <c r="H129" s="20" t="n">
        <v>3845</v>
      </c>
      <c r="I129" s="20" t="n">
        <v>2909</v>
      </c>
      <c r="J129" s="20" t="n">
        <v>2219</v>
      </c>
      <c r="K129" s="20" t="n">
        <v>1676</v>
      </c>
      <c r="L129" s="20" t="n">
        <v>2764</v>
      </c>
    </row>
    <row r="130">
      <c r="A130" s="18" t="inlineStr">
        <is>
          <t>1년 내 상환 예정 사채</t>
        </is>
      </c>
      <c r="H130" s="20" t="n">
        <v>10000</v>
      </c>
      <c r="I130" s="20" t="n">
        <v>0</v>
      </c>
    </row>
    <row r="131">
      <c r="A131" s="18" t="inlineStr">
        <is>
          <t>1년 내 상환 장기차입금</t>
        </is>
      </c>
      <c r="C131" s="20" t="n">
        <v>3001</v>
      </c>
      <c r="D131" s="20" t="n">
        <v>3000</v>
      </c>
      <c r="E131" s="20" t="n">
        <v>8500</v>
      </c>
      <c r="F131" s="20" t="n">
        <v>20500</v>
      </c>
      <c r="G131" s="20" t="n">
        <v>20500</v>
      </c>
      <c r="H131" s="20" t="n">
        <v>2339</v>
      </c>
      <c r="I131" s="20" t="n">
        <v>6000</v>
      </c>
      <c r="J131" s="20" t="n">
        <v>8091</v>
      </c>
      <c r="K131" s="20" t="n">
        <v>3011</v>
      </c>
      <c r="L131" s="20" t="n">
        <v>20500</v>
      </c>
    </row>
    <row r="132">
      <c r="A132" s="18" t="inlineStr">
        <is>
          <t>리스부채</t>
        </is>
      </c>
      <c r="F132" s="20" t="n">
        <v>63</v>
      </c>
      <c r="H132" s="20" t="n">
        <v>78</v>
      </c>
      <c r="I132" s="20" t="n">
        <v>59</v>
      </c>
      <c r="J132" s="20" t="n">
        <v>53</v>
      </c>
      <c r="K132" s="20" t="n">
        <v>54</v>
      </c>
      <c r="L132" s="20" t="n">
        <v>63</v>
      </c>
    </row>
    <row r="133">
      <c r="A133" s="18" t="inlineStr">
        <is>
          <t>미지급금</t>
        </is>
      </c>
      <c r="F133" s="20" t="n">
        <v>2435</v>
      </c>
      <c r="H133" s="20" t="n">
        <v>821</v>
      </c>
      <c r="I133" s="20" t="n">
        <v>914</v>
      </c>
      <c r="J133" s="20" t="n">
        <v>3737</v>
      </c>
      <c r="K133" s="20" t="n">
        <v>2260</v>
      </c>
      <c r="L133" s="20" t="n">
        <v>2435</v>
      </c>
    </row>
    <row r="134">
      <c r="A134" s="18" t="inlineStr">
        <is>
          <t>미지급비용</t>
        </is>
      </c>
      <c r="C134" s="20" t="n">
        <v>13177</v>
      </c>
      <c r="D134" s="20" t="n">
        <v>12529</v>
      </c>
      <c r="E134" s="20" t="n">
        <v>10827</v>
      </c>
      <c r="F134" s="20" t="n">
        <v>12457</v>
      </c>
      <c r="G134" s="20" t="n">
        <v>14195</v>
      </c>
      <c r="H134" s="20" t="n">
        <v>8430</v>
      </c>
      <c r="I134" s="20" t="n">
        <v>6440</v>
      </c>
      <c r="J134" s="20" t="n">
        <v>10955</v>
      </c>
      <c r="K134" s="20" t="n">
        <v>11344</v>
      </c>
      <c r="L134" s="20" t="n">
        <v>12457</v>
      </c>
    </row>
    <row r="135">
      <c r="A135" s="18" t="inlineStr">
        <is>
          <t>미지급법인세</t>
        </is>
      </c>
      <c r="C135" s="20" t="n">
        <v>2229</v>
      </c>
      <c r="D135" s="20" t="n">
        <v>1186</v>
      </c>
      <c r="E135" s="20" t="n">
        <v>977</v>
      </c>
      <c r="F135" s="20" t="n">
        <v>1104</v>
      </c>
      <c r="G135" s="20" t="n">
        <v>1370</v>
      </c>
      <c r="H135" s="20" t="n">
        <v>879</v>
      </c>
      <c r="I135" s="20" t="n">
        <v>256</v>
      </c>
      <c r="J135" s="20" t="n">
        <v>1179</v>
      </c>
      <c r="K135" s="20" t="n">
        <v>1897</v>
      </c>
      <c r="L135" s="20" t="n">
        <v>1104</v>
      </c>
    </row>
    <row r="136">
      <c r="A136" s="18" t="inlineStr">
        <is>
          <t>예수금</t>
        </is>
      </c>
      <c r="F136" s="20" t="n">
        <v>141</v>
      </c>
      <c r="H136" s="20" t="n">
        <v>113</v>
      </c>
      <c r="I136" s="20" t="n">
        <v>112</v>
      </c>
      <c r="J136" s="20" t="n">
        <v>310</v>
      </c>
      <c r="K136" s="20" t="n">
        <v>146</v>
      </c>
      <c r="L136" s="20" t="n">
        <v>141</v>
      </c>
    </row>
    <row r="137">
      <c r="A137" s="18" t="inlineStr">
        <is>
          <t>제품보증 충당금</t>
        </is>
      </c>
      <c r="C137" s="20" t="n">
        <v>14203</v>
      </c>
      <c r="D137" s="20" t="n">
        <v>9472</v>
      </c>
      <c r="E137" s="20" t="n">
        <v>9480</v>
      </c>
      <c r="F137" s="20" t="n">
        <v>6977</v>
      </c>
      <c r="G137" s="20" t="n">
        <v>6929</v>
      </c>
      <c r="H137" s="20" t="n">
        <v>2124</v>
      </c>
      <c r="I137" s="20" t="n">
        <v>1161</v>
      </c>
      <c r="J137" s="20" t="n">
        <v>7603</v>
      </c>
      <c r="K137" s="20" t="n">
        <v>14660</v>
      </c>
      <c r="L137" s="20" t="n">
        <v>6977</v>
      </c>
    </row>
    <row r="138">
      <c r="A138" s="18" t="inlineStr">
        <is>
          <t>임원 상여충당금</t>
        </is>
      </c>
      <c r="C138" s="20" t="n">
        <v>28</v>
      </c>
      <c r="D138" s="20" t="n">
        <v>54</v>
      </c>
      <c r="E138" s="20" t="n">
        <v>81</v>
      </c>
      <c r="F138" s="20" t="n">
        <v>110</v>
      </c>
      <c r="G138" s="20" t="n">
        <v>31</v>
      </c>
      <c r="H138" s="20" t="n">
        <v>84</v>
      </c>
      <c r="I138" s="20" t="n">
        <v>65</v>
      </c>
      <c r="J138" s="20" t="n">
        <v>96</v>
      </c>
      <c r="K138" s="20" t="n">
        <v>133</v>
      </c>
      <c r="L138" s="20" t="n">
        <v>110</v>
      </c>
    </row>
    <row r="139">
      <c r="A139" s="18" t="inlineStr">
        <is>
          <t>사업구조개선 충당금</t>
        </is>
      </c>
      <c r="C139" s="20" t="n">
        <v>85</v>
      </c>
      <c r="D139" s="20" t="n">
        <v>0</v>
      </c>
      <c r="E139" s="20" t="n">
        <v>0</v>
      </c>
      <c r="F139" s="20" t="n">
        <v>0</v>
      </c>
      <c r="H139" s="20" t="n">
        <v>250</v>
      </c>
      <c r="I139" s="20" t="n">
        <v>176</v>
      </c>
      <c r="J139" s="20" t="n">
        <v>148</v>
      </c>
      <c r="K139" s="20" t="n">
        <v>89</v>
      </c>
      <c r="L139" s="20" t="n">
        <v>0</v>
      </c>
    </row>
    <row r="140">
      <c r="A140" s="18" t="inlineStr">
        <is>
          <t>기타</t>
        </is>
      </c>
      <c r="C140" s="20" t="n">
        <v>10659</v>
      </c>
      <c r="D140" s="20" t="n">
        <v>10385</v>
      </c>
      <c r="E140" s="20" t="n">
        <v>9702</v>
      </c>
      <c r="F140" s="20" t="n">
        <v>10410</v>
      </c>
      <c r="G140" s="20" t="n">
        <v>11761</v>
      </c>
      <c r="H140" s="20" t="n">
        <v>4852</v>
      </c>
      <c r="I140" s="20" t="n">
        <v>787</v>
      </c>
      <c r="J140" s="20" t="n">
        <v>11438</v>
      </c>
      <c r="K140" s="20" t="n">
        <v>12460</v>
      </c>
      <c r="L140" s="20" t="n">
        <v>10410</v>
      </c>
    </row>
    <row r="141">
      <c r="A141" s="9" t="inlineStr">
        <is>
          <t>유동부채 합계</t>
        </is>
      </c>
      <c r="C141" s="12" t="n">
        <v>84735</v>
      </c>
      <c r="D141" s="12" t="n">
        <v>75001</v>
      </c>
      <c r="E141" s="12" t="n">
        <v>80994</v>
      </c>
      <c r="F141" s="12" t="n">
        <v>92223</v>
      </c>
      <c r="G141" s="12" t="n">
        <v>95114</v>
      </c>
      <c r="H141" s="12" t="n">
        <v>57293</v>
      </c>
      <c r="I141" s="12" t="n">
        <v>28671</v>
      </c>
      <c r="J141" s="12" t="n">
        <v>82067</v>
      </c>
      <c r="K141" s="12" t="n">
        <v>85745</v>
      </c>
      <c r="L141" s="12" t="n">
        <v>92223</v>
      </c>
    </row>
    <row r="142">
      <c r="A142" s="18" t="inlineStr">
        <is>
          <t>사채</t>
        </is>
      </c>
      <c r="H142" s="20" t="n">
        <v>0</v>
      </c>
    </row>
    <row r="143">
      <c r="A143" s="18" t="inlineStr">
        <is>
          <t>장기차입금</t>
        </is>
      </c>
      <c r="C143" s="20" t="n">
        <v>51510</v>
      </c>
      <c r="D143" s="20" t="n">
        <v>51507</v>
      </c>
      <c r="E143" s="20" t="n">
        <v>64028</v>
      </c>
      <c r="F143" s="20" t="n">
        <v>52109</v>
      </c>
      <c r="G143" s="20" t="n">
        <v>53181</v>
      </c>
      <c r="H143" s="20" t="n">
        <v>25918</v>
      </c>
      <c r="I143" s="20" t="n">
        <v>39500</v>
      </c>
      <c r="J143" s="20" t="n">
        <v>31526</v>
      </c>
      <c r="K143" s="20" t="n">
        <v>51528</v>
      </c>
      <c r="L143" s="20" t="n">
        <v>52109</v>
      </c>
    </row>
    <row r="144">
      <c r="A144" s="18" t="inlineStr">
        <is>
          <t>리스부채</t>
        </is>
      </c>
      <c r="F144" s="20" t="n">
        <v>109</v>
      </c>
      <c r="H144" s="20" t="n">
        <v>89</v>
      </c>
      <c r="I144" s="20" t="n">
        <v>62</v>
      </c>
      <c r="J144" s="20" t="n">
        <v>72</v>
      </c>
      <c r="K144" s="20" t="n">
        <v>87</v>
      </c>
      <c r="L144" s="20" t="n">
        <v>109</v>
      </c>
    </row>
    <row r="145">
      <c r="A145" s="18" t="inlineStr">
        <is>
          <t>퇴직급여충당금</t>
        </is>
      </c>
      <c r="F145" s="20" t="n">
        <v>13375</v>
      </c>
      <c r="H145" s="20" t="n">
        <v>13135</v>
      </c>
      <c r="I145" s="20" t="n">
        <v>13175</v>
      </c>
      <c r="J145" s="20" t="n">
        <v>13216</v>
      </c>
      <c r="K145" s="20" t="n">
        <v>13201</v>
      </c>
      <c r="L145" s="20" t="n">
        <v>13375</v>
      </c>
    </row>
    <row r="146">
      <c r="A146" s="18" t="inlineStr">
        <is>
          <t>자산복구부채</t>
        </is>
      </c>
      <c r="F146" s="20" t="n">
        <v>82</v>
      </c>
      <c r="H146" s="20" t="n">
        <v>34</v>
      </c>
      <c r="I146" s="20" t="n">
        <v>34</v>
      </c>
      <c r="J146" s="20" t="n">
        <v>34</v>
      </c>
      <c r="K146" s="20" t="n">
        <v>29</v>
      </c>
      <c r="L146" s="20" t="n">
        <v>82</v>
      </c>
    </row>
    <row r="147">
      <c r="A147" s="18" t="inlineStr">
        <is>
          <t>이연법인세부채</t>
        </is>
      </c>
      <c r="C147" s="20" t="n">
        <v>591</v>
      </c>
      <c r="D147" s="20" t="n">
        <v>615</v>
      </c>
      <c r="E147" s="20" t="n">
        <v>1278</v>
      </c>
      <c r="F147" s="20" t="n">
        <v>4120</v>
      </c>
      <c r="G147" s="20" t="n">
        <v>3781</v>
      </c>
      <c r="H147" s="20" t="n">
        <v>1436</v>
      </c>
      <c r="I147" s="20" t="n">
        <v>1040</v>
      </c>
      <c r="J147" s="20" t="n">
        <v>3448</v>
      </c>
      <c r="K147" s="20" t="n">
        <v>1407</v>
      </c>
      <c r="L147" s="20" t="n">
        <v>4120</v>
      </c>
    </row>
    <row r="148">
      <c r="A148" s="18" t="inlineStr">
        <is>
          <t>임원 퇴직위로 충당금</t>
        </is>
      </c>
      <c r="C148" s="20" t="n">
        <v>38</v>
      </c>
      <c r="D148" s="20" t="n">
        <v>43</v>
      </c>
      <c r="E148" s="20" t="n">
        <v>48</v>
      </c>
      <c r="F148" s="20" t="n">
        <v>53</v>
      </c>
      <c r="G148" s="20" t="n">
        <v>51</v>
      </c>
      <c r="H148" s="20" t="n">
        <v>69</v>
      </c>
      <c r="I148" s="20" t="n">
        <v>48</v>
      </c>
      <c r="J148" s="20" t="n">
        <v>51</v>
      </c>
      <c r="K148" s="20" t="n">
        <v>53</v>
      </c>
      <c r="L148" s="20" t="n">
        <v>53</v>
      </c>
    </row>
    <row r="149">
      <c r="A149" s="18" t="inlineStr">
        <is>
          <t>퇴직급여부채</t>
        </is>
      </c>
      <c r="C149" s="20" t="n">
        <v>21295</v>
      </c>
      <c r="D149" s="20" t="n">
        <v>21284</v>
      </c>
      <c r="E149" s="20" t="n">
        <v>13642</v>
      </c>
      <c r="F149" s="20" t="n">
        <v>13608</v>
      </c>
      <c r="G149" s="20" t="n">
        <v>14282</v>
      </c>
      <c r="H149" s="20" t="n">
        <v>15430</v>
      </c>
      <c r="I149" s="20" t="n">
        <v>15144</v>
      </c>
      <c r="J149" s="20" t="n">
        <v>15357</v>
      </c>
      <c r="K149" s="20" t="n">
        <v>20986</v>
      </c>
      <c r="L149" s="20" t="n">
        <v>13608</v>
      </c>
    </row>
    <row r="150">
      <c r="A150" s="18" t="inlineStr">
        <is>
          <t>기타</t>
        </is>
      </c>
      <c r="C150" s="20" t="n">
        <v>1484</v>
      </c>
      <c r="D150" s="20" t="n">
        <v>2894</v>
      </c>
      <c r="E150" s="20" t="n">
        <v>2875</v>
      </c>
      <c r="F150" s="20" t="n">
        <v>3032</v>
      </c>
      <c r="G150" s="20" t="n">
        <v>3015</v>
      </c>
      <c r="H150" s="20" t="n">
        <v>899</v>
      </c>
      <c r="I150" s="20" t="n">
        <v>4</v>
      </c>
      <c r="J150" s="20" t="n">
        <v>538</v>
      </c>
      <c r="K150" s="20" t="n">
        <v>923</v>
      </c>
      <c r="L150" s="20" t="n">
        <v>3032</v>
      </c>
    </row>
    <row r="151">
      <c r="A151" s="9" t="inlineStr">
        <is>
          <t>비유동부채 합계</t>
        </is>
      </c>
      <c r="C151" s="12" t="n">
        <v>74920</v>
      </c>
      <c r="D151" s="12" t="n">
        <v>76344</v>
      </c>
      <c r="E151" s="12" t="n">
        <v>81872</v>
      </c>
      <c r="F151" s="12" t="n">
        <v>72922</v>
      </c>
      <c r="G151" s="12" t="n">
        <v>74313</v>
      </c>
      <c r="H151" s="12" t="n">
        <v>43752</v>
      </c>
      <c r="I151" s="12" t="n">
        <v>52776</v>
      </c>
      <c r="J151" s="12" t="n">
        <v>50922</v>
      </c>
      <c r="K151" s="12" t="n">
        <v>74898</v>
      </c>
      <c r="L151" s="12" t="n">
        <v>72922</v>
      </c>
    </row>
    <row r="152">
      <c r="A152" s="9" t="inlineStr">
        <is>
          <t>부채 합계</t>
        </is>
      </c>
      <c r="C152" s="12" t="n">
        <v>159655</v>
      </c>
      <c r="D152" s="12" t="n">
        <v>151345</v>
      </c>
      <c r="E152" s="12" t="n">
        <v>162867</v>
      </c>
      <c r="F152" s="12" t="n">
        <v>165146</v>
      </c>
      <c r="G152" s="12" t="n">
        <v>169427</v>
      </c>
      <c r="H152" s="12" t="n">
        <v>101046</v>
      </c>
      <c r="I152" s="12" t="n">
        <v>81448</v>
      </c>
      <c r="J152" s="12" t="n">
        <v>132990</v>
      </c>
      <c r="K152" s="12" t="n">
        <v>160644</v>
      </c>
      <c r="L152" s="12" t="n">
        <v>165146</v>
      </c>
    </row>
    <row r="153">
      <c r="A153" s="18" t="inlineStr">
        <is>
          <t>자본금</t>
        </is>
      </c>
      <c r="C153" s="20" t="n">
        <v>10870</v>
      </c>
      <c r="D153" s="20" t="n">
        <v>10870</v>
      </c>
      <c r="E153" s="20" t="n">
        <v>10870</v>
      </c>
      <c r="F153" s="20" t="n">
        <v>10870</v>
      </c>
      <c r="G153" s="20" t="n">
        <v>10870</v>
      </c>
      <c r="H153" s="20" t="n">
        <v>10708</v>
      </c>
      <c r="I153" s="20" t="n">
        <v>10714</v>
      </c>
      <c r="J153" s="20" t="n">
        <v>10838</v>
      </c>
      <c r="K153" s="20" t="n">
        <v>10866</v>
      </c>
      <c r="L153" s="20" t="n">
        <v>10870</v>
      </c>
    </row>
    <row r="154">
      <c r="A154" s="18" t="inlineStr">
        <is>
          <t>자본준비금</t>
        </is>
      </c>
      <c r="F154" s="20" t="n">
        <v>12872</v>
      </c>
      <c r="H154" s="20" t="n">
        <v>12710</v>
      </c>
      <c r="I154" s="20" t="n">
        <v>12716</v>
      </c>
      <c r="J154" s="20" t="n">
        <v>12840</v>
      </c>
      <c r="K154" s="20" t="n">
        <v>12868</v>
      </c>
      <c r="L154" s="20" t="n">
        <v>12872</v>
      </c>
    </row>
    <row r="155">
      <c r="A155" s="18" t="inlineStr">
        <is>
          <t>기타자본잉여금</t>
        </is>
      </c>
      <c r="F155" s="20" t="n">
        <v>7</v>
      </c>
      <c r="J155" s="20" t="n">
        <v>2</v>
      </c>
      <c r="K155" s="20" t="n">
        <v>6</v>
      </c>
      <c r="L155" s="20" t="n">
        <v>7</v>
      </c>
    </row>
    <row r="156">
      <c r="A156" s="18" t="inlineStr">
        <is>
          <t>자본잉여금</t>
        </is>
      </c>
      <c r="C156" s="20" t="n">
        <v>12703</v>
      </c>
      <c r="D156" s="20" t="n">
        <v>12704</v>
      </c>
      <c r="E156" s="20" t="n">
        <v>12704</v>
      </c>
      <c r="F156" s="20" t="n">
        <v>12704</v>
      </c>
      <c r="G156" s="20" t="n">
        <v>12704</v>
      </c>
      <c r="H156" s="20" t="n">
        <v>12667</v>
      </c>
      <c r="I156" s="20" t="n">
        <v>12716</v>
      </c>
      <c r="J156" s="20" t="n">
        <v>12668</v>
      </c>
      <c r="K156" s="20" t="n">
        <v>12699</v>
      </c>
      <c r="L156" s="20" t="n">
        <v>12704</v>
      </c>
    </row>
    <row r="157">
      <c r="A157" s="18" t="inlineStr">
        <is>
          <t>이익준비금</t>
        </is>
      </c>
      <c r="F157" s="20" t="n">
        <v>1468</v>
      </c>
      <c r="H157" s="20" t="n">
        <v>1468</v>
      </c>
      <c r="I157" s="20" t="n">
        <v>1468</v>
      </c>
      <c r="J157" s="20" t="n">
        <v>1468</v>
      </c>
      <c r="K157" s="20" t="n">
        <v>1468</v>
      </c>
      <c r="L157" s="20" t="n">
        <v>1468</v>
      </c>
    </row>
    <row r="158">
      <c r="A158" s="18" t="inlineStr">
        <is>
          <t>별도적립금</t>
        </is>
      </c>
      <c r="F158" s="20" t="n">
        <v>16110</v>
      </c>
      <c r="H158" s="20" t="n">
        <v>16110</v>
      </c>
      <c r="I158" s="20" t="n">
        <v>16110</v>
      </c>
      <c r="J158" s="20" t="n">
        <v>16110</v>
      </c>
      <c r="K158" s="20" t="n">
        <v>16110</v>
      </c>
      <c r="L158" s="20" t="n">
        <v>16110</v>
      </c>
    </row>
    <row r="159">
      <c r="A159" s="18" t="inlineStr">
        <is>
          <t>이월이익잉여금</t>
        </is>
      </c>
      <c r="F159" s="20" t="n">
        <v>50177</v>
      </c>
      <c r="H159" s="20" t="n">
        <v>19005</v>
      </c>
      <c r="I159" s="20" t="n">
        <v>26423</v>
      </c>
      <c r="J159" s="20" t="n">
        <v>26218</v>
      </c>
      <c r="K159" s="20" t="n">
        <v>39025</v>
      </c>
      <c r="L159" s="20" t="n">
        <v>50177</v>
      </c>
    </row>
    <row r="160">
      <c r="A160" s="18" t="inlineStr">
        <is>
          <t>이익잉여금</t>
        </is>
      </c>
      <c r="C160" s="20" t="n">
        <v>93512</v>
      </c>
      <c r="D160" s="20" t="n">
        <v>97539</v>
      </c>
      <c r="E160" s="20" t="n">
        <v>99812</v>
      </c>
      <c r="F160" s="20" t="n">
        <v>100922</v>
      </c>
      <c r="G160" s="20" t="n">
        <v>103245</v>
      </c>
      <c r="H160" s="20" t="n">
        <v>67281</v>
      </c>
      <c r="I160" s="20" t="n">
        <v>44001</v>
      </c>
      <c r="J160" s="20" t="n">
        <v>82720</v>
      </c>
      <c r="K160" s="20" t="n">
        <v>92269</v>
      </c>
      <c r="L160" s="20" t="n">
        <v>100922</v>
      </c>
    </row>
    <row r="161">
      <c r="A161" s="18" t="inlineStr">
        <is>
          <t>자기주식</t>
        </is>
      </c>
      <c r="C161" s="20" t="n">
        <v>-10410</v>
      </c>
      <c r="D161" s="20" t="n">
        <v>-10386</v>
      </c>
      <c r="E161" s="20" t="n">
        <v>-10386</v>
      </c>
      <c r="F161" s="20" t="n">
        <v>-10386</v>
      </c>
      <c r="G161" s="20" t="n">
        <v>-10386</v>
      </c>
      <c r="H161" s="20" t="n">
        <v>-84</v>
      </c>
      <c r="I161" s="20" t="n">
        <v>-56</v>
      </c>
      <c r="J161" s="20" t="n">
        <v>-1032</v>
      </c>
      <c r="K161" s="20" t="n">
        <v>-1005</v>
      </c>
      <c r="L161" s="20" t="n">
        <v>-10386</v>
      </c>
    </row>
    <row r="162">
      <c r="A162" s="9" t="inlineStr">
        <is>
          <t>주주자본 합계</t>
        </is>
      </c>
      <c r="C162" s="12" t="n">
        <v>106675</v>
      </c>
      <c r="D162" s="12" t="n">
        <v>110728</v>
      </c>
      <c r="E162" s="12" t="n">
        <v>113001</v>
      </c>
      <c r="F162" s="12" t="n">
        <v>114110</v>
      </c>
      <c r="G162" s="12" t="n">
        <v>116434</v>
      </c>
      <c r="H162" s="12" t="n">
        <v>90573</v>
      </c>
      <c r="I162" s="12" t="n">
        <v>67375</v>
      </c>
      <c r="J162" s="12" t="n">
        <v>105195</v>
      </c>
      <c r="K162" s="12" t="n">
        <v>114830</v>
      </c>
      <c r="L162" s="12" t="n">
        <v>114110</v>
      </c>
    </row>
    <row r="163">
      <c r="A163" s="18" t="inlineStr">
        <is>
          <t>기타유가증권 평가차액</t>
        </is>
      </c>
      <c r="C163" s="20" t="n">
        <v>2206</v>
      </c>
      <c r="D163" s="20" t="n">
        <v>2460</v>
      </c>
      <c r="E163" s="20" t="n">
        <v>2757</v>
      </c>
      <c r="F163" s="20" t="n">
        <v>1331</v>
      </c>
      <c r="G163" s="20" t="n">
        <v>1265</v>
      </c>
      <c r="H163" s="20" t="n">
        <v>3070</v>
      </c>
      <c r="I163" s="20" t="n">
        <v>2721</v>
      </c>
      <c r="J163" s="20" t="n">
        <v>5332</v>
      </c>
      <c r="K163" s="20" t="n">
        <v>3355</v>
      </c>
      <c r="L163" s="20" t="n">
        <v>1331</v>
      </c>
    </row>
    <row r="164">
      <c r="A164" s="18" t="inlineStr">
        <is>
          <t>해외사업환산조정</t>
        </is>
      </c>
      <c r="C164" s="20" t="n">
        <v>10607</v>
      </c>
      <c r="D164" s="20" t="n">
        <v>12507</v>
      </c>
      <c r="E164" s="20" t="n">
        <v>17025</v>
      </c>
      <c r="F164" s="20" t="n">
        <v>18399</v>
      </c>
      <c r="G164" s="20" t="n">
        <v>19521</v>
      </c>
      <c r="H164" s="20" t="n">
        <v>237</v>
      </c>
      <c r="I164" s="20" t="n">
        <v>5407</v>
      </c>
      <c r="J164" s="20" t="n">
        <v>14854</v>
      </c>
      <c r="K164" s="20" t="n">
        <v>11878</v>
      </c>
      <c r="L164" s="20" t="n">
        <v>18399</v>
      </c>
    </row>
    <row r="165">
      <c r="A165" s="18" t="inlineStr">
        <is>
          <t>퇴직급여 조정누계액</t>
        </is>
      </c>
      <c r="C165" s="20" t="n">
        <v>5606</v>
      </c>
      <c r="D165" s="20" t="n">
        <v>5477</v>
      </c>
      <c r="E165" s="20" t="n">
        <v>5322</v>
      </c>
      <c r="F165" s="20" t="n">
        <v>8011</v>
      </c>
      <c r="G165" s="20" t="n">
        <v>7777</v>
      </c>
      <c r="H165" s="20" t="n">
        <v>3063</v>
      </c>
      <c r="I165" s="20" t="n">
        <v>1099</v>
      </c>
      <c r="J165" s="20" t="n">
        <v>9358</v>
      </c>
      <c r="K165" s="20" t="n">
        <v>5757</v>
      </c>
      <c r="L165" s="20" t="n">
        <v>8011</v>
      </c>
    </row>
    <row r="166">
      <c r="A166" s="18" t="inlineStr">
        <is>
          <t>기타포괄손익누계액 합계</t>
        </is>
      </c>
      <c r="C166" s="20" t="n">
        <v>18419</v>
      </c>
      <c r="D166" s="20" t="n">
        <v>20445</v>
      </c>
      <c r="E166" s="20" t="n">
        <v>25106</v>
      </c>
      <c r="F166" s="20" t="n">
        <v>27742</v>
      </c>
      <c r="G166" s="20" t="n">
        <v>28564</v>
      </c>
      <c r="H166" s="20" t="n">
        <v>6371</v>
      </c>
      <c r="I166" s="20" t="n">
        <v>2721</v>
      </c>
      <c r="J166" s="20" t="n">
        <v>29546</v>
      </c>
      <c r="K166" s="20" t="n">
        <v>20991</v>
      </c>
      <c r="L166" s="20" t="n">
        <v>27742</v>
      </c>
    </row>
    <row r="167">
      <c r="A167" s="18" t="inlineStr">
        <is>
          <t>신주예약권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H167" s="20" t="n">
        <v>107</v>
      </c>
      <c r="I167" s="20" t="n">
        <v>86</v>
      </c>
      <c r="J167" s="20" t="n">
        <v>27</v>
      </c>
      <c r="K167" s="20" t="n">
        <v>7</v>
      </c>
      <c r="L167" s="20" t="n">
        <v>0</v>
      </c>
    </row>
    <row r="168">
      <c r="A168" s="18" t="inlineStr">
        <is>
          <t>비지배지분</t>
        </is>
      </c>
      <c r="C168" s="20" t="n">
        <v>3981</v>
      </c>
      <c r="D168" s="20" t="n">
        <v>4195</v>
      </c>
      <c r="E168" s="20" t="n">
        <v>4627</v>
      </c>
      <c r="F168" s="20" t="n">
        <v>4476</v>
      </c>
      <c r="G168" s="20" t="n">
        <v>4208</v>
      </c>
      <c r="H168" s="20" t="n">
        <v>3836</v>
      </c>
      <c r="I168" s="20" t="n">
        <v>3888</v>
      </c>
      <c r="J168" s="20" t="n">
        <v>4789</v>
      </c>
      <c r="K168" s="20" t="n">
        <v>4509</v>
      </c>
      <c r="L168" s="20" t="n">
        <v>4476</v>
      </c>
    </row>
    <row r="169">
      <c r="A169" s="9" t="inlineStr">
        <is>
          <t>순자산 합계</t>
        </is>
      </c>
      <c r="C169" s="12" t="n">
        <v>129076</v>
      </c>
      <c r="D169" s="12" t="n">
        <v>135369</v>
      </c>
      <c r="E169" s="12" t="n">
        <v>142735</v>
      </c>
      <c r="F169" s="12" t="n">
        <v>146329</v>
      </c>
      <c r="G169" s="12" t="n">
        <v>149206</v>
      </c>
      <c r="H169" s="12" t="n">
        <v>100889</v>
      </c>
      <c r="I169" s="12" t="n">
        <v>70182</v>
      </c>
      <c r="J169" s="12" t="n">
        <v>139558</v>
      </c>
      <c r="K169" s="12" t="n">
        <v>140338</v>
      </c>
      <c r="L169" s="12" t="n">
        <v>146329</v>
      </c>
    </row>
    <row r="170">
      <c r="A170" s="9" t="inlineStr">
        <is>
          <t>부채·순자산 합계</t>
        </is>
      </c>
      <c r="C170" s="12" t="n">
        <v>288732</v>
      </c>
      <c r="D170" s="12" t="n">
        <v>286714</v>
      </c>
      <c r="E170" s="12" t="n">
        <v>305602</v>
      </c>
      <c r="F170" s="12" t="n">
        <v>311476</v>
      </c>
      <c r="G170" s="12" t="n">
        <v>318634</v>
      </c>
      <c r="H170" s="12" t="n">
        <v>201936</v>
      </c>
      <c r="I170" s="12" t="n">
        <v>151630</v>
      </c>
      <c r="J170" s="12" t="n">
        <v>272549</v>
      </c>
      <c r="K170" s="12" t="n">
        <v>300982</v>
      </c>
      <c r="L170" s="12" t="n">
        <v>311476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https://www2.jpx.co.jp/disc/72830/140120260728500605.pdf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https://www2.jpx.co.jp/disc/72830/140120260424509855.pdf</t>
        </is>
      </c>
    </row>
    <row r="6">
      <c r="A6" t="inlineStr">
        <is>
          <t>2026-02-02</t>
        </is>
      </c>
      <c r="B6" t="inlineStr">
        <is>
          <t>2026년 3월 결산기 ３분기 결산단신</t>
        </is>
      </c>
      <c r="C6" t="inlineStr">
        <is>
          <t>https://www2.jpx.co.jp/disc/72830/140120260130543867.pdf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https://www2.jpx.co.jp/disc/72830/140120251030582850.pdf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https://www2.jpx.co.jp/disc/72830/140120250728521986.pdf</t>
        </is>
      </c>
    </row>
    <row r="9">
      <c r="A9" t="inlineStr">
        <is>
          <t>2025-04-24</t>
        </is>
      </c>
      <c r="B9" t="inlineStr">
        <is>
          <t>2025년 3월 결산기 연간 결산단신</t>
        </is>
      </c>
      <c r="C9" t="inlineStr">
        <is>
          <t>https://www2.jpx.co.jp/disc/72830/140120250424522335.pdf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https://www2.jpx.co.jp/disc/72830/140120250129556853.pdf</t>
        </is>
      </c>
    </row>
    <row r="11">
      <c r="A11" t="inlineStr">
        <is>
          <t>2024-10-30</t>
        </is>
      </c>
      <c r="B11" t="inlineStr">
        <is>
          <t>2025년 3월 결산기 ２분기 결산단신</t>
        </is>
      </c>
      <c r="C11" t="inlineStr">
        <is>
          <t>https://www2.jpx.co.jp/disc/72830/140120241025502765.pdf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https://www2.jpx.co.jp/disc/72830/140120240729556815.pdf</t>
        </is>
      </c>
    </row>
    <row r="13">
      <c r="A13" t="inlineStr">
        <is>
          <t>2024-04-25</t>
        </is>
      </c>
      <c r="B13" t="inlineStr">
        <is>
          <t>2024년 3월 결산기 연간 결산단신</t>
        </is>
      </c>
      <c r="C13" t="inlineStr">
        <is>
          <t>https://www2.jpx.co.jp/disc/72830/140120240423574376.pdf</t>
        </is>
      </c>
    </row>
    <row r="14">
      <c r="A14" t="inlineStr">
        <is>
          <t>2024-02-01</t>
        </is>
      </c>
      <c r="B14" t="inlineStr">
        <is>
          <t>2024년 3월 결산기 ３분기 결산단신</t>
        </is>
      </c>
      <c r="C14" t="inlineStr">
        <is>
          <t>https://www2.jpx.co.jp/disc/72830/140120240130521282.pdf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https://www2.jpx.co.jp/disc/72830/140120231027572735.pdf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https://www2.jpx.co.jp/disc/72830/140120230724525734.pdf</t>
        </is>
      </c>
    </row>
    <row r="17">
      <c r="A17" t="inlineStr">
        <is>
          <t>2023-04-26</t>
        </is>
      </c>
      <c r="B17" t="inlineStr">
        <is>
          <t>2023년 3월 결산기 연간 결산단신</t>
        </is>
      </c>
      <c r="C17" t="inlineStr">
        <is>
          <t>https://www2.jpx.co.jp/disc/72830/140120230425551896.pdf</t>
        </is>
      </c>
    </row>
    <row r="18">
      <c r="A18" t="inlineStr">
        <is>
          <t>2023-02-02</t>
        </is>
      </c>
      <c r="B18" t="inlineStr">
        <is>
          <t>2023년 3월 결산기 ３분기 결산단신</t>
        </is>
      </c>
      <c r="C18" t="inlineStr">
        <is>
          <t>https://www2.jpx.co.jp/disc/72830/140120230130596220.pdf</t>
        </is>
      </c>
    </row>
    <row r="19">
      <c r="A19" t="inlineStr">
        <is>
          <t>2022-10-27</t>
        </is>
      </c>
      <c r="B19" t="inlineStr">
        <is>
          <t>2023년 3월 결산기 ２분기 결산단신</t>
        </is>
      </c>
      <c r="C19" t="inlineStr">
        <is>
          <t>https://www2.jpx.co.jp/disc/72830/140120221025549051.pdf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https://www2.jpx.co.jp/disc/72830/140120220425527355.pdf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https://www2.jpx.co.jp/disc/72830/140120210426400312.pdf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https://www2.jpx.co.jp/disc/72830/140120200414494109.pdf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https://www2.jpx.co.jp/disc/72830/140120190327495790.pdf</t>
        </is>
      </c>
    </row>
    <row r="24">
      <c r="A24" t="inlineStr">
        <is>
          <t>2018-04-26</t>
        </is>
      </c>
      <c r="B24" t="inlineStr">
        <is>
          <t>2018년 3월 결산기 연간 결산단신</t>
        </is>
      </c>
      <c r="C24" t="inlineStr">
        <is>
          <t>https://www2.jpx.co.jp/disc/72830/140120180322494783.pdf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2026-10-26T10:58:43Z</dcterms:created>
  <dcterms:modified xmlns:dcterms="http://purl.org/dc/terms/" xmlns:xsi="http://www.w3.org/2001/XMLSchema-instance" xsi:type="dcterms:W3CDTF">2026-10-26T10:58:43Z</dcterms:modified>
</cp:coreProperties>
</file>