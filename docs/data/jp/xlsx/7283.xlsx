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95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7283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2027.2Q = 2027년 3월 결산기 2분기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2024.3Q</t>
        </is>
      </c>
      <c r="D3" s="5" t="inlineStr">
        <is>
          <t>2024.4Q</t>
        </is>
      </c>
      <c r="E3" s="5" t="inlineStr">
        <is>
          <t>2025.1Q</t>
        </is>
      </c>
      <c r="F3" s="5" t="inlineStr">
        <is>
          <t>2025.2Q</t>
        </is>
      </c>
      <c r="G3" s="5" t="inlineStr">
        <is>
          <t>2025.3Q</t>
        </is>
      </c>
      <c r="H3" s="5" t="inlineStr">
        <is>
          <t>2025.4Q</t>
        </is>
      </c>
      <c r="I3" s="5" t="inlineStr">
        <is>
          <t>2026.1Q</t>
        </is>
      </c>
      <c r="J3" s="5" t="inlineStr">
        <is>
          <t>2026.2Q</t>
        </is>
      </c>
      <c r="K3" s="5" t="inlineStr">
        <is>
          <t>2026.3Q</t>
        </is>
      </c>
      <c r="L3" s="5" t="inlineStr">
        <is>
          <t>2026.4Q</t>
        </is>
      </c>
      <c r="M3" s="5" t="inlineStr">
        <is>
          <t>2027.1Q</t>
        </is>
      </c>
      <c r="N3" s="5" t="inlineStr">
        <is>
          <t>2027.2Q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85676</v>
      </c>
      <c r="D4" s="12" t="n">
        <v>80911</v>
      </c>
      <c r="E4" s="12" t="n">
        <v>83187</v>
      </c>
      <c r="F4" s="12" t="n">
        <v>83216</v>
      </c>
      <c r="G4" s="12" t="n">
        <v>86742</v>
      </c>
      <c r="H4" s="12" t="n">
        <v>-127889</v>
      </c>
      <c r="I4" s="12" t="n">
        <v>79923</v>
      </c>
      <c r="J4" s="12" t="n">
        <v>83173</v>
      </c>
      <c r="K4" s="12" t="n">
        <v>84090</v>
      </c>
      <c r="L4" s="12" t="n">
        <v>-116970</v>
      </c>
      <c r="M4" s="12" t="n">
        <v>83927</v>
      </c>
      <c r="N4" s="12" t="n">
        <v>87427</v>
      </c>
      <c r="O4" s="11" t="n">
        <v>90824</v>
      </c>
      <c r="P4" s="12" t="n">
        <v>212524</v>
      </c>
      <c r="Q4" s="12" t="n">
        <v>213494</v>
      </c>
      <c r="R4" s="12" t="n">
        <v>205489</v>
      </c>
      <c r="S4" s="12" t="n">
        <v>181427</v>
      </c>
      <c r="T4" s="12" t="n">
        <v>193751</v>
      </c>
      <c r="U4" s="12" t="n">
        <v>240806</v>
      </c>
      <c r="V4" s="12" t="n">
        <v>314336</v>
      </c>
      <c r="W4" s="12" t="n">
        <v>125256</v>
      </c>
      <c r="X4" s="12" t="n">
        <v>130216</v>
      </c>
      <c r="Y4" s="11">
        <f>IF(COUNT(Y7,Y10,Y13,Y16,Y19,Y22)=0,"",SUM(Y7,Y10,Y13,Y16,Y19,Y22))</f>
        <v/>
      </c>
      <c r="Z4" s="12">
        <f>IF(COUNT(Z7,Z10,Z13,Z16,Z19,Z22)=0,"",SUM(Z7,Z10,Z13,Z16,Z19,Z22))</f>
        <v/>
      </c>
      <c r="AA4" s="12">
        <f>IF(COUNT(AA7,AA10,AA13,AA16,AA19,AA22)=0,"",SUM(AA7,AA10,AA13,AA16,AA19,AA22))</f>
        <v/>
      </c>
      <c r="AB4" s="12">
        <f>IF(COUNT(AB7,AB10,AB13,AB16,AB19,AB22)=0,"",SUM(AB7,AB10,AB13,AB16,AB19,AB22))</f>
        <v/>
      </c>
      <c r="AC4" s="12">
        <f>IF(COUNT(AC7,AC10,AC13,AC16,AC19,AC22)=0,"",SUM(AC7,AC10,AC13,AC16,AC19,AC22))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JapanReportableSegmentsMember</t>
        </is>
      </c>
      <c r="B7" s="10" t="n"/>
      <c r="C7" s="19" t="n">
        <v>25234</v>
      </c>
      <c r="D7" s="20" t="n">
        <v>22418</v>
      </c>
      <c r="E7" s="20" t="n">
        <v>22756</v>
      </c>
      <c r="F7" s="20" t="n">
        <v>24771</v>
      </c>
      <c r="G7" s="20" t="n">
        <v>26619</v>
      </c>
      <c r="H7" s="20" t="n">
        <v>25783</v>
      </c>
      <c r="I7" s="20" t="n">
        <v>24138</v>
      </c>
      <c r="J7" s="20" t="n">
        <v>25559</v>
      </c>
      <c r="K7" s="20" t="n">
        <v>25349</v>
      </c>
      <c r="L7" s="20" t="n">
        <v>26164</v>
      </c>
      <c r="M7" s="20" t="n">
        <v>26169</v>
      </c>
      <c r="N7" s="20" t="n">
        <v>30241</v>
      </c>
      <c r="O7" s="19" t="n"/>
      <c r="P7" s="20" t="n"/>
      <c r="Q7" s="20" t="n"/>
      <c r="R7" s="20" t="n"/>
      <c r="S7" s="20" t="n"/>
      <c r="T7" s="20" t="n"/>
      <c r="U7" s="20" t="n"/>
      <c r="V7" s="20" t="n">
        <v>91948</v>
      </c>
      <c r="W7" s="20" t="n">
        <v>99929</v>
      </c>
      <c r="X7" s="20" t="n">
        <v>101210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AsiaReportableSegmentsMember</t>
        </is>
      </c>
      <c r="B10" s="10" t="n"/>
      <c r="C10" s="19" t="n">
        <v>38602</v>
      </c>
      <c r="D10" s="20" t="n">
        <v>34740</v>
      </c>
      <c r="E10" s="20" t="n">
        <v>35462</v>
      </c>
      <c r="F10" s="20" t="n">
        <v>37563</v>
      </c>
      <c r="G10" s="20" t="n">
        <v>37631</v>
      </c>
      <c r="H10" s="20" t="n">
        <v>33398</v>
      </c>
      <c r="I10" s="20" t="n">
        <v>32805</v>
      </c>
      <c r="J10" s="20" t="n">
        <v>34476</v>
      </c>
      <c r="K10" s="20" t="n">
        <v>35440</v>
      </c>
      <c r="L10" s="20" t="n">
        <v>33059</v>
      </c>
      <c r="M10" s="20" t="n">
        <v>32761</v>
      </c>
      <c r="N10" s="20" t="n">
        <v>33382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135682</v>
      </c>
      <c r="W10" s="20" t="n">
        <v>144054</v>
      </c>
      <c r="X10" s="20" t="n">
        <v>135780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AmericasReportableSegmentMember</t>
        </is>
      </c>
      <c r="B13" s="10" t="n"/>
      <c r="C13" s="19" t="n"/>
      <c r="D13" s="20" t="n"/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19" t="n"/>
      <c r="P13" s="20" t="n"/>
      <c r="Q13" s="20" t="n"/>
      <c r="R13" s="20" t="n"/>
      <c r="S13" s="20" t="n"/>
      <c r="T13" s="20" t="n"/>
      <c r="U13" s="20" t="n"/>
      <c r="V13" s="20" t="n">
        <v>71096</v>
      </c>
      <c r="W13" s="20" t="n">
        <v>77344</v>
      </c>
      <c r="X13" s="20" t="n">
        <v>77591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AmericasReportableSegmentsMember</t>
        </is>
      </c>
      <c r="B16" s="10" t="n"/>
      <c r="C16" s="19" t="n">
        <v>17816</v>
      </c>
      <c r="D16" s="20" t="n"/>
      <c r="E16" s="20" t="n">
        <v>20486</v>
      </c>
      <c r="F16" s="20" t="n">
        <v>16990</v>
      </c>
      <c r="G16" s="20" t="n">
        <v>18856</v>
      </c>
      <c r="H16" s="20" t="n"/>
      <c r="I16" s="20" t="n">
        <v>18995</v>
      </c>
      <c r="J16" s="20" t="n">
        <v>19124</v>
      </c>
      <c r="K16" s="20" t="n">
        <v>19188</v>
      </c>
      <c r="L16" s="20" t="n"/>
      <c r="M16" s="20" t="n">
        <v>21360</v>
      </c>
      <c r="N16" s="20" t="n">
        <v>20675</v>
      </c>
      <c r="O16" s="19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EuropeReportableSegmentsMember</t>
        </is>
      </c>
      <c r="B19" s="10" t="n"/>
      <c r="C19" s="19" t="n">
        <v>4023</v>
      </c>
      <c r="D19" s="20" t="n">
        <v>4414</v>
      </c>
      <c r="E19" s="20" t="n">
        <v>4482</v>
      </c>
      <c r="F19" s="20" t="n">
        <v>3891</v>
      </c>
      <c r="G19" s="20" t="n">
        <v>3637</v>
      </c>
      <c r="H19" s="20" t="n">
        <v>3919</v>
      </c>
      <c r="I19" s="20" t="n">
        <v>3984</v>
      </c>
      <c r="J19" s="20" t="n">
        <v>4014</v>
      </c>
      <c r="K19" s="20" t="n">
        <v>4113</v>
      </c>
      <c r="L19" s="20" t="n">
        <v>4140</v>
      </c>
      <c r="M19" s="20" t="n">
        <v>3636</v>
      </c>
      <c r="N19" s="20" t="n">
        <v>3128</v>
      </c>
      <c r="O19" s="19" t="n"/>
      <c r="P19" s="20" t="n"/>
      <c r="Q19" s="20" t="n"/>
      <c r="R19" s="20" t="n"/>
      <c r="S19" s="20" t="n"/>
      <c r="T19" s="20" t="n"/>
      <c r="U19" s="20" t="n"/>
      <c r="V19" s="20" t="n">
        <v>15608</v>
      </c>
      <c r="W19" s="20" t="n">
        <v>15929</v>
      </c>
      <c r="X19" s="20" t="n">
        <v>16251</v>
      </c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8" t="inlineStr">
        <is>
          <t>EntityTotalMember</t>
        </is>
      </c>
      <c r="B22" s="10" t="n"/>
      <c r="C22" s="19" t="n"/>
      <c r="D22" s="20" t="n"/>
      <c r="E22" s="20" t="n">
        <v>83187</v>
      </c>
      <c r="F22" s="20" t="n"/>
      <c r="G22" s="20" t="n"/>
      <c r="H22" s="20" t="n"/>
      <c r="I22" s="20" t="n">
        <v>79923</v>
      </c>
      <c r="J22" s="20" t="n"/>
      <c r="K22" s="20" t="n"/>
      <c r="L22" s="20" t="n"/>
      <c r="M22" s="20" t="n">
        <v>83927</v>
      </c>
      <c r="N22" s="20" t="n"/>
      <c r="O22" s="19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1" t="n"/>
      <c r="Z22" s="22" t="n"/>
      <c r="AA22" s="22" t="n"/>
      <c r="AB22" s="22" t="n"/>
      <c r="AC22" s="22" t="n"/>
    </row>
    <row r="23">
      <c r="A23" s="13" t="inlineStr">
        <is>
          <t>비중</t>
        </is>
      </c>
      <c r="B23" s="10" t="n"/>
      <c r="C23" s="14">
        <f>IF(OR(C22="",C4=""),"",IFERROR(C22/C4,""))</f>
        <v/>
      </c>
      <c r="D23" s="15">
        <f>IF(OR(D22="",D4=""),"",IFERROR(D22/D4,""))</f>
        <v/>
      </c>
      <c r="E23" s="15">
        <f>IF(OR(E22="",E4=""),"",IFERROR(E22/E4,""))</f>
        <v/>
      </c>
      <c r="F23" s="15">
        <f>IF(OR(F22="",F4=""),"",IFERROR(F22/F4,""))</f>
        <v/>
      </c>
      <c r="G23" s="15">
        <f>IF(OR(G22="",G4=""),"",IFERROR(G22/G4,""))</f>
        <v/>
      </c>
      <c r="H23" s="15">
        <f>IF(OR(H22="",H4=""),"",IFERROR(H22/H4,""))</f>
        <v/>
      </c>
      <c r="I23" s="15">
        <f>IF(OR(I22="",I4=""),"",IFERROR(I22/I4,""))</f>
        <v/>
      </c>
      <c r="J23" s="15">
        <f>IF(OR(J22="",J4=""),"",IFERROR(J22/J4,""))</f>
        <v/>
      </c>
      <c r="K23" s="15">
        <f>IF(OR(K22="",K4=""),"",IFERROR(K22/K4,""))</f>
        <v/>
      </c>
      <c r="L23" s="15">
        <f>IF(OR(L22="",L4=""),"",IFERROR(L22/L4,""))</f>
        <v/>
      </c>
      <c r="M23" s="15">
        <f>IF(OR(M22="",M4=""),"",IFERROR(M22/M4,""))</f>
        <v/>
      </c>
      <c r="N23" s="15">
        <f>IF(OR(N22="",N4=""),"",IFERROR(N22/N4,""))</f>
        <v/>
      </c>
      <c r="O23" s="14">
        <f>IF(OR(O22="",O4=""),"",IFERROR(O22/O4,""))</f>
        <v/>
      </c>
      <c r="P23" s="15">
        <f>IF(OR(P22="",P4=""),"",IFERROR(P22/P4,""))</f>
        <v/>
      </c>
      <c r="Q23" s="15">
        <f>IF(OR(Q22="",Q4=""),"",IFERROR(Q22/Q4,""))</f>
        <v/>
      </c>
      <c r="R23" s="15">
        <f>IF(OR(R22="",R4=""),"",IFERROR(R22/R4,""))</f>
        <v/>
      </c>
      <c r="S23" s="15">
        <f>IF(OR(S22="",S4=""),"",IFERROR(S22/S4,""))</f>
        <v/>
      </c>
      <c r="T23" s="15">
        <f>IF(OR(T22="",T4=""),"",IFERROR(T22/T4,""))</f>
        <v/>
      </c>
      <c r="U23" s="15">
        <f>IF(OR(U22="",U4=""),"",IFERROR(U22/U4,""))</f>
        <v/>
      </c>
      <c r="V23" s="15">
        <f>IF(OR(V22="",V4=""),"",IFERROR(V22/V4,""))</f>
        <v/>
      </c>
      <c r="W23" s="15">
        <f>IF(OR(W22="",W4=""),"",IFERROR(W22/W4,""))</f>
        <v/>
      </c>
      <c r="X23" s="15">
        <f>IF(OR(X22="",X4=""),"",IFERROR(X22/X4,""))</f>
        <v/>
      </c>
      <c r="Y23" s="14">
        <f>IF(OR(Y22="",Y4=""),"",IFERROR(Y22/Y4,""))</f>
        <v/>
      </c>
      <c r="Z23" s="15">
        <f>IF(OR(Z22="",Z4=""),"",IFERROR(Z22/Z4,""))</f>
        <v/>
      </c>
      <c r="AA23" s="15">
        <f>IF(OR(AA22="",AA4=""),"",IFERROR(AA22/AA4,""))</f>
        <v/>
      </c>
      <c r="AB23" s="15">
        <f>IF(OR(AB22="",AB4=""),"",IFERROR(AB22/AB4,""))</f>
        <v/>
      </c>
      <c r="AC23" s="15">
        <f>IF(OR(AC22="",AC4=""),"",IFERROR(AC22/AC4,""))</f>
        <v/>
      </c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IF(OR(G22="",C22=""),"",IFERROR(G22/C22-1,""))</f>
        <v/>
      </c>
      <c r="H24" s="15">
        <f>IF(OR(H22="",D22=""),"",IFERROR(H22/D22-1,""))</f>
        <v/>
      </c>
      <c r="I24" s="15">
        <f>IF(OR(I22="",E22=""),"",IFERROR(I22/E22-1,""))</f>
        <v/>
      </c>
      <c r="J24" s="15">
        <f>IF(OR(J22="",F22=""),"",IFERROR(J22/F22-1,""))</f>
        <v/>
      </c>
      <c r="K24" s="15">
        <f>IF(OR(K22="",G22=""),"",IFERROR(K22/G22-1,""))</f>
        <v/>
      </c>
      <c r="L24" s="15">
        <f>IF(OR(L22="",H22=""),"",IFERROR(L22/H22-1,""))</f>
        <v/>
      </c>
      <c r="M24" s="15">
        <f>IF(OR(M22="",I22=""),"",IFERROR(M22/I22-1,""))</f>
        <v/>
      </c>
      <c r="N24" s="15">
        <f>IF(OR(N22="",J22=""),"",IFERROR(N22/J22-1,""))</f>
        <v/>
      </c>
      <c r="O24" s="14" t="n"/>
      <c r="P24" s="15">
        <f>IF(OR(P22="",O22=""),"",IFERROR(P22/O22-1,""))</f>
        <v/>
      </c>
      <c r="Q24" s="15">
        <f>IF(OR(Q22="",P22=""),"",IFERROR(Q22/P22-1,""))</f>
        <v/>
      </c>
      <c r="R24" s="15">
        <f>IF(OR(R22="",Q22=""),"",IFERROR(R22/Q22-1,""))</f>
        <v/>
      </c>
      <c r="S24" s="15">
        <f>IF(OR(S22="",R22=""),"",IFERROR(S22/R22-1,""))</f>
        <v/>
      </c>
      <c r="T24" s="15">
        <f>IF(OR(T22="",S22=""),"",IFERROR(T22/S22-1,""))</f>
        <v/>
      </c>
      <c r="U24" s="15">
        <f>IF(OR(U22="",T22=""),"",IFERROR(U22/T22-1,""))</f>
        <v/>
      </c>
      <c r="V24" s="15">
        <f>IF(OR(V22="",U22=""),"",IFERROR(V22/U22-1,""))</f>
        <v/>
      </c>
      <c r="W24" s="15">
        <f>IF(OR(W22="",V22=""),"",IFERROR(W22/V22-1,""))</f>
        <v/>
      </c>
      <c r="X24" s="15">
        <f>IF(OR(X22="",W22=""),"",IFERROR(X22/W22-1,""))</f>
        <v/>
      </c>
      <c r="Y24" s="14">
        <f>IF(OR(Y22="",X22=""),"",IFERROR(Y22/X22-1,""))</f>
        <v/>
      </c>
      <c r="Z24" s="15">
        <f>IF(OR(Z22="",Y22=""),"",IFERROR(Z22/Y22-1,""))</f>
        <v/>
      </c>
      <c r="AA24" s="15">
        <f>IF(OR(AA22="",Z22=""),"",IFERROR(AA22/Z22-1,""))</f>
        <v/>
      </c>
      <c r="AB24" s="15">
        <f>IF(OR(AB22="",AA22=""),"",IFERROR(AB22/AA22-1,""))</f>
        <v/>
      </c>
      <c r="AC24" s="15">
        <f>IF(OR(AC22="",AB22=""),"",IFERROR(AC22/AB22-1,""))</f>
        <v/>
      </c>
    </row>
    <row r="25">
      <c r="A25" s="16" t="inlineStr">
        <is>
          <t>매출원가</t>
        </is>
      </c>
      <c r="B25" s="16" t="n"/>
      <c r="C25" s="17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7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7" t="n"/>
      <c r="Z25" s="16" t="n"/>
      <c r="AA25" s="16" t="n"/>
      <c r="AB25" s="16" t="n"/>
      <c r="AC25" s="16" t="n"/>
    </row>
    <row r="26">
      <c r="A26" s="18" t="inlineStr">
        <is>
          <t>전체 매출원가</t>
        </is>
      </c>
      <c r="B26" s="10" t="n"/>
      <c r="C26" s="19" t="n">
        <v>73539</v>
      </c>
      <c r="D26" s="20" t="n">
        <v>71588</v>
      </c>
      <c r="E26" s="20" t="n">
        <v>71704</v>
      </c>
      <c r="F26" s="20" t="n">
        <v>71130</v>
      </c>
      <c r="G26" s="20" t="n">
        <v>73633</v>
      </c>
      <c r="H26" s="20" t="n">
        <v>-106213</v>
      </c>
      <c r="I26" s="20" t="n">
        <v>70269</v>
      </c>
      <c r="J26" s="20" t="n">
        <v>72099</v>
      </c>
      <c r="K26" s="20" t="n">
        <v>72251</v>
      </c>
      <c r="L26" s="20" t="n">
        <v>-97253</v>
      </c>
      <c r="M26" s="20" t="n">
        <v>71681</v>
      </c>
      <c r="N26" s="20" t="n">
        <v>75113</v>
      </c>
      <c r="O26" s="19" t="n">
        <v>84416</v>
      </c>
      <c r="P26" s="20" t="n">
        <v>186550</v>
      </c>
      <c r="Q26" s="20" t="n">
        <v>187905</v>
      </c>
      <c r="R26" s="20" t="n">
        <v>181124</v>
      </c>
      <c r="S26" s="20" t="n">
        <v>160964</v>
      </c>
      <c r="T26" s="20" t="n">
        <v>168824</v>
      </c>
      <c r="U26" s="20" t="n">
        <v>208051</v>
      </c>
      <c r="V26" s="20" t="n">
        <v>273117</v>
      </c>
      <c r="W26" s="20" t="n">
        <v>110254</v>
      </c>
      <c r="X26" s="20" t="n">
        <v>117366</v>
      </c>
      <c r="Y26" s="19" t="n"/>
      <c r="Z26" s="20" t="n"/>
      <c r="AA26" s="20" t="n"/>
      <c r="AB26" s="20" t="n"/>
      <c r="AC26" s="20" t="n"/>
    </row>
    <row r="27">
      <c r="A27" s="13" t="inlineStr">
        <is>
          <t>YoY</t>
        </is>
      </c>
      <c r="B27" s="10" t="n"/>
      <c r="C27" s="14" t="n"/>
      <c r="D27" s="15" t="n"/>
      <c r="E27" s="15" t="n"/>
      <c r="F27" s="15" t="n"/>
      <c r="G27" s="15">
        <f>IF(OR(G26="",C26=""),"",IF(C26&lt;=0,"",IFERROR(G26/C26-1,"")))</f>
        <v/>
      </c>
      <c r="H27" s="15">
        <f>IF(OR(H26="",D26=""),"",IF(D26&lt;=0,"",IFERROR(H26/D26-1,"")))</f>
        <v/>
      </c>
      <c r="I27" s="15">
        <f>IF(OR(I26="",E26=""),"",IF(E26&lt;=0,"",IFERROR(I26/E26-1,"")))</f>
        <v/>
      </c>
      <c r="J27" s="15">
        <f>IF(OR(J26="",F26=""),"",IF(F26&lt;=0,"",IFERROR(J26/F26-1,"")))</f>
        <v/>
      </c>
      <c r="K27" s="15">
        <f>IF(OR(K26="",G26=""),"",IF(G26&lt;=0,"",IFERROR(K26/G26-1,"")))</f>
        <v/>
      </c>
      <c r="L27" s="15">
        <f>IF(OR(L26="",H26=""),"",IF(H26&lt;=0,"",IFERROR(L26/H26-1,"")))</f>
        <v/>
      </c>
      <c r="M27" s="15">
        <f>IF(OR(M26="",I26=""),"",IF(I26&lt;=0,"",IFERROR(M26/I26-1,"")))</f>
        <v/>
      </c>
      <c r="N27" s="15">
        <f>IF(OR(N26="",J26=""),"",IF(J26&lt;=0,"",IFERROR(N26/J26-1,"")))</f>
        <v/>
      </c>
      <c r="O27" s="14" t="n"/>
      <c r="P27" s="15">
        <f>IF(OR(P26="",O26=""),"",IF(O26&lt;=0,"",IFERROR(P26/O26-1,"")))</f>
        <v/>
      </c>
      <c r="Q27" s="15">
        <f>IF(OR(Q26="",P26=""),"",IF(P26&lt;=0,"",IFERROR(Q26/P26-1,"")))</f>
        <v/>
      </c>
      <c r="R27" s="15">
        <f>IF(OR(R26="",Q26=""),"",IF(Q26&lt;=0,"",IFERROR(R26/Q26-1,"")))</f>
        <v/>
      </c>
      <c r="S27" s="15">
        <f>IF(OR(S26="",R26=""),"",IF(R26&lt;=0,"",IFERROR(S26/R26-1,"")))</f>
        <v/>
      </c>
      <c r="T27" s="15">
        <f>IF(OR(T26="",S26=""),"",IF(S26&lt;=0,"",IFERROR(T26/S26-1,"")))</f>
        <v/>
      </c>
      <c r="U27" s="15">
        <f>IF(OR(U26="",T26=""),"",IF(T26&lt;=0,"",IFERROR(U26/T26-1,"")))</f>
        <v/>
      </c>
      <c r="V27" s="15">
        <f>IF(OR(V26="",U26=""),"",IF(U26&lt;=0,"",IFERROR(V26/U26-1,"")))</f>
        <v/>
      </c>
      <c r="W27" s="15">
        <f>IF(OR(W26="",V26=""),"",IF(V26&lt;=0,"",IFERROR(W26/V26-1,"")))</f>
        <v/>
      </c>
      <c r="X27" s="15">
        <f>IF(OR(X26="",W26=""),"",IF(W26&lt;=0,"",IFERROR(X26/W26-1,"")))</f>
        <v/>
      </c>
      <c r="Y27" s="14">
        <f>IF(OR(Y26="",X26=""),"",IF(X26&lt;=0,"",IFERROR(Y26/X26-1,"")))</f>
        <v/>
      </c>
      <c r="Z27" s="15">
        <f>IF(OR(Z26="",Y26=""),"",IF(Y26&lt;=0,"",IFERROR(Z26/Y26-1,"")))</f>
        <v/>
      </c>
      <c r="AA27" s="15">
        <f>IF(OR(AA26="",Z26=""),"",IF(Z26&lt;=0,"",IFERROR(AA26/Z26-1,"")))</f>
        <v/>
      </c>
      <c r="AB27" s="15">
        <f>IF(OR(AB26="",AA26=""),"",IF(AA26&lt;=0,"",IFERROR(AB26/AA26-1,"")))</f>
        <v/>
      </c>
      <c r="AC27" s="15">
        <f>IF(OR(AC26="",AB26=""),"",IF(AB26&lt;=0,"",IFERROR(AC26/AB26-1,"")))</f>
        <v/>
      </c>
    </row>
    <row r="28">
      <c r="A28" s="18" t="inlineStr">
        <is>
          <t>매출총이익</t>
        </is>
      </c>
      <c r="B28" s="10" t="n"/>
      <c r="C28" s="19">
        <f>IF(OR(C4="",C26=""),"",IFERROR(C4-C26,""))</f>
        <v/>
      </c>
      <c r="D28" s="20">
        <f>IF(OR(D4="",D26=""),"",IFERROR(D4-D26,""))</f>
        <v/>
      </c>
      <c r="E28" s="20">
        <f>IF(OR(E4="",E26=""),"",IFERROR(E4-E26,""))</f>
        <v/>
      </c>
      <c r="F28" s="20">
        <f>IF(OR(F4="",F26=""),"",IFERROR(F4-F26,""))</f>
        <v/>
      </c>
      <c r="G28" s="20">
        <f>IF(OR(G4="",G26=""),"",IFERROR(G4-G26,""))</f>
        <v/>
      </c>
      <c r="H28" s="20">
        <f>IF(OR(H4="",H26=""),"",IFERROR(H4-H26,""))</f>
        <v/>
      </c>
      <c r="I28" s="20">
        <f>IF(OR(I4="",I26=""),"",IFERROR(I4-I26,""))</f>
        <v/>
      </c>
      <c r="J28" s="20">
        <f>IF(OR(J4="",J26=""),"",IFERROR(J4-J26,""))</f>
        <v/>
      </c>
      <c r="K28" s="20">
        <f>IF(OR(K4="",K26=""),"",IFERROR(K4-K26,""))</f>
        <v/>
      </c>
      <c r="L28" s="20">
        <f>IF(OR(L4="",L26=""),"",IFERROR(L4-L26,""))</f>
        <v/>
      </c>
      <c r="M28" s="20">
        <f>IF(OR(M4="",M26=""),"",IFERROR(M4-M26,""))</f>
        <v/>
      </c>
      <c r="N28" s="20">
        <f>IF(OR(N4="",N26=""),"",IFERROR(N4-N26,""))</f>
        <v/>
      </c>
      <c r="O28" s="19">
        <f>IF(OR(O4="",O26=""),"",IFERROR(O4-O26,""))</f>
        <v/>
      </c>
      <c r="P28" s="20">
        <f>IF(OR(P4="",P26=""),"",IFERROR(P4-P26,""))</f>
        <v/>
      </c>
      <c r="Q28" s="20">
        <f>IF(OR(Q4="",Q26=""),"",IFERROR(Q4-Q26,""))</f>
        <v/>
      </c>
      <c r="R28" s="20">
        <f>IF(OR(R4="",R26=""),"",IFERROR(R4-R26,""))</f>
        <v/>
      </c>
      <c r="S28" s="20">
        <f>IF(OR(S4="",S26=""),"",IFERROR(S4-S26,""))</f>
        <v/>
      </c>
      <c r="T28" s="20">
        <f>IF(OR(T4="",T26=""),"",IFERROR(T4-T26,""))</f>
        <v/>
      </c>
      <c r="U28" s="20">
        <f>IF(OR(U4="",U26=""),"",IFERROR(U4-U26,""))</f>
        <v/>
      </c>
      <c r="V28" s="20">
        <f>IF(OR(V4="",V26=""),"",IFERROR(V4-V26,""))</f>
        <v/>
      </c>
      <c r="W28" s="20">
        <f>IF(OR(W4="",W26=""),"",IFERROR(W4-W26,""))</f>
        <v/>
      </c>
      <c r="X28" s="20">
        <f>IF(OR(X4="",X26=""),"",IFERROR(X4-X26,""))</f>
        <v/>
      </c>
      <c r="Y28" s="19" t="n"/>
      <c r="Z28" s="20" t="n"/>
      <c r="AA28" s="20" t="n"/>
      <c r="AB28" s="20" t="n"/>
      <c r="AC28" s="20" t="n"/>
    </row>
    <row r="29">
      <c r="A29" s="13" t="inlineStr">
        <is>
          <t>GPM</t>
        </is>
      </c>
      <c r="B29" s="10" t="n"/>
      <c r="C29" s="14">
        <f>IF(OR(C28="",C4=""),"",IFERROR(C28/C4,""))</f>
        <v/>
      </c>
      <c r="D29" s="15">
        <f>IF(OR(D28="",D4=""),"",IFERROR(D28/D4,""))</f>
        <v/>
      </c>
      <c r="E29" s="15">
        <f>IF(OR(E28="",E4=""),"",IFERROR(E28/E4,""))</f>
        <v/>
      </c>
      <c r="F29" s="15">
        <f>IF(OR(F28="",F4=""),"",IFERROR(F28/F4,""))</f>
        <v/>
      </c>
      <c r="G29" s="15">
        <f>IF(OR(G28="",G4=""),"",IFERROR(G28/G4,""))</f>
        <v/>
      </c>
      <c r="H29" s="15">
        <f>IF(OR(H28="",H4=""),"",IFERROR(H28/H4,""))</f>
        <v/>
      </c>
      <c r="I29" s="15">
        <f>IF(OR(I28="",I4=""),"",IFERROR(I28/I4,""))</f>
        <v/>
      </c>
      <c r="J29" s="15">
        <f>IF(OR(J28="",J4=""),"",IFERROR(J28/J4,""))</f>
        <v/>
      </c>
      <c r="K29" s="15">
        <f>IF(OR(K28="",K4=""),"",IFERROR(K28/K4,""))</f>
        <v/>
      </c>
      <c r="L29" s="15">
        <f>IF(OR(L28="",L4=""),"",IFERROR(L28/L4,""))</f>
        <v/>
      </c>
      <c r="M29" s="15">
        <f>IF(OR(M28="",M4=""),"",IFERROR(M28/M4,""))</f>
        <v/>
      </c>
      <c r="N29" s="15">
        <f>IF(OR(N28="",N4=""),"",IFERROR(N28/N4,""))</f>
        <v/>
      </c>
      <c r="O29" s="14">
        <f>IF(OR(O28="",O4=""),"",IFERROR(O28/O4,""))</f>
        <v/>
      </c>
      <c r="P29" s="15">
        <f>IF(OR(P28="",P4=""),"",IFERROR(P28/P4,""))</f>
        <v/>
      </c>
      <c r="Q29" s="15">
        <f>IF(OR(Q28="",Q4=""),"",IFERROR(Q28/Q4,""))</f>
        <v/>
      </c>
      <c r="R29" s="15">
        <f>IF(OR(R28="",R4=""),"",IFERROR(R28/R4,""))</f>
        <v/>
      </c>
      <c r="S29" s="15">
        <f>IF(OR(S28="",S4=""),"",IFERROR(S28/S4,""))</f>
        <v/>
      </c>
      <c r="T29" s="15">
        <f>IF(OR(T28="",T4=""),"",IFERROR(T28/T4,""))</f>
        <v/>
      </c>
      <c r="U29" s="15">
        <f>IF(OR(U28="",U4=""),"",IFERROR(U28/U4,""))</f>
        <v/>
      </c>
      <c r="V29" s="15">
        <f>IF(OR(V28="",V4=""),"",IFERROR(V28/V4,""))</f>
        <v/>
      </c>
      <c r="W29" s="15">
        <f>IF(OR(W28="",W4=""),"",IFERROR(W28/W4,""))</f>
        <v/>
      </c>
      <c r="X29" s="15">
        <f>IF(OR(X28="",X4=""),"",IFERROR(X28/X4,""))</f>
        <v/>
      </c>
      <c r="Y29" s="14">
        <f>IF(OR(Y28="",Y4=""),"",IFERROR(Y28/Y4,""))</f>
        <v/>
      </c>
      <c r="Z29" s="15">
        <f>IF(OR(Z28="",Z4=""),"",IFERROR(Z28/Z4,""))</f>
        <v/>
      </c>
      <c r="AA29" s="15">
        <f>IF(OR(AA28="",AA4=""),"",IFERROR(AA28/AA4,""))</f>
        <v/>
      </c>
      <c r="AB29" s="15">
        <f>IF(OR(AB28="",AB4=""),"",IFERROR(AB28/AB4,""))</f>
        <v/>
      </c>
      <c r="AC29" s="15">
        <f>IF(OR(AC28="",AC4=""),"",IFERROR(AC28/AC4,""))</f>
        <v/>
      </c>
    </row>
    <row r="30">
      <c r="A30" s="13" t="inlineStr">
        <is>
          <t>YoY</t>
        </is>
      </c>
      <c r="B30" s="10" t="n"/>
      <c r="C30" s="14" t="n"/>
      <c r="D30" s="15" t="n"/>
      <c r="E30" s="15" t="n"/>
      <c r="F30" s="15" t="n"/>
      <c r="G30" s="15">
        <f>IF(OR(G28="",C28=""),"",IF(C28&lt;=0,"",IFERROR(G28/C28-1,"")))</f>
        <v/>
      </c>
      <c r="H30" s="15">
        <f>IF(OR(H28="",D28=""),"",IF(D28&lt;=0,"",IFERROR(H28/D28-1,"")))</f>
        <v/>
      </c>
      <c r="I30" s="15">
        <f>IF(OR(I28="",E28=""),"",IF(E28&lt;=0,"",IFERROR(I28/E28-1,"")))</f>
        <v/>
      </c>
      <c r="J30" s="15">
        <f>IF(OR(J28="",F28=""),"",IF(F28&lt;=0,"",IFERROR(J28/F28-1,"")))</f>
        <v/>
      </c>
      <c r="K30" s="15">
        <f>IF(OR(K28="",G28=""),"",IF(G28&lt;=0,"",IFERROR(K28/G28-1,"")))</f>
        <v/>
      </c>
      <c r="L30" s="15">
        <f>IF(OR(L28="",H28=""),"",IF(H28&lt;=0,"",IFERROR(L28/H28-1,"")))</f>
        <v/>
      </c>
      <c r="M30" s="15">
        <f>IF(OR(M28="",I28=""),"",IF(I28&lt;=0,"",IFERROR(M28/I28-1,"")))</f>
        <v/>
      </c>
      <c r="N30" s="15">
        <f>IF(OR(N28="",J28=""),"",IF(J28&lt;=0,"",IFERROR(N28/J28-1,"")))</f>
        <v/>
      </c>
      <c r="O30" s="14" t="n"/>
      <c r="P30" s="15">
        <f>IF(OR(P28="",O28=""),"",IF(O28&lt;=0,"",IFERROR(P28/O28-1,"")))</f>
        <v/>
      </c>
      <c r="Q30" s="15">
        <f>IF(OR(Q28="",P28=""),"",IF(P28&lt;=0,"",IFERROR(Q28/P28-1,"")))</f>
        <v/>
      </c>
      <c r="R30" s="15">
        <f>IF(OR(R28="",Q28=""),"",IF(Q28&lt;=0,"",IFERROR(R28/Q28-1,"")))</f>
        <v/>
      </c>
      <c r="S30" s="15">
        <f>IF(OR(S28="",R28=""),"",IF(R28&lt;=0,"",IFERROR(S28/R28-1,"")))</f>
        <v/>
      </c>
      <c r="T30" s="15">
        <f>IF(OR(T28="",S28=""),"",IF(S28&lt;=0,"",IFERROR(T28/S28-1,"")))</f>
        <v/>
      </c>
      <c r="U30" s="15">
        <f>IF(OR(U28="",T28=""),"",IF(T28&lt;=0,"",IFERROR(U28/T28-1,"")))</f>
        <v/>
      </c>
      <c r="V30" s="15">
        <f>IF(OR(V28="",U28=""),"",IF(U28&lt;=0,"",IFERROR(V28/U28-1,"")))</f>
        <v/>
      </c>
      <c r="W30" s="15">
        <f>IF(OR(W28="",V28=""),"",IF(V28&lt;=0,"",IFERROR(W28/V28-1,"")))</f>
        <v/>
      </c>
      <c r="X30" s="15">
        <f>IF(OR(X28="",W28=""),"",IF(W28&lt;=0,"",IFERROR(X28/W28-1,"")))</f>
        <v/>
      </c>
      <c r="Y30" s="14">
        <f>IF(OR(Y28="",X28=""),"",IF(X28&lt;=0,"",IFERROR(Y28/X28-1,"")))</f>
        <v/>
      </c>
      <c r="Z30" s="15">
        <f>IF(OR(Z28="",Y28=""),"",IF(Y28&lt;=0,"",IFERROR(Z28/Y28-1,"")))</f>
        <v/>
      </c>
      <c r="AA30" s="15">
        <f>IF(OR(AA28="",Z28=""),"",IF(Z28&lt;=0,"",IFERROR(AA28/Z28-1,"")))</f>
        <v/>
      </c>
      <c r="AB30" s="15">
        <f>IF(OR(AB28="",AA28=""),"",IF(AA28&lt;=0,"",IFERROR(AB28/AA28-1,"")))</f>
        <v/>
      </c>
      <c r="AC30" s="15">
        <f>IF(OR(AC28="",AB28=""),"",IF(AB28&lt;=0,"",IFERROR(AC28/AB28-1,"")))</f>
        <v/>
      </c>
    </row>
    <row r="31">
      <c r="A31" s="23" t="inlineStr">
        <is>
          <t>판매관리비</t>
        </is>
      </c>
      <c r="B31" s="23" t="n"/>
      <c r="C31" s="24" t="n"/>
      <c r="D31" s="23" t="n"/>
      <c r="E31" s="23" t="n"/>
      <c r="F31" s="23" t="n"/>
      <c r="G31" s="23" t="n"/>
      <c r="H31" s="23" t="n"/>
      <c r="I31" s="23" t="n"/>
      <c r="J31" s="23" t="n"/>
      <c r="K31" s="23" t="n"/>
      <c r="L31" s="23" t="n"/>
      <c r="M31" s="23" t="n"/>
      <c r="N31" s="23" t="n"/>
      <c r="O31" s="24" t="n"/>
      <c r="P31" s="23" t="n"/>
      <c r="Q31" s="23" t="n"/>
      <c r="R31" s="23" t="n"/>
      <c r="S31" s="23" t="n"/>
      <c r="T31" s="23" t="n"/>
      <c r="U31" s="23" t="n"/>
      <c r="V31" s="23" t="n"/>
      <c r="W31" s="23" t="n"/>
      <c r="X31" s="23" t="n"/>
      <c r="Y31" s="24" t="n"/>
      <c r="Z31" s="23" t="n"/>
      <c r="AA31" s="23" t="n"/>
      <c r="AB31" s="23" t="n"/>
      <c r="AC31" s="23" t="n"/>
    </row>
    <row r="32">
      <c r="A32" s="18" t="inlineStr">
        <is>
          <t>전체 판관비</t>
        </is>
      </c>
      <c r="B32" s="10" t="n"/>
      <c r="C32" s="19" t="n">
        <v>5990</v>
      </c>
      <c r="D32" s="20" t="n">
        <v>8486</v>
      </c>
      <c r="E32" s="20" t="n">
        <v>5687</v>
      </c>
      <c r="F32" s="20" t="n">
        <v>6924</v>
      </c>
      <c r="G32" s="20" t="n">
        <v>7467</v>
      </c>
      <c r="H32" s="20" t="n">
        <v>-6555</v>
      </c>
      <c r="I32" s="20" t="n">
        <v>6129</v>
      </c>
      <c r="J32" s="20" t="n">
        <v>5200</v>
      </c>
      <c r="K32" s="20" t="n">
        <v>6467</v>
      </c>
      <c r="L32" s="20" t="n">
        <v>-7470</v>
      </c>
      <c r="M32" s="20" t="n">
        <v>6641</v>
      </c>
      <c r="N32" s="20" t="n">
        <v>6795</v>
      </c>
      <c r="O32" s="19" t="n">
        <v>6354</v>
      </c>
      <c r="P32" s="20" t="n">
        <v>16553</v>
      </c>
      <c r="Q32" s="20" t="n">
        <v>17361</v>
      </c>
      <c r="R32" s="20" t="n">
        <v>17139</v>
      </c>
      <c r="S32" s="20" t="n">
        <v>15506</v>
      </c>
      <c r="T32" s="20" t="n">
        <v>15117</v>
      </c>
      <c r="U32" s="20" t="n">
        <v>19122</v>
      </c>
      <c r="V32" s="20" t="n">
        <v>25720</v>
      </c>
      <c r="W32" s="20" t="n">
        <v>13523</v>
      </c>
      <c r="X32" s="20" t="n">
        <v>10326</v>
      </c>
      <c r="Y32" s="19" t="n"/>
      <c r="Z32" s="20" t="n"/>
      <c r="AA32" s="20" t="n"/>
      <c r="AB32" s="20" t="n"/>
      <c r="AC32" s="20" t="n"/>
    </row>
    <row r="33">
      <c r="A33" s="13" t="inlineStr">
        <is>
          <t>YoY</t>
        </is>
      </c>
      <c r="B33" s="10" t="n"/>
      <c r="C33" s="14" t="n"/>
      <c r="D33" s="15" t="n"/>
      <c r="E33" s="15" t="n"/>
      <c r="F33" s="15" t="n"/>
      <c r="G33" s="15">
        <f>IF(OR(G32="",C32=""),"",IF(C32&lt;=0,"",IFERROR(G32/C32-1,"")))</f>
        <v/>
      </c>
      <c r="H33" s="15">
        <f>IF(OR(H32="",D32=""),"",IF(D32&lt;=0,"",IFERROR(H32/D32-1,"")))</f>
        <v/>
      </c>
      <c r="I33" s="15">
        <f>IF(OR(I32="",E32=""),"",IF(E32&lt;=0,"",IFERROR(I32/E32-1,"")))</f>
        <v/>
      </c>
      <c r="J33" s="15">
        <f>IF(OR(J32="",F32=""),"",IF(F32&lt;=0,"",IFERROR(J32/F32-1,"")))</f>
        <v/>
      </c>
      <c r="K33" s="15">
        <f>IF(OR(K32="",G32=""),"",IF(G32&lt;=0,"",IFERROR(K32/G32-1,"")))</f>
        <v/>
      </c>
      <c r="L33" s="15">
        <f>IF(OR(L32="",H32=""),"",IF(H32&lt;=0,"",IFERROR(L32/H32-1,"")))</f>
        <v/>
      </c>
      <c r="M33" s="15">
        <f>IF(OR(M32="",I32=""),"",IF(I32&lt;=0,"",IFERROR(M32/I32-1,"")))</f>
        <v/>
      </c>
      <c r="N33" s="15">
        <f>IF(OR(N32="",J32=""),"",IF(J32&lt;=0,"",IFERROR(N32/J32-1,"")))</f>
        <v/>
      </c>
      <c r="O33" s="14" t="n"/>
      <c r="P33" s="15">
        <f>IF(OR(P32="",O32=""),"",IF(O32&lt;=0,"",IFERROR(P32/O32-1,"")))</f>
        <v/>
      </c>
      <c r="Q33" s="15">
        <f>IF(OR(Q32="",P32=""),"",IF(P32&lt;=0,"",IFERROR(Q32/P32-1,"")))</f>
        <v/>
      </c>
      <c r="R33" s="15">
        <f>IF(OR(R32="",Q32=""),"",IF(Q32&lt;=0,"",IFERROR(R32/Q32-1,"")))</f>
        <v/>
      </c>
      <c r="S33" s="15">
        <f>IF(OR(S32="",R32=""),"",IF(R32&lt;=0,"",IFERROR(S32/R32-1,"")))</f>
        <v/>
      </c>
      <c r="T33" s="15">
        <f>IF(OR(T32="",S32=""),"",IF(S32&lt;=0,"",IFERROR(T32/S32-1,"")))</f>
        <v/>
      </c>
      <c r="U33" s="15">
        <f>IF(OR(U32="",T32=""),"",IF(T32&lt;=0,"",IFERROR(U32/T32-1,"")))</f>
        <v/>
      </c>
      <c r="V33" s="15">
        <f>IF(OR(V32="",U32=""),"",IF(U32&lt;=0,"",IFERROR(V32/U32-1,"")))</f>
        <v/>
      </c>
      <c r="W33" s="15">
        <f>IF(OR(W32="",V32=""),"",IF(V32&lt;=0,"",IFERROR(W32/V32-1,"")))</f>
        <v/>
      </c>
      <c r="X33" s="15">
        <f>IF(OR(X32="",W32=""),"",IF(W32&lt;=0,"",IFERROR(X32/W32-1,"")))</f>
        <v/>
      </c>
      <c r="Y33" s="14">
        <f>IF(OR(Y32="",X32=""),"",IF(X32&lt;=0,"",IFERROR(Y32/X32-1,"")))</f>
        <v/>
      </c>
      <c r="Z33" s="15">
        <f>IF(OR(Z32="",Y32=""),"",IF(Y32&lt;=0,"",IFERROR(Z32/Y32-1,"")))</f>
        <v/>
      </c>
      <c r="AA33" s="15">
        <f>IF(OR(AA32="",Z32=""),"",IF(Z32&lt;=0,"",IFERROR(AA32/Z32-1,"")))</f>
        <v/>
      </c>
      <c r="AB33" s="15">
        <f>IF(OR(AB32="",AA32=""),"",IF(AA32&lt;=0,"",IFERROR(AB32/AA32-1,"")))</f>
        <v/>
      </c>
      <c r="AC33" s="15">
        <f>IF(OR(AC32="",AB32=""),"",IF(AB32&lt;=0,"",IFERROR(AC32/AB32-1,"")))</f>
        <v/>
      </c>
    </row>
    <row r="34">
      <c r="A34" s="9" t="inlineStr">
        <is>
          <t>영업이익</t>
        </is>
      </c>
      <c r="B34" s="10" t="inlineStr">
        <is>
          <t>MW = 매출 × OPM</t>
        </is>
      </c>
      <c r="C34" s="11" t="n">
        <v>6147</v>
      </c>
      <c r="D34" s="12" t="n">
        <v>837</v>
      </c>
      <c r="E34" s="12" t="n">
        <v>5796</v>
      </c>
      <c r="F34" s="12" t="n">
        <v>5161</v>
      </c>
      <c r="G34" s="12" t="n">
        <v>5642</v>
      </c>
      <c r="H34" s="12" t="n">
        <v>-15120</v>
      </c>
      <c r="I34" s="12" t="n">
        <v>3523</v>
      </c>
      <c r="J34" s="12" t="n">
        <v>5874</v>
      </c>
      <c r="K34" s="12" t="n">
        <v>5373</v>
      </c>
      <c r="L34" s="12" t="n">
        <v>-12247</v>
      </c>
      <c r="M34" s="12" t="n">
        <v>5604</v>
      </c>
      <c r="N34" s="12" t="n">
        <v>5519</v>
      </c>
      <c r="O34" s="11" t="n">
        <v>53</v>
      </c>
      <c r="P34" s="12" t="n">
        <v>9421</v>
      </c>
      <c r="Q34" s="12" t="n">
        <v>8227</v>
      </c>
      <c r="R34" s="12" t="n">
        <v>7226</v>
      </c>
      <c r="S34" s="12" t="n">
        <v>4956</v>
      </c>
      <c r="T34" s="12" t="n">
        <v>9809</v>
      </c>
      <c r="U34" s="12" t="n">
        <v>13632</v>
      </c>
      <c r="V34" s="12" t="n">
        <v>15498</v>
      </c>
      <c r="W34" s="12" t="n">
        <v>1479</v>
      </c>
      <c r="X34" s="12" t="n">
        <v>2523</v>
      </c>
      <c r="Y34" s="11">
        <f>IF(OR(Y4="",Y35=""),"",IFERROR(Y4*Y35,""))</f>
        <v/>
      </c>
      <c r="Z34" s="12">
        <f>IF(OR(Z4="",Z35=""),"",IFERROR(Z4*Z35,""))</f>
        <v/>
      </c>
      <c r="AA34" s="12">
        <f>IF(OR(AA4="",AA35=""),"",IFERROR(AA4*AA35,""))</f>
        <v/>
      </c>
      <c r="AB34" s="12">
        <f>IF(OR(AB4="",AB35=""),"",IFERROR(AB4*AB35,""))</f>
        <v/>
      </c>
      <c r="AC34" s="12">
        <f>IF(OR(AC4="",AC35=""),"",IFERROR(AC4*AC35,""))</f>
        <v/>
      </c>
    </row>
    <row r="35">
      <c r="A35" s="13" t="inlineStr">
        <is>
          <t>OPM</t>
        </is>
      </c>
      <c r="B35" s="10" t="inlineStr">
        <is>
          <t>MW 입력</t>
        </is>
      </c>
      <c r="C35" s="14">
        <f>IF(OR(C34="",C4=""),"",IFERROR(C34/C4,""))</f>
        <v/>
      </c>
      <c r="D35" s="15">
        <f>IF(OR(D34="",D4=""),"",IFERROR(D34/D4,""))</f>
        <v/>
      </c>
      <c r="E35" s="15">
        <f>IF(OR(E34="",E4=""),"",IFERROR(E34/E4,""))</f>
        <v/>
      </c>
      <c r="F35" s="15">
        <f>IF(OR(F34="",F4=""),"",IFERROR(F34/F4,""))</f>
        <v/>
      </c>
      <c r="G35" s="15">
        <f>IF(OR(G34="",G4=""),"",IFERROR(G34/G4,""))</f>
        <v/>
      </c>
      <c r="H35" s="15">
        <f>IF(OR(H34="",H4=""),"",IFERROR(H34/H4,""))</f>
        <v/>
      </c>
      <c r="I35" s="15">
        <f>IF(OR(I34="",I4=""),"",IFERROR(I34/I4,""))</f>
        <v/>
      </c>
      <c r="J35" s="15">
        <f>IF(OR(J34="",J4=""),"",IFERROR(J34/J4,""))</f>
        <v/>
      </c>
      <c r="K35" s="15">
        <f>IF(OR(K34="",K4=""),"",IFERROR(K34/K4,""))</f>
        <v/>
      </c>
      <c r="L35" s="15">
        <f>IF(OR(L34="",L4=""),"",IFERROR(L34/L4,""))</f>
        <v/>
      </c>
      <c r="M35" s="15">
        <f>IF(OR(M34="",M4=""),"",IFERROR(M34/M4,""))</f>
        <v/>
      </c>
      <c r="N35" s="15">
        <f>IF(OR(N34="",N4=""),"",IFERROR(N34/N4,""))</f>
        <v/>
      </c>
      <c r="O35" s="14">
        <f>IF(OR(O34="",O4=""),"",IFERROR(O34/O4,""))</f>
        <v/>
      </c>
      <c r="P35" s="15">
        <f>IF(OR(P34="",P4=""),"",IFERROR(P34/P4,""))</f>
        <v/>
      </c>
      <c r="Q35" s="15">
        <f>IF(OR(Q34="",Q4=""),"",IFERROR(Q34/Q4,""))</f>
        <v/>
      </c>
      <c r="R35" s="15">
        <f>IF(OR(R34="",R4=""),"",IFERROR(R34/R4,""))</f>
        <v/>
      </c>
      <c r="S35" s="15">
        <f>IF(OR(S34="",S4=""),"",IFERROR(S34/S4,""))</f>
        <v/>
      </c>
      <c r="T35" s="15">
        <f>IF(OR(T34="",T4=""),"",IFERROR(T34/T4,""))</f>
        <v/>
      </c>
      <c r="U35" s="15">
        <f>IF(OR(U34="",U4=""),"",IFERROR(U34/U4,""))</f>
        <v/>
      </c>
      <c r="V35" s="15">
        <f>IF(OR(V34="",V4=""),"",IFERROR(V34/V4,""))</f>
        <v/>
      </c>
      <c r="W35" s="15">
        <f>IF(OR(W34="",W4=""),"",IFERROR(W34/W4,""))</f>
        <v/>
      </c>
      <c r="X35" s="15">
        <f>IF(OR(X34="",X4=""),"",IFERROR(X34/X4,""))</f>
        <v/>
      </c>
      <c r="Y35" s="25" t="n"/>
      <c r="Z35" s="26" t="n"/>
      <c r="AA35" s="26" t="n"/>
      <c r="AB35" s="26" t="n"/>
      <c r="AC35" s="26" t="n"/>
    </row>
    <row r="36">
      <c r="A36" s="13" t="inlineStr">
        <is>
          <t>증가율</t>
        </is>
      </c>
      <c r="B36" s="10" t="n"/>
      <c r="C36" s="14" t="n"/>
      <c r="D36" s="15" t="n"/>
      <c r="E36" s="15" t="n"/>
      <c r="F36" s="15" t="n"/>
      <c r="G36" s="15">
        <f>IF(OR(G34="",C34=""),"",IFERROR(G34/C34-1,""))</f>
        <v/>
      </c>
      <c r="H36" s="15">
        <f>IF(OR(H34="",D34=""),"",IFERROR(H34/D34-1,""))</f>
        <v/>
      </c>
      <c r="I36" s="15">
        <f>IF(OR(I34="",E34=""),"",IFERROR(I34/E34-1,""))</f>
        <v/>
      </c>
      <c r="J36" s="15">
        <f>IF(OR(J34="",F34=""),"",IFERROR(J34/F34-1,""))</f>
        <v/>
      </c>
      <c r="K36" s="15">
        <f>IF(OR(K34="",G34=""),"",IFERROR(K34/G34-1,""))</f>
        <v/>
      </c>
      <c r="L36" s="15">
        <f>IF(OR(L34="",H34=""),"",IFERROR(L34/H34-1,""))</f>
        <v/>
      </c>
      <c r="M36" s="15">
        <f>IF(OR(M34="",I34=""),"",IFERROR(M34/I34-1,""))</f>
        <v/>
      </c>
      <c r="N36" s="15">
        <f>IF(OR(N34="",J34=""),"",IFERROR(N34/J34-1,""))</f>
        <v/>
      </c>
      <c r="O36" s="14" t="n"/>
      <c r="P36" s="15">
        <f>IF(OR(P34="",O34=""),"",IFERROR(P34/O34-1,""))</f>
        <v/>
      </c>
      <c r="Q36" s="15">
        <f>IF(OR(Q34="",P34=""),"",IFERROR(Q34/P34-1,""))</f>
        <v/>
      </c>
      <c r="R36" s="15">
        <f>IF(OR(R34="",Q34=""),"",IFERROR(R34/Q34-1,""))</f>
        <v/>
      </c>
      <c r="S36" s="15">
        <f>IF(OR(S34="",R34=""),"",IFERROR(S34/R34-1,""))</f>
        <v/>
      </c>
      <c r="T36" s="15">
        <f>IF(OR(T34="",S34=""),"",IFERROR(T34/S34-1,""))</f>
        <v/>
      </c>
      <c r="U36" s="15">
        <f>IF(OR(U34="",T34=""),"",IFERROR(U34/T34-1,""))</f>
        <v/>
      </c>
      <c r="V36" s="15">
        <f>IF(OR(V34="",U34=""),"",IFERROR(V34/U34-1,""))</f>
        <v/>
      </c>
      <c r="W36" s="15">
        <f>IF(OR(W34="",V34=""),"",IFERROR(W34/V34-1,""))</f>
        <v/>
      </c>
      <c r="X36" s="15">
        <f>IF(OR(X34="",W34=""),"",IFERROR(X34/W34-1,""))</f>
        <v/>
      </c>
      <c r="Y36" s="14">
        <f>IF(OR(Y34="",X34=""),"",IFERROR(Y34/X34-1,""))</f>
        <v/>
      </c>
      <c r="Z36" s="15">
        <f>IF(OR(Z34="",Y34=""),"",IFERROR(Z34/Y34-1,""))</f>
        <v/>
      </c>
      <c r="AA36" s="15">
        <f>IF(OR(AA34="",Z34=""),"",IFERROR(AA34/Z34-1,""))</f>
        <v/>
      </c>
      <c r="AB36" s="15">
        <f>IF(OR(AB34="",AA34=""),"",IFERROR(AB34/AA34-1,""))</f>
        <v/>
      </c>
      <c r="AC36" s="15">
        <f>IF(OR(AC34="",AB34=""),"",IFERROR(AC34/AB34-1,""))</f>
        <v/>
      </c>
    </row>
    <row r="37">
      <c r="A37" s="16" t="inlineStr">
        <is>
          <t>비용의 성격별 분류</t>
        </is>
      </c>
      <c r="B37" s="16" t="inlineStr">
        <is>
          <t>참고 데이터</t>
        </is>
      </c>
      <c r="C37" s="17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7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7" t="n"/>
      <c r="Z37" s="16" t="n"/>
      <c r="AA37" s="16" t="n"/>
      <c r="AB37" s="16" t="n"/>
      <c r="AC37" s="16" t="n"/>
    </row>
    <row r="38">
      <c r="A38" s="9" t="inlineStr">
        <is>
          <t>총 판관비</t>
        </is>
      </c>
      <c r="B38" s="10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2" t="n"/>
      <c r="M38" s="12" t="n"/>
      <c r="N38" s="12" t="n"/>
      <c r="O38" s="11">
        <f>IF(O32="","",O32)</f>
        <v/>
      </c>
      <c r="P38" s="12">
        <f>IF(P32="","",P32)</f>
        <v/>
      </c>
      <c r="Q38" s="12">
        <f>IF(Q32="","",Q32)</f>
        <v/>
      </c>
      <c r="R38" s="12">
        <f>IF(R32="","",R32)</f>
        <v/>
      </c>
      <c r="S38" s="12">
        <f>IF(S32="","",S32)</f>
        <v/>
      </c>
      <c r="T38" s="12">
        <f>IF(T32="","",T32)</f>
        <v/>
      </c>
      <c r="U38" s="12">
        <f>IF(U32="","",U32)</f>
        <v/>
      </c>
      <c r="V38" s="12">
        <f>IF(V32="","",V32)</f>
        <v/>
      </c>
      <c r="W38" s="12">
        <f>IF(W32="","",W32)</f>
        <v/>
      </c>
      <c r="X38" s="12">
        <f>IF(X32="","",X32)</f>
        <v/>
      </c>
      <c r="Y38" s="11" t="n"/>
      <c r="Z38" s="12" t="n"/>
      <c r="AA38" s="12" t="n"/>
      <c r="AB38" s="12" t="n"/>
      <c r="AC38" s="12" t="n"/>
    </row>
    <row r="39">
      <c r="A39" s="18" t="inlineStr">
        <is>
          <t>급여</t>
        </is>
      </c>
      <c r="B39" s="10" t="inlineStr">
        <is>
          <t>고정비</t>
        </is>
      </c>
      <c r="C39" s="19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19" t="n">
        <v>6061</v>
      </c>
      <c r="P39" s="20" t="n">
        <v>6183</v>
      </c>
      <c r="Q39" s="20" t="n">
        <v>6364</v>
      </c>
      <c r="R39" s="20" t="n">
        <v>6600</v>
      </c>
      <c r="S39" s="20" t="n">
        <v>5746</v>
      </c>
      <c r="T39" s="20" t="n">
        <v>6135</v>
      </c>
      <c r="U39" s="20" t="n">
        <v>7122</v>
      </c>
      <c r="V39" s="20" t="n">
        <v>8202</v>
      </c>
      <c r="W39" s="20" t="n">
        <v>9057</v>
      </c>
      <c r="X39" s="20" t="n">
        <v>9834</v>
      </c>
      <c r="Y39" s="19" t="n"/>
      <c r="Z39" s="20" t="n"/>
      <c r="AA39" s="20" t="n"/>
      <c r="AB39" s="20" t="n"/>
      <c r="AC39" s="20" t="n"/>
    </row>
    <row r="40">
      <c r="A40" s="13" t="inlineStr">
        <is>
          <t>% of Sales</t>
        </is>
      </c>
      <c r="B40" s="10" t="n"/>
      <c r="C40" s="14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4">
        <f>IF(OR(O39="",O4=""),"",IFERROR(O39/O4,""))</f>
        <v/>
      </c>
      <c r="P40" s="15">
        <f>IF(OR(P39="",P4=""),"",IFERROR(P39/P4,""))</f>
        <v/>
      </c>
      <c r="Q40" s="15">
        <f>IF(OR(Q39="",Q4=""),"",IFERROR(Q39/Q4,""))</f>
        <v/>
      </c>
      <c r="R40" s="15">
        <f>IF(OR(R39="",R4=""),"",IFERROR(R39/R4,""))</f>
        <v/>
      </c>
      <c r="S40" s="15">
        <f>IF(OR(S39="",S4=""),"",IFERROR(S39/S4,""))</f>
        <v/>
      </c>
      <c r="T40" s="15">
        <f>IF(OR(T39="",T4=""),"",IFERROR(T39/T4,""))</f>
        <v/>
      </c>
      <c r="U40" s="15">
        <f>IF(OR(U39="",U4=""),"",IFERROR(U39/U4,""))</f>
        <v/>
      </c>
      <c r="V40" s="15">
        <f>IF(OR(V39="",V4=""),"",IFERROR(V39/V4,""))</f>
        <v/>
      </c>
      <c r="W40" s="15">
        <f>IF(OR(W39="",W4=""),"",IFERROR(W39/W4,""))</f>
        <v/>
      </c>
      <c r="X40" s="15">
        <f>IF(OR(X39="",X4=""),"",IFERROR(X39/X4,""))</f>
        <v/>
      </c>
      <c r="Y40" s="14" t="n"/>
      <c r="Z40" s="15" t="n"/>
      <c r="AA40" s="15" t="n"/>
      <c r="AB40" s="15" t="n"/>
      <c r="AC40" s="15" t="n"/>
    </row>
    <row r="41">
      <c r="A41" s="18" t="inlineStr">
        <is>
          <t>감가상각비</t>
        </is>
      </c>
      <c r="B41" s="10" t="inlineStr">
        <is>
          <t>고정비</t>
        </is>
      </c>
      <c r="C41" s="19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19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19" t="n"/>
      <c r="Z41" s="20" t="n"/>
      <c r="AA41" s="20" t="n"/>
      <c r="AB41" s="20" t="n"/>
      <c r="AC41" s="20" t="n"/>
    </row>
    <row r="42">
      <c r="A42" s="13" t="inlineStr">
        <is>
          <t>% of Sales</t>
        </is>
      </c>
      <c r="B42" s="10" t="n"/>
      <c r="C42" s="14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14" t="n"/>
      <c r="Z42" s="15" t="n"/>
      <c r="AA42" s="15" t="n"/>
      <c r="AB42" s="15" t="n"/>
      <c r="AC42" s="15" t="n"/>
    </row>
    <row r="43">
      <c r="A43" s="18" t="inlineStr">
        <is>
          <t>지급수수료</t>
        </is>
      </c>
      <c r="B43" s="10" t="inlineStr">
        <is>
          <t>고정비</t>
        </is>
      </c>
      <c r="C43" s="19" t="n"/>
      <c r="D43" s="20" t="n"/>
      <c r="E43" s="20" t="n"/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19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19" t="n"/>
      <c r="Z43" s="20" t="n"/>
      <c r="AA43" s="20" t="n"/>
      <c r="AB43" s="20" t="n"/>
      <c r="AC43" s="20" t="n"/>
    </row>
    <row r="44">
      <c r="A44" s="13" t="inlineStr">
        <is>
          <t>% of Sales</t>
        </is>
      </c>
      <c r="B44" s="10" t="n"/>
      <c r="C44" s="14" t="n"/>
      <c r="D44" s="15" t="n"/>
      <c r="E44" s="15" t="n"/>
      <c r="F44" s="15" t="n"/>
      <c r="G44" s="15" t="n"/>
      <c r="H44" s="15" t="n"/>
      <c r="I44" s="15" t="n"/>
      <c r="J44" s="15" t="n"/>
      <c r="K44" s="15" t="n"/>
      <c r="L44" s="15" t="n"/>
      <c r="M44" s="15" t="n"/>
      <c r="N44" s="15" t="n"/>
      <c r="O44" s="14">
        <f>IF(OR(O43="",O4=""),"",IFERROR(O43/O4,""))</f>
        <v/>
      </c>
      <c r="P44" s="15">
        <f>IF(OR(P43="",P4=""),"",IFERROR(P43/P4,""))</f>
        <v/>
      </c>
      <c r="Q44" s="15">
        <f>IF(OR(Q43="",Q4=""),"",IFERROR(Q43/Q4,""))</f>
        <v/>
      </c>
      <c r="R44" s="15">
        <f>IF(OR(R43="",R4=""),"",IFERROR(R43/R4,""))</f>
        <v/>
      </c>
      <c r="S44" s="15">
        <f>IF(OR(S43="",S4=""),"",IFERROR(S43/S4,""))</f>
        <v/>
      </c>
      <c r="T44" s="15">
        <f>IF(OR(T43="",T4=""),"",IFERROR(T43/T4,""))</f>
        <v/>
      </c>
      <c r="U44" s="15">
        <f>IF(OR(U43="",U4=""),"",IFERROR(U43/U4,""))</f>
        <v/>
      </c>
      <c r="V44" s="15">
        <f>IF(OR(V43="",V4=""),"",IFERROR(V43/V4,""))</f>
        <v/>
      </c>
      <c r="W44" s="15">
        <f>IF(OR(W43="",W4=""),"",IFERROR(W43/W4,""))</f>
        <v/>
      </c>
      <c r="X44" s="15">
        <f>IF(OR(X43="",X4=""),"",IFERROR(X43/X4,""))</f>
        <v/>
      </c>
      <c r="Y44" s="14" t="n"/>
      <c r="Z44" s="15" t="n"/>
      <c r="AA44" s="15" t="n"/>
      <c r="AB44" s="15" t="n"/>
      <c r="AC44" s="15" t="n"/>
    </row>
    <row r="45">
      <c r="A45" s="18" t="inlineStr">
        <is>
          <t>연구개발비</t>
        </is>
      </c>
      <c r="B45" s="10" t="inlineStr">
        <is>
          <t>변동비</t>
        </is>
      </c>
      <c r="C45" s="19" t="n"/>
      <c r="D45" s="20" t="n"/>
      <c r="E45" s="20" t="n"/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19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19" t="n"/>
      <c r="Z45" s="20" t="n"/>
      <c r="AA45" s="20" t="n"/>
      <c r="AB45" s="20" t="n"/>
      <c r="AC45" s="20" t="n"/>
    </row>
    <row r="46">
      <c r="A46" s="13" t="inlineStr">
        <is>
          <t>% of Sales</t>
        </is>
      </c>
      <c r="B46" s="10" t="n"/>
      <c r="C46" s="14" t="n"/>
      <c r="D46" s="15" t="n"/>
      <c r="E46" s="15" t="n"/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4">
        <f>IF(OR(O45="",O4=""),"",IFERROR(O45/O4,""))</f>
        <v/>
      </c>
      <c r="P46" s="15">
        <f>IF(OR(P45="",P4=""),"",IFERROR(P45/P4,""))</f>
        <v/>
      </c>
      <c r="Q46" s="15">
        <f>IF(OR(Q45="",Q4=""),"",IFERROR(Q45/Q4,""))</f>
        <v/>
      </c>
      <c r="R46" s="15">
        <f>IF(OR(R45="",R4=""),"",IFERROR(R45/R4,""))</f>
        <v/>
      </c>
      <c r="S46" s="15">
        <f>IF(OR(S45="",S4=""),"",IFERROR(S45/S4,""))</f>
        <v/>
      </c>
      <c r="T46" s="15">
        <f>IF(OR(T45="",T4=""),"",IFERROR(T45/T4,""))</f>
        <v/>
      </c>
      <c r="U46" s="15">
        <f>IF(OR(U45="",U4=""),"",IFERROR(U45/U4,""))</f>
        <v/>
      </c>
      <c r="V46" s="15">
        <f>IF(OR(V45="",V4=""),"",IFERROR(V45/V4,""))</f>
        <v/>
      </c>
      <c r="W46" s="15">
        <f>IF(OR(W45="",W4=""),"",IFERROR(W45/W4,""))</f>
        <v/>
      </c>
      <c r="X46" s="15">
        <f>IF(OR(X45="",X4=""),"",IFERROR(X45/X4,""))</f>
        <v/>
      </c>
      <c r="Y46" s="14" t="n"/>
      <c r="Z46" s="15" t="n"/>
      <c r="AA46" s="15" t="n"/>
      <c r="AB46" s="15" t="n"/>
      <c r="AC46" s="15" t="n"/>
    </row>
    <row r="47">
      <c r="A47" s="18" t="inlineStr">
        <is>
          <t>기타비용</t>
        </is>
      </c>
      <c r="B47" s="10" t="inlineStr">
        <is>
          <t>변동비</t>
        </is>
      </c>
      <c r="C47" s="19" t="n"/>
      <c r="D47" s="20" t="n"/>
      <c r="E47" s="20" t="n"/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19">
        <f>IF(OR(O38="",O39="",O41="",O43="",O45=""),"",IFERROR(O38-O39-O41-O43-O45,""))</f>
        <v/>
      </c>
      <c r="P47" s="20">
        <f>IF(OR(P38="",P39="",P41="",P43="",P45=""),"",IFERROR(P38-P39-P41-P43-P45,""))</f>
        <v/>
      </c>
      <c r="Q47" s="20">
        <f>IF(OR(Q38="",Q39="",Q41="",Q43="",Q45=""),"",IFERROR(Q38-Q39-Q41-Q43-Q45,""))</f>
        <v/>
      </c>
      <c r="R47" s="20">
        <f>IF(OR(R38="",R39="",R41="",R43="",R45=""),"",IFERROR(R38-R39-R41-R43-R45,""))</f>
        <v/>
      </c>
      <c r="S47" s="20">
        <f>IF(OR(S38="",S39="",S41="",S43="",S45=""),"",IFERROR(S38-S39-S41-S43-S45,""))</f>
        <v/>
      </c>
      <c r="T47" s="20">
        <f>IF(OR(T38="",T39="",T41="",T43="",T45=""),"",IFERROR(T38-T39-T41-T43-T45,""))</f>
        <v/>
      </c>
      <c r="U47" s="20">
        <f>IF(OR(U38="",U39="",U41="",U43="",U45=""),"",IFERROR(U38-U39-U41-U43-U45,""))</f>
        <v/>
      </c>
      <c r="V47" s="20">
        <f>IF(OR(V38="",V39="",V41="",V43="",V45=""),"",IFERROR(V38-V39-V41-V43-V45,""))</f>
        <v/>
      </c>
      <c r="W47" s="20">
        <f>IF(OR(W38="",W39="",W41="",W43="",W45=""),"",IFERROR(W38-W39-W41-W43-W45,""))</f>
        <v/>
      </c>
      <c r="X47" s="20">
        <f>IF(OR(X38="",X39="",X41="",X43="",X45=""),"",IFERROR(X38-X39-X41-X43-X45,""))</f>
        <v/>
      </c>
      <c r="Y47" s="19" t="n"/>
      <c r="Z47" s="20" t="n"/>
      <c r="AA47" s="20" t="n"/>
      <c r="AB47" s="20" t="n"/>
      <c r="AC47" s="20" t="n"/>
    </row>
    <row r="48">
      <c r="A48" s="13" t="inlineStr">
        <is>
          <t>% of Sales</t>
        </is>
      </c>
      <c r="B48" s="10" t="n"/>
      <c r="C48" s="14" t="n"/>
      <c r="D48" s="15" t="n"/>
      <c r="E48" s="15" t="n"/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  <c r="O48" s="14">
        <f>IF(OR(O47="",O4=""),"",IFERROR(O47/O4,""))</f>
        <v/>
      </c>
      <c r="P48" s="15">
        <f>IF(OR(P47="",P4=""),"",IFERROR(P47/P4,""))</f>
        <v/>
      </c>
      <c r="Q48" s="15">
        <f>IF(OR(Q47="",Q4=""),"",IFERROR(Q47/Q4,""))</f>
        <v/>
      </c>
      <c r="R48" s="15">
        <f>IF(OR(R47="",R4=""),"",IFERROR(R47/R4,""))</f>
        <v/>
      </c>
      <c r="S48" s="15">
        <f>IF(OR(S47="",S4=""),"",IFERROR(S47/S4,""))</f>
        <v/>
      </c>
      <c r="T48" s="15">
        <f>IF(OR(T47="",T4=""),"",IFERROR(T47/T4,""))</f>
        <v/>
      </c>
      <c r="U48" s="15">
        <f>IF(OR(U47="",U4=""),"",IFERROR(U47/U4,""))</f>
        <v/>
      </c>
      <c r="V48" s="15">
        <f>IF(OR(V47="",V4=""),"",IFERROR(V47/V4,""))</f>
        <v/>
      </c>
      <c r="W48" s="15">
        <f>IF(OR(W47="",W4=""),"",IFERROR(W47/W4,""))</f>
        <v/>
      </c>
      <c r="X48" s="15">
        <f>IF(OR(X47="",X4=""),"",IFERROR(X47/X4,""))</f>
        <v/>
      </c>
      <c r="Y48" s="14" t="n"/>
      <c r="Z48" s="15" t="n"/>
      <c r="AA48" s="15" t="n"/>
      <c r="AB48" s="15" t="n"/>
      <c r="AC48" s="15" t="n"/>
    </row>
    <row r="49">
      <c r="A49" s="16" t="inlineStr">
        <is>
          <t>당기순이익 추정</t>
        </is>
      </c>
      <c r="B49" s="16" t="n"/>
      <c r="C49" s="17" t="n"/>
      <c r="D49" s="16" t="n"/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7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7" t="n"/>
      <c r="Z49" s="16" t="n"/>
      <c r="AA49" s="16" t="n"/>
      <c r="AB49" s="16" t="n"/>
      <c r="AC49" s="16" t="n"/>
    </row>
    <row r="50">
      <c r="A50" s="18" t="inlineStr">
        <is>
          <t>특별이익</t>
        </is>
      </c>
      <c r="B50" s="10" t="n"/>
      <c r="C50" s="19" t="n">
        <v>0</v>
      </c>
      <c r="D50" s="20" t="n">
        <v>0</v>
      </c>
      <c r="E50" s="20" t="n">
        <v>11</v>
      </c>
      <c r="F50" s="20" t="n">
        <v>0</v>
      </c>
      <c r="G50" s="20" t="n">
        <v>0</v>
      </c>
      <c r="H50" s="20" t="n">
        <v>0</v>
      </c>
      <c r="I50" s="20" t="n">
        <v>3229</v>
      </c>
      <c r="J50" s="20" t="n">
        <v>646</v>
      </c>
      <c r="K50" s="20" t="n">
        <v>0</v>
      </c>
      <c r="L50" s="20" t="n">
        <v>2491</v>
      </c>
      <c r="M50" s="20" t="n">
        <v>0</v>
      </c>
      <c r="N50" s="20" t="n">
        <v>0</v>
      </c>
      <c r="O50" s="19" t="n">
        <v>15</v>
      </c>
      <c r="P50" s="20" t="n">
        <v>286</v>
      </c>
      <c r="Q50" s="20" t="n">
        <v>1707</v>
      </c>
      <c r="R50" s="20" t="n">
        <v>57</v>
      </c>
      <c r="S50" s="20" t="n">
        <v>36</v>
      </c>
      <c r="T50" s="20" t="n">
        <v>44</v>
      </c>
      <c r="U50" s="20" t="n">
        <v>19</v>
      </c>
      <c r="V50" s="20" t="n">
        <v>24</v>
      </c>
      <c r="W50" s="20" t="n">
        <v>11</v>
      </c>
      <c r="X50" s="20" t="n">
        <v>6366</v>
      </c>
      <c r="Y50" s="19">
        <f>IF(OR(Y4="",Y51=""),"",IFERROR(Y4*Y51,""))</f>
        <v/>
      </c>
      <c r="Z50" s="20">
        <f>IF(OR(Z4="",Z51=""),"",IFERROR(Z4*Z51,""))</f>
        <v/>
      </c>
      <c r="AA50" s="20">
        <f>IF(OR(AA4="",AA51=""),"",IFERROR(AA4*AA51,""))</f>
        <v/>
      </c>
      <c r="AB50" s="20">
        <f>IF(OR(AB4="",AB51=""),"",IFERROR(AB4*AB51,""))</f>
        <v/>
      </c>
      <c r="AC50" s="20">
        <f>IF(OR(AC4="",AC51=""),"",IFERROR(AC4*AC51,""))</f>
        <v/>
      </c>
    </row>
    <row r="51">
      <c r="A51" s="13" t="inlineStr">
        <is>
          <t>% of Sales</t>
        </is>
      </c>
      <c r="B51" s="10" t="inlineStr">
        <is>
          <t>MW = 최근 3년 평균</t>
        </is>
      </c>
      <c r="C51" s="14">
        <f>IF(OR(C50="",C4=""),"",IFERROR(C50/C4,""))</f>
        <v/>
      </c>
      <c r="D51" s="15">
        <f>IF(OR(D50="",D4=""),"",IFERROR(D50/D4,""))</f>
        <v/>
      </c>
      <c r="E51" s="15">
        <f>IF(OR(E50="",E4=""),"",IFERROR(E50/E4,""))</f>
        <v/>
      </c>
      <c r="F51" s="15">
        <f>IF(OR(F50="",F4=""),"",IFERROR(F50/F4,""))</f>
        <v/>
      </c>
      <c r="G51" s="15">
        <f>IF(OR(G50="",G4=""),"",IFERROR(G50/G4,""))</f>
        <v/>
      </c>
      <c r="H51" s="15">
        <f>IF(OR(H50="",H4=""),"",IFERROR(H50/H4,""))</f>
        <v/>
      </c>
      <c r="I51" s="15">
        <f>IF(OR(I50="",I4=""),"",IFERROR(I50/I4,""))</f>
        <v/>
      </c>
      <c r="J51" s="15">
        <f>IF(OR(J50="",J4=""),"",IFERROR(J50/J4,""))</f>
        <v/>
      </c>
      <c r="K51" s="15">
        <f>IF(OR(K50="",K4=""),"",IFERROR(K50/K4,""))</f>
        <v/>
      </c>
      <c r="L51" s="15">
        <f>IF(OR(L50="",L4=""),"",IFERROR(L50/L4,""))</f>
        <v/>
      </c>
      <c r="M51" s="15">
        <f>IF(OR(M50="",M4=""),"",IFERROR(M50/M4,""))</f>
        <v/>
      </c>
      <c r="N51" s="15">
        <f>IF(OR(N50="",N4=""),"",IFERROR(N50/N4,""))</f>
        <v/>
      </c>
      <c r="O51" s="14">
        <f>IF(OR(O50="",O4=""),"",IFERROR(O50/O4,""))</f>
        <v/>
      </c>
      <c r="P51" s="15">
        <f>IF(OR(P50="",P4=""),"",IFERROR(P50/P4,""))</f>
        <v/>
      </c>
      <c r="Q51" s="15">
        <f>IF(OR(Q50="",Q4=""),"",IFERROR(Q50/Q4,""))</f>
        <v/>
      </c>
      <c r="R51" s="15">
        <f>IF(OR(R50="",R4=""),"",IFERROR(R50/R4,""))</f>
        <v/>
      </c>
      <c r="S51" s="15">
        <f>IF(OR(S50="",S4=""),"",IFERROR(S50/S4,""))</f>
        <v/>
      </c>
      <c r="T51" s="15">
        <f>IF(OR(T50="",T4=""),"",IFERROR(T50/T4,""))</f>
        <v/>
      </c>
      <c r="U51" s="15">
        <f>IF(OR(U50="",U4=""),"",IFERROR(U50/U4,""))</f>
        <v/>
      </c>
      <c r="V51" s="15">
        <f>IF(OR(V50="",V4=""),"",IFERROR(V50/V4,""))</f>
        <v/>
      </c>
      <c r="W51" s="15">
        <f>IF(OR(W50="",W4=""),"",IFERROR(W50/W4,""))</f>
        <v/>
      </c>
      <c r="X51" s="15">
        <f>IF(OR(X50="",X4=""),"",IFERROR(X50/X4,""))</f>
        <v/>
      </c>
      <c r="Y51" s="25">
        <f>IFERROR(AVERAGE(V51,W51,X51),"")</f>
        <v/>
      </c>
      <c r="Z51" s="26">
        <f>Y51</f>
        <v/>
      </c>
      <c r="AA51" s="26">
        <f>Z51</f>
        <v/>
      </c>
      <c r="AB51" s="26">
        <f>AA51</f>
        <v/>
      </c>
      <c r="AC51" s="26">
        <f>AB51</f>
        <v/>
      </c>
    </row>
    <row r="52">
      <c r="A52" s="18" t="inlineStr">
        <is>
          <t>특별손실</t>
        </is>
      </c>
      <c r="B52" s="10" t="n"/>
      <c r="C52" s="19" t="n">
        <v>0</v>
      </c>
      <c r="D52" s="20" t="n">
        <v>0</v>
      </c>
      <c r="E52" s="20" t="n">
        <v>0</v>
      </c>
      <c r="F52" s="20" t="n">
        <v>0</v>
      </c>
      <c r="G52" s="20" t="n">
        <v>0</v>
      </c>
      <c r="H52" s="20" t="n">
        <v>0</v>
      </c>
      <c r="I52" s="20" t="n">
        <v>1244</v>
      </c>
      <c r="J52" s="20" t="n">
        <v>1307</v>
      </c>
      <c r="K52" s="20" t="n">
        <v>0</v>
      </c>
      <c r="L52" s="20" t="n">
        <v>522</v>
      </c>
      <c r="M52" s="20" t="n">
        <v>0</v>
      </c>
      <c r="N52" s="20" t="n">
        <v>0</v>
      </c>
      <c r="O52" s="19" t="n">
        <v>0</v>
      </c>
      <c r="P52" s="20" t="n">
        <v>1944</v>
      </c>
      <c r="Q52" s="20" t="n">
        <v>0</v>
      </c>
      <c r="R52" s="20" t="n">
        <v>10860</v>
      </c>
      <c r="S52" s="20" t="n">
        <v>0</v>
      </c>
      <c r="T52" s="20" t="n">
        <v>0</v>
      </c>
      <c r="U52" s="20" t="n">
        <v>818</v>
      </c>
      <c r="V52" s="20" t="n">
        <v>0</v>
      </c>
      <c r="W52" s="20" t="n">
        <v>0</v>
      </c>
      <c r="X52" s="20" t="n">
        <v>3073</v>
      </c>
      <c r="Y52" s="19">
        <f>IF(OR(Y4="",Y53=""),"",IFERROR(Y4*Y53,""))</f>
        <v/>
      </c>
      <c r="Z52" s="20">
        <f>IF(OR(Z4="",Z53=""),"",IFERROR(Z4*Z53,""))</f>
        <v/>
      </c>
      <c r="AA52" s="20">
        <f>IF(OR(AA4="",AA53=""),"",IFERROR(AA4*AA53,""))</f>
        <v/>
      </c>
      <c r="AB52" s="20">
        <f>IF(OR(AB4="",AB53=""),"",IFERROR(AB4*AB53,""))</f>
        <v/>
      </c>
      <c r="AC52" s="20">
        <f>IF(OR(AC4="",AC53=""),"",IFERROR(AC4*AC53,""))</f>
        <v/>
      </c>
    </row>
    <row r="53">
      <c r="A53" s="13" t="inlineStr">
        <is>
          <t>% of Sales</t>
        </is>
      </c>
      <c r="B53" s="10" t="n"/>
      <c r="C53" s="14">
        <f>IF(OR(C52="",C4=""),"",IFERROR(C52/C4,""))</f>
        <v/>
      </c>
      <c r="D53" s="15">
        <f>IF(OR(D52="",D4=""),"",IFERROR(D52/D4,""))</f>
        <v/>
      </c>
      <c r="E53" s="15">
        <f>IF(OR(E52="",E4=""),"",IFERROR(E52/E4,""))</f>
        <v/>
      </c>
      <c r="F53" s="15">
        <f>IF(OR(F52="",F4=""),"",IFERROR(F52/F4,""))</f>
        <v/>
      </c>
      <c r="G53" s="15">
        <f>IF(OR(G52="",G4=""),"",IFERROR(G52/G4,""))</f>
        <v/>
      </c>
      <c r="H53" s="15">
        <f>IF(OR(H52="",H4=""),"",IFERROR(H52/H4,""))</f>
        <v/>
      </c>
      <c r="I53" s="15">
        <f>IF(OR(I52="",I4=""),"",IFERROR(I52/I4,""))</f>
        <v/>
      </c>
      <c r="J53" s="15">
        <f>IF(OR(J52="",J4=""),"",IFERROR(J52/J4,""))</f>
        <v/>
      </c>
      <c r="K53" s="15">
        <f>IF(OR(K52="",K4=""),"",IFERROR(K52/K4,""))</f>
        <v/>
      </c>
      <c r="L53" s="15">
        <f>IF(OR(L52="",L4=""),"",IFERROR(L52/L4,""))</f>
        <v/>
      </c>
      <c r="M53" s="15">
        <f>IF(OR(M52="",M4=""),"",IFERROR(M52/M4,""))</f>
        <v/>
      </c>
      <c r="N53" s="15">
        <f>IF(OR(N52="",N4=""),"",IFERROR(N52/N4,""))</f>
        <v/>
      </c>
      <c r="O53" s="14">
        <f>IF(OR(O52="",O4=""),"",IFERROR(O52/O4,""))</f>
        <v/>
      </c>
      <c r="P53" s="15">
        <f>IF(OR(P52="",P4=""),"",IFERROR(P52/P4,""))</f>
        <v/>
      </c>
      <c r="Q53" s="15">
        <f>IF(OR(Q52="",Q4=""),"",IFERROR(Q52/Q4,""))</f>
        <v/>
      </c>
      <c r="R53" s="15">
        <f>IF(OR(R52="",R4=""),"",IFERROR(R52/R4,""))</f>
        <v/>
      </c>
      <c r="S53" s="15">
        <f>IF(OR(S52="",S4=""),"",IFERROR(S52/S4,""))</f>
        <v/>
      </c>
      <c r="T53" s="15">
        <f>IF(OR(T52="",T4=""),"",IFERROR(T52/T4,""))</f>
        <v/>
      </c>
      <c r="U53" s="15">
        <f>IF(OR(U52="",U4=""),"",IFERROR(U52/U4,""))</f>
        <v/>
      </c>
      <c r="V53" s="15">
        <f>IF(OR(V52="",V4=""),"",IFERROR(V52/V4,""))</f>
        <v/>
      </c>
      <c r="W53" s="15">
        <f>IF(OR(W52="",W4=""),"",IFERROR(W52/W4,""))</f>
        <v/>
      </c>
      <c r="X53" s="15">
        <f>IF(OR(X52="",X4=""),"",IFERROR(X52/X4,""))</f>
        <v/>
      </c>
      <c r="Y53" s="25">
        <f>IFERROR(AVERAGE(V53,W53,X53),"")</f>
        <v/>
      </c>
      <c r="Z53" s="26">
        <f>Y53</f>
        <v/>
      </c>
      <c r="AA53" s="26">
        <f>Z53</f>
        <v/>
      </c>
      <c r="AB53" s="26">
        <f>AA53</f>
        <v/>
      </c>
      <c r="AC53" s="26">
        <f>AB53</f>
        <v/>
      </c>
    </row>
    <row r="54">
      <c r="A54" s="18" t="inlineStr">
        <is>
          <t>영업외수익</t>
        </is>
      </c>
      <c r="B54" s="10" t="n"/>
      <c r="C54" s="19" t="n">
        <v>-134</v>
      </c>
      <c r="D54" s="20" t="n">
        <v>585</v>
      </c>
      <c r="E54" s="20" t="n">
        <v>1251</v>
      </c>
      <c r="F54" s="20" t="n">
        <v>-117</v>
      </c>
      <c r="G54" s="20" t="n">
        <v>556</v>
      </c>
      <c r="H54" s="20" t="n">
        <v>14354</v>
      </c>
      <c r="I54" s="20" t="n">
        <v>552</v>
      </c>
      <c r="J54" s="20" t="n">
        <v>506</v>
      </c>
      <c r="K54" s="20" t="n">
        <v>800</v>
      </c>
      <c r="L54" s="20" t="n">
        <v>12102</v>
      </c>
      <c r="M54" s="20" t="n">
        <v>929</v>
      </c>
      <c r="N54" s="20" t="n">
        <v>240</v>
      </c>
      <c r="O54" s="19" t="n">
        <v>3414</v>
      </c>
      <c r="P54" s="20" t="n">
        <v>722</v>
      </c>
      <c r="Q54" s="20" t="n">
        <v>759</v>
      </c>
      <c r="R54" s="20" t="n">
        <v>686</v>
      </c>
      <c r="S54" s="20" t="n">
        <v>1064</v>
      </c>
      <c r="T54" s="20" t="n">
        <v>1293</v>
      </c>
      <c r="U54" s="20" t="n">
        <v>1050</v>
      </c>
      <c r="V54" s="20" t="n">
        <v>2286</v>
      </c>
      <c r="W54" s="20" t="n">
        <v>16044</v>
      </c>
      <c r="X54" s="20" t="n">
        <v>13960</v>
      </c>
      <c r="Y54" s="19">
        <f>IF(OR(Y4="",Y55=""),"",IFERROR(Y4*Y55,""))</f>
        <v/>
      </c>
      <c r="Z54" s="20">
        <f>IF(OR(Z4="",Z55=""),"",IFERROR(Z4*Z55,""))</f>
        <v/>
      </c>
      <c r="AA54" s="20">
        <f>IF(OR(AA4="",AA55=""),"",IFERROR(AA4*AA55,""))</f>
        <v/>
      </c>
      <c r="AB54" s="20">
        <f>IF(OR(AB4="",AB55=""),"",IFERROR(AB4*AB55,""))</f>
        <v/>
      </c>
      <c r="AC54" s="20">
        <f>IF(OR(AC4="",AC55=""),"",IFERROR(AC4*AC55,""))</f>
        <v/>
      </c>
    </row>
    <row r="55">
      <c r="A55" s="13" t="inlineStr">
        <is>
          <t>% of Sales</t>
        </is>
      </c>
      <c r="B55" s="10" t="n"/>
      <c r="C55" s="14">
        <f>IF(OR(C54="",C4=""),"",IFERROR(C54/C4,""))</f>
        <v/>
      </c>
      <c r="D55" s="15">
        <f>IF(OR(D54="",D4=""),"",IFERROR(D54/D4,""))</f>
        <v/>
      </c>
      <c r="E55" s="15">
        <f>IF(OR(E54="",E4=""),"",IFERROR(E54/E4,""))</f>
        <v/>
      </c>
      <c r="F55" s="15">
        <f>IF(OR(F54="",F4=""),"",IFERROR(F54/F4,""))</f>
        <v/>
      </c>
      <c r="G55" s="15">
        <f>IF(OR(G54="",G4=""),"",IFERROR(G54/G4,""))</f>
        <v/>
      </c>
      <c r="H55" s="15">
        <f>IF(OR(H54="",H4=""),"",IFERROR(H54/H4,""))</f>
        <v/>
      </c>
      <c r="I55" s="15">
        <f>IF(OR(I54="",I4=""),"",IFERROR(I54/I4,""))</f>
        <v/>
      </c>
      <c r="J55" s="15">
        <f>IF(OR(J54="",J4=""),"",IFERROR(J54/J4,""))</f>
        <v/>
      </c>
      <c r="K55" s="15">
        <f>IF(OR(K54="",K4=""),"",IFERROR(K54/K4,""))</f>
        <v/>
      </c>
      <c r="L55" s="15">
        <f>IF(OR(L54="",L4=""),"",IFERROR(L54/L4,""))</f>
        <v/>
      </c>
      <c r="M55" s="15">
        <f>IF(OR(M54="",M4=""),"",IFERROR(M54/M4,""))</f>
        <v/>
      </c>
      <c r="N55" s="15">
        <f>IF(OR(N54="",N4=""),"",IFERROR(N54/N4,""))</f>
        <v/>
      </c>
      <c r="O55" s="14">
        <f>IF(OR(O54="",O4=""),"",IFERROR(O54/O4,""))</f>
        <v/>
      </c>
      <c r="P55" s="15">
        <f>IF(OR(P54="",P4=""),"",IFERROR(P54/P4,""))</f>
        <v/>
      </c>
      <c r="Q55" s="15">
        <f>IF(OR(Q54="",Q4=""),"",IFERROR(Q54/Q4,""))</f>
        <v/>
      </c>
      <c r="R55" s="15">
        <f>IF(OR(R54="",R4=""),"",IFERROR(R54/R4,""))</f>
        <v/>
      </c>
      <c r="S55" s="15">
        <f>IF(OR(S54="",S4=""),"",IFERROR(S54/S4,""))</f>
        <v/>
      </c>
      <c r="T55" s="15">
        <f>IF(OR(T54="",T4=""),"",IFERROR(T54/T4,""))</f>
        <v/>
      </c>
      <c r="U55" s="15">
        <f>IF(OR(U54="",U4=""),"",IFERROR(U54/U4,""))</f>
        <v/>
      </c>
      <c r="V55" s="15">
        <f>IF(OR(V54="",V4=""),"",IFERROR(V54/V4,""))</f>
        <v/>
      </c>
      <c r="W55" s="15">
        <f>IF(OR(W54="",W4=""),"",IFERROR(W54/W4,""))</f>
        <v/>
      </c>
      <c r="X55" s="15">
        <f>IF(OR(X54="",X4=""),"",IFERROR(X54/X4,""))</f>
        <v/>
      </c>
      <c r="Y55" s="25">
        <f>IFERROR(AVERAGE(V55,W55,X55),"")</f>
        <v/>
      </c>
      <c r="Z55" s="26">
        <f>Y55</f>
        <v/>
      </c>
      <c r="AA55" s="26">
        <f>Z55</f>
        <v/>
      </c>
      <c r="AB55" s="26">
        <f>AA55</f>
        <v/>
      </c>
      <c r="AC55" s="26">
        <f>AB55</f>
        <v/>
      </c>
    </row>
    <row r="56">
      <c r="A56" s="18" t="inlineStr">
        <is>
          <t>영업외비용</t>
        </is>
      </c>
      <c r="B56" s="10" t="n"/>
      <c r="C56" s="19" t="n">
        <v>-57</v>
      </c>
      <c r="D56" s="20" t="n">
        <v>180</v>
      </c>
      <c r="E56" s="20" t="n">
        <v>108</v>
      </c>
      <c r="F56" s="20" t="n">
        <v>698</v>
      </c>
      <c r="G56" s="20" t="n">
        <v>386</v>
      </c>
      <c r="H56" s="20" t="n">
        <v>-561</v>
      </c>
      <c r="I56" s="20" t="n">
        <v>692</v>
      </c>
      <c r="J56" s="20" t="n">
        <v>-62</v>
      </c>
      <c r="K56" s="20" t="n">
        <v>172</v>
      </c>
      <c r="L56" s="20" t="n">
        <v>-267</v>
      </c>
      <c r="M56" s="20" t="n">
        <v>288</v>
      </c>
      <c r="N56" s="20" t="n">
        <v>409</v>
      </c>
      <c r="O56" s="19" t="n">
        <v>224</v>
      </c>
      <c r="P56" s="20" t="n">
        <v>373</v>
      </c>
      <c r="Q56" s="20" t="n">
        <v>804</v>
      </c>
      <c r="R56" s="20" t="n">
        <v>1046</v>
      </c>
      <c r="S56" s="20" t="n">
        <v>1034</v>
      </c>
      <c r="T56" s="20" t="n">
        <v>847</v>
      </c>
      <c r="U56" s="20" t="n">
        <v>599</v>
      </c>
      <c r="V56" s="20" t="n">
        <v>583</v>
      </c>
      <c r="W56" s="20" t="n">
        <v>631</v>
      </c>
      <c r="X56" s="20" t="n">
        <v>535</v>
      </c>
      <c r="Y56" s="19">
        <f>IF(OR(Y4="",Y57=""),"",IFERROR(Y4*Y57,""))</f>
        <v/>
      </c>
      <c r="Z56" s="20">
        <f>IF(OR(Z4="",Z57=""),"",IFERROR(Z4*Z57,""))</f>
        <v/>
      </c>
      <c r="AA56" s="20">
        <f>IF(OR(AA4="",AA57=""),"",IFERROR(AA4*AA57,""))</f>
        <v/>
      </c>
      <c r="AB56" s="20">
        <f>IF(OR(AB4="",AB57=""),"",IFERROR(AB4*AB57,""))</f>
        <v/>
      </c>
      <c r="AC56" s="20">
        <f>IF(OR(AC4="",AC57=""),"",IFERROR(AC4*AC57,""))</f>
        <v/>
      </c>
    </row>
    <row r="57">
      <c r="A57" s="13" t="inlineStr">
        <is>
          <t>% of Sales</t>
        </is>
      </c>
      <c r="B57" s="10" t="n"/>
      <c r="C57" s="14">
        <f>IF(OR(C56="",C4=""),"",IFERROR(C56/C4,""))</f>
        <v/>
      </c>
      <c r="D57" s="15">
        <f>IF(OR(D56="",D4=""),"",IFERROR(D56/D4,""))</f>
        <v/>
      </c>
      <c r="E57" s="15">
        <f>IF(OR(E56="",E4=""),"",IFERROR(E56/E4,""))</f>
        <v/>
      </c>
      <c r="F57" s="15">
        <f>IF(OR(F56="",F4=""),"",IFERROR(F56/F4,""))</f>
        <v/>
      </c>
      <c r="G57" s="15">
        <f>IF(OR(G56="",G4=""),"",IFERROR(G56/G4,""))</f>
        <v/>
      </c>
      <c r="H57" s="15">
        <f>IF(OR(H56="",H4=""),"",IFERROR(H56/H4,""))</f>
        <v/>
      </c>
      <c r="I57" s="15">
        <f>IF(OR(I56="",I4=""),"",IFERROR(I56/I4,""))</f>
        <v/>
      </c>
      <c r="J57" s="15">
        <f>IF(OR(J56="",J4=""),"",IFERROR(J56/J4,""))</f>
        <v/>
      </c>
      <c r="K57" s="15">
        <f>IF(OR(K56="",K4=""),"",IFERROR(K56/K4,""))</f>
        <v/>
      </c>
      <c r="L57" s="15">
        <f>IF(OR(L56="",L4=""),"",IFERROR(L56/L4,""))</f>
        <v/>
      </c>
      <c r="M57" s="15">
        <f>IF(OR(M56="",M4=""),"",IFERROR(M56/M4,""))</f>
        <v/>
      </c>
      <c r="N57" s="15">
        <f>IF(OR(N56="",N4=""),"",IFERROR(N56/N4,""))</f>
        <v/>
      </c>
      <c r="O57" s="14">
        <f>IF(OR(O56="",O4=""),"",IFERROR(O56/O4,""))</f>
        <v/>
      </c>
      <c r="P57" s="15">
        <f>IF(OR(P56="",P4=""),"",IFERROR(P56/P4,""))</f>
        <v/>
      </c>
      <c r="Q57" s="15">
        <f>IF(OR(Q56="",Q4=""),"",IFERROR(Q56/Q4,""))</f>
        <v/>
      </c>
      <c r="R57" s="15">
        <f>IF(OR(R56="",R4=""),"",IFERROR(R56/R4,""))</f>
        <v/>
      </c>
      <c r="S57" s="15">
        <f>IF(OR(S56="",S4=""),"",IFERROR(S56/S4,""))</f>
        <v/>
      </c>
      <c r="T57" s="15">
        <f>IF(OR(T56="",T4=""),"",IFERROR(T56/T4,""))</f>
        <v/>
      </c>
      <c r="U57" s="15">
        <f>IF(OR(U56="",U4=""),"",IFERROR(U56/U4,""))</f>
        <v/>
      </c>
      <c r="V57" s="15">
        <f>IF(OR(V56="",V4=""),"",IFERROR(V56/V4,""))</f>
        <v/>
      </c>
      <c r="W57" s="15">
        <f>IF(OR(W56="",W4=""),"",IFERROR(W56/W4,""))</f>
        <v/>
      </c>
      <c r="X57" s="15">
        <f>IF(OR(X56="",X4=""),"",IFERROR(X56/X4,""))</f>
        <v/>
      </c>
      <c r="Y57" s="25">
        <f>IFERROR(AVERAGE(V57,W57,X57),"")</f>
        <v/>
      </c>
      <c r="Z57" s="26">
        <f>Y57</f>
        <v/>
      </c>
      <c r="AA57" s="26">
        <f>Z57</f>
        <v/>
      </c>
      <c r="AB57" s="26">
        <f>AA57</f>
        <v/>
      </c>
      <c r="AC57" s="26">
        <f>AB57</f>
        <v/>
      </c>
    </row>
    <row r="58">
      <c r="A58" s="9" t="inlineStr">
        <is>
          <t>법인세비용차감전순이익(손실)</t>
        </is>
      </c>
      <c r="B58" s="10" t="n"/>
      <c r="C58" s="11" t="n">
        <v>6070</v>
      </c>
      <c r="D58" s="12" t="n">
        <v>1243</v>
      </c>
      <c r="E58" s="12" t="n">
        <v>6950</v>
      </c>
      <c r="F58" s="12" t="n">
        <v>4347</v>
      </c>
      <c r="G58" s="12" t="n">
        <v>5812</v>
      </c>
      <c r="H58" s="12" t="n">
        <v>-205</v>
      </c>
      <c r="I58" s="12" t="n">
        <v>5369</v>
      </c>
      <c r="J58" s="12" t="n">
        <v>5781</v>
      </c>
      <c r="K58" s="12" t="n">
        <v>6001</v>
      </c>
      <c r="L58" s="12" t="n">
        <v>2089</v>
      </c>
      <c r="M58" s="12" t="n">
        <v>6246</v>
      </c>
      <c r="N58" s="12" t="n">
        <v>5349</v>
      </c>
      <c r="O58" s="11" t="n">
        <v>3258</v>
      </c>
      <c r="P58" s="12" t="n">
        <v>8112</v>
      </c>
      <c r="Q58" s="12" t="n">
        <v>9889</v>
      </c>
      <c r="R58" s="12" t="n">
        <v>-3936</v>
      </c>
      <c r="S58" s="12" t="n">
        <v>5023</v>
      </c>
      <c r="T58" s="12" t="n">
        <v>10299</v>
      </c>
      <c r="U58" s="12" t="n">
        <v>13284</v>
      </c>
      <c r="V58" s="12" t="n">
        <v>17226</v>
      </c>
      <c r="W58" s="12" t="n">
        <v>16904</v>
      </c>
      <c r="X58" s="12" t="n">
        <v>19240</v>
      </c>
      <c r="Y58" s="11">
        <f>IF(OR(Y34=""),"",IFERROR(Y34+N(Y50)-N(Y52)+N(Y54)-N(Y56),""))</f>
        <v/>
      </c>
      <c r="Z58" s="12">
        <f>IF(OR(Z34=""),"",IFERROR(Z34+N(Z50)-N(Z52)+N(Z54)-N(Z56),""))</f>
        <v/>
      </c>
      <c r="AA58" s="12">
        <f>IF(OR(AA34=""),"",IFERROR(AA34+N(AA50)-N(AA52)+N(AA54)-N(AA56),""))</f>
        <v/>
      </c>
      <c r="AB58" s="12">
        <f>IF(OR(AB34=""),"",IFERROR(AB34+N(AB50)-N(AB52)+N(AB54)-N(AB56),""))</f>
        <v/>
      </c>
      <c r="AC58" s="12">
        <f>IF(OR(AC34=""),"",IFERROR(AC34+N(AC50)-N(AC52)+N(AC54)-N(AC56),""))</f>
        <v/>
      </c>
    </row>
    <row r="59">
      <c r="A59" s="13" t="inlineStr">
        <is>
          <t>YoY</t>
        </is>
      </c>
      <c r="B59" s="10" t="n"/>
      <c r="C59" s="14" t="n"/>
      <c r="D59" s="15" t="n"/>
      <c r="E59" s="15" t="n"/>
      <c r="F59" s="15" t="n"/>
      <c r="G59" s="15">
        <f>IF(OR(G58="",C58=""),"",IF(C58&lt;=0,"",IFERROR(G58/C58-1,"")))</f>
        <v/>
      </c>
      <c r="H59" s="15">
        <f>IF(OR(H58="",D58=""),"",IF(D58&lt;=0,"",IFERROR(H58/D58-1,"")))</f>
        <v/>
      </c>
      <c r="I59" s="15">
        <f>IF(OR(I58="",E58=""),"",IF(E58&lt;=0,"",IFERROR(I58/E58-1,"")))</f>
        <v/>
      </c>
      <c r="J59" s="15">
        <f>IF(OR(J58="",F58=""),"",IF(F58&lt;=0,"",IFERROR(J58/F58-1,"")))</f>
        <v/>
      </c>
      <c r="K59" s="15">
        <f>IF(OR(K58="",G58=""),"",IF(G58&lt;=0,"",IFERROR(K58/G58-1,"")))</f>
        <v/>
      </c>
      <c r="L59" s="15">
        <f>IF(OR(L58="",H58=""),"",IF(H58&lt;=0,"",IFERROR(L58/H58-1,"")))</f>
        <v/>
      </c>
      <c r="M59" s="15">
        <f>IF(OR(M58="",I58=""),"",IF(I58&lt;=0,"",IFERROR(M58/I58-1,"")))</f>
        <v/>
      </c>
      <c r="N59" s="15">
        <f>IF(OR(N58="",J58=""),"",IF(J58&lt;=0,"",IFERROR(N58/J58-1,"")))</f>
        <v/>
      </c>
      <c r="O59" s="14" t="n"/>
      <c r="P59" s="15">
        <f>IF(OR(P58="",O58=""),"",IF(O58&lt;=0,"",IFERROR(P58/O58-1,"")))</f>
        <v/>
      </c>
      <c r="Q59" s="15">
        <f>IF(OR(Q58="",P58=""),"",IF(P58&lt;=0,"",IFERROR(Q58/P58-1,"")))</f>
        <v/>
      </c>
      <c r="R59" s="15">
        <f>IF(OR(R58="",Q58=""),"",IF(Q58&lt;=0,"",IFERROR(R58/Q58-1,"")))</f>
        <v/>
      </c>
      <c r="S59" s="15">
        <f>IF(OR(S58="",R58=""),"",IF(R58&lt;=0,"",IFERROR(S58/R58-1,"")))</f>
        <v/>
      </c>
      <c r="T59" s="15">
        <f>IF(OR(T58="",S58=""),"",IF(S58&lt;=0,"",IFERROR(T58/S58-1,"")))</f>
        <v/>
      </c>
      <c r="U59" s="15">
        <f>IF(OR(U58="",T58=""),"",IF(T58&lt;=0,"",IFERROR(U58/T58-1,"")))</f>
        <v/>
      </c>
      <c r="V59" s="15">
        <f>IF(OR(V58="",U58=""),"",IF(U58&lt;=0,"",IFERROR(V58/U58-1,"")))</f>
        <v/>
      </c>
      <c r="W59" s="15">
        <f>IF(OR(W58="",V58=""),"",IF(V58&lt;=0,"",IFERROR(W58/V58-1,"")))</f>
        <v/>
      </c>
      <c r="X59" s="15">
        <f>IF(OR(X58="",W58=""),"",IF(W58&lt;=0,"",IFERROR(X58/W58-1,"")))</f>
        <v/>
      </c>
      <c r="Y59" s="14">
        <f>IF(OR(Y58="",X58=""),"",IF(X58&lt;=0,"",IFERROR(Y58/X58-1,"")))</f>
        <v/>
      </c>
      <c r="Z59" s="15">
        <f>IF(OR(Z58="",Y58=""),"",IF(Y58&lt;=0,"",IFERROR(Z58/Y58-1,"")))</f>
        <v/>
      </c>
      <c r="AA59" s="15">
        <f>IF(OR(AA58="",Z58=""),"",IF(Z58&lt;=0,"",IFERROR(AA58/Z58-1,"")))</f>
        <v/>
      </c>
      <c r="AB59" s="15">
        <f>IF(OR(AB58="",AA58=""),"",IF(AA58&lt;=0,"",IFERROR(AB58/AA58-1,"")))</f>
        <v/>
      </c>
      <c r="AC59" s="15">
        <f>IF(OR(AC58="",AB58=""),"",IF(AB58&lt;=0,"",IFERROR(AC58/AB58-1,"")))</f>
        <v/>
      </c>
    </row>
    <row r="60">
      <c r="A60" s="18" t="inlineStr">
        <is>
          <t>법인세비용(수익)</t>
        </is>
      </c>
      <c r="B60" s="10" t="n"/>
      <c r="C60" s="19" t="n">
        <v>1876</v>
      </c>
      <c r="D60" s="20" t="n">
        <v>915</v>
      </c>
      <c r="E60" s="20" t="n">
        <v>1334</v>
      </c>
      <c r="F60" s="20" t="n">
        <v>1494</v>
      </c>
      <c r="G60" s="20" t="n">
        <v>1883</v>
      </c>
      <c r="H60" s="20" t="n">
        <v>-4298</v>
      </c>
      <c r="I60" s="20" t="n">
        <v>1649</v>
      </c>
      <c r="J60" s="20" t="n">
        <v>1539</v>
      </c>
      <c r="K60" s="20" t="n">
        <v>1393</v>
      </c>
      <c r="L60" s="20" t="n">
        <v>-914</v>
      </c>
      <c r="M60" s="20" t="n">
        <v>1707</v>
      </c>
      <c r="N60" s="20" t="n">
        <v>1634</v>
      </c>
      <c r="O60" s="19" t="n">
        <v>324</v>
      </c>
      <c r="P60" s="20" t="n">
        <v>3243</v>
      </c>
      <c r="Q60" s="20" t="n">
        <v>3262</v>
      </c>
      <c r="R60" s="20" t="n">
        <v>931</v>
      </c>
      <c r="S60" s="20" t="n">
        <v>1273</v>
      </c>
      <c r="T60" s="20" t="n">
        <v>2927</v>
      </c>
      <c r="U60" s="20" t="n">
        <v>4146</v>
      </c>
      <c r="V60" s="20" t="n">
        <v>4789</v>
      </c>
      <c r="W60" s="20" t="n">
        <v>413</v>
      </c>
      <c r="X60" s="20" t="n">
        <v>3667</v>
      </c>
      <c r="Y60" s="19">
        <f>IF(OR(Y58="",Y61=""),"",IFERROR(MAX(Y58,0)*Y61,""))</f>
        <v/>
      </c>
      <c r="Z60" s="20">
        <f>IF(OR(Z58="",Z61=""),"",IFERROR(MAX(Z58,0)*Z61,""))</f>
        <v/>
      </c>
      <c r="AA60" s="20">
        <f>IF(OR(AA58="",AA61=""),"",IFERROR(MAX(AA58,0)*AA61,""))</f>
        <v/>
      </c>
      <c r="AB60" s="20">
        <f>IF(OR(AB58="",AB61=""),"",IFERROR(MAX(AB58,0)*AB61,""))</f>
        <v/>
      </c>
      <c r="AC60" s="20">
        <f>IF(OR(AC58="",AC61=""),"",IFERROR(MAX(AC58,0)*AC61,""))</f>
        <v/>
      </c>
    </row>
    <row r="61">
      <c r="A61" s="13" t="inlineStr">
        <is>
          <t>법인세율</t>
        </is>
      </c>
      <c r="B61" s="10" t="inlineStr">
        <is>
          <t>MW 기본 30%</t>
        </is>
      </c>
      <c r="C61" s="14">
        <f>IF(OR(C60="",C58=""),"",IFERROR(C60/C58,""))</f>
        <v/>
      </c>
      <c r="D61" s="15">
        <f>IF(OR(D60="",D58=""),"",IFERROR(D60/D58,""))</f>
        <v/>
      </c>
      <c r="E61" s="15">
        <f>IF(OR(E60="",E58=""),"",IFERROR(E60/E58,""))</f>
        <v/>
      </c>
      <c r="F61" s="15">
        <f>IF(OR(F60="",F58=""),"",IFERROR(F60/F58,""))</f>
        <v/>
      </c>
      <c r="G61" s="15">
        <f>IF(OR(G60="",G58=""),"",IFERROR(G60/G58,""))</f>
        <v/>
      </c>
      <c r="H61" s="15">
        <f>IF(OR(H60="",H58=""),"",IFERROR(H60/H58,""))</f>
        <v/>
      </c>
      <c r="I61" s="15">
        <f>IF(OR(I60="",I58=""),"",IFERROR(I60/I58,""))</f>
        <v/>
      </c>
      <c r="J61" s="15">
        <f>IF(OR(J60="",J58=""),"",IFERROR(J60/J58,""))</f>
        <v/>
      </c>
      <c r="K61" s="15">
        <f>IF(OR(K60="",K58=""),"",IFERROR(K60/K58,""))</f>
        <v/>
      </c>
      <c r="L61" s="15">
        <f>IF(OR(L60="",L58=""),"",IFERROR(L60/L58,""))</f>
        <v/>
      </c>
      <c r="M61" s="15">
        <f>IF(OR(M60="",M58=""),"",IFERROR(M60/M58,""))</f>
        <v/>
      </c>
      <c r="N61" s="15">
        <f>IF(OR(N60="",N58=""),"",IFERROR(N60/N58,""))</f>
        <v/>
      </c>
      <c r="O61" s="14">
        <f>IF(OR(O60="",O58=""),"",IFERROR(O60/O58,""))</f>
        <v/>
      </c>
      <c r="P61" s="15">
        <f>IF(OR(P60="",P58=""),"",IFERROR(P60/P58,""))</f>
        <v/>
      </c>
      <c r="Q61" s="15">
        <f>IF(OR(Q60="",Q58=""),"",IFERROR(Q60/Q58,""))</f>
        <v/>
      </c>
      <c r="R61" s="15">
        <f>IF(OR(R60="",R58=""),"",IFERROR(R60/R58,""))</f>
        <v/>
      </c>
      <c r="S61" s="15">
        <f>IF(OR(S60="",S58=""),"",IFERROR(S60/S58,""))</f>
        <v/>
      </c>
      <c r="T61" s="15">
        <f>IF(OR(T60="",T58=""),"",IFERROR(T60/T58,""))</f>
        <v/>
      </c>
      <c r="U61" s="15">
        <f>IF(OR(U60="",U58=""),"",IFERROR(U60/U58,""))</f>
        <v/>
      </c>
      <c r="V61" s="15">
        <f>IF(OR(V60="",V58=""),"",IFERROR(V60/V58,""))</f>
        <v/>
      </c>
      <c r="W61" s="15">
        <f>IF(OR(W60="",W58=""),"",IFERROR(W60/W58,""))</f>
        <v/>
      </c>
      <c r="X61" s="15">
        <f>IF(OR(X60="",X58=""),"",IFERROR(X60/X58,""))</f>
        <v/>
      </c>
      <c r="Y61" s="25" t="n">
        <v>0.3</v>
      </c>
      <c r="Z61" s="26" t="n">
        <v>0.3</v>
      </c>
      <c r="AA61" s="26" t="n">
        <v>0.3</v>
      </c>
      <c r="AB61" s="26" t="n">
        <v>0.3</v>
      </c>
      <c r="AC61" s="26" t="n">
        <v>0.3</v>
      </c>
    </row>
    <row r="62">
      <c r="A62" s="9" t="inlineStr">
        <is>
          <t>당기순이익(손실)</t>
        </is>
      </c>
      <c r="B62" s="10" t="n"/>
      <c r="C62" s="11" t="n">
        <v>4194</v>
      </c>
      <c r="D62" s="12" t="n">
        <v>327</v>
      </c>
      <c r="E62" s="12" t="n">
        <v>5616</v>
      </c>
      <c r="F62" s="12" t="n">
        <v>2853</v>
      </c>
      <c r="G62" s="12" t="n">
        <v>3928</v>
      </c>
      <c r="H62" s="12" t="n">
        <v>4094</v>
      </c>
      <c r="I62" s="12" t="n">
        <v>3719</v>
      </c>
      <c r="J62" s="12" t="n">
        <v>4242</v>
      </c>
      <c r="K62" s="12" t="n">
        <v>4608</v>
      </c>
      <c r="L62" s="12" t="n">
        <v>3004</v>
      </c>
      <c r="M62" s="12" t="n">
        <v>4538</v>
      </c>
      <c r="N62" s="12" t="n">
        <v>3716</v>
      </c>
      <c r="O62" s="11" t="n">
        <v>2934</v>
      </c>
      <c r="P62" s="12" t="n">
        <v>4868</v>
      </c>
      <c r="Q62" s="12" t="n">
        <v>6626</v>
      </c>
      <c r="R62" s="12" t="n">
        <v>-4867</v>
      </c>
      <c r="S62" s="12" t="n">
        <v>3749</v>
      </c>
      <c r="T62" s="12" t="n">
        <v>7371</v>
      </c>
      <c r="U62" s="12" t="n">
        <v>9138</v>
      </c>
      <c r="V62" s="12" t="n">
        <v>12436</v>
      </c>
      <c r="W62" s="12" t="n">
        <v>16491</v>
      </c>
      <c r="X62" s="12" t="n">
        <v>15573</v>
      </c>
      <c r="Y62" s="11">
        <f>IF(OR(Y58=""),"",IFERROR(Y58-Y60,""))</f>
        <v/>
      </c>
      <c r="Z62" s="12">
        <f>IF(OR(Z58=""),"",IFERROR(Z58-Z60,""))</f>
        <v/>
      </c>
      <c r="AA62" s="12">
        <f>IF(OR(AA58=""),"",IFERROR(AA58-AA60,""))</f>
        <v/>
      </c>
      <c r="AB62" s="12">
        <f>IF(OR(AB58=""),"",IFERROR(AB58-AB60,""))</f>
        <v/>
      </c>
      <c r="AC62" s="12">
        <f>IF(OR(AC58=""),"",IFERROR(AC58-AC60,""))</f>
        <v/>
      </c>
    </row>
    <row r="63">
      <c r="A63" s="13" t="inlineStr">
        <is>
          <t>YoY</t>
        </is>
      </c>
      <c r="B63" s="10" t="n"/>
      <c r="C63" s="14" t="n"/>
      <c r="D63" s="15" t="n"/>
      <c r="E63" s="15" t="n"/>
      <c r="F63" s="15" t="n"/>
      <c r="G63" s="15">
        <f>IF(OR(G62="",C62=""),"",IF(C62&lt;=0,"",IFERROR(G62/C62-1,"")))</f>
        <v/>
      </c>
      <c r="H63" s="15">
        <f>IF(OR(H62="",D62=""),"",IF(D62&lt;=0,"",IFERROR(H62/D62-1,"")))</f>
        <v/>
      </c>
      <c r="I63" s="15">
        <f>IF(OR(I62="",E62=""),"",IF(E62&lt;=0,"",IFERROR(I62/E62-1,"")))</f>
        <v/>
      </c>
      <c r="J63" s="15">
        <f>IF(OR(J62="",F62=""),"",IF(F62&lt;=0,"",IFERROR(J62/F62-1,"")))</f>
        <v/>
      </c>
      <c r="K63" s="15">
        <f>IF(OR(K62="",G62=""),"",IF(G62&lt;=0,"",IFERROR(K62/G62-1,"")))</f>
        <v/>
      </c>
      <c r="L63" s="15">
        <f>IF(OR(L62="",H62=""),"",IF(H62&lt;=0,"",IFERROR(L62/H62-1,"")))</f>
        <v/>
      </c>
      <c r="M63" s="15">
        <f>IF(OR(M62="",I62=""),"",IF(I62&lt;=0,"",IFERROR(M62/I62-1,"")))</f>
        <v/>
      </c>
      <c r="N63" s="15">
        <f>IF(OR(N62="",J62=""),"",IF(J62&lt;=0,"",IFERROR(N62/J62-1,"")))</f>
        <v/>
      </c>
      <c r="O63" s="14" t="n"/>
      <c r="P63" s="15">
        <f>IF(OR(P62="",O62=""),"",IF(O62&lt;=0,"",IFERROR(P62/O62-1,"")))</f>
        <v/>
      </c>
      <c r="Q63" s="15">
        <f>IF(OR(Q62="",P62=""),"",IF(P62&lt;=0,"",IFERROR(Q62/P62-1,"")))</f>
        <v/>
      </c>
      <c r="R63" s="15">
        <f>IF(OR(R62="",Q62=""),"",IF(Q62&lt;=0,"",IFERROR(R62/Q62-1,"")))</f>
        <v/>
      </c>
      <c r="S63" s="15">
        <f>IF(OR(S62="",R62=""),"",IF(R62&lt;=0,"",IFERROR(S62/R62-1,"")))</f>
        <v/>
      </c>
      <c r="T63" s="15">
        <f>IF(OR(T62="",S62=""),"",IF(S62&lt;=0,"",IFERROR(T62/S62-1,"")))</f>
        <v/>
      </c>
      <c r="U63" s="15">
        <f>IF(OR(U62="",T62=""),"",IF(T62&lt;=0,"",IFERROR(U62/T62-1,"")))</f>
        <v/>
      </c>
      <c r="V63" s="15">
        <f>IF(OR(V62="",U62=""),"",IF(U62&lt;=0,"",IFERROR(V62/U62-1,"")))</f>
        <v/>
      </c>
      <c r="W63" s="15">
        <f>IF(OR(W62="",V62=""),"",IF(V62&lt;=0,"",IFERROR(W62/V62-1,"")))</f>
        <v/>
      </c>
      <c r="X63" s="15">
        <f>IF(OR(X62="",W62=""),"",IF(W62&lt;=0,"",IFERROR(X62/W62-1,"")))</f>
        <v/>
      </c>
      <c r="Y63" s="14">
        <f>IF(OR(Y62="",X62=""),"",IF(X62&lt;=0,"",IFERROR(Y62/X62-1,"")))</f>
        <v/>
      </c>
      <c r="Z63" s="15">
        <f>IF(OR(Z62="",Y62=""),"",IF(Y62&lt;=0,"",IFERROR(Z62/Y62-1,"")))</f>
        <v/>
      </c>
      <c r="AA63" s="15">
        <f>IF(OR(AA62="",Z62=""),"",IF(Z62&lt;=0,"",IFERROR(AA62/Z62-1,"")))</f>
        <v/>
      </c>
      <c r="AB63" s="15">
        <f>IF(OR(AB62="",AA62=""),"",IF(AA62&lt;=0,"",IFERROR(AB62/AA62-1,"")))</f>
        <v/>
      </c>
      <c r="AC63" s="15">
        <f>IF(OR(AC62="",AB62=""),"",IF(AB62&lt;=0,"",IFERROR(AC62/AB62-1,"")))</f>
        <v/>
      </c>
    </row>
    <row r="64">
      <c r="A64" s="9" t="inlineStr">
        <is>
          <t>지배주주 순이익</t>
        </is>
      </c>
      <c r="B64" s="10" t="n"/>
      <c r="C64" s="11" t="n">
        <v>3981</v>
      </c>
      <c r="D64" s="12" t="n">
        <v>238</v>
      </c>
      <c r="E64" s="12" t="n">
        <v>5375</v>
      </c>
      <c r="F64" s="12" t="n">
        <v>2632</v>
      </c>
      <c r="G64" s="12" t="n">
        <v>3734</v>
      </c>
      <c r="H64" s="12" t="n">
        <v>1493</v>
      </c>
      <c r="I64" s="12" t="n">
        <v>3555</v>
      </c>
      <c r="J64" s="12" t="n">
        <v>4027</v>
      </c>
      <c r="K64" s="12" t="n">
        <v>4383</v>
      </c>
      <c r="L64" s="12" t="n">
        <v>1109</v>
      </c>
      <c r="M64" s="12" t="n">
        <v>4353</v>
      </c>
      <c r="N64" s="12" t="n">
        <v>3531</v>
      </c>
      <c r="O64" s="11" t="n">
        <v>4505</v>
      </c>
      <c r="P64" s="12" t="n">
        <v>4526</v>
      </c>
      <c r="Q64" s="12" t="n">
        <v>6124</v>
      </c>
      <c r="R64" s="12" t="n">
        <v>-5073</v>
      </c>
      <c r="S64" s="12" t="n">
        <v>3525</v>
      </c>
      <c r="T64" s="12" t="n">
        <v>6831</v>
      </c>
      <c r="U64" s="12" t="n">
        <v>8504</v>
      </c>
      <c r="V64" s="12" t="n">
        <v>11744</v>
      </c>
      <c r="W64" s="12" t="n">
        <v>13234</v>
      </c>
      <c r="X64" s="12" t="n">
        <v>13074</v>
      </c>
      <c r="Y64" s="11">
        <f>IF(OR(Y62="",Y65=""),"",IFERROR(Y62*Y65,""))</f>
        <v/>
      </c>
      <c r="Z64" s="12">
        <f>IF(OR(Z62="",Z65=""),"",IFERROR(Z62*Z65,""))</f>
        <v/>
      </c>
      <c r="AA64" s="12">
        <f>IF(OR(AA62="",AA65=""),"",IFERROR(AA62*AA65,""))</f>
        <v/>
      </c>
      <c r="AB64" s="12">
        <f>IF(OR(AB62="",AB65=""),"",IFERROR(AB62*AB65,""))</f>
        <v/>
      </c>
      <c r="AC64" s="12">
        <f>IF(OR(AC62="",AC65=""),"",IFERROR(AC62*AC65,""))</f>
        <v/>
      </c>
    </row>
    <row r="65">
      <c r="A65" s="13" t="inlineStr">
        <is>
          <t>지배주주 순이익률</t>
        </is>
      </c>
      <c r="B65" s="10" t="inlineStr">
        <is>
          <t>MW 기본 100%</t>
        </is>
      </c>
      <c r="C65" s="14">
        <f>IF(OR(C64="",C62=""),"",IFERROR(C64/C62,""))</f>
        <v/>
      </c>
      <c r="D65" s="15">
        <f>IF(OR(D64="",D62=""),"",IFERROR(D64/D62,""))</f>
        <v/>
      </c>
      <c r="E65" s="15">
        <f>IF(OR(E64="",E62=""),"",IFERROR(E64/E62,""))</f>
        <v/>
      </c>
      <c r="F65" s="15">
        <f>IF(OR(F64="",F62=""),"",IFERROR(F64/F62,""))</f>
        <v/>
      </c>
      <c r="G65" s="15">
        <f>IF(OR(G64="",G62=""),"",IFERROR(G64/G62,""))</f>
        <v/>
      </c>
      <c r="H65" s="15">
        <f>IF(OR(H64="",H62=""),"",IFERROR(H64/H62,""))</f>
        <v/>
      </c>
      <c r="I65" s="15">
        <f>IF(OR(I64="",I62=""),"",IFERROR(I64/I62,""))</f>
        <v/>
      </c>
      <c r="J65" s="15">
        <f>IF(OR(J64="",J62=""),"",IFERROR(J64/J62,""))</f>
        <v/>
      </c>
      <c r="K65" s="15">
        <f>IF(OR(K64="",K62=""),"",IFERROR(K64/K62,""))</f>
        <v/>
      </c>
      <c r="L65" s="15">
        <f>IF(OR(L64="",L62=""),"",IFERROR(L64/L62,""))</f>
        <v/>
      </c>
      <c r="M65" s="15">
        <f>IF(OR(M64="",M62=""),"",IFERROR(M64/M62,""))</f>
        <v/>
      </c>
      <c r="N65" s="15">
        <f>IF(OR(N64="",N62=""),"",IFERROR(N64/N62,""))</f>
        <v/>
      </c>
      <c r="O65" s="14">
        <f>IF(OR(O64="",O62=""),"",IFERROR(O64/O62,""))</f>
        <v/>
      </c>
      <c r="P65" s="15">
        <f>IF(OR(P64="",P62=""),"",IFERROR(P64/P62,""))</f>
        <v/>
      </c>
      <c r="Q65" s="15">
        <f>IF(OR(Q64="",Q62=""),"",IFERROR(Q64/Q62,""))</f>
        <v/>
      </c>
      <c r="R65" s="15">
        <f>IF(OR(R64="",R62=""),"",IFERROR(R64/R62,""))</f>
        <v/>
      </c>
      <c r="S65" s="15">
        <f>IF(OR(S64="",S62=""),"",IFERROR(S64/S62,""))</f>
        <v/>
      </c>
      <c r="T65" s="15">
        <f>IF(OR(T64="",T62=""),"",IFERROR(T64/T62,""))</f>
        <v/>
      </c>
      <c r="U65" s="15">
        <f>IF(OR(U64="",U62=""),"",IFERROR(U64/U62,""))</f>
        <v/>
      </c>
      <c r="V65" s="15">
        <f>IF(OR(V64="",V62=""),"",IFERROR(V64/V62,""))</f>
        <v/>
      </c>
      <c r="W65" s="15">
        <f>IF(OR(W64="",W62=""),"",IFERROR(W64/W62,""))</f>
        <v/>
      </c>
      <c r="X65" s="15">
        <f>IF(OR(X64="",X62=""),"",IFERROR(X64/X62,""))</f>
        <v/>
      </c>
      <c r="Y65" s="25" t="n">
        <v>1</v>
      </c>
      <c r="Z65" s="26" t="n">
        <v>1</v>
      </c>
      <c r="AA65" s="26" t="n">
        <v>1</v>
      </c>
      <c r="AB65" s="26" t="n">
        <v>1</v>
      </c>
      <c r="AC65" s="26" t="n">
        <v>1</v>
      </c>
    </row>
    <row r="66">
      <c r="A66" s="13" t="inlineStr">
        <is>
          <t>지배주주 순이익 YoY</t>
        </is>
      </c>
      <c r="B66" s="10" t="n"/>
      <c r="C66" s="14" t="n"/>
      <c r="D66" s="15" t="n"/>
      <c r="E66" s="15" t="n"/>
      <c r="F66" s="15" t="n"/>
      <c r="G66" s="15">
        <f>IF(OR(G64="",C64=""),"",IF(C64&lt;=0,"",IFERROR(G64/C64-1,"")))</f>
        <v/>
      </c>
      <c r="H66" s="15">
        <f>IF(OR(H64="",D64=""),"",IF(D64&lt;=0,"",IFERROR(H64/D64-1,"")))</f>
        <v/>
      </c>
      <c r="I66" s="15">
        <f>IF(OR(I64="",E64=""),"",IF(E64&lt;=0,"",IFERROR(I64/E64-1,"")))</f>
        <v/>
      </c>
      <c r="J66" s="15">
        <f>IF(OR(J64="",F64=""),"",IF(F64&lt;=0,"",IFERROR(J64/F64-1,"")))</f>
        <v/>
      </c>
      <c r="K66" s="15">
        <f>IF(OR(K64="",G64=""),"",IF(G64&lt;=0,"",IFERROR(K64/G64-1,"")))</f>
        <v/>
      </c>
      <c r="L66" s="15">
        <f>IF(OR(L64="",H64=""),"",IF(H64&lt;=0,"",IFERROR(L64/H64-1,"")))</f>
        <v/>
      </c>
      <c r="M66" s="15">
        <f>IF(OR(M64="",I64=""),"",IF(I64&lt;=0,"",IFERROR(M64/I64-1,"")))</f>
        <v/>
      </c>
      <c r="N66" s="15">
        <f>IF(OR(N64="",J64=""),"",IF(J64&lt;=0,"",IFERROR(N64/J64-1,"")))</f>
        <v/>
      </c>
      <c r="O66" s="14" t="n"/>
      <c r="P66" s="15">
        <f>IF(OR(P64="",O64=""),"",IF(O64&lt;=0,"",IFERROR(P64/O64-1,"")))</f>
        <v/>
      </c>
      <c r="Q66" s="15">
        <f>IF(OR(Q64="",P64=""),"",IF(P64&lt;=0,"",IFERROR(Q64/P64-1,"")))</f>
        <v/>
      </c>
      <c r="R66" s="15">
        <f>IF(OR(R64="",Q64=""),"",IF(Q64&lt;=0,"",IFERROR(R64/Q64-1,"")))</f>
        <v/>
      </c>
      <c r="S66" s="15">
        <f>IF(OR(S64="",R64=""),"",IF(R64&lt;=0,"",IFERROR(S64/R64-1,"")))</f>
        <v/>
      </c>
      <c r="T66" s="15">
        <f>IF(OR(T64="",S64=""),"",IF(S64&lt;=0,"",IFERROR(T64/S64-1,"")))</f>
        <v/>
      </c>
      <c r="U66" s="15">
        <f>IF(OR(U64="",T64=""),"",IF(T64&lt;=0,"",IFERROR(U64/T64-1,"")))</f>
        <v/>
      </c>
      <c r="V66" s="15">
        <f>IF(OR(V64="",U64=""),"",IF(U64&lt;=0,"",IFERROR(V64/U64-1,"")))</f>
        <v/>
      </c>
      <c r="W66" s="15">
        <f>IF(OR(W64="",V64=""),"",IF(V64&lt;=0,"",IFERROR(W64/V64-1,"")))</f>
        <v/>
      </c>
      <c r="X66" s="15">
        <f>IF(OR(X64="",W64=""),"",IF(W64&lt;=0,"",IFERROR(X64/W64-1,"")))</f>
        <v/>
      </c>
      <c r="Y66" s="14">
        <f>IF(OR(Y64="",X64=""),"",IF(X64&lt;=0,"",IFERROR(Y64/X64-1,"")))</f>
        <v/>
      </c>
      <c r="Z66" s="15">
        <f>IF(OR(Z64="",Y64=""),"",IF(Y64&lt;=0,"",IFERROR(Z64/Y64-1,"")))</f>
        <v/>
      </c>
      <c r="AA66" s="15">
        <f>IF(OR(AA64="",Z64=""),"",IF(Z64&lt;=0,"",IFERROR(AA64/Z64-1,"")))</f>
        <v/>
      </c>
      <c r="AB66" s="15">
        <f>IF(OR(AB64="",AA64=""),"",IF(AA64&lt;=0,"",IFERROR(AB64/AA64-1,"")))</f>
        <v/>
      </c>
      <c r="AC66" s="15">
        <f>IF(OR(AC64="",AB64=""),"",IF(AB64&lt;=0,"",IFERROR(AC64/AB64-1,"")))</f>
        <v/>
      </c>
    </row>
    <row r="67">
      <c r="A67" s="16" t="inlineStr">
        <is>
          <t>목표주가 산출</t>
        </is>
      </c>
      <c r="B67" s="16" t="n"/>
      <c r="C67" s="17" t="n"/>
      <c r="D67" s="16" t="n"/>
      <c r="E67" s="16" t="n"/>
      <c r="F67" s="16" t="n"/>
      <c r="G67" s="16" t="n"/>
      <c r="H67" s="16" t="n"/>
      <c r="I67" s="16" t="n"/>
      <c r="J67" s="16" t="n"/>
      <c r="K67" s="16" t="n"/>
      <c r="L67" s="16" t="n"/>
      <c r="M67" s="16" t="n"/>
      <c r="N67" s="16" t="n"/>
      <c r="O67" s="17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7" t="n"/>
      <c r="Z67" s="16" t="n"/>
      <c r="AA67" s="16" t="n"/>
      <c r="AB67" s="16" t="n"/>
      <c r="AC67" s="16" t="n"/>
    </row>
    <row r="68">
      <c r="A68" s="18" t="inlineStr">
        <is>
          <t>현재 주가 (2026.10.28)</t>
        </is>
      </c>
      <c r="B68" s="27" t="n">
        <v>2019</v>
      </c>
      <c r="C68" s="28" t="n"/>
      <c r="D68" s="29" t="n"/>
      <c r="E68" s="29" t="n"/>
      <c r="F68" s="29" t="n"/>
      <c r="G68" s="29" t="n"/>
      <c r="H68" s="29" t="n"/>
      <c r="I68" s="29" t="n"/>
      <c r="J68" s="29" t="n"/>
      <c r="K68" s="29" t="n"/>
      <c r="L68" s="29" t="n"/>
      <c r="M68" s="29" t="n"/>
      <c r="N68" s="29" t="n"/>
      <c r="O68" s="28" t="n"/>
      <c r="P68" s="29" t="n"/>
      <c r="Q68" s="29" t="n"/>
      <c r="R68" s="29" t="n"/>
      <c r="S68" s="29" t="n"/>
      <c r="T68" s="29" t="n"/>
      <c r="U68" s="29" t="n"/>
      <c r="V68" s="29" t="n"/>
      <c r="W68" s="29" t="n"/>
      <c r="X68" s="29" t="n"/>
      <c r="Y68" s="28" t="n"/>
      <c r="Z68" s="29" t="n"/>
      <c r="AA68" s="29" t="n"/>
      <c r="AB68" s="29" t="n"/>
      <c r="AC68" s="29" t="n"/>
    </row>
    <row r="69">
      <c r="A69" s="18" t="inlineStr">
        <is>
          <t>발행주식수 (보통주)</t>
        </is>
      </c>
      <c r="B69" s="27" t="n">
        <v>63406879</v>
      </c>
      <c r="C69" s="28" t="n"/>
      <c r="D69" s="29" t="n"/>
      <c r="E69" s="29" t="n"/>
      <c r="F69" s="29" t="n"/>
      <c r="G69" s="29" t="n"/>
      <c r="H69" s="29" t="n"/>
      <c r="I69" s="29" t="n"/>
      <c r="J69" s="29" t="n"/>
      <c r="K69" s="29" t="n"/>
      <c r="L69" s="29" t="n"/>
      <c r="M69" s="29" t="n"/>
      <c r="N69" s="29" t="n"/>
      <c r="O69" s="28" t="n"/>
      <c r="P69" s="29" t="n"/>
      <c r="Q69" s="29" t="n"/>
      <c r="R69" s="29" t="n"/>
      <c r="S69" s="29" t="n"/>
      <c r="T69" s="29" t="n"/>
      <c r="U69" s="29" t="n"/>
      <c r="V69" s="29" t="n"/>
      <c r="W69" s="29" t="n"/>
      <c r="X69" s="29" t="n"/>
      <c r="Y69" s="28" t="n"/>
      <c r="Z69" s="29" t="n"/>
      <c r="AA69" s="29" t="n"/>
      <c r="AB69" s="29" t="n"/>
      <c r="AC69" s="29" t="n"/>
    </row>
    <row r="70">
      <c r="A70" s="18" t="inlineStr">
        <is>
          <t>시가총액 (백만엔)</t>
        </is>
      </c>
      <c r="B70" s="12">
        <f>IF(OR(B68="",B69=""),"",B68*B69/1000000.0)</f>
        <v/>
      </c>
      <c r="C70" s="19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19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19" t="n"/>
      <c r="Z70" s="20" t="n"/>
      <c r="AA70" s="20" t="n"/>
      <c r="AB70" s="20" t="n"/>
      <c r="AC70" s="20" t="n"/>
    </row>
    <row r="71">
      <c r="A71" s="13" t="inlineStr">
        <is>
          <t>OPM</t>
        </is>
      </c>
      <c r="B71" s="10" t="n"/>
      <c r="C71" s="14" t="n"/>
      <c r="D71" s="15" t="n"/>
      <c r="E71" s="15" t="n"/>
      <c r="F71" s="15" t="n"/>
      <c r="G71" s="15" t="n"/>
      <c r="H71" s="15" t="n"/>
      <c r="I71" s="15" t="n"/>
      <c r="J71" s="15" t="n"/>
      <c r="K71" s="15" t="n"/>
      <c r="L71" s="15" t="n"/>
      <c r="M71" s="15" t="n"/>
      <c r="N71" s="15" t="n"/>
      <c r="O71" s="14">
        <f>IF(O35="","",O35)</f>
        <v/>
      </c>
      <c r="P71" s="15">
        <f>IF(P35="","",P35)</f>
        <v/>
      </c>
      <c r="Q71" s="15">
        <f>IF(Q35="","",Q35)</f>
        <v/>
      </c>
      <c r="R71" s="15">
        <f>IF(R35="","",R35)</f>
        <v/>
      </c>
      <c r="S71" s="15">
        <f>IF(S35="","",S35)</f>
        <v/>
      </c>
      <c r="T71" s="15">
        <f>IF(T35="","",T35)</f>
        <v/>
      </c>
      <c r="U71" s="15">
        <f>IF(U35="","",U35)</f>
        <v/>
      </c>
      <c r="V71" s="15">
        <f>IF(V35="","",V35)</f>
        <v/>
      </c>
      <c r="W71" s="15">
        <f>IF(W35="","",W35)</f>
        <v/>
      </c>
      <c r="X71" s="15">
        <f>IF(X35="","",X35)</f>
        <v/>
      </c>
      <c r="Y71" s="14">
        <f>IF(Y35="","",Y35)</f>
        <v/>
      </c>
      <c r="Z71" s="15">
        <f>IF(Z35="","",Z35)</f>
        <v/>
      </c>
      <c r="AA71" s="15">
        <f>IF(AA35="","",AA35)</f>
        <v/>
      </c>
      <c r="AB71" s="15">
        <f>IF(AB35="","",AB35)</f>
        <v/>
      </c>
      <c r="AC71" s="15">
        <f>IF(AC35="","",AC35)</f>
        <v/>
      </c>
    </row>
    <row r="72">
      <c r="A72" s="13" t="inlineStr">
        <is>
          <t>지배주주 순이익 증가율</t>
        </is>
      </c>
      <c r="B72" s="10" t="n"/>
      <c r="C72" s="14" t="n"/>
      <c r="D72" s="15" t="n"/>
      <c r="E72" s="15" t="n"/>
      <c r="F72" s="15" t="n"/>
      <c r="G72" s="15" t="n"/>
      <c r="H72" s="15" t="n"/>
      <c r="I72" s="15" t="n"/>
      <c r="J72" s="15" t="n"/>
      <c r="K72" s="15" t="n"/>
      <c r="L72" s="15" t="n"/>
      <c r="M72" s="15" t="n"/>
      <c r="N72" s="15" t="n"/>
      <c r="O72" s="14" t="n"/>
      <c r="P72" s="15">
        <f>IF(OR(P64="",O64=""),"",IFERROR(P64/O64-1,""))</f>
        <v/>
      </c>
      <c r="Q72" s="15">
        <f>IF(OR(Q64="",P64=""),"",IFERROR(Q64/P64-1,""))</f>
        <v/>
      </c>
      <c r="R72" s="15">
        <f>IF(OR(R64="",Q64=""),"",IFERROR(R64/Q64-1,""))</f>
        <v/>
      </c>
      <c r="S72" s="15">
        <f>IF(OR(S64="",R64=""),"",IFERROR(S64/R64-1,""))</f>
        <v/>
      </c>
      <c r="T72" s="15">
        <f>IF(OR(T64="",S64=""),"",IFERROR(T64/S64-1,""))</f>
        <v/>
      </c>
      <c r="U72" s="15">
        <f>IF(OR(U64="",T64=""),"",IFERROR(U64/T64-1,""))</f>
        <v/>
      </c>
      <c r="V72" s="15">
        <f>IF(OR(V64="",U64=""),"",IFERROR(V64/U64-1,""))</f>
        <v/>
      </c>
      <c r="W72" s="15">
        <f>IF(OR(W64="",V64=""),"",IFERROR(W64/V64-1,""))</f>
        <v/>
      </c>
      <c r="X72" s="15">
        <f>IF(OR(X64="",W64=""),"",IFERROR(X64/W64-1,""))</f>
        <v/>
      </c>
      <c r="Y72" s="14">
        <f>IF(OR(Y64="",X64=""),"",IFERROR(Y64/X64-1,""))</f>
        <v/>
      </c>
      <c r="Z72" s="15">
        <f>IF(OR(Z64="",Y64=""),"",IFERROR(Z64/Y64-1,""))</f>
        <v/>
      </c>
      <c r="AA72" s="15">
        <f>IF(OR(AA64="",Z64=""),"",IFERROR(AA64/Z64-1,""))</f>
        <v/>
      </c>
      <c r="AB72" s="15">
        <f>IF(OR(AB64="",AA64=""),"",IFERROR(AB64/AA64-1,""))</f>
        <v/>
      </c>
      <c r="AC72" s="15">
        <f>IF(OR(AC64="",AB64=""),"",IFERROR(AC64/AB64-1,""))</f>
        <v/>
      </c>
    </row>
    <row r="73">
      <c r="A73" s="18" t="inlineStr">
        <is>
          <t>P/E (현재 주가)</t>
        </is>
      </c>
      <c r="B73" s="10" t="inlineStr">
        <is>
          <t>시총 ÷ 지배순이익</t>
        </is>
      </c>
      <c r="C73" s="30" t="n"/>
      <c r="D73" s="31" t="n"/>
      <c r="E73" s="31" t="n"/>
      <c r="F73" s="31" t="n"/>
      <c r="G73" s="31" t="n"/>
      <c r="H73" s="31" t="n"/>
      <c r="I73" s="31" t="n"/>
      <c r="J73" s="31" t="n"/>
      <c r="K73" s="31" t="n"/>
      <c r="L73" s="31" t="n"/>
      <c r="M73" s="31" t="n"/>
      <c r="N73" s="31" t="n"/>
      <c r="O73" s="30" t="n"/>
      <c r="P73" s="31" t="n"/>
      <c r="Q73" s="31" t="n"/>
      <c r="R73" s="31" t="n"/>
      <c r="S73" s="31" t="n"/>
      <c r="T73" s="31" t="n"/>
      <c r="U73" s="31" t="n"/>
      <c r="V73" s="31" t="n"/>
      <c r="W73" s="31" t="n"/>
      <c r="X73" s="31">
        <f>IF(OR($B$70="",X64=""),"",IFERROR($B$70/X64,""))</f>
        <v/>
      </c>
      <c r="Y73" s="30">
        <f>IF(OR($B$70="",Y64=""),"",IFERROR($B$70/Y64,""))</f>
        <v/>
      </c>
      <c r="Z73" s="31">
        <f>IF(OR($B$70="",Z64=""),"",IFERROR($B$70/Z64,""))</f>
        <v/>
      </c>
      <c r="AA73" s="31">
        <f>IF(OR($B$70="",AA64=""),"",IFERROR($B$70/AA64,""))</f>
        <v/>
      </c>
      <c r="AB73" s="31">
        <f>IF(OR($B$70="",AB64=""),"",IFERROR($B$70/AB64,""))</f>
        <v/>
      </c>
      <c r="AC73" s="31">
        <f>IF(OR($B$70="",AC64=""),"",IFERROR($B$70/AC64,""))</f>
        <v/>
      </c>
    </row>
    <row r="74">
      <c r="A74" s="18" t="inlineStr">
        <is>
          <t>Target P/E</t>
        </is>
      </c>
      <c r="B74" s="10" t="inlineStr">
        <is>
          <t>직접 입력</t>
        </is>
      </c>
      <c r="C74" s="30" t="n"/>
      <c r="D74" s="31" t="n"/>
      <c r="E74" s="31" t="n"/>
      <c r="F74" s="31" t="n"/>
      <c r="G74" s="31" t="n"/>
      <c r="H74" s="31" t="n"/>
      <c r="I74" s="31" t="n"/>
      <c r="J74" s="31" t="n"/>
      <c r="K74" s="31" t="n"/>
      <c r="L74" s="31" t="n"/>
      <c r="M74" s="31" t="n"/>
      <c r="N74" s="31" t="n"/>
      <c r="O74" s="30" t="n"/>
      <c r="P74" s="31" t="n"/>
      <c r="Q74" s="31" t="n"/>
      <c r="R74" s="31" t="n"/>
      <c r="S74" s="31" t="n"/>
      <c r="T74" s="31" t="n"/>
      <c r="U74" s="31" t="n"/>
      <c r="V74" s="31" t="n"/>
      <c r="W74" s="31" t="n"/>
      <c r="X74" s="31" t="n"/>
      <c r="Y74" s="32" t="n"/>
      <c r="Z74" s="33" t="n"/>
      <c r="AA74" s="33" t="n"/>
      <c r="AB74" s="33" t="n"/>
      <c r="AC74" s="33" t="n"/>
    </row>
    <row r="75">
      <c r="A75" s="18" t="inlineStr">
        <is>
          <t>EPS</t>
        </is>
      </c>
      <c r="B75" s="10" t="inlineStr">
        <is>
          <t>지배순이익 ÷ 주식수</t>
        </is>
      </c>
      <c r="C75" s="28" t="n"/>
      <c r="D75" s="29" t="n"/>
      <c r="E75" s="29" t="n"/>
      <c r="F75" s="29" t="n"/>
      <c r="G75" s="29" t="n"/>
      <c r="H75" s="29" t="n"/>
      <c r="I75" s="29" t="n"/>
      <c r="J75" s="29" t="n"/>
      <c r="K75" s="29" t="n"/>
      <c r="L75" s="29" t="n"/>
      <c r="M75" s="29" t="n"/>
      <c r="N75" s="29" t="n"/>
      <c r="O75" s="28">
        <f>IF(OR(O64="",$B$69=""),"",IFERROR(O64*1000000.0/$B$69,""))</f>
        <v/>
      </c>
      <c r="P75" s="29">
        <f>IF(OR(P64="",$B$69=""),"",IFERROR(P64*1000000.0/$B$69,""))</f>
        <v/>
      </c>
      <c r="Q75" s="29">
        <f>IF(OR(Q64="",$B$69=""),"",IFERROR(Q64*1000000.0/$B$69,""))</f>
        <v/>
      </c>
      <c r="R75" s="29">
        <f>IF(OR(R64="",$B$69=""),"",IFERROR(R64*1000000.0/$B$69,""))</f>
        <v/>
      </c>
      <c r="S75" s="29">
        <f>IF(OR(S64="",$B$69=""),"",IFERROR(S64*1000000.0/$B$69,""))</f>
        <v/>
      </c>
      <c r="T75" s="29">
        <f>IF(OR(T64="",$B$69=""),"",IFERROR(T64*1000000.0/$B$69,""))</f>
        <v/>
      </c>
      <c r="U75" s="29">
        <f>IF(OR(U64="",$B$69=""),"",IFERROR(U64*1000000.0/$B$69,""))</f>
        <v/>
      </c>
      <c r="V75" s="29">
        <f>IF(OR(V64="",$B$69=""),"",IFERROR(V64*1000000.0/$B$69,""))</f>
        <v/>
      </c>
      <c r="W75" s="29">
        <f>IF(OR(W64="",$B$69=""),"",IFERROR(W64*1000000.0/$B$69,""))</f>
        <v/>
      </c>
      <c r="X75" s="29">
        <f>IF(OR(X64="",$B$69=""),"",IFERROR(X64*1000000.0/$B$69,""))</f>
        <v/>
      </c>
      <c r="Y75" s="28">
        <f>IF(OR(Y64="",$B$69=""),"",IFERROR(Y64*1000000.0/$B$69,""))</f>
        <v/>
      </c>
      <c r="Z75" s="29">
        <f>IF(OR(Z64="",$B$69=""),"",IFERROR(Z64*1000000.0/$B$69,""))</f>
        <v/>
      </c>
      <c r="AA75" s="29">
        <f>IF(OR(AA64="",$B$69=""),"",IFERROR(AA64*1000000.0/$B$69,""))</f>
        <v/>
      </c>
      <c r="AB75" s="29">
        <f>IF(OR(AB64="",$B$69=""),"",IFERROR(AB64*1000000.0/$B$69,""))</f>
        <v/>
      </c>
      <c r="AC75" s="29">
        <f>IF(OR(AC64="",$B$69=""),"",IFERROR(AC64*1000000.0/$B$69,""))</f>
        <v/>
      </c>
    </row>
    <row r="76">
      <c r="A76" s="9" t="inlineStr">
        <is>
          <t>목표주가</t>
        </is>
      </c>
      <c r="B76" s="10" t="n"/>
      <c r="C76" s="34" t="n"/>
      <c r="D76" s="27" t="n"/>
      <c r="E76" s="27" t="n"/>
      <c r="F76" s="27" t="n"/>
      <c r="G76" s="27" t="n"/>
      <c r="H76" s="27" t="n"/>
      <c r="I76" s="27" t="n"/>
      <c r="J76" s="27" t="n"/>
      <c r="K76" s="27" t="n"/>
      <c r="L76" s="27" t="n"/>
      <c r="M76" s="27" t="n"/>
      <c r="N76" s="27" t="n"/>
      <c r="O76" s="34" t="n"/>
      <c r="P76" s="27" t="n"/>
      <c r="Q76" s="27" t="n"/>
      <c r="R76" s="27" t="n"/>
      <c r="S76" s="27" t="n"/>
      <c r="T76" s="27" t="n"/>
      <c r="U76" s="27" t="n"/>
      <c r="V76" s="27" t="n"/>
      <c r="W76" s="27" t="n"/>
      <c r="X76" s="27" t="n"/>
      <c r="Y76" s="34">
        <f>IF(OR(Y75="",Y74=""),"",IFERROR(Y75*Y74,""))</f>
        <v/>
      </c>
      <c r="Z76" s="27">
        <f>IF(OR(Z75="",Z74=""),"",IFERROR(Z75*Z74,""))</f>
        <v/>
      </c>
      <c r="AA76" s="27">
        <f>IF(OR(AA75="",AA74=""),"",IFERROR(AA75*AA74,""))</f>
        <v/>
      </c>
      <c r="AB76" s="27">
        <f>IF(OR(AB75="",AB74=""),"",IFERROR(AB75*AB74,""))</f>
        <v/>
      </c>
      <c r="AC76" s="27">
        <f>IF(OR(AC75="",AC74=""),"",IFERROR(AC75*AC74,""))</f>
        <v/>
      </c>
    </row>
    <row r="77">
      <c r="A77" s="18" t="inlineStr">
        <is>
          <t>상승여력</t>
        </is>
      </c>
      <c r="B77" s="10" t="n"/>
      <c r="C77" s="35" t="n"/>
      <c r="D77" s="36" t="n"/>
      <c r="E77" s="36" t="n"/>
      <c r="F77" s="36" t="n"/>
      <c r="G77" s="36" t="n"/>
      <c r="H77" s="36" t="n"/>
      <c r="I77" s="36" t="n"/>
      <c r="J77" s="36" t="n"/>
      <c r="K77" s="36" t="n"/>
      <c r="L77" s="36" t="n"/>
      <c r="M77" s="36" t="n"/>
      <c r="N77" s="36" t="n"/>
      <c r="O77" s="35" t="n"/>
      <c r="P77" s="36" t="n"/>
      <c r="Q77" s="36" t="n"/>
      <c r="R77" s="36" t="n"/>
      <c r="S77" s="36" t="n"/>
      <c r="T77" s="36" t="n"/>
      <c r="U77" s="36" t="n"/>
      <c r="V77" s="36" t="n"/>
      <c r="W77" s="36" t="n"/>
      <c r="X77" s="36" t="n"/>
      <c r="Y77" s="37">
        <f>IF(OR(Y76="",$B$68=""),"",IFERROR(Y76/$B$68-1,""))</f>
        <v/>
      </c>
      <c r="Z77" s="38">
        <f>IF(OR(Z76="",$B$68=""),"",IFERROR(Z76/$B$68-1,""))</f>
        <v/>
      </c>
      <c r="AA77" s="38">
        <f>IF(OR(AA76="",$B$68=""),"",IFERROR(AA76/$B$68-1,""))</f>
        <v/>
      </c>
      <c r="AB77" s="38">
        <f>IF(OR(AB76="",$B$68=""),"",IFERROR(AB76/$B$68-1,""))</f>
        <v/>
      </c>
      <c r="AC77" s="38">
        <f>IF(OR(AC76="",$B$68=""),"",IFERROR(AC76/$B$68-1,""))</f>
        <v/>
      </c>
    </row>
    <row r="78">
      <c r="A78" s="16" t="inlineStr">
        <is>
          <t>자산가치 산출</t>
        </is>
      </c>
      <c r="B78" s="16" t="inlineStr">
        <is>
          <t>최신 분기 BS</t>
        </is>
      </c>
      <c r="C78" s="17" t="n"/>
      <c r="D78" s="16" t="n"/>
      <c r="E78" s="16" t="n"/>
      <c r="F78" s="16" t="n"/>
      <c r="G78" s="16" t="n"/>
      <c r="H78" s="16" t="n"/>
      <c r="I78" s="16" t="n"/>
      <c r="J78" s="16" t="n"/>
      <c r="K78" s="16" t="n"/>
      <c r="L78" s="16" t="n"/>
      <c r="M78" s="16" t="n"/>
      <c r="N78" s="16" t="n"/>
      <c r="O78" s="17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/>
      <c r="Y78" s="17" t="n"/>
      <c r="Z78" s="16" t="n"/>
      <c r="AA78" s="16" t="n"/>
      <c r="AB78" s="16" t="n"/>
      <c r="AC78" s="16" t="n"/>
    </row>
    <row r="79">
      <c r="A79" s="18" t="inlineStr">
        <is>
          <t>현금및현금성자산</t>
        </is>
      </c>
      <c r="B79" s="10" t="n"/>
      <c r="C79" s="19" t="n"/>
      <c r="D79" s="20" t="n"/>
      <c r="E79" s="20" t="n"/>
      <c r="F79" s="20" t="n"/>
      <c r="G79" s="20" t="n"/>
      <c r="H79" s="20" t="n"/>
      <c r="I79" s="20" t="n"/>
      <c r="J79" s="20" t="n"/>
      <c r="K79" s="20" t="n"/>
      <c r="L79" s="20" t="n"/>
      <c r="M79" s="20" t="n"/>
      <c r="N79" s="20" t="n"/>
      <c r="O79" s="19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>
        <f>'재무상태표'!G6</f>
        <v/>
      </c>
      <c r="Y79" s="19">
        <f>'재무상태표'!G6</f>
        <v/>
      </c>
      <c r="Z79" s="20">
        <f>'재무상태표'!G6</f>
        <v/>
      </c>
      <c r="AA79" s="20">
        <f>'재무상태표'!G6</f>
        <v/>
      </c>
      <c r="AB79" s="20">
        <f>'재무상태표'!G6</f>
        <v/>
      </c>
      <c r="AC79" s="20">
        <f>'재무상태표'!G6</f>
        <v/>
      </c>
    </row>
    <row r="80">
      <c r="A80" s="18" t="inlineStr">
        <is>
          <t>단기금융상품</t>
        </is>
      </c>
      <c r="B80" s="10" t="n"/>
      <c r="C80" s="19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19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>
        <f>'재무상태표'!G7</f>
        <v/>
      </c>
      <c r="Y80" s="19">
        <f>'재무상태표'!G7</f>
        <v/>
      </c>
      <c r="Z80" s="20">
        <f>'재무상태표'!G7</f>
        <v/>
      </c>
      <c r="AA80" s="20">
        <f>'재무상태표'!G7</f>
        <v/>
      </c>
      <c r="AB80" s="20">
        <f>'재무상태표'!G7</f>
        <v/>
      </c>
      <c r="AC80" s="20">
        <f>'재무상태표'!G7</f>
        <v/>
      </c>
    </row>
    <row r="81">
      <c r="A81" s="18" t="inlineStr">
        <is>
          <t>투자부동산</t>
        </is>
      </c>
      <c r="B81" s="10" t="n"/>
      <c r="C81" s="19" t="n"/>
      <c r="D81" s="20" t="n"/>
      <c r="E81" s="20" t="n"/>
      <c r="F81" s="20" t="n"/>
      <c r="G81" s="20" t="n"/>
      <c r="H81" s="20" t="n"/>
      <c r="I81" s="20" t="n"/>
      <c r="J81" s="20" t="n"/>
      <c r="K81" s="20" t="n"/>
      <c r="L81" s="20" t="n"/>
      <c r="M81" s="20" t="n"/>
      <c r="N81" s="20" t="n"/>
      <c r="O81" s="19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>
        <f>'재무상태표'!G14</f>
        <v/>
      </c>
      <c r="Y81" s="19">
        <f>'재무상태표'!G14</f>
        <v/>
      </c>
      <c r="Z81" s="20">
        <f>'재무상태표'!G14</f>
        <v/>
      </c>
      <c r="AA81" s="20">
        <f>'재무상태표'!G14</f>
        <v/>
      </c>
      <c r="AB81" s="20">
        <f>'재무상태표'!G14</f>
        <v/>
      </c>
      <c r="AC81" s="20">
        <f>'재무상태표'!G14</f>
        <v/>
      </c>
    </row>
    <row r="82">
      <c r="A82" s="18" t="inlineStr">
        <is>
          <t>지배자본</t>
        </is>
      </c>
      <c r="B82" s="10" t="n"/>
      <c r="C82" s="19" t="n"/>
      <c r="D82" s="20" t="n"/>
      <c r="E82" s="20" t="n"/>
      <c r="F82" s="20" t="n"/>
      <c r="G82" s="20" t="n"/>
      <c r="H82" s="20" t="n"/>
      <c r="I82" s="20" t="n"/>
      <c r="J82" s="20" t="n"/>
      <c r="K82" s="20" t="n"/>
      <c r="L82" s="20" t="n"/>
      <c r="M82" s="20" t="n"/>
      <c r="N82" s="20" t="n"/>
      <c r="O82" s="19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>
        <f>'재무상태표'!G31</f>
        <v/>
      </c>
      <c r="Y82" s="19">
        <f>'재무상태표'!G31</f>
        <v/>
      </c>
      <c r="Z82" s="20">
        <f>'재무상태표'!G31</f>
        <v/>
      </c>
      <c r="AA82" s="20">
        <f>'재무상태표'!G31</f>
        <v/>
      </c>
      <c r="AB82" s="20">
        <f>'재무상태표'!G31</f>
        <v/>
      </c>
      <c r="AC82" s="20">
        <f>'재무상태표'!G31</f>
        <v/>
      </c>
    </row>
    <row r="83">
      <c r="A83" s="18" t="inlineStr">
        <is>
          <t>부채</t>
        </is>
      </c>
      <c r="B83" s="10" t="n"/>
      <c r="C83" s="19" t="n"/>
      <c r="D83" s="20" t="n"/>
      <c r="E83" s="20" t="n"/>
      <c r="F83" s="20" t="n"/>
      <c r="G83" s="20" t="n"/>
      <c r="H83" s="20" t="n"/>
      <c r="I83" s="20" t="n"/>
      <c r="J83" s="20" t="n"/>
      <c r="K83" s="20" t="n"/>
      <c r="L83" s="20" t="n"/>
      <c r="M83" s="20" t="n"/>
      <c r="N83" s="20" t="n"/>
      <c r="O83" s="19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>
        <f>'재무상태표'!G27</f>
        <v/>
      </c>
      <c r="Y83" s="19">
        <f>'재무상태표'!G27</f>
        <v/>
      </c>
      <c r="Z83" s="20">
        <f>'재무상태표'!G27</f>
        <v/>
      </c>
      <c r="AA83" s="20">
        <f>'재무상태표'!G27</f>
        <v/>
      </c>
      <c r="AB83" s="20">
        <f>'재무상태표'!G27</f>
        <v/>
      </c>
      <c r="AC83" s="20">
        <f>'재무상태표'!G27</f>
        <v/>
      </c>
    </row>
    <row r="84">
      <c r="A84" s="13" t="inlineStr">
        <is>
          <t>부채비율</t>
        </is>
      </c>
      <c r="B84" s="10" t="n"/>
      <c r="C84" s="14" t="n"/>
      <c r="D84" s="15" t="n"/>
      <c r="E84" s="15" t="n"/>
      <c r="F84" s="15" t="n"/>
      <c r="G84" s="15" t="n"/>
      <c r="H84" s="15" t="n"/>
      <c r="I84" s="15" t="n"/>
      <c r="J84" s="15" t="n"/>
      <c r="K84" s="15" t="n"/>
      <c r="L84" s="15" t="n"/>
      <c r="M84" s="15" t="n"/>
      <c r="N84" s="15" t="n"/>
      <c r="O84" s="14" t="n"/>
      <c r="P84" s="15" t="n"/>
      <c r="Q84" s="15" t="n"/>
      <c r="R84" s="15" t="n"/>
      <c r="S84" s="15" t="n"/>
      <c r="T84" s="15" t="n"/>
      <c r="U84" s="15" t="n"/>
      <c r="V84" s="15" t="n"/>
      <c r="W84" s="15" t="n"/>
      <c r="X84" s="15">
        <f>IF(OR(X83="",X82=""),"",IFERROR(X83/X82,""))</f>
        <v/>
      </c>
      <c r="Y84" s="14">
        <f>IF(OR(Y83="",Y82=""),"",IFERROR(Y83/Y82,""))</f>
        <v/>
      </c>
      <c r="Z84" s="15">
        <f>IF(OR(Z83="",Z82=""),"",IFERROR(Z83/Z82,""))</f>
        <v/>
      </c>
      <c r="AA84" s="15">
        <f>IF(OR(AA83="",AA82=""),"",IFERROR(AA83/AA82,""))</f>
        <v/>
      </c>
      <c r="AB84" s="15">
        <f>IF(OR(AB83="",AB82=""),"",IFERROR(AB83/AB82,""))</f>
        <v/>
      </c>
      <c r="AC84" s="15">
        <f>IF(OR(AC83="",AC82=""),"",IFERROR(AC83/AC82,""))</f>
        <v/>
      </c>
    </row>
    <row r="85">
      <c r="A85" s="9" t="inlineStr">
        <is>
          <t>자산가치</t>
        </is>
      </c>
      <c r="B85" s="10" t="inlineStr">
        <is>
          <t>현금+단기금융+투자부동산</t>
        </is>
      </c>
      <c r="C85" s="11" t="n"/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1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>
        <f>SUM(X79,X80,X81)</f>
        <v/>
      </c>
      <c r="Y85" s="11">
        <f>SUM(Y79,Y80,Y81)</f>
        <v/>
      </c>
      <c r="Z85" s="12">
        <f>SUM(Z79,Z80,Z81)</f>
        <v/>
      </c>
      <c r="AA85" s="12">
        <f>SUM(AA79,AA80,AA81)</f>
        <v/>
      </c>
      <c r="AB85" s="12">
        <f>SUM(AB79,AB80,AB81)</f>
        <v/>
      </c>
      <c r="AC85" s="12">
        <f>SUM(AC79,AC80,AC81)</f>
        <v/>
      </c>
    </row>
    <row r="86">
      <c r="A86" s="16" t="inlineStr">
        <is>
          <t>기업가치 산출</t>
        </is>
      </c>
      <c r="B86" s="16" t="n"/>
      <c r="C86" s="17" t="n"/>
      <c r="D86" s="16" t="n"/>
      <c r="E86" s="16" t="n"/>
      <c r="F86" s="16" t="n"/>
      <c r="G86" s="16" t="n"/>
      <c r="H86" s="16" t="n"/>
      <c r="I86" s="16" t="n"/>
      <c r="J86" s="16" t="n"/>
      <c r="K86" s="16" t="n"/>
      <c r="L86" s="16" t="n"/>
      <c r="M86" s="16" t="n"/>
      <c r="N86" s="16" t="n"/>
      <c r="O86" s="17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7" t="n"/>
      <c r="Z86" s="16" t="n"/>
      <c r="AA86" s="16" t="n"/>
      <c r="AB86" s="16" t="n"/>
      <c r="AC86" s="16" t="n"/>
    </row>
    <row r="87">
      <c r="A87" s="18" t="inlineStr">
        <is>
          <t>목표 시가총액 (P/E)</t>
        </is>
      </c>
      <c r="B87" s="10" t="inlineStr">
        <is>
          <t>지배순이익 × Target P/E</t>
        </is>
      </c>
      <c r="C87" s="19" t="n"/>
      <c r="D87" s="20" t="n"/>
      <c r="E87" s="20" t="n"/>
      <c r="F87" s="20" t="n"/>
      <c r="G87" s="20" t="n"/>
      <c r="H87" s="20" t="n"/>
      <c r="I87" s="20" t="n"/>
      <c r="J87" s="20" t="n"/>
      <c r="K87" s="20" t="n"/>
      <c r="L87" s="20" t="n"/>
      <c r="M87" s="20" t="n"/>
      <c r="N87" s="20" t="n"/>
      <c r="O87" s="19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19">
        <f>IF(OR(Y64="",Y74=""),"",IFERROR(Y64*Y74,""))</f>
        <v/>
      </c>
      <c r="Z87" s="20">
        <f>IF(OR(Z64="",Z74=""),"",IFERROR(Z64*Z74,""))</f>
        <v/>
      </c>
      <c r="AA87" s="20">
        <f>IF(OR(AA64="",AA74=""),"",IFERROR(AA64*AA74,""))</f>
        <v/>
      </c>
      <c r="AB87" s="20">
        <f>IF(OR(AB64="",AB74=""),"",IFERROR(AB64*AB74,""))</f>
        <v/>
      </c>
      <c r="AC87" s="20">
        <f>IF(OR(AC64="",AC74=""),"",IFERROR(AC64*AC74,""))</f>
        <v/>
      </c>
    </row>
    <row r="88">
      <c r="A88" s="9" t="inlineStr">
        <is>
          <t>기업가치</t>
        </is>
      </c>
      <c r="B88" s="10" t="inlineStr">
        <is>
          <t>목표시총 + 자산가치</t>
        </is>
      </c>
      <c r="C88" s="11" t="n"/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1" t="n"/>
      <c r="P88" s="12" t="n"/>
      <c r="Q88" s="12" t="n"/>
      <c r="R88" s="12" t="n"/>
      <c r="S88" s="12" t="n"/>
      <c r="T88" s="12" t="n"/>
      <c r="U88" s="12" t="n"/>
      <c r="V88" s="12" t="n"/>
      <c r="W88" s="12" t="n"/>
      <c r="X88" s="12" t="n"/>
      <c r="Y88" s="11">
        <f>IF(OR(Y87=""),"",IFERROR(Y87+Y85,""))</f>
        <v/>
      </c>
      <c r="Z88" s="12">
        <f>IF(OR(Z87=""),"",IFERROR(Z87+Z85,""))</f>
        <v/>
      </c>
      <c r="AA88" s="12">
        <f>IF(OR(AA87=""),"",IFERROR(AA87+AA85,""))</f>
        <v/>
      </c>
      <c r="AB88" s="12">
        <f>IF(OR(AB87=""),"",IFERROR(AB87+AB85,""))</f>
        <v/>
      </c>
      <c r="AC88" s="12">
        <f>IF(OR(AC87=""),"",IFERROR(AC87+AC85,""))</f>
        <v/>
      </c>
    </row>
    <row r="89">
      <c r="A89" s="18" t="inlineStr">
        <is>
          <t>현재 시가총액</t>
        </is>
      </c>
      <c r="B89" s="10" t="n"/>
      <c r="C89" s="19" t="n"/>
      <c r="D89" s="20" t="n"/>
      <c r="E89" s="20" t="n"/>
      <c r="F89" s="20" t="n"/>
      <c r="G89" s="20" t="n"/>
      <c r="H89" s="20" t="n"/>
      <c r="I89" s="20" t="n"/>
      <c r="J89" s="20" t="n"/>
      <c r="K89" s="20" t="n"/>
      <c r="L89" s="20" t="n"/>
      <c r="M89" s="20" t="n"/>
      <c r="N89" s="20" t="n"/>
      <c r="O89" s="19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19">
        <f>$B$70</f>
        <v/>
      </c>
      <c r="Z89" s="20">
        <f>$B$70</f>
        <v/>
      </c>
      <c r="AA89" s="20">
        <f>$B$70</f>
        <v/>
      </c>
      <c r="AB89" s="20">
        <f>$B$70</f>
        <v/>
      </c>
      <c r="AC89" s="20">
        <f>$B$70</f>
        <v/>
      </c>
    </row>
    <row r="90">
      <c r="A90" s="18" t="inlineStr">
        <is>
          <t>상승여력</t>
        </is>
      </c>
      <c r="B90" s="10" t="n"/>
      <c r="C90" s="35" t="n"/>
      <c r="D90" s="36" t="n"/>
      <c r="E90" s="36" t="n"/>
      <c r="F90" s="36" t="n"/>
      <c r="G90" s="36" t="n"/>
      <c r="H90" s="36" t="n"/>
      <c r="I90" s="36" t="n"/>
      <c r="J90" s="36" t="n"/>
      <c r="K90" s="36" t="n"/>
      <c r="L90" s="36" t="n"/>
      <c r="M90" s="36" t="n"/>
      <c r="N90" s="36" t="n"/>
      <c r="O90" s="35" t="n"/>
      <c r="P90" s="36" t="n"/>
      <c r="Q90" s="36" t="n"/>
      <c r="R90" s="36" t="n"/>
      <c r="S90" s="36" t="n"/>
      <c r="T90" s="36" t="n"/>
      <c r="U90" s="36" t="n"/>
      <c r="V90" s="36" t="n"/>
      <c r="W90" s="36" t="n"/>
      <c r="X90" s="36" t="n"/>
      <c r="Y90" s="37">
        <f>IF(OR(Y88="",Y89=""),"",IFERROR(Y88/Y89-1,""))</f>
        <v/>
      </c>
      <c r="Z90" s="38">
        <f>IF(OR(Z88="",Z89=""),"",IFERROR(Z88/Z89-1,""))</f>
        <v/>
      </c>
      <c r="AA90" s="38">
        <f>IF(OR(AA88="",AA89=""),"",IFERROR(AA88/AA89-1,""))</f>
        <v/>
      </c>
      <c r="AB90" s="38">
        <f>IF(OR(AB88="",AB89=""),"",IFERROR(AB88/AB89-1,""))</f>
        <v/>
      </c>
      <c r="AC90" s="38">
        <f>IF(OR(AC88="",AC89=""),"",IFERROR(AC88/AC89-1,""))</f>
        <v/>
      </c>
    </row>
    <row r="91">
      <c r="C91" s="39" t="n"/>
      <c r="O91" s="39" t="n"/>
      <c r="Y91" s="39" t="n"/>
    </row>
    <row r="92">
      <c r="A92" s="40" t="inlineStr">
        <is>
          <t>출처</t>
        </is>
      </c>
      <c r="C92" s="39" t="n"/>
      <c r="O92" s="39" t="n"/>
      <c r="Y92" s="39" t="n"/>
    </row>
    <row r="93">
      <c r="A93" s="41" t="inlineStr">
        <is>
          <t>결산단신 XBRL(TDnet·JPX 보관소) — 쓴 문서는 '출처' 시트</t>
        </is>
      </c>
      <c r="C93" s="39" t="n"/>
      <c r="O93" s="39" t="n"/>
      <c r="Y93" s="39" t="n"/>
    </row>
    <row r="94">
      <c r="A94" s="41" t="inlineStr">
        <is>
          <t>분기 = 누계에서 앞 분기를 뺀 3개월 값</t>
        </is>
      </c>
      <c r="C94" s="39" t="n"/>
      <c r="O94" s="39" t="n"/>
      <c r="Y94" s="39" t="n"/>
    </row>
    <row r="95">
      <c r="A95" s="41" t="inlineStr">
        <is>
          <t>주가: 야후 파이낸스 일봉 2026.10.28</t>
        </is>
      </c>
      <c r="C95" s="39" t="n"/>
      <c r="O95" s="39" t="n"/>
      <c r="Y95" s="39" t="n"/>
    </row>
    <row r="97">
      <c r="A97" s="16" t="inlineStr">
        <is>
          <t>손익계산서 · 전 항목</t>
        </is>
      </c>
      <c r="B97" s="42" t="inlineStr">
        <is>
          <t>분기 = 3개월 단독</t>
        </is>
      </c>
      <c r="C97" s="16" t="n"/>
      <c r="D97" s="16" t="n"/>
      <c r="E97" s="16" t="n"/>
      <c r="F97" s="16" t="n"/>
      <c r="G97" s="16" t="n"/>
      <c r="H97" s="16" t="n"/>
      <c r="I97" s="16" t="n"/>
      <c r="J97" s="16" t="n"/>
      <c r="K97" s="16" t="n"/>
      <c r="L97" s="16" t="n"/>
      <c r="M97" s="16" t="n"/>
      <c r="N97" s="16" t="n"/>
      <c r="O97" s="16" t="n"/>
      <c r="P97" s="16" t="n"/>
      <c r="Q97" s="16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  <c r="AA97" s="16" t="n"/>
      <c r="AB97" s="16" t="n"/>
      <c r="AC97" s="16" t="n"/>
    </row>
    <row r="98">
      <c r="A98" s="5" t="inlineStr">
        <is>
          <t>항목</t>
        </is>
      </c>
      <c r="B98" s="5" t="inlineStr">
        <is>
          <t>참고</t>
        </is>
      </c>
      <c r="C98" s="5" t="inlineStr">
        <is>
          <t>2024.3Q</t>
        </is>
      </c>
      <c r="D98" s="5" t="inlineStr">
        <is>
          <t>2024.4Q</t>
        </is>
      </c>
      <c r="E98" s="5" t="inlineStr">
        <is>
          <t>2025.1Q</t>
        </is>
      </c>
      <c r="F98" s="5" t="inlineStr">
        <is>
          <t>2025.2Q</t>
        </is>
      </c>
      <c r="G98" s="5" t="inlineStr">
        <is>
          <t>2025.3Q</t>
        </is>
      </c>
      <c r="H98" s="5" t="inlineStr">
        <is>
          <t>2025.4Q</t>
        </is>
      </c>
      <c r="I98" s="5" t="inlineStr">
        <is>
          <t>2026.1Q</t>
        </is>
      </c>
      <c r="J98" s="5" t="inlineStr">
        <is>
          <t>2026.2Q</t>
        </is>
      </c>
      <c r="K98" s="5" t="inlineStr">
        <is>
          <t>2026.3Q</t>
        </is>
      </c>
      <c r="L98" s="5" t="inlineStr">
        <is>
          <t>2026.4Q</t>
        </is>
      </c>
      <c r="M98" s="5" t="inlineStr">
        <is>
          <t>2027.1Q</t>
        </is>
      </c>
      <c r="N98" s="5" t="inlineStr">
        <is>
          <t>2027.2Q</t>
        </is>
      </c>
      <c r="O98" s="5" t="inlineStr">
        <is>
          <t>2017</t>
        </is>
      </c>
      <c r="P98" s="5" t="inlineStr">
        <is>
          <t>2018</t>
        </is>
      </c>
      <c r="Q98" s="5" t="inlineStr">
        <is>
          <t>2019</t>
        </is>
      </c>
      <c r="R98" s="5" t="inlineStr">
        <is>
          <t>2020</t>
        </is>
      </c>
      <c r="S98" s="5" t="inlineStr">
        <is>
          <t>2021</t>
        </is>
      </c>
      <c r="T98" s="5" t="inlineStr">
        <is>
          <t>2022</t>
        </is>
      </c>
      <c r="U98" s="5" t="inlineStr">
        <is>
          <t>2023</t>
        </is>
      </c>
      <c r="V98" s="5" t="inlineStr">
        <is>
          <t>2024</t>
        </is>
      </c>
      <c r="W98" s="5" t="inlineStr">
        <is>
          <t>2025</t>
        </is>
      </c>
      <c r="X98" s="5" t="inlineStr">
        <is>
          <t>2026</t>
        </is>
      </c>
      <c r="Y98" s="5" t="inlineStr">
        <is>
          <t>2027(MW)</t>
        </is>
      </c>
      <c r="Z98" s="5" t="inlineStr">
        <is>
          <t>2028(MW)</t>
        </is>
      </c>
      <c r="AA98" s="5" t="inlineStr">
        <is>
          <t>2029(MW)</t>
        </is>
      </c>
      <c r="AB98" s="5" t="inlineStr">
        <is>
          <t>2030(MW)</t>
        </is>
      </c>
      <c r="AC98" s="5" t="inlineStr">
        <is>
          <t>2031(MW)</t>
        </is>
      </c>
    </row>
    <row r="99">
      <c r="A99" s="9" t="inlineStr">
        <is>
          <t>매출액</t>
        </is>
      </c>
      <c r="C99" s="12" t="n">
        <v>85676</v>
      </c>
      <c r="D99" s="12" t="n">
        <v>80911</v>
      </c>
      <c r="E99" s="12" t="n">
        <v>83187</v>
      </c>
      <c r="F99" s="12" t="n">
        <v>83216</v>
      </c>
      <c r="G99" s="12" t="n">
        <v>86742</v>
      </c>
      <c r="H99" s="12" t="n">
        <v>-127889</v>
      </c>
      <c r="I99" s="12" t="n">
        <v>79923</v>
      </c>
      <c r="J99" s="12" t="n">
        <v>83173</v>
      </c>
      <c r="K99" s="12" t="n">
        <v>84090</v>
      </c>
      <c r="L99" s="12" t="n">
        <v>-116970</v>
      </c>
      <c r="M99" s="12" t="n">
        <v>83927</v>
      </c>
      <c r="N99" s="12" t="n">
        <v>87427</v>
      </c>
      <c r="T99" s="12" t="n">
        <v>51121</v>
      </c>
      <c r="U99" s="12" t="n">
        <v>68419</v>
      </c>
      <c r="V99" s="12" t="n">
        <v>80911</v>
      </c>
      <c r="W99" s="12" t="n">
        <v>-127889</v>
      </c>
      <c r="X99" s="12" t="n">
        <v>-116970</v>
      </c>
    </row>
    <row r="100">
      <c r="A100" s="43" t="inlineStr">
        <is>
          <t>YoY</t>
        </is>
      </c>
      <c r="B100" s="3" t="inlineStr">
        <is>
          <t>전년 같은 분기·전년 대비</t>
        </is>
      </c>
      <c r="G100" s="15">
        <f>IF(OR(G99="",C99=""),"",IF(C99&lt;=0,"",IFERROR(G99/C99-1,"")))</f>
        <v/>
      </c>
      <c r="H100" s="15">
        <f>IF(OR(H99="",D99=""),"",IF(D99&lt;=0,"",IFERROR(H99/D99-1,"")))</f>
        <v/>
      </c>
      <c r="I100" s="15">
        <f>IF(OR(I99="",E99=""),"",IF(E99&lt;=0,"",IFERROR(I99/E99-1,"")))</f>
        <v/>
      </c>
      <c r="J100" s="15">
        <f>IF(OR(J99="",F99=""),"",IF(F99&lt;=0,"",IFERROR(J99/F99-1,"")))</f>
        <v/>
      </c>
      <c r="K100" s="15">
        <f>IF(OR(K99="",G99=""),"",IF(G99&lt;=0,"",IFERROR(K99/G99-1,"")))</f>
        <v/>
      </c>
      <c r="L100" s="15">
        <f>IF(OR(L99="",H99=""),"",IF(H99&lt;=0,"",IFERROR(L99/H99-1,"")))</f>
        <v/>
      </c>
      <c r="M100" s="15">
        <f>IF(OR(M99="",I99=""),"",IF(I99&lt;=0,"",IFERROR(M99/I99-1,"")))</f>
        <v/>
      </c>
      <c r="N100" s="15">
        <f>IF(OR(N99="",J99=""),"",IF(J99&lt;=0,"",IFERROR(N99/J99-1,"")))</f>
        <v/>
      </c>
      <c r="T100" s="15">
        <f>IF(OR(T99="",S99=""),"",IF(S99&lt;=0,"",IFERROR(T99/S99-1,"")))</f>
        <v/>
      </c>
      <c r="U100" s="15">
        <f>IF(OR(U99="",T99=""),"",IF(T99&lt;=0,"",IFERROR(U99/T99-1,"")))</f>
        <v/>
      </c>
      <c r="V100" s="15">
        <f>IF(OR(V99="",U99=""),"",IF(U99&lt;=0,"",IFERROR(V99/U99-1,"")))</f>
        <v/>
      </c>
      <c r="W100" s="15">
        <f>IF(OR(W99="",V99=""),"",IF(V99&lt;=0,"",IFERROR(W99/V99-1,"")))</f>
        <v/>
      </c>
      <c r="X100" s="15">
        <f>IF(OR(X99="",W99=""),"",IF(W99&lt;=0,"",IFERROR(X99/W99-1,"")))</f>
        <v/>
      </c>
    </row>
    <row r="101">
      <c r="A101" s="18" t="inlineStr">
        <is>
          <t>매출원가</t>
        </is>
      </c>
      <c r="C101" s="20" t="n">
        <v>73539</v>
      </c>
      <c r="D101" s="20" t="n">
        <v>71588</v>
      </c>
      <c r="E101" s="20" t="n">
        <v>71704</v>
      </c>
      <c r="F101" s="20" t="n">
        <v>71130</v>
      </c>
      <c r="G101" s="20" t="n">
        <v>73633</v>
      </c>
      <c r="H101" s="20" t="n">
        <v>-106213</v>
      </c>
      <c r="I101" s="20" t="n">
        <v>70269</v>
      </c>
      <c r="J101" s="20" t="n">
        <v>72099</v>
      </c>
      <c r="K101" s="20" t="n">
        <v>72251</v>
      </c>
      <c r="L101" s="20" t="n">
        <v>-97253</v>
      </c>
      <c r="M101" s="20" t="n">
        <v>71681</v>
      </c>
      <c r="N101" s="20" t="n">
        <v>75113</v>
      </c>
      <c r="T101" s="20" t="n">
        <v>44410</v>
      </c>
      <c r="U101" s="20" t="n">
        <v>58581</v>
      </c>
      <c r="V101" s="20" t="n">
        <v>71588</v>
      </c>
      <c r="W101" s="20" t="n">
        <v>-106213</v>
      </c>
      <c r="X101" s="20" t="n">
        <v>-97253</v>
      </c>
    </row>
    <row r="102">
      <c r="A102" s="43" t="inlineStr">
        <is>
          <t>YoY</t>
        </is>
      </c>
      <c r="B102" s="3" t="inlineStr">
        <is>
          <t>전년 같은 분기·전년 대비</t>
        </is>
      </c>
      <c r="G102" s="15">
        <f>IF(OR(G101="",C101=""),"",IF(G101*C101&lt;=0,"",IFERROR(G101/C101-1,"")))</f>
        <v/>
      </c>
      <c r="H102" s="15">
        <f>IF(OR(H101="",D101=""),"",IF(H101*D101&lt;=0,"",IFERROR(H101/D101-1,"")))</f>
        <v/>
      </c>
      <c r="I102" s="15">
        <f>IF(OR(I101="",E101=""),"",IF(I101*E101&lt;=0,"",IFERROR(I101/E101-1,"")))</f>
        <v/>
      </c>
      <c r="J102" s="15">
        <f>IF(OR(J101="",F101=""),"",IF(J101*F101&lt;=0,"",IFERROR(J101/F101-1,"")))</f>
        <v/>
      </c>
      <c r="K102" s="15">
        <f>IF(OR(K101="",G101=""),"",IF(K101*G101&lt;=0,"",IFERROR(K101/G101-1,"")))</f>
        <v/>
      </c>
      <c r="L102" s="15">
        <f>IF(OR(L101="",H101=""),"",IF(L101*H101&lt;=0,"",IFERROR(L101/H101-1,"")))</f>
        <v/>
      </c>
      <c r="M102" s="15">
        <f>IF(OR(M101="",I101=""),"",IF(M101*I101&lt;=0,"",IFERROR(M101/I101-1,"")))</f>
        <v/>
      </c>
      <c r="N102" s="15">
        <f>IF(OR(N101="",J101=""),"",IF(N101*J101&lt;=0,"",IFERROR(N101/J101-1,"")))</f>
        <v/>
      </c>
      <c r="T102" s="15">
        <f>IF(OR(T101="",S101=""),"",IF(T101*S101&lt;=0,"",IFERROR(T101/S101-1,"")))</f>
        <v/>
      </c>
      <c r="U102" s="15">
        <f>IF(OR(U101="",T101=""),"",IF(U101*T101&lt;=0,"",IFERROR(U101/T101-1,"")))</f>
        <v/>
      </c>
      <c r="V102" s="15">
        <f>IF(OR(V101="",U101=""),"",IF(V101*U101&lt;=0,"",IFERROR(V101/U101-1,"")))</f>
        <v/>
      </c>
      <c r="W102" s="15">
        <f>IF(OR(W101="",V101=""),"",IF(W101*V101&lt;=0,"",IFERROR(W101/V101-1,"")))</f>
        <v/>
      </c>
      <c r="X102" s="15">
        <f>IF(OR(X101="",W101=""),"",IF(X101*W101&lt;=0,"",IFERROR(X101/W101-1,"")))</f>
        <v/>
      </c>
    </row>
    <row r="103">
      <c r="A103" s="9" t="inlineStr">
        <is>
          <t>매출총이익</t>
        </is>
      </c>
      <c r="C103" s="12" t="n">
        <v>12137</v>
      </c>
      <c r="D103" s="12" t="n">
        <v>9323</v>
      </c>
      <c r="E103" s="12" t="n">
        <v>11483</v>
      </c>
      <c r="F103" s="12" t="n">
        <v>12085</v>
      </c>
      <c r="G103" s="12" t="n">
        <v>13110</v>
      </c>
      <c r="H103" s="12" t="n">
        <v>-21676</v>
      </c>
      <c r="I103" s="12" t="n">
        <v>9653</v>
      </c>
      <c r="J103" s="12" t="n">
        <v>11074</v>
      </c>
      <c r="K103" s="12" t="n">
        <v>11840</v>
      </c>
      <c r="L103" s="12" t="n">
        <v>-19718</v>
      </c>
      <c r="M103" s="12" t="n">
        <v>12246</v>
      </c>
      <c r="N103" s="12" t="n">
        <v>12314</v>
      </c>
      <c r="T103" s="12" t="n">
        <v>6712</v>
      </c>
      <c r="U103" s="12" t="n">
        <v>9838</v>
      </c>
      <c r="V103" s="12" t="n">
        <v>9323</v>
      </c>
      <c r="W103" s="12" t="n">
        <v>-21676</v>
      </c>
      <c r="X103" s="12" t="n">
        <v>-19718</v>
      </c>
    </row>
    <row r="104">
      <c r="A104" s="43" t="inlineStr">
        <is>
          <t>YoY</t>
        </is>
      </c>
      <c r="B104" s="3" t="inlineStr">
        <is>
          <t>전년 같은 분기·전년 대비</t>
        </is>
      </c>
      <c r="G104" s="15">
        <f>IF(OR(G103="",C103=""),"",IF(C103&lt;=0,"",IFERROR(G103/C103-1,"")))</f>
        <v/>
      </c>
      <c r="H104" s="15">
        <f>IF(OR(H103="",D103=""),"",IF(D103&lt;=0,"",IFERROR(H103/D103-1,"")))</f>
        <v/>
      </c>
      <c r="I104" s="15">
        <f>IF(OR(I103="",E103=""),"",IF(E103&lt;=0,"",IFERROR(I103/E103-1,"")))</f>
        <v/>
      </c>
      <c r="J104" s="15">
        <f>IF(OR(J103="",F103=""),"",IF(F103&lt;=0,"",IFERROR(J103/F103-1,"")))</f>
        <v/>
      </c>
      <c r="K104" s="15">
        <f>IF(OR(K103="",G103=""),"",IF(G103&lt;=0,"",IFERROR(K103/G103-1,"")))</f>
        <v/>
      </c>
      <c r="L104" s="15">
        <f>IF(OR(L103="",H103=""),"",IF(H103&lt;=0,"",IFERROR(L103/H103-1,"")))</f>
        <v/>
      </c>
      <c r="M104" s="15">
        <f>IF(OR(M103="",I103=""),"",IF(I103&lt;=0,"",IFERROR(M103/I103-1,"")))</f>
        <v/>
      </c>
      <c r="N104" s="15">
        <f>IF(OR(N103="",J103=""),"",IF(J103&lt;=0,"",IFERROR(N103/J103-1,"")))</f>
        <v/>
      </c>
      <c r="T104" s="15">
        <f>IF(OR(T103="",S103=""),"",IF(S103&lt;=0,"",IFERROR(T103/S103-1,"")))</f>
        <v/>
      </c>
      <c r="U104" s="15">
        <f>IF(OR(U103="",T103=""),"",IF(T103&lt;=0,"",IFERROR(U103/T103-1,"")))</f>
        <v/>
      </c>
      <c r="V104" s="15">
        <f>IF(OR(V103="",U103=""),"",IF(U103&lt;=0,"",IFERROR(V103/U103-1,"")))</f>
        <v/>
      </c>
      <c r="W104" s="15">
        <f>IF(OR(W103="",V103=""),"",IF(V103&lt;=0,"",IFERROR(W103/V103-1,"")))</f>
        <v/>
      </c>
      <c r="X104" s="15">
        <f>IF(OR(X103="",W103=""),"",IF(W103&lt;=0,"",IFERROR(X103/W103-1,"")))</f>
        <v/>
      </c>
    </row>
    <row r="105">
      <c r="A105" s="18" t="inlineStr">
        <is>
          <t>판매비와 관리비</t>
        </is>
      </c>
      <c r="C105" s="20" t="n">
        <v>5990</v>
      </c>
      <c r="D105" s="20" t="n">
        <v>8486</v>
      </c>
      <c r="E105" s="20" t="n">
        <v>5687</v>
      </c>
      <c r="F105" s="20" t="n">
        <v>6924</v>
      </c>
      <c r="G105" s="20" t="n">
        <v>7467</v>
      </c>
      <c r="H105" s="20" t="n">
        <v>-6555</v>
      </c>
      <c r="I105" s="20" t="n">
        <v>6129</v>
      </c>
      <c r="J105" s="20" t="n">
        <v>5200</v>
      </c>
      <c r="K105" s="20" t="n">
        <v>6467</v>
      </c>
      <c r="L105" s="20" t="n">
        <v>-7470</v>
      </c>
      <c r="M105" s="20" t="n">
        <v>6641</v>
      </c>
      <c r="N105" s="20" t="n">
        <v>6795</v>
      </c>
      <c r="T105" s="20" t="n">
        <v>4209</v>
      </c>
      <c r="U105" s="20" t="n">
        <v>5593</v>
      </c>
      <c r="V105" s="20" t="n">
        <v>8486</v>
      </c>
      <c r="W105" s="20" t="n">
        <v>-6555</v>
      </c>
      <c r="X105" s="20" t="n">
        <v>-7470</v>
      </c>
    </row>
    <row r="106">
      <c r="A106" s="43" t="inlineStr">
        <is>
          <t>YoY</t>
        </is>
      </c>
      <c r="B106" s="3" t="inlineStr">
        <is>
          <t>전년 같은 분기·전년 대비</t>
        </is>
      </c>
      <c r="G106" s="15">
        <f>IF(OR(G105="",C105=""),"",IF(G105*C105&lt;=0,"",IFERROR(G105/C105-1,"")))</f>
        <v/>
      </c>
      <c r="H106" s="15">
        <f>IF(OR(H105="",D105=""),"",IF(H105*D105&lt;=0,"",IFERROR(H105/D105-1,"")))</f>
        <v/>
      </c>
      <c r="I106" s="15">
        <f>IF(OR(I105="",E105=""),"",IF(I105*E105&lt;=0,"",IFERROR(I105/E105-1,"")))</f>
        <v/>
      </c>
      <c r="J106" s="15">
        <f>IF(OR(J105="",F105=""),"",IF(J105*F105&lt;=0,"",IFERROR(J105/F105-1,"")))</f>
        <v/>
      </c>
      <c r="K106" s="15">
        <f>IF(OR(K105="",G105=""),"",IF(K105*G105&lt;=0,"",IFERROR(K105/G105-1,"")))</f>
        <v/>
      </c>
      <c r="L106" s="15">
        <f>IF(OR(L105="",H105=""),"",IF(L105*H105&lt;=0,"",IFERROR(L105/H105-1,"")))</f>
        <v/>
      </c>
      <c r="M106" s="15">
        <f>IF(OR(M105="",I105=""),"",IF(M105*I105&lt;=0,"",IFERROR(M105/I105-1,"")))</f>
        <v/>
      </c>
      <c r="N106" s="15">
        <f>IF(OR(N105="",J105=""),"",IF(N105*J105&lt;=0,"",IFERROR(N105/J105-1,"")))</f>
        <v/>
      </c>
      <c r="T106" s="15">
        <f>IF(OR(T105="",S105=""),"",IF(T105*S105&lt;=0,"",IFERROR(T105/S105-1,"")))</f>
        <v/>
      </c>
      <c r="U106" s="15">
        <f>IF(OR(U105="",T105=""),"",IF(U105*T105&lt;=0,"",IFERROR(U105/T105-1,"")))</f>
        <v/>
      </c>
      <c r="V106" s="15">
        <f>IF(OR(V105="",U105=""),"",IF(V105*U105&lt;=0,"",IFERROR(V105/U105-1,"")))</f>
        <v/>
      </c>
      <c r="W106" s="15">
        <f>IF(OR(W105="",V105=""),"",IF(W105*V105&lt;=0,"",IFERROR(W105/V105-1,"")))</f>
        <v/>
      </c>
      <c r="X106" s="15">
        <f>IF(OR(X105="",W105=""),"",IF(X105*W105&lt;=0,"",IFERROR(X105/W105-1,"")))</f>
        <v/>
      </c>
    </row>
    <row r="107">
      <c r="A107" s="9" t="inlineStr">
        <is>
          <t>영업이익</t>
        </is>
      </c>
      <c r="C107" s="12" t="n">
        <v>6147</v>
      </c>
      <c r="D107" s="12" t="n">
        <v>837</v>
      </c>
      <c r="E107" s="12" t="n">
        <v>5796</v>
      </c>
      <c r="F107" s="12" t="n">
        <v>5161</v>
      </c>
      <c r="G107" s="12" t="n">
        <v>5642</v>
      </c>
      <c r="H107" s="12" t="n">
        <v>-15120</v>
      </c>
      <c r="I107" s="12" t="n">
        <v>3523</v>
      </c>
      <c r="J107" s="12" t="n">
        <v>5874</v>
      </c>
      <c r="K107" s="12" t="n">
        <v>5373</v>
      </c>
      <c r="L107" s="12" t="n">
        <v>-12247</v>
      </c>
      <c r="M107" s="12" t="n">
        <v>5604</v>
      </c>
      <c r="N107" s="12" t="n">
        <v>5519</v>
      </c>
      <c r="T107" s="12" t="n">
        <v>2503</v>
      </c>
      <c r="U107" s="12" t="n">
        <v>4246</v>
      </c>
      <c r="V107" s="12" t="n">
        <v>837</v>
      </c>
      <c r="W107" s="12" t="n">
        <v>-15120</v>
      </c>
      <c r="X107" s="12" t="n">
        <v>-12247</v>
      </c>
    </row>
    <row r="108">
      <c r="A108" s="43" t="inlineStr">
        <is>
          <t>OPM</t>
        </is>
      </c>
      <c r="B108" s="3" t="inlineStr">
        <is>
          <t>영업이익 ÷ 매출</t>
        </is>
      </c>
      <c r="C108" s="15">
        <f>IF(OR(C107="",C99=""),"",IF(C99&lt;=0,"",IFERROR(C107/C99,"")))</f>
        <v/>
      </c>
      <c r="D108" s="15">
        <f>IF(OR(D107="",D99=""),"",IF(D99&lt;=0,"",IFERROR(D107/D99,"")))</f>
        <v/>
      </c>
      <c r="E108" s="15">
        <f>IF(OR(E107="",E99=""),"",IF(E99&lt;=0,"",IFERROR(E107/E99,"")))</f>
        <v/>
      </c>
      <c r="F108" s="15">
        <f>IF(OR(F107="",F99=""),"",IF(F99&lt;=0,"",IFERROR(F107/F99,"")))</f>
        <v/>
      </c>
      <c r="G108" s="15">
        <f>IF(OR(G107="",G99=""),"",IF(G99&lt;=0,"",IFERROR(G107/G99,"")))</f>
        <v/>
      </c>
      <c r="H108" s="15">
        <f>IF(OR(H107="",H99=""),"",IF(H99&lt;=0,"",IFERROR(H107/H99,"")))</f>
        <v/>
      </c>
      <c r="I108" s="15">
        <f>IF(OR(I107="",I99=""),"",IF(I99&lt;=0,"",IFERROR(I107/I99,"")))</f>
        <v/>
      </c>
      <c r="J108" s="15">
        <f>IF(OR(J107="",J99=""),"",IF(J99&lt;=0,"",IFERROR(J107/J99,"")))</f>
        <v/>
      </c>
      <c r="K108" s="15">
        <f>IF(OR(K107="",K99=""),"",IF(K99&lt;=0,"",IFERROR(K107/K99,"")))</f>
        <v/>
      </c>
      <c r="L108" s="15">
        <f>IF(OR(L107="",L99=""),"",IF(L99&lt;=0,"",IFERROR(L107/L99,"")))</f>
        <v/>
      </c>
      <c r="M108" s="15">
        <f>IF(OR(M107="",M99=""),"",IF(M99&lt;=0,"",IFERROR(M107/M99,"")))</f>
        <v/>
      </c>
      <c r="N108" s="15">
        <f>IF(OR(N107="",N99=""),"",IF(N99&lt;=0,"",IFERROR(N107/N99,"")))</f>
        <v/>
      </c>
      <c r="T108" s="15">
        <f>IF(OR(T107="",T99=""),"",IF(T99&lt;=0,"",IFERROR(T107/T99,"")))</f>
        <v/>
      </c>
      <c r="U108" s="15">
        <f>IF(OR(U107="",U99=""),"",IF(U99&lt;=0,"",IFERROR(U107/U99,"")))</f>
        <v/>
      </c>
      <c r="V108" s="15">
        <f>IF(OR(V107="",V99=""),"",IF(V99&lt;=0,"",IFERROR(V107/V99,"")))</f>
        <v/>
      </c>
      <c r="W108" s="15">
        <f>IF(OR(W107="",W99=""),"",IF(W99&lt;=0,"",IFERROR(W107/W99,"")))</f>
        <v/>
      </c>
      <c r="X108" s="15">
        <f>IF(OR(X107="",X99=""),"",IF(X99&lt;=0,"",IFERROR(X107/X99,"")))</f>
        <v/>
      </c>
    </row>
    <row r="109">
      <c r="A109" s="43" t="inlineStr">
        <is>
          <t>YoY</t>
        </is>
      </c>
      <c r="B109" s="3" t="inlineStr">
        <is>
          <t>전년 같은 분기·전년 대비</t>
        </is>
      </c>
      <c r="G109" s="15">
        <f>IF(OR(G107="",C107=""),"",IF(C107&lt;=0,"",IFERROR(G107/C107-1,"")))</f>
        <v/>
      </c>
      <c r="H109" s="15">
        <f>IF(OR(H107="",D107=""),"",IF(D107&lt;=0,"",IFERROR(H107/D107-1,"")))</f>
        <v/>
      </c>
      <c r="I109" s="15">
        <f>IF(OR(I107="",E107=""),"",IF(E107&lt;=0,"",IFERROR(I107/E107-1,"")))</f>
        <v/>
      </c>
      <c r="J109" s="15">
        <f>IF(OR(J107="",F107=""),"",IF(F107&lt;=0,"",IFERROR(J107/F107-1,"")))</f>
        <v/>
      </c>
      <c r="K109" s="15">
        <f>IF(OR(K107="",G107=""),"",IF(G107&lt;=0,"",IFERROR(K107/G107-1,"")))</f>
        <v/>
      </c>
      <c r="L109" s="15">
        <f>IF(OR(L107="",H107=""),"",IF(H107&lt;=0,"",IFERROR(L107/H107-1,"")))</f>
        <v/>
      </c>
      <c r="M109" s="15">
        <f>IF(OR(M107="",I107=""),"",IF(I107&lt;=0,"",IFERROR(M107/I107-1,"")))</f>
        <v/>
      </c>
      <c r="N109" s="15">
        <f>IF(OR(N107="",J107=""),"",IF(J107&lt;=0,"",IFERROR(N107/J107-1,"")))</f>
        <v/>
      </c>
      <c r="T109" s="15">
        <f>IF(OR(T107="",S107=""),"",IF(S107&lt;=0,"",IFERROR(T107/S107-1,"")))</f>
        <v/>
      </c>
      <c r="U109" s="15">
        <f>IF(OR(U107="",T107=""),"",IF(T107&lt;=0,"",IFERROR(U107/T107-1,"")))</f>
        <v/>
      </c>
      <c r="V109" s="15">
        <f>IF(OR(V107="",U107=""),"",IF(U107&lt;=0,"",IFERROR(V107/U107-1,"")))</f>
        <v/>
      </c>
      <c r="W109" s="15">
        <f>IF(OR(W107="",V107=""),"",IF(V107&lt;=0,"",IFERROR(W107/V107-1,"")))</f>
        <v/>
      </c>
      <c r="X109" s="15">
        <f>IF(OR(X107="",W107=""),"",IF(W107&lt;=0,"",IFERROR(X107/W107-1,"")))</f>
        <v/>
      </c>
    </row>
    <row r="110">
      <c r="A110" s="18" t="inlineStr">
        <is>
          <t>이자수익</t>
        </is>
      </c>
      <c r="C110" s="20" t="n">
        <v>-66</v>
      </c>
      <c r="D110" s="20" t="n">
        <v>246</v>
      </c>
      <c r="E110" s="20" t="n">
        <v>191</v>
      </c>
      <c r="F110" s="20" t="n">
        <v>220</v>
      </c>
      <c r="G110" s="20" t="n">
        <v>225</v>
      </c>
      <c r="H110" s="20" t="n">
        <v>720</v>
      </c>
      <c r="I110" s="20" t="n">
        <v>350</v>
      </c>
      <c r="J110" s="20" t="n">
        <v>257</v>
      </c>
      <c r="K110" s="20" t="n">
        <v>193</v>
      </c>
      <c r="L110" s="20" t="n">
        <v>346</v>
      </c>
      <c r="M110" s="20" t="n">
        <v>265</v>
      </c>
      <c r="N110" s="20" t="n">
        <v>261</v>
      </c>
      <c r="T110" s="20" t="n">
        <v>77</v>
      </c>
      <c r="U110" s="20" t="n">
        <v>26</v>
      </c>
      <c r="V110" s="20" t="n">
        <v>246</v>
      </c>
      <c r="W110" s="20" t="n">
        <v>720</v>
      </c>
      <c r="X110" s="20" t="n">
        <v>346</v>
      </c>
    </row>
    <row r="111">
      <c r="A111" s="18" t="inlineStr">
        <is>
          <t>배당금수익</t>
        </is>
      </c>
      <c r="C111" s="20" t="n">
        <v>70</v>
      </c>
      <c r="D111" s="20" t="n">
        <v>1</v>
      </c>
      <c r="E111" s="20" t="n">
        <v>98</v>
      </c>
      <c r="F111" s="20" t="n">
        <v>7</v>
      </c>
      <c r="G111" s="20" t="n">
        <v>86</v>
      </c>
      <c r="H111" s="20" t="n">
        <v>2</v>
      </c>
      <c r="I111" s="20" t="n">
        <v>106</v>
      </c>
      <c r="J111" s="20" t="n">
        <v>4</v>
      </c>
      <c r="K111" s="20" t="n">
        <v>26</v>
      </c>
      <c r="L111" s="20" t="n">
        <v>2</v>
      </c>
      <c r="M111" s="20" t="n">
        <v>51</v>
      </c>
      <c r="N111" s="20" t="n">
        <v>5</v>
      </c>
      <c r="T111" s="20" t="n">
        <v>1</v>
      </c>
      <c r="U111" s="20" t="n">
        <v>0</v>
      </c>
      <c r="V111" s="20" t="n">
        <v>1</v>
      </c>
      <c r="W111" s="20" t="n">
        <v>2</v>
      </c>
      <c r="X111" s="20" t="n">
        <v>2</v>
      </c>
    </row>
    <row r="112">
      <c r="A112" s="18" t="inlineStr">
        <is>
          <t>외환차익</t>
        </is>
      </c>
      <c r="C112" s="20" t="n">
        <v>-322</v>
      </c>
      <c r="D112" s="20" t="n">
        <v>222</v>
      </c>
      <c r="E112" s="20" t="n">
        <v>493</v>
      </c>
      <c r="F112" s="20" t="n">
        <v>-493</v>
      </c>
      <c r="G112" s="20" t="n">
        <v>0</v>
      </c>
      <c r="H112" s="20" t="n">
        <v>0</v>
      </c>
      <c r="I112" s="20" t="n">
        <v>0</v>
      </c>
      <c r="J112" s="20" t="n">
        <v>55</v>
      </c>
      <c r="K112" s="20" t="n">
        <v>419</v>
      </c>
      <c r="L112" s="20" t="n">
        <v>-78</v>
      </c>
      <c r="M112" s="20" t="n">
        <v>396</v>
      </c>
      <c r="N112" s="20" t="n">
        <v>-82</v>
      </c>
      <c r="T112" s="20" t="n">
        <v>284</v>
      </c>
      <c r="U112" s="20" t="n">
        <v>-645</v>
      </c>
      <c r="V112" s="20" t="n">
        <v>222</v>
      </c>
      <c r="W112" s="20" t="n">
        <v>0</v>
      </c>
      <c r="X112" s="20" t="n">
        <v>-78</v>
      </c>
    </row>
    <row r="113">
      <c r="A113" s="18" t="inlineStr">
        <is>
          <t>투자유가증권 매각이익</t>
        </is>
      </c>
      <c r="C113" s="20" t="n">
        <v>0</v>
      </c>
      <c r="D113" s="20" t="n">
        <v>0</v>
      </c>
      <c r="E113" s="20" t="n">
        <v>356</v>
      </c>
      <c r="F113" s="20" t="n">
        <v>0</v>
      </c>
      <c r="G113" s="20" t="n">
        <v>0</v>
      </c>
      <c r="H113" s="20" t="n">
        <v>0</v>
      </c>
      <c r="I113" s="20" t="n">
        <v>0</v>
      </c>
      <c r="J113" s="20" t="n">
        <v>0</v>
      </c>
      <c r="K113" s="20" t="n">
        <v>0</v>
      </c>
      <c r="L113" s="20" t="n">
        <v>0</v>
      </c>
      <c r="V113" s="20" t="n">
        <v>0</v>
      </c>
      <c r="W113" s="20" t="n">
        <v>0</v>
      </c>
      <c r="X113" s="20" t="n">
        <v>0</v>
      </c>
    </row>
    <row r="114">
      <c r="A114" s="18" t="inlineStr">
        <is>
          <t>기타</t>
        </is>
      </c>
      <c r="C114" s="20" t="n">
        <v>184</v>
      </c>
      <c r="D114" s="20" t="n">
        <v>-124</v>
      </c>
      <c r="E114" s="20" t="n">
        <v>110</v>
      </c>
      <c r="F114" s="20" t="n">
        <v>151</v>
      </c>
      <c r="G114" s="20" t="n">
        <v>245</v>
      </c>
      <c r="H114" s="20" t="n">
        <v>-370</v>
      </c>
      <c r="I114" s="20" t="n">
        <v>95</v>
      </c>
      <c r="J114" s="20" t="n">
        <v>188</v>
      </c>
      <c r="K114" s="20" t="n">
        <v>163</v>
      </c>
      <c r="L114" s="20" t="n">
        <v>-223</v>
      </c>
      <c r="M114" s="20" t="n">
        <v>215</v>
      </c>
      <c r="N114" s="20" t="n">
        <v>57</v>
      </c>
      <c r="T114" s="20" t="n">
        <v>41</v>
      </c>
      <c r="U114" s="20" t="n">
        <v>92</v>
      </c>
      <c r="V114" s="20" t="n">
        <v>-124</v>
      </c>
      <c r="W114" s="20" t="n">
        <v>-370</v>
      </c>
      <c r="X114" s="20" t="n">
        <v>-223</v>
      </c>
    </row>
    <row r="115">
      <c r="A115" s="18" t="inlineStr">
        <is>
          <t>영업외수익 합계</t>
        </is>
      </c>
      <c r="C115" s="20" t="n">
        <v>-134</v>
      </c>
      <c r="D115" s="20" t="n">
        <v>585</v>
      </c>
      <c r="E115" s="20" t="n">
        <v>1251</v>
      </c>
      <c r="F115" s="20" t="n">
        <v>-117</v>
      </c>
      <c r="G115" s="20" t="n">
        <v>556</v>
      </c>
      <c r="H115" s="20" t="n">
        <v>14354</v>
      </c>
      <c r="I115" s="20" t="n">
        <v>552</v>
      </c>
      <c r="J115" s="20" t="n">
        <v>506</v>
      </c>
      <c r="K115" s="20" t="n">
        <v>800</v>
      </c>
      <c r="L115" s="20" t="n">
        <v>12102</v>
      </c>
      <c r="M115" s="20" t="n">
        <v>929</v>
      </c>
      <c r="N115" s="20" t="n">
        <v>240</v>
      </c>
      <c r="T115" s="20" t="n">
        <v>433</v>
      </c>
      <c r="U115" s="20" t="n">
        <v>-454</v>
      </c>
      <c r="V115" s="20" t="n">
        <v>585</v>
      </c>
      <c r="W115" s="20" t="n">
        <v>14354</v>
      </c>
      <c r="X115" s="20" t="n">
        <v>12102</v>
      </c>
    </row>
    <row r="116">
      <c r="A116" s="43" t="inlineStr">
        <is>
          <t>YoY</t>
        </is>
      </c>
      <c r="B116" s="3" t="inlineStr">
        <is>
          <t>전년 같은 분기·전년 대비</t>
        </is>
      </c>
      <c r="G116" s="15">
        <f>IF(OR(G115="",C115=""),"",IF(G115*C115&lt;=0,"",IFERROR(G115/C115-1,"")))</f>
        <v/>
      </c>
      <c r="H116" s="15">
        <f>IF(OR(H115="",D115=""),"",IF(H115*D115&lt;=0,"",IFERROR(H115/D115-1,"")))</f>
        <v/>
      </c>
      <c r="I116" s="15">
        <f>IF(OR(I115="",E115=""),"",IF(I115*E115&lt;=0,"",IFERROR(I115/E115-1,"")))</f>
        <v/>
      </c>
      <c r="J116" s="15">
        <f>IF(OR(J115="",F115=""),"",IF(J115*F115&lt;=0,"",IFERROR(J115/F115-1,"")))</f>
        <v/>
      </c>
      <c r="K116" s="15">
        <f>IF(OR(K115="",G115=""),"",IF(K115*G115&lt;=0,"",IFERROR(K115/G115-1,"")))</f>
        <v/>
      </c>
      <c r="L116" s="15">
        <f>IF(OR(L115="",H115=""),"",IF(L115*H115&lt;=0,"",IFERROR(L115/H115-1,"")))</f>
        <v/>
      </c>
      <c r="M116" s="15">
        <f>IF(OR(M115="",I115=""),"",IF(M115*I115&lt;=0,"",IFERROR(M115/I115-1,"")))</f>
        <v/>
      </c>
      <c r="N116" s="15">
        <f>IF(OR(N115="",J115=""),"",IF(N115*J115&lt;=0,"",IFERROR(N115/J115-1,"")))</f>
        <v/>
      </c>
      <c r="T116" s="15">
        <f>IF(OR(T115="",S115=""),"",IF(T115*S115&lt;=0,"",IFERROR(T115/S115-1,"")))</f>
        <v/>
      </c>
      <c r="U116" s="15">
        <f>IF(OR(U115="",T115=""),"",IF(U115*T115&lt;=0,"",IFERROR(U115/T115-1,"")))</f>
        <v/>
      </c>
      <c r="V116" s="15">
        <f>IF(OR(V115="",U115=""),"",IF(V115*U115&lt;=0,"",IFERROR(V115/U115-1,"")))</f>
        <v/>
      </c>
      <c r="W116" s="15">
        <f>IF(OR(W115="",V115=""),"",IF(W115*V115&lt;=0,"",IFERROR(W115/V115-1,"")))</f>
        <v/>
      </c>
      <c r="X116" s="15">
        <f>IF(OR(X115="",W115=""),"",IF(X115*W115&lt;=0,"",IFERROR(X115/W115-1,"")))</f>
        <v/>
      </c>
    </row>
    <row r="117">
      <c r="A117" s="18" t="inlineStr">
        <is>
          <t>이자비용</t>
        </is>
      </c>
      <c r="C117" s="20" t="n">
        <v>-112</v>
      </c>
      <c r="D117" s="20" t="n">
        <v>37</v>
      </c>
      <c r="E117" s="20" t="n">
        <v>34</v>
      </c>
      <c r="F117" s="20" t="n">
        <v>46</v>
      </c>
      <c r="G117" s="20" t="n">
        <v>38</v>
      </c>
      <c r="H117" s="20" t="n">
        <v>1</v>
      </c>
      <c r="I117" s="20" t="n">
        <v>177</v>
      </c>
      <c r="J117" s="20" t="n">
        <v>153</v>
      </c>
      <c r="K117" s="20" t="n">
        <v>105</v>
      </c>
      <c r="L117" s="20" t="n">
        <v>-75</v>
      </c>
      <c r="M117" s="20" t="n">
        <v>180</v>
      </c>
      <c r="N117" s="20" t="n">
        <v>266</v>
      </c>
      <c r="T117" s="20" t="n">
        <v>45</v>
      </c>
      <c r="U117" s="20" t="n">
        <v>35</v>
      </c>
      <c r="V117" s="20" t="n">
        <v>37</v>
      </c>
      <c r="W117" s="20" t="n">
        <v>1</v>
      </c>
      <c r="X117" s="20" t="n">
        <v>-75</v>
      </c>
    </row>
    <row r="118">
      <c r="A118" s="18" t="inlineStr">
        <is>
          <t>외환차손</t>
        </is>
      </c>
      <c r="C118" s="20" t="n">
        <v>0</v>
      </c>
      <c r="D118" s="20" t="n">
        <v>0</v>
      </c>
      <c r="E118" s="20" t="n">
        <v>0</v>
      </c>
      <c r="F118" s="20" t="n">
        <v>326</v>
      </c>
      <c r="G118" s="20" t="n">
        <v>34</v>
      </c>
      <c r="H118" s="20" t="n">
        <v>-163</v>
      </c>
      <c r="I118" s="20" t="n">
        <v>273</v>
      </c>
      <c r="J118" s="20" t="n">
        <v>-273</v>
      </c>
      <c r="K118" s="20" t="n">
        <v>0</v>
      </c>
      <c r="L118" s="20" t="n">
        <v>0</v>
      </c>
      <c r="M118" s="20" t="n">
        <v>0</v>
      </c>
      <c r="V118" s="20" t="n">
        <v>0</v>
      </c>
      <c r="W118" s="20" t="n">
        <v>-163</v>
      </c>
      <c r="X118" s="20" t="n">
        <v>0</v>
      </c>
    </row>
    <row r="119">
      <c r="A119" s="18" t="inlineStr">
        <is>
          <t>지급수수료</t>
        </is>
      </c>
      <c r="I119" s="20" t="n">
        <v>0</v>
      </c>
      <c r="M119" s="20" t="n">
        <v>60</v>
      </c>
    </row>
    <row r="120">
      <c r="A120" s="18" t="inlineStr">
        <is>
          <t>고정자산 제각·매각손실</t>
        </is>
      </c>
      <c r="C120" s="20" t="n">
        <v>81</v>
      </c>
      <c r="D120" s="20" t="n">
        <v>122</v>
      </c>
      <c r="E120" s="20" t="n">
        <v>50</v>
      </c>
      <c r="F120" s="20" t="n">
        <v>277</v>
      </c>
      <c r="G120" s="20" t="n">
        <v>250</v>
      </c>
      <c r="H120" s="20" t="n">
        <v>-374</v>
      </c>
      <c r="I120" s="20" t="n">
        <v>83</v>
      </c>
      <c r="J120" s="20" t="n">
        <v>21</v>
      </c>
      <c r="K120" s="20" t="n">
        <v>42</v>
      </c>
      <c r="L120" s="20" t="n">
        <v>-36</v>
      </c>
      <c r="M120" s="20" t="n">
        <v>17</v>
      </c>
      <c r="N120" s="20" t="n">
        <v>119</v>
      </c>
      <c r="T120" s="20" t="n">
        <v>270</v>
      </c>
      <c r="U120" s="20" t="n">
        <v>95</v>
      </c>
      <c r="V120" s="20" t="n">
        <v>122</v>
      </c>
      <c r="W120" s="20" t="n">
        <v>-374</v>
      </c>
      <c r="X120" s="20" t="n">
        <v>-36</v>
      </c>
    </row>
    <row r="121">
      <c r="A121" s="18" t="inlineStr">
        <is>
          <t>관계회사 청산손실</t>
        </is>
      </c>
      <c r="T121" s="20" t="n">
        <v>24</v>
      </c>
      <c r="U121" s="20" t="n">
        <v>0</v>
      </c>
    </row>
    <row r="122">
      <c r="A122" s="18" t="inlineStr">
        <is>
          <t>기타</t>
        </is>
      </c>
      <c r="C122" s="20" t="n">
        <v>-26</v>
      </c>
      <c r="D122" s="20" t="n">
        <v>21</v>
      </c>
      <c r="E122" s="20" t="n">
        <v>23</v>
      </c>
      <c r="F122" s="20" t="n">
        <v>48</v>
      </c>
      <c r="G122" s="20" t="n">
        <v>65</v>
      </c>
      <c r="H122" s="20" t="n">
        <v>-25</v>
      </c>
      <c r="I122" s="20" t="n">
        <v>156</v>
      </c>
      <c r="J122" s="20" t="n">
        <v>39</v>
      </c>
      <c r="K122" s="20" t="n">
        <v>25</v>
      </c>
      <c r="L122" s="20" t="n">
        <v>-156</v>
      </c>
      <c r="M122" s="20" t="n">
        <v>29</v>
      </c>
      <c r="N122" s="20" t="n">
        <v>85</v>
      </c>
      <c r="T122" s="20" t="n">
        <v>11</v>
      </c>
      <c r="U122" s="20" t="n">
        <v>40</v>
      </c>
      <c r="V122" s="20" t="n">
        <v>21</v>
      </c>
      <c r="W122" s="20" t="n">
        <v>-25</v>
      </c>
      <c r="X122" s="20" t="n">
        <v>-156</v>
      </c>
    </row>
    <row r="123">
      <c r="A123" s="18" t="inlineStr">
        <is>
          <t>영업외비용 합계</t>
        </is>
      </c>
      <c r="C123" s="20" t="n">
        <v>-57</v>
      </c>
      <c r="D123" s="20" t="n">
        <v>180</v>
      </c>
      <c r="E123" s="20" t="n">
        <v>108</v>
      </c>
      <c r="F123" s="20" t="n">
        <v>698</v>
      </c>
      <c r="G123" s="20" t="n">
        <v>386</v>
      </c>
      <c r="H123" s="20" t="n">
        <v>-561</v>
      </c>
      <c r="I123" s="20" t="n">
        <v>692</v>
      </c>
      <c r="J123" s="20" t="n">
        <v>-62</v>
      </c>
      <c r="K123" s="20" t="n">
        <v>172</v>
      </c>
      <c r="L123" s="20" t="n">
        <v>-267</v>
      </c>
      <c r="M123" s="20" t="n">
        <v>288</v>
      </c>
      <c r="N123" s="20" t="n">
        <v>409</v>
      </c>
      <c r="T123" s="20" t="n">
        <v>349</v>
      </c>
      <c r="U123" s="20" t="n">
        <v>170</v>
      </c>
      <c r="V123" s="20" t="n">
        <v>180</v>
      </c>
      <c r="W123" s="20" t="n">
        <v>-561</v>
      </c>
      <c r="X123" s="20" t="n">
        <v>-267</v>
      </c>
    </row>
    <row r="124">
      <c r="A124" s="43" t="inlineStr">
        <is>
          <t>YoY</t>
        </is>
      </c>
      <c r="B124" s="3" t="inlineStr">
        <is>
          <t>전년 같은 분기·전년 대비</t>
        </is>
      </c>
      <c r="G124" s="15">
        <f>IF(OR(G123="",C123=""),"",IF(G123*C123&lt;=0,"",IFERROR(G123/C123-1,"")))</f>
        <v/>
      </c>
      <c r="H124" s="15">
        <f>IF(OR(H123="",D123=""),"",IF(H123*D123&lt;=0,"",IFERROR(H123/D123-1,"")))</f>
        <v/>
      </c>
      <c r="I124" s="15">
        <f>IF(OR(I123="",E123=""),"",IF(I123*E123&lt;=0,"",IFERROR(I123/E123-1,"")))</f>
        <v/>
      </c>
      <c r="J124" s="15">
        <f>IF(OR(J123="",F123=""),"",IF(J123*F123&lt;=0,"",IFERROR(J123/F123-1,"")))</f>
        <v/>
      </c>
      <c r="K124" s="15">
        <f>IF(OR(K123="",G123=""),"",IF(K123*G123&lt;=0,"",IFERROR(K123/G123-1,"")))</f>
        <v/>
      </c>
      <c r="L124" s="15">
        <f>IF(OR(L123="",H123=""),"",IF(L123*H123&lt;=0,"",IFERROR(L123/H123-1,"")))</f>
        <v/>
      </c>
      <c r="M124" s="15">
        <f>IF(OR(M123="",I123=""),"",IF(M123*I123&lt;=0,"",IFERROR(M123/I123-1,"")))</f>
        <v/>
      </c>
      <c r="N124" s="15">
        <f>IF(OR(N123="",J123=""),"",IF(N123*J123&lt;=0,"",IFERROR(N123/J123-1,"")))</f>
        <v/>
      </c>
      <c r="T124" s="15">
        <f>IF(OR(T123="",S123=""),"",IF(T123*S123&lt;=0,"",IFERROR(T123/S123-1,"")))</f>
        <v/>
      </c>
      <c r="U124" s="15">
        <f>IF(OR(U123="",T123=""),"",IF(U123*T123&lt;=0,"",IFERROR(U123/T123-1,"")))</f>
        <v/>
      </c>
      <c r="V124" s="15">
        <f>IF(OR(V123="",U123=""),"",IF(V123*U123&lt;=0,"",IFERROR(V123/U123-1,"")))</f>
        <v/>
      </c>
      <c r="W124" s="15">
        <f>IF(OR(W123="",V123=""),"",IF(W123*V123&lt;=0,"",IFERROR(W123/V123-1,"")))</f>
        <v/>
      </c>
      <c r="X124" s="15">
        <f>IF(OR(X123="",W123=""),"",IF(X123*W123&lt;=0,"",IFERROR(X123/W123-1,"")))</f>
        <v/>
      </c>
    </row>
    <row r="125">
      <c r="A125" s="9" t="inlineStr">
        <is>
          <t>경상이익</t>
        </is>
      </c>
      <c r="C125" s="12" t="n">
        <v>6070</v>
      </c>
      <c r="D125" s="12" t="n">
        <v>1242</v>
      </c>
      <c r="E125" s="12" t="n">
        <v>6938</v>
      </c>
      <c r="F125" s="12" t="n">
        <v>4347</v>
      </c>
      <c r="G125" s="12" t="n">
        <v>5812</v>
      </c>
      <c r="H125" s="12" t="n">
        <v>-205</v>
      </c>
      <c r="I125" s="12" t="n">
        <v>3384</v>
      </c>
      <c r="J125" s="12" t="n">
        <v>6441</v>
      </c>
      <c r="K125" s="12" t="n">
        <v>6001</v>
      </c>
      <c r="L125" s="12" t="n">
        <v>121</v>
      </c>
      <c r="M125" s="12" t="n">
        <v>6246</v>
      </c>
      <c r="N125" s="12" t="n">
        <v>5349</v>
      </c>
      <c r="T125" s="12" t="n">
        <v>2586</v>
      </c>
      <c r="U125" s="12" t="n">
        <v>3623</v>
      </c>
      <c r="V125" s="12" t="n">
        <v>1242</v>
      </c>
      <c r="W125" s="12" t="n">
        <v>-205</v>
      </c>
      <c r="X125" s="12" t="n">
        <v>121</v>
      </c>
    </row>
    <row r="126">
      <c r="A126" s="43" t="inlineStr">
        <is>
          <t>YoY</t>
        </is>
      </c>
      <c r="B126" s="3" t="inlineStr">
        <is>
          <t>전년 같은 분기·전년 대비</t>
        </is>
      </c>
      <c r="G126" s="15">
        <f>IF(OR(G125="",C125=""),"",IF(C125&lt;=0,"",IFERROR(G125/C125-1,"")))</f>
        <v/>
      </c>
      <c r="H126" s="15">
        <f>IF(OR(H125="",D125=""),"",IF(D125&lt;=0,"",IFERROR(H125/D125-1,"")))</f>
        <v/>
      </c>
      <c r="I126" s="15">
        <f>IF(OR(I125="",E125=""),"",IF(E125&lt;=0,"",IFERROR(I125/E125-1,"")))</f>
        <v/>
      </c>
      <c r="J126" s="15">
        <f>IF(OR(J125="",F125=""),"",IF(F125&lt;=0,"",IFERROR(J125/F125-1,"")))</f>
        <v/>
      </c>
      <c r="K126" s="15">
        <f>IF(OR(K125="",G125=""),"",IF(G125&lt;=0,"",IFERROR(K125/G125-1,"")))</f>
        <v/>
      </c>
      <c r="L126" s="15">
        <f>IF(OR(L125="",H125=""),"",IF(H125&lt;=0,"",IFERROR(L125/H125-1,"")))</f>
        <v/>
      </c>
      <c r="M126" s="15">
        <f>IF(OR(M125="",I125=""),"",IF(I125&lt;=0,"",IFERROR(M125/I125-1,"")))</f>
        <v/>
      </c>
      <c r="N126" s="15">
        <f>IF(OR(N125="",J125=""),"",IF(J125&lt;=0,"",IFERROR(N125/J125-1,"")))</f>
        <v/>
      </c>
      <c r="T126" s="15">
        <f>IF(OR(T125="",S125=""),"",IF(S125&lt;=0,"",IFERROR(T125/S125-1,"")))</f>
        <v/>
      </c>
      <c r="U126" s="15">
        <f>IF(OR(U125="",T125=""),"",IF(T125&lt;=0,"",IFERROR(U125/T125-1,"")))</f>
        <v/>
      </c>
      <c r="V126" s="15">
        <f>IF(OR(V125="",U125=""),"",IF(U125&lt;=0,"",IFERROR(V125/U125-1,"")))</f>
        <v/>
      </c>
      <c r="W126" s="15">
        <f>IF(OR(W125="",V125=""),"",IF(V125&lt;=0,"",IFERROR(W125/V125-1,"")))</f>
        <v/>
      </c>
      <c r="X126" s="15">
        <f>IF(OR(X125="",W125=""),"",IF(W125&lt;=0,"",IFERROR(X125/W125-1,"")))</f>
        <v/>
      </c>
    </row>
    <row r="127">
      <c r="A127" s="18" t="inlineStr">
        <is>
          <t>고정자산 수증이익</t>
        </is>
      </c>
      <c r="E127" s="20" t="n">
        <v>0</v>
      </c>
      <c r="I127" s="20" t="n">
        <v>1289</v>
      </c>
      <c r="M127" s="20" t="n">
        <v>0</v>
      </c>
    </row>
    <row r="128">
      <c r="A128" s="18" t="inlineStr">
        <is>
          <t>고정자산 매각이익</t>
        </is>
      </c>
      <c r="G128" s="20" t="n">
        <v>0</v>
      </c>
      <c r="H128" s="20" t="n">
        <v>0</v>
      </c>
      <c r="K128" s="20" t="n">
        <v>0</v>
      </c>
      <c r="L128" s="20" t="n">
        <v>0</v>
      </c>
      <c r="W128" s="20" t="n">
        <v>0</v>
      </c>
      <c r="X128" s="20" t="n">
        <v>0</v>
      </c>
    </row>
    <row r="129">
      <c r="A129" s="18" t="inlineStr">
        <is>
          <t>보조금 수입</t>
        </is>
      </c>
      <c r="G129" s="20" t="n">
        <v>0</v>
      </c>
      <c r="H129" s="20" t="n">
        <v>0</v>
      </c>
      <c r="K129" s="20" t="n">
        <v>0</v>
      </c>
      <c r="L129" s="20" t="n">
        <v>200</v>
      </c>
      <c r="W129" s="20" t="n">
        <v>0</v>
      </c>
      <c r="X129" s="20" t="n">
        <v>200</v>
      </c>
    </row>
    <row r="130">
      <c r="A130" s="18" t="inlineStr">
        <is>
          <t>투자유가증권 매각이익</t>
        </is>
      </c>
      <c r="E130" s="20" t="n">
        <v>0</v>
      </c>
      <c r="F130" s="20" t="n">
        <v>0</v>
      </c>
      <c r="G130" s="20" t="n">
        <v>0</v>
      </c>
      <c r="H130" s="20" t="n">
        <v>0</v>
      </c>
      <c r="I130" s="20" t="n">
        <v>1933</v>
      </c>
      <c r="J130" s="20" t="n">
        <v>0</v>
      </c>
      <c r="K130" s="20" t="n">
        <v>0</v>
      </c>
      <c r="L130" s="20" t="n">
        <v>2291</v>
      </c>
      <c r="M130" s="20" t="n">
        <v>0</v>
      </c>
      <c r="N130" s="20" t="n">
        <v>0</v>
      </c>
      <c r="W130" s="20" t="n">
        <v>0</v>
      </c>
      <c r="X130" s="20" t="n">
        <v>2291</v>
      </c>
    </row>
    <row r="131">
      <c r="A131" s="18" t="inlineStr">
        <is>
          <t>신주예약권 환입이익</t>
        </is>
      </c>
      <c r="C131" s="20" t="n">
        <v>0</v>
      </c>
      <c r="D131" s="20" t="n">
        <v>0</v>
      </c>
      <c r="E131" s="20" t="n">
        <v>11</v>
      </c>
      <c r="F131" s="20" t="n">
        <v>0</v>
      </c>
      <c r="G131" s="20" t="n">
        <v>0</v>
      </c>
      <c r="H131" s="20" t="n">
        <v>0</v>
      </c>
      <c r="I131" s="20" t="n">
        <v>6</v>
      </c>
      <c r="J131" s="20" t="n">
        <v>0</v>
      </c>
      <c r="K131" s="20" t="n">
        <v>0</v>
      </c>
      <c r="L131" s="20" t="n">
        <v>0</v>
      </c>
      <c r="M131" s="20" t="n">
        <v>0</v>
      </c>
      <c r="N131" s="20" t="n">
        <v>0</v>
      </c>
      <c r="T131" s="20" t="n">
        <v>0</v>
      </c>
      <c r="U131" s="20" t="n">
        <v>0</v>
      </c>
      <c r="V131" s="20" t="n">
        <v>0</v>
      </c>
      <c r="W131" s="20" t="n">
        <v>0</v>
      </c>
      <c r="X131" s="20" t="n">
        <v>0</v>
      </c>
    </row>
    <row r="132">
      <c r="A132" s="18" t="inlineStr">
        <is>
          <t>특별이익 합계</t>
        </is>
      </c>
      <c r="C132" s="20" t="n">
        <v>0</v>
      </c>
      <c r="D132" s="20" t="n">
        <v>0</v>
      </c>
      <c r="E132" s="20" t="n">
        <v>11</v>
      </c>
      <c r="F132" s="20" t="n">
        <v>0</v>
      </c>
      <c r="G132" s="20" t="n">
        <v>0</v>
      </c>
      <c r="H132" s="20" t="n">
        <v>0</v>
      </c>
      <c r="I132" s="20" t="n">
        <v>3229</v>
      </c>
      <c r="J132" s="20" t="n">
        <v>646</v>
      </c>
      <c r="K132" s="20" t="n">
        <v>0</v>
      </c>
      <c r="L132" s="20" t="n">
        <v>2491</v>
      </c>
      <c r="M132" s="20" t="n">
        <v>0</v>
      </c>
      <c r="N132" s="20" t="n">
        <v>0</v>
      </c>
      <c r="T132" s="20" t="n">
        <v>0</v>
      </c>
      <c r="U132" s="20" t="n">
        <v>0</v>
      </c>
      <c r="V132" s="20" t="n">
        <v>0</v>
      </c>
      <c r="W132" s="20" t="n">
        <v>0</v>
      </c>
      <c r="X132" s="20" t="n">
        <v>2491</v>
      </c>
    </row>
    <row r="133">
      <c r="A133" s="43" t="inlineStr">
        <is>
          <t>YoY</t>
        </is>
      </c>
      <c r="B133" s="3" t="inlineStr">
        <is>
          <t>전년 같은 분기·전년 대비</t>
        </is>
      </c>
      <c r="G133" s="15">
        <f>IF(OR(G132="",C132=""),"",IF(G132*C132&lt;=0,"",IFERROR(G132/C132-1,"")))</f>
        <v/>
      </c>
      <c r="H133" s="15">
        <f>IF(OR(H132="",D132=""),"",IF(H132*D132&lt;=0,"",IFERROR(H132/D132-1,"")))</f>
        <v/>
      </c>
      <c r="I133" s="15">
        <f>IF(OR(I132="",E132=""),"",IF(I132*E132&lt;=0,"",IFERROR(I132/E132-1,"")))</f>
        <v/>
      </c>
      <c r="J133" s="15">
        <f>IF(OR(J132="",F132=""),"",IF(J132*F132&lt;=0,"",IFERROR(J132/F132-1,"")))</f>
        <v/>
      </c>
      <c r="K133" s="15">
        <f>IF(OR(K132="",G132=""),"",IF(K132*G132&lt;=0,"",IFERROR(K132/G132-1,"")))</f>
        <v/>
      </c>
      <c r="L133" s="15">
        <f>IF(OR(L132="",H132=""),"",IF(L132*H132&lt;=0,"",IFERROR(L132/H132-1,"")))</f>
        <v/>
      </c>
      <c r="M133" s="15">
        <f>IF(OR(M132="",I132=""),"",IF(M132*I132&lt;=0,"",IFERROR(M132/I132-1,"")))</f>
        <v/>
      </c>
      <c r="N133" s="15">
        <f>IF(OR(N132="",J132=""),"",IF(N132*J132&lt;=0,"",IFERROR(N132/J132-1,"")))</f>
        <v/>
      </c>
      <c r="T133" s="15">
        <f>IF(OR(T132="",S132=""),"",IF(T132*S132&lt;=0,"",IFERROR(T132/S132-1,"")))</f>
        <v/>
      </c>
      <c r="U133" s="15">
        <f>IF(OR(U132="",T132=""),"",IF(U132*T132&lt;=0,"",IFERROR(U132/T132-1,"")))</f>
        <v/>
      </c>
      <c r="V133" s="15">
        <f>IF(OR(V132="",U132=""),"",IF(V132*U132&lt;=0,"",IFERROR(V132/U132-1,"")))</f>
        <v/>
      </c>
      <c r="W133" s="15">
        <f>IF(OR(W132="",V132=""),"",IF(W132*V132&lt;=0,"",IFERROR(W132/V132-1,"")))</f>
        <v/>
      </c>
      <c r="X133" s="15">
        <f>IF(OR(X132="",W132=""),"",IF(X132*W132&lt;=0,"",IFERROR(X132/W132-1,"")))</f>
        <v/>
      </c>
    </row>
    <row r="134">
      <c r="A134" s="18" t="inlineStr">
        <is>
          <t>Estimated Loss On Leaked Fund Of American Subsidiary EL</t>
        </is>
      </c>
      <c r="C134" s="20" t="n">
        <v>0</v>
      </c>
      <c r="D134" s="20" t="n">
        <v>0</v>
      </c>
      <c r="T134" s="20" t="n">
        <v>0</v>
      </c>
      <c r="U134" s="20" t="n">
        <v>10</v>
      </c>
      <c r="V134" s="20" t="n">
        <v>0</v>
      </c>
    </row>
    <row r="135">
      <c r="A135" s="18" t="inlineStr">
        <is>
          <t>고정자산 압축손실</t>
        </is>
      </c>
      <c r="E135" s="20" t="n">
        <v>0</v>
      </c>
      <c r="F135" s="20" t="n">
        <v>0</v>
      </c>
      <c r="G135" s="20" t="n">
        <v>0</v>
      </c>
      <c r="H135" s="20" t="n">
        <v>0</v>
      </c>
      <c r="I135" s="20" t="n">
        <v>1244</v>
      </c>
      <c r="J135" s="20" t="n">
        <v>409</v>
      </c>
      <c r="K135" s="20" t="n">
        <v>0</v>
      </c>
      <c r="L135" s="20" t="n">
        <v>196</v>
      </c>
      <c r="M135" s="20" t="n">
        <v>0</v>
      </c>
      <c r="N135" s="20" t="n">
        <v>0</v>
      </c>
      <c r="W135" s="20" t="n">
        <v>0</v>
      </c>
      <c r="X135" s="20" t="n">
        <v>196</v>
      </c>
    </row>
    <row r="136">
      <c r="A136" s="18" t="inlineStr">
        <is>
          <t>관계회사 주식 매각손실</t>
        </is>
      </c>
      <c r="G136" s="20" t="n">
        <v>0</v>
      </c>
      <c r="H136" s="20" t="n">
        <v>0</v>
      </c>
      <c r="K136" s="20" t="n">
        <v>0</v>
      </c>
      <c r="L136" s="20" t="n">
        <v>327</v>
      </c>
      <c r="W136" s="20" t="n">
        <v>0</v>
      </c>
      <c r="X136" s="20" t="n">
        <v>327</v>
      </c>
    </row>
    <row r="137">
      <c r="A137" s="18" t="inlineStr">
        <is>
          <t>특별손실 합계</t>
        </is>
      </c>
      <c r="C137" s="20" t="n">
        <v>0</v>
      </c>
      <c r="D137" s="20" t="n">
        <v>0</v>
      </c>
      <c r="E137" s="20" t="n">
        <v>0</v>
      </c>
      <c r="F137" s="20" t="n">
        <v>0</v>
      </c>
      <c r="G137" s="20" t="n">
        <v>0</v>
      </c>
      <c r="H137" s="20" t="n">
        <v>0</v>
      </c>
      <c r="I137" s="20" t="n">
        <v>1244</v>
      </c>
      <c r="J137" s="20" t="n">
        <v>1307</v>
      </c>
      <c r="K137" s="20" t="n">
        <v>0</v>
      </c>
      <c r="L137" s="20" t="n">
        <v>522</v>
      </c>
      <c r="M137" s="20" t="n">
        <v>0</v>
      </c>
      <c r="N137" s="20" t="n">
        <v>0</v>
      </c>
      <c r="T137" s="20" t="n">
        <v>0</v>
      </c>
      <c r="U137" s="20" t="n">
        <v>10</v>
      </c>
      <c r="V137" s="20" t="n">
        <v>0</v>
      </c>
      <c r="W137" s="20" t="n">
        <v>0</v>
      </c>
      <c r="X137" s="20" t="n">
        <v>522</v>
      </c>
    </row>
    <row r="138">
      <c r="A138" s="43" t="inlineStr">
        <is>
          <t>YoY</t>
        </is>
      </c>
      <c r="B138" s="3" t="inlineStr">
        <is>
          <t>전년 같은 분기·전년 대비</t>
        </is>
      </c>
      <c r="G138" s="15">
        <f>IF(OR(G137="",C137=""),"",IF(G137*C137&lt;=0,"",IFERROR(G137/C137-1,"")))</f>
        <v/>
      </c>
      <c r="H138" s="15">
        <f>IF(OR(H137="",D137=""),"",IF(H137*D137&lt;=0,"",IFERROR(H137/D137-1,"")))</f>
        <v/>
      </c>
      <c r="I138" s="15">
        <f>IF(OR(I137="",E137=""),"",IF(I137*E137&lt;=0,"",IFERROR(I137/E137-1,"")))</f>
        <v/>
      </c>
      <c r="J138" s="15">
        <f>IF(OR(J137="",F137=""),"",IF(J137*F137&lt;=0,"",IFERROR(J137/F137-1,"")))</f>
        <v/>
      </c>
      <c r="K138" s="15">
        <f>IF(OR(K137="",G137=""),"",IF(K137*G137&lt;=0,"",IFERROR(K137/G137-1,"")))</f>
        <v/>
      </c>
      <c r="L138" s="15">
        <f>IF(OR(L137="",H137=""),"",IF(L137*H137&lt;=0,"",IFERROR(L137/H137-1,"")))</f>
        <v/>
      </c>
      <c r="M138" s="15">
        <f>IF(OR(M137="",I137=""),"",IF(M137*I137&lt;=0,"",IFERROR(M137/I137-1,"")))</f>
        <v/>
      </c>
      <c r="N138" s="15">
        <f>IF(OR(N137="",J137=""),"",IF(N137*J137&lt;=0,"",IFERROR(N137/J137-1,"")))</f>
        <v/>
      </c>
      <c r="T138" s="15">
        <f>IF(OR(T137="",S137=""),"",IF(T137*S137&lt;=0,"",IFERROR(T137/S137-1,"")))</f>
        <v/>
      </c>
      <c r="U138" s="15">
        <f>IF(OR(U137="",T137=""),"",IF(U137*T137&lt;=0,"",IFERROR(U137/T137-1,"")))</f>
        <v/>
      </c>
      <c r="V138" s="15">
        <f>IF(OR(V137="",U137=""),"",IF(V137*U137&lt;=0,"",IFERROR(V137/U137-1,"")))</f>
        <v/>
      </c>
      <c r="W138" s="15">
        <f>IF(OR(W137="",V137=""),"",IF(W137*V137&lt;=0,"",IFERROR(W137/V137-1,"")))</f>
        <v/>
      </c>
      <c r="X138" s="15">
        <f>IF(OR(X137="",W137=""),"",IF(X137*W137&lt;=0,"",IFERROR(X137/W137-1,"")))</f>
        <v/>
      </c>
    </row>
    <row r="139">
      <c r="A139" s="9" t="inlineStr">
        <is>
          <t>법인세차감전 순이익</t>
        </is>
      </c>
      <c r="C139" s="12" t="n">
        <v>6070</v>
      </c>
      <c r="D139" s="12" t="n">
        <v>1243</v>
      </c>
      <c r="E139" s="12" t="n">
        <v>6950</v>
      </c>
      <c r="F139" s="12" t="n">
        <v>4347</v>
      </c>
      <c r="G139" s="12" t="n">
        <v>5812</v>
      </c>
      <c r="H139" s="12" t="n">
        <v>-205</v>
      </c>
      <c r="I139" s="12" t="n">
        <v>5369</v>
      </c>
      <c r="J139" s="12" t="n">
        <v>5781</v>
      </c>
      <c r="K139" s="12" t="n">
        <v>6001</v>
      </c>
      <c r="L139" s="12" t="n">
        <v>2089</v>
      </c>
      <c r="M139" s="12" t="n">
        <v>6246</v>
      </c>
      <c r="N139" s="12" t="n">
        <v>5349</v>
      </c>
      <c r="T139" s="12" t="n">
        <v>2586</v>
      </c>
      <c r="U139" s="12" t="n">
        <v>3612</v>
      </c>
      <c r="V139" s="12" t="n">
        <v>1243</v>
      </c>
      <c r="W139" s="12" t="n">
        <v>-205</v>
      </c>
      <c r="X139" s="12" t="n">
        <v>2089</v>
      </c>
    </row>
    <row r="140">
      <c r="A140" s="43" t="inlineStr">
        <is>
          <t>YoY</t>
        </is>
      </c>
      <c r="B140" s="3" t="inlineStr">
        <is>
          <t>전년 같은 분기·전년 대비</t>
        </is>
      </c>
      <c r="G140" s="15">
        <f>IF(OR(G139="",C139=""),"",IF(C139&lt;=0,"",IFERROR(G139/C139-1,"")))</f>
        <v/>
      </c>
      <c r="H140" s="15">
        <f>IF(OR(H139="",D139=""),"",IF(D139&lt;=0,"",IFERROR(H139/D139-1,"")))</f>
        <v/>
      </c>
      <c r="I140" s="15">
        <f>IF(OR(I139="",E139=""),"",IF(E139&lt;=0,"",IFERROR(I139/E139-1,"")))</f>
        <v/>
      </c>
      <c r="J140" s="15">
        <f>IF(OR(J139="",F139=""),"",IF(F139&lt;=0,"",IFERROR(J139/F139-1,"")))</f>
        <v/>
      </c>
      <c r="K140" s="15">
        <f>IF(OR(K139="",G139=""),"",IF(G139&lt;=0,"",IFERROR(K139/G139-1,"")))</f>
        <v/>
      </c>
      <c r="L140" s="15">
        <f>IF(OR(L139="",H139=""),"",IF(H139&lt;=0,"",IFERROR(L139/H139-1,"")))</f>
        <v/>
      </c>
      <c r="M140" s="15">
        <f>IF(OR(M139="",I139=""),"",IF(I139&lt;=0,"",IFERROR(M139/I139-1,"")))</f>
        <v/>
      </c>
      <c r="N140" s="15">
        <f>IF(OR(N139="",J139=""),"",IF(J139&lt;=0,"",IFERROR(N139/J139-1,"")))</f>
        <v/>
      </c>
      <c r="T140" s="15">
        <f>IF(OR(T139="",S139=""),"",IF(S139&lt;=0,"",IFERROR(T139/S139-1,"")))</f>
        <v/>
      </c>
      <c r="U140" s="15">
        <f>IF(OR(U139="",T139=""),"",IF(T139&lt;=0,"",IFERROR(U139/T139-1,"")))</f>
        <v/>
      </c>
      <c r="V140" s="15">
        <f>IF(OR(V139="",U139=""),"",IF(U139&lt;=0,"",IFERROR(V139/U139-1,"")))</f>
        <v/>
      </c>
      <c r="W140" s="15">
        <f>IF(OR(W139="",V139=""),"",IF(V139&lt;=0,"",IFERROR(W139/V139-1,"")))</f>
        <v/>
      </c>
      <c r="X140" s="15">
        <f>IF(OR(X139="",W139=""),"",IF(W139&lt;=0,"",IFERROR(X139/W139-1,"")))</f>
        <v/>
      </c>
    </row>
    <row r="141">
      <c r="A141" s="18" t="inlineStr">
        <is>
          <t>법인세·주민세·사업세</t>
        </is>
      </c>
      <c r="C141" s="20" t="n">
        <v>1572</v>
      </c>
      <c r="D141" s="20" t="n">
        <v>868</v>
      </c>
      <c r="E141" s="20" t="n">
        <v>1608</v>
      </c>
      <c r="F141" s="20" t="n">
        <v>1412</v>
      </c>
      <c r="G141" s="20" t="n">
        <v>1386</v>
      </c>
      <c r="H141" s="20" t="n">
        <v>-3566</v>
      </c>
      <c r="I141" s="20" t="n">
        <v>2377</v>
      </c>
      <c r="J141" s="20" t="n">
        <v>1341</v>
      </c>
      <c r="K141" s="20" t="n">
        <v>867</v>
      </c>
      <c r="L141" s="20" t="n">
        <v>-3046</v>
      </c>
      <c r="M141" s="20" t="n">
        <v>2590</v>
      </c>
      <c r="N141" s="20" t="n">
        <v>1020</v>
      </c>
      <c r="T141" s="20" t="n">
        <v>525</v>
      </c>
      <c r="U141" s="20" t="n">
        <v>677</v>
      </c>
      <c r="V141" s="20" t="n">
        <v>868</v>
      </c>
      <c r="W141" s="20" t="n">
        <v>-3566</v>
      </c>
      <c r="X141" s="20" t="n">
        <v>-3046</v>
      </c>
    </row>
    <row r="142">
      <c r="A142" s="18" t="inlineStr">
        <is>
          <t>법인세 조정액</t>
        </is>
      </c>
      <c r="C142" s="20" t="n">
        <v>304</v>
      </c>
      <c r="D142" s="20" t="n">
        <v>48</v>
      </c>
      <c r="E142" s="20" t="n">
        <v>-274</v>
      </c>
      <c r="F142" s="20" t="n">
        <v>82</v>
      </c>
      <c r="G142" s="20" t="n">
        <v>497</v>
      </c>
      <c r="H142" s="20" t="n">
        <v>-731</v>
      </c>
      <c r="I142" s="20" t="n">
        <v>-727</v>
      </c>
      <c r="J142" s="20" t="n">
        <v>198</v>
      </c>
      <c r="K142" s="20" t="n">
        <v>525</v>
      </c>
      <c r="L142" s="20" t="n">
        <v>2131</v>
      </c>
      <c r="M142" s="20" t="n">
        <v>-883</v>
      </c>
      <c r="N142" s="20" t="n">
        <v>614</v>
      </c>
      <c r="T142" s="20" t="n">
        <v>205</v>
      </c>
      <c r="U142" s="20" t="n">
        <v>1070</v>
      </c>
      <c r="V142" s="20" t="n">
        <v>48</v>
      </c>
      <c r="W142" s="20" t="n">
        <v>-731</v>
      </c>
      <c r="X142" s="20" t="n">
        <v>2131</v>
      </c>
    </row>
    <row r="143">
      <c r="A143" s="18" t="inlineStr">
        <is>
          <t>법인세 등 합계</t>
        </is>
      </c>
      <c r="C143" s="20" t="n">
        <v>1876</v>
      </c>
      <c r="D143" s="20" t="n">
        <v>915</v>
      </c>
      <c r="E143" s="20" t="n">
        <v>1334</v>
      </c>
      <c r="F143" s="20" t="n">
        <v>1494</v>
      </c>
      <c r="G143" s="20" t="n">
        <v>1883</v>
      </c>
      <c r="H143" s="20" t="n">
        <v>-4298</v>
      </c>
      <c r="I143" s="20" t="n">
        <v>1649</v>
      </c>
      <c r="J143" s="20" t="n">
        <v>1539</v>
      </c>
      <c r="K143" s="20" t="n">
        <v>1393</v>
      </c>
      <c r="L143" s="20" t="n">
        <v>-914</v>
      </c>
      <c r="M143" s="20" t="n">
        <v>1707</v>
      </c>
      <c r="N143" s="20" t="n">
        <v>1634</v>
      </c>
      <c r="T143" s="20" t="n">
        <v>730</v>
      </c>
      <c r="U143" s="20" t="n">
        <v>1747</v>
      </c>
      <c r="V143" s="20" t="n">
        <v>915</v>
      </c>
      <c r="W143" s="20" t="n">
        <v>-4298</v>
      </c>
      <c r="X143" s="20" t="n">
        <v>-914</v>
      </c>
    </row>
    <row r="144">
      <c r="A144" s="43" t="inlineStr">
        <is>
          <t>YoY</t>
        </is>
      </c>
      <c r="B144" s="3" t="inlineStr">
        <is>
          <t>전년 같은 분기·전년 대비</t>
        </is>
      </c>
      <c r="G144" s="15">
        <f>IF(OR(G143="",C143=""),"",IF(G143*C143&lt;=0,"",IFERROR(G143/C143-1,"")))</f>
        <v/>
      </c>
      <c r="H144" s="15">
        <f>IF(OR(H143="",D143=""),"",IF(H143*D143&lt;=0,"",IFERROR(H143/D143-1,"")))</f>
        <v/>
      </c>
      <c r="I144" s="15">
        <f>IF(OR(I143="",E143=""),"",IF(I143*E143&lt;=0,"",IFERROR(I143/E143-1,"")))</f>
        <v/>
      </c>
      <c r="J144" s="15">
        <f>IF(OR(J143="",F143=""),"",IF(J143*F143&lt;=0,"",IFERROR(J143/F143-1,"")))</f>
        <v/>
      </c>
      <c r="K144" s="15">
        <f>IF(OR(K143="",G143=""),"",IF(K143*G143&lt;=0,"",IFERROR(K143/G143-1,"")))</f>
        <v/>
      </c>
      <c r="L144" s="15">
        <f>IF(OR(L143="",H143=""),"",IF(L143*H143&lt;=0,"",IFERROR(L143/H143-1,"")))</f>
        <v/>
      </c>
      <c r="M144" s="15">
        <f>IF(OR(M143="",I143=""),"",IF(M143*I143&lt;=0,"",IFERROR(M143/I143-1,"")))</f>
        <v/>
      </c>
      <c r="N144" s="15">
        <f>IF(OR(N143="",J143=""),"",IF(N143*J143&lt;=0,"",IFERROR(N143/J143-1,"")))</f>
        <v/>
      </c>
      <c r="T144" s="15">
        <f>IF(OR(T143="",S143=""),"",IF(T143*S143&lt;=0,"",IFERROR(T143/S143-1,"")))</f>
        <v/>
      </c>
      <c r="U144" s="15">
        <f>IF(OR(U143="",T143=""),"",IF(U143*T143&lt;=0,"",IFERROR(U143/T143-1,"")))</f>
        <v/>
      </c>
      <c r="V144" s="15">
        <f>IF(OR(V143="",U143=""),"",IF(V143*U143&lt;=0,"",IFERROR(V143/U143-1,"")))</f>
        <v/>
      </c>
      <c r="W144" s="15">
        <f>IF(OR(W143="",V143=""),"",IF(W143*V143&lt;=0,"",IFERROR(W143/V143-1,"")))</f>
        <v/>
      </c>
      <c r="X144" s="15">
        <f>IF(OR(X143="",W143=""),"",IF(X143*W143&lt;=0,"",IFERROR(X143/W143-1,"")))</f>
        <v/>
      </c>
    </row>
    <row r="145">
      <c r="A145" s="9" t="inlineStr">
        <is>
          <t>순이익</t>
        </is>
      </c>
      <c r="C145" s="12" t="n">
        <v>4194</v>
      </c>
      <c r="D145" s="12" t="n">
        <v>327</v>
      </c>
      <c r="E145" s="12" t="n">
        <v>5616</v>
      </c>
      <c r="F145" s="12" t="n">
        <v>2853</v>
      </c>
      <c r="G145" s="12" t="n">
        <v>3928</v>
      </c>
      <c r="H145" s="12" t="n">
        <v>4094</v>
      </c>
      <c r="I145" s="12" t="n">
        <v>3719</v>
      </c>
      <c r="J145" s="12" t="n">
        <v>4242</v>
      </c>
      <c r="K145" s="12" t="n">
        <v>4608</v>
      </c>
      <c r="L145" s="12" t="n">
        <v>3004</v>
      </c>
      <c r="M145" s="12" t="n">
        <v>4538</v>
      </c>
      <c r="N145" s="12" t="n">
        <v>3716</v>
      </c>
      <c r="T145" s="12" t="n">
        <v>1856</v>
      </c>
      <c r="U145" s="12" t="n">
        <v>1865</v>
      </c>
      <c r="V145" s="12" t="n">
        <v>327</v>
      </c>
      <c r="W145" s="12" t="n">
        <v>4094</v>
      </c>
      <c r="X145" s="12" t="n">
        <v>3004</v>
      </c>
    </row>
    <row r="146">
      <c r="A146" s="43" t="inlineStr">
        <is>
          <t>YoY</t>
        </is>
      </c>
      <c r="B146" s="3" t="inlineStr">
        <is>
          <t>전년 같은 분기·전년 대비</t>
        </is>
      </c>
      <c r="G146" s="15">
        <f>IF(OR(G145="",C145=""),"",IF(C145&lt;=0,"",IFERROR(G145/C145-1,"")))</f>
        <v/>
      </c>
      <c r="H146" s="15">
        <f>IF(OR(H145="",D145=""),"",IF(D145&lt;=0,"",IFERROR(H145/D145-1,"")))</f>
        <v/>
      </c>
      <c r="I146" s="15">
        <f>IF(OR(I145="",E145=""),"",IF(E145&lt;=0,"",IFERROR(I145/E145-1,"")))</f>
        <v/>
      </c>
      <c r="J146" s="15">
        <f>IF(OR(J145="",F145=""),"",IF(F145&lt;=0,"",IFERROR(J145/F145-1,"")))</f>
        <v/>
      </c>
      <c r="K146" s="15">
        <f>IF(OR(K145="",G145=""),"",IF(G145&lt;=0,"",IFERROR(K145/G145-1,"")))</f>
        <v/>
      </c>
      <c r="L146" s="15">
        <f>IF(OR(L145="",H145=""),"",IF(H145&lt;=0,"",IFERROR(L145/H145-1,"")))</f>
        <v/>
      </c>
      <c r="M146" s="15">
        <f>IF(OR(M145="",I145=""),"",IF(I145&lt;=0,"",IFERROR(M145/I145-1,"")))</f>
        <v/>
      </c>
      <c r="N146" s="15">
        <f>IF(OR(N145="",J145=""),"",IF(J145&lt;=0,"",IFERROR(N145/J145-1,"")))</f>
        <v/>
      </c>
      <c r="T146" s="15">
        <f>IF(OR(T145="",S145=""),"",IF(S145&lt;=0,"",IFERROR(T145/S145-1,"")))</f>
        <v/>
      </c>
      <c r="U146" s="15">
        <f>IF(OR(U145="",T145=""),"",IF(T145&lt;=0,"",IFERROR(U145/T145-1,"")))</f>
        <v/>
      </c>
      <c r="V146" s="15">
        <f>IF(OR(V145="",U145=""),"",IF(U145&lt;=0,"",IFERROR(V145/U145-1,"")))</f>
        <v/>
      </c>
      <c r="W146" s="15">
        <f>IF(OR(W145="",V145=""),"",IF(V145&lt;=0,"",IFERROR(W145/V145-1,"")))</f>
        <v/>
      </c>
      <c r="X146" s="15">
        <f>IF(OR(X145="",W145=""),"",IF(W145&lt;=0,"",IFERROR(X145/W145-1,"")))</f>
        <v/>
      </c>
    </row>
    <row r="147">
      <c r="A147" s="9" t="inlineStr">
        <is>
          <t>비지배주주 순이익</t>
        </is>
      </c>
      <c r="C147" s="12" t="n">
        <v>212</v>
      </c>
      <c r="D147" s="12" t="n">
        <v>89</v>
      </c>
      <c r="E147" s="12" t="n">
        <v>241</v>
      </c>
      <c r="F147" s="12" t="n">
        <v>221</v>
      </c>
      <c r="G147" s="12" t="n">
        <v>194</v>
      </c>
      <c r="H147" s="12" t="n">
        <v>55</v>
      </c>
      <c r="I147" s="12" t="n">
        <v>164</v>
      </c>
      <c r="J147" s="12" t="n">
        <v>215</v>
      </c>
      <c r="K147" s="12" t="n">
        <v>225</v>
      </c>
      <c r="L147" s="12" t="n">
        <v>100</v>
      </c>
      <c r="M147" s="12" t="n">
        <v>185</v>
      </c>
      <c r="N147" s="12" t="n">
        <v>185</v>
      </c>
      <c r="T147" s="12" t="n">
        <v>155</v>
      </c>
      <c r="U147" s="12" t="n">
        <v>205</v>
      </c>
      <c r="V147" s="12" t="n">
        <v>89</v>
      </c>
      <c r="W147" s="12" t="n">
        <v>55</v>
      </c>
      <c r="X147" s="12" t="n">
        <v>100</v>
      </c>
    </row>
    <row r="148">
      <c r="A148" s="9" t="inlineStr">
        <is>
          <t>지배주주 순이익</t>
        </is>
      </c>
      <c r="C148" s="12" t="n">
        <v>3981</v>
      </c>
      <c r="D148" s="12" t="n">
        <v>238</v>
      </c>
      <c r="E148" s="12" t="n">
        <v>5375</v>
      </c>
      <c r="F148" s="12" t="n">
        <v>2632</v>
      </c>
      <c r="G148" s="12" t="n">
        <v>3734</v>
      </c>
      <c r="H148" s="12" t="n">
        <v>1493</v>
      </c>
      <c r="I148" s="12" t="n">
        <v>3555</v>
      </c>
      <c r="J148" s="12" t="n">
        <v>4027</v>
      </c>
      <c r="K148" s="12" t="n">
        <v>4383</v>
      </c>
      <c r="L148" s="12" t="n">
        <v>1109</v>
      </c>
      <c r="M148" s="12" t="n">
        <v>4353</v>
      </c>
      <c r="N148" s="12" t="n">
        <v>3531</v>
      </c>
      <c r="T148" s="12" t="n">
        <v>1701</v>
      </c>
      <c r="U148" s="12" t="n">
        <v>1660</v>
      </c>
      <c r="V148" s="12" t="n">
        <v>238</v>
      </c>
      <c r="W148" s="12" t="n">
        <v>1493</v>
      </c>
      <c r="X148" s="12" t="n">
        <v>1109</v>
      </c>
    </row>
    <row r="149">
      <c r="A149" s="43" t="inlineStr">
        <is>
          <t>YoY</t>
        </is>
      </c>
      <c r="B149" s="3" t="inlineStr">
        <is>
          <t>전년 같은 분기·전년 대비</t>
        </is>
      </c>
      <c r="G149" s="15">
        <f>IF(OR(G148="",C148=""),"",IF(C148&lt;=0,"",IFERROR(G148/C148-1,"")))</f>
        <v/>
      </c>
      <c r="H149" s="15">
        <f>IF(OR(H148="",D148=""),"",IF(D148&lt;=0,"",IFERROR(H148/D148-1,"")))</f>
        <v/>
      </c>
      <c r="I149" s="15">
        <f>IF(OR(I148="",E148=""),"",IF(E148&lt;=0,"",IFERROR(I148/E148-1,"")))</f>
        <v/>
      </c>
      <c r="J149" s="15">
        <f>IF(OR(J148="",F148=""),"",IF(F148&lt;=0,"",IFERROR(J148/F148-1,"")))</f>
        <v/>
      </c>
      <c r="K149" s="15">
        <f>IF(OR(K148="",G148=""),"",IF(G148&lt;=0,"",IFERROR(K148/G148-1,"")))</f>
        <v/>
      </c>
      <c r="L149" s="15">
        <f>IF(OR(L148="",H148=""),"",IF(H148&lt;=0,"",IFERROR(L148/H148-1,"")))</f>
        <v/>
      </c>
      <c r="M149" s="15">
        <f>IF(OR(M148="",I148=""),"",IF(I148&lt;=0,"",IFERROR(M148/I148-1,"")))</f>
        <v/>
      </c>
      <c r="N149" s="15">
        <f>IF(OR(N148="",J148=""),"",IF(J148&lt;=0,"",IFERROR(N148/J148-1,"")))</f>
        <v/>
      </c>
      <c r="T149" s="15">
        <f>IF(OR(T148="",S148=""),"",IF(S148&lt;=0,"",IFERROR(T148/S148-1,"")))</f>
        <v/>
      </c>
      <c r="U149" s="15">
        <f>IF(OR(U148="",T148=""),"",IF(T148&lt;=0,"",IFERROR(U148/T148-1,"")))</f>
        <v/>
      </c>
      <c r="V149" s="15">
        <f>IF(OR(V148="",U148=""),"",IF(U148&lt;=0,"",IFERROR(V148/U148-1,"")))</f>
        <v/>
      </c>
      <c r="W149" s="15">
        <f>IF(OR(W148="",V148=""),"",IF(V148&lt;=0,"",IFERROR(W148/V148-1,"")))</f>
        <v/>
      </c>
      <c r="X149" s="15">
        <f>IF(OR(X148="",W148=""),"",IF(W148&lt;=0,"",IFERROR(X148/W148-1,"")))</f>
        <v/>
      </c>
    </row>
    <row r="151">
      <c r="A151" s="16" t="inlineStr">
        <is>
          <t>포괄손익 · 전 항목</t>
        </is>
      </c>
      <c r="B151" s="42" t="inlineStr">
        <is>
          <t>분기 = 3개월 단독</t>
        </is>
      </c>
      <c r="C151" s="16" t="n"/>
      <c r="D151" s="16" t="n"/>
      <c r="E151" s="16" t="n"/>
      <c r="F151" s="16" t="n"/>
      <c r="G151" s="16" t="n"/>
      <c r="H151" s="16" t="n"/>
      <c r="I151" s="16" t="n"/>
      <c r="J151" s="16" t="n"/>
      <c r="K151" s="16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  <c r="W151" s="16" t="n"/>
      <c r="X151" s="16" t="n"/>
      <c r="Y151" s="16" t="n"/>
      <c r="Z151" s="16" t="n"/>
      <c r="AA151" s="16" t="n"/>
      <c r="AB151" s="16" t="n"/>
      <c r="AC151" s="16" t="n"/>
    </row>
    <row r="152">
      <c r="A152" s="5" t="inlineStr">
        <is>
          <t>항목</t>
        </is>
      </c>
      <c r="B152" s="5" t="inlineStr">
        <is>
          <t>참고</t>
        </is>
      </c>
      <c r="C152" s="5" t="inlineStr">
        <is>
          <t>2024.3Q</t>
        </is>
      </c>
      <c r="D152" s="5" t="inlineStr">
        <is>
          <t>2024.4Q</t>
        </is>
      </c>
      <c r="E152" s="5" t="inlineStr">
        <is>
          <t>2025.1Q</t>
        </is>
      </c>
      <c r="F152" s="5" t="inlineStr">
        <is>
          <t>2025.2Q</t>
        </is>
      </c>
      <c r="G152" s="5" t="inlineStr">
        <is>
          <t>2025.3Q</t>
        </is>
      </c>
      <c r="H152" s="5" t="inlineStr">
        <is>
          <t>2025.4Q</t>
        </is>
      </c>
      <c r="I152" s="5" t="inlineStr">
        <is>
          <t>2026.1Q</t>
        </is>
      </c>
      <c r="J152" s="5" t="inlineStr">
        <is>
          <t>2026.2Q</t>
        </is>
      </c>
      <c r="K152" s="5" t="inlineStr">
        <is>
          <t>2026.3Q</t>
        </is>
      </c>
      <c r="L152" s="5" t="inlineStr">
        <is>
          <t>2026.4Q</t>
        </is>
      </c>
      <c r="M152" s="5" t="inlineStr">
        <is>
          <t>2027.1Q</t>
        </is>
      </c>
      <c r="N152" s="5" t="inlineStr">
        <is>
          <t>2027.2Q</t>
        </is>
      </c>
      <c r="O152" s="5" t="inlineStr">
        <is>
          <t>2017</t>
        </is>
      </c>
      <c r="P152" s="5" t="inlineStr">
        <is>
          <t>2018</t>
        </is>
      </c>
      <c r="Q152" s="5" t="inlineStr">
        <is>
          <t>2019</t>
        </is>
      </c>
      <c r="R152" s="5" t="inlineStr">
        <is>
          <t>2020</t>
        </is>
      </c>
      <c r="S152" s="5" t="inlineStr">
        <is>
          <t>2021</t>
        </is>
      </c>
      <c r="T152" s="5" t="inlineStr">
        <is>
          <t>2022</t>
        </is>
      </c>
      <c r="U152" s="5" t="inlineStr">
        <is>
          <t>2023</t>
        </is>
      </c>
      <c r="V152" s="5" t="inlineStr">
        <is>
          <t>2024</t>
        </is>
      </c>
      <c r="W152" s="5" t="inlineStr">
        <is>
          <t>2025</t>
        </is>
      </c>
      <c r="X152" s="5" t="inlineStr">
        <is>
          <t>2026</t>
        </is>
      </c>
      <c r="Y152" s="5" t="inlineStr">
        <is>
          <t>2027(MW)</t>
        </is>
      </c>
      <c r="Z152" s="5" t="inlineStr">
        <is>
          <t>2028(MW)</t>
        </is>
      </c>
      <c r="AA152" s="5" t="inlineStr">
        <is>
          <t>2029(MW)</t>
        </is>
      </c>
      <c r="AB152" s="5" t="inlineStr">
        <is>
          <t>2030(MW)</t>
        </is>
      </c>
      <c r="AC152" s="5" t="inlineStr">
        <is>
          <t>2031(MW)</t>
        </is>
      </c>
    </row>
    <row r="153">
      <c r="A153" s="9" t="inlineStr">
        <is>
          <t>순이익</t>
        </is>
      </c>
      <c r="C153" s="12" t="n">
        <v>4194</v>
      </c>
      <c r="D153" s="12" t="n">
        <v>327</v>
      </c>
      <c r="E153" s="12" t="n">
        <v>5616</v>
      </c>
      <c r="F153" s="12" t="n">
        <v>2853</v>
      </c>
      <c r="G153" s="12" t="n">
        <v>3928</v>
      </c>
      <c r="H153" s="12" t="n">
        <v>1549</v>
      </c>
      <c r="I153" s="12" t="n">
        <v>3719</v>
      </c>
      <c r="J153" s="12" t="n">
        <v>4242</v>
      </c>
      <c r="K153" s="12" t="n">
        <v>4608</v>
      </c>
      <c r="L153" s="12" t="n">
        <v>1210</v>
      </c>
      <c r="M153" s="12" t="n">
        <v>4538</v>
      </c>
      <c r="N153" s="12" t="n">
        <v>3716</v>
      </c>
      <c r="T153" s="12" t="n">
        <v>1856</v>
      </c>
      <c r="U153" s="12" t="n">
        <v>1865</v>
      </c>
      <c r="V153" s="12" t="n">
        <v>327</v>
      </c>
      <c r="W153" s="12" t="n">
        <v>1549</v>
      </c>
      <c r="X153" s="12" t="n">
        <v>1210</v>
      </c>
    </row>
    <row r="154">
      <c r="A154" s="18" t="inlineStr">
        <is>
          <t>기타유가증권 평가차액</t>
        </is>
      </c>
      <c r="C154" s="20" t="n">
        <v>-369</v>
      </c>
      <c r="D154" s="20" t="n">
        <v>1660</v>
      </c>
      <c r="E154" s="20" t="n">
        <v>-1244</v>
      </c>
      <c r="F154" s="20" t="n">
        <v>-594</v>
      </c>
      <c r="G154" s="20" t="n">
        <v>472</v>
      </c>
      <c r="H154" s="20" t="n">
        <v>-608</v>
      </c>
      <c r="I154" s="20" t="n">
        <v>-1148</v>
      </c>
      <c r="J154" s="20" t="n">
        <v>255</v>
      </c>
      <c r="K154" s="20" t="n">
        <v>299</v>
      </c>
      <c r="L154" s="20" t="n">
        <v>-1428</v>
      </c>
      <c r="M154" s="20" t="n">
        <v>-64</v>
      </c>
      <c r="N154" s="20" t="n">
        <v>78</v>
      </c>
      <c r="T154" s="20" t="n">
        <v>-470</v>
      </c>
      <c r="U154" s="20" t="n">
        <v>278</v>
      </c>
      <c r="V154" s="20" t="n">
        <v>1660</v>
      </c>
      <c r="W154" s="20" t="n">
        <v>-608</v>
      </c>
      <c r="X154" s="20" t="n">
        <v>-1428</v>
      </c>
    </row>
    <row r="155">
      <c r="A155" s="18" t="inlineStr">
        <is>
          <t>해외사업환산조정</t>
        </is>
      </c>
      <c r="C155" s="20" t="n">
        <v>-2505</v>
      </c>
      <c r="D155" s="20" t="n">
        <v>3724</v>
      </c>
      <c r="E155" s="20" t="n">
        <v>4037</v>
      </c>
      <c r="F155" s="20" t="n">
        <v>-6718</v>
      </c>
      <c r="G155" s="20" t="n">
        <v>3907</v>
      </c>
      <c r="H155" s="20" t="n">
        <v>-4335</v>
      </c>
      <c r="I155" s="20" t="n">
        <v>-1346</v>
      </c>
      <c r="J155" s="20" t="n">
        <v>2234</v>
      </c>
      <c r="K155" s="20" t="n">
        <v>4721</v>
      </c>
      <c r="L155" s="20" t="n">
        <v>1419</v>
      </c>
      <c r="M155" s="20" t="n">
        <v>1080</v>
      </c>
      <c r="N155" s="20" t="n">
        <v>-2330</v>
      </c>
      <c r="T155" s="20" t="n">
        <v>2254</v>
      </c>
      <c r="U155" s="20" t="n">
        <v>-3901</v>
      </c>
      <c r="V155" s="20" t="n">
        <v>3724</v>
      </c>
      <c r="W155" s="20" t="n">
        <v>-4335</v>
      </c>
      <c r="X155" s="20" t="n">
        <v>1419</v>
      </c>
    </row>
    <row r="156">
      <c r="A156" s="18" t="inlineStr">
        <is>
          <t>퇴직급여 조정액</t>
        </is>
      </c>
      <c r="C156" s="20" t="n">
        <v>-19</v>
      </c>
      <c r="D156" s="20" t="n">
        <v>8556</v>
      </c>
      <c r="E156" s="20" t="n">
        <v>-244</v>
      </c>
      <c r="F156" s="20" t="n">
        <v>-221</v>
      </c>
      <c r="G156" s="20" t="n">
        <v>-274</v>
      </c>
      <c r="H156" s="20" t="n">
        <v>-2852</v>
      </c>
      <c r="I156" s="20" t="n">
        <v>-155</v>
      </c>
      <c r="J156" s="20" t="n">
        <v>-127</v>
      </c>
      <c r="K156" s="20" t="n">
        <v>-160</v>
      </c>
      <c r="L156" s="20" t="n">
        <v>2691</v>
      </c>
      <c r="M156" s="20" t="n">
        <v>-225</v>
      </c>
      <c r="N156" s="20" t="n">
        <v>-287</v>
      </c>
      <c r="T156" s="20" t="n">
        <v>2006</v>
      </c>
      <c r="U156" s="20" t="n">
        <v>-1565</v>
      </c>
      <c r="V156" s="20" t="n">
        <v>8556</v>
      </c>
      <c r="W156" s="20" t="n">
        <v>-2852</v>
      </c>
      <c r="X156" s="20" t="n">
        <v>2691</v>
      </c>
    </row>
    <row r="157">
      <c r="A157" s="18" t="inlineStr">
        <is>
          <t>기타포괄손익 합계</t>
        </is>
      </c>
      <c r="C157" s="20" t="n">
        <v>-2893</v>
      </c>
      <c r="D157" s="20" t="n">
        <v>13940</v>
      </c>
      <c r="E157" s="20" t="n">
        <v>2549</v>
      </c>
      <c r="F157" s="20" t="n">
        <v>-7534</v>
      </c>
      <c r="G157" s="20" t="n">
        <v>4107</v>
      </c>
      <c r="H157" s="20" t="n">
        <v>-7797</v>
      </c>
      <c r="I157" s="20" t="n">
        <v>-2650</v>
      </c>
      <c r="J157" s="20" t="n">
        <v>2362</v>
      </c>
      <c r="K157" s="20" t="n">
        <v>4860</v>
      </c>
      <c r="L157" s="20" t="n">
        <v>2683</v>
      </c>
      <c r="M157" s="20" t="n">
        <v>790</v>
      </c>
      <c r="N157" s="20" t="n">
        <v>-2538</v>
      </c>
      <c r="T157" s="20" t="n">
        <v>3791</v>
      </c>
      <c r="U157" s="20" t="n">
        <v>-5187</v>
      </c>
      <c r="V157" s="20" t="n">
        <v>13940</v>
      </c>
      <c r="W157" s="20" t="n">
        <v>-7797</v>
      </c>
      <c r="X157" s="20" t="n">
        <v>2683</v>
      </c>
    </row>
    <row r="158">
      <c r="A158" s="9" t="inlineStr">
        <is>
          <t>포괄이익</t>
        </is>
      </c>
      <c r="C158" s="12" t="n">
        <v>1302</v>
      </c>
      <c r="D158" s="12" t="n">
        <v>14266</v>
      </c>
      <c r="E158" s="12" t="n">
        <v>8165</v>
      </c>
      <c r="F158" s="12" t="n">
        <v>-4681</v>
      </c>
      <c r="G158" s="12" t="n">
        <v>8035</v>
      </c>
      <c r="H158" s="12" t="n">
        <v>-6248</v>
      </c>
      <c r="I158" s="12" t="n">
        <v>1068</v>
      </c>
      <c r="J158" s="12" t="n">
        <v>6605</v>
      </c>
      <c r="K158" s="12" t="n">
        <v>9469</v>
      </c>
      <c r="L158" s="12" t="n">
        <v>3893</v>
      </c>
      <c r="M158" s="12" t="n">
        <v>5329</v>
      </c>
      <c r="N158" s="12" t="n">
        <v>1177</v>
      </c>
      <c r="T158" s="12" t="n">
        <v>5647</v>
      </c>
      <c r="U158" s="12" t="n">
        <v>-3323</v>
      </c>
      <c r="V158" s="12" t="n">
        <v>14266</v>
      </c>
      <c r="W158" s="12" t="n">
        <v>-6248</v>
      </c>
      <c r="X158" s="12" t="n">
        <v>3893</v>
      </c>
    </row>
    <row r="159">
      <c r="A159" s="9" t="inlineStr">
        <is>
          <t>지배주주 포괄이익</t>
        </is>
      </c>
      <c r="C159" s="12" t="n">
        <v>1221</v>
      </c>
      <c r="D159" s="12" t="n">
        <v>14025</v>
      </c>
      <c r="E159" s="12" t="n">
        <v>7706</v>
      </c>
      <c r="F159" s="12" t="n">
        <v>-4687</v>
      </c>
      <c r="G159" s="12" t="n">
        <v>7732</v>
      </c>
      <c r="H159" s="12" t="n">
        <v>-6072</v>
      </c>
      <c r="I159" s="12" t="n">
        <v>983</v>
      </c>
      <c r="J159" s="12" t="n">
        <v>6387</v>
      </c>
      <c r="K159" s="12" t="n">
        <v>9044</v>
      </c>
      <c r="L159" s="12" t="n">
        <v>4351</v>
      </c>
      <c r="M159" s="12" t="n">
        <v>5175</v>
      </c>
      <c r="N159" s="12" t="n">
        <v>1102</v>
      </c>
      <c r="T159" s="12" t="n">
        <v>5356</v>
      </c>
      <c r="U159" s="12" t="n">
        <v>-3289</v>
      </c>
      <c r="V159" s="12" t="n">
        <v>14025</v>
      </c>
      <c r="W159" s="12" t="n">
        <v>-6072</v>
      </c>
      <c r="X159" s="12" t="n">
        <v>4351</v>
      </c>
    </row>
    <row r="160">
      <c r="A160" s="9" t="inlineStr">
        <is>
          <t>비지배주주 포괄이익</t>
        </is>
      </c>
      <c r="C160" s="12" t="n">
        <v>80</v>
      </c>
      <c r="D160" s="12" t="n">
        <v>242</v>
      </c>
      <c r="E160" s="12" t="n">
        <v>458</v>
      </c>
      <c r="F160" s="12" t="n">
        <v>6</v>
      </c>
      <c r="G160" s="12" t="n">
        <v>303</v>
      </c>
      <c r="H160" s="12" t="n">
        <v>-176</v>
      </c>
      <c r="I160" s="12" t="n">
        <v>85</v>
      </c>
      <c r="J160" s="12" t="n">
        <v>218</v>
      </c>
      <c r="K160" s="12" t="n">
        <v>425</v>
      </c>
      <c r="L160" s="12" t="n">
        <v>147</v>
      </c>
      <c r="M160" s="12" t="n">
        <v>154</v>
      </c>
      <c r="N160" s="12" t="n">
        <v>75</v>
      </c>
      <c r="T160" s="12" t="n">
        <v>292</v>
      </c>
      <c r="U160" s="12" t="n">
        <v>-33</v>
      </c>
      <c r="V160" s="12" t="n">
        <v>242</v>
      </c>
      <c r="W160" s="12" t="n">
        <v>-176</v>
      </c>
      <c r="X160" s="12" t="n">
        <v>147</v>
      </c>
    </row>
    <row r="162">
      <c r="A162" s="16" t="inlineStr">
        <is>
          <t>부문 · 전 항목</t>
        </is>
      </c>
      <c r="B162" s="42" t="inlineStr">
        <is>
          <t>부문 · 항목</t>
        </is>
      </c>
      <c r="C162" s="16" t="n"/>
      <c r="D162" s="16" t="n"/>
      <c r="E162" s="16" t="n"/>
      <c r="F162" s="16" t="n"/>
      <c r="G162" s="16" t="n"/>
      <c r="H162" s="16" t="n"/>
      <c r="I162" s="16" t="n"/>
      <c r="J162" s="16" t="n"/>
      <c r="K162" s="16" t="n"/>
      <c r="L162" s="16" t="n"/>
      <c r="M162" s="16" t="n"/>
      <c r="N162" s="16" t="n"/>
      <c r="O162" s="16" t="n"/>
      <c r="P162" s="16" t="n"/>
      <c r="Q162" s="16" t="n"/>
      <c r="R162" s="16" t="n"/>
      <c r="S162" s="16" t="n"/>
      <c r="T162" s="16" t="n"/>
      <c r="U162" s="16" t="n"/>
      <c r="V162" s="16" t="n"/>
      <c r="W162" s="16" t="n"/>
      <c r="X162" s="16" t="n"/>
      <c r="Y162" s="16" t="n"/>
      <c r="Z162" s="16" t="n"/>
      <c r="AA162" s="16" t="n"/>
      <c r="AB162" s="16" t="n"/>
      <c r="AC162" s="16" t="n"/>
    </row>
    <row r="163">
      <c r="A163" s="5" t="inlineStr">
        <is>
          <t>항목</t>
        </is>
      </c>
      <c r="B163" s="5" t="inlineStr">
        <is>
          <t>참고</t>
        </is>
      </c>
      <c r="C163" s="5" t="inlineStr">
        <is>
          <t>2024.3Q</t>
        </is>
      </c>
      <c r="D163" s="5" t="inlineStr">
        <is>
          <t>2024.4Q</t>
        </is>
      </c>
      <c r="E163" s="5" t="inlineStr">
        <is>
          <t>2025.1Q</t>
        </is>
      </c>
      <c r="F163" s="5" t="inlineStr">
        <is>
          <t>2025.2Q</t>
        </is>
      </c>
      <c r="G163" s="5" t="inlineStr">
        <is>
          <t>2025.3Q</t>
        </is>
      </c>
      <c r="H163" s="5" t="inlineStr">
        <is>
          <t>2025.4Q</t>
        </is>
      </c>
      <c r="I163" s="5" t="inlineStr">
        <is>
          <t>2026.1Q</t>
        </is>
      </c>
      <c r="J163" s="5" t="inlineStr">
        <is>
          <t>2026.2Q</t>
        </is>
      </c>
      <c r="K163" s="5" t="inlineStr">
        <is>
          <t>2026.3Q</t>
        </is>
      </c>
      <c r="L163" s="5" t="inlineStr">
        <is>
          <t>2026.4Q</t>
        </is>
      </c>
      <c r="M163" s="5" t="inlineStr">
        <is>
          <t>2027.1Q</t>
        </is>
      </c>
      <c r="N163" s="5" t="inlineStr">
        <is>
          <t>2027.2Q</t>
        </is>
      </c>
      <c r="O163" s="5" t="inlineStr">
        <is>
          <t>2017</t>
        </is>
      </c>
      <c r="P163" s="5" t="inlineStr">
        <is>
          <t>2018</t>
        </is>
      </c>
      <c r="Q163" s="5" t="inlineStr">
        <is>
          <t>2019</t>
        </is>
      </c>
      <c r="R163" s="5" t="inlineStr">
        <is>
          <t>2020</t>
        </is>
      </c>
      <c r="S163" s="5" t="inlineStr">
        <is>
          <t>2021</t>
        </is>
      </c>
      <c r="T163" s="5" t="inlineStr">
        <is>
          <t>2022</t>
        </is>
      </c>
      <c r="U163" s="5" t="inlineStr">
        <is>
          <t>2023</t>
        </is>
      </c>
      <c r="V163" s="5" t="inlineStr">
        <is>
          <t>2024</t>
        </is>
      </c>
      <c r="W163" s="5" t="inlineStr">
        <is>
          <t>2025</t>
        </is>
      </c>
      <c r="X163" s="5" t="inlineStr">
        <is>
          <t>2026</t>
        </is>
      </c>
      <c r="Y163" s="5" t="inlineStr">
        <is>
          <t>2027(MW)</t>
        </is>
      </c>
      <c r="Z163" s="5" t="inlineStr">
        <is>
          <t>2028(MW)</t>
        </is>
      </c>
      <c r="AA163" s="5" t="inlineStr">
        <is>
          <t>2029(MW)</t>
        </is>
      </c>
      <c r="AB163" s="5" t="inlineStr">
        <is>
          <t>2030(MW)</t>
        </is>
      </c>
      <c r="AC163" s="5" t="inlineStr">
        <is>
          <t>2031(MW)</t>
        </is>
      </c>
    </row>
    <row r="164">
      <c r="A164" s="18" t="inlineStr">
        <is>
          <t>JapanReportableSegmentsMember · Revenues From External Customers</t>
        </is>
      </c>
      <c r="C164" s="20" t="n">
        <v>25234</v>
      </c>
      <c r="D164" s="20" t="n">
        <v>22418</v>
      </c>
      <c r="E164" s="20" t="n">
        <v>22756</v>
      </c>
      <c r="F164" s="20" t="n">
        <v>24771</v>
      </c>
      <c r="G164" s="20" t="n">
        <v>26619</v>
      </c>
      <c r="H164" s="20" t="n">
        <v>25783</v>
      </c>
      <c r="I164" s="20" t="n">
        <v>24138</v>
      </c>
      <c r="J164" s="20" t="n">
        <v>25559</v>
      </c>
      <c r="K164" s="20" t="n">
        <v>25349</v>
      </c>
      <c r="L164" s="20" t="n">
        <v>26164</v>
      </c>
      <c r="M164" s="20" t="n">
        <v>26169</v>
      </c>
      <c r="N164" s="20" t="n">
        <v>30241</v>
      </c>
      <c r="V164" s="20" t="n">
        <v>22418</v>
      </c>
      <c r="W164" s="20" t="n">
        <v>25783</v>
      </c>
      <c r="X164" s="20" t="n">
        <v>26164</v>
      </c>
    </row>
    <row r="165">
      <c r="A165" s="43" t="inlineStr">
        <is>
          <t>YoY</t>
        </is>
      </c>
      <c r="B165" s="3" t="inlineStr">
        <is>
          <t>전년 같은 분기·전년 대비</t>
        </is>
      </c>
      <c r="G165" s="15">
        <f>IF(OR(G164="",C164=""),"",IF(C164&lt;=0,"",IFERROR(G164/C164-1,"")))</f>
        <v/>
      </c>
      <c r="H165" s="15">
        <f>IF(OR(H164="",D164=""),"",IF(D164&lt;=0,"",IFERROR(H164/D164-1,"")))</f>
        <v/>
      </c>
      <c r="I165" s="15">
        <f>IF(OR(I164="",E164=""),"",IF(E164&lt;=0,"",IFERROR(I164/E164-1,"")))</f>
        <v/>
      </c>
      <c r="J165" s="15">
        <f>IF(OR(J164="",F164=""),"",IF(F164&lt;=0,"",IFERROR(J164/F164-1,"")))</f>
        <v/>
      </c>
      <c r="K165" s="15">
        <f>IF(OR(K164="",G164=""),"",IF(G164&lt;=0,"",IFERROR(K164/G164-1,"")))</f>
        <v/>
      </c>
      <c r="L165" s="15">
        <f>IF(OR(L164="",H164=""),"",IF(H164&lt;=0,"",IFERROR(L164/H164-1,"")))</f>
        <v/>
      </c>
      <c r="M165" s="15">
        <f>IF(OR(M164="",I164=""),"",IF(I164&lt;=0,"",IFERROR(M164/I164-1,"")))</f>
        <v/>
      </c>
      <c r="N165" s="15">
        <f>IF(OR(N164="",J164=""),"",IF(J164&lt;=0,"",IFERROR(N164/J164-1,"")))</f>
        <v/>
      </c>
      <c r="V165" s="15">
        <f>IF(OR(V164="",U164=""),"",IF(U164&lt;=0,"",IFERROR(V164/U164-1,"")))</f>
        <v/>
      </c>
      <c r="W165" s="15">
        <f>IF(OR(W164="",V164=""),"",IF(V164&lt;=0,"",IFERROR(W164/V164-1,"")))</f>
        <v/>
      </c>
      <c r="X165" s="15">
        <f>IF(OR(X164="",W164=""),"",IF(W164&lt;=0,"",IFERROR(X164/W164-1,"")))</f>
        <v/>
      </c>
    </row>
    <row r="166">
      <c r="A166" s="18" t="inlineStr">
        <is>
          <t>AsiaReportableSegmentsMember · Revenues From External Customers</t>
        </is>
      </c>
      <c r="C166" s="20" t="n">
        <v>38602</v>
      </c>
      <c r="D166" s="20" t="n">
        <v>34740</v>
      </c>
      <c r="E166" s="20" t="n">
        <v>35462</v>
      </c>
      <c r="F166" s="20" t="n">
        <v>37563</v>
      </c>
      <c r="G166" s="20" t="n">
        <v>37631</v>
      </c>
      <c r="H166" s="20" t="n">
        <v>33398</v>
      </c>
      <c r="I166" s="20" t="n">
        <v>32805</v>
      </c>
      <c r="J166" s="20" t="n">
        <v>34476</v>
      </c>
      <c r="K166" s="20" t="n">
        <v>35440</v>
      </c>
      <c r="L166" s="20" t="n">
        <v>33059</v>
      </c>
      <c r="M166" s="20" t="n">
        <v>32761</v>
      </c>
      <c r="N166" s="20" t="n">
        <v>33382</v>
      </c>
      <c r="V166" s="20" t="n">
        <v>34740</v>
      </c>
      <c r="W166" s="20" t="n">
        <v>33398</v>
      </c>
      <c r="X166" s="20" t="n">
        <v>33059</v>
      </c>
    </row>
    <row r="167">
      <c r="A167" s="43" t="inlineStr">
        <is>
          <t>YoY</t>
        </is>
      </c>
      <c r="B167" s="3" t="inlineStr">
        <is>
          <t>전년 같은 분기·전년 대비</t>
        </is>
      </c>
      <c r="G167" s="15">
        <f>IF(OR(G166="",C166=""),"",IF(C166&lt;=0,"",IFERROR(G166/C166-1,"")))</f>
        <v/>
      </c>
      <c r="H167" s="15">
        <f>IF(OR(H166="",D166=""),"",IF(D166&lt;=0,"",IFERROR(H166/D166-1,"")))</f>
        <v/>
      </c>
      <c r="I167" s="15">
        <f>IF(OR(I166="",E166=""),"",IF(E166&lt;=0,"",IFERROR(I166/E166-1,"")))</f>
        <v/>
      </c>
      <c r="J167" s="15">
        <f>IF(OR(J166="",F166=""),"",IF(F166&lt;=0,"",IFERROR(J166/F166-1,"")))</f>
        <v/>
      </c>
      <c r="K167" s="15">
        <f>IF(OR(K166="",G166=""),"",IF(G166&lt;=0,"",IFERROR(K166/G166-1,"")))</f>
        <v/>
      </c>
      <c r="L167" s="15">
        <f>IF(OR(L166="",H166=""),"",IF(H166&lt;=0,"",IFERROR(L166/H166-1,"")))</f>
        <v/>
      </c>
      <c r="M167" s="15">
        <f>IF(OR(M166="",I166=""),"",IF(I166&lt;=0,"",IFERROR(M166/I166-1,"")))</f>
        <v/>
      </c>
      <c r="N167" s="15">
        <f>IF(OR(N166="",J166=""),"",IF(J166&lt;=0,"",IFERROR(N166/J166-1,"")))</f>
        <v/>
      </c>
      <c r="V167" s="15">
        <f>IF(OR(V166="",U166=""),"",IF(U166&lt;=0,"",IFERROR(V166/U166-1,"")))</f>
        <v/>
      </c>
      <c r="W167" s="15">
        <f>IF(OR(W166="",V166=""),"",IF(V166&lt;=0,"",IFERROR(W166/V166-1,"")))</f>
        <v/>
      </c>
      <c r="X167" s="15">
        <f>IF(OR(X166="",W166=""),"",IF(W166&lt;=0,"",IFERROR(X166/W166-1,"")))</f>
        <v/>
      </c>
    </row>
    <row r="168">
      <c r="A168" s="18" t="inlineStr">
        <is>
          <t>AmericasReportableSegmentsMember · Revenues From External Customers</t>
        </is>
      </c>
      <c r="C168" s="20" t="n">
        <v>17816</v>
      </c>
      <c r="E168" s="20" t="n">
        <v>20486</v>
      </c>
      <c r="F168" s="20" t="n">
        <v>16990</v>
      </c>
      <c r="G168" s="20" t="n">
        <v>18856</v>
      </c>
      <c r="I168" s="20" t="n">
        <v>18995</v>
      </c>
      <c r="J168" s="20" t="n">
        <v>19124</v>
      </c>
      <c r="K168" s="20" t="n">
        <v>19188</v>
      </c>
      <c r="M168" s="20" t="n">
        <v>21360</v>
      </c>
      <c r="N168" s="20" t="n">
        <v>20675</v>
      </c>
    </row>
    <row r="169">
      <c r="A169" s="43" t="inlineStr">
        <is>
          <t>YoY</t>
        </is>
      </c>
      <c r="B169" s="3" t="inlineStr">
        <is>
          <t>전년 같은 분기·전년 대비</t>
        </is>
      </c>
      <c r="G169" s="15">
        <f>IF(OR(G168="",C168=""),"",IF(C168&lt;=0,"",IFERROR(G168/C168-1,"")))</f>
        <v/>
      </c>
      <c r="I169" s="15">
        <f>IF(OR(I168="",E168=""),"",IF(E168&lt;=0,"",IFERROR(I168/E168-1,"")))</f>
        <v/>
      </c>
      <c r="J169" s="15">
        <f>IF(OR(J168="",F168=""),"",IF(F168&lt;=0,"",IFERROR(J168/F168-1,"")))</f>
        <v/>
      </c>
      <c r="K169" s="15">
        <f>IF(OR(K168="",G168=""),"",IF(G168&lt;=0,"",IFERROR(K168/G168-1,"")))</f>
        <v/>
      </c>
      <c r="M169" s="15">
        <f>IF(OR(M168="",I168=""),"",IF(I168&lt;=0,"",IFERROR(M168/I168-1,"")))</f>
        <v/>
      </c>
      <c r="N169" s="15">
        <f>IF(OR(N168="",J168=""),"",IF(J168&lt;=0,"",IFERROR(N168/J168-1,"")))</f>
        <v/>
      </c>
    </row>
    <row r="170">
      <c r="A170" s="18" t="inlineStr">
        <is>
          <t>EuropeReportableSegmentsMember · Revenues From External Customers</t>
        </is>
      </c>
      <c r="C170" s="20" t="n">
        <v>4023</v>
      </c>
      <c r="D170" s="20" t="n">
        <v>4414</v>
      </c>
      <c r="E170" s="20" t="n">
        <v>4482</v>
      </c>
      <c r="F170" s="20" t="n">
        <v>3891</v>
      </c>
      <c r="G170" s="20" t="n">
        <v>3637</v>
      </c>
      <c r="H170" s="20" t="n">
        <v>3919</v>
      </c>
      <c r="I170" s="20" t="n">
        <v>3984</v>
      </c>
      <c r="J170" s="20" t="n">
        <v>4014</v>
      </c>
      <c r="K170" s="20" t="n">
        <v>4113</v>
      </c>
      <c r="L170" s="20" t="n">
        <v>4140</v>
      </c>
      <c r="M170" s="20" t="n">
        <v>3636</v>
      </c>
      <c r="N170" s="20" t="n">
        <v>3128</v>
      </c>
      <c r="V170" s="20" t="n">
        <v>4414</v>
      </c>
      <c r="W170" s="20" t="n">
        <v>3919</v>
      </c>
      <c r="X170" s="20" t="n">
        <v>4140</v>
      </c>
    </row>
    <row r="171">
      <c r="A171" s="43" t="inlineStr">
        <is>
          <t>YoY</t>
        </is>
      </c>
      <c r="B171" s="3" t="inlineStr">
        <is>
          <t>전년 같은 분기·전년 대비</t>
        </is>
      </c>
      <c r="G171" s="15">
        <f>IF(OR(G170="",C170=""),"",IF(C170&lt;=0,"",IFERROR(G170/C170-1,"")))</f>
        <v/>
      </c>
      <c r="H171" s="15">
        <f>IF(OR(H170="",D170=""),"",IF(D170&lt;=0,"",IFERROR(H170/D170-1,"")))</f>
        <v/>
      </c>
      <c r="I171" s="15">
        <f>IF(OR(I170="",E170=""),"",IF(E170&lt;=0,"",IFERROR(I170/E170-1,"")))</f>
        <v/>
      </c>
      <c r="J171" s="15">
        <f>IF(OR(J170="",F170=""),"",IF(F170&lt;=0,"",IFERROR(J170/F170-1,"")))</f>
        <v/>
      </c>
      <c r="K171" s="15">
        <f>IF(OR(K170="",G170=""),"",IF(G170&lt;=0,"",IFERROR(K170/G170-1,"")))</f>
        <v/>
      </c>
      <c r="L171" s="15">
        <f>IF(OR(L170="",H170=""),"",IF(H170&lt;=0,"",IFERROR(L170/H170-1,"")))</f>
        <v/>
      </c>
      <c r="M171" s="15">
        <f>IF(OR(M170="",I170=""),"",IF(I170&lt;=0,"",IFERROR(M170/I170-1,"")))</f>
        <v/>
      </c>
      <c r="N171" s="15">
        <f>IF(OR(N170="",J170=""),"",IF(J170&lt;=0,"",IFERROR(N170/J170-1,"")))</f>
        <v/>
      </c>
      <c r="V171" s="15">
        <f>IF(OR(V170="",U170=""),"",IF(U170&lt;=0,"",IFERROR(V170/U170-1,"")))</f>
        <v/>
      </c>
      <c r="W171" s="15">
        <f>IF(OR(W170="",V170=""),"",IF(V170&lt;=0,"",IFERROR(W170/V170-1,"")))</f>
        <v/>
      </c>
      <c r="X171" s="15">
        <f>IF(OR(X170="",W170=""),"",IF(W170&lt;=0,"",IFERROR(X170/W170-1,"")))</f>
        <v/>
      </c>
    </row>
    <row r="172">
      <c r="A172" s="18" t="inlineStr">
        <is>
          <t>합계 · Revenues From External Customers</t>
        </is>
      </c>
      <c r="C172" s="20" t="n">
        <v>85676</v>
      </c>
      <c r="D172" s="20" t="n">
        <v>80911</v>
      </c>
      <c r="E172" s="20" t="n">
        <v>83187</v>
      </c>
      <c r="F172" s="20" t="n">
        <v>83216</v>
      </c>
      <c r="G172" s="20" t="n">
        <v>86742</v>
      </c>
      <c r="H172" s="20" t="n">
        <v>84114</v>
      </c>
      <c r="I172" s="20" t="n">
        <v>79923</v>
      </c>
      <c r="J172" s="20" t="n">
        <v>83173</v>
      </c>
      <c r="K172" s="20" t="n">
        <v>84090</v>
      </c>
      <c r="L172" s="20" t="n">
        <v>83648</v>
      </c>
      <c r="M172" s="20" t="n">
        <v>83927</v>
      </c>
      <c r="N172" s="20" t="n">
        <v>87427</v>
      </c>
      <c r="V172" s="20" t="n">
        <v>80911</v>
      </c>
      <c r="W172" s="20" t="n">
        <v>84114</v>
      </c>
      <c r="X172" s="20" t="n">
        <v>83648</v>
      </c>
    </row>
    <row r="173">
      <c r="A173" s="43" t="inlineStr">
        <is>
          <t>YoY</t>
        </is>
      </c>
      <c r="B173" s="3" t="inlineStr">
        <is>
          <t>전년 같은 분기·전년 대비</t>
        </is>
      </c>
      <c r="G173" s="15">
        <f>IF(OR(G172="",C172=""),"",IF(C172&lt;=0,"",IFERROR(G172/C172-1,"")))</f>
        <v/>
      </c>
      <c r="H173" s="15">
        <f>IF(OR(H172="",D172=""),"",IF(D172&lt;=0,"",IFERROR(H172/D172-1,"")))</f>
        <v/>
      </c>
      <c r="I173" s="15">
        <f>IF(OR(I172="",E172=""),"",IF(E172&lt;=0,"",IFERROR(I172/E172-1,"")))</f>
        <v/>
      </c>
      <c r="J173" s="15">
        <f>IF(OR(J172="",F172=""),"",IF(F172&lt;=0,"",IFERROR(J172/F172-1,"")))</f>
        <v/>
      </c>
      <c r="K173" s="15">
        <f>IF(OR(K172="",G172=""),"",IF(G172&lt;=0,"",IFERROR(K172/G172-1,"")))</f>
        <v/>
      </c>
      <c r="L173" s="15">
        <f>IF(OR(L172="",H172=""),"",IF(H172&lt;=0,"",IFERROR(L172/H172-1,"")))</f>
        <v/>
      </c>
      <c r="M173" s="15">
        <f>IF(OR(M172="",I172=""),"",IF(I172&lt;=0,"",IFERROR(M172/I172-1,"")))</f>
        <v/>
      </c>
      <c r="N173" s="15">
        <f>IF(OR(N172="",J172=""),"",IF(J172&lt;=0,"",IFERROR(N172/J172-1,"")))</f>
        <v/>
      </c>
      <c r="V173" s="15">
        <f>IF(OR(V172="",U172=""),"",IF(U172&lt;=0,"",IFERROR(V172/U172-1,"")))</f>
        <v/>
      </c>
      <c r="W173" s="15">
        <f>IF(OR(W172="",V172=""),"",IF(V172&lt;=0,"",IFERROR(W172/V172-1,"")))</f>
        <v/>
      </c>
      <c r="X173" s="15">
        <f>IF(OR(X172="",W172=""),"",IF(W172&lt;=0,"",IFERROR(X172/W172-1,"")))</f>
        <v/>
      </c>
    </row>
    <row r="174">
      <c r="A174" s="18" t="inlineStr">
        <is>
          <t>조정액 · Revenues From External Customers</t>
        </is>
      </c>
      <c r="C174" s="20" t="n">
        <v>0</v>
      </c>
      <c r="D174" s="20" t="n">
        <v>0</v>
      </c>
      <c r="E174" s="20" t="n">
        <v>0</v>
      </c>
      <c r="F174" s="20" t="n">
        <v>0</v>
      </c>
      <c r="G174" s="20" t="n">
        <v>0</v>
      </c>
      <c r="H174" s="20" t="n">
        <v>0</v>
      </c>
      <c r="I174" s="20" t="n">
        <v>0</v>
      </c>
      <c r="J174" s="20" t="n">
        <v>0</v>
      </c>
      <c r="K174" s="20" t="n">
        <v>0</v>
      </c>
      <c r="L174" s="20" t="n">
        <v>0</v>
      </c>
      <c r="M174" s="20" t="n">
        <v>0</v>
      </c>
      <c r="N174" s="20" t="n">
        <v>0</v>
      </c>
      <c r="V174" s="20" t="n">
        <v>0</v>
      </c>
      <c r="W174" s="20" t="n">
        <v>0</v>
      </c>
      <c r="X174" s="20" t="n">
        <v>0</v>
      </c>
    </row>
    <row r="175">
      <c r="A175" s="18" t="inlineStr">
        <is>
          <t>EntityTotalMember · Revenues From External Customers</t>
        </is>
      </c>
      <c r="E175" s="20" t="n">
        <v>83187</v>
      </c>
      <c r="I175" s="20" t="n">
        <v>79923</v>
      </c>
      <c r="M175" s="20" t="n">
        <v>83927</v>
      </c>
    </row>
    <row r="176">
      <c r="A176" s="9" t="inlineStr">
        <is>
          <t>Revenues From External Customers</t>
        </is>
      </c>
      <c r="C176" s="12" t="n">
        <v>85676</v>
      </c>
      <c r="D176" s="12" t="n">
        <v>80911</v>
      </c>
      <c r="E176" s="12" t="n">
        <v>83187</v>
      </c>
      <c r="F176" s="12" t="n">
        <v>83216</v>
      </c>
      <c r="G176" s="12" t="n">
        <v>86742</v>
      </c>
      <c r="H176" s="12" t="n">
        <v>84114</v>
      </c>
      <c r="V176" s="12" t="n">
        <v>80911</v>
      </c>
      <c r="W176" s="12" t="n">
        <v>84114</v>
      </c>
    </row>
    <row r="177">
      <c r="A177" s="43" t="inlineStr">
        <is>
          <t>YoY</t>
        </is>
      </c>
      <c r="B177" s="3" t="inlineStr">
        <is>
          <t>전년 같은 분기·전년 대비</t>
        </is>
      </c>
      <c r="G177" s="15">
        <f>IF(OR(G176="",C176=""),"",IF(C176&lt;=0,"",IFERROR(G176/C176-1,"")))</f>
        <v/>
      </c>
      <c r="H177" s="15">
        <f>IF(OR(H176="",D176=""),"",IF(D176&lt;=0,"",IFERROR(H176/D176-1,"")))</f>
        <v/>
      </c>
      <c r="V177" s="15">
        <f>IF(OR(V176="",U176=""),"",IF(U176&lt;=0,"",IFERROR(V176/U176-1,"")))</f>
        <v/>
      </c>
      <c r="W177" s="15">
        <f>IF(OR(W176="",V176=""),"",IF(V176&lt;=0,"",IFERROR(W176/V176-1,"")))</f>
        <v/>
      </c>
    </row>
    <row r="178">
      <c r="A178" s="18" t="inlineStr">
        <is>
          <t>JapanReportableSegmentsMember · Transactions With Other Segments</t>
        </is>
      </c>
      <c r="C178" s="20" t="n">
        <v>6110</v>
      </c>
      <c r="D178" s="20" t="n">
        <v>5801</v>
      </c>
      <c r="E178" s="20" t="n">
        <v>8563</v>
      </c>
      <c r="F178" s="20" t="n">
        <v>8174</v>
      </c>
      <c r="G178" s="20" t="n">
        <v>8577</v>
      </c>
      <c r="H178" s="20" t="n">
        <v>8381</v>
      </c>
      <c r="I178" s="20" t="n">
        <v>8741</v>
      </c>
      <c r="J178" s="20" t="n">
        <v>9782</v>
      </c>
      <c r="K178" s="20" t="n">
        <v>10098</v>
      </c>
      <c r="L178" s="20" t="n">
        <v>9763</v>
      </c>
      <c r="M178" s="20" t="n">
        <v>10507</v>
      </c>
      <c r="N178" s="20" t="n">
        <v>11144</v>
      </c>
      <c r="V178" s="20" t="n">
        <v>5801</v>
      </c>
      <c r="W178" s="20" t="n">
        <v>8381</v>
      </c>
      <c r="X178" s="20" t="n">
        <v>9763</v>
      </c>
    </row>
    <row r="179">
      <c r="A179" s="18" t="inlineStr">
        <is>
          <t>AsiaReportableSegmentsMember · Transactions With Other Segments</t>
        </is>
      </c>
      <c r="C179" s="20" t="n">
        <v>308</v>
      </c>
      <c r="D179" s="20" t="n">
        <v>381</v>
      </c>
      <c r="E179" s="20" t="n">
        <v>397</v>
      </c>
      <c r="F179" s="20" t="n">
        <v>399</v>
      </c>
      <c r="G179" s="20" t="n">
        <v>258</v>
      </c>
      <c r="H179" s="20" t="n">
        <v>236</v>
      </c>
      <c r="I179" s="20" t="n">
        <v>310</v>
      </c>
      <c r="J179" s="20" t="n">
        <v>311</v>
      </c>
      <c r="K179" s="20" t="n">
        <v>290</v>
      </c>
      <c r="L179" s="20" t="n">
        <v>287</v>
      </c>
      <c r="M179" s="20" t="n">
        <v>331</v>
      </c>
      <c r="N179" s="20" t="n">
        <v>272</v>
      </c>
      <c r="V179" s="20" t="n">
        <v>381</v>
      </c>
      <c r="W179" s="20" t="n">
        <v>236</v>
      </c>
      <c r="X179" s="20" t="n">
        <v>287</v>
      </c>
    </row>
    <row r="180">
      <c r="A180" s="18" t="inlineStr">
        <is>
          <t>AmericasReportableSegmentsMember · Transactions With Other Segments</t>
        </is>
      </c>
      <c r="C180" s="20" t="n">
        <v>19</v>
      </c>
      <c r="E180" s="20" t="n">
        <v>15</v>
      </c>
      <c r="F180" s="20" t="n">
        <v>33</v>
      </c>
      <c r="G180" s="20" t="n">
        <v>33</v>
      </c>
      <c r="I180" s="20" t="n">
        <v>9</v>
      </c>
      <c r="J180" s="20" t="n">
        <v>18</v>
      </c>
      <c r="K180" s="20" t="n">
        <v>18</v>
      </c>
      <c r="M180" s="20" t="n">
        <v>24</v>
      </c>
      <c r="N180" s="20" t="n">
        <v>21</v>
      </c>
    </row>
    <row r="181">
      <c r="A181" s="18" t="inlineStr">
        <is>
          <t>EuropeReportableSegmentsMember · Transactions With Other Segments</t>
        </is>
      </c>
      <c r="C181" s="20" t="n">
        <v>10</v>
      </c>
      <c r="D181" s="20" t="n">
        <v>15</v>
      </c>
      <c r="E181" s="20" t="n">
        <v>21</v>
      </c>
      <c r="F181" s="20" t="n">
        <v>11</v>
      </c>
      <c r="G181" s="20" t="n">
        <v>21</v>
      </c>
      <c r="H181" s="20" t="n">
        <v>9</v>
      </c>
      <c r="I181" s="20" t="n">
        <v>2</v>
      </c>
      <c r="J181" s="20" t="n">
        <v>18</v>
      </c>
      <c r="K181" s="20" t="n">
        <v>7</v>
      </c>
      <c r="L181" s="20" t="n">
        <v>10</v>
      </c>
      <c r="M181" s="20" t="n">
        <v>24</v>
      </c>
      <c r="N181" s="20" t="n">
        <v>-8</v>
      </c>
      <c r="V181" s="20" t="n">
        <v>15</v>
      </c>
      <c r="W181" s="20" t="n">
        <v>9</v>
      </c>
      <c r="X181" s="20" t="n">
        <v>10</v>
      </c>
    </row>
    <row r="182">
      <c r="A182" s="18" t="inlineStr">
        <is>
          <t>합계 · Transactions With Other Segments</t>
        </is>
      </c>
      <c r="C182" s="20" t="n">
        <v>6447</v>
      </c>
      <c r="D182" s="20" t="n">
        <v>6203</v>
      </c>
      <c r="E182" s="20" t="n">
        <v>8997</v>
      </c>
      <c r="F182" s="20" t="n">
        <v>8617</v>
      </c>
      <c r="G182" s="20" t="n">
        <v>8890</v>
      </c>
      <c r="H182" s="20" t="n">
        <v>8643</v>
      </c>
      <c r="I182" s="20" t="n">
        <v>9064</v>
      </c>
      <c r="J182" s="20" t="n">
        <v>10128</v>
      </c>
      <c r="K182" s="20" t="n">
        <v>10413</v>
      </c>
      <c r="L182" s="20" t="n">
        <v>10080</v>
      </c>
      <c r="M182" s="20" t="n">
        <v>10888</v>
      </c>
      <c r="N182" s="20" t="n">
        <v>11429</v>
      </c>
      <c r="V182" s="20" t="n">
        <v>6203</v>
      </c>
      <c r="W182" s="20" t="n">
        <v>8643</v>
      </c>
      <c r="X182" s="20" t="n">
        <v>10080</v>
      </c>
    </row>
    <row r="183">
      <c r="A183" s="18" t="inlineStr">
        <is>
          <t>조정액 · Transactions With Other Segments</t>
        </is>
      </c>
      <c r="C183" s="20" t="n">
        <v>-6447</v>
      </c>
      <c r="D183" s="20" t="n">
        <v>-6203</v>
      </c>
      <c r="E183" s="20" t="n">
        <v>-8997</v>
      </c>
      <c r="F183" s="20" t="n">
        <v>-8617</v>
      </c>
      <c r="G183" s="20" t="n">
        <v>-8890</v>
      </c>
      <c r="H183" s="20" t="n">
        <v>-8643</v>
      </c>
      <c r="I183" s="20" t="n">
        <v>-9064</v>
      </c>
      <c r="J183" s="20" t="n">
        <v>-10128</v>
      </c>
      <c r="K183" s="20" t="n">
        <v>-10413</v>
      </c>
      <c r="L183" s="20" t="n">
        <v>-10080</v>
      </c>
      <c r="M183" s="20" t="n">
        <v>-10888</v>
      </c>
      <c r="N183" s="20" t="n">
        <v>-11429</v>
      </c>
      <c r="V183" s="20" t="n">
        <v>-6203</v>
      </c>
      <c r="W183" s="20" t="n">
        <v>-8643</v>
      </c>
      <c r="X183" s="20" t="n">
        <v>-10080</v>
      </c>
    </row>
    <row r="184">
      <c r="A184" s="18" t="inlineStr">
        <is>
          <t>EntityTotalMember · Transactions With Other Segments</t>
        </is>
      </c>
      <c r="E184" s="20" t="n">
        <v>0</v>
      </c>
      <c r="I184" s="20" t="n">
        <v>0</v>
      </c>
      <c r="M184" s="20" t="n">
        <v>0</v>
      </c>
    </row>
    <row r="185">
      <c r="A185" s="18" t="inlineStr">
        <is>
          <t>Transactions With Other Segments</t>
        </is>
      </c>
      <c r="C185" s="20" t="n">
        <v>0</v>
      </c>
      <c r="D185" s="20" t="n">
        <v>0</v>
      </c>
      <c r="E185" s="20" t="n">
        <v>0</v>
      </c>
      <c r="F185" s="20" t="n">
        <v>0</v>
      </c>
      <c r="G185" s="20" t="n">
        <v>0</v>
      </c>
      <c r="H185" s="20" t="n">
        <v>0</v>
      </c>
      <c r="V185" s="20" t="n">
        <v>0</v>
      </c>
      <c r="W185" s="20" t="n">
        <v>0</v>
      </c>
    </row>
    <row r="186">
      <c r="A186" s="18" t="inlineStr">
        <is>
          <t>JapanReportableSegmentsMember · 계</t>
        </is>
      </c>
      <c r="C186" s="20" t="n">
        <v>31345</v>
      </c>
      <c r="D186" s="20" t="n">
        <v>28219</v>
      </c>
      <c r="E186" s="20" t="n">
        <v>31319</v>
      </c>
      <c r="F186" s="20" t="n">
        <v>32946</v>
      </c>
      <c r="G186" s="20" t="n">
        <v>35196</v>
      </c>
      <c r="H186" s="20" t="n">
        <v>34164</v>
      </c>
      <c r="I186" s="20" t="n">
        <v>32879</v>
      </c>
      <c r="J186" s="20" t="n">
        <v>35341</v>
      </c>
      <c r="K186" s="20" t="n">
        <v>35447</v>
      </c>
      <c r="L186" s="20" t="n">
        <v>35928</v>
      </c>
      <c r="M186" s="20" t="n">
        <v>36677</v>
      </c>
      <c r="N186" s="20" t="n">
        <v>41384</v>
      </c>
      <c r="V186" s="20" t="n">
        <v>28219</v>
      </c>
      <c r="W186" s="20" t="n">
        <v>34164</v>
      </c>
      <c r="X186" s="20" t="n">
        <v>35928</v>
      </c>
    </row>
    <row r="187">
      <c r="A187" s="43" t="inlineStr">
        <is>
          <t>YoY</t>
        </is>
      </c>
      <c r="B187" s="3" t="inlineStr">
        <is>
          <t>전년 같은 분기·전년 대비</t>
        </is>
      </c>
      <c r="G187" s="15">
        <f>IF(OR(G186="",C186=""),"",IF(C186&lt;=0,"",IFERROR(G186/C186-1,"")))</f>
        <v/>
      </c>
      <c r="H187" s="15">
        <f>IF(OR(H186="",D186=""),"",IF(D186&lt;=0,"",IFERROR(H186/D186-1,"")))</f>
        <v/>
      </c>
      <c r="I187" s="15">
        <f>IF(OR(I186="",E186=""),"",IF(E186&lt;=0,"",IFERROR(I186/E186-1,"")))</f>
        <v/>
      </c>
      <c r="J187" s="15">
        <f>IF(OR(J186="",F186=""),"",IF(F186&lt;=0,"",IFERROR(J186/F186-1,"")))</f>
        <v/>
      </c>
      <c r="K187" s="15">
        <f>IF(OR(K186="",G186=""),"",IF(G186&lt;=0,"",IFERROR(K186/G186-1,"")))</f>
        <v/>
      </c>
      <c r="L187" s="15">
        <f>IF(OR(L186="",H186=""),"",IF(H186&lt;=0,"",IFERROR(L186/H186-1,"")))</f>
        <v/>
      </c>
      <c r="M187" s="15">
        <f>IF(OR(M186="",I186=""),"",IF(I186&lt;=0,"",IFERROR(M186/I186-1,"")))</f>
        <v/>
      </c>
      <c r="N187" s="15">
        <f>IF(OR(N186="",J186=""),"",IF(J186&lt;=0,"",IFERROR(N186/J186-1,"")))</f>
        <v/>
      </c>
      <c r="V187" s="15">
        <f>IF(OR(V186="",U186=""),"",IF(U186&lt;=0,"",IFERROR(V186/U186-1,"")))</f>
        <v/>
      </c>
      <c r="W187" s="15">
        <f>IF(OR(W186="",V186=""),"",IF(V186&lt;=0,"",IFERROR(W186/V186-1,"")))</f>
        <v/>
      </c>
      <c r="X187" s="15">
        <f>IF(OR(X186="",W186=""),"",IF(W186&lt;=0,"",IFERROR(X186/W186-1,"")))</f>
        <v/>
      </c>
    </row>
    <row r="188">
      <c r="A188" s="18" t="inlineStr">
        <is>
          <t>AsiaReportableSegmentsMember · 계</t>
        </is>
      </c>
      <c r="C188" s="20" t="n">
        <v>38909</v>
      </c>
      <c r="D188" s="20" t="n">
        <v>35122</v>
      </c>
      <c r="E188" s="20" t="n">
        <v>35860</v>
      </c>
      <c r="F188" s="20" t="n">
        <v>37962</v>
      </c>
      <c r="G188" s="20" t="n">
        <v>37889</v>
      </c>
      <c r="H188" s="20" t="n">
        <v>33634</v>
      </c>
      <c r="I188" s="20" t="n">
        <v>33115</v>
      </c>
      <c r="J188" s="20" t="n">
        <v>34788</v>
      </c>
      <c r="K188" s="20" t="n">
        <v>35730</v>
      </c>
      <c r="L188" s="20" t="n">
        <v>33346</v>
      </c>
      <c r="M188" s="20" t="n">
        <v>33092</v>
      </c>
      <c r="N188" s="20" t="n">
        <v>33654</v>
      </c>
      <c r="V188" s="20" t="n">
        <v>35122</v>
      </c>
      <c r="W188" s="20" t="n">
        <v>33634</v>
      </c>
      <c r="X188" s="20" t="n">
        <v>33346</v>
      </c>
    </row>
    <row r="189">
      <c r="A189" s="43" t="inlineStr">
        <is>
          <t>YoY</t>
        </is>
      </c>
      <c r="B189" s="3" t="inlineStr">
        <is>
          <t>전년 같은 분기·전년 대비</t>
        </is>
      </c>
      <c r="G189" s="15">
        <f>IF(OR(G188="",C188=""),"",IF(C188&lt;=0,"",IFERROR(G188/C188-1,"")))</f>
        <v/>
      </c>
      <c r="H189" s="15">
        <f>IF(OR(H188="",D188=""),"",IF(D188&lt;=0,"",IFERROR(H188/D188-1,"")))</f>
        <v/>
      </c>
      <c r="I189" s="15">
        <f>IF(OR(I188="",E188=""),"",IF(E188&lt;=0,"",IFERROR(I188/E188-1,"")))</f>
        <v/>
      </c>
      <c r="J189" s="15">
        <f>IF(OR(J188="",F188=""),"",IF(F188&lt;=0,"",IFERROR(J188/F188-1,"")))</f>
        <v/>
      </c>
      <c r="K189" s="15">
        <f>IF(OR(K188="",G188=""),"",IF(G188&lt;=0,"",IFERROR(K188/G188-1,"")))</f>
        <v/>
      </c>
      <c r="L189" s="15">
        <f>IF(OR(L188="",H188=""),"",IF(H188&lt;=0,"",IFERROR(L188/H188-1,"")))</f>
        <v/>
      </c>
      <c r="M189" s="15">
        <f>IF(OR(M188="",I188=""),"",IF(I188&lt;=0,"",IFERROR(M188/I188-1,"")))</f>
        <v/>
      </c>
      <c r="N189" s="15">
        <f>IF(OR(N188="",J188=""),"",IF(J188&lt;=0,"",IFERROR(N188/J188-1,"")))</f>
        <v/>
      </c>
      <c r="V189" s="15">
        <f>IF(OR(V188="",U188=""),"",IF(U188&lt;=0,"",IFERROR(V188/U188-1,"")))</f>
        <v/>
      </c>
      <c r="W189" s="15">
        <f>IF(OR(W188="",V188=""),"",IF(V188&lt;=0,"",IFERROR(W188/V188-1,"")))</f>
        <v/>
      </c>
      <c r="X189" s="15">
        <f>IF(OR(X188="",W188=""),"",IF(W188&lt;=0,"",IFERROR(X188/W188-1,"")))</f>
        <v/>
      </c>
    </row>
    <row r="190">
      <c r="A190" s="18" t="inlineStr">
        <is>
          <t>AmericasReportableSegmentsMember · 계</t>
        </is>
      </c>
      <c r="C190" s="20" t="n">
        <v>17836</v>
      </c>
      <c r="E190" s="20" t="n">
        <v>20501</v>
      </c>
      <c r="F190" s="20" t="n">
        <v>17024</v>
      </c>
      <c r="G190" s="20" t="n">
        <v>18888</v>
      </c>
      <c r="I190" s="20" t="n">
        <v>19004</v>
      </c>
      <c r="J190" s="20" t="n">
        <v>19142</v>
      </c>
      <c r="K190" s="20" t="n">
        <v>19206</v>
      </c>
      <c r="M190" s="20" t="n">
        <v>21385</v>
      </c>
      <c r="N190" s="20" t="n">
        <v>20696</v>
      </c>
    </row>
    <row r="191">
      <c r="A191" s="43" t="inlineStr">
        <is>
          <t>YoY</t>
        </is>
      </c>
      <c r="B191" s="3" t="inlineStr">
        <is>
          <t>전년 같은 분기·전년 대비</t>
        </is>
      </c>
      <c r="G191" s="15">
        <f>IF(OR(G190="",C190=""),"",IF(C190&lt;=0,"",IFERROR(G190/C190-1,"")))</f>
        <v/>
      </c>
      <c r="I191" s="15">
        <f>IF(OR(I190="",E190=""),"",IF(E190&lt;=0,"",IFERROR(I190/E190-1,"")))</f>
        <v/>
      </c>
      <c r="J191" s="15">
        <f>IF(OR(J190="",F190=""),"",IF(F190&lt;=0,"",IFERROR(J190/F190-1,"")))</f>
        <v/>
      </c>
      <c r="K191" s="15">
        <f>IF(OR(K190="",G190=""),"",IF(G190&lt;=0,"",IFERROR(K190/G190-1,"")))</f>
        <v/>
      </c>
      <c r="M191" s="15">
        <f>IF(OR(M190="",I190=""),"",IF(I190&lt;=0,"",IFERROR(M190/I190-1,"")))</f>
        <v/>
      </c>
      <c r="N191" s="15">
        <f>IF(OR(N190="",J190=""),"",IF(J190&lt;=0,"",IFERROR(N190/J190-1,"")))</f>
        <v/>
      </c>
    </row>
    <row r="192">
      <c r="A192" s="18" t="inlineStr">
        <is>
          <t>EuropeReportableSegmentsMember · 계</t>
        </is>
      </c>
      <c r="C192" s="20" t="n">
        <v>4033</v>
      </c>
      <c r="D192" s="20" t="n">
        <v>4430</v>
      </c>
      <c r="E192" s="20" t="n">
        <v>4504</v>
      </c>
      <c r="F192" s="20" t="n">
        <v>3901</v>
      </c>
      <c r="G192" s="20" t="n">
        <v>3658</v>
      </c>
      <c r="H192" s="20" t="n">
        <v>3929</v>
      </c>
      <c r="I192" s="20" t="n">
        <v>3987</v>
      </c>
      <c r="J192" s="20" t="n">
        <v>4031</v>
      </c>
      <c r="K192" s="20" t="n">
        <v>4120</v>
      </c>
      <c r="L192" s="20" t="n">
        <v>4150</v>
      </c>
      <c r="M192" s="20" t="n">
        <v>3660</v>
      </c>
      <c r="N192" s="20" t="n">
        <v>3121</v>
      </c>
      <c r="V192" s="20" t="n">
        <v>4430</v>
      </c>
      <c r="W192" s="20" t="n">
        <v>3929</v>
      </c>
      <c r="X192" s="20" t="n">
        <v>4150</v>
      </c>
    </row>
    <row r="193">
      <c r="A193" s="43" t="inlineStr">
        <is>
          <t>YoY</t>
        </is>
      </c>
      <c r="B193" s="3" t="inlineStr">
        <is>
          <t>전년 같은 분기·전년 대비</t>
        </is>
      </c>
      <c r="G193" s="15">
        <f>IF(OR(G192="",C192=""),"",IF(C192&lt;=0,"",IFERROR(G192/C192-1,"")))</f>
        <v/>
      </c>
      <c r="H193" s="15">
        <f>IF(OR(H192="",D192=""),"",IF(D192&lt;=0,"",IFERROR(H192/D192-1,"")))</f>
        <v/>
      </c>
      <c r="I193" s="15">
        <f>IF(OR(I192="",E192=""),"",IF(E192&lt;=0,"",IFERROR(I192/E192-1,"")))</f>
        <v/>
      </c>
      <c r="J193" s="15">
        <f>IF(OR(J192="",F192=""),"",IF(F192&lt;=0,"",IFERROR(J192/F192-1,"")))</f>
        <v/>
      </c>
      <c r="K193" s="15">
        <f>IF(OR(K192="",G192=""),"",IF(G192&lt;=0,"",IFERROR(K192/G192-1,"")))</f>
        <v/>
      </c>
      <c r="L193" s="15">
        <f>IF(OR(L192="",H192=""),"",IF(H192&lt;=0,"",IFERROR(L192/H192-1,"")))</f>
        <v/>
      </c>
      <c r="M193" s="15">
        <f>IF(OR(M192="",I192=""),"",IF(I192&lt;=0,"",IFERROR(M192/I192-1,"")))</f>
        <v/>
      </c>
      <c r="N193" s="15">
        <f>IF(OR(N192="",J192=""),"",IF(J192&lt;=0,"",IFERROR(N192/J192-1,"")))</f>
        <v/>
      </c>
      <c r="V193" s="15">
        <f>IF(OR(V192="",U192=""),"",IF(U192&lt;=0,"",IFERROR(V192/U192-1,"")))</f>
        <v/>
      </c>
      <c r="W193" s="15">
        <f>IF(OR(W192="",V192=""),"",IF(V192&lt;=0,"",IFERROR(W192/V192-1,"")))</f>
        <v/>
      </c>
      <c r="X193" s="15">
        <f>IF(OR(X192="",W192=""),"",IF(W192&lt;=0,"",IFERROR(X192/W192-1,"")))</f>
        <v/>
      </c>
    </row>
    <row r="194">
      <c r="A194" s="18" t="inlineStr">
        <is>
          <t>합계 · 계</t>
        </is>
      </c>
      <c r="C194" s="20" t="n">
        <v>92124</v>
      </c>
      <c r="D194" s="20" t="n">
        <v>87113</v>
      </c>
      <c r="E194" s="20" t="n">
        <v>92185</v>
      </c>
      <c r="F194" s="20" t="n">
        <v>91832</v>
      </c>
      <c r="G194" s="20" t="n">
        <v>95633</v>
      </c>
      <c r="H194" s="20" t="n">
        <v>92756</v>
      </c>
      <c r="I194" s="20" t="n">
        <v>88987</v>
      </c>
      <c r="J194" s="20" t="n">
        <v>93302</v>
      </c>
      <c r="K194" s="20" t="n">
        <v>94503</v>
      </c>
      <c r="L194" s="20" t="n">
        <v>93728</v>
      </c>
      <c r="M194" s="20" t="n">
        <v>94816</v>
      </c>
      <c r="N194" s="20" t="n">
        <v>98855</v>
      </c>
      <c r="V194" s="20" t="n">
        <v>87113</v>
      </c>
      <c r="W194" s="20" t="n">
        <v>92756</v>
      </c>
      <c r="X194" s="20" t="n">
        <v>93728</v>
      </c>
    </row>
    <row r="195">
      <c r="A195" s="43" t="inlineStr">
        <is>
          <t>YoY</t>
        </is>
      </c>
      <c r="B195" s="3" t="inlineStr">
        <is>
          <t>전년 같은 분기·전년 대비</t>
        </is>
      </c>
      <c r="G195" s="15">
        <f>IF(OR(G194="",C194=""),"",IF(C194&lt;=0,"",IFERROR(G194/C194-1,"")))</f>
        <v/>
      </c>
      <c r="H195" s="15">
        <f>IF(OR(H194="",D194=""),"",IF(D194&lt;=0,"",IFERROR(H194/D194-1,"")))</f>
        <v/>
      </c>
      <c r="I195" s="15">
        <f>IF(OR(I194="",E194=""),"",IF(E194&lt;=0,"",IFERROR(I194/E194-1,"")))</f>
        <v/>
      </c>
      <c r="J195" s="15">
        <f>IF(OR(J194="",F194=""),"",IF(F194&lt;=0,"",IFERROR(J194/F194-1,"")))</f>
        <v/>
      </c>
      <c r="K195" s="15">
        <f>IF(OR(K194="",G194=""),"",IF(G194&lt;=0,"",IFERROR(K194/G194-1,"")))</f>
        <v/>
      </c>
      <c r="L195" s="15">
        <f>IF(OR(L194="",H194=""),"",IF(H194&lt;=0,"",IFERROR(L194/H194-1,"")))</f>
        <v/>
      </c>
      <c r="M195" s="15">
        <f>IF(OR(M194="",I194=""),"",IF(I194&lt;=0,"",IFERROR(M194/I194-1,"")))</f>
        <v/>
      </c>
      <c r="N195" s="15">
        <f>IF(OR(N194="",J194=""),"",IF(J194&lt;=0,"",IFERROR(N194/J194-1,"")))</f>
        <v/>
      </c>
      <c r="V195" s="15">
        <f>IF(OR(V194="",U194=""),"",IF(U194&lt;=0,"",IFERROR(V194/U194-1,"")))</f>
        <v/>
      </c>
      <c r="W195" s="15">
        <f>IF(OR(W194="",V194=""),"",IF(V194&lt;=0,"",IFERROR(W194/V194-1,"")))</f>
        <v/>
      </c>
      <c r="X195" s="15">
        <f>IF(OR(X194="",W194=""),"",IF(W194&lt;=0,"",IFERROR(X194/W194-1,"")))</f>
        <v/>
      </c>
    </row>
    <row r="196">
      <c r="A196" s="18" t="inlineStr">
        <is>
          <t>조정액 · 계</t>
        </is>
      </c>
      <c r="C196" s="20" t="n">
        <v>-6447</v>
      </c>
      <c r="D196" s="20" t="n">
        <v>-6203</v>
      </c>
      <c r="E196" s="20" t="n">
        <v>-8997</v>
      </c>
      <c r="F196" s="20" t="n">
        <v>-8617</v>
      </c>
      <c r="G196" s="20" t="n">
        <v>-8890</v>
      </c>
      <c r="H196" s="20" t="n">
        <v>-8643</v>
      </c>
      <c r="I196" s="20" t="n">
        <v>-9064</v>
      </c>
      <c r="J196" s="20" t="n">
        <v>-10128</v>
      </c>
      <c r="K196" s="20" t="n">
        <v>-10413</v>
      </c>
      <c r="L196" s="20" t="n">
        <v>-10080</v>
      </c>
      <c r="M196" s="20" t="n">
        <v>-10888</v>
      </c>
      <c r="N196" s="20" t="n">
        <v>-11429</v>
      </c>
      <c r="V196" s="20" t="n">
        <v>-6203</v>
      </c>
      <c r="W196" s="20" t="n">
        <v>-8643</v>
      </c>
      <c r="X196" s="20" t="n">
        <v>-10080</v>
      </c>
    </row>
    <row r="197">
      <c r="A197" s="18" t="inlineStr">
        <is>
          <t>EntityTotalMember · 계</t>
        </is>
      </c>
      <c r="E197" s="20" t="n">
        <v>83187</v>
      </c>
      <c r="I197" s="20" t="n">
        <v>79923</v>
      </c>
      <c r="M197" s="20" t="n">
        <v>83927</v>
      </c>
    </row>
    <row r="198">
      <c r="A198" s="9" t="inlineStr">
        <is>
          <t>계</t>
        </is>
      </c>
      <c r="C198" s="12" t="n">
        <v>85676</v>
      </c>
      <c r="D198" s="12" t="n">
        <v>80911</v>
      </c>
      <c r="E198" s="12" t="n">
        <v>83187</v>
      </c>
      <c r="F198" s="12" t="n">
        <v>83216</v>
      </c>
      <c r="G198" s="12" t="n">
        <v>86742</v>
      </c>
      <c r="H198" s="12" t="n">
        <v>84114</v>
      </c>
      <c r="V198" s="12" t="n">
        <v>80911</v>
      </c>
      <c r="W198" s="12" t="n">
        <v>84114</v>
      </c>
    </row>
    <row r="199">
      <c r="A199" s="43" t="inlineStr">
        <is>
          <t>YoY</t>
        </is>
      </c>
      <c r="B199" s="3" t="inlineStr">
        <is>
          <t>전년 같은 분기·전년 대비</t>
        </is>
      </c>
      <c r="G199" s="15">
        <f>IF(OR(G198="",C198=""),"",IF(C198&lt;=0,"",IFERROR(G198/C198-1,"")))</f>
        <v/>
      </c>
      <c r="H199" s="15">
        <f>IF(OR(H198="",D198=""),"",IF(D198&lt;=0,"",IFERROR(H198/D198-1,"")))</f>
        <v/>
      </c>
      <c r="V199" s="15">
        <f>IF(OR(V198="",U198=""),"",IF(U198&lt;=0,"",IFERROR(V198/U198-1,"")))</f>
        <v/>
      </c>
      <c r="W199" s="15">
        <f>IF(OR(W198="",V198=""),"",IF(V198&lt;=0,"",IFERROR(W198/V198-1,"")))</f>
        <v/>
      </c>
    </row>
    <row r="200">
      <c r="A200" s="18" t="inlineStr">
        <is>
          <t>JapanReportableSegmentsMember · 부문 이익</t>
        </is>
      </c>
      <c r="C200" s="20" t="n">
        <v>826</v>
      </c>
      <c r="D200" s="20" t="n">
        <v>-939</v>
      </c>
      <c r="E200" s="20" t="n">
        <v>829</v>
      </c>
      <c r="F200" s="20" t="n">
        <v>672</v>
      </c>
      <c r="G200" s="20" t="n">
        <v>7</v>
      </c>
      <c r="H200" s="20" t="n">
        <v>810</v>
      </c>
      <c r="I200" s="20" t="n">
        <v>-663</v>
      </c>
      <c r="J200" s="20" t="n">
        <v>2189</v>
      </c>
      <c r="K200" s="20" t="n">
        <v>1467</v>
      </c>
      <c r="L200" s="20" t="n">
        <v>167</v>
      </c>
      <c r="M200" s="20" t="n">
        <v>-177</v>
      </c>
      <c r="N200" s="20" t="n">
        <v>1089</v>
      </c>
      <c r="V200" s="20" t="n">
        <v>-939</v>
      </c>
      <c r="W200" s="20" t="n">
        <v>810</v>
      </c>
      <c r="X200" s="20" t="n">
        <v>167</v>
      </c>
    </row>
    <row r="201">
      <c r="A201" s="43" t="inlineStr">
        <is>
          <t>OPM</t>
        </is>
      </c>
      <c r="B201" s="3" t="inlineStr">
        <is>
          <t>영업이익 ÷ 매출</t>
        </is>
      </c>
      <c r="C201" s="15">
        <f>IF(OR(C200="",C186=""),"",IF(C186&lt;=0,"",IFERROR(C200/C186,"")))</f>
        <v/>
      </c>
      <c r="D201" s="15">
        <f>IF(OR(D200="",D186=""),"",IF(D186&lt;=0,"",IFERROR(D200/D186,"")))</f>
        <v/>
      </c>
      <c r="E201" s="15">
        <f>IF(OR(E200="",E186=""),"",IF(E186&lt;=0,"",IFERROR(E200/E186,"")))</f>
        <v/>
      </c>
      <c r="F201" s="15">
        <f>IF(OR(F200="",F186=""),"",IF(F186&lt;=0,"",IFERROR(F200/F186,"")))</f>
        <v/>
      </c>
      <c r="G201" s="15">
        <f>IF(OR(G200="",G186=""),"",IF(G186&lt;=0,"",IFERROR(G200/G186,"")))</f>
        <v/>
      </c>
      <c r="H201" s="15">
        <f>IF(OR(H200="",H186=""),"",IF(H186&lt;=0,"",IFERROR(H200/H186,"")))</f>
        <v/>
      </c>
      <c r="I201" s="15">
        <f>IF(OR(I200="",I186=""),"",IF(I186&lt;=0,"",IFERROR(I200/I186,"")))</f>
        <v/>
      </c>
      <c r="J201" s="15">
        <f>IF(OR(J200="",J186=""),"",IF(J186&lt;=0,"",IFERROR(J200/J186,"")))</f>
        <v/>
      </c>
      <c r="K201" s="15">
        <f>IF(OR(K200="",K186=""),"",IF(K186&lt;=0,"",IFERROR(K200/K186,"")))</f>
        <v/>
      </c>
      <c r="L201" s="15">
        <f>IF(OR(L200="",L186=""),"",IF(L186&lt;=0,"",IFERROR(L200/L186,"")))</f>
        <v/>
      </c>
      <c r="M201" s="15">
        <f>IF(OR(M200="",M186=""),"",IF(M186&lt;=0,"",IFERROR(M200/M186,"")))</f>
        <v/>
      </c>
      <c r="N201" s="15">
        <f>IF(OR(N200="",N186=""),"",IF(N186&lt;=0,"",IFERROR(N200/N186,"")))</f>
        <v/>
      </c>
      <c r="V201" s="15">
        <f>IF(OR(V200="",V186=""),"",IF(V186&lt;=0,"",IFERROR(V200/V186,"")))</f>
        <v/>
      </c>
      <c r="W201" s="15">
        <f>IF(OR(W200="",W186=""),"",IF(W186&lt;=0,"",IFERROR(W200/W186,"")))</f>
        <v/>
      </c>
      <c r="X201" s="15">
        <f>IF(OR(X200="",X186=""),"",IF(X186&lt;=0,"",IFERROR(X200/X186,"")))</f>
        <v/>
      </c>
    </row>
    <row r="202">
      <c r="A202" s="43" t="inlineStr">
        <is>
          <t>YoY</t>
        </is>
      </c>
      <c r="B202" s="3" t="inlineStr">
        <is>
          <t>전년 같은 분기·전년 대비</t>
        </is>
      </c>
      <c r="G202" s="15">
        <f>IF(OR(G200="",C200=""),"",IF(C200&lt;=0,"",IFERROR(G200/C200-1,"")))</f>
        <v/>
      </c>
      <c r="H202" s="15">
        <f>IF(OR(H200="",D200=""),"",IF(D200&lt;=0,"",IFERROR(H200/D200-1,"")))</f>
        <v/>
      </c>
      <c r="I202" s="15">
        <f>IF(OR(I200="",E200=""),"",IF(E200&lt;=0,"",IFERROR(I200/E200-1,"")))</f>
        <v/>
      </c>
      <c r="J202" s="15">
        <f>IF(OR(J200="",F200=""),"",IF(F200&lt;=0,"",IFERROR(J200/F200-1,"")))</f>
        <v/>
      </c>
      <c r="K202" s="15">
        <f>IF(OR(K200="",G200=""),"",IF(G200&lt;=0,"",IFERROR(K200/G200-1,"")))</f>
        <v/>
      </c>
      <c r="L202" s="15">
        <f>IF(OR(L200="",H200=""),"",IF(H200&lt;=0,"",IFERROR(L200/H200-1,"")))</f>
        <v/>
      </c>
      <c r="M202" s="15">
        <f>IF(OR(M200="",I200=""),"",IF(I200&lt;=0,"",IFERROR(M200/I200-1,"")))</f>
        <v/>
      </c>
      <c r="N202" s="15">
        <f>IF(OR(N200="",J200=""),"",IF(J200&lt;=0,"",IFERROR(N200/J200-1,"")))</f>
        <v/>
      </c>
      <c r="V202" s="15">
        <f>IF(OR(V200="",U200=""),"",IF(U200&lt;=0,"",IFERROR(V200/U200-1,"")))</f>
        <v/>
      </c>
      <c r="W202" s="15">
        <f>IF(OR(W200="",V200=""),"",IF(V200&lt;=0,"",IFERROR(W200/V200-1,"")))</f>
        <v/>
      </c>
      <c r="X202" s="15">
        <f>IF(OR(X200="",W200=""),"",IF(W200&lt;=0,"",IFERROR(X200/W200-1,"")))</f>
        <v/>
      </c>
    </row>
    <row r="203">
      <c r="A203" s="18" t="inlineStr">
        <is>
          <t>AsiaReportableSegmentsMember · 부문 이익</t>
        </is>
      </c>
      <c r="C203" s="20" t="n">
        <v>3293</v>
      </c>
      <c r="D203" s="20" t="n">
        <v>-702</v>
      </c>
      <c r="E203" s="20" t="n">
        <v>3329</v>
      </c>
      <c r="F203" s="20" t="n">
        <v>3225</v>
      </c>
      <c r="G203" s="20" t="n">
        <v>3147</v>
      </c>
      <c r="H203" s="20" t="n">
        <v>-1899</v>
      </c>
      <c r="I203" s="20" t="n">
        <v>2254</v>
      </c>
      <c r="J203" s="20" t="n">
        <v>2519</v>
      </c>
      <c r="K203" s="20" t="n">
        <v>2885</v>
      </c>
      <c r="L203" s="20" t="n">
        <v>1708</v>
      </c>
      <c r="M203" s="20" t="n">
        <v>2056</v>
      </c>
      <c r="N203" s="20" t="n">
        <v>2091</v>
      </c>
      <c r="V203" s="20" t="n">
        <v>-702</v>
      </c>
      <c r="W203" s="20" t="n">
        <v>-1899</v>
      </c>
      <c r="X203" s="20" t="n">
        <v>1708</v>
      </c>
    </row>
    <row r="204">
      <c r="A204" s="43" t="inlineStr">
        <is>
          <t>OPM</t>
        </is>
      </c>
      <c r="B204" s="3" t="inlineStr">
        <is>
          <t>영업이익 ÷ 매출</t>
        </is>
      </c>
      <c r="C204" s="15">
        <f>IF(OR(C203="",C188=""),"",IF(C188&lt;=0,"",IFERROR(C203/C188,"")))</f>
        <v/>
      </c>
      <c r="D204" s="15">
        <f>IF(OR(D203="",D188=""),"",IF(D188&lt;=0,"",IFERROR(D203/D188,"")))</f>
        <v/>
      </c>
      <c r="E204" s="15">
        <f>IF(OR(E203="",E188=""),"",IF(E188&lt;=0,"",IFERROR(E203/E188,"")))</f>
        <v/>
      </c>
      <c r="F204" s="15">
        <f>IF(OR(F203="",F188=""),"",IF(F188&lt;=0,"",IFERROR(F203/F188,"")))</f>
        <v/>
      </c>
      <c r="G204" s="15">
        <f>IF(OR(G203="",G188=""),"",IF(G188&lt;=0,"",IFERROR(G203/G188,"")))</f>
        <v/>
      </c>
      <c r="H204" s="15">
        <f>IF(OR(H203="",H188=""),"",IF(H188&lt;=0,"",IFERROR(H203/H188,"")))</f>
        <v/>
      </c>
      <c r="I204" s="15">
        <f>IF(OR(I203="",I188=""),"",IF(I188&lt;=0,"",IFERROR(I203/I188,"")))</f>
        <v/>
      </c>
      <c r="J204" s="15">
        <f>IF(OR(J203="",J188=""),"",IF(J188&lt;=0,"",IFERROR(J203/J188,"")))</f>
        <v/>
      </c>
      <c r="K204" s="15">
        <f>IF(OR(K203="",K188=""),"",IF(K188&lt;=0,"",IFERROR(K203/K188,"")))</f>
        <v/>
      </c>
      <c r="L204" s="15">
        <f>IF(OR(L203="",L188=""),"",IF(L188&lt;=0,"",IFERROR(L203/L188,"")))</f>
        <v/>
      </c>
      <c r="M204" s="15">
        <f>IF(OR(M203="",M188=""),"",IF(M188&lt;=0,"",IFERROR(M203/M188,"")))</f>
        <v/>
      </c>
      <c r="N204" s="15">
        <f>IF(OR(N203="",N188=""),"",IF(N188&lt;=0,"",IFERROR(N203/N188,"")))</f>
        <v/>
      </c>
      <c r="V204" s="15">
        <f>IF(OR(V203="",V188=""),"",IF(V188&lt;=0,"",IFERROR(V203/V188,"")))</f>
        <v/>
      </c>
      <c r="W204" s="15">
        <f>IF(OR(W203="",W188=""),"",IF(W188&lt;=0,"",IFERROR(W203/W188,"")))</f>
        <v/>
      </c>
      <c r="X204" s="15">
        <f>IF(OR(X203="",X188=""),"",IF(X188&lt;=0,"",IFERROR(X203/X188,"")))</f>
        <v/>
      </c>
    </row>
    <row r="205">
      <c r="A205" s="43" t="inlineStr">
        <is>
          <t>YoY</t>
        </is>
      </c>
      <c r="B205" s="3" t="inlineStr">
        <is>
          <t>전년 같은 분기·전년 대비</t>
        </is>
      </c>
      <c r="G205" s="15">
        <f>IF(OR(G203="",C203=""),"",IF(C203&lt;=0,"",IFERROR(G203/C203-1,"")))</f>
        <v/>
      </c>
      <c r="H205" s="15">
        <f>IF(OR(H203="",D203=""),"",IF(D203&lt;=0,"",IFERROR(H203/D203-1,"")))</f>
        <v/>
      </c>
      <c r="I205" s="15">
        <f>IF(OR(I203="",E203=""),"",IF(E203&lt;=0,"",IFERROR(I203/E203-1,"")))</f>
        <v/>
      </c>
      <c r="J205" s="15">
        <f>IF(OR(J203="",F203=""),"",IF(F203&lt;=0,"",IFERROR(J203/F203-1,"")))</f>
        <v/>
      </c>
      <c r="K205" s="15">
        <f>IF(OR(K203="",G203=""),"",IF(G203&lt;=0,"",IFERROR(K203/G203-1,"")))</f>
        <v/>
      </c>
      <c r="L205" s="15">
        <f>IF(OR(L203="",H203=""),"",IF(H203&lt;=0,"",IFERROR(L203/H203-1,"")))</f>
        <v/>
      </c>
      <c r="M205" s="15">
        <f>IF(OR(M203="",I203=""),"",IF(I203&lt;=0,"",IFERROR(M203/I203-1,"")))</f>
        <v/>
      </c>
      <c r="N205" s="15">
        <f>IF(OR(N203="",J203=""),"",IF(J203&lt;=0,"",IFERROR(N203/J203-1,"")))</f>
        <v/>
      </c>
      <c r="V205" s="15">
        <f>IF(OR(V203="",U203=""),"",IF(U203&lt;=0,"",IFERROR(V203/U203-1,"")))</f>
        <v/>
      </c>
      <c r="W205" s="15">
        <f>IF(OR(W203="",V203=""),"",IF(V203&lt;=0,"",IFERROR(W203/V203-1,"")))</f>
        <v/>
      </c>
      <c r="X205" s="15">
        <f>IF(OR(X203="",W203=""),"",IF(W203&lt;=0,"",IFERROR(X203/W203-1,"")))</f>
        <v/>
      </c>
    </row>
    <row r="206">
      <c r="A206" s="18" t="inlineStr">
        <is>
          <t>AmericasReportableSegmentsMember · 부문 이익</t>
        </is>
      </c>
      <c r="C206" s="20" t="n">
        <v>1653</v>
      </c>
      <c r="E206" s="20" t="n">
        <v>1186</v>
      </c>
      <c r="F206" s="20" t="n">
        <v>1193</v>
      </c>
      <c r="G206" s="20" t="n">
        <v>2234</v>
      </c>
      <c r="I206" s="20" t="n">
        <v>1404</v>
      </c>
      <c r="J206" s="20" t="n">
        <v>982</v>
      </c>
      <c r="K206" s="20" t="n">
        <v>790</v>
      </c>
      <c r="M206" s="20" t="n">
        <v>3357</v>
      </c>
      <c r="N206" s="20" t="n">
        <v>2428</v>
      </c>
    </row>
    <row r="207">
      <c r="A207" s="43" t="inlineStr">
        <is>
          <t>OPM</t>
        </is>
      </c>
      <c r="B207" s="3" t="inlineStr">
        <is>
          <t>영업이익 ÷ 매출</t>
        </is>
      </c>
      <c r="C207" s="15">
        <f>IF(OR(C206="",C190=""),"",IF(C190&lt;=0,"",IFERROR(C206/C190,"")))</f>
        <v/>
      </c>
      <c r="E207" s="15">
        <f>IF(OR(E206="",E190=""),"",IF(E190&lt;=0,"",IFERROR(E206/E190,"")))</f>
        <v/>
      </c>
      <c r="F207" s="15">
        <f>IF(OR(F206="",F190=""),"",IF(F190&lt;=0,"",IFERROR(F206/F190,"")))</f>
        <v/>
      </c>
      <c r="G207" s="15">
        <f>IF(OR(G206="",G190=""),"",IF(G190&lt;=0,"",IFERROR(G206/G190,"")))</f>
        <v/>
      </c>
      <c r="I207" s="15">
        <f>IF(OR(I206="",I190=""),"",IF(I190&lt;=0,"",IFERROR(I206/I190,"")))</f>
        <v/>
      </c>
      <c r="J207" s="15">
        <f>IF(OR(J206="",J190=""),"",IF(J190&lt;=0,"",IFERROR(J206/J190,"")))</f>
        <v/>
      </c>
      <c r="K207" s="15">
        <f>IF(OR(K206="",K190=""),"",IF(K190&lt;=0,"",IFERROR(K206/K190,"")))</f>
        <v/>
      </c>
      <c r="M207" s="15">
        <f>IF(OR(M206="",M190=""),"",IF(M190&lt;=0,"",IFERROR(M206/M190,"")))</f>
        <v/>
      </c>
      <c r="N207" s="15">
        <f>IF(OR(N206="",N190=""),"",IF(N190&lt;=0,"",IFERROR(N206/N190,"")))</f>
        <v/>
      </c>
    </row>
    <row r="208">
      <c r="A208" s="43" t="inlineStr">
        <is>
          <t>YoY</t>
        </is>
      </c>
      <c r="B208" s="3" t="inlineStr">
        <is>
          <t>전년 같은 분기·전년 대비</t>
        </is>
      </c>
      <c r="G208" s="15">
        <f>IF(OR(G206="",C206=""),"",IF(C206&lt;=0,"",IFERROR(G206/C206-1,"")))</f>
        <v/>
      </c>
      <c r="I208" s="15">
        <f>IF(OR(I206="",E206=""),"",IF(E206&lt;=0,"",IFERROR(I206/E206-1,"")))</f>
        <v/>
      </c>
      <c r="J208" s="15">
        <f>IF(OR(J206="",F206=""),"",IF(F206&lt;=0,"",IFERROR(J206/F206-1,"")))</f>
        <v/>
      </c>
      <c r="K208" s="15">
        <f>IF(OR(K206="",G206=""),"",IF(G206&lt;=0,"",IFERROR(K206/G206-1,"")))</f>
        <v/>
      </c>
      <c r="M208" s="15">
        <f>IF(OR(M206="",I206=""),"",IF(I206&lt;=0,"",IFERROR(M206/I206-1,"")))</f>
        <v/>
      </c>
      <c r="N208" s="15">
        <f>IF(OR(N206="",J206=""),"",IF(J206&lt;=0,"",IFERROR(N206/J206-1,"")))</f>
        <v/>
      </c>
    </row>
    <row r="209">
      <c r="A209" s="18" t="inlineStr">
        <is>
          <t>EuropeReportableSegmentsMember · 부문 이익</t>
        </is>
      </c>
      <c r="C209" s="20" t="n">
        <v>290</v>
      </c>
      <c r="D209" s="20" t="n">
        <v>427</v>
      </c>
      <c r="E209" s="20" t="n">
        <v>444</v>
      </c>
      <c r="F209" s="20" t="n">
        <v>398</v>
      </c>
      <c r="G209" s="20" t="n">
        <v>202</v>
      </c>
      <c r="H209" s="20" t="n">
        <v>243</v>
      </c>
      <c r="I209" s="20" t="n">
        <v>259</v>
      </c>
      <c r="J209" s="20" t="n">
        <v>262</v>
      </c>
      <c r="K209" s="20" t="n">
        <v>361</v>
      </c>
      <c r="L209" s="20" t="n">
        <v>298</v>
      </c>
      <c r="M209" s="20" t="n">
        <v>96</v>
      </c>
      <c r="N209" s="20" t="n">
        <v>-22</v>
      </c>
      <c r="V209" s="20" t="n">
        <v>427</v>
      </c>
      <c r="W209" s="20" t="n">
        <v>243</v>
      </c>
      <c r="X209" s="20" t="n">
        <v>298</v>
      </c>
    </row>
    <row r="210">
      <c r="A210" s="43" t="inlineStr">
        <is>
          <t>OPM</t>
        </is>
      </c>
      <c r="B210" s="3" t="inlineStr">
        <is>
          <t>영업이익 ÷ 매출</t>
        </is>
      </c>
      <c r="C210" s="15">
        <f>IF(OR(C209="",C192=""),"",IF(C192&lt;=0,"",IFERROR(C209/C192,"")))</f>
        <v/>
      </c>
      <c r="D210" s="15">
        <f>IF(OR(D209="",D192=""),"",IF(D192&lt;=0,"",IFERROR(D209/D192,"")))</f>
        <v/>
      </c>
      <c r="E210" s="15">
        <f>IF(OR(E209="",E192=""),"",IF(E192&lt;=0,"",IFERROR(E209/E192,"")))</f>
        <v/>
      </c>
      <c r="F210" s="15">
        <f>IF(OR(F209="",F192=""),"",IF(F192&lt;=0,"",IFERROR(F209/F192,"")))</f>
        <v/>
      </c>
      <c r="G210" s="15">
        <f>IF(OR(G209="",G192=""),"",IF(G192&lt;=0,"",IFERROR(G209/G192,"")))</f>
        <v/>
      </c>
      <c r="H210" s="15">
        <f>IF(OR(H209="",H192=""),"",IF(H192&lt;=0,"",IFERROR(H209/H192,"")))</f>
        <v/>
      </c>
      <c r="I210" s="15">
        <f>IF(OR(I209="",I192=""),"",IF(I192&lt;=0,"",IFERROR(I209/I192,"")))</f>
        <v/>
      </c>
      <c r="J210" s="15">
        <f>IF(OR(J209="",J192=""),"",IF(J192&lt;=0,"",IFERROR(J209/J192,"")))</f>
        <v/>
      </c>
      <c r="K210" s="15">
        <f>IF(OR(K209="",K192=""),"",IF(K192&lt;=0,"",IFERROR(K209/K192,"")))</f>
        <v/>
      </c>
      <c r="L210" s="15">
        <f>IF(OR(L209="",L192=""),"",IF(L192&lt;=0,"",IFERROR(L209/L192,"")))</f>
        <v/>
      </c>
      <c r="M210" s="15">
        <f>IF(OR(M209="",M192=""),"",IF(M192&lt;=0,"",IFERROR(M209/M192,"")))</f>
        <v/>
      </c>
      <c r="N210" s="15">
        <f>IF(OR(N209="",N192=""),"",IF(N192&lt;=0,"",IFERROR(N209/N192,"")))</f>
        <v/>
      </c>
      <c r="V210" s="15">
        <f>IF(OR(V209="",V192=""),"",IF(V192&lt;=0,"",IFERROR(V209/V192,"")))</f>
        <v/>
      </c>
      <c r="W210" s="15">
        <f>IF(OR(W209="",W192=""),"",IF(W192&lt;=0,"",IFERROR(W209/W192,"")))</f>
        <v/>
      </c>
      <c r="X210" s="15">
        <f>IF(OR(X209="",X192=""),"",IF(X192&lt;=0,"",IFERROR(X209/X192,"")))</f>
        <v/>
      </c>
    </row>
    <row r="211">
      <c r="A211" s="43" t="inlineStr">
        <is>
          <t>YoY</t>
        </is>
      </c>
      <c r="B211" s="3" t="inlineStr">
        <is>
          <t>전년 같은 분기·전년 대비</t>
        </is>
      </c>
      <c r="G211" s="15">
        <f>IF(OR(G209="",C209=""),"",IF(C209&lt;=0,"",IFERROR(G209/C209-1,"")))</f>
        <v/>
      </c>
      <c r="H211" s="15">
        <f>IF(OR(H209="",D209=""),"",IF(D209&lt;=0,"",IFERROR(H209/D209-1,"")))</f>
        <v/>
      </c>
      <c r="I211" s="15">
        <f>IF(OR(I209="",E209=""),"",IF(E209&lt;=0,"",IFERROR(I209/E209-1,"")))</f>
        <v/>
      </c>
      <c r="J211" s="15">
        <f>IF(OR(J209="",F209=""),"",IF(F209&lt;=0,"",IFERROR(J209/F209-1,"")))</f>
        <v/>
      </c>
      <c r="K211" s="15">
        <f>IF(OR(K209="",G209=""),"",IF(G209&lt;=0,"",IFERROR(K209/G209-1,"")))</f>
        <v/>
      </c>
      <c r="L211" s="15">
        <f>IF(OR(L209="",H209=""),"",IF(H209&lt;=0,"",IFERROR(L209/H209-1,"")))</f>
        <v/>
      </c>
      <c r="M211" s="15">
        <f>IF(OR(M209="",I209=""),"",IF(I209&lt;=0,"",IFERROR(M209/I209-1,"")))</f>
        <v/>
      </c>
      <c r="N211" s="15">
        <f>IF(OR(N209="",J209=""),"",IF(J209&lt;=0,"",IFERROR(N209/J209-1,"")))</f>
        <v/>
      </c>
      <c r="V211" s="15">
        <f>IF(OR(V209="",U209=""),"",IF(U209&lt;=0,"",IFERROR(V209/U209-1,"")))</f>
        <v/>
      </c>
      <c r="W211" s="15">
        <f>IF(OR(W209="",V209=""),"",IF(V209&lt;=0,"",IFERROR(W209/V209-1,"")))</f>
        <v/>
      </c>
      <c r="X211" s="15">
        <f>IF(OR(X209="",W209=""),"",IF(W209&lt;=0,"",IFERROR(X209/W209-1,"")))</f>
        <v/>
      </c>
    </row>
    <row r="212">
      <c r="A212" s="18" t="inlineStr">
        <is>
          <t>합계 · 부문 이익</t>
        </is>
      </c>
      <c r="C212" s="20" t="n">
        <v>6064</v>
      </c>
      <c r="D212" s="20" t="n">
        <v>702</v>
      </c>
      <c r="E212" s="20" t="n">
        <v>5791</v>
      </c>
      <c r="F212" s="20" t="n">
        <v>5487</v>
      </c>
      <c r="G212" s="20" t="n">
        <v>5590</v>
      </c>
      <c r="H212" s="20" t="n">
        <v>1695</v>
      </c>
      <c r="I212" s="20" t="n">
        <v>3254</v>
      </c>
      <c r="J212" s="20" t="n">
        <v>5954</v>
      </c>
      <c r="K212" s="20" t="n">
        <v>5503</v>
      </c>
      <c r="L212" s="20" t="n">
        <v>3399</v>
      </c>
      <c r="M212" s="20" t="n">
        <v>5333</v>
      </c>
      <c r="N212" s="20" t="n">
        <v>5586</v>
      </c>
      <c r="V212" s="20" t="n">
        <v>702</v>
      </c>
      <c r="W212" s="20" t="n">
        <v>1695</v>
      </c>
      <c r="X212" s="20" t="n">
        <v>3399</v>
      </c>
    </row>
    <row r="213">
      <c r="A213" s="43" t="inlineStr">
        <is>
          <t>OPM</t>
        </is>
      </c>
      <c r="B213" s="3" t="inlineStr">
        <is>
          <t>영업이익 ÷ 매출</t>
        </is>
      </c>
      <c r="C213" s="15">
        <f>IF(OR(C212="",C194=""),"",IF(C194&lt;=0,"",IFERROR(C212/C194,"")))</f>
        <v/>
      </c>
      <c r="D213" s="15">
        <f>IF(OR(D212="",D194=""),"",IF(D194&lt;=0,"",IFERROR(D212/D194,"")))</f>
        <v/>
      </c>
      <c r="E213" s="15">
        <f>IF(OR(E212="",E194=""),"",IF(E194&lt;=0,"",IFERROR(E212/E194,"")))</f>
        <v/>
      </c>
      <c r="F213" s="15">
        <f>IF(OR(F212="",F194=""),"",IF(F194&lt;=0,"",IFERROR(F212/F194,"")))</f>
        <v/>
      </c>
      <c r="G213" s="15">
        <f>IF(OR(G212="",G194=""),"",IF(G194&lt;=0,"",IFERROR(G212/G194,"")))</f>
        <v/>
      </c>
      <c r="H213" s="15">
        <f>IF(OR(H212="",H194=""),"",IF(H194&lt;=0,"",IFERROR(H212/H194,"")))</f>
        <v/>
      </c>
      <c r="I213" s="15">
        <f>IF(OR(I212="",I194=""),"",IF(I194&lt;=0,"",IFERROR(I212/I194,"")))</f>
        <v/>
      </c>
      <c r="J213" s="15">
        <f>IF(OR(J212="",J194=""),"",IF(J194&lt;=0,"",IFERROR(J212/J194,"")))</f>
        <v/>
      </c>
      <c r="K213" s="15">
        <f>IF(OR(K212="",K194=""),"",IF(K194&lt;=0,"",IFERROR(K212/K194,"")))</f>
        <v/>
      </c>
      <c r="L213" s="15">
        <f>IF(OR(L212="",L194=""),"",IF(L194&lt;=0,"",IFERROR(L212/L194,"")))</f>
        <v/>
      </c>
      <c r="M213" s="15">
        <f>IF(OR(M212="",M194=""),"",IF(M194&lt;=0,"",IFERROR(M212/M194,"")))</f>
        <v/>
      </c>
      <c r="N213" s="15">
        <f>IF(OR(N212="",N194=""),"",IF(N194&lt;=0,"",IFERROR(N212/N194,"")))</f>
        <v/>
      </c>
      <c r="V213" s="15">
        <f>IF(OR(V212="",V194=""),"",IF(V194&lt;=0,"",IFERROR(V212/V194,"")))</f>
        <v/>
      </c>
      <c r="W213" s="15">
        <f>IF(OR(W212="",W194=""),"",IF(W194&lt;=0,"",IFERROR(W212/W194,"")))</f>
        <v/>
      </c>
      <c r="X213" s="15">
        <f>IF(OR(X212="",X194=""),"",IF(X194&lt;=0,"",IFERROR(X212/X194,"")))</f>
        <v/>
      </c>
    </row>
    <row r="214">
      <c r="A214" s="43" t="inlineStr">
        <is>
          <t>YoY</t>
        </is>
      </c>
      <c r="B214" s="3" t="inlineStr">
        <is>
          <t>전년 같은 분기·전년 대비</t>
        </is>
      </c>
      <c r="G214" s="15">
        <f>IF(OR(G212="",C212=""),"",IF(C212&lt;=0,"",IFERROR(G212/C212-1,"")))</f>
        <v/>
      </c>
      <c r="H214" s="15">
        <f>IF(OR(H212="",D212=""),"",IF(D212&lt;=0,"",IFERROR(H212/D212-1,"")))</f>
        <v/>
      </c>
      <c r="I214" s="15">
        <f>IF(OR(I212="",E212=""),"",IF(E212&lt;=0,"",IFERROR(I212/E212-1,"")))</f>
        <v/>
      </c>
      <c r="J214" s="15">
        <f>IF(OR(J212="",F212=""),"",IF(F212&lt;=0,"",IFERROR(J212/F212-1,"")))</f>
        <v/>
      </c>
      <c r="K214" s="15">
        <f>IF(OR(K212="",G212=""),"",IF(G212&lt;=0,"",IFERROR(K212/G212-1,"")))</f>
        <v/>
      </c>
      <c r="L214" s="15">
        <f>IF(OR(L212="",H212=""),"",IF(H212&lt;=0,"",IFERROR(L212/H212-1,"")))</f>
        <v/>
      </c>
      <c r="M214" s="15">
        <f>IF(OR(M212="",I212=""),"",IF(I212&lt;=0,"",IFERROR(M212/I212-1,"")))</f>
        <v/>
      </c>
      <c r="N214" s="15">
        <f>IF(OR(N212="",J212=""),"",IF(J212&lt;=0,"",IFERROR(N212/J212-1,"")))</f>
        <v/>
      </c>
      <c r="V214" s="15">
        <f>IF(OR(V212="",U212=""),"",IF(U212&lt;=0,"",IFERROR(V212/U212-1,"")))</f>
        <v/>
      </c>
      <c r="W214" s="15">
        <f>IF(OR(W212="",V212=""),"",IF(V212&lt;=0,"",IFERROR(W212/V212-1,"")))</f>
        <v/>
      </c>
      <c r="X214" s="15">
        <f>IF(OR(X212="",W212=""),"",IF(W212&lt;=0,"",IFERROR(X212/W212-1,"")))</f>
        <v/>
      </c>
    </row>
    <row r="215">
      <c r="A215" s="18" t="inlineStr">
        <is>
          <t>조정액 · 부문 이익</t>
        </is>
      </c>
      <c r="C215" s="20" t="n">
        <v>83</v>
      </c>
      <c r="D215" s="20" t="n">
        <v>135</v>
      </c>
      <c r="E215" s="20" t="n">
        <v>4</v>
      </c>
      <c r="F215" s="20" t="n">
        <v>-325</v>
      </c>
      <c r="G215" s="20" t="n">
        <v>53</v>
      </c>
      <c r="H215" s="20" t="n">
        <v>44</v>
      </c>
      <c r="I215" s="20" t="n">
        <v>269</v>
      </c>
      <c r="J215" s="20" t="n">
        <v>-80</v>
      </c>
      <c r="K215" s="20" t="n">
        <v>-130</v>
      </c>
      <c r="L215" s="20" t="n">
        <v>117</v>
      </c>
      <c r="M215" s="20" t="n">
        <v>271</v>
      </c>
      <c r="N215" s="20" t="n">
        <v>-68</v>
      </c>
      <c r="V215" s="20" t="n">
        <v>135</v>
      </c>
      <c r="W215" s="20" t="n">
        <v>44</v>
      </c>
      <c r="X215" s="20" t="n">
        <v>117</v>
      </c>
    </row>
    <row r="216">
      <c r="A216" s="18" t="inlineStr">
        <is>
          <t>EntityTotalMember · 부문 이익(손실)</t>
        </is>
      </c>
      <c r="E216" s="20" t="n">
        <v>5796</v>
      </c>
      <c r="I216" s="20" t="n">
        <v>3523</v>
      </c>
      <c r="M216" s="20" t="n">
        <v>5604</v>
      </c>
    </row>
    <row r="217">
      <c r="A217" s="9" t="inlineStr">
        <is>
          <t>부문 이익</t>
        </is>
      </c>
      <c r="C217" s="12" t="n">
        <v>6147</v>
      </c>
      <c r="D217" s="12" t="n">
        <v>837</v>
      </c>
      <c r="E217" s="12" t="n">
        <v>5796</v>
      </c>
      <c r="F217" s="12" t="n">
        <v>5161</v>
      </c>
      <c r="G217" s="12" t="n">
        <v>5642</v>
      </c>
      <c r="H217" s="12" t="n">
        <v>1739</v>
      </c>
      <c r="V217" s="12" t="n">
        <v>837</v>
      </c>
      <c r="W217" s="12" t="n">
        <v>1739</v>
      </c>
    </row>
    <row r="218">
      <c r="A218" s="43" t="inlineStr">
        <is>
          <t>OPM</t>
        </is>
      </c>
      <c r="B218" s="3" t="inlineStr">
        <is>
          <t>영업이익 ÷ 매출</t>
        </is>
      </c>
      <c r="C218" s="15">
        <f>IF(OR(C217="",C176=""),"",IF(C176&lt;=0,"",IFERROR(C217/C176,"")))</f>
        <v/>
      </c>
      <c r="D218" s="15">
        <f>IF(OR(D217="",D176=""),"",IF(D176&lt;=0,"",IFERROR(D217/D176,"")))</f>
        <v/>
      </c>
      <c r="E218" s="15">
        <f>IF(OR(E217="",E176=""),"",IF(E176&lt;=0,"",IFERROR(E217/E176,"")))</f>
        <v/>
      </c>
      <c r="F218" s="15">
        <f>IF(OR(F217="",F176=""),"",IF(F176&lt;=0,"",IFERROR(F217/F176,"")))</f>
        <v/>
      </c>
      <c r="G218" s="15">
        <f>IF(OR(G217="",G176=""),"",IF(G176&lt;=0,"",IFERROR(G217/G176,"")))</f>
        <v/>
      </c>
      <c r="H218" s="15">
        <f>IF(OR(H217="",H176=""),"",IF(H176&lt;=0,"",IFERROR(H217/H176,"")))</f>
        <v/>
      </c>
      <c r="V218" s="15">
        <f>IF(OR(V217="",V176=""),"",IF(V176&lt;=0,"",IFERROR(V217/V176,"")))</f>
        <v/>
      </c>
      <c r="W218" s="15">
        <f>IF(OR(W217="",W176=""),"",IF(W176&lt;=0,"",IFERROR(W217/W176,"")))</f>
        <v/>
      </c>
    </row>
    <row r="219">
      <c r="A219" s="43" t="inlineStr">
        <is>
          <t>YoY</t>
        </is>
      </c>
      <c r="B219" s="3" t="inlineStr">
        <is>
          <t>전년 같은 분기·전년 대비</t>
        </is>
      </c>
      <c r="G219" s="15">
        <f>IF(OR(G217="",C217=""),"",IF(C217&lt;=0,"",IFERROR(G217/C217-1,"")))</f>
        <v/>
      </c>
      <c r="H219" s="15">
        <f>IF(OR(H217="",D217=""),"",IF(D217&lt;=0,"",IFERROR(H217/D217-1,"")))</f>
        <v/>
      </c>
      <c r="V219" s="15">
        <f>IF(OR(V217="",U217=""),"",IF(U217&lt;=0,"",IFERROR(V217/U217-1,"")))</f>
        <v/>
      </c>
      <c r="W219" s="15">
        <f>IF(OR(W217="",V217=""),"",IF(V217&lt;=0,"",IFERROR(W217/V217-1,"")))</f>
        <v/>
      </c>
    </row>
    <row r="221">
      <c r="A221" s="16" t="inlineStr">
        <is>
          <t>현금흐름표 · 전 항목</t>
        </is>
      </c>
      <c r="B221" s="42" t="inlineStr">
        <is>
          <t>분기 = 결산기 첫날부터 누계(공시 그대로)</t>
        </is>
      </c>
      <c r="C221" s="16" t="n"/>
      <c r="D221" s="16" t="n"/>
      <c r="E221" s="16" t="n"/>
      <c r="F221" s="16" t="n"/>
      <c r="G221" s="16" t="n"/>
      <c r="H221" s="16" t="n"/>
      <c r="I221" s="16" t="n"/>
      <c r="J221" s="16" t="n"/>
      <c r="K221" s="16" t="n"/>
      <c r="L221" s="16" t="n"/>
      <c r="M221" s="16" t="n"/>
      <c r="N221" s="16" t="n"/>
      <c r="O221" s="16" t="n"/>
      <c r="P221" s="16" t="n"/>
      <c r="Q221" s="16" t="n"/>
      <c r="R221" s="16" t="n"/>
      <c r="S221" s="16" t="n"/>
      <c r="T221" s="16" t="n"/>
      <c r="U221" s="16" t="n"/>
      <c r="V221" s="16" t="n"/>
      <c r="W221" s="16" t="n"/>
      <c r="X221" s="16" t="n"/>
      <c r="Y221" s="16" t="n"/>
      <c r="Z221" s="16" t="n"/>
      <c r="AA221" s="16" t="n"/>
      <c r="AB221" s="16" t="n"/>
      <c r="AC221" s="16" t="n"/>
    </row>
    <row r="222">
      <c r="A222" s="5" t="inlineStr">
        <is>
          <t>항목</t>
        </is>
      </c>
      <c r="B222" s="5" t="inlineStr">
        <is>
          <t>참고</t>
        </is>
      </c>
      <c r="C222" s="5" t="inlineStr">
        <is>
          <t>2024.3Q</t>
        </is>
      </c>
      <c r="D222" s="5" t="inlineStr">
        <is>
          <t>2024.4Q</t>
        </is>
      </c>
      <c r="E222" s="5" t="inlineStr">
        <is>
          <t>2025.1Q</t>
        </is>
      </c>
      <c r="F222" s="5" t="inlineStr">
        <is>
          <t>2025.2Q</t>
        </is>
      </c>
      <c r="G222" s="5" t="inlineStr">
        <is>
          <t>2025.3Q</t>
        </is>
      </c>
      <c r="H222" s="5" t="inlineStr">
        <is>
          <t>2025.4Q</t>
        </is>
      </c>
      <c r="I222" s="5" t="inlineStr">
        <is>
          <t>2026.1Q</t>
        </is>
      </c>
      <c r="J222" s="5" t="inlineStr">
        <is>
          <t>2026.2Q</t>
        </is>
      </c>
      <c r="K222" s="5" t="inlineStr">
        <is>
          <t>2026.3Q</t>
        </is>
      </c>
      <c r="L222" s="5" t="inlineStr">
        <is>
          <t>2026.4Q</t>
        </is>
      </c>
      <c r="M222" s="5" t="inlineStr">
        <is>
          <t>2027.1Q</t>
        </is>
      </c>
      <c r="N222" s="5" t="inlineStr">
        <is>
          <t>2027.2Q</t>
        </is>
      </c>
      <c r="O222" s="5" t="inlineStr">
        <is>
          <t>2017</t>
        </is>
      </c>
      <c r="P222" s="5" t="inlineStr">
        <is>
          <t>2018</t>
        </is>
      </c>
      <c r="Q222" s="5" t="inlineStr">
        <is>
          <t>2019</t>
        </is>
      </c>
      <c r="R222" s="5" t="inlineStr">
        <is>
          <t>2020</t>
        </is>
      </c>
      <c r="S222" s="5" t="inlineStr">
        <is>
          <t>2021</t>
        </is>
      </c>
      <c r="T222" s="5" t="inlineStr">
        <is>
          <t>2022</t>
        </is>
      </c>
      <c r="U222" s="5" t="inlineStr">
        <is>
          <t>2023</t>
        </is>
      </c>
      <c r="V222" s="5" t="inlineStr">
        <is>
          <t>2024</t>
        </is>
      </c>
      <c r="W222" s="5" t="inlineStr">
        <is>
          <t>2025</t>
        </is>
      </c>
      <c r="X222" s="5" t="inlineStr">
        <is>
          <t>2026</t>
        </is>
      </c>
      <c r="Y222" s="5" t="inlineStr">
        <is>
          <t>2027(MW)</t>
        </is>
      </c>
      <c r="Z222" s="5" t="inlineStr">
        <is>
          <t>2028(MW)</t>
        </is>
      </c>
      <c r="AA222" s="5" t="inlineStr">
        <is>
          <t>2029(MW)</t>
        </is>
      </c>
      <c r="AB222" s="5" t="inlineStr">
        <is>
          <t>2030(MW)</t>
        </is>
      </c>
      <c r="AC222" s="5" t="inlineStr">
        <is>
          <t>2031(MW)</t>
        </is>
      </c>
    </row>
    <row r="223">
      <c r="A223" s="9" t="inlineStr">
        <is>
          <t>법인세차감전 순이익</t>
        </is>
      </c>
      <c r="D223" s="12" t="n">
        <v>17226</v>
      </c>
      <c r="H223" s="12" t="n">
        <v>19303</v>
      </c>
      <c r="L223" s="12" t="n">
        <v>21045</v>
      </c>
      <c r="O223" s="12" t="n">
        <v>7422</v>
      </c>
      <c r="P223" s="12" t="n">
        <v>8112</v>
      </c>
      <c r="Q223" s="12" t="n">
        <v>9889</v>
      </c>
      <c r="R223" s="12" t="n">
        <v>-3936</v>
      </c>
      <c r="S223" s="12" t="n">
        <v>5023</v>
      </c>
      <c r="T223" s="12" t="n">
        <v>10299</v>
      </c>
      <c r="U223" s="12" t="n">
        <v>13284</v>
      </c>
      <c r="V223" s="12" t="n">
        <v>17226</v>
      </c>
      <c r="W223" s="12" t="n">
        <v>19303</v>
      </c>
      <c r="X223" s="12" t="n">
        <v>21045</v>
      </c>
    </row>
    <row r="224">
      <c r="A224" s="18" t="inlineStr">
        <is>
          <t>감가상각비</t>
        </is>
      </c>
      <c r="D224" s="20" t="n">
        <v>14831</v>
      </c>
      <c r="H224" s="20" t="n">
        <v>13773</v>
      </c>
      <c r="L224" s="20" t="n">
        <v>13507</v>
      </c>
      <c r="O224" s="20" t="n">
        <v>10700</v>
      </c>
      <c r="P224" s="20" t="n">
        <v>10773</v>
      </c>
      <c r="Q224" s="20" t="n">
        <v>11033</v>
      </c>
      <c r="R224" s="20" t="n">
        <v>12554</v>
      </c>
      <c r="S224" s="20" t="n">
        <v>11011</v>
      </c>
      <c r="T224" s="20" t="n">
        <v>10174</v>
      </c>
      <c r="U224" s="20" t="n">
        <v>12994</v>
      </c>
      <c r="V224" s="20" t="n">
        <v>14831</v>
      </c>
      <c r="W224" s="20" t="n">
        <v>13773</v>
      </c>
      <c r="X224" s="20" t="n">
        <v>13507</v>
      </c>
    </row>
    <row r="225">
      <c r="A225" s="18" t="inlineStr">
        <is>
          <t>손상차손</t>
        </is>
      </c>
      <c r="H225" s="20" t="n">
        <v>0</v>
      </c>
      <c r="L225" s="20" t="n">
        <v>1805</v>
      </c>
      <c r="Q225" s="20" t="n">
        <v>0</v>
      </c>
      <c r="R225" s="20" t="n">
        <v>10074</v>
      </c>
      <c r="S225" s="20" t="n">
        <v>0</v>
      </c>
      <c r="W225" s="20" t="n">
        <v>0</v>
      </c>
      <c r="X225" s="20" t="n">
        <v>1805</v>
      </c>
    </row>
    <row r="226">
      <c r="A226" s="18" t="inlineStr">
        <is>
          <t>영업권 상각</t>
        </is>
      </c>
      <c r="D226" s="20" t="n">
        <v>118</v>
      </c>
      <c r="H226" s="20" t="n">
        <v>122</v>
      </c>
      <c r="L226" s="20" t="n">
        <v>120</v>
      </c>
      <c r="T226" s="20" t="n">
        <v>0</v>
      </c>
      <c r="U226" s="20" t="n">
        <v>56</v>
      </c>
      <c r="V226" s="20" t="n">
        <v>118</v>
      </c>
      <c r="W226" s="20" t="n">
        <v>122</v>
      </c>
      <c r="X226" s="20" t="n">
        <v>120</v>
      </c>
    </row>
    <row r="227">
      <c r="A227" s="18" t="inlineStr">
        <is>
          <t>대손충당금 증감</t>
        </is>
      </c>
      <c r="D227" s="20" t="n">
        <v>45</v>
      </c>
      <c r="H227" s="20" t="n">
        <v>-43</v>
      </c>
      <c r="L227" s="20" t="n">
        <v>11</v>
      </c>
      <c r="O227" s="20" t="n">
        <v>-11</v>
      </c>
      <c r="P227" s="20" t="n">
        <v>18</v>
      </c>
      <c r="Q227" s="20" t="n">
        <v>-6</v>
      </c>
      <c r="R227" s="20" t="n">
        <v>-3</v>
      </c>
      <c r="S227" s="20" t="n">
        <v>-12</v>
      </c>
      <c r="T227" s="20" t="n">
        <v>4</v>
      </c>
      <c r="U227" s="20" t="n">
        <v>-5</v>
      </c>
      <c r="V227" s="20" t="n">
        <v>45</v>
      </c>
      <c r="W227" s="20" t="n">
        <v>-43</v>
      </c>
      <c r="X227" s="20" t="n">
        <v>11</v>
      </c>
    </row>
    <row r="228">
      <c r="A228" s="18" t="inlineStr">
        <is>
          <t>제품보증 충당금 증감</t>
        </is>
      </c>
      <c r="D228" s="20" t="n">
        <v>4176</v>
      </c>
      <c r="H228" s="20" t="n">
        <v>7345</v>
      </c>
      <c r="L228" s="20" t="n">
        <v>-7751</v>
      </c>
      <c r="O228" s="20" t="n">
        <v>-1298</v>
      </c>
      <c r="P228" s="20" t="n">
        <v>-1145</v>
      </c>
      <c r="Q228" s="20" t="n">
        <v>-231</v>
      </c>
      <c r="R228" s="20" t="n">
        <v>-974</v>
      </c>
      <c r="S228" s="20" t="n">
        <v>-152</v>
      </c>
      <c r="T228" s="20" t="n">
        <v>128</v>
      </c>
      <c r="U228" s="20" t="n">
        <v>688</v>
      </c>
      <c r="V228" s="20" t="n">
        <v>4176</v>
      </c>
      <c r="W228" s="20" t="n">
        <v>7345</v>
      </c>
      <c r="X228" s="20" t="n">
        <v>-7751</v>
      </c>
    </row>
    <row r="229">
      <c r="A229" s="18" t="inlineStr">
        <is>
          <t>임원 상여충당금 증감</t>
        </is>
      </c>
      <c r="D229" s="20" t="n">
        <v>3</v>
      </c>
      <c r="H229" s="20" t="n">
        <v>37</v>
      </c>
      <c r="L229" s="20" t="n">
        <v>-23</v>
      </c>
      <c r="O229" s="20" t="n">
        <v>7</v>
      </c>
      <c r="P229" s="20" t="n">
        <v>-1</v>
      </c>
      <c r="Q229" s="20" t="n">
        <v>-14</v>
      </c>
      <c r="R229" s="20" t="n">
        <v>-47</v>
      </c>
      <c r="S229" s="20" t="n">
        <v>16</v>
      </c>
      <c r="T229" s="20" t="n">
        <v>4</v>
      </c>
      <c r="U229" s="20" t="n">
        <v>8</v>
      </c>
      <c r="V229" s="20" t="n">
        <v>3</v>
      </c>
      <c r="W229" s="20" t="n">
        <v>37</v>
      </c>
      <c r="X229" s="20" t="n">
        <v>-23</v>
      </c>
    </row>
    <row r="230">
      <c r="A230" s="18" t="inlineStr">
        <is>
          <t>사업구조개선 충당금 증감액</t>
        </is>
      </c>
      <c r="D230" s="20" t="n">
        <v>-30</v>
      </c>
      <c r="H230" s="20" t="n">
        <v>-55</v>
      </c>
      <c r="L230" s="20" t="n">
        <v>-89</v>
      </c>
      <c r="R230" s="20" t="n">
        <v>0</v>
      </c>
      <c r="S230" s="20" t="n">
        <v>-577</v>
      </c>
      <c r="T230" s="20" t="n">
        <v>-52</v>
      </c>
      <c r="U230" s="20" t="n">
        <v>-97</v>
      </c>
      <c r="V230" s="20" t="n">
        <v>-30</v>
      </c>
      <c r="W230" s="20" t="n">
        <v>-55</v>
      </c>
      <c r="X230" s="20" t="n">
        <v>-89</v>
      </c>
    </row>
    <row r="231">
      <c r="A231" s="18" t="inlineStr">
        <is>
          <t>퇴직급여부채 증감</t>
        </is>
      </c>
      <c r="D231" s="20" t="n">
        <v>214</v>
      </c>
      <c r="H231" s="20" t="n">
        <v>8101</v>
      </c>
      <c r="L231" s="20" t="n">
        <v>-3266</v>
      </c>
      <c r="O231" s="20" t="n">
        <v>629</v>
      </c>
      <c r="P231" s="20" t="n">
        <v>197</v>
      </c>
      <c r="Q231" s="20" t="n">
        <v>594</v>
      </c>
      <c r="R231" s="20" t="n">
        <v>595</v>
      </c>
      <c r="S231" s="20" t="n">
        <v>667</v>
      </c>
      <c r="T231" s="20" t="n">
        <v>-658</v>
      </c>
      <c r="U231" s="20" t="n">
        <v>64</v>
      </c>
      <c r="V231" s="20" t="n">
        <v>214</v>
      </c>
      <c r="W231" s="20" t="n">
        <v>8101</v>
      </c>
      <c r="X231" s="20" t="n">
        <v>-3266</v>
      </c>
    </row>
    <row r="232">
      <c r="A232" s="18" t="inlineStr">
        <is>
          <t>퇴직급여자산 증감</t>
        </is>
      </c>
      <c r="D232" s="20" t="n">
        <v>-1259</v>
      </c>
      <c r="H232" s="20" t="n">
        <v>-10060</v>
      </c>
      <c r="L232" s="20" t="n">
        <v>3132</v>
      </c>
      <c r="O232" s="20" t="n">
        <v>425</v>
      </c>
      <c r="P232" s="20" t="n">
        <v>499</v>
      </c>
      <c r="Q232" s="20" t="n">
        <v>-655</v>
      </c>
      <c r="R232" s="20" t="n">
        <v>-834</v>
      </c>
      <c r="S232" s="20" t="n">
        <v>-308</v>
      </c>
      <c r="T232" s="20" t="n">
        <v>-919</v>
      </c>
      <c r="U232" s="20" t="n">
        <v>-1586</v>
      </c>
      <c r="V232" s="20" t="n">
        <v>-1259</v>
      </c>
      <c r="W232" s="20" t="n">
        <v>-10060</v>
      </c>
      <c r="X232" s="20" t="n">
        <v>3132</v>
      </c>
    </row>
    <row r="233">
      <c r="A233" s="18" t="inlineStr">
        <is>
          <t>임원 퇴직위로 충당금 증감</t>
        </is>
      </c>
      <c r="D233" s="20" t="n">
        <v>3</v>
      </c>
      <c r="H233" s="20" t="n">
        <v>1</v>
      </c>
      <c r="L233" s="20" t="n">
        <v>-0</v>
      </c>
      <c r="O233" s="20" t="n">
        <v>-2</v>
      </c>
      <c r="P233" s="20" t="n">
        <v>3</v>
      </c>
      <c r="Q233" s="20" t="n">
        <v>3</v>
      </c>
      <c r="R233" s="20" t="n">
        <v>-14</v>
      </c>
      <c r="S233" s="20" t="n">
        <v>8</v>
      </c>
      <c r="T233" s="20" t="n">
        <v>1</v>
      </c>
      <c r="U233" s="20" t="n">
        <v>-21</v>
      </c>
      <c r="V233" s="20" t="n">
        <v>3</v>
      </c>
      <c r="W233" s="20" t="n">
        <v>1</v>
      </c>
      <c r="X233" s="20" t="n">
        <v>-0</v>
      </c>
    </row>
    <row r="234">
      <c r="A234" s="18" t="inlineStr">
        <is>
          <t>이자·배당금 수익</t>
        </is>
      </c>
      <c r="D234" s="20" t="n">
        <v>-608</v>
      </c>
      <c r="H234" s="20" t="n">
        <v>-1550</v>
      </c>
      <c r="L234" s="20" t="n">
        <v>-1284</v>
      </c>
      <c r="O234" s="20" t="n">
        <v>-282</v>
      </c>
      <c r="P234" s="20" t="n">
        <v>-413</v>
      </c>
      <c r="Q234" s="20" t="n">
        <v>-489</v>
      </c>
      <c r="R234" s="20" t="n">
        <v>-409</v>
      </c>
      <c r="S234" s="20" t="n">
        <v>-338</v>
      </c>
      <c r="T234" s="20" t="n">
        <v>-381</v>
      </c>
      <c r="U234" s="20" t="n">
        <v>-321</v>
      </c>
      <c r="V234" s="20" t="n">
        <v>-608</v>
      </c>
      <c r="W234" s="20" t="n">
        <v>-1550</v>
      </c>
      <c r="X234" s="20" t="n">
        <v>-1284</v>
      </c>
    </row>
    <row r="235">
      <c r="A235" s="18" t="inlineStr">
        <is>
          <t>이자비용</t>
        </is>
      </c>
      <c r="D235" s="20" t="n">
        <v>185</v>
      </c>
      <c r="H235" s="20" t="n">
        <v>565</v>
      </c>
      <c r="L235" s="20" t="n">
        <v>650</v>
      </c>
      <c r="O235" s="20" t="n">
        <v>160</v>
      </c>
      <c r="P235" s="20" t="n">
        <v>117</v>
      </c>
      <c r="Q235" s="20" t="n">
        <v>142</v>
      </c>
      <c r="R235" s="20" t="n">
        <v>193</v>
      </c>
      <c r="S235" s="20" t="n">
        <v>264</v>
      </c>
      <c r="T235" s="20" t="n">
        <v>202</v>
      </c>
      <c r="U235" s="20" t="n">
        <v>225</v>
      </c>
      <c r="V235" s="20" t="n">
        <v>185</v>
      </c>
      <c r="W235" s="20" t="n">
        <v>565</v>
      </c>
      <c r="X235" s="20" t="n">
        <v>650</v>
      </c>
    </row>
    <row r="236">
      <c r="A236" s="18" t="inlineStr">
        <is>
          <t>사채발행비</t>
        </is>
      </c>
      <c r="O236" s="20" t="n">
        <v>0</v>
      </c>
      <c r="P236" s="20" t="n">
        <v>49</v>
      </c>
      <c r="Q236" s="20" t="n">
        <v>0</v>
      </c>
    </row>
    <row r="237">
      <c r="A237" s="18" t="inlineStr">
        <is>
          <t>외환차손익</t>
        </is>
      </c>
      <c r="D237" s="20" t="n">
        <v>-131</v>
      </c>
      <c r="H237" s="20" t="n">
        <v>34</v>
      </c>
      <c r="L237" s="20" t="n">
        <v>-262</v>
      </c>
      <c r="O237" s="20" t="n">
        <v>-164</v>
      </c>
      <c r="P237" s="20" t="n">
        <v>86</v>
      </c>
      <c r="Q237" s="20" t="n">
        <v>-99</v>
      </c>
      <c r="R237" s="20" t="n">
        <v>179</v>
      </c>
      <c r="S237" s="20" t="n">
        <v>7</v>
      </c>
      <c r="T237" s="20" t="n">
        <v>-419</v>
      </c>
      <c r="U237" s="20" t="n">
        <v>106</v>
      </c>
      <c r="V237" s="20" t="n">
        <v>-131</v>
      </c>
      <c r="W237" s="20" t="n">
        <v>34</v>
      </c>
      <c r="X237" s="20" t="n">
        <v>-262</v>
      </c>
    </row>
    <row r="238">
      <c r="A238" s="18" t="inlineStr">
        <is>
          <t>관계회사 출자금 매각손익</t>
        </is>
      </c>
      <c r="R238" s="20" t="n">
        <v>0</v>
      </c>
      <c r="S238" s="20" t="n">
        <v>293</v>
      </c>
      <c r="T238" s="20" t="n">
        <v>0</v>
      </c>
    </row>
    <row r="239">
      <c r="A239" s="18" t="inlineStr">
        <is>
          <t>관계회사 청산손익</t>
        </is>
      </c>
      <c r="S239" s="20" t="n">
        <v>0</v>
      </c>
      <c r="T239" s="20" t="n">
        <v>207</v>
      </c>
      <c r="U239" s="20" t="n">
        <v>0</v>
      </c>
    </row>
    <row r="240">
      <c r="A240" s="18" t="inlineStr">
        <is>
          <t>고정자산 제각·매각손익</t>
        </is>
      </c>
      <c r="D240" s="20" t="n">
        <v>294</v>
      </c>
      <c r="H240" s="20" t="n">
        <v>419</v>
      </c>
      <c r="L240" s="20" t="n">
        <v>-419</v>
      </c>
      <c r="O240" s="20" t="n">
        <v>237</v>
      </c>
      <c r="P240" s="20" t="n">
        <v>84</v>
      </c>
      <c r="Q240" s="20" t="n">
        <v>185</v>
      </c>
      <c r="R240" s="20" t="n">
        <v>402</v>
      </c>
      <c r="S240" s="20" t="n">
        <v>410</v>
      </c>
      <c r="T240" s="20" t="n">
        <v>306</v>
      </c>
      <c r="U240" s="20" t="n">
        <v>137</v>
      </c>
      <c r="V240" s="20" t="n">
        <v>294</v>
      </c>
      <c r="W240" s="20" t="n">
        <v>419</v>
      </c>
      <c r="X240" s="20" t="n">
        <v>-419</v>
      </c>
    </row>
    <row r="241">
      <c r="A241" s="18" t="inlineStr">
        <is>
          <t>보험금 수익</t>
        </is>
      </c>
      <c r="R241" s="20" t="n">
        <v>-5</v>
      </c>
      <c r="S241" s="20" t="n">
        <v>-181</v>
      </c>
    </row>
    <row r="242">
      <c r="A242" s="18" t="inlineStr">
        <is>
          <t>매출채권 증감</t>
        </is>
      </c>
      <c r="D242" s="20" t="n">
        <v>-3857</v>
      </c>
      <c r="H242" s="20" t="n">
        <v>827</v>
      </c>
      <c r="L242" s="20" t="n">
        <v>-1910</v>
      </c>
      <c r="O242" s="20" t="n">
        <v>-3153</v>
      </c>
      <c r="P242" s="20" t="n">
        <v>2848</v>
      </c>
      <c r="Q242" s="20" t="n">
        <v>-1082</v>
      </c>
      <c r="R242" s="20" t="n">
        <v>667</v>
      </c>
      <c r="S242" s="20" t="n">
        <v>2618</v>
      </c>
      <c r="T242" s="20" t="n">
        <v>954</v>
      </c>
      <c r="U242" s="20" t="n">
        <v>-986</v>
      </c>
      <c r="V242" s="20" t="n">
        <v>-3857</v>
      </c>
      <c r="W242" s="20" t="n">
        <v>827</v>
      </c>
      <c r="X242" s="20" t="n">
        <v>-1910</v>
      </c>
    </row>
    <row r="243">
      <c r="A243" s="18" t="inlineStr">
        <is>
          <t>재고자산 증감</t>
        </is>
      </c>
      <c r="D243" s="20" t="n">
        <v>1942</v>
      </c>
      <c r="H243" s="20" t="n">
        <v>-6525</v>
      </c>
      <c r="L243" s="20" t="n">
        <v>-2419</v>
      </c>
      <c r="O243" s="20" t="n">
        <v>540</v>
      </c>
      <c r="P243" s="20" t="n">
        <v>-1088</v>
      </c>
      <c r="Q243" s="20" t="n">
        <v>264</v>
      </c>
      <c r="R243" s="20" t="n">
        <v>-1695</v>
      </c>
      <c r="S243" s="20" t="n">
        <v>1084</v>
      </c>
      <c r="T243" s="20" t="n">
        <v>-4628</v>
      </c>
      <c r="U243" s="20" t="n">
        <v>-826</v>
      </c>
      <c r="V243" s="20" t="n">
        <v>1942</v>
      </c>
      <c r="W243" s="20" t="n">
        <v>-6525</v>
      </c>
      <c r="X243" s="20" t="n">
        <v>-2419</v>
      </c>
    </row>
    <row r="244">
      <c r="A244" s="18" t="inlineStr">
        <is>
          <t>매입채무 증감</t>
        </is>
      </c>
      <c r="D244" s="20" t="n">
        <v>7371</v>
      </c>
      <c r="H244" s="20" t="n">
        <v>834</v>
      </c>
      <c r="L244" s="20" t="n">
        <v>-3554</v>
      </c>
      <c r="O244" s="20" t="n">
        <v>1281</v>
      </c>
      <c r="P244" s="20" t="n">
        <v>-1203</v>
      </c>
      <c r="Q244" s="20" t="n">
        <v>-3323</v>
      </c>
      <c r="R244" s="20" t="n">
        <v>-603</v>
      </c>
      <c r="S244" s="20" t="n">
        <v>-619</v>
      </c>
      <c r="T244" s="20" t="n">
        <v>-352</v>
      </c>
      <c r="U244" s="20" t="n">
        <v>2881</v>
      </c>
      <c r="V244" s="20" t="n">
        <v>7371</v>
      </c>
      <c r="W244" s="20" t="n">
        <v>834</v>
      </c>
      <c r="X244" s="20" t="n">
        <v>-3554</v>
      </c>
    </row>
    <row r="245">
      <c r="A245" s="18" t="inlineStr">
        <is>
          <t>투자유가증권 매각손익</t>
        </is>
      </c>
      <c r="H245" s="20" t="n">
        <v>-356</v>
      </c>
      <c r="L245" s="20" t="n">
        <v>-4224</v>
      </c>
      <c r="W245" s="20" t="n">
        <v>-356</v>
      </c>
      <c r="X245" s="20" t="n">
        <v>-4224</v>
      </c>
    </row>
    <row r="246">
      <c r="A246" s="18" t="inlineStr">
        <is>
          <t>고정자산 압축손실</t>
        </is>
      </c>
      <c r="H246" s="20" t="n">
        <v>0</v>
      </c>
      <c r="L246" s="20" t="n">
        <v>1849</v>
      </c>
      <c r="O246" s="20" t="n">
        <v>0</v>
      </c>
      <c r="P246" s="20" t="n">
        <v>272</v>
      </c>
      <c r="Q246" s="20" t="n">
        <v>21</v>
      </c>
      <c r="R246" s="20" t="n">
        <v>0</v>
      </c>
      <c r="W246" s="20" t="n">
        <v>0</v>
      </c>
      <c r="X246" s="20" t="n">
        <v>1849</v>
      </c>
    </row>
    <row r="247">
      <c r="A247" s="18" t="inlineStr">
        <is>
          <t>Loss On Antitrust Law Ope CF</t>
        </is>
      </c>
      <c r="O247" s="20" t="n">
        <v>0</v>
      </c>
      <c r="P247" s="20" t="n">
        <v>1672</v>
      </c>
      <c r="Q247" s="20" t="n">
        <v>0</v>
      </c>
    </row>
    <row r="248">
      <c r="A248" s="18" t="inlineStr">
        <is>
          <t>Reversal Of Loss On Anti Monopoly Act Ope CF</t>
        </is>
      </c>
      <c r="P248" s="20" t="n">
        <v>0</v>
      </c>
      <c r="Q248" s="20" t="n">
        <v>-1692</v>
      </c>
      <c r="R248" s="20" t="n">
        <v>0</v>
      </c>
    </row>
    <row r="249">
      <c r="A249" s="18" t="inlineStr">
        <is>
          <t>보조금 수입</t>
        </is>
      </c>
      <c r="H249" s="20" t="n">
        <v>0</v>
      </c>
      <c r="L249" s="20" t="n">
        <v>-1532</v>
      </c>
      <c r="O249" s="20" t="n">
        <v>0</v>
      </c>
      <c r="P249" s="20" t="n">
        <v>-272</v>
      </c>
      <c r="Q249" s="20" t="n">
        <v>-21</v>
      </c>
      <c r="R249" s="20" t="n">
        <v>-112</v>
      </c>
      <c r="S249" s="20" t="n">
        <v>-388</v>
      </c>
      <c r="W249" s="20" t="n">
        <v>0</v>
      </c>
      <c r="X249" s="20" t="n">
        <v>-1532</v>
      </c>
    </row>
    <row r="250">
      <c r="A250" s="18" t="inlineStr">
        <is>
          <t>사업구조개선비용</t>
        </is>
      </c>
      <c r="Q250" s="20" t="n">
        <v>0</v>
      </c>
      <c r="R250" s="20" t="n">
        <v>786</v>
      </c>
      <c r="S250" s="20" t="n">
        <v>0</v>
      </c>
    </row>
    <row r="251">
      <c r="A251" s="18" t="inlineStr">
        <is>
          <t>미지급비용 증감</t>
        </is>
      </c>
      <c r="D251" s="20" t="n">
        <v>938</v>
      </c>
      <c r="H251" s="20" t="n">
        <v>416</v>
      </c>
      <c r="L251" s="20" t="n">
        <v>912</v>
      </c>
      <c r="O251" s="20" t="n">
        <v>730</v>
      </c>
      <c r="P251" s="20" t="n">
        <v>-522</v>
      </c>
      <c r="Q251" s="20" t="n">
        <v>262</v>
      </c>
      <c r="R251" s="20" t="n">
        <v>42</v>
      </c>
      <c r="S251" s="20" t="n">
        <v>-340</v>
      </c>
      <c r="T251" s="20" t="n">
        <v>176</v>
      </c>
      <c r="U251" s="20" t="n">
        <v>159</v>
      </c>
      <c r="V251" s="20" t="n">
        <v>938</v>
      </c>
      <c r="W251" s="20" t="n">
        <v>416</v>
      </c>
      <c r="X251" s="20" t="n">
        <v>912</v>
      </c>
    </row>
    <row r="252">
      <c r="A252" s="18" t="inlineStr">
        <is>
          <t>기타</t>
        </is>
      </c>
      <c r="D252" s="20" t="n">
        <v>1235</v>
      </c>
      <c r="H252" s="20" t="n">
        <v>-857</v>
      </c>
      <c r="L252" s="20" t="n">
        <v>-2836</v>
      </c>
      <c r="O252" s="20" t="n">
        <v>-1056</v>
      </c>
      <c r="P252" s="20" t="n">
        <v>-3634</v>
      </c>
      <c r="Q252" s="20" t="n">
        <v>-1074</v>
      </c>
      <c r="R252" s="20" t="n">
        <v>-365</v>
      </c>
      <c r="S252" s="20" t="n">
        <v>141</v>
      </c>
      <c r="T252" s="20" t="n">
        <v>317</v>
      </c>
      <c r="U252" s="20" t="n">
        <v>-3592</v>
      </c>
      <c r="V252" s="20" t="n">
        <v>1235</v>
      </c>
      <c r="W252" s="20" t="n">
        <v>-857</v>
      </c>
      <c r="X252" s="20" t="n">
        <v>-2836</v>
      </c>
    </row>
    <row r="253">
      <c r="A253" s="18" t="inlineStr">
        <is>
          <t>소계</t>
        </is>
      </c>
      <c r="D253" s="20" t="n">
        <v>42697</v>
      </c>
      <c r="H253" s="20" t="n">
        <v>32336</v>
      </c>
      <c r="L253" s="20" t="n">
        <v>13461</v>
      </c>
      <c r="O253" s="20" t="n">
        <v>16165</v>
      </c>
      <c r="P253" s="20" t="n">
        <v>16454</v>
      </c>
      <c r="Q253" s="20" t="n">
        <v>13705</v>
      </c>
      <c r="R253" s="20" t="n">
        <v>16495</v>
      </c>
      <c r="S253" s="20" t="n">
        <v>19197</v>
      </c>
      <c r="T253" s="20" t="n">
        <v>15365</v>
      </c>
      <c r="U253" s="20" t="n">
        <v>23168</v>
      </c>
      <c r="V253" s="20" t="n">
        <v>42697</v>
      </c>
      <c r="W253" s="20" t="n">
        <v>32336</v>
      </c>
      <c r="X253" s="20" t="n">
        <v>13461</v>
      </c>
    </row>
    <row r="254">
      <c r="A254" s="18" t="inlineStr">
        <is>
          <t>이자·배당금 수취</t>
        </is>
      </c>
      <c r="D254" s="20" t="n">
        <v>623</v>
      </c>
      <c r="H254" s="20" t="n">
        <v>1557</v>
      </c>
      <c r="L254" s="20" t="n">
        <v>1289</v>
      </c>
      <c r="O254" s="20" t="n">
        <v>279</v>
      </c>
      <c r="P254" s="20" t="n">
        <v>415</v>
      </c>
      <c r="Q254" s="20" t="n">
        <v>498</v>
      </c>
      <c r="R254" s="20" t="n">
        <v>429</v>
      </c>
      <c r="S254" s="20" t="n">
        <v>326</v>
      </c>
      <c r="T254" s="20" t="n">
        <v>393</v>
      </c>
      <c r="U254" s="20" t="n">
        <v>321</v>
      </c>
      <c r="V254" s="20" t="n">
        <v>623</v>
      </c>
      <c r="W254" s="20" t="n">
        <v>1557</v>
      </c>
      <c r="X254" s="20" t="n">
        <v>1289</v>
      </c>
    </row>
    <row r="255">
      <c r="A255" s="18" t="inlineStr">
        <is>
          <t>이자 지급</t>
        </is>
      </c>
      <c r="D255" s="20" t="n">
        <v>-187</v>
      </c>
      <c r="H255" s="20" t="n">
        <v>-517</v>
      </c>
      <c r="L255" s="20" t="n">
        <v>-751</v>
      </c>
      <c r="O255" s="20" t="n">
        <v>-163</v>
      </c>
      <c r="P255" s="20" t="n">
        <v>-114</v>
      </c>
      <c r="Q255" s="20" t="n">
        <v>-143</v>
      </c>
      <c r="R255" s="20" t="n">
        <v>-194</v>
      </c>
      <c r="S255" s="20" t="n">
        <v>-263</v>
      </c>
      <c r="T255" s="20" t="n">
        <v>-199</v>
      </c>
      <c r="U255" s="20" t="n">
        <v>-222</v>
      </c>
      <c r="V255" s="20" t="n">
        <v>-187</v>
      </c>
      <c r="W255" s="20" t="n">
        <v>-517</v>
      </c>
      <c r="X255" s="20" t="n">
        <v>-751</v>
      </c>
    </row>
    <row r="256">
      <c r="A256" s="18" t="inlineStr">
        <is>
          <t>보험금 수취</t>
        </is>
      </c>
      <c r="R256" s="20" t="n">
        <v>5</v>
      </c>
      <c r="S256" s="20" t="n">
        <v>181</v>
      </c>
    </row>
    <row r="257">
      <c r="A257" s="18" t="inlineStr">
        <is>
          <t>법인세 납부</t>
        </is>
      </c>
      <c r="D257" s="20" t="n">
        <v>-4505</v>
      </c>
      <c r="H257" s="20" t="n">
        <v>-5153</v>
      </c>
      <c r="L257" s="20" t="n">
        <v>-6938</v>
      </c>
      <c r="O257" s="20" t="n">
        <v>-1885</v>
      </c>
      <c r="P257" s="20" t="n">
        <v>-2987</v>
      </c>
      <c r="Q257" s="20" t="n">
        <v>-2638</v>
      </c>
      <c r="R257" s="20" t="n">
        <v>-2169</v>
      </c>
      <c r="S257" s="20" t="n">
        <v>-1497</v>
      </c>
      <c r="T257" s="20" t="n">
        <v>-2015</v>
      </c>
      <c r="U257" s="20" t="n">
        <v>-2998</v>
      </c>
      <c r="V257" s="20" t="n">
        <v>-4505</v>
      </c>
      <c r="W257" s="20" t="n">
        <v>-5153</v>
      </c>
      <c r="X257" s="20" t="n">
        <v>-6938</v>
      </c>
    </row>
    <row r="258">
      <c r="A258" s="18" t="inlineStr">
        <is>
          <t>보조금 수취</t>
        </is>
      </c>
      <c r="H258" s="20" t="n">
        <v>0</v>
      </c>
      <c r="L258" s="20" t="n">
        <v>143</v>
      </c>
      <c r="R258" s="20" t="n">
        <v>112</v>
      </c>
      <c r="S258" s="20" t="n">
        <v>388</v>
      </c>
      <c r="W258" s="20" t="n">
        <v>0</v>
      </c>
      <c r="X258" s="20" t="n">
        <v>143</v>
      </c>
    </row>
    <row r="259">
      <c r="A259" s="9" t="inlineStr">
        <is>
          <t>영업활동 현금흐름</t>
        </is>
      </c>
      <c r="D259" s="12" t="n">
        <v>38627</v>
      </c>
      <c r="H259" s="12" t="n">
        <v>28222</v>
      </c>
      <c r="L259" s="12" t="n">
        <v>7204</v>
      </c>
      <c r="O259" s="12" t="n">
        <v>14395</v>
      </c>
      <c r="P259" s="12" t="n">
        <v>13767</v>
      </c>
      <c r="Q259" s="12" t="n">
        <v>11421</v>
      </c>
      <c r="R259" s="12" t="n">
        <v>14678</v>
      </c>
      <c r="S259" s="12" t="n">
        <v>17761</v>
      </c>
      <c r="T259" s="12" t="n">
        <v>13544</v>
      </c>
      <c r="U259" s="12" t="n">
        <v>20269</v>
      </c>
      <c r="V259" s="12" t="n">
        <v>38627</v>
      </c>
      <c r="W259" s="12" t="n">
        <v>28222</v>
      </c>
      <c r="X259" s="12" t="n">
        <v>7204</v>
      </c>
    </row>
    <row r="260">
      <c r="A260" s="18" t="inlineStr">
        <is>
          <t>정기예금 예입</t>
        </is>
      </c>
      <c r="D260" s="20" t="n">
        <v>-18</v>
      </c>
      <c r="H260" s="20" t="n">
        <v>-1663</v>
      </c>
      <c r="L260" s="20" t="n">
        <v>-18</v>
      </c>
      <c r="O260" s="20" t="n">
        <v>-1451</v>
      </c>
      <c r="P260" s="20" t="n">
        <v>-1295</v>
      </c>
      <c r="Q260" s="20" t="n">
        <v>-1476</v>
      </c>
      <c r="R260" s="20" t="n">
        <v>-823</v>
      </c>
      <c r="S260" s="20" t="n">
        <v>-728</v>
      </c>
      <c r="T260" s="20" t="n">
        <v>-94</v>
      </c>
      <c r="U260" s="20" t="n">
        <v>-358</v>
      </c>
      <c r="V260" s="20" t="n">
        <v>-18</v>
      </c>
      <c r="W260" s="20" t="n">
        <v>-1663</v>
      </c>
      <c r="X260" s="20" t="n">
        <v>-18</v>
      </c>
    </row>
    <row r="261">
      <c r="A261" s="18" t="inlineStr">
        <is>
          <t>정기예금 인출</t>
        </is>
      </c>
      <c r="D261" s="20" t="n">
        <v>1048</v>
      </c>
      <c r="H261" s="20" t="n">
        <v>44</v>
      </c>
      <c r="L261" s="20" t="n">
        <v>1625</v>
      </c>
      <c r="O261" s="20" t="n">
        <v>352</v>
      </c>
      <c r="P261" s="20" t="n">
        <v>1358</v>
      </c>
      <c r="Q261" s="20" t="n">
        <v>1438</v>
      </c>
      <c r="R261" s="20" t="n">
        <v>821</v>
      </c>
      <c r="S261" s="20" t="n">
        <v>317</v>
      </c>
      <c r="T261" s="20" t="n">
        <v>738</v>
      </c>
      <c r="U261" s="20" t="n">
        <v>678</v>
      </c>
      <c r="V261" s="20" t="n">
        <v>1048</v>
      </c>
      <c r="W261" s="20" t="n">
        <v>44</v>
      </c>
      <c r="X261" s="20" t="n">
        <v>1625</v>
      </c>
    </row>
    <row r="262">
      <c r="A262" s="18" t="inlineStr">
        <is>
          <t>유가증권 취득</t>
        </is>
      </c>
      <c r="D262" s="20" t="n">
        <v>0</v>
      </c>
      <c r="T262" s="20" t="n">
        <v>0</v>
      </c>
      <c r="U262" s="20" t="n">
        <v>-957</v>
      </c>
      <c r="V262" s="20" t="n">
        <v>0</v>
      </c>
    </row>
    <row r="263">
      <c r="A263" s="18" t="inlineStr">
        <is>
          <t>유가증권 매각</t>
        </is>
      </c>
      <c r="D263" s="20" t="n">
        <v>550</v>
      </c>
      <c r="H263" s="20" t="n">
        <v>485</v>
      </c>
      <c r="L263" s="20" t="n">
        <v>0</v>
      </c>
      <c r="U263" s="20" t="n">
        <v>0</v>
      </c>
      <c r="V263" s="20" t="n">
        <v>550</v>
      </c>
      <c r="W263" s="20" t="n">
        <v>485</v>
      </c>
      <c r="X263" s="20" t="n">
        <v>0</v>
      </c>
    </row>
    <row r="264">
      <c r="A264" s="18" t="inlineStr">
        <is>
          <t>고정자산 취득</t>
        </is>
      </c>
      <c r="D264" s="20" t="n">
        <v>-12337</v>
      </c>
      <c r="H264" s="20" t="n">
        <v>-20353</v>
      </c>
      <c r="L264" s="20" t="n">
        <v>-18188</v>
      </c>
      <c r="O264" s="20" t="n">
        <v>-15463</v>
      </c>
      <c r="P264" s="20" t="n">
        <v>-12094</v>
      </c>
      <c r="Q264" s="20" t="n">
        <v>-18037</v>
      </c>
      <c r="R264" s="20" t="n">
        <v>-17449</v>
      </c>
      <c r="S264" s="20" t="n">
        <v>-6640</v>
      </c>
      <c r="T264" s="20" t="n">
        <v>-7979</v>
      </c>
      <c r="U264" s="20" t="n">
        <v>-6425</v>
      </c>
      <c r="V264" s="20" t="n">
        <v>-12337</v>
      </c>
      <c r="W264" s="20" t="n">
        <v>-20353</v>
      </c>
      <c r="X264" s="20" t="n">
        <v>-18188</v>
      </c>
    </row>
    <row r="265">
      <c r="A265" s="18" t="inlineStr">
        <is>
          <t>고정자산 매각</t>
        </is>
      </c>
      <c r="D265" s="20" t="n">
        <v>1308</v>
      </c>
      <c r="H265" s="20" t="n">
        <v>1013</v>
      </c>
      <c r="L265" s="20" t="n">
        <v>991</v>
      </c>
      <c r="O265" s="20" t="n">
        <v>422</v>
      </c>
      <c r="P265" s="20" t="n">
        <v>628</v>
      </c>
      <c r="Q265" s="20" t="n">
        <v>676</v>
      </c>
      <c r="R265" s="20" t="n">
        <v>863</v>
      </c>
      <c r="S265" s="20" t="n">
        <v>371</v>
      </c>
      <c r="T265" s="20" t="n">
        <v>396</v>
      </c>
      <c r="U265" s="20" t="n">
        <v>793</v>
      </c>
      <c r="V265" s="20" t="n">
        <v>1308</v>
      </c>
      <c r="W265" s="20" t="n">
        <v>1013</v>
      </c>
      <c r="X265" s="20" t="n">
        <v>991</v>
      </c>
    </row>
    <row r="266">
      <c r="A266" s="18" t="inlineStr">
        <is>
          <t>Subsidy Income Inv CF</t>
        </is>
      </c>
      <c r="O266" s="20" t="n">
        <v>0</v>
      </c>
      <c r="P266" s="20" t="n">
        <v>272</v>
      </c>
      <c r="Q266" s="20" t="n">
        <v>21</v>
      </c>
      <c r="R266" s="20" t="n">
        <v>0</v>
      </c>
    </row>
    <row r="267">
      <c r="A267" s="18" t="inlineStr">
        <is>
          <t>사업양수 지출</t>
        </is>
      </c>
      <c r="D267" s="20" t="n">
        <v>0</v>
      </c>
      <c r="T267" s="20" t="n">
        <v>0</v>
      </c>
      <c r="U267" s="20" t="n">
        <v>-16279</v>
      </c>
      <c r="V267" s="20" t="n">
        <v>0</v>
      </c>
    </row>
    <row r="268">
      <c r="A268" s="18" t="inlineStr">
        <is>
          <t>Purchase Of Equity Of Subsidiaries Resulting In Change In Scope Of Consolidation Inv CF</t>
        </is>
      </c>
      <c r="D268" s="20" t="n">
        <v>0</v>
      </c>
      <c r="T268" s="20" t="n">
        <v>0</v>
      </c>
      <c r="U268" s="20" t="n">
        <v>-198</v>
      </c>
      <c r="V268" s="20" t="n">
        <v>0</v>
      </c>
    </row>
    <row r="269">
      <c r="A269" s="18" t="inlineStr">
        <is>
          <t>투자유가증권 취득</t>
        </is>
      </c>
      <c r="D269" s="20" t="n">
        <v>-180</v>
      </c>
      <c r="H269" s="20" t="n">
        <v>0</v>
      </c>
      <c r="L269" s="20" t="n">
        <v>-3</v>
      </c>
      <c r="O269" s="20" t="n">
        <v>-1</v>
      </c>
      <c r="P269" s="20" t="n">
        <v>-1</v>
      </c>
      <c r="Q269" s="20" t="n">
        <v>-1308</v>
      </c>
      <c r="R269" s="20" t="n">
        <v>-1</v>
      </c>
      <c r="S269" s="20" t="n">
        <v>-2</v>
      </c>
      <c r="T269" s="20" t="n">
        <v>-0</v>
      </c>
      <c r="U269" s="20" t="n">
        <v>-0</v>
      </c>
      <c r="V269" s="20" t="n">
        <v>-180</v>
      </c>
      <c r="W269" s="20" t="n">
        <v>0</v>
      </c>
      <c r="X269" s="20" t="n">
        <v>-3</v>
      </c>
    </row>
    <row r="270">
      <c r="A270" s="18" t="inlineStr">
        <is>
          <t>투자유가증권 매각</t>
        </is>
      </c>
      <c r="D270" s="20" t="n">
        <v>0</v>
      </c>
      <c r="H270" s="20" t="n">
        <v>365</v>
      </c>
      <c r="L270" s="20" t="n">
        <v>4956</v>
      </c>
      <c r="Q270" s="20" t="n">
        <v>0</v>
      </c>
      <c r="R270" s="20" t="n">
        <v>1</v>
      </c>
      <c r="S270" s="20" t="n">
        <v>0</v>
      </c>
      <c r="T270" s="20" t="n">
        <v>10</v>
      </c>
      <c r="U270" s="20" t="n">
        <v>36</v>
      </c>
      <c r="V270" s="20" t="n">
        <v>0</v>
      </c>
      <c r="W270" s="20" t="n">
        <v>365</v>
      </c>
      <c r="X270" s="20" t="n">
        <v>4956</v>
      </c>
    </row>
    <row r="271">
      <c r="A271" s="18" t="inlineStr">
        <is>
          <t>대여</t>
        </is>
      </c>
      <c r="D271" s="20" t="n">
        <v>-311</v>
      </c>
      <c r="H271" s="20" t="n">
        <v>-312</v>
      </c>
      <c r="L271" s="20" t="n">
        <v>-441</v>
      </c>
      <c r="O271" s="20" t="n">
        <v>-115</v>
      </c>
      <c r="P271" s="20" t="n">
        <v>-166</v>
      </c>
      <c r="Q271" s="20" t="n">
        <v>-104</v>
      </c>
      <c r="R271" s="20" t="n">
        <v>-177</v>
      </c>
      <c r="S271" s="20" t="n">
        <v>-102</v>
      </c>
      <c r="T271" s="20" t="n">
        <v>-161</v>
      </c>
      <c r="U271" s="20" t="n">
        <v>-7059</v>
      </c>
      <c r="V271" s="20" t="n">
        <v>-311</v>
      </c>
      <c r="W271" s="20" t="n">
        <v>-312</v>
      </c>
      <c r="X271" s="20" t="n">
        <v>-441</v>
      </c>
    </row>
    <row r="272">
      <c r="A272" s="18" t="inlineStr">
        <is>
          <t>대여금 회수</t>
        </is>
      </c>
      <c r="D272" s="20" t="n">
        <v>275</v>
      </c>
      <c r="H272" s="20" t="n">
        <v>292</v>
      </c>
      <c r="L272" s="20" t="n">
        <v>312</v>
      </c>
      <c r="O272" s="20" t="n">
        <v>162</v>
      </c>
      <c r="P272" s="20" t="n">
        <v>152</v>
      </c>
      <c r="Q272" s="20" t="n">
        <v>109</v>
      </c>
      <c r="R272" s="20" t="n">
        <v>129</v>
      </c>
      <c r="S272" s="20" t="n">
        <v>132</v>
      </c>
      <c r="T272" s="20" t="n">
        <v>136</v>
      </c>
      <c r="U272" s="20" t="n">
        <v>170</v>
      </c>
      <c r="V272" s="20" t="n">
        <v>275</v>
      </c>
      <c r="W272" s="20" t="n">
        <v>292</v>
      </c>
      <c r="X272" s="20" t="n">
        <v>312</v>
      </c>
    </row>
    <row r="273">
      <c r="A273" s="18" t="inlineStr">
        <is>
          <t>기타</t>
        </is>
      </c>
      <c r="O273" s="20" t="n">
        <v>-336</v>
      </c>
      <c r="P273" s="20" t="n">
        <v>0</v>
      </c>
      <c r="Q273" s="20" t="n">
        <v>249</v>
      </c>
      <c r="R273" s="20" t="n">
        <v>46</v>
      </c>
      <c r="S273" s="20" t="n">
        <v>-132</v>
      </c>
      <c r="T273" s="20" t="n">
        <v>-0</v>
      </c>
      <c r="U273" s="20" t="n">
        <v>0</v>
      </c>
    </row>
    <row r="274">
      <c r="A274" s="18" t="inlineStr">
        <is>
          <t>연결범위 변경 자회사 주식 매각(지출)</t>
        </is>
      </c>
      <c r="H274" s="20" t="n">
        <v>0</v>
      </c>
      <c r="L274" s="20" t="n">
        <v>-809</v>
      </c>
      <c r="W274" s="20" t="n">
        <v>0</v>
      </c>
      <c r="X274" s="20" t="n">
        <v>-809</v>
      </c>
    </row>
    <row r="275">
      <c r="A275" s="9" t="inlineStr">
        <is>
          <t>투자활동 현금흐름</t>
        </is>
      </c>
      <c r="D275" s="12" t="n">
        <v>-9664</v>
      </c>
      <c r="H275" s="12" t="n">
        <v>-20128</v>
      </c>
      <c r="L275" s="12" t="n">
        <v>-11574</v>
      </c>
      <c r="O275" s="12" t="n">
        <v>-16431</v>
      </c>
      <c r="P275" s="12" t="n">
        <v>-11145</v>
      </c>
      <c r="Q275" s="12" t="n">
        <v>-18429</v>
      </c>
      <c r="R275" s="12" t="n">
        <v>-16591</v>
      </c>
      <c r="S275" s="12" t="n">
        <v>-6785</v>
      </c>
      <c r="T275" s="12" t="n">
        <v>-6955</v>
      </c>
      <c r="U275" s="12" t="n">
        <v>-29599</v>
      </c>
      <c r="V275" s="12" t="n">
        <v>-9664</v>
      </c>
      <c r="W275" s="12" t="n">
        <v>-20128</v>
      </c>
      <c r="X275" s="12" t="n">
        <v>-11574</v>
      </c>
    </row>
    <row r="276">
      <c r="A276" s="18" t="inlineStr">
        <is>
          <t>단기차입</t>
        </is>
      </c>
      <c r="D276" s="20" t="n">
        <v>2704</v>
      </c>
      <c r="H276" s="20" t="n">
        <v>3675</v>
      </c>
      <c r="L276" s="20" t="n">
        <v>4689</v>
      </c>
      <c r="O276" s="20" t="n">
        <v>30235</v>
      </c>
      <c r="P276" s="20" t="n">
        <v>7363</v>
      </c>
      <c r="Q276" s="20" t="n">
        <v>4337</v>
      </c>
      <c r="R276" s="20" t="n">
        <v>9648</v>
      </c>
      <c r="S276" s="20" t="n">
        <v>8161</v>
      </c>
      <c r="T276" s="20" t="n">
        <v>6895</v>
      </c>
      <c r="U276" s="20" t="n">
        <v>2598</v>
      </c>
      <c r="V276" s="20" t="n">
        <v>2704</v>
      </c>
      <c r="W276" s="20" t="n">
        <v>3675</v>
      </c>
      <c r="X276" s="20" t="n">
        <v>4689</v>
      </c>
    </row>
    <row r="277">
      <c r="A277" s="18" t="inlineStr">
        <is>
          <t>단기차입금 상환</t>
        </is>
      </c>
      <c r="D277" s="20" t="n">
        <v>-3192</v>
      </c>
      <c r="H277" s="20" t="n">
        <v>-3206</v>
      </c>
      <c r="L277" s="20" t="n">
        <v>-3247</v>
      </c>
      <c r="O277" s="20" t="n">
        <v>-31450</v>
      </c>
      <c r="P277" s="20" t="n">
        <v>-5922</v>
      </c>
      <c r="Q277" s="20" t="n">
        <v>-2761</v>
      </c>
      <c r="R277" s="20" t="n">
        <v>-7889</v>
      </c>
      <c r="S277" s="20" t="n">
        <v>-7933</v>
      </c>
      <c r="T277" s="20" t="n">
        <v>-10852</v>
      </c>
      <c r="U277" s="20" t="n">
        <v>-3786</v>
      </c>
      <c r="V277" s="20" t="n">
        <v>-3192</v>
      </c>
      <c r="W277" s="20" t="n">
        <v>-3206</v>
      </c>
      <c r="X277" s="20" t="n">
        <v>-3247</v>
      </c>
    </row>
    <row r="278">
      <c r="A278" s="18" t="inlineStr">
        <is>
          <t>장기차입</t>
        </is>
      </c>
      <c r="D278" s="20" t="n">
        <v>0</v>
      </c>
      <c r="H278" s="20" t="n">
        <v>23043</v>
      </c>
      <c r="L278" s="20" t="n">
        <v>21096</v>
      </c>
      <c r="O278" s="20" t="n">
        <v>4011</v>
      </c>
      <c r="P278" s="20" t="n">
        <v>2245</v>
      </c>
      <c r="Q278" s="20" t="n">
        <v>8111</v>
      </c>
      <c r="R278" s="20" t="n">
        <v>8576</v>
      </c>
      <c r="S278" s="20" t="n">
        <v>3180</v>
      </c>
      <c r="T278" s="20" t="n">
        <v>8500</v>
      </c>
      <c r="U278" s="20" t="n">
        <v>20000</v>
      </c>
      <c r="V278" s="20" t="n">
        <v>0</v>
      </c>
      <c r="W278" s="20" t="n">
        <v>23043</v>
      </c>
      <c r="X278" s="20" t="n">
        <v>21096</v>
      </c>
    </row>
    <row r="279">
      <c r="A279" s="18" t="inlineStr">
        <is>
          <t>장기차입금 상환</t>
        </is>
      </c>
      <c r="D279" s="20" t="n">
        <v>-6324</v>
      </c>
      <c r="H279" s="20" t="n">
        <v>-8016</v>
      </c>
      <c r="L279" s="20" t="n">
        <v>-3011</v>
      </c>
      <c r="O279" s="20" t="n">
        <v>-4153</v>
      </c>
      <c r="P279" s="20" t="n">
        <v>-5</v>
      </c>
      <c r="Q279" s="20" t="n">
        <v>-8002</v>
      </c>
      <c r="R279" s="20" t="n">
        <v>-6000</v>
      </c>
      <c r="S279" s="20" t="n">
        <v>-3000</v>
      </c>
      <c r="T279" s="20" t="n">
        <v>-6380</v>
      </c>
      <c r="U279" s="20" t="n">
        <v>-2348</v>
      </c>
      <c r="V279" s="20" t="n">
        <v>-6324</v>
      </c>
      <c r="W279" s="20" t="n">
        <v>-8016</v>
      </c>
      <c r="X279" s="20" t="n">
        <v>-3011</v>
      </c>
    </row>
    <row r="280">
      <c r="A280" s="18" t="inlineStr">
        <is>
          <t>사채 발행</t>
        </is>
      </c>
      <c r="O280" s="20" t="n">
        <v>0</v>
      </c>
      <c r="P280" s="20" t="n">
        <v>9952</v>
      </c>
      <c r="Q280" s="20" t="n">
        <v>0</v>
      </c>
    </row>
    <row r="281">
      <c r="A281" s="18" t="inlineStr">
        <is>
          <t>사채 상환</t>
        </is>
      </c>
      <c r="D281" s="20" t="n">
        <v>0</v>
      </c>
      <c r="T281" s="20" t="n">
        <v>0</v>
      </c>
      <c r="U281" s="20" t="n">
        <v>-10000</v>
      </c>
      <c r="V281" s="20" t="n">
        <v>0</v>
      </c>
    </row>
    <row r="282">
      <c r="A282" s="18" t="inlineStr">
        <is>
          <t>신주예약권 행사에 따른 주식 발행</t>
        </is>
      </c>
      <c r="D282" s="20" t="n">
        <v>215</v>
      </c>
      <c r="H282" s="20" t="n">
        <v>46</v>
      </c>
      <c r="L282" s="20" t="n">
        <v>6</v>
      </c>
      <c r="O282" s="20" t="n">
        <v>28</v>
      </c>
      <c r="P282" s="20" t="n">
        <v>214</v>
      </c>
      <c r="Q282" s="20" t="n">
        <v>50</v>
      </c>
      <c r="R282" s="20" t="n">
        <v>5</v>
      </c>
      <c r="S282" s="20" t="n">
        <v>0</v>
      </c>
      <c r="T282" s="20" t="n">
        <v>43</v>
      </c>
      <c r="U282" s="20" t="n">
        <v>9</v>
      </c>
      <c r="V282" s="20" t="n">
        <v>215</v>
      </c>
      <c r="W282" s="20" t="n">
        <v>46</v>
      </c>
      <c r="X282" s="20" t="n">
        <v>6</v>
      </c>
    </row>
    <row r="283">
      <c r="A283" s="18" t="inlineStr">
        <is>
          <t>자기주식 취득</t>
        </is>
      </c>
      <c r="D283" s="20" t="n">
        <v>-1000</v>
      </c>
      <c r="H283" s="20" t="n">
        <v>-0</v>
      </c>
      <c r="L283" s="20" t="n">
        <v>-9405</v>
      </c>
      <c r="O283" s="20" t="n">
        <v>-0</v>
      </c>
      <c r="P283" s="20" t="n">
        <v>-0</v>
      </c>
      <c r="Q283" s="20" t="n">
        <v>-0</v>
      </c>
      <c r="R283" s="20" t="n">
        <v>-1</v>
      </c>
      <c r="S283" s="20" t="n">
        <v>-0</v>
      </c>
      <c r="T283" s="20" t="n">
        <v>-58</v>
      </c>
      <c r="U283" s="20" t="n">
        <v>-0</v>
      </c>
      <c r="V283" s="20" t="n">
        <v>-1000</v>
      </c>
      <c r="W283" s="20" t="n">
        <v>-0</v>
      </c>
      <c r="X283" s="20" t="n">
        <v>-9405</v>
      </c>
    </row>
    <row r="284">
      <c r="A284" s="18" t="inlineStr">
        <is>
          <t>자기주식 매각</t>
        </is>
      </c>
      <c r="D284" s="20" t="n">
        <v>27</v>
      </c>
      <c r="H284" s="20" t="n">
        <v>31</v>
      </c>
      <c r="L284" s="20" t="n">
        <v>25</v>
      </c>
      <c r="Q284" s="20" t="n">
        <v>0</v>
      </c>
      <c r="R284" s="20" t="n">
        <v>0</v>
      </c>
      <c r="S284" s="20" t="n">
        <v>0</v>
      </c>
      <c r="T284" s="20" t="n">
        <v>0</v>
      </c>
      <c r="U284" s="20" t="n">
        <v>0</v>
      </c>
      <c r="V284" s="20" t="n">
        <v>27</v>
      </c>
      <c r="W284" s="20" t="n">
        <v>31</v>
      </c>
      <c r="X284" s="20" t="n">
        <v>25</v>
      </c>
    </row>
    <row r="285">
      <c r="A285" s="18" t="inlineStr">
        <is>
          <t>배당금 지급</t>
        </is>
      </c>
      <c r="D285" s="20" t="n">
        <v>-2948</v>
      </c>
      <c r="H285" s="20" t="n">
        <v>-3684</v>
      </c>
      <c r="L285" s="20" t="n">
        <v>-4422</v>
      </c>
      <c r="O285" s="20" t="n">
        <v>-1817</v>
      </c>
      <c r="P285" s="20" t="n">
        <v>-1693</v>
      </c>
      <c r="Q285" s="20" t="n">
        <v>-1825</v>
      </c>
      <c r="R285" s="20" t="n">
        <v>-1637</v>
      </c>
      <c r="S285" s="20" t="n">
        <v>-881</v>
      </c>
      <c r="T285" s="20" t="n">
        <v>-1638</v>
      </c>
      <c r="U285" s="20" t="n">
        <v>-1826</v>
      </c>
      <c r="V285" s="20" t="n">
        <v>-2948</v>
      </c>
      <c r="W285" s="20" t="n">
        <v>-3684</v>
      </c>
      <c r="X285" s="20" t="n">
        <v>-4422</v>
      </c>
    </row>
    <row r="286">
      <c r="A286" s="18" t="inlineStr">
        <is>
          <t>비지배주주 배당금 지급</t>
        </is>
      </c>
      <c r="D286" s="20" t="n">
        <v>-502</v>
      </c>
      <c r="H286" s="20" t="n">
        <v>-595</v>
      </c>
      <c r="L286" s="20" t="n">
        <v>-1035</v>
      </c>
      <c r="O286" s="20" t="n">
        <v>-125</v>
      </c>
      <c r="P286" s="20" t="n">
        <v>-170</v>
      </c>
      <c r="Q286" s="20" t="n">
        <v>-268</v>
      </c>
      <c r="R286" s="20" t="n">
        <v>-332</v>
      </c>
      <c r="S286" s="20" t="n">
        <v>-263</v>
      </c>
      <c r="T286" s="20" t="n">
        <v>-201</v>
      </c>
      <c r="U286" s="20" t="n">
        <v>-440</v>
      </c>
      <c r="V286" s="20" t="n">
        <v>-502</v>
      </c>
      <c r="W286" s="20" t="n">
        <v>-595</v>
      </c>
      <c r="X286" s="20" t="n">
        <v>-1035</v>
      </c>
    </row>
    <row r="287">
      <c r="A287" s="18" t="inlineStr">
        <is>
          <t>기타</t>
        </is>
      </c>
      <c r="O287" s="20" t="n">
        <v>-238</v>
      </c>
      <c r="P287" s="20" t="n">
        <v>-203</v>
      </c>
      <c r="Q287" s="20" t="n">
        <v>-76</v>
      </c>
      <c r="R287" s="20" t="n">
        <v>-664</v>
      </c>
    </row>
    <row r="288">
      <c r="A288" s="18" t="inlineStr">
        <is>
          <t>리스부채 상환</t>
        </is>
      </c>
      <c r="D288" s="20" t="n">
        <v>-411</v>
      </c>
      <c r="H288" s="20" t="n">
        <v>-344</v>
      </c>
      <c r="L288" s="20" t="n">
        <v>-562</v>
      </c>
      <c r="R288" s="20" t="n">
        <v>-664</v>
      </c>
      <c r="S288" s="20" t="n">
        <v>-438</v>
      </c>
      <c r="T288" s="20" t="n">
        <v>-435</v>
      </c>
      <c r="U288" s="20" t="n">
        <v>-227</v>
      </c>
      <c r="V288" s="20" t="n">
        <v>-411</v>
      </c>
      <c r="W288" s="20" t="n">
        <v>-344</v>
      </c>
      <c r="X288" s="20" t="n">
        <v>-562</v>
      </c>
    </row>
    <row r="289">
      <c r="A289" s="18" t="inlineStr">
        <is>
          <t>비지배지분으로부터 자회사 지분 취득 지출</t>
        </is>
      </c>
      <c r="D289" s="20" t="n">
        <v>0</v>
      </c>
      <c r="T289" s="20" t="n">
        <v>0</v>
      </c>
      <c r="U289" s="20" t="n">
        <v>-442</v>
      </c>
      <c r="V289" s="20" t="n">
        <v>0</v>
      </c>
    </row>
    <row r="290">
      <c r="A290" s="9" t="inlineStr">
        <is>
          <t>재무활동 현금흐름</t>
        </is>
      </c>
      <c r="D290" s="12" t="n">
        <v>-11431</v>
      </c>
      <c r="H290" s="12" t="n">
        <v>10949</v>
      </c>
      <c r="L290" s="12" t="n">
        <v>4133</v>
      </c>
      <c r="O290" s="12" t="n">
        <v>-3510</v>
      </c>
      <c r="P290" s="12" t="n">
        <v>11779</v>
      </c>
      <c r="Q290" s="12" t="n">
        <v>-435</v>
      </c>
      <c r="R290" s="12" t="n">
        <v>1704</v>
      </c>
      <c r="S290" s="12" t="n">
        <v>-1176</v>
      </c>
      <c r="T290" s="12" t="n">
        <v>-4128</v>
      </c>
      <c r="U290" s="12" t="n">
        <v>3536</v>
      </c>
      <c r="V290" s="12" t="n">
        <v>-11431</v>
      </c>
      <c r="W290" s="12" t="n">
        <v>10949</v>
      </c>
      <c r="X290" s="12" t="n">
        <v>4133</v>
      </c>
    </row>
    <row r="291">
      <c r="A291" s="18" t="inlineStr">
        <is>
          <t>현금성자산 환산차이</t>
        </is>
      </c>
      <c r="D291" s="20" t="n">
        <v>2760</v>
      </c>
      <c r="H291" s="20" t="n">
        <v>-1407</v>
      </c>
      <c r="L291" s="20" t="n">
        <v>3726</v>
      </c>
      <c r="O291" s="20" t="n">
        <v>-592</v>
      </c>
      <c r="P291" s="20" t="n">
        <v>354</v>
      </c>
      <c r="Q291" s="20" t="n">
        <v>-830</v>
      </c>
      <c r="R291" s="20" t="n">
        <v>-465</v>
      </c>
      <c r="S291" s="20" t="n">
        <v>-105</v>
      </c>
      <c r="T291" s="20" t="n">
        <v>1920</v>
      </c>
      <c r="U291" s="20" t="n">
        <v>1014</v>
      </c>
      <c r="V291" s="20" t="n">
        <v>2760</v>
      </c>
      <c r="W291" s="20" t="n">
        <v>-1407</v>
      </c>
      <c r="X291" s="20" t="n">
        <v>3726</v>
      </c>
    </row>
    <row r="292">
      <c r="A292" s="18" t="inlineStr">
        <is>
          <t>현금성자산 증감</t>
        </is>
      </c>
      <c r="D292" s="20" t="n">
        <v>20292</v>
      </c>
      <c r="H292" s="20" t="n">
        <v>17636</v>
      </c>
      <c r="L292" s="20" t="n">
        <v>3488</v>
      </c>
      <c r="O292" s="20" t="n">
        <v>-6138</v>
      </c>
      <c r="P292" s="20" t="n">
        <v>14756</v>
      </c>
      <c r="Q292" s="20" t="n">
        <v>-8274</v>
      </c>
      <c r="R292" s="20" t="n">
        <v>-673</v>
      </c>
      <c r="S292" s="20" t="n">
        <v>9694</v>
      </c>
      <c r="T292" s="20" t="n">
        <v>4381</v>
      </c>
      <c r="U292" s="20" t="n">
        <v>-4778</v>
      </c>
      <c r="V292" s="20" t="n">
        <v>20292</v>
      </c>
      <c r="W292" s="20" t="n">
        <v>17636</v>
      </c>
      <c r="X292" s="20" t="n">
        <v>3488</v>
      </c>
    </row>
    <row r="293">
      <c r="A293" s="18" t="inlineStr">
        <is>
          <t>신규 연결 현금성자산 증가</t>
        </is>
      </c>
      <c r="O293" s="20" t="n">
        <v>0</v>
      </c>
      <c r="P293" s="20" t="n">
        <v>100</v>
      </c>
      <c r="Q293" s="20" t="n">
        <v>0</v>
      </c>
      <c r="R293" s="20" t="n">
        <v>85</v>
      </c>
      <c r="S293" s="20" t="n">
        <v>0</v>
      </c>
    </row>
    <row r="294">
      <c r="A294" s="18" t="inlineStr">
        <is>
          <t>Increase Decrease In Beginning Balance Of Cash And Cash Equivalents Resulting From Change In Fiscal Period Of Consolidated Subsidiaries Fin CF</t>
        </is>
      </c>
      <c r="D294" s="20" t="n">
        <v>2229</v>
      </c>
      <c r="U294" s="20" t="n">
        <v>0</v>
      </c>
      <c r="V294" s="20" t="n">
        <v>2229</v>
      </c>
    </row>
    <row r="295">
      <c r="A295" s="18" t="inlineStr">
        <is>
          <t>Increase Decrease In Beginning Balance Of Cash And Cash Equivalents Resulting From Change In Fiscal Period Of Consolidated Subsidiaries</t>
        </is>
      </c>
      <c r="D295" s="20" t="n">
        <v>2229</v>
      </c>
      <c r="H295" s="20" t="n">
        <v>0</v>
      </c>
      <c r="V295" s="20" t="n">
        <v>2229</v>
      </c>
      <c r="W295" s="20" t="n">
        <v>0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70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7283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2026.2Q</t>
        </is>
      </c>
      <c r="D3" s="5" t="inlineStr">
        <is>
          <t>2026.3Q</t>
        </is>
      </c>
      <c r="E3" s="5" t="inlineStr">
        <is>
          <t>2026.4Q</t>
        </is>
      </c>
      <c r="F3" s="5" t="inlineStr">
        <is>
          <t>2027.1Q</t>
        </is>
      </c>
      <c r="G3" s="5" t="inlineStr">
        <is>
          <t>2027.2Q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160447</v>
      </c>
      <c r="D5" s="12" t="n">
        <v>184316</v>
      </c>
      <c r="E5" s="12" t="n">
        <v>186234</v>
      </c>
      <c r="F5" s="12" t="n">
        <v>185110</v>
      </c>
      <c r="G5" s="12" t="n">
        <v>173327</v>
      </c>
      <c r="H5" s="11" t="n">
        <v>112172</v>
      </c>
      <c r="I5" s="12" t="n">
        <v>53601</v>
      </c>
      <c r="J5" s="12" t="n">
        <v>149636</v>
      </c>
      <c r="K5" s="12" t="n">
        <v>174864</v>
      </c>
      <c r="L5" s="12" t="n">
        <v>186234</v>
      </c>
    </row>
    <row r="6">
      <c r="A6" s="18" t="inlineStr">
        <is>
          <t>현금및현금성자산</t>
        </is>
      </c>
      <c r="B6" s="10" t="n"/>
      <c r="C6" s="19" t="n">
        <v>67245</v>
      </c>
      <c r="D6" s="20" t="n">
        <v>86602</v>
      </c>
      <c r="E6" s="20" t="n">
        <v>87663</v>
      </c>
      <c r="F6" s="20" t="n">
        <v>78974</v>
      </c>
      <c r="G6" s="20" t="n">
        <v>63487</v>
      </c>
      <c r="H6" s="19" t="n">
        <v>45602</v>
      </c>
      <c r="I6" s="20" t="n">
        <v>17991</v>
      </c>
      <c r="J6" s="20" t="n">
        <v>65554</v>
      </c>
      <c r="K6" s="20" t="n">
        <v>85776</v>
      </c>
      <c r="L6" s="20" t="n">
        <v>87663</v>
      </c>
    </row>
    <row r="7">
      <c r="A7" s="18" t="inlineStr">
        <is>
          <t>단기금융상품</t>
        </is>
      </c>
      <c r="B7" s="10" t="n"/>
      <c r="C7" s="19" t="n">
        <v>1000</v>
      </c>
      <c r="D7" s="20" t="n">
        <v>1500</v>
      </c>
      <c r="E7" s="20" t="n"/>
      <c r="F7" s="20" t="n"/>
      <c r="G7" s="20" t="n"/>
      <c r="H7" s="19" t="n">
        <v>4484</v>
      </c>
      <c r="I7" s="20" t="n">
        <v>2484</v>
      </c>
      <c r="J7" s="20" t="n">
        <v>1482</v>
      </c>
      <c r="K7" s="20" t="n">
        <v>0</v>
      </c>
      <c r="L7" s="20" t="n"/>
    </row>
    <row r="8">
      <c r="A8" s="18" t="inlineStr">
        <is>
          <t>매출채권</t>
        </is>
      </c>
      <c r="B8" s="10" t="n"/>
      <c r="C8" s="19" t="n">
        <v>39694</v>
      </c>
      <c r="D8" s="20" t="n">
        <v>37253</v>
      </c>
      <c r="E8" s="20" t="n">
        <v>40407</v>
      </c>
      <c r="F8" s="20" t="n">
        <v>44230</v>
      </c>
      <c r="G8" s="20" t="n">
        <v>44660</v>
      </c>
      <c r="H8" s="19" t="n">
        <v>26201</v>
      </c>
      <c r="I8" s="20" t="n">
        <v>30664</v>
      </c>
      <c r="J8" s="20" t="n">
        <v>39279</v>
      </c>
      <c r="K8" s="20" t="n">
        <v>37563</v>
      </c>
      <c r="L8" s="20" t="n">
        <v>40407</v>
      </c>
    </row>
    <row r="9">
      <c r="A9" s="18" t="inlineStr">
        <is>
          <t>재고자산</t>
        </is>
      </c>
      <c r="B9" s="10" t="n"/>
      <c r="C9" s="19" t="n">
        <v>39498</v>
      </c>
      <c r="D9" s="20" t="n">
        <v>42003</v>
      </c>
      <c r="E9" s="20" t="n">
        <v>45618</v>
      </c>
      <c r="F9" s="20" t="n">
        <v>48006</v>
      </c>
      <c r="G9" s="20" t="n">
        <v>48800</v>
      </c>
      <c r="H9" s="19" t="n">
        <v>29423</v>
      </c>
      <c r="I9" s="20" t="n">
        <v>13259</v>
      </c>
      <c r="J9" s="20" t="n">
        <v>35300</v>
      </c>
      <c r="K9" s="20" t="n">
        <v>41521</v>
      </c>
      <c r="L9" s="20" t="n">
        <v>45618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126267</v>
      </c>
      <c r="D11" s="12" t="n">
        <v>121285</v>
      </c>
      <c r="E11" s="12" t="n">
        <v>125242</v>
      </c>
      <c r="F11" s="12" t="n">
        <v>133524</v>
      </c>
      <c r="G11" s="12" t="n">
        <v>135205</v>
      </c>
      <c r="H11" s="11" t="n">
        <v>89763</v>
      </c>
      <c r="I11" s="12" t="n">
        <v>98029</v>
      </c>
      <c r="J11" s="12" t="n">
        <v>122912</v>
      </c>
      <c r="K11" s="12" t="n">
        <v>126118</v>
      </c>
      <c r="L11" s="12" t="n">
        <v>125242</v>
      </c>
    </row>
    <row r="12">
      <c r="A12" s="18" t="inlineStr">
        <is>
          <t>유형자산</t>
        </is>
      </c>
      <c r="B12" s="10" t="n"/>
      <c r="C12" s="19" t="n">
        <v>88039</v>
      </c>
      <c r="D12" s="20" t="n">
        <v>90579</v>
      </c>
      <c r="E12" s="20" t="n">
        <v>91353</v>
      </c>
      <c r="F12" s="20" t="n">
        <v>97680</v>
      </c>
      <c r="G12" s="20" t="n">
        <v>99666</v>
      </c>
      <c r="H12" s="19" t="n">
        <v>64980</v>
      </c>
      <c r="I12" s="20" t="n">
        <v>32198</v>
      </c>
      <c r="J12" s="20" t="n">
        <v>83599</v>
      </c>
      <c r="K12" s="20" t="n">
        <v>86121</v>
      </c>
      <c r="L12" s="20" t="n">
        <v>91353</v>
      </c>
    </row>
    <row r="13">
      <c r="A13" s="18" t="inlineStr">
        <is>
          <t>무형자산</t>
        </is>
      </c>
      <c r="B13" s="10" t="n"/>
      <c r="C13" s="19" t="n">
        <v>2510</v>
      </c>
      <c r="D13" s="20" t="n">
        <v>2568</v>
      </c>
      <c r="E13" s="20" t="n">
        <v>2726</v>
      </c>
      <c r="F13" s="20" t="n">
        <v>3667</v>
      </c>
      <c r="G13" s="20" t="n">
        <v>3591</v>
      </c>
      <c r="H13" s="19" t="n">
        <v>899</v>
      </c>
      <c r="I13" s="20" t="n">
        <v>1240</v>
      </c>
      <c r="J13" s="20" t="n">
        <v>2398</v>
      </c>
      <c r="K13" s="20" t="n">
        <v>2404</v>
      </c>
      <c r="L13" s="20" t="n">
        <v>2726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286714</v>
      </c>
      <c r="D16" s="12" t="n">
        <v>305602</v>
      </c>
      <c r="E16" s="12" t="n">
        <v>311476</v>
      </c>
      <c r="F16" s="12" t="n">
        <v>318634</v>
      </c>
      <c r="G16" s="12" t="n">
        <v>308532</v>
      </c>
      <c r="H16" s="11" t="n">
        <v>201936</v>
      </c>
      <c r="I16" s="12" t="n">
        <v>151630</v>
      </c>
      <c r="J16" s="12" t="n">
        <v>272549</v>
      </c>
      <c r="K16" s="12" t="n">
        <v>300982</v>
      </c>
      <c r="L16" s="12" t="n">
        <v>311476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75001</v>
      </c>
      <c r="D18" s="12" t="n">
        <v>80994</v>
      </c>
      <c r="E18" s="12" t="n">
        <v>92223</v>
      </c>
      <c r="F18" s="12" t="n">
        <v>95114</v>
      </c>
      <c r="G18" s="12" t="n">
        <v>91619</v>
      </c>
      <c r="H18" s="11" t="n">
        <v>57293</v>
      </c>
      <c r="I18" s="12" t="n">
        <v>28671</v>
      </c>
      <c r="J18" s="12" t="n">
        <v>82067</v>
      </c>
      <c r="K18" s="12" t="n">
        <v>85745</v>
      </c>
      <c r="L18" s="12" t="n">
        <v>92223</v>
      </c>
    </row>
    <row r="19">
      <c r="A19" s="18" t="inlineStr">
        <is>
          <t>매입채무</t>
        </is>
      </c>
      <c r="B19" s="10" t="n"/>
      <c r="C19" s="19" t="n">
        <v>31937</v>
      </c>
      <c r="D19" s="20" t="n">
        <v>31581</v>
      </c>
      <c r="E19" s="20" t="n">
        <v>33156</v>
      </c>
      <c r="F19" s="20" t="n">
        <v>33519</v>
      </c>
      <c r="G19" s="20" t="n">
        <v>34596</v>
      </c>
      <c r="H19" s="19" t="n">
        <v>21432</v>
      </c>
      <c r="I19" s="20" t="n">
        <v>27390</v>
      </c>
      <c r="J19" s="20" t="n">
        <v>32872</v>
      </c>
      <c r="K19" s="20" t="n">
        <v>33722</v>
      </c>
      <c r="L19" s="20" t="n">
        <v>33156</v>
      </c>
    </row>
    <row r="20">
      <c r="A20" s="18" t="inlineStr">
        <is>
          <t>단기차입금</t>
        </is>
      </c>
      <c r="B20" s="10" t="n"/>
      <c r="C20" s="19" t="n">
        <v>1574</v>
      </c>
      <c r="D20" s="20" t="n">
        <v>1730</v>
      </c>
      <c r="E20" s="20" t="n">
        <v>2764</v>
      </c>
      <c r="F20" s="20" t="n">
        <v>2699</v>
      </c>
      <c r="G20" s="20" t="n">
        <v>2765</v>
      </c>
      <c r="H20" s="19" t="n">
        <v>3845</v>
      </c>
      <c r="I20" s="20" t="n">
        <v>2909</v>
      </c>
      <c r="J20" s="20" t="n">
        <v>2219</v>
      </c>
      <c r="K20" s="20" t="n">
        <v>1676</v>
      </c>
      <c r="L20" s="20" t="n">
        <v>2764</v>
      </c>
    </row>
    <row r="21">
      <c r="A21" s="18" t="inlineStr">
        <is>
          <t>유동성장기부채</t>
        </is>
      </c>
      <c r="B21" s="10" t="n"/>
      <c r="C21" s="19" t="n">
        <v>3000</v>
      </c>
      <c r="D21" s="20" t="n">
        <v>8500</v>
      </c>
      <c r="E21" s="20" t="n">
        <v>20500</v>
      </c>
      <c r="F21" s="20" t="n">
        <v>20500</v>
      </c>
      <c r="G21" s="20" t="n">
        <v>16500</v>
      </c>
      <c r="H21" s="19" t="n">
        <v>12339</v>
      </c>
      <c r="I21" s="20" t="n">
        <v>6000</v>
      </c>
      <c r="J21" s="20" t="n">
        <v>8091</v>
      </c>
      <c r="K21" s="20" t="n">
        <v>3011</v>
      </c>
      <c r="L21" s="20" t="n">
        <v>20500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76344</v>
      </c>
      <c r="D23" s="12" t="n">
        <v>81872</v>
      </c>
      <c r="E23" s="12" t="n">
        <v>72922</v>
      </c>
      <c r="F23" s="12" t="n">
        <v>74313</v>
      </c>
      <c r="G23" s="12" t="n">
        <v>65911</v>
      </c>
      <c r="H23" s="11" t="n">
        <v>43752</v>
      </c>
      <c r="I23" s="12" t="n">
        <v>52776</v>
      </c>
      <c r="J23" s="12" t="n">
        <v>50922</v>
      </c>
      <c r="K23" s="12" t="n">
        <v>74898</v>
      </c>
      <c r="L23" s="12" t="n">
        <v>72922</v>
      </c>
    </row>
    <row r="24">
      <c r="A24" s="18" t="inlineStr">
        <is>
          <t>장기차입금</t>
        </is>
      </c>
      <c r="B24" s="10" t="n"/>
      <c r="C24" s="19" t="n">
        <v>51507</v>
      </c>
      <c r="D24" s="20" t="n">
        <v>64028</v>
      </c>
      <c r="E24" s="20" t="n">
        <v>52109</v>
      </c>
      <c r="F24" s="20" t="n">
        <v>53181</v>
      </c>
      <c r="G24" s="20" t="n">
        <v>45367</v>
      </c>
      <c r="H24" s="19" t="n">
        <v>25918</v>
      </c>
      <c r="I24" s="20" t="n">
        <v>39500</v>
      </c>
      <c r="J24" s="20" t="n">
        <v>31526</v>
      </c>
      <c r="K24" s="20" t="n">
        <v>51528</v>
      </c>
      <c r="L24" s="20" t="n">
        <v>52109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>
        <v>0</v>
      </c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151345</v>
      </c>
      <c r="D27" s="12" t="n">
        <v>162867</v>
      </c>
      <c r="E27" s="12" t="n">
        <v>165146</v>
      </c>
      <c r="F27" s="12" t="n">
        <v>169427</v>
      </c>
      <c r="G27" s="12" t="n">
        <v>157530</v>
      </c>
      <c r="H27" s="11" t="n">
        <v>101046</v>
      </c>
      <c r="I27" s="12" t="n">
        <v>81448</v>
      </c>
      <c r="J27" s="12" t="n">
        <v>132990</v>
      </c>
      <c r="K27" s="12" t="n">
        <v>160644</v>
      </c>
      <c r="L27" s="12" t="n">
        <v>165146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131174</v>
      </c>
      <c r="D31" s="12" t="n">
        <v>138108</v>
      </c>
      <c r="E31" s="12" t="n">
        <v>141853</v>
      </c>
      <c r="F31" s="12" t="n">
        <v>144998</v>
      </c>
      <c r="G31" s="12" t="n">
        <v>146820</v>
      </c>
      <c r="H31" s="11" t="n">
        <v>96946</v>
      </c>
      <c r="I31" s="12" t="n">
        <v>66208</v>
      </c>
      <c r="J31" s="12" t="n">
        <v>134742</v>
      </c>
      <c r="K31" s="12" t="n">
        <v>135822</v>
      </c>
      <c r="L31" s="12" t="n">
        <v>141853</v>
      </c>
    </row>
    <row r="32">
      <c r="A32" s="18" t="inlineStr">
        <is>
          <t>자본금</t>
        </is>
      </c>
      <c r="B32" s="10" t="n"/>
      <c r="C32" s="19" t="n">
        <v>10870</v>
      </c>
      <c r="D32" s="20" t="n">
        <v>10870</v>
      </c>
      <c r="E32" s="20" t="n">
        <v>10870</v>
      </c>
      <c r="F32" s="20" t="n">
        <v>10870</v>
      </c>
      <c r="G32" s="20" t="n">
        <v>10870</v>
      </c>
      <c r="H32" s="19" t="n">
        <v>10708</v>
      </c>
      <c r="I32" s="20" t="n">
        <v>10714</v>
      </c>
      <c r="J32" s="20" t="n">
        <v>10838</v>
      </c>
      <c r="K32" s="20" t="n">
        <v>10866</v>
      </c>
      <c r="L32" s="20" t="n">
        <v>10870</v>
      </c>
    </row>
    <row r="33">
      <c r="A33" s="18" t="inlineStr">
        <is>
          <t>이익잉여금</t>
        </is>
      </c>
      <c r="B33" s="10" t="n"/>
      <c r="C33" s="19" t="n">
        <v>97539</v>
      </c>
      <c r="D33" s="20" t="n">
        <v>99812</v>
      </c>
      <c r="E33" s="20" t="n">
        <v>100922</v>
      </c>
      <c r="F33" s="20" t="n">
        <v>103245</v>
      </c>
      <c r="G33" s="20" t="n">
        <v>106776</v>
      </c>
      <c r="H33" s="19" t="n">
        <v>67281</v>
      </c>
      <c r="I33" s="20" t="n">
        <v>44001</v>
      </c>
      <c r="J33" s="20" t="n">
        <v>82720</v>
      </c>
      <c r="K33" s="20" t="n">
        <v>92269</v>
      </c>
      <c r="L33" s="20" t="n">
        <v>100922</v>
      </c>
    </row>
    <row r="34">
      <c r="A34" s="18" t="inlineStr">
        <is>
          <t>비지배지분</t>
        </is>
      </c>
      <c r="B34" s="10" t="n"/>
      <c r="C34" s="19" t="n">
        <v>4195</v>
      </c>
      <c r="D34" s="20" t="n">
        <v>4627</v>
      </c>
      <c r="E34" s="20" t="n">
        <v>4476</v>
      </c>
      <c r="F34" s="20" t="n">
        <v>4208</v>
      </c>
      <c r="G34" s="20" t="n">
        <v>4182</v>
      </c>
      <c r="H34" s="19" t="n">
        <v>3836</v>
      </c>
      <c r="I34" s="20" t="n">
        <v>3888</v>
      </c>
      <c r="J34" s="20" t="n">
        <v>4789</v>
      </c>
      <c r="K34" s="20" t="n">
        <v>4509</v>
      </c>
      <c r="L34" s="20" t="n">
        <v>4476</v>
      </c>
    </row>
    <row r="35">
      <c r="A35" s="9" t="inlineStr">
        <is>
          <t>자본총계</t>
        </is>
      </c>
      <c r="B35" s="10" t="n"/>
      <c r="C35" s="11" t="n">
        <v>135369</v>
      </c>
      <c r="D35" s="12" t="n">
        <v>142735</v>
      </c>
      <c r="E35" s="12" t="n">
        <v>146329</v>
      </c>
      <c r="F35" s="12" t="n">
        <v>149206</v>
      </c>
      <c r="G35" s="12" t="n">
        <v>151002</v>
      </c>
      <c r="H35" s="11" t="n">
        <v>100889</v>
      </c>
      <c r="I35" s="12" t="n">
        <v>70182</v>
      </c>
      <c r="J35" s="12" t="n">
        <v>139558</v>
      </c>
      <c r="K35" s="12" t="n">
        <v>140338</v>
      </c>
      <c r="L35" s="12" t="n">
        <v>146329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/>
      <c r="D37" s="12" t="n"/>
      <c r="E37" s="12" t="n">
        <v>7204</v>
      </c>
      <c r="F37" s="12" t="n"/>
      <c r="G37" s="12" t="n"/>
      <c r="H37" s="11" t="n">
        <v>13544</v>
      </c>
      <c r="I37" s="12" t="n">
        <v>20269</v>
      </c>
      <c r="J37" s="12" t="n">
        <v>38627</v>
      </c>
      <c r="K37" s="12" t="n">
        <v>28222</v>
      </c>
      <c r="L37" s="12" t="n">
        <v>7204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/>
      <c r="E38" s="20" t="n"/>
      <c r="F38" s="20" t="n"/>
      <c r="G38" s="20" t="n"/>
      <c r="H38" s="19" t="n"/>
      <c r="I38" s="20" t="n"/>
      <c r="J38" s="20" t="n"/>
      <c r="K38" s="20" t="n"/>
      <c r="L38" s="20" t="n"/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/>
      <c r="E40" s="20" t="n">
        <v>4422</v>
      </c>
      <c r="F40" s="20" t="n"/>
      <c r="G40" s="20" t="n"/>
      <c r="H40" s="19" t="n">
        <v>1638</v>
      </c>
      <c r="I40" s="20" t="n">
        <v>1826</v>
      </c>
      <c r="J40" s="20" t="n">
        <v>2948</v>
      </c>
      <c r="K40" s="20" t="n">
        <v>3684</v>
      </c>
      <c r="L40" s="20" t="n">
        <v>4422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IFERROR((IF(COUNT('연간'!G34:J34)&lt;4,"",SUM('연간'!G34:J34)))/(IF(COUNT('연간'!G56:J56)&lt;4,"",SUM('연간'!G56:J56))),"")</f>
        <v/>
      </c>
      <c r="D48" s="31">
        <f>IFERROR((IF(COUNT('연간'!H34:K34)&lt;4,"",SUM('연간'!H34:K34)))/(IF(COUNT('연간'!H56:K56)&lt;4,"",SUM('연간'!H56:K56))),"")</f>
        <v/>
      </c>
      <c r="E48" s="31">
        <f>IFERROR((IF(COUNT('연간'!I34:L34)&lt;4,"",SUM('연간'!I34:L34)))/(IF(COUNT('연간'!I56:L56)&lt;4,"",SUM('연간'!I56:L56))),"")</f>
        <v/>
      </c>
      <c r="F48" s="31">
        <f>IFERROR((IF(COUNT('연간'!J34:M34)&lt;4,"",SUM('연간'!J34:M34)))/(IF(COUNT('연간'!J56:M56)&lt;4,"",SUM('연간'!J56:M56))),"")</f>
        <v/>
      </c>
      <c r="G48" s="31">
        <f>IFERROR((IF(COUNT('연간'!K34:N34)&lt;4,"",SUM('연간'!K34:N34)))/(IF(COUNT('연간'!K56:N56)&lt;4,"",SUM('연간'!K56:N56))),"")</f>
        <v/>
      </c>
      <c r="H48" s="30">
        <f>IFERROR(('연간'!T34)/('연간'!T56),"")</f>
        <v/>
      </c>
      <c r="I48" s="31">
        <f>IFERROR(('연간'!U34)/('연간'!U56),"")</f>
        <v/>
      </c>
      <c r="J48" s="31">
        <f>IFERROR(('연간'!V34)/('연간'!V56),"")</f>
        <v/>
      </c>
      <c r="K48" s="31">
        <f>IFERROR(('연간'!W34)/('연간'!W56),"")</f>
        <v/>
      </c>
      <c r="L48" s="31">
        <f>IFERROR(('연간'!X34)/('연간'!X56),"")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IFERROR(IF((IF(COUNT('연간'!G64:J64)&lt;4,"",SUM('연간'!G64:J64)))&lt;=0,"적자",C28/(IF(COUNT('연간'!G64:J64)&lt;4,"",SUM('연간'!G64:J64)))),"")</f>
        <v/>
      </c>
      <c r="D49" s="47">
        <f>IFERROR(IF((IF(COUNT('연간'!H64:K64)&lt;4,"",SUM('연간'!H64:K64)))&lt;=0,"적자",D28/(IF(COUNT('연간'!H64:K64)&lt;4,"",SUM('연간'!H64:K64)))),"")</f>
        <v/>
      </c>
      <c r="E49" s="47">
        <f>IFERROR(IF((IF(COUNT('연간'!I64:L64)&lt;4,"",SUM('연간'!I64:L64)))&lt;=0,"적자",E28/(IF(COUNT('연간'!I64:L64)&lt;4,"",SUM('연간'!I64:L64)))),"")</f>
        <v/>
      </c>
      <c r="F49" s="47">
        <f>IFERROR(IF((IF(COUNT('연간'!J64:M64)&lt;4,"",SUM('연간'!J64:M64)))&lt;=0,"적자",F28/(IF(COUNT('연간'!J64:M64)&lt;4,"",SUM('연간'!J64:M64)))),"")</f>
        <v/>
      </c>
      <c r="G49" s="47">
        <f>IFERROR(IF((IF(COUNT('연간'!K64:N64)&lt;4,"",SUM('연간'!K64:N64)))&lt;=0,"적자",G28/(IF(COUNT('연간'!K64:N64)&lt;4,"",SUM('연간'!K64:N64)))),"")</f>
        <v/>
      </c>
      <c r="H49" s="46">
        <f>IFERROR(IF(('연간'!T64)&lt;=0,"적자",H28/('연간'!T64)),"")</f>
        <v/>
      </c>
      <c r="I49" s="47">
        <f>IFERROR(IF(('연간'!U64)&lt;=0,"적자",I28/('연간'!U64)),"")</f>
        <v/>
      </c>
      <c r="J49" s="47">
        <f>IFERROR(IF(('연간'!V64)&lt;=0,"적자",J28/('연간'!V64)),"")</f>
        <v/>
      </c>
      <c r="K49" s="47">
        <f>IFERROR(IF(('연간'!W64)&lt;=0,"적자",K28/('연간'!W64)),"")</f>
        <v/>
      </c>
      <c r="L49" s="47">
        <f>IFERROR(IF(('연간'!X64)&lt;=0,"적자",L28/('연간'!X64)),"")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IFERROR((IF(COUNT('연간'!G64:J64)&lt;4,"",SUM('연간'!G64:J64)))/C31,"")</f>
        <v/>
      </c>
      <c r="D51" s="36">
        <f>IFERROR((IF(COUNT('연간'!H64:K64)&lt;4,"",SUM('연간'!H64:K64)))/D31,"")</f>
        <v/>
      </c>
      <c r="E51" s="36">
        <f>IFERROR((IF(COUNT('연간'!I64:L64)&lt;4,"",SUM('연간'!I64:L64)))/E31,"")</f>
        <v/>
      </c>
      <c r="F51" s="36">
        <f>IFERROR((IF(COUNT('연간'!J64:M64)&lt;4,"",SUM('연간'!J64:M64)))/F31,"")</f>
        <v/>
      </c>
      <c r="G51" s="36">
        <f>IFERROR((IF(COUNT('연간'!K64:N64)&lt;4,"",SUM('연간'!K64:N64)))/G31,"")</f>
        <v/>
      </c>
      <c r="H51" s="35">
        <f>IFERROR(('연간'!T64)/H31,"")</f>
        <v/>
      </c>
      <c r="I51" s="36">
        <f>IFERROR(('연간'!U64)/I31,"")</f>
        <v/>
      </c>
      <c r="J51" s="36">
        <f>IFERROR(('연간'!V64)/J31,"")</f>
        <v/>
      </c>
      <c r="K51" s="36">
        <f>IFERROR(('연간'!W64)/K31,"")</f>
        <v/>
      </c>
      <c r="L51" s="36">
        <f>IFERROR(('연간'!X64)/L31,"")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IFERROR((IF(COUNT('연간'!G62:J62)&lt;4,"",SUM('연간'!G62:J62)))/C16,"")</f>
        <v/>
      </c>
      <c r="D52" s="36">
        <f>IFERROR((IF(COUNT('연간'!H62:K62)&lt;4,"",SUM('연간'!H62:K62)))/D16,"")</f>
        <v/>
      </c>
      <c r="E52" s="36">
        <f>IFERROR((IF(COUNT('연간'!I62:L62)&lt;4,"",SUM('연간'!I62:L62)))/E16,"")</f>
        <v/>
      </c>
      <c r="F52" s="36">
        <f>IFERROR((IF(COUNT('연간'!J62:M62)&lt;4,"",SUM('연간'!J62:M62)))/F16,"")</f>
        <v/>
      </c>
      <c r="G52" s="36">
        <f>IFERROR((IF(COUNT('연간'!K62:N62)&lt;4,"",SUM('연간'!K62:N62)))/G16,"")</f>
        <v/>
      </c>
      <c r="H52" s="35">
        <f>IFERROR(('연간'!T62)/H16,"")</f>
        <v/>
      </c>
      <c r="I52" s="36">
        <f>IFERROR(('연간'!U62)/I16,"")</f>
        <v/>
      </c>
      <c r="J52" s="36">
        <f>IFERROR(('연간'!V62)/J16,"")</f>
        <v/>
      </c>
      <c r="K52" s="36">
        <f>IFERROR(('연간'!W62)/K16,"")</f>
        <v/>
      </c>
      <c r="L52" s="36">
        <f>IFERROR(('연간'!X62)/L16,"")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IFERROR((IF(COUNT('연간'!G34:J34)&lt;4,"",SUM('연간'!G34:J34)))*(1-0.3)/(C35+C29),"")</f>
        <v/>
      </c>
      <c r="D53" s="36">
        <f>IFERROR((IF(COUNT('연간'!H34:K34)&lt;4,"",SUM('연간'!H34:K34)))*(1-0.3)/(D35+D29),"")</f>
        <v/>
      </c>
      <c r="E53" s="36">
        <f>IFERROR((IF(COUNT('연간'!I34:L34)&lt;4,"",SUM('연간'!I34:L34)))*(1-0.3)/(E35+E29),"")</f>
        <v/>
      </c>
      <c r="F53" s="36">
        <f>IFERROR((IF(COUNT('연간'!J34:M34)&lt;4,"",SUM('연간'!J34:M34)))*(1-0.3)/(F35+F29),"")</f>
        <v/>
      </c>
      <c r="G53" s="36">
        <f>IFERROR((IF(COUNT('연간'!K34:N34)&lt;4,"",SUM('연간'!K34:N34)))*(1-0.3)/(G35+G29),"")</f>
        <v/>
      </c>
      <c r="H53" s="35">
        <f>IFERROR(('연간'!T34)*(1-0.3)/(H35+H29),"")</f>
        <v/>
      </c>
      <c r="I53" s="36">
        <f>IFERROR(('연간'!U34)*(1-0.3)/(I35+I29),"")</f>
        <v/>
      </c>
      <c r="J53" s="36">
        <f>IFERROR(('연간'!V34)*(1-0.3)/(J35+J29),"")</f>
        <v/>
      </c>
      <c r="K53" s="36">
        <f>IFERROR(('연간'!W34)*(1-0.3)/(K35+K29),"")</f>
        <v/>
      </c>
      <c r="L53" s="36">
        <f>IFERROR(('연간'!X34)*(1-0.3)/(L35+L29),"")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IFERROR((IF(COUNT('연간'!G28:J28)&lt;4,"",SUM('연간'!G28:J28)))/(IF(COUNT('연간'!G4:J4)&lt;4,"",SUM('연간'!G4:J4))),"")</f>
        <v/>
      </c>
      <c r="D54" s="36">
        <f>IFERROR((IF(COUNT('연간'!H28:K28)&lt;4,"",SUM('연간'!H28:K28)))/(IF(COUNT('연간'!H4:K4)&lt;4,"",SUM('연간'!H4:K4))),"")</f>
        <v/>
      </c>
      <c r="E54" s="36">
        <f>IFERROR((IF(COUNT('연간'!I28:L28)&lt;4,"",SUM('연간'!I28:L28)))/(IF(COUNT('연간'!I4:L4)&lt;4,"",SUM('연간'!I4:L4))),"")</f>
        <v/>
      </c>
      <c r="F54" s="36">
        <f>IFERROR((IF(COUNT('연간'!J28:M28)&lt;4,"",SUM('연간'!J28:M28)))/(IF(COUNT('연간'!J4:M4)&lt;4,"",SUM('연간'!J4:M4))),"")</f>
        <v/>
      </c>
      <c r="G54" s="36">
        <f>IFERROR((IF(COUNT('연간'!K28:N28)&lt;4,"",SUM('연간'!K28:N28)))/(IF(COUNT('연간'!K4:N4)&lt;4,"",SUM('연간'!K4:N4))),"")</f>
        <v/>
      </c>
      <c r="H54" s="35">
        <f>IFERROR(('연간'!T28)/('연간'!T4),"")</f>
        <v/>
      </c>
      <c r="I54" s="36">
        <f>IFERROR(('연간'!U28)/('연간'!U4),"")</f>
        <v/>
      </c>
      <c r="J54" s="36">
        <f>IFERROR(('연간'!V28)/('연간'!V4),"")</f>
        <v/>
      </c>
      <c r="K54" s="36">
        <f>IFERROR(('연간'!W28)/('연간'!W4),"")</f>
        <v/>
      </c>
      <c r="L54" s="36">
        <f>IFERROR(('연간'!X28)/('연간'!X4),"")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IFERROR((IF(COUNT('연간'!G34:J34)&lt;4,"",SUM('연간'!G34:J34)))/(IF(COUNT('연간'!G4:J4)&lt;4,"",SUM('연간'!G4:J4))),"")</f>
        <v/>
      </c>
      <c r="D55" s="36">
        <f>IFERROR((IF(COUNT('연간'!H34:K34)&lt;4,"",SUM('연간'!H34:K34)))/(IF(COUNT('연간'!H4:K4)&lt;4,"",SUM('연간'!H4:K4))),"")</f>
        <v/>
      </c>
      <c r="E55" s="36">
        <f>IFERROR((IF(COUNT('연간'!I34:L34)&lt;4,"",SUM('연간'!I34:L34)))/(IF(COUNT('연간'!I4:L4)&lt;4,"",SUM('연간'!I4:L4))),"")</f>
        <v/>
      </c>
      <c r="F55" s="36">
        <f>IFERROR((IF(COUNT('연간'!J34:M34)&lt;4,"",SUM('연간'!J34:M34)))/(IF(COUNT('연간'!J4:M4)&lt;4,"",SUM('연간'!J4:M4))),"")</f>
        <v/>
      </c>
      <c r="G55" s="36">
        <f>IFERROR((IF(COUNT('연간'!K34:N34)&lt;4,"",SUM('연간'!K34:N34)))/(IF(COUNT('연간'!K4:N4)&lt;4,"",SUM('연간'!K4:N4))),"")</f>
        <v/>
      </c>
      <c r="H55" s="35">
        <f>IFERROR(('연간'!T34)/('연간'!T4),"")</f>
        <v/>
      </c>
      <c r="I55" s="36">
        <f>IFERROR(('연간'!U34)/('연간'!U4),"")</f>
        <v/>
      </c>
      <c r="J55" s="36">
        <f>IFERROR(('연간'!V34)/('연간'!V4),"")</f>
        <v/>
      </c>
      <c r="K55" s="36">
        <f>IFERROR(('연간'!W34)/('연간'!W4),"")</f>
        <v/>
      </c>
      <c r="L55" s="36">
        <f>IFERROR(('연간'!X34)/('연간'!X4),"")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IFERROR((IF(COUNT('연간'!G62:J62)&lt;4,"",SUM('연간'!G62:J62)))/(IF(COUNT('연간'!G4:J4)&lt;4,"",SUM('연간'!G4:J4))),"")</f>
        <v/>
      </c>
      <c r="D56" s="36">
        <f>IFERROR((IF(COUNT('연간'!H62:K62)&lt;4,"",SUM('연간'!H62:K62)))/(IF(COUNT('연간'!H4:K4)&lt;4,"",SUM('연간'!H4:K4))),"")</f>
        <v/>
      </c>
      <c r="E56" s="36">
        <f>IFERROR((IF(COUNT('연간'!I62:L62)&lt;4,"",SUM('연간'!I62:L62)))/(IF(COUNT('연간'!I4:L4)&lt;4,"",SUM('연간'!I4:L4))),"")</f>
        <v/>
      </c>
      <c r="F56" s="36">
        <f>IFERROR((IF(COUNT('연간'!J62:M62)&lt;4,"",SUM('연간'!J62:M62)))/(IF(COUNT('연간'!J4:M4)&lt;4,"",SUM('연간'!J4:M4))),"")</f>
        <v/>
      </c>
      <c r="G56" s="36">
        <f>IFERROR((IF(COUNT('연간'!K62:N62)&lt;4,"",SUM('연간'!K62:N62)))/(IF(COUNT('연간'!K4:N4)&lt;4,"",SUM('연간'!K4:N4))),"")</f>
        <v/>
      </c>
      <c r="H56" s="35">
        <f>IFERROR(('연간'!T62)/('연간'!T4),"")</f>
        <v/>
      </c>
      <c r="I56" s="36">
        <f>IFERROR(('연간'!U62)/('연간'!U4),"")</f>
        <v/>
      </c>
      <c r="J56" s="36">
        <f>IFERROR(('연간'!V62)/('연간'!V4),"")</f>
        <v/>
      </c>
      <c r="K56" s="36">
        <f>IFERROR(('연간'!W62)/('연간'!W4),"")</f>
        <v/>
      </c>
      <c r="L56" s="36">
        <f>IFERROR(('연간'!X62)/('연간'!X4),"")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IFERROR(C9/(IF(COUNT('연간'!G26:J26)&lt;4,"",SUM('연간'!G26:J26)))*365,"")</f>
        <v/>
      </c>
      <c r="D60" s="49">
        <f>IFERROR(D9/(IF(COUNT('연간'!H26:K26)&lt;4,"",SUM('연간'!H26:K26)))*365,"")</f>
        <v/>
      </c>
      <c r="E60" s="49">
        <f>IFERROR(E9/(IF(COUNT('연간'!I26:L26)&lt;4,"",SUM('연간'!I26:L26)))*365,"")</f>
        <v/>
      </c>
      <c r="F60" s="49">
        <f>IFERROR(F9/(IF(COUNT('연간'!J26:M26)&lt;4,"",SUM('연간'!J26:M26)))*365,"")</f>
        <v/>
      </c>
      <c r="G60" s="49">
        <f>IFERROR(G9/(IF(COUNT('연간'!K26:N26)&lt;4,"",SUM('연간'!K26:N26)))*365,"")</f>
        <v/>
      </c>
      <c r="H60" s="48">
        <f>IFERROR(H9/('연간'!T26)*365,"")</f>
        <v/>
      </c>
      <c r="I60" s="49">
        <f>IFERROR(I9/('연간'!U26)*365,"")</f>
        <v/>
      </c>
      <c r="J60" s="49">
        <f>IFERROR(J9/('연간'!V26)*365,"")</f>
        <v/>
      </c>
      <c r="K60" s="49">
        <f>IFERROR(K9/('연간'!W26)*365,"")</f>
        <v/>
      </c>
      <c r="L60" s="49">
        <f>IFERROR(L9/('연간'!X26)*365,"")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IFERROR(C19/(IF(COUNT('연간'!G26:J26)&lt;4,"",SUM('연간'!G26:J26)))*365,"")</f>
        <v/>
      </c>
      <c r="D61" s="49">
        <f>IFERROR(D19/(IF(COUNT('연간'!H26:K26)&lt;4,"",SUM('연간'!H26:K26)))*365,"")</f>
        <v/>
      </c>
      <c r="E61" s="49">
        <f>IFERROR(E19/(IF(COUNT('연간'!I26:L26)&lt;4,"",SUM('연간'!I26:L26)))*365,"")</f>
        <v/>
      </c>
      <c r="F61" s="49">
        <f>IFERROR(F19/(IF(COUNT('연간'!J26:M26)&lt;4,"",SUM('연간'!J26:M26)))*365,"")</f>
        <v/>
      </c>
      <c r="G61" s="49">
        <f>IFERROR(G19/(IF(COUNT('연간'!K26:N26)&lt;4,"",SUM('연간'!K26:N26)))*365,"")</f>
        <v/>
      </c>
      <c r="H61" s="48">
        <f>IFERROR(H19/('연간'!T26)*365,"")</f>
        <v/>
      </c>
      <c r="I61" s="49">
        <f>IFERROR(I19/('연간'!U26)*365,"")</f>
        <v/>
      </c>
      <c r="J61" s="49">
        <f>IFERROR(J19/('연간'!V26)*365,"")</f>
        <v/>
      </c>
      <c r="K61" s="49">
        <f>IFERROR(K19/('연간'!W26)*365,"")</f>
        <v/>
      </c>
      <c r="L61" s="49">
        <f>IFERROR(L19/('연간'!X26)*365,"")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IF(C37="","",IFERROR(C37/(IF(COUNT('연간'!G62:J62)&lt;4,"",SUM('연간'!G62:J62))),""))</f>
        <v/>
      </c>
      <c r="D64" s="31">
        <f>IF(D37="","",IFERROR(D37/(IF(COUNT('연간'!H62:K62)&lt;4,"",SUM('연간'!H62:K62))),""))</f>
        <v/>
      </c>
      <c r="E64" s="31">
        <f>IF(E37="","",IFERROR(E37/(IF(COUNT('연간'!I62:L62)&lt;4,"",SUM('연간'!I62:L62))),""))</f>
        <v/>
      </c>
      <c r="F64" s="31">
        <f>IF(F37="","",IFERROR(F37/(IF(COUNT('연간'!J62:M62)&lt;4,"",SUM('연간'!J62:M62))),""))</f>
        <v/>
      </c>
      <c r="G64" s="31">
        <f>IF(G37="","",IFERROR(G37/(IF(COUNT('연간'!K62:N62)&lt;4,"",SUM('연간'!K62:N62))),""))</f>
        <v/>
      </c>
      <c r="H64" s="30">
        <f>IF(H37="","",IFERROR(H37/('연간'!T62),""))</f>
        <v/>
      </c>
      <c r="I64" s="31">
        <f>IF(I37="","",IFERROR(I37/('연간'!U62),""))</f>
        <v/>
      </c>
      <c r="J64" s="31">
        <f>IF(J37="","",IFERROR(J37/('연간'!V62),""))</f>
        <v/>
      </c>
      <c r="K64" s="31">
        <f>IF(K37="","",IFERROR(K37/('연간'!W62),""))</f>
        <v/>
      </c>
      <c r="L64" s="31">
        <f>IF(L37="","",IFERROR(L37/('연간'!X62),""))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IF(C40="","",IFERROR(C40/(IF(COUNT('연간'!G64:J64)&lt;4,"",SUM('연간'!G64:J64))),""))</f>
        <v/>
      </c>
      <c r="D67" s="36">
        <f>IF(D40="","",IFERROR(D40/(IF(COUNT('연간'!H64:K64)&lt;4,"",SUM('연간'!H64:K64))),""))</f>
        <v/>
      </c>
      <c r="E67" s="36">
        <f>IF(E40="","",IFERROR(E40/(IF(COUNT('연간'!I64:L64)&lt;4,"",SUM('연간'!I64:L64))),""))</f>
        <v/>
      </c>
      <c r="F67" s="36">
        <f>IF(F40="","",IFERROR(F40/(IF(COUNT('연간'!J64:M64)&lt;4,"",SUM('연간'!J64:M64))),""))</f>
        <v/>
      </c>
      <c r="G67" s="36">
        <f>IF(G40="","",IFERROR(G40/(IF(COUNT('연간'!K64:N64)&lt;4,"",SUM('연간'!K64:N64))),""))</f>
        <v/>
      </c>
      <c r="H67" s="35">
        <f>IF(H40="","",IFERROR(H40/('연간'!T64),""))</f>
        <v/>
      </c>
      <c r="I67" s="36">
        <f>IF(I40="","",IFERROR(I40/('연간'!U64),""))</f>
        <v/>
      </c>
      <c r="J67" s="36">
        <f>IF(J40="","",IFERROR(J40/('연간'!V64),""))</f>
        <v/>
      </c>
      <c r="K67" s="36">
        <f>IF(K40="","",IFERROR(K40/('연간'!W64),""))</f>
        <v/>
      </c>
      <c r="L67" s="36">
        <f>IF(L40="","",IFERROR(L40/('연간'!X64),""))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2026.2Q</t>
        </is>
      </c>
      <c r="D70" s="5" t="inlineStr">
        <is>
          <t>2026.3Q</t>
        </is>
      </c>
      <c r="E70" s="5" t="inlineStr">
        <is>
          <t>2026.4Q</t>
        </is>
      </c>
      <c r="F70" s="5" t="inlineStr">
        <is>
          <t>2027.1Q</t>
        </is>
      </c>
      <c r="G70" s="5" t="inlineStr">
        <is>
          <t>2027.2Q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67245</v>
      </c>
      <c r="D71" s="20" t="n">
        <v>86602</v>
      </c>
      <c r="E71" s="20" t="n">
        <v>87663</v>
      </c>
      <c r="F71" s="20" t="n">
        <v>78974</v>
      </c>
      <c r="G71" s="20" t="n">
        <v>63487</v>
      </c>
      <c r="H71" s="20" t="n">
        <v>45602</v>
      </c>
      <c r="I71" s="20" t="n">
        <v>17991</v>
      </c>
      <c r="J71" s="20" t="n">
        <v>65554</v>
      </c>
      <c r="K71" s="20" t="n">
        <v>85776</v>
      </c>
      <c r="L71" s="20" t="n">
        <v>87663</v>
      </c>
    </row>
    <row r="72">
      <c r="A72" s="18" t="inlineStr">
        <is>
          <t>받을어음·매출채권</t>
        </is>
      </c>
      <c r="C72" s="20" t="n">
        <v>39694</v>
      </c>
      <c r="D72" s="20" t="n">
        <v>37253</v>
      </c>
      <c r="E72" s="20" t="n">
        <v>40407</v>
      </c>
      <c r="F72" s="20" t="n">
        <v>44230</v>
      </c>
      <c r="G72" s="20" t="n">
        <v>44660</v>
      </c>
      <c r="H72" s="20" t="n">
        <v>26201</v>
      </c>
      <c r="I72" s="20" t="n">
        <v>30664</v>
      </c>
      <c r="J72" s="20" t="n">
        <v>39279</v>
      </c>
      <c r="K72" s="20" t="n">
        <v>37563</v>
      </c>
      <c r="L72" s="20" t="n">
        <v>40407</v>
      </c>
    </row>
    <row r="73">
      <c r="A73" s="18" t="inlineStr">
        <is>
          <t>전자기록채권</t>
        </is>
      </c>
      <c r="C73" s="20" t="n">
        <v>3890</v>
      </c>
      <c r="D73" s="20" t="n">
        <v>4840</v>
      </c>
      <c r="E73" s="20" t="n">
        <v>4508</v>
      </c>
      <c r="F73" s="20" t="n">
        <v>4070</v>
      </c>
      <c r="G73" s="20" t="n">
        <v>4268</v>
      </c>
      <c r="H73" s="20" t="n">
        <v>4031</v>
      </c>
      <c r="I73" s="20" t="n">
        <v>3686</v>
      </c>
      <c r="J73" s="20" t="n">
        <v>3752</v>
      </c>
      <c r="K73" s="20" t="n">
        <v>3900</v>
      </c>
      <c r="L73" s="20" t="n">
        <v>4508</v>
      </c>
    </row>
    <row r="74">
      <c r="A74" s="18" t="inlineStr">
        <is>
          <t>유가증권</t>
        </is>
      </c>
      <c r="C74" s="20" t="n">
        <v>1000</v>
      </c>
      <c r="D74" s="20" t="n">
        <v>1500</v>
      </c>
      <c r="H74" s="20" t="n">
        <v>4484</v>
      </c>
      <c r="I74" s="20" t="n">
        <v>2484</v>
      </c>
      <c r="J74" s="20" t="n">
        <v>1482</v>
      </c>
      <c r="K74" s="20" t="n">
        <v>0</v>
      </c>
    </row>
    <row r="75">
      <c r="A75" s="18" t="inlineStr">
        <is>
          <t>매출채권</t>
        </is>
      </c>
      <c r="E75" s="20" t="n">
        <v>22956</v>
      </c>
      <c r="H75" s="20" t="n">
        <v>14128</v>
      </c>
      <c r="I75" s="20" t="n">
        <v>15987</v>
      </c>
      <c r="J75" s="20" t="n">
        <v>17345</v>
      </c>
      <c r="K75" s="20" t="n">
        <v>21356</v>
      </c>
      <c r="L75" s="20" t="n">
        <v>22956</v>
      </c>
    </row>
    <row r="76">
      <c r="A76" s="18" t="inlineStr">
        <is>
          <t>제품</t>
        </is>
      </c>
      <c r="E76" s="20" t="n">
        <v>3097</v>
      </c>
      <c r="H76" s="20" t="n">
        <v>1919</v>
      </c>
      <c r="I76" s="20" t="n">
        <v>1517</v>
      </c>
      <c r="J76" s="20" t="n">
        <v>1734</v>
      </c>
      <c r="K76" s="20" t="n">
        <v>2317</v>
      </c>
      <c r="L76" s="20" t="n">
        <v>3097</v>
      </c>
    </row>
    <row r="77">
      <c r="A77" s="18" t="inlineStr">
        <is>
          <t>상품·제품</t>
        </is>
      </c>
      <c r="C77" s="20" t="n">
        <v>9031</v>
      </c>
      <c r="D77" s="20" t="n">
        <v>9751</v>
      </c>
      <c r="E77" s="20" t="n">
        <v>9795</v>
      </c>
      <c r="F77" s="20" t="n">
        <v>11266</v>
      </c>
      <c r="G77" s="20" t="n">
        <v>11677</v>
      </c>
      <c r="H77" s="20" t="n">
        <v>7762</v>
      </c>
      <c r="I77" s="20" t="n">
        <v>7820</v>
      </c>
      <c r="J77" s="20" t="n">
        <v>8287</v>
      </c>
      <c r="K77" s="20" t="n">
        <v>9756</v>
      </c>
      <c r="L77" s="20" t="n">
        <v>9795</v>
      </c>
    </row>
    <row r="78">
      <c r="A78" s="18" t="inlineStr">
        <is>
          <t>재공품</t>
        </is>
      </c>
      <c r="C78" s="20" t="n">
        <v>9656</v>
      </c>
      <c r="D78" s="20" t="n">
        <v>9120</v>
      </c>
      <c r="E78" s="20" t="n">
        <v>9243</v>
      </c>
      <c r="F78" s="20" t="n">
        <v>10762</v>
      </c>
      <c r="G78" s="20" t="n">
        <v>11039</v>
      </c>
      <c r="H78" s="20" t="n">
        <v>4126</v>
      </c>
      <c r="I78" s="20" t="n">
        <v>3627</v>
      </c>
      <c r="J78" s="20" t="n">
        <v>6320</v>
      </c>
      <c r="K78" s="20" t="n">
        <v>8674</v>
      </c>
      <c r="L78" s="20" t="n">
        <v>9243</v>
      </c>
    </row>
    <row r="79">
      <c r="A79" s="18" t="inlineStr">
        <is>
          <t>원재료·저장품</t>
        </is>
      </c>
      <c r="C79" s="20" t="n">
        <v>20811</v>
      </c>
      <c r="D79" s="20" t="n">
        <v>23132</v>
      </c>
      <c r="E79" s="20" t="n">
        <v>23483</v>
      </c>
      <c r="F79" s="20" t="n">
        <v>25978</v>
      </c>
      <c r="G79" s="20" t="n">
        <v>26084</v>
      </c>
      <c r="H79" s="20" t="n">
        <v>15616</v>
      </c>
      <c r="I79" s="20" t="n">
        <v>295</v>
      </c>
      <c r="J79" s="20" t="n">
        <v>18959</v>
      </c>
      <c r="K79" s="20" t="n">
        <v>20774</v>
      </c>
      <c r="L79" s="20" t="n">
        <v>23483</v>
      </c>
    </row>
    <row r="80">
      <c r="A80" s="18" t="inlineStr">
        <is>
          <t>선급금</t>
        </is>
      </c>
      <c r="E80" s="20" t="n">
        <v>4107</v>
      </c>
      <c r="H80" s="20" t="n">
        <v>2665</v>
      </c>
      <c r="I80" s="20" t="n">
        <v>2677</v>
      </c>
      <c r="J80" s="20" t="n">
        <v>2759</v>
      </c>
      <c r="K80" s="20" t="n">
        <v>3101</v>
      </c>
      <c r="L80" s="20" t="n">
        <v>4107</v>
      </c>
    </row>
    <row r="81">
      <c r="A81" s="18" t="inlineStr">
        <is>
          <t>선급비용</t>
        </is>
      </c>
      <c r="E81" s="20" t="n">
        <v>56</v>
      </c>
      <c r="H81" s="20" t="n">
        <v>54</v>
      </c>
      <c r="I81" s="20" t="n">
        <v>70</v>
      </c>
      <c r="J81" s="20" t="n">
        <v>72</v>
      </c>
      <c r="K81" s="20" t="n">
        <v>42</v>
      </c>
      <c r="L81" s="20" t="n">
        <v>56</v>
      </c>
    </row>
    <row r="82">
      <c r="A82" s="18" t="inlineStr">
        <is>
          <t>미수금</t>
        </is>
      </c>
      <c r="E82" s="20" t="n">
        <v>8573</v>
      </c>
      <c r="J82" s="20" t="n">
        <v>3749</v>
      </c>
      <c r="K82" s="20" t="n">
        <v>11112</v>
      </c>
      <c r="L82" s="20" t="n">
        <v>8573</v>
      </c>
    </row>
    <row r="83">
      <c r="A83" s="18" t="inlineStr">
        <is>
          <t>기타</t>
        </is>
      </c>
      <c r="C83" s="20" t="n">
        <v>9158</v>
      </c>
      <c r="D83" s="20" t="n">
        <v>12159</v>
      </c>
      <c r="E83" s="20" t="n">
        <v>11181</v>
      </c>
      <c r="F83" s="20" t="n">
        <v>9861</v>
      </c>
      <c r="G83" s="20" t="n">
        <v>12142</v>
      </c>
      <c r="H83" s="20" t="n">
        <v>4380</v>
      </c>
      <c r="I83" s="20" t="n">
        <v>5262</v>
      </c>
      <c r="J83" s="20" t="n">
        <v>6084</v>
      </c>
      <c r="K83" s="20" t="n">
        <v>8457</v>
      </c>
      <c r="L83" s="20" t="n">
        <v>11181</v>
      </c>
    </row>
    <row r="84">
      <c r="A84" s="18" t="inlineStr">
        <is>
          <t>대손충당금</t>
        </is>
      </c>
      <c r="C84" s="20" t="n">
        <v>-40</v>
      </c>
      <c r="D84" s="20" t="n">
        <v>-43</v>
      </c>
      <c r="E84" s="20" t="n">
        <v>-49</v>
      </c>
      <c r="F84" s="20" t="n">
        <v>-34</v>
      </c>
      <c r="G84" s="20" t="n">
        <v>-32</v>
      </c>
      <c r="H84" s="20" t="n">
        <v>-33</v>
      </c>
      <c r="I84" s="20" t="n">
        <v>-33</v>
      </c>
      <c r="J84" s="20" t="n">
        <v>-82</v>
      </c>
      <c r="K84" s="20" t="n">
        <v>-38</v>
      </c>
      <c r="L84" s="20" t="n">
        <v>-49</v>
      </c>
    </row>
    <row r="85">
      <c r="A85" s="9" t="inlineStr">
        <is>
          <t>유동자산 합계</t>
        </is>
      </c>
      <c r="C85" s="12" t="n">
        <v>160447</v>
      </c>
      <c r="D85" s="12" t="n">
        <v>184316</v>
      </c>
      <c r="E85" s="12" t="n">
        <v>186234</v>
      </c>
      <c r="F85" s="12" t="n">
        <v>185110</v>
      </c>
      <c r="G85" s="12" t="n">
        <v>173327</v>
      </c>
      <c r="H85" s="12" t="n">
        <v>112172</v>
      </c>
      <c r="I85" s="12" t="n">
        <v>53601</v>
      </c>
      <c r="J85" s="12" t="n">
        <v>149636</v>
      </c>
      <c r="K85" s="12" t="n">
        <v>174864</v>
      </c>
      <c r="L85" s="12" t="n">
        <v>186234</v>
      </c>
    </row>
    <row r="86">
      <c r="A86" s="18" t="inlineStr">
        <is>
          <t>건물</t>
        </is>
      </c>
      <c r="E86" s="20" t="n">
        <v>18973</v>
      </c>
      <c r="H86" s="20" t="n">
        <v>8338</v>
      </c>
      <c r="I86" s="20" t="n">
        <v>8364</v>
      </c>
      <c r="J86" s="20" t="n">
        <v>8156</v>
      </c>
      <c r="K86" s="20" t="n">
        <v>10214</v>
      </c>
      <c r="L86" s="20" t="n">
        <v>18973</v>
      </c>
    </row>
    <row r="87">
      <c r="A87" s="18" t="inlineStr">
        <is>
          <t>구축물</t>
        </is>
      </c>
      <c r="E87" s="20" t="n">
        <v>1865</v>
      </c>
      <c r="H87" s="20" t="n">
        <v>794</v>
      </c>
      <c r="I87" s="20" t="n">
        <v>749</v>
      </c>
      <c r="J87" s="20" t="n">
        <v>900</v>
      </c>
      <c r="K87" s="20" t="n">
        <v>1139</v>
      </c>
      <c r="L87" s="20" t="n">
        <v>1865</v>
      </c>
    </row>
    <row r="88">
      <c r="A88" s="18" t="inlineStr">
        <is>
          <t>기계장치</t>
        </is>
      </c>
      <c r="E88" s="20" t="n">
        <v>11904</v>
      </c>
      <c r="H88" s="20" t="n">
        <v>6912</v>
      </c>
      <c r="I88" s="20" t="n">
        <v>14619</v>
      </c>
      <c r="J88" s="20" t="n">
        <v>14006</v>
      </c>
      <c r="K88" s="20" t="n">
        <v>12595</v>
      </c>
      <c r="L88" s="20" t="n">
        <v>11904</v>
      </c>
    </row>
    <row r="89">
      <c r="A89" s="18" t="inlineStr">
        <is>
          <t>Car And Industrial Vehicle Net</t>
        </is>
      </c>
      <c r="E89" s="20" t="n">
        <v>101</v>
      </c>
      <c r="H89" s="20" t="n">
        <v>38</v>
      </c>
      <c r="I89" s="20" t="n">
        <v>52</v>
      </c>
      <c r="J89" s="20" t="n">
        <v>31</v>
      </c>
      <c r="K89" s="20" t="n">
        <v>65</v>
      </c>
      <c r="L89" s="20" t="n">
        <v>101</v>
      </c>
    </row>
    <row r="90">
      <c r="A90" s="18" t="inlineStr">
        <is>
          <t>공구·기구·비품</t>
        </is>
      </c>
      <c r="E90" s="20" t="n">
        <v>1282</v>
      </c>
      <c r="H90" s="20" t="n">
        <v>829</v>
      </c>
      <c r="I90" s="20" t="n">
        <v>1535</v>
      </c>
      <c r="J90" s="20" t="n">
        <v>955</v>
      </c>
      <c r="K90" s="20" t="n">
        <v>947</v>
      </c>
      <c r="L90" s="20" t="n">
        <v>1282</v>
      </c>
    </row>
    <row r="91">
      <c r="A91" s="18" t="inlineStr">
        <is>
          <t>건물·구축물</t>
        </is>
      </c>
      <c r="E91" s="20" t="n">
        <v>77845</v>
      </c>
      <c r="H91" s="20" t="n">
        <v>56014</v>
      </c>
      <c r="I91" s="20" t="n">
        <v>59921</v>
      </c>
      <c r="J91" s="20" t="n">
        <v>63157</v>
      </c>
      <c r="K91" s="20" t="n">
        <v>66037</v>
      </c>
      <c r="L91" s="20" t="n">
        <v>77845</v>
      </c>
    </row>
    <row r="92">
      <c r="A92" s="18" t="inlineStr">
        <is>
          <t>감가상각누계액</t>
        </is>
      </c>
      <c r="E92" s="20" t="n">
        <v>-44824</v>
      </c>
      <c r="H92" s="20" t="n">
        <v>-36136</v>
      </c>
      <c r="I92" s="20" t="n">
        <v>-39281</v>
      </c>
      <c r="J92" s="20" t="n">
        <v>-41735</v>
      </c>
      <c r="K92" s="20" t="n">
        <v>-42605</v>
      </c>
      <c r="L92" s="20" t="n">
        <v>-44824</v>
      </c>
    </row>
    <row r="93">
      <c r="A93" s="18" t="inlineStr">
        <is>
          <t>건물·구축물(순액)</t>
        </is>
      </c>
      <c r="C93" s="20" t="n">
        <v>31957</v>
      </c>
      <c r="D93" s="20" t="n">
        <v>33837</v>
      </c>
      <c r="E93" s="20" t="n">
        <v>33021</v>
      </c>
      <c r="F93" s="20" t="n">
        <v>34880</v>
      </c>
      <c r="G93" s="20" t="n">
        <v>34341</v>
      </c>
      <c r="H93" s="20" t="n">
        <v>19877</v>
      </c>
      <c r="I93" s="20" t="n">
        <v>20639</v>
      </c>
      <c r="J93" s="20" t="n">
        <v>21422</v>
      </c>
      <c r="K93" s="20" t="n">
        <v>23431</v>
      </c>
      <c r="L93" s="20" t="n">
        <v>33021</v>
      </c>
    </row>
    <row r="94">
      <c r="A94" s="18" t="inlineStr">
        <is>
          <t>기계장치·운반구</t>
        </is>
      </c>
      <c r="E94" s="20" t="n">
        <v>190870</v>
      </c>
      <c r="H94" s="20" t="n">
        <v>151800</v>
      </c>
      <c r="I94" s="20" t="n">
        <v>179585</v>
      </c>
      <c r="J94" s="20" t="n">
        <v>191185</v>
      </c>
      <c r="K94" s="20" t="n">
        <v>183139</v>
      </c>
      <c r="L94" s="20" t="n">
        <v>190870</v>
      </c>
    </row>
    <row r="95">
      <c r="A95" s="18" t="inlineStr">
        <is>
          <t>감가상각누계액</t>
        </is>
      </c>
      <c r="E95" s="20" t="n">
        <v>-156993</v>
      </c>
      <c r="H95" s="20" t="n">
        <v>-121179</v>
      </c>
      <c r="I95" s="20" t="n">
        <v>-137248</v>
      </c>
      <c r="J95" s="20" t="n">
        <v>-149505</v>
      </c>
      <c r="K95" s="20" t="n">
        <v>-148007</v>
      </c>
      <c r="L95" s="20" t="n">
        <v>-156993</v>
      </c>
    </row>
    <row r="96">
      <c r="A96" s="18" t="inlineStr">
        <is>
          <t>기계장치·운반구(순액)</t>
        </is>
      </c>
      <c r="C96" s="20" t="n">
        <v>33741</v>
      </c>
      <c r="D96" s="20" t="n">
        <v>33727</v>
      </c>
      <c r="E96" s="20" t="n">
        <v>33876</v>
      </c>
      <c r="F96" s="20" t="n">
        <v>35699</v>
      </c>
      <c r="G96" s="20" t="n">
        <v>34746</v>
      </c>
      <c r="H96" s="20" t="n">
        <v>30620</v>
      </c>
      <c r="I96" s="20" t="n">
        <v>42337</v>
      </c>
      <c r="J96" s="20" t="n">
        <v>41680</v>
      </c>
      <c r="K96" s="20" t="n">
        <v>35132</v>
      </c>
      <c r="L96" s="20" t="n">
        <v>33876</v>
      </c>
    </row>
    <row r="97">
      <c r="A97" s="18" t="inlineStr">
        <is>
          <t>토지</t>
        </is>
      </c>
      <c r="C97" s="20" t="n">
        <v>8297</v>
      </c>
      <c r="D97" s="20" t="n">
        <v>8323</v>
      </c>
      <c r="E97" s="20" t="n">
        <v>8794</v>
      </c>
      <c r="F97" s="20" t="n">
        <v>9985</v>
      </c>
      <c r="G97" s="20" t="n">
        <v>10610</v>
      </c>
      <c r="H97" s="20" t="n">
        <v>7065</v>
      </c>
      <c r="I97" s="20" t="n">
        <v>5787</v>
      </c>
      <c r="J97" s="20" t="n">
        <v>8617</v>
      </c>
      <c r="K97" s="20" t="n">
        <v>8375</v>
      </c>
      <c r="L97" s="20" t="n">
        <v>8794</v>
      </c>
    </row>
    <row r="98">
      <c r="A98" s="18" t="inlineStr">
        <is>
          <t>리스자산</t>
        </is>
      </c>
      <c r="E98" s="20" t="n">
        <v>154</v>
      </c>
      <c r="H98" s="20" t="n">
        <v>114</v>
      </c>
      <c r="I98" s="20" t="n">
        <v>90</v>
      </c>
      <c r="J98" s="20" t="n">
        <v>104</v>
      </c>
      <c r="K98" s="20" t="n">
        <v>126</v>
      </c>
      <c r="L98" s="20" t="n">
        <v>154</v>
      </c>
    </row>
    <row r="99">
      <c r="A99" s="18" t="inlineStr">
        <is>
          <t>건설중인자산</t>
        </is>
      </c>
      <c r="C99" s="20" t="n">
        <v>7989</v>
      </c>
      <c r="D99" s="20" t="n">
        <v>8450</v>
      </c>
      <c r="E99" s="20" t="n">
        <v>8815</v>
      </c>
      <c r="F99" s="20" t="n">
        <v>10385</v>
      </c>
      <c r="G99" s="20" t="n">
        <v>13153</v>
      </c>
      <c r="H99" s="20" t="n">
        <v>3208</v>
      </c>
      <c r="I99" s="20" t="n">
        <v>997</v>
      </c>
      <c r="J99" s="20" t="n">
        <v>6331</v>
      </c>
      <c r="K99" s="20" t="n">
        <v>13802</v>
      </c>
      <c r="L99" s="20" t="n">
        <v>8815</v>
      </c>
    </row>
    <row r="100">
      <c r="A100" s="18" t="inlineStr">
        <is>
          <t>기타</t>
        </is>
      </c>
      <c r="E100" s="20" t="n">
        <v>47392</v>
      </c>
      <c r="H100" s="20" t="n">
        <v>32295</v>
      </c>
      <c r="I100" s="20" t="n">
        <v>40538</v>
      </c>
      <c r="J100" s="20" t="n">
        <v>41270</v>
      </c>
      <c r="K100" s="20" t="n">
        <v>43470</v>
      </c>
      <c r="L100" s="20" t="n">
        <v>47392</v>
      </c>
    </row>
    <row r="101">
      <c r="A101" s="18" t="inlineStr">
        <is>
          <t>감가상각누계액</t>
        </is>
      </c>
      <c r="E101" s="20" t="n">
        <v>-40547</v>
      </c>
      <c r="H101" s="20" t="n">
        <v>-28087</v>
      </c>
      <c r="I101" s="20" t="n">
        <v>-34416</v>
      </c>
      <c r="J101" s="20" t="n">
        <v>-35722</v>
      </c>
      <c r="K101" s="20" t="n">
        <v>-38090</v>
      </c>
      <c r="L101" s="20" t="n">
        <v>-40547</v>
      </c>
    </row>
    <row r="102">
      <c r="A102" s="18" t="inlineStr">
        <is>
          <t>기타(순액)</t>
        </is>
      </c>
      <c r="C102" s="20" t="n">
        <v>6053</v>
      </c>
      <c r="D102" s="20" t="n">
        <v>6240</v>
      </c>
      <c r="E102" s="20" t="n">
        <v>6845</v>
      </c>
      <c r="F102" s="20" t="n">
        <v>6730</v>
      </c>
      <c r="G102" s="20" t="n">
        <v>6813</v>
      </c>
      <c r="H102" s="20" t="n">
        <v>4207</v>
      </c>
      <c r="I102" s="20" t="n">
        <v>6122</v>
      </c>
      <c r="J102" s="20" t="n">
        <v>5547</v>
      </c>
      <c r="K102" s="20" t="n">
        <v>5380</v>
      </c>
      <c r="L102" s="20" t="n">
        <v>6845</v>
      </c>
    </row>
    <row r="103">
      <c r="A103" s="18" t="inlineStr">
        <is>
          <t>유형자산 합계</t>
        </is>
      </c>
      <c r="C103" s="20" t="n">
        <v>88039</v>
      </c>
      <c r="D103" s="20" t="n">
        <v>90579</v>
      </c>
      <c r="E103" s="20" t="n">
        <v>91353</v>
      </c>
      <c r="F103" s="20" t="n">
        <v>97680</v>
      </c>
      <c r="G103" s="20" t="n">
        <v>99666</v>
      </c>
      <c r="H103" s="20" t="n">
        <v>64980</v>
      </c>
      <c r="I103" s="20" t="n">
        <v>32198</v>
      </c>
      <c r="J103" s="20" t="n">
        <v>83599</v>
      </c>
      <c r="K103" s="20" t="n">
        <v>86121</v>
      </c>
      <c r="L103" s="20" t="n">
        <v>91353</v>
      </c>
    </row>
    <row r="104">
      <c r="A104" s="18" t="inlineStr">
        <is>
          <t>차지권</t>
        </is>
      </c>
      <c r="E104" s="20" t="n">
        <v>28</v>
      </c>
      <c r="H104" s="20" t="n">
        <v>28</v>
      </c>
      <c r="I104" s="20" t="n">
        <v>28</v>
      </c>
      <c r="J104" s="20" t="n">
        <v>28</v>
      </c>
      <c r="K104" s="20" t="n">
        <v>28</v>
      </c>
      <c r="L104" s="20" t="n">
        <v>28</v>
      </c>
    </row>
    <row r="105">
      <c r="A105" s="18" t="inlineStr">
        <is>
          <t>소프트웨어</t>
        </is>
      </c>
      <c r="E105" s="20" t="n">
        <v>1001</v>
      </c>
      <c r="H105" s="20" t="n">
        <v>318</v>
      </c>
      <c r="I105" s="20" t="n">
        <v>366</v>
      </c>
      <c r="J105" s="20" t="n">
        <v>606</v>
      </c>
      <c r="K105" s="20" t="n">
        <v>539</v>
      </c>
      <c r="L105" s="20" t="n">
        <v>1001</v>
      </c>
    </row>
    <row r="106">
      <c r="A106" s="18" t="inlineStr">
        <is>
          <t>영업권</t>
        </is>
      </c>
      <c r="E106" s="20" t="n">
        <v>446</v>
      </c>
      <c r="H106" s="20" t="n">
        <v>0</v>
      </c>
      <c r="I106" s="20" t="n">
        <v>655</v>
      </c>
      <c r="J106" s="20" t="n">
        <v>585</v>
      </c>
      <c r="K106" s="20" t="n">
        <v>516</v>
      </c>
      <c r="L106" s="20" t="n">
        <v>446</v>
      </c>
    </row>
    <row r="107">
      <c r="A107" s="18" t="inlineStr">
        <is>
          <t>리스자산</t>
        </is>
      </c>
      <c r="E107" s="20" t="n">
        <v>0</v>
      </c>
      <c r="H107" s="20" t="n">
        <v>26</v>
      </c>
      <c r="I107" s="20" t="n">
        <v>10</v>
      </c>
      <c r="J107" s="20" t="n">
        <v>1</v>
      </c>
      <c r="K107" s="20" t="n">
        <v>0</v>
      </c>
      <c r="L107" s="20" t="n">
        <v>0</v>
      </c>
    </row>
    <row r="108">
      <c r="A108" s="18" t="inlineStr">
        <is>
          <t>기타</t>
        </is>
      </c>
      <c r="E108" s="20" t="n">
        <v>367</v>
      </c>
      <c r="H108" s="20" t="n">
        <v>899</v>
      </c>
      <c r="I108" s="20" t="n">
        <v>179</v>
      </c>
      <c r="J108" s="20" t="n">
        <v>233</v>
      </c>
      <c r="K108" s="20" t="n">
        <v>462</v>
      </c>
      <c r="L108" s="20" t="n">
        <v>367</v>
      </c>
    </row>
    <row r="109">
      <c r="A109" s="18" t="inlineStr">
        <is>
          <t>무형자산</t>
        </is>
      </c>
      <c r="C109" s="20" t="n">
        <v>2510</v>
      </c>
      <c r="D109" s="20" t="n">
        <v>2568</v>
      </c>
      <c r="E109" s="20" t="n">
        <v>2726</v>
      </c>
      <c r="F109" s="20" t="n">
        <v>3667</v>
      </c>
      <c r="G109" s="20" t="n">
        <v>3591</v>
      </c>
      <c r="H109" s="20" t="n">
        <v>899</v>
      </c>
      <c r="I109" s="20" t="n">
        <v>1240</v>
      </c>
      <c r="J109" s="20" t="n">
        <v>2398</v>
      </c>
      <c r="K109" s="20" t="n">
        <v>2404</v>
      </c>
      <c r="L109" s="20" t="n">
        <v>2726</v>
      </c>
    </row>
    <row r="110">
      <c r="A110" s="18" t="inlineStr">
        <is>
          <t>투자유가증권</t>
        </is>
      </c>
      <c r="C110" s="20" t="n">
        <v>4412</v>
      </c>
      <c r="D110" s="20" t="n">
        <v>4846</v>
      </c>
      <c r="E110" s="20" t="n">
        <v>2729</v>
      </c>
      <c r="F110" s="20" t="n">
        <v>3703</v>
      </c>
      <c r="G110" s="20" t="n">
        <v>3877</v>
      </c>
      <c r="H110" s="20" t="n">
        <v>5799</v>
      </c>
      <c r="I110" s="20" t="n">
        <v>4231</v>
      </c>
      <c r="J110" s="20" t="n">
        <v>9200</v>
      </c>
      <c r="K110" s="20" t="n">
        <v>6443</v>
      </c>
      <c r="L110" s="20" t="n">
        <v>2729</v>
      </c>
    </row>
    <row r="111">
      <c r="A111" s="18" t="inlineStr">
        <is>
          <t>Investments In Subsidiaries And Affiliates IOA</t>
        </is>
      </c>
      <c r="E111" s="20" t="n">
        <v>41877</v>
      </c>
      <c r="H111" s="20" t="n">
        <v>34966</v>
      </c>
      <c r="I111" s="20" t="n">
        <v>39787</v>
      </c>
      <c r="J111" s="20" t="n">
        <v>40899</v>
      </c>
      <c r="K111" s="20" t="n">
        <v>41610</v>
      </c>
      <c r="L111" s="20" t="n">
        <v>41877</v>
      </c>
    </row>
    <row r="112">
      <c r="A112" s="18" t="inlineStr">
        <is>
          <t>장기대여금</t>
        </is>
      </c>
      <c r="E112" s="20" t="n">
        <v>265</v>
      </c>
      <c r="H112" s="20" t="n">
        <v>44</v>
      </c>
      <c r="I112" s="20" t="n">
        <v>7099</v>
      </c>
      <c r="J112" s="20" t="n">
        <v>7115</v>
      </c>
      <c r="K112" s="20" t="n">
        <v>253</v>
      </c>
      <c r="L112" s="20" t="n">
        <v>265</v>
      </c>
    </row>
    <row r="113">
      <c r="A113" s="18" t="inlineStr">
        <is>
          <t>장기선급비용</t>
        </is>
      </c>
      <c r="E113" s="20" t="n">
        <v>91</v>
      </c>
      <c r="H113" s="20" t="n">
        <v>143</v>
      </c>
      <c r="I113" s="20" t="n">
        <v>128</v>
      </c>
      <c r="J113" s="20" t="n">
        <v>86</v>
      </c>
      <c r="K113" s="20" t="n">
        <v>66</v>
      </c>
      <c r="L113" s="20" t="n">
        <v>91</v>
      </c>
    </row>
    <row r="114">
      <c r="A114" s="18" t="inlineStr">
        <is>
          <t>퇴직급여자산</t>
        </is>
      </c>
      <c r="C114" s="20" t="n">
        <v>25952</v>
      </c>
      <c r="D114" s="20" t="n">
        <v>17966</v>
      </c>
      <c r="E114" s="20" t="n">
        <v>22012</v>
      </c>
      <c r="F114" s="20" t="n">
        <v>21933</v>
      </c>
      <c r="G114" s="20" t="n">
        <v>22107</v>
      </c>
      <c r="H114" s="20" t="n">
        <v>11762</v>
      </c>
      <c r="I114" s="20" t="n">
        <v>10222</v>
      </c>
      <c r="J114" s="20" t="n">
        <v>23309</v>
      </c>
      <c r="K114" s="20" t="n">
        <v>25896</v>
      </c>
      <c r="L114" s="20" t="n">
        <v>22012</v>
      </c>
    </row>
    <row r="115">
      <c r="A115" s="18" t="inlineStr">
        <is>
          <t>이연법인세자산</t>
        </is>
      </c>
      <c r="C115" s="20" t="n">
        <v>3409</v>
      </c>
      <c r="D115" s="20" t="n">
        <v>3507</v>
      </c>
      <c r="E115" s="20" t="n">
        <v>4134</v>
      </c>
      <c r="F115" s="20" t="n">
        <v>4257</v>
      </c>
      <c r="G115" s="20" t="n">
        <v>3912</v>
      </c>
      <c r="H115" s="20" t="n">
        <v>5350</v>
      </c>
      <c r="I115" s="20" t="n">
        <v>6001</v>
      </c>
      <c r="J115" s="20" t="n">
        <v>2707</v>
      </c>
      <c r="K115" s="20" t="n">
        <v>3253</v>
      </c>
      <c r="L115" s="20" t="n">
        <v>4134</v>
      </c>
    </row>
    <row r="116">
      <c r="A116" s="18" t="inlineStr">
        <is>
          <t>선급연금비용</t>
        </is>
      </c>
      <c r="E116" s="20" t="n">
        <v>11446</v>
      </c>
      <c r="H116" s="20" t="n">
        <v>5672</v>
      </c>
      <c r="I116" s="20" t="n">
        <v>7269</v>
      </c>
      <c r="J116" s="20" t="n">
        <v>8524</v>
      </c>
      <c r="K116" s="20" t="n">
        <v>10581</v>
      </c>
      <c r="L116" s="20" t="n">
        <v>11446</v>
      </c>
    </row>
    <row r="117">
      <c r="A117" s="18" t="inlineStr">
        <is>
          <t>보증금</t>
        </is>
      </c>
      <c r="E117" s="20" t="n">
        <v>198</v>
      </c>
      <c r="K117" s="20" t="n">
        <v>103</v>
      </c>
      <c r="L117" s="20" t="n">
        <v>198</v>
      </c>
    </row>
    <row r="118">
      <c r="A118" s="18" t="inlineStr">
        <is>
          <t>Long Term Accounts Receivable Other</t>
        </is>
      </c>
      <c r="E118" s="20" t="n">
        <v>1</v>
      </c>
      <c r="J118" s="20" t="n">
        <v>0</v>
      </c>
      <c r="K118" s="20" t="n">
        <v>20</v>
      </c>
      <c r="L118" s="20" t="n">
        <v>1</v>
      </c>
    </row>
    <row r="119">
      <c r="A119" s="18" t="inlineStr">
        <is>
          <t>기타</t>
        </is>
      </c>
      <c r="C119" s="20" t="n">
        <v>1989</v>
      </c>
      <c r="D119" s="20" t="n">
        <v>1862</v>
      </c>
      <c r="E119" s="20" t="n">
        <v>2330</v>
      </c>
      <c r="F119" s="20" t="n">
        <v>2326</v>
      </c>
      <c r="G119" s="20" t="n">
        <v>2095</v>
      </c>
      <c r="H119" s="20" t="n">
        <v>1019</v>
      </c>
      <c r="I119" s="20" t="n">
        <v>101</v>
      </c>
      <c r="J119" s="20" t="n">
        <v>1743</v>
      </c>
      <c r="K119" s="20" t="n">
        <v>2043</v>
      </c>
      <c r="L119" s="20" t="n">
        <v>2330</v>
      </c>
    </row>
    <row r="120">
      <c r="A120" s="18" t="inlineStr">
        <is>
          <t>대손충당금</t>
        </is>
      </c>
      <c r="C120" s="20" t="n">
        <v>-45</v>
      </c>
      <c r="D120" s="20" t="n">
        <v>-45</v>
      </c>
      <c r="E120" s="20" t="n">
        <v>-45</v>
      </c>
      <c r="F120" s="20" t="n">
        <v>-45</v>
      </c>
      <c r="G120" s="20" t="n">
        <v>-45</v>
      </c>
      <c r="H120" s="20" t="n">
        <v>-47</v>
      </c>
      <c r="I120" s="20" t="n">
        <v>-28</v>
      </c>
      <c r="J120" s="20" t="n">
        <v>-45</v>
      </c>
      <c r="K120" s="20" t="n">
        <v>-45</v>
      </c>
      <c r="L120" s="20" t="n">
        <v>-45</v>
      </c>
    </row>
    <row r="121">
      <c r="A121" s="18" t="inlineStr">
        <is>
          <t>투자 및 기타자산 합계</t>
        </is>
      </c>
      <c r="C121" s="20" t="n">
        <v>35718</v>
      </c>
      <c r="D121" s="20" t="n">
        <v>28137</v>
      </c>
      <c r="E121" s="20" t="n">
        <v>31161</v>
      </c>
      <c r="F121" s="20" t="n">
        <v>32176</v>
      </c>
      <c r="G121" s="20" t="n">
        <v>31947</v>
      </c>
      <c r="H121" s="20" t="n">
        <v>23883</v>
      </c>
      <c r="I121" s="20" t="n">
        <v>64590</v>
      </c>
      <c r="J121" s="20" t="n">
        <v>36915</v>
      </c>
      <c r="K121" s="20" t="n">
        <v>37591</v>
      </c>
      <c r="L121" s="20" t="n">
        <v>31161</v>
      </c>
    </row>
    <row r="122">
      <c r="A122" s="9" t="inlineStr">
        <is>
          <t>비유동자산 합계</t>
        </is>
      </c>
      <c r="C122" s="12" t="n">
        <v>126267</v>
      </c>
      <c r="D122" s="12" t="n">
        <v>121285</v>
      </c>
      <c r="E122" s="12" t="n">
        <v>125242</v>
      </c>
      <c r="F122" s="12" t="n">
        <v>133524</v>
      </c>
      <c r="G122" s="12" t="n">
        <v>135205</v>
      </c>
      <c r="H122" s="12" t="n">
        <v>89763</v>
      </c>
      <c r="I122" s="12" t="n">
        <v>98029</v>
      </c>
      <c r="J122" s="12" t="n">
        <v>122912</v>
      </c>
      <c r="K122" s="12" t="n">
        <v>126118</v>
      </c>
      <c r="L122" s="12" t="n">
        <v>125242</v>
      </c>
    </row>
    <row r="123">
      <c r="A123" s="9" t="inlineStr">
        <is>
          <t>자산 합계</t>
        </is>
      </c>
      <c r="C123" s="12" t="n">
        <v>286714</v>
      </c>
      <c r="D123" s="12" t="n">
        <v>305602</v>
      </c>
      <c r="E123" s="12" t="n">
        <v>311476</v>
      </c>
      <c r="F123" s="12" t="n">
        <v>318634</v>
      </c>
      <c r="G123" s="12" t="n">
        <v>308532</v>
      </c>
      <c r="H123" s="12" t="n">
        <v>201936</v>
      </c>
      <c r="I123" s="12" t="n">
        <v>151630</v>
      </c>
      <c r="J123" s="12" t="n">
        <v>272549</v>
      </c>
      <c r="K123" s="12" t="n">
        <v>300982</v>
      </c>
      <c r="L123" s="12" t="n">
        <v>311476</v>
      </c>
    </row>
    <row r="124">
      <c r="A124" s="18" t="inlineStr">
        <is>
          <t>지급어음</t>
        </is>
      </c>
      <c r="H124" s="20" t="n">
        <v>15</v>
      </c>
      <c r="I124" s="20" t="n">
        <v>8</v>
      </c>
      <c r="J124" s="20" t="n">
        <v>0</v>
      </c>
    </row>
    <row r="125">
      <c r="A125" s="18" t="inlineStr">
        <is>
          <t>지급어음·매입채무</t>
        </is>
      </c>
      <c r="C125" s="20" t="n">
        <v>31937</v>
      </c>
      <c r="D125" s="20" t="n">
        <v>31581</v>
      </c>
      <c r="E125" s="20" t="n">
        <v>33156</v>
      </c>
      <c r="F125" s="20" t="n">
        <v>33519</v>
      </c>
      <c r="G125" s="20" t="n">
        <v>34596</v>
      </c>
      <c r="H125" s="20" t="n">
        <v>21432</v>
      </c>
      <c r="I125" s="20" t="n">
        <v>27390</v>
      </c>
      <c r="J125" s="20" t="n">
        <v>32872</v>
      </c>
      <c r="K125" s="20" t="n">
        <v>33722</v>
      </c>
      <c r="L125" s="20" t="n">
        <v>33156</v>
      </c>
    </row>
    <row r="126">
      <c r="A126" s="18" t="inlineStr">
        <is>
          <t>전자기록채무</t>
        </is>
      </c>
      <c r="C126" s="20" t="n">
        <v>4860</v>
      </c>
      <c r="D126" s="20" t="n">
        <v>8113</v>
      </c>
      <c r="E126" s="20" t="n">
        <v>4742</v>
      </c>
      <c r="F126" s="20" t="n">
        <v>4105</v>
      </c>
      <c r="G126" s="20" t="n">
        <v>3961</v>
      </c>
      <c r="H126" s="20" t="n">
        <v>3054</v>
      </c>
      <c r="I126" s="20" t="n">
        <v>2165</v>
      </c>
      <c r="J126" s="20" t="n">
        <v>7462</v>
      </c>
      <c r="K126" s="20" t="n">
        <v>6748</v>
      </c>
      <c r="L126" s="20" t="n">
        <v>4742</v>
      </c>
    </row>
    <row r="127">
      <c r="A127" s="18" t="inlineStr">
        <is>
          <t>매입채무</t>
        </is>
      </c>
      <c r="E127" s="20" t="n">
        <v>13308</v>
      </c>
      <c r="H127" s="20" t="n">
        <v>7780</v>
      </c>
      <c r="I127" s="20" t="n">
        <v>8466</v>
      </c>
      <c r="J127" s="20" t="n">
        <v>10146</v>
      </c>
      <c r="K127" s="20" t="n">
        <v>12084</v>
      </c>
      <c r="L127" s="20" t="n">
        <v>13308</v>
      </c>
    </row>
    <row r="128">
      <c r="A128" s="18" t="inlineStr">
        <is>
          <t>Short Term Loans Payable To Subsidiaries And Affiliates</t>
        </is>
      </c>
      <c r="E128" s="20" t="n">
        <v>2894</v>
      </c>
      <c r="H128" s="20" t="n">
        <v>2559</v>
      </c>
      <c r="I128" s="20" t="n">
        <v>2231</v>
      </c>
      <c r="J128" s="20" t="n">
        <v>2234</v>
      </c>
      <c r="K128" s="20" t="n">
        <v>2475</v>
      </c>
      <c r="L128" s="20" t="n">
        <v>2894</v>
      </c>
    </row>
    <row r="129">
      <c r="A129" s="18" t="inlineStr">
        <is>
          <t>단기차입금</t>
        </is>
      </c>
      <c r="C129" s="20" t="n">
        <v>1574</v>
      </c>
      <c r="D129" s="20" t="n">
        <v>1730</v>
      </c>
      <c r="E129" s="20" t="n">
        <v>2764</v>
      </c>
      <c r="F129" s="20" t="n">
        <v>2699</v>
      </c>
      <c r="G129" s="20" t="n">
        <v>2765</v>
      </c>
      <c r="H129" s="20" t="n">
        <v>3845</v>
      </c>
      <c r="I129" s="20" t="n">
        <v>2909</v>
      </c>
      <c r="J129" s="20" t="n">
        <v>2219</v>
      </c>
      <c r="K129" s="20" t="n">
        <v>1676</v>
      </c>
      <c r="L129" s="20" t="n">
        <v>2764</v>
      </c>
    </row>
    <row r="130">
      <c r="A130" s="18" t="inlineStr">
        <is>
          <t>1년 내 상환 예정 사채</t>
        </is>
      </c>
      <c r="H130" s="20" t="n">
        <v>10000</v>
      </c>
      <c r="I130" s="20" t="n">
        <v>0</v>
      </c>
    </row>
    <row r="131">
      <c r="A131" s="18" t="inlineStr">
        <is>
          <t>1년 내 상환 장기차입금</t>
        </is>
      </c>
      <c r="C131" s="20" t="n">
        <v>3000</v>
      </c>
      <c r="D131" s="20" t="n">
        <v>8500</v>
      </c>
      <c r="E131" s="20" t="n">
        <v>20500</v>
      </c>
      <c r="F131" s="20" t="n">
        <v>20500</v>
      </c>
      <c r="G131" s="20" t="n">
        <v>16500</v>
      </c>
      <c r="H131" s="20" t="n">
        <v>2339</v>
      </c>
      <c r="I131" s="20" t="n">
        <v>6000</v>
      </c>
      <c r="J131" s="20" t="n">
        <v>8091</v>
      </c>
      <c r="K131" s="20" t="n">
        <v>3011</v>
      </c>
      <c r="L131" s="20" t="n">
        <v>20500</v>
      </c>
    </row>
    <row r="132">
      <c r="A132" s="18" t="inlineStr">
        <is>
          <t>리스부채</t>
        </is>
      </c>
      <c r="E132" s="20" t="n">
        <v>63</v>
      </c>
      <c r="H132" s="20" t="n">
        <v>78</v>
      </c>
      <c r="I132" s="20" t="n">
        <v>59</v>
      </c>
      <c r="J132" s="20" t="n">
        <v>53</v>
      </c>
      <c r="K132" s="20" t="n">
        <v>54</v>
      </c>
      <c r="L132" s="20" t="n">
        <v>63</v>
      </c>
    </row>
    <row r="133">
      <c r="A133" s="18" t="inlineStr">
        <is>
          <t>미지급금</t>
        </is>
      </c>
      <c r="E133" s="20" t="n">
        <v>2435</v>
      </c>
      <c r="H133" s="20" t="n">
        <v>821</v>
      </c>
      <c r="I133" s="20" t="n">
        <v>914</v>
      </c>
      <c r="J133" s="20" t="n">
        <v>3737</v>
      </c>
      <c r="K133" s="20" t="n">
        <v>2260</v>
      </c>
      <c r="L133" s="20" t="n">
        <v>2435</v>
      </c>
    </row>
    <row r="134">
      <c r="A134" s="18" t="inlineStr">
        <is>
          <t>미지급비용</t>
        </is>
      </c>
      <c r="C134" s="20" t="n">
        <v>12529</v>
      </c>
      <c r="D134" s="20" t="n">
        <v>10827</v>
      </c>
      <c r="E134" s="20" t="n">
        <v>12457</v>
      </c>
      <c r="F134" s="20" t="n">
        <v>14195</v>
      </c>
      <c r="G134" s="20" t="n">
        <v>12454</v>
      </c>
      <c r="H134" s="20" t="n">
        <v>8430</v>
      </c>
      <c r="I134" s="20" t="n">
        <v>6440</v>
      </c>
      <c r="J134" s="20" t="n">
        <v>10955</v>
      </c>
      <c r="K134" s="20" t="n">
        <v>11344</v>
      </c>
      <c r="L134" s="20" t="n">
        <v>12457</v>
      </c>
    </row>
    <row r="135">
      <c r="A135" s="18" t="inlineStr">
        <is>
          <t>미지급법인세</t>
        </is>
      </c>
      <c r="C135" s="20" t="n">
        <v>1186</v>
      </c>
      <c r="D135" s="20" t="n">
        <v>977</v>
      </c>
      <c r="E135" s="20" t="n">
        <v>1104</v>
      </c>
      <c r="F135" s="20" t="n">
        <v>1370</v>
      </c>
      <c r="G135" s="20" t="n">
        <v>1356</v>
      </c>
      <c r="H135" s="20" t="n">
        <v>879</v>
      </c>
      <c r="I135" s="20" t="n">
        <v>256</v>
      </c>
      <c r="J135" s="20" t="n">
        <v>1179</v>
      </c>
      <c r="K135" s="20" t="n">
        <v>1897</v>
      </c>
      <c r="L135" s="20" t="n">
        <v>1104</v>
      </c>
    </row>
    <row r="136">
      <c r="A136" s="18" t="inlineStr">
        <is>
          <t>예수금</t>
        </is>
      </c>
      <c r="E136" s="20" t="n">
        <v>141</v>
      </c>
      <c r="H136" s="20" t="n">
        <v>113</v>
      </c>
      <c r="I136" s="20" t="n">
        <v>112</v>
      </c>
      <c r="J136" s="20" t="n">
        <v>310</v>
      </c>
      <c r="K136" s="20" t="n">
        <v>146</v>
      </c>
      <c r="L136" s="20" t="n">
        <v>141</v>
      </c>
    </row>
    <row r="137">
      <c r="A137" s="18" t="inlineStr">
        <is>
          <t>제품보증 충당금</t>
        </is>
      </c>
      <c r="C137" s="20" t="n">
        <v>9472</v>
      </c>
      <c r="D137" s="20" t="n">
        <v>9480</v>
      </c>
      <c r="E137" s="20" t="n">
        <v>6977</v>
      </c>
      <c r="F137" s="20" t="n">
        <v>6929</v>
      </c>
      <c r="G137" s="20" t="n">
        <v>6674</v>
      </c>
      <c r="H137" s="20" t="n">
        <v>2124</v>
      </c>
      <c r="I137" s="20" t="n">
        <v>1161</v>
      </c>
      <c r="J137" s="20" t="n">
        <v>7603</v>
      </c>
      <c r="K137" s="20" t="n">
        <v>14660</v>
      </c>
      <c r="L137" s="20" t="n">
        <v>6977</v>
      </c>
    </row>
    <row r="138">
      <c r="A138" s="18" t="inlineStr">
        <is>
          <t>임원 상여충당금</t>
        </is>
      </c>
      <c r="C138" s="20" t="n">
        <v>54</v>
      </c>
      <c r="D138" s="20" t="n">
        <v>81</v>
      </c>
      <c r="E138" s="20" t="n">
        <v>110</v>
      </c>
      <c r="F138" s="20" t="n">
        <v>31</v>
      </c>
      <c r="G138" s="20" t="n">
        <v>65</v>
      </c>
      <c r="H138" s="20" t="n">
        <v>84</v>
      </c>
      <c r="I138" s="20" t="n">
        <v>65</v>
      </c>
      <c r="J138" s="20" t="n">
        <v>96</v>
      </c>
      <c r="K138" s="20" t="n">
        <v>133</v>
      </c>
      <c r="L138" s="20" t="n">
        <v>110</v>
      </c>
    </row>
    <row r="139">
      <c r="A139" s="18" t="inlineStr">
        <is>
          <t>사업구조개선 충당금</t>
        </is>
      </c>
      <c r="C139" s="20" t="n">
        <v>0</v>
      </c>
      <c r="D139" s="20" t="n">
        <v>0</v>
      </c>
      <c r="E139" s="20" t="n">
        <v>0</v>
      </c>
      <c r="H139" s="20" t="n">
        <v>250</v>
      </c>
      <c r="I139" s="20" t="n">
        <v>176</v>
      </c>
      <c r="J139" s="20" t="n">
        <v>148</v>
      </c>
      <c r="K139" s="20" t="n">
        <v>89</v>
      </c>
      <c r="L139" s="20" t="n">
        <v>0</v>
      </c>
    </row>
    <row r="140">
      <c r="A140" s="18" t="inlineStr">
        <is>
          <t>기타</t>
        </is>
      </c>
      <c r="C140" s="20" t="n">
        <v>10385</v>
      </c>
      <c r="D140" s="20" t="n">
        <v>9702</v>
      </c>
      <c r="E140" s="20" t="n">
        <v>10410</v>
      </c>
      <c r="F140" s="20" t="n">
        <v>11761</v>
      </c>
      <c r="G140" s="20" t="n">
        <v>13245</v>
      </c>
      <c r="H140" s="20" t="n">
        <v>4852</v>
      </c>
      <c r="I140" s="20" t="n">
        <v>787</v>
      </c>
      <c r="J140" s="20" t="n">
        <v>11438</v>
      </c>
      <c r="K140" s="20" t="n">
        <v>12460</v>
      </c>
      <c r="L140" s="20" t="n">
        <v>10410</v>
      </c>
    </row>
    <row r="141">
      <c r="A141" s="9" t="inlineStr">
        <is>
          <t>유동부채 합계</t>
        </is>
      </c>
      <c r="C141" s="12" t="n">
        <v>75001</v>
      </c>
      <c r="D141" s="12" t="n">
        <v>80994</v>
      </c>
      <c r="E141" s="12" t="n">
        <v>92223</v>
      </c>
      <c r="F141" s="12" t="n">
        <v>95114</v>
      </c>
      <c r="G141" s="12" t="n">
        <v>91619</v>
      </c>
      <c r="H141" s="12" t="n">
        <v>57293</v>
      </c>
      <c r="I141" s="12" t="n">
        <v>28671</v>
      </c>
      <c r="J141" s="12" t="n">
        <v>82067</v>
      </c>
      <c r="K141" s="12" t="n">
        <v>85745</v>
      </c>
      <c r="L141" s="12" t="n">
        <v>92223</v>
      </c>
    </row>
    <row r="142">
      <c r="A142" s="18" t="inlineStr">
        <is>
          <t>사채</t>
        </is>
      </c>
      <c r="H142" s="20" t="n">
        <v>0</v>
      </c>
    </row>
    <row r="143">
      <c r="A143" s="18" t="inlineStr">
        <is>
          <t>장기차입금</t>
        </is>
      </c>
      <c r="C143" s="20" t="n">
        <v>51507</v>
      </c>
      <c r="D143" s="20" t="n">
        <v>64028</v>
      </c>
      <c r="E143" s="20" t="n">
        <v>52109</v>
      </c>
      <c r="F143" s="20" t="n">
        <v>53181</v>
      </c>
      <c r="G143" s="20" t="n">
        <v>45367</v>
      </c>
      <c r="H143" s="20" t="n">
        <v>25918</v>
      </c>
      <c r="I143" s="20" t="n">
        <v>39500</v>
      </c>
      <c r="J143" s="20" t="n">
        <v>31526</v>
      </c>
      <c r="K143" s="20" t="n">
        <v>51528</v>
      </c>
      <c r="L143" s="20" t="n">
        <v>52109</v>
      </c>
    </row>
    <row r="144">
      <c r="A144" s="18" t="inlineStr">
        <is>
          <t>리스부채</t>
        </is>
      </c>
      <c r="E144" s="20" t="n">
        <v>109</v>
      </c>
      <c r="H144" s="20" t="n">
        <v>89</v>
      </c>
      <c r="I144" s="20" t="n">
        <v>62</v>
      </c>
      <c r="J144" s="20" t="n">
        <v>72</v>
      </c>
      <c r="K144" s="20" t="n">
        <v>87</v>
      </c>
      <c r="L144" s="20" t="n">
        <v>109</v>
      </c>
    </row>
    <row r="145">
      <c r="A145" s="18" t="inlineStr">
        <is>
          <t>퇴직급여충당금</t>
        </is>
      </c>
      <c r="E145" s="20" t="n">
        <v>13375</v>
      </c>
      <c r="H145" s="20" t="n">
        <v>13135</v>
      </c>
      <c r="I145" s="20" t="n">
        <v>13175</v>
      </c>
      <c r="J145" s="20" t="n">
        <v>13216</v>
      </c>
      <c r="K145" s="20" t="n">
        <v>13201</v>
      </c>
      <c r="L145" s="20" t="n">
        <v>13375</v>
      </c>
    </row>
    <row r="146">
      <c r="A146" s="18" t="inlineStr">
        <is>
          <t>자산복구부채</t>
        </is>
      </c>
      <c r="E146" s="20" t="n">
        <v>82</v>
      </c>
      <c r="H146" s="20" t="n">
        <v>34</v>
      </c>
      <c r="I146" s="20" t="n">
        <v>34</v>
      </c>
      <c r="J146" s="20" t="n">
        <v>34</v>
      </c>
      <c r="K146" s="20" t="n">
        <v>29</v>
      </c>
      <c r="L146" s="20" t="n">
        <v>82</v>
      </c>
    </row>
    <row r="147">
      <c r="A147" s="18" t="inlineStr">
        <is>
          <t>이연법인세부채</t>
        </is>
      </c>
      <c r="C147" s="20" t="n">
        <v>615</v>
      </c>
      <c r="D147" s="20" t="n">
        <v>1278</v>
      </c>
      <c r="E147" s="20" t="n">
        <v>4120</v>
      </c>
      <c r="F147" s="20" t="n">
        <v>3781</v>
      </c>
      <c r="G147" s="20" t="n">
        <v>3975</v>
      </c>
      <c r="H147" s="20" t="n">
        <v>1436</v>
      </c>
      <c r="I147" s="20" t="n">
        <v>1040</v>
      </c>
      <c r="J147" s="20" t="n">
        <v>3448</v>
      </c>
      <c r="K147" s="20" t="n">
        <v>1407</v>
      </c>
      <c r="L147" s="20" t="n">
        <v>4120</v>
      </c>
    </row>
    <row r="148">
      <c r="A148" s="18" t="inlineStr">
        <is>
          <t>임원 퇴직위로 충당금</t>
        </is>
      </c>
      <c r="C148" s="20" t="n">
        <v>43</v>
      </c>
      <c r="D148" s="20" t="n">
        <v>48</v>
      </c>
      <c r="E148" s="20" t="n">
        <v>53</v>
      </c>
      <c r="F148" s="20" t="n">
        <v>51</v>
      </c>
      <c r="G148" s="20" t="n">
        <v>65</v>
      </c>
      <c r="H148" s="20" t="n">
        <v>69</v>
      </c>
      <c r="I148" s="20" t="n">
        <v>48</v>
      </c>
      <c r="J148" s="20" t="n">
        <v>51</v>
      </c>
      <c r="K148" s="20" t="n">
        <v>53</v>
      </c>
      <c r="L148" s="20" t="n">
        <v>53</v>
      </c>
    </row>
    <row r="149">
      <c r="A149" s="18" t="inlineStr">
        <is>
          <t>퇴직급여부채</t>
        </is>
      </c>
      <c r="C149" s="20" t="n">
        <v>21284</v>
      </c>
      <c r="D149" s="20" t="n">
        <v>13642</v>
      </c>
      <c r="E149" s="20" t="n">
        <v>13608</v>
      </c>
      <c r="F149" s="20" t="n">
        <v>14282</v>
      </c>
      <c r="G149" s="20" t="n">
        <v>14441</v>
      </c>
      <c r="H149" s="20" t="n">
        <v>15430</v>
      </c>
      <c r="I149" s="20" t="n">
        <v>15144</v>
      </c>
      <c r="J149" s="20" t="n">
        <v>15357</v>
      </c>
      <c r="K149" s="20" t="n">
        <v>20986</v>
      </c>
      <c r="L149" s="20" t="n">
        <v>13608</v>
      </c>
    </row>
    <row r="150">
      <c r="A150" s="18" t="inlineStr">
        <is>
          <t>기타</t>
        </is>
      </c>
      <c r="C150" s="20" t="n">
        <v>2894</v>
      </c>
      <c r="D150" s="20" t="n">
        <v>2875</v>
      </c>
      <c r="E150" s="20" t="n">
        <v>3032</v>
      </c>
      <c r="F150" s="20" t="n">
        <v>3015</v>
      </c>
      <c r="G150" s="20" t="n">
        <v>2060</v>
      </c>
      <c r="H150" s="20" t="n">
        <v>899</v>
      </c>
      <c r="I150" s="20" t="n">
        <v>4</v>
      </c>
      <c r="J150" s="20" t="n">
        <v>538</v>
      </c>
      <c r="K150" s="20" t="n">
        <v>923</v>
      </c>
      <c r="L150" s="20" t="n">
        <v>3032</v>
      </c>
    </row>
    <row r="151">
      <c r="A151" s="9" t="inlineStr">
        <is>
          <t>비유동부채 합계</t>
        </is>
      </c>
      <c r="C151" s="12" t="n">
        <v>76344</v>
      </c>
      <c r="D151" s="12" t="n">
        <v>81872</v>
      </c>
      <c r="E151" s="12" t="n">
        <v>72922</v>
      </c>
      <c r="F151" s="12" t="n">
        <v>74313</v>
      </c>
      <c r="G151" s="12" t="n">
        <v>65911</v>
      </c>
      <c r="H151" s="12" t="n">
        <v>43752</v>
      </c>
      <c r="I151" s="12" t="n">
        <v>52776</v>
      </c>
      <c r="J151" s="12" t="n">
        <v>50922</v>
      </c>
      <c r="K151" s="12" t="n">
        <v>74898</v>
      </c>
      <c r="L151" s="12" t="n">
        <v>72922</v>
      </c>
    </row>
    <row r="152">
      <c r="A152" s="9" t="inlineStr">
        <is>
          <t>부채 합계</t>
        </is>
      </c>
      <c r="C152" s="12" t="n">
        <v>151345</v>
      </c>
      <c r="D152" s="12" t="n">
        <v>162867</v>
      </c>
      <c r="E152" s="12" t="n">
        <v>165146</v>
      </c>
      <c r="F152" s="12" t="n">
        <v>169427</v>
      </c>
      <c r="G152" s="12" t="n">
        <v>157530</v>
      </c>
      <c r="H152" s="12" t="n">
        <v>101046</v>
      </c>
      <c r="I152" s="12" t="n">
        <v>81448</v>
      </c>
      <c r="J152" s="12" t="n">
        <v>132990</v>
      </c>
      <c r="K152" s="12" t="n">
        <v>160644</v>
      </c>
      <c r="L152" s="12" t="n">
        <v>165146</v>
      </c>
    </row>
    <row r="153">
      <c r="A153" s="18" t="inlineStr">
        <is>
          <t>자본금</t>
        </is>
      </c>
      <c r="C153" s="20" t="n">
        <v>10870</v>
      </c>
      <c r="D153" s="20" t="n">
        <v>10870</v>
      </c>
      <c r="E153" s="20" t="n">
        <v>10870</v>
      </c>
      <c r="F153" s="20" t="n">
        <v>10870</v>
      </c>
      <c r="G153" s="20" t="n">
        <v>10870</v>
      </c>
      <c r="H153" s="20" t="n">
        <v>10708</v>
      </c>
      <c r="I153" s="20" t="n">
        <v>10714</v>
      </c>
      <c r="J153" s="20" t="n">
        <v>10838</v>
      </c>
      <c r="K153" s="20" t="n">
        <v>10866</v>
      </c>
      <c r="L153" s="20" t="n">
        <v>10870</v>
      </c>
    </row>
    <row r="154">
      <c r="A154" s="18" t="inlineStr">
        <is>
          <t>자본준비금</t>
        </is>
      </c>
      <c r="E154" s="20" t="n">
        <v>12872</v>
      </c>
      <c r="H154" s="20" t="n">
        <v>12710</v>
      </c>
      <c r="I154" s="20" t="n">
        <v>12716</v>
      </c>
      <c r="J154" s="20" t="n">
        <v>12840</v>
      </c>
      <c r="K154" s="20" t="n">
        <v>12868</v>
      </c>
      <c r="L154" s="20" t="n">
        <v>12872</v>
      </c>
    </row>
    <row r="155">
      <c r="A155" s="18" t="inlineStr">
        <is>
          <t>기타자본잉여금</t>
        </is>
      </c>
      <c r="E155" s="20" t="n">
        <v>7</v>
      </c>
      <c r="J155" s="20" t="n">
        <v>2</v>
      </c>
      <c r="K155" s="20" t="n">
        <v>6</v>
      </c>
      <c r="L155" s="20" t="n">
        <v>7</v>
      </c>
    </row>
    <row r="156">
      <c r="A156" s="18" t="inlineStr">
        <is>
          <t>자본잉여금</t>
        </is>
      </c>
      <c r="C156" s="20" t="n">
        <v>12704</v>
      </c>
      <c r="D156" s="20" t="n">
        <v>12704</v>
      </c>
      <c r="E156" s="20" t="n">
        <v>12704</v>
      </c>
      <c r="F156" s="20" t="n">
        <v>12704</v>
      </c>
      <c r="G156" s="20" t="n">
        <v>12733</v>
      </c>
      <c r="H156" s="20" t="n">
        <v>12667</v>
      </c>
      <c r="I156" s="20" t="n">
        <v>12716</v>
      </c>
      <c r="J156" s="20" t="n">
        <v>12668</v>
      </c>
      <c r="K156" s="20" t="n">
        <v>12699</v>
      </c>
      <c r="L156" s="20" t="n">
        <v>12704</v>
      </c>
    </row>
    <row r="157">
      <c r="A157" s="18" t="inlineStr">
        <is>
          <t>이익준비금</t>
        </is>
      </c>
      <c r="E157" s="20" t="n">
        <v>1468</v>
      </c>
      <c r="H157" s="20" t="n">
        <v>1468</v>
      </c>
      <c r="I157" s="20" t="n">
        <v>1468</v>
      </c>
      <c r="J157" s="20" t="n">
        <v>1468</v>
      </c>
      <c r="K157" s="20" t="n">
        <v>1468</v>
      </c>
      <c r="L157" s="20" t="n">
        <v>1468</v>
      </c>
    </row>
    <row r="158">
      <c r="A158" s="18" t="inlineStr">
        <is>
          <t>별도적립금</t>
        </is>
      </c>
      <c r="E158" s="20" t="n">
        <v>16110</v>
      </c>
      <c r="H158" s="20" t="n">
        <v>16110</v>
      </c>
      <c r="I158" s="20" t="n">
        <v>16110</v>
      </c>
      <c r="J158" s="20" t="n">
        <v>16110</v>
      </c>
      <c r="K158" s="20" t="n">
        <v>16110</v>
      </c>
      <c r="L158" s="20" t="n">
        <v>16110</v>
      </c>
    </row>
    <row r="159">
      <c r="A159" s="18" t="inlineStr">
        <is>
          <t>이월이익잉여금</t>
        </is>
      </c>
      <c r="E159" s="20" t="n">
        <v>50177</v>
      </c>
      <c r="H159" s="20" t="n">
        <v>19005</v>
      </c>
      <c r="I159" s="20" t="n">
        <v>26423</v>
      </c>
      <c r="J159" s="20" t="n">
        <v>26218</v>
      </c>
      <c r="K159" s="20" t="n">
        <v>39025</v>
      </c>
      <c r="L159" s="20" t="n">
        <v>50177</v>
      </c>
    </row>
    <row r="160">
      <c r="A160" s="18" t="inlineStr">
        <is>
          <t>이익잉여금</t>
        </is>
      </c>
      <c r="C160" s="20" t="n">
        <v>97539</v>
      </c>
      <c r="D160" s="20" t="n">
        <v>99812</v>
      </c>
      <c r="E160" s="20" t="n">
        <v>100922</v>
      </c>
      <c r="F160" s="20" t="n">
        <v>103245</v>
      </c>
      <c r="G160" s="20" t="n">
        <v>106776</v>
      </c>
      <c r="H160" s="20" t="n">
        <v>67281</v>
      </c>
      <c r="I160" s="20" t="n">
        <v>44001</v>
      </c>
      <c r="J160" s="20" t="n">
        <v>82720</v>
      </c>
      <c r="K160" s="20" t="n">
        <v>92269</v>
      </c>
      <c r="L160" s="20" t="n">
        <v>100922</v>
      </c>
    </row>
    <row r="161">
      <c r="A161" s="18" t="inlineStr">
        <is>
          <t>자기주식</t>
        </is>
      </c>
      <c r="C161" s="20" t="n">
        <v>-10386</v>
      </c>
      <c r="D161" s="20" t="n">
        <v>-10386</v>
      </c>
      <c r="E161" s="20" t="n">
        <v>-10386</v>
      </c>
      <c r="F161" s="20" t="n">
        <v>-10386</v>
      </c>
      <c r="G161" s="20" t="n">
        <v>-9694</v>
      </c>
      <c r="H161" s="20" t="n">
        <v>-84</v>
      </c>
      <c r="I161" s="20" t="n">
        <v>-56</v>
      </c>
      <c r="J161" s="20" t="n">
        <v>-1032</v>
      </c>
      <c r="K161" s="20" t="n">
        <v>-1005</v>
      </c>
      <c r="L161" s="20" t="n">
        <v>-10386</v>
      </c>
    </row>
    <row r="162">
      <c r="A162" s="9" t="inlineStr">
        <is>
          <t>주주자본 합계</t>
        </is>
      </c>
      <c r="C162" s="12" t="n">
        <v>110728</v>
      </c>
      <c r="D162" s="12" t="n">
        <v>113001</v>
      </c>
      <c r="E162" s="12" t="n">
        <v>114110</v>
      </c>
      <c r="F162" s="12" t="n">
        <v>116434</v>
      </c>
      <c r="G162" s="12" t="n">
        <v>120685</v>
      </c>
      <c r="H162" s="12" t="n">
        <v>90573</v>
      </c>
      <c r="I162" s="12" t="n">
        <v>67375</v>
      </c>
      <c r="J162" s="12" t="n">
        <v>105195</v>
      </c>
      <c r="K162" s="12" t="n">
        <v>114830</v>
      </c>
      <c r="L162" s="12" t="n">
        <v>114110</v>
      </c>
    </row>
    <row r="163">
      <c r="A163" s="18" t="inlineStr">
        <is>
          <t>기타유가증권 평가차액</t>
        </is>
      </c>
      <c r="C163" s="20" t="n">
        <v>2460</v>
      </c>
      <c r="D163" s="20" t="n">
        <v>2757</v>
      </c>
      <c r="E163" s="20" t="n">
        <v>1331</v>
      </c>
      <c r="F163" s="20" t="n">
        <v>1265</v>
      </c>
      <c r="G163" s="20" t="n">
        <v>1345</v>
      </c>
      <c r="H163" s="20" t="n">
        <v>3070</v>
      </c>
      <c r="I163" s="20" t="n">
        <v>2721</v>
      </c>
      <c r="J163" s="20" t="n">
        <v>5332</v>
      </c>
      <c r="K163" s="20" t="n">
        <v>3355</v>
      </c>
      <c r="L163" s="20" t="n">
        <v>1331</v>
      </c>
    </row>
    <row r="164">
      <c r="A164" s="18" t="inlineStr">
        <is>
          <t>해외사업환산조정</t>
        </is>
      </c>
      <c r="C164" s="20" t="n">
        <v>12507</v>
      </c>
      <c r="D164" s="20" t="n">
        <v>17025</v>
      </c>
      <c r="E164" s="20" t="n">
        <v>18399</v>
      </c>
      <c r="F164" s="20" t="n">
        <v>19521</v>
      </c>
      <c r="G164" s="20" t="n">
        <v>17298</v>
      </c>
      <c r="H164" s="20" t="n">
        <v>237</v>
      </c>
      <c r="I164" s="20" t="n">
        <v>5407</v>
      </c>
      <c r="J164" s="20" t="n">
        <v>14854</v>
      </c>
      <c r="K164" s="20" t="n">
        <v>11878</v>
      </c>
      <c r="L164" s="20" t="n">
        <v>18399</v>
      </c>
    </row>
    <row r="165">
      <c r="A165" s="18" t="inlineStr">
        <is>
          <t>퇴직급여 조정누계액</t>
        </is>
      </c>
      <c r="C165" s="20" t="n">
        <v>5477</v>
      </c>
      <c r="D165" s="20" t="n">
        <v>5322</v>
      </c>
      <c r="E165" s="20" t="n">
        <v>8011</v>
      </c>
      <c r="F165" s="20" t="n">
        <v>7777</v>
      </c>
      <c r="G165" s="20" t="n">
        <v>7490</v>
      </c>
      <c r="H165" s="20" t="n">
        <v>3063</v>
      </c>
      <c r="I165" s="20" t="n">
        <v>1099</v>
      </c>
      <c r="J165" s="20" t="n">
        <v>9358</v>
      </c>
      <c r="K165" s="20" t="n">
        <v>5757</v>
      </c>
      <c r="L165" s="20" t="n">
        <v>8011</v>
      </c>
    </row>
    <row r="166">
      <c r="A166" s="18" t="inlineStr">
        <is>
          <t>기타포괄손익누계액 합계</t>
        </is>
      </c>
      <c r="C166" s="20" t="n">
        <v>20445</v>
      </c>
      <c r="D166" s="20" t="n">
        <v>25106</v>
      </c>
      <c r="E166" s="20" t="n">
        <v>27742</v>
      </c>
      <c r="F166" s="20" t="n">
        <v>28564</v>
      </c>
      <c r="G166" s="20" t="n">
        <v>26135</v>
      </c>
      <c r="H166" s="20" t="n">
        <v>6371</v>
      </c>
      <c r="I166" s="20" t="n">
        <v>2721</v>
      </c>
      <c r="J166" s="20" t="n">
        <v>29546</v>
      </c>
      <c r="K166" s="20" t="n">
        <v>20991</v>
      </c>
      <c r="L166" s="20" t="n">
        <v>27742</v>
      </c>
    </row>
    <row r="167">
      <c r="A167" s="18" t="inlineStr">
        <is>
          <t>신주예약권</t>
        </is>
      </c>
      <c r="C167" s="20" t="n">
        <v>0</v>
      </c>
      <c r="D167" s="20" t="n">
        <v>0</v>
      </c>
      <c r="E167" s="20" t="n">
        <v>0</v>
      </c>
      <c r="H167" s="20" t="n">
        <v>107</v>
      </c>
      <c r="I167" s="20" t="n">
        <v>86</v>
      </c>
      <c r="J167" s="20" t="n">
        <v>27</v>
      </c>
      <c r="K167" s="20" t="n">
        <v>7</v>
      </c>
      <c r="L167" s="20" t="n">
        <v>0</v>
      </c>
    </row>
    <row r="168">
      <c r="A168" s="18" t="inlineStr">
        <is>
          <t>비지배지분</t>
        </is>
      </c>
      <c r="C168" s="20" t="n">
        <v>4195</v>
      </c>
      <c r="D168" s="20" t="n">
        <v>4627</v>
      </c>
      <c r="E168" s="20" t="n">
        <v>4476</v>
      </c>
      <c r="F168" s="20" t="n">
        <v>4208</v>
      </c>
      <c r="G168" s="20" t="n">
        <v>4182</v>
      </c>
      <c r="H168" s="20" t="n">
        <v>3836</v>
      </c>
      <c r="I168" s="20" t="n">
        <v>3888</v>
      </c>
      <c r="J168" s="20" t="n">
        <v>4789</v>
      </c>
      <c r="K168" s="20" t="n">
        <v>4509</v>
      </c>
      <c r="L168" s="20" t="n">
        <v>4476</v>
      </c>
    </row>
    <row r="169">
      <c r="A169" s="9" t="inlineStr">
        <is>
          <t>순자산 합계</t>
        </is>
      </c>
      <c r="C169" s="12" t="n">
        <v>135369</v>
      </c>
      <c r="D169" s="12" t="n">
        <v>142735</v>
      </c>
      <c r="E169" s="12" t="n">
        <v>146329</v>
      </c>
      <c r="F169" s="12" t="n">
        <v>149206</v>
      </c>
      <c r="G169" s="12" t="n">
        <v>151002</v>
      </c>
      <c r="H169" s="12" t="n">
        <v>100889</v>
      </c>
      <c r="I169" s="12" t="n">
        <v>70182</v>
      </c>
      <c r="J169" s="12" t="n">
        <v>139558</v>
      </c>
      <c r="K169" s="12" t="n">
        <v>140338</v>
      </c>
      <c r="L169" s="12" t="n">
        <v>146329</v>
      </c>
    </row>
    <row r="170">
      <c r="A170" s="9" t="inlineStr">
        <is>
          <t>부채·순자산 합계</t>
        </is>
      </c>
      <c r="C170" s="12" t="n">
        <v>286714</v>
      </c>
      <c r="D170" s="12" t="n">
        <v>305602</v>
      </c>
      <c r="E170" s="12" t="n">
        <v>311476</v>
      </c>
      <c r="F170" s="12" t="n">
        <v>318634</v>
      </c>
      <c r="G170" s="12" t="n">
        <v>308532</v>
      </c>
      <c r="H170" s="12" t="n">
        <v>201936</v>
      </c>
      <c r="I170" s="12" t="n">
        <v>151630</v>
      </c>
      <c r="J170" s="12" t="n">
        <v>272549</v>
      </c>
      <c r="K170" s="12" t="n">
        <v>300982</v>
      </c>
      <c r="L170" s="12" t="n">
        <v>311476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1" t="inlineStr">
        <is>
          <t>공시일</t>
        </is>
      </c>
      <c r="B3" s="51" t="inlineStr">
        <is>
          <t>문서</t>
        </is>
      </c>
      <c r="C3" s="51" t="inlineStr">
        <is>
          <t>PDF</t>
        </is>
      </c>
    </row>
    <row r="4">
      <c r="A4" t="inlineStr">
        <is>
          <t>2026-10-28</t>
        </is>
      </c>
      <c r="B4" t="inlineStr">
        <is>
          <t>2027년 3월 결산기 ２분기 결산단신</t>
        </is>
      </c>
      <c r="C4" t="inlineStr">
        <is>
          <t>https://www2.jpx.co.jp/disc/72830/140120261027556957.pdf</t>
        </is>
      </c>
    </row>
    <row r="5">
      <c r="A5" t="inlineStr">
        <is>
          <t>2026-07-30</t>
        </is>
      </c>
      <c r="B5" t="inlineStr">
        <is>
          <t>2027년 3월 결산기 １분기 결산단신</t>
        </is>
      </c>
      <c r="C5" t="inlineStr">
        <is>
          <t>https://www2.jpx.co.jp/disc/72830/140120260728500605.pdf</t>
        </is>
      </c>
    </row>
    <row r="6">
      <c r="A6" t="inlineStr">
        <is>
          <t>2026-04-27</t>
        </is>
      </c>
      <c r="B6" t="inlineStr">
        <is>
          <t>2026년 3월 결산기 연간 결산단신</t>
        </is>
      </c>
      <c r="C6" t="inlineStr">
        <is>
          <t>https://www2.jpx.co.jp/disc/72830/140120260424509855.pdf</t>
        </is>
      </c>
    </row>
    <row r="7">
      <c r="A7" t="inlineStr">
        <is>
          <t>2026-02-02</t>
        </is>
      </c>
      <c r="B7" t="inlineStr">
        <is>
          <t>2026년 3월 결산기 ３분기 결산단신</t>
        </is>
      </c>
      <c r="C7" t="inlineStr">
        <is>
          <t>https://www2.jpx.co.jp/disc/72830/140120260130543867.pdf</t>
        </is>
      </c>
    </row>
    <row r="8">
      <c r="A8" t="inlineStr">
        <is>
          <t>2025-10-30</t>
        </is>
      </c>
      <c r="B8" t="inlineStr">
        <is>
          <t>2026년 3월 결산기 ２분기 결산단신</t>
        </is>
      </c>
      <c r="C8" t="inlineStr">
        <is>
          <t>https://www2.jpx.co.jp/disc/72830/140120251030582850.pdf</t>
        </is>
      </c>
    </row>
    <row r="9">
      <c r="A9" t="inlineStr">
        <is>
          <t>2025-07-30</t>
        </is>
      </c>
      <c r="B9" t="inlineStr">
        <is>
          <t>2026년 3월 결산기 １분기 결산단신</t>
        </is>
      </c>
      <c r="C9" t="inlineStr">
        <is>
          <t>https://www2.jpx.co.jp/disc/72830/140120250728521986.pdf</t>
        </is>
      </c>
    </row>
    <row r="10">
      <c r="A10" t="inlineStr">
        <is>
          <t>2025-04-24</t>
        </is>
      </c>
      <c r="B10" t="inlineStr">
        <is>
          <t>2025년 3월 결산기 연간 결산단신</t>
        </is>
      </c>
      <c r="C10" t="inlineStr">
        <is>
          <t>https://www2.jpx.co.jp/disc/72830/140120250424522335.pdf</t>
        </is>
      </c>
    </row>
    <row r="11">
      <c r="A11" t="inlineStr">
        <is>
          <t>2025-01-30</t>
        </is>
      </c>
      <c r="B11" t="inlineStr">
        <is>
          <t>2025년 3월 결산기 ３분기 결산단신</t>
        </is>
      </c>
      <c r="C11" t="inlineStr">
        <is>
          <t>https://www2.jpx.co.jp/disc/72830/140120250129556853.pdf</t>
        </is>
      </c>
    </row>
    <row r="12">
      <c r="A12" t="inlineStr">
        <is>
          <t>2024-10-30</t>
        </is>
      </c>
      <c r="B12" t="inlineStr">
        <is>
          <t>2025년 3월 결산기 ２분기 결산단신</t>
        </is>
      </c>
      <c r="C12" t="inlineStr">
        <is>
          <t>https://www2.jpx.co.jp/disc/72830/140120241025502765.pdf</t>
        </is>
      </c>
    </row>
    <row r="13">
      <c r="A13" t="inlineStr">
        <is>
          <t>2024-07-30</t>
        </is>
      </c>
      <c r="B13" t="inlineStr">
        <is>
          <t>2025년 3월 결산기 １분기 결산단신</t>
        </is>
      </c>
      <c r="C13" t="inlineStr">
        <is>
          <t>https://www2.jpx.co.jp/disc/72830/140120240729556815.pdf</t>
        </is>
      </c>
    </row>
    <row r="14">
      <c r="A14" t="inlineStr">
        <is>
          <t>2024-04-25</t>
        </is>
      </c>
      <c r="B14" t="inlineStr">
        <is>
          <t>2024년 3월 결산기 연간 결산단신</t>
        </is>
      </c>
      <c r="C14" t="inlineStr">
        <is>
          <t>https://www2.jpx.co.jp/disc/72830/140120240423574376.pdf</t>
        </is>
      </c>
    </row>
    <row r="15">
      <c r="A15" t="inlineStr">
        <is>
          <t>2024-02-01</t>
        </is>
      </c>
      <c r="B15" t="inlineStr">
        <is>
          <t>2024년 3월 결산기 ３분기 결산단신</t>
        </is>
      </c>
      <c r="C15" t="inlineStr">
        <is>
          <t>https://www2.jpx.co.jp/disc/72830/140120240130521282.pdf</t>
        </is>
      </c>
    </row>
    <row r="16">
      <c r="A16" t="inlineStr">
        <is>
          <t>2023-10-30</t>
        </is>
      </c>
      <c r="B16" t="inlineStr">
        <is>
          <t>2024년 3월 결산기 ２분기 결산단신</t>
        </is>
      </c>
      <c r="C16" t="inlineStr">
        <is>
          <t>https://www2.jpx.co.jp/disc/72830/140120231027572735.pdf</t>
        </is>
      </c>
    </row>
    <row r="17">
      <c r="A17" t="inlineStr">
        <is>
          <t>2023-07-27</t>
        </is>
      </c>
      <c r="B17" t="inlineStr">
        <is>
          <t>2024년 3월 결산기 １분기 결산단신</t>
        </is>
      </c>
      <c r="C17" t="inlineStr">
        <is>
          <t>https://www2.jpx.co.jp/disc/72830/140120230724525734.pdf</t>
        </is>
      </c>
    </row>
    <row r="18">
      <c r="A18" t="inlineStr">
        <is>
          <t>2023-04-26</t>
        </is>
      </c>
      <c r="B18" t="inlineStr">
        <is>
          <t>2023년 3월 결산기 연간 결산단신</t>
        </is>
      </c>
      <c r="C18" t="inlineStr">
        <is>
          <t>https://www2.jpx.co.jp/disc/72830/140120230425551896.pdf</t>
        </is>
      </c>
    </row>
    <row r="19">
      <c r="A19" t="inlineStr">
        <is>
          <t>2023-02-02</t>
        </is>
      </c>
      <c r="B19" t="inlineStr">
        <is>
          <t>2023년 3월 결산기 ３분기 결산단신</t>
        </is>
      </c>
      <c r="C19" t="inlineStr">
        <is>
          <t>https://www2.jpx.co.jp/disc/72830/140120230130596220.pdf</t>
        </is>
      </c>
    </row>
    <row r="20">
      <c r="A20" t="inlineStr">
        <is>
          <t>2022-04-27</t>
        </is>
      </c>
      <c r="B20" t="inlineStr">
        <is>
          <t>2022년 3월 결산기 연간 결산단신</t>
        </is>
      </c>
      <c r="C20" t="inlineStr">
        <is>
          <t>https://www2.jpx.co.jp/disc/72830/140120220425527355.pdf</t>
        </is>
      </c>
    </row>
    <row r="21">
      <c r="A21" t="inlineStr">
        <is>
          <t>2021-04-27</t>
        </is>
      </c>
      <c r="B21" t="inlineStr">
        <is>
          <t>2021년 3월 결산기 연간 결산단신</t>
        </is>
      </c>
      <c r="C21" t="inlineStr">
        <is>
          <t>https://www2.jpx.co.jp/disc/72830/140120210426400312.pdf</t>
        </is>
      </c>
    </row>
    <row r="22">
      <c r="A22" t="inlineStr">
        <is>
          <t>2020-04-28</t>
        </is>
      </c>
      <c r="B22" t="inlineStr">
        <is>
          <t>2020년 3월 결산기 연간 결산단신</t>
        </is>
      </c>
      <c r="C22" t="inlineStr">
        <is>
          <t>https://www2.jpx.co.jp/disc/72830/140120200414494109.pdf</t>
        </is>
      </c>
    </row>
    <row r="23">
      <c r="A23" t="inlineStr">
        <is>
          <t>2019-04-25</t>
        </is>
      </c>
      <c r="B23" t="inlineStr">
        <is>
          <t>2019년 3월 결산기 연간 결산단신</t>
        </is>
      </c>
      <c r="C23" t="inlineStr">
        <is>
          <t>https://www2.jpx.co.jp/disc/72830/140120190327495790.pdf</t>
        </is>
      </c>
    </row>
    <row r="24">
      <c r="A24" t="inlineStr">
        <is>
          <t>2018-04-26</t>
        </is>
      </c>
      <c r="B24" t="inlineStr">
        <is>
          <t>2018년 3월 결산기 연간 결산단신</t>
        </is>
      </c>
      <c r="C24" t="inlineStr">
        <is>
          <t>https://www2.jpx.co.jp/disc/72830/140120180322494783.pdf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2026-10-28T06:59:45Z</dcterms:created>
  <dcterms:modified xmlns:dcterms="http://purl.org/dc/terms/" xmlns:xsi="http://www.w3.org/2001/XMLSchema-instance" xsi:type="dcterms:W3CDTF">2026-10-28T06:59:46Z</dcterms:modified>
</cp:coreProperties>
</file>