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07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6981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IFRS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442656</v>
      </c>
      <c r="D4" s="12" t="n">
        <v>439394</v>
      </c>
      <c r="E4" s="12" t="n">
        <v>390414</v>
      </c>
      <c r="F4" s="12" t="n">
        <v>421707</v>
      </c>
      <c r="G4" s="12" t="n">
        <v>461774</v>
      </c>
      <c r="H4" s="12" t="n">
        <v>448008</v>
      </c>
      <c r="I4" s="12" t="n">
        <v>411863</v>
      </c>
      <c r="J4" s="12" t="n">
        <v>416154</v>
      </c>
      <c r="K4" s="12" t="n">
        <v>486624</v>
      </c>
      <c r="L4" s="12" t="n">
        <v>467454</v>
      </c>
      <c r="M4" s="12" t="n">
        <v>460624</v>
      </c>
      <c r="N4" s="12" t="n">
        <v>502264</v>
      </c>
      <c r="O4" s="11" t="n"/>
      <c r="P4" s="12" t="n"/>
      <c r="Q4" s="12" t="n"/>
      <c r="R4" s="12" t="n"/>
      <c r="S4" s="12" t="n"/>
      <c r="T4" s="12" t="n"/>
      <c r="U4" s="12" t="n">
        <v>1686796</v>
      </c>
      <c r="V4" s="12" t="n">
        <v>1640158</v>
      </c>
      <c r="W4" s="12" t="n">
        <v>1743352</v>
      </c>
      <c r="X4" s="12" t="n">
        <v>1830856</v>
      </c>
      <c r="Y4" s="11">
        <f>IF(COUNT(Y7,Y10,Y13,Y16,Y19)=0,"",SUM(Y7,Y10,Y13,Y16,Y19))</f>
        <v/>
      </c>
      <c r="Z4" s="12">
        <f>IF(COUNT(Z7,Z10,Z13,Z16,Z19)=0,"",SUM(Z7,Z10,Z13,Z16,Z19))</f>
        <v/>
      </c>
      <c r="AA4" s="12">
        <f>IF(COUNT(AA7,AA10,AA13,AA16,AA19)=0,"",SUM(AA7,AA10,AA13,AA16,AA19))</f>
        <v/>
      </c>
      <c r="AB4" s="12">
        <f>IF(COUNT(AB7,AB10,AB13,AB16,AB19)=0,"",SUM(AB7,AB10,AB13,AB16,AB19))</f>
        <v/>
      </c>
      <c r="AC4" s="12">
        <f>IF(COUNT(AC7,AC10,AC13,AC16,AC19)=0,"",SUM(AC7,AC10,AC13,AC16,AC19))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Components</t>
        </is>
      </c>
      <c r="B7" s="10" t="n"/>
      <c r="C7" s="19" t="n">
        <v>245403</v>
      </c>
      <c r="D7" s="20" t="n">
        <v>246225</v>
      </c>
      <c r="E7" s="20" t="n"/>
      <c r="F7" s="20" t="n">
        <v>251596</v>
      </c>
      <c r="G7" s="20" t="n">
        <v>266768</v>
      </c>
      <c r="H7" s="20" t="n">
        <v>264585</v>
      </c>
      <c r="I7" s="20" t="n"/>
      <c r="J7" s="20" t="n">
        <v>269818</v>
      </c>
      <c r="K7" s="20" t="n">
        <v>295830</v>
      </c>
      <c r="L7" s="20" t="n">
        <v>295493</v>
      </c>
      <c r="M7" s="20" t="n"/>
      <c r="N7" s="20" t="n">
        <v>346762</v>
      </c>
      <c r="O7" s="19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Devices And Modules</t>
        </is>
      </c>
      <c r="B10" s="10" t="n"/>
      <c r="C10" s="19" t="n">
        <v>194376</v>
      </c>
      <c r="D10" s="20" t="n">
        <v>190271</v>
      </c>
      <c r="E10" s="20" t="n"/>
      <c r="F10" s="20" t="n">
        <v>167173</v>
      </c>
      <c r="G10" s="20" t="n">
        <v>191422</v>
      </c>
      <c r="H10" s="20" t="n">
        <v>180050</v>
      </c>
      <c r="I10" s="20" t="n"/>
      <c r="J10" s="20" t="n">
        <v>142634</v>
      </c>
      <c r="K10" s="20" t="n">
        <v>187131</v>
      </c>
      <c r="L10" s="20" t="n">
        <v>168241</v>
      </c>
      <c r="M10" s="20" t="n"/>
      <c r="N10" s="20" t="n">
        <v>151428</v>
      </c>
      <c r="O10" s="19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OtherReportableSegmentsMember</t>
        </is>
      </c>
      <c r="B13" s="10" t="n"/>
      <c r="C13" s="19" t="n">
        <v>2877</v>
      </c>
      <c r="D13" s="20" t="n">
        <v>2898</v>
      </c>
      <c r="E13" s="20" t="n">
        <v>2867</v>
      </c>
      <c r="F13" s="20" t="n">
        <v>2938</v>
      </c>
      <c r="G13" s="20" t="n">
        <v>3584</v>
      </c>
      <c r="H13" s="20" t="n">
        <v>3373</v>
      </c>
      <c r="I13" s="20" t="n">
        <v>3174</v>
      </c>
      <c r="J13" s="20" t="n">
        <v>3702</v>
      </c>
      <c r="K13" s="20" t="n">
        <v>3663</v>
      </c>
      <c r="L13" s="20" t="n">
        <v>3720</v>
      </c>
      <c r="M13" s="20" t="n">
        <v>4071</v>
      </c>
      <c r="N13" s="20" t="n">
        <v>4074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11151</v>
      </c>
      <c r="W13" s="20" t="n">
        <v>13069</v>
      </c>
      <c r="X13" s="20" t="n">
        <v>15156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Components Reportable Segments</t>
        </is>
      </c>
      <c r="B16" s="10" t="n"/>
      <c r="C16" s="19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>
        <v>933771</v>
      </c>
      <c r="W16" s="20" t="n">
        <v>1033118</v>
      </c>
      <c r="X16" s="20" t="n">
        <v>1159734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Devices And Modules Reportable Segments</t>
        </is>
      </c>
      <c r="B19" s="10" t="n"/>
      <c r="C19" s="19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>
        <v>695236</v>
      </c>
      <c r="W19" s="20" t="n">
        <v>697165</v>
      </c>
      <c r="X19" s="20" t="n">
        <v>655966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매출원가</t>
        </is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18" t="inlineStr">
        <is>
          <t>전체 매출원가</t>
        </is>
      </c>
      <c r="B23" s="10" t="n"/>
      <c r="C23" s="19" t="n">
        <v>263187</v>
      </c>
      <c r="D23" s="20" t="n">
        <v>270116</v>
      </c>
      <c r="E23" s="20" t="n">
        <v>246078</v>
      </c>
      <c r="F23" s="20" t="n">
        <v>252260</v>
      </c>
      <c r="G23" s="20" t="n">
        <v>262761</v>
      </c>
      <c r="H23" s="20" t="n">
        <v>267341</v>
      </c>
      <c r="I23" s="20" t="n">
        <v>243288</v>
      </c>
      <c r="J23" s="20" t="n">
        <v>243494</v>
      </c>
      <c r="K23" s="20" t="n">
        <v>278432</v>
      </c>
      <c r="L23" s="20" t="n">
        <v>272587</v>
      </c>
      <c r="M23" s="20" t="n">
        <v>261517</v>
      </c>
      <c r="N23" s="20" t="n">
        <v>272315</v>
      </c>
      <c r="O23" s="19" t="n"/>
      <c r="P23" s="20" t="n"/>
      <c r="Q23" s="20" t="n"/>
      <c r="R23" s="20" t="n"/>
      <c r="S23" s="20" t="n"/>
      <c r="T23" s="20" t="n"/>
      <c r="U23" s="20" t="n">
        <v>1013262</v>
      </c>
      <c r="V23" s="20" t="n">
        <v>1003361</v>
      </c>
      <c r="W23" s="20" t="n">
        <v>1025650</v>
      </c>
      <c r="X23" s="20" t="n">
        <v>1056030</v>
      </c>
      <c r="Y23" s="19" t="n"/>
      <c r="Z23" s="20" t="n"/>
      <c r="AA23" s="20" t="n"/>
      <c r="AB23" s="20" t="n"/>
      <c r="AC23" s="20" t="n"/>
    </row>
    <row r="24">
      <c r="A24" s="18" t="inlineStr">
        <is>
          <t>매출총이익</t>
        </is>
      </c>
      <c r="B24" s="10" t="n"/>
      <c r="C24" s="19">
        <f>IF(OR(C4="",C23=""),"",IFERROR(C4-C23,""))</f>
        <v/>
      </c>
      <c r="D24" s="20">
        <f>IF(OR(D4="",D23=""),"",IFERROR(D4-D23,""))</f>
        <v/>
      </c>
      <c r="E24" s="20">
        <f>IF(OR(E4="",E23=""),"",IFERROR(E4-E23,""))</f>
        <v/>
      </c>
      <c r="F24" s="20">
        <f>IF(OR(F4="",F23=""),"",IFERROR(F4-F23,""))</f>
        <v/>
      </c>
      <c r="G24" s="20">
        <f>IF(OR(G4="",G23=""),"",IFERROR(G4-G23,""))</f>
        <v/>
      </c>
      <c r="H24" s="20">
        <f>IF(OR(H4="",H23=""),"",IFERROR(H4-H23,""))</f>
        <v/>
      </c>
      <c r="I24" s="20">
        <f>IF(OR(I4="",I23=""),"",IFERROR(I4-I23,""))</f>
        <v/>
      </c>
      <c r="J24" s="20">
        <f>IF(OR(J4="",J23=""),"",IFERROR(J4-J23,""))</f>
        <v/>
      </c>
      <c r="K24" s="20">
        <f>IF(OR(K4="",K23=""),"",IFERROR(K4-K23,""))</f>
        <v/>
      </c>
      <c r="L24" s="20">
        <f>IF(OR(L4="",L23=""),"",IFERROR(L4-L23,""))</f>
        <v/>
      </c>
      <c r="M24" s="20">
        <f>IF(OR(M4="",M23=""),"",IFERROR(M4-M23,""))</f>
        <v/>
      </c>
      <c r="N24" s="20">
        <f>IF(OR(N4="",N23=""),"",IFERROR(N4-N23,""))</f>
        <v/>
      </c>
      <c r="O24" s="19">
        <f>IF(OR(O4="",O23=""),"",IFERROR(O4-O23,""))</f>
        <v/>
      </c>
      <c r="P24" s="20">
        <f>IF(OR(P4="",P23=""),"",IFERROR(P4-P23,""))</f>
        <v/>
      </c>
      <c r="Q24" s="20">
        <f>IF(OR(Q4="",Q23=""),"",IFERROR(Q4-Q23,""))</f>
        <v/>
      </c>
      <c r="R24" s="20">
        <f>IF(OR(R4="",R23=""),"",IFERROR(R4-R23,""))</f>
        <v/>
      </c>
      <c r="S24" s="20">
        <f>IF(OR(S4="",S23=""),"",IFERROR(S4-S23,""))</f>
        <v/>
      </c>
      <c r="T24" s="20">
        <f>IF(OR(T4="",T23=""),"",IFERROR(T4-T23,""))</f>
        <v/>
      </c>
      <c r="U24" s="20">
        <f>IF(OR(U4="",U23=""),"",IFERROR(U4-U23,""))</f>
        <v/>
      </c>
      <c r="V24" s="20">
        <f>IF(OR(V4="",V23=""),"",IFERROR(V4-V23,""))</f>
        <v/>
      </c>
      <c r="W24" s="20">
        <f>IF(OR(W4="",W23=""),"",IFERROR(W4-W23,""))</f>
        <v/>
      </c>
      <c r="X24" s="20">
        <f>IF(OR(X4="",X23=""),"",IFERROR(X4-X23,""))</f>
        <v/>
      </c>
      <c r="Y24" s="19" t="n"/>
      <c r="Z24" s="20" t="n"/>
      <c r="AA24" s="20" t="n"/>
      <c r="AB24" s="20" t="n"/>
      <c r="AC24" s="20" t="n"/>
    </row>
    <row r="25">
      <c r="A25" s="13" t="inlineStr">
        <is>
          <t>GPM</t>
        </is>
      </c>
      <c r="B25" s="10" t="n"/>
      <c r="C25" s="14">
        <f>IF(OR(C24="",C4=""),"",IFERROR(C24/C4,""))</f>
        <v/>
      </c>
      <c r="D25" s="15">
        <f>IF(OR(D24="",D4=""),"",IFERROR(D24/D4,""))</f>
        <v/>
      </c>
      <c r="E25" s="15">
        <f>IF(OR(E24="",E4=""),"",IFERROR(E24/E4,""))</f>
        <v/>
      </c>
      <c r="F25" s="15">
        <f>IF(OR(F24="",F4=""),"",IFERROR(F24/F4,""))</f>
        <v/>
      </c>
      <c r="G25" s="15">
        <f>IF(OR(G24="",G4=""),"",IFERROR(G24/G4,""))</f>
        <v/>
      </c>
      <c r="H25" s="15">
        <f>IF(OR(H24="",H4=""),"",IFERROR(H24/H4,""))</f>
        <v/>
      </c>
      <c r="I25" s="15">
        <f>IF(OR(I24="",I4=""),"",IFERROR(I24/I4,""))</f>
        <v/>
      </c>
      <c r="J25" s="15">
        <f>IF(OR(J24="",J4=""),"",IFERROR(J24/J4,""))</f>
        <v/>
      </c>
      <c r="K25" s="15">
        <f>IF(OR(K24="",K4=""),"",IFERROR(K24/K4,""))</f>
        <v/>
      </c>
      <c r="L25" s="15">
        <f>IF(OR(L24="",L4=""),"",IFERROR(L24/L4,""))</f>
        <v/>
      </c>
      <c r="M25" s="15">
        <f>IF(OR(M24="",M4=""),"",IFERROR(M24/M4,""))</f>
        <v/>
      </c>
      <c r="N25" s="15">
        <f>IF(OR(N24="",N4=""),"",IFERROR(N24/N4,""))</f>
        <v/>
      </c>
      <c r="O25" s="14">
        <f>IF(OR(O24="",O4=""),"",IFERROR(O24/O4,""))</f>
        <v/>
      </c>
      <c r="P25" s="15">
        <f>IF(OR(P24="",P4=""),"",IFERROR(P24/P4,""))</f>
        <v/>
      </c>
      <c r="Q25" s="15">
        <f>IF(OR(Q24="",Q4=""),"",IFERROR(Q24/Q4,""))</f>
        <v/>
      </c>
      <c r="R25" s="15">
        <f>IF(OR(R24="",R4=""),"",IFERROR(R24/R4,""))</f>
        <v/>
      </c>
      <c r="S25" s="15">
        <f>IF(OR(S24="",S4=""),"",IFERROR(S24/S4,""))</f>
        <v/>
      </c>
      <c r="T25" s="15">
        <f>IF(OR(T24="",T4=""),"",IFERROR(T24/T4,""))</f>
        <v/>
      </c>
      <c r="U25" s="15">
        <f>IF(OR(U24="",U4=""),"",IFERROR(U24/U4,""))</f>
        <v/>
      </c>
      <c r="V25" s="15">
        <f>IF(OR(V24="",V4=""),"",IFERROR(V24/V4,""))</f>
        <v/>
      </c>
      <c r="W25" s="15">
        <f>IF(OR(W24="",W4=""),"",IFERROR(W24/W4,""))</f>
        <v/>
      </c>
      <c r="X25" s="15">
        <f>IF(OR(X24="",X4=""),"",IFERROR(X24/X4,""))</f>
        <v/>
      </c>
      <c r="Y25" s="14">
        <f>IF(OR(Y24="",Y4=""),"",IFERROR(Y24/Y4,""))</f>
        <v/>
      </c>
      <c r="Z25" s="15">
        <f>IF(OR(Z24="",Z4=""),"",IFERROR(Z24/Z4,""))</f>
        <v/>
      </c>
      <c r="AA25" s="15">
        <f>IF(OR(AA24="",AA4=""),"",IFERROR(AA24/AA4,""))</f>
        <v/>
      </c>
      <c r="AB25" s="15">
        <f>IF(OR(AB24="",AB4=""),"",IFERROR(AB24/AB4,""))</f>
        <v/>
      </c>
      <c r="AC25" s="15">
        <f>IF(OR(AC24="",AC4=""),"",IFERROR(AC24/AC4,""))</f>
        <v/>
      </c>
    </row>
    <row r="26">
      <c r="A26" s="23" t="inlineStr">
        <is>
          <t>판매관리비</t>
        </is>
      </c>
      <c r="B26" s="23" t="n"/>
      <c r="C26" s="24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4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4" t="n"/>
      <c r="Z26" s="23" t="n"/>
      <c r="AA26" s="23" t="n"/>
      <c r="AB26" s="23" t="n"/>
      <c r="AC26" s="23" t="n"/>
    </row>
    <row r="27">
      <c r="A27" s="18" t="inlineStr">
        <is>
          <t>전체 판관비</t>
        </is>
      </c>
      <c r="B27" s="10" t="n"/>
      <c r="C27" s="19" t="n">
        <v>58452</v>
      </c>
      <c r="D27" s="20" t="n">
        <v>60925</v>
      </c>
      <c r="E27" s="20" t="n">
        <v>62728</v>
      </c>
      <c r="F27" s="20" t="n">
        <v>69838</v>
      </c>
      <c r="G27" s="20" t="n">
        <v>65301</v>
      </c>
      <c r="H27" s="20" t="n">
        <v>68992</v>
      </c>
      <c r="I27" s="20" t="n">
        <v>73550</v>
      </c>
      <c r="J27" s="20" t="n">
        <v>71354</v>
      </c>
      <c r="K27" s="20" t="n">
        <v>66926</v>
      </c>
      <c r="L27" s="20" t="n">
        <v>73346</v>
      </c>
      <c r="M27" s="20" t="n">
        <v>85021</v>
      </c>
      <c r="N27" s="20" t="n">
        <v>86308</v>
      </c>
      <c r="O27" s="19" t="n"/>
      <c r="P27" s="20" t="n"/>
      <c r="Q27" s="20" t="n"/>
      <c r="R27" s="20" t="n"/>
      <c r="S27" s="20" t="n"/>
      <c r="T27" s="20" t="n"/>
      <c r="U27" s="20" t="n">
        <v>255837</v>
      </c>
      <c r="V27" s="20" t="n">
        <v>243193</v>
      </c>
      <c r="W27" s="20" t="n">
        <v>277681</v>
      </c>
      <c r="X27" s="20" t="n">
        <v>296647</v>
      </c>
      <c r="Y27" s="19" t="n"/>
      <c r="Z27" s="20" t="n"/>
      <c r="AA27" s="20" t="n"/>
      <c r="AB27" s="20" t="n"/>
      <c r="AC27" s="20" t="n"/>
    </row>
    <row r="28">
      <c r="A28" s="9" t="inlineStr">
        <is>
          <t>영업이익</t>
        </is>
      </c>
      <c r="B28" s="10" t="inlineStr">
        <is>
          <t>MW = 매출 × OPM</t>
        </is>
      </c>
      <c r="C28" s="11" t="n">
        <v>88811</v>
      </c>
      <c r="D28" s="12" t="n">
        <v>76197</v>
      </c>
      <c r="E28" s="12" t="n">
        <v>328</v>
      </c>
      <c r="F28" s="12" t="n">
        <v>66375</v>
      </c>
      <c r="G28" s="12" t="n">
        <v>91797</v>
      </c>
      <c r="H28" s="12" t="n">
        <v>75989</v>
      </c>
      <c r="I28" s="12" t="n">
        <v>45541</v>
      </c>
      <c r="J28" s="12" t="n">
        <v>61621</v>
      </c>
      <c r="K28" s="12" t="n">
        <v>103515</v>
      </c>
      <c r="L28" s="12" t="n">
        <v>37876</v>
      </c>
      <c r="M28" s="12" t="n">
        <v>78823</v>
      </c>
      <c r="N28" s="12" t="n">
        <v>98454</v>
      </c>
      <c r="O28" s="11" t="n"/>
      <c r="P28" s="12" t="n"/>
      <c r="Q28" s="12" t="n"/>
      <c r="R28" s="12" t="n"/>
      <c r="S28" s="12" t="n"/>
      <c r="T28" s="12" t="n"/>
      <c r="U28" s="12" t="n">
        <v>298231</v>
      </c>
      <c r="V28" s="12" t="n">
        <v>215447</v>
      </c>
      <c r="W28" s="12" t="n">
        <v>279702</v>
      </c>
      <c r="X28" s="12" t="n">
        <v>281835</v>
      </c>
      <c r="Y28" s="11">
        <f>IF(OR(Y4="",Y29=""),"",IFERROR(Y4*Y29,""))</f>
        <v/>
      </c>
      <c r="Z28" s="12">
        <f>IF(OR(Z4="",Z29=""),"",IFERROR(Z4*Z29,""))</f>
        <v/>
      </c>
      <c r="AA28" s="12">
        <f>IF(OR(AA4="",AA29=""),"",IFERROR(AA4*AA29,""))</f>
        <v/>
      </c>
      <c r="AB28" s="12">
        <f>IF(OR(AB4="",AB29=""),"",IFERROR(AB4*AB29,""))</f>
        <v/>
      </c>
      <c r="AC28" s="12">
        <f>IF(OR(AC4="",AC29=""),"",IFERROR(AC4*AC29,""))</f>
        <v/>
      </c>
    </row>
    <row r="29">
      <c r="A29" s="13" t="inlineStr">
        <is>
          <t>OPM</t>
        </is>
      </c>
      <c r="B29" s="10" t="inlineStr">
        <is>
          <t>MW 입력</t>
        </is>
      </c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25" t="n"/>
      <c r="Z29" s="26" t="n"/>
      <c r="AA29" s="26" t="n"/>
      <c r="AB29" s="26" t="n"/>
      <c r="AC29" s="26" t="n"/>
    </row>
    <row r="30">
      <c r="A30" s="13" t="inlineStr">
        <is>
          <t>증가율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6" t="inlineStr">
        <is>
          <t>비용의 성격별 분류</t>
        </is>
      </c>
      <c r="B31" s="16" t="inlineStr">
        <is>
          <t>참고 데이터</t>
        </is>
      </c>
      <c r="C31" s="17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7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7" t="n"/>
      <c r="Z31" s="16" t="n"/>
      <c r="AA31" s="16" t="n"/>
      <c r="AB31" s="16" t="n"/>
      <c r="AC31" s="16" t="n"/>
    </row>
    <row r="32">
      <c r="A32" s="9" t="inlineStr">
        <is>
          <t>총 판관비</t>
        </is>
      </c>
      <c r="B32" s="10" t="n"/>
      <c r="C32" s="11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1">
        <f>IF(O27="","",O27)</f>
        <v/>
      </c>
      <c r="P32" s="12">
        <f>IF(P27="","",P27)</f>
        <v/>
      </c>
      <c r="Q32" s="12">
        <f>IF(Q27="","",Q27)</f>
        <v/>
      </c>
      <c r="R32" s="12">
        <f>IF(R27="","",R27)</f>
        <v/>
      </c>
      <c r="S32" s="12">
        <f>IF(S27="","",S27)</f>
        <v/>
      </c>
      <c r="T32" s="12">
        <f>IF(T27="","",T27)</f>
        <v/>
      </c>
      <c r="U32" s="12">
        <f>IF(U27="","",U27)</f>
        <v/>
      </c>
      <c r="V32" s="12">
        <f>IF(V27="","",V27)</f>
        <v/>
      </c>
      <c r="W32" s="12">
        <f>IF(W27="","",W27)</f>
        <v/>
      </c>
      <c r="X32" s="12">
        <f>IF(X27="","",X27)</f>
        <v/>
      </c>
      <c r="Y32" s="11" t="n"/>
      <c r="Z32" s="12" t="n"/>
      <c r="AA32" s="12" t="n"/>
      <c r="AB32" s="12" t="n"/>
      <c r="AC32" s="12" t="n"/>
    </row>
    <row r="33">
      <c r="A33" s="18" t="inlineStr">
        <is>
          <t>급여</t>
        </is>
      </c>
      <c r="B33" s="10" t="inlineStr">
        <is>
          <t>고정비</t>
        </is>
      </c>
      <c r="C33" s="19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9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19" t="n"/>
      <c r="Z33" s="20" t="n"/>
      <c r="AA33" s="20" t="n"/>
      <c r="AB33" s="20" t="n"/>
      <c r="AC33" s="20" t="n"/>
    </row>
    <row r="34">
      <c r="A34" s="13" t="inlineStr">
        <is>
          <t>% of Sales</t>
        </is>
      </c>
      <c r="B34" s="10" t="n"/>
      <c r="C34" s="14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4">
        <f>IF(OR(O33="",O4=""),"",IFERROR(O33/O4,""))</f>
        <v/>
      </c>
      <c r="P34" s="15">
        <f>IF(OR(P33="",P4=""),"",IFERROR(P33/P4,""))</f>
        <v/>
      </c>
      <c r="Q34" s="15">
        <f>IF(OR(Q33="",Q4=""),"",IFERROR(Q33/Q4,""))</f>
        <v/>
      </c>
      <c r="R34" s="15">
        <f>IF(OR(R33="",R4=""),"",IFERROR(R33/R4,""))</f>
        <v/>
      </c>
      <c r="S34" s="15">
        <f>IF(OR(S33="",S4=""),"",IFERROR(S33/S4,""))</f>
        <v/>
      </c>
      <c r="T34" s="15">
        <f>IF(OR(T33="",T4=""),"",IFERROR(T33/T4,""))</f>
        <v/>
      </c>
      <c r="U34" s="15">
        <f>IF(OR(U33="",U4=""),"",IFERROR(U33/U4,""))</f>
        <v/>
      </c>
      <c r="V34" s="15">
        <f>IF(OR(V33="",V4=""),"",IFERROR(V33/V4,""))</f>
        <v/>
      </c>
      <c r="W34" s="15">
        <f>IF(OR(W33="",W4=""),"",IFERROR(W33/W4,""))</f>
        <v/>
      </c>
      <c r="X34" s="15">
        <f>IF(OR(X33="",X4=""),"",IFERROR(X33/X4,""))</f>
        <v/>
      </c>
      <c r="Y34" s="14" t="n"/>
      <c r="Z34" s="15" t="n"/>
      <c r="AA34" s="15" t="n"/>
      <c r="AB34" s="15" t="n"/>
      <c r="AC34" s="15" t="n"/>
    </row>
    <row r="35">
      <c r="A35" s="18" t="inlineStr">
        <is>
          <t>감가상각비</t>
        </is>
      </c>
      <c r="B35" s="10" t="inlineStr">
        <is>
          <t>고정비</t>
        </is>
      </c>
      <c r="C35" s="19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9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19" t="n"/>
      <c r="Z35" s="20" t="n"/>
      <c r="AA35" s="20" t="n"/>
      <c r="AB35" s="20" t="n"/>
      <c r="AC35" s="20" t="n"/>
    </row>
    <row r="36">
      <c r="A36" s="13" t="inlineStr">
        <is>
          <t>% of Sales</t>
        </is>
      </c>
      <c r="B36" s="10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14" t="n"/>
      <c r="Z36" s="15" t="n"/>
      <c r="AA36" s="15" t="n"/>
      <c r="AB36" s="15" t="n"/>
      <c r="AC36" s="15" t="n"/>
    </row>
    <row r="37">
      <c r="A37" s="18" t="inlineStr">
        <is>
          <t>지급수수료</t>
        </is>
      </c>
      <c r="B37" s="10" t="inlineStr">
        <is>
          <t>고정비</t>
        </is>
      </c>
      <c r="C37" s="19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19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19" t="n"/>
      <c r="Z37" s="20" t="n"/>
      <c r="AA37" s="20" t="n"/>
      <c r="AB37" s="20" t="n"/>
      <c r="AC37" s="20" t="n"/>
    </row>
    <row r="38">
      <c r="A38" s="13" t="inlineStr">
        <is>
          <t>% of Sales</t>
        </is>
      </c>
      <c r="B38" s="10" t="n"/>
      <c r="C38" s="14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14" t="n"/>
      <c r="Z38" s="15" t="n"/>
      <c r="AA38" s="15" t="n"/>
      <c r="AB38" s="15" t="n"/>
      <c r="AC38" s="15" t="n"/>
    </row>
    <row r="39">
      <c r="A39" s="18" t="inlineStr">
        <is>
          <t>연구개발비</t>
        </is>
      </c>
      <c r="B39" s="10" t="inlineStr">
        <is>
          <t>변동비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기타비용</t>
        </is>
      </c>
      <c r="B41" s="10" t="inlineStr">
        <is>
          <t>변동비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>
        <f>IF(OR(O32="",O33="",O35="",O37="",O39=""),"",IFERROR(O32-O33-O35-O37-O39,""))</f>
        <v/>
      </c>
      <c r="P41" s="20">
        <f>IF(OR(P32="",P33="",P35="",P37="",P39=""),"",IFERROR(P32-P33-P35-P37-P39,""))</f>
        <v/>
      </c>
      <c r="Q41" s="20">
        <f>IF(OR(Q32="",Q33="",Q35="",Q37="",Q39=""),"",IFERROR(Q32-Q33-Q35-Q37-Q39,""))</f>
        <v/>
      </c>
      <c r="R41" s="20">
        <f>IF(OR(R32="",R33="",R35="",R37="",R39=""),"",IFERROR(R32-R33-R35-R37-R39,""))</f>
        <v/>
      </c>
      <c r="S41" s="20">
        <f>IF(OR(S32="",S33="",S35="",S37="",S39=""),"",IFERROR(S32-S33-S35-S37-S39,""))</f>
        <v/>
      </c>
      <c r="T41" s="20">
        <f>IF(OR(T32="",T33="",T35="",T37="",T39=""),"",IFERROR(T32-T33-T35-T37-T39,""))</f>
        <v/>
      </c>
      <c r="U41" s="20">
        <f>IF(OR(U32="",U33="",U35="",U37="",U39=""),"",IFERROR(U32-U33-U35-U37-U39,""))</f>
        <v/>
      </c>
      <c r="V41" s="20">
        <f>IF(OR(V32="",V33="",V35="",V37="",V39=""),"",IFERROR(V32-V33-V35-V37-V39,""))</f>
        <v/>
      </c>
      <c r="W41" s="20">
        <f>IF(OR(W32="",W33="",W35="",W37="",W39=""),"",IFERROR(W32-W33-W35-W37-W39,""))</f>
        <v/>
      </c>
      <c r="X41" s="20">
        <f>IF(OR(X32="",X33="",X35="",X37="",X39=""),"",IFERROR(X32-X33-X35-X37-X39,""))</f>
        <v/>
      </c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6" t="inlineStr">
        <is>
          <t>당기순이익 추정</t>
        </is>
      </c>
      <c r="B43" s="16" t="n"/>
      <c r="C43" s="17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7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7" t="n"/>
      <c r="Z43" s="16" t="n"/>
      <c r="AA43" s="16" t="n"/>
      <c r="AB43" s="16" t="n"/>
      <c r="AC43" s="16" t="n"/>
    </row>
    <row r="44">
      <c r="A44" s="18" t="inlineStr">
        <is>
          <t>기타이익</t>
        </is>
      </c>
      <c r="B44" s="10" t="n"/>
      <c r="C44" s="19" t="n">
        <v>2584</v>
      </c>
      <c r="D44" s="20" t="n">
        <v>1459</v>
      </c>
      <c r="E44" s="20" t="n">
        <v>1885</v>
      </c>
      <c r="F44" s="20" t="n">
        <v>8524</v>
      </c>
      <c r="G44" s="20" t="n">
        <v>2643</v>
      </c>
      <c r="H44" s="20" t="n">
        <v>1387</v>
      </c>
      <c r="I44" s="20" t="n">
        <v>3940</v>
      </c>
      <c r="J44" s="20" t="n">
        <v>1408</v>
      </c>
      <c r="K44" s="20" t="n">
        <v>2270</v>
      </c>
      <c r="L44" s="20" t="n">
        <v>5176</v>
      </c>
      <c r="M44" s="20" t="n">
        <v>8659</v>
      </c>
      <c r="N44" s="20" t="n">
        <v>1819</v>
      </c>
      <c r="O44" s="19" t="n"/>
      <c r="P44" s="20" t="n"/>
      <c r="Q44" s="20" t="n"/>
      <c r="R44" s="20" t="n"/>
      <c r="S44" s="20" t="n"/>
      <c r="T44" s="20" t="n"/>
      <c r="U44" s="20" t="n">
        <v>9463</v>
      </c>
      <c r="V44" s="20" t="n">
        <v>7269</v>
      </c>
      <c r="W44" s="20" t="n">
        <v>16494</v>
      </c>
      <c r="X44" s="20" t="n">
        <v>17513</v>
      </c>
      <c r="Y44" s="19">
        <f>IF(OR(Y4="",Y45=""),"",IFERROR(Y4*Y45,""))</f>
        <v/>
      </c>
      <c r="Z44" s="20">
        <f>IF(OR(Z4="",Z45=""),"",IFERROR(Z4*Z45,""))</f>
        <v/>
      </c>
      <c r="AA44" s="20">
        <f>IF(OR(AA4="",AA45=""),"",IFERROR(AA4*AA45,""))</f>
        <v/>
      </c>
      <c r="AB44" s="20">
        <f>IF(OR(AB4="",AB45=""),"",IFERROR(AB4*AB45,""))</f>
        <v/>
      </c>
      <c r="AC44" s="20">
        <f>IF(OR(AC4="",AC45=""),"",IFERROR(AC4*AC45,""))</f>
        <v/>
      </c>
    </row>
    <row r="45">
      <c r="A45" s="13" t="inlineStr">
        <is>
          <t>% of Sales</t>
        </is>
      </c>
      <c r="B45" s="10" t="inlineStr">
        <is>
          <t>MW = 최근 3년 평균</t>
        </is>
      </c>
      <c r="C45" s="14">
        <f>IF(OR(C44="",C4=""),"",IFERROR(C44/C4,""))</f>
        <v/>
      </c>
      <c r="D45" s="15">
        <f>IF(OR(D44="",D4=""),"",IFERROR(D44/D4,""))</f>
        <v/>
      </c>
      <c r="E45" s="15">
        <f>IF(OR(E44="",E4=""),"",IFERROR(E44/E4,""))</f>
        <v/>
      </c>
      <c r="F45" s="15">
        <f>IF(OR(F44="",F4=""),"",IFERROR(F44/F4,""))</f>
        <v/>
      </c>
      <c r="G45" s="15">
        <f>IF(OR(G44="",G4=""),"",IFERROR(G44/G4,""))</f>
        <v/>
      </c>
      <c r="H45" s="15">
        <f>IF(OR(H44="",H4=""),"",IFERROR(H44/H4,""))</f>
        <v/>
      </c>
      <c r="I45" s="15">
        <f>IF(OR(I44="",I4=""),"",IFERROR(I44/I4,""))</f>
        <v/>
      </c>
      <c r="J45" s="15">
        <f>IF(OR(J44="",J4=""),"",IFERROR(J44/J4,""))</f>
        <v/>
      </c>
      <c r="K45" s="15">
        <f>IF(OR(K44="",K4=""),"",IFERROR(K44/K4,""))</f>
        <v/>
      </c>
      <c r="L45" s="15">
        <f>IF(OR(L44="",L4=""),"",IFERROR(L44/L4,""))</f>
        <v/>
      </c>
      <c r="M45" s="15">
        <f>IF(OR(M44="",M4=""),"",IFERROR(M44/M4,""))</f>
        <v/>
      </c>
      <c r="N45" s="15">
        <f>IF(OR(N44="",N4=""),"",IFERROR(N44/N4,""))</f>
        <v/>
      </c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25">
        <f>IFERROR(AVERAGE(V45,W45,X45),"")</f>
        <v/>
      </c>
      <c r="Z45" s="26">
        <f>Y45</f>
        <v/>
      </c>
      <c r="AA45" s="26">
        <f>Z45</f>
        <v/>
      </c>
      <c r="AB45" s="26">
        <f>AA45</f>
        <v/>
      </c>
      <c r="AC45" s="26">
        <f>AB45</f>
        <v/>
      </c>
    </row>
    <row r="46">
      <c r="A46" s="18" t="inlineStr">
        <is>
          <t>기타손실</t>
        </is>
      </c>
      <c r="B46" s="10" t="n"/>
      <c r="C46" s="19" t="n">
        <v>1184</v>
      </c>
      <c r="D46" s="20" t="n">
        <v>154</v>
      </c>
      <c r="E46" s="20" t="n">
        <v>50461</v>
      </c>
      <c r="F46" s="20" t="n">
        <v>3906</v>
      </c>
      <c r="G46" s="20" t="n">
        <v>8845</v>
      </c>
      <c r="H46" s="20" t="n">
        <v>810</v>
      </c>
      <c r="I46" s="20" t="n">
        <v>13978</v>
      </c>
      <c r="J46" s="20" t="n">
        <v>1274</v>
      </c>
      <c r="K46" s="20" t="n">
        <v>1845</v>
      </c>
      <c r="L46" s="20" t="n">
        <v>49080</v>
      </c>
      <c r="M46" s="20" t="n">
        <v>2788</v>
      </c>
      <c r="N46" s="20" t="n">
        <v>2131</v>
      </c>
      <c r="O46" s="19" t="n"/>
      <c r="P46" s="20" t="n"/>
      <c r="Q46" s="20" t="n"/>
      <c r="R46" s="20" t="n"/>
      <c r="S46" s="20" t="n"/>
      <c r="T46" s="20" t="n"/>
      <c r="U46" s="20" t="n">
        <v>4269</v>
      </c>
      <c r="V46" s="20" t="n">
        <v>52924</v>
      </c>
      <c r="W46" s="20" t="n">
        <v>27539</v>
      </c>
      <c r="X46" s="20" t="n">
        <v>54987</v>
      </c>
      <c r="Y46" s="19">
        <f>IF(OR(Y4="",Y47=""),"",IFERROR(Y4*Y47,""))</f>
        <v/>
      </c>
      <c r="Z46" s="20">
        <f>IF(OR(Z4="",Z47=""),"",IFERROR(Z4*Z47,""))</f>
        <v/>
      </c>
      <c r="AA46" s="20">
        <f>IF(OR(AA4="",AA47=""),"",IFERROR(AA4*AA47,""))</f>
        <v/>
      </c>
      <c r="AB46" s="20">
        <f>IF(OR(AB4="",AB47=""),"",IFERROR(AB4*AB47,""))</f>
        <v/>
      </c>
      <c r="AC46" s="20">
        <f>IF(OR(AC4="",AC47=""),"",IFERROR(AC4*AC47,""))</f>
        <v/>
      </c>
    </row>
    <row r="47">
      <c r="A47" s="13" t="inlineStr">
        <is>
          <t>% of Sales</t>
        </is>
      </c>
      <c r="B47" s="10" t="n"/>
      <c r="C47" s="14">
        <f>IF(OR(C46="",C4=""),"",IFERROR(C46/C4,""))</f>
        <v/>
      </c>
      <c r="D47" s="15">
        <f>IF(OR(D46="",D4=""),"",IFERROR(D46/D4,""))</f>
        <v/>
      </c>
      <c r="E47" s="15">
        <f>IF(OR(E46="",E4=""),"",IFERROR(E46/E4,""))</f>
        <v/>
      </c>
      <c r="F47" s="15">
        <f>IF(OR(F46="",F4=""),"",IFERROR(F46/F4,""))</f>
        <v/>
      </c>
      <c r="G47" s="15">
        <f>IF(OR(G46="",G4=""),"",IFERROR(G46/G4,""))</f>
        <v/>
      </c>
      <c r="H47" s="15">
        <f>IF(OR(H46="",H4=""),"",IFERROR(H46/H4,""))</f>
        <v/>
      </c>
      <c r="I47" s="15">
        <f>IF(OR(I46="",I4=""),"",IFERROR(I46/I4,""))</f>
        <v/>
      </c>
      <c r="J47" s="15">
        <f>IF(OR(J46="",J4=""),"",IFERROR(J46/J4,""))</f>
        <v/>
      </c>
      <c r="K47" s="15">
        <f>IF(OR(K46="",K4=""),"",IFERROR(K46/K4,""))</f>
        <v/>
      </c>
      <c r="L47" s="15">
        <f>IF(OR(L46="",L4=""),"",IFERROR(L46/L4,""))</f>
        <v/>
      </c>
      <c r="M47" s="15">
        <f>IF(OR(M46="",M4=""),"",IFERROR(M46/M4,""))</f>
        <v/>
      </c>
      <c r="N47" s="15">
        <f>IF(OR(N46="",N4=""),"",IFERROR(N46/N4,""))</f>
        <v/>
      </c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25">
        <f>IFERROR(AVERAGE(V47,W47,X47),"")</f>
        <v/>
      </c>
      <c r="Z47" s="26">
        <f>Y47</f>
        <v/>
      </c>
      <c r="AA47" s="26">
        <f>Z47</f>
        <v/>
      </c>
      <c r="AB47" s="26">
        <f>AA47</f>
        <v/>
      </c>
      <c r="AC47" s="26">
        <f>AB47</f>
        <v/>
      </c>
    </row>
    <row r="48">
      <c r="A48" s="18" t="inlineStr">
        <is>
          <t>금융수익</t>
        </is>
      </c>
      <c r="B48" s="10" t="n"/>
      <c r="C48" s="19" t="n">
        <v>9999</v>
      </c>
      <c r="D48" s="20" t="n">
        <v>-11205</v>
      </c>
      <c r="E48" s="20" t="n">
        <v>16417</v>
      </c>
      <c r="F48" s="20" t="n">
        <v>17709</v>
      </c>
      <c r="G48" s="20" t="n">
        <v>-8595</v>
      </c>
      <c r="H48" s="20" t="n">
        <v>27137</v>
      </c>
      <c r="I48" s="20" t="n">
        <v>-6883</v>
      </c>
      <c r="J48" s="20" t="n">
        <v>5948</v>
      </c>
      <c r="K48" s="20" t="n">
        <v>5101</v>
      </c>
      <c r="L48" s="20" t="n">
        <v>12170</v>
      </c>
      <c r="M48" s="20" t="n">
        <v>6763</v>
      </c>
      <c r="N48" s="20" t="n">
        <v>11582</v>
      </c>
      <c r="O48" s="19" t="n"/>
      <c r="P48" s="20" t="n"/>
      <c r="Q48" s="20" t="n"/>
      <c r="R48" s="20" t="n"/>
      <c r="S48" s="20" t="n"/>
      <c r="T48" s="20" t="n"/>
      <c r="U48" s="20" t="n">
        <v>7788</v>
      </c>
      <c r="V48" s="20" t="n">
        <v>28392</v>
      </c>
      <c r="W48" s="20" t="n">
        <v>29368</v>
      </c>
      <c r="X48" s="20" t="n">
        <v>29982</v>
      </c>
      <c r="Y48" s="19">
        <f>IF(OR(Y4="",Y49=""),"",IFERROR(Y4*Y49,""))</f>
        <v/>
      </c>
      <c r="Z48" s="20">
        <f>IF(OR(Z4="",Z49=""),"",IFERROR(Z4*Z49,""))</f>
        <v/>
      </c>
      <c r="AA48" s="20">
        <f>IF(OR(AA4="",AA49=""),"",IFERROR(AA4*AA49,""))</f>
        <v/>
      </c>
      <c r="AB48" s="20">
        <f>IF(OR(AB4="",AB49=""),"",IFERROR(AB4*AB49,""))</f>
        <v/>
      </c>
      <c r="AC48" s="20">
        <f>IF(OR(AC4="",AC49=""),"",IFERROR(AC4*AC49,""))</f>
        <v/>
      </c>
    </row>
    <row r="49">
      <c r="A49" s="13" t="inlineStr">
        <is>
          <t>% of Sales</t>
        </is>
      </c>
      <c r="B49" s="10" t="n"/>
      <c r="C49" s="14">
        <f>IF(OR(C48="",C4=""),"",IFERROR(C48/C4,""))</f>
        <v/>
      </c>
      <c r="D49" s="15">
        <f>IF(OR(D48="",D4=""),"",IFERROR(D48/D4,""))</f>
        <v/>
      </c>
      <c r="E49" s="15">
        <f>IF(OR(E48="",E4=""),"",IFERROR(E48/E4,""))</f>
        <v/>
      </c>
      <c r="F49" s="15">
        <f>IF(OR(F48="",F4=""),"",IFERROR(F48/F4,""))</f>
        <v/>
      </c>
      <c r="G49" s="15">
        <f>IF(OR(G48="",G4=""),"",IFERROR(G48/G4,""))</f>
        <v/>
      </c>
      <c r="H49" s="15">
        <f>IF(OR(H48="",H4=""),"",IFERROR(H48/H4,""))</f>
        <v/>
      </c>
      <c r="I49" s="15">
        <f>IF(OR(I48="",I4=""),"",IFERROR(I48/I4,""))</f>
        <v/>
      </c>
      <c r="J49" s="15">
        <f>IF(OR(J48="",J4=""),"",IFERROR(J48/J4,""))</f>
        <v/>
      </c>
      <c r="K49" s="15">
        <f>IF(OR(K48="",K4=""),"",IFERROR(K48/K4,""))</f>
        <v/>
      </c>
      <c r="L49" s="15">
        <f>IF(OR(L48="",L4=""),"",IFERROR(L48/L4,""))</f>
        <v/>
      </c>
      <c r="M49" s="15">
        <f>IF(OR(M48="",M4=""),"",IFERROR(M48/M4,""))</f>
        <v/>
      </c>
      <c r="N49" s="15">
        <f>IF(OR(N48="",N4=""),"",IFERROR(N48/N4,""))</f>
        <v/>
      </c>
      <c r="O49" s="14">
        <f>IF(OR(O48="",O4=""),"",IFERROR(O48/O4,""))</f>
        <v/>
      </c>
      <c r="P49" s="15">
        <f>IF(OR(P48="",P4=""),"",IFERROR(P48/P4,""))</f>
        <v/>
      </c>
      <c r="Q49" s="15">
        <f>IF(OR(Q48="",Q4=""),"",IFERROR(Q48/Q4,""))</f>
        <v/>
      </c>
      <c r="R49" s="15">
        <f>IF(OR(R48="",R4=""),"",IFERROR(R48/R4,""))</f>
        <v/>
      </c>
      <c r="S49" s="15">
        <f>IF(OR(S48="",S4=""),"",IFERROR(S48/S4,""))</f>
        <v/>
      </c>
      <c r="T49" s="15">
        <f>IF(OR(T48="",T4=""),"",IFERROR(T48/T4,""))</f>
        <v/>
      </c>
      <c r="U49" s="15">
        <f>IF(OR(U48="",U4=""),"",IFERROR(U48/U4,""))</f>
        <v/>
      </c>
      <c r="V49" s="15">
        <f>IF(OR(V48="",V4=""),"",IFERROR(V48/V4,""))</f>
        <v/>
      </c>
      <c r="W49" s="15">
        <f>IF(OR(W48="",W4=""),"",IFERROR(W48/W4,""))</f>
        <v/>
      </c>
      <c r="X49" s="15">
        <f>IF(OR(X48="",X4=""),"",IFERROR(X48/X4,""))</f>
        <v/>
      </c>
      <c r="Y49" s="25">
        <f>IFERROR(AVERAGE(V49,W49,X49),"")</f>
        <v/>
      </c>
      <c r="Z49" s="26">
        <f>Y49</f>
        <v/>
      </c>
      <c r="AA49" s="26">
        <f>Z49</f>
        <v/>
      </c>
      <c r="AB49" s="26">
        <f>AA49</f>
        <v/>
      </c>
      <c r="AC49" s="26">
        <f>AB49</f>
        <v/>
      </c>
    </row>
    <row r="50">
      <c r="A50" s="18" t="inlineStr">
        <is>
          <t>금융원가</t>
        </is>
      </c>
      <c r="B50" s="10" t="n"/>
      <c r="C50" s="19" t="n">
        <v>353</v>
      </c>
      <c r="D50" s="20" t="n">
        <v>788</v>
      </c>
      <c r="E50" s="20" t="n">
        <v>2801</v>
      </c>
      <c r="F50" s="20" t="n">
        <v>533</v>
      </c>
      <c r="G50" s="20" t="n">
        <v>2759</v>
      </c>
      <c r="H50" s="20" t="n">
        <v>-1397</v>
      </c>
      <c r="I50" s="20" t="n">
        <v>2880</v>
      </c>
      <c r="J50" s="20" t="n">
        <v>5261</v>
      </c>
      <c r="K50" s="20" t="n">
        <v>-3840</v>
      </c>
      <c r="L50" s="20" t="n">
        <v>517</v>
      </c>
      <c r="M50" s="20" t="n">
        <v>1251</v>
      </c>
      <c r="N50" s="20" t="n">
        <v>807</v>
      </c>
      <c r="O50" s="19" t="n"/>
      <c r="P50" s="20" t="n"/>
      <c r="Q50" s="20" t="n"/>
      <c r="R50" s="20" t="n"/>
      <c r="S50" s="20" t="n"/>
      <c r="T50" s="20" t="n"/>
      <c r="U50" s="20" t="n">
        <v>3336</v>
      </c>
      <c r="V50" s="20" t="n">
        <v>4466</v>
      </c>
      <c r="W50" s="20" t="n">
        <v>4775</v>
      </c>
      <c r="X50" s="20" t="n">
        <v>3189</v>
      </c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n"/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9" t="inlineStr">
        <is>
          <t>법인세비용차감전순이익(손실)</t>
        </is>
      </c>
      <c r="B52" s="10" t="n"/>
      <c r="C52" s="11" t="n">
        <v>98456</v>
      </c>
      <c r="D52" s="12" t="n">
        <v>64210</v>
      </c>
      <c r="E52" s="12" t="n">
        <v>13970</v>
      </c>
      <c r="F52" s="12" t="n">
        <v>83566</v>
      </c>
      <c r="G52" s="12" t="n">
        <v>80463</v>
      </c>
      <c r="H52" s="12" t="n">
        <v>104528</v>
      </c>
      <c r="I52" s="12" t="n">
        <v>35847</v>
      </c>
      <c r="J52" s="12" t="n">
        <v>62322</v>
      </c>
      <c r="K52" s="12" t="n">
        <v>112460</v>
      </c>
      <c r="L52" s="12" t="n">
        <v>49509</v>
      </c>
      <c r="M52" s="12" t="n">
        <v>84352</v>
      </c>
      <c r="N52" s="12" t="n">
        <v>109233</v>
      </c>
      <c r="O52" s="11" t="n"/>
      <c r="P52" s="12" t="n"/>
      <c r="Q52" s="12" t="n"/>
      <c r="R52" s="12" t="n"/>
      <c r="S52" s="12" t="n"/>
      <c r="T52" s="12" t="n"/>
      <c r="U52" s="12" t="n">
        <v>302683</v>
      </c>
      <c r="V52" s="12" t="n">
        <v>239404</v>
      </c>
      <c r="W52" s="12" t="n">
        <v>304404</v>
      </c>
      <c r="X52" s="12" t="n">
        <v>308643</v>
      </c>
      <c r="Y52" s="11">
        <f>IF(OR(Y28=""),"",IFERROR(Y28+N(Y44)-N(Y46)+N(Y48)-N(Y50),""))</f>
        <v/>
      </c>
      <c r="Z52" s="12">
        <f>IF(OR(Z28=""),"",IFERROR(Z28+N(Z44)-N(Z46)+N(Z48)-N(Z50),""))</f>
        <v/>
      </c>
      <c r="AA52" s="12">
        <f>IF(OR(AA28=""),"",IFERROR(AA28+N(AA44)-N(AA46)+N(AA48)-N(AA50),""))</f>
        <v/>
      </c>
      <c r="AB52" s="12">
        <f>IF(OR(AB28=""),"",IFERROR(AB28+N(AB44)-N(AB46)+N(AB48)-N(AB50),""))</f>
        <v/>
      </c>
      <c r="AC52" s="12">
        <f>IF(OR(AC28=""),"",IFERROR(AC28+N(AC44)-N(AC46)+N(AC48)-N(AC50),""))</f>
        <v/>
      </c>
    </row>
    <row r="53">
      <c r="A53" s="18" t="inlineStr">
        <is>
          <t>법인세비용(수익)</t>
        </is>
      </c>
      <c r="B53" s="10" t="n"/>
      <c r="C53" s="19" t="n">
        <v>23475</v>
      </c>
      <c r="D53" s="20" t="n">
        <v>14916</v>
      </c>
      <c r="E53" s="20" t="n">
        <v>7851</v>
      </c>
      <c r="F53" s="20" t="n">
        <v>17289</v>
      </c>
      <c r="G53" s="20" t="n">
        <v>17086</v>
      </c>
      <c r="H53" s="20" t="n">
        <v>33615</v>
      </c>
      <c r="I53" s="20" t="n">
        <v>3441</v>
      </c>
      <c r="J53" s="20" t="n">
        <v>12651</v>
      </c>
      <c r="K53" s="20" t="n">
        <v>29790</v>
      </c>
      <c r="L53" s="20" t="n">
        <v>24563</v>
      </c>
      <c r="M53" s="20" t="n">
        <v>7858</v>
      </c>
      <c r="N53" s="20" t="n">
        <v>27888</v>
      </c>
      <c r="O53" s="19" t="n"/>
      <c r="P53" s="20" t="n"/>
      <c r="Q53" s="20" t="n"/>
      <c r="R53" s="20" t="n"/>
      <c r="S53" s="20" t="n"/>
      <c r="T53" s="20" t="n"/>
      <c r="U53" s="20" t="n">
        <v>59035</v>
      </c>
      <c r="V53" s="20" t="n">
        <v>59068</v>
      </c>
      <c r="W53" s="20" t="n">
        <v>71431</v>
      </c>
      <c r="X53" s="20" t="n">
        <v>74862</v>
      </c>
      <c r="Y53" s="19">
        <f>IF(OR(Y52="",Y54=""),"",IFERROR(MAX(Y52,0)*Y54,""))</f>
        <v/>
      </c>
      <c r="Z53" s="20">
        <f>IF(OR(Z52="",Z54=""),"",IFERROR(MAX(Z52,0)*Z54,""))</f>
        <v/>
      </c>
      <c r="AA53" s="20">
        <f>IF(OR(AA52="",AA54=""),"",IFERROR(MAX(AA52,0)*AA54,""))</f>
        <v/>
      </c>
      <c r="AB53" s="20">
        <f>IF(OR(AB52="",AB54=""),"",IFERROR(MAX(AB52,0)*AB54,""))</f>
        <v/>
      </c>
      <c r="AC53" s="20">
        <f>IF(OR(AC52="",AC54=""),"",IFERROR(MAX(AC52,0)*AC54,""))</f>
        <v/>
      </c>
    </row>
    <row r="54">
      <c r="A54" s="13" t="inlineStr">
        <is>
          <t>법인세율</t>
        </is>
      </c>
      <c r="B54" s="10" t="inlineStr">
        <is>
          <t>MW 기본 30%</t>
        </is>
      </c>
      <c r="C54" s="14">
        <f>IF(OR(C53="",C52=""),"",IFERROR(C53/C52,""))</f>
        <v/>
      </c>
      <c r="D54" s="15">
        <f>IF(OR(D53="",D52=""),"",IFERROR(D53/D52,""))</f>
        <v/>
      </c>
      <c r="E54" s="15">
        <f>IF(OR(E53="",E52=""),"",IFERROR(E53/E52,""))</f>
        <v/>
      </c>
      <c r="F54" s="15">
        <f>IF(OR(F53="",F52=""),"",IFERROR(F53/F52,""))</f>
        <v/>
      </c>
      <c r="G54" s="15">
        <f>IF(OR(G53="",G52=""),"",IFERROR(G53/G52,""))</f>
        <v/>
      </c>
      <c r="H54" s="15">
        <f>IF(OR(H53="",H52=""),"",IFERROR(H53/H52,""))</f>
        <v/>
      </c>
      <c r="I54" s="15">
        <f>IF(OR(I53="",I52=""),"",IFERROR(I53/I52,""))</f>
        <v/>
      </c>
      <c r="J54" s="15">
        <f>IF(OR(J53="",J52=""),"",IFERROR(J53/J52,""))</f>
        <v/>
      </c>
      <c r="K54" s="15">
        <f>IF(OR(K53="",K52=""),"",IFERROR(K53/K52,""))</f>
        <v/>
      </c>
      <c r="L54" s="15">
        <f>IF(OR(L53="",L52=""),"",IFERROR(L53/L52,""))</f>
        <v/>
      </c>
      <c r="M54" s="15">
        <f>IF(OR(M53="",M52=""),"",IFERROR(M53/M52,""))</f>
        <v/>
      </c>
      <c r="N54" s="15">
        <f>IF(OR(N53="",N52=""),"",IFERROR(N53/N52,""))</f>
        <v/>
      </c>
      <c r="O54" s="14">
        <f>IF(OR(O53="",O52=""),"",IFERROR(O53/O52,""))</f>
        <v/>
      </c>
      <c r="P54" s="15">
        <f>IF(OR(P53="",P52=""),"",IFERROR(P53/P52,""))</f>
        <v/>
      </c>
      <c r="Q54" s="15">
        <f>IF(OR(Q53="",Q52=""),"",IFERROR(Q53/Q52,""))</f>
        <v/>
      </c>
      <c r="R54" s="15">
        <f>IF(OR(R53="",R52=""),"",IFERROR(R53/R52,""))</f>
        <v/>
      </c>
      <c r="S54" s="15">
        <f>IF(OR(S53="",S52=""),"",IFERROR(S53/S52,""))</f>
        <v/>
      </c>
      <c r="T54" s="15">
        <f>IF(OR(T53="",T52=""),"",IFERROR(T53/T52,""))</f>
        <v/>
      </c>
      <c r="U54" s="15">
        <f>IF(OR(U53="",U52=""),"",IFERROR(U53/U52,""))</f>
        <v/>
      </c>
      <c r="V54" s="15">
        <f>IF(OR(V53="",V52=""),"",IFERROR(V53/V52,""))</f>
        <v/>
      </c>
      <c r="W54" s="15">
        <f>IF(OR(W53="",W52=""),"",IFERROR(W53/W52,""))</f>
        <v/>
      </c>
      <c r="X54" s="15">
        <f>IF(OR(X53="",X52=""),"",IFERROR(X53/X52,""))</f>
        <v/>
      </c>
      <c r="Y54" s="25" t="n">
        <v>0.3</v>
      </c>
      <c r="Z54" s="26" t="n">
        <v>0.3</v>
      </c>
      <c r="AA54" s="26" t="n">
        <v>0.3</v>
      </c>
      <c r="AB54" s="26" t="n">
        <v>0.3</v>
      </c>
      <c r="AC54" s="26" t="n">
        <v>0.3</v>
      </c>
    </row>
    <row r="55">
      <c r="A55" s="9" t="inlineStr">
        <is>
          <t>당기순이익(손실)</t>
        </is>
      </c>
      <c r="B55" s="10" t="n"/>
      <c r="C55" s="11" t="n">
        <v>74981</v>
      </c>
      <c r="D55" s="12" t="n">
        <v>49294</v>
      </c>
      <c r="E55" s="12" t="n">
        <v>6119</v>
      </c>
      <c r="F55" s="12" t="n">
        <v>66277</v>
      </c>
      <c r="G55" s="12" t="n">
        <v>63377</v>
      </c>
      <c r="H55" s="12" t="n">
        <v>70913</v>
      </c>
      <c r="I55" s="12" t="n">
        <v>32406</v>
      </c>
      <c r="J55" s="12" t="n">
        <v>49671</v>
      </c>
      <c r="K55" s="12" t="n">
        <v>82670</v>
      </c>
      <c r="L55" s="12" t="n">
        <v>24946</v>
      </c>
      <c r="M55" s="12" t="n">
        <v>76494</v>
      </c>
      <c r="N55" s="12" t="n">
        <v>81345</v>
      </c>
      <c r="O55" s="11" t="n"/>
      <c r="P55" s="12" t="n"/>
      <c r="Q55" s="12" t="n"/>
      <c r="R55" s="12" t="n"/>
      <c r="S55" s="12" t="n"/>
      <c r="T55" s="12" t="n"/>
      <c r="U55" s="12" t="n">
        <v>243648</v>
      </c>
      <c r="V55" s="12" t="n">
        <v>180336</v>
      </c>
      <c r="W55" s="12" t="n">
        <v>232973</v>
      </c>
      <c r="X55" s="12" t="n">
        <v>233781</v>
      </c>
      <c r="Y55" s="11">
        <f>IF(OR(Y52=""),"",IFERROR(Y52-Y53,""))</f>
        <v/>
      </c>
      <c r="Z55" s="12">
        <f>IF(OR(Z52=""),"",IFERROR(Z52-Z53,""))</f>
        <v/>
      </c>
      <c r="AA55" s="12">
        <f>IF(OR(AA52=""),"",IFERROR(AA52-AA53,""))</f>
        <v/>
      </c>
      <c r="AB55" s="12">
        <f>IF(OR(AB52=""),"",IFERROR(AB52-AB53,""))</f>
        <v/>
      </c>
      <c r="AC55" s="12">
        <f>IF(OR(AC52=""),"",IFERROR(AC52-AC53,""))</f>
        <v/>
      </c>
    </row>
    <row r="56">
      <c r="A56" s="9" t="inlineStr">
        <is>
          <t>지배주주 순이익</t>
        </is>
      </c>
      <c r="B56" s="10" t="n"/>
      <c r="C56" s="11" t="n">
        <v>75055</v>
      </c>
      <c r="D56" s="12" t="n">
        <v>49359</v>
      </c>
      <c r="E56" s="12" t="n">
        <v>6326</v>
      </c>
      <c r="F56" s="12" t="n">
        <v>66365</v>
      </c>
      <c r="G56" s="12" t="n">
        <v>63955</v>
      </c>
      <c r="H56" s="12" t="n">
        <v>71002</v>
      </c>
      <c r="I56" s="12" t="n">
        <v>32496</v>
      </c>
      <c r="J56" s="12" t="n">
        <v>49714</v>
      </c>
      <c r="K56" s="12" t="n">
        <v>82665</v>
      </c>
      <c r="L56" s="12" t="n">
        <v>24969</v>
      </c>
      <c r="M56" s="12" t="n">
        <v>76572</v>
      </c>
      <c r="N56" s="12" t="n">
        <v>81377</v>
      </c>
      <c r="O56" s="11" t="n"/>
      <c r="P56" s="12" t="n"/>
      <c r="Q56" s="12" t="n"/>
      <c r="R56" s="12" t="n"/>
      <c r="S56" s="12" t="n"/>
      <c r="T56" s="12" t="n"/>
      <c r="U56" s="12" t="n">
        <v>243946</v>
      </c>
      <c r="V56" s="12" t="n">
        <v>180838</v>
      </c>
      <c r="W56" s="12" t="n">
        <v>233818</v>
      </c>
      <c r="X56" s="12" t="n">
        <v>233920</v>
      </c>
      <c r="Y56" s="11">
        <f>IF(OR(Y55="",Y57=""),"",IFERROR(Y55*Y57,""))</f>
        <v/>
      </c>
      <c r="Z56" s="12">
        <f>IF(OR(Z55="",Z57=""),"",IFERROR(Z55*Z57,""))</f>
        <v/>
      </c>
      <c r="AA56" s="12">
        <f>IF(OR(AA55="",AA57=""),"",IFERROR(AA55*AA57,""))</f>
        <v/>
      </c>
      <c r="AB56" s="12">
        <f>IF(OR(AB55="",AB57=""),"",IFERROR(AB55*AB57,""))</f>
        <v/>
      </c>
      <c r="AC56" s="12">
        <f>IF(OR(AC55="",AC57=""),"",IFERROR(AC55*AC57,""))</f>
        <v/>
      </c>
    </row>
    <row r="57">
      <c r="A57" s="13" t="inlineStr">
        <is>
          <t>지배주주 순이익률</t>
        </is>
      </c>
      <c r="B57" s="10" t="inlineStr">
        <is>
          <t>MW 기본 100%</t>
        </is>
      </c>
      <c r="C57" s="14">
        <f>IF(OR(C56="",C55=""),"",IFERROR(C56/C55,""))</f>
        <v/>
      </c>
      <c r="D57" s="15">
        <f>IF(OR(D56="",D55=""),"",IFERROR(D56/D55,""))</f>
        <v/>
      </c>
      <c r="E57" s="15">
        <f>IF(OR(E56="",E55=""),"",IFERROR(E56/E55,""))</f>
        <v/>
      </c>
      <c r="F57" s="15">
        <f>IF(OR(F56="",F55=""),"",IFERROR(F56/F55,""))</f>
        <v/>
      </c>
      <c r="G57" s="15">
        <f>IF(OR(G56="",G55=""),"",IFERROR(G56/G55,""))</f>
        <v/>
      </c>
      <c r="H57" s="15">
        <f>IF(OR(H56="",H55=""),"",IFERROR(H56/H55,""))</f>
        <v/>
      </c>
      <c r="I57" s="15">
        <f>IF(OR(I56="",I55=""),"",IFERROR(I56/I55,""))</f>
        <v/>
      </c>
      <c r="J57" s="15">
        <f>IF(OR(J56="",J55=""),"",IFERROR(J56/J55,""))</f>
        <v/>
      </c>
      <c r="K57" s="15">
        <f>IF(OR(K56="",K55=""),"",IFERROR(K56/K55,""))</f>
        <v/>
      </c>
      <c r="L57" s="15">
        <f>IF(OR(L56="",L55=""),"",IFERROR(L56/L55,""))</f>
        <v/>
      </c>
      <c r="M57" s="15">
        <f>IF(OR(M56="",M55=""),"",IFERROR(M56/M55,""))</f>
        <v/>
      </c>
      <c r="N57" s="15">
        <f>IF(OR(N56="",N55=""),"",IFERROR(N56/N55,""))</f>
        <v/>
      </c>
      <c r="O57" s="14">
        <f>IF(OR(O56="",O55=""),"",IFERROR(O56/O55,""))</f>
        <v/>
      </c>
      <c r="P57" s="15">
        <f>IF(OR(P56="",P55=""),"",IFERROR(P56/P55,""))</f>
        <v/>
      </c>
      <c r="Q57" s="15">
        <f>IF(OR(Q56="",Q55=""),"",IFERROR(Q56/Q55,""))</f>
        <v/>
      </c>
      <c r="R57" s="15">
        <f>IF(OR(R56="",R55=""),"",IFERROR(R56/R55,""))</f>
        <v/>
      </c>
      <c r="S57" s="15">
        <f>IF(OR(S56="",S55=""),"",IFERROR(S56/S55,""))</f>
        <v/>
      </c>
      <c r="T57" s="15">
        <f>IF(OR(T56="",T55=""),"",IFERROR(T56/T55,""))</f>
        <v/>
      </c>
      <c r="U57" s="15">
        <f>IF(OR(U56="",U55=""),"",IFERROR(U56/U55,""))</f>
        <v/>
      </c>
      <c r="V57" s="15">
        <f>IF(OR(V56="",V55=""),"",IFERROR(V56/V55,""))</f>
        <v/>
      </c>
      <c r="W57" s="15">
        <f>IF(OR(W56="",W55=""),"",IFERROR(W56/W55,""))</f>
        <v/>
      </c>
      <c r="X57" s="15">
        <f>IF(OR(X56="",X55=""),"",IFERROR(X56/X55,""))</f>
        <v/>
      </c>
      <c r="Y57" s="25" t="n">
        <v>1</v>
      </c>
      <c r="Z57" s="26" t="n">
        <v>1</v>
      </c>
      <c r="AA57" s="26" t="n">
        <v>1</v>
      </c>
      <c r="AB57" s="26" t="n">
        <v>1</v>
      </c>
      <c r="AC57" s="26" t="n">
        <v>1</v>
      </c>
    </row>
    <row r="58">
      <c r="A58" s="16" t="inlineStr">
        <is>
          <t>목표주가 산출</t>
        </is>
      </c>
      <c r="B58" s="16" t="n"/>
      <c r="C58" s="17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7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7" t="n"/>
      <c r="Z58" s="16" t="n"/>
      <c r="AA58" s="16" t="n"/>
      <c r="AB58" s="16" t="n"/>
      <c r="AC58" s="16" t="n"/>
    </row>
    <row r="59">
      <c r="A59" s="18" t="inlineStr">
        <is>
          <t>현재 주가 (2026.10.26)</t>
        </is>
      </c>
      <c r="B59" s="27" t="n">
        <v>6201</v>
      </c>
      <c r="C59" s="28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8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8" t="n"/>
      <c r="Z59" s="29" t="n"/>
      <c r="AA59" s="29" t="n"/>
      <c r="AB59" s="29" t="n"/>
      <c r="AC59" s="29" t="n"/>
    </row>
    <row r="60">
      <c r="A60" s="18" t="inlineStr">
        <is>
          <t>발행주식수 (보통주)</t>
        </is>
      </c>
      <c r="B60" s="27" t="n">
        <v>1963001843</v>
      </c>
      <c r="C60" s="28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8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8" t="n"/>
      <c r="Z60" s="29" t="n"/>
      <c r="AA60" s="29" t="n"/>
      <c r="AB60" s="29" t="n"/>
      <c r="AC60" s="29" t="n"/>
    </row>
    <row r="61">
      <c r="A61" s="18" t="inlineStr">
        <is>
          <t>시가총액 (백만엔)</t>
        </is>
      </c>
      <c r="B61" s="12">
        <f>IF(OR(B59="",B60=""),"",B59*B60/1000000.0)</f>
        <v/>
      </c>
      <c r="C61" s="19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19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19" t="n"/>
      <c r="Z61" s="20" t="n"/>
      <c r="AA61" s="20" t="n"/>
      <c r="AB61" s="20" t="n"/>
      <c r="AC61" s="20" t="n"/>
    </row>
    <row r="62">
      <c r="A62" s="13" t="inlineStr">
        <is>
          <t>OPM</t>
        </is>
      </c>
      <c r="B62" s="10" t="n"/>
      <c r="C62" s="14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4">
        <f>IF(O29="","",O29)</f>
        <v/>
      </c>
      <c r="P62" s="15">
        <f>IF(P29="","",P29)</f>
        <v/>
      </c>
      <c r="Q62" s="15">
        <f>IF(Q29="","",Q29)</f>
        <v/>
      </c>
      <c r="R62" s="15">
        <f>IF(R29="","",R29)</f>
        <v/>
      </c>
      <c r="S62" s="15">
        <f>IF(S29="","",S29)</f>
        <v/>
      </c>
      <c r="T62" s="15">
        <f>IF(T29="","",T29)</f>
        <v/>
      </c>
      <c r="U62" s="15">
        <f>IF(U29="","",U29)</f>
        <v/>
      </c>
      <c r="V62" s="15">
        <f>IF(V29="","",V29)</f>
        <v/>
      </c>
      <c r="W62" s="15">
        <f>IF(W29="","",W29)</f>
        <v/>
      </c>
      <c r="X62" s="15">
        <f>IF(X29="","",X29)</f>
        <v/>
      </c>
      <c r="Y62" s="14">
        <f>IF(Y29="","",Y29)</f>
        <v/>
      </c>
      <c r="Z62" s="15">
        <f>IF(Z29="","",Z29)</f>
        <v/>
      </c>
      <c r="AA62" s="15">
        <f>IF(AA29="","",AA29)</f>
        <v/>
      </c>
      <c r="AB62" s="15">
        <f>IF(AB29="","",AB29)</f>
        <v/>
      </c>
      <c r="AC62" s="15">
        <f>IF(AC29="","",AC29)</f>
        <v/>
      </c>
    </row>
    <row r="63">
      <c r="A63" s="13" t="inlineStr">
        <is>
          <t>지배주주 순이익 증가율</t>
        </is>
      </c>
      <c r="B63" s="10" t="n"/>
      <c r="C63" s="14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4" t="n"/>
      <c r="P63" s="15">
        <f>IF(OR(P56="",O56=""),"",IFERROR(P56/O56-1,""))</f>
        <v/>
      </c>
      <c r="Q63" s="15">
        <f>IF(OR(Q56="",P56=""),"",IFERROR(Q56/P56-1,""))</f>
        <v/>
      </c>
      <c r="R63" s="15">
        <f>IF(OR(R56="",Q56=""),"",IFERROR(R56/Q56-1,""))</f>
        <v/>
      </c>
      <c r="S63" s="15">
        <f>IF(OR(S56="",R56=""),"",IFERROR(S56/R56-1,""))</f>
        <v/>
      </c>
      <c r="T63" s="15">
        <f>IF(OR(T56="",S56=""),"",IFERROR(T56/S56-1,""))</f>
        <v/>
      </c>
      <c r="U63" s="15">
        <f>IF(OR(U56="",T56=""),"",IFERROR(U56/T56-1,""))</f>
        <v/>
      </c>
      <c r="V63" s="15">
        <f>IF(OR(V56="",U56=""),"",IFERROR(V56/U56-1,""))</f>
        <v/>
      </c>
      <c r="W63" s="15">
        <f>IF(OR(W56="",V56=""),"",IFERROR(W56/V56-1,""))</f>
        <v/>
      </c>
      <c r="X63" s="15">
        <f>IF(OR(X56="",W56=""),"",IFERROR(X56/W56-1,""))</f>
        <v/>
      </c>
      <c r="Y63" s="14">
        <f>IF(OR(Y56="",X56=""),"",IFERROR(Y56/X56-1,""))</f>
        <v/>
      </c>
      <c r="Z63" s="15">
        <f>IF(OR(Z56="",Y56=""),"",IFERROR(Z56/Y56-1,""))</f>
        <v/>
      </c>
      <c r="AA63" s="15">
        <f>IF(OR(AA56="",Z56=""),"",IFERROR(AA56/Z56-1,""))</f>
        <v/>
      </c>
      <c r="AB63" s="15">
        <f>IF(OR(AB56="",AA56=""),"",IFERROR(AB56/AA56-1,""))</f>
        <v/>
      </c>
      <c r="AC63" s="15">
        <f>IF(OR(AC56="",AB56=""),"",IFERROR(AC56/AB56-1,""))</f>
        <v/>
      </c>
    </row>
    <row r="64">
      <c r="A64" s="18" t="inlineStr">
        <is>
          <t>P/E (현재 주가)</t>
        </is>
      </c>
      <c r="B64" s="10" t="inlineStr">
        <is>
          <t>시총 ÷ 지배순이익</t>
        </is>
      </c>
      <c r="C64" s="30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0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>
        <f>IF(OR($B$61="",X56=""),"",IFERROR($B$61/X56,""))</f>
        <v/>
      </c>
      <c r="Y64" s="30">
        <f>IF(OR($B$61="",Y56=""),"",IFERROR($B$61/Y56,""))</f>
        <v/>
      </c>
      <c r="Z64" s="31">
        <f>IF(OR($B$61="",Z56=""),"",IFERROR($B$61/Z56,""))</f>
        <v/>
      </c>
      <c r="AA64" s="31">
        <f>IF(OR($B$61="",AA56=""),"",IFERROR($B$61/AA56,""))</f>
        <v/>
      </c>
      <c r="AB64" s="31">
        <f>IF(OR($B$61="",AB56=""),"",IFERROR($B$61/AB56,""))</f>
        <v/>
      </c>
      <c r="AC64" s="31">
        <f>IF(OR($B$61="",AC56=""),"",IFERROR($B$61/AC56,""))</f>
        <v/>
      </c>
    </row>
    <row r="65">
      <c r="A65" s="18" t="inlineStr">
        <is>
          <t>Target P/E</t>
        </is>
      </c>
      <c r="B65" s="10" t="inlineStr">
        <is>
          <t>직접 입력</t>
        </is>
      </c>
      <c r="C65" s="30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0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2" t="n"/>
      <c r="Z65" s="33" t="n"/>
      <c r="AA65" s="33" t="n"/>
      <c r="AB65" s="33" t="n"/>
      <c r="AC65" s="33" t="n"/>
    </row>
    <row r="66">
      <c r="A66" s="18" t="inlineStr">
        <is>
          <t>EPS</t>
        </is>
      </c>
      <c r="B66" s="10" t="inlineStr">
        <is>
          <t>지배순이익 ÷ 주식수</t>
        </is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>
        <f>IF(OR(O56="",$B$60=""),"",IFERROR(O56*1000000.0/$B$60,""))</f>
        <v/>
      </c>
      <c r="P66" s="29">
        <f>IF(OR(P56="",$B$60=""),"",IFERROR(P56*1000000.0/$B$60,""))</f>
        <v/>
      </c>
      <c r="Q66" s="29">
        <f>IF(OR(Q56="",$B$60=""),"",IFERROR(Q56*1000000.0/$B$60,""))</f>
        <v/>
      </c>
      <c r="R66" s="29">
        <f>IF(OR(R56="",$B$60=""),"",IFERROR(R56*1000000.0/$B$60,""))</f>
        <v/>
      </c>
      <c r="S66" s="29">
        <f>IF(OR(S56="",$B$60=""),"",IFERROR(S56*1000000.0/$B$60,""))</f>
        <v/>
      </c>
      <c r="T66" s="29">
        <f>IF(OR(T56="",$B$60=""),"",IFERROR(T56*1000000.0/$B$60,""))</f>
        <v/>
      </c>
      <c r="U66" s="29">
        <f>IF(OR(U56="",$B$60=""),"",IFERROR(U56*1000000.0/$B$60,""))</f>
        <v/>
      </c>
      <c r="V66" s="29">
        <f>IF(OR(V56="",$B$60=""),"",IFERROR(V56*1000000.0/$B$60,""))</f>
        <v/>
      </c>
      <c r="W66" s="29">
        <f>IF(OR(W56="",$B$60=""),"",IFERROR(W56*1000000.0/$B$60,""))</f>
        <v/>
      </c>
      <c r="X66" s="29">
        <f>IF(OR(X56="",$B$60=""),"",IFERROR(X56*1000000.0/$B$60,""))</f>
        <v/>
      </c>
      <c r="Y66" s="28">
        <f>IF(OR(Y56="",$B$60=""),"",IFERROR(Y56*1000000.0/$B$60,""))</f>
        <v/>
      </c>
      <c r="Z66" s="29">
        <f>IF(OR(Z56="",$B$60=""),"",IFERROR(Z56*1000000.0/$B$60,""))</f>
        <v/>
      </c>
      <c r="AA66" s="29">
        <f>IF(OR(AA56="",$B$60=""),"",IFERROR(AA56*1000000.0/$B$60,""))</f>
        <v/>
      </c>
      <c r="AB66" s="29">
        <f>IF(OR(AB56="",$B$60=""),"",IFERROR(AB56*1000000.0/$B$60,""))</f>
        <v/>
      </c>
      <c r="AC66" s="29">
        <f>IF(OR(AC56="",$B$60=""),"",IFERROR(AC56*1000000.0/$B$60,""))</f>
        <v/>
      </c>
    </row>
    <row r="67">
      <c r="A67" s="9" t="inlineStr">
        <is>
          <t>목표주가</t>
        </is>
      </c>
      <c r="B67" s="10" t="n"/>
      <c r="C67" s="34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34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34">
        <f>IF(OR(Y66="",Y65=""),"",IFERROR(Y66*Y65,""))</f>
        <v/>
      </c>
      <c r="Z67" s="27">
        <f>IF(OR(Z66="",Z65=""),"",IFERROR(Z66*Z65,""))</f>
        <v/>
      </c>
      <c r="AA67" s="27">
        <f>IF(OR(AA66="",AA65=""),"",IFERROR(AA66*AA65,""))</f>
        <v/>
      </c>
      <c r="AB67" s="27">
        <f>IF(OR(AB66="",AB65=""),"",IFERROR(AB66*AB65,""))</f>
        <v/>
      </c>
      <c r="AC67" s="27">
        <f>IF(OR(AC66="",AC65=""),"",IFERROR(AC66*AC65,""))</f>
        <v/>
      </c>
    </row>
    <row r="68">
      <c r="A68" s="18" t="inlineStr">
        <is>
          <t>상승여력</t>
        </is>
      </c>
      <c r="B68" s="10" t="n"/>
      <c r="C68" s="35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5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7">
        <f>IF(OR(Y67="",$B$59=""),"",IFERROR(Y67/$B$59-1,""))</f>
        <v/>
      </c>
      <c r="Z68" s="38">
        <f>IF(OR(Z67="",$B$59=""),"",IFERROR(Z67/$B$59-1,""))</f>
        <v/>
      </c>
      <c r="AA68" s="38">
        <f>IF(OR(AA67="",$B$59=""),"",IFERROR(AA67/$B$59-1,""))</f>
        <v/>
      </c>
      <c r="AB68" s="38">
        <f>IF(OR(AB67="",$B$59=""),"",IFERROR(AB67/$B$59-1,""))</f>
        <v/>
      </c>
      <c r="AC68" s="38">
        <f>IF(OR(AC67="",$B$59=""),"",IFERROR(AC67/$B$59-1,""))</f>
        <v/>
      </c>
    </row>
    <row r="69">
      <c r="A69" s="16" t="inlineStr">
        <is>
          <t>자산가치 산출</t>
        </is>
      </c>
      <c r="B69" s="16" t="inlineStr">
        <is>
          <t>최신 분기 BS</t>
        </is>
      </c>
      <c r="C69" s="17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7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7" t="n"/>
      <c r="Z69" s="16" t="n"/>
      <c r="AA69" s="16" t="n"/>
      <c r="AB69" s="16" t="n"/>
      <c r="AC69" s="16" t="n"/>
    </row>
    <row r="70">
      <c r="A70" s="18" t="inlineStr">
        <is>
          <t>현금및현금성자산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'재무상태표'!G6</f>
        <v/>
      </c>
      <c r="Y70" s="19">
        <f>'재무상태표'!G6</f>
        <v/>
      </c>
      <c r="Z70" s="20">
        <f>'재무상태표'!G6</f>
        <v/>
      </c>
      <c r="AA70" s="20">
        <f>'재무상태표'!G6</f>
        <v/>
      </c>
      <c r="AB70" s="20">
        <f>'재무상태표'!G6</f>
        <v/>
      </c>
      <c r="AC70" s="20">
        <f>'재무상태표'!G6</f>
        <v/>
      </c>
    </row>
    <row r="71">
      <c r="A71" s="18" t="inlineStr">
        <is>
          <t>단기금융상품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'재무상태표'!G7</f>
        <v/>
      </c>
      <c r="Y71" s="19">
        <f>'재무상태표'!G7</f>
        <v/>
      </c>
      <c r="Z71" s="20">
        <f>'재무상태표'!G7</f>
        <v/>
      </c>
      <c r="AA71" s="20">
        <f>'재무상태표'!G7</f>
        <v/>
      </c>
      <c r="AB71" s="20">
        <f>'재무상태표'!G7</f>
        <v/>
      </c>
      <c r="AC71" s="20">
        <f>'재무상태표'!G7</f>
        <v/>
      </c>
    </row>
    <row r="72">
      <c r="A72" s="18" t="inlineStr">
        <is>
          <t>투자부동산</t>
        </is>
      </c>
      <c r="B72" s="10" t="n"/>
      <c r="C72" s="19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19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>
        <f>'재무상태표'!G14</f>
        <v/>
      </c>
      <c r="Y72" s="19">
        <f>'재무상태표'!G14</f>
        <v/>
      </c>
      <c r="Z72" s="20">
        <f>'재무상태표'!G14</f>
        <v/>
      </c>
      <c r="AA72" s="20">
        <f>'재무상태표'!G14</f>
        <v/>
      </c>
      <c r="AB72" s="20">
        <f>'재무상태표'!G14</f>
        <v/>
      </c>
      <c r="AC72" s="20">
        <f>'재무상태표'!G14</f>
        <v/>
      </c>
    </row>
    <row r="73">
      <c r="A73" s="18" t="inlineStr">
        <is>
          <t>지배자본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'재무상태표'!G31</f>
        <v/>
      </c>
      <c r="Y73" s="19">
        <f>'재무상태표'!G31</f>
        <v/>
      </c>
      <c r="Z73" s="20">
        <f>'재무상태표'!G31</f>
        <v/>
      </c>
      <c r="AA73" s="20">
        <f>'재무상태표'!G31</f>
        <v/>
      </c>
      <c r="AB73" s="20">
        <f>'재무상태표'!G31</f>
        <v/>
      </c>
      <c r="AC73" s="20">
        <f>'재무상태표'!G31</f>
        <v/>
      </c>
    </row>
    <row r="74">
      <c r="A74" s="18" t="inlineStr">
        <is>
          <t>부채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'재무상태표'!G27</f>
        <v/>
      </c>
      <c r="Y74" s="19">
        <f>'재무상태표'!G27</f>
        <v/>
      </c>
      <c r="Z74" s="20">
        <f>'재무상태표'!G27</f>
        <v/>
      </c>
      <c r="AA74" s="20">
        <f>'재무상태표'!G27</f>
        <v/>
      </c>
      <c r="AB74" s="20">
        <f>'재무상태표'!G27</f>
        <v/>
      </c>
      <c r="AC74" s="20">
        <f>'재무상태표'!G27</f>
        <v/>
      </c>
    </row>
    <row r="75">
      <c r="A75" s="13" t="inlineStr">
        <is>
          <t>부채비율</t>
        </is>
      </c>
      <c r="B75" s="10" t="n"/>
      <c r="C75" s="14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4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>
        <f>IF(OR(X74="",X73=""),"",IFERROR(X74/X73,""))</f>
        <v/>
      </c>
      <c r="Y75" s="14">
        <f>IF(OR(Y74="",Y73=""),"",IFERROR(Y74/Y73,""))</f>
        <v/>
      </c>
      <c r="Z75" s="15">
        <f>IF(OR(Z74="",Z73=""),"",IFERROR(Z74/Z73,""))</f>
        <v/>
      </c>
      <c r="AA75" s="15">
        <f>IF(OR(AA74="",AA73=""),"",IFERROR(AA74/AA73,""))</f>
        <v/>
      </c>
      <c r="AB75" s="15">
        <f>IF(OR(AB74="",AB73=""),"",IFERROR(AB74/AB73,""))</f>
        <v/>
      </c>
      <c r="AC75" s="15">
        <f>IF(OR(AC74="",AC73=""),"",IFERROR(AC74/AC73,""))</f>
        <v/>
      </c>
    </row>
    <row r="76">
      <c r="A76" s="9" t="inlineStr">
        <is>
          <t>자산가치</t>
        </is>
      </c>
      <c r="B76" s="10" t="inlineStr">
        <is>
          <t>현금+단기금융+투자부동산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>
        <f>SUM(X70,X71,X72)</f>
        <v/>
      </c>
      <c r="Y76" s="11">
        <f>SUM(Y70,Y71,Y72)</f>
        <v/>
      </c>
      <c r="Z76" s="12">
        <f>SUM(Z70,Z71,Z72)</f>
        <v/>
      </c>
      <c r="AA76" s="12">
        <f>SUM(AA70,AA71,AA72)</f>
        <v/>
      </c>
      <c r="AB76" s="12">
        <f>SUM(AB70,AB71,AB72)</f>
        <v/>
      </c>
      <c r="AC76" s="12">
        <f>SUM(AC70,AC71,AC72)</f>
        <v/>
      </c>
    </row>
    <row r="77">
      <c r="A77" s="16" t="inlineStr">
        <is>
          <t>기업가치 산출</t>
        </is>
      </c>
      <c r="B77" s="16" t="n"/>
      <c r="C77" s="17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7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7" t="n"/>
      <c r="Z77" s="16" t="n"/>
      <c r="AA77" s="16" t="n"/>
      <c r="AB77" s="16" t="n"/>
      <c r="AC77" s="16" t="n"/>
    </row>
    <row r="78">
      <c r="A78" s="18" t="inlineStr">
        <is>
          <t>목표 시가총액 (P/E)</t>
        </is>
      </c>
      <c r="B78" s="10" t="inlineStr">
        <is>
          <t>지배순이익 × Target P/E</t>
        </is>
      </c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19">
        <f>IF(OR(Y56="",Y65=""),"",IFERROR(Y56*Y65,""))</f>
        <v/>
      </c>
      <c r="Z78" s="20">
        <f>IF(OR(Z56="",Z65=""),"",IFERROR(Z56*Z65,""))</f>
        <v/>
      </c>
      <c r="AA78" s="20">
        <f>IF(OR(AA56="",AA65=""),"",IFERROR(AA56*AA65,""))</f>
        <v/>
      </c>
      <c r="AB78" s="20">
        <f>IF(OR(AB56="",AB65=""),"",IFERROR(AB56*AB65,""))</f>
        <v/>
      </c>
      <c r="AC78" s="20">
        <f>IF(OR(AC56="",AC65=""),"",IFERROR(AC56*AC65,""))</f>
        <v/>
      </c>
    </row>
    <row r="79">
      <c r="A79" s="9" t="inlineStr">
        <is>
          <t>기업가치</t>
        </is>
      </c>
      <c r="B79" s="10" t="inlineStr">
        <is>
          <t>목표시총 + 자산가치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1">
        <f>IF(OR(Y78=""),"",IFERROR(Y78+Y76,""))</f>
        <v/>
      </c>
      <c r="Z79" s="12">
        <f>IF(OR(Z78=""),"",IFERROR(Z78+Z76,""))</f>
        <v/>
      </c>
      <c r="AA79" s="12">
        <f>IF(OR(AA78=""),"",IFERROR(AA78+AA76,""))</f>
        <v/>
      </c>
      <c r="AB79" s="12">
        <f>IF(OR(AB78=""),"",IFERROR(AB78+AB76,""))</f>
        <v/>
      </c>
      <c r="AC79" s="12">
        <f>IF(OR(AC78=""),"",IFERROR(AC78+AC76,""))</f>
        <v/>
      </c>
    </row>
    <row r="80">
      <c r="A80" s="18" t="inlineStr">
        <is>
          <t>현재 시가총액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19">
        <f>$B$61</f>
        <v/>
      </c>
      <c r="Z80" s="20">
        <f>$B$61</f>
        <v/>
      </c>
      <c r="AA80" s="20">
        <f>$B$61</f>
        <v/>
      </c>
      <c r="AB80" s="20">
        <f>$B$61</f>
        <v/>
      </c>
      <c r="AC80" s="20">
        <f>$B$61</f>
        <v/>
      </c>
    </row>
    <row r="81">
      <c r="A81" s="18" t="inlineStr">
        <is>
          <t>상승여력</t>
        </is>
      </c>
      <c r="B81" s="10" t="n"/>
      <c r="C81" s="35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5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7">
        <f>IF(OR(Y79="",Y80=""),"",IFERROR(Y79/Y80-1,""))</f>
        <v/>
      </c>
      <c r="Z81" s="38">
        <f>IF(OR(Z79="",Z80=""),"",IFERROR(Z79/Z80-1,""))</f>
        <v/>
      </c>
      <c r="AA81" s="38">
        <f>IF(OR(AA79="",AA80=""),"",IFERROR(AA79/AA80-1,""))</f>
        <v/>
      </c>
      <c r="AB81" s="38">
        <f>IF(OR(AB79="",AB80=""),"",IFERROR(AB79/AB80-1,""))</f>
        <v/>
      </c>
      <c r="AC81" s="38">
        <f>IF(OR(AC79="",AC80=""),"",IFERROR(AC79/AC80-1,""))</f>
        <v/>
      </c>
    </row>
    <row r="82">
      <c r="C82" s="39" t="n"/>
      <c r="O82" s="39" t="n"/>
      <c r="Y82" s="39" t="n"/>
    </row>
    <row r="83">
      <c r="A83" s="40" t="inlineStr">
        <is>
          <t>출처</t>
        </is>
      </c>
      <c r="C83" s="39" t="n"/>
      <c r="O83" s="39" t="n"/>
      <c r="Y83" s="39" t="n"/>
    </row>
    <row r="84">
      <c r="A84" s="41" t="inlineStr">
        <is>
          <t>결산단신 XBRL(TDnet·JPX 보관소) — 쓴 문서는 '출처' 시트</t>
        </is>
      </c>
      <c r="C84" s="39" t="n"/>
      <c r="O84" s="39" t="n"/>
      <c r="Y84" s="39" t="n"/>
    </row>
    <row r="85">
      <c r="A85" s="41" t="inlineStr">
        <is>
          <t>분기 = 누계에서 앞 분기를 뺀 3개월 값</t>
        </is>
      </c>
      <c r="C85" s="39" t="n"/>
      <c r="O85" s="39" t="n"/>
      <c r="Y85" s="39" t="n"/>
    </row>
    <row r="86">
      <c r="A86" s="41" t="inlineStr">
        <is>
          <t>주가: 야후 파이낸스 일봉 2026.10.26</t>
        </is>
      </c>
      <c r="C86" s="39" t="n"/>
      <c r="O86" s="39" t="n"/>
      <c r="Y86" s="39" t="n"/>
    </row>
    <row r="88">
      <c r="A88" s="16" t="inlineStr">
        <is>
          <t>손익계산서 · 전 항목</t>
        </is>
      </c>
      <c r="B88" s="42" t="inlineStr">
        <is>
          <t>분기 = 3개월 단독</t>
        </is>
      </c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</row>
    <row r="89">
      <c r="A89" s="5" t="inlineStr">
        <is>
          <t>항목</t>
        </is>
      </c>
      <c r="B89" s="5" t="inlineStr">
        <is>
          <t>참고</t>
        </is>
      </c>
      <c r="C89" s="5" t="inlineStr">
        <is>
          <t>2024.2Q</t>
        </is>
      </c>
      <c r="D89" s="5" t="inlineStr">
        <is>
          <t>2024.3Q</t>
        </is>
      </c>
      <c r="E89" s="5" t="inlineStr">
        <is>
          <t>2024.4Q</t>
        </is>
      </c>
      <c r="F89" s="5" t="inlineStr">
        <is>
          <t>2025.1Q</t>
        </is>
      </c>
      <c r="G89" s="5" t="inlineStr">
        <is>
          <t>2025.2Q</t>
        </is>
      </c>
      <c r="H89" s="5" t="inlineStr">
        <is>
          <t>2025.3Q</t>
        </is>
      </c>
      <c r="I89" s="5" t="inlineStr">
        <is>
          <t>2025.4Q</t>
        </is>
      </c>
      <c r="J89" s="5" t="inlineStr">
        <is>
          <t>2026.1Q</t>
        </is>
      </c>
      <c r="K89" s="5" t="inlineStr">
        <is>
          <t>2026.2Q</t>
        </is>
      </c>
      <c r="L89" s="5" t="inlineStr">
        <is>
          <t>2026.3Q</t>
        </is>
      </c>
      <c r="M89" s="5" t="inlineStr">
        <is>
          <t>2026.4Q</t>
        </is>
      </c>
      <c r="N89" s="5" t="inlineStr">
        <is>
          <t>2027.1Q</t>
        </is>
      </c>
      <c r="O89" s="5" t="inlineStr">
        <is>
          <t>2017</t>
        </is>
      </c>
      <c r="P89" s="5" t="inlineStr">
        <is>
          <t>2018</t>
        </is>
      </c>
      <c r="Q89" s="5" t="inlineStr">
        <is>
          <t>2019</t>
        </is>
      </c>
      <c r="R89" s="5" t="inlineStr">
        <is>
          <t>2020</t>
        </is>
      </c>
      <c r="S89" s="5" t="inlineStr">
        <is>
          <t>2021</t>
        </is>
      </c>
      <c r="T89" s="5" t="inlineStr">
        <is>
          <t>2022</t>
        </is>
      </c>
      <c r="U89" s="5" t="inlineStr">
        <is>
          <t>2023</t>
        </is>
      </c>
      <c r="V89" s="5" t="inlineStr">
        <is>
          <t>2024</t>
        </is>
      </c>
      <c r="W89" s="5" t="inlineStr">
        <is>
          <t>2025</t>
        </is>
      </c>
      <c r="X89" s="5" t="inlineStr">
        <is>
          <t>2026</t>
        </is>
      </c>
      <c r="Y89" s="5" t="inlineStr">
        <is>
          <t>2027(MW)</t>
        </is>
      </c>
      <c r="Z89" s="5" t="inlineStr">
        <is>
          <t>2028(MW)</t>
        </is>
      </c>
      <c r="AA89" s="5" t="inlineStr">
        <is>
          <t>2029(MW)</t>
        </is>
      </c>
      <c r="AB89" s="5" t="inlineStr">
        <is>
          <t>2030(MW)</t>
        </is>
      </c>
      <c r="AC89" s="5" t="inlineStr">
        <is>
          <t>2031(MW)</t>
        </is>
      </c>
    </row>
    <row r="90">
      <c r="A90" s="9" t="inlineStr">
        <is>
          <t>매출수익</t>
        </is>
      </c>
      <c r="C90" s="12" t="n">
        <v>442656</v>
      </c>
      <c r="D90" s="12" t="n">
        <v>439394</v>
      </c>
      <c r="E90" s="12" t="n">
        <v>390414</v>
      </c>
      <c r="F90" s="12" t="n">
        <v>421707</v>
      </c>
      <c r="G90" s="12" t="n">
        <v>461774</v>
      </c>
      <c r="H90" s="12" t="n">
        <v>448008</v>
      </c>
      <c r="I90" s="12" t="n">
        <v>411863</v>
      </c>
      <c r="J90" s="12" t="n">
        <v>416154</v>
      </c>
      <c r="K90" s="12" t="n">
        <v>486624</v>
      </c>
      <c r="L90" s="12" t="n">
        <v>467454</v>
      </c>
      <c r="M90" s="12" t="n">
        <v>460624</v>
      </c>
      <c r="N90" s="12" t="n">
        <v>502264</v>
      </c>
      <c r="U90" s="12" t="n">
        <v>347594</v>
      </c>
      <c r="V90" s="12" t="n">
        <v>390414</v>
      </c>
      <c r="W90" s="12" t="n">
        <v>411863</v>
      </c>
      <c r="X90" s="12" t="n">
        <v>460624</v>
      </c>
    </row>
    <row r="91">
      <c r="A91" s="43" t="inlineStr">
        <is>
          <t>YoY</t>
        </is>
      </c>
      <c r="B91" s="3" t="inlineStr">
        <is>
          <t>전년 같은 분기·전년 대비</t>
        </is>
      </c>
      <c r="G91" s="15">
        <f>IF(OR(G90="",C90=""),"",IF(C90&lt;=0,"",IFERROR(G90/C90-1,"")))</f>
        <v/>
      </c>
      <c r="H91" s="15">
        <f>IF(OR(H90="",D90=""),"",IF(D90&lt;=0,"",IFERROR(H90/D90-1,"")))</f>
        <v/>
      </c>
      <c r="I91" s="15">
        <f>IF(OR(I90="",E90=""),"",IF(E90&lt;=0,"",IFERROR(I90/E90-1,"")))</f>
        <v/>
      </c>
      <c r="J91" s="15">
        <f>IF(OR(J90="",F90=""),"",IF(F90&lt;=0,"",IFERROR(J90/F90-1,"")))</f>
        <v/>
      </c>
      <c r="K91" s="15">
        <f>IF(OR(K90="",G90=""),"",IF(G90&lt;=0,"",IFERROR(K90/G90-1,"")))</f>
        <v/>
      </c>
      <c r="L91" s="15">
        <f>IF(OR(L90="",H90=""),"",IF(H90&lt;=0,"",IFERROR(L90/H90-1,"")))</f>
        <v/>
      </c>
      <c r="M91" s="15">
        <f>IF(OR(M90="",I90=""),"",IF(I90&lt;=0,"",IFERROR(M90/I90-1,"")))</f>
        <v/>
      </c>
      <c r="N91" s="15">
        <f>IF(OR(N90="",J90=""),"",IF(J90&lt;=0,"",IFERROR(N90/J90-1,"")))</f>
        <v/>
      </c>
      <c r="U91" s="15">
        <f>IF(OR(U90="",T90=""),"",IF(T90&lt;=0,"",IFERROR(U90/T90-1,"")))</f>
        <v/>
      </c>
      <c r="V91" s="15">
        <f>IF(OR(V90="",U90=""),"",IF(U90&lt;=0,"",IFERROR(V90/U90-1,"")))</f>
        <v/>
      </c>
      <c r="W91" s="15">
        <f>IF(OR(W90="",V90=""),"",IF(V90&lt;=0,"",IFERROR(W90/V90-1,"")))</f>
        <v/>
      </c>
      <c r="X91" s="15">
        <f>IF(OR(X90="",W90=""),"",IF(W90&lt;=0,"",IFERROR(X90/W90-1,"")))</f>
        <v/>
      </c>
    </row>
    <row r="92">
      <c r="A92" s="18" t="inlineStr">
        <is>
          <t>매출원가</t>
        </is>
      </c>
      <c r="C92" s="20" t="n">
        <v>263187</v>
      </c>
      <c r="D92" s="20" t="n">
        <v>270116</v>
      </c>
      <c r="E92" s="20" t="n">
        <v>246078</v>
      </c>
      <c r="F92" s="20" t="n">
        <v>252260</v>
      </c>
      <c r="G92" s="20" t="n">
        <v>262761</v>
      </c>
      <c r="H92" s="20" t="n">
        <v>267341</v>
      </c>
      <c r="I92" s="20" t="n">
        <v>243288</v>
      </c>
      <c r="J92" s="20" t="n">
        <v>243494</v>
      </c>
      <c r="K92" s="20" t="n">
        <v>278432</v>
      </c>
      <c r="L92" s="20" t="n">
        <v>272587</v>
      </c>
      <c r="M92" s="20" t="n">
        <v>261517</v>
      </c>
      <c r="N92" s="20" t="n">
        <v>272315</v>
      </c>
      <c r="U92" s="20" t="n">
        <v>231838</v>
      </c>
      <c r="V92" s="20" t="n">
        <v>246078</v>
      </c>
      <c r="W92" s="20" t="n">
        <v>243288</v>
      </c>
      <c r="X92" s="20" t="n">
        <v>261517</v>
      </c>
    </row>
    <row r="93">
      <c r="A93" s="9" t="inlineStr">
        <is>
          <t>매출총이익</t>
        </is>
      </c>
      <c r="C93" s="12" t="n">
        <v>179469</v>
      </c>
      <c r="D93" s="12" t="n">
        <v>169278</v>
      </c>
      <c r="E93" s="12" t="n">
        <v>144336</v>
      </c>
      <c r="F93" s="12" t="n">
        <v>169447</v>
      </c>
      <c r="G93" s="12" t="n">
        <v>199013</v>
      </c>
      <c r="H93" s="12" t="n">
        <v>180667</v>
      </c>
      <c r="I93" s="12" t="n">
        <v>168575</v>
      </c>
      <c r="J93" s="12" t="n">
        <v>172660</v>
      </c>
      <c r="K93" s="12" t="n">
        <v>208192</v>
      </c>
      <c r="L93" s="12" t="n">
        <v>194867</v>
      </c>
      <c r="M93" s="12" t="n">
        <v>199107</v>
      </c>
      <c r="N93" s="12" t="n">
        <v>229949</v>
      </c>
      <c r="U93" s="12" t="n">
        <v>115756</v>
      </c>
      <c r="V93" s="12" t="n">
        <v>144336</v>
      </c>
      <c r="W93" s="12" t="n">
        <v>168575</v>
      </c>
      <c r="X93" s="12" t="n">
        <v>199107</v>
      </c>
    </row>
    <row r="94">
      <c r="A94" s="43" t="inlineStr">
        <is>
          <t>YoY</t>
        </is>
      </c>
      <c r="B94" s="3" t="inlineStr">
        <is>
          <t>전년 같은 분기·전년 대비</t>
        </is>
      </c>
      <c r="G94" s="15">
        <f>IF(OR(G93="",C93=""),"",IF(C93&lt;=0,"",IFERROR(G93/C93-1,"")))</f>
        <v/>
      </c>
      <c r="H94" s="15">
        <f>IF(OR(H93="",D93=""),"",IF(D93&lt;=0,"",IFERROR(H93/D93-1,"")))</f>
        <v/>
      </c>
      <c r="I94" s="15">
        <f>IF(OR(I93="",E93=""),"",IF(E93&lt;=0,"",IFERROR(I93/E93-1,"")))</f>
        <v/>
      </c>
      <c r="J94" s="15">
        <f>IF(OR(J93="",F93=""),"",IF(F93&lt;=0,"",IFERROR(J93/F93-1,"")))</f>
        <v/>
      </c>
      <c r="K94" s="15">
        <f>IF(OR(K93="",G93=""),"",IF(G93&lt;=0,"",IFERROR(K93/G93-1,"")))</f>
        <v/>
      </c>
      <c r="L94" s="15">
        <f>IF(OR(L93="",H93=""),"",IF(H93&lt;=0,"",IFERROR(L93/H93-1,"")))</f>
        <v/>
      </c>
      <c r="M94" s="15">
        <f>IF(OR(M93="",I93=""),"",IF(I93&lt;=0,"",IFERROR(M93/I93-1,"")))</f>
        <v/>
      </c>
      <c r="N94" s="15">
        <f>IF(OR(N93="",J93=""),"",IF(J93&lt;=0,"",IFERROR(N93/J93-1,"")))</f>
        <v/>
      </c>
      <c r="U94" s="15">
        <f>IF(OR(U93="",T93=""),"",IF(T93&lt;=0,"",IFERROR(U93/T93-1,"")))</f>
        <v/>
      </c>
      <c r="V94" s="15">
        <f>IF(OR(V93="",U93=""),"",IF(U93&lt;=0,"",IFERROR(V93/U93-1,"")))</f>
        <v/>
      </c>
      <c r="W94" s="15">
        <f>IF(OR(W93="",V93=""),"",IF(V93&lt;=0,"",IFERROR(W93/V93-1,"")))</f>
        <v/>
      </c>
      <c r="X94" s="15">
        <f>IF(OR(X93="",W93=""),"",IF(W93&lt;=0,"",IFERROR(X93/W93-1,"")))</f>
        <v/>
      </c>
    </row>
    <row r="95">
      <c r="A95" s="18" t="inlineStr">
        <is>
          <t>판매비와 관리비</t>
        </is>
      </c>
      <c r="C95" s="20" t="n">
        <v>58452</v>
      </c>
      <c r="D95" s="20" t="n">
        <v>60925</v>
      </c>
      <c r="E95" s="20" t="n">
        <v>62728</v>
      </c>
      <c r="F95" s="20" t="n">
        <v>69838</v>
      </c>
      <c r="G95" s="20" t="n">
        <v>65301</v>
      </c>
      <c r="H95" s="20" t="n">
        <v>68992</v>
      </c>
      <c r="I95" s="20" t="n">
        <v>73550</v>
      </c>
      <c r="J95" s="20" t="n">
        <v>71354</v>
      </c>
      <c r="K95" s="20" t="n">
        <v>66926</v>
      </c>
      <c r="L95" s="20" t="n">
        <v>73346</v>
      </c>
      <c r="M95" s="20" t="n">
        <v>85021</v>
      </c>
      <c r="N95" s="20" t="n">
        <v>86308</v>
      </c>
      <c r="U95" s="20" t="n">
        <v>65497</v>
      </c>
      <c r="V95" s="20" t="n">
        <v>62728</v>
      </c>
      <c r="W95" s="20" t="n">
        <v>73550</v>
      </c>
      <c r="X95" s="20" t="n">
        <v>85021</v>
      </c>
    </row>
    <row r="96">
      <c r="A96" s="18" t="inlineStr">
        <is>
          <t>연구개발비</t>
        </is>
      </c>
      <c r="C96" s="20" t="n">
        <v>33606</v>
      </c>
      <c r="D96" s="20" t="n">
        <v>33461</v>
      </c>
      <c r="E96" s="20" t="n">
        <v>32704</v>
      </c>
      <c r="F96" s="20" t="n">
        <v>37852</v>
      </c>
      <c r="G96" s="20" t="n">
        <v>35713</v>
      </c>
      <c r="H96" s="20" t="n">
        <v>36263</v>
      </c>
      <c r="I96" s="20" t="n">
        <v>39446</v>
      </c>
      <c r="J96" s="20" t="n">
        <v>39819</v>
      </c>
      <c r="K96" s="20" t="n">
        <v>38176</v>
      </c>
      <c r="L96" s="20" t="n">
        <v>39741</v>
      </c>
      <c r="M96" s="20" t="n">
        <v>41134</v>
      </c>
      <c r="N96" s="20" t="n">
        <v>44875</v>
      </c>
      <c r="U96" s="20" t="n">
        <v>32401</v>
      </c>
      <c r="V96" s="20" t="n">
        <v>32704</v>
      </c>
      <c r="W96" s="20" t="n">
        <v>39446</v>
      </c>
      <c r="X96" s="20" t="n">
        <v>41134</v>
      </c>
    </row>
    <row r="97">
      <c r="A97" s="18" t="inlineStr">
        <is>
          <t>Other Income</t>
        </is>
      </c>
      <c r="C97" s="20" t="n">
        <v>2584</v>
      </c>
      <c r="D97" s="20" t="n">
        <v>1459</v>
      </c>
      <c r="E97" s="20" t="n">
        <v>1885</v>
      </c>
      <c r="F97" s="20" t="n">
        <v>8524</v>
      </c>
      <c r="G97" s="20" t="n">
        <v>2643</v>
      </c>
      <c r="H97" s="20" t="n">
        <v>1387</v>
      </c>
      <c r="I97" s="20" t="n">
        <v>3940</v>
      </c>
      <c r="J97" s="20" t="n">
        <v>1408</v>
      </c>
      <c r="K97" s="20" t="n">
        <v>2270</v>
      </c>
      <c r="L97" s="20" t="n">
        <v>5176</v>
      </c>
      <c r="M97" s="20" t="n">
        <v>8659</v>
      </c>
      <c r="N97" s="20" t="n">
        <v>1819</v>
      </c>
      <c r="U97" s="20" t="n">
        <v>2781</v>
      </c>
      <c r="V97" s="20" t="n">
        <v>1885</v>
      </c>
      <c r="W97" s="20" t="n">
        <v>3940</v>
      </c>
      <c r="X97" s="20" t="n">
        <v>8659</v>
      </c>
    </row>
    <row r="98">
      <c r="A98" s="18" t="inlineStr">
        <is>
          <t>기타비용</t>
        </is>
      </c>
      <c r="C98" s="20" t="n">
        <v>1184</v>
      </c>
      <c r="D98" s="20" t="n">
        <v>154</v>
      </c>
      <c r="E98" s="20" t="n">
        <v>50461</v>
      </c>
      <c r="F98" s="20" t="n">
        <v>3906</v>
      </c>
      <c r="G98" s="20" t="n">
        <v>8845</v>
      </c>
      <c r="H98" s="20" t="n">
        <v>810</v>
      </c>
      <c r="I98" s="20" t="n">
        <v>13978</v>
      </c>
      <c r="J98" s="20" t="n">
        <v>1274</v>
      </c>
      <c r="K98" s="20" t="n">
        <v>1845</v>
      </c>
      <c r="L98" s="20" t="n">
        <v>49080</v>
      </c>
      <c r="M98" s="20" t="n">
        <v>2788</v>
      </c>
      <c r="N98" s="20" t="n">
        <v>2131</v>
      </c>
      <c r="U98" s="20" t="n">
        <v>1437</v>
      </c>
      <c r="V98" s="20" t="n">
        <v>50461</v>
      </c>
      <c r="W98" s="20" t="n">
        <v>13978</v>
      </c>
      <c r="X98" s="20" t="n">
        <v>2788</v>
      </c>
    </row>
    <row r="99">
      <c r="A99" s="18" t="inlineStr">
        <is>
          <t>영업이익</t>
        </is>
      </c>
      <c r="C99" s="20" t="n">
        <v>88811</v>
      </c>
      <c r="D99" s="20" t="n">
        <v>76197</v>
      </c>
      <c r="E99" s="20" t="n">
        <v>328</v>
      </c>
      <c r="F99" s="20" t="n">
        <v>66375</v>
      </c>
      <c r="G99" s="20" t="n">
        <v>91797</v>
      </c>
      <c r="H99" s="20" t="n">
        <v>75989</v>
      </c>
      <c r="I99" s="20" t="n">
        <v>45541</v>
      </c>
      <c r="J99" s="20" t="n">
        <v>61621</v>
      </c>
      <c r="K99" s="20" t="n">
        <v>103515</v>
      </c>
      <c r="L99" s="20" t="n">
        <v>37876</v>
      </c>
      <c r="M99" s="20" t="n">
        <v>78823</v>
      </c>
      <c r="N99" s="20" t="n">
        <v>98454</v>
      </c>
      <c r="U99" s="20" t="n">
        <v>19202</v>
      </c>
      <c r="V99" s="20" t="n">
        <v>328</v>
      </c>
      <c r="W99" s="20" t="n">
        <v>45541</v>
      </c>
      <c r="X99" s="20" t="n">
        <v>78823</v>
      </c>
    </row>
    <row r="100">
      <c r="A100" s="43" t="inlineStr">
        <is>
          <t>OPM</t>
        </is>
      </c>
      <c r="B100" s="3" t="inlineStr">
        <is>
          <t>영업이익 ÷ 매출</t>
        </is>
      </c>
      <c r="C100" s="15">
        <f>IF(OR(C99="",C90=""),"",IF(C90&lt;=0,"",IFERROR(C99/C90,"")))</f>
        <v/>
      </c>
      <c r="D100" s="15">
        <f>IF(OR(D99="",D90=""),"",IF(D90&lt;=0,"",IFERROR(D99/D90,"")))</f>
        <v/>
      </c>
      <c r="E100" s="15">
        <f>IF(OR(E99="",E90=""),"",IF(E90&lt;=0,"",IFERROR(E99/E90,"")))</f>
        <v/>
      </c>
      <c r="F100" s="15">
        <f>IF(OR(F99="",F90=""),"",IF(F90&lt;=0,"",IFERROR(F99/F90,"")))</f>
        <v/>
      </c>
      <c r="G100" s="15">
        <f>IF(OR(G99="",G90=""),"",IF(G90&lt;=0,"",IFERROR(G99/G90,"")))</f>
        <v/>
      </c>
      <c r="H100" s="15">
        <f>IF(OR(H99="",H90=""),"",IF(H90&lt;=0,"",IFERROR(H99/H90,"")))</f>
        <v/>
      </c>
      <c r="I100" s="15">
        <f>IF(OR(I99="",I90=""),"",IF(I90&lt;=0,"",IFERROR(I99/I90,"")))</f>
        <v/>
      </c>
      <c r="J100" s="15">
        <f>IF(OR(J99="",J90=""),"",IF(J90&lt;=0,"",IFERROR(J99/J90,"")))</f>
        <v/>
      </c>
      <c r="K100" s="15">
        <f>IF(OR(K99="",K90=""),"",IF(K90&lt;=0,"",IFERROR(K99/K90,"")))</f>
        <v/>
      </c>
      <c r="L100" s="15">
        <f>IF(OR(L99="",L90=""),"",IF(L90&lt;=0,"",IFERROR(L99/L90,"")))</f>
        <v/>
      </c>
      <c r="M100" s="15">
        <f>IF(OR(M99="",M90=""),"",IF(M90&lt;=0,"",IFERROR(M99/M90,"")))</f>
        <v/>
      </c>
      <c r="N100" s="15">
        <f>IF(OR(N99="",N90=""),"",IF(N90&lt;=0,"",IFERROR(N99/N90,"")))</f>
        <v/>
      </c>
      <c r="U100" s="15">
        <f>IF(OR(U99="",U90=""),"",IF(U90&lt;=0,"",IFERROR(U99/U90,"")))</f>
        <v/>
      </c>
      <c r="V100" s="15">
        <f>IF(OR(V99="",V90=""),"",IF(V90&lt;=0,"",IFERROR(V99/V90,"")))</f>
        <v/>
      </c>
      <c r="W100" s="15">
        <f>IF(OR(W99="",W90=""),"",IF(W90&lt;=0,"",IFERROR(W99/W90,"")))</f>
        <v/>
      </c>
      <c r="X100" s="15">
        <f>IF(OR(X99="",X90=""),"",IF(X90&lt;=0,"",IFERROR(X99/X90,"")))</f>
        <v/>
      </c>
    </row>
    <row r="101">
      <c r="A101" s="43" t="inlineStr">
        <is>
          <t>YoY</t>
        </is>
      </c>
      <c r="B101" s="3" t="inlineStr">
        <is>
          <t>전년 같은 분기·전년 대비</t>
        </is>
      </c>
      <c r="G101" s="15">
        <f>IF(OR(G99="",C99=""),"",IF(C99&lt;=0,"",IFERROR(G99/C99-1,"")))</f>
        <v/>
      </c>
      <c r="H101" s="15">
        <f>IF(OR(H99="",D99=""),"",IF(D99&lt;=0,"",IFERROR(H99/D99-1,"")))</f>
        <v/>
      </c>
      <c r="I101" s="15">
        <f>IF(OR(I99="",E99=""),"",IF(E99&lt;=0,"",IFERROR(I99/E99-1,"")))</f>
        <v/>
      </c>
      <c r="J101" s="15">
        <f>IF(OR(J99="",F99=""),"",IF(F99&lt;=0,"",IFERROR(J99/F99-1,"")))</f>
        <v/>
      </c>
      <c r="K101" s="15">
        <f>IF(OR(K99="",G99=""),"",IF(G99&lt;=0,"",IFERROR(K99/G99-1,"")))</f>
        <v/>
      </c>
      <c r="L101" s="15">
        <f>IF(OR(L99="",H99=""),"",IF(H99&lt;=0,"",IFERROR(L99/H99-1,"")))</f>
        <v/>
      </c>
      <c r="M101" s="15">
        <f>IF(OR(M99="",I99=""),"",IF(I99&lt;=0,"",IFERROR(M99/I99-1,"")))</f>
        <v/>
      </c>
      <c r="N101" s="15">
        <f>IF(OR(N99="",J99=""),"",IF(J99&lt;=0,"",IFERROR(N99/J99-1,"")))</f>
        <v/>
      </c>
      <c r="U101" s="15">
        <f>IF(OR(U99="",T99=""),"",IF(T99&lt;=0,"",IFERROR(U99/T99-1,"")))</f>
        <v/>
      </c>
      <c r="V101" s="15">
        <f>IF(OR(V99="",U99=""),"",IF(U99&lt;=0,"",IFERROR(V99/U99-1,"")))</f>
        <v/>
      </c>
      <c r="W101" s="15">
        <f>IF(OR(W99="",V99=""),"",IF(V99&lt;=0,"",IFERROR(W99/V99-1,"")))</f>
        <v/>
      </c>
      <c r="X101" s="15">
        <f>IF(OR(X99="",W99=""),"",IF(W99&lt;=0,"",IFERROR(X99/W99-1,"")))</f>
        <v/>
      </c>
    </row>
    <row r="102">
      <c r="A102" s="18" t="inlineStr">
        <is>
          <t>금융수익</t>
        </is>
      </c>
      <c r="C102" s="20" t="n">
        <v>9999</v>
      </c>
      <c r="D102" s="20" t="n">
        <v>-11205</v>
      </c>
      <c r="E102" s="20" t="n">
        <v>16417</v>
      </c>
      <c r="F102" s="20" t="n">
        <v>17709</v>
      </c>
      <c r="G102" s="20" t="n">
        <v>-8595</v>
      </c>
      <c r="H102" s="20" t="n">
        <v>27137</v>
      </c>
      <c r="I102" s="20" t="n">
        <v>-6883</v>
      </c>
      <c r="J102" s="20" t="n">
        <v>5948</v>
      </c>
      <c r="K102" s="20" t="n">
        <v>5101</v>
      </c>
      <c r="L102" s="20" t="n">
        <v>12170</v>
      </c>
      <c r="M102" s="20" t="n">
        <v>6763</v>
      </c>
      <c r="N102" s="20" t="n">
        <v>11582</v>
      </c>
      <c r="U102" s="20" t="n">
        <v>1603</v>
      </c>
      <c r="V102" s="20" t="n">
        <v>16417</v>
      </c>
      <c r="W102" s="20" t="n">
        <v>-6883</v>
      </c>
      <c r="X102" s="20" t="n">
        <v>6763</v>
      </c>
    </row>
    <row r="103">
      <c r="A103" s="18" t="inlineStr">
        <is>
          <t>금융비용</t>
        </is>
      </c>
      <c r="C103" s="20" t="n">
        <v>353</v>
      </c>
      <c r="D103" s="20" t="n">
        <v>788</v>
      </c>
      <c r="E103" s="20" t="n">
        <v>2801</v>
      </c>
      <c r="F103" s="20" t="n">
        <v>533</v>
      </c>
      <c r="G103" s="20" t="n">
        <v>2759</v>
      </c>
      <c r="H103" s="20" t="n">
        <v>-1397</v>
      </c>
      <c r="I103" s="20" t="n">
        <v>2880</v>
      </c>
      <c r="J103" s="20" t="n">
        <v>5261</v>
      </c>
      <c r="K103" s="20" t="n">
        <v>-3840</v>
      </c>
      <c r="L103" s="20" t="n">
        <v>517</v>
      </c>
      <c r="M103" s="20" t="n">
        <v>1251</v>
      </c>
      <c r="N103" s="20" t="n">
        <v>807</v>
      </c>
      <c r="U103" s="20" t="n">
        <v>768</v>
      </c>
      <c r="V103" s="20" t="n">
        <v>2801</v>
      </c>
      <c r="W103" s="20" t="n">
        <v>2880</v>
      </c>
      <c r="X103" s="20" t="n">
        <v>1251</v>
      </c>
    </row>
    <row r="104">
      <c r="A104" s="18" t="inlineStr">
        <is>
          <t>Share Of Profit Loss Of Investments Accounted For Using Equity Method</t>
        </is>
      </c>
      <c r="C104" s="20" t="n">
        <v>-1</v>
      </c>
      <c r="D104" s="20" t="n">
        <v>6</v>
      </c>
      <c r="E104" s="20" t="n">
        <v>26</v>
      </c>
      <c r="F104" s="20" t="n">
        <v>15</v>
      </c>
      <c r="G104" s="20" t="n">
        <v>20</v>
      </c>
      <c r="H104" s="20" t="n">
        <v>5</v>
      </c>
      <c r="I104" s="20" t="n">
        <v>69</v>
      </c>
      <c r="J104" s="20" t="n">
        <v>14</v>
      </c>
      <c r="K104" s="20" t="n">
        <v>4</v>
      </c>
      <c r="L104" s="20" t="n">
        <v>-20</v>
      </c>
      <c r="M104" s="20" t="n">
        <v>17</v>
      </c>
      <c r="N104" s="20" t="n">
        <v>4</v>
      </c>
      <c r="U104" s="20" t="n">
        <v>0</v>
      </c>
      <c r="V104" s="20" t="n">
        <v>26</v>
      </c>
      <c r="W104" s="20" t="n">
        <v>69</v>
      </c>
      <c r="X104" s="20" t="n">
        <v>17</v>
      </c>
    </row>
    <row r="105">
      <c r="A105" s="9" t="inlineStr">
        <is>
          <t>법인세비용차감전 중간이익</t>
        </is>
      </c>
      <c r="C105" s="12" t="n">
        <v>98456</v>
      </c>
      <c r="D105" s="12" t="n">
        <v>64210</v>
      </c>
      <c r="E105" s="12" t="n">
        <v>13970</v>
      </c>
      <c r="F105" s="12" t="n">
        <v>83566</v>
      </c>
      <c r="G105" s="12" t="n">
        <v>80463</v>
      </c>
      <c r="H105" s="12" t="n">
        <v>104528</v>
      </c>
      <c r="I105" s="12" t="n">
        <v>35847</v>
      </c>
      <c r="J105" s="12" t="n">
        <v>62322</v>
      </c>
      <c r="K105" s="12" t="n">
        <v>112460</v>
      </c>
      <c r="L105" s="12" t="n">
        <v>49509</v>
      </c>
      <c r="M105" s="12" t="n">
        <v>84352</v>
      </c>
      <c r="N105" s="12" t="n">
        <v>109233</v>
      </c>
      <c r="U105" s="12" t="n">
        <v>20037</v>
      </c>
      <c r="V105" s="12" t="n">
        <v>13970</v>
      </c>
      <c r="W105" s="12" t="n">
        <v>35847</v>
      </c>
      <c r="X105" s="12" t="n">
        <v>84352</v>
      </c>
    </row>
    <row r="106">
      <c r="A106" s="18" t="inlineStr">
        <is>
          <t>Income Tax Expense</t>
        </is>
      </c>
      <c r="C106" s="20" t="n">
        <v>23475</v>
      </c>
      <c r="D106" s="20" t="n">
        <v>14916</v>
      </c>
      <c r="E106" s="20" t="n">
        <v>7851</v>
      </c>
      <c r="F106" s="20" t="n">
        <v>17289</v>
      </c>
      <c r="G106" s="20" t="n">
        <v>17086</v>
      </c>
      <c r="H106" s="20" t="n">
        <v>33615</v>
      </c>
      <c r="I106" s="20" t="n">
        <v>3441</v>
      </c>
      <c r="J106" s="20" t="n">
        <v>12651</v>
      </c>
      <c r="K106" s="20" t="n">
        <v>29790</v>
      </c>
      <c r="L106" s="20" t="n">
        <v>24563</v>
      </c>
      <c r="M106" s="20" t="n">
        <v>7858</v>
      </c>
      <c r="N106" s="20" t="n">
        <v>27888</v>
      </c>
      <c r="U106" s="20" t="n">
        <v>-11037</v>
      </c>
      <c r="V106" s="20" t="n">
        <v>7851</v>
      </c>
      <c r="W106" s="20" t="n">
        <v>3441</v>
      </c>
      <c r="X106" s="20" t="n">
        <v>7858</v>
      </c>
    </row>
    <row r="107">
      <c r="A107" s="9" t="inlineStr">
        <is>
          <t>중간이익</t>
        </is>
      </c>
      <c r="C107" s="12" t="n">
        <v>74981</v>
      </c>
      <c r="D107" s="12" t="n">
        <v>49294</v>
      </c>
      <c r="E107" s="12" t="n">
        <v>6119</v>
      </c>
      <c r="F107" s="12" t="n">
        <v>66277</v>
      </c>
      <c r="G107" s="12" t="n">
        <v>63377</v>
      </c>
      <c r="H107" s="12" t="n">
        <v>70913</v>
      </c>
      <c r="I107" s="12" t="n">
        <v>32406</v>
      </c>
      <c r="J107" s="12" t="n">
        <v>49671</v>
      </c>
      <c r="K107" s="12" t="n">
        <v>82670</v>
      </c>
      <c r="L107" s="12" t="n">
        <v>24946</v>
      </c>
      <c r="M107" s="12" t="n">
        <v>76494</v>
      </c>
      <c r="N107" s="12" t="n">
        <v>81345</v>
      </c>
      <c r="U107" s="12" t="n">
        <v>31074</v>
      </c>
      <c r="V107" s="12" t="n">
        <v>6119</v>
      </c>
      <c r="W107" s="12" t="n">
        <v>32406</v>
      </c>
      <c r="X107" s="12" t="n">
        <v>76494</v>
      </c>
    </row>
    <row r="108">
      <c r="A108" s="18" t="inlineStr">
        <is>
          <t>기본 주당 중간이익(엔)</t>
        </is>
      </c>
      <c r="C108" s="20" t="n">
        <v>3.973e-05</v>
      </c>
      <c r="D108" s="20" t="n">
        <v>2.612e-05</v>
      </c>
      <c r="E108" s="20" t="n">
        <v>3.349999999999994e-06</v>
      </c>
      <c r="F108" s="20" t="n">
        <v>3.53e-05</v>
      </c>
      <c r="G108" s="20" t="n">
        <v>3.415e-05</v>
      </c>
      <c r="H108" s="20" t="n">
        <v>3.811e-05</v>
      </c>
      <c r="I108" s="20" t="n">
        <v>1.751999999999999e-05</v>
      </c>
      <c r="J108" s="20" t="n">
        <v>2.683e-05</v>
      </c>
      <c r="K108" s="20" t="n">
        <v>4.494e-05</v>
      </c>
      <c r="L108" s="20" t="n">
        <v>1.391000000000001e-05</v>
      </c>
      <c r="M108" s="20" t="n">
        <v>4.197999999999999e-05</v>
      </c>
      <c r="N108" s="20" t="n">
        <v>4.471e-05</v>
      </c>
      <c r="U108" s="20" t="n">
        <v>1.655999999999999e-05</v>
      </c>
      <c r="V108" s="20" t="n">
        <v>3.349999999999994e-06</v>
      </c>
      <c r="W108" s="20" t="n">
        <v>1.751999999999999e-05</v>
      </c>
      <c r="X108" s="20" t="n">
        <v>4.197999999999999e-05</v>
      </c>
    </row>
    <row r="109">
      <c r="A109" s="18" t="inlineStr">
        <is>
          <t>희석 주당 중간이익(엔)</t>
        </is>
      </c>
      <c r="H109" s="20" t="n">
        <v>0</v>
      </c>
      <c r="I109" s="20" t="n">
        <v>0</v>
      </c>
      <c r="J109" s="20" t="n">
        <v>0</v>
      </c>
      <c r="K109" s="20" t="n">
        <v>7.177e-05</v>
      </c>
      <c r="L109" s="20" t="n">
        <v>1.391000000000001e-05</v>
      </c>
      <c r="M109" s="20" t="n">
        <v>4.197e-05</v>
      </c>
      <c r="N109" s="20" t="n">
        <v>4.47e-05</v>
      </c>
      <c r="W109" s="20" t="n">
        <v>0</v>
      </c>
      <c r="X109" s="20" t="n">
        <v>4.197e-05</v>
      </c>
    </row>
    <row r="110">
      <c r="A110" s="9" t="inlineStr">
        <is>
          <t>Profit Loss Attributable To Owners Of Parent</t>
        </is>
      </c>
      <c r="C110" s="12" t="n">
        <v>75055</v>
      </c>
      <c r="D110" s="12" t="n">
        <v>49359</v>
      </c>
      <c r="E110" s="12" t="n">
        <v>6326</v>
      </c>
      <c r="F110" s="12" t="n">
        <v>66365</v>
      </c>
      <c r="G110" s="12" t="n">
        <v>63955</v>
      </c>
      <c r="H110" s="12" t="n">
        <v>71002</v>
      </c>
      <c r="I110" s="12" t="n">
        <v>32496</v>
      </c>
      <c r="J110" s="12" t="n">
        <v>49714</v>
      </c>
      <c r="K110" s="12" t="n">
        <v>82665</v>
      </c>
      <c r="L110" s="12" t="n">
        <v>24969</v>
      </c>
      <c r="M110" s="12" t="n">
        <v>76572</v>
      </c>
      <c r="N110" s="12" t="n">
        <v>81377</v>
      </c>
      <c r="U110" s="12" t="n">
        <v>31126</v>
      </c>
      <c r="V110" s="12" t="n">
        <v>6326</v>
      </c>
      <c r="W110" s="12" t="n">
        <v>32496</v>
      </c>
      <c r="X110" s="12" t="n">
        <v>76572</v>
      </c>
    </row>
    <row r="111">
      <c r="A111" s="43" t="inlineStr">
        <is>
          <t>YoY</t>
        </is>
      </c>
      <c r="B111" s="3" t="inlineStr">
        <is>
          <t>전년 같은 분기·전년 대비</t>
        </is>
      </c>
      <c r="G111" s="15">
        <f>IF(OR(G110="",C110=""),"",IF(C110&lt;=0,"",IFERROR(G110/C110-1,"")))</f>
        <v/>
      </c>
      <c r="H111" s="15">
        <f>IF(OR(H110="",D110=""),"",IF(D110&lt;=0,"",IFERROR(H110/D110-1,"")))</f>
        <v/>
      </c>
      <c r="I111" s="15">
        <f>IF(OR(I110="",E110=""),"",IF(E110&lt;=0,"",IFERROR(I110/E110-1,"")))</f>
        <v/>
      </c>
      <c r="J111" s="15">
        <f>IF(OR(J110="",F110=""),"",IF(F110&lt;=0,"",IFERROR(J110/F110-1,"")))</f>
        <v/>
      </c>
      <c r="K111" s="15">
        <f>IF(OR(K110="",G110=""),"",IF(G110&lt;=0,"",IFERROR(K110/G110-1,"")))</f>
        <v/>
      </c>
      <c r="L111" s="15">
        <f>IF(OR(L110="",H110=""),"",IF(H110&lt;=0,"",IFERROR(L110/H110-1,"")))</f>
        <v/>
      </c>
      <c r="M111" s="15">
        <f>IF(OR(M110="",I110=""),"",IF(I110&lt;=0,"",IFERROR(M110/I110-1,"")))</f>
        <v/>
      </c>
      <c r="N111" s="15">
        <f>IF(OR(N110="",J110=""),"",IF(J110&lt;=0,"",IFERROR(N110/J110-1,"")))</f>
        <v/>
      </c>
      <c r="U111" s="15">
        <f>IF(OR(U110="",T110=""),"",IF(T110&lt;=0,"",IFERROR(U110/T110-1,"")))</f>
        <v/>
      </c>
      <c r="V111" s="15">
        <f>IF(OR(V110="",U110=""),"",IF(U110&lt;=0,"",IFERROR(V110/U110-1,"")))</f>
        <v/>
      </c>
      <c r="W111" s="15">
        <f>IF(OR(W110="",V110=""),"",IF(V110&lt;=0,"",IFERROR(W110/V110-1,"")))</f>
        <v/>
      </c>
      <c r="X111" s="15">
        <f>IF(OR(X110="",W110=""),"",IF(W110&lt;=0,"",IFERROR(X110/W110-1,"")))</f>
        <v/>
      </c>
    </row>
    <row r="112">
      <c r="A112" s="9" t="inlineStr">
        <is>
          <t>비지배지분</t>
        </is>
      </c>
      <c r="C112" s="12" t="n">
        <v>-74</v>
      </c>
      <c r="D112" s="12" t="n">
        <v>-65</v>
      </c>
      <c r="E112" s="12" t="n">
        <v>-207</v>
      </c>
      <c r="F112" s="12" t="n">
        <v>-88</v>
      </c>
      <c r="G112" s="12" t="n">
        <v>-578</v>
      </c>
      <c r="H112" s="12" t="n">
        <v>-89</v>
      </c>
      <c r="I112" s="12" t="n">
        <v>-90</v>
      </c>
      <c r="J112" s="12" t="n">
        <v>-43</v>
      </c>
      <c r="K112" s="12" t="n">
        <v>5</v>
      </c>
      <c r="L112" s="12" t="n">
        <v>-23</v>
      </c>
      <c r="M112" s="12" t="n">
        <v>-78</v>
      </c>
      <c r="N112" s="12" t="n">
        <v>-32</v>
      </c>
      <c r="U112" s="12" t="n">
        <v>-52</v>
      </c>
      <c r="V112" s="12" t="n">
        <v>-207</v>
      </c>
      <c r="W112" s="12" t="n">
        <v>-90</v>
      </c>
      <c r="X112" s="12" t="n">
        <v>-78</v>
      </c>
    </row>
    <row r="114">
      <c r="A114" s="16" t="inlineStr">
        <is>
          <t>포괄손익 · 전 항목</t>
        </is>
      </c>
      <c r="B114" s="42" t="inlineStr">
        <is>
          <t>분기 = 3개월 단독</t>
        </is>
      </c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  <c r="AA114" s="16" t="n"/>
      <c r="AB114" s="16" t="n"/>
      <c r="AC114" s="16" t="n"/>
    </row>
    <row r="115">
      <c r="A115" s="5" t="inlineStr">
        <is>
          <t>항목</t>
        </is>
      </c>
      <c r="B115" s="5" t="inlineStr">
        <is>
          <t>참고</t>
        </is>
      </c>
      <c r="C115" s="5" t="inlineStr">
        <is>
          <t>2024.2Q</t>
        </is>
      </c>
      <c r="D115" s="5" t="inlineStr">
        <is>
          <t>2024.3Q</t>
        </is>
      </c>
      <c r="E115" s="5" t="inlineStr">
        <is>
          <t>2024.4Q</t>
        </is>
      </c>
      <c r="F115" s="5" t="inlineStr">
        <is>
          <t>2025.1Q</t>
        </is>
      </c>
      <c r="G115" s="5" t="inlineStr">
        <is>
          <t>2025.2Q</t>
        </is>
      </c>
      <c r="H115" s="5" t="inlineStr">
        <is>
          <t>2025.3Q</t>
        </is>
      </c>
      <c r="I115" s="5" t="inlineStr">
        <is>
          <t>2025.4Q</t>
        </is>
      </c>
      <c r="J115" s="5" t="inlineStr">
        <is>
          <t>2026.1Q</t>
        </is>
      </c>
      <c r="K115" s="5" t="inlineStr">
        <is>
          <t>2026.2Q</t>
        </is>
      </c>
      <c r="L115" s="5" t="inlineStr">
        <is>
          <t>2026.3Q</t>
        </is>
      </c>
      <c r="M115" s="5" t="inlineStr">
        <is>
          <t>2026.4Q</t>
        </is>
      </c>
      <c r="N115" s="5" t="inlineStr">
        <is>
          <t>2027.1Q</t>
        </is>
      </c>
      <c r="O115" s="5" t="inlineStr">
        <is>
          <t>2017</t>
        </is>
      </c>
      <c r="P115" s="5" t="inlineStr">
        <is>
          <t>2018</t>
        </is>
      </c>
      <c r="Q115" s="5" t="inlineStr">
        <is>
          <t>2019</t>
        </is>
      </c>
      <c r="R115" s="5" t="inlineStr">
        <is>
          <t>2020</t>
        </is>
      </c>
      <c r="S115" s="5" t="inlineStr">
        <is>
          <t>2021</t>
        </is>
      </c>
      <c r="T115" s="5" t="inlineStr">
        <is>
          <t>2022</t>
        </is>
      </c>
      <c r="U115" s="5" t="inlineStr">
        <is>
          <t>2023</t>
        </is>
      </c>
      <c r="V115" s="5" t="inlineStr">
        <is>
          <t>2024</t>
        </is>
      </c>
      <c r="W115" s="5" t="inlineStr">
        <is>
          <t>2025</t>
        </is>
      </c>
      <c r="X115" s="5" t="inlineStr">
        <is>
          <t>2026</t>
        </is>
      </c>
      <c r="Y115" s="5" t="inlineStr">
        <is>
          <t>2027(MW)</t>
        </is>
      </c>
      <c r="Z115" s="5" t="inlineStr">
        <is>
          <t>2028(MW)</t>
        </is>
      </c>
      <c r="AA115" s="5" t="inlineStr">
        <is>
          <t>2029(MW)</t>
        </is>
      </c>
      <c r="AB115" s="5" t="inlineStr">
        <is>
          <t>2030(MW)</t>
        </is>
      </c>
      <c r="AC115" s="5" t="inlineStr">
        <is>
          <t>2031(MW)</t>
        </is>
      </c>
    </row>
    <row r="116">
      <c r="A116" s="9" t="inlineStr">
        <is>
          <t>중간이익</t>
        </is>
      </c>
      <c r="C116" s="12" t="n">
        <v>74981</v>
      </c>
      <c r="D116" s="12" t="n">
        <v>49294</v>
      </c>
      <c r="E116" s="12" t="n">
        <v>6119</v>
      </c>
      <c r="F116" s="12" t="n">
        <v>66277</v>
      </c>
      <c r="G116" s="12" t="n">
        <v>63377</v>
      </c>
      <c r="H116" s="12" t="n">
        <v>70913</v>
      </c>
      <c r="I116" s="12" t="n">
        <v>32406</v>
      </c>
      <c r="J116" s="12" t="n">
        <v>49671</v>
      </c>
      <c r="K116" s="12" t="n">
        <v>82670</v>
      </c>
      <c r="L116" s="12" t="n">
        <v>24946</v>
      </c>
      <c r="M116" s="12" t="n">
        <v>76494</v>
      </c>
      <c r="N116" s="12" t="n">
        <v>81345</v>
      </c>
      <c r="U116" s="12" t="n">
        <v>31074</v>
      </c>
      <c r="V116" s="12" t="n">
        <v>6119</v>
      </c>
      <c r="W116" s="12" t="n">
        <v>32406</v>
      </c>
      <c r="X116" s="12" t="n">
        <v>76494</v>
      </c>
    </row>
    <row r="117">
      <c r="A117" s="18" t="inlineStr">
        <is>
          <t>기타포괄손익-공정가치 측정 금융자산</t>
        </is>
      </c>
      <c r="C117" s="20" t="n">
        <v>-366</v>
      </c>
      <c r="D117" s="20" t="n">
        <v>307</v>
      </c>
      <c r="E117" s="20" t="n">
        <v>2349</v>
      </c>
      <c r="F117" s="20" t="n">
        <v>238</v>
      </c>
      <c r="G117" s="20" t="n">
        <v>-1441</v>
      </c>
      <c r="H117" s="20" t="n">
        <v>-149</v>
      </c>
      <c r="I117" s="20" t="n">
        <v>-113</v>
      </c>
      <c r="J117" s="20" t="n">
        <v>617</v>
      </c>
      <c r="K117" s="20" t="n">
        <v>2894</v>
      </c>
      <c r="L117" s="20" t="n">
        <v>1913</v>
      </c>
      <c r="M117" s="20" t="n">
        <v>1435</v>
      </c>
      <c r="N117" s="20" t="n">
        <v>4383</v>
      </c>
      <c r="U117" s="20" t="n">
        <v>1330</v>
      </c>
      <c r="V117" s="20" t="n">
        <v>2349</v>
      </c>
      <c r="W117" s="20" t="n">
        <v>-113</v>
      </c>
      <c r="X117" s="20" t="n">
        <v>1435</v>
      </c>
    </row>
    <row r="118">
      <c r="A118" s="18" t="inlineStr">
        <is>
          <t>Total Of Items That Will Not Be Reclassified To Profit Or Loss OCI</t>
        </is>
      </c>
      <c r="C118" s="20" t="n">
        <v>-366</v>
      </c>
      <c r="D118" s="20" t="n">
        <v>307</v>
      </c>
      <c r="E118" s="20" t="n">
        <v>1626</v>
      </c>
      <c r="F118" s="20" t="n">
        <v>238</v>
      </c>
      <c r="G118" s="20" t="n">
        <v>-1441</v>
      </c>
      <c r="H118" s="20" t="n">
        <v>-149</v>
      </c>
      <c r="I118" s="20" t="n">
        <v>-9137</v>
      </c>
      <c r="J118" s="20" t="n">
        <v>617</v>
      </c>
      <c r="K118" s="20" t="n">
        <v>2894</v>
      </c>
      <c r="L118" s="20" t="n">
        <v>1913</v>
      </c>
      <c r="M118" s="20" t="n">
        <v>4173</v>
      </c>
      <c r="N118" s="20" t="n">
        <v>4383</v>
      </c>
      <c r="U118" s="20" t="n">
        <v>-3753</v>
      </c>
      <c r="V118" s="20" t="n">
        <v>1626</v>
      </c>
      <c r="W118" s="20" t="n">
        <v>-9137</v>
      </c>
      <c r="X118" s="20" t="n">
        <v>4173</v>
      </c>
    </row>
    <row r="119">
      <c r="A119" s="18" t="inlineStr">
        <is>
          <t>기타포괄손익-공정가치 측정 금융자산</t>
        </is>
      </c>
      <c r="C119" s="20" t="n">
        <v>3</v>
      </c>
      <c r="D119" s="20" t="n">
        <v>0</v>
      </c>
      <c r="E119" s="20" t="n">
        <v>-1</v>
      </c>
      <c r="F119" s="20" t="n">
        <v>-0</v>
      </c>
      <c r="G119" s="20" t="n">
        <v>0</v>
      </c>
      <c r="H119" s="20" t="n">
        <v>0</v>
      </c>
      <c r="I119" s="20" t="n">
        <v>0</v>
      </c>
      <c r="J119" s="20" t="n">
        <v>-1</v>
      </c>
      <c r="K119" s="20" t="n">
        <v>0</v>
      </c>
      <c r="L119" s="20" t="n">
        <v>0</v>
      </c>
      <c r="M119" s="20" t="n">
        <v>0</v>
      </c>
      <c r="N119" s="20" t="n">
        <v>0</v>
      </c>
      <c r="U119" s="20" t="n">
        <v>7</v>
      </c>
      <c r="V119" s="20" t="n">
        <v>-1</v>
      </c>
      <c r="W119" s="20" t="n">
        <v>0</v>
      </c>
      <c r="X119" s="20" t="n">
        <v>0</v>
      </c>
    </row>
    <row r="120">
      <c r="A120" s="18" t="inlineStr">
        <is>
          <t>Exchange Differences On Translation Of Foreign Operations Net Of Tax Items That May Be Reclassified To Profit Or Loss OCI</t>
        </is>
      </c>
      <c r="C120" s="20" t="n">
        <v>25005</v>
      </c>
      <c r="D120" s="20" t="n">
        <v>-32526</v>
      </c>
      <c r="E120" s="20" t="n">
        <v>56400</v>
      </c>
      <c r="F120" s="20" t="n">
        <v>64124</v>
      </c>
      <c r="G120" s="20" t="n">
        <v>-99516</v>
      </c>
      <c r="H120" s="20" t="n">
        <v>78979</v>
      </c>
      <c r="I120" s="20" t="n">
        <v>-60518</v>
      </c>
      <c r="J120" s="20" t="n">
        <v>-19120</v>
      </c>
      <c r="K120" s="20" t="n">
        <v>31883</v>
      </c>
      <c r="L120" s="20" t="n">
        <v>68141</v>
      </c>
      <c r="M120" s="20" t="n">
        <v>23389</v>
      </c>
      <c r="N120" s="20" t="n">
        <v>17848</v>
      </c>
      <c r="U120" s="20" t="n">
        <v>13551</v>
      </c>
      <c r="V120" s="20" t="n">
        <v>56400</v>
      </c>
      <c r="W120" s="20" t="n">
        <v>-60518</v>
      </c>
      <c r="X120" s="20" t="n">
        <v>23389</v>
      </c>
    </row>
    <row r="121">
      <c r="A121" s="18" t="inlineStr">
        <is>
          <t>Total Of Items That May Be Reclassified To Profit Or Loss OCI</t>
        </is>
      </c>
      <c r="C121" s="20" t="n">
        <v>25008</v>
      </c>
      <c r="D121" s="20" t="n">
        <v>-32526</v>
      </c>
      <c r="E121" s="20" t="n">
        <v>56399</v>
      </c>
      <c r="F121" s="20" t="n">
        <v>64124</v>
      </c>
      <c r="G121" s="20" t="n">
        <v>-99516</v>
      </c>
      <c r="H121" s="20" t="n">
        <v>78979</v>
      </c>
      <c r="I121" s="20" t="n">
        <v>-60518</v>
      </c>
      <c r="J121" s="20" t="n">
        <v>-19121</v>
      </c>
      <c r="K121" s="20" t="n">
        <v>31883</v>
      </c>
      <c r="L121" s="20" t="n">
        <v>68141</v>
      </c>
      <c r="M121" s="20" t="n">
        <v>23389</v>
      </c>
      <c r="N121" s="20" t="n">
        <v>17848</v>
      </c>
      <c r="U121" s="20" t="n">
        <v>13558</v>
      </c>
      <c r="V121" s="20" t="n">
        <v>56399</v>
      </c>
      <c r="W121" s="20" t="n">
        <v>-60518</v>
      </c>
      <c r="X121" s="20" t="n">
        <v>23389</v>
      </c>
    </row>
    <row r="122">
      <c r="A122" s="18" t="inlineStr">
        <is>
          <t>Other Comprehensive Income</t>
        </is>
      </c>
      <c r="C122" s="20" t="n">
        <v>24642</v>
      </c>
      <c r="D122" s="20" t="n">
        <v>-32219</v>
      </c>
      <c r="E122" s="20" t="n">
        <v>58025</v>
      </c>
      <c r="F122" s="20" t="n">
        <v>64362</v>
      </c>
      <c r="G122" s="20" t="n">
        <v>-100957</v>
      </c>
      <c r="H122" s="20" t="n">
        <v>78830</v>
      </c>
      <c r="I122" s="20" t="n">
        <v>-69655</v>
      </c>
      <c r="J122" s="20" t="n">
        <v>-18504</v>
      </c>
      <c r="K122" s="20" t="n">
        <v>34777</v>
      </c>
      <c r="L122" s="20" t="n">
        <v>70054</v>
      </c>
      <c r="M122" s="20" t="n">
        <v>27562</v>
      </c>
      <c r="N122" s="20" t="n">
        <v>22231</v>
      </c>
      <c r="U122" s="20" t="n">
        <v>9805</v>
      </c>
      <c r="V122" s="20" t="n">
        <v>58025</v>
      </c>
      <c r="W122" s="20" t="n">
        <v>-69655</v>
      </c>
      <c r="X122" s="20" t="n">
        <v>27562</v>
      </c>
    </row>
    <row r="123">
      <c r="A123" s="9" t="inlineStr">
        <is>
          <t>포괄이익</t>
        </is>
      </c>
      <c r="C123" s="12" t="n">
        <v>99623</v>
      </c>
      <c r="D123" s="12" t="n">
        <v>17075</v>
      </c>
      <c r="E123" s="12" t="n">
        <v>64144</v>
      </c>
      <c r="F123" s="12" t="n">
        <v>130639</v>
      </c>
      <c r="G123" s="12" t="n">
        <v>-37580</v>
      </c>
      <c r="H123" s="12" t="n">
        <v>149743</v>
      </c>
      <c r="I123" s="12" t="n">
        <v>-37249</v>
      </c>
      <c r="J123" s="12" t="n">
        <v>31167</v>
      </c>
      <c r="K123" s="12" t="n">
        <v>117447</v>
      </c>
      <c r="L123" s="12" t="n">
        <v>95000</v>
      </c>
      <c r="M123" s="12" t="n">
        <v>104056</v>
      </c>
      <c r="N123" s="12" t="n">
        <v>103576</v>
      </c>
      <c r="U123" s="12" t="n">
        <v>40879</v>
      </c>
      <c r="V123" s="12" t="n">
        <v>64144</v>
      </c>
      <c r="W123" s="12" t="n">
        <v>-37249</v>
      </c>
      <c r="X123" s="12" t="n">
        <v>104056</v>
      </c>
    </row>
    <row r="124">
      <c r="A124" s="9" t="inlineStr">
        <is>
          <t>Comprehensive Income Attributable To Owners Of Parent</t>
        </is>
      </c>
      <c r="C124" s="12" t="n">
        <v>99671</v>
      </c>
      <c r="D124" s="12" t="n">
        <v>17166</v>
      </c>
      <c r="E124" s="12" t="n">
        <v>64304</v>
      </c>
      <c r="F124" s="12" t="n">
        <v>130665</v>
      </c>
      <c r="G124" s="12" t="n">
        <v>-36925</v>
      </c>
      <c r="H124" s="12" t="n">
        <v>149772</v>
      </c>
      <c r="I124" s="12" t="n">
        <v>-37104</v>
      </c>
      <c r="J124" s="12" t="n">
        <v>31231</v>
      </c>
      <c r="K124" s="12" t="n">
        <v>117411</v>
      </c>
      <c r="L124" s="12" t="n">
        <v>94953</v>
      </c>
      <c r="M124" s="12" t="n">
        <v>104100</v>
      </c>
      <c r="N124" s="12" t="n">
        <v>103575</v>
      </c>
      <c r="U124" s="12" t="n">
        <v>40910</v>
      </c>
      <c r="V124" s="12" t="n">
        <v>64304</v>
      </c>
      <c r="W124" s="12" t="n">
        <v>-37104</v>
      </c>
      <c r="X124" s="12" t="n">
        <v>104100</v>
      </c>
    </row>
    <row r="125">
      <c r="A125" s="9" t="inlineStr">
        <is>
          <t>비지배지분</t>
        </is>
      </c>
      <c r="C125" s="12" t="n">
        <v>-48</v>
      </c>
      <c r="D125" s="12" t="n">
        <v>-91</v>
      </c>
      <c r="E125" s="12" t="n">
        <v>-160</v>
      </c>
      <c r="F125" s="12" t="n">
        <v>-26</v>
      </c>
      <c r="G125" s="12" t="n">
        <v>-655</v>
      </c>
      <c r="H125" s="12" t="n">
        <v>-29</v>
      </c>
      <c r="I125" s="12" t="n">
        <v>-145</v>
      </c>
      <c r="J125" s="12" t="n">
        <v>-64</v>
      </c>
      <c r="K125" s="12" t="n">
        <v>36</v>
      </c>
      <c r="L125" s="12" t="n">
        <v>47</v>
      </c>
      <c r="M125" s="12" t="n">
        <v>-44</v>
      </c>
      <c r="N125" s="12" t="n">
        <v>1</v>
      </c>
      <c r="U125" s="12" t="n">
        <v>-31</v>
      </c>
      <c r="V125" s="12" t="n">
        <v>-160</v>
      </c>
      <c r="W125" s="12" t="n">
        <v>-145</v>
      </c>
      <c r="X125" s="12" t="n">
        <v>-44</v>
      </c>
    </row>
    <row r="127">
      <c r="A127" s="16" t="inlineStr">
        <is>
          <t>부문 · 전 항목</t>
        </is>
      </c>
      <c r="B127" s="42" t="inlineStr">
        <is>
          <t>부문 · 항목</t>
        </is>
      </c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</row>
    <row r="128">
      <c r="A128" s="5" t="inlineStr">
        <is>
          <t>항목</t>
        </is>
      </c>
      <c r="B128" s="5" t="inlineStr">
        <is>
          <t>참고</t>
        </is>
      </c>
      <c r="C128" s="5" t="inlineStr">
        <is>
          <t>2024.2Q</t>
        </is>
      </c>
      <c r="D128" s="5" t="inlineStr">
        <is>
          <t>2024.3Q</t>
        </is>
      </c>
      <c r="E128" s="5" t="inlineStr">
        <is>
          <t>2024.4Q</t>
        </is>
      </c>
      <c r="F128" s="5" t="inlineStr">
        <is>
          <t>2025.1Q</t>
        </is>
      </c>
      <c r="G128" s="5" t="inlineStr">
        <is>
          <t>2025.2Q</t>
        </is>
      </c>
      <c r="H128" s="5" t="inlineStr">
        <is>
          <t>2025.3Q</t>
        </is>
      </c>
      <c r="I128" s="5" t="inlineStr">
        <is>
          <t>2025.4Q</t>
        </is>
      </c>
      <c r="J128" s="5" t="inlineStr">
        <is>
          <t>2026.1Q</t>
        </is>
      </c>
      <c r="K128" s="5" t="inlineStr">
        <is>
          <t>2026.2Q</t>
        </is>
      </c>
      <c r="L128" s="5" t="inlineStr">
        <is>
          <t>2026.3Q</t>
        </is>
      </c>
      <c r="M128" s="5" t="inlineStr">
        <is>
          <t>2026.4Q</t>
        </is>
      </c>
      <c r="N128" s="5" t="inlineStr">
        <is>
          <t>2027.1Q</t>
        </is>
      </c>
      <c r="O128" s="5" t="inlineStr">
        <is>
          <t>2017</t>
        </is>
      </c>
      <c r="P128" s="5" t="inlineStr">
        <is>
          <t>2018</t>
        </is>
      </c>
      <c r="Q128" s="5" t="inlineStr">
        <is>
          <t>2019</t>
        </is>
      </c>
      <c r="R128" s="5" t="inlineStr">
        <is>
          <t>2020</t>
        </is>
      </c>
      <c r="S128" s="5" t="inlineStr">
        <is>
          <t>2021</t>
        </is>
      </c>
      <c r="T128" s="5" t="inlineStr">
        <is>
          <t>2022</t>
        </is>
      </c>
      <c r="U128" s="5" t="inlineStr">
        <is>
          <t>2023</t>
        </is>
      </c>
      <c r="V128" s="5" t="inlineStr">
        <is>
          <t>2024</t>
        </is>
      </c>
      <c r="W128" s="5" t="inlineStr">
        <is>
          <t>2025</t>
        </is>
      </c>
      <c r="X128" s="5" t="inlineStr">
        <is>
          <t>2026</t>
        </is>
      </c>
      <c r="Y128" s="5" t="inlineStr">
        <is>
          <t>2027(MW)</t>
        </is>
      </c>
      <c r="Z128" s="5" t="inlineStr">
        <is>
          <t>2028(MW)</t>
        </is>
      </c>
      <c r="AA128" s="5" t="inlineStr">
        <is>
          <t>2029(MW)</t>
        </is>
      </c>
      <c r="AB128" s="5" t="inlineStr">
        <is>
          <t>2030(MW)</t>
        </is>
      </c>
      <c r="AC128" s="5" t="inlineStr">
        <is>
          <t>2031(MW)</t>
        </is>
      </c>
    </row>
    <row r="129">
      <c r="A129" s="18" t="inlineStr">
        <is>
          <t>부문 · Revenue From External Customers</t>
        </is>
      </c>
      <c r="C129" s="20" t="n">
        <v>245403</v>
      </c>
      <c r="D129" s="20" t="n">
        <v>246225</v>
      </c>
      <c r="F129" s="20" t="n">
        <v>251596</v>
      </c>
      <c r="G129" s="20" t="n">
        <v>266768</v>
      </c>
      <c r="H129" s="20" t="n">
        <v>264585</v>
      </c>
      <c r="J129" s="20" t="n">
        <v>269818</v>
      </c>
      <c r="K129" s="20" t="n">
        <v>295830</v>
      </c>
      <c r="L129" s="20" t="n">
        <v>295493</v>
      </c>
      <c r="N129" s="20" t="n">
        <v>346762</v>
      </c>
    </row>
    <row r="130">
      <c r="A130" s="43" t="inlineStr">
        <is>
          <t>YoY</t>
        </is>
      </c>
      <c r="B130" s="3" t="inlineStr">
        <is>
          <t>전년 같은 분기·전년 대비</t>
        </is>
      </c>
      <c r="G130" s="15">
        <f>IF(OR(G129="",C129=""),"",IF(C129&lt;=0,"",IFERROR(G129/C129-1,"")))</f>
        <v/>
      </c>
      <c r="H130" s="15">
        <f>IF(OR(H129="",D129=""),"",IF(D129&lt;=0,"",IFERROR(H129/D129-1,"")))</f>
        <v/>
      </c>
      <c r="J130" s="15">
        <f>IF(OR(J129="",F129=""),"",IF(F129&lt;=0,"",IFERROR(J129/F129-1,"")))</f>
        <v/>
      </c>
      <c r="K130" s="15">
        <f>IF(OR(K129="",G129=""),"",IF(G129&lt;=0,"",IFERROR(K129/G129-1,"")))</f>
        <v/>
      </c>
      <c r="L130" s="15">
        <f>IF(OR(L129="",H129=""),"",IF(H129&lt;=0,"",IFERROR(L129/H129-1,"")))</f>
        <v/>
      </c>
      <c r="N130" s="15">
        <f>IF(OR(N129="",J129=""),"",IF(J129&lt;=0,"",IFERROR(N129/J129-1,"")))</f>
        <v/>
      </c>
    </row>
    <row r="131">
      <c r="A131" s="18" t="inlineStr">
        <is>
          <t>부문 · Revenue From External Customers</t>
        </is>
      </c>
      <c r="C131" s="20" t="n">
        <v>194376</v>
      </c>
      <c r="D131" s="20" t="n">
        <v>190271</v>
      </c>
      <c r="F131" s="20" t="n">
        <v>167173</v>
      </c>
      <c r="G131" s="20" t="n">
        <v>191422</v>
      </c>
      <c r="H131" s="20" t="n">
        <v>180050</v>
      </c>
      <c r="J131" s="20" t="n">
        <v>142634</v>
      </c>
      <c r="K131" s="20" t="n">
        <v>187131</v>
      </c>
      <c r="L131" s="20" t="n">
        <v>168241</v>
      </c>
      <c r="N131" s="20" t="n">
        <v>151428</v>
      </c>
    </row>
    <row r="132">
      <c r="A132" s="43" t="inlineStr">
        <is>
          <t>YoY</t>
        </is>
      </c>
      <c r="B132" s="3" t="inlineStr">
        <is>
          <t>전년 같은 분기·전년 대비</t>
        </is>
      </c>
      <c r="G132" s="15">
        <f>IF(OR(G131="",C131=""),"",IF(C131&lt;=0,"",IFERROR(G131/C131-1,"")))</f>
        <v/>
      </c>
      <c r="H132" s="15">
        <f>IF(OR(H131="",D131=""),"",IF(D131&lt;=0,"",IFERROR(H131/D131-1,"")))</f>
        <v/>
      </c>
      <c r="J132" s="15">
        <f>IF(OR(J131="",F131=""),"",IF(F131&lt;=0,"",IFERROR(J131/F131-1,"")))</f>
        <v/>
      </c>
      <c r="K132" s="15">
        <f>IF(OR(K131="",G131=""),"",IF(G131&lt;=0,"",IFERROR(K131/G131-1,"")))</f>
        <v/>
      </c>
      <c r="L132" s="15">
        <f>IF(OR(L131="",H131=""),"",IF(H131&lt;=0,"",IFERROR(L131/H131-1,"")))</f>
        <v/>
      </c>
      <c r="N132" s="15">
        <f>IF(OR(N131="",J131=""),"",IF(J131&lt;=0,"",IFERROR(N131/J131-1,"")))</f>
        <v/>
      </c>
    </row>
    <row r="133">
      <c r="A133" s="18" t="inlineStr">
        <is>
          <t>OtherReportableSegmentsMember · Revenue From External Customers</t>
        </is>
      </c>
      <c r="C133" s="20" t="n">
        <v>2877</v>
      </c>
      <c r="D133" s="20" t="n">
        <v>2898</v>
      </c>
      <c r="E133" s="20" t="n">
        <v>2867</v>
      </c>
      <c r="F133" s="20" t="n">
        <v>2938</v>
      </c>
      <c r="G133" s="20" t="n">
        <v>3584</v>
      </c>
      <c r="H133" s="20" t="n">
        <v>3373</v>
      </c>
      <c r="I133" s="20" t="n">
        <v>3174</v>
      </c>
      <c r="J133" s="20" t="n">
        <v>3702</v>
      </c>
      <c r="K133" s="20" t="n">
        <v>3663</v>
      </c>
      <c r="L133" s="20" t="n">
        <v>3720</v>
      </c>
      <c r="M133" s="20" t="n">
        <v>4071</v>
      </c>
      <c r="N133" s="20" t="n">
        <v>4074</v>
      </c>
      <c r="V133" s="20" t="n">
        <v>2867</v>
      </c>
      <c r="W133" s="20" t="n">
        <v>3174</v>
      </c>
      <c r="X133" s="20" t="n">
        <v>4071</v>
      </c>
    </row>
    <row r="134">
      <c r="A134" s="43" t="inlineStr">
        <is>
          <t>YoY</t>
        </is>
      </c>
      <c r="B134" s="3" t="inlineStr">
        <is>
          <t>전년 같은 분기·전년 대비</t>
        </is>
      </c>
      <c r="G134" s="15">
        <f>IF(OR(G133="",C133=""),"",IF(C133&lt;=0,"",IFERROR(G133/C133-1,"")))</f>
        <v/>
      </c>
      <c r="H134" s="15">
        <f>IF(OR(H133="",D133=""),"",IF(D133&lt;=0,"",IFERROR(H133/D133-1,"")))</f>
        <v/>
      </c>
      <c r="I134" s="15">
        <f>IF(OR(I133="",E133=""),"",IF(E133&lt;=0,"",IFERROR(I133/E133-1,"")))</f>
        <v/>
      </c>
      <c r="J134" s="15">
        <f>IF(OR(J133="",F133=""),"",IF(F133&lt;=0,"",IFERROR(J133/F133-1,"")))</f>
        <v/>
      </c>
      <c r="K134" s="15">
        <f>IF(OR(K133="",G133=""),"",IF(G133&lt;=0,"",IFERROR(K133/G133-1,"")))</f>
        <v/>
      </c>
      <c r="L134" s="15">
        <f>IF(OR(L133="",H133=""),"",IF(H133&lt;=0,"",IFERROR(L133/H133-1,"")))</f>
        <v/>
      </c>
      <c r="M134" s="15">
        <f>IF(OR(M133="",I133=""),"",IF(I133&lt;=0,"",IFERROR(M133/I133-1,"")))</f>
        <v/>
      </c>
      <c r="N134" s="15">
        <f>IF(OR(N133="",J133=""),"",IF(J133&lt;=0,"",IFERROR(N133/J133-1,"")))</f>
        <v/>
      </c>
      <c r="V134" s="15">
        <f>IF(OR(V133="",U133=""),"",IF(U133&lt;=0,"",IFERROR(V133/U133-1,"")))</f>
        <v/>
      </c>
      <c r="W134" s="15">
        <f>IF(OR(W133="",V133=""),"",IF(V133&lt;=0,"",IFERROR(W133/V133-1,"")))</f>
        <v/>
      </c>
      <c r="X134" s="15">
        <f>IF(OR(X133="",W133=""),"",IF(W133&lt;=0,"",IFERROR(X133/W133-1,"")))</f>
        <v/>
      </c>
    </row>
    <row r="135">
      <c r="A135" s="18" t="inlineStr">
        <is>
          <t>조정액 · Revenue From External Customers</t>
        </is>
      </c>
      <c r="C135" s="20" t="n">
        <v>0</v>
      </c>
      <c r="D135" s="20" t="n">
        <v>0</v>
      </c>
      <c r="E135" s="20" t="n">
        <v>0</v>
      </c>
      <c r="F135" s="20" t="n">
        <v>0</v>
      </c>
      <c r="G135" s="20" t="n">
        <v>0</v>
      </c>
      <c r="H135" s="20" t="n">
        <v>0</v>
      </c>
      <c r="I135" s="20" t="n">
        <v>0</v>
      </c>
      <c r="J135" s="20" t="n">
        <v>0</v>
      </c>
      <c r="K135" s="20" t="n">
        <v>0</v>
      </c>
      <c r="L135" s="20" t="n">
        <v>0</v>
      </c>
      <c r="M135" s="20" t="n">
        <v>0</v>
      </c>
      <c r="N135" s="20" t="n">
        <v>0</v>
      </c>
      <c r="V135" s="20" t="n">
        <v>0</v>
      </c>
      <c r="W135" s="20" t="n">
        <v>0</v>
      </c>
      <c r="X135" s="20" t="n">
        <v>0</v>
      </c>
    </row>
    <row r="136">
      <c r="A136" s="9" t="inlineStr">
        <is>
          <t>Revenue From External Customers</t>
        </is>
      </c>
      <c r="C136" s="12" t="n">
        <v>442656</v>
      </c>
      <c r="D136" s="12" t="n">
        <v>439394</v>
      </c>
      <c r="E136" s="12" t="n">
        <v>390414</v>
      </c>
      <c r="F136" s="12" t="n">
        <v>421707</v>
      </c>
      <c r="G136" s="12" t="n">
        <v>461774</v>
      </c>
      <c r="H136" s="12" t="n">
        <v>448008</v>
      </c>
      <c r="I136" s="12" t="n">
        <v>411863</v>
      </c>
      <c r="J136" s="12" t="n">
        <v>416154</v>
      </c>
      <c r="K136" s="12" t="n">
        <v>486624</v>
      </c>
      <c r="L136" s="12" t="n">
        <v>467454</v>
      </c>
      <c r="M136" s="12" t="n">
        <v>460624</v>
      </c>
      <c r="N136" s="12" t="n">
        <v>502264</v>
      </c>
      <c r="V136" s="12" t="n">
        <v>390414</v>
      </c>
      <c r="W136" s="12" t="n">
        <v>411863</v>
      </c>
      <c r="X136" s="12" t="n">
        <v>460624</v>
      </c>
    </row>
    <row r="137">
      <c r="A137" s="43" t="inlineStr">
        <is>
          <t>YoY</t>
        </is>
      </c>
      <c r="B137" s="3" t="inlineStr">
        <is>
          <t>전년 같은 분기·전년 대비</t>
        </is>
      </c>
      <c r="G137" s="15">
        <f>IF(OR(G136="",C136=""),"",IF(C136&lt;=0,"",IFERROR(G136/C136-1,"")))</f>
        <v/>
      </c>
      <c r="H137" s="15">
        <f>IF(OR(H136="",D136=""),"",IF(D136&lt;=0,"",IFERROR(H136/D136-1,"")))</f>
        <v/>
      </c>
      <c r="I137" s="15">
        <f>IF(OR(I136="",E136=""),"",IF(E136&lt;=0,"",IFERROR(I136/E136-1,"")))</f>
        <v/>
      </c>
      <c r="J137" s="15">
        <f>IF(OR(J136="",F136=""),"",IF(F136&lt;=0,"",IFERROR(J136/F136-1,"")))</f>
        <v/>
      </c>
      <c r="K137" s="15">
        <f>IF(OR(K136="",G136=""),"",IF(G136&lt;=0,"",IFERROR(K136/G136-1,"")))</f>
        <v/>
      </c>
      <c r="L137" s="15">
        <f>IF(OR(L136="",H136=""),"",IF(H136&lt;=0,"",IFERROR(L136/H136-1,"")))</f>
        <v/>
      </c>
      <c r="M137" s="15">
        <f>IF(OR(M136="",I136=""),"",IF(I136&lt;=0,"",IFERROR(M136/I136-1,"")))</f>
        <v/>
      </c>
      <c r="N137" s="15">
        <f>IF(OR(N136="",J136=""),"",IF(J136&lt;=0,"",IFERROR(N136/J136-1,"")))</f>
        <v/>
      </c>
      <c r="V137" s="15">
        <f>IF(OR(V136="",U136=""),"",IF(U136&lt;=0,"",IFERROR(V136/U136-1,"")))</f>
        <v/>
      </c>
      <c r="W137" s="15">
        <f>IF(OR(W136="",V136=""),"",IF(V136&lt;=0,"",IFERROR(W136/V136-1,"")))</f>
        <v/>
      </c>
      <c r="X137" s="15">
        <f>IF(OR(X136="",W136=""),"",IF(W136&lt;=0,"",IFERROR(X136/W136-1,"")))</f>
        <v/>
      </c>
    </row>
    <row r="138">
      <c r="A138" s="18" t="inlineStr">
        <is>
          <t>부문 · Intersegment Revenue</t>
        </is>
      </c>
      <c r="C138" s="20" t="n">
        <v>2099</v>
      </c>
      <c r="D138" s="20" t="n">
        <v>2681</v>
      </c>
      <c r="F138" s="20" t="n">
        <v>2748</v>
      </c>
      <c r="G138" s="20" t="n">
        <v>2982</v>
      </c>
      <c r="H138" s="20" t="n">
        <v>2810</v>
      </c>
      <c r="J138" s="20" t="n">
        <v>4188</v>
      </c>
      <c r="K138" s="20" t="n">
        <v>4399</v>
      </c>
      <c r="L138" s="20" t="n">
        <v>4552</v>
      </c>
      <c r="N138" s="20" t="n">
        <v>2559</v>
      </c>
    </row>
    <row r="139">
      <c r="A139" s="18" t="inlineStr">
        <is>
          <t>부문 · Intersegment Revenue</t>
        </is>
      </c>
      <c r="C139" s="20" t="n">
        <v>3</v>
      </c>
      <c r="D139" s="20" t="n">
        <v>4</v>
      </c>
      <c r="F139" s="20" t="n">
        <v>3</v>
      </c>
      <c r="G139" s="20" t="n">
        <v>1</v>
      </c>
      <c r="H139" s="20" t="n">
        <v>2</v>
      </c>
      <c r="J139" s="20" t="n">
        <v>4</v>
      </c>
      <c r="K139" s="20" t="n">
        <v>2</v>
      </c>
      <c r="L139" s="20" t="n">
        <v>7</v>
      </c>
      <c r="N139" s="20" t="n">
        <v>3</v>
      </c>
    </row>
    <row r="140">
      <c r="A140" s="18" t="inlineStr">
        <is>
          <t>OtherReportableSegmentsMember · Intersegment Revenue</t>
        </is>
      </c>
      <c r="C140" s="20" t="n">
        <v>14130</v>
      </c>
      <c r="D140" s="20" t="n">
        <v>12622</v>
      </c>
      <c r="E140" s="20" t="n">
        <v>16874</v>
      </c>
      <c r="F140" s="20" t="n">
        <v>12490</v>
      </c>
      <c r="G140" s="20" t="n">
        <v>12880</v>
      </c>
      <c r="H140" s="20" t="n">
        <v>14783</v>
      </c>
      <c r="I140" s="20" t="n">
        <v>14052</v>
      </c>
      <c r="J140" s="20" t="n">
        <v>13483</v>
      </c>
      <c r="K140" s="20" t="n">
        <v>12095</v>
      </c>
      <c r="L140" s="20" t="n">
        <v>12269</v>
      </c>
      <c r="M140" s="20" t="n">
        <v>16698</v>
      </c>
      <c r="N140" s="20" t="n">
        <v>14902</v>
      </c>
      <c r="V140" s="20" t="n">
        <v>16874</v>
      </c>
      <c r="W140" s="20" t="n">
        <v>14052</v>
      </c>
      <c r="X140" s="20" t="n">
        <v>16698</v>
      </c>
    </row>
    <row r="141">
      <c r="A141" s="18" t="inlineStr">
        <is>
          <t>조정액 · Intersegment Revenue</t>
        </is>
      </c>
      <c r="C141" s="20" t="n">
        <v>-16232</v>
      </c>
      <c r="D141" s="20" t="n">
        <v>-15307</v>
      </c>
      <c r="E141" s="20" t="n">
        <v>-18693</v>
      </c>
      <c r="F141" s="20" t="n">
        <v>-15241</v>
      </c>
      <c r="G141" s="20" t="n">
        <v>-15863</v>
      </c>
      <c r="H141" s="20" t="n">
        <v>-17595</v>
      </c>
      <c r="I141" s="20" t="n">
        <v>-16355</v>
      </c>
      <c r="J141" s="20" t="n">
        <v>-17675</v>
      </c>
      <c r="K141" s="20" t="n">
        <v>-16496</v>
      </c>
      <c r="L141" s="20" t="n">
        <v>-16828</v>
      </c>
      <c r="M141" s="20" t="n">
        <v>-19062</v>
      </c>
      <c r="N141" s="20" t="n">
        <v>-17464</v>
      </c>
      <c r="V141" s="20" t="n">
        <v>-18693</v>
      </c>
      <c r="W141" s="20" t="n">
        <v>-16355</v>
      </c>
      <c r="X141" s="20" t="n">
        <v>-19062</v>
      </c>
    </row>
    <row r="142">
      <c r="A142" s="18" t="inlineStr">
        <is>
          <t>Intersegment Revenue</t>
        </is>
      </c>
      <c r="C142" s="20" t="n">
        <v>0</v>
      </c>
      <c r="D142" s="20" t="n">
        <v>0</v>
      </c>
      <c r="E142" s="20" t="n">
        <v>0</v>
      </c>
      <c r="F142" s="20" t="n">
        <v>0</v>
      </c>
      <c r="G142" s="20" t="n">
        <v>0</v>
      </c>
      <c r="H142" s="20" t="n">
        <v>0</v>
      </c>
      <c r="I142" s="20" t="n">
        <v>0</v>
      </c>
      <c r="J142" s="20" t="n">
        <v>0</v>
      </c>
      <c r="K142" s="20" t="n">
        <v>0</v>
      </c>
      <c r="L142" s="20" t="n">
        <v>0</v>
      </c>
      <c r="M142" s="20" t="n">
        <v>0</v>
      </c>
      <c r="N142" s="20" t="n">
        <v>0</v>
      </c>
      <c r="V142" s="20" t="n">
        <v>0</v>
      </c>
      <c r="W142" s="20" t="n">
        <v>0</v>
      </c>
      <c r="X142" s="20" t="n">
        <v>0</v>
      </c>
    </row>
    <row r="143">
      <c r="A143" s="18" t="inlineStr">
        <is>
          <t>부문 · 계</t>
        </is>
      </c>
      <c r="C143" s="20" t="n">
        <v>247502</v>
      </c>
      <c r="D143" s="20" t="n">
        <v>248906</v>
      </c>
      <c r="F143" s="20" t="n">
        <v>254344</v>
      </c>
      <c r="G143" s="20" t="n">
        <v>269750</v>
      </c>
      <c r="H143" s="20" t="n">
        <v>267395</v>
      </c>
      <c r="J143" s="20" t="n">
        <v>274006</v>
      </c>
      <c r="K143" s="20" t="n">
        <v>300229</v>
      </c>
      <c r="L143" s="20" t="n">
        <v>300045</v>
      </c>
      <c r="N143" s="20" t="n">
        <v>349321</v>
      </c>
    </row>
    <row r="144">
      <c r="A144" s="43" t="inlineStr">
        <is>
          <t>YoY</t>
        </is>
      </c>
      <c r="B144" s="3" t="inlineStr">
        <is>
          <t>전년 같은 분기·전년 대비</t>
        </is>
      </c>
      <c r="G144" s="15">
        <f>IF(OR(G143="",C143=""),"",IF(C143&lt;=0,"",IFERROR(G143/C143-1,"")))</f>
        <v/>
      </c>
      <c r="H144" s="15">
        <f>IF(OR(H143="",D143=""),"",IF(D143&lt;=0,"",IFERROR(H143/D143-1,"")))</f>
        <v/>
      </c>
      <c r="J144" s="15">
        <f>IF(OR(J143="",F143=""),"",IF(F143&lt;=0,"",IFERROR(J143/F143-1,"")))</f>
        <v/>
      </c>
      <c r="K144" s="15">
        <f>IF(OR(K143="",G143=""),"",IF(G143&lt;=0,"",IFERROR(K143/G143-1,"")))</f>
        <v/>
      </c>
      <c r="L144" s="15">
        <f>IF(OR(L143="",H143=""),"",IF(H143&lt;=0,"",IFERROR(L143/H143-1,"")))</f>
        <v/>
      </c>
      <c r="N144" s="15">
        <f>IF(OR(N143="",J143=""),"",IF(J143&lt;=0,"",IFERROR(N143/J143-1,"")))</f>
        <v/>
      </c>
    </row>
    <row r="145">
      <c r="A145" s="18" t="inlineStr">
        <is>
          <t>부문 · 계</t>
        </is>
      </c>
      <c r="C145" s="20" t="n">
        <v>194379</v>
      </c>
      <c r="D145" s="20" t="n">
        <v>190275</v>
      </c>
      <c r="F145" s="20" t="n">
        <v>167176</v>
      </c>
      <c r="G145" s="20" t="n">
        <v>191423</v>
      </c>
      <c r="H145" s="20" t="n">
        <v>180052</v>
      </c>
      <c r="J145" s="20" t="n">
        <v>142638</v>
      </c>
      <c r="K145" s="20" t="n">
        <v>187133</v>
      </c>
      <c r="L145" s="20" t="n">
        <v>168248</v>
      </c>
      <c r="N145" s="20" t="n">
        <v>151431</v>
      </c>
    </row>
    <row r="146">
      <c r="A146" s="43" t="inlineStr">
        <is>
          <t>YoY</t>
        </is>
      </c>
      <c r="B146" s="3" t="inlineStr">
        <is>
          <t>전년 같은 분기·전년 대비</t>
        </is>
      </c>
      <c r="G146" s="15">
        <f>IF(OR(G145="",C145=""),"",IF(C145&lt;=0,"",IFERROR(G145/C145-1,"")))</f>
        <v/>
      </c>
      <c r="H146" s="15">
        <f>IF(OR(H145="",D145=""),"",IF(D145&lt;=0,"",IFERROR(H145/D145-1,"")))</f>
        <v/>
      </c>
      <c r="J146" s="15">
        <f>IF(OR(J145="",F145=""),"",IF(F145&lt;=0,"",IFERROR(J145/F145-1,"")))</f>
        <v/>
      </c>
      <c r="K146" s="15">
        <f>IF(OR(K145="",G145=""),"",IF(G145&lt;=0,"",IFERROR(K145/G145-1,"")))</f>
        <v/>
      </c>
      <c r="L146" s="15">
        <f>IF(OR(L145="",H145=""),"",IF(H145&lt;=0,"",IFERROR(L145/H145-1,"")))</f>
        <v/>
      </c>
      <c r="N146" s="15">
        <f>IF(OR(N145="",J145=""),"",IF(J145&lt;=0,"",IFERROR(N145/J145-1,"")))</f>
        <v/>
      </c>
    </row>
    <row r="147">
      <c r="A147" s="18" t="inlineStr">
        <is>
          <t>OtherReportableSegmentsMember · 계</t>
        </is>
      </c>
      <c r="C147" s="20" t="n">
        <v>17007</v>
      </c>
      <c r="D147" s="20" t="n">
        <v>15520</v>
      </c>
      <c r="E147" s="20" t="n">
        <v>19741</v>
      </c>
      <c r="F147" s="20" t="n">
        <v>15428</v>
      </c>
      <c r="G147" s="20" t="n">
        <v>16464</v>
      </c>
      <c r="H147" s="20" t="n">
        <v>18156</v>
      </c>
      <c r="I147" s="20" t="n">
        <v>17226</v>
      </c>
      <c r="J147" s="20" t="n">
        <v>17185</v>
      </c>
      <c r="K147" s="20" t="n">
        <v>15758</v>
      </c>
      <c r="L147" s="20" t="n">
        <v>15989</v>
      </c>
      <c r="M147" s="20" t="n">
        <v>20769</v>
      </c>
      <c r="N147" s="20" t="n">
        <v>18976</v>
      </c>
      <c r="V147" s="20" t="n">
        <v>19741</v>
      </c>
      <c r="W147" s="20" t="n">
        <v>17226</v>
      </c>
      <c r="X147" s="20" t="n">
        <v>20769</v>
      </c>
    </row>
    <row r="148">
      <c r="A148" s="43" t="inlineStr">
        <is>
          <t>YoY</t>
        </is>
      </c>
      <c r="B148" s="3" t="inlineStr">
        <is>
          <t>전년 같은 분기·전년 대비</t>
        </is>
      </c>
      <c r="G148" s="15">
        <f>IF(OR(G147="",C147=""),"",IF(C147&lt;=0,"",IFERROR(G147/C147-1,"")))</f>
        <v/>
      </c>
      <c r="H148" s="15">
        <f>IF(OR(H147="",D147=""),"",IF(D147&lt;=0,"",IFERROR(H147/D147-1,"")))</f>
        <v/>
      </c>
      <c r="I148" s="15">
        <f>IF(OR(I147="",E147=""),"",IF(E147&lt;=0,"",IFERROR(I147/E147-1,"")))</f>
        <v/>
      </c>
      <c r="J148" s="15">
        <f>IF(OR(J147="",F147=""),"",IF(F147&lt;=0,"",IFERROR(J147/F147-1,"")))</f>
        <v/>
      </c>
      <c r="K148" s="15">
        <f>IF(OR(K147="",G147=""),"",IF(G147&lt;=0,"",IFERROR(K147/G147-1,"")))</f>
        <v/>
      </c>
      <c r="L148" s="15">
        <f>IF(OR(L147="",H147=""),"",IF(H147&lt;=0,"",IFERROR(L147/H147-1,"")))</f>
        <v/>
      </c>
      <c r="M148" s="15">
        <f>IF(OR(M147="",I147=""),"",IF(I147&lt;=0,"",IFERROR(M147/I147-1,"")))</f>
        <v/>
      </c>
      <c r="N148" s="15">
        <f>IF(OR(N147="",J147=""),"",IF(J147&lt;=0,"",IFERROR(N147/J147-1,"")))</f>
        <v/>
      </c>
      <c r="V148" s="15">
        <f>IF(OR(V147="",U147=""),"",IF(U147&lt;=0,"",IFERROR(V147/U147-1,"")))</f>
        <v/>
      </c>
      <c r="W148" s="15">
        <f>IF(OR(W147="",V147=""),"",IF(V147&lt;=0,"",IFERROR(W147/V147-1,"")))</f>
        <v/>
      </c>
      <c r="X148" s="15">
        <f>IF(OR(X147="",W147=""),"",IF(W147&lt;=0,"",IFERROR(X147/W147-1,"")))</f>
        <v/>
      </c>
    </row>
    <row r="149">
      <c r="A149" s="18" t="inlineStr">
        <is>
          <t>조정액 · 계</t>
        </is>
      </c>
      <c r="C149" s="20" t="n">
        <v>-16232</v>
      </c>
      <c r="D149" s="20" t="n">
        <v>-15307</v>
      </c>
      <c r="E149" s="20" t="n">
        <v>-18693</v>
      </c>
      <c r="F149" s="20" t="n">
        <v>-15241</v>
      </c>
      <c r="G149" s="20" t="n">
        <v>-15863</v>
      </c>
      <c r="H149" s="20" t="n">
        <v>-17595</v>
      </c>
      <c r="I149" s="20" t="n">
        <v>-16355</v>
      </c>
      <c r="J149" s="20" t="n">
        <v>-17675</v>
      </c>
      <c r="K149" s="20" t="n">
        <v>-16496</v>
      </c>
      <c r="L149" s="20" t="n">
        <v>-16828</v>
      </c>
      <c r="M149" s="20" t="n">
        <v>-19062</v>
      </c>
      <c r="N149" s="20" t="n">
        <v>-17464</v>
      </c>
      <c r="V149" s="20" t="n">
        <v>-18693</v>
      </c>
      <c r="W149" s="20" t="n">
        <v>-16355</v>
      </c>
      <c r="X149" s="20" t="n">
        <v>-19062</v>
      </c>
    </row>
    <row r="150">
      <c r="A150" s="9" t="inlineStr">
        <is>
          <t>계</t>
        </is>
      </c>
      <c r="C150" s="12" t="n">
        <v>442656</v>
      </c>
      <c r="D150" s="12" t="n">
        <v>439394</v>
      </c>
      <c r="E150" s="12" t="n">
        <v>390414</v>
      </c>
      <c r="F150" s="12" t="n">
        <v>421707</v>
      </c>
      <c r="G150" s="12" t="n">
        <v>461774</v>
      </c>
      <c r="H150" s="12" t="n">
        <v>448008</v>
      </c>
      <c r="I150" s="12" t="n">
        <v>411863</v>
      </c>
      <c r="J150" s="12" t="n">
        <v>416154</v>
      </c>
      <c r="K150" s="12" t="n">
        <v>486624</v>
      </c>
      <c r="L150" s="12" t="n">
        <v>467454</v>
      </c>
      <c r="M150" s="12" t="n">
        <v>460624</v>
      </c>
      <c r="N150" s="12" t="n">
        <v>502264</v>
      </c>
      <c r="V150" s="12" t="n">
        <v>390414</v>
      </c>
      <c r="W150" s="12" t="n">
        <v>411863</v>
      </c>
      <c r="X150" s="12" t="n">
        <v>460624</v>
      </c>
    </row>
    <row r="151">
      <c r="A151" s="43" t="inlineStr">
        <is>
          <t>YoY</t>
        </is>
      </c>
      <c r="B151" s="3" t="inlineStr">
        <is>
          <t>전년 같은 분기·전년 대비</t>
        </is>
      </c>
      <c r="G151" s="15">
        <f>IF(OR(G150="",C150=""),"",IF(C150&lt;=0,"",IFERROR(G150/C150-1,"")))</f>
        <v/>
      </c>
      <c r="H151" s="15">
        <f>IF(OR(H150="",D150=""),"",IF(D150&lt;=0,"",IFERROR(H150/D150-1,"")))</f>
        <v/>
      </c>
      <c r="I151" s="15">
        <f>IF(OR(I150="",E150=""),"",IF(E150&lt;=0,"",IFERROR(I150/E150-1,"")))</f>
        <v/>
      </c>
      <c r="J151" s="15">
        <f>IF(OR(J150="",F150=""),"",IF(F150&lt;=0,"",IFERROR(J150/F150-1,"")))</f>
        <v/>
      </c>
      <c r="K151" s="15">
        <f>IF(OR(K150="",G150=""),"",IF(G150&lt;=0,"",IFERROR(K150/G150-1,"")))</f>
        <v/>
      </c>
      <c r="L151" s="15">
        <f>IF(OR(L150="",H150=""),"",IF(H150&lt;=0,"",IFERROR(L150/H150-1,"")))</f>
        <v/>
      </c>
      <c r="M151" s="15">
        <f>IF(OR(M150="",I150=""),"",IF(I150&lt;=0,"",IFERROR(M150/I150-1,"")))</f>
        <v/>
      </c>
      <c r="N151" s="15">
        <f>IF(OR(N150="",J150=""),"",IF(J150&lt;=0,"",IFERROR(N150/J150-1,"")))</f>
        <v/>
      </c>
      <c r="V151" s="15">
        <f>IF(OR(V150="",U150=""),"",IF(U150&lt;=0,"",IFERROR(V150/U150-1,"")))</f>
        <v/>
      </c>
      <c r="W151" s="15">
        <f>IF(OR(W150="",V150=""),"",IF(V150&lt;=0,"",IFERROR(W150/V150-1,"")))</f>
        <v/>
      </c>
      <c r="X151" s="15">
        <f>IF(OR(X150="",W150=""),"",IF(W150&lt;=0,"",IFERROR(X150/W150-1,"")))</f>
        <v/>
      </c>
    </row>
    <row r="152">
      <c r="A152" s="18" t="inlineStr">
        <is>
          <t>부문 · 영업이익</t>
        </is>
      </c>
      <c r="C152" s="20" t="n">
        <v>63972</v>
      </c>
      <c r="D152" s="20" t="n">
        <v>62288</v>
      </c>
      <c r="F152" s="20" t="n">
        <v>73663</v>
      </c>
      <c r="G152" s="20" t="n">
        <v>76846</v>
      </c>
      <c r="H152" s="20" t="n">
        <v>68779</v>
      </c>
      <c r="J152" s="20" t="n">
        <v>71170</v>
      </c>
      <c r="K152" s="20" t="n">
        <v>86493</v>
      </c>
      <c r="L152" s="20" t="n">
        <v>76384</v>
      </c>
      <c r="N152" s="20" t="n">
        <v>113550</v>
      </c>
    </row>
    <row r="153">
      <c r="A153" s="43" t="inlineStr">
        <is>
          <t>OPM</t>
        </is>
      </c>
      <c r="B153" s="3" t="inlineStr">
        <is>
          <t>영업이익 ÷ 매출</t>
        </is>
      </c>
      <c r="C153" s="15">
        <f>IF(OR(C152="",C143=""),"",IF(C143&lt;=0,"",IFERROR(C152/C143,"")))</f>
        <v/>
      </c>
      <c r="D153" s="15">
        <f>IF(OR(D152="",D143=""),"",IF(D143&lt;=0,"",IFERROR(D152/D143,"")))</f>
        <v/>
      </c>
      <c r="F153" s="15">
        <f>IF(OR(F152="",F143=""),"",IF(F143&lt;=0,"",IFERROR(F152/F143,"")))</f>
        <v/>
      </c>
      <c r="G153" s="15">
        <f>IF(OR(G152="",G143=""),"",IF(G143&lt;=0,"",IFERROR(G152/G143,"")))</f>
        <v/>
      </c>
      <c r="H153" s="15">
        <f>IF(OR(H152="",H143=""),"",IF(H143&lt;=0,"",IFERROR(H152/H143,"")))</f>
        <v/>
      </c>
      <c r="J153" s="15">
        <f>IF(OR(J152="",J143=""),"",IF(J143&lt;=0,"",IFERROR(J152/J143,"")))</f>
        <v/>
      </c>
      <c r="K153" s="15">
        <f>IF(OR(K152="",K143=""),"",IF(K143&lt;=0,"",IFERROR(K152/K143,"")))</f>
        <v/>
      </c>
      <c r="L153" s="15">
        <f>IF(OR(L152="",L143=""),"",IF(L143&lt;=0,"",IFERROR(L152/L143,"")))</f>
        <v/>
      </c>
      <c r="N153" s="15">
        <f>IF(OR(N152="",N143=""),"",IF(N143&lt;=0,"",IFERROR(N152/N143,"")))</f>
        <v/>
      </c>
    </row>
    <row r="154">
      <c r="A154" s="43" t="inlineStr">
        <is>
          <t>YoY</t>
        </is>
      </c>
      <c r="B154" s="3" t="inlineStr">
        <is>
          <t>전년 같은 분기·전년 대비</t>
        </is>
      </c>
      <c r="G154" s="15">
        <f>IF(OR(G152="",C152=""),"",IF(C152&lt;=0,"",IFERROR(G152/C152-1,"")))</f>
        <v/>
      </c>
      <c r="H154" s="15">
        <f>IF(OR(H152="",D152=""),"",IF(D152&lt;=0,"",IFERROR(H152/D152-1,"")))</f>
        <v/>
      </c>
      <c r="J154" s="15">
        <f>IF(OR(J152="",F152=""),"",IF(F152&lt;=0,"",IFERROR(J152/F152-1,"")))</f>
        <v/>
      </c>
      <c r="K154" s="15">
        <f>IF(OR(K152="",G152=""),"",IF(G152&lt;=0,"",IFERROR(K152/G152-1,"")))</f>
        <v/>
      </c>
      <c r="L154" s="15">
        <f>IF(OR(L152="",H152=""),"",IF(H152&lt;=0,"",IFERROR(L152/H152-1,"")))</f>
        <v/>
      </c>
      <c r="N154" s="15">
        <f>IF(OR(N152="",J152=""),"",IF(J152&lt;=0,"",IFERROR(N152/J152-1,"")))</f>
        <v/>
      </c>
    </row>
    <row r="155">
      <c r="A155" s="18" t="inlineStr">
        <is>
          <t>부문 · 영업이익</t>
        </is>
      </c>
      <c r="C155" s="20" t="n">
        <v>26384</v>
      </c>
      <c r="D155" s="20" t="n">
        <v>14650</v>
      </c>
      <c r="F155" s="20" t="n">
        <v>-6124</v>
      </c>
      <c r="G155" s="20" t="n">
        <v>15720</v>
      </c>
      <c r="H155" s="20" t="n">
        <v>8425</v>
      </c>
      <c r="J155" s="20" t="n">
        <v>-8014</v>
      </c>
      <c r="K155" s="20" t="n">
        <v>18333</v>
      </c>
      <c r="L155" s="20" t="n">
        <v>-36432</v>
      </c>
      <c r="N155" s="20" t="n">
        <v>-12902</v>
      </c>
    </row>
    <row r="156">
      <c r="A156" s="43" t="inlineStr">
        <is>
          <t>OPM</t>
        </is>
      </c>
      <c r="B156" s="3" t="inlineStr">
        <is>
          <t>영업이익 ÷ 매출</t>
        </is>
      </c>
      <c r="C156" s="15">
        <f>IF(OR(C155="",C145=""),"",IF(C145&lt;=0,"",IFERROR(C155/C145,"")))</f>
        <v/>
      </c>
      <c r="D156" s="15">
        <f>IF(OR(D155="",D145=""),"",IF(D145&lt;=0,"",IFERROR(D155/D145,"")))</f>
        <v/>
      </c>
      <c r="F156" s="15">
        <f>IF(OR(F155="",F145=""),"",IF(F145&lt;=0,"",IFERROR(F155/F145,"")))</f>
        <v/>
      </c>
      <c r="G156" s="15">
        <f>IF(OR(G155="",G145=""),"",IF(G145&lt;=0,"",IFERROR(G155/G145,"")))</f>
        <v/>
      </c>
      <c r="H156" s="15">
        <f>IF(OR(H155="",H145=""),"",IF(H145&lt;=0,"",IFERROR(H155/H145,"")))</f>
        <v/>
      </c>
      <c r="J156" s="15">
        <f>IF(OR(J155="",J145=""),"",IF(J145&lt;=0,"",IFERROR(J155/J145,"")))</f>
        <v/>
      </c>
      <c r="K156" s="15">
        <f>IF(OR(K155="",K145=""),"",IF(K145&lt;=0,"",IFERROR(K155/K145,"")))</f>
        <v/>
      </c>
      <c r="L156" s="15">
        <f>IF(OR(L155="",L145=""),"",IF(L145&lt;=0,"",IFERROR(L155/L145,"")))</f>
        <v/>
      </c>
      <c r="N156" s="15">
        <f>IF(OR(N155="",N145=""),"",IF(N145&lt;=0,"",IFERROR(N155/N145,"")))</f>
        <v/>
      </c>
    </row>
    <row r="157">
      <c r="A157" s="43" t="inlineStr">
        <is>
          <t>YoY</t>
        </is>
      </c>
      <c r="B157" s="3" t="inlineStr">
        <is>
          <t>전년 같은 분기·전년 대비</t>
        </is>
      </c>
      <c r="G157" s="15">
        <f>IF(OR(G155="",C155=""),"",IF(C155&lt;=0,"",IFERROR(G155/C155-1,"")))</f>
        <v/>
      </c>
      <c r="H157" s="15">
        <f>IF(OR(H155="",D155=""),"",IF(D155&lt;=0,"",IFERROR(H155/D155-1,"")))</f>
        <v/>
      </c>
      <c r="J157" s="15">
        <f>IF(OR(J155="",F155=""),"",IF(F155&lt;=0,"",IFERROR(J155/F155-1,"")))</f>
        <v/>
      </c>
      <c r="K157" s="15">
        <f>IF(OR(K155="",G155=""),"",IF(G155&lt;=0,"",IFERROR(K155/G155-1,"")))</f>
        <v/>
      </c>
      <c r="L157" s="15">
        <f>IF(OR(L155="",H155=""),"",IF(H155&lt;=0,"",IFERROR(L155/H155-1,"")))</f>
        <v/>
      </c>
      <c r="N157" s="15">
        <f>IF(OR(N155="",J155=""),"",IF(J155&lt;=0,"",IFERROR(N155/J155-1,"")))</f>
        <v/>
      </c>
    </row>
    <row r="158">
      <c r="A158" s="18" t="inlineStr">
        <is>
          <t>OtherReportableSegmentsMember · 영업이익</t>
        </is>
      </c>
      <c r="C158" s="20" t="n">
        <v>-1545</v>
      </c>
      <c r="D158" s="20" t="n">
        <v>-741</v>
      </c>
      <c r="E158" s="20" t="n">
        <v>-1260</v>
      </c>
      <c r="F158" s="20" t="n">
        <v>-1164</v>
      </c>
      <c r="G158" s="20" t="n">
        <v>-769</v>
      </c>
      <c r="H158" s="20" t="n">
        <v>-1215</v>
      </c>
      <c r="I158" s="20" t="n">
        <v>-2295</v>
      </c>
      <c r="J158" s="20" t="n">
        <v>-1535</v>
      </c>
      <c r="K158" s="20" t="n">
        <v>-1311</v>
      </c>
      <c r="L158" s="20" t="n">
        <v>-2076</v>
      </c>
      <c r="M158" s="20" t="n">
        <v>-1884</v>
      </c>
      <c r="N158" s="20" t="n">
        <v>-2194</v>
      </c>
      <c r="V158" s="20" t="n">
        <v>-1260</v>
      </c>
      <c r="W158" s="20" t="n">
        <v>-2295</v>
      </c>
      <c r="X158" s="20" t="n">
        <v>-1884</v>
      </c>
    </row>
    <row r="159">
      <c r="A159" s="43" t="inlineStr">
        <is>
          <t>OPM</t>
        </is>
      </c>
      <c r="B159" s="3" t="inlineStr">
        <is>
          <t>영업이익 ÷ 매출</t>
        </is>
      </c>
      <c r="C159" s="15">
        <f>IF(OR(C158="",C147=""),"",IF(C147&lt;=0,"",IFERROR(C158/C147,"")))</f>
        <v/>
      </c>
      <c r="D159" s="15">
        <f>IF(OR(D158="",D147=""),"",IF(D147&lt;=0,"",IFERROR(D158/D147,"")))</f>
        <v/>
      </c>
      <c r="E159" s="15">
        <f>IF(OR(E158="",E147=""),"",IF(E147&lt;=0,"",IFERROR(E158/E147,"")))</f>
        <v/>
      </c>
      <c r="F159" s="15">
        <f>IF(OR(F158="",F147=""),"",IF(F147&lt;=0,"",IFERROR(F158/F147,"")))</f>
        <v/>
      </c>
      <c r="G159" s="15">
        <f>IF(OR(G158="",G147=""),"",IF(G147&lt;=0,"",IFERROR(G158/G147,"")))</f>
        <v/>
      </c>
      <c r="H159" s="15">
        <f>IF(OR(H158="",H147=""),"",IF(H147&lt;=0,"",IFERROR(H158/H147,"")))</f>
        <v/>
      </c>
      <c r="I159" s="15">
        <f>IF(OR(I158="",I147=""),"",IF(I147&lt;=0,"",IFERROR(I158/I147,"")))</f>
        <v/>
      </c>
      <c r="J159" s="15">
        <f>IF(OR(J158="",J147=""),"",IF(J147&lt;=0,"",IFERROR(J158/J147,"")))</f>
        <v/>
      </c>
      <c r="K159" s="15">
        <f>IF(OR(K158="",K147=""),"",IF(K147&lt;=0,"",IFERROR(K158/K147,"")))</f>
        <v/>
      </c>
      <c r="L159" s="15">
        <f>IF(OR(L158="",L147=""),"",IF(L147&lt;=0,"",IFERROR(L158/L147,"")))</f>
        <v/>
      </c>
      <c r="M159" s="15">
        <f>IF(OR(M158="",M147=""),"",IF(M147&lt;=0,"",IFERROR(M158/M147,"")))</f>
        <v/>
      </c>
      <c r="N159" s="15">
        <f>IF(OR(N158="",N147=""),"",IF(N147&lt;=0,"",IFERROR(N158/N147,"")))</f>
        <v/>
      </c>
      <c r="V159" s="15">
        <f>IF(OR(V158="",V147=""),"",IF(V147&lt;=0,"",IFERROR(V158/V147,"")))</f>
        <v/>
      </c>
      <c r="W159" s="15">
        <f>IF(OR(W158="",W147=""),"",IF(W147&lt;=0,"",IFERROR(W158/W147,"")))</f>
        <v/>
      </c>
      <c r="X159" s="15">
        <f>IF(OR(X158="",X147=""),"",IF(X147&lt;=0,"",IFERROR(X158/X147,"")))</f>
        <v/>
      </c>
    </row>
    <row r="160">
      <c r="A160" s="43" t="inlineStr">
        <is>
          <t>YoY</t>
        </is>
      </c>
      <c r="B160" s="3" t="inlineStr">
        <is>
          <t>전년 같은 분기·전년 대비</t>
        </is>
      </c>
      <c r="G160" s="15">
        <f>IF(OR(G158="",C158=""),"",IF(C158&lt;=0,"",IFERROR(G158/C158-1,"")))</f>
        <v/>
      </c>
      <c r="H160" s="15">
        <f>IF(OR(H158="",D158=""),"",IF(D158&lt;=0,"",IFERROR(H158/D158-1,"")))</f>
        <v/>
      </c>
      <c r="I160" s="15">
        <f>IF(OR(I158="",E158=""),"",IF(E158&lt;=0,"",IFERROR(I158/E158-1,"")))</f>
        <v/>
      </c>
      <c r="J160" s="15">
        <f>IF(OR(J158="",F158=""),"",IF(F158&lt;=0,"",IFERROR(J158/F158-1,"")))</f>
        <v/>
      </c>
      <c r="K160" s="15">
        <f>IF(OR(K158="",G158=""),"",IF(G158&lt;=0,"",IFERROR(K158/G158-1,"")))</f>
        <v/>
      </c>
      <c r="L160" s="15">
        <f>IF(OR(L158="",H158=""),"",IF(H158&lt;=0,"",IFERROR(L158/H158-1,"")))</f>
        <v/>
      </c>
      <c r="M160" s="15">
        <f>IF(OR(M158="",I158=""),"",IF(I158&lt;=0,"",IFERROR(M158/I158-1,"")))</f>
        <v/>
      </c>
      <c r="N160" s="15">
        <f>IF(OR(N158="",J158=""),"",IF(J158&lt;=0,"",IFERROR(N158/J158-1,"")))</f>
        <v/>
      </c>
      <c r="V160" s="15">
        <f>IF(OR(V158="",U158=""),"",IF(U158&lt;=0,"",IFERROR(V158/U158-1,"")))</f>
        <v/>
      </c>
      <c r="W160" s="15">
        <f>IF(OR(W158="",V158=""),"",IF(V158&lt;=0,"",IFERROR(W158/V158-1,"")))</f>
        <v/>
      </c>
      <c r="X160" s="15">
        <f>IF(OR(X158="",W158=""),"",IF(W158&lt;=0,"",IFERROR(X158/W158-1,"")))</f>
        <v/>
      </c>
    </row>
    <row r="161">
      <c r="A161" s="18" t="inlineStr">
        <is>
          <t>조정액 · 영업이익</t>
        </is>
      </c>
      <c r="C161" s="20" t="n">
        <v>0</v>
      </c>
      <c r="D161" s="20" t="n">
        <v>0</v>
      </c>
      <c r="E161" s="20" t="n">
        <v>0</v>
      </c>
      <c r="F161" s="20" t="n">
        <v>0</v>
      </c>
      <c r="G161" s="20" t="n">
        <v>0</v>
      </c>
      <c r="H161" s="20" t="n">
        <v>0</v>
      </c>
      <c r="I161" s="20" t="n">
        <v>0</v>
      </c>
      <c r="J161" s="20" t="n">
        <v>0</v>
      </c>
      <c r="K161" s="20" t="n">
        <v>0</v>
      </c>
      <c r="L161" s="20" t="n">
        <v>0</v>
      </c>
      <c r="M161" s="20" t="n">
        <v>0</v>
      </c>
      <c r="N161" s="20" t="n">
        <v>0</v>
      </c>
      <c r="V161" s="20" t="n">
        <v>0</v>
      </c>
      <c r="W161" s="20" t="n">
        <v>0</v>
      </c>
      <c r="X161" s="20" t="n">
        <v>0</v>
      </c>
    </row>
    <row r="162">
      <c r="A162" s="18" t="inlineStr">
        <is>
          <t>영업이익</t>
        </is>
      </c>
      <c r="C162" s="20" t="n">
        <v>88811</v>
      </c>
      <c r="D162" s="20" t="n">
        <v>76197</v>
      </c>
      <c r="E162" s="20" t="n">
        <v>328</v>
      </c>
      <c r="F162" s="20" t="n">
        <v>66375</v>
      </c>
      <c r="G162" s="20" t="n">
        <v>91797</v>
      </c>
      <c r="H162" s="20" t="n">
        <v>75989</v>
      </c>
      <c r="I162" s="20" t="n">
        <v>45541</v>
      </c>
      <c r="J162" s="20" t="n">
        <v>61621</v>
      </c>
      <c r="K162" s="20" t="n">
        <v>103515</v>
      </c>
      <c r="L162" s="20" t="n">
        <v>37876</v>
      </c>
      <c r="M162" s="20" t="n">
        <v>78823</v>
      </c>
      <c r="N162" s="20" t="n">
        <v>98454</v>
      </c>
      <c r="V162" s="20" t="n">
        <v>328</v>
      </c>
      <c r="W162" s="20" t="n">
        <v>45541</v>
      </c>
      <c r="X162" s="20" t="n">
        <v>78823</v>
      </c>
    </row>
    <row r="163">
      <c r="A163" s="43" t="inlineStr">
        <is>
          <t>OPM</t>
        </is>
      </c>
      <c r="B163" s="3" t="inlineStr">
        <is>
          <t>영업이익 ÷ 매출</t>
        </is>
      </c>
      <c r="C163" s="15">
        <f>IF(OR(C162="",C136=""),"",IF(C136&lt;=0,"",IFERROR(C162/C136,"")))</f>
        <v/>
      </c>
      <c r="D163" s="15">
        <f>IF(OR(D162="",D136=""),"",IF(D136&lt;=0,"",IFERROR(D162/D136,"")))</f>
        <v/>
      </c>
      <c r="E163" s="15">
        <f>IF(OR(E162="",E136=""),"",IF(E136&lt;=0,"",IFERROR(E162/E136,"")))</f>
        <v/>
      </c>
      <c r="F163" s="15">
        <f>IF(OR(F162="",F136=""),"",IF(F136&lt;=0,"",IFERROR(F162/F136,"")))</f>
        <v/>
      </c>
      <c r="G163" s="15">
        <f>IF(OR(G162="",G136=""),"",IF(G136&lt;=0,"",IFERROR(G162/G136,"")))</f>
        <v/>
      </c>
      <c r="H163" s="15">
        <f>IF(OR(H162="",H136=""),"",IF(H136&lt;=0,"",IFERROR(H162/H136,"")))</f>
        <v/>
      </c>
      <c r="I163" s="15">
        <f>IF(OR(I162="",I136=""),"",IF(I136&lt;=0,"",IFERROR(I162/I136,"")))</f>
        <v/>
      </c>
      <c r="J163" s="15">
        <f>IF(OR(J162="",J136=""),"",IF(J136&lt;=0,"",IFERROR(J162/J136,"")))</f>
        <v/>
      </c>
      <c r="K163" s="15">
        <f>IF(OR(K162="",K136=""),"",IF(K136&lt;=0,"",IFERROR(K162/K136,"")))</f>
        <v/>
      </c>
      <c r="L163" s="15">
        <f>IF(OR(L162="",L136=""),"",IF(L136&lt;=0,"",IFERROR(L162/L136,"")))</f>
        <v/>
      </c>
      <c r="M163" s="15">
        <f>IF(OR(M162="",M136=""),"",IF(M136&lt;=0,"",IFERROR(M162/M136,"")))</f>
        <v/>
      </c>
      <c r="N163" s="15">
        <f>IF(OR(N162="",N136=""),"",IF(N136&lt;=0,"",IFERROR(N162/N136,"")))</f>
        <v/>
      </c>
      <c r="V163" s="15">
        <f>IF(OR(V162="",V136=""),"",IF(V136&lt;=0,"",IFERROR(V162/V136,"")))</f>
        <v/>
      </c>
      <c r="W163" s="15">
        <f>IF(OR(W162="",W136=""),"",IF(W136&lt;=0,"",IFERROR(W162/W136,"")))</f>
        <v/>
      </c>
      <c r="X163" s="15">
        <f>IF(OR(X162="",X136=""),"",IF(X136&lt;=0,"",IFERROR(X162/X136,"")))</f>
        <v/>
      </c>
    </row>
    <row r="164">
      <c r="A164" s="43" t="inlineStr">
        <is>
          <t>YoY</t>
        </is>
      </c>
      <c r="B164" s="3" t="inlineStr">
        <is>
          <t>전년 같은 분기·전년 대비</t>
        </is>
      </c>
      <c r="G164" s="15">
        <f>IF(OR(G162="",C162=""),"",IF(C162&lt;=0,"",IFERROR(G162/C162-1,"")))</f>
        <v/>
      </c>
      <c r="H164" s="15">
        <f>IF(OR(H162="",D162=""),"",IF(D162&lt;=0,"",IFERROR(H162/D162-1,"")))</f>
        <v/>
      </c>
      <c r="I164" s="15">
        <f>IF(OR(I162="",E162=""),"",IF(E162&lt;=0,"",IFERROR(I162/E162-1,"")))</f>
        <v/>
      </c>
      <c r="J164" s="15">
        <f>IF(OR(J162="",F162=""),"",IF(F162&lt;=0,"",IFERROR(J162/F162-1,"")))</f>
        <v/>
      </c>
      <c r="K164" s="15">
        <f>IF(OR(K162="",G162=""),"",IF(G162&lt;=0,"",IFERROR(K162/G162-1,"")))</f>
        <v/>
      </c>
      <c r="L164" s="15">
        <f>IF(OR(L162="",H162=""),"",IF(H162&lt;=0,"",IFERROR(L162/H162-1,"")))</f>
        <v/>
      </c>
      <c r="M164" s="15">
        <f>IF(OR(M162="",I162=""),"",IF(I162&lt;=0,"",IFERROR(M162/I162-1,"")))</f>
        <v/>
      </c>
      <c r="N164" s="15">
        <f>IF(OR(N162="",J162=""),"",IF(J162&lt;=0,"",IFERROR(N162/J162-1,"")))</f>
        <v/>
      </c>
      <c r="V164" s="15">
        <f>IF(OR(V162="",U162=""),"",IF(U162&lt;=0,"",IFERROR(V162/U162-1,"")))</f>
        <v/>
      </c>
      <c r="W164" s="15">
        <f>IF(OR(W162="",V162=""),"",IF(V162&lt;=0,"",IFERROR(W162/V162-1,"")))</f>
        <v/>
      </c>
      <c r="X164" s="15">
        <f>IF(OR(X162="",W162=""),"",IF(W162&lt;=0,"",IFERROR(X162/W162-1,"")))</f>
        <v/>
      </c>
    </row>
    <row r="166">
      <c r="A166" s="16" t="inlineStr">
        <is>
          <t>현금흐름표 · 전 항목</t>
        </is>
      </c>
      <c r="B166" s="42" t="inlineStr">
        <is>
          <t>분기 = 결산기 첫날부터 누계(공시 그대로)</t>
        </is>
      </c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  <c r="S166" s="16" t="n"/>
      <c r="T166" s="16" t="n"/>
      <c r="U166" s="16" t="n"/>
      <c r="V166" s="16" t="n"/>
      <c r="W166" s="16" t="n"/>
      <c r="X166" s="16" t="n"/>
      <c r="Y166" s="16" t="n"/>
      <c r="Z166" s="16" t="n"/>
      <c r="AA166" s="16" t="n"/>
      <c r="AB166" s="16" t="n"/>
      <c r="AC166" s="16" t="n"/>
    </row>
    <row r="167">
      <c r="A167" s="5" t="inlineStr">
        <is>
          <t>항목</t>
        </is>
      </c>
      <c r="B167" s="5" t="inlineStr">
        <is>
          <t>참고</t>
        </is>
      </c>
      <c r="C167" s="5" t="inlineStr">
        <is>
          <t>2024.2Q</t>
        </is>
      </c>
      <c r="D167" s="5" t="inlineStr">
        <is>
          <t>2024.3Q</t>
        </is>
      </c>
      <c r="E167" s="5" t="inlineStr">
        <is>
          <t>2024.4Q</t>
        </is>
      </c>
      <c r="F167" s="5" t="inlineStr">
        <is>
          <t>2025.1Q</t>
        </is>
      </c>
      <c r="G167" s="5" t="inlineStr">
        <is>
          <t>2025.2Q</t>
        </is>
      </c>
      <c r="H167" s="5" t="inlineStr">
        <is>
          <t>2025.3Q</t>
        </is>
      </c>
      <c r="I167" s="5" t="inlineStr">
        <is>
          <t>2025.4Q</t>
        </is>
      </c>
      <c r="J167" s="5" t="inlineStr">
        <is>
          <t>2026.1Q</t>
        </is>
      </c>
      <c r="K167" s="5" t="inlineStr">
        <is>
          <t>2026.2Q</t>
        </is>
      </c>
      <c r="L167" s="5" t="inlineStr">
        <is>
          <t>2026.3Q</t>
        </is>
      </c>
      <c r="M167" s="5" t="inlineStr">
        <is>
          <t>2026.4Q</t>
        </is>
      </c>
      <c r="N167" s="5" t="inlineStr">
        <is>
          <t>2027.1Q</t>
        </is>
      </c>
      <c r="O167" s="5" t="inlineStr">
        <is>
          <t>2017</t>
        </is>
      </c>
      <c r="P167" s="5" t="inlineStr">
        <is>
          <t>2018</t>
        </is>
      </c>
      <c r="Q167" s="5" t="inlineStr">
        <is>
          <t>2019</t>
        </is>
      </c>
      <c r="R167" s="5" t="inlineStr">
        <is>
          <t>2020</t>
        </is>
      </c>
      <c r="S167" s="5" t="inlineStr">
        <is>
          <t>2021</t>
        </is>
      </c>
      <c r="T167" s="5" t="inlineStr">
        <is>
          <t>2022</t>
        </is>
      </c>
      <c r="U167" s="5" t="inlineStr">
        <is>
          <t>2023</t>
        </is>
      </c>
      <c r="V167" s="5" t="inlineStr">
        <is>
          <t>2024</t>
        </is>
      </c>
      <c r="W167" s="5" t="inlineStr">
        <is>
          <t>2025</t>
        </is>
      </c>
      <c r="X167" s="5" t="inlineStr">
        <is>
          <t>2026</t>
        </is>
      </c>
      <c r="Y167" s="5" t="inlineStr">
        <is>
          <t>2027(MW)</t>
        </is>
      </c>
      <c r="Z167" s="5" t="inlineStr">
        <is>
          <t>2028(MW)</t>
        </is>
      </c>
      <c r="AA167" s="5" t="inlineStr">
        <is>
          <t>2029(MW)</t>
        </is>
      </c>
      <c r="AB167" s="5" t="inlineStr">
        <is>
          <t>2030(MW)</t>
        </is>
      </c>
      <c r="AC167" s="5" t="inlineStr">
        <is>
          <t>2031(MW)</t>
        </is>
      </c>
    </row>
    <row r="168">
      <c r="A168" s="9" t="inlineStr">
        <is>
          <t>중간이익</t>
        </is>
      </c>
      <c r="C168" s="12" t="n">
        <v>124923</v>
      </c>
      <c r="D168" s="12" t="n">
        <v>174217</v>
      </c>
      <c r="E168" s="12" t="n">
        <v>180336</v>
      </c>
      <c r="F168" s="12" t="n">
        <v>66277</v>
      </c>
      <c r="G168" s="12" t="n">
        <v>129654</v>
      </c>
      <c r="H168" s="12" t="n">
        <v>200567</v>
      </c>
      <c r="I168" s="12" t="n">
        <v>232973</v>
      </c>
      <c r="J168" s="12" t="n">
        <v>49671</v>
      </c>
      <c r="K168" s="12" t="n">
        <v>132341</v>
      </c>
      <c r="L168" s="12" t="n">
        <v>157287</v>
      </c>
      <c r="M168" s="12" t="n">
        <v>233781</v>
      </c>
      <c r="N168" s="12" t="n">
        <v>81345</v>
      </c>
      <c r="U168" s="12" t="n">
        <v>243648</v>
      </c>
      <c r="V168" s="12" t="n">
        <v>180336</v>
      </c>
      <c r="W168" s="12" t="n">
        <v>232973</v>
      </c>
      <c r="X168" s="12" t="n">
        <v>233781</v>
      </c>
    </row>
    <row r="169">
      <c r="A169" s="18" t="inlineStr">
        <is>
          <t>감가상각비 및 상각비</t>
        </is>
      </c>
      <c r="C169" s="20" t="n">
        <v>84978</v>
      </c>
      <c r="D169" s="20" t="n">
        <v>131086</v>
      </c>
      <c r="E169" s="20" t="n">
        <v>175873</v>
      </c>
      <c r="F169" s="20" t="n">
        <v>42447</v>
      </c>
      <c r="G169" s="20" t="n">
        <v>85222</v>
      </c>
      <c r="H169" s="20" t="n">
        <v>128820</v>
      </c>
      <c r="I169" s="20" t="n">
        <v>173335</v>
      </c>
      <c r="J169" s="20" t="n">
        <v>41950</v>
      </c>
      <c r="K169" s="20" t="n">
        <v>84580</v>
      </c>
      <c r="L169" s="20" t="n">
        <v>128896</v>
      </c>
      <c r="M169" s="20" t="n">
        <v>178212</v>
      </c>
      <c r="N169" s="20" t="n">
        <v>45585</v>
      </c>
      <c r="U169" s="20" t="n">
        <v>169618</v>
      </c>
      <c r="V169" s="20" t="n">
        <v>175873</v>
      </c>
      <c r="W169" s="20" t="n">
        <v>173335</v>
      </c>
      <c r="X169" s="20" t="n">
        <v>178212</v>
      </c>
    </row>
    <row r="170">
      <c r="A170" s="18" t="inlineStr">
        <is>
          <t>손상차손</t>
        </is>
      </c>
      <c r="C170" s="20" t="n">
        <v>46</v>
      </c>
      <c r="D170" s="20" t="n">
        <v>47</v>
      </c>
      <c r="E170" s="20" t="n">
        <v>49546</v>
      </c>
      <c r="F170" s="20" t="n">
        <v>2265</v>
      </c>
      <c r="G170" s="20" t="n">
        <v>9739</v>
      </c>
      <c r="H170" s="20" t="n">
        <v>10289</v>
      </c>
      <c r="I170" s="20" t="n">
        <v>22083</v>
      </c>
      <c r="J170" s="20" t="n">
        <v>441</v>
      </c>
      <c r="K170" s="20" t="n">
        <v>969</v>
      </c>
      <c r="L170" s="20" t="n">
        <v>49102</v>
      </c>
      <c r="M170" s="20" t="n">
        <v>50414</v>
      </c>
      <c r="N170" s="20" t="n">
        <v>1285</v>
      </c>
      <c r="U170" s="20" t="n">
        <v>579</v>
      </c>
      <c r="V170" s="20" t="n">
        <v>49546</v>
      </c>
      <c r="W170" s="20" t="n">
        <v>22083</v>
      </c>
      <c r="X170" s="20" t="n">
        <v>50414</v>
      </c>
    </row>
    <row r="171">
      <c r="A171" s="18" t="inlineStr">
        <is>
          <t>Finance Income And Finance Costs Ope CF</t>
        </is>
      </c>
      <c r="C171" s="20" t="n">
        <v>-22303</v>
      </c>
      <c r="D171" s="20" t="n">
        <v>-10310</v>
      </c>
      <c r="E171" s="20" t="n">
        <v>-23926</v>
      </c>
      <c r="F171" s="20" t="n">
        <v>-17176</v>
      </c>
      <c r="G171" s="20" t="n">
        <v>-5822</v>
      </c>
      <c r="H171" s="20" t="n">
        <v>-34356</v>
      </c>
      <c r="I171" s="20" t="n">
        <v>-24593</v>
      </c>
      <c r="J171" s="20" t="n">
        <v>-687</v>
      </c>
      <c r="K171" s="20" t="n">
        <v>-9628</v>
      </c>
      <c r="L171" s="20" t="n">
        <v>-21281</v>
      </c>
      <c r="M171" s="20" t="n">
        <v>-26793</v>
      </c>
      <c r="N171" s="20" t="n">
        <v>-10775</v>
      </c>
      <c r="U171" s="20" t="n">
        <v>-4452</v>
      </c>
      <c r="V171" s="20" t="n">
        <v>-23926</v>
      </c>
      <c r="W171" s="20" t="n">
        <v>-24593</v>
      </c>
      <c r="X171" s="20" t="n">
        <v>-26793</v>
      </c>
    </row>
    <row r="172">
      <c r="A172" s="18" t="inlineStr">
        <is>
          <t>Income Tax Expense Ope CF</t>
        </is>
      </c>
      <c r="C172" s="20" t="n">
        <v>36301</v>
      </c>
      <c r="D172" s="20" t="n">
        <v>51217</v>
      </c>
      <c r="E172" s="20" t="n">
        <v>59068</v>
      </c>
      <c r="F172" s="20" t="n">
        <v>17289</v>
      </c>
      <c r="G172" s="20" t="n">
        <v>34375</v>
      </c>
      <c r="H172" s="20" t="n">
        <v>67990</v>
      </c>
      <c r="I172" s="20" t="n">
        <v>71431</v>
      </c>
      <c r="J172" s="20" t="n">
        <v>12651</v>
      </c>
      <c r="K172" s="20" t="n">
        <v>42441</v>
      </c>
      <c r="L172" s="20" t="n">
        <v>67004</v>
      </c>
      <c r="M172" s="20" t="n">
        <v>74862</v>
      </c>
      <c r="N172" s="20" t="n">
        <v>27888</v>
      </c>
      <c r="U172" s="20" t="n">
        <v>59035</v>
      </c>
      <c r="V172" s="20" t="n">
        <v>59068</v>
      </c>
      <c r="W172" s="20" t="n">
        <v>71431</v>
      </c>
      <c r="X172" s="20" t="n">
        <v>74862</v>
      </c>
    </row>
    <row r="173">
      <c r="A173" s="18" t="inlineStr">
        <is>
          <t>Share Of Loss Profit Of Investments Accounted For Using Equity Method Ope CF</t>
        </is>
      </c>
      <c r="C173" s="20" t="n">
        <v>1</v>
      </c>
      <c r="D173" s="20" t="n">
        <v>-5</v>
      </c>
      <c r="E173" s="20" t="n">
        <v>-31</v>
      </c>
      <c r="F173" s="20" t="n">
        <v>-15</v>
      </c>
      <c r="G173" s="20" t="n">
        <v>-35</v>
      </c>
      <c r="H173" s="20" t="n">
        <v>-40</v>
      </c>
      <c r="I173" s="20" t="n">
        <v>-109</v>
      </c>
      <c r="J173" s="20" t="n">
        <v>-14</v>
      </c>
      <c r="K173" s="20" t="n">
        <v>-18</v>
      </c>
      <c r="L173" s="20" t="n">
        <v>2</v>
      </c>
      <c r="M173" s="20" t="n">
        <v>-15</v>
      </c>
      <c r="N173" s="20" t="n">
        <v>-4</v>
      </c>
      <c r="U173" s="20" t="n">
        <v>0</v>
      </c>
      <c r="V173" s="20" t="n">
        <v>-31</v>
      </c>
      <c r="W173" s="20" t="n">
        <v>-109</v>
      </c>
      <c r="X173" s="20" t="n">
        <v>-15</v>
      </c>
    </row>
    <row r="174">
      <c r="A174" s="18" t="inlineStr">
        <is>
          <t>Loss Gain On Sale Of Fixed Assets Ope CF</t>
        </is>
      </c>
      <c r="C174" s="20" t="n">
        <v>474</v>
      </c>
      <c r="D174" s="20" t="n">
        <v>994</v>
      </c>
      <c r="E174" s="20" t="n">
        <v>2548</v>
      </c>
      <c r="F174" s="20" t="n">
        <v>137</v>
      </c>
      <c r="G174" s="20" t="n">
        <v>690</v>
      </c>
      <c r="H174" s="20" t="n">
        <v>1785</v>
      </c>
      <c r="I174" s="20" t="n">
        <v>2123</v>
      </c>
      <c r="J174" s="20" t="n">
        <v>478</v>
      </c>
      <c r="K174" s="20" t="n">
        <v>1264</v>
      </c>
      <c r="L174" s="20" t="n">
        <v>2096</v>
      </c>
      <c r="M174" s="20" t="n">
        <v>2914</v>
      </c>
      <c r="U174" s="20" t="n">
        <v>2219</v>
      </c>
      <c r="V174" s="20" t="n">
        <v>2548</v>
      </c>
      <c r="W174" s="20" t="n">
        <v>2123</v>
      </c>
      <c r="X174" s="20" t="n">
        <v>2914</v>
      </c>
    </row>
    <row r="175">
      <c r="A175" s="18" t="inlineStr">
        <is>
          <t>Loss Gain On Transfer Of Business Ope CF</t>
        </is>
      </c>
      <c r="I175" s="20" t="n">
        <v>0</v>
      </c>
      <c r="M175" s="20" t="n">
        <v>-5693</v>
      </c>
      <c r="W175" s="20" t="n">
        <v>0</v>
      </c>
      <c r="X175" s="20" t="n">
        <v>-5693</v>
      </c>
    </row>
    <row r="176">
      <c r="A176" s="18" t="inlineStr">
        <is>
          <t>Loss Gain On Sale And Retirement Of Fixed Assets Ope CF</t>
        </is>
      </c>
      <c r="J176" s="20" t="n">
        <v>478</v>
      </c>
      <c r="N176" s="20" t="n">
        <v>393</v>
      </c>
    </row>
    <row r="177">
      <c r="A177" s="18" t="inlineStr">
        <is>
          <t>Decrease Increase In Trade Receivables Ope CF</t>
        </is>
      </c>
      <c r="C177" s="20" t="n">
        <v>-40104</v>
      </c>
      <c r="D177" s="20" t="n">
        <v>-37982</v>
      </c>
      <c r="E177" s="20" t="n">
        <v>4119</v>
      </c>
      <c r="F177" s="20" t="n">
        <v>1342</v>
      </c>
      <c r="G177" s="20" t="n">
        <v>-28042</v>
      </c>
      <c r="H177" s="20" t="n">
        <v>-29288</v>
      </c>
      <c r="I177" s="20" t="n">
        <v>-6779</v>
      </c>
      <c r="J177" s="20" t="n">
        <v>3480</v>
      </c>
      <c r="K177" s="20" t="n">
        <v>-36660</v>
      </c>
      <c r="L177" s="20" t="n">
        <v>-22423</v>
      </c>
      <c r="M177" s="20" t="n">
        <v>-9015</v>
      </c>
      <c r="N177" s="20" t="n">
        <v>-14505</v>
      </c>
      <c r="U177" s="20" t="n">
        <v>104011</v>
      </c>
      <c r="V177" s="20" t="n">
        <v>4119</v>
      </c>
      <c r="W177" s="20" t="n">
        <v>-6779</v>
      </c>
      <c r="X177" s="20" t="n">
        <v>-9015</v>
      </c>
    </row>
    <row r="178">
      <c r="A178" s="18" t="inlineStr">
        <is>
          <t>재고자산 증감액</t>
        </is>
      </c>
      <c r="C178" s="20" t="n">
        <v>33732</v>
      </c>
      <c r="D178" s="20" t="n">
        <v>71564</v>
      </c>
      <c r="E178" s="20" t="n">
        <v>83451</v>
      </c>
      <c r="F178" s="20" t="n">
        <v>10830</v>
      </c>
      <c r="G178" s="20" t="n">
        <v>23461</v>
      </c>
      <c r="H178" s="20" t="n">
        <v>32655</v>
      </c>
      <c r="I178" s="20" t="n">
        <v>28944</v>
      </c>
      <c r="J178" s="20" t="n">
        <v>-7901</v>
      </c>
      <c r="K178" s="20" t="n">
        <v>-1331</v>
      </c>
      <c r="L178" s="20" t="n">
        <v>-302</v>
      </c>
      <c r="M178" s="20" t="n">
        <v>-16847</v>
      </c>
      <c r="N178" s="20" t="n">
        <v>-13385</v>
      </c>
      <c r="U178" s="20" t="n">
        <v>-100558</v>
      </c>
      <c r="V178" s="20" t="n">
        <v>83451</v>
      </c>
      <c r="W178" s="20" t="n">
        <v>28944</v>
      </c>
      <c r="X178" s="20" t="n">
        <v>-16847</v>
      </c>
    </row>
    <row r="179">
      <c r="A179" s="18" t="inlineStr">
        <is>
          <t>Decrease Increase In Other Assets Ope CF</t>
        </is>
      </c>
      <c r="C179" s="20" t="n">
        <v>-8113</v>
      </c>
      <c r="D179" s="20" t="n">
        <v>-13708</v>
      </c>
      <c r="E179" s="20" t="n">
        <v>-5080</v>
      </c>
      <c r="F179" s="20" t="n">
        <v>-24154</v>
      </c>
      <c r="G179" s="20" t="n">
        <v>-5113</v>
      </c>
      <c r="H179" s="20" t="n">
        <v>-4904</v>
      </c>
      <c r="I179" s="20" t="n">
        <v>4383</v>
      </c>
      <c r="J179" s="20" t="n">
        <v>-24954</v>
      </c>
      <c r="K179" s="20" t="n">
        <v>-12101</v>
      </c>
      <c r="L179" s="20" t="n">
        <v>-5601</v>
      </c>
      <c r="M179" s="20" t="n">
        <v>-4568</v>
      </c>
      <c r="N179" s="20" t="n">
        <v>-32417</v>
      </c>
      <c r="U179" s="20" t="n">
        <v>-15902</v>
      </c>
      <c r="V179" s="20" t="n">
        <v>-5080</v>
      </c>
      <c r="W179" s="20" t="n">
        <v>4383</v>
      </c>
      <c r="X179" s="20" t="n">
        <v>-4568</v>
      </c>
    </row>
    <row r="180">
      <c r="A180" s="18" t="inlineStr">
        <is>
          <t>Increase Decrease In Trade Payables Ope CF</t>
        </is>
      </c>
      <c r="C180" s="20" t="n">
        <v>-6210</v>
      </c>
      <c r="D180" s="20" t="n">
        <v>-5124</v>
      </c>
      <c r="E180" s="20" t="n">
        <v>119</v>
      </c>
      <c r="F180" s="20" t="n">
        <v>-692</v>
      </c>
      <c r="G180" s="20" t="n">
        <v>-1359</v>
      </c>
      <c r="H180" s="20" t="n">
        <v>232</v>
      </c>
      <c r="I180" s="20" t="n">
        <v>2247</v>
      </c>
      <c r="J180" s="20" t="n">
        <v>-1588</v>
      </c>
      <c r="K180" s="20" t="n">
        <v>5477</v>
      </c>
      <c r="L180" s="20" t="n">
        <v>546</v>
      </c>
      <c r="M180" s="20" t="n">
        <v>7822</v>
      </c>
      <c r="N180" s="20" t="n">
        <v>340</v>
      </c>
      <c r="U180" s="20" t="n">
        <v>-30027</v>
      </c>
      <c r="V180" s="20" t="n">
        <v>119</v>
      </c>
      <c r="W180" s="20" t="n">
        <v>2247</v>
      </c>
      <c r="X180" s="20" t="n">
        <v>7822</v>
      </c>
    </row>
    <row r="181">
      <c r="A181" s="18" t="inlineStr">
        <is>
          <t>Increase Decrease In Other Liabilities Ope CF</t>
        </is>
      </c>
      <c r="C181" s="20" t="n">
        <v>6999</v>
      </c>
      <c r="D181" s="20" t="n">
        <v>1089</v>
      </c>
      <c r="E181" s="20" t="n">
        <v>18052</v>
      </c>
      <c r="F181" s="20" t="n">
        <v>-19590</v>
      </c>
      <c r="G181" s="20" t="n">
        <v>-9359</v>
      </c>
      <c r="H181" s="20" t="n">
        <v>-8054</v>
      </c>
      <c r="I181" s="20" t="n">
        <v>2527</v>
      </c>
      <c r="J181" s="20" t="n">
        <v>-10479</v>
      </c>
      <c r="K181" s="20" t="n">
        <v>-5800</v>
      </c>
      <c r="L181" s="20" t="n">
        <v>-14433</v>
      </c>
      <c r="M181" s="20" t="n">
        <v>11599</v>
      </c>
      <c r="N181" s="20" t="n">
        <v>1244</v>
      </c>
      <c r="U181" s="20" t="n">
        <v>-22171</v>
      </c>
      <c r="V181" s="20" t="n">
        <v>18052</v>
      </c>
      <c r="W181" s="20" t="n">
        <v>2527</v>
      </c>
      <c r="X181" s="20" t="n">
        <v>11599</v>
      </c>
    </row>
    <row r="182">
      <c r="A182" s="18" t="inlineStr">
        <is>
          <t>기타</t>
        </is>
      </c>
      <c r="C182" s="20" t="n">
        <v>-1509</v>
      </c>
      <c r="D182" s="20" t="n">
        <v>-1909</v>
      </c>
      <c r="E182" s="20" t="n">
        <v>-10647</v>
      </c>
      <c r="F182" s="20" t="n">
        <v>983</v>
      </c>
      <c r="G182" s="20" t="n">
        <v>1385</v>
      </c>
      <c r="H182" s="20" t="n">
        <v>1253</v>
      </c>
      <c r="I182" s="20" t="n">
        <v>103</v>
      </c>
      <c r="J182" s="20" t="n">
        <v>2750</v>
      </c>
      <c r="K182" s="20" t="n">
        <v>3346</v>
      </c>
      <c r="L182" s="20" t="n">
        <v>4568</v>
      </c>
      <c r="M182" s="20" t="n">
        <v>3616</v>
      </c>
      <c r="N182" s="20" t="n">
        <v>2172</v>
      </c>
      <c r="U182" s="20" t="n">
        <v>571</v>
      </c>
      <c r="V182" s="20" t="n">
        <v>-10647</v>
      </c>
      <c r="W182" s="20" t="n">
        <v>103</v>
      </c>
      <c r="X182" s="20" t="n">
        <v>3616</v>
      </c>
    </row>
    <row r="183">
      <c r="A183" s="18" t="inlineStr">
        <is>
          <t>소계</t>
        </is>
      </c>
      <c r="C183" s="20" t="n">
        <v>209215</v>
      </c>
      <c r="D183" s="20" t="n">
        <v>361176</v>
      </c>
      <c r="E183" s="20" t="n">
        <v>533428</v>
      </c>
      <c r="F183" s="20" t="n">
        <v>79943</v>
      </c>
      <c r="G183" s="20" t="n">
        <v>234796</v>
      </c>
      <c r="H183" s="20" t="n">
        <v>366949</v>
      </c>
      <c r="I183" s="20" t="n">
        <v>508668</v>
      </c>
      <c r="J183" s="20" t="n">
        <v>65798</v>
      </c>
      <c r="K183" s="20" t="n">
        <v>204880</v>
      </c>
      <c r="L183" s="20" t="n">
        <v>345461</v>
      </c>
      <c r="M183" s="20" t="n">
        <v>500289</v>
      </c>
      <c r="N183" s="20" t="n">
        <v>89166</v>
      </c>
      <c r="U183" s="20" t="n">
        <v>406571</v>
      </c>
      <c r="V183" s="20" t="n">
        <v>533428</v>
      </c>
      <c r="W183" s="20" t="n">
        <v>508668</v>
      </c>
      <c r="X183" s="20" t="n">
        <v>500289</v>
      </c>
    </row>
    <row r="184">
      <c r="A184" s="18" t="inlineStr">
        <is>
          <t>법인소득세 지급액</t>
        </is>
      </c>
      <c r="C184" s="20" t="n">
        <v>-17557</v>
      </c>
      <c r="D184" s="20" t="n">
        <v>-35207</v>
      </c>
      <c r="E184" s="20" t="n">
        <v>-43791</v>
      </c>
      <c r="F184" s="20" t="n">
        <v>-21450</v>
      </c>
      <c r="G184" s="20" t="n">
        <v>-18780</v>
      </c>
      <c r="H184" s="20" t="n">
        <v>-43407</v>
      </c>
      <c r="I184" s="20" t="n">
        <v>-56763</v>
      </c>
      <c r="J184" s="20" t="n">
        <v>-25804</v>
      </c>
      <c r="K184" s="20" t="n">
        <v>-37147</v>
      </c>
      <c r="L184" s="20" t="n">
        <v>-63671</v>
      </c>
      <c r="M184" s="20" t="n">
        <v>-75067</v>
      </c>
      <c r="N184" s="20" t="n">
        <v>-46978</v>
      </c>
      <c r="U184" s="20" t="n">
        <v>-128930</v>
      </c>
      <c r="V184" s="20" t="n">
        <v>-43791</v>
      </c>
      <c r="W184" s="20" t="n">
        <v>-56763</v>
      </c>
      <c r="X184" s="20" t="n">
        <v>-75067</v>
      </c>
    </row>
    <row r="185">
      <c r="A185" s="9" t="inlineStr">
        <is>
          <t>영업활동 현금흐름</t>
        </is>
      </c>
      <c r="C185" s="12" t="n">
        <v>191658</v>
      </c>
      <c r="D185" s="12" t="n">
        <v>325969</v>
      </c>
      <c r="E185" s="12" t="n">
        <v>489637</v>
      </c>
      <c r="F185" s="12" t="n">
        <v>58493</v>
      </c>
      <c r="G185" s="12" t="n">
        <v>216016</v>
      </c>
      <c r="H185" s="12" t="n">
        <v>323542</v>
      </c>
      <c r="I185" s="12" t="n">
        <v>451905</v>
      </c>
      <c r="J185" s="12" t="n">
        <v>39994</v>
      </c>
      <c r="K185" s="12" t="n">
        <v>167733</v>
      </c>
      <c r="L185" s="12" t="n">
        <v>281790</v>
      </c>
      <c r="M185" s="12" t="n">
        <v>425222</v>
      </c>
      <c r="N185" s="12" t="n">
        <v>42188</v>
      </c>
      <c r="U185" s="12" t="n">
        <v>277641</v>
      </c>
      <c r="V185" s="12" t="n">
        <v>489637</v>
      </c>
      <c r="W185" s="12" t="n">
        <v>451905</v>
      </c>
      <c r="X185" s="12" t="n">
        <v>425222</v>
      </c>
    </row>
    <row r="186">
      <c r="A186" s="18" t="inlineStr">
        <is>
          <t>Net Decrease Increase In Time Deposits Inv CF</t>
        </is>
      </c>
      <c r="C186" s="20" t="n">
        <v>111</v>
      </c>
      <c r="D186" s="20" t="n">
        <v>102</v>
      </c>
      <c r="E186" s="20" t="n">
        <v>8796</v>
      </c>
      <c r="F186" s="20" t="n">
        <v>-7819</v>
      </c>
      <c r="G186" s="20" t="n">
        <v>-7780</v>
      </c>
      <c r="H186" s="20" t="n">
        <v>-15500</v>
      </c>
      <c r="I186" s="20" t="n">
        <v>-37379</v>
      </c>
      <c r="J186" s="20" t="n">
        <v>14377</v>
      </c>
      <c r="K186" s="20" t="n">
        <v>21931</v>
      </c>
      <c r="L186" s="20" t="n">
        <v>11586</v>
      </c>
      <c r="M186" s="20" t="n">
        <v>32832</v>
      </c>
      <c r="N186" s="20" t="n">
        <v>-18970</v>
      </c>
      <c r="U186" s="20" t="n">
        <v>22595</v>
      </c>
      <c r="V186" s="20" t="n">
        <v>8796</v>
      </c>
      <c r="W186" s="20" t="n">
        <v>-37379</v>
      </c>
      <c r="X186" s="20" t="n">
        <v>32832</v>
      </c>
    </row>
    <row r="187">
      <c r="A187" s="18" t="inlineStr">
        <is>
          <t>유형자산 취득(설비투자)</t>
        </is>
      </c>
      <c r="C187" s="20" t="n">
        <v>-124544</v>
      </c>
      <c r="D187" s="20" t="n">
        <v>-185730</v>
      </c>
      <c r="E187" s="20" t="n">
        <v>-228626</v>
      </c>
      <c r="F187" s="20" t="n">
        <v>-57108</v>
      </c>
      <c r="G187" s="20" t="n">
        <v>-95230</v>
      </c>
      <c r="H187" s="20" t="n">
        <v>-146170</v>
      </c>
      <c r="I187" s="20" t="n">
        <v>-182936</v>
      </c>
      <c r="J187" s="20" t="n">
        <v>-47819</v>
      </c>
      <c r="K187" s="20" t="n">
        <v>-88317</v>
      </c>
      <c r="L187" s="20" t="n">
        <v>-134430</v>
      </c>
      <c r="M187" s="20" t="n">
        <v>-244619</v>
      </c>
      <c r="N187" s="20" t="n">
        <v>-57073</v>
      </c>
      <c r="U187" s="20" t="n">
        <v>-189908</v>
      </c>
      <c r="V187" s="20" t="n">
        <v>-228626</v>
      </c>
      <c r="W187" s="20" t="n">
        <v>-182936</v>
      </c>
      <c r="X187" s="20" t="n">
        <v>-244619</v>
      </c>
    </row>
    <row r="188">
      <c r="A188" s="18" t="inlineStr">
        <is>
          <t>유형자산 매각</t>
        </is>
      </c>
      <c r="C188" s="20" t="n">
        <v>415</v>
      </c>
      <c r="D188" s="20" t="n">
        <v>588</v>
      </c>
      <c r="E188" s="20" t="n">
        <v>739</v>
      </c>
      <c r="F188" s="20" t="n">
        <v>981</v>
      </c>
      <c r="G188" s="20" t="n">
        <v>1820</v>
      </c>
      <c r="H188" s="20" t="n">
        <v>1957</v>
      </c>
      <c r="I188" s="20" t="n">
        <v>3504</v>
      </c>
      <c r="J188" s="20" t="n">
        <v>441</v>
      </c>
      <c r="K188" s="20" t="n">
        <v>491</v>
      </c>
      <c r="L188" s="20" t="n">
        <v>1417</v>
      </c>
      <c r="M188" s="20" t="n">
        <v>1626</v>
      </c>
      <c r="N188" s="20" t="n">
        <v>454</v>
      </c>
      <c r="U188" s="20" t="n">
        <v>3019</v>
      </c>
      <c r="V188" s="20" t="n">
        <v>739</v>
      </c>
      <c r="W188" s="20" t="n">
        <v>3504</v>
      </c>
      <c r="X188" s="20" t="n">
        <v>1626</v>
      </c>
    </row>
    <row r="189">
      <c r="A189" s="18" t="inlineStr">
        <is>
          <t>무형자산 취득 지출</t>
        </is>
      </c>
      <c r="C189" s="20" t="n">
        <v>-3525</v>
      </c>
      <c r="D189" s="20" t="n">
        <v>-5398</v>
      </c>
      <c r="E189" s="20" t="n">
        <v>-7602</v>
      </c>
      <c r="F189" s="20" t="n">
        <v>-2289</v>
      </c>
      <c r="G189" s="20" t="n">
        <v>-4571</v>
      </c>
      <c r="H189" s="20" t="n">
        <v>-6997</v>
      </c>
      <c r="I189" s="20" t="n">
        <v>-9906</v>
      </c>
      <c r="J189" s="20" t="n">
        <v>-2698</v>
      </c>
      <c r="K189" s="20" t="n">
        <v>-5037</v>
      </c>
      <c r="L189" s="20" t="n">
        <v>-6904</v>
      </c>
      <c r="M189" s="20" t="n">
        <v>-7601</v>
      </c>
      <c r="N189" s="20" t="n">
        <v>-2160</v>
      </c>
      <c r="U189" s="20" t="n">
        <v>-7657</v>
      </c>
      <c r="V189" s="20" t="n">
        <v>-7602</v>
      </c>
      <c r="W189" s="20" t="n">
        <v>-9906</v>
      </c>
      <c r="X189" s="20" t="n">
        <v>-7601</v>
      </c>
    </row>
    <row r="190">
      <c r="A190" s="18" t="inlineStr">
        <is>
          <t>Purchase Of Investments Inv CF</t>
        </is>
      </c>
      <c r="C190" s="20" t="n">
        <v>-4616</v>
      </c>
      <c r="D190" s="20" t="n">
        <v>-4714</v>
      </c>
      <c r="E190" s="20" t="n">
        <v>-5033</v>
      </c>
      <c r="F190" s="20" t="n">
        <v>-1697</v>
      </c>
      <c r="G190" s="20" t="n">
        <v>-1939</v>
      </c>
      <c r="H190" s="20" t="n">
        <v>-3651</v>
      </c>
      <c r="I190" s="20" t="n">
        <v>-4506</v>
      </c>
      <c r="J190" s="20" t="n">
        <v>-2180</v>
      </c>
      <c r="K190" s="20" t="n">
        <v>-2501</v>
      </c>
      <c r="L190" s="20" t="n">
        <v>-2863</v>
      </c>
      <c r="M190" s="20" t="n">
        <v>-4690</v>
      </c>
      <c r="N190" s="20" t="n">
        <v>-1048</v>
      </c>
      <c r="U190" s="20" t="n">
        <v>-30924</v>
      </c>
      <c r="V190" s="20" t="n">
        <v>-5033</v>
      </c>
      <c r="W190" s="20" t="n">
        <v>-4506</v>
      </c>
      <c r="X190" s="20" t="n">
        <v>-4690</v>
      </c>
    </row>
    <row r="191">
      <c r="A191" s="18" t="inlineStr">
        <is>
          <t>Proceeds From Sale Of Investments Inv CF</t>
        </is>
      </c>
      <c r="C191" s="20" t="n">
        <v>11116</v>
      </c>
      <c r="D191" s="20" t="n">
        <v>15642</v>
      </c>
      <c r="E191" s="20" t="n">
        <v>16700</v>
      </c>
      <c r="F191" s="20" t="n">
        <v>1700</v>
      </c>
      <c r="G191" s="20" t="n">
        <v>1703</v>
      </c>
      <c r="H191" s="20" t="n">
        <v>1703</v>
      </c>
      <c r="I191" s="20" t="n">
        <v>7924</v>
      </c>
      <c r="J191" s="20" t="n">
        <v>0</v>
      </c>
      <c r="K191" s="20" t="n">
        <v>70</v>
      </c>
      <c r="L191" s="20" t="n">
        <v>4735</v>
      </c>
      <c r="M191" s="20" t="n">
        <v>6933</v>
      </c>
      <c r="N191" s="20" t="n">
        <v>469</v>
      </c>
      <c r="U191" s="20" t="n">
        <v>44081</v>
      </c>
      <c r="V191" s="20" t="n">
        <v>16700</v>
      </c>
      <c r="W191" s="20" t="n">
        <v>7924</v>
      </c>
      <c r="X191" s="20" t="n">
        <v>6933</v>
      </c>
    </row>
    <row r="192">
      <c r="A192" s="18" t="inlineStr">
        <is>
          <t>사업양도 수입</t>
        </is>
      </c>
      <c r="I192" s="20" t="n">
        <v>0</v>
      </c>
      <c r="M192" s="20" t="n">
        <v>7990</v>
      </c>
      <c r="W192" s="20" t="n">
        <v>0</v>
      </c>
      <c r="X192" s="20" t="n">
        <v>7990</v>
      </c>
    </row>
    <row r="193">
      <c r="A193" s="18" t="inlineStr">
        <is>
          <t>이자·배당금 수취</t>
        </is>
      </c>
      <c r="C193" s="20" t="n">
        <v>5567</v>
      </c>
      <c r="D193" s="20" t="n">
        <v>8127</v>
      </c>
      <c r="E193" s="20" t="n">
        <v>12767</v>
      </c>
      <c r="F193" s="20" t="n">
        <v>4615</v>
      </c>
      <c r="G193" s="20" t="n">
        <v>8754</v>
      </c>
      <c r="H193" s="20" t="n">
        <v>11301</v>
      </c>
      <c r="I193" s="20" t="n">
        <v>15889</v>
      </c>
      <c r="J193" s="20" t="n">
        <v>4412</v>
      </c>
      <c r="K193" s="20" t="n">
        <v>8088</v>
      </c>
      <c r="L193" s="20" t="n">
        <v>10317</v>
      </c>
      <c r="M193" s="20" t="n">
        <v>13977</v>
      </c>
      <c r="N193" s="20" t="n">
        <v>3675</v>
      </c>
      <c r="U193" s="20" t="n">
        <v>6402</v>
      </c>
      <c r="V193" s="20" t="n">
        <v>12767</v>
      </c>
      <c r="W193" s="20" t="n">
        <v>15889</v>
      </c>
      <c r="X193" s="20" t="n">
        <v>13977</v>
      </c>
    </row>
    <row r="194">
      <c r="A194" s="18" t="inlineStr">
        <is>
          <t>기타</t>
        </is>
      </c>
      <c r="C194" s="20" t="n">
        <v>114</v>
      </c>
      <c r="D194" s="20" t="n">
        <v>205</v>
      </c>
      <c r="E194" s="20" t="n">
        <v>688</v>
      </c>
      <c r="F194" s="20" t="n">
        <v>52</v>
      </c>
      <c r="G194" s="20" t="n">
        <v>8</v>
      </c>
      <c r="H194" s="20" t="n">
        <v>396</v>
      </c>
      <c r="I194" s="20" t="n">
        <v>-660</v>
      </c>
      <c r="J194" s="20" t="n">
        <v>-95</v>
      </c>
      <c r="K194" s="20" t="n">
        <v>-205</v>
      </c>
      <c r="L194" s="20" t="n">
        <v>-576</v>
      </c>
      <c r="M194" s="20" t="n">
        <v>-262</v>
      </c>
      <c r="N194" s="20" t="n">
        <v>-413</v>
      </c>
      <c r="U194" s="20" t="n">
        <v>976</v>
      </c>
      <c r="V194" s="20" t="n">
        <v>688</v>
      </c>
      <c r="W194" s="20" t="n">
        <v>-660</v>
      </c>
      <c r="X194" s="20" t="n">
        <v>-262</v>
      </c>
    </row>
    <row r="195">
      <c r="A195" s="9" t="inlineStr">
        <is>
          <t>투자활동 현금흐름</t>
        </is>
      </c>
      <c r="C195" s="12" t="n">
        <v>-115362</v>
      </c>
      <c r="D195" s="12" t="n">
        <v>-171178</v>
      </c>
      <c r="E195" s="12" t="n">
        <v>-201571</v>
      </c>
      <c r="F195" s="12" t="n">
        <v>-61565</v>
      </c>
      <c r="G195" s="12" t="n">
        <v>-97235</v>
      </c>
      <c r="H195" s="12" t="n">
        <v>-156961</v>
      </c>
      <c r="I195" s="12" t="n">
        <v>-208070</v>
      </c>
      <c r="J195" s="12" t="n">
        <v>-33562</v>
      </c>
      <c r="K195" s="12" t="n">
        <v>-65480</v>
      </c>
      <c r="L195" s="12" t="n">
        <v>-116718</v>
      </c>
      <c r="M195" s="12" t="n">
        <v>-193814</v>
      </c>
      <c r="N195" s="12" t="n">
        <v>-75066</v>
      </c>
      <c r="U195" s="12" t="n">
        <v>-151416</v>
      </c>
      <c r="V195" s="12" t="n">
        <v>-201571</v>
      </c>
      <c r="W195" s="12" t="n">
        <v>-208070</v>
      </c>
      <c r="X195" s="12" t="n">
        <v>-193814</v>
      </c>
    </row>
    <row r="196">
      <c r="A196" s="18" t="inlineStr">
        <is>
          <t>단기차입금 순증감</t>
        </is>
      </c>
      <c r="I196" s="20" t="n">
        <v>0</v>
      </c>
      <c r="J196" s="20" t="n">
        <v>0</v>
      </c>
      <c r="M196" s="20" t="n">
        <v>692</v>
      </c>
      <c r="N196" s="20" t="n">
        <v>-676</v>
      </c>
      <c r="W196" s="20" t="n">
        <v>0</v>
      </c>
      <c r="X196" s="20" t="n">
        <v>692</v>
      </c>
    </row>
    <row r="197">
      <c r="A197" s="18" t="inlineStr">
        <is>
          <t>장기차입</t>
        </is>
      </c>
      <c r="C197" s="20" t="n">
        <v>476</v>
      </c>
      <c r="D197" s="20" t="n">
        <v>613</v>
      </c>
      <c r="E197" s="20" t="n">
        <v>802</v>
      </c>
      <c r="F197" s="20" t="n">
        <v>137</v>
      </c>
      <c r="G197" s="20" t="n">
        <v>392</v>
      </c>
      <c r="H197" s="20" t="n">
        <v>427</v>
      </c>
      <c r="I197" s="20" t="n">
        <v>480</v>
      </c>
      <c r="J197" s="20" t="n">
        <v>84</v>
      </c>
      <c r="K197" s="20" t="n">
        <v>91</v>
      </c>
      <c r="L197" s="20" t="n">
        <v>105</v>
      </c>
      <c r="M197" s="20" t="n">
        <v>140</v>
      </c>
      <c r="N197" s="20" t="n">
        <v>39</v>
      </c>
      <c r="U197" s="20" t="n">
        <v>879</v>
      </c>
      <c r="V197" s="20" t="n">
        <v>802</v>
      </c>
      <c r="W197" s="20" t="n">
        <v>480</v>
      </c>
      <c r="X197" s="20" t="n">
        <v>140</v>
      </c>
    </row>
    <row r="198">
      <c r="A198" s="18" t="inlineStr">
        <is>
          <t>장기차입금 상환</t>
        </is>
      </c>
      <c r="C198" s="20" t="n">
        <v>-7</v>
      </c>
      <c r="D198" s="20" t="n">
        <v>-7</v>
      </c>
      <c r="E198" s="20" t="n">
        <v>-7</v>
      </c>
      <c r="G198" s="20" t="n">
        <v>-7</v>
      </c>
      <c r="H198" s="20" t="n">
        <v>-889</v>
      </c>
      <c r="I198" s="20" t="n">
        <v>-889</v>
      </c>
      <c r="K198" s="20" t="n">
        <v>0</v>
      </c>
      <c r="L198" s="20" t="n">
        <v>0</v>
      </c>
      <c r="M198" s="20" t="n">
        <v>0</v>
      </c>
      <c r="U198" s="20" t="n">
        <v>-6</v>
      </c>
      <c r="V198" s="20" t="n">
        <v>-7</v>
      </c>
      <c r="W198" s="20" t="n">
        <v>-889</v>
      </c>
      <c r="X198" s="20" t="n">
        <v>0</v>
      </c>
    </row>
    <row r="199">
      <c r="A199" s="18" t="inlineStr">
        <is>
          <t>사채 상환</t>
        </is>
      </c>
      <c r="C199" s="20" t="n">
        <v>0</v>
      </c>
      <c r="D199" s="20" t="n">
        <v>0</v>
      </c>
      <c r="E199" s="20" t="n">
        <v>-60000</v>
      </c>
      <c r="G199" s="20" t="n">
        <v>-50000</v>
      </c>
      <c r="H199" s="20" t="n">
        <v>-50000</v>
      </c>
      <c r="I199" s="20" t="n">
        <v>-50000</v>
      </c>
      <c r="K199" s="20" t="n">
        <v>0</v>
      </c>
      <c r="L199" s="20" t="n">
        <v>0</v>
      </c>
      <c r="M199" s="20" t="n">
        <v>0</v>
      </c>
      <c r="U199" s="20" t="n">
        <v>0</v>
      </c>
      <c r="V199" s="20" t="n">
        <v>-60000</v>
      </c>
      <c r="W199" s="20" t="n">
        <v>-50000</v>
      </c>
      <c r="X199" s="20" t="n">
        <v>0</v>
      </c>
    </row>
    <row r="200">
      <c r="A200" s="18" t="inlineStr">
        <is>
          <t>자기주식 취득</t>
        </is>
      </c>
      <c r="C200" s="20" t="n">
        <v>-5</v>
      </c>
      <c r="D200" s="20" t="n">
        <v>-9</v>
      </c>
      <c r="E200" s="20" t="n">
        <v>-11</v>
      </c>
      <c r="F200" s="20" t="n">
        <v>-50001</v>
      </c>
      <c r="G200" s="20" t="n">
        <v>-50003</v>
      </c>
      <c r="H200" s="20" t="n">
        <v>-80005</v>
      </c>
      <c r="I200" s="20" t="n">
        <v>-80006</v>
      </c>
      <c r="J200" s="20" t="n">
        <v>-37372</v>
      </c>
      <c r="K200" s="20" t="n">
        <v>-76956</v>
      </c>
      <c r="L200" s="20" t="n">
        <v>-100004</v>
      </c>
      <c r="M200" s="20" t="n">
        <v>-100008</v>
      </c>
      <c r="N200" s="20" t="n">
        <v>-4</v>
      </c>
      <c r="U200" s="20" t="n">
        <v>-80009</v>
      </c>
      <c r="V200" s="20" t="n">
        <v>-11</v>
      </c>
      <c r="W200" s="20" t="n">
        <v>-80006</v>
      </c>
      <c r="X200" s="20" t="n">
        <v>-100008</v>
      </c>
    </row>
    <row r="201">
      <c r="A201" s="18" t="inlineStr">
        <is>
          <t>리스부채 상환 지출</t>
        </is>
      </c>
      <c r="C201" s="20" t="n">
        <v>-5107</v>
      </c>
      <c r="D201" s="20" t="n">
        <v>-7491</v>
      </c>
      <c r="E201" s="20" t="n">
        <v>-10082</v>
      </c>
      <c r="F201" s="20" t="n">
        <v>-2598</v>
      </c>
      <c r="G201" s="20" t="n">
        <v>-4659</v>
      </c>
      <c r="H201" s="20" t="n">
        <v>-6996</v>
      </c>
      <c r="I201" s="20" t="n">
        <v>-9851</v>
      </c>
      <c r="J201" s="20" t="n">
        <v>-2576</v>
      </c>
      <c r="K201" s="20" t="n">
        <v>-5384</v>
      </c>
      <c r="L201" s="20" t="n">
        <v>-8090</v>
      </c>
      <c r="M201" s="20" t="n">
        <v>-10870</v>
      </c>
      <c r="N201" s="20" t="n">
        <v>-2947</v>
      </c>
      <c r="U201" s="20" t="n">
        <v>-9414</v>
      </c>
      <c r="V201" s="20" t="n">
        <v>-10082</v>
      </c>
      <c r="W201" s="20" t="n">
        <v>-9851</v>
      </c>
      <c r="X201" s="20" t="n">
        <v>-10870</v>
      </c>
    </row>
    <row r="202">
      <c r="A202" s="18" t="inlineStr">
        <is>
          <t>이자 지급</t>
        </is>
      </c>
      <c r="C202" s="20" t="n">
        <v>-439</v>
      </c>
      <c r="D202" s="20" t="n">
        <v>-547</v>
      </c>
      <c r="E202" s="20" t="n">
        <v>-759</v>
      </c>
      <c r="F202" s="20" t="n">
        <v>-139</v>
      </c>
      <c r="G202" s="20" t="n">
        <v>-346</v>
      </c>
      <c r="H202" s="20" t="n">
        <v>-547</v>
      </c>
      <c r="I202" s="20" t="n">
        <v>-674</v>
      </c>
      <c r="J202" s="20" t="n">
        <v>-226</v>
      </c>
      <c r="K202" s="20" t="n">
        <v>-358</v>
      </c>
      <c r="L202" s="20" t="n">
        <v>-581</v>
      </c>
      <c r="M202" s="20" t="n">
        <v>-929</v>
      </c>
      <c r="N202" s="20" t="n">
        <v>-234</v>
      </c>
      <c r="U202" s="20" t="n">
        <v>-667</v>
      </c>
      <c r="V202" s="20" t="n">
        <v>-759</v>
      </c>
      <c r="W202" s="20" t="n">
        <v>-674</v>
      </c>
      <c r="X202" s="20" t="n">
        <v>-929</v>
      </c>
    </row>
    <row r="203">
      <c r="A203" s="18" t="inlineStr">
        <is>
          <t>배당금 지급</t>
        </is>
      </c>
      <c r="C203" s="20" t="n">
        <v>-47229</v>
      </c>
      <c r="D203" s="20" t="n">
        <v>-94460</v>
      </c>
      <c r="E203" s="20" t="n">
        <v>-94460</v>
      </c>
      <c r="F203" s="20" t="n">
        <v>-51009</v>
      </c>
      <c r="G203" s="20" t="n">
        <v>-51009</v>
      </c>
      <c r="H203" s="20" t="n">
        <v>-101581</v>
      </c>
      <c r="I203" s="20" t="n">
        <v>-101581</v>
      </c>
      <c r="J203" s="20" t="n">
        <v>-55871</v>
      </c>
      <c r="K203" s="20" t="n">
        <v>-55871</v>
      </c>
      <c r="L203" s="20" t="n">
        <v>-110720</v>
      </c>
      <c r="M203" s="20" t="n">
        <v>-110720</v>
      </c>
      <c r="N203" s="20" t="n">
        <v>-63710</v>
      </c>
      <c r="U203" s="20" t="n">
        <v>-92018</v>
      </c>
      <c r="V203" s="20" t="n">
        <v>-94460</v>
      </c>
      <c r="W203" s="20" t="n">
        <v>-101581</v>
      </c>
      <c r="X203" s="20" t="n">
        <v>-110720</v>
      </c>
    </row>
    <row r="204">
      <c r="A204" s="18" t="inlineStr">
        <is>
          <t>기타</t>
        </is>
      </c>
      <c r="C204" s="20" t="n">
        <v>-804</v>
      </c>
      <c r="D204" s="20" t="n">
        <v>-804</v>
      </c>
      <c r="E204" s="20" t="n">
        <v>-804</v>
      </c>
      <c r="F204" s="20" t="n">
        <v>-114</v>
      </c>
      <c r="G204" s="20" t="n">
        <v>-113</v>
      </c>
      <c r="H204" s="20" t="n">
        <v>-211</v>
      </c>
      <c r="I204" s="20" t="n">
        <v>-212</v>
      </c>
      <c r="J204" s="20" t="n">
        <v>-74</v>
      </c>
      <c r="K204" s="20" t="n">
        <v>-75</v>
      </c>
      <c r="L204" s="20" t="n">
        <v>617</v>
      </c>
      <c r="M204" s="20" t="n">
        <v>-117</v>
      </c>
      <c r="N204" s="20" t="n">
        <v>-49</v>
      </c>
      <c r="U204" s="20" t="n">
        <v>-1036</v>
      </c>
      <c r="V204" s="20" t="n">
        <v>-804</v>
      </c>
      <c r="W204" s="20" t="n">
        <v>-212</v>
      </c>
      <c r="X204" s="20" t="n">
        <v>-117</v>
      </c>
    </row>
    <row r="205">
      <c r="A205" s="9" t="inlineStr">
        <is>
          <t>재무활동 현금흐름</t>
        </is>
      </c>
      <c r="C205" s="12" t="n">
        <v>-53115</v>
      </c>
      <c r="D205" s="12" t="n">
        <v>-102705</v>
      </c>
      <c r="E205" s="12" t="n">
        <v>-165321</v>
      </c>
      <c r="F205" s="12" t="n">
        <v>-103724</v>
      </c>
      <c r="G205" s="12" t="n">
        <v>-155745</v>
      </c>
      <c r="H205" s="12" t="n">
        <v>-239802</v>
      </c>
      <c r="I205" s="12" t="n">
        <v>-242733</v>
      </c>
      <c r="J205" s="12" t="n">
        <v>-96035</v>
      </c>
      <c r="K205" s="12" t="n">
        <v>-138553</v>
      </c>
      <c r="L205" s="12" t="n">
        <v>-218673</v>
      </c>
      <c r="M205" s="12" t="n">
        <v>-221812</v>
      </c>
      <c r="N205" s="12" t="n">
        <v>-67581</v>
      </c>
      <c r="U205" s="12" t="n">
        <v>-182271</v>
      </c>
      <c r="V205" s="12" t="n">
        <v>-165321</v>
      </c>
      <c r="W205" s="12" t="n">
        <v>-242733</v>
      </c>
      <c r="X205" s="12" t="n">
        <v>-221812</v>
      </c>
    </row>
    <row r="206">
      <c r="A206" s="18" t="inlineStr">
        <is>
          <t>현금성자산 환산차이</t>
        </is>
      </c>
      <c r="C206" s="20" t="n">
        <v>29214</v>
      </c>
      <c r="D206" s="20" t="n">
        <v>11533</v>
      </c>
      <c r="E206" s="20" t="n">
        <v>29856</v>
      </c>
      <c r="F206" s="20" t="n">
        <v>22433</v>
      </c>
      <c r="G206" s="20" t="n">
        <v>-13341</v>
      </c>
      <c r="H206" s="20" t="n">
        <v>24919</v>
      </c>
      <c r="I206" s="20" t="n">
        <v>2039</v>
      </c>
      <c r="J206" s="20" t="n">
        <v>-15951</v>
      </c>
      <c r="K206" s="20" t="n">
        <v>-6454</v>
      </c>
      <c r="L206" s="20" t="n">
        <v>10652</v>
      </c>
      <c r="M206" s="20" t="n">
        <v>18957</v>
      </c>
      <c r="N206" s="20" t="n">
        <v>4249</v>
      </c>
      <c r="U206" s="20" t="n">
        <v>13380</v>
      </c>
      <c r="V206" s="20" t="n">
        <v>29856</v>
      </c>
      <c r="W206" s="20" t="n">
        <v>2039</v>
      </c>
      <c r="X206" s="20" t="n">
        <v>18957</v>
      </c>
    </row>
    <row r="207">
      <c r="A207" s="18" t="inlineStr">
        <is>
          <t>현금및현금성자산 증감액</t>
        </is>
      </c>
      <c r="C207" s="20" t="n">
        <v>52395</v>
      </c>
      <c r="D207" s="20" t="n">
        <v>63619</v>
      </c>
      <c r="E207" s="20" t="n">
        <v>152601</v>
      </c>
      <c r="F207" s="20" t="n">
        <v>-84363</v>
      </c>
      <c r="G207" s="20" t="n">
        <v>-50305</v>
      </c>
      <c r="H207" s="20" t="n">
        <v>-48302</v>
      </c>
      <c r="I207" s="20" t="n">
        <v>3141</v>
      </c>
      <c r="J207" s="20" t="n">
        <v>-105554</v>
      </c>
      <c r="K207" s="20" t="n">
        <v>-42754</v>
      </c>
      <c r="L207" s="20" t="n">
        <v>-42949</v>
      </c>
      <c r="M207" s="20" t="n">
        <v>28553</v>
      </c>
      <c r="N207" s="20" t="n">
        <v>-96210</v>
      </c>
      <c r="U207" s="20" t="n">
        <v>-42666</v>
      </c>
      <c r="V207" s="20" t="n">
        <v>152601</v>
      </c>
      <c r="W207" s="20" t="n">
        <v>3141</v>
      </c>
      <c r="X207" s="20" t="n">
        <v>28553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17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6981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1407623</v>
      </c>
      <c r="D5" s="12" t="n">
        <v>1496271</v>
      </c>
      <c r="E5" s="12" t="n">
        <v>1516235</v>
      </c>
      <c r="F5" s="12" t="n">
        <v>1581393</v>
      </c>
      <c r="G5" s="12" t="n">
        <v>1573303</v>
      </c>
      <c r="H5" s="11" t="n">
        <v>1435824</v>
      </c>
      <c r="I5" s="12" t="n">
        <v>1407612</v>
      </c>
      <c r="J5" s="12" t="n">
        <v>1499762</v>
      </c>
      <c r="K5" s="12" t="n">
        <v>1497935</v>
      </c>
      <c r="L5" s="12" t="n">
        <v>1581393</v>
      </c>
    </row>
    <row r="6">
      <c r="A6" s="18" t="inlineStr">
        <is>
          <t>현금및현금성자산</t>
        </is>
      </c>
      <c r="B6" s="10" t="n"/>
      <c r="C6" s="19" t="n">
        <v>519594</v>
      </c>
      <c r="D6" s="20" t="n">
        <v>582394</v>
      </c>
      <c r="E6" s="20" t="n">
        <v>582199</v>
      </c>
      <c r="F6" s="20" t="n">
        <v>653701</v>
      </c>
      <c r="G6" s="20" t="n">
        <v>557491</v>
      </c>
      <c r="H6" s="19" t="n">
        <v>512072</v>
      </c>
      <c r="I6" s="20" t="n">
        <v>469406</v>
      </c>
      <c r="J6" s="20" t="n">
        <v>622007</v>
      </c>
      <c r="K6" s="20" t="n">
        <v>625148</v>
      </c>
      <c r="L6" s="20" t="n">
        <v>653701</v>
      </c>
    </row>
    <row r="7">
      <c r="A7" s="18" t="inlineStr">
        <is>
          <t>단기금융상품</t>
        </is>
      </c>
      <c r="B7" s="10" t="n"/>
      <c r="C7" s="19" t="n">
        <v>37545</v>
      </c>
      <c r="D7" s="20" t="n">
        <v>30486</v>
      </c>
      <c r="E7" s="20" t="n">
        <v>42015</v>
      </c>
      <c r="F7" s="20" t="n">
        <v>24185</v>
      </c>
      <c r="G7" s="20" t="n">
        <v>43083</v>
      </c>
      <c r="H7" s="19" t="n">
        <v>66872</v>
      </c>
      <c r="I7" s="20" t="n">
        <v>43014</v>
      </c>
      <c r="J7" s="20" t="n">
        <v>19532</v>
      </c>
      <c r="K7" s="20" t="n">
        <v>50685</v>
      </c>
      <c r="L7" s="20" t="n">
        <v>24185</v>
      </c>
    </row>
    <row r="8">
      <c r="A8" s="18" t="inlineStr">
        <is>
          <t>매출채권</t>
        </is>
      </c>
      <c r="B8" s="10" t="n"/>
      <c r="C8" s="19" t="n"/>
      <c r="D8" s="20" t="n"/>
      <c r="E8" s="20" t="n"/>
      <c r="F8" s="20" t="n"/>
      <c r="G8" s="20" t="n"/>
      <c r="H8" s="19" t="n"/>
      <c r="I8" s="20" t="n"/>
      <c r="J8" s="20" t="n"/>
      <c r="K8" s="20" t="n"/>
      <c r="L8" s="20" t="n"/>
    </row>
    <row r="9">
      <c r="A9" s="18" t="inlineStr">
        <is>
          <t>재고자산</t>
        </is>
      </c>
      <c r="B9" s="10" t="n"/>
      <c r="C9" s="19" t="n">
        <v>489202</v>
      </c>
      <c r="D9" s="20" t="n">
        <v>488608</v>
      </c>
      <c r="E9" s="20" t="n">
        <v>501149</v>
      </c>
      <c r="F9" s="20" t="n">
        <v>520472</v>
      </c>
      <c r="G9" s="20" t="n">
        <v>539035</v>
      </c>
      <c r="H9" s="19" t="n">
        <v>465139</v>
      </c>
      <c r="I9" s="20" t="n">
        <v>574632</v>
      </c>
      <c r="J9" s="20" t="n">
        <v>513024</v>
      </c>
      <c r="K9" s="20" t="n">
        <v>482833</v>
      </c>
      <c r="L9" s="20" t="n">
        <v>520472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1525160</v>
      </c>
      <c r="D11" s="12" t="n">
        <v>1544076</v>
      </c>
      <c r="E11" s="12" t="n">
        <v>1575281</v>
      </c>
      <c r="F11" s="12" t="n">
        <v>1617706</v>
      </c>
      <c r="G11" s="12" t="n">
        <v>1637177</v>
      </c>
      <c r="H11" s="11" t="n">
        <v>1368257</v>
      </c>
      <c r="I11" s="12" t="n">
        <v>1450691</v>
      </c>
      <c r="J11" s="12" t="n">
        <v>1538133</v>
      </c>
      <c r="K11" s="12" t="n">
        <v>1530259</v>
      </c>
      <c r="L11" s="12" t="n">
        <v>1617706</v>
      </c>
    </row>
    <row r="12">
      <c r="A12" s="18" t="inlineStr">
        <is>
          <t>유형자산</t>
        </is>
      </c>
      <c r="B12" s="10" t="n"/>
      <c r="C12" s="19" t="n">
        <v>1175765</v>
      </c>
      <c r="D12" s="20" t="n">
        <v>1189513</v>
      </c>
      <c r="E12" s="20" t="n">
        <v>1257853</v>
      </c>
      <c r="F12" s="20" t="n">
        <v>1300883</v>
      </c>
      <c r="G12" s="20" t="n">
        <v>1306522</v>
      </c>
      <c r="H12" s="19" t="n">
        <v>1084161</v>
      </c>
      <c r="I12" s="20" t="n">
        <v>1146222</v>
      </c>
      <c r="J12" s="20" t="n">
        <v>1184608</v>
      </c>
      <c r="K12" s="20" t="n">
        <v>1183727</v>
      </c>
      <c r="L12" s="20" t="n">
        <v>1300883</v>
      </c>
    </row>
    <row r="13">
      <c r="A13" s="18" t="inlineStr">
        <is>
          <t>무형자산</t>
        </is>
      </c>
      <c r="B13" s="10" t="n"/>
      <c r="C13" s="19" t="n">
        <v>40297</v>
      </c>
      <c r="D13" s="20" t="n">
        <v>40261</v>
      </c>
      <c r="E13" s="20" t="n">
        <v>40646</v>
      </c>
      <c r="F13" s="20" t="n">
        <v>36234</v>
      </c>
      <c r="G13" s="20" t="n">
        <v>36106</v>
      </c>
      <c r="H13" s="19" t="n">
        <v>42030</v>
      </c>
      <c r="I13" s="20" t="n">
        <v>39375</v>
      </c>
      <c r="J13" s="20" t="n">
        <v>39049</v>
      </c>
      <c r="K13" s="20" t="n">
        <v>40647</v>
      </c>
      <c r="L13" s="20" t="n">
        <v>36234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2932783</v>
      </c>
      <c r="D16" s="12" t="n">
        <v>3040347</v>
      </c>
      <c r="E16" s="12" t="n">
        <v>3091516</v>
      </c>
      <c r="F16" s="12" t="n">
        <v>3199099</v>
      </c>
      <c r="G16" s="12" t="n">
        <v>3210480</v>
      </c>
      <c r="H16" s="11" t="n">
        <v>2804081</v>
      </c>
      <c r="I16" s="12" t="n">
        <v>2858303</v>
      </c>
      <c r="J16" s="12" t="n">
        <v>3037895</v>
      </c>
      <c r="K16" s="12" t="n">
        <v>3028194</v>
      </c>
      <c r="L16" s="12" t="n">
        <v>3199099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241116</v>
      </c>
      <c r="D18" s="12" t="n">
        <v>271201</v>
      </c>
      <c r="E18" s="12" t="n">
        <v>304821</v>
      </c>
      <c r="F18" s="12" t="n">
        <v>316485</v>
      </c>
      <c r="G18" s="12" t="n">
        <v>287588</v>
      </c>
      <c r="H18" s="11" t="n">
        <v>319365</v>
      </c>
      <c r="I18" s="12" t="n">
        <v>297908</v>
      </c>
      <c r="J18" s="12" t="n">
        <v>317617</v>
      </c>
      <c r="K18" s="12" t="n">
        <v>276517</v>
      </c>
      <c r="L18" s="12" t="n">
        <v>316485</v>
      </c>
    </row>
    <row r="19">
      <c r="A19" s="18" t="inlineStr">
        <is>
          <t>매입채무</t>
        </is>
      </c>
      <c r="B19" s="10" t="n"/>
      <c r="C19" s="19" t="n"/>
      <c r="D19" s="20" t="n"/>
      <c r="E19" s="20" t="n"/>
      <c r="F19" s="20" t="n"/>
      <c r="G19" s="20" t="n"/>
      <c r="H19" s="19" t="n"/>
      <c r="I19" s="20" t="n"/>
      <c r="J19" s="20" t="n"/>
      <c r="K19" s="20" t="n"/>
      <c r="L19" s="20" t="n"/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>
        <v>1745</v>
      </c>
      <c r="G20" s="20" t="n">
        <v>802</v>
      </c>
      <c r="H20" s="19" t="n"/>
      <c r="I20" s="20" t="n"/>
      <c r="J20" s="20" t="n"/>
      <c r="K20" s="20" t="n"/>
      <c r="L20" s="20" t="n">
        <v>1745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173595</v>
      </c>
      <c r="D23" s="12" t="n">
        <v>172956</v>
      </c>
      <c r="E23" s="12" t="n">
        <v>173148</v>
      </c>
      <c r="F23" s="12" t="n">
        <v>164804</v>
      </c>
      <c r="G23" s="12" t="n">
        <v>165022</v>
      </c>
      <c r="H23" s="11" t="n">
        <v>244727</v>
      </c>
      <c r="I23" s="12" t="n">
        <v>200453</v>
      </c>
      <c r="J23" s="12" t="n">
        <v>164669</v>
      </c>
      <c r="K23" s="12" t="n">
        <v>171702</v>
      </c>
      <c r="L23" s="12" t="n">
        <v>164804</v>
      </c>
    </row>
    <row r="24">
      <c r="A24" s="18" t="inlineStr">
        <is>
          <t>장기차입금</t>
        </is>
      </c>
      <c r="B24" s="10" t="n"/>
      <c r="C24" s="19" t="n"/>
      <c r="D24" s="20" t="n"/>
      <c r="E24" s="20" t="n"/>
      <c r="F24" s="20" t="n">
        <v>1516</v>
      </c>
      <c r="G24" s="20" t="n">
        <v>1813</v>
      </c>
      <c r="H24" s="19" t="n"/>
      <c r="I24" s="20" t="n"/>
      <c r="J24" s="20" t="n"/>
      <c r="K24" s="20" t="n"/>
      <c r="L24" s="20" t="n">
        <v>1516</v>
      </c>
    </row>
    <row r="25">
      <c r="A25" s="18" t="inlineStr">
        <is>
          <t>사채</t>
        </is>
      </c>
      <c r="B25" s="10" t="n"/>
      <c r="C25" s="19" t="n">
        <v>1544</v>
      </c>
      <c r="D25" s="20" t="n">
        <v>1362</v>
      </c>
      <c r="E25" s="20" t="n">
        <v>1484</v>
      </c>
      <c r="F25" s="20" t="n">
        <v>1516</v>
      </c>
      <c r="G25" s="20" t="n"/>
      <c r="H25" s="19" t="n">
        <v>110979</v>
      </c>
      <c r="I25" s="20" t="n">
        <v>51464</v>
      </c>
      <c r="J25" s="20" t="n">
        <v>2436</v>
      </c>
      <c r="K25" s="20" t="n">
        <v>1656</v>
      </c>
      <c r="L25" s="20" t="n">
        <v>1516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414711</v>
      </c>
      <c r="D27" s="12" t="n">
        <v>444157</v>
      </c>
      <c r="E27" s="12" t="n">
        <v>477969</v>
      </c>
      <c r="F27" s="12" t="n">
        <v>481289</v>
      </c>
      <c r="G27" s="12" t="n">
        <v>452610</v>
      </c>
      <c r="H27" s="11" t="n">
        <v>564092</v>
      </c>
      <c r="I27" s="12" t="n">
        <v>498361</v>
      </c>
      <c r="J27" s="12" t="n">
        <v>482286</v>
      </c>
      <c r="K27" s="12" t="n">
        <v>448219</v>
      </c>
      <c r="L27" s="12" t="n">
        <v>481289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2519040</v>
      </c>
      <c r="D31" s="12" t="n">
        <v>2597122</v>
      </c>
      <c r="E31" s="12" t="n">
        <v>2614432</v>
      </c>
      <c r="F31" s="12" t="n">
        <v>2718743</v>
      </c>
      <c r="G31" s="12" t="n">
        <v>2758852</v>
      </c>
      <c r="H31" s="11" t="n">
        <v>2239679</v>
      </c>
      <c r="I31" s="12" t="n">
        <v>2359985</v>
      </c>
      <c r="J31" s="12" t="n">
        <v>2556147</v>
      </c>
      <c r="K31" s="12" t="n">
        <v>2580805</v>
      </c>
      <c r="L31" s="12" t="n">
        <v>2718743</v>
      </c>
    </row>
    <row r="32">
      <c r="A32" s="18" t="inlineStr">
        <is>
          <t>자본금</t>
        </is>
      </c>
      <c r="B32" s="10" t="n"/>
      <c r="C32" s="19" t="n">
        <v>69444</v>
      </c>
      <c r="D32" s="20" t="n">
        <v>69444</v>
      </c>
      <c r="E32" s="20" t="n">
        <v>69444</v>
      </c>
      <c r="F32" s="20" t="n">
        <v>69444</v>
      </c>
      <c r="G32" s="20" t="n">
        <v>69444</v>
      </c>
      <c r="H32" s="19" t="n">
        <v>69444</v>
      </c>
      <c r="I32" s="20" t="n">
        <v>69444</v>
      </c>
      <c r="J32" s="20" t="n">
        <v>69444</v>
      </c>
      <c r="K32" s="20" t="n">
        <v>69444</v>
      </c>
      <c r="L32" s="20" t="n">
        <v>69444</v>
      </c>
    </row>
    <row r="33">
      <c r="A33" s="18" t="inlineStr">
        <is>
          <t>이익잉여금</t>
        </is>
      </c>
      <c r="B33" s="10" t="n"/>
      <c r="C33" s="19" t="n">
        <v>2394527</v>
      </c>
      <c r="D33" s="20" t="n">
        <v>2477225</v>
      </c>
      <c r="E33" s="20" t="n">
        <v>2448451</v>
      </c>
      <c r="F33" s="20" t="n">
        <v>2528540</v>
      </c>
      <c r="G33" s="20" t="n">
        <v>2546207</v>
      </c>
      <c r="H33" s="19" t="n">
        <v>2099426</v>
      </c>
      <c r="I33" s="20" t="n">
        <v>2246258</v>
      </c>
      <c r="J33" s="20" t="n">
        <v>2332018</v>
      </c>
      <c r="K33" s="20" t="n">
        <v>2400684</v>
      </c>
      <c r="L33" s="20" t="n">
        <v>2528540</v>
      </c>
    </row>
    <row r="34">
      <c r="A34" s="18" t="inlineStr">
        <is>
          <t>비지배지분</t>
        </is>
      </c>
      <c r="B34" s="10" t="n"/>
      <c r="C34" s="19" t="n">
        <v>-968</v>
      </c>
      <c r="D34" s="20" t="n">
        <v>-932</v>
      </c>
      <c r="E34" s="20" t="n">
        <v>-885</v>
      </c>
      <c r="F34" s="20" t="n">
        <v>-933</v>
      </c>
      <c r="G34" s="20" t="n">
        <v>-982</v>
      </c>
      <c r="H34" s="19" t="n">
        <v>310</v>
      </c>
      <c r="I34" s="20" t="n">
        <v>-43</v>
      </c>
      <c r="J34" s="20" t="n">
        <v>-538</v>
      </c>
      <c r="K34" s="20" t="n">
        <v>-830</v>
      </c>
      <c r="L34" s="20" t="n">
        <v>-933</v>
      </c>
    </row>
    <row r="35">
      <c r="A35" s="9" t="inlineStr">
        <is>
          <t>자본총계</t>
        </is>
      </c>
      <c r="B35" s="10" t="n"/>
      <c r="C35" s="11" t="n">
        <v>2518072</v>
      </c>
      <c r="D35" s="12" t="n">
        <v>2596190</v>
      </c>
      <c r="E35" s="12" t="n">
        <v>2613547</v>
      </c>
      <c r="F35" s="12" t="n">
        <v>2717810</v>
      </c>
      <c r="G35" s="12" t="n">
        <v>2757870</v>
      </c>
      <c r="H35" s="11" t="n">
        <v>2239989</v>
      </c>
      <c r="I35" s="12" t="n">
        <v>2359942</v>
      </c>
      <c r="J35" s="12" t="n">
        <v>2555609</v>
      </c>
      <c r="K35" s="12" t="n">
        <v>2579975</v>
      </c>
      <c r="L35" s="12" t="n">
        <v>2717810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433406</v>
      </c>
      <c r="D37" s="12" t="n">
        <v>403622</v>
      </c>
      <c r="E37" s="12" t="n">
        <v>410153</v>
      </c>
      <c r="F37" s="12" t="n">
        <v>425222</v>
      </c>
      <c r="G37" s="12" t="n">
        <v>427416</v>
      </c>
      <c r="H37" s="11" t="n"/>
      <c r="I37" s="12" t="n">
        <v>277641</v>
      </c>
      <c r="J37" s="12" t="n">
        <v>489637</v>
      </c>
      <c r="K37" s="12" t="n">
        <v>451905</v>
      </c>
      <c r="L37" s="12" t="n">
        <v>425222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183962</v>
      </c>
      <c r="D38" s="20" t="n">
        <v>186395</v>
      </c>
      <c r="E38" s="20" t="n">
        <v>181009</v>
      </c>
      <c r="F38" s="20" t="n">
        <v>252220</v>
      </c>
      <c r="G38" s="20" t="n">
        <v>260936</v>
      </c>
      <c r="H38" s="19" t="n"/>
      <c r="I38" s="20" t="n">
        <v>197565</v>
      </c>
      <c r="J38" s="20" t="n">
        <v>236228</v>
      </c>
      <c r="K38" s="20" t="n">
        <v>192842</v>
      </c>
      <c r="L38" s="20" t="n">
        <v>252220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106443</v>
      </c>
      <c r="D40" s="20" t="n">
        <v>106443</v>
      </c>
      <c r="E40" s="20" t="n">
        <v>110720</v>
      </c>
      <c r="F40" s="20" t="n">
        <v>110720</v>
      </c>
      <c r="G40" s="20" t="n">
        <v>118559</v>
      </c>
      <c r="H40" s="19" t="n"/>
      <c r="I40" s="20" t="n">
        <v>92018</v>
      </c>
      <c r="J40" s="20" t="n">
        <v>94460</v>
      </c>
      <c r="K40" s="20" t="n">
        <v>101581</v>
      </c>
      <c r="L40" s="20" t="n">
        <v>110720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IFERROR((IF(COUNT('연간'!G28:J28)&lt;4,"",SUM('연간'!G28:J28)))/(IF(COUNT('연간'!G50:J50)&lt;4,"",SUM('연간'!G50:J50))),"")</f>
        <v/>
      </c>
      <c r="D48" s="31">
        <f>IFERROR((IF(COUNT('연간'!H28:K28)&lt;4,"",SUM('연간'!H28:K28)))/(IF(COUNT('연간'!H50:K50)&lt;4,"",SUM('연간'!H50:K50))),"")</f>
        <v/>
      </c>
      <c r="E48" s="31">
        <f>IFERROR((IF(COUNT('연간'!I28:L28)&lt;4,"",SUM('연간'!I28:L28)))/(IF(COUNT('연간'!I50:L50)&lt;4,"",SUM('연간'!I50:L50))),"")</f>
        <v/>
      </c>
      <c r="F48" s="31">
        <f>IFERROR((IF(COUNT('연간'!J28:M28)&lt;4,"",SUM('연간'!J28:M28)))/(IF(COUNT('연간'!J50:M50)&lt;4,"",SUM('연간'!J50:M50))),"")</f>
        <v/>
      </c>
      <c r="G48" s="31">
        <f>IFERROR((IF(COUNT('연간'!K28:N28)&lt;4,"",SUM('연간'!K28:N28)))/(IF(COUNT('연간'!K50:N50)&lt;4,"",SUM('연간'!K50:N50))),"")</f>
        <v/>
      </c>
      <c r="H48" s="30">
        <f>IFERROR(('연간'!T28)/('연간'!T50),"")</f>
        <v/>
      </c>
      <c r="I48" s="31">
        <f>IFERROR(('연간'!U28)/('연간'!U50),"")</f>
        <v/>
      </c>
      <c r="J48" s="31">
        <f>IFERROR(('연간'!V28)/('연간'!V50),"")</f>
        <v/>
      </c>
      <c r="K48" s="31">
        <f>IFERROR(('연간'!W28)/('연간'!W50),"")</f>
        <v/>
      </c>
      <c r="L48" s="31">
        <f>IFERROR(('연간'!X28)/('연간'!X50),"")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IFERROR(IF((IF(COUNT('연간'!G56:J56)&lt;4,"",SUM('연간'!G56:J56)))&lt;=0,"적자",C28/(IF(COUNT('연간'!G56:J56)&lt;4,"",SUM('연간'!G56:J56)))),"")</f>
        <v/>
      </c>
      <c r="D49" s="47">
        <f>IFERROR(IF((IF(COUNT('연간'!H56:K56)&lt;4,"",SUM('연간'!H56:K56)))&lt;=0,"적자",D28/(IF(COUNT('연간'!H56:K56)&lt;4,"",SUM('연간'!H56:K56)))),"")</f>
        <v/>
      </c>
      <c r="E49" s="47">
        <f>IFERROR(IF((IF(COUNT('연간'!I56:L56)&lt;4,"",SUM('연간'!I56:L56)))&lt;=0,"적자",E28/(IF(COUNT('연간'!I56:L56)&lt;4,"",SUM('연간'!I56:L56)))),"")</f>
        <v/>
      </c>
      <c r="F49" s="47">
        <f>IFERROR(IF((IF(COUNT('연간'!J56:M56)&lt;4,"",SUM('연간'!J56:M56)))&lt;=0,"적자",F28/(IF(COUNT('연간'!J56:M56)&lt;4,"",SUM('연간'!J56:M56)))),"")</f>
        <v/>
      </c>
      <c r="G49" s="47">
        <f>IFERROR(IF((IF(COUNT('연간'!K56:N56)&lt;4,"",SUM('연간'!K56:N56)))&lt;=0,"적자",G28/(IF(COUNT('연간'!K56:N56)&lt;4,"",SUM('연간'!K56:N56)))),"")</f>
        <v/>
      </c>
      <c r="H49" s="46">
        <f>IFERROR(IF(('연간'!T56)&lt;=0,"적자",H28/('연간'!T56)),"")</f>
        <v/>
      </c>
      <c r="I49" s="47">
        <f>IFERROR(IF(('연간'!U56)&lt;=0,"적자",I28/('연간'!U56)),"")</f>
        <v/>
      </c>
      <c r="J49" s="47">
        <f>IFERROR(IF(('연간'!V56)&lt;=0,"적자",J28/('연간'!V56)),"")</f>
        <v/>
      </c>
      <c r="K49" s="47">
        <f>IFERROR(IF(('연간'!W56)&lt;=0,"적자",K28/('연간'!W56)),"")</f>
        <v/>
      </c>
      <c r="L49" s="47">
        <f>IFERROR(IF(('연간'!X56)&lt;=0,"적자",L28/('연간'!X56)),"")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IFERROR((IF(COUNT('연간'!G56:J56)&lt;4,"",SUM('연간'!G56:J56)))/C31,"")</f>
        <v/>
      </c>
      <c r="D51" s="36">
        <f>IFERROR((IF(COUNT('연간'!H56:K56)&lt;4,"",SUM('연간'!H56:K56)))/D31,"")</f>
        <v/>
      </c>
      <c r="E51" s="36">
        <f>IFERROR((IF(COUNT('연간'!I56:L56)&lt;4,"",SUM('연간'!I56:L56)))/E31,"")</f>
        <v/>
      </c>
      <c r="F51" s="36">
        <f>IFERROR((IF(COUNT('연간'!J56:M56)&lt;4,"",SUM('연간'!J56:M56)))/F31,"")</f>
        <v/>
      </c>
      <c r="G51" s="36">
        <f>IFERROR((IF(COUNT('연간'!K56:N56)&lt;4,"",SUM('연간'!K56:N56)))/G31,"")</f>
        <v/>
      </c>
      <c r="H51" s="35">
        <f>IFERROR(('연간'!T56)/H31,"")</f>
        <v/>
      </c>
      <c r="I51" s="36">
        <f>IFERROR(('연간'!U56)/I31,"")</f>
        <v/>
      </c>
      <c r="J51" s="36">
        <f>IFERROR(('연간'!V56)/J31,"")</f>
        <v/>
      </c>
      <c r="K51" s="36">
        <f>IFERROR(('연간'!W56)/K31,"")</f>
        <v/>
      </c>
      <c r="L51" s="36">
        <f>IFERROR(('연간'!X56)/L31,"")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IFERROR((IF(COUNT('연간'!G55:J55)&lt;4,"",SUM('연간'!G55:J55)))/C16,"")</f>
        <v/>
      </c>
      <c r="D52" s="36">
        <f>IFERROR((IF(COUNT('연간'!H55:K55)&lt;4,"",SUM('연간'!H55:K55)))/D16,"")</f>
        <v/>
      </c>
      <c r="E52" s="36">
        <f>IFERROR((IF(COUNT('연간'!I55:L55)&lt;4,"",SUM('연간'!I55:L55)))/E16,"")</f>
        <v/>
      </c>
      <c r="F52" s="36">
        <f>IFERROR((IF(COUNT('연간'!J55:M55)&lt;4,"",SUM('연간'!J55:M55)))/F16,"")</f>
        <v/>
      </c>
      <c r="G52" s="36">
        <f>IFERROR((IF(COUNT('연간'!K55:N55)&lt;4,"",SUM('연간'!K55:N55)))/G16,"")</f>
        <v/>
      </c>
      <c r="H52" s="35">
        <f>IFERROR(('연간'!T55)/H16,"")</f>
        <v/>
      </c>
      <c r="I52" s="36">
        <f>IFERROR(('연간'!U55)/I16,"")</f>
        <v/>
      </c>
      <c r="J52" s="36">
        <f>IFERROR(('연간'!V55)/J16,"")</f>
        <v/>
      </c>
      <c r="K52" s="36">
        <f>IFERROR(('연간'!W55)/K16,"")</f>
        <v/>
      </c>
      <c r="L52" s="36">
        <f>IFERROR(('연간'!X55)/L16,"")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IFERROR((IF(COUNT('연간'!G28:J28)&lt;4,"",SUM('연간'!G28:J28)))*(1-0.3)/(C35+C29),"")</f>
        <v/>
      </c>
      <c r="D53" s="36">
        <f>IFERROR((IF(COUNT('연간'!H28:K28)&lt;4,"",SUM('연간'!H28:K28)))*(1-0.3)/(D35+D29),"")</f>
        <v/>
      </c>
      <c r="E53" s="36">
        <f>IFERROR((IF(COUNT('연간'!I28:L28)&lt;4,"",SUM('연간'!I28:L28)))*(1-0.3)/(E35+E29),"")</f>
        <v/>
      </c>
      <c r="F53" s="36">
        <f>IFERROR((IF(COUNT('연간'!J28:M28)&lt;4,"",SUM('연간'!J28:M28)))*(1-0.3)/(F35+F29),"")</f>
        <v/>
      </c>
      <c r="G53" s="36">
        <f>IFERROR((IF(COUNT('연간'!K28:N28)&lt;4,"",SUM('연간'!K28:N28)))*(1-0.3)/(G35+G29),"")</f>
        <v/>
      </c>
      <c r="H53" s="35">
        <f>IFERROR(('연간'!T28)*(1-0.3)/(H35+H29),"")</f>
        <v/>
      </c>
      <c r="I53" s="36">
        <f>IFERROR(('연간'!U28)*(1-0.3)/(I35+I29),"")</f>
        <v/>
      </c>
      <c r="J53" s="36">
        <f>IFERROR(('연간'!V28)*(1-0.3)/(J35+J29),"")</f>
        <v/>
      </c>
      <c r="K53" s="36">
        <f>IFERROR(('연간'!W28)*(1-0.3)/(K35+K29),"")</f>
        <v/>
      </c>
      <c r="L53" s="36">
        <f>IFERROR(('연간'!X28)*(1-0.3)/(L35+L29),"")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IFERROR((IF(COUNT('연간'!G24:J24)&lt;4,"",SUM('연간'!G24:J24)))/(IF(COUNT('연간'!G4:J4)&lt;4,"",SUM('연간'!G4:J4))),"")</f>
        <v/>
      </c>
      <c r="D54" s="36">
        <f>IFERROR((IF(COUNT('연간'!H24:K24)&lt;4,"",SUM('연간'!H24:K24)))/(IF(COUNT('연간'!H4:K4)&lt;4,"",SUM('연간'!H4:K4))),"")</f>
        <v/>
      </c>
      <c r="E54" s="36">
        <f>IFERROR((IF(COUNT('연간'!I24:L24)&lt;4,"",SUM('연간'!I24:L24)))/(IF(COUNT('연간'!I4:L4)&lt;4,"",SUM('연간'!I4:L4))),"")</f>
        <v/>
      </c>
      <c r="F54" s="36">
        <f>IFERROR((IF(COUNT('연간'!J24:M24)&lt;4,"",SUM('연간'!J24:M24)))/(IF(COUNT('연간'!J4:M4)&lt;4,"",SUM('연간'!J4:M4))),"")</f>
        <v/>
      </c>
      <c r="G54" s="36">
        <f>IFERROR((IF(COUNT('연간'!K24:N24)&lt;4,"",SUM('연간'!K24:N24)))/(IF(COUNT('연간'!K4:N4)&lt;4,"",SUM('연간'!K4:N4))),"")</f>
        <v/>
      </c>
      <c r="H54" s="35">
        <f>IFERROR(('연간'!T24)/('연간'!T4),"")</f>
        <v/>
      </c>
      <c r="I54" s="36">
        <f>IFERROR(('연간'!U24)/('연간'!U4),"")</f>
        <v/>
      </c>
      <c r="J54" s="36">
        <f>IFERROR(('연간'!V24)/('연간'!V4),"")</f>
        <v/>
      </c>
      <c r="K54" s="36">
        <f>IFERROR(('연간'!W24)/('연간'!W4),"")</f>
        <v/>
      </c>
      <c r="L54" s="36">
        <f>IFERROR(('연간'!X24)/('연간'!X4),"")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IFERROR((IF(COUNT('연간'!G28:J28)&lt;4,"",SUM('연간'!G28:J28)))/(IF(COUNT('연간'!G4:J4)&lt;4,"",SUM('연간'!G4:J4))),"")</f>
        <v/>
      </c>
      <c r="D55" s="36">
        <f>IFERROR((IF(COUNT('연간'!H28:K28)&lt;4,"",SUM('연간'!H28:K28)))/(IF(COUNT('연간'!H4:K4)&lt;4,"",SUM('연간'!H4:K4))),"")</f>
        <v/>
      </c>
      <c r="E55" s="36">
        <f>IFERROR((IF(COUNT('연간'!I28:L28)&lt;4,"",SUM('연간'!I28:L28)))/(IF(COUNT('연간'!I4:L4)&lt;4,"",SUM('연간'!I4:L4))),"")</f>
        <v/>
      </c>
      <c r="F55" s="36">
        <f>IFERROR((IF(COUNT('연간'!J28:M28)&lt;4,"",SUM('연간'!J28:M28)))/(IF(COUNT('연간'!J4:M4)&lt;4,"",SUM('연간'!J4:M4))),"")</f>
        <v/>
      </c>
      <c r="G55" s="36">
        <f>IFERROR((IF(COUNT('연간'!K28:N28)&lt;4,"",SUM('연간'!K28:N28)))/(IF(COUNT('연간'!K4:N4)&lt;4,"",SUM('연간'!K4:N4))),"")</f>
        <v/>
      </c>
      <c r="H55" s="35">
        <f>IFERROR(('연간'!T28)/('연간'!T4),"")</f>
        <v/>
      </c>
      <c r="I55" s="36">
        <f>IFERROR(('연간'!U28)/('연간'!U4),"")</f>
        <v/>
      </c>
      <c r="J55" s="36">
        <f>IFERROR(('연간'!V28)/('연간'!V4),"")</f>
        <v/>
      </c>
      <c r="K55" s="36">
        <f>IFERROR(('연간'!W28)/('연간'!W4),"")</f>
        <v/>
      </c>
      <c r="L55" s="36">
        <f>IFERROR(('연간'!X28)/('연간'!X4),"")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IFERROR((IF(COUNT('연간'!G55:J55)&lt;4,"",SUM('연간'!G55:J55)))/(IF(COUNT('연간'!G4:J4)&lt;4,"",SUM('연간'!G4:J4))),"")</f>
        <v/>
      </c>
      <c r="D56" s="36">
        <f>IFERROR((IF(COUNT('연간'!H55:K55)&lt;4,"",SUM('연간'!H55:K55)))/(IF(COUNT('연간'!H4:K4)&lt;4,"",SUM('연간'!H4:K4))),"")</f>
        <v/>
      </c>
      <c r="E56" s="36">
        <f>IFERROR((IF(COUNT('연간'!I55:L55)&lt;4,"",SUM('연간'!I55:L55)))/(IF(COUNT('연간'!I4:L4)&lt;4,"",SUM('연간'!I4:L4))),"")</f>
        <v/>
      </c>
      <c r="F56" s="36">
        <f>IFERROR((IF(COUNT('연간'!J55:M55)&lt;4,"",SUM('연간'!J55:M55)))/(IF(COUNT('연간'!J4:M4)&lt;4,"",SUM('연간'!J4:M4))),"")</f>
        <v/>
      </c>
      <c r="G56" s="36">
        <f>IFERROR((IF(COUNT('연간'!K55:N55)&lt;4,"",SUM('연간'!K55:N55)))/(IF(COUNT('연간'!K4:N4)&lt;4,"",SUM('연간'!K4:N4))),"")</f>
        <v/>
      </c>
      <c r="H56" s="35">
        <f>IFERROR(('연간'!T55)/('연간'!T4),"")</f>
        <v/>
      </c>
      <c r="I56" s="36">
        <f>IFERROR(('연간'!U55)/('연간'!U4),"")</f>
        <v/>
      </c>
      <c r="J56" s="36">
        <f>IFERROR(('연간'!V55)/('연간'!V4),"")</f>
        <v/>
      </c>
      <c r="K56" s="36">
        <f>IFERROR(('연간'!W55)/('연간'!W4),"")</f>
        <v/>
      </c>
      <c r="L56" s="36">
        <f>IFERROR(('연간'!X55)/('연간'!X4),"")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IFERROR(C9/(IF(COUNT('연간'!G23:J23)&lt;4,"",SUM('연간'!G23:J23)))*365,"")</f>
        <v/>
      </c>
      <c r="D60" s="49">
        <f>IFERROR(D9/(IF(COUNT('연간'!H23:K23)&lt;4,"",SUM('연간'!H23:K23)))*365,"")</f>
        <v/>
      </c>
      <c r="E60" s="49">
        <f>IFERROR(E9/(IF(COUNT('연간'!I23:L23)&lt;4,"",SUM('연간'!I23:L23)))*365,"")</f>
        <v/>
      </c>
      <c r="F60" s="49">
        <f>IFERROR(F9/(IF(COUNT('연간'!J23:M23)&lt;4,"",SUM('연간'!J23:M23)))*365,"")</f>
        <v/>
      </c>
      <c r="G60" s="49">
        <f>IFERROR(G9/(IF(COUNT('연간'!K23:N23)&lt;4,"",SUM('연간'!K23:N23)))*365,"")</f>
        <v/>
      </c>
      <c r="H60" s="48">
        <f>IFERROR(H9/('연간'!T23)*365,"")</f>
        <v/>
      </c>
      <c r="I60" s="49">
        <f>IFERROR(I9/('연간'!U23)*365,"")</f>
        <v/>
      </c>
      <c r="J60" s="49">
        <f>IFERROR(J9/('연간'!V23)*365,"")</f>
        <v/>
      </c>
      <c r="K60" s="49">
        <f>IFERROR(K9/('연간'!W23)*365,"")</f>
        <v/>
      </c>
      <c r="L60" s="49">
        <f>IFERROR(L9/('연간'!X23)*365,"")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IFERROR(C19/(IF(COUNT('연간'!G23:J23)&lt;4,"",SUM('연간'!G23:J23)))*365,"")</f>
        <v/>
      </c>
      <c r="D61" s="49">
        <f>IFERROR(D19/(IF(COUNT('연간'!H23:K23)&lt;4,"",SUM('연간'!H23:K23)))*365,"")</f>
        <v/>
      </c>
      <c r="E61" s="49">
        <f>IFERROR(E19/(IF(COUNT('연간'!I23:L23)&lt;4,"",SUM('연간'!I23:L23)))*365,"")</f>
        <v/>
      </c>
      <c r="F61" s="49">
        <f>IFERROR(F19/(IF(COUNT('연간'!J23:M23)&lt;4,"",SUM('연간'!J23:M23)))*365,"")</f>
        <v/>
      </c>
      <c r="G61" s="49">
        <f>IFERROR(G19/(IF(COUNT('연간'!K23:N23)&lt;4,"",SUM('연간'!K23:N23)))*365,"")</f>
        <v/>
      </c>
      <c r="H61" s="48">
        <f>IFERROR(H19/('연간'!T23)*365,"")</f>
        <v/>
      </c>
      <c r="I61" s="49">
        <f>IFERROR(I19/('연간'!U23)*365,"")</f>
        <v/>
      </c>
      <c r="J61" s="49">
        <f>IFERROR(J19/('연간'!V23)*365,"")</f>
        <v/>
      </c>
      <c r="K61" s="49">
        <f>IFERROR(K19/('연간'!W23)*365,"")</f>
        <v/>
      </c>
      <c r="L61" s="49">
        <f>IFERROR(L19/('연간'!X23)*365,"")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IF(C37="","",IFERROR(C37/(IF(COUNT('연간'!G55:J55)&lt;4,"",SUM('연간'!G55:J55))),""))</f>
        <v/>
      </c>
      <c r="D64" s="31">
        <f>IF(D37="","",IFERROR(D37/(IF(COUNT('연간'!H55:K55)&lt;4,"",SUM('연간'!H55:K55))),""))</f>
        <v/>
      </c>
      <c r="E64" s="31">
        <f>IF(E37="","",IFERROR(E37/(IF(COUNT('연간'!I55:L55)&lt;4,"",SUM('연간'!I55:L55))),""))</f>
        <v/>
      </c>
      <c r="F64" s="31">
        <f>IF(F37="","",IFERROR(F37/(IF(COUNT('연간'!J55:M55)&lt;4,"",SUM('연간'!J55:M55))),""))</f>
        <v/>
      </c>
      <c r="G64" s="31">
        <f>IF(G37="","",IFERROR(G37/(IF(COUNT('연간'!K55:N55)&lt;4,"",SUM('연간'!K55:N55))),""))</f>
        <v/>
      </c>
      <c r="H64" s="30">
        <f>IF(H37="","",IFERROR(H37/('연간'!T55),""))</f>
        <v/>
      </c>
      <c r="I64" s="31">
        <f>IF(I37="","",IFERROR(I37/('연간'!U55),""))</f>
        <v/>
      </c>
      <c r="J64" s="31">
        <f>IF(J37="","",IFERROR(J37/('연간'!V55),""))</f>
        <v/>
      </c>
      <c r="K64" s="31">
        <f>IF(K37="","",IFERROR(K37/('연간'!W55),""))</f>
        <v/>
      </c>
      <c r="L64" s="31">
        <f>IF(L37="","",IFERROR(L37/('연간'!X55),""))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IF(C40="","",IFERROR(C40/(IF(COUNT('연간'!G56:J56)&lt;4,"",SUM('연간'!G56:J56))),""))</f>
        <v/>
      </c>
      <c r="D67" s="36">
        <f>IF(D40="","",IFERROR(D40/(IF(COUNT('연간'!H56:K56)&lt;4,"",SUM('연간'!H56:K56))),""))</f>
        <v/>
      </c>
      <c r="E67" s="36">
        <f>IF(E40="","",IFERROR(E40/(IF(COUNT('연간'!I56:L56)&lt;4,"",SUM('연간'!I56:L56))),""))</f>
        <v/>
      </c>
      <c r="F67" s="36">
        <f>IF(F40="","",IFERROR(F40/(IF(COUNT('연간'!J56:M56)&lt;4,"",SUM('연간'!J56:M56))),""))</f>
        <v/>
      </c>
      <c r="G67" s="36">
        <f>IF(G40="","",IFERROR(G40/(IF(COUNT('연간'!K56:N56)&lt;4,"",SUM('연간'!K56:N56))),""))</f>
        <v/>
      </c>
      <c r="H67" s="35">
        <f>IF(H40="","",IFERROR(H40/('연간'!T56),""))</f>
        <v/>
      </c>
      <c r="I67" s="36">
        <f>IF(I40="","",IFERROR(I40/('연간'!U56),""))</f>
        <v/>
      </c>
      <c r="J67" s="36">
        <f>IF(J40="","",IFERROR(J40/('연간'!V56),""))</f>
        <v/>
      </c>
      <c r="K67" s="36">
        <f>IF(K40="","",IFERROR(K40/('연간'!W56),""))</f>
        <v/>
      </c>
      <c r="L67" s="36">
        <f>IF(L40="","",IFERROR(L40/('연간'!X56),""))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현금및현금성자산</t>
        </is>
      </c>
      <c r="C71" s="20" t="n">
        <v>519594</v>
      </c>
      <c r="D71" s="20" t="n">
        <v>582394</v>
      </c>
      <c r="E71" s="20" t="n">
        <v>582199</v>
      </c>
      <c r="F71" s="20" t="n">
        <v>653701</v>
      </c>
      <c r="G71" s="20" t="n">
        <v>557491</v>
      </c>
      <c r="H71" s="20" t="n">
        <v>512072</v>
      </c>
      <c r="I71" s="20" t="n">
        <v>469406</v>
      </c>
      <c r="J71" s="20" t="n">
        <v>622007</v>
      </c>
      <c r="K71" s="20" t="n">
        <v>625148</v>
      </c>
      <c r="L71" s="20" t="n">
        <v>653701</v>
      </c>
    </row>
    <row r="72">
      <c r="A72" s="18" t="inlineStr">
        <is>
          <t>Trade Receivables CA</t>
        </is>
      </c>
      <c r="C72" s="20" t="n">
        <v>290913</v>
      </c>
      <c r="D72" s="20" t="n">
        <v>337484</v>
      </c>
      <c r="E72" s="20" t="n">
        <v>338986</v>
      </c>
      <c r="F72" s="20" t="n">
        <v>328159</v>
      </c>
      <c r="G72" s="20" t="n">
        <v>348182</v>
      </c>
      <c r="H72" s="20" t="n">
        <v>358395</v>
      </c>
      <c r="I72" s="20" t="n">
        <v>270239</v>
      </c>
      <c r="J72" s="20" t="n">
        <v>292736</v>
      </c>
      <c r="K72" s="20" t="n">
        <v>294419</v>
      </c>
      <c r="L72" s="20" t="n">
        <v>328159</v>
      </c>
    </row>
    <row r="73">
      <c r="A73" s="18" t="inlineStr">
        <is>
          <t>재고자산</t>
        </is>
      </c>
      <c r="C73" s="20" t="n">
        <v>489202</v>
      </c>
      <c r="D73" s="20" t="n">
        <v>488608</v>
      </c>
      <c r="E73" s="20" t="n">
        <v>501149</v>
      </c>
      <c r="F73" s="20" t="n">
        <v>520472</v>
      </c>
      <c r="G73" s="20" t="n">
        <v>539035</v>
      </c>
      <c r="H73" s="20" t="n">
        <v>465139</v>
      </c>
      <c r="I73" s="20" t="n">
        <v>574632</v>
      </c>
      <c r="J73" s="20" t="n">
        <v>513024</v>
      </c>
      <c r="K73" s="20" t="n">
        <v>482833</v>
      </c>
      <c r="L73" s="20" t="n">
        <v>520472</v>
      </c>
    </row>
    <row r="74">
      <c r="A74" s="18" t="inlineStr">
        <is>
          <t>기타금융자산</t>
        </is>
      </c>
      <c r="C74" s="20" t="n">
        <v>37545</v>
      </c>
      <c r="D74" s="20" t="n">
        <v>30486</v>
      </c>
      <c r="E74" s="20" t="n">
        <v>42015</v>
      </c>
      <c r="F74" s="20" t="n">
        <v>24185</v>
      </c>
      <c r="G74" s="20" t="n">
        <v>43083</v>
      </c>
      <c r="H74" s="20" t="n">
        <v>66872</v>
      </c>
      <c r="I74" s="20" t="n">
        <v>43014</v>
      </c>
      <c r="J74" s="20" t="n">
        <v>19532</v>
      </c>
      <c r="K74" s="20" t="n">
        <v>50685</v>
      </c>
      <c r="L74" s="20" t="n">
        <v>24185</v>
      </c>
    </row>
    <row r="75">
      <c r="A75" s="18" t="inlineStr">
        <is>
          <t>기타유동자산</t>
        </is>
      </c>
      <c r="C75" s="20" t="n">
        <v>70369</v>
      </c>
      <c r="D75" s="20" t="n">
        <v>57299</v>
      </c>
      <c r="E75" s="20" t="n">
        <v>51886</v>
      </c>
      <c r="F75" s="20" t="n">
        <v>54876</v>
      </c>
      <c r="G75" s="20" t="n">
        <v>85512</v>
      </c>
      <c r="H75" s="20" t="n">
        <v>33346</v>
      </c>
      <c r="I75" s="20" t="n">
        <v>50321</v>
      </c>
      <c r="J75" s="20" t="n">
        <v>52463</v>
      </c>
      <c r="K75" s="20" t="n">
        <v>44850</v>
      </c>
      <c r="L75" s="20" t="n">
        <v>54876</v>
      </c>
    </row>
    <row r="76">
      <c r="A76" s="9" t="inlineStr">
        <is>
          <t>유동자산 합계</t>
        </is>
      </c>
      <c r="C76" s="12" t="n">
        <v>1407623</v>
      </c>
      <c r="D76" s="12" t="n">
        <v>1496271</v>
      </c>
      <c r="E76" s="12" t="n">
        <v>1516235</v>
      </c>
      <c r="F76" s="12" t="n">
        <v>1581393</v>
      </c>
      <c r="G76" s="12" t="n">
        <v>1573303</v>
      </c>
      <c r="H76" s="12" t="n">
        <v>1435824</v>
      </c>
      <c r="I76" s="12" t="n">
        <v>1407612</v>
      </c>
      <c r="J76" s="12" t="n">
        <v>1499762</v>
      </c>
      <c r="K76" s="12" t="n">
        <v>1497935</v>
      </c>
      <c r="L76" s="12" t="n">
        <v>1581393</v>
      </c>
    </row>
    <row r="77">
      <c r="A77" s="18" t="inlineStr">
        <is>
          <t>유형자산</t>
        </is>
      </c>
      <c r="C77" s="20" t="n">
        <v>1175765</v>
      </c>
      <c r="D77" s="20" t="n">
        <v>1189513</v>
      </c>
      <c r="E77" s="20" t="n">
        <v>1257853</v>
      </c>
      <c r="F77" s="20" t="n">
        <v>1300883</v>
      </c>
      <c r="G77" s="20" t="n">
        <v>1306522</v>
      </c>
      <c r="H77" s="20" t="n">
        <v>1084161</v>
      </c>
      <c r="I77" s="20" t="n">
        <v>1146222</v>
      </c>
      <c r="J77" s="20" t="n">
        <v>1184608</v>
      </c>
      <c r="K77" s="20" t="n">
        <v>1183727</v>
      </c>
      <c r="L77" s="20" t="n">
        <v>1300883</v>
      </c>
    </row>
    <row r="78">
      <c r="A78" s="18" t="inlineStr">
        <is>
          <t>사용권자산</t>
        </is>
      </c>
      <c r="C78" s="20" t="n">
        <v>63819</v>
      </c>
      <c r="D78" s="20" t="n">
        <v>63476</v>
      </c>
      <c r="E78" s="20" t="n">
        <v>64020</v>
      </c>
      <c r="F78" s="20" t="n">
        <v>59563</v>
      </c>
      <c r="G78" s="20" t="n">
        <v>59919</v>
      </c>
      <c r="H78" s="20" t="n">
        <v>41041</v>
      </c>
      <c r="I78" s="20" t="n">
        <v>49845</v>
      </c>
      <c r="J78" s="20" t="n">
        <v>59402</v>
      </c>
      <c r="K78" s="20" t="n">
        <v>64204</v>
      </c>
      <c r="L78" s="20" t="n">
        <v>59563</v>
      </c>
    </row>
    <row r="79">
      <c r="A79" s="18" t="inlineStr">
        <is>
          <t>영업권</t>
        </is>
      </c>
      <c r="C79" s="20" t="n">
        <v>133276</v>
      </c>
      <c r="D79" s="20" t="n">
        <v>136528</v>
      </c>
      <c r="E79" s="20" t="n">
        <v>98220</v>
      </c>
      <c r="F79" s="20" t="n">
        <v>99489</v>
      </c>
      <c r="G79" s="20" t="n">
        <v>100687</v>
      </c>
      <c r="H79" s="20" t="n">
        <v>114722</v>
      </c>
      <c r="I79" s="20" t="n">
        <v>123247</v>
      </c>
      <c r="J79" s="20" t="n">
        <v>137144</v>
      </c>
      <c r="K79" s="20" t="n">
        <v>135746</v>
      </c>
      <c r="L79" s="20" t="n">
        <v>99489</v>
      </c>
    </row>
    <row r="80">
      <c r="A80" s="18" t="inlineStr">
        <is>
          <t>무형자산</t>
        </is>
      </c>
      <c r="C80" s="20" t="n">
        <v>40297</v>
      </c>
      <c r="D80" s="20" t="n">
        <v>40261</v>
      </c>
      <c r="E80" s="20" t="n">
        <v>40646</v>
      </c>
      <c r="F80" s="20" t="n">
        <v>36234</v>
      </c>
      <c r="G80" s="20" t="n">
        <v>36106</v>
      </c>
      <c r="H80" s="20" t="n">
        <v>42030</v>
      </c>
      <c r="I80" s="20" t="n">
        <v>39375</v>
      </c>
      <c r="J80" s="20" t="n">
        <v>39049</v>
      </c>
      <c r="K80" s="20" t="n">
        <v>40647</v>
      </c>
      <c r="L80" s="20" t="n">
        <v>36234</v>
      </c>
    </row>
    <row r="81">
      <c r="A81" s="18" t="inlineStr">
        <is>
          <t>지분법 투자</t>
        </is>
      </c>
      <c r="H81" s="20" t="n">
        <v>0</v>
      </c>
      <c r="I81" s="20" t="n">
        <v>0</v>
      </c>
    </row>
    <row r="82">
      <c r="A82" s="18" t="inlineStr">
        <is>
          <t>지분법 투자</t>
        </is>
      </c>
      <c r="C82" s="20" t="n">
        <v>231</v>
      </c>
      <c r="D82" s="20" t="n">
        <v>236</v>
      </c>
      <c r="E82" s="20" t="n">
        <v>217</v>
      </c>
      <c r="F82" s="20" t="n">
        <v>234</v>
      </c>
      <c r="G82" s="20" t="n">
        <v>238</v>
      </c>
      <c r="H82" s="20" t="n">
        <v>0</v>
      </c>
      <c r="I82" s="20" t="n">
        <v>0</v>
      </c>
      <c r="J82" s="20" t="n">
        <v>87</v>
      </c>
      <c r="K82" s="20" t="n">
        <v>215</v>
      </c>
      <c r="L82" s="20" t="n">
        <v>234</v>
      </c>
    </row>
    <row r="83">
      <c r="A83" s="18" t="inlineStr">
        <is>
          <t>기타금융자산</t>
        </is>
      </c>
      <c r="C83" s="20" t="n">
        <v>43596</v>
      </c>
      <c r="D83" s="20" t="n">
        <v>47964</v>
      </c>
      <c r="E83" s="20" t="n">
        <v>48813</v>
      </c>
      <c r="F83" s="20" t="n">
        <v>50392</v>
      </c>
      <c r="G83" s="20" t="n">
        <v>58993</v>
      </c>
      <c r="H83" s="20" t="n">
        <v>43210</v>
      </c>
      <c r="I83" s="20" t="n">
        <v>39248</v>
      </c>
      <c r="J83" s="20" t="n">
        <v>47346</v>
      </c>
      <c r="K83" s="20" t="n">
        <v>40274</v>
      </c>
      <c r="L83" s="20" t="n">
        <v>50392</v>
      </c>
    </row>
    <row r="84">
      <c r="A84" s="18" t="inlineStr">
        <is>
          <t>이연법인세자산</t>
        </is>
      </c>
      <c r="C84" s="20" t="n">
        <v>55995</v>
      </c>
      <c r="D84" s="20" t="n">
        <v>53781</v>
      </c>
      <c r="E84" s="20" t="n">
        <v>52352</v>
      </c>
      <c r="F84" s="20" t="n">
        <v>60424</v>
      </c>
      <c r="G84" s="20" t="n">
        <v>63593</v>
      </c>
      <c r="H84" s="20" t="n">
        <v>31704</v>
      </c>
      <c r="I84" s="20" t="n">
        <v>42952</v>
      </c>
      <c r="J84" s="20" t="n">
        <v>47454</v>
      </c>
      <c r="K84" s="20" t="n">
        <v>52675</v>
      </c>
      <c r="L84" s="20" t="n">
        <v>60424</v>
      </c>
    </row>
    <row r="85">
      <c r="A85" s="18" t="inlineStr">
        <is>
          <t>기타비유동자산</t>
        </is>
      </c>
      <c r="C85" s="20" t="n">
        <v>12181</v>
      </c>
      <c r="D85" s="20" t="n">
        <v>12317</v>
      </c>
      <c r="E85" s="20" t="n">
        <v>13160</v>
      </c>
      <c r="F85" s="20" t="n">
        <v>10487</v>
      </c>
      <c r="G85" s="20" t="n">
        <v>11119</v>
      </c>
      <c r="H85" s="20" t="n">
        <v>11389</v>
      </c>
      <c r="I85" s="20" t="n">
        <v>9802</v>
      </c>
      <c r="J85" s="20" t="n">
        <v>23043</v>
      </c>
      <c r="K85" s="20" t="n">
        <v>12771</v>
      </c>
      <c r="L85" s="20" t="n">
        <v>10487</v>
      </c>
    </row>
    <row r="86">
      <c r="A86" s="18" t="inlineStr">
        <is>
          <t>비유동자산 합계</t>
        </is>
      </c>
      <c r="C86" s="20" t="n">
        <v>1525160</v>
      </c>
      <c r="D86" s="20" t="n">
        <v>1544076</v>
      </c>
      <c r="E86" s="20" t="n">
        <v>1575281</v>
      </c>
      <c r="F86" s="20" t="n">
        <v>1617706</v>
      </c>
      <c r="G86" s="20" t="n">
        <v>1637177</v>
      </c>
      <c r="H86" s="20" t="n">
        <v>1368257</v>
      </c>
      <c r="I86" s="20" t="n">
        <v>1450691</v>
      </c>
      <c r="J86" s="20" t="n">
        <v>1538133</v>
      </c>
      <c r="K86" s="20" t="n">
        <v>1530259</v>
      </c>
      <c r="L86" s="20" t="n">
        <v>1617706</v>
      </c>
    </row>
    <row r="87">
      <c r="A87" s="18" t="inlineStr">
        <is>
          <t>자산 합계</t>
        </is>
      </c>
      <c r="C87" s="20" t="n">
        <v>2932783</v>
      </c>
      <c r="D87" s="20" t="n">
        <v>3040347</v>
      </c>
      <c r="E87" s="20" t="n">
        <v>3091516</v>
      </c>
      <c r="F87" s="20" t="n">
        <v>3199099</v>
      </c>
      <c r="G87" s="20" t="n">
        <v>3210480</v>
      </c>
      <c r="H87" s="20" t="n">
        <v>2804081</v>
      </c>
      <c r="I87" s="20" t="n">
        <v>2858303</v>
      </c>
      <c r="J87" s="20" t="n">
        <v>3037895</v>
      </c>
      <c r="K87" s="20" t="n">
        <v>3028194</v>
      </c>
      <c r="L87" s="20" t="n">
        <v>3199099</v>
      </c>
    </row>
    <row r="88">
      <c r="A88" s="18" t="inlineStr">
        <is>
          <t>사채 및 차입금</t>
        </is>
      </c>
      <c r="C88" s="20" t="n">
        <v>977</v>
      </c>
      <c r="D88" s="20" t="n">
        <v>1166</v>
      </c>
      <c r="E88" s="20" t="n">
        <v>1753</v>
      </c>
      <c r="F88" s="20" t="n">
        <v>1745</v>
      </c>
      <c r="H88" s="20" t="n">
        <v>99</v>
      </c>
      <c r="I88" s="20" t="n">
        <v>60534</v>
      </c>
      <c r="J88" s="20" t="n">
        <v>50400</v>
      </c>
      <c r="K88" s="20" t="n">
        <v>781</v>
      </c>
      <c r="L88" s="20" t="n">
        <v>1745</v>
      </c>
    </row>
    <row r="89">
      <c r="A89" s="18" t="inlineStr">
        <is>
          <t>차입금</t>
        </is>
      </c>
      <c r="F89" s="20" t="n">
        <v>1745</v>
      </c>
      <c r="G89" s="20" t="n">
        <v>802</v>
      </c>
      <c r="L89" s="20" t="n">
        <v>1745</v>
      </c>
    </row>
    <row r="90">
      <c r="A90" s="18" t="inlineStr">
        <is>
          <t>Trade Payables CL</t>
        </is>
      </c>
      <c r="C90" s="20" t="n">
        <v>67751</v>
      </c>
      <c r="D90" s="20" t="n">
        <v>75471</v>
      </c>
      <c r="E90" s="20" t="n">
        <v>72040</v>
      </c>
      <c r="F90" s="20" t="n">
        <v>79798</v>
      </c>
      <c r="G90" s="20" t="n">
        <v>80693</v>
      </c>
      <c r="H90" s="20" t="n">
        <v>93842</v>
      </c>
      <c r="I90" s="20" t="n">
        <v>65597</v>
      </c>
      <c r="J90" s="20" t="n">
        <v>67620</v>
      </c>
      <c r="K90" s="20" t="n">
        <v>69617</v>
      </c>
      <c r="L90" s="20" t="n">
        <v>79798</v>
      </c>
    </row>
    <row r="91">
      <c r="A91" s="18" t="inlineStr">
        <is>
          <t>리스부채</t>
        </is>
      </c>
      <c r="C91" s="20" t="n">
        <v>10336</v>
      </c>
      <c r="D91" s="20" t="n">
        <v>10159</v>
      </c>
      <c r="E91" s="20" t="n">
        <v>10225</v>
      </c>
      <c r="F91" s="20" t="n">
        <v>10764</v>
      </c>
      <c r="G91" s="20" t="n">
        <v>10948</v>
      </c>
      <c r="H91" s="20" t="n">
        <v>6843</v>
      </c>
      <c r="I91" s="20" t="n">
        <v>7729</v>
      </c>
      <c r="J91" s="20" t="n">
        <v>9256</v>
      </c>
      <c r="K91" s="20" t="n">
        <v>10043</v>
      </c>
      <c r="L91" s="20" t="n">
        <v>10764</v>
      </c>
    </row>
    <row r="92">
      <c r="A92" s="18" t="inlineStr">
        <is>
          <t>기타금융부채</t>
        </is>
      </c>
      <c r="C92" s="20" t="n">
        <v>46573</v>
      </c>
      <c r="D92" s="20" t="n">
        <v>32766</v>
      </c>
      <c r="E92" s="20" t="n">
        <v>89145</v>
      </c>
      <c r="F92" s="20" t="n">
        <v>57126</v>
      </c>
      <c r="G92" s="20" t="n">
        <v>57405</v>
      </c>
      <c r="H92" s="20" t="n">
        <v>49952</v>
      </c>
      <c r="I92" s="20" t="n">
        <v>59857</v>
      </c>
      <c r="J92" s="20" t="n">
        <v>56116</v>
      </c>
      <c r="K92" s="20" t="n">
        <v>49066</v>
      </c>
      <c r="L92" s="20" t="n">
        <v>57126</v>
      </c>
    </row>
    <row r="93">
      <c r="A93" s="18" t="inlineStr">
        <is>
          <t>미지급법인세</t>
        </is>
      </c>
      <c r="C93" s="20" t="n">
        <v>23142</v>
      </c>
      <c r="D93" s="20" t="n">
        <v>38271</v>
      </c>
      <c r="E93" s="20" t="n">
        <v>37273</v>
      </c>
      <c r="F93" s="20" t="n">
        <v>43182</v>
      </c>
      <c r="G93" s="20" t="n">
        <v>27359</v>
      </c>
      <c r="H93" s="20" t="n">
        <v>55318</v>
      </c>
      <c r="I93" s="20" t="n">
        <v>12755</v>
      </c>
      <c r="J93" s="20" t="n">
        <v>26966</v>
      </c>
      <c r="K93" s="20" t="n">
        <v>30952</v>
      </c>
      <c r="L93" s="20" t="n">
        <v>43182</v>
      </c>
    </row>
    <row r="94">
      <c r="A94" s="18" t="inlineStr">
        <is>
          <t>이연수익</t>
        </is>
      </c>
      <c r="C94" s="20" t="n">
        <v>882</v>
      </c>
      <c r="D94" s="20" t="n">
        <v>883</v>
      </c>
      <c r="E94" s="20" t="n">
        <v>883</v>
      </c>
      <c r="F94" s="20" t="n">
        <v>1412</v>
      </c>
      <c r="G94" s="20" t="n">
        <v>1604</v>
      </c>
      <c r="H94" s="20" t="n">
        <v>673</v>
      </c>
      <c r="I94" s="20" t="n">
        <v>854</v>
      </c>
      <c r="J94" s="20" t="n">
        <v>883</v>
      </c>
      <c r="K94" s="20" t="n">
        <v>883</v>
      </c>
      <c r="L94" s="20" t="n">
        <v>1412</v>
      </c>
    </row>
    <row r="95">
      <c r="A95" s="18" t="inlineStr">
        <is>
          <t>충당금</t>
        </is>
      </c>
      <c r="C95" s="20" t="n">
        <v>2060</v>
      </c>
      <c r="D95" s="20" t="n">
        <v>1464</v>
      </c>
      <c r="E95" s="20" t="n">
        <v>2209</v>
      </c>
      <c r="F95" s="20" t="n">
        <v>3069</v>
      </c>
      <c r="G95" s="20" t="n">
        <v>5167</v>
      </c>
      <c r="H95" s="20" t="n">
        <v>2136</v>
      </c>
      <c r="I95" s="20" t="n">
        <v>2859</v>
      </c>
      <c r="J95" s="20" t="n">
        <v>1529</v>
      </c>
      <c r="K95" s="20" t="n">
        <v>2170</v>
      </c>
      <c r="L95" s="20" t="n">
        <v>3069</v>
      </c>
    </row>
    <row r="96">
      <c r="A96" s="18" t="inlineStr">
        <is>
          <t>기타유동부채</t>
        </is>
      </c>
      <c r="C96" s="20" t="n">
        <v>89395</v>
      </c>
      <c r="D96" s="20" t="n">
        <v>111021</v>
      </c>
      <c r="E96" s="20" t="n">
        <v>91293</v>
      </c>
      <c r="F96" s="20" t="n">
        <v>119389</v>
      </c>
      <c r="G96" s="20" t="n">
        <v>103610</v>
      </c>
      <c r="H96" s="20" t="n">
        <v>110502</v>
      </c>
      <c r="I96" s="20" t="n">
        <v>87723</v>
      </c>
      <c r="J96" s="20" t="n">
        <v>104847</v>
      </c>
      <c r="K96" s="20" t="n">
        <v>113005</v>
      </c>
      <c r="L96" s="20" t="n">
        <v>119389</v>
      </c>
    </row>
    <row r="97">
      <c r="A97" s="18" t="inlineStr">
        <is>
          <t>유동부채 합계</t>
        </is>
      </c>
      <c r="C97" s="20" t="n">
        <v>241116</v>
      </c>
      <c r="D97" s="20" t="n">
        <v>271201</v>
      </c>
      <c r="E97" s="20" t="n">
        <v>304821</v>
      </c>
      <c r="F97" s="20" t="n">
        <v>316485</v>
      </c>
      <c r="G97" s="20" t="n">
        <v>287588</v>
      </c>
      <c r="H97" s="20" t="n">
        <v>319365</v>
      </c>
      <c r="I97" s="20" t="n">
        <v>297908</v>
      </c>
      <c r="J97" s="20" t="n">
        <v>317617</v>
      </c>
      <c r="K97" s="20" t="n">
        <v>276517</v>
      </c>
      <c r="L97" s="20" t="n">
        <v>316485</v>
      </c>
    </row>
    <row r="98">
      <c r="A98" s="18" t="inlineStr">
        <is>
          <t>사채 및 차입금</t>
        </is>
      </c>
      <c r="C98" s="20" t="n">
        <v>1544</v>
      </c>
      <c r="D98" s="20" t="n">
        <v>1362</v>
      </c>
      <c r="E98" s="20" t="n">
        <v>1484</v>
      </c>
      <c r="F98" s="20" t="n">
        <v>1516</v>
      </c>
      <c r="H98" s="20" t="n">
        <v>110979</v>
      </c>
      <c r="I98" s="20" t="n">
        <v>51464</v>
      </c>
      <c r="J98" s="20" t="n">
        <v>2436</v>
      </c>
      <c r="K98" s="20" t="n">
        <v>1656</v>
      </c>
      <c r="L98" s="20" t="n">
        <v>1516</v>
      </c>
    </row>
    <row r="99">
      <c r="A99" s="18" t="inlineStr">
        <is>
          <t>차입금</t>
        </is>
      </c>
      <c r="F99" s="20" t="n">
        <v>1516</v>
      </c>
      <c r="G99" s="20" t="n">
        <v>1813</v>
      </c>
      <c r="L99" s="20" t="n">
        <v>1516</v>
      </c>
    </row>
    <row r="100">
      <c r="A100" s="18" t="inlineStr">
        <is>
          <t>리스부채</t>
        </is>
      </c>
      <c r="C100" s="20" t="n">
        <v>47526</v>
      </c>
      <c r="D100" s="20" t="n">
        <v>47217</v>
      </c>
      <c r="E100" s="20" t="n">
        <v>47601</v>
      </c>
      <c r="F100" s="20" t="n">
        <v>41743</v>
      </c>
      <c r="G100" s="20" t="n">
        <v>41831</v>
      </c>
      <c r="H100" s="20" t="n">
        <v>28703</v>
      </c>
      <c r="I100" s="20" t="n">
        <v>35500</v>
      </c>
      <c r="J100" s="20" t="n">
        <v>43848</v>
      </c>
      <c r="K100" s="20" t="n">
        <v>47513</v>
      </c>
      <c r="L100" s="20" t="n">
        <v>41743</v>
      </c>
    </row>
    <row r="101">
      <c r="A101" s="18" t="inlineStr">
        <is>
          <t>기타금융부채</t>
        </is>
      </c>
      <c r="C101" s="20" t="n">
        <v>4231</v>
      </c>
      <c r="D101" s="20" t="n">
        <v>4090</v>
      </c>
      <c r="E101" s="20" t="n">
        <v>950</v>
      </c>
      <c r="F101" s="20" t="n">
        <v>1134</v>
      </c>
      <c r="G101" s="20" t="n">
        <v>695</v>
      </c>
      <c r="H101" s="20" t="n">
        <v>2562</v>
      </c>
      <c r="I101" s="20" t="n">
        <v>2707</v>
      </c>
      <c r="J101" s="20" t="n">
        <v>4131</v>
      </c>
      <c r="K101" s="20" t="n">
        <v>4743</v>
      </c>
      <c r="L101" s="20" t="n">
        <v>1134</v>
      </c>
    </row>
    <row r="102">
      <c r="A102" s="18" t="inlineStr">
        <is>
          <t>이연수익</t>
        </is>
      </c>
      <c r="C102" s="20" t="n">
        <v>18743</v>
      </c>
      <c r="D102" s="20" t="n">
        <v>18640</v>
      </c>
      <c r="E102" s="20" t="n">
        <v>18421</v>
      </c>
      <c r="F102" s="20" t="n">
        <v>22137</v>
      </c>
      <c r="G102" s="20" t="n">
        <v>21452</v>
      </c>
      <c r="H102" s="20" t="n">
        <v>13621</v>
      </c>
      <c r="I102" s="20" t="n">
        <v>19093</v>
      </c>
      <c r="J102" s="20" t="n">
        <v>20387</v>
      </c>
      <c r="K102" s="20" t="n">
        <v>19131</v>
      </c>
      <c r="L102" s="20" t="n">
        <v>22137</v>
      </c>
    </row>
    <row r="103">
      <c r="A103" s="18" t="inlineStr">
        <is>
          <t>퇴직급여부채</t>
        </is>
      </c>
      <c r="C103" s="20" t="n">
        <v>76345</v>
      </c>
      <c r="D103" s="20" t="n">
        <v>77176</v>
      </c>
      <c r="E103" s="20" t="n">
        <v>78159</v>
      </c>
      <c r="F103" s="20" t="n">
        <v>72274</v>
      </c>
      <c r="G103" s="20" t="n">
        <v>73151</v>
      </c>
      <c r="H103" s="20" t="n">
        <v>66949</v>
      </c>
      <c r="I103" s="20" t="n">
        <v>70251</v>
      </c>
      <c r="J103" s="20" t="n">
        <v>70679</v>
      </c>
      <c r="K103" s="20" t="n">
        <v>74834</v>
      </c>
      <c r="L103" s="20" t="n">
        <v>72274</v>
      </c>
    </row>
    <row r="104">
      <c r="A104" s="18" t="inlineStr">
        <is>
          <t>충당금</t>
        </is>
      </c>
      <c r="C104" s="20" t="n">
        <v>7250</v>
      </c>
      <c r="D104" s="20" t="n">
        <v>7042</v>
      </c>
      <c r="E104" s="20" t="n">
        <v>10300</v>
      </c>
      <c r="F104" s="20" t="n">
        <v>9545</v>
      </c>
      <c r="G104" s="20" t="n">
        <v>9201</v>
      </c>
      <c r="H104" s="20" t="n">
        <v>6470</v>
      </c>
      <c r="I104" s="20" t="n">
        <v>9102</v>
      </c>
      <c r="J104" s="20" t="n">
        <v>8034</v>
      </c>
      <c r="K104" s="20" t="n">
        <v>7435</v>
      </c>
      <c r="L104" s="20" t="n">
        <v>9545</v>
      </c>
    </row>
    <row r="105">
      <c r="A105" s="18" t="inlineStr">
        <is>
          <t>이연법인세부채</t>
        </is>
      </c>
      <c r="C105" s="20" t="n">
        <v>10979</v>
      </c>
      <c r="D105" s="20" t="n">
        <v>11176</v>
      </c>
      <c r="E105" s="20" t="n">
        <v>10483</v>
      </c>
      <c r="F105" s="20" t="n">
        <v>10041</v>
      </c>
      <c r="G105" s="20" t="n">
        <v>9712</v>
      </c>
      <c r="H105" s="20" t="n">
        <v>12082</v>
      </c>
      <c r="I105" s="20" t="n">
        <v>9031</v>
      </c>
      <c r="J105" s="20" t="n">
        <v>10946</v>
      </c>
      <c r="K105" s="20" t="n">
        <v>12081</v>
      </c>
      <c r="L105" s="20" t="n">
        <v>10041</v>
      </c>
    </row>
    <row r="106">
      <c r="A106" s="18" t="inlineStr">
        <is>
          <t>기타비유동부채</t>
        </is>
      </c>
      <c r="C106" s="20" t="n">
        <v>6977</v>
      </c>
      <c r="D106" s="20" t="n">
        <v>6253</v>
      </c>
      <c r="E106" s="20" t="n">
        <v>5750</v>
      </c>
      <c r="F106" s="20" t="n">
        <v>6414</v>
      </c>
      <c r="G106" s="20" t="n">
        <v>7167</v>
      </c>
      <c r="H106" s="20" t="n">
        <v>3361</v>
      </c>
      <c r="I106" s="20" t="n">
        <v>3305</v>
      </c>
      <c r="J106" s="20" t="n">
        <v>4208</v>
      </c>
      <c r="K106" s="20" t="n">
        <v>4309</v>
      </c>
      <c r="L106" s="20" t="n">
        <v>6414</v>
      </c>
    </row>
    <row r="107">
      <c r="A107" s="18" t="inlineStr">
        <is>
          <t>비유동부채 합계</t>
        </is>
      </c>
      <c r="C107" s="20" t="n">
        <v>173595</v>
      </c>
      <c r="D107" s="20" t="n">
        <v>172956</v>
      </c>
      <c r="E107" s="20" t="n">
        <v>173148</v>
      </c>
      <c r="F107" s="20" t="n">
        <v>164804</v>
      </c>
      <c r="G107" s="20" t="n">
        <v>165022</v>
      </c>
      <c r="H107" s="20" t="n">
        <v>244727</v>
      </c>
      <c r="I107" s="20" t="n">
        <v>200453</v>
      </c>
      <c r="J107" s="20" t="n">
        <v>164669</v>
      </c>
      <c r="K107" s="20" t="n">
        <v>171702</v>
      </c>
      <c r="L107" s="20" t="n">
        <v>164804</v>
      </c>
    </row>
    <row r="108">
      <c r="A108" s="18" t="inlineStr">
        <is>
          <t>부채 합계</t>
        </is>
      </c>
      <c r="C108" s="20" t="n">
        <v>414711</v>
      </c>
      <c r="D108" s="20" t="n">
        <v>444157</v>
      </c>
      <c r="E108" s="20" t="n">
        <v>477969</v>
      </c>
      <c r="F108" s="20" t="n">
        <v>481289</v>
      </c>
      <c r="G108" s="20" t="n">
        <v>452610</v>
      </c>
      <c r="H108" s="20" t="n">
        <v>564092</v>
      </c>
      <c r="I108" s="20" t="n">
        <v>498361</v>
      </c>
      <c r="J108" s="20" t="n">
        <v>482286</v>
      </c>
      <c r="K108" s="20" t="n">
        <v>448219</v>
      </c>
      <c r="L108" s="20" t="n">
        <v>481289</v>
      </c>
    </row>
    <row r="109">
      <c r="A109" s="18" t="inlineStr">
        <is>
          <t>자본금</t>
        </is>
      </c>
      <c r="C109" s="20" t="n">
        <v>69444</v>
      </c>
      <c r="D109" s="20" t="n">
        <v>69444</v>
      </c>
      <c r="E109" s="20" t="n">
        <v>69444</v>
      </c>
      <c r="F109" s="20" t="n">
        <v>69444</v>
      </c>
      <c r="G109" s="20" t="n">
        <v>69444</v>
      </c>
      <c r="H109" s="20" t="n">
        <v>69444</v>
      </c>
      <c r="I109" s="20" t="n">
        <v>69444</v>
      </c>
      <c r="J109" s="20" t="n">
        <v>69444</v>
      </c>
      <c r="K109" s="20" t="n">
        <v>69444</v>
      </c>
      <c r="L109" s="20" t="n">
        <v>69444</v>
      </c>
    </row>
    <row r="110">
      <c r="A110" s="18" t="inlineStr">
        <is>
          <t>자본잉여금</t>
        </is>
      </c>
      <c r="C110" s="20" t="n">
        <v>99601</v>
      </c>
      <c r="D110" s="20" t="n">
        <v>99708</v>
      </c>
      <c r="E110" s="20" t="n">
        <v>99962</v>
      </c>
      <c r="F110" s="20" t="n">
        <v>100177</v>
      </c>
      <c r="G110" s="20" t="n">
        <v>100425</v>
      </c>
      <c r="H110" s="20" t="n">
        <v>121004</v>
      </c>
      <c r="I110" s="20" t="n">
        <v>121116</v>
      </c>
      <c r="J110" s="20" t="n">
        <v>121231</v>
      </c>
      <c r="K110" s="20" t="n">
        <v>99354</v>
      </c>
      <c r="L110" s="20" t="n">
        <v>100177</v>
      </c>
    </row>
    <row r="111">
      <c r="A111" s="18" t="inlineStr">
        <is>
          <t>이익잉여금</t>
        </is>
      </c>
      <c r="C111" s="20" t="n">
        <v>2394527</v>
      </c>
      <c r="D111" s="20" t="n">
        <v>2477225</v>
      </c>
      <c r="E111" s="20" t="n">
        <v>2448451</v>
      </c>
      <c r="F111" s="20" t="n">
        <v>2528540</v>
      </c>
      <c r="G111" s="20" t="n">
        <v>2546207</v>
      </c>
      <c r="H111" s="20" t="n">
        <v>2099426</v>
      </c>
      <c r="I111" s="20" t="n">
        <v>2246258</v>
      </c>
      <c r="J111" s="20" t="n">
        <v>2332018</v>
      </c>
      <c r="K111" s="20" t="n">
        <v>2400684</v>
      </c>
      <c r="L111" s="20" t="n">
        <v>2528540</v>
      </c>
    </row>
    <row r="112">
      <c r="A112" s="18" t="inlineStr">
        <is>
          <t>기타자본구성요소</t>
        </is>
      </c>
      <c r="C112" s="20" t="n">
        <v>128032</v>
      </c>
      <c r="D112" s="20" t="n">
        <v>162745</v>
      </c>
      <c r="E112" s="20" t="n">
        <v>231623</v>
      </c>
      <c r="F112" s="20" t="n">
        <v>255634</v>
      </c>
      <c r="G112" s="20" t="n">
        <v>277832</v>
      </c>
      <c r="H112" s="20" t="n">
        <v>3343</v>
      </c>
      <c r="I112" s="20" t="n">
        <v>56661</v>
      </c>
      <c r="J112" s="20" t="n">
        <v>166895</v>
      </c>
      <c r="K112" s="20" t="n">
        <v>146515</v>
      </c>
      <c r="L112" s="20" t="n">
        <v>255634</v>
      </c>
    </row>
    <row r="113">
      <c r="A113" s="18" t="inlineStr">
        <is>
          <t>자기주식</t>
        </is>
      </c>
      <c r="C113" s="20" t="n">
        <v>-172564</v>
      </c>
      <c r="D113" s="20" t="n">
        <v>-212000</v>
      </c>
      <c r="E113" s="20" t="n">
        <v>-235048</v>
      </c>
      <c r="F113" s="20" t="n">
        <v>-235052</v>
      </c>
      <c r="G113" s="20" t="n">
        <v>-235056</v>
      </c>
      <c r="H113" s="20" t="n">
        <v>-53538</v>
      </c>
      <c r="I113" s="20" t="n">
        <v>-133494</v>
      </c>
      <c r="J113" s="20" t="n">
        <v>-133441</v>
      </c>
      <c r="K113" s="20" t="n">
        <v>-135192</v>
      </c>
      <c r="L113" s="20" t="n">
        <v>-235052</v>
      </c>
    </row>
    <row r="114">
      <c r="A114" s="18" t="inlineStr">
        <is>
          <t>지배기업 소유주 귀속 지분 합계</t>
        </is>
      </c>
      <c r="C114" s="20" t="n">
        <v>2519040</v>
      </c>
      <c r="D114" s="20" t="n">
        <v>2597122</v>
      </c>
      <c r="E114" s="20" t="n">
        <v>2614432</v>
      </c>
      <c r="F114" s="20" t="n">
        <v>2718743</v>
      </c>
      <c r="G114" s="20" t="n">
        <v>2758852</v>
      </c>
      <c r="H114" s="20" t="n">
        <v>2239679</v>
      </c>
      <c r="I114" s="20" t="n">
        <v>2359985</v>
      </c>
      <c r="J114" s="20" t="n">
        <v>2556147</v>
      </c>
      <c r="K114" s="20" t="n">
        <v>2580805</v>
      </c>
      <c r="L114" s="20" t="n">
        <v>2718743</v>
      </c>
    </row>
    <row r="115">
      <c r="A115" s="18" t="inlineStr">
        <is>
          <t>비지배지분</t>
        </is>
      </c>
      <c r="C115" s="20" t="n">
        <v>-968</v>
      </c>
      <c r="D115" s="20" t="n">
        <v>-932</v>
      </c>
      <c r="E115" s="20" t="n">
        <v>-885</v>
      </c>
      <c r="F115" s="20" t="n">
        <v>-933</v>
      </c>
      <c r="G115" s="20" t="n">
        <v>-982</v>
      </c>
      <c r="H115" s="20" t="n">
        <v>310</v>
      </c>
      <c r="I115" s="20" t="n">
        <v>-43</v>
      </c>
      <c r="J115" s="20" t="n">
        <v>-538</v>
      </c>
      <c r="K115" s="20" t="n">
        <v>-830</v>
      </c>
      <c r="L115" s="20" t="n">
        <v>-933</v>
      </c>
    </row>
    <row r="116">
      <c r="A116" s="18" t="inlineStr">
        <is>
          <t>자본 합계</t>
        </is>
      </c>
      <c r="C116" s="20" t="n">
        <v>2518072</v>
      </c>
      <c r="D116" s="20" t="n">
        <v>2596190</v>
      </c>
      <c r="E116" s="20" t="n">
        <v>2613547</v>
      </c>
      <c r="F116" s="20" t="n">
        <v>2717810</v>
      </c>
      <c r="G116" s="20" t="n">
        <v>2757870</v>
      </c>
      <c r="H116" s="20" t="n">
        <v>2239989</v>
      </c>
      <c r="I116" s="20" t="n">
        <v>2359942</v>
      </c>
      <c r="J116" s="20" t="n">
        <v>2555609</v>
      </c>
      <c r="K116" s="20" t="n">
        <v>2579975</v>
      </c>
      <c r="L116" s="20" t="n">
        <v>2717810</v>
      </c>
    </row>
    <row r="117">
      <c r="A117" s="18" t="inlineStr">
        <is>
          <t>부채및자본 합계</t>
        </is>
      </c>
      <c r="C117" s="20" t="n">
        <v>2932783</v>
      </c>
      <c r="D117" s="20" t="n">
        <v>3040347</v>
      </c>
      <c r="E117" s="20" t="n">
        <v>3091516</v>
      </c>
      <c r="F117" s="20" t="n">
        <v>3199099</v>
      </c>
      <c r="G117" s="20" t="n">
        <v>3210480</v>
      </c>
      <c r="H117" s="20" t="n">
        <v>2804081</v>
      </c>
      <c r="I117" s="20" t="n">
        <v>2858303</v>
      </c>
      <c r="J117" s="20" t="n">
        <v>3037895</v>
      </c>
      <c r="K117" s="20" t="n">
        <v>3028194</v>
      </c>
      <c r="L117" s="20" t="n">
        <v>3199099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2026-07-31</t>
        </is>
      </c>
      <c r="B4" t="inlineStr">
        <is>
          <t>2027년 3월 결산기 １분기 결산단신</t>
        </is>
      </c>
      <c r="C4" t="inlineStr">
        <is>
          <t>https://www2.jpx.co.jp/disc/69810/140120260730504039.pdf</t>
        </is>
      </c>
    </row>
    <row r="5">
      <c r="A5" t="inlineStr">
        <is>
          <t>2026-04-30</t>
        </is>
      </c>
      <c r="B5" t="inlineStr">
        <is>
          <t>2026년 3월 결산기 연간 결산단신</t>
        </is>
      </c>
      <c r="C5" t="inlineStr">
        <is>
          <t>https://www2.jpx.co.jp/disc/69810/140120260429514111.pdf</t>
        </is>
      </c>
    </row>
    <row r="6">
      <c r="A6" t="inlineStr">
        <is>
          <t>2026-02-02</t>
        </is>
      </c>
      <c r="B6" t="inlineStr">
        <is>
          <t>2026년 3월 결산기 ３분기 결산단신</t>
        </is>
      </c>
      <c r="C6" t="inlineStr">
        <is>
          <t>https://www2.jpx.co.jp/disc/69810/140120260130543860.pdf</t>
        </is>
      </c>
    </row>
    <row r="7">
      <c r="A7" t="inlineStr">
        <is>
          <t>2025-10-31</t>
        </is>
      </c>
      <c r="B7" t="inlineStr">
        <is>
          <t>2026년 3월 결산기 ２분기 결산단신</t>
        </is>
      </c>
      <c r="C7" t="inlineStr">
        <is>
          <t>https://www2.jpx.co.jp/disc/69810/140120251030582771.pdf</t>
        </is>
      </c>
    </row>
    <row r="8">
      <c r="A8" t="inlineStr">
        <is>
          <t>2025-07-30</t>
        </is>
      </c>
      <c r="B8" t="inlineStr">
        <is>
          <t>2026년 3월 결산기 １분기 결산단신</t>
        </is>
      </c>
      <c r="C8" t="inlineStr">
        <is>
          <t>https://www2.jpx.co.jp/disc/69810/140120250729522460.pdf</t>
        </is>
      </c>
    </row>
    <row r="9">
      <c r="A9" t="inlineStr">
        <is>
          <t>2025-04-30</t>
        </is>
      </c>
      <c r="B9" t="inlineStr">
        <is>
          <t>2025년 3월 결산기 연간 결산단신</t>
        </is>
      </c>
      <c r="C9" t="inlineStr">
        <is>
          <t>https://www2.jpx.co.jp/disc/69810/140120250429526954.pdf</t>
        </is>
      </c>
    </row>
    <row r="10">
      <c r="A10" t="inlineStr">
        <is>
          <t>2025-02-03</t>
        </is>
      </c>
      <c r="B10" t="inlineStr">
        <is>
          <t>2025년 3월 결산기 ３분기 결산단신</t>
        </is>
      </c>
      <c r="C10" t="inlineStr">
        <is>
          <t>https://www2.jpx.co.jp/disc/69810/140120250131560194.pdf</t>
        </is>
      </c>
    </row>
    <row r="11">
      <c r="A11" t="inlineStr">
        <is>
          <t>2024-11-01</t>
        </is>
      </c>
      <c r="B11" t="inlineStr">
        <is>
          <t>2025년 3월 결산기 ２분기 결산단신</t>
        </is>
      </c>
      <c r="C11" t="inlineStr">
        <is>
          <t>https://www2.jpx.co.jp/disc/69810/140120241031507455.pdf</t>
        </is>
      </c>
    </row>
    <row r="12">
      <c r="A12" t="inlineStr">
        <is>
          <t>2024-07-30</t>
        </is>
      </c>
      <c r="B12" t="inlineStr">
        <is>
          <t>2025년 3월 결산기 １분기 결산단신</t>
        </is>
      </c>
      <c r="C12" t="inlineStr">
        <is>
          <t>https://www2.jpx.co.jp/disc/69810/140120240722552751.pdf</t>
        </is>
      </c>
    </row>
    <row r="13">
      <c r="A13" t="inlineStr">
        <is>
          <t>2024-04-26</t>
        </is>
      </c>
      <c r="B13" t="inlineStr">
        <is>
          <t>2024년 3월 결산기 연간 결산단신</t>
        </is>
      </c>
      <c r="C13" t="inlineStr">
        <is>
          <t>https://www2.jpx.co.jp/disc/69810/140120240424575779.pdf</t>
        </is>
      </c>
    </row>
    <row r="14">
      <c r="A14" t="inlineStr">
        <is>
          <t>2024-02-02</t>
        </is>
      </c>
      <c r="B14" t="inlineStr">
        <is>
          <t>2024년 3월 결산기 ３분기 결산단신</t>
        </is>
      </c>
      <c r="C14" t="inlineStr">
        <is>
          <t>https://www2.jpx.co.jp/disc/69810/140120240131523457.pdf</t>
        </is>
      </c>
    </row>
    <row r="15">
      <c r="A15" t="inlineStr">
        <is>
          <t>2023-10-31</t>
        </is>
      </c>
      <c r="B15" t="inlineStr">
        <is>
          <t>2024년 3월 결산기 ２분기 결산단신</t>
        </is>
      </c>
      <c r="C15" t="inlineStr">
        <is>
          <t>https://www2.jpx.co.jp/disc/69810/140120231030574197.pdf</t>
        </is>
      </c>
    </row>
    <row r="16">
      <c r="A16" t="inlineStr">
        <is>
          <t>2023-07-31</t>
        </is>
      </c>
      <c r="B16" t="inlineStr">
        <is>
          <t>2024년 3월 결산기 １분기 결산단신</t>
        </is>
      </c>
      <c r="C16" t="inlineStr">
        <is>
          <t>https://www2.jpx.co.jp/disc/69810/140120230728529300.pdf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2026-10-26T10:58:27Z</dcterms:created>
  <dcterms:modified xmlns:dcterms="http://purl.org/dc/terms/" xmlns:xsi="http://www.w3.org/2001/XMLSchema-instance" xsi:type="dcterms:W3CDTF">2026-10-26T10:58:27Z</dcterms:modified>
</cp:coreProperties>
</file>