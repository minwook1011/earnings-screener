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6981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442656</v>
      </c>
      <c r="D4" s="12" t="n">
        <v>439394</v>
      </c>
      <c r="E4" s="12" t="n">
        <v>390414</v>
      </c>
      <c r="F4" s="12" t="n">
        <v>421707</v>
      </c>
      <c r="G4" s="12" t="n">
        <v>461774</v>
      </c>
      <c r="H4" s="12" t="n">
        <v>448008</v>
      </c>
      <c r="I4" s="12" t="n">
        <v>411863</v>
      </c>
      <c r="J4" s="12" t="n">
        <v>416154</v>
      </c>
      <c r="K4" s="12" t="n">
        <v>486624</v>
      </c>
      <c r="L4" s="12" t="n">
        <v>467454</v>
      </c>
      <c r="M4" s="12" t="n">
        <v>460624</v>
      </c>
      <c r="N4" s="12" t="n">
        <v>502264</v>
      </c>
      <c r="O4" s="11" t="n"/>
      <c r="P4" s="12" t="n"/>
      <c r="Q4" s="12" t="n"/>
      <c r="R4" s="12" t="n"/>
      <c r="S4" s="12" t="n"/>
      <c r="T4" s="12" t="n"/>
      <c r="U4" s="12" t="n">
        <v>1686796</v>
      </c>
      <c r="V4" s="12" t="n">
        <v>1640158</v>
      </c>
      <c r="W4" s="12" t="n">
        <v>1743352</v>
      </c>
      <c r="X4" s="12" t="n">
        <v>1830856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Components</t>
        </is>
      </c>
      <c r="B7" s="10" t="n"/>
      <c r="C7" s="19" t="n">
        <v>245403</v>
      </c>
      <c r="D7" s="20" t="n">
        <v>246225</v>
      </c>
      <c r="E7" s="20" t="n"/>
      <c r="F7" s="20" t="n">
        <v>251596</v>
      </c>
      <c r="G7" s="20" t="n">
        <v>266768</v>
      </c>
      <c r="H7" s="20" t="n">
        <v>264585</v>
      </c>
      <c r="I7" s="20" t="n"/>
      <c r="J7" s="20" t="n">
        <v>269818</v>
      </c>
      <c r="K7" s="20" t="n">
        <v>295830</v>
      </c>
      <c r="L7" s="20" t="n">
        <v>295493</v>
      </c>
      <c r="M7" s="20" t="n"/>
      <c r="N7" s="20" t="n">
        <v>346762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Devices And Modules</t>
        </is>
      </c>
      <c r="B10" s="10" t="n"/>
      <c r="C10" s="19" t="n">
        <v>194376</v>
      </c>
      <c r="D10" s="20" t="n">
        <v>190271</v>
      </c>
      <c r="E10" s="20" t="n"/>
      <c r="F10" s="20" t="n">
        <v>167173</v>
      </c>
      <c r="G10" s="20" t="n">
        <v>191422</v>
      </c>
      <c r="H10" s="20" t="n">
        <v>180050</v>
      </c>
      <c r="I10" s="20" t="n"/>
      <c r="J10" s="20" t="n">
        <v>142634</v>
      </c>
      <c r="K10" s="20" t="n">
        <v>187131</v>
      </c>
      <c r="L10" s="20" t="n">
        <v>168241</v>
      </c>
      <c r="M10" s="20" t="n"/>
      <c r="N10" s="20" t="n">
        <v>151428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OtherReportableSegmentsMember</t>
        </is>
      </c>
      <c r="B13" s="10" t="n"/>
      <c r="C13" s="19" t="n">
        <v>2877</v>
      </c>
      <c r="D13" s="20" t="n">
        <v>2898</v>
      </c>
      <c r="E13" s="20" t="n">
        <v>2867</v>
      </c>
      <c r="F13" s="20" t="n">
        <v>2938</v>
      </c>
      <c r="G13" s="20" t="n">
        <v>3584</v>
      </c>
      <c r="H13" s="20" t="n">
        <v>3373</v>
      </c>
      <c r="I13" s="20" t="n">
        <v>3174</v>
      </c>
      <c r="J13" s="20" t="n">
        <v>3702</v>
      </c>
      <c r="K13" s="20" t="n">
        <v>3663</v>
      </c>
      <c r="L13" s="20" t="n">
        <v>3720</v>
      </c>
      <c r="M13" s="20" t="n">
        <v>4071</v>
      </c>
      <c r="N13" s="20" t="n">
        <v>4074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11151</v>
      </c>
      <c r="W13" s="20" t="n">
        <v>13069</v>
      </c>
      <c r="X13" s="20" t="n">
        <v>15156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Components Reportable Segments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933771</v>
      </c>
      <c r="W16" s="20" t="n">
        <v>1033118</v>
      </c>
      <c r="X16" s="20" t="n">
        <v>1159734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Devices And Modules Reportable Segments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695236</v>
      </c>
      <c r="W19" s="20" t="n">
        <v>697165</v>
      </c>
      <c r="X19" s="20" t="n">
        <v>655966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263187</v>
      </c>
      <c r="D23" s="20" t="n">
        <v>270116</v>
      </c>
      <c r="E23" s="20" t="n">
        <v>246078</v>
      </c>
      <c r="F23" s="20" t="n">
        <v>252260</v>
      </c>
      <c r="G23" s="20" t="n">
        <v>262761</v>
      </c>
      <c r="H23" s="20" t="n">
        <v>267341</v>
      </c>
      <c r="I23" s="20" t="n">
        <v>243288</v>
      </c>
      <c r="J23" s="20" t="n">
        <v>243494</v>
      </c>
      <c r="K23" s="20" t="n">
        <v>278432</v>
      </c>
      <c r="L23" s="20" t="n">
        <v>272587</v>
      </c>
      <c r="M23" s="20" t="n">
        <v>261517</v>
      </c>
      <c r="N23" s="20" t="n">
        <v>272315</v>
      </c>
      <c r="O23" s="19" t="n"/>
      <c r="P23" s="20" t="n"/>
      <c r="Q23" s="20" t="n"/>
      <c r="R23" s="20" t="n"/>
      <c r="S23" s="20" t="n"/>
      <c r="T23" s="20" t="n"/>
      <c r="U23" s="20" t="n">
        <v>1013262</v>
      </c>
      <c r="V23" s="20" t="n">
        <v>1003361</v>
      </c>
      <c r="W23" s="20" t="n">
        <v>1025650</v>
      </c>
      <c r="X23" s="20" t="n">
        <v>1056030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58452</v>
      </c>
      <c r="D29" s="20" t="n">
        <v>60925</v>
      </c>
      <c r="E29" s="20" t="n">
        <v>62728</v>
      </c>
      <c r="F29" s="20" t="n">
        <v>69838</v>
      </c>
      <c r="G29" s="20" t="n">
        <v>65301</v>
      </c>
      <c r="H29" s="20" t="n">
        <v>68992</v>
      </c>
      <c r="I29" s="20" t="n">
        <v>73550</v>
      </c>
      <c r="J29" s="20" t="n">
        <v>71354</v>
      </c>
      <c r="K29" s="20" t="n">
        <v>66926</v>
      </c>
      <c r="L29" s="20" t="n">
        <v>73346</v>
      </c>
      <c r="M29" s="20" t="n">
        <v>85021</v>
      </c>
      <c r="N29" s="20" t="n">
        <v>86308</v>
      </c>
      <c r="O29" s="19" t="n"/>
      <c r="P29" s="20" t="n"/>
      <c r="Q29" s="20" t="n"/>
      <c r="R29" s="20" t="n"/>
      <c r="S29" s="20" t="n"/>
      <c r="T29" s="20" t="n"/>
      <c r="U29" s="20" t="n">
        <v>255837</v>
      </c>
      <c r="V29" s="20" t="n">
        <v>243193</v>
      </c>
      <c r="W29" s="20" t="n">
        <v>277681</v>
      </c>
      <c r="X29" s="20" t="n">
        <v>296647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88811</v>
      </c>
      <c r="D31" s="12" t="n">
        <v>76197</v>
      </c>
      <c r="E31" s="12" t="n">
        <v>328</v>
      </c>
      <c r="F31" s="12" t="n">
        <v>66375</v>
      </c>
      <c r="G31" s="12" t="n">
        <v>91797</v>
      </c>
      <c r="H31" s="12" t="n">
        <v>75989</v>
      </c>
      <c r="I31" s="12" t="n">
        <v>45541</v>
      </c>
      <c r="J31" s="12" t="n">
        <v>61621</v>
      </c>
      <c r="K31" s="12" t="n">
        <v>103515</v>
      </c>
      <c r="L31" s="12" t="n">
        <v>37876</v>
      </c>
      <c r="M31" s="12" t="n">
        <v>78823</v>
      </c>
      <c r="N31" s="12" t="n">
        <v>98454</v>
      </c>
      <c r="O31" s="11" t="n"/>
      <c r="P31" s="12" t="n"/>
      <c r="Q31" s="12" t="n"/>
      <c r="R31" s="12" t="n"/>
      <c r="S31" s="12" t="n"/>
      <c r="T31" s="12" t="n"/>
      <c r="U31" s="12" t="n">
        <v>298231</v>
      </c>
      <c r="V31" s="12" t="n">
        <v>215447</v>
      </c>
      <c r="W31" s="12" t="n">
        <v>279702</v>
      </c>
      <c r="X31" s="12" t="n">
        <v>281835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>
        <v>2584</v>
      </c>
      <c r="D47" s="20" t="n">
        <v>1459</v>
      </c>
      <c r="E47" s="20" t="n">
        <v>1885</v>
      </c>
      <c r="F47" s="20" t="n">
        <v>8524</v>
      </c>
      <c r="G47" s="20" t="n">
        <v>2643</v>
      </c>
      <c r="H47" s="20" t="n">
        <v>1387</v>
      </c>
      <c r="I47" s="20" t="n">
        <v>3940</v>
      </c>
      <c r="J47" s="20" t="n">
        <v>1408</v>
      </c>
      <c r="K47" s="20" t="n">
        <v>2270</v>
      </c>
      <c r="L47" s="20" t="n">
        <v>5176</v>
      </c>
      <c r="M47" s="20" t="n">
        <v>8659</v>
      </c>
      <c r="N47" s="20" t="n">
        <v>1819</v>
      </c>
      <c r="O47" s="19" t="n"/>
      <c r="P47" s="20" t="n"/>
      <c r="Q47" s="20" t="n"/>
      <c r="R47" s="20" t="n"/>
      <c r="S47" s="20" t="n"/>
      <c r="T47" s="20" t="n"/>
      <c r="U47" s="20" t="n">
        <v>9463</v>
      </c>
      <c r="V47" s="20" t="n">
        <v>7269</v>
      </c>
      <c r="W47" s="20" t="n">
        <v>16494</v>
      </c>
      <c r="X47" s="20" t="n">
        <v>17513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>
        <v>1184</v>
      </c>
      <c r="D49" s="20" t="n">
        <v>154</v>
      </c>
      <c r="E49" s="20" t="n">
        <v>50461</v>
      </c>
      <c r="F49" s="20" t="n">
        <v>3906</v>
      </c>
      <c r="G49" s="20" t="n">
        <v>8845</v>
      </c>
      <c r="H49" s="20" t="n">
        <v>810</v>
      </c>
      <c r="I49" s="20" t="n">
        <v>13978</v>
      </c>
      <c r="J49" s="20" t="n">
        <v>1274</v>
      </c>
      <c r="K49" s="20" t="n">
        <v>1845</v>
      </c>
      <c r="L49" s="20" t="n">
        <v>49080</v>
      </c>
      <c r="M49" s="20" t="n">
        <v>2788</v>
      </c>
      <c r="N49" s="20" t="n">
        <v>2131</v>
      </c>
      <c r="O49" s="19" t="n"/>
      <c r="P49" s="20" t="n"/>
      <c r="Q49" s="20" t="n"/>
      <c r="R49" s="20" t="n"/>
      <c r="S49" s="20" t="n"/>
      <c r="T49" s="20" t="n"/>
      <c r="U49" s="20" t="n">
        <v>4269</v>
      </c>
      <c r="V49" s="20" t="n">
        <v>52924</v>
      </c>
      <c r="W49" s="20" t="n">
        <v>27539</v>
      </c>
      <c r="X49" s="20" t="n">
        <v>54987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>
        <v>9999</v>
      </c>
      <c r="D51" s="20" t="n">
        <v>-11205</v>
      </c>
      <c r="E51" s="20" t="n">
        <v>16417</v>
      </c>
      <c r="F51" s="20" t="n">
        <v>17709</v>
      </c>
      <c r="G51" s="20" t="n">
        <v>-8595</v>
      </c>
      <c r="H51" s="20" t="n">
        <v>27137</v>
      </c>
      <c r="I51" s="20" t="n">
        <v>-6883</v>
      </c>
      <c r="J51" s="20" t="n">
        <v>5948</v>
      </c>
      <c r="K51" s="20" t="n">
        <v>5101</v>
      </c>
      <c r="L51" s="20" t="n">
        <v>12170</v>
      </c>
      <c r="M51" s="20" t="n">
        <v>6763</v>
      </c>
      <c r="N51" s="20" t="n">
        <v>11582</v>
      </c>
      <c r="O51" s="19" t="n"/>
      <c r="P51" s="20" t="n"/>
      <c r="Q51" s="20" t="n"/>
      <c r="R51" s="20" t="n"/>
      <c r="S51" s="20" t="n"/>
      <c r="T51" s="20" t="n"/>
      <c r="U51" s="20" t="n">
        <v>7788</v>
      </c>
      <c r="V51" s="20" t="n">
        <v>28392</v>
      </c>
      <c r="W51" s="20" t="n">
        <v>29368</v>
      </c>
      <c r="X51" s="20" t="n">
        <v>29982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>
        <v>353</v>
      </c>
      <c r="D53" s="20" t="n">
        <v>788</v>
      </c>
      <c r="E53" s="20" t="n">
        <v>2801</v>
      </c>
      <c r="F53" s="20" t="n">
        <v>533</v>
      </c>
      <c r="G53" s="20" t="n">
        <v>2759</v>
      </c>
      <c r="H53" s="20" t="n">
        <v>-1397</v>
      </c>
      <c r="I53" s="20" t="n">
        <v>2880</v>
      </c>
      <c r="J53" s="20" t="n">
        <v>5261</v>
      </c>
      <c r="K53" s="20" t="n">
        <v>-3840</v>
      </c>
      <c r="L53" s="20" t="n">
        <v>517</v>
      </c>
      <c r="M53" s="20" t="n">
        <v>1251</v>
      </c>
      <c r="N53" s="20" t="n">
        <v>807</v>
      </c>
      <c r="O53" s="19" t="n"/>
      <c r="P53" s="20" t="n"/>
      <c r="Q53" s="20" t="n"/>
      <c r="R53" s="20" t="n"/>
      <c r="S53" s="20" t="n"/>
      <c r="T53" s="20" t="n"/>
      <c r="U53" s="20" t="n">
        <v>3336</v>
      </c>
      <c r="V53" s="20" t="n">
        <v>4466</v>
      </c>
      <c r="W53" s="20" t="n">
        <v>4775</v>
      </c>
      <c r="X53" s="20" t="n">
        <v>3189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98456</v>
      </c>
      <c r="D55" s="12" t="n">
        <v>64210</v>
      </c>
      <c r="E55" s="12" t="n">
        <v>13970</v>
      </c>
      <c r="F55" s="12" t="n">
        <v>83566</v>
      </c>
      <c r="G55" s="12" t="n">
        <v>80463</v>
      </c>
      <c r="H55" s="12" t="n">
        <v>104528</v>
      </c>
      <c r="I55" s="12" t="n">
        <v>35847</v>
      </c>
      <c r="J55" s="12" t="n">
        <v>62322</v>
      </c>
      <c r="K55" s="12" t="n">
        <v>112460</v>
      </c>
      <c r="L55" s="12" t="n">
        <v>49509</v>
      </c>
      <c r="M55" s="12" t="n">
        <v>84352</v>
      </c>
      <c r="N55" s="12" t="n">
        <v>109233</v>
      </c>
      <c r="O55" s="11" t="n"/>
      <c r="P55" s="12" t="n"/>
      <c r="Q55" s="12" t="n"/>
      <c r="R55" s="12" t="n"/>
      <c r="S55" s="12" t="n"/>
      <c r="T55" s="12" t="n"/>
      <c r="U55" s="12" t="n">
        <v>302683</v>
      </c>
      <c r="V55" s="12" t="n">
        <v>239404</v>
      </c>
      <c r="W55" s="12" t="n">
        <v>304404</v>
      </c>
      <c r="X55" s="12" t="n">
        <v>308643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23475</v>
      </c>
      <c r="D57" s="20" t="n">
        <v>14916</v>
      </c>
      <c r="E57" s="20" t="n">
        <v>7851</v>
      </c>
      <c r="F57" s="20" t="n">
        <v>17289</v>
      </c>
      <c r="G57" s="20" t="n">
        <v>17086</v>
      </c>
      <c r="H57" s="20" t="n">
        <v>33615</v>
      </c>
      <c r="I57" s="20" t="n">
        <v>3441</v>
      </c>
      <c r="J57" s="20" t="n">
        <v>12651</v>
      </c>
      <c r="K57" s="20" t="n">
        <v>29790</v>
      </c>
      <c r="L57" s="20" t="n">
        <v>24563</v>
      </c>
      <c r="M57" s="20" t="n">
        <v>7858</v>
      </c>
      <c r="N57" s="20" t="n">
        <v>27888</v>
      </c>
      <c r="O57" s="19" t="n"/>
      <c r="P57" s="20" t="n"/>
      <c r="Q57" s="20" t="n"/>
      <c r="R57" s="20" t="n"/>
      <c r="S57" s="20" t="n"/>
      <c r="T57" s="20" t="n"/>
      <c r="U57" s="20" t="n">
        <v>59035</v>
      </c>
      <c r="V57" s="20" t="n">
        <v>59068</v>
      </c>
      <c r="W57" s="20" t="n">
        <v>71431</v>
      </c>
      <c r="X57" s="20" t="n">
        <v>74862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74981</v>
      </c>
      <c r="D59" s="12" t="n">
        <v>49294</v>
      </c>
      <c r="E59" s="12" t="n">
        <v>6119</v>
      </c>
      <c r="F59" s="12" t="n">
        <v>66277</v>
      </c>
      <c r="G59" s="12" t="n">
        <v>63377</v>
      </c>
      <c r="H59" s="12" t="n">
        <v>70913</v>
      </c>
      <c r="I59" s="12" t="n">
        <v>32406</v>
      </c>
      <c r="J59" s="12" t="n">
        <v>49671</v>
      </c>
      <c r="K59" s="12" t="n">
        <v>82670</v>
      </c>
      <c r="L59" s="12" t="n">
        <v>24946</v>
      </c>
      <c r="M59" s="12" t="n">
        <v>76494</v>
      </c>
      <c r="N59" s="12" t="n">
        <v>81345</v>
      </c>
      <c r="O59" s="11" t="n"/>
      <c r="P59" s="12" t="n"/>
      <c r="Q59" s="12" t="n"/>
      <c r="R59" s="12" t="n"/>
      <c r="S59" s="12" t="n"/>
      <c r="T59" s="12" t="n"/>
      <c r="U59" s="12" t="n">
        <v>243648</v>
      </c>
      <c r="V59" s="12" t="n">
        <v>180336</v>
      </c>
      <c r="W59" s="12" t="n">
        <v>232973</v>
      </c>
      <c r="X59" s="12" t="n">
        <v>233781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75055</v>
      </c>
      <c r="D61" s="12" t="n">
        <v>49359</v>
      </c>
      <c r="E61" s="12" t="n">
        <v>6326</v>
      </c>
      <c r="F61" s="12" t="n">
        <v>66365</v>
      </c>
      <c r="G61" s="12" t="n">
        <v>63955</v>
      </c>
      <c r="H61" s="12" t="n">
        <v>71002</v>
      </c>
      <c r="I61" s="12" t="n">
        <v>32496</v>
      </c>
      <c r="J61" s="12" t="n">
        <v>49714</v>
      </c>
      <c r="K61" s="12" t="n">
        <v>82665</v>
      </c>
      <c r="L61" s="12" t="n">
        <v>24969</v>
      </c>
      <c r="M61" s="12" t="n">
        <v>76572</v>
      </c>
      <c r="N61" s="12" t="n">
        <v>81377</v>
      </c>
      <c r="O61" s="11" t="n"/>
      <c r="P61" s="12" t="n"/>
      <c r="Q61" s="12" t="n"/>
      <c r="R61" s="12" t="n"/>
      <c r="S61" s="12" t="n"/>
      <c r="T61" s="12" t="n"/>
      <c r="U61" s="12" t="n">
        <v>243946</v>
      </c>
      <c r="V61" s="12" t="n">
        <v>180838</v>
      </c>
      <c r="W61" s="12" t="n">
        <v>233818</v>
      </c>
      <c r="X61" s="12" t="n">
        <v>233920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6730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1963001843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매출수익</t>
        </is>
      </c>
      <c r="C96" s="12" t="n">
        <v>442656</v>
      </c>
      <c r="D96" s="12" t="n">
        <v>439394</v>
      </c>
      <c r="E96" s="12" t="n">
        <v>390414</v>
      </c>
      <c r="F96" s="12" t="n">
        <v>421707</v>
      </c>
      <c r="G96" s="12" t="n">
        <v>461774</v>
      </c>
      <c r="H96" s="12" t="n">
        <v>448008</v>
      </c>
      <c r="I96" s="12" t="n">
        <v>411863</v>
      </c>
      <c r="J96" s="12" t="n">
        <v>416154</v>
      </c>
      <c r="K96" s="12" t="n">
        <v>486624</v>
      </c>
      <c r="L96" s="12" t="n">
        <v>467454</v>
      </c>
      <c r="M96" s="12" t="n">
        <v>460624</v>
      </c>
      <c r="N96" s="12" t="n">
        <v>502264</v>
      </c>
      <c r="U96" s="12" t="n">
        <v>347594</v>
      </c>
      <c r="V96" s="12" t="n">
        <v>390414</v>
      </c>
      <c r="W96" s="12" t="n">
        <v>411863</v>
      </c>
      <c r="X96" s="12" t="n">
        <v>460624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263187</v>
      </c>
      <c r="D98" s="20" t="n">
        <v>270116</v>
      </c>
      <c r="E98" s="20" t="n">
        <v>246078</v>
      </c>
      <c r="F98" s="20" t="n">
        <v>252260</v>
      </c>
      <c r="G98" s="20" t="n">
        <v>262761</v>
      </c>
      <c r="H98" s="20" t="n">
        <v>267341</v>
      </c>
      <c r="I98" s="20" t="n">
        <v>243288</v>
      </c>
      <c r="J98" s="20" t="n">
        <v>243494</v>
      </c>
      <c r="K98" s="20" t="n">
        <v>278432</v>
      </c>
      <c r="L98" s="20" t="n">
        <v>272587</v>
      </c>
      <c r="M98" s="20" t="n">
        <v>261517</v>
      </c>
      <c r="N98" s="20" t="n">
        <v>272315</v>
      </c>
      <c r="U98" s="20" t="n">
        <v>231838</v>
      </c>
      <c r="V98" s="20" t="n">
        <v>246078</v>
      </c>
      <c r="W98" s="20" t="n">
        <v>243288</v>
      </c>
      <c r="X98" s="20" t="n">
        <v>261517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179469</v>
      </c>
      <c r="D100" s="12" t="n">
        <v>169278</v>
      </c>
      <c r="E100" s="12" t="n">
        <v>144336</v>
      </c>
      <c r="F100" s="12" t="n">
        <v>169447</v>
      </c>
      <c r="G100" s="12" t="n">
        <v>199013</v>
      </c>
      <c r="H100" s="12" t="n">
        <v>180667</v>
      </c>
      <c r="I100" s="12" t="n">
        <v>168575</v>
      </c>
      <c r="J100" s="12" t="n">
        <v>172660</v>
      </c>
      <c r="K100" s="12" t="n">
        <v>208192</v>
      </c>
      <c r="L100" s="12" t="n">
        <v>194867</v>
      </c>
      <c r="M100" s="12" t="n">
        <v>199107</v>
      </c>
      <c r="N100" s="12" t="n">
        <v>229949</v>
      </c>
      <c r="U100" s="12" t="n">
        <v>115756</v>
      </c>
      <c r="V100" s="12" t="n">
        <v>144336</v>
      </c>
      <c r="W100" s="12" t="n">
        <v>168575</v>
      </c>
      <c r="X100" s="12" t="n">
        <v>199107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58452</v>
      </c>
      <c r="D102" s="20" t="n">
        <v>60925</v>
      </c>
      <c r="E102" s="20" t="n">
        <v>62728</v>
      </c>
      <c r="F102" s="20" t="n">
        <v>69838</v>
      </c>
      <c r="G102" s="20" t="n">
        <v>65301</v>
      </c>
      <c r="H102" s="20" t="n">
        <v>68992</v>
      </c>
      <c r="I102" s="20" t="n">
        <v>73550</v>
      </c>
      <c r="J102" s="20" t="n">
        <v>71354</v>
      </c>
      <c r="K102" s="20" t="n">
        <v>66926</v>
      </c>
      <c r="L102" s="20" t="n">
        <v>73346</v>
      </c>
      <c r="M102" s="20" t="n">
        <v>85021</v>
      </c>
      <c r="N102" s="20" t="n">
        <v>86308</v>
      </c>
      <c r="U102" s="20" t="n">
        <v>65497</v>
      </c>
      <c r="V102" s="20" t="n">
        <v>62728</v>
      </c>
      <c r="W102" s="20" t="n">
        <v>73550</v>
      </c>
      <c r="X102" s="20" t="n">
        <v>85021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18" t="inlineStr">
        <is>
          <t>연구개발비</t>
        </is>
      </c>
      <c r="C104" s="20" t="n">
        <v>33606</v>
      </c>
      <c r="D104" s="20" t="n">
        <v>33461</v>
      </c>
      <c r="E104" s="20" t="n">
        <v>32704</v>
      </c>
      <c r="F104" s="20" t="n">
        <v>37852</v>
      </c>
      <c r="G104" s="20" t="n">
        <v>35713</v>
      </c>
      <c r="H104" s="20" t="n">
        <v>36263</v>
      </c>
      <c r="I104" s="20" t="n">
        <v>39446</v>
      </c>
      <c r="J104" s="20" t="n">
        <v>39819</v>
      </c>
      <c r="K104" s="20" t="n">
        <v>38176</v>
      </c>
      <c r="L104" s="20" t="n">
        <v>39741</v>
      </c>
      <c r="M104" s="20" t="n">
        <v>41134</v>
      </c>
      <c r="N104" s="20" t="n">
        <v>44875</v>
      </c>
      <c r="U104" s="20" t="n">
        <v>32401</v>
      </c>
      <c r="V104" s="20" t="n">
        <v>32704</v>
      </c>
      <c r="W104" s="20" t="n">
        <v>39446</v>
      </c>
      <c r="X104" s="20" t="n">
        <v>41134</v>
      </c>
    </row>
    <row r="105">
      <c r="A105" s="18" t="inlineStr">
        <is>
          <t>기타수익</t>
        </is>
      </c>
      <c r="C105" s="20" t="n">
        <v>2584</v>
      </c>
      <c r="D105" s="20" t="n">
        <v>1459</v>
      </c>
      <c r="E105" s="20" t="n">
        <v>1885</v>
      </c>
      <c r="F105" s="20" t="n">
        <v>8524</v>
      </c>
      <c r="G105" s="20" t="n">
        <v>2643</v>
      </c>
      <c r="H105" s="20" t="n">
        <v>1387</v>
      </c>
      <c r="I105" s="20" t="n">
        <v>3940</v>
      </c>
      <c r="J105" s="20" t="n">
        <v>1408</v>
      </c>
      <c r="K105" s="20" t="n">
        <v>2270</v>
      </c>
      <c r="L105" s="20" t="n">
        <v>5176</v>
      </c>
      <c r="M105" s="20" t="n">
        <v>8659</v>
      </c>
      <c r="N105" s="20" t="n">
        <v>1819</v>
      </c>
      <c r="U105" s="20" t="n">
        <v>2781</v>
      </c>
      <c r="V105" s="20" t="n">
        <v>1885</v>
      </c>
      <c r="W105" s="20" t="n">
        <v>3940</v>
      </c>
      <c r="X105" s="20" t="n">
        <v>8659</v>
      </c>
    </row>
    <row r="106">
      <c r="A106" s="18" t="inlineStr">
        <is>
          <t>기타비용</t>
        </is>
      </c>
      <c r="C106" s="20" t="n">
        <v>1184</v>
      </c>
      <c r="D106" s="20" t="n">
        <v>154</v>
      </c>
      <c r="E106" s="20" t="n">
        <v>50461</v>
      </c>
      <c r="F106" s="20" t="n">
        <v>3906</v>
      </c>
      <c r="G106" s="20" t="n">
        <v>8845</v>
      </c>
      <c r="H106" s="20" t="n">
        <v>810</v>
      </c>
      <c r="I106" s="20" t="n">
        <v>13978</v>
      </c>
      <c r="J106" s="20" t="n">
        <v>1274</v>
      </c>
      <c r="K106" s="20" t="n">
        <v>1845</v>
      </c>
      <c r="L106" s="20" t="n">
        <v>49080</v>
      </c>
      <c r="M106" s="20" t="n">
        <v>2788</v>
      </c>
      <c r="N106" s="20" t="n">
        <v>2131</v>
      </c>
      <c r="U106" s="20" t="n">
        <v>1437</v>
      </c>
      <c r="V106" s="20" t="n">
        <v>50461</v>
      </c>
      <c r="W106" s="20" t="n">
        <v>13978</v>
      </c>
      <c r="X106" s="20" t="n">
        <v>2788</v>
      </c>
    </row>
    <row r="107">
      <c r="A107" s="18" t="inlineStr">
        <is>
          <t>영업이익</t>
        </is>
      </c>
      <c r="C107" s="20" t="n">
        <v>88811</v>
      </c>
      <c r="D107" s="20" t="n">
        <v>76197</v>
      </c>
      <c r="E107" s="20" t="n">
        <v>328</v>
      </c>
      <c r="F107" s="20" t="n">
        <v>66375</v>
      </c>
      <c r="G107" s="20" t="n">
        <v>91797</v>
      </c>
      <c r="H107" s="20" t="n">
        <v>75989</v>
      </c>
      <c r="I107" s="20" t="n">
        <v>45541</v>
      </c>
      <c r="J107" s="20" t="n">
        <v>61621</v>
      </c>
      <c r="K107" s="20" t="n">
        <v>103515</v>
      </c>
      <c r="L107" s="20" t="n">
        <v>37876</v>
      </c>
      <c r="M107" s="20" t="n">
        <v>78823</v>
      </c>
      <c r="N107" s="20" t="n">
        <v>98454</v>
      </c>
      <c r="U107" s="20" t="n">
        <v>19202</v>
      </c>
      <c r="V107" s="20" t="n">
        <v>328</v>
      </c>
      <c r="W107" s="20" t="n">
        <v>45541</v>
      </c>
      <c r="X107" s="20" t="n">
        <v>78823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IF(OR(C107="",C96=""),"",IF(C96&lt;=0,"",IFERROR(C107/C96,"")))</f>
        <v/>
      </c>
      <c r="D108" s="15">
        <f>IF(OR(D107="",D96=""),"",IF(D96&lt;=0,"",IFERROR(D107/D96,"")))</f>
        <v/>
      </c>
      <c r="E108" s="15">
        <f>IF(OR(E107="",E96=""),"",IF(E96&lt;=0,"",IFERROR(E107/E96,"")))</f>
        <v/>
      </c>
      <c r="F108" s="15">
        <f>IF(OR(F107="",F96=""),"",IF(F96&lt;=0,"",IFERROR(F107/F96,"")))</f>
        <v/>
      </c>
      <c r="G108" s="15">
        <f>IF(OR(G107="",G96=""),"",IF(G96&lt;=0,"",IFERROR(G107/G96,"")))</f>
        <v/>
      </c>
      <c r="H108" s="15">
        <f>IF(OR(H107="",H96=""),"",IF(H96&lt;=0,"",IFERROR(H107/H96,"")))</f>
        <v/>
      </c>
      <c r="I108" s="15">
        <f>IF(OR(I107="",I96=""),"",IF(I96&lt;=0,"",IFERROR(I107/I96,"")))</f>
        <v/>
      </c>
      <c r="J108" s="15">
        <f>IF(OR(J107="",J96=""),"",IF(J96&lt;=0,"",IFERROR(J107/J96,"")))</f>
        <v/>
      </c>
      <c r="K108" s="15">
        <f>IF(OR(K107="",K96=""),"",IF(K96&lt;=0,"",IFERROR(K107/K96,"")))</f>
        <v/>
      </c>
      <c r="L108" s="15">
        <f>IF(OR(L107="",L96=""),"",IF(L96&lt;=0,"",IFERROR(L107/L96,"")))</f>
        <v/>
      </c>
      <c r="M108" s="15">
        <f>IF(OR(M107="",M96=""),"",IF(M96&lt;=0,"",IFERROR(M107/M96,"")))</f>
        <v/>
      </c>
      <c r="N108" s="15">
        <f>IF(OR(N107="",N96=""),"",IF(N96&lt;=0,"",IFERROR(N107/N96,"")))</f>
        <v/>
      </c>
      <c r="U108" s="15">
        <f>IF(OR(U107="",U96=""),"",IF(U96&lt;=0,"",IFERROR(U107/U96,"")))</f>
        <v/>
      </c>
      <c r="V108" s="15">
        <f>IF(OR(V107="",V96=""),"",IF(V96&lt;=0,"",IFERROR(V107/V96,"")))</f>
        <v/>
      </c>
      <c r="W108" s="15">
        <f>IF(OR(W107="",W96=""),"",IF(W96&lt;=0,"",IFERROR(W107/W96,"")))</f>
        <v/>
      </c>
      <c r="X108" s="15">
        <f>IF(OR(X107="",X96=""),"",IF(X96&lt;=0,"",IFERROR(X107/X96,"")))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금융수익</t>
        </is>
      </c>
      <c r="C110" s="20" t="n">
        <v>9999</v>
      </c>
      <c r="D110" s="20" t="n">
        <v>-11205</v>
      </c>
      <c r="E110" s="20" t="n">
        <v>16417</v>
      </c>
      <c r="F110" s="20" t="n">
        <v>17709</v>
      </c>
      <c r="G110" s="20" t="n">
        <v>-8595</v>
      </c>
      <c r="H110" s="20" t="n">
        <v>27137</v>
      </c>
      <c r="I110" s="20" t="n">
        <v>-6883</v>
      </c>
      <c r="J110" s="20" t="n">
        <v>5948</v>
      </c>
      <c r="K110" s="20" t="n">
        <v>5101</v>
      </c>
      <c r="L110" s="20" t="n">
        <v>12170</v>
      </c>
      <c r="M110" s="20" t="n">
        <v>6763</v>
      </c>
      <c r="N110" s="20" t="n">
        <v>11582</v>
      </c>
      <c r="U110" s="20" t="n">
        <v>1603</v>
      </c>
      <c r="V110" s="20" t="n">
        <v>16417</v>
      </c>
      <c r="W110" s="20" t="n">
        <v>-6883</v>
      </c>
      <c r="X110" s="20" t="n">
        <v>6763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금융비용</t>
        </is>
      </c>
      <c r="C112" s="20" t="n">
        <v>353</v>
      </c>
      <c r="D112" s="20" t="n">
        <v>788</v>
      </c>
      <c r="E112" s="20" t="n">
        <v>2801</v>
      </c>
      <c r="F112" s="20" t="n">
        <v>533</v>
      </c>
      <c r="G112" s="20" t="n">
        <v>2759</v>
      </c>
      <c r="H112" s="20" t="n">
        <v>-1397</v>
      </c>
      <c r="I112" s="20" t="n">
        <v>2880</v>
      </c>
      <c r="J112" s="20" t="n">
        <v>5261</v>
      </c>
      <c r="K112" s="20" t="n">
        <v>-3840</v>
      </c>
      <c r="L112" s="20" t="n">
        <v>517</v>
      </c>
      <c r="M112" s="20" t="n">
        <v>1251</v>
      </c>
      <c r="N112" s="20" t="n">
        <v>807</v>
      </c>
      <c r="U112" s="20" t="n">
        <v>768</v>
      </c>
      <c r="V112" s="20" t="n">
        <v>2801</v>
      </c>
      <c r="W112" s="20" t="n">
        <v>2880</v>
      </c>
      <c r="X112" s="20" t="n">
        <v>1251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지분법 투자손익(△ 손실)</t>
        </is>
      </c>
      <c r="C114" s="20" t="n">
        <v>-1</v>
      </c>
      <c r="D114" s="20" t="n">
        <v>6</v>
      </c>
      <c r="E114" s="20" t="n">
        <v>26</v>
      </c>
      <c r="F114" s="20" t="n">
        <v>15</v>
      </c>
      <c r="G114" s="20" t="n">
        <v>20</v>
      </c>
      <c r="H114" s="20" t="n">
        <v>5</v>
      </c>
      <c r="I114" s="20" t="n">
        <v>69</v>
      </c>
      <c r="J114" s="20" t="n">
        <v>14</v>
      </c>
      <c r="K114" s="20" t="n">
        <v>4</v>
      </c>
      <c r="L114" s="20" t="n">
        <v>-20</v>
      </c>
      <c r="M114" s="20" t="n">
        <v>17</v>
      </c>
      <c r="N114" s="20" t="n">
        <v>4</v>
      </c>
      <c r="U114" s="20" t="n">
        <v>0</v>
      </c>
      <c r="V114" s="20" t="n">
        <v>26</v>
      </c>
      <c r="W114" s="20" t="n">
        <v>69</v>
      </c>
      <c r="X114" s="20" t="n">
        <v>17</v>
      </c>
    </row>
    <row r="115">
      <c r="A115" s="9" t="inlineStr">
        <is>
          <t>법인세비용차감전 중간이익</t>
        </is>
      </c>
      <c r="C115" s="12" t="n">
        <v>98456</v>
      </c>
      <c r="D115" s="12" t="n">
        <v>64210</v>
      </c>
      <c r="E115" s="12" t="n">
        <v>13970</v>
      </c>
      <c r="F115" s="12" t="n">
        <v>83566</v>
      </c>
      <c r="G115" s="12" t="n">
        <v>80463</v>
      </c>
      <c r="H115" s="12" t="n">
        <v>104528</v>
      </c>
      <c r="I115" s="12" t="n">
        <v>35847</v>
      </c>
      <c r="J115" s="12" t="n">
        <v>62322</v>
      </c>
      <c r="K115" s="12" t="n">
        <v>112460</v>
      </c>
      <c r="L115" s="12" t="n">
        <v>49509</v>
      </c>
      <c r="M115" s="12" t="n">
        <v>84352</v>
      </c>
      <c r="N115" s="12" t="n">
        <v>109233</v>
      </c>
      <c r="U115" s="12" t="n">
        <v>20037</v>
      </c>
      <c r="V115" s="12" t="n">
        <v>13970</v>
      </c>
      <c r="W115" s="12" t="n">
        <v>35847</v>
      </c>
      <c r="X115" s="12" t="n">
        <v>84352</v>
      </c>
    </row>
    <row r="116">
      <c r="A116" s="18" t="inlineStr">
        <is>
          <t>법인소득세 비용</t>
        </is>
      </c>
      <c r="C116" s="20" t="n">
        <v>23475</v>
      </c>
      <c r="D116" s="20" t="n">
        <v>14916</v>
      </c>
      <c r="E116" s="20" t="n">
        <v>7851</v>
      </c>
      <c r="F116" s="20" t="n">
        <v>17289</v>
      </c>
      <c r="G116" s="20" t="n">
        <v>17086</v>
      </c>
      <c r="H116" s="20" t="n">
        <v>33615</v>
      </c>
      <c r="I116" s="20" t="n">
        <v>3441</v>
      </c>
      <c r="J116" s="20" t="n">
        <v>12651</v>
      </c>
      <c r="K116" s="20" t="n">
        <v>29790</v>
      </c>
      <c r="L116" s="20" t="n">
        <v>24563</v>
      </c>
      <c r="M116" s="20" t="n">
        <v>7858</v>
      </c>
      <c r="N116" s="20" t="n">
        <v>27888</v>
      </c>
      <c r="U116" s="20" t="n">
        <v>-11037</v>
      </c>
      <c r="V116" s="20" t="n">
        <v>7851</v>
      </c>
      <c r="W116" s="20" t="n">
        <v>3441</v>
      </c>
      <c r="X116" s="20" t="n">
        <v>7858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중간이익</t>
        </is>
      </c>
      <c r="C118" s="12" t="n">
        <v>74981</v>
      </c>
      <c r="D118" s="12" t="n">
        <v>49294</v>
      </c>
      <c r="E118" s="12" t="n">
        <v>6119</v>
      </c>
      <c r="F118" s="12" t="n">
        <v>66277</v>
      </c>
      <c r="G118" s="12" t="n">
        <v>63377</v>
      </c>
      <c r="H118" s="12" t="n">
        <v>70913</v>
      </c>
      <c r="I118" s="12" t="n">
        <v>32406</v>
      </c>
      <c r="J118" s="12" t="n">
        <v>49671</v>
      </c>
      <c r="K118" s="12" t="n">
        <v>82670</v>
      </c>
      <c r="L118" s="12" t="n">
        <v>24946</v>
      </c>
      <c r="M118" s="12" t="n">
        <v>76494</v>
      </c>
      <c r="N118" s="12" t="n">
        <v>81345</v>
      </c>
      <c r="U118" s="12" t="n">
        <v>31074</v>
      </c>
      <c r="V118" s="12" t="n">
        <v>6119</v>
      </c>
      <c r="W118" s="12" t="n">
        <v>32406</v>
      </c>
      <c r="X118" s="12" t="n">
        <v>76494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기본 주당 중간이익(엔)</t>
        </is>
      </c>
      <c r="C120" s="20" t="n">
        <v>3.973e-05</v>
      </c>
      <c r="D120" s="20" t="n">
        <v>2.612e-05</v>
      </c>
      <c r="E120" s="20" t="n">
        <v>3.349999999999994e-06</v>
      </c>
      <c r="F120" s="20" t="n">
        <v>3.53e-05</v>
      </c>
      <c r="G120" s="20" t="n">
        <v>3.415e-05</v>
      </c>
      <c r="H120" s="20" t="n">
        <v>3.811e-05</v>
      </c>
      <c r="I120" s="20" t="n">
        <v>1.751999999999999e-05</v>
      </c>
      <c r="J120" s="20" t="n">
        <v>2.683e-05</v>
      </c>
      <c r="K120" s="20" t="n">
        <v>4.494e-05</v>
      </c>
      <c r="L120" s="20" t="n">
        <v>1.391000000000001e-05</v>
      </c>
      <c r="M120" s="20" t="n">
        <v>4.197999999999999e-05</v>
      </c>
      <c r="N120" s="20" t="n">
        <v>4.471e-05</v>
      </c>
      <c r="U120" s="20" t="n">
        <v>1.655999999999999e-05</v>
      </c>
      <c r="V120" s="20" t="n">
        <v>3.349999999999994e-06</v>
      </c>
      <c r="W120" s="20" t="n">
        <v>1.751999999999999e-05</v>
      </c>
      <c r="X120" s="20" t="n">
        <v>4.197999999999999e-05</v>
      </c>
    </row>
    <row r="121">
      <c r="A121" s="18" t="inlineStr">
        <is>
          <t>희석 주당 중간이익(엔)</t>
        </is>
      </c>
      <c r="H121" s="20" t="n">
        <v>0</v>
      </c>
      <c r="I121" s="20" t="n">
        <v>0</v>
      </c>
      <c r="J121" s="20" t="n">
        <v>0</v>
      </c>
      <c r="K121" s="20" t="n">
        <v>7.177e-05</v>
      </c>
      <c r="L121" s="20" t="n">
        <v>1.391000000000001e-05</v>
      </c>
      <c r="M121" s="20" t="n">
        <v>4.197e-05</v>
      </c>
      <c r="N121" s="20" t="n">
        <v>4.47e-05</v>
      </c>
      <c r="W121" s="20" t="n">
        <v>0</v>
      </c>
      <c r="X121" s="20" t="n">
        <v>4.197e-05</v>
      </c>
    </row>
    <row r="122">
      <c r="A122" s="9" t="inlineStr">
        <is>
          <t>지배기업 소유주</t>
        </is>
      </c>
      <c r="C122" s="12" t="n">
        <v>75055</v>
      </c>
      <c r="D122" s="12" t="n">
        <v>49359</v>
      </c>
      <c r="E122" s="12" t="n">
        <v>6326</v>
      </c>
      <c r="F122" s="12" t="n">
        <v>66365</v>
      </c>
      <c r="G122" s="12" t="n">
        <v>63955</v>
      </c>
      <c r="H122" s="12" t="n">
        <v>71002</v>
      </c>
      <c r="I122" s="12" t="n">
        <v>32496</v>
      </c>
      <c r="J122" s="12" t="n">
        <v>49714</v>
      </c>
      <c r="K122" s="12" t="n">
        <v>82665</v>
      </c>
      <c r="L122" s="12" t="n">
        <v>24969</v>
      </c>
      <c r="M122" s="12" t="n">
        <v>76572</v>
      </c>
      <c r="N122" s="12" t="n">
        <v>81377</v>
      </c>
      <c r="U122" s="12" t="n">
        <v>31126</v>
      </c>
      <c r="V122" s="12" t="n">
        <v>6326</v>
      </c>
      <c r="W122" s="12" t="n">
        <v>32496</v>
      </c>
      <c r="X122" s="12" t="n">
        <v>76572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9" t="inlineStr">
        <is>
          <t>비지배지분</t>
        </is>
      </c>
      <c r="C124" s="12" t="n">
        <v>-74</v>
      </c>
      <c r="D124" s="12" t="n">
        <v>-65</v>
      </c>
      <c r="E124" s="12" t="n">
        <v>-207</v>
      </c>
      <c r="F124" s="12" t="n">
        <v>-88</v>
      </c>
      <c r="G124" s="12" t="n">
        <v>-578</v>
      </c>
      <c r="H124" s="12" t="n">
        <v>-89</v>
      </c>
      <c r="I124" s="12" t="n">
        <v>-90</v>
      </c>
      <c r="J124" s="12" t="n">
        <v>-43</v>
      </c>
      <c r="K124" s="12" t="n">
        <v>5</v>
      </c>
      <c r="L124" s="12" t="n">
        <v>-23</v>
      </c>
      <c r="M124" s="12" t="n">
        <v>-78</v>
      </c>
      <c r="N124" s="12" t="n">
        <v>-32</v>
      </c>
      <c r="U124" s="12" t="n">
        <v>-52</v>
      </c>
      <c r="V124" s="12" t="n">
        <v>-207</v>
      </c>
      <c r="W124" s="12" t="n">
        <v>-90</v>
      </c>
      <c r="X124" s="12" t="n">
        <v>-78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중간이익</t>
        </is>
      </c>
      <c r="C128" s="12" t="n">
        <v>74981</v>
      </c>
      <c r="D128" s="12" t="n">
        <v>49294</v>
      </c>
      <c r="E128" s="12" t="n">
        <v>6119</v>
      </c>
      <c r="F128" s="12" t="n">
        <v>66277</v>
      </c>
      <c r="G128" s="12" t="n">
        <v>63377</v>
      </c>
      <c r="H128" s="12" t="n">
        <v>70913</v>
      </c>
      <c r="I128" s="12" t="n">
        <v>32406</v>
      </c>
      <c r="J128" s="12" t="n">
        <v>49671</v>
      </c>
      <c r="K128" s="12" t="n">
        <v>82670</v>
      </c>
      <c r="L128" s="12" t="n">
        <v>24946</v>
      </c>
      <c r="M128" s="12" t="n">
        <v>76494</v>
      </c>
      <c r="N128" s="12" t="n">
        <v>81345</v>
      </c>
      <c r="U128" s="12" t="n">
        <v>31074</v>
      </c>
      <c r="V128" s="12" t="n">
        <v>6119</v>
      </c>
      <c r="W128" s="12" t="n">
        <v>32406</v>
      </c>
      <c r="X128" s="12" t="n">
        <v>76494</v>
      </c>
    </row>
    <row r="129">
      <c r="A129" s="18" t="inlineStr">
        <is>
          <t>기타포괄손익-공정가치 측정 금융자산</t>
        </is>
      </c>
      <c r="C129" s="20" t="n">
        <v>-366</v>
      </c>
      <c r="D129" s="20" t="n">
        <v>307</v>
      </c>
      <c r="E129" s="20" t="n">
        <v>2349</v>
      </c>
      <c r="F129" s="20" t="n">
        <v>238</v>
      </c>
      <c r="G129" s="20" t="n">
        <v>-1441</v>
      </c>
      <c r="H129" s="20" t="n">
        <v>-149</v>
      </c>
      <c r="I129" s="20" t="n">
        <v>-113</v>
      </c>
      <c r="J129" s="20" t="n">
        <v>617</v>
      </c>
      <c r="K129" s="20" t="n">
        <v>2894</v>
      </c>
      <c r="L129" s="20" t="n">
        <v>1913</v>
      </c>
      <c r="M129" s="20" t="n">
        <v>1435</v>
      </c>
      <c r="N129" s="20" t="n">
        <v>4383</v>
      </c>
      <c r="U129" s="20" t="n">
        <v>1330</v>
      </c>
      <c r="V129" s="20" t="n">
        <v>2349</v>
      </c>
      <c r="W129" s="20" t="n">
        <v>-113</v>
      </c>
      <c r="X129" s="20" t="n">
        <v>1435</v>
      </c>
    </row>
    <row r="130">
      <c r="A130" s="18" t="inlineStr">
        <is>
          <t>당기손익으로 재분류되지 않는 항목 합계</t>
        </is>
      </c>
      <c r="C130" s="20" t="n">
        <v>-366</v>
      </c>
      <c r="D130" s="20" t="n">
        <v>307</v>
      </c>
      <c r="E130" s="20" t="n">
        <v>1626</v>
      </c>
      <c r="F130" s="20" t="n">
        <v>238</v>
      </c>
      <c r="G130" s="20" t="n">
        <v>-1441</v>
      </c>
      <c r="H130" s="20" t="n">
        <v>-149</v>
      </c>
      <c r="I130" s="20" t="n">
        <v>-9137</v>
      </c>
      <c r="J130" s="20" t="n">
        <v>617</v>
      </c>
      <c r="K130" s="20" t="n">
        <v>2894</v>
      </c>
      <c r="L130" s="20" t="n">
        <v>1913</v>
      </c>
      <c r="M130" s="20" t="n">
        <v>4173</v>
      </c>
      <c r="N130" s="20" t="n">
        <v>4383</v>
      </c>
      <c r="U130" s="20" t="n">
        <v>-3753</v>
      </c>
      <c r="V130" s="20" t="n">
        <v>1626</v>
      </c>
      <c r="W130" s="20" t="n">
        <v>-9137</v>
      </c>
      <c r="X130" s="20" t="n">
        <v>4173</v>
      </c>
    </row>
    <row r="131">
      <c r="A131" s="18" t="inlineStr">
        <is>
          <t>기타포괄손익-공정가치 측정 금융자산</t>
        </is>
      </c>
      <c r="C131" s="20" t="n">
        <v>3</v>
      </c>
      <c r="D131" s="20" t="n">
        <v>0</v>
      </c>
      <c r="E131" s="20" t="n">
        <v>-1</v>
      </c>
      <c r="F131" s="20" t="n">
        <v>-0</v>
      </c>
      <c r="G131" s="20" t="n">
        <v>0</v>
      </c>
      <c r="H131" s="20" t="n">
        <v>0</v>
      </c>
      <c r="I131" s="20" t="n">
        <v>0</v>
      </c>
      <c r="J131" s="20" t="n">
        <v>-1</v>
      </c>
      <c r="K131" s="20" t="n">
        <v>0</v>
      </c>
      <c r="L131" s="20" t="n">
        <v>0</v>
      </c>
      <c r="M131" s="20" t="n">
        <v>0</v>
      </c>
      <c r="N131" s="20" t="n">
        <v>0</v>
      </c>
      <c r="U131" s="20" t="n">
        <v>7</v>
      </c>
      <c r="V131" s="20" t="n">
        <v>-1</v>
      </c>
      <c r="W131" s="20" t="n">
        <v>0</v>
      </c>
      <c r="X131" s="20" t="n">
        <v>0</v>
      </c>
    </row>
    <row r="132">
      <c r="A132" s="18" t="inlineStr">
        <is>
          <t>해외사업 환산차액</t>
        </is>
      </c>
      <c r="C132" s="20" t="n">
        <v>25005</v>
      </c>
      <c r="D132" s="20" t="n">
        <v>-32526</v>
      </c>
      <c r="E132" s="20" t="n">
        <v>56400</v>
      </c>
      <c r="F132" s="20" t="n">
        <v>64124</v>
      </c>
      <c r="G132" s="20" t="n">
        <v>-99516</v>
      </c>
      <c r="H132" s="20" t="n">
        <v>78979</v>
      </c>
      <c r="I132" s="20" t="n">
        <v>-60518</v>
      </c>
      <c r="J132" s="20" t="n">
        <v>-19120</v>
      </c>
      <c r="K132" s="20" t="n">
        <v>31883</v>
      </c>
      <c r="L132" s="20" t="n">
        <v>68141</v>
      </c>
      <c r="M132" s="20" t="n">
        <v>23389</v>
      </c>
      <c r="N132" s="20" t="n">
        <v>17848</v>
      </c>
      <c r="U132" s="20" t="n">
        <v>13551</v>
      </c>
      <c r="V132" s="20" t="n">
        <v>56400</v>
      </c>
      <c r="W132" s="20" t="n">
        <v>-60518</v>
      </c>
      <c r="X132" s="20" t="n">
        <v>23389</v>
      </c>
    </row>
    <row r="133">
      <c r="A133" s="18" t="inlineStr">
        <is>
          <t>당기손익으로 재분류될 수 있는 항목 합계</t>
        </is>
      </c>
      <c r="C133" s="20" t="n">
        <v>25008</v>
      </c>
      <c r="D133" s="20" t="n">
        <v>-32526</v>
      </c>
      <c r="E133" s="20" t="n">
        <v>56399</v>
      </c>
      <c r="F133" s="20" t="n">
        <v>64124</v>
      </c>
      <c r="G133" s="20" t="n">
        <v>-99516</v>
      </c>
      <c r="H133" s="20" t="n">
        <v>78979</v>
      </c>
      <c r="I133" s="20" t="n">
        <v>-60518</v>
      </c>
      <c r="J133" s="20" t="n">
        <v>-19121</v>
      </c>
      <c r="K133" s="20" t="n">
        <v>31883</v>
      </c>
      <c r="L133" s="20" t="n">
        <v>68141</v>
      </c>
      <c r="M133" s="20" t="n">
        <v>23389</v>
      </c>
      <c r="N133" s="20" t="n">
        <v>17848</v>
      </c>
      <c r="U133" s="20" t="n">
        <v>13558</v>
      </c>
      <c r="V133" s="20" t="n">
        <v>56399</v>
      </c>
      <c r="W133" s="20" t="n">
        <v>-60518</v>
      </c>
      <c r="X133" s="20" t="n">
        <v>23389</v>
      </c>
    </row>
    <row r="134">
      <c r="A134" s="18" t="inlineStr">
        <is>
          <t>Other Comprehensive Income</t>
        </is>
      </c>
      <c r="C134" s="20" t="n">
        <v>24642</v>
      </c>
      <c r="D134" s="20" t="n">
        <v>-32219</v>
      </c>
      <c r="E134" s="20" t="n">
        <v>58025</v>
      </c>
      <c r="F134" s="20" t="n">
        <v>64362</v>
      </c>
      <c r="G134" s="20" t="n">
        <v>-100957</v>
      </c>
      <c r="H134" s="20" t="n">
        <v>78830</v>
      </c>
      <c r="I134" s="20" t="n">
        <v>-69655</v>
      </c>
      <c r="J134" s="20" t="n">
        <v>-18504</v>
      </c>
      <c r="K134" s="20" t="n">
        <v>34777</v>
      </c>
      <c r="L134" s="20" t="n">
        <v>70054</v>
      </c>
      <c r="M134" s="20" t="n">
        <v>27562</v>
      </c>
      <c r="N134" s="20" t="n">
        <v>22231</v>
      </c>
      <c r="U134" s="20" t="n">
        <v>9805</v>
      </c>
      <c r="V134" s="20" t="n">
        <v>58025</v>
      </c>
      <c r="W134" s="20" t="n">
        <v>-69655</v>
      </c>
      <c r="X134" s="20" t="n">
        <v>27562</v>
      </c>
    </row>
    <row r="135">
      <c r="A135" s="9" t="inlineStr">
        <is>
          <t>포괄이익</t>
        </is>
      </c>
      <c r="C135" s="12" t="n">
        <v>99623</v>
      </c>
      <c r="D135" s="12" t="n">
        <v>17075</v>
      </c>
      <c r="E135" s="12" t="n">
        <v>64144</v>
      </c>
      <c r="F135" s="12" t="n">
        <v>130639</v>
      </c>
      <c r="G135" s="12" t="n">
        <v>-37580</v>
      </c>
      <c r="H135" s="12" t="n">
        <v>149743</v>
      </c>
      <c r="I135" s="12" t="n">
        <v>-37249</v>
      </c>
      <c r="J135" s="12" t="n">
        <v>31167</v>
      </c>
      <c r="K135" s="12" t="n">
        <v>117447</v>
      </c>
      <c r="L135" s="12" t="n">
        <v>95000</v>
      </c>
      <c r="M135" s="12" t="n">
        <v>104056</v>
      </c>
      <c r="N135" s="12" t="n">
        <v>103576</v>
      </c>
      <c r="U135" s="12" t="n">
        <v>40879</v>
      </c>
      <c r="V135" s="12" t="n">
        <v>64144</v>
      </c>
      <c r="W135" s="12" t="n">
        <v>-37249</v>
      </c>
      <c r="X135" s="12" t="n">
        <v>104056</v>
      </c>
    </row>
    <row r="136">
      <c r="A136" s="9" t="inlineStr">
        <is>
          <t>지배기업 소유주</t>
        </is>
      </c>
      <c r="C136" s="12" t="n">
        <v>99671</v>
      </c>
      <c r="D136" s="12" t="n">
        <v>17166</v>
      </c>
      <c r="E136" s="12" t="n">
        <v>64304</v>
      </c>
      <c r="F136" s="12" t="n">
        <v>130665</v>
      </c>
      <c r="G136" s="12" t="n">
        <v>-36925</v>
      </c>
      <c r="H136" s="12" t="n">
        <v>149772</v>
      </c>
      <c r="I136" s="12" t="n">
        <v>-37104</v>
      </c>
      <c r="J136" s="12" t="n">
        <v>31231</v>
      </c>
      <c r="K136" s="12" t="n">
        <v>117411</v>
      </c>
      <c r="L136" s="12" t="n">
        <v>94953</v>
      </c>
      <c r="M136" s="12" t="n">
        <v>104100</v>
      </c>
      <c r="N136" s="12" t="n">
        <v>103575</v>
      </c>
      <c r="U136" s="12" t="n">
        <v>40910</v>
      </c>
      <c r="V136" s="12" t="n">
        <v>64304</v>
      </c>
      <c r="W136" s="12" t="n">
        <v>-37104</v>
      </c>
      <c r="X136" s="12" t="n">
        <v>104100</v>
      </c>
    </row>
    <row r="137">
      <c r="A137" s="9" t="inlineStr">
        <is>
          <t>비지배지분</t>
        </is>
      </c>
      <c r="C137" s="12" t="n">
        <v>-48</v>
      </c>
      <c r="D137" s="12" t="n">
        <v>-91</v>
      </c>
      <c r="E137" s="12" t="n">
        <v>-160</v>
      </c>
      <c r="F137" s="12" t="n">
        <v>-26</v>
      </c>
      <c r="G137" s="12" t="n">
        <v>-655</v>
      </c>
      <c r="H137" s="12" t="n">
        <v>-29</v>
      </c>
      <c r="I137" s="12" t="n">
        <v>-145</v>
      </c>
      <c r="J137" s="12" t="n">
        <v>-64</v>
      </c>
      <c r="K137" s="12" t="n">
        <v>36</v>
      </c>
      <c r="L137" s="12" t="n">
        <v>47</v>
      </c>
      <c r="M137" s="12" t="n">
        <v>-44</v>
      </c>
      <c r="N137" s="12" t="n">
        <v>1</v>
      </c>
      <c r="U137" s="12" t="n">
        <v>-31</v>
      </c>
      <c r="V137" s="12" t="n">
        <v>-160</v>
      </c>
      <c r="W137" s="12" t="n">
        <v>-145</v>
      </c>
      <c r="X137" s="12" t="n">
        <v>-44</v>
      </c>
    </row>
    <row r="139">
      <c r="A139" s="16" t="inlineStr">
        <is>
          <t>부문 · 전 항목</t>
        </is>
      </c>
      <c r="B139" s="42" t="inlineStr">
        <is>
          <t>부문 · 항목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18" t="inlineStr">
        <is>
          <t>부문 · Revenue From External Customers</t>
        </is>
      </c>
      <c r="C141" s="20" t="n">
        <v>245403</v>
      </c>
      <c r="D141" s="20" t="n">
        <v>246225</v>
      </c>
      <c r="F141" s="20" t="n">
        <v>251596</v>
      </c>
      <c r="G141" s="20" t="n">
        <v>266768</v>
      </c>
      <c r="H141" s="20" t="n">
        <v>264585</v>
      </c>
      <c r="J141" s="20" t="n">
        <v>269818</v>
      </c>
      <c r="K141" s="20" t="n">
        <v>295830</v>
      </c>
      <c r="L141" s="20" t="n">
        <v>295493</v>
      </c>
      <c r="N141" s="20" t="n">
        <v>346762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N142" s="15">
        <f>IF(OR(N141="",J141=""),"",IF(J141&lt;=0,"",IFERROR(N141/J141-1,"")))</f>
        <v/>
      </c>
    </row>
    <row r="143">
      <c r="A143" s="18" t="inlineStr">
        <is>
          <t>부문 · Revenue From External Customers</t>
        </is>
      </c>
      <c r="C143" s="20" t="n">
        <v>194376</v>
      </c>
      <c r="D143" s="20" t="n">
        <v>190271</v>
      </c>
      <c r="F143" s="20" t="n">
        <v>167173</v>
      </c>
      <c r="G143" s="20" t="n">
        <v>191422</v>
      </c>
      <c r="H143" s="20" t="n">
        <v>180050</v>
      </c>
      <c r="J143" s="20" t="n">
        <v>142634</v>
      </c>
      <c r="K143" s="20" t="n">
        <v>187131</v>
      </c>
      <c r="L143" s="20" t="n">
        <v>168241</v>
      </c>
      <c r="N143" s="20" t="n">
        <v>151428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N144" s="15">
        <f>IF(OR(N143="",J143=""),"",IF(J143&lt;=0,"",IFERROR(N143/J143-1,"")))</f>
        <v/>
      </c>
    </row>
    <row r="145">
      <c r="A145" s="18" t="inlineStr">
        <is>
          <t>OtherReportableSegmentsMember · Revenue From External Customers</t>
        </is>
      </c>
      <c r="C145" s="20" t="n">
        <v>2877</v>
      </c>
      <c r="D145" s="20" t="n">
        <v>2898</v>
      </c>
      <c r="E145" s="20" t="n">
        <v>2867</v>
      </c>
      <c r="F145" s="20" t="n">
        <v>2938</v>
      </c>
      <c r="G145" s="20" t="n">
        <v>3584</v>
      </c>
      <c r="H145" s="20" t="n">
        <v>3373</v>
      </c>
      <c r="I145" s="20" t="n">
        <v>3174</v>
      </c>
      <c r="J145" s="20" t="n">
        <v>3702</v>
      </c>
      <c r="K145" s="20" t="n">
        <v>3663</v>
      </c>
      <c r="L145" s="20" t="n">
        <v>3720</v>
      </c>
      <c r="M145" s="20" t="n">
        <v>4071</v>
      </c>
      <c r="N145" s="20" t="n">
        <v>4074</v>
      </c>
      <c r="V145" s="20" t="n">
        <v>2867</v>
      </c>
      <c r="W145" s="20" t="n">
        <v>3174</v>
      </c>
      <c r="X145" s="20" t="n">
        <v>4071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조정액 · Revenue From External Customers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9" t="inlineStr">
        <is>
          <t>Revenue From External Customers</t>
        </is>
      </c>
      <c r="C148" s="12" t="n">
        <v>442656</v>
      </c>
      <c r="D148" s="12" t="n">
        <v>439394</v>
      </c>
      <c r="E148" s="12" t="n">
        <v>390414</v>
      </c>
      <c r="F148" s="12" t="n">
        <v>421707</v>
      </c>
      <c r="G148" s="12" t="n">
        <v>461774</v>
      </c>
      <c r="H148" s="12" t="n">
        <v>448008</v>
      </c>
      <c r="I148" s="12" t="n">
        <v>411863</v>
      </c>
      <c r="J148" s="12" t="n">
        <v>416154</v>
      </c>
      <c r="K148" s="12" t="n">
        <v>486624</v>
      </c>
      <c r="L148" s="12" t="n">
        <v>467454</v>
      </c>
      <c r="M148" s="12" t="n">
        <v>460624</v>
      </c>
      <c r="N148" s="12" t="n">
        <v>502264</v>
      </c>
      <c r="V148" s="12" t="n">
        <v>390414</v>
      </c>
      <c r="W148" s="12" t="n">
        <v>411863</v>
      </c>
      <c r="X148" s="12" t="n">
        <v>460624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부문 · Intersegment Revenue</t>
        </is>
      </c>
      <c r="C150" s="20" t="n">
        <v>2099</v>
      </c>
      <c r="D150" s="20" t="n">
        <v>2681</v>
      </c>
      <c r="F150" s="20" t="n">
        <v>2748</v>
      </c>
      <c r="G150" s="20" t="n">
        <v>2982</v>
      </c>
      <c r="H150" s="20" t="n">
        <v>2810</v>
      </c>
      <c r="J150" s="20" t="n">
        <v>4188</v>
      </c>
      <c r="K150" s="20" t="n">
        <v>4399</v>
      </c>
      <c r="L150" s="20" t="n">
        <v>4552</v>
      </c>
      <c r="N150" s="20" t="n">
        <v>2559</v>
      </c>
    </row>
    <row r="151">
      <c r="A151" s="18" t="inlineStr">
        <is>
          <t>부문 · Intersegment Revenue</t>
        </is>
      </c>
      <c r="C151" s="20" t="n">
        <v>3</v>
      </c>
      <c r="D151" s="20" t="n">
        <v>4</v>
      </c>
      <c r="F151" s="20" t="n">
        <v>3</v>
      </c>
      <c r="G151" s="20" t="n">
        <v>1</v>
      </c>
      <c r="H151" s="20" t="n">
        <v>2</v>
      </c>
      <c r="J151" s="20" t="n">
        <v>4</v>
      </c>
      <c r="K151" s="20" t="n">
        <v>2</v>
      </c>
      <c r="L151" s="20" t="n">
        <v>7</v>
      </c>
      <c r="N151" s="20" t="n">
        <v>3</v>
      </c>
    </row>
    <row r="152">
      <c r="A152" s="18" t="inlineStr">
        <is>
          <t>OtherReportableSegmentsMember · Intersegment Revenue</t>
        </is>
      </c>
      <c r="C152" s="20" t="n">
        <v>14130</v>
      </c>
      <c r="D152" s="20" t="n">
        <v>12622</v>
      </c>
      <c r="E152" s="20" t="n">
        <v>16874</v>
      </c>
      <c r="F152" s="20" t="n">
        <v>12490</v>
      </c>
      <c r="G152" s="20" t="n">
        <v>12880</v>
      </c>
      <c r="H152" s="20" t="n">
        <v>14783</v>
      </c>
      <c r="I152" s="20" t="n">
        <v>14052</v>
      </c>
      <c r="J152" s="20" t="n">
        <v>13483</v>
      </c>
      <c r="K152" s="20" t="n">
        <v>12095</v>
      </c>
      <c r="L152" s="20" t="n">
        <v>12269</v>
      </c>
      <c r="M152" s="20" t="n">
        <v>16698</v>
      </c>
      <c r="N152" s="20" t="n">
        <v>14902</v>
      </c>
      <c r="V152" s="20" t="n">
        <v>16874</v>
      </c>
      <c r="W152" s="20" t="n">
        <v>14052</v>
      </c>
      <c r="X152" s="20" t="n">
        <v>16698</v>
      </c>
    </row>
    <row r="153">
      <c r="A153" s="18" t="inlineStr">
        <is>
          <t>조정액 · Intersegment Revenue</t>
        </is>
      </c>
      <c r="C153" s="20" t="n">
        <v>-16232</v>
      </c>
      <c r="D153" s="20" t="n">
        <v>-15307</v>
      </c>
      <c r="E153" s="20" t="n">
        <v>-18693</v>
      </c>
      <c r="F153" s="20" t="n">
        <v>-15241</v>
      </c>
      <c r="G153" s="20" t="n">
        <v>-15863</v>
      </c>
      <c r="H153" s="20" t="n">
        <v>-17595</v>
      </c>
      <c r="I153" s="20" t="n">
        <v>-16355</v>
      </c>
      <c r="J153" s="20" t="n">
        <v>-17675</v>
      </c>
      <c r="K153" s="20" t="n">
        <v>-16496</v>
      </c>
      <c r="L153" s="20" t="n">
        <v>-16828</v>
      </c>
      <c r="M153" s="20" t="n">
        <v>-19062</v>
      </c>
      <c r="N153" s="20" t="n">
        <v>-17464</v>
      </c>
      <c r="V153" s="20" t="n">
        <v>-18693</v>
      </c>
      <c r="W153" s="20" t="n">
        <v>-16355</v>
      </c>
      <c r="X153" s="20" t="n">
        <v>-19062</v>
      </c>
    </row>
    <row r="154">
      <c r="A154" s="18" t="inlineStr">
        <is>
          <t>Intersegment Revenue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부문 · 계</t>
        </is>
      </c>
      <c r="C155" s="20" t="n">
        <v>247502</v>
      </c>
      <c r="D155" s="20" t="n">
        <v>248906</v>
      </c>
      <c r="F155" s="20" t="n">
        <v>254344</v>
      </c>
      <c r="G155" s="20" t="n">
        <v>269750</v>
      </c>
      <c r="H155" s="20" t="n">
        <v>267395</v>
      </c>
      <c r="J155" s="20" t="n">
        <v>274006</v>
      </c>
      <c r="K155" s="20" t="n">
        <v>300229</v>
      </c>
      <c r="L155" s="20" t="n">
        <v>300045</v>
      </c>
      <c r="N155" s="20" t="n">
        <v>349321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N156" s="15">
        <f>IF(OR(N155="",J155=""),"",IF(J155&lt;=0,"",IFERROR(N155/J155-1,"")))</f>
        <v/>
      </c>
    </row>
    <row r="157">
      <c r="A157" s="18" t="inlineStr">
        <is>
          <t>부문 · 계</t>
        </is>
      </c>
      <c r="C157" s="20" t="n">
        <v>194379</v>
      </c>
      <c r="D157" s="20" t="n">
        <v>190275</v>
      </c>
      <c r="F157" s="20" t="n">
        <v>167176</v>
      </c>
      <c r="G157" s="20" t="n">
        <v>191423</v>
      </c>
      <c r="H157" s="20" t="n">
        <v>180052</v>
      </c>
      <c r="J157" s="20" t="n">
        <v>142638</v>
      </c>
      <c r="K157" s="20" t="n">
        <v>187133</v>
      </c>
      <c r="L157" s="20" t="n">
        <v>168248</v>
      </c>
      <c r="N157" s="20" t="n">
        <v>151431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N158" s="15">
        <f>IF(OR(N157="",J157=""),"",IF(J157&lt;=0,"",IFERROR(N157/J157-1,"")))</f>
        <v/>
      </c>
    </row>
    <row r="159">
      <c r="A159" s="18" t="inlineStr">
        <is>
          <t>OtherReportableSegmentsMember · 계</t>
        </is>
      </c>
      <c r="C159" s="20" t="n">
        <v>17007</v>
      </c>
      <c r="D159" s="20" t="n">
        <v>15520</v>
      </c>
      <c r="E159" s="20" t="n">
        <v>19741</v>
      </c>
      <c r="F159" s="20" t="n">
        <v>15428</v>
      </c>
      <c r="G159" s="20" t="n">
        <v>16464</v>
      </c>
      <c r="H159" s="20" t="n">
        <v>18156</v>
      </c>
      <c r="I159" s="20" t="n">
        <v>17226</v>
      </c>
      <c r="J159" s="20" t="n">
        <v>17185</v>
      </c>
      <c r="K159" s="20" t="n">
        <v>15758</v>
      </c>
      <c r="L159" s="20" t="n">
        <v>15989</v>
      </c>
      <c r="M159" s="20" t="n">
        <v>20769</v>
      </c>
      <c r="N159" s="20" t="n">
        <v>18976</v>
      </c>
      <c r="V159" s="20" t="n">
        <v>19741</v>
      </c>
      <c r="W159" s="20" t="n">
        <v>17226</v>
      </c>
      <c r="X159" s="20" t="n">
        <v>20769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조정액 · 계</t>
        </is>
      </c>
      <c r="C161" s="20" t="n">
        <v>-16232</v>
      </c>
      <c r="D161" s="20" t="n">
        <v>-15307</v>
      </c>
      <c r="E161" s="20" t="n">
        <v>-18693</v>
      </c>
      <c r="F161" s="20" t="n">
        <v>-15241</v>
      </c>
      <c r="G161" s="20" t="n">
        <v>-15863</v>
      </c>
      <c r="H161" s="20" t="n">
        <v>-17595</v>
      </c>
      <c r="I161" s="20" t="n">
        <v>-16355</v>
      </c>
      <c r="J161" s="20" t="n">
        <v>-17675</v>
      </c>
      <c r="K161" s="20" t="n">
        <v>-16496</v>
      </c>
      <c r="L161" s="20" t="n">
        <v>-16828</v>
      </c>
      <c r="M161" s="20" t="n">
        <v>-19062</v>
      </c>
      <c r="N161" s="20" t="n">
        <v>-17464</v>
      </c>
      <c r="V161" s="20" t="n">
        <v>-18693</v>
      </c>
      <c r="W161" s="20" t="n">
        <v>-16355</v>
      </c>
      <c r="X161" s="20" t="n">
        <v>-19062</v>
      </c>
    </row>
    <row r="162">
      <c r="A162" s="9" t="inlineStr">
        <is>
          <t>계</t>
        </is>
      </c>
      <c r="C162" s="12" t="n">
        <v>442656</v>
      </c>
      <c r="D162" s="12" t="n">
        <v>439394</v>
      </c>
      <c r="E162" s="12" t="n">
        <v>390414</v>
      </c>
      <c r="F162" s="12" t="n">
        <v>421707</v>
      </c>
      <c r="G162" s="12" t="n">
        <v>461774</v>
      </c>
      <c r="H162" s="12" t="n">
        <v>448008</v>
      </c>
      <c r="I162" s="12" t="n">
        <v>411863</v>
      </c>
      <c r="J162" s="12" t="n">
        <v>416154</v>
      </c>
      <c r="K162" s="12" t="n">
        <v>486624</v>
      </c>
      <c r="L162" s="12" t="n">
        <v>467454</v>
      </c>
      <c r="M162" s="12" t="n">
        <v>460624</v>
      </c>
      <c r="N162" s="12" t="n">
        <v>502264</v>
      </c>
      <c r="V162" s="12" t="n">
        <v>390414</v>
      </c>
      <c r="W162" s="12" t="n">
        <v>411863</v>
      </c>
      <c r="X162" s="12" t="n">
        <v>460624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부문 · 영업이익</t>
        </is>
      </c>
      <c r="C164" s="20" t="n">
        <v>63972</v>
      </c>
      <c r="D164" s="20" t="n">
        <v>62288</v>
      </c>
      <c r="F164" s="20" t="n">
        <v>73663</v>
      </c>
      <c r="G164" s="20" t="n">
        <v>76846</v>
      </c>
      <c r="H164" s="20" t="n">
        <v>68779</v>
      </c>
      <c r="J164" s="20" t="n">
        <v>71170</v>
      </c>
      <c r="K164" s="20" t="n">
        <v>86493</v>
      </c>
      <c r="L164" s="20" t="n">
        <v>76384</v>
      </c>
      <c r="N164" s="20" t="n">
        <v>113550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IF(OR(C164="",C155=""),"",IF(C155&lt;=0,"",IFERROR(C164/C155,"")))</f>
        <v/>
      </c>
      <c r="D165" s="15">
        <f>IF(OR(D164="",D155=""),"",IF(D155&lt;=0,"",IFERROR(D164/D155,"")))</f>
        <v/>
      </c>
      <c r="F165" s="15">
        <f>IF(OR(F164="",F155=""),"",IF(F155&lt;=0,"",IFERROR(F164/F155,"")))</f>
        <v/>
      </c>
      <c r="G165" s="15">
        <f>IF(OR(G164="",G155=""),"",IF(G155&lt;=0,"",IFERROR(G164/G155,"")))</f>
        <v/>
      </c>
      <c r="H165" s="15">
        <f>IF(OR(H164="",H155=""),"",IF(H155&lt;=0,"",IFERROR(H164/H155,"")))</f>
        <v/>
      </c>
      <c r="J165" s="15">
        <f>IF(OR(J164="",J155=""),"",IF(J155&lt;=0,"",IFERROR(J164/J155,"")))</f>
        <v/>
      </c>
      <c r="K165" s="15">
        <f>IF(OR(K164="",K155=""),"",IF(K155&lt;=0,"",IFERROR(K164/K155,"")))</f>
        <v/>
      </c>
      <c r="L165" s="15">
        <f>IF(OR(L164="",L155=""),"",IF(L155&lt;=0,"",IFERROR(L164/L155,"")))</f>
        <v/>
      </c>
      <c r="N165" s="15">
        <f>IF(OR(N164="",N155=""),"",IF(N155&lt;=0,"",IFERROR(N164/N155,"")))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H166" s="15">
        <f>IF(OR(H164="",D164=""),"",IF(D164&lt;=0,"",IFERROR(H164/D164-1,"")))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L166" s="15">
        <f>IF(OR(L164="",H164=""),"",IF(H164&lt;=0,"",IFERROR(L164/H164-1,"")))</f>
        <v/>
      </c>
      <c r="N166" s="15">
        <f>IF(OR(N164="",J164=""),"",IF(J164&lt;=0,"",IFERROR(N164/J164-1,"")))</f>
        <v/>
      </c>
    </row>
    <row r="167">
      <c r="A167" s="18" t="inlineStr">
        <is>
          <t>부문 · 영업이익</t>
        </is>
      </c>
      <c r="C167" s="20" t="n">
        <v>26384</v>
      </c>
      <c r="D167" s="20" t="n">
        <v>14650</v>
      </c>
      <c r="F167" s="20" t="n">
        <v>-6124</v>
      </c>
      <c r="G167" s="20" t="n">
        <v>15720</v>
      </c>
      <c r="H167" s="20" t="n">
        <v>8425</v>
      </c>
      <c r="J167" s="20" t="n">
        <v>-8014</v>
      </c>
      <c r="K167" s="20" t="n">
        <v>18333</v>
      </c>
      <c r="L167" s="20" t="n">
        <v>-36432</v>
      </c>
      <c r="N167" s="20" t="n">
        <v>-12902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IF(OR(C167="",C157=""),"",IF(C157&lt;=0,"",IFERROR(C167/C157,"")))</f>
        <v/>
      </c>
      <c r="D168" s="15">
        <f>IF(OR(D167="",D157=""),"",IF(D157&lt;=0,"",IFERROR(D167/D157,"")))</f>
        <v/>
      </c>
      <c r="F168" s="15">
        <f>IF(OR(F167="",F157=""),"",IF(F157&lt;=0,"",IFERROR(F167/F157,"")))</f>
        <v/>
      </c>
      <c r="G168" s="15">
        <f>IF(OR(G167="",G157=""),"",IF(G157&lt;=0,"",IFERROR(G167/G157,"")))</f>
        <v/>
      </c>
      <c r="H168" s="15">
        <f>IF(OR(H167="",H157=""),"",IF(H157&lt;=0,"",IFERROR(H167/H157,"")))</f>
        <v/>
      </c>
      <c r="J168" s="15">
        <f>IF(OR(J167="",J157=""),"",IF(J157&lt;=0,"",IFERROR(J167/J157,"")))</f>
        <v/>
      </c>
      <c r="K168" s="15">
        <f>IF(OR(K167="",K157=""),"",IF(K157&lt;=0,"",IFERROR(K167/K157,"")))</f>
        <v/>
      </c>
      <c r="L168" s="15">
        <f>IF(OR(L167="",L157=""),"",IF(L157&lt;=0,"",IFERROR(L167/L157,"")))</f>
        <v/>
      </c>
      <c r="N168" s="15">
        <f>IF(OR(N167="",N157=""),"",IF(N157&lt;=0,"",IFERROR(N167/N157,"")))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N169" s="15">
        <f>IF(OR(N167="",J167=""),"",IF(J167&lt;=0,"",IFERROR(N167/J167-1,"")))</f>
        <v/>
      </c>
    </row>
    <row r="170">
      <c r="A170" s="18" t="inlineStr">
        <is>
          <t>OtherReportableSegmentsMember · 영업이익</t>
        </is>
      </c>
      <c r="C170" s="20" t="n">
        <v>-1545</v>
      </c>
      <c r="D170" s="20" t="n">
        <v>-741</v>
      </c>
      <c r="E170" s="20" t="n">
        <v>-1260</v>
      </c>
      <c r="F170" s="20" t="n">
        <v>-1164</v>
      </c>
      <c r="G170" s="20" t="n">
        <v>-769</v>
      </c>
      <c r="H170" s="20" t="n">
        <v>-1215</v>
      </c>
      <c r="I170" s="20" t="n">
        <v>-2295</v>
      </c>
      <c r="J170" s="20" t="n">
        <v>-1535</v>
      </c>
      <c r="K170" s="20" t="n">
        <v>-1311</v>
      </c>
      <c r="L170" s="20" t="n">
        <v>-2076</v>
      </c>
      <c r="M170" s="20" t="n">
        <v>-1884</v>
      </c>
      <c r="N170" s="20" t="n">
        <v>-2194</v>
      </c>
      <c r="V170" s="20" t="n">
        <v>-1260</v>
      </c>
      <c r="W170" s="20" t="n">
        <v>-2295</v>
      </c>
      <c r="X170" s="20" t="n">
        <v>-1884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IF(OR(C170="",C159=""),"",IF(C159&lt;=0,"",IFERROR(C170/C159,"")))</f>
        <v/>
      </c>
      <c r="D171" s="15">
        <f>IF(OR(D170="",D159=""),"",IF(D159&lt;=0,"",IFERROR(D170/D159,"")))</f>
        <v/>
      </c>
      <c r="E171" s="15">
        <f>IF(OR(E170="",E159=""),"",IF(E159&lt;=0,"",IFERROR(E170/E159,"")))</f>
        <v/>
      </c>
      <c r="F171" s="15">
        <f>IF(OR(F170="",F159=""),"",IF(F159&lt;=0,"",IFERROR(F170/F159,"")))</f>
        <v/>
      </c>
      <c r="G171" s="15">
        <f>IF(OR(G170="",G159=""),"",IF(G159&lt;=0,"",IFERROR(G170/G159,"")))</f>
        <v/>
      </c>
      <c r="H171" s="15">
        <f>IF(OR(H170="",H159=""),"",IF(H159&lt;=0,"",IFERROR(H170/H159,"")))</f>
        <v/>
      </c>
      <c r="I171" s="15">
        <f>IF(OR(I170="",I159=""),"",IF(I159&lt;=0,"",IFERROR(I170/I159,"")))</f>
        <v/>
      </c>
      <c r="J171" s="15">
        <f>IF(OR(J170="",J159=""),"",IF(J159&lt;=0,"",IFERROR(J170/J159,"")))</f>
        <v/>
      </c>
      <c r="K171" s="15">
        <f>IF(OR(K170="",K159=""),"",IF(K159&lt;=0,"",IFERROR(K170/K159,"")))</f>
        <v/>
      </c>
      <c r="L171" s="15">
        <f>IF(OR(L170="",L159=""),"",IF(L159&lt;=0,"",IFERROR(L170/L159,"")))</f>
        <v/>
      </c>
      <c r="M171" s="15">
        <f>IF(OR(M170="",M159=""),"",IF(M159&lt;=0,"",IFERROR(M170/M159,"")))</f>
        <v/>
      </c>
      <c r="N171" s="15">
        <f>IF(OR(N170="",N159=""),"",IF(N159&lt;=0,"",IFERROR(N170/N159,"")))</f>
        <v/>
      </c>
      <c r="V171" s="15">
        <f>IF(OR(V170="",V159=""),"",IF(V159&lt;=0,"",IFERROR(V170/V159,"")))</f>
        <v/>
      </c>
      <c r="W171" s="15">
        <f>IF(OR(W170="",W159=""),"",IF(W159&lt;=0,"",IFERROR(W170/W159,"")))</f>
        <v/>
      </c>
      <c r="X171" s="15">
        <f>IF(OR(X170="",X159=""),"",IF(X159&lt;=0,"",IFERROR(X170/X159,"")))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조정액 · 영업이익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영업이익</t>
        </is>
      </c>
      <c r="C174" s="20" t="n">
        <v>88811</v>
      </c>
      <c r="D174" s="20" t="n">
        <v>76197</v>
      </c>
      <c r="E174" s="20" t="n">
        <v>328</v>
      </c>
      <c r="F174" s="20" t="n">
        <v>66375</v>
      </c>
      <c r="G174" s="20" t="n">
        <v>91797</v>
      </c>
      <c r="H174" s="20" t="n">
        <v>75989</v>
      </c>
      <c r="I174" s="20" t="n">
        <v>45541</v>
      </c>
      <c r="J174" s="20" t="n">
        <v>61621</v>
      </c>
      <c r="K174" s="20" t="n">
        <v>103515</v>
      </c>
      <c r="L174" s="20" t="n">
        <v>37876</v>
      </c>
      <c r="M174" s="20" t="n">
        <v>78823</v>
      </c>
      <c r="N174" s="20" t="n">
        <v>98454</v>
      </c>
      <c r="V174" s="20" t="n">
        <v>328</v>
      </c>
      <c r="W174" s="20" t="n">
        <v>45541</v>
      </c>
      <c r="X174" s="20" t="n">
        <v>78823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IF(OR(C174="",C148=""),"",IF(C148&lt;=0,"",IFERROR(C174/C148,"")))</f>
        <v/>
      </c>
      <c r="D175" s="15">
        <f>IF(OR(D174="",D148=""),"",IF(D148&lt;=0,"",IFERROR(D174/D148,"")))</f>
        <v/>
      </c>
      <c r="E175" s="15">
        <f>IF(OR(E174="",E148=""),"",IF(E148&lt;=0,"",IFERROR(E174/E148,"")))</f>
        <v/>
      </c>
      <c r="F175" s="15">
        <f>IF(OR(F174="",F148=""),"",IF(F148&lt;=0,"",IFERROR(F174/F148,"")))</f>
        <v/>
      </c>
      <c r="G175" s="15">
        <f>IF(OR(G174="",G148=""),"",IF(G148&lt;=0,"",IFERROR(G174/G148,"")))</f>
        <v/>
      </c>
      <c r="H175" s="15">
        <f>IF(OR(H174="",H148=""),"",IF(H148&lt;=0,"",IFERROR(H174/H148,"")))</f>
        <v/>
      </c>
      <c r="I175" s="15">
        <f>IF(OR(I174="",I148=""),"",IF(I148&lt;=0,"",IFERROR(I174/I148,"")))</f>
        <v/>
      </c>
      <c r="J175" s="15">
        <f>IF(OR(J174="",J148=""),"",IF(J148&lt;=0,"",IFERROR(J174/J148,"")))</f>
        <v/>
      </c>
      <c r="K175" s="15">
        <f>IF(OR(K174="",K148=""),"",IF(K148&lt;=0,"",IFERROR(K174/K148,"")))</f>
        <v/>
      </c>
      <c r="L175" s="15">
        <f>IF(OR(L174="",L148=""),"",IF(L148&lt;=0,"",IFERROR(L174/L148,"")))</f>
        <v/>
      </c>
      <c r="M175" s="15">
        <f>IF(OR(M174="",M148=""),"",IF(M148&lt;=0,"",IFERROR(M174/M148,"")))</f>
        <v/>
      </c>
      <c r="N175" s="15">
        <f>IF(OR(N174="",N148=""),"",IF(N148&lt;=0,"",IFERROR(N174/N148,"")))</f>
        <v/>
      </c>
      <c r="V175" s="15">
        <f>IF(OR(V174="",V148=""),"",IF(V148&lt;=0,"",IFERROR(V174/V148,"")))</f>
        <v/>
      </c>
      <c r="W175" s="15">
        <f>IF(OR(W174="",W148=""),"",IF(W148&lt;=0,"",IFERROR(W174/W148,"")))</f>
        <v/>
      </c>
      <c r="X175" s="15">
        <f>IF(OR(X174="",X148=""),"",IF(X148&lt;=0,"",IFERROR(X174/X148,"")))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M176" s="15">
        <f>IF(OR(M174="",I174=""),"",IF(I174&lt;=0,"",IFERROR(M174/I174-1,"")))</f>
        <v/>
      </c>
      <c r="N176" s="15">
        <f>IF(OR(N174="",J174=""),"",IF(J174&lt;=0,"",IFERROR(N174/J174-1,"")))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  <c r="X176" s="15">
        <f>IF(OR(X174="",W174=""),"",IF(W174&lt;=0,"",IFERROR(X174/W174-1,"")))</f>
        <v/>
      </c>
    </row>
    <row r="178">
      <c r="A178" s="16" t="inlineStr">
        <is>
          <t>현금흐름표 · 전 항목</t>
        </is>
      </c>
      <c r="B178" s="42" t="inlineStr">
        <is>
          <t>분기 = 결산기 첫날부터 누계(공시 그대로)</t>
        </is>
      </c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</row>
    <row r="179">
      <c r="A179" s="5" t="inlineStr">
        <is>
          <t>항목</t>
        </is>
      </c>
      <c r="B179" s="5" t="inlineStr">
        <is>
          <t>참고</t>
        </is>
      </c>
      <c r="C179" s="5" t="inlineStr">
        <is>
          <t>2024.2Q</t>
        </is>
      </c>
      <c r="D179" s="5" t="inlineStr">
        <is>
          <t>2024.3Q</t>
        </is>
      </c>
      <c r="E179" s="5" t="inlineStr">
        <is>
          <t>2024.4Q</t>
        </is>
      </c>
      <c r="F179" s="5" t="inlineStr">
        <is>
          <t>2025.1Q</t>
        </is>
      </c>
      <c r="G179" s="5" t="inlineStr">
        <is>
          <t>2025.2Q</t>
        </is>
      </c>
      <c r="H179" s="5" t="inlineStr">
        <is>
          <t>2025.3Q</t>
        </is>
      </c>
      <c r="I179" s="5" t="inlineStr">
        <is>
          <t>2025.4Q</t>
        </is>
      </c>
      <c r="J179" s="5" t="inlineStr">
        <is>
          <t>2026.1Q</t>
        </is>
      </c>
      <c r="K179" s="5" t="inlineStr">
        <is>
          <t>2026.2Q</t>
        </is>
      </c>
      <c r="L179" s="5" t="inlineStr">
        <is>
          <t>2026.3Q</t>
        </is>
      </c>
      <c r="M179" s="5" t="inlineStr">
        <is>
          <t>2026.4Q</t>
        </is>
      </c>
      <c r="N179" s="5" t="inlineStr">
        <is>
          <t>2027.1Q</t>
        </is>
      </c>
      <c r="O179" s="5" t="inlineStr">
        <is>
          <t>2017</t>
        </is>
      </c>
      <c r="P179" s="5" t="inlineStr">
        <is>
          <t>2018</t>
        </is>
      </c>
      <c r="Q179" s="5" t="inlineStr">
        <is>
          <t>2019</t>
        </is>
      </c>
      <c r="R179" s="5" t="inlineStr">
        <is>
          <t>2020</t>
        </is>
      </c>
      <c r="S179" s="5" t="inlineStr">
        <is>
          <t>2021</t>
        </is>
      </c>
      <c r="T179" s="5" t="inlineStr">
        <is>
          <t>2022</t>
        </is>
      </c>
      <c r="U179" s="5" t="inlineStr">
        <is>
          <t>2023</t>
        </is>
      </c>
      <c r="V179" s="5" t="inlineStr">
        <is>
          <t>2024</t>
        </is>
      </c>
      <c r="W179" s="5" t="inlineStr">
        <is>
          <t>2025</t>
        </is>
      </c>
      <c r="X179" s="5" t="inlineStr">
        <is>
          <t>2026</t>
        </is>
      </c>
      <c r="Y179" s="5" t="inlineStr">
        <is>
          <t>2027(MW)</t>
        </is>
      </c>
      <c r="Z179" s="5" t="inlineStr">
        <is>
          <t>2028(MW)</t>
        </is>
      </c>
      <c r="AA179" s="5" t="inlineStr">
        <is>
          <t>2029(MW)</t>
        </is>
      </c>
      <c r="AB179" s="5" t="inlineStr">
        <is>
          <t>2030(MW)</t>
        </is>
      </c>
      <c r="AC179" s="5" t="inlineStr">
        <is>
          <t>2031(MW)</t>
        </is>
      </c>
    </row>
    <row r="180">
      <c r="A180" s="9" t="inlineStr">
        <is>
          <t>중간이익</t>
        </is>
      </c>
      <c r="C180" s="12" t="n">
        <v>124923</v>
      </c>
      <c r="D180" s="12" t="n">
        <v>174217</v>
      </c>
      <c r="E180" s="12" t="n">
        <v>180336</v>
      </c>
      <c r="F180" s="12" t="n">
        <v>66277</v>
      </c>
      <c r="G180" s="12" t="n">
        <v>129654</v>
      </c>
      <c r="H180" s="12" t="n">
        <v>200567</v>
      </c>
      <c r="I180" s="12" t="n">
        <v>232973</v>
      </c>
      <c r="J180" s="12" t="n">
        <v>49671</v>
      </c>
      <c r="K180" s="12" t="n">
        <v>132341</v>
      </c>
      <c r="L180" s="12" t="n">
        <v>157287</v>
      </c>
      <c r="M180" s="12" t="n">
        <v>233781</v>
      </c>
      <c r="N180" s="12" t="n">
        <v>81345</v>
      </c>
      <c r="U180" s="12" t="n">
        <v>243648</v>
      </c>
      <c r="V180" s="12" t="n">
        <v>180336</v>
      </c>
      <c r="W180" s="12" t="n">
        <v>232973</v>
      </c>
      <c r="X180" s="12" t="n">
        <v>233781</v>
      </c>
    </row>
    <row r="181">
      <c r="A181" s="18" t="inlineStr">
        <is>
          <t>감가상각비 및 상각비</t>
        </is>
      </c>
      <c r="C181" s="20" t="n">
        <v>84978</v>
      </c>
      <c r="D181" s="20" t="n">
        <v>131086</v>
      </c>
      <c r="E181" s="20" t="n">
        <v>175873</v>
      </c>
      <c r="F181" s="20" t="n">
        <v>42447</v>
      </c>
      <c r="G181" s="20" t="n">
        <v>85222</v>
      </c>
      <c r="H181" s="20" t="n">
        <v>128820</v>
      </c>
      <c r="I181" s="20" t="n">
        <v>173335</v>
      </c>
      <c r="J181" s="20" t="n">
        <v>41950</v>
      </c>
      <c r="K181" s="20" t="n">
        <v>84580</v>
      </c>
      <c r="L181" s="20" t="n">
        <v>128896</v>
      </c>
      <c r="M181" s="20" t="n">
        <v>178212</v>
      </c>
      <c r="N181" s="20" t="n">
        <v>45585</v>
      </c>
      <c r="U181" s="20" t="n">
        <v>169618</v>
      </c>
      <c r="V181" s="20" t="n">
        <v>175873</v>
      </c>
      <c r="W181" s="20" t="n">
        <v>173335</v>
      </c>
      <c r="X181" s="20" t="n">
        <v>178212</v>
      </c>
    </row>
    <row r="182">
      <c r="A182" s="18" t="inlineStr">
        <is>
          <t>손상차손</t>
        </is>
      </c>
      <c r="C182" s="20" t="n">
        <v>46</v>
      </c>
      <c r="D182" s="20" t="n">
        <v>47</v>
      </c>
      <c r="E182" s="20" t="n">
        <v>49546</v>
      </c>
      <c r="F182" s="20" t="n">
        <v>2265</v>
      </c>
      <c r="G182" s="20" t="n">
        <v>9739</v>
      </c>
      <c r="H182" s="20" t="n">
        <v>10289</v>
      </c>
      <c r="I182" s="20" t="n">
        <v>22083</v>
      </c>
      <c r="J182" s="20" t="n">
        <v>441</v>
      </c>
      <c r="K182" s="20" t="n">
        <v>969</v>
      </c>
      <c r="L182" s="20" t="n">
        <v>49102</v>
      </c>
      <c r="M182" s="20" t="n">
        <v>50414</v>
      </c>
      <c r="N182" s="20" t="n">
        <v>1285</v>
      </c>
      <c r="U182" s="20" t="n">
        <v>579</v>
      </c>
      <c r="V182" s="20" t="n">
        <v>49546</v>
      </c>
      <c r="W182" s="20" t="n">
        <v>22083</v>
      </c>
      <c r="X182" s="20" t="n">
        <v>50414</v>
      </c>
    </row>
    <row r="183">
      <c r="A183" s="18" t="inlineStr">
        <is>
          <t>Finance Income And Finance Costs Ope CF</t>
        </is>
      </c>
      <c r="C183" s="20" t="n">
        <v>-22303</v>
      </c>
      <c r="D183" s="20" t="n">
        <v>-10310</v>
      </c>
      <c r="E183" s="20" t="n">
        <v>-23926</v>
      </c>
      <c r="F183" s="20" t="n">
        <v>-17176</v>
      </c>
      <c r="G183" s="20" t="n">
        <v>-5822</v>
      </c>
      <c r="H183" s="20" t="n">
        <v>-34356</v>
      </c>
      <c r="I183" s="20" t="n">
        <v>-24593</v>
      </c>
      <c r="J183" s="20" t="n">
        <v>-687</v>
      </c>
      <c r="K183" s="20" t="n">
        <v>-9628</v>
      </c>
      <c r="L183" s="20" t="n">
        <v>-21281</v>
      </c>
      <c r="M183" s="20" t="n">
        <v>-26793</v>
      </c>
      <c r="N183" s="20" t="n">
        <v>-10775</v>
      </c>
      <c r="U183" s="20" t="n">
        <v>-4452</v>
      </c>
      <c r="V183" s="20" t="n">
        <v>-23926</v>
      </c>
      <c r="W183" s="20" t="n">
        <v>-24593</v>
      </c>
      <c r="X183" s="20" t="n">
        <v>-26793</v>
      </c>
    </row>
    <row r="184">
      <c r="A184" s="18" t="inlineStr">
        <is>
          <t>법인소득세 비용</t>
        </is>
      </c>
      <c r="C184" s="20" t="n">
        <v>36301</v>
      </c>
      <c r="D184" s="20" t="n">
        <v>51217</v>
      </c>
      <c r="E184" s="20" t="n">
        <v>59068</v>
      </c>
      <c r="F184" s="20" t="n">
        <v>17289</v>
      </c>
      <c r="G184" s="20" t="n">
        <v>34375</v>
      </c>
      <c r="H184" s="20" t="n">
        <v>67990</v>
      </c>
      <c r="I184" s="20" t="n">
        <v>71431</v>
      </c>
      <c r="J184" s="20" t="n">
        <v>12651</v>
      </c>
      <c r="K184" s="20" t="n">
        <v>42441</v>
      </c>
      <c r="L184" s="20" t="n">
        <v>67004</v>
      </c>
      <c r="M184" s="20" t="n">
        <v>74862</v>
      </c>
      <c r="N184" s="20" t="n">
        <v>27888</v>
      </c>
      <c r="U184" s="20" t="n">
        <v>59035</v>
      </c>
      <c r="V184" s="20" t="n">
        <v>59068</v>
      </c>
      <c r="W184" s="20" t="n">
        <v>71431</v>
      </c>
      <c r="X184" s="20" t="n">
        <v>74862</v>
      </c>
    </row>
    <row r="185">
      <c r="A185" s="18" t="inlineStr">
        <is>
          <t>Share Of Loss Profit Of Investments Accounted For Using Equity Method Ope CF</t>
        </is>
      </c>
      <c r="C185" s="20" t="n">
        <v>1</v>
      </c>
      <c r="D185" s="20" t="n">
        <v>-5</v>
      </c>
      <c r="E185" s="20" t="n">
        <v>-31</v>
      </c>
      <c r="F185" s="20" t="n">
        <v>-15</v>
      </c>
      <c r="G185" s="20" t="n">
        <v>-35</v>
      </c>
      <c r="H185" s="20" t="n">
        <v>-40</v>
      </c>
      <c r="I185" s="20" t="n">
        <v>-109</v>
      </c>
      <c r="J185" s="20" t="n">
        <v>-14</v>
      </c>
      <c r="K185" s="20" t="n">
        <v>-18</v>
      </c>
      <c r="L185" s="20" t="n">
        <v>2</v>
      </c>
      <c r="M185" s="20" t="n">
        <v>-15</v>
      </c>
      <c r="N185" s="20" t="n">
        <v>-4</v>
      </c>
      <c r="U185" s="20" t="n">
        <v>0</v>
      </c>
      <c r="V185" s="20" t="n">
        <v>-31</v>
      </c>
      <c r="W185" s="20" t="n">
        <v>-109</v>
      </c>
      <c r="X185" s="20" t="n">
        <v>-15</v>
      </c>
    </row>
    <row r="186">
      <c r="A186" s="18" t="inlineStr">
        <is>
          <t>Loss Gain On Sale Of Fixed Assets Ope CF</t>
        </is>
      </c>
      <c r="C186" s="20" t="n">
        <v>474</v>
      </c>
      <c r="D186" s="20" t="n">
        <v>994</v>
      </c>
      <c r="E186" s="20" t="n">
        <v>2548</v>
      </c>
      <c r="F186" s="20" t="n">
        <v>137</v>
      </c>
      <c r="G186" s="20" t="n">
        <v>690</v>
      </c>
      <c r="H186" s="20" t="n">
        <v>1785</v>
      </c>
      <c r="I186" s="20" t="n">
        <v>2123</v>
      </c>
      <c r="J186" s="20" t="n">
        <v>478</v>
      </c>
      <c r="K186" s="20" t="n">
        <v>1264</v>
      </c>
      <c r="L186" s="20" t="n">
        <v>2096</v>
      </c>
      <c r="M186" s="20" t="n">
        <v>2914</v>
      </c>
      <c r="U186" s="20" t="n">
        <v>2219</v>
      </c>
      <c r="V186" s="20" t="n">
        <v>2548</v>
      </c>
      <c r="W186" s="20" t="n">
        <v>2123</v>
      </c>
      <c r="X186" s="20" t="n">
        <v>2914</v>
      </c>
    </row>
    <row r="187">
      <c r="A187" s="18" t="inlineStr">
        <is>
          <t>Loss Gain On Transfer Of Business Ope CF</t>
        </is>
      </c>
      <c r="I187" s="20" t="n">
        <v>0</v>
      </c>
      <c r="M187" s="20" t="n">
        <v>-5693</v>
      </c>
      <c r="W187" s="20" t="n">
        <v>0</v>
      </c>
      <c r="X187" s="20" t="n">
        <v>-5693</v>
      </c>
    </row>
    <row r="188">
      <c r="A188" s="18" t="inlineStr">
        <is>
          <t>Loss Gain On Sale And Retirement Of Fixed Assets Ope CF</t>
        </is>
      </c>
      <c r="J188" s="20" t="n">
        <v>478</v>
      </c>
      <c r="N188" s="20" t="n">
        <v>393</v>
      </c>
    </row>
    <row r="189">
      <c r="A189" s="18" t="inlineStr">
        <is>
          <t>Decrease Increase In Trade Receivables Ope CF</t>
        </is>
      </c>
      <c r="C189" s="20" t="n">
        <v>-40104</v>
      </c>
      <c r="D189" s="20" t="n">
        <v>-37982</v>
      </c>
      <c r="E189" s="20" t="n">
        <v>4119</v>
      </c>
      <c r="F189" s="20" t="n">
        <v>1342</v>
      </c>
      <c r="G189" s="20" t="n">
        <v>-28042</v>
      </c>
      <c r="H189" s="20" t="n">
        <v>-29288</v>
      </c>
      <c r="I189" s="20" t="n">
        <v>-6779</v>
      </c>
      <c r="J189" s="20" t="n">
        <v>3480</v>
      </c>
      <c r="K189" s="20" t="n">
        <v>-36660</v>
      </c>
      <c r="L189" s="20" t="n">
        <v>-22423</v>
      </c>
      <c r="M189" s="20" t="n">
        <v>-9015</v>
      </c>
      <c r="N189" s="20" t="n">
        <v>-14505</v>
      </c>
      <c r="U189" s="20" t="n">
        <v>104011</v>
      </c>
      <c r="V189" s="20" t="n">
        <v>4119</v>
      </c>
      <c r="W189" s="20" t="n">
        <v>-6779</v>
      </c>
      <c r="X189" s="20" t="n">
        <v>-9015</v>
      </c>
    </row>
    <row r="190">
      <c r="A190" s="18" t="inlineStr">
        <is>
          <t>재고자산 증감액</t>
        </is>
      </c>
      <c r="C190" s="20" t="n">
        <v>33732</v>
      </c>
      <c r="D190" s="20" t="n">
        <v>71564</v>
      </c>
      <c r="E190" s="20" t="n">
        <v>83451</v>
      </c>
      <c r="F190" s="20" t="n">
        <v>10830</v>
      </c>
      <c r="G190" s="20" t="n">
        <v>23461</v>
      </c>
      <c r="H190" s="20" t="n">
        <v>32655</v>
      </c>
      <c r="I190" s="20" t="n">
        <v>28944</v>
      </c>
      <c r="J190" s="20" t="n">
        <v>-7901</v>
      </c>
      <c r="K190" s="20" t="n">
        <v>-1331</v>
      </c>
      <c r="L190" s="20" t="n">
        <v>-302</v>
      </c>
      <c r="M190" s="20" t="n">
        <v>-16847</v>
      </c>
      <c r="N190" s="20" t="n">
        <v>-13385</v>
      </c>
      <c r="U190" s="20" t="n">
        <v>-100558</v>
      </c>
      <c r="V190" s="20" t="n">
        <v>83451</v>
      </c>
      <c r="W190" s="20" t="n">
        <v>28944</v>
      </c>
      <c r="X190" s="20" t="n">
        <v>-16847</v>
      </c>
    </row>
    <row r="191">
      <c r="A191" s="18" t="inlineStr">
        <is>
          <t>Decrease Increase In Other Assets Ope CF</t>
        </is>
      </c>
      <c r="C191" s="20" t="n">
        <v>-8113</v>
      </c>
      <c r="D191" s="20" t="n">
        <v>-13708</v>
      </c>
      <c r="E191" s="20" t="n">
        <v>-5080</v>
      </c>
      <c r="F191" s="20" t="n">
        <v>-24154</v>
      </c>
      <c r="G191" s="20" t="n">
        <v>-5113</v>
      </c>
      <c r="H191" s="20" t="n">
        <v>-4904</v>
      </c>
      <c r="I191" s="20" t="n">
        <v>4383</v>
      </c>
      <c r="J191" s="20" t="n">
        <v>-24954</v>
      </c>
      <c r="K191" s="20" t="n">
        <v>-12101</v>
      </c>
      <c r="L191" s="20" t="n">
        <v>-5601</v>
      </c>
      <c r="M191" s="20" t="n">
        <v>-4568</v>
      </c>
      <c r="N191" s="20" t="n">
        <v>-32417</v>
      </c>
      <c r="U191" s="20" t="n">
        <v>-15902</v>
      </c>
      <c r="V191" s="20" t="n">
        <v>-5080</v>
      </c>
      <c r="W191" s="20" t="n">
        <v>4383</v>
      </c>
      <c r="X191" s="20" t="n">
        <v>-4568</v>
      </c>
    </row>
    <row r="192">
      <c r="A192" s="18" t="inlineStr">
        <is>
          <t>Increase Decrease In Trade Payables Ope CF</t>
        </is>
      </c>
      <c r="C192" s="20" t="n">
        <v>-6210</v>
      </c>
      <c r="D192" s="20" t="n">
        <v>-5124</v>
      </c>
      <c r="E192" s="20" t="n">
        <v>119</v>
      </c>
      <c r="F192" s="20" t="n">
        <v>-692</v>
      </c>
      <c r="G192" s="20" t="n">
        <v>-1359</v>
      </c>
      <c r="H192" s="20" t="n">
        <v>232</v>
      </c>
      <c r="I192" s="20" t="n">
        <v>2247</v>
      </c>
      <c r="J192" s="20" t="n">
        <v>-1588</v>
      </c>
      <c r="K192" s="20" t="n">
        <v>5477</v>
      </c>
      <c r="L192" s="20" t="n">
        <v>546</v>
      </c>
      <c r="M192" s="20" t="n">
        <v>7822</v>
      </c>
      <c r="N192" s="20" t="n">
        <v>340</v>
      </c>
      <c r="U192" s="20" t="n">
        <v>-30027</v>
      </c>
      <c r="V192" s="20" t="n">
        <v>119</v>
      </c>
      <c r="W192" s="20" t="n">
        <v>2247</v>
      </c>
      <c r="X192" s="20" t="n">
        <v>7822</v>
      </c>
    </row>
    <row r="193">
      <c r="A193" s="18" t="inlineStr">
        <is>
          <t>Increase Decrease In Other Liabilities Ope CF</t>
        </is>
      </c>
      <c r="C193" s="20" t="n">
        <v>6999</v>
      </c>
      <c r="D193" s="20" t="n">
        <v>1089</v>
      </c>
      <c r="E193" s="20" t="n">
        <v>18052</v>
      </c>
      <c r="F193" s="20" t="n">
        <v>-19590</v>
      </c>
      <c r="G193" s="20" t="n">
        <v>-9359</v>
      </c>
      <c r="H193" s="20" t="n">
        <v>-8054</v>
      </c>
      <c r="I193" s="20" t="n">
        <v>2527</v>
      </c>
      <c r="J193" s="20" t="n">
        <v>-10479</v>
      </c>
      <c r="K193" s="20" t="n">
        <v>-5800</v>
      </c>
      <c r="L193" s="20" t="n">
        <v>-14433</v>
      </c>
      <c r="M193" s="20" t="n">
        <v>11599</v>
      </c>
      <c r="N193" s="20" t="n">
        <v>1244</v>
      </c>
      <c r="U193" s="20" t="n">
        <v>-22171</v>
      </c>
      <c r="V193" s="20" t="n">
        <v>18052</v>
      </c>
      <c r="W193" s="20" t="n">
        <v>2527</v>
      </c>
      <c r="X193" s="20" t="n">
        <v>11599</v>
      </c>
    </row>
    <row r="194">
      <c r="A194" s="18" t="inlineStr">
        <is>
          <t>기타</t>
        </is>
      </c>
      <c r="C194" s="20" t="n">
        <v>-1509</v>
      </c>
      <c r="D194" s="20" t="n">
        <v>-1909</v>
      </c>
      <c r="E194" s="20" t="n">
        <v>-10647</v>
      </c>
      <c r="F194" s="20" t="n">
        <v>983</v>
      </c>
      <c r="G194" s="20" t="n">
        <v>1385</v>
      </c>
      <c r="H194" s="20" t="n">
        <v>1253</v>
      </c>
      <c r="I194" s="20" t="n">
        <v>103</v>
      </c>
      <c r="J194" s="20" t="n">
        <v>2750</v>
      </c>
      <c r="K194" s="20" t="n">
        <v>3346</v>
      </c>
      <c r="L194" s="20" t="n">
        <v>4568</v>
      </c>
      <c r="M194" s="20" t="n">
        <v>3616</v>
      </c>
      <c r="N194" s="20" t="n">
        <v>2172</v>
      </c>
      <c r="U194" s="20" t="n">
        <v>571</v>
      </c>
      <c r="V194" s="20" t="n">
        <v>-10647</v>
      </c>
      <c r="W194" s="20" t="n">
        <v>103</v>
      </c>
      <c r="X194" s="20" t="n">
        <v>3616</v>
      </c>
    </row>
    <row r="195">
      <c r="A195" s="18" t="inlineStr">
        <is>
          <t>소계</t>
        </is>
      </c>
      <c r="C195" s="20" t="n">
        <v>209215</v>
      </c>
      <c r="D195" s="20" t="n">
        <v>361176</v>
      </c>
      <c r="E195" s="20" t="n">
        <v>533428</v>
      </c>
      <c r="F195" s="20" t="n">
        <v>79943</v>
      </c>
      <c r="G195" s="20" t="n">
        <v>234796</v>
      </c>
      <c r="H195" s="20" t="n">
        <v>366949</v>
      </c>
      <c r="I195" s="20" t="n">
        <v>508668</v>
      </c>
      <c r="J195" s="20" t="n">
        <v>65798</v>
      </c>
      <c r="K195" s="20" t="n">
        <v>204880</v>
      </c>
      <c r="L195" s="20" t="n">
        <v>345461</v>
      </c>
      <c r="M195" s="20" t="n">
        <v>500289</v>
      </c>
      <c r="N195" s="20" t="n">
        <v>89166</v>
      </c>
      <c r="U195" s="20" t="n">
        <v>406571</v>
      </c>
      <c r="V195" s="20" t="n">
        <v>533428</v>
      </c>
      <c r="W195" s="20" t="n">
        <v>508668</v>
      </c>
      <c r="X195" s="20" t="n">
        <v>500289</v>
      </c>
    </row>
    <row r="196">
      <c r="A196" s="18" t="inlineStr">
        <is>
          <t>법인소득세 지급액</t>
        </is>
      </c>
      <c r="C196" s="20" t="n">
        <v>-17557</v>
      </c>
      <c r="D196" s="20" t="n">
        <v>-35207</v>
      </c>
      <c r="E196" s="20" t="n">
        <v>-43791</v>
      </c>
      <c r="F196" s="20" t="n">
        <v>-21450</v>
      </c>
      <c r="G196" s="20" t="n">
        <v>-18780</v>
      </c>
      <c r="H196" s="20" t="n">
        <v>-43407</v>
      </c>
      <c r="I196" s="20" t="n">
        <v>-56763</v>
      </c>
      <c r="J196" s="20" t="n">
        <v>-25804</v>
      </c>
      <c r="K196" s="20" t="n">
        <v>-37147</v>
      </c>
      <c r="L196" s="20" t="n">
        <v>-63671</v>
      </c>
      <c r="M196" s="20" t="n">
        <v>-75067</v>
      </c>
      <c r="N196" s="20" t="n">
        <v>-46978</v>
      </c>
      <c r="U196" s="20" t="n">
        <v>-128930</v>
      </c>
      <c r="V196" s="20" t="n">
        <v>-43791</v>
      </c>
      <c r="W196" s="20" t="n">
        <v>-56763</v>
      </c>
      <c r="X196" s="20" t="n">
        <v>-75067</v>
      </c>
    </row>
    <row r="197">
      <c r="A197" s="9" t="inlineStr">
        <is>
          <t>영업활동 현금흐름</t>
        </is>
      </c>
      <c r="C197" s="12" t="n">
        <v>191658</v>
      </c>
      <c r="D197" s="12" t="n">
        <v>325969</v>
      </c>
      <c r="E197" s="12" t="n">
        <v>489637</v>
      </c>
      <c r="F197" s="12" t="n">
        <v>58493</v>
      </c>
      <c r="G197" s="12" t="n">
        <v>216016</v>
      </c>
      <c r="H197" s="12" t="n">
        <v>323542</v>
      </c>
      <c r="I197" s="12" t="n">
        <v>451905</v>
      </c>
      <c r="J197" s="12" t="n">
        <v>39994</v>
      </c>
      <c r="K197" s="12" t="n">
        <v>167733</v>
      </c>
      <c r="L197" s="12" t="n">
        <v>281790</v>
      </c>
      <c r="M197" s="12" t="n">
        <v>425222</v>
      </c>
      <c r="N197" s="12" t="n">
        <v>42188</v>
      </c>
      <c r="U197" s="12" t="n">
        <v>277641</v>
      </c>
      <c r="V197" s="12" t="n">
        <v>489637</v>
      </c>
      <c r="W197" s="12" t="n">
        <v>451905</v>
      </c>
      <c r="X197" s="12" t="n">
        <v>425222</v>
      </c>
    </row>
    <row r="198">
      <c r="A198" s="18" t="inlineStr">
        <is>
          <t>Net Decrease Increase In Time Deposits Inv CF</t>
        </is>
      </c>
      <c r="C198" s="20" t="n">
        <v>111</v>
      </c>
      <c r="D198" s="20" t="n">
        <v>102</v>
      </c>
      <c r="E198" s="20" t="n">
        <v>8796</v>
      </c>
      <c r="F198" s="20" t="n">
        <v>-7819</v>
      </c>
      <c r="G198" s="20" t="n">
        <v>-7780</v>
      </c>
      <c r="H198" s="20" t="n">
        <v>-15500</v>
      </c>
      <c r="I198" s="20" t="n">
        <v>-37379</v>
      </c>
      <c r="J198" s="20" t="n">
        <v>14377</v>
      </c>
      <c r="K198" s="20" t="n">
        <v>21931</v>
      </c>
      <c r="L198" s="20" t="n">
        <v>11586</v>
      </c>
      <c r="M198" s="20" t="n">
        <v>32832</v>
      </c>
      <c r="N198" s="20" t="n">
        <v>-18970</v>
      </c>
      <c r="U198" s="20" t="n">
        <v>22595</v>
      </c>
      <c r="V198" s="20" t="n">
        <v>8796</v>
      </c>
      <c r="W198" s="20" t="n">
        <v>-37379</v>
      </c>
      <c r="X198" s="20" t="n">
        <v>32832</v>
      </c>
    </row>
    <row r="199">
      <c r="A199" s="18" t="inlineStr">
        <is>
          <t>유형자산 취득(설비투자)</t>
        </is>
      </c>
      <c r="C199" s="20" t="n">
        <v>-124544</v>
      </c>
      <c r="D199" s="20" t="n">
        <v>-185730</v>
      </c>
      <c r="E199" s="20" t="n">
        <v>-228626</v>
      </c>
      <c r="F199" s="20" t="n">
        <v>-57108</v>
      </c>
      <c r="G199" s="20" t="n">
        <v>-95230</v>
      </c>
      <c r="H199" s="20" t="n">
        <v>-146170</v>
      </c>
      <c r="I199" s="20" t="n">
        <v>-182936</v>
      </c>
      <c r="J199" s="20" t="n">
        <v>-47819</v>
      </c>
      <c r="K199" s="20" t="n">
        <v>-88317</v>
      </c>
      <c r="L199" s="20" t="n">
        <v>-134430</v>
      </c>
      <c r="M199" s="20" t="n">
        <v>-244619</v>
      </c>
      <c r="N199" s="20" t="n">
        <v>-57073</v>
      </c>
      <c r="U199" s="20" t="n">
        <v>-189908</v>
      </c>
      <c r="V199" s="20" t="n">
        <v>-228626</v>
      </c>
      <c r="W199" s="20" t="n">
        <v>-182936</v>
      </c>
      <c r="X199" s="20" t="n">
        <v>-244619</v>
      </c>
    </row>
    <row r="200">
      <c r="A200" s="18" t="inlineStr">
        <is>
          <t>유형자산 매각</t>
        </is>
      </c>
      <c r="C200" s="20" t="n">
        <v>415</v>
      </c>
      <c r="D200" s="20" t="n">
        <v>588</v>
      </c>
      <c r="E200" s="20" t="n">
        <v>739</v>
      </c>
      <c r="F200" s="20" t="n">
        <v>981</v>
      </c>
      <c r="G200" s="20" t="n">
        <v>1820</v>
      </c>
      <c r="H200" s="20" t="n">
        <v>1957</v>
      </c>
      <c r="I200" s="20" t="n">
        <v>3504</v>
      </c>
      <c r="J200" s="20" t="n">
        <v>441</v>
      </c>
      <c r="K200" s="20" t="n">
        <v>491</v>
      </c>
      <c r="L200" s="20" t="n">
        <v>1417</v>
      </c>
      <c r="M200" s="20" t="n">
        <v>1626</v>
      </c>
      <c r="N200" s="20" t="n">
        <v>454</v>
      </c>
      <c r="U200" s="20" t="n">
        <v>3019</v>
      </c>
      <c r="V200" s="20" t="n">
        <v>739</v>
      </c>
      <c r="W200" s="20" t="n">
        <v>3504</v>
      </c>
      <c r="X200" s="20" t="n">
        <v>1626</v>
      </c>
    </row>
    <row r="201">
      <c r="A201" s="18" t="inlineStr">
        <is>
          <t>무형자산 취득 지출</t>
        </is>
      </c>
      <c r="C201" s="20" t="n">
        <v>-3525</v>
      </c>
      <c r="D201" s="20" t="n">
        <v>-5398</v>
      </c>
      <c r="E201" s="20" t="n">
        <v>-7602</v>
      </c>
      <c r="F201" s="20" t="n">
        <v>-2289</v>
      </c>
      <c r="G201" s="20" t="n">
        <v>-4571</v>
      </c>
      <c r="H201" s="20" t="n">
        <v>-6997</v>
      </c>
      <c r="I201" s="20" t="n">
        <v>-9906</v>
      </c>
      <c r="J201" s="20" t="n">
        <v>-2698</v>
      </c>
      <c r="K201" s="20" t="n">
        <v>-5037</v>
      </c>
      <c r="L201" s="20" t="n">
        <v>-6904</v>
      </c>
      <c r="M201" s="20" t="n">
        <v>-7601</v>
      </c>
      <c r="N201" s="20" t="n">
        <v>-2160</v>
      </c>
      <c r="U201" s="20" t="n">
        <v>-7657</v>
      </c>
      <c r="V201" s="20" t="n">
        <v>-7602</v>
      </c>
      <c r="W201" s="20" t="n">
        <v>-9906</v>
      </c>
      <c r="X201" s="20" t="n">
        <v>-7601</v>
      </c>
    </row>
    <row r="202">
      <c r="A202" s="18" t="inlineStr">
        <is>
          <t>Purchase Of Investments Inv CF</t>
        </is>
      </c>
      <c r="C202" s="20" t="n">
        <v>-4616</v>
      </c>
      <c r="D202" s="20" t="n">
        <v>-4714</v>
      </c>
      <c r="E202" s="20" t="n">
        <v>-5033</v>
      </c>
      <c r="F202" s="20" t="n">
        <v>-1697</v>
      </c>
      <c r="G202" s="20" t="n">
        <v>-1939</v>
      </c>
      <c r="H202" s="20" t="n">
        <v>-3651</v>
      </c>
      <c r="I202" s="20" t="n">
        <v>-4506</v>
      </c>
      <c r="J202" s="20" t="n">
        <v>-2180</v>
      </c>
      <c r="K202" s="20" t="n">
        <v>-2501</v>
      </c>
      <c r="L202" s="20" t="n">
        <v>-2863</v>
      </c>
      <c r="M202" s="20" t="n">
        <v>-4690</v>
      </c>
      <c r="N202" s="20" t="n">
        <v>-1048</v>
      </c>
      <c r="U202" s="20" t="n">
        <v>-30924</v>
      </c>
      <c r="V202" s="20" t="n">
        <v>-5033</v>
      </c>
      <c r="W202" s="20" t="n">
        <v>-4506</v>
      </c>
      <c r="X202" s="20" t="n">
        <v>-4690</v>
      </c>
    </row>
    <row r="203">
      <c r="A203" s="18" t="inlineStr">
        <is>
          <t>투자 매각·상환 수입</t>
        </is>
      </c>
      <c r="C203" s="20" t="n">
        <v>11116</v>
      </c>
      <c r="D203" s="20" t="n">
        <v>15642</v>
      </c>
      <c r="E203" s="20" t="n">
        <v>16700</v>
      </c>
      <c r="F203" s="20" t="n">
        <v>1700</v>
      </c>
      <c r="G203" s="20" t="n">
        <v>1703</v>
      </c>
      <c r="H203" s="20" t="n">
        <v>1703</v>
      </c>
      <c r="I203" s="20" t="n">
        <v>7924</v>
      </c>
      <c r="J203" s="20" t="n">
        <v>0</v>
      </c>
      <c r="K203" s="20" t="n">
        <v>70</v>
      </c>
      <c r="L203" s="20" t="n">
        <v>4735</v>
      </c>
      <c r="M203" s="20" t="n">
        <v>6933</v>
      </c>
      <c r="N203" s="20" t="n">
        <v>469</v>
      </c>
      <c r="U203" s="20" t="n">
        <v>44081</v>
      </c>
      <c r="V203" s="20" t="n">
        <v>16700</v>
      </c>
      <c r="W203" s="20" t="n">
        <v>7924</v>
      </c>
      <c r="X203" s="20" t="n">
        <v>6933</v>
      </c>
    </row>
    <row r="204">
      <c r="A204" s="18" t="inlineStr">
        <is>
          <t>사업양도 수입</t>
        </is>
      </c>
      <c r="I204" s="20" t="n">
        <v>0</v>
      </c>
      <c r="M204" s="20" t="n">
        <v>7990</v>
      </c>
      <c r="W204" s="20" t="n">
        <v>0</v>
      </c>
      <c r="X204" s="20" t="n">
        <v>7990</v>
      </c>
    </row>
    <row r="205">
      <c r="A205" s="18" t="inlineStr">
        <is>
          <t>이자·배당금 수취</t>
        </is>
      </c>
      <c r="C205" s="20" t="n">
        <v>5567</v>
      </c>
      <c r="D205" s="20" t="n">
        <v>8127</v>
      </c>
      <c r="E205" s="20" t="n">
        <v>12767</v>
      </c>
      <c r="F205" s="20" t="n">
        <v>4615</v>
      </c>
      <c r="G205" s="20" t="n">
        <v>8754</v>
      </c>
      <c r="H205" s="20" t="n">
        <v>11301</v>
      </c>
      <c r="I205" s="20" t="n">
        <v>15889</v>
      </c>
      <c r="J205" s="20" t="n">
        <v>4412</v>
      </c>
      <c r="K205" s="20" t="n">
        <v>8088</v>
      </c>
      <c r="L205" s="20" t="n">
        <v>10317</v>
      </c>
      <c r="M205" s="20" t="n">
        <v>13977</v>
      </c>
      <c r="N205" s="20" t="n">
        <v>3675</v>
      </c>
      <c r="U205" s="20" t="n">
        <v>6402</v>
      </c>
      <c r="V205" s="20" t="n">
        <v>12767</v>
      </c>
      <c r="W205" s="20" t="n">
        <v>15889</v>
      </c>
      <c r="X205" s="20" t="n">
        <v>13977</v>
      </c>
    </row>
    <row r="206">
      <c r="A206" s="18" t="inlineStr">
        <is>
          <t>기타</t>
        </is>
      </c>
      <c r="C206" s="20" t="n">
        <v>114</v>
      </c>
      <c r="D206" s="20" t="n">
        <v>205</v>
      </c>
      <c r="E206" s="20" t="n">
        <v>688</v>
      </c>
      <c r="F206" s="20" t="n">
        <v>52</v>
      </c>
      <c r="G206" s="20" t="n">
        <v>8</v>
      </c>
      <c r="H206" s="20" t="n">
        <v>396</v>
      </c>
      <c r="I206" s="20" t="n">
        <v>-660</v>
      </c>
      <c r="J206" s="20" t="n">
        <v>-95</v>
      </c>
      <c r="K206" s="20" t="n">
        <v>-205</v>
      </c>
      <c r="L206" s="20" t="n">
        <v>-576</v>
      </c>
      <c r="M206" s="20" t="n">
        <v>-262</v>
      </c>
      <c r="N206" s="20" t="n">
        <v>-413</v>
      </c>
      <c r="U206" s="20" t="n">
        <v>976</v>
      </c>
      <c r="V206" s="20" t="n">
        <v>688</v>
      </c>
      <c r="W206" s="20" t="n">
        <v>-660</v>
      </c>
      <c r="X206" s="20" t="n">
        <v>-262</v>
      </c>
    </row>
    <row r="207">
      <c r="A207" s="9" t="inlineStr">
        <is>
          <t>투자활동 현금흐름</t>
        </is>
      </c>
      <c r="C207" s="12" t="n">
        <v>-115362</v>
      </c>
      <c r="D207" s="12" t="n">
        <v>-171178</v>
      </c>
      <c r="E207" s="12" t="n">
        <v>-201571</v>
      </c>
      <c r="F207" s="12" t="n">
        <v>-61565</v>
      </c>
      <c r="G207" s="12" t="n">
        <v>-97235</v>
      </c>
      <c r="H207" s="12" t="n">
        <v>-156961</v>
      </c>
      <c r="I207" s="12" t="n">
        <v>-208070</v>
      </c>
      <c r="J207" s="12" t="n">
        <v>-33562</v>
      </c>
      <c r="K207" s="12" t="n">
        <v>-65480</v>
      </c>
      <c r="L207" s="12" t="n">
        <v>-116718</v>
      </c>
      <c r="M207" s="12" t="n">
        <v>-193814</v>
      </c>
      <c r="N207" s="12" t="n">
        <v>-75066</v>
      </c>
      <c r="U207" s="12" t="n">
        <v>-151416</v>
      </c>
      <c r="V207" s="12" t="n">
        <v>-201571</v>
      </c>
      <c r="W207" s="12" t="n">
        <v>-208070</v>
      </c>
      <c r="X207" s="12" t="n">
        <v>-193814</v>
      </c>
    </row>
    <row r="208">
      <c r="A208" s="18" t="inlineStr">
        <is>
          <t>단기차입금 순증감</t>
        </is>
      </c>
      <c r="I208" s="20" t="n">
        <v>0</v>
      </c>
      <c r="J208" s="20" t="n">
        <v>0</v>
      </c>
      <c r="M208" s="20" t="n">
        <v>692</v>
      </c>
      <c r="N208" s="20" t="n">
        <v>-676</v>
      </c>
      <c r="W208" s="20" t="n">
        <v>0</v>
      </c>
      <c r="X208" s="20" t="n">
        <v>692</v>
      </c>
    </row>
    <row r="209">
      <c r="A209" s="18" t="inlineStr">
        <is>
          <t>장기차입</t>
        </is>
      </c>
      <c r="C209" s="20" t="n">
        <v>476</v>
      </c>
      <c r="D209" s="20" t="n">
        <v>613</v>
      </c>
      <c r="E209" s="20" t="n">
        <v>802</v>
      </c>
      <c r="F209" s="20" t="n">
        <v>137</v>
      </c>
      <c r="G209" s="20" t="n">
        <v>392</v>
      </c>
      <c r="H209" s="20" t="n">
        <v>427</v>
      </c>
      <c r="I209" s="20" t="n">
        <v>480</v>
      </c>
      <c r="J209" s="20" t="n">
        <v>84</v>
      </c>
      <c r="K209" s="20" t="n">
        <v>91</v>
      </c>
      <c r="L209" s="20" t="n">
        <v>105</v>
      </c>
      <c r="M209" s="20" t="n">
        <v>140</v>
      </c>
      <c r="N209" s="20" t="n">
        <v>39</v>
      </c>
      <c r="U209" s="20" t="n">
        <v>879</v>
      </c>
      <c r="V209" s="20" t="n">
        <v>802</v>
      </c>
      <c r="W209" s="20" t="n">
        <v>480</v>
      </c>
      <c r="X209" s="20" t="n">
        <v>140</v>
      </c>
    </row>
    <row r="210">
      <c r="A210" s="18" t="inlineStr">
        <is>
          <t>장기차입금 상환</t>
        </is>
      </c>
      <c r="C210" s="20" t="n">
        <v>-7</v>
      </c>
      <c r="D210" s="20" t="n">
        <v>-7</v>
      </c>
      <c r="E210" s="20" t="n">
        <v>-7</v>
      </c>
      <c r="G210" s="20" t="n">
        <v>-7</v>
      </c>
      <c r="H210" s="20" t="n">
        <v>-889</v>
      </c>
      <c r="I210" s="20" t="n">
        <v>-889</v>
      </c>
      <c r="K210" s="20" t="n">
        <v>0</v>
      </c>
      <c r="L210" s="20" t="n">
        <v>0</v>
      </c>
      <c r="M210" s="20" t="n">
        <v>0</v>
      </c>
      <c r="U210" s="20" t="n">
        <v>-6</v>
      </c>
      <c r="V210" s="20" t="n">
        <v>-7</v>
      </c>
      <c r="W210" s="20" t="n">
        <v>-889</v>
      </c>
      <c r="X210" s="20" t="n">
        <v>0</v>
      </c>
    </row>
    <row r="211">
      <c r="A211" s="18" t="inlineStr">
        <is>
          <t>사채 상환</t>
        </is>
      </c>
      <c r="C211" s="20" t="n">
        <v>0</v>
      </c>
      <c r="D211" s="20" t="n">
        <v>0</v>
      </c>
      <c r="E211" s="20" t="n">
        <v>-60000</v>
      </c>
      <c r="G211" s="20" t="n">
        <v>-50000</v>
      </c>
      <c r="H211" s="20" t="n">
        <v>-50000</v>
      </c>
      <c r="I211" s="20" t="n">
        <v>-50000</v>
      </c>
      <c r="K211" s="20" t="n">
        <v>0</v>
      </c>
      <c r="L211" s="20" t="n">
        <v>0</v>
      </c>
      <c r="M211" s="20" t="n">
        <v>0</v>
      </c>
      <c r="U211" s="20" t="n">
        <v>0</v>
      </c>
      <c r="V211" s="20" t="n">
        <v>-60000</v>
      </c>
      <c r="W211" s="20" t="n">
        <v>-50000</v>
      </c>
      <c r="X211" s="20" t="n">
        <v>0</v>
      </c>
    </row>
    <row r="212">
      <c r="A212" s="18" t="inlineStr">
        <is>
          <t>자기주식 취득</t>
        </is>
      </c>
      <c r="C212" s="20" t="n">
        <v>-5</v>
      </c>
      <c r="D212" s="20" t="n">
        <v>-9</v>
      </c>
      <c r="E212" s="20" t="n">
        <v>-11</v>
      </c>
      <c r="F212" s="20" t="n">
        <v>-50001</v>
      </c>
      <c r="G212" s="20" t="n">
        <v>-50003</v>
      </c>
      <c r="H212" s="20" t="n">
        <v>-80005</v>
      </c>
      <c r="I212" s="20" t="n">
        <v>-80006</v>
      </c>
      <c r="J212" s="20" t="n">
        <v>-37372</v>
      </c>
      <c r="K212" s="20" t="n">
        <v>-76956</v>
      </c>
      <c r="L212" s="20" t="n">
        <v>-100004</v>
      </c>
      <c r="M212" s="20" t="n">
        <v>-100008</v>
      </c>
      <c r="N212" s="20" t="n">
        <v>-4</v>
      </c>
      <c r="U212" s="20" t="n">
        <v>-80009</v>
      </c>
      <c r="V212" s="20" t="n">
        <v>-11</v>
      </c>
      <c r="W212" s="20" t="n">
        <v>-80006</v>
      </c>
      <c r="X212" s="20" t="n">
        <v>-100008</v>
      </c>
    </row>
    <row r="213">
      <c r="A213" s="18" t="inlineStr">
        <is>
          <t>리스부채 상환 지출</t>
        </is>
      </c>
      <c r="C213" s="20" t="n">
        <v>-5107</v>
      </c>
      <c r="D213" s="20" t="n">
        <v>-7491</v>
      </c>
      <c r="E213" s="20" t="n">
        <v>-10082</v>
      </c>
      <c r="F213" s="20" t="n">
        <v>-2598</v>
      </c>
      <c r="G213" s="20" t="n">
        <v>-4659</v>
      </c>
      <c r="H213" s="20" t="n">
        <v>-6996</v>
      </c>
      <c r="I213" s="20" t="n">
        <v>-9851</v>
      </c>
      <c r="J213" s="20" t="n">
        <v>-2576</v>
      </c>
      <c r="K213" s="20" t="n">
        <v>-5384</v>
      </c>
      <c r="L213" s="20" t="n">
        <v>-8090</v>
      </c>
      <c r="M213" s="20" t="n">
        <v>-10870</v>
      </c>
      <c r="N213" s="20" t="n">
        <v>-2947</v>
      </c>
      <c r="U213" s="20" t="n">
        <v>-9414</v>
      </c>
      <c r="V213" s="20" t="n">
        <v>-10082</v>
      </c>
      <c r="W213" s="20" t="n">
        <v>-9851</v>
      </c>
      <c r="X213" s="20" t="n">
        <v>-10870</v>
      </c>
    </row>
    <row r="214">
      <c r="A214" s="18" t="inlineStr">
        <is>
          <t>이자 지급</t>
        </is>
      </c>
      <c r="C214" s="20" t="n">
        <v>-439</v>
      </c>
      <c r="D214" s="20" t="n">
        <v>-547</v>
      </c>
      <c r="E214" s="20" t="n">
        <v>-759</v>
      </c>
      <c r="F214" s="20" t="n">
        <v>-139</v>
      </c>
      <c r="G214" s="20" t="n">
        <v>-346</v>
      </c>
      <c r="H214" s="20" t="n">
        <v>-547</v>
      </c>
      <c r="I214" s="20" t="n">
        <v>-674</v>
      </c>
      <c r="J214" s="20" t="n">
        <v>-226</v>
      </c>
      <c r="K214" s="20" t="n">
        <v>-358</v>
      </c>
      <c r="L214" s="20" t="n">
        <v>-581</v>
      </c>
      <c r="M214" s="20" t="n">
        <v>-929</v>
      </c>
      <c r="N214" s="20" t="n">
        <v>-234</v>
      </c>
      <c r="U214" s="20" t="n">
        <v>-667</v>
      </c>
      <c r="V214" s="20" t="n">
        <v>-759</v>
      </c>
      <c r="W214" s="20" t="n">
        <v>-674</v>
      </c>
      <c r="X214" s="20" t="n">
        <v>-929</v>
      </c>
    </row>
    <row r="215">
      <c r="A215" s="18" t="inlineStr">
        <is>
          <t>배당금 지급</t>
        </is>
      </c>
      <c r="C215" s="20" t="n">
        <v>-47229</v>
      </c>
      <c r="D215" s="20" t="n">
        <v>-94460</v>
      </c>
      <c r="E215" s="20" t="n">
        <v>-94460</v>
      </c>
      <c r="F215" s="20" t="n">
        <v>-51009</v>
      </c>
      <c r="G215" s="20" t="n">
        <v>-51009</v>
      </c>
      <c r="H215" s="20" t="n">
        <v>-101581</v>
      </c>
      <c r="I215" s="20" t="n">
        <v>-101581</v>
      </c>
      <c r="J215" s="20" t="n">
        <v>-55871</v>
      </c>
      <c r="K215" s="20" t="n">
        <v>-55871</v>
      </c>
      <c r="L215" s="20" t="n">
        <v>-110720</v>
      </c>
      <c r="M215" s="20" t="n">
        <v>-110720</v>
      </c>
      <c r="N215" s="20" t="n">
        <v>-63710</v>
      </c>
      <c r="U215" s="20" t="n">
        <v>-92018</v>
      </c>
      <c r="V215" s="20" t="n">
        <v>-94460</v>
      </c>
      <c r="W215" s="20" t="n">
        <v>-101581</v>
      </c>
      <c r="X215" s="20" t="n">
        <v>-110720</v>
      </c>
    </row>
    <row r="216">
      <c r="A216" s="18" t="inlineStr">
        <is>
          <t>기타</t>
        </is>
      </c>
      <c r="C216" s="20" t="n">
        <v>-804</v>
      </c>
      <c r="D216" s="20" t="n">
        <v>-804</v>
      </c>
      <c r="E216" s="20" t="n">
        <v>-804</v>
      </c>
      <c r="F216" s="20" t="n">
        <v>-114</v>
      </c>
      <c r="G216" s="20" t="n">
        <v>-113</v>
      </c>
      <c r="H216" s="20" t="n">
        <v>-211</v>
      </c>
      <c r="I216" s="20" t="n">
        <v>-212</v>
      </c>
      <c r="J216" s="20" t="n">
        <v>-74</v>
      </c>
      <c r="K216" s="20" t="n">
        <v>-75</v>
      </c>
      <c r="L216" s="20" t="n">
        <v>617</v>
      </c>
      <c r="M216" s="20" t="n">
        <v>-117</v>
      </c>
      <c r="N216" s="20" t="n">
        <v>-49</v>
      </c>
      <c r="U216" s="20" t="n">
        <v>-1036</v>
      </c>
      <c r="V216" s="20" t="n">
        <v>-804</v>
      </c>
      <c r="W216" s="20" t="n">
        <v>-212</v>
      </c>
      <c r="X216" s="20" t="n">
        <v>-117</v>
      </c>
    </row>
    <row r="217">
      <c r="A217" s="9" t="inlineStr">
        <is>
          <t>재무활동 현금흐름</t>
        </is>
      </c>
      <c r="C217" s="12" t="n">
        <v>-53115</v>
      </c>
      <c r="D217" s="12" t="n">
        <v>-102705</v>
      </c>
      <c r="E217" s="12" t="n">
        <v>-165321</v>
      </c>
      <c r="F217" s="12" t="n">
        <v>-103724</v>
      </c>
      <c r="G217" s="12" t="n">
        <v>-155745</v>
      </c>
      <c r="H217" s="12" t="n">
        <v>-239802</v>
      </c>
      <c r="I217" s="12" t="n">
        <v>-242733</v>
      </c>
      <c r="J217" s="12" t="n">
        <v>-96035</v>
      </c>
      <c r="K217" s="12" t="n">
        <v>-138553</v>
      </c>
      <c r="L217" s="12" t="n">
        <v>-218673</v>
      </c>
      <c r="M217" s="12" t="n">
        <v>-221812</v>
      </c>
      <c r="N217" s="12" t="n">
        <v>-67581</v>
      </c>
      <c r="U217" s="12" t="n">
        <v>-182271</v>
      </c>
      <c r="V217" s="12" t="n">
        <v>-165321</v>
      </c>
      <c r="W217" s="12" t="n">
        <v>-242733</v>
      </c>
      <c r="X217" s="12" t="n">
        <v>-221812</v>
      </c>
    </row>
    <row r="218">
      <c r="A218" s="18" t="inlineStr">
        <is>
          <t>현금성자산 환산차이</t>
        </is>
      </c>
      <c r="C218" s="20" t="n">
        <v>29214</v>
      </c>
      <c r="D218" s="20" t="n">
        <v>11533</v>
      </c>
      <c r="E218" s="20" t="n">
        <v>29856</v>
      </c>
      <c r="F218" s="20" t="n">
        <v>22433</v>
      </c>
      <c r="G218" s="20" t="n">
        <v>-13341</v>
      </c>
      <c r="H218" s="20" t="n">
        <v>24919</v>
      </c>
      <c r="I218" s="20" t="n">
        <v>2039</v>
      </c>
      <c r="J218" s="20" t="n">
        <v>-15951</v>
      </c>
      <c r="K218" s="20" t="n">
        <v>-6454</v>
      </c>
      <c r="L218" s="20" t="n">
        <v>10652</v>
      </c>
      <c r="M218" s="20" t="n">
        <v>18957</v>
      </c>
      <c r="N218" s="20" t="n">
        <v>4249</v>
      </c>
      <c r="U218" s="20" t="n">
        <v>13380</v>
      </c>
      <c r="V218" s="20" t="n">
        <v>29856</v>
      </c>
      <c r="W218" s="20" t="n">
        <v>2039</v>
      </c>
      <c r="X218" s="20" t="n">
        <v>18957</v>
      </c>
    </row>
    <row r="219">
      <c r="A219" s="18" t="inlineStr">
        <is>
          <t>현금및현금성자산 증감액</t>
        </is>
      </c>
      <c r="C219" s="20" t="n">
        <v>52395</v>
      </c>
      <c r="D219" s="20" t="n">
        <v>63619</v>
      </c>
      <c r="E219" s="20" t="n">
        <v>152601</v>
      </c>
      <c r="F219" s="20" t="n">
        <v>-84363</v>
      </c>
      <c r="G219" s="20" t="n">
        <v>-50305</v>
      </c>
      <c r="H219" s="20" t="n">
        <v>-48302</v>
      </c>
      <c r="I219" s="20" t="n">
        <v>3141</v>
      </c>
      <c r="J219" s="20" t="n">
        <v>-105554</v>
      </c>
      <c r="K219" s="20" t="n">
        <v>-42754</v>
      </c>
      <c r="L219" s="20" t="n">
        <v>-42949</v>
      </c>
      <c r="M219" s="20" t="n">
        <v>28553</v>
      </c>
      <c r="N219" s="20" t="n">
        <v>-96210</v>
      </c>
      <c r="U219" s="20" t="n">
        <v>-42666</v>
      </c>
      <c r="V219" s="20" t="n">
        <v>152601</v>
      </c>
      <c r="W219" s="20" t="n">
        <v>3141</v>
      </c>
      <c r="X219" s="20" t="n">
        <v>28553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6981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1407623</v>
      </c>
      <c r="D5" s="12" t="n">
        <v>1496271</v>
      </c>
      <c r="E5" s="12" t="n">
        <v>1516235</v>
      </c>
      <c r="F5" s="12" t="n">
        <v>1581393</v>
      </c>
      <c r="G5" s="12" t="n">
        <v>1573303</v>
      </c>
      <c r="H5" s="11" t="n">
        <v>1435824</v>
      </c>
      <c r="I5" s="12" t="n">
        <v>1407612</v>
      </c>
      <c r="J5" s="12" t="n">
        <v>1499762</v>
      </c>
      <c r="K5" s="12" t="n">
        <v>1497935</v>
      </c>
      <c r="L5" s="12" t="n">
        <v>1581393</v>
      </c>
    </row>
    <row r="6">
      <c r="A6" s="18" t="inlineStr">
        <is>
          <t>현금및현금성자산</t>
        </is>
      </c>
      <c r="B6" s="10" t="n"/>
      <c r="C6" s="19" t="n">
        <v>519594</v>
      </c>
      <c r="D6" s="20" t="n">
        <v>582394</v>
      </c>
      <c r="E6" s="20" t="n">
        <v>582199</v>
      </c>
      <c r="F6" s="20" t="n">
        <v>653701</v>
      </c>
      <c r="G6" s="20" t="n">
        <v>557491</v>
      </c>
      <c r="H6" s="19" t="n">
        <v>512072</v>
      </c>
      <c r="I6" s="20" t="n">
        <v>469406</v>
      </c>
      <c r="J6" s="20" t="n">
        <v>622007</v>
      </c>
      <c r="K6" s="20" t="n">
        <v>625148</v>
      </c>
      <c r="L6" s="20" t="n">
        <v>653701</v>
      </c>
    </row>
    <row r="7">
      <c r="A7" s="18" t="inlineStr">
        <is>
          <t>단기금융상품</t>
        </is>
      </c>
      <c r="B7" s="10" t="n"/>
      <c r="C7" s="19" t="n">
        <v>37545</v>
      </c>
      <c r="D7" s="20" t="n">
        <v>30486</v>
      </c>
      <c r="E7" s="20" t="n">
        <v>42015</v>
      </c>
      <c r="F7" s="20" t="n">
        <v>24185</v>
      </c>
      <c r="G7" s="20" t="n">
        <v>43083</v>
      </c>
      <c r="H7" s="19" t="n">
        <v>66872</v>
      </c>
      <c r="I7" s="20" t="n">
        <v>43014</v>
      </c>
      <c r="J7" s="20" t="n">
        <v>19532</v>
      </c>
      <c r="K7" s="20" t="n">
        <v>50685</v>
      </c>
      <c r="L7" s="20" t="n">
        <v>24185</v>
      </c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489202</v>
      </c>
      <c r="D9" s="20" t="n">
        <v>488608</v>
      </c>
      <c r="E9" s="20" t="n">
        <v>501149</v>
      </c>
      <c r="F9" s="20" t="n">
        <v>520472</v>
      </c>
      <c r="G9" s="20" t="n">
        <v>539035</v>
      </c>
      <c r="H9" s="19" t="n">
        <v>465139</v>
      </c>
      <c r="I9" s="20" t="n">
        <v>574632</v>
      </c>
      <c r="J9" s="20" t="n">
        <v>513024</v>
      </c>
      <c r="K9" s="20" t="n">
        <v>482833</v>
      </c>
      <c r="L9" s="20" t="n">
        <v>520472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1525160</v>
      </c>
      <c r="D11" s="12" t="n">
        <v>1544076</v>
      </c>
      <c r="E11" s="12" t="n">
        <v>1575281</v>
      </c>
      <c r="F11" s="12" t="n">
        <v>1617706</v>
      </c>
      <c r="G11" s="12" t="n">
        <v>1637177</v>
      </c>
      <c r="H11" s="11" t="n">
        <v>1368257</v>
      </c>
      <c r="I11" s="12" t="n">
        <v>1450691</v>
      </c>
      <c r="J11" s="12" t="n">
        <v>1538133</v>
      </c>
      <c r="K11" s="12" t="n">
        <v>1530259</v>
      </c>
      <c r="L11" s="12" t="n">
        <v>1617706</v>
      </c>
    </row>
    <row r="12">
      <c r="A12" s="18" t="inlineStr">
        <is>
          <t>유형자산</t>
        </is>
      </c>
      <c r="B12" s="10" t="n"/>
      <c r="C12" s="19" t="n">
        <v>1175765</v>
      </c>
      <c r="D12" s="20" t="n">
        <v>1189513</v>
      </c>
      <c r="E12" s="20" t="n">
        <v>1257853</v>
      </c>
      <c r="F12" s="20" t="n">
        <v>1300883</v>
      </c>
      <c r="G12" s="20" t="n">
        <v>1306522</v>
      </c>
      <c r="H12" s="19" t="n">
        <v>1084161</v>
      </c>
      <c r="I12" s="20" t="n">
        <v>1146222</v>
      </c>
      <c r="J12" s="20" t="n">
        <v>1184608</v>
      </c>
      <c r="K12" s="20" t="n">
        <v>1183727</v>
      </c>
      <c r="L12" s="20" t="n">
        <v>1300883</v>
      </c>
    </row>
    <row r="13">
      <c r="A13" s="18" t="inlineStr">
        <is>
          <t>무형자산</t>
        </is>
      </c>
      <c r="B13" s="10" t="n"/>
      <c r="C13" s="19" t="n">
        <v>40297</v>
      </c>
      <c r="D13" s="20" t="n">
        <v>40261</v>
      </c>
      <c r="E13" s="20" t="n">
        <v>40646</v>
      </c>
      <c r="F13" s="20" t="n">
        <v>36234</v>
      </c>
      <c r="G13" s="20" t="n">
        <v>36106</v>
      </c>
      <c r="H13" s="19" t="n">
        <v>42030</v>
      </c>
      <c r="I13" s="20" t="n">
        <v>39375</v>
      </c>
      <c r="J13" s="20" t="n">
        <v>39049</v>
      </c>
      <c r="K13" s="20" t="n">
        <v>40647</v>
      </c>
      <c r="L13" s="20" t="n">
        <v>36234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2932783</v>
      </c>
      <c r="D16" s="12" t="n">
        <v>3040347</v>
      </c>
      <c r="E16" s="12" t="n">
        <v>3091516</v>
      </c>
      <c r="F16" s="12" t="n">
        <v>3199099</v>
      </c>
      <c r="G16" s="12" t="n">
        <v>3210480</v>
      </c>
      <c r="H16" s="11" t="n">
        <v>2804081</v>
      </c>
      <c r="I16" s="12" t="n">
        <v>2858303</v>
      </c>
      <c r="J16" s="12" t="n">
        <v>3037895</v>
      </c>
      <c r="K16" s="12" t="n">
        <v>3028194</v>
      </c>
      <c r="L16" s="12" t="n">
        <v>3199099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241116</v>
      </c>
      <c r="D18" s="12" t="n">
        <v>271201</v>
      </c>
      <c r="E18" s="12" t="n">
        <v>304821</v>
      </c>
      <c r="F18" s="12" t="n">
        <v>316485</v>
      </c>
      <c r="G18" s="12" t="n">
        <v>287588</v>
      </c>
      <c r="H18" s="11" t="n">
        <v>319365</v>
      </c>
      <c r="I18" s="12" t="n">
        <v>297908</v>
      </c>
      <c r="J18" s="12" t="n">
        <v>317617</v>
      </c>
      <c r="K18" s="12" t="n">
        <v>276517</v>
      </c>
      <c r="L18" s="12" t="n">
        <v>316485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>
        <v>1745</v>
      </c>
      <c r="G20" s="20" t="n">
        <v>802</v>
      </c>
      <c r="H20" s="19" t="n"/>
      <c r="I20" s="20" t="n"/>
      <c r="J20" s="20" t="n"/>
      <c r="K20" s="20" t="n"/>
      <c r="L20" s="20" t="n">
        <v>1745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173595</v>
      </c>
      <c r="D23" s="12" t="n">
        <v>172956</v>
      </c>
      <c r="E23" s="12" t="n">
        <v>173148</v>
      </c>
      <c r="F23" s="12" t="n">
        <v>164804</v>
      </c>
      <c r="G23" s="12" t="n">
        <v>165022</v>
      </c>
      <c r="H23" s="11" t="n">
        <v>244727</v>
      </c>
      <c r="I23" s="12" t="n">
        <v>200453</v>
      </c>
      <c r="J23" s="12" t="n">
        <v>164669</v>
      </c>
      <c r="K23" s="12" t="n">
        <v>171702</v>
      </c>
      <c r="L23" s="12" t="n">
        <v>164804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>
        <v>1516</v>
      </c>
      <c r="G24" s="20" t="n">
        <v>1813</v>
      </c>
      <c r="H24" s="19" t="n"/>
      <c r="I24" s="20" t="n"/>
      <c r="J24" s="20" t="n"/>
      <c r="K24" s="20" t="n"/>
      <c r="L24" s="20" t="n">
        <v>1516</v>
      </c>
    </row>
    <row r="25">
      <c r="A25" s="18" t="inlineStr">
        <is>
          <t>사채</t>
        </is>
      </c>
      <c r="B25" s="10" t="n"/>
      <c r="C25" s="19" t="n">
        <v>1544</v>
      </c>
      <c r="D25" s="20" t="n">
        <v>1362</v>
      </c>
      <c r="E25" s="20" t="n">
        <v>1484</v>
      </c>
      <c r="F25" s="20" t="n">
        <v>1516</v>
      </c>
      <c r="G25" s="20" t="n"/>
      <c r="H25" s="19" t="n">
        <v>110979</v>
      </c>
      <c r="I25" s="20" t="n">
        <v>51464</v>
      </c>
      <c r="J25" s="20" t="n">
        <v>2436</v>
      </c>
      <c r="K25" s="20" t="n">
        <v>1656</v>
      </c>
      <c r="L25" s="20" t="n">
        <v>1516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414711</v>
      </c>
      <c r="D27" s="12" t="n">
        <v>444157</v>
      </c>
      <c r="E27" s="12" t="n">
        <v>477969</v>
      </c>
      <c r="F27" s="12" t="n">
        <v>481289</v>
      </c>
      <c r="G27" s="12" t="n">
        <v>452610</v>
      </c>
      <c r="H27" s="11" t="n">
        <v>564092</v>
      </c>
      <c r="I27" s="12" t="n">
        <v>498361</v>
      </c>
      <c r="J27" s="12" t="n">
        <v>482286</v>
      </c>
      <c r="K27" s="12" t="n">
        <v>448219</v>
      </c>
      <c r="L27" s="12" t="n">
        <v>481289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2519040</v>
      </c>
      <c r="D31" s="12" t="n">
        <v>2597122</v>
      </c>
      <c r="E31" s="12" t="n">
        <v>2614432</v>
      </c>
      <c r="F31" s="12" t="n">
        <v>2718743</v>
      </c>
      <c r="G31" s="12" t="n">
        <v>2758852</v>
      </c>
      <c r="H31" s="11" t="n">
        <v>2239679</v>
      </c>
      <c r="I31" s="12" t="n">
        <v>2359985</v>
      </c>
      <c r="J31" s="12" t="n">
        <v>2556147</v>
      </c>
      <c r="K31" s="12" t="n">
        <v>2580805</v>
      </c>
      <c r="L31" s="12" t="n">
        <v>2718743</v>
      </c>
    </row>
    <row r="32">
      <c r="A32" s="18" t="inlineStr">
        <is>
          <t>자본금</t>
        </is>
      </c>
      <c r="B32" s="10" t="n"/>
      <c r="C32" s="19" t="n">
        <v>69444</v>
      </c>
      <c r="D32" s="20" t="n">
        <v>69444</v>
      </c>
      <c r="E32" s="20" t="n">
        <v>69444</v>
      </c>
      <c r="F32" s="20" t="n">
        <v>69444</v>
      </c>
      <c r="G32" s="20" t="n">
        <v>69444</v>
      </c>
      <c r="H32" s="19" t="n">
        <v>69444</v>
      </c>
      <c r="I32" s="20" t="n">
        <v>69444</v>
      </c>
      <c r="J32" s="20" t="n">
        <v>69444</v>
      </c>
      <c r="K32" s="20" t="n">
        <v>69444</v>
      </c>
      <c r="L32" s="20" t="n">
        <v>69444</v>
      </c>
    </row>
    <row r="33">
      <c r="A33" s="18" t="inlineStr">
        <is>
          <t>이익잉여금</t>
        </is>
      </c>
      <c r="B33" s="10" t="n"/>
      <c r="C33" s="19" t="n">
        <v>2394527</v>
      </c>
      <c r="D33" s="20" t="n">
        <v>2477225</v>
      </c>
      <c r="E33" s="20" t="n">
        <v>2448451</v>
      </c>
      <c r="F33" s="20" t="n">
        <v>2528540</v>
      </c>
      <c r="G33" s="20" t="n">
        <v>2546207</v>
      </c>
      <c r="H33" s="19" t="n">
        <v>2099426</v>
      </c>
      <c r="I33" s="20" t="n">
        <v>2246258</v>
      </c>
      <c r="J33" s="20" t="n">
        <v>2332018</v>
      </c>
      <c r="K33" s="20" t="n">
        <v>2400684</v>
      </c>
      <c r="L33" s="20" t="n">
        <v>2528540</v>
      </c>
    </row>
    <row r="34">
      <c r="A34" s="18" t="inlineStr">
        <is>
          <t>비지배지분</t>
        </is>
      </c>
      <c r="B34" s="10" t="n"/>
      <c r="C34" s="19" t="n">
        <v>-968</v>
      </c>
      <c r="D34" s="20" t="n">
        <v>-932</v>
      </c>
      <c r="E34" s="20" t="n">
        <v>-885</v>
      </c>
      <c r="F34" s="20" t="n">
        <v>-933</v>
      </c>
      <c r="G34" s="20" t="n">
        <v>-982</v>
      </c>
      <c r="H34" s="19" t="n">
        <v>310</v>
      </c>
      <c r="I34" s="20" t="n">
        <v>-43</v>
      </c>
      <c r="J34" s="20" t="n">
        <v>-538</v>
      </c>
      <c r="K34" s="20" t="n">
        <v>-830</v>
      </c>
      <c r="L34" s="20" t="n">
        <v>-933</v>
      </c>
    </row>
    <row r="35">
      <c r="A35" s="9" t="inlineStr">
        <is>
          <t>자본총계</t>
        </is>
      </c>
      <c r="B35" s="10" t="n"/>
      <c r="C35" s="11" t="n">
        <v>2518072</v>
      </c>
      <c r="D35" s="12" t="n">
        <v>2596190</v>
      </c>
      <c r="E35" s="12" t="n">
        <v>2613547</v>
      </c>
      <c r="F35" s="12" t="n">
        <v>2717810</v>
      </c>
      <c r="G35" s="12" t="n">
        <v>2757870</v>
      </c>
      <c r="H35" s="11" t="n">
        <v>2239989</v>
      </c>
      <c r="I35" s="12" t="n">
        <v>2359942</v>
      </c>
      <c r="J35" s="12" t="n">
        <v>2555609</v>
      </c>
      <c r="K35" s="12" t="n">
        <v>2579975</v>
      </c>
      <c r="L35" s="12" t="n">
        <v>2717810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433406</v>
      </c>
      <c r="D37" s="12" t="n">
        <v>403622</v>
      </c>
      <c r="E37" s="12" t="n">
        <v>410153</v>
      </c>
      <c r="F37" s="12" t="n">
        <v>425222</v>
      </c>
      <c r="G37" s="12" t="n">
        <v>427416</v>
      </c>
      <c r="H37" s="11" t="n"/>
      <c r="I37" s="12" t="n">
        <v>277641</v>
      </c>
      <c r="J37" s="12" t="n">
        <v>489637</v>
      </c>
      <c r="K37" s="12" t="n">
        <v>451905</v>
      </c>
      <c r="L37" s="12" t="n">
        <v>425222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183962</v>
      </c>
      <c r="D38" s="20" t="n">
        <v>186395</v>
      </c>
      <c r="E38" s="20" t="n">
        <v>181009</v>
      </c>
      <c r="F38" s="20" t="n">
        <v>252220</v>
      </c>
      <c r="G38" s="20" t="n">
        <v>260936</v>
      </c>
      <c r="H38" s="19" t="n"/>
      <c r="I38" s="20" t="n">
        <v>197565</v>
      </c>
      <c r="J38" s="20" t="n">
        <v>236228</v>
      </c>
      <c r="K38" s="20" t="n">
        <v>192842</v>
      </c>
      <c r="L38" s="20" t="n">
        <v>252220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106443</v>
      </c>
      <c r="D40" s="20" t="n">
        <v>106443</v>
      </c>
      <c r="E40" s="20" t="n">
        <v>110720</v>
      </c>
      <c r="F40" s="20" t="n">
        <v>110720</v>
      </c>
      <c r="G40" s="20" t="n">
        <v>118559</v>
      </c>
      <c r="H40" s="19" t="n"/>
      <c r="I40" s="20" t="n">
        <v>92018</v>
      </c>
      <c r="J40" s="20" t="n">
        <v>94460</v>
      </c>
      <c r="K40" s="20" t="n">
        <v>101581</v>
      </c>
      <c r="L40" s="20" t="n">
        <v>110720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519594</v>
      </c>
      <c r="D71" s="20" t="n">
        <v>582394</v>
      </c>
      <c r="E71" s="20" t="n">
        <v>582199</v>
      </c>
      <c r="F71" s="20" t="n">
        <v>653701</v>
      </c>
      <c r="G71" s="20" t="n">
        <v>557491</v>
      </c>
      <c r="H71" s="20" t="n">
        <v>512072</v>
      </c>
      <c r="I71" s="20" t="n">
        <v>469406</v>
      </c>
      <c r="J71" s="20" t="n">
        <v>622007</v>
      </c>
      <c r="K71" s="20" t="n">
        <v>625148</v>
      </c>
      <c r="L71" s="20" t="n">
        <v>653701</v>
      </c>
    </row>
    <row r="72">
      <c r="A72" s="18" t="inlineStr">
        <is>
          <t>Trade Receivables CA</t>
        </is>
      </c>
      <c r="C72" s="20" t="n">
        <v>290913</v>
      </c>
      <c r="D72" s="20" t="n">
        <v>337484</v>
      </c>
      <c r="E72" s="20" t="n">
        <v>338986</v>
      </c>
      <c r="F72" s="20" t="n">
        <v>328159</v>
      </c>
      <c r="G72" s="20" t="n">
        <v>348182</v>
      </c>
      <c r="H72" s="20" t="n">
        <v>358395</v>
      </c>
      <c r="I72" s="20" t="n">
        <v>270239</v>
      </c>
      <c r="J72" s="20" t="n">
        <v>292736</v>
      </c>
      <c r="K72" s="20" t="n">
        <v>294419</v>
      </c>
      <c r="L72" s="20" t="n">
        <v>328159</v>
      </c>
    </row>
    <row r="73">
      <c r="A73" s="18" t="inlineStr">
        <is>
          <t>재고자산</t>
        </is>
      </c>
      <c r="C73" s="20" t="n">
        <v>489202</v>
      </c>
      <c r="D73" s="20" t="n">
        <v>488608</v>
      </c>
      <c r="E73" s="20" t="n">
        <v>501149</v>
      </c>
      <c r="F73" s="20" t="n">
        <v>520472</v>
      </c>
      <c r="G73" s="20" t="n">
        <v>539035</v>
      </c>
      <c r="H73" s="20" t="n">
        <v>465139</v>
      </c>
      <c r="I73" s="20" t="n">
        <v>574632</v>
      </c>
      <c r="J73" s="20" t="n">
        <v>513024</v>
      </c>
      <c r="K73" s="20" t="n">
        <v>482833</v>
      </c>
      <c r="L73" s="20" t="n">
        <v>520472</v>
      </c>
    </row>
    <row r="74">
      <c r="A74" s="18" t="inlineStr">
        <is>
          <t>기타금융자산</t>
        </is>
      </c>
      <c r="C74" s="20" t="n">
        <v>37545</v>
      </c>
      <c r="D74" s="20" t="n">
        <v>30486</v>
      </c>
      <c r="E74" s="20" t="n">
        <v>42015</v>
      </c>
      <c r="F74" s="20" t="n">
        <v>24185</v>
      </c>
      <c r="G74" s="20" t="n">
        <v>43083</v>
      </c>
      <c r="H74" s="20" t="n">
        <v>66872</v>
      </c>
      <c r="I74" s="20" t="n">
        <v>43014</v>
      </c>
      <c r="J74" s="20" t="n">
        <v>19532</v>
      </c>
      <c r="K74" s="20" t="n">
        <v>50685</v>
      </c>
      <c r="L74" s="20" t="n">
        <v>24185</v>
      </c>
    </row>
    <row r="75">
      <c r="A75" s="18" t="inlineStr">
        <is>
          <t>기타유동자산</t>
        </is>
      </c>
      <c r="C75" s="20" t="n">
        <v>70369</v>
      </c>
      <c r="D75" s="20" t="n">
        <v>57299</v>
      </c>
      <c r="E75" s="20" t="n">
        <v>51886</v>
      </c>
      <c r="F75" s="20" t="n">
        <v>54876</v>
      </c>
      <c r="G75" s="20" t="n">
        <v>85512</v>
      </c>
      <c r="H75" s="20" t="n">
        <v>33346</v>
      </c>
      <c r="I75" s="20" t="n">
        <v>50321</v>
      </c>
      <c r="J75" s="20" t="n">
        <v>52463</v>
      </c>
      <c r="K75" s="20" t="n">
        <v>44850</v>
      </c>
      <c r="L75" s="20" t="n">
        <v>54876</v>
      </c>
    </row>
    <row r="76">
      <c r="A76" s="9" t="inlineStr">
        <is>
          <t>유동자산 합계</t>
        </is>
      </c>
      <c r="C76" s="12" t="n">
        <v>1407623</v>
      </c>
      <c r="D76" s="12" t="n">
        <v>1496271</v>
      </c>
      <c r="E76" s="12" t="n">
        <v>1516235</v>
      </c>
      <c r="F76" s="12" t="n">
        <v>1581393</v>
      </c>
      <c r="G76" s="12" t="n">
        <v>1573303</v>
      </c>
      <c r="H76" s="12" t="n">
        <v>1435824</v>
      </c>
      <c r="I76" s="12" t="n">
        <v>1407612</v>
      </c>
      <c r="J76" s="12" t="n">
        <v>1499762</v>
      </c>
      <c r="K76" s="12" t="n">
        <v>1497935</v>
      </c>
      <c r="L76" s="12" t="n">
        <v>1581393</v>
      </c>
    </row>
    <row r="77">
      <c r="A77" s="18" t="inlineStr">
        <is>
          <t>유형자산</t>
        </is>
      </c>
      <c r="C77" s="20" t="n">
        <v>1175765</v>
      </c>
      <c r="D77" s="20" t="n">
        <v>1189513</v>
      </c>
      <c r="E77" s="20" t="n">
        <v>1257853</v>
      </c>
      <c r="F77" s="20" t="n">
        <v>1300883</v>
      </c>
      <c r="G77" s="20" t="n">
        <v>1306522</v>
      </c>
      <c r="H77" s="20" t="n">
        <v>1084161</v>
      </c>
      <c r="I77" s="20" t="n">
        <v>1146222</v>
      </c>
      <c r="J77" s="20" t="n">
        <v>1184608</v>
      </c>
      <c r="K77" s="20" t="n">
        <v>1183727</v>
      </c>
      <c r="L77" s="20" t="n">
        <v>1300883</v>
      </c>
    </row>
    <row r="78">
      <c r="A78" s="18" t="inlineStr">
        <is>
          <t>사용권자산</t>
        </is>
      </c>
      <c r="C78" s="20" t="n">
        <v>63819</v>
      </c>
      <c r="D78" s="20" t="n">
        <v>63476</v>
      </c>
      <c r="E78" s="20" t="n">
        <v>64020</v>
      </c>
      <c r="F78" s="20" t="n">
        <v>59563</v>
      </c>
      <c r="G78" s="20" t="n">
        <v>59919</v>
      </c>
      <c r="H78" s="20" t="n">
        <v>41041</v>
      </c>
      <c r="I78" s="20" t="n">
        <v>49845</v>
      </c>
      <c r="J78" s="20" t="n">
        <v>59402</v>
      </c>
      <c r="K78" s="20" t="n">
        <v>64204</v>
      </c>
      <c r="L78" s="20" t="n">
        <v>59563</v>
      </c>
    </row>
    <row r="79">
      <c r="A79" s="18" t="inlineStr">
        <is>
          <t>영업권</t>
        </is>
      </c>
      <c r="C79" s="20" t="n">
        <v>133276</v>
      </c>
      <c r="D79" s="20" t="n">
        <v>136528</v>
      </c>
      <c r="E79" s="20" t="n">
        <v>98220</v>
      </c>
      <c r="F79" s="20" t="n">
        <v>99489</v>
      </c>
      <c r="G79" s="20" t="n">
        <v>100687</v>
      </c>
      <c r="H79" s="20" t="n">
        <v>114722</v>
      </c>
      <c r="I79" s="20" t="n">
        <v>123247</v>
      </c>
      <c r="J79" s="20" t="n">
        <v>137144</v>
      </c>
      <c r="K79" s="20" t="n">
        <v>135746</v>
      </c>
      <c r="L79" s="20" t="n">
        <v>99489</v>
      </c>
    </row>
    <row r="80">
      <c r="A80" s="18" t="inlineStr">
        <is>
          <t>무형자산</t>
        </is>
      </c>
      <c r="C80" s="20" t="n">
        <v>40297</v>
      </c>
      <c r="D80" s="20" t="n">
        <v>40261</v>
      </c>
      <c r="E80" s="20" t="n">
        <v>40646</v>
      </c>
      <c r="F80" s="20" t="n">
        <v>36234</v>
      </c>
      <c r="G80" s="20" t="n">
        <v>36106</v>
      </c>
      <c r="H80" s="20" t="n">
        <v>42030</v>
      </c>
      <c r="I80" s="20" t="n">
        <v>39375</v>
      </c>
      <c r="J80" s="20" t="n">
        <v>39049</v>
      </c>
      <c r="K80" s="20" t="n">
        <v>40647</v>
      </c>
      <c r="L80" s="20" t="n">
        <v>36234</v>
      </c>
    </row>
    <row r="81">
      <c r="A81" s="18" t="inlineStr">
        <is>
          <t>지분법 투자</t>
        </is>
      </c>
      <c r="H81" s="20" t="n">
        <v>0</v>
      </c>
      <c r="I81" s="20" t="n">
        <v>0</v>
      </c>
    </row>
    <row r="82">
      <c r="A82" s="18" t="inlineStr">
        <is>
          <t>지분법 투자</t>
        </is>
      </c>
      <c r="C82" s="20" t="n">
        <v>231</v>
      </c>
      <c r="D82" s="20" t="n">
        <v>236</v>
      </c>
      <c r="E82" s="20" t="n">
        <v>217</v>
      </c>
      <c r="F82" s="20" t="n">
        <v>234</v>
      </c>
      <c r="G82" s="20" t="n">
        <v>238</v>
      </c>
      <c r="H82" s="20" t="n">
        <v>0</v>
      </c>
      <c r="I82" s="20" t="n">
        <v>0</v>
      </c>
      <c r="J82" s="20" t="n">
        <v>87</v>
      </c>
      <c r="K82" s="20" t="n">
        <v>215</v>
      </c>
      <c r="L82" s="20" t="n">
        <v>234</v>
      </c>
    </row>
    <row r="83">
      <c r="A83" s="18" t="inlineStr">
        <is>
          <t>기타금융자산</t>
        </is>
      </c>
      <c r="C83" s="20" t="n">
        <v>43596</v>
      </c>
      <c r="D83" s="20" t="n">
        <v>47964</v>
      </c>
      <c r="E83" s="20" t="n">
        <v>48813</v>
      </c>
      <c r="F83" s="20" t="n">
        <v>50392</v>
      </c>
      <c r="G83" s="20" t="n">
        <v>58993</v>
      </c>
      <c r="H83" s="20" t="n">
        <v>43210</v>
      </c>
      <c r="I83" s="20" t="n">
        <v>39248</v>
      </c>
      <c r="J83" s="20" t="n">
        <v>47346</v>
      </c>
      <c r="K83" s="20" t="n">
        <v>40274</v>
      </c>
      <c r="L83" s="20" t="n">
        <v>50392</v>
      </c>
    </row>
    <row r="84">
      <c r="A84" s="18" t="inlineStr">
        <is>
          <t>이연법인세자산</t>
        </is>
      </c>
      <c r="C84" s="20" t="n">
        <v>55995</v>
      </c>
      <c r="D84" s="20" t="n">
        <v>53781</v>
      </c>
      <c r="E84" s="20" t="n">
        <v>52352</v>
      </c>
      <c r="F84" s="20" t="n">
        <v>60424</v>
      </c>
      <c r="G84" s="20" t="n">
        <v>63593</v>
      </c>
      <c r="H84" s="20" t="n">
        <v>31704</v>
      </c>
      <c r="I84" s="20" t="n">
        <v>42952</v>
      </c>
      <c r="J84" s="20" t="n">
        <v>47454</v>
      </c>
      <c r="K84" s="20" t="n">
        <v>52675</v>
      </c>
      <c r="L84" s="20" t="n">
        <v>60424</v>
      </c>
    </row>
    <row r="85">
      <c r="A85" s="18" t="inlineStr">
        <is>
          <t>기타비유동자산</t>
        </is>
      </c>
      <c r="C85" s="20" t="n">
        <v>12181</v>
      </c>
      <c r="D85" s="20" t="n">
        <v>12317</v>
      </c>
      <c r="E85" s="20" t="n">
        <v>13160</v>
      </c>
      <c r="F85" s="20" t="n">
        <v>10487</v>
      </c>
      <c r="G85" s="20" t="n">
        <v>11119</v>
      </c>
      <c r="H85" s="20" t="n">
        <v>11389</v>
      </c>
      <c r="I85" s="20" t="n">
        <v>9802</v>
      </c>
      <c r="J85" s="20" t="n">
        <v>23043</v>
      </c>
      <c r="K85" s="20" t="n">
        <v>12771</v>
      </c>
      <c r="L85" s="20" t="n">
        <v>10487</v>
      </c>
    </row>
    <row r="86">
      <c r="A86" s="18" t="inlineStr">
        <is>
          <t>비유동자산 합계</t>
        </is>
      </c>
      <c r="C86" s="20" t="n">
        <v>1525160</v>
      </c>
      <c r="D86" s="20" t="n">
        <v>1544076</v>
      </c>
      <c r="E86" s="20" t="n">
        <v>1575281</v>
      </c>
      <c r="F86" s="20" t="n">
        <v>1617706</v>
      </c>
      <c r="G86" s="20" t="n">
        <v>1637177</v>
      </c>
      <c r="H86" s="20" t="n">
        <v>1368257</v>
      </c>
      <c r="I86" s="20" t="n">
        <v>1450691</v>
      </c>
      <c r="J86" s="20" t="n">
        <v>1538133</v>
      </c>
      <c r="K86" s="20" t="n">
        <v>1530259</v>
      </c>
      <c r="L86" s="20" t="n">
        <v>1617706</v>
      </c>
    </row>
    <row r="87">
      <c r="A87" s="18" t="inlineStr">
        <is>
          <t>자산 합계</t>
        </is>
      </c>
      <c r="C87" s="20" t="n">
        <v>2932783</v>
      </c>
      <c r="D87" s="20" t="n">
        <v>3040347</v>
      </c>
      <c r="E87" s="20" t="n">
        <v>3091516</v>
      </c>
      <c r="F87" s="20" t="n">
        <v>3199099</v>
      </c>
      <c r="G87" s="20" t="n">
        <v>3210480</v>
      </c>
      <c r="H87" s="20" t="n">
        <v>2804081</v>
      </c>
      <c r="I87" s="20" t="n">
        <v>2858303</v>
      </c>
      <c r="J87" s="20" t="n">
        <v>3037895</v>
      </c>
      <c r="K87" s="20" t="n">
        <v>3028194</v>
      </c>
      <c r="L87" s="20" t="n">
        <v>3199099</v>
      </c>
    </row>
    <row r="88">
      <c r="A88" s="18" t="inlineStr">
        <is>
          <t>사채 및 차입금</t>
        </is>
      </c>
      <c r="C88" s="20" t="n">
        <v>977</v>
      </c>
      <c r="D88" s="20" t="n">
        <v>1166</v>
      </c>
      <c r="E88" s="20" t="n">
        <v>1753</v>
      </c>
      <c r="F88" s="20" t="n">
        <v>1745</v>
      </c>
      <c r="H88" s="20" t="n">
        <v>99</v>
      </c>
      <c r="I88" s="20" t="n">
        <v>60534</v>
      </c>
      <c r="J88" s="20" t="n">
        <v>50400</v>
      </c>
      <c r="K88" s="20" t="n">
        <v>781</v>
      </c>
      <c r="L88" s="20" t="n">
        <v>1745</v>
      </c>
    </row>
    <row r="89">
      <c r="A89" s="18" t="inlineStr">
        <is>
          <t>차입금</t>
        </is>
      </c>
      <c r="F89" s="20" t="n">
        <v>1745</v>
      </c>
      <c r="G89" s="20" t="n">
        <v>802</v>
      </c>
      <c r="L89" s="20" t="n">
        <v>1745</v>
      </c>
    </row>
    <row r="90">
      <c r="A90" s="18" t="inlineStr">
        <is>
          <t>Trade Payables CL</t>
        </is>
      </c>
      <c r="C90" s="20" t="n">
        <v>67751</v>
      </c>
      <c r="D90" s="20" t="n">
        <v>75471</v>
      </c>
      <c r="E90" s="20" t="n">
        <v>72040</v>
      </c>
      <c r="F90" s="20" t="n">
        <v>79798</v>
      </c>
      <c r="G90" s="20" t="n">
        <v>80693</v>
      </c>
      <c r="H90" s="20" t="n">
        <v>93842</v>
      </c>
      <c r="I90" s="20" t="n">
        <v>65597</v>
      </c>
      <c r="J90" s="20" t="n">
        <v>67620</v>
      </c>
      <c r="K90" s="20" t="n">
        <v>69617</v>
      </c>
      <c r="L90" s="20" t="n">
        <v>79798</v>
      </c>
    </row>
    <row r="91">
      <c r="A91" s="18" t="inlineStr">
        <is>
          <t>리스부채</t>
        </is>
      </c>
      <c r="C91" s="20" t="n">
        <v>10336</v>
      </c>
      <c r="D91" s="20" t="n">
        <v>10159</v>
      </c>
      <c r="E91" s="20" t="n">
        <v>10225</v>
      </c>
      <c r="F91" s="20" t="n">
        <v>10764</v>
      </c>
      <c r="G91" s="20" t="n">
        <v>10948</v>
      </c>
      <c r="H91" s="20" t="n">
        <v>6843</v>
      </c>
      <c r="I91" s="20" t="n">
        <v>7729</v>
      </c>
      <c r="J91" s="20" t="n">
        <v>9256</v>
      </c>
      <c r="K91" s="20" t="n">
        <v>10043</v>
      </c>
      <c r="L91" s="20" t="n">
        <v>10764</v>
      </c>
    </row>
    <row r="92">
      <c r="A92" s="18" t="inlineStr">
        <is>
          <t>기타금융부채</t>
        </is>
      </c>
      <c r="C92" s="20" t="n">
        <v>46573</v>
      </c>
      <c r="D92" s="20" t="n">
        <v>32766</v>
      </c>
      <c r="E92" s="20" t="n">
        <v>89145</v>
      </c>
      <c r="F92" s="20" t="n">
        <v>57126</v>
      </c>
      <c r="G92" s="20" t="n">
        <v>57405</v>
      </c>
      <c r="H92" s="20" t="n">
        <v>49952</v>
      </c>
      <c r="I92" s="20" t="n">
        <v>59857</v>
      </c>
      <c r="J92" s="20" t="n">
        <v>56116</v>
      </c>
      <c r="K92" s="20" t="n">
        <v>49066</v>
      </c>
      <c r="L92" s="20" t="n">
        <v>57126</v>
      </c>
    </row>
    <row r="93">
      <c r="A93" s="18" t="inlineStr">
        <is>
          <t>미지급법인세</t>
        </is>
      </c>
      <c r="C93" s="20" t="n">
        <v>23142</v>
      </c>
      <c r="D93" s="20" t="n">
        <v>38271</v>
      </c>
      <c r="E93" s="20" t="n">
        <v>37273</v>
      </c>
      <c r="F93" s="20" t="n">
        <v>43182</v>
      </c>
      <c r="G93" s="20" t="n">
        <v>27359</v>
      </c>
      <c r="H93" s="20" t="n">
        <v>55318</v>
      </c>
      <c r="I93" s="20" t="n">
        <v>12755</v>
      </c>
      <c r="J93" s="20" t="n">
        <v>26966</v>
      </c>
      <c r="K93" s="20" t="n">
        <v>30952</v>
      </c>
      <c r="L93" s="20" t="n">
        <v>43182</v>
      </c>
    </row>
    <row r="94">
      <c r="A94" s="18" t="inlineStr">
        <is>
          <t>이연수익</t>
        </is>
      </c>
      <c r="C94" s="20" t="n">
        <v>882</v>
      </c>
      <c r="D94" s="20" t="n">
        <v>883</v>
      </c>
      <c r="E94" s="20" t="n">
        <v>883</v>
      </c>
      <c r="F94" s="20" t="n">
        <v>1412</v>
      </c>
      <c r="G94" s="20" t="n">
        <v>1604</v>
      </c>
      <c r="H94" s="20" t="n">
        <v>673</v>
      </c>
      <c r="I94" s="20" t="n">
        <v>854</v>
      </c>
      <c r="J94" s="20" t="n">
        <v>883</v>
      </c>
      <c r="K94" s="20" t="n">
        <v>883</v>
      </c>
      <c r="L94" s="20" t="n">
        <v>1412</v>
      </c>
    </row>
    <row r="95">
      <c r="A95" s="18" t="inlineStr">
        <is>
          <t>충당금</t>
        </is>
      </c>
      <c r="C95" s="20" t="n">
        <v>2060</v>
      </c>
      <c r="D95" s="20" t="n">
        <v>1464</v>
      </c>
      <c r="E95" s="20" t="n">
        <v>2209</v>
      </c>
      <c r="F95" s="20" t="n">
        <v>3069</v>
      </c>
      <c r="G95" s="20" t="n">
        <v>5167</v>
      </c>
      <c r="H95" s="20" t="n">
        <v>2136</v>
      </c>
      <c r="I95" s="20" t="n">
        <v>2859</v>
      </c>
      <c r="J95" s="20" t="n">
        <v>1529</v>
      </c>
      <c r="K95" s="20" t="n">
        <v>2170</v>
      </c>
      <c r="L95" s="20" t="n">
        <v>3069</v>
      </c>
    </row>
    <row r="96">
      <c r="A96" s="18" t="inlineStr">
        <is>
          <t>기타유동부채</t>
        </is>
      </c>
      <c r="C96" s="20" t="n">
        <v>89395</v>
      </c>
      <c r="D96" s="20" t="n">
        <v>111021</v>
      </c>
      <c r="E96" s="20" t="n">
        <v>91293</v>
      </c>
      <c r="F96" s="20" t="n">
        <v>119389</v>
      </c>
      <c r="G96" s="20" t="n">
        <v>103610</v>
      </c>
      <c r="H96" s="20" t="n">
        <v>110502</v>
      </c>
      <c r="I96" s="20" t="n">
        <v>87723</v>
      </c>
      <c r="J96" s="20" t="n">
        <v>104847</v>
      </c>
      <c r="K96" s="20" t="n">
        <v>113005</v>
      </c>
      <c r="L96" s="20" t="n">
        <v>119389</v>
      </c>
    </row>
    <row r="97">
      <c r="A97" s="18" t="inlineStr">
        <is>
          <t>유동부채 합계</t>
        </is>
      </c>
      <c r="C97" s="20" t="n">
        <v>241116</v>
      </c>
      <c r="D97" s="20" t="n">
        <v>271201</v>
      </c>
      <c r="E97" s="20" t="n">
        <v>304821</v>
      </c>
      <c r="F97" s="20" t="n">
        <v>316485</v>
      </c>
      <c r="G97" s="20" t="n">
        <v>287588</v>
      </c>
      <c r="H97" s="20" t="n">
        <v>319365</v>
      </c>
      <c r="I97" s="20" t="n">
        <v>297908</v>
      </c>
      <c r="J97" s="20" t="n">
        <v>317617</v>
      </c>
      <c r="K97" s="20" t="n">
        <v>276517</v>
      </c>
      <c r="L97" s="20" t="n">
        <v>316485</v>
      </c>
    </row>
    <row r="98">
      <c r="A98" s="18" t="inlineStr">
        <is>
          <t>사채 및 차입금</t>
        </is>
      </c>
      <c r="C98" s="20" t="n">
        <v>1544</v>
      </c>
      <c r="D98" s="20" t="n">
        <v>1362</v>
      </c>
      <c r="E98" s="20" t="n">
        <v>1484</v>
      </c>
      <c r="F98" s="20" t="n">
        <v>1516</v>
      </c>
      <c r="H98" s="20" t="n">
        <v>110979</v>
      </c>
      <c r="I98" s="20" t="n">
        <v>51464</v>
      </c>
      <c r="J98" s="20" t="n">
        <v>2436</v>
      </c>
      <c r="K98" s="20" t="n">
        <v>1656</v>
      </c>
      <c r="L98" s="20" t="n">
        <v>1516</v>
      </c>
    </row>
    <row r="99">
      <c r="A99" s="18" t="inlineStr">
        <is>
          <t>차입금</t>
        </is>
      </c>
      <c r="F99" s="20" t="n">
        <v>1516</v>
      </c>
      <c r="G99" s="20" t="n">
        <v>1813</v>
      </c>
      <c r="L99" s="20" t="n">
        <v>1516</v>
      </c>
    </row>
    <row r="100">
      <c r="A100" s="18" t="inlineStr">
        <is>
          <t>리스부채</t>
        </is>
      </c>
      <c r="C100" s="20" t="n">
        <v>47526</v>
      </c>
      <c r="D100" s="20" t="n">
        <v>47217</v>
      </c>
      <c r="E100" s="20" t="n">
        <v>47601</v>
      </c>
      <c r="F100" s="20" t="n">
        <v>41743</v>
      </c>
      <c r="G100" s="20" t="n">
        <v>41831</v>
      </c>
      <c r="H100" s="20" t="n">
        <v>28703</v>
      </c>
      <c r="I100" s="20" t="n">
        <v>35500</v>
      </c>
      <c r="J100" s="20" t="n">
        <v>43848</v>
      </c>
      <c r="K100" s="20" t="n">
        <v>47513</v>
      </c>
      <c r="L100" s="20" t="n">
        <v>41743</v>
      </c>
    </row>
    <row r="101">
      <c r="A101" s="18" t="inlineStr">
        <is>
          <t>기타금융부채</t>
        </is>
      </c>
      <c r="C101" s="20" t="n">
        <v>4231</v>
      </c>
      <c r="D101" s="20" t="n">
        <v>4090</v>
      </c>
      <c r="E101" s="20" t="n">
        <v>950</v>
      </c>
      <c r="F101" s="20" t="n">
        <v>1134</v>
      </c>
      <c r="G101" s="20" t="n">
        <v>695</v>
      </c>
      <c r="H101" s="20" t="n">
        <v>2562</v>
      </c>
      <c r="I101" s="20" t="n">
        <v>2707</v>
      </c>
      <c r="J101" s="20" t="n">
        <v>4131</v>
      </c>
      <c r="K101" s="20" t="n">
        <v>4743</v>
      </c>
      <c r="L101" s="20" t="n">
        <v>1134</v>
      </c>
    </row>
    <row r="102">
      <c r="A102" s="18" t="inlineStr">
        <is>
          <t>이연수익</t>
        </is>
      </c>
      <c r="C102" s="20" t="n">
        <v>18743</v>
      </c>
      <c r="D102" s="20" t="n">
        <v>18640</v>
      </c>
      <c r="E102" s="20" t="n">
        <v>18421</v>
      </c>
      <c r="F102" s="20" t="n">
        <v>22137</v>
      </c>
      <c r="G102" s="20" t="n">
        <v>21452</v>
      </c>
      <c r="H102" s="20" t="n">
        <v>13621</v>
      </c>
      <c r="I102" s="20" t="n">
        <v>19093</v>
      </c>
      <c r="J102" s="20" t="n">
        <v>20387</v>
      </c>
      <c r="K102" s="20" t="n">
        <v>19131</v>
      </c>
      <c r="L102" s="20" t="n">
        <v>22137</v>
      </c>
    </row>
    <row r="103">
      <c r="A103" s="18" t="inlineStr">
        <is>
          <t>퇴직급여부채</t>
        </is>
      </c>
      <c r="C103" s="20" t="n">
        <v>76345</v>
      </c>
      <c r="D103" s="20" t="n">
        <v>77176</v>
      </c>
      <c r="E103" s="20" t="n">
        <v>78159</v>
      </c>
      <c r="F103" s="20" t="n">
        <v>72274</v>
      </c>
      <c r="G103" s="20" t="n">
        <v>73151</v>
      </c>
      <c r="H103" s="20" t="n">
        <v>66949</v>
      </c>
      <c r="I103" s="20" t="n">
        <v>70251</v>
      </c>
      <c r="J103" s="20" t="n">
        <v>70679</v>
      </c>
      <c r="K103" s="20" t="n">
        <v>74834</v>
      </c>
      <c r="L103" s="20" t="n">
        <v>72274</v>
      </c>
    </row>
    <row r="104">
      <c r="A104" s="18" t="inlineStr">
        <is>
          <t>충당금</t>
        </is>
      </c>
      <c r="C104" s="20" t="n">
        <v>7250</v>
      </c>
      <c r="D104" s="20" t="n">
        <v>7042</v>
      </c>
      <c r="E104" s="20" t="n">
        <v>10300</v>
      </c>
      <c r="F104" s="20" t="n">
        <v>9545</v>
      </c>
      <c r="G104" s="20" t="n">
        <v>9201</v>
      </c>
      <c r="H104" s="20" t="n">
        <v>6470</v>
      </c>
      <c r="I104" s="20" t="n">
        <v>9102</v>
      </c>
      <c r="J104" s="20" t="n">
        <v>8034</v>
      </c>
      <c r="K104" s="20" t="n">
        <v>7435</v>
      </c>
      <c r="L104" s="20" t="n">
        <v>9545</v>
      </c>
    </row>
    <row r="105">
      <c r="A105" s="18" t="inlineStr">
        <is>
          <t>이연법인세부채</t>
        </is>
      </c>
      <c r="C105" s="20" t="n">
        <v>10979</v>
      </c>
      <c r="D105" s="20" t="n">
        <v>11176</v>
      </c>
      <c r="E105" s="20" t="n">
        <v>10483</v>
      </c>
      <c r="F105" s="20" t="n">
        <v>10041</v>
      </c>
      <c r="G105" s="20" t="n">
        <v>9712</v>
      </c>
      <c r="H105" s="20" t="n">
        <v>12082</v>
      </c>
      <c r="I105" s="20" t="n">
        <v>9031</v>
      </c>
      <c r="J105" s="20" t="n">
        <v>10946</v>
      </c>
      <c r="K105" s="20" t="n">
        <v>12081</v>
      </c>
      <c r="L105" s="20" t="n">
        <v>10041</v>
      </c>
    </row>
    <row r="106">
      <c r="A106" s="18" t="inlineStr">
        <is>
          <t>기타비유동부채</t>
        </is>
      </c>
      <c r="C106" s="20" t="n">
        <v>6977</v>
      </c>
      <c r="D106" s="20" t="n">
        <v>6253</v>
      </c>
      <c r="E106" s="20" t="n">
        <v>5750</v>
      </c>
      <c r="F106" s="20" t="n">
        <v>6414</v>
      </c>
      <c r="G106" s="20" t="n">
        <v>7167</v>
      </c>
      <c r="H106" s="20" t="n">
        <v>3361</v>
      </c>
      <c r="I106" s="20" t="n">
        <v>3305</v>
      </c>
      <c r="J106" s="20" t="n">
        <v>4208</v>
      </c>
      <c r="K106" s="20" t="n">
        <v>4309</v>
      </c>
      <c r="L106" s="20" t="n">
        <v>6414</v>
      </c>
    </row>
    <row r="107">
      <c r="A107" s="18" t="inlineStr">
        <is>
          <t>비유동부채 합계</t>
        </is>
      </c>
      <c r="C107" s="20" t="n">
        <v>173595</v>
      </c>
      <c r="D107" s="20" t="n">
        <v>172956</v>
      </c>
      <c r="E107" s="20" t="n">
        <v>173148</v>
      </c>
      <c r="F107" s="20" t="n">
        <v>164804</v>
      </c>
      <c r="G107" s="20" t="n">
        <v>165022</v>
      </c>
      <c r="H107" s="20" t="n">
        <v>244727</v>
      </c>
      <c r="I107" s="20" t="n">
        <v>200453</v>
      </c>
      <c r="J107" s="20" t="n">
        <v>164669</v>
      </c>
      <c r="K107" s="20" t="n">
        <v>171702</v>
      </c>
      <c r="L107" s="20" t="n">
        <v>164804</v>
      </c>
    </row>
    <row r="108">
      <c r="A108" s="18" t="inlineStr">
        <is>
          <t>부채 합계</t>
        </is>
      </c>
      <c r="C108" s="20" t="n">
        <v>414711</v>
      </c>
      <c r="D108" s="20" t="n">
        <v>444157</v>
      </c>
      <c r="E108" s="20" t="n">
        <v>477969</v>
      </c>
      <c r="F108" s="20" t="n">
        <v>481289</v>
      </c>
      <c r="G108" s="20" t="n">
        <v>452610</v>
      </c>
      <c r="H108" s="20" t="n">
        <v>564092</v>
      </c>
      <c r="I108" s="20" t="n">
        <v>498361</v>
      </c>
      <c r="J108" s="20" t="n">
        <v>482286</v>
      </c>
      <c r="K108" s="20" t="n">
        <v>448219</v>
      </c>
      <c r="L108" s="20" t="n">
        <v>481289</v>
      </c>
    </row>
    <row r="109">
      <c r="A109" s="18" t="inlineStr">
        <is>
          <t>자본금</t>
        </is>
      </c>
      <c r="C109" s="20" t="n">
        <v>69444</v>
      </c>
      <c r="D109" s="20" t="n">
        <v>69444</v>
      </c>
      <c r="E109" s="20" t="n">
        <v>69444</v>
      </c>
      <c r="F109" s="20" t="n">
        <v>69444</v>
      </c>
      <c r="G109" s="20" t="n">
        <v>69444</v>
      </c>
      <c r="H109" s="20" t="n">
        <v>69444</v>
      </c>
      <c r="I109" s="20" t="n">
        <v>69444</v>
      </c>
      <c r="J109" s="20" t="n">
        <v>69444</v>
      </c>
      <c r="K109" s="20" t="n">
        <v>69444</v>
      </c>
      <c r="L109" s="20" t="n">
        <v>69444</v>
      </c>
    </row>
    <row r="110">
      <c r="A110" s="18" t="inlineStr">
        <is>
          <t>자본잉여금</t>
        </is>
      </c>
      <c r="C110" s="20" t="n">
        <v>99601</v>
      </c>
      <c r="D110" s="20" t="n">
        <v>99708</v>
      </c>
      <c r="E110" s="20" t="n">
        <v>99962</v>
      </c>
      <c r="F110" s="20" t="n">
        <v>100177</v>
      </c>
      <c r="G110" s="20" t="n">
        <v>100425</v>
      </c>
      <c r="H110" s="20" t="n">
        <v>121004</v>
      </c>
      <c r="I110" s="20" t="n">
        <v>121116</v>
      </c>
      <c r="J110" s="20" t="n">
        <v>121231</v>
      </c>
      <c r="K110" s="20" t="n">
        <v>99354</v>
      </c>
      <c r="L110" s="20" t="n">
        <v>100177</v>
      </c>
    </row>
    <row r="111">
      <c r="A111" s="18" t="inlineStr">
        <is>
          <t>이익잉여금</t>
        </is>
      </c>
      <c r="C111" s="20" t="n">
        <v>2394527</v>
      </c>
      <c r="D111" s="20" t="n">
        <v>2477225</v>
      </c>
      <c r="E111" s="20" t="n">
        <v>2448451</v>
      </c>
      <c r="F111" s="20" t="n">
        <v>2528540</v>
      </c>
      <c r="G111" s="20" t="n">
        <v>2546207</v>
      </c>
      <c r="H111" s="20" t="n">
        <v>2099426</v>
      </c>
      <c r="I111" s="20" t="n">
        <v>2246258</v>
      </c>
      <c r="J111" s="20" t="n">
        <v>2332018</v>
      </c>
      <c r="K111" s="20" t="n">
        <v>2400684</v>
      </c>
      <c r="L111" s="20" t="n">
        <v>2528540</v>
      </c>
    </row>
    <row r="112">
      <c r="A112" s="18" t="inlineStr">
        <is>
          <t>기타자본구성요소</t>
        </is>
      </c>
      <c r="C112" s="20" t="n">
        <v>128032</v>
      </c>
      <c r="D112" s="20" t="n">
        <v>162745</v>
      </c>
      <c r="E112" s="20" t="n">
        <v>231623</v>
      </c>
      <c r="F112" s="20" t="n">
        <v>255634</v>
      </c>
      <c r="G112" s="20" t="n">
        <v>277832</v>
      </c>
      <c r="H112" s="20" t="n">
        <v>3343</v>
      </c>
      <c r="I112" s="20" t="n">
        <v>56661</v>
      </c>
      <c r="J112" s="20" t="n">
        <v>166895</v>
      </c>
      <c r="K112" s="20" t="n">
        <v>146515</v>
      </c>
      <c r="L112" s="20" t="n">
        <v>255634</v>
      </c>
    </row>
    <row r="113">
      <c r="A113" s="18" t="inlineStr">
        <is>
          <t>자기주식</t>
        </is>
      </c>
      <c r="C113" s="20" t="n">
        <v>-172564</v>
      </c>
      <c r="D113" s="20" t="n">
        <v>-212000</v>
      </c>
      <c r="E113" s="20" t="n">
        <v>-235048</v>
      </c>
      <c r="F113" s="20" t="n">
        <v>-235052</v>
      </c>
      <c r="G113" s="20" t="n">
        <v>-235056</v>
      </c>
      <c r="H113" s="20" t="n">
        <v>-53538</v>
      </c>
      <c r="I113" s="20" t="n">
        <v>-133494</v>
      </c>
      <c r="J113" s="20" t="n">
        <v>-133441</v>
      </c>
      <c r="K113" s="20" t="n">
        <v>-135192</v>
      </c>
      <c r="L113" s="20" t="n">
        <v>-235052</v>
      </c>
    </row>
    <row r="114">
      <c r="A114" s="18" t="inlineStr">
        <is>
          <t>지배기업 소유주 귀속 지분 합계</t>
        </is>
      </c>
      <c r="C114" s="20" t="n">
        <v>2519040</v>
      </c>
      <c r="D114" s="20" t="n">
        <v>2597122</v>
      </c>
      <c r="E114" s="20" t="n">
        <v>2614432</v>
      </c>
      <c r="F114" s="20" t="n">
        <v>2718743</v>
      </c>
      <c r="G114" s="20" t="n">
        <v>2758852</v>
      </c>
      <c r="H114" s="20" t="n">
        <v>2239679</v>
      </c>
      <c r="I114" s="20" t="n">
        <v>2359985</v>
      </c>
      <c r="J114" s="20" t="n">
        <v>2556147</v>
      </c>
      <c r="K114" s="20" t="n">
        <v>2580805</v>
      </c>
      <c r="L114" s="20" t="n">
        <v>2718743</v>
      </c>
    </row>
    <row r="115">
      <c r="A115" s="18" t="inlineStr">
        <is>
          <t>비지배지분</t>
        </is>
      </c>
      <c r="C115" s="20" t="n">
        <v>-968</v>
      </c>
      <c r="D115" s="20" t="n">
        <v>-932</v>
      </c>
      <c r="E115" s="20" t="n">
        <v>-885</v>
      </c>
      <c r="F115" s="20" t="n">
        <v>-933</v>
      </c>
      <c r="G115" s="20" t="n">
        <v>-982</v>
      </c>
      <c r="H115" s="20" t="n">
        <v>310</v>
      </c>
      <c r="I115" s="20" t="n">
        <v>-43</v>
      </c>
      <c r="J115" s="20" t="n">
        <v>-538</v>
      </c>
      <c r="K115" s="20" t="n">
        <v>-830</v>
      </c>
      <c r="L115" s="20" t="n">
        <v>-933</v>
      </c>
    </row>
    <row r="116">
      <c r="A116" s="18" t="inlineStr">
        <is>
          <t>자본 합계</t>
        </is>
      </c>
      <c r="C116" s="20" t="n">
        <v>2518072</v>
      </c>
      <c r="D116" s="20" t="n">
        <v>2596190</v>
      </c>
      <c r="E116" s="20" t="n">
        <v>2613547</v>
      </c>
      <c r="F116" s="20" t="n">
        <v>2717810</v>
      </c>
      <c r="G116" s="20" t="n">
        <v>2757870</v>
      </c>
      <c r="H116" s="20" t="n">
        <v>2239989</v>
      </c>
      <c r="I116" s="20" t="n">
        <v>2359942</v>
      </c>
      <c r="J116" s="20" t="n">
        <v>2555609</v>
      </c>
      <c r="K116" s="20" t="n">
        <v>2579975</v>
      </c>
      <c r="L116" s="20" t="n">
        <v>2717810</v>
      </c>
    </row>
    <row r="117">
      <c r="A117" s="18" t="inlineStr">
        <is>
          <t>부채및자본 합계</t>
        </is>
      </c>
      <c r="C117" s="20" t="n">
        <v>2932783</v>
      </c>
      <c r="D117" s="20" t="n">
        <v>3040347</v>
      </c>
      <c r="E117" s="20" t="n">
        <v>3091516</v>
      </c>
      <c r="F117" s="20" t="n">
        <v>3199099</v>
      </c>
      <c r="G117" s="20" t="n">
        <v>3210480</v>
      </c>
      <c r="H117" s="20" t="n">
        <v>2804081</v>
      </c>
      <c r="I117" s="20" t="n">
        <v>2858303</v>
      </c>
      <c r="J117" s="20" t="n">
        <v>3037895</v>
      </c>
      <c r="K117" s="20" t="n">
        <v>3028194</v>
      </c>
      <c r="L117" s="20" t="n">
        <v>3199099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https://www2.jpx.co.jp/disc/69810/140120260730504039.pdf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https://www2.jpx.co.jp/disc/69810/140120260429514111.pdf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https://www2.jpx.co.jp/disc/69810/140120260130543860.pdf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https://www2.jpx.co.jp/disc/69810/140120251030582771.pdf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https://www2.jpx.co.jp/disc/69810/140120250729522460.pdf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https://www2.jpx.co.jp/disc/69810/140120250429526954.pdf</t>
        </is>
      </c>
    </row>
    <row r="10">
      <c r="A10" t="inlineStr">
        <is>
          <t>2025-02-03</t>
        </is>
      </c>
      <c r="B10" t="inlineStr">
        <is>
          <t>2025년 3월 결산기 ３분기 결산단신</t>
        </is>
      </c>
      <c r="C10" t="inlineStr">
        <is>
          <t>https://www2.jpx.co.jp/disc/69810/140120250131560194.pdf</t>
        </is>
      </c>
    </row>
    <row r="11">
      <c r="A11" t="inlineStr">
        <is>
          <t>2024-11-01</t>
        </is>
      </c>
      <c r="B11" t="inlineStr">
        <is>
          <t>2025년 3월 결산기 ２분기 결산단신</t>
        </is>
      </c>
      <c r="C11" t="inlineStr">
        <is>
          <t>https://www2.jpx.co.jp/disc/69810/140120241031507455.pdf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https://www2.jpx.co.jp/disc/69810/140120240722552751.pdf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https://www2.jpx.co.jp/disc/69810/140120240424575779.pdf</t>
        </is>
      </c>
    </row>
    <row r="14">
      <c r="A14" t="inlineStr">
        <is>
          <t>2024-02-02</t>
        </is>
      </c>
      <c r="B14" t="inlineStr">
        <is>
          <t>2024년 3월 결산기 ３분기 결산단신</t>
        </is>
      </c>
      <c r="C14" t="inlineStr">
        <is>
          <t>https://www2.jpx.co.jp/disc/69810/140120240131523457.pdf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https://www2.jpx.co.jp/disc/69810/140120231030574197.pdf</t>
        </is>
      </c>
    </row>
    <row r="16">
      <c r="A16" t="inlineStr">
        <is>
          <t>2023-07-31</t>
        </is>
      </c>
      <c r="B16" t="inlineStr">
        <is>
          <t>2024년 3월 결산기 １분기 결산단신</t>
        </is>
      </c>
      <c r="C16" t="inlineStr">
        <is>
          <t>https://www2.jpx.co.jp/disc/69810/140120230728529300.pdf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2026-10-28T06:59:25Z</dcterms:created>
  <dcterms:modified xmlns:dcterms="http://purl.org/dc/terms/" xmlns:xsi="http://www.w3.org/2001/XMLSchema-instance" xsi:type="dcterms:W3CDTF">2026-10-28T06:59:26Z</dcterms:modified>
</cp:coreProperties>
</file>