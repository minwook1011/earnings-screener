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1964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5837</v>
      </c>
      <c r="D4" s="12" t="n">
        <v>10837</v>
      </c>
      <c r="E4" s="12" t="n">
        <v>5280</v>
      </c>
      <c r="F4" s="12" t="n">
        <v>9441</v>
      </c>
      <c r="G4" s="12" t="n">
        <v>7498</v>
      </c>
      <c r="H4" s="12" t="n">
        <v>14028</v>
      </c>
      <c r="I4" s="12" t="n">
        <v>6347</v>
      </c>
      <c r="J4" s="12" t="n">
        <v>8422</v>
      </c>
      <c r="K4" s="12" t="n">
        <v>9015</v>
      </c>
      <c r="L4" s="12" t="n">
        <v>13548</v>
      </c>
      <c r="M4" s="12" t="n">
        <v>6119</v>
      </c>
      <c r="N4" s="12" t="n">
        <v>9936</v>
      </c>
      <c r="O4" s="11" t="n">
        <v>31146</v>
      </c>
      <c r="P4" s="12" t="n">
        <v>30830</v>
      </c>
      <c r="Q4" s="12" t="n">
        <v>37090</v>
      </c>
      <c r="R4" s="12" t="n">
        <v>38090</v>
      </c>
      <c r="S4" s="12" t="n">
        <v>24718</v>
      </c>
      <c r="T4" s="12" t="n">
        <v>26317</v>
      </c>
      <c r="U4" s="12" t="n">
        <v>27977</v>
      </c>
      <c r="V4" s="12" t="n">
        <v>29283</v>
      </c>
      <c r="W4" s="12" t="n">
        <v>36247</v>
      </c>
      <c r="X4" s="12" t="n">
        <v>37332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HeatTreatmentBusinessReportableSegmentMember</t>
        </is>
      </c>
      <c r="B7" s="10" t="n"/>
      <c r="C7" s="19" t="n">
        <v>2990</v>
      </c>
      <c r="D7" s="20" t="n">
        <v>5780</v>
      </c>
      <c r="E7" s="20" t="n">
        <v>3041</v>
      </c>
      <c r="F7" s="20" t="n">
        <v>4464</v>
      </c>
      <c r="G7" s="20" t="n">
        <v>4461</v>
      </c>
      <c r="H7" s="20" t="n">
        <v>6624</v>
      </c>
      <c r="I7" s="20" t="n">
        <v>3729</v>
      </c>
      <c r="J7" s="20" t="n">
        <v>4116</v>
      </c>
      <c r="K7" s="20" t="n">
        <v>4624</v>
      </c>
      <c r="L7" s="20" t="n">
        <v>5838</v>
      </c>
      <c r="M7" s="20" t="n">
        <v>2510</v>
      </c>
      <c r="N7" s="20" t="n">
        <v>4324</v>
      </c>
      <c r="O7" s="19" t="n"/>
      <c r="P7" s="20" t="n"/>
      <c r="Q7" s="20" t="n"/>
      <c r="R7" s="20" t="n"/>
      <c r="S7" s="20" t="n"/>
      <c r="T7" s="20" t="n"/>
      <c r="U7" s="20" t="n"/>
      <c r="V7" s="20" t="n">
        <v>13912</v>
      </c>
      <c r="W7" s="20" t="n">
        <v>18590</v>
      </c>
      <c r="X7" s="20" t="n">
        <v>18307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PlantBusinessReportableSegmentMember</t>
        </is>
      </c>
      <c r="B10" s="10" t="n"/>
      <c r="C10" s="19" t="n">
        <v>2422</v>
      </c>
      <c r="D10" s="20" t="n">
        <v>2641</v>
      </c>
      <c r="E10" s="20" t="n">
        <v>1525</v>
      </c>
      <c r="F10" s="20" t="n">
        <v>2919</v>
      </c>
      <c r="G10" s="20" t="n">
        <v>2249</v>
      </c>
      <c r="H10" s="20" t="n">
        <v>4829</v>
      </c>
      <c r="I10" s="20" t="n">
        <v>2009</v>
      </c>
      <c r="J10" s="20" t="n">
        <v>3286</v>
      </c>
      <c r="K10" s="20" t="n">
        <v>3207</v>
      </c>
      <c r="L10" s="20" t="n">
        <v>5326</v>
      </c>
      <c r="M10" s="20" t="n">
        <v>3045</v>
      </c>
      <c r="N10" s="20" t="n">
        <v>4759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11207</v>
      </c>
      <c r="W10" s="20" t="n">
        <v>11522</v>
      </c>
      <c r="X10" s="20" t="n">
        <v>13828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DevelopmentBusinessReportableSegmentMember</t>
        </is>
      </c>
      <c r="B13" s="10" t="n"/>
      <c r="C13" s="19" t="n">
        <v>245</v>
      </c>
      <c r="D13" s="20" t="n">
        <v>1267</v>
      </c>
      <c r="E13" s="20" t="n">
        <v>323</v>
      </c>
      <c r="F13" s="20" t="n">
        <v>849</v>
      </c>
      <c r="G13" s="20" t="n">
        <v>363</v>
      </c>
      <c r="H13" s="20" t="n">
        <v>841</v>
      </c>
      <c r="I13" s="20" t="n">
        <v>278</v>
      </c>
      <c r="J13" s="20" t="n">
        <v>432</v>
      </c>
      <c r="K13" s="20" t="n">
        <v>524</v>
      </c>
      <c r="L13" s="20" t="n">
        <v>747</v>
      </c>
      <c r="M13" s="20" t="n">
        <v>176</v>
      </c>
      <c r="N13" s="20" t="n">
        <v>297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1896</v>
      </c>
      <c r="W13" s="20" t="n">
        <v>2376</v>
      </c>
      <c r="X13" s="20" t="n">
        <v>1981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1118</v>
      </c>
      <c r="D16" s="20" t="n">
        <v>2046</v>
      </c>
      <c r="E16" s="20" t="n">
        <v>1065</v>
      </c>
      <c r="F16" s="20" t="n">
        <v>1850</v>
      </c>
      <c r="G16" s="20" t="n">
        <v>2010</v>
      </c>
      <c r="H16" s="20" t="n">
        <v>3248</v>
      </c>
      <c r="I16" s="20" t="n">
        <v>1295</v>
      </c>
      <c r="J16" s="20" t="n">
        <v>1783</v>
      </c>
      <c r="K16" s="20" t="n">
        <v>2077</v>
      </c>
      <c r="L16" s="20" t="n">
        <v>2870</v>
      </c>
      <c r="M16" s="20" t="n">
        <v>1014</v>
      </c>
      <c r="N16" s="20" t="n">
        <v>1271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5458</v>
      </c>
      <c r="W16" s="20" t="n">
        <v>8173</v>
      </c>
      <c r="X16" s="20" t="n">
        <v>8025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5280</v>
      </c>
      <c r="F19" s="20" t="n"/>
      <c r="G19" s="20" t="n"/>
      <c r="H19" s="20" t="n"/>
      <c r="I19" s="20" t="n">
        <v>6347</v>
      </c>
      <c r="J19" s="20" t="n"/>
      <c r="K19" s="20" t="n"/>
      <c r="L19" s="20" t="n"/>
      <c r="M19" s="20" t="n">
        <v>6119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4905</v>
      </c>
      <c r="D23" s="20" t="n">
        <v>7682</v>
      </c>
      <c r="E23" s="20" t="n">
        <v>4759</v>
      </c>
      <c r="F23" s="20" t="n">
        <v>7521</v>
      </c>
      <c r="G23" s="20" t="n">
        <v>6138</v>
      </c>
      <c r="H23" s="20" t="n">
        <v>10238</v>
      </c>
      <c r="I23" s="20" t="n">
        <v>5464</v>
      </c>
      <c r="J23" s="20" t="n">
        <v>6658</v>
      </c>
      <c r="K23" s="20" t="n">
        <v>7203</v>
      </c>
      <c r="L23" s="20" t="n">
        <v>9893</v>
      </c>
      <c r="M23" s="20" t="n">
        <v>5010</v>
      </c>
      <c r="N23" s="20" t="n">
        <v>7760</v>
      </c>
      <c r="O23" s="19" t="n">
        <v>26394</v>
      </c>
      <c r="P23" s="20" t="n">
        <v>25600</v>
      </c>
      <c r="Q23" s="20" t="n">
        <v>31898</v>
      </c>
      <c r="R23" s="20" t="n">
        <v>31787</v>
      </c>
      <c r="S23" s="20" t="n">
        <v>20048</v>
      </c>
      <c r="T23" s="20" t="n">
        <v>20759</v>
      </c>
      <c r="U23" s="20" t="n">
        <v>22285</v>
      </c>
      <c r="V23" s="20" t="n">
        <v>23166</v>
      </c>
      <c r="W23" s="20" t="n">
        <v>28656</v>
      </c>
      <c r="X23" s="20" t="n">
        <v>29218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1121</v>
      </c>
      <c r="D29" s="20" t="n">
        <v>1238</v>
      </c>
      <c r="E29" s="20" t="n">
        <v>1203</v>
      </c>
      <c r="F29" s="20" t="n">
        <v>1160</v>
      </c>
      <c r="G29" s="20" t="n">
        <v>1163</v>
      </c>
      <c r="H29" s="20" t="n">
        <v>1328</v>
      </c>
      <c r="I29" s="20" t="n">
        <v>1254</v>
      </c>
      <c r="J29" s="20" t="n">
        <v>1229</v>
      </c>
      <c r="K29" s="20" t="n">
        <v>1356</v>
      </c>
      <c r="L29" s="20" t="n">
        <v>1396</v>
      </c>
      <c r="M29" s="20" t="n">
        <v>1317</v>
      </c>
      <c r="N29" s="20" t="n">
        <v>1330</v>
      </c>
      <c r="O29" s="19" t="n">
        <v>3978</v>
      </c>
      <c r="P29" s="20" t="n">
        <v>4048</v>
      </c>
      <c r="Q29" s="20" t="n">
        <v>4204</v>
      </c>
      <c r="R29" s="20" t="n">
        <v>4591</v>
      </c>
      <c r="S29" s="20" t="n">
        <v>4280</v>
      </c>
      <c r="T29" s="20" t="n">
        <v>4294</v>
      </c>
      <c r="U29" s="20" t="n">
        <v>4382</v>
      </c>
      <c r="V29" s="20" t="n">
        <v>4639</v>
      </c>
      <c r="W29" s="20" t="n">
        <v>4854</v>
      </c>
      <c r="X29" s="20" t="n">
        <v>5235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-189</v>
      </c>
      <c r="D31" s="12" t="n">
        <v>1916</v>
      </c>
      <c r="E31" s="12" t="n">
        <v>-682</v>
      </c>
      <c r="F31" s="12" t="n">
        <v>759</v>
      </c>
      <c r="G31" s="12" t="n">
        <v>197</v>
      </c>
      <c r="H31" s="12" t="n">
        <v>2461</v>
      </c>
      <c r="I31" s="12" t="n">
        <v>-371</v>
      </c>
      <c r="J31" s="12" t="n">
        <v>534</v>
      </c>
      <c r="K31" s="12" t="n">
        <v>456</v>
      </c>
      <c r="L31" s="12" t="n">
        <v>2260</v>
      </c>
      <c r="M31" s="12" t="n">
        <v>-209</v>
      </c>
      <c r="N31" s="12" t="n">
        <v>846</v>
      </c>
      <c r="O31" s="11" t="n">
        <v>774</v>
      </c>
      <c r="P31" s="12" t="n">
        <v>1181</v>
      </c>
      <c r="Q31" s="12" t="n">
        <v>987</v>
      </c>
      <c r="R31" s="12" t="n">
        <v>1711</v>
      </c>
      <c r="S31" s="12" t="n">
        <v>390</v>
      </c>
      <c r="T31" s="12" t="n">
        <v>1263</v>
      </c>
      <c r="U31" s="12" t="n">
        <v>1309</v>
      </c>
      <c r="V31" s="12" t="n">
        <v>1477</v>
      </c>
      <c r="W31" s="12" t="n">
        <v>2735</v>
      </c>
      <c r="X31" s="12" t="n">
        <v>2879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278</v>
      </c>
      <c r="D47" s="20" t="n">
        <v>0</v>
      </c>
      <c r="E47" s="20" t="n">
        <v>592</v>
      </c>
      <c r="F47" s="20" t="n">
        <v>0</v>
      </c>
      <c r="G47" s="20" t="n">
        <v>444</v>
      </c>
      <c r="H47" s="20" t="n">
        <v>197</v>
      </c>
      <c r="I47" s="20" t="n">
        <v>1284</v>
      </c>
      <c r="J47" s="20" t="n">
        <v>0</v>
      </c>
      <c r="K47" s="20" t="n">
        <v>1361</v>
      </c>
      <c r="L47" s="20" t="n">
        <v>670</v>
      </c>
      <c r="M47" s="20" t="n">
        <v>0</v>
      </c>
      <c r="N47" s="20" t="n">
        <v>0</v>
      </c>
      <c r="O47" s="19" t="n">
        <v>47</v>
      </c>
      <c r="P47" s="20" t="n">
        <v>24</v>
      </c>
      <c r="Q47" s="20" t="n">
        <v>19</v>
      </c>
      <c r="R47" s="20" t="n">
        <v>0</v>
      </c>
      <c r="S47" s="20" t="n">
        <v>0</v>
      </c>
      <c r="T47" s="20" t="n">
        <v>115</v>
      </c>
      <c r="U47" s="20" t="n">
        <v>133</v>
      </c>
      <c r="V47" s="20" t="n">
        <v>1421</v>
      </c>
      <c r="W47" s="20" t="n">
        <v>1233</v>
      </c>
      <c r="X47" s="20" t="n">
        <v>3315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19" t="n">
        <v>0</v>
      </c>
      <c r="P49" s="20" t="n">
        <v>17</v>
      </c>
      <c r="Q49" s="20" t="n">
        <v>0</v>
      </c>
      <c r="R49" s="20" t="n">
        <v>174</v>
      </c>
      <c r="S49" s="20" t="n">
        <v>38</v>
      </c>
      <c r="T49" s="20" t="n">
        <v>15</v>
      </c>
      <c r="U49" s="20" t="n">
        <v>8</v>
      </c>
      <c r="V49" s="20" t="n">
        <v>6</v>
      </c>
      <c r="W49" s="20" t="n">
        <v>14</v>
      </c>
      <c r="X49" s="20" t="n">
        <v>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109</v>
      </c>
      <c r="D51" s="20" t="n">
        <v>25</v>
      </c>
      <c r="E51" s="20" t="n">
        <v>156</v>
      </c>
      <c r="F51" s="20" t="n">
        <v>30</v>
      </c>
      <c r="G51" s="20" t="n">
        <v>112</v>
      </c>
      <c r="H51" s="20" t="n">
        <v>50</v>
      </c>
      <c r="I51" s="20" t="n">
        <v>157</v>
      </c>
      <c r="J51" s="20" t="n">
        <v>15</v>
      </c>
      <c r="K51" s="20" t="n">
        <v>104</v>
      </c>
      <c r="L51" s="20" t="n">
        <v>41</v>
      </c>
      <c r="M51" s="20" t="n">
        <v>130</v>
      </c>
      <c r="N51" s="20" t="n">
        <v>29</v>
      </c>
      <c r="O51" s="19" t="n">
        <v>192</v>
      </c>
      <c r="P51" s="20" t="n">
        <v>183</v>
      </c>
      <c r="Q51" s="20" t="n">
        <v>222</v>
      </c>
      <c r="R51" s="20" t="n">
        <v>237</v>
      </c>
      <c r="S51" s="20" t="n">
        <v>238</v>
      </c>
      <c r="T51" s="20" t="n">
        <v>276</v>
      </c>
      <c r="U51" s="20" t="n">
        <v>320</v>
      </c>
      <c r="V51" s="20" t="n">
        <v>321</v>
      </c>
      <c r="W51" s="20" t="n">
        <v>348</v>
      </c>
      <c r="X51" s="20" t="n">
        <v>317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8</v>
      </c>
      <c r="D53" s="20" t="n">
        <v>33</v>
      </c>
      <c r="E53" s="20" t="n">
        <v>16</v>
      </c>
      <c r="F53" s="20" t="n">
        <v>15</v>
      </c>
      <c r="G53" s="20" t="n">
        <v>49</v>
      </c>
      <c r="H53" s="20" t="n">
        <v>0</v>
      </c>
      <c r="I53" s="20" t="n">
        <v>38</v>
      </c>
      <c r="J53" s="20" t="n">
        <v>36</v>
      </c>
      <c r="K53" s="20" t="n">
        <v>4</v>
      </c>
      <c r="L53" s="20" t="n">
        <v>7</v>
      </c>
      <c r="M53" s="20" t="n">
        <v>29</v>
      </c>
      <c r="N53" s="20" t="n">
        <v>16</v>
      </c>
      <c r="O53" s="19" t="n">
        <v>47</v>
      </c>
      <c r="P53" s="20" t="n">
        <v>77</v>
      </c>
      <c r="Q53" s="20" t="n">
        <v>52</v>
      </c>
      <c r="R53" s="20" t="n">
        <v>73</v>
      </c>
      <c r="S53" s="20" t="n">
        <v>62</v>
      </c>
      <c r="T53" s="20" t="n">
        <v>46</v>
      </c>
      <c r="U53" s="20" t="n">
        <v>55</v>
      </c>
      <c r="V53" s="20" t="n">
        <v>84</v>
      </c>
      <c r="W53" s="20" t="n">
        <v>80</v>
      </c>
      <c r="X53" s="20" t="n">
        <v>85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189</v>
      </c>
      <c r="D55" s="12" t="n">
        <v>1903</v>
      </c>
      <c r="E55" s="12" t="n">
        <v>50</v>
      </c>
      <c r="F55" s="12" t="n">
        <v>775</v>
      </c>
      <c r="G55" s="12" t="n">
        <v>704</v>
      </c>
      <c r="H55" s="12" t="n">
        <v>2693</v>
      </c>
      <c r="I55" s="12" t="n">
        <v>1032</v>
      </c>
      <c r="J55" s="12" t="n">
        <v>514</v>
      </c>
      <c r="K55" s="12" t="n">
        <v>1915</v>
      </c>
      <c r="L55" s="12" t="n">
        <v>2965</v>
      </c>
      <c r="M55" s="12" t="n">
        <v>-108</v>
      </c>
      <c r="N55" s="12" t="n">
        <v>509</v>
      </c>
      <c r="O55" s="11" t="n">
        <v>967</v>
      </c>
      <c r="P55" s="12" t="n">
        <v>1294</v>
      </c>
      <c r="Q55" s="12" t="n">
        <v>1177</v>
      </c>
      <c r="R55" s="12" t="n">
        <v>1701</v>
      </c>
      <c r="S55" s="12" t="n">
        <v>527</v>
      </c>
      <c r="T55" s="12" t="n">
        <v>1594</v>
      </c>
      <c r="U55" s="12" t="n">
        <v>1699</v>
      </c>
      <c r="V55" s="12" t="n">
        <v>3129</v>
      </c>
      <c r="W55" s="12" t="n">
        <v>4222</v>
      </c>
      <c r="X55" s="12" t="n">
        <v>6426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88</v>
      </c>
      <c r="D57" s="20" t="n">
        <v>511</v>
      </c>
      <c r="E57" s="20" t="n">
        <v>60</v>
      </c>
      <c r="F57" s="20" t="n">
        <v>229</v>
      </c>
      <c r="G57" s="20" t="n">
        <v>201</v>
      </c>
      <c r="H57" s="20" t="n">
        <v>660</v>
      </c>
      <c r="I57" s="20" t="n">
        <v>358</v>
      </c>
      <c r="J57" s="20" t="n">
        <v>181</v>
      </c>
      <c r="K57" s="20" t="n">
        <v>597</v>
      </c>
      <c r="L57" s="20" t="n">
        <v>636</v>
      </c>
      <c r="M57" s="20" t="n">
        <v>-19</v>
      </c>
      <c r="N57" s="20" t="n">
        <v>175</v>
      </c>
      <c r="O57" s="19" t="n">
        <v>-33</v>
      </c>
      <c r="P57" s="20" t="n">
        <v>389</v>
      </c>
      <c r="Q57" s="20" t="n">
        <v>395</v>
      </c>
      <c r="R57" s="20" t="n">
        <v>542</v>
      </c>
      <c r="S57" s="20" t="n">
        <v>162</v>
      </c>
      <c r="T57" s="20" t="n">
        <v>164</v>
      </c>
      <c r="U57" s="20" t="n">
        <v>403</v>
      </c>
      <c r="V57" s="20" t="n">
        <v>912</v>
      </c>
      <c r="W57" s="20" t="n">
        <v>1150</v>
      </c>
      <c r="X57" s="20" t="n">
        <v>1772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101</v>
      </c>
      <c r="D59" s="12" t="n">
        <v>1391</v>
      </c>
      <c r="E59" s="12" t="n">
        <v>-9</v>
      </c>
      <c r="F59" s="12" t="n">
        <v>544</v>
      </c>
      <c r="G59" s="12" t="n">
        <v>504</v>
      </c>
      <c r="H59" s="12" t="n">
        <v>2033</v>
      </c>
      <c r="I59" s="12" t="n">
        <v>673</v>
      </c>
      <c r="J59" s="12" t="n">
        <v>333</v>
      </c>
      <c r="K59" s="12" t="n">
        <v>1319</v>
      </c>
      <c r="L59" s="12" t="n">
        <v>2328</v>
      </c>
      <c r="M59" s="12" t="n">
        <v>-88</v>
      </c>
      <c r="N59" s="12" t="n">
        <v>332</v>
      </c>
      <c r="O59" s="11" t="n">
        <v>1000</v>
      </c>
      <c r="P59" s="12" t="n">
        <v>905</v>
      </c>
      <c r="Q59" s="12" t="n">
        <v>781</v>
      </c>
      <c r="R59" s="12" t="n">
        <v>1158</v>
      </c>
      <c r="S59" s="12" t="n">
        <v>364</v>
      </c>
      <c r="T59" s="12" t="n">
        <v>1429</v>
      </c>
      <c r="U59" s="12" t="n">
        <v>1295</v>
      </c>
      <c r="V59" s="12" t="n">
        <v>2216</v>
      </c>
      <c r="W59" s="12" t="n">
        <v>3072</v>
      </c>
      <c r="X59" s="12" t="n">
        <v>4653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106</v>
      </c>
      <c r="D61" s="12" t="n">
        <v>1344</v>
      </c>
      <c r="E61" s="12" t="n">
        <v>-12</v>
      </c>
      <c r="F61" s="12" t="n">
        <v>530</v>
      </c>
      <c r="G61" s="12" t="n">
        <v>487</v>
      </c>
      <c r="H61" s="12" t="n">
        <v>1993</v>
      </c>
      <c r="I61" s="12" t="n">
        <v>704</v>
      </c>
      <c r="J61" s="12" t="n">
        <v>351</v>
      </c>
      <c r="K61" s="12" t="n">
        <v>1278</v>
      </c>
      <c r="L61" s="12" t="n">
        <v>2335</v>
      </c>
      <c r="M61" s="12" t="n">
        <v>-74</v>
      </c>
      <c r="N61" s="12" t="n">
        <v>359</v>
      </c>
      <c r="O61" s="11" t="n">
        <v>978</v>
      </c>
      <c r="P61" s="12" t="n">
        <v>864</v>
      </c>
      <c r="Q61" s="12" t="n">
        <v>754</v>
      </c>
      <c r="R61" s="12" t="n">
        <v>1120</v>
      </c>
      <c r="S61" s="12" t="n">
        <v>329</v>
      </c>
      <c r="T61" s="12" t="n">
        <v>1360</v>
      </c>
      <c r="U61" s="12" t="n">
        <v>1231</v>
      </c>
      <c r="V61" s="12" t="n">
        <v>2197</v>
      </c>
      <c r="W61" s="12" t="n">
        <v>2998</v>
      </c>
      <c r="X61" s="12" t="n">
        <v>4668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5837</v>
      </c>
      <c r="D96" s="12" t="n">
        <v>10837</v>
      </c>
      <c r="E96" s="12" t="n">
        <v>5280</v>
      </c>
      <c r="F96" s="12" t="n">
        <v>9441</v>
      </c>
      <c r="G96" s="12" t="n">
        <v>7498</v>
      </c>
      <c r="H96" s="12" t="n">
        <v>14028</v>
      </c>
      <c r="I96" s="12" t="n">
        <v>6347</v>
      </c>
      <c r="J96" s="12" t="n">
        <v>8422</v>
      </c>
      <c r="K96" s="12" t="n">
        <v>9015</v>
      </c>
      <c r="L96" s="12" t="n">
        <v>13548</v>
      </c>
      <c r="M96" s="12" t="n">
        <v>6119</v>
      </c>
      <c r="N96" s="12" t="n">
        <v>9936</v>
      </c>
      <c r="T96" s="12" t="n">
        <v>10392</v>
      </c>
      <c r="U96" s="12" t="n">
        <v>11498</v>
      </c>
      <c r="V96" s="12" t="n">
        <v>10837</v>
      </c>
      <c r="W96" s="12" t="n">
        <v>14028</v>
      </c>
      <c r="X96" s="12" t="n">
        <v>13548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4905</v>
      </c>
      <c r="D98" s="20" t="n">
        <v>7682</v>
      </c>
      <c r="E98" s="20" t="n">
        <v>4759</v>
      </c>
      <c r="F98" s="20" t="n">
        <v>7521</v>
      </c>
      <c r="G98" s="20" t="n">
        <v>6138</v>
      </c>
      <c r="H98" s="20" t="n">
        <v>10238</v>
      </c>
      <c r="I98" s="20" t="n">
        <v>5464</v>
      </c>
      <c r="J98" s="20" t="n">
        <v>6658</v>
      </c>
      <c r="K98" s="20" t="n">
        <v>7203</v>
      </c>
      <c r="L98" s="20" t="n">
        <v>9893</v>
      </c>
      <c r="M98" s="20" t="n">
        <v>5010</v>
      </c>
      <c r="N98" s="20" t="n">
        <v>7760</v>
      </c>
      <c r="T98" s="20" t="n">
        <v>7691</v>
      </c>
      <c r="U98" s="20" t="n">
        <v>8485</v>
      </c>
      <c r="V98" s="20" t="n">
        <v>7682</v>
      </c>
      <c r="W98" s="20" t="n">
        <v>10238</v>
      </c>
      <c r="X98" s="20" t="n">
        <v>9893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931</v>
      </c>
      <c r="D100" s="12" t="n">
        <v>3156</v>
      </c>
      <c r="E100" s="12" t="n">
        <v>521</v>
      </c>
      <c r="F100" s="12" t="n">
        <v>1919</v>
      </c>
      <c r="G100" s="12" t="n">
        <v>1360</v>
      </c>
      <c r="H100" s="12" t="n">
        <v>3790</v>
      </c>
      <c r="I100" s="12" t="n">
        <v>883</v>
      </c>
      <c r="J100" s="12" t="n">
        <v>1763</v>
      </c>
      <c r="K100" s="12" t="n">
        <v>1813</v>
      </c>
      <c r="L100" s="12" t="n">
        <v>3655</v>
      </c>
      <c r="M100" s="12" t="n">
        <v>1108</v>
      </c>
      <c r="N100" s="12" t="n">
        <v>2177</v>
      </c>
      <c r="T100" s="12" t="n">
        <v>2702</v>
      </c>
      <c r="U100" s="12" t="n">
        <v>3012</v>
      </c>
      <c r="V100" s="12" t="n">
        <v>3156</v>
      </c>
      <c r="W100" s="12" t="n">
        <v>3790</v>
      </c>
      <c r="X100" s="12" t="n">
        <v>3655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1121</v>
      </c>
      <c r="D102" s="20" t="n">
        <v>1238</v>
      </c>
      <c r="E102" s="20" t="n">
        <v>1203</v>
      </c>
      <c r="F102" s="20" t="n">
        <v>1160</v>
      </c>
      <c r="G102" s="20" t="n">
        <v>1163</v>
      </c>
      <c r="H102" s="20" t="n">
        <v>1328</v>
      </c>
      <c r="I102" s="20" t="n">
        <v>1254</v>
      </c>
      <c r="J102" s="20" t="n">
        <v>1229</v>
      </c>
      <c r="K102" s="20" t="n">
        <v>1356</v>
      </c>
      <c r="L102" s="20" t="n">
        <v>1396</v>
      </c>
      <c r="M102" s="20" t="n">
        <v>1317</v>
      </c>
      <c r="N102" s="20" t="n">
        <v>1330</v>
      </c>
      <c r="T102" s="20" t="n">
        <v>1169</v>
      </c>
      <c r="U102" s="20" t="n">
        <v>1134</v>
      </c>
      <c r="V102" s="20" t="n">
        <v>1238</v>
      </c>
      <c r="W102" s="20" t="n">
        <v>1328</v>
      </c>
      <c r="X102" s="20" t="n">
        <v>1396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-189</v>
      </c>
      <c r="D104" s="12" t="n">
        <v>1916</v>
      </c>
      <c r="E104" s="12" t="n">
        <v>-682</v>
      </c>
      <c r="F104" s="12" t="n">
        <v>759</v>
      </c>
      <c r="G104" s="12" t="n">
        <v>197</v>
      </c>
      <c r="H104" s="12" t="n">
        <v>2461</v>
      </c>
      <c r="I104" s="12" t="n">
        <v>-371</v>
      </c>
      <c r="J104" s="12" t="n">
        <v>534</v>
      </c>
      <c r="K104" s="12" t="n">
        <v>456</v>
      </c>
      <c r="L104" s="12" t="n">
        <v>2260</v>
      </c>
      <c r="M104" s="12" t="n">
        <v>-209</v>
      </c>
      <c r="N104" s="12" t="n">
        <v>846</v>
      </c>
      <c r="T104" s="12" t="n">
        <v>1531</v>
      </c>
      <c r="U104" s="12" t="n">
        <v>1877</v>
      </c>
      <c r="V104" s="12" t="n">
        <v>1916</v>
      </c>
      <c r="W104" s="12" t="n">
        <v>2461</v>
      </c>
      <c r="X104" s="12" t="n">
        <v>2260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배당금수익</t>
        </is>
      </c>
      <c r="C107" s="20" t="n">
        <v>94</v>
      </c>
      <c r="D107" s="20" t="n">
        <v>1</v>
      </c>
      <c r="E107" s="20" t="n">
        <v>126</v>
      </c>
      <c r="F107" s="20" t="n">
        <v>3</v>
      </c>
      <c r="G107" s="20" t="n">
        <v>113</v>
      </c>
      <c r="H107" s="20" t="n">
        <v>1</v>
      </c>
      <c r="I107" s="20" t="n">
        <v>143</v>
      </c>
      <c r="J107" s="20" t="n">
        <v>2</v>
      </c>
      <c r="K107" s="20" t="n">
        <v>91</v>
      </c>
      <c r="L107" s="20" t="n">
        <v>0</v>
      </c>
      <c r="M107" s="20" t="n">
        <v>93</v>
      </c>
      <c r="N107" s="20" t="n">
        <v>3</v>
      </c>
      <c r="T107" s="20" t="n">
        <v>1</v>
      </c>
      <c r="U107" s="20" t="n">
        <v>2</v>
      </c>
      <c r="V107" s="20" t="n">
        <v>1</v>
      </c>
      <c r="W107" s="20" t="n">
        <v>1</v>
      </c>
      <c r="X107" s="20" t="n">
        <v>0</v>
      </c>
    </row>
    <row r="108">
      <c r="A108" s="18" t="inlineStr">
        <is>
          <t>기타</t>
        </is>
      </c>
      <c r="C108" s="20" t="n">
        <v>16</v>
      </c>
      <c r="E108" s="20" t="n">
        <v>30</v>
      </c>
      <c r="F108" s="20" t="n">
        <v>26</v>
      </c>
      <c r="G108" s="20" t="n">
        <v>-1</v>
      </c>
      <c r="I108" s="20" t="n">
        <v>14</v>
      </c>
      <c r="J108" s="20" t="n">
        <v>13</v>
      </c>
      <c r="K108" s="20" t="n">
        <v>12</v>
      </c>
      <c r="M108" s="20" t="n">
        <v>36</v>
      </c>
      <c r="N108" s="20" t="n">
        <v>9</v>
      </c>
    </row>
    <row r="109">
      <c r="A109" s="18" t="inlineStr">
        <is>
          <t>영업외수익 합계</t>
        </is>
      </c>
      <c r="C109" s="20" t="n">
        <v>109</v>
      </c>
      <c r="D109" s="20" t="n">
        <v>25</v>
      </c>
      <c r="E109" s="20" t="n">
        <v>156</v>
      </c>
      <c r="F109" s="20" t="n">
        <v>30</v>
      </c>
      <c r="G109" s="20" t="n">
        <v>112</v>
      </c>
      <c r="H109" s="20" t="n">
        <v>50</v>
      </c>
      <c r="I109" s="20" t="n">
        <v>157</v>
      </c>
      <c r="J109" s="20" t="n">
        <v>15</v>
      </c>
      <c r="K109" s="20" t="n">
        <v>104</v>
      </c>
      <c r="L109" s="20" t="n">
        <v>41</v>
      </c>
      <c r="M109" s="20" t="n">
        <v>130</v>
      </c>
      <c r="N109" s="20" t="n">
        <v>29</v>
      </c>
      <c r="T109" s="20" t="n">
        <v>23</v>
      </c>
      <c r="U109" s="20" t="n">
        <v>57</v>
      </c>
      <c r="V109" s="20" t="n">
        <v>25</v>
      </c>
      <c r="W109" s="20" t="n">
        <v>50</v>
      </c>
      <c r="X109" s="20" t="n">
        <v>41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IF(OR(G109="",C109=""),"",IF(G109*C109&lt;=0,"",IFERROR(G109/C109-1,"")))</f>
        <v/>
      </c>
      <c r="H110" s="15">
        <f>IF(OR(H109="",D109=""),"",IF(H109*D109&lt;=0,"",IFERROR(H109/D109-1,"")))</f>
        <v/>
      </c>
      <c r="I110" s="15">
        <f>IF(OR(I109="",E109=""),"",IF(I109*E109&lt;=0,"",IFERROR(I109/E109-1,"")))</f>
        <v/>
      </c>
      <c r="J110" s="15">
        <f>IF(OR(J109="",F109=""),"",IF(J109*F109&lt;=0,"",IFERROR(J109/F109-1,"")))</f>
        <v/>
      </c>
      <c r="K110" s="15">
        <f>IF(OR(K109="",G109=""),"",IF(K109*G109&lt;=0,"",IFERROR(K109/G109-1,"")))</f>
        <v/>
      </c>
      <c r="L110" s="15">
        <f>IF(OR(L109="",H109=""),"",IF(L109*H109&lt;=0,"",IFERROR(L109/H109-1,"")))</f>
        <v/>
      </c>
      <c r="M110" s="15">
        <f>IF(OR(M109="",I109=""),"",IF(M109*I109&lt;=0,"",IFERROR(M109/I109-1,"")))</f>
        <v/>
      </c>
      <c r="N110" s="15">
        <f>IF(OR(N109="",J109=""),"",IF(N109*J109&lt;=0,"",IFERROR(N109/J109-1,"")))</f>
        <v/>
      </c>
      <c r="T110" s="15">
        <f>IF(OR(T109="",S109=""),"",IF(T109*S109&lt;=0,"",IFERROR(T109/S109-1,"")))</f>
        <v/>
      </c>
      <c r="U110" s="15">
        <f>IF(OR(U109="",T109=""),"",IF(U109*T109&lt;=0,"",IFERROR(U109/T109-1,"")))</f>
        <v/>
      </c>
      <c r="V110" s="15">
        <f>IF(OR(V109="",U109=""),"",IF(V109*U109&lt;=0,"",IFERROR(V109/U109-1,"")))</f>
        <v/>
      </c>
      <c r="W110" s="15">
        <f>IF(OR(W109="",V109=""),"",IF(W109*V109&lt;=0,"",IFERROR(W109/V109-1,"")))</f>
        <v/>
      </c>
      <c r="X110" s="15">
        <f>IF(OR(X109="",W109=""),"",IF(X109*W109&lt;=0,"",IFERROR(X109/W109-1,"")))</f>
        <v/>
      </c>
    </row>
    <row r="111">
      <c r="A111" s="18" t="inlineStr">
        <is>
          <t>이자비용</t>
        </is>
      </c>
      <c r="C111" s="20" t="n">
        <v>14</v>
      </c>
      <c r="D111" s="20" t="n">
        <v>15</v>
      </c>
      <c r="E111" s="20" t="n">
        <v>13</v>
      </c>
      <c r="F111" s="20" t="n">
        <v>15</v>
      </c>
      <c r="G111" s="20" t="n">
        <v>15</v>
      </c>
      <c r="H111" s="20" t="n">
        <v>15</v>
      </c>
      <c r="I111" s="20" t="n">
        <v>20</v>
      </c>
      <c r="J111" s="20" t="n">
        <v>19</v>
      </c>
      <c r="K111" s="20" t="n">
        <v>19</v>
      </c>
      <c r="L111" s="20" t="n">
        <v>16</v>
      </c>
      <c r="M111" s="20" t="n">
        <v>19</v>
      </c>
      <c r="N111" s="20" t="n">
        <v>16</v>
      </c>
      <c r="T111" s="20" t="n">
        <v>9</v>
      </c>
      <c r="U111" s="20" t="n">
        <v>10</v>
      </c>
      <c r="V111" s="20" t="n">
        <v>15</v>
      </c>
      <c r="W111" s="20" t="n">
        <v>15</v>
      </c>
      <c r="X111" s="20" t="n">
        <v>16</v>
      </c>
    </row>
    <row r="112">
      <c r="A112" s="18" t="inlineStr">
        <is>
          <t>외환차손</t>
        </is>
      </c>
      <c r="D112" s="20" t="n">
        <v>11</v>
      </c>
      <c r="E112" s="20" t="n">
        <v>0</v>
      </c>
      <c r="F112" s="20" t="n">
        <v>0</v>
      </c>
      <c r="G112" s="20" t="n">
        <v>30</v>
      </c>
      <c r="H112" s="20" t="n">
        <v>-14</v>
      </c>
      <c r="I112" s="20" t="n">
        <v>15</v>
      </c>
      <c r="J112" s="20" t="n">
        <v>16</v>
      </c>
      <c r="K112" s="20" t="n">
        <v>-21</v>
      </c>
      <c r="L112" s="20" t="n">
        <v>-10</v>
      </c>
      <c r="M112" s="20" t="n">
        <v>0</v>
      </c>
      <c r="N112" s="20" t="n">
        <v>0</v>
      </c>
      <c r="T112" s="20" t="n">
        <v>0</v>
      </c>
      <c r="U112" s="20" t="n">
        <v>0</v>
      </c>
      <c r="V112" s="20" t="n">
        <v>11</v>
      </c>
      <c r="W112" s="20" t="n">
        <v>-14</v>
      </c>
      <c r="X112" s="20" t="n">
        <v>-10</v>
      </c>
    </row>
    <row r="113">
      <c r="A113" s="18" t="inlineStr">
        <is>
          <t>기타</t>
        </is>
      </c>
      <c r="C113" s="20" t="n">
        <v>-9</v>
      </c>
      <c r="E113" s="20" t="n">
        <v>2</v>
      </c>
      <c r="F113" s="20" t="n">
        <v>0</v>
      </c>
      <c r="G113" s="20" t="n">
        <v>3</v>
      </c>
      <c r="I113" s="20" t="n">
        <v>2</v>
      </c>
      <c r="J113" s="20" t="n">
        <v>2</v>
      </c>
      <c r="K113" s="20" t="n">
        <v>5</v>
      </c>
      <c r="M113" s="20" t="n">
        <v>9</v>
      </c>
      <c r="N113" s="20" t="n">
        <v>0</v>
      </c>
    </row>
    <row r="114">
      <c r="A114" s="18" t="inlineStr">
        <is>
          <t>영업외비용 합계</t>
        </is>
      </c>
      <c r="C114" s="20" t="n">
        <v>8</v>
      </c>
      <c r="D114" s="20" t="n">
        <v>33</v>
      </c>
      <c r="E114" s="20" t="n">
        <v>16</v>
      </c>
      <c r="F114" s="20" t="n">
        <v>15</v>
      </c>
      <c r="G114" s="20" t="n">
        <v>49</v>
      </c>
      <c r="H114" s="20" t="n">
        <v>0</v>
      </c>
      <c r="I114" s="20" t="n">
        <v>38</v>
      </c>
      <c r="J114" s="20" t="n">
        <v>36</v>
      </c>
      <c r="K114" s="20" t="n">
        <v>4</v>
      </c>
      <c r="L114" s="20" t="n">
        <v>7</v>
      </c>
      <c r="M114" s="20" t="n">
        <v>29</v>
      </c>
      <c r="N114" s="20" t="n">
        <v>16</v>
      </c>
      <c r="T114" s="20" t="n">
        <v>12</v>
      </c>
      <c r="U114" s="20" t="n">
        <v>10</v>
      </c>
      <c r="V114" s="20" t="n">
        <v>33</v>
      </c>
      <c r="W114" s="20" t="n">
        <v>0</v>
      </c>
      <c r="X114" s="20" t="n">
        <v>7</v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IF(OR(G114="",C114=""),"",IF(G114*C114&lt;=0,"",IFERROR(G114/C114-1,"")))</f>
        <v/>
      </c>
      <c r="H115" s="15">
        <f>IF(OR(H114="",D114=""),"",IF(H114*D114&lt;=0,"",IFERROR(H114/D114-1,"")))</f>
        <v/>
      </c>
      <c r="I115" s="15">
        <f>IF(OR(I114="",E114=""),"",IF(I114*E114&lt;=0,"",IFERROR(I114/E114-1,"")))</f>
        <v/>
      </c>
      <c r="J115" s="15">
        <f>IF(OR(J114="",F114=""),"",IF(J114*F114&lt;=0,"",IFERROR(J114/F114-1,"")))</f>
        <v/>
      </c>
      <c r="K115" s="15">
        <f>IF(OR(K114="",G114=""),"",IF(K114*G114&lt;=0,"",IFERROR(K114/G114-1,"")))</f>
        <v/>
      </c>
      <c r="L115" s="15">
        <f>IF(OR(L114="",H114=""),"",IF(L114*H114&lt;=0,"",IFERROR(L114/H114-1,"")))</f>
        <v/>
      </c>
      <c r="M115" s="15">
        <f>IF(OR(M114="",I114=""),"",IF(M114*I114&lt;=0,"",IFERROR(M114/I114-1,"")))</f>
        <v/>
      </c>
      <c r="N115" s="15">
        <f>IF(OR(N114="",J114=""),"",IF(N114*J114&lt;=0,"",IFERROR(N114/J114-1,"")))</f>
        <v/>
      </c>
      <c r="T115" s="15">
        <f>IF(OR(T114="",S114=""),"",IF(T114*S114&lt;=0,"",IFERROR(T114/S114-1,"")))</f>
        <v/>
      </c>
      <c r="U115" s="15">
        <f>IF(OR(U114="",T114=""),"",IF(U114*T114&lt;=0,"",IFERROR(U114/T114-1,"")))</f>
        <v/>
      </c>
      <c r="V115" s="15">
        <f>IF(OR(V114="",U114=""),"",IF(V114*U114&lt;=0,"",IFERROR(V114/U114-1,"")))</f>
        <v/>
      </c>
      <c r="W115" s="15">
        <f>IF(OR(W114="",V114=""),"",IF(W114*V114&lt;=0,"",IFERROR(W114/V114-1,"")))</f>
        <v/>
      </c>
      <c r="X115" s="15">
        <f>IF(OR(X114="",W114=""),"",IF(X114*W114&lt;=0,"",IFERROR(X114/W114-1,"")))</f>
        <v/>
      </c>
    </row>
    <row r="116">
      <c r="A116" s="9" t="inlineStr">
        <is>
          <t>경상이익</t>
        </is>
      </c>
      <c r="C116" s="12" t="n">
        <v>-89</v>
      </c>
      <c r="D116" s="12" t="n">
        <v>1908</v>
      </c>
      <c r="E116" s="12" t="n">
        <v>-541</v>
      </c>
      <c r="F116" s="12" t="n">
        <v>773</v>
      </c>
      <c r="G116" s="12" t="n">
        <v>260</v>
      </c>
      <c r="H116" s="12" t="n">
        <v>2511</v>
      </c>
      <c r="I116" s="12" t="n">
        <v>-252</v>
      </c>
      <c r="J116" s="12" t="n">
        <v>513</v>
      </c>
      <c r="K116" s="12" t="n">
        <v>555</v>
      </c>
      <c r="L116" s="12" t="n">
        <v>2294</v>
      </c>
      <c r="M116" s="12" t="n">
        <v>-108</v>
      </c>
      <c r="N116" s="12" t="n">
        <v>859</v>
      </c>
      <c r="T116" s="12" t="n">
        <v>1542</v>
      </c>
      <c r="U116" s="12" t="n">
        <v>1925</v>
      </c>
      <c r="V116" s="12" t="n">
        <v>1908</v>
      </c>
      <c r="W116" s="12" t="n">
        <v>2511</v>
      </c>
      <c r="X116" s="12" t="n">
        <v>2294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투자유가증권 매각이익</t>
        </is>
      </c>
      <c r="C118" s="20" t="n">
        <v>19</v>
      </c>
      <c r="D118" s="20" t="n">
        <v>0</v>
      </c>
      <c r="E118" s="20" t="n">
        <v>592</v>
      </c>
      <c r="F118" s="20" t="n">
        <v>0</v>
      </c>
      <c r="G118" s="20" t="n">
        <v>444</v>
      </c>
      <c r="H118" s="20" t="n">
        <v>147</v>
      </c>
      <c r="I118" s="20" t="n">
        <v>1284</v>
      </c>
      <c r="J118" s="20" t="n">
        <v>0</v>
      </c>
      <c r="K118" s="20" t="n">
        <v>1361</v>
      </c>
      <c r="L118" s="20" t="n">
        <v>670</v>
      </c>
      <c r="M118" s="20" t="n">
        <v>0</v>
      </c>
      <c r="N118" s="20" t="n">
        <v>0</v>
      </c>
      <c r="T118" s="20" t="n">
        <v>115</v>
      </c>
      <c r="U118" s="20" t="n">
        <v>3</v>
      </c>
      <c r="V118" s="20" t="n">
        <v>0</v>
      </c>
      <c r="W118" s="20" t="n">
        <v>147</v>
      </c>
      <c r="X118" s="20" t="n">
        <v>670</v>
      </c>
    </row>
    <row r="119">
      <c r="A119" s="18" t="inlineStr">
        <is>
          <t>고정자산 매각이익</t>
        </is>
      </c>
      <c r="C119" s="20" t="n">
        <v>199</v>
      </c>
      <c r="D119" s="20" t="n">
        <v>0</v>
      </c>
      <c r="H119" s="20" t="n">
        <v>0</v>
      </c>
      <c r="T119" s="20" t="n">
        <v>0</v>
      </c>
      <c r="U119" s="20" t="n">
        <v>0</v>
      </c>
      <c r="V119" s="20" t="n">
        <v>0</v>
      </c>
      <c r="W119" s="20" t="n">
        <v>0</v>
      </c>
    </row>
    <row r="120">
      <c r="A120" s="18" t="inlineStr">
        <is>
          <t>사업 양도 이익</t>
        </is>
      </c>
      <c r="D120" s="20" t="n">
        <v>0</v>
      </c>
      <c r="H120" s="20" t="n">
        <v>0</v>
      </c>
      <c r="U120" s="20" t="n">
        <v>0</v>
      </c>
      <c r="V120" s="20" t="n">
        <v>0</v>
      </c>
      <c r="W120" s="20" t="n">
        <v>0</v>
      </c>
    </row>
    <row r="121">
      <c r="A121" s="18" t="inlineStr">
        <is>
          <t>특별이익 합계</t>
        </is>
      </c>
      <c r="C121" s="20" t="n">
        <v>278</v>
      </c>
      <c r="D121" s="20" t="n">
        <v>0</v>
      </c>
      <c r="E121" s="20" t="n">
        <v>592</v>
      </c>
      <c r="F121" s="20" t="n">
        <v>0</v>
      </c>
      <c r="G121" s="20" t="n">
        <v>444</v>
      </c>
      <c r="H121" s="20" t="n">
        <v>197</v>
      </c>
      <c r="I121" s="20" t="n">
        <v>1284</v>
      </c>
      <c r="J121" s="20" t="n">
        <v>0</v>
      </c>
      <c r="K121" s="20" t="n">
        <v>1361</v>
      </c>
      <c r="L121" s="20" t="n">
        <v>670</v>
      </c>
      <c r="M121" s="20" t="n">
        <v>0</v>
      </c>
      <c r="N121" s="20" t="n">
        <v>0</v>
      </c>
      <c r="T121" s="20" t="n">
        <v>115</v>
      </c>
      <c r="U121" s="20" t="n">
        <v>2</v>
      </c>
      <c r="V121" s="20" t="n">
        <v>0</v>
      </c>
      <c r="W121" s="20" t="n">
        <v>197</v>
      </c>
      <c r="X121" s="20" t="n">
        <v>670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18" t="inlineStr">
        <is>
          <t>투자유가증권 매각손실</t>
        </is>
      </c>
      <c r="T123" s="20" t="n">
        <v>0</v>
      </c>
      <c r="U123" s="20" t="n">
        <v>0</v>
      </c>
    </row>
    <row r="124">
      <c r="A124" s="18" t="inlineStr">
        <is>
          <t>특별손실 합계</t>
        </is>
      </c>
      <c r="T124" s="20" t="n">
        <v>0</v>
      </c>
      <c r="U124" s="20" t="n">
        <v>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</row>
    <row r="126">
      <c r="A126" s="9" t="inlineStr">
        <is>
          <t>법인세차감전 순이익</t>
        </is>
      </c>
      <c r="C126" s="12" t="n">
        <v>189</v>
      </c>
      <c r="D126" s="12" t="n">
        <v>1903</v>
      </c>
      <c r="E126" s="12" t="n">
        <v>50</v>
      </c>
      <c r="F126" s="12" t="n">
        <v>775</v>
      </c>
      <c r="G126" s="12" t="n">
        <v>704</v>
      </c>
      <c r="H126" s="12" t="n">
        <v>2693</v>
      </c>
      <c r="I126" s="12" t="n">
        <v>1032</v>
      </c>
      <c r="J126" s="12" t="n">
        <v>514</v>
      </c>
      <c r="K126" s="12" t="n">
        <v>1915</v>
      </c>
      <c r="L126" s="12" t="n">
        <v>2965</v>
      </c>
      <c r="M126" s="12" t="n">
        <v>-108</v>
      </c>
      <c r="N126" s="12" t="n">
        <v>509</v>
      </c>
      <c r="T126" s="12" t="n">
        <v>1659</v>
      </c>
      <c r="U126" s="12" t="n">
        <v>1918</v>
      </c>
      <c r="V126" s="12" t="n">
        <v>1903</v>
      </c>
      <c r="W126" s="12" t="n">
        <v>2693</v>
      </c>
      <c r="X126" s="12" t="n">
        <v>2965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법인세 등</t>
        </is>
      </c>
      <c r="C128" s="20" t="n">
        <v>88</v>
      </c>
      <c r="D128" s="20" t="n">
        <v>511</v>
      </c>
      <c r="E128" s="20" t="n">
        <v>60</v>
      </c>
      <c r="F128" s="20" t="n">
        <v>229</v>
      </c>
      <c r="G128" s="20" t="n">
        <v>201</v>
      </c>
      <c r="H128" s="20" t="n">
        <v>660</v>
      </c>
      <c r="I128" s="20" t="n">
        <v>358</v>
      </c>
      <c r="J128" s="20" t="n">
        <v>181</v>
      </c>
      <c r="K128" s="20" t="n">
        <v>597</v>
      </c>
      <c r="L128" s="20" t="n">
        <v>636</v>
      </c>
      <c r="M128" s="20" t="n">
        <v>-19</v>
      </c>
      <c r="N128" s="20" t="n">
        <v>175</v>
      </c>
      <c r="T128" s="20" t="n">
        <v>98</v>
      </c>
      <c r="U128" s="20" t="n">
        <v>477</v>
      </c>
      <c r="V128" s="20" t="n">
        <v>511</v>
      </c>
      <c r="W128" s="20" t="n">
        <v>660</v>
      </c>
      <c r="X128" s="20" t="n">
        <v>636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9" t="inlineStr">
        <is>
          <t>순이익</t>
        </is>
      </c>
      <c r="C130" s="12" t="n">
        <v>101</v>
      </c>
      <c r="D130" s="12" t="n">
        <v>1391</v>
      </c>
      <c r="E130" s="12" t="n">
        <v>-9</v>
      </c>
      <c r="F130" s="12" t="n">
        <v>544</v>
      </c>
      <c r="G130" s="12" t="n">
        <v>504</v>
      </c>
      <c r="H130" s="12" t="n">
        <v>2033</v>
      </c>
      <c r="I130" s="12" t="n">
        <v>673</v>
      </c>
      <c r="J130" s="12" t="n">
        <v>333</v>
      </c>
      <c r="K130" s="12" t="n">
        <v>1319</v>
      </c>
      <c r="L130" s="12" t="n">
        <v>2328</v>
      </c>
      <c r="M130" s="12" t="n">
        <v>-88</v>
      </c>
      <c r="N130" s="12" t="n">
        <v>332</v>
      </c>
      <c r="T130" s="12" t="n">
        <v>1560</v>
      </c>
      <c r="U130" s="12" t="n">
        <v>1439</v>
      </c>
      <c r="V130" s="12" t="n">
        <v>1391</v>
      </c>
      <c r="W130" s="12" t="n">
        <v>2033</v>
      </c>
      <c r="X130" s="12" t="n">
        <v>2328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9" t="inlineStr">
        <is>
          <t>비지배주주 당기순손실</t>
        </is>
      </c>
      <c r="C132" s="12" t="n">
        <v>-5</v>
      </c>
      <c r="D132" s="12" t="n">
        <v>46</v>
      </c>
      <c r="E132" s="12" t="n">
        <v>2</v>
      </c>
      <c r="F132" s="12" t="n">
        <v>15</v>
      </c>
      <c r="G132" s="12" t="n">
        <v>16</v>
      </c>
      <c r="H132" s="12" t="n">
        <v>41</v>
      </c>
      <c r="I132" s="12" t="n">
        <v>-31</v>
      </c>
      <c r="J132" s="12" t="n">
        <v>-17</v>
      </c>
      <c r="K132" s="12" t="n">
        <v>40</v>
      </c>
      <c r="L132" s="12" t="n">
        <v>-6</v>
      </c>
      <c r="M132" s="12" t="n">
        <v>-13</v>
      </c>
      <c r="N132" s="12" t="n">
        <v>-28</v>
      </c>
      <c r="T132" s="12" t="n">
        <v>61</v>
      </c>
      <c r="U132" s="12" t="n">
        <v>88</v>
      </c>
      <c r="V132" s="12" t="n">
        <v>46</v>
      </c>
      <c r="W132" s="12" t="n">
        <v>41</v>
      </c>
      <c r="X132" s="12" t="n">
        <v>-6</v>
      </c>
    </row>
    <row r="133">
      <c r="A133" s="9" t="inlineStr">
        <is>
          <t>지배주주 순이익</t>
        </is>
      </c>
      <c r="C133" s="12" t="n">
        <v>106</v>
      </c>
      <c r="D133" s="12" t="n">
        <v>1344</v>
      </c>
      <c r="E133" s="12" t="n">
        <v>-12</v>
      </c>
      <c r="F133" s="12" t="n">
        <v>530</v>
      </c>
      <c r="G133" s="12" t="n">
        <v>487</v>
      </c>
      <c r="H133" s="12" t="n">
        <v>1993</v>
      </c>
      <c r="I133" s="12" t="n">
        <v>704</v>
      </c>
      <c r="J133" s="12" t="n">
        <v>351</v>
      </c>
      <c r="K133" s="12" t="n">
        <v>1278</v>
      </c>
      <c r="L133" s="12" t="n">
        <v>2335</v>
      </c>
      <c r="M133" s="12" t="n">
        <v>-74</v>
      </c>
      <c r="N133" s="12" t="n">
        <v>359</v>
      </c>
      <c r="T133" s="12" t="n">
        <v>1499</v>
      </c>
      <c r="U133" s="12" t="n">
        <v>1351</v>
      </c>
      <c r="V133" s="12" t="n">
        <v>1344</v>
      </c>
      <c r="W133" s="12" t="n">
        <v>1993</v>
      </c>
      <c r="X133" s="12" t="n">
        <v>2335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6">
      <c r="A136" s="16" t="inlineStr">
        <is>
          <t>포괄손익 · 전 항목</t>
        </is>
      </c>
      <c r="B136" s="42" t="inlineStr">
        <is>
          <t>분기 = 3개월 단독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2024.3Q</t>
        </is>
      </c>
      <c r="D137" s="5" t="inlineStr">
        <is>
          <t>2024.4Q</t>
        </is>
      </c>
      <c r="E137" s="5" t="inlineStr">
        <is>
          <t>2025.1Q</t>
        </is>
      </c>
      <c r="F137" s="5" t="inlineStr">
        <is>
          <t>2025.2Q</t>
        </is>
      </c>
      <c r="G137" s="5" t="inlineStr">
        <is>
          <t>2025.3Q</t>
        </is>
      </c>
      <c r="H137" s="5" t="inlineStr">
        <is>
          <t>2025.4Q</t>
        </is>
      </c>
      <c r="I137" s="5" t="inlineStr">
        <is>
          <t>2026.1Q</t>
        </is>
      </c>
      <c r="J137" s="5" t="inlineStr">
        <is>
          <t>2026.2Q</t>
        </is>
      </c>
      <c r="K137" s="5" t="inlineStr">
        <is>
          <t>2026.3Q</t>
        </is>
      </c>
      <c r="L137" s="5" t="inlineStr">
        <is>
          <t>2026.4Q</t>
        </is>
      </c>
      <c r="M137" s="5" t="inlineStr">
        <is>
          <t>2027.1Q</t>
        </is>
      </c>
      <c r="N137" s="5" t="inlineStr">
        <is>
          <t>2027.2Q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순이익</t>
        </is>
      </c>
      <c r="C138" s="12" t="n">
        <v>101</v>
      </c>
      <c r="D138" s="12" t="n">
        <v>1391</v>
      </c>
      <c r="E138" s="12" t="n">
        <v>-9</v>
      </c>
      <c r="F138" s="12" t="n">
        <v>544</v>
      </c>
      <c r="G138" s="12" t="n">
        <v>504</v>
      </c>
      <c r="H138" s="12" t="n">
        <v>2033</v>
      </c>
      <c r="I138" s="12" t="n">
        <v>673</v>
      </c>
      <c r="J138" s="12" t="n">
        <v>333</v>
      </c>
      <c r="K138" s="12" t="n">
        <v>1319</v>
      </c>
      <c r="L138" s="12" t="n">
        <v>2328</v>
      </c>
      <c r="M138" s="12" t="n">
        <v>-88</v>
      </c>
      <c r="N138" s="12" t="n">
        <v>332</v>
      </c>
      <c r="T138" s="12" t="n">
        <v>1560</v>
      </c>
      <c r="U138" s="12" t="n">
        <v>1439</v>
      </c>
      <c r="V138" s="12" t="n">
        <v>1391</v>
      </c>
      <c r="W138" s="12" t="n">
        <v>2033</v>
      </c>
      <c r="X138" s="12" t="n">
        <v>2328</v>
      </c>
    </row>
    <row r="139">
      <c r="A139" s="18" t="inlineStr">
        <is>
          <t>기타유가증권 평가차액</t>
        </is>
      </c>
      <c r="C139" s="20" t="n">
        <v>-147</v>
      </c>
      <c r="D139" s="20" t="n">
        <v>1430</v>
      </c>
      <c r="E139" s="20" t="n">
        <v>-532</v>
      </c>
      <c r="F139" s="20" t="n">
        <v>-497</v>
      </c>
      <c r="G139" s="20" t="n">
        <v>-256</v>
      </c>
      <c r="H139" s="20" t="n">
        <v>-41</v>
      </c>
      <c r="I139" s="20" t="n">
        <v>-529</v>
      </c>
      <c r="J139" s="20" t="n">
        <v>789</v>
      </c>
      <c r="K139" s="20" t="n">
        <v>-581</v>
      </c>
      <c r="L139" s="20" t="n">
        <v>-242</v>
      </c>
      <c r="M139" s="20" t="n">
        <v>358</v>
      </c>
      <c r="N139" s="20" t="n">
        <v>367</v>
      </c>
      <c r="T139" s="20" t="n">
        <v>306</v>
      </c>
      <c r="U139" s="20" t="n">
        <v>335</v>
      </c>
      <c r="V139" s="20" t="n">
        <v>1430</v>
      </c>
      <c r="W139" s="20" t="n">
        <v>-41</v>
      </c>
      <c r="X139" s="20" t="n">
        <v>-242</v>
      </c>
    </row>
    <row r="140">
      <c r="A140" s="18" t="inlineStr">
        <is>
          <t>이연헤지손익</t>
        </is>
      </c>
      <c r="C140" s="20" t="n">
        <v>-15</v>
      </c>
      <c r="D140" s="20" t="n">
        <v>23</v>
      </c>
      <c r="E140" s="20" t="n">
        <v>45</v>
      </c>
      <c r="F140" s="20" t="n">
        <v>-76</v>
      </c>
      <c r="G140" s="20" t="n">
        <v>26</v>
      </c>
      <c r="H140" s="20" t="n">
        <v>-19</v>
      </c>
      <c r="I140" s="20" t="n">
        <v>-26</v>
      </c>
      <c r="J140" s="20" t="n">
        <v>41</v>
      </c>
      <c r="K140" s="20" t="n">
        <v>55</v>
      </c>
      <c r="L140" s="20" t="n">
        <v>4</v>
      </c>
      <c r="M140" s="20" t="n">
        <v>23</v>
      </c>
      <c r="N140" s="20" t="n">
        <v>-88</v>
      </c>
      <c r="T140" s="20" t="n">
        <v>-2</v>
      </c>
      <c r="U140" s="20" t="n">
        <v>-14</v>
      </c>
      <c r="V140" s="20" t="n">
        <v>23</v>
      </c>
      <c r="W140" s="20" t="n">
        <v>-19</v>
      </c>
      <c r="X140" s="20" t="n">
        <v>4</v>
      </c>
    </row>
    <row r="141">
      <c r="A141" s="18" t="inlineStr">
        <is>
          <t>해외사업환산조정</t>
        </is>
      </c>
      <c r="C141" s="20" t="n">
        <v>9</v>
      </c>
      <c r="D141" s="20" t="n">
        <v>-9</v>
      </c>
      <c r="E141" s="20" t="n">
        <v>32</v>
      </c>
      <c r="F141" s="20" t="n">
        <v>36</v>
      </c>
      <c r="G141" s="20" t="n">
        <v>-64</v>
      </c>
      <c r="H141" s="20" t="n">
        <v>53</v>
      </c>
      <c r="I141" s="20" t="n">
        <v>-71</v>
      </c>
      <c r="J141" s="20" t="n">
        <v>35</v>
      </c>
      <c r="K141" s="20" t="n">
        <v>26</v>
      </c>
      <c r="L141" s="20" t="n">
        <v>70</v>
      </c>
      <c r="M141" s="20" t="n">
        <v>-1</v>
      </c>
      <c r="N141" s="20" t="n">
        <v>11</v>
      </c>
      <c r="T141" s="20" t="n">
        <v>18</v>
      </c>
      <c r="U141" s="20" t="n">
        <v>-40</v>
      </c>
      <c r="V141" s="20" t="n">
        <v>-9</v>
      </c>
      <c r="W141" s="20" t="n">
        <v>53</v>
      </c>
      <c r="X141" s="20" t="n">
        <v>70</v>
      </c>
    </row>
    <row r="142">
      <c r="A142" s="18" t="inlineStr">
        <is>
          <t>퇴직급여 조정액</t>
        </is>
      </c>
      <c r="C142" s="20" t="n">
        <v>2</v>
      </c>
      <c r="D142" s="20" t="n">
        <v>243</v>
      </c>
      <c r="E142" s="20" t="n">
        <v>-17</v>
      </c>
      <c r="F142" s="20" t="n">
        <v>-17</v>
      </c>
      <c r="G142" s="20" t="n">
        <v>-17</v>
      </c>
      <c r="H142" s="20" t="n">
        <v>33</v>
      </c>
      <c r="I142" s="20" t="n">
        <v>-9</v>
      </c>
      <c r="J142" s="20" t="n">
        <v>-9</v>
      </c>
      <c r="K142" s="20" t="n">
        <v>-10</v>
      </c>
      <c r="L142" s="20" t="n">
        <v>179</v>
      </c>
      <c r="M142" s="20" t="n">
        <v>-8</v>
      </c>
      <c r="N142" s="20" t="n">
        <v>-8</v>
      </c>
      <c r="T142" s="20" t="n">
        <v>3</v>
      </c>
      <c r="U142" s="20" t="n">
        <v>-87</v>
      </c>
      <c r="V142" s="20" t="n">
        <v>243</v>
      </c>
      <c r="W142" s="20" t="n">
        <v>33</v>
      </c>
      <c r="X142" s="20" t="n">
        <v>179</v>
      </c>
    </row>
    <row r="143">
      <c r="A143" s="18" t="inlineStr">
        <is>
          <t>기타포괄손익 합계</t>
        </is>
      </c>
      <c r="C143" s="20" t="n">
        <v>-151</v>
      </c>
      <c r="D143" s="20" t="n">
        <v>1686</v>
      </c>
      <c r="E143" s="20" t="n">
        <v>-471</v>
      </c>
      <c r="F143" s="20" t="n">
        <v>-555</v>
      </c>
      <c r="G143" s="20" t="n">
        <v>-312</v>
      </c>
      <c r="H143" s="20" t="n">
        <v>27</v>
      </c>
      <c r="I143" s="20" t="n">
        <v>-637</v>
      </c>
      <c r="J143" s="20" t="n">
        <v>857</v>
      </c>
      <c r="K143" s="20" t="n">
        <v>-508</v>
      </c>
      <c r="L143" s="20" t="n">
        <v>11</v>
      </c>
      <c r="M143" s="20" t="n">
        <v>371</v>
      </c>
      <c r="N143" s="20" t="n">
        <v>283</v>
      </c>
      <c r="T143" s="20" t="n">
        <v>324</v>
      </c>
      <c r="U143" s="20" t="n">
        <v>193</v>
      </c>
      <c r="V143" s="20" t="n">
        <v>1686</v>
      </c>
      <c r="W143" s="20" t="n">
        <v>27</v>
      </c>
      <c r="X143" s="20" t="n">
        <v>11</v>
      </c>
    </row>
    <row r="144">
      <c r="A144" s="9" t="inlineStr">
        <is>
          <t>포괄이익</t>
        </is>
      </c>
      <c r="C144" s="12" t="n">
        <v>-50</v>
      </c>
      <c r="D144" s="12" t="n">
        <v>3077</v>
      </c>
      <c r="E144" s="12" t="n">
        <v>-481</v>
      </c>
      <c r="F144" s="12" t="n">
        <v>-9</v>
      </c>
      <c r="G144" s="12" t="n">
        <v>192</v>
      </c>
      <c r="H144" s="12" t="n">
        <v>2059</v>
      </c>
      <c r="I144" s="12" t="n">
        <v>36</v>
      </c>
      <c r="J144" s="12" t="n">
        <v>1191</v>
      </c>
      <c r="K144" s="12" t="n">
        <v>809</v>
      </c>
      <c r="L144" s="12" t="n">
        <v>2339</v>
      </c>
      <c r="M144" s="12" t="n">
        <v>283</v>
      </c>
      <c r="N144" s="12" t="n">
        <v>615</v>
      </c>
      <c r="T144" s="12" t="n">
        <v>1884</v>
      </c>
      <c r="U144" s="12" t="n">
        <v>1632</v>
      </c>
      <c r="V144" s="12" t="n">
        <v>3077</v>
      </c>
      <c r="W144" s="12" t="n">
        <v>2059</v>
      </c>
      <c r="X144" s="12" t="n">
        <v>2339</v>
      </c>
    </row>
    <row r="145">
      <c r="A145" s="9" t="inlineStr">
        <is>
          <t>지배주주 포괄이익</t>
        </is>
      </c>
      <c r="C145" s="12" t="n">
        <v>-47</v>
      </c>
      <c r="D145" s="12" t="n">
        <v>3030</v>
      </c>
      <c r="E145" s="12" t="n">
        <v>-487</v>
      </c>
      <c r="F145" s="12" t="n">
        <v>-35</v>
      </c>
      <c r="G145" s="12" t="n">
        <v>179</v>
      </c>
      <c r="H145" s="12" t="n">
        <v>2007</v>
      </c>
      <c r="I145" s="12" t="n">
        <v>81</v>
      </c>
      <c r="J145" s="12" t="n">
        <v>1210</v>
      </c>
      <c r="K145" s="12" t="n">
        <v>758</v>
      </c>
      <c r="L145" s="12" t="n">
        <v>2326</v>
      </c>
      <c r="M145" s="12" t="n">
        <v>299</v>
      </c>
      <c r="N145" s="12" t="n">
        <v>642</v>
      </c>
      <c r="T145" s="12" t="n">
        <v>1820</v>
      </c>
      <c r="U145" s="12" t="n">
        <v>1549</v>
      </c>
      <c r="V145" s="12" t="n">
        <v>3030</v>
      </c>
      <c r="W145" s="12" t="n">
        <v>2007</v>
      </c>
      <c r="X145" s="12" t="n">
        <v>2326</v>
      </c>
    </row>
    <row r="146">
      <c r="A146" s="9" t="inlineStr">
        <is>
          <t>비지배주주 포괄이익</t>
        </is>
      </c>
      <c r="C146" s="12" t="n">
        <v>-2</v>
      </c>
      <c r="D146" s="12" t="n">
        <v>46</v>
      </c>
      <c r="E146" s="12" t="n">
        <v>6</v>
      </c>
      <c r="F146" s="12" t="n">
        <v>25</v>
      </c>
      <c r="G146" s="12" t="n">
        <v>13</v>
      </c>
      <c r="H146" s="12" t="n">
        <v>52</v>
      </c>
      <c r="I146" s="12" t="n">
        <v>-45</v>
      </c>
      <c r="J146" s="12" t="n">
        <v>-19</v>
      </c>
      <c r="K146" s="12" t="n">
        <v>51</v>
      </c>
      <c r="L146" s="12" t="n">
        <v>13</v>
      </c>
      <c r="M146" s="12" t="n">
        <v>-16</v>
      </c>
      <c r="N146" s="12" t="n">
        <v>-26</v>
      </c>
      <c r="T146" s="12" t="n">
        <v>63</v>
      </c>
      <c r="U146" s="12" t="n">
        <v>83</v>
      </c>
      <c r="V146" s="12" t="n">
        <v>46</v>
      </c>
      <c r="W146" s="12" t="n">
        <v>52</v>
      </c>
      <c r="X146" s="12" t="n">
        <v>13</v>
      </c>
    </row>
    <row r="148">
      <c r="A148" s="16" t="inlineStr">
        <is>
          <t>부문 · 전 항목</t>
        </is>
      </c>
      <c r="B148" s="42" t="inlineStr">
        <is>
          <t>부문 · 항목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2024.3Q</t>
        </is>
      </c>
      <c r="D149" s="5" t="inlineStr">
        <is>
          <t>2024.4Q</t>
        </is>
      </c>
      <c r="E149" s="5" t="inlineStr">
        <is>
          <t>2025.1Q</t>
        </is>
      </c>
      <c r="F149" s="5" t="inlineStr">
        <is>
          <t>2025.2Q</t>
        </is>
      </c>
      <c r="G149" s="5" t="inlineStr">
        <is>
          <t>2025.3Q</t>
        </is>
      </c>
      <c r="H149" s="5" t="inlineStr">
        <is>
          <t>2025.4Q</t>
        </is>
      </c>
      <c r="I149" s="5" t="inlineStr">
        <is>
          <t>2026.1Q</t>
        </is>
      </c>
      <c r="J149" s="5" t="inlineStr">
        <is>
          <t>2026.2Q</t>
        </is>
      </c>
      <c r="K149" s="5" t="inlineStr">
        <is>
          <t>2026.3Q</t>
        </is>
      </c>
      <c r="L149" s="5" t="inlineStr">
        <is>
          <t>2026.4Q</t>
        </is>
      </c>
      <c r="M149" s="5" t="inlineStr">
        <is>
          <t>2027.1Q</t>
        </is>
      </c>
      <c r="N149" s="5" t="inlineStr">
        <is>
          <t>2027.2Q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18" t="inlineStr">
        <is>
          <t>HeatTreatmentBusinessReportableSegmentMember · 매출액</t>
        </is>
      </c>
      <c r="C150" s="20" t="n">
        <v>2990</v>
      </c>
      <c r="D150" s="20" t="n">
        <v>5780</v>
      </c>
      <c r="E150" s="20" t="n">
        <v>3041</v>
      </c>
      <c r="F150" s="20" t="n">
        <v>4464</v>
      </c>
      <c r="G150" s="20" t="n">
        <v>4461</v>
      </c>
      <c r="H150" s="20" t="n">
        <v>6624</v>
      </c>
      <c r="I150" s="20" t="n">
        <v>3729</v>
      </c>
      <c r="J150" s="20" t="n">
        <v>4116</v>
      </c>
      <c r="K150" s="20" t="n">
        <v>4624</v>
      </c>
      <c r="L150" s="20" t="n">
        <v>5838</v>
      </c>
      <c r="M150" s="20" t="n">
        <v>2510</v>
      </c>
      <c r="N150" s="20" t="n">
        <v>4324</v>
      </c>
      <c r="V150" s="20" t="n">
        <v>5780</v>
      </c>
      <c r="W150" s="20" t="n">
        <v>6624</v>
      </c>
      <c r="X150" s="20" t="n">
        <v>5838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PlantBusinessReportableSegmentMember · 매출액</t>
        </is>
      </c>
      <c r="C152" s="20" t="n">
        <v>2422</v>
      </c>
      <c r="D152" s="20" t="n">
        <v>2641</v>
      </c>
      <c r="E152" s="20" t="n">
        <v>1525</v>
      </c>
      <c r="F152" s="20" t="n">
        <v>2919</v>
      </c>
      <c r="G152" s="20" t="n">
        <v>2249</v>
      </c>
      <c r="H152" s="20" t="n">
        <v>4829</v>
      </c>
      <c r="I152" s="20" t="n">
        <v>2009</v>
      </c>
      <c r="J152" s="20" t="n">
        <v>3286</v>
      </c>
      <c r="K152" s="20" t="n">
        <v>3207</v>
      </c>
      <c r="L152" s="20" t="n">
        <v>5326</v>
      </c>
      <c r="M152" s="20" t="n">
        <v>3045</v>
      </c>
      <c r="N152" s="20" t="n">
        <v>4759</v>
      </c>
      <c r="V152" s="20" t="n">
        <v>2641</v>
      </c>
      <c r="W152" s="20" t="n">
        <v>4829</v>
      </c>
      <c r="X152" s="20" t="n">
        <v>5326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DevelopmentBusinessReportableSegmentMember · 매출액</t>
        </is>
      </c>
      <c r="C154" s="20" t="n">
        <v>245</v>
      </c>
      <c r="D154" s="20" t="n">
        <v>1267</v>
      </c>
      <c r="E154" s="20" t="n">
        <v>323</v>
      </c>
      <c r="F154" s="20" t="n">
        <v>849</v>
      </c>
      <c r="G154" s="20" t="n">
        <v>363</v>
      </c>
      <c r="H154" s="20" t="n">
        <v>841</v>
      </c>
      <c r="I154" s="20" t="n">
        <v>278</v>
      </c>
      <c r="J154" s="20" t="n">
        <v>432</v>
      </c>
      <c r="K154" s="20" t="n">
        <v>524</v>
      </c>
      <c r="L154" s="20" t="n">
        <v>747</v>
      </c>
      <c r="M154" s="20" t="n">
        <v>176</v>
      </c>
      <c r="N154" s="20" t="n">
        <v>297</v>
      </c>
      <c r="V154" s="20" t="n">
        <v>1267</v>
      </c>
      <c r="W154" s="20" t="n">
        <v>841</v>
      </c>
      <c r="X154" s="20" t="n">
        <v>747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보고부문 합계 · 매출액</t>
        </is>
      </c>
      <c r="C156" s="20" t="n">
        <v>5656</v>
      </c>
      <c r="D156" s="20" t="n">
        <v>9689</v>
      </c>
      <c r="E156" s="20" t="n">
        <v>4890</v>
      </c>
      <c r="F156" s="20" t="n">
        <v>8232</v>
      </c>
      <c r="G156" s="20" t="n">
        <v>7072</v>
      </c>
      <c r="H156" s="20" t="n">
        <v>12295</v>
      </c>
      <c r="I156" s="20" t="n">
        <v>6017</v>
      </c>
      <c r="J156" s="20" t="n">
        <v>7834</v>
      </c>
      <c r="K156" s="20" t="n">
        <v>8356</v>
      </c>
      <c r="L156" s="20" t="n">
        <v>11910</v>
      </c>
      <c r="M156" s="20" t="n">
        <v>5732</v>
      </c>
      <c r="N156" s="20" t="n">
        <v>9380</v>
      </c>
      <c r="V156" s="20" t="n">
        <v>9689</v>
      </c>
      <c r="W156" s="20" t="n">
        <v>12295</v>
      </c>
      <c r="X156" s="20" t="n">
        <v>11910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기타 · 매출액</t>
        </is>
      </c>
      <c r="C158" s="20" t="n">
        <v>1118</v>
      </c>
      <c r="D158" s="20" t="n">
        <v>2046</v>
      </c>
      <c r="E158" s="20" t="n">
        <v>1065</v>
      </c>
      <c r="F158" s="20" t="n">
        <v>1850</v>
      </c>
      <c r="G158" s="20" t="n">
        <v>2010</v>
      </c>
      <c r="H158" s="20" t="n">
        <v>3248</v>
      </c>
      <c r="I158" s="20" t="n">
        <v>1295</v>
      </c>
      <c r="J158" s="20" t="n">
        <v>1783</v>
      </c>
      <c r="K158" s="20" t="n">
        <v>2077</v>
      </c>
      <c r="L158" s="20" t="n">
        <v>2870</v>
      </c>
      <c r="M158" s="20" t="n">
        <v>1014</v>
      </c>
      <c r="N158" s="20" t="n">
        <v>1271</v>
      </c>
      <c r="V158" s="20" t="n">
        <v>2046</v>
      </c>
      <c r="W158" s="20" t="n">
        <v>3248</v>
      </c>
      <c r="X158" s="20" t="n">
        <v>2870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합계 · 매출액</t>
        </is>
      </c>
      <c r="C160" s="20" t="n">
        <v>6775</v>
      </c>
      <c r="D160" s="20" t="n">
        <v>11735</v>
      </c>
      <c r="E160" s="20" t="n">
        <v>5955</v>
      </c>
      <c r="F160" s="20" t="n">
        <v>10082</v>
      </c>
      <c r="G160" s="20" t="n">
        <v>9082</v>
      </c>
      <c r="H160" s="20" t="n">
        <v>15543</v>
      </c>
      <c r="I160" s="20" t="n">
        <v>7312</v>
      </c>
      <c r="J160" s="20" t="n">
        <v>9617</v>
      </c>
      <c r="K160" s="20" t="n">
        <v>10433</v>
      </c>
      <c r="L160" s="20" t="n">
        <v>14780</v>
      </c>
      <c r="M160" s="20" t="n">
        <v>6746</v>
      </c>
      <c r="N160" s="20" t="n">
        <v>10652</v>
      </c>
      <c r="V160" s="20" t="n">
        <v>11735</v>
      </c>
      <c r="W160" s="20" t="n">
        <v>15543</v>
      </c>
      <c r="X160" s="20" t="n">
        <v>14780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조정액 · 매출액</t>
        </is>
      </c>
      <c r="C162" s="20" t="n">
        <v>-938</v>
      </c>
      <c r="D162" s="20" t="n">
        <v>-897</v>
      </c>
      <c r="E162" s="20" t="n">
        <v>-675</v>
      </c>
      <c r="F162" s="20" t="n">
        <v>-640</v>
      </c>
      <c r="G162" s="20" t="n">
        <v>-1585</v>
      </c>
      <c r="H162" s="20" t="n">
        <v>-1515</v>
      </c>
      <c r="I162" s="20" t="n">
        <v>-965</v>
      </c>
      <c r="J162" s="20" t="n">
        <v>-1195</v>
      </c>
      <c r="K162" s="20" t="n">
        <v>-1418</v>
      </c>
      <c r="L162" s="20" t="n">
        <v>-1231</v>
      </c>
      <c r="M162" s="20" t="n">
        <v>-627</v>
      </c>
      <c r="N162" s="20" t="n">
        <v>-715</v>
      </c>
      <c r="V162" s="20" t="n">
        <v>-897</v>
      </c>
      <c r="W162" s="20" t="n">
        <v>-1515</v>
      </c>
      <c r="X162" s="20" t="n">
        <v>-1231</v>
      </c>
    </row>
    <row r="163">
      <c r="A163" s="18" t="inlineStr">
        <is>
          <t>EntityTotalMember · 매출액</t>
        </is>
      </c>
      <c r="E163" s="20" t="n">
        <v>5280</v>
      </c>
      <c r="I163" s="20" t="n">
        <v>6347</v>
      </c>
      <c r="M163" s="20" t="n">
        <v>6119</v>
      </c>
    </row>
    <row r="164">
      <c r="A164" s="9" t="inlineStr">
        <is>
          <t>매출액</t>
        </is>
      </c>
      <c r="C164" s="12" t="n">
        <v>5837</v>
      </c>
      <c r="D164" s="12" t="n">
        <v>10837</v>
      </c>
      <c r="E164" s="12" t="n">
        <v>5280</v>
      </c>
      <c r="F164" s="12" t="n">
        <v>9441</v>
      </c>
      <c r="G164" s="12" t="n">
        <v>7498</v>
      </c>
      <c r="H164" s="12" t="n">
        <v>14028</v>
      </c>
      <c r="V164" s="12" t="n">
        <v>10837</v>
      </c>
      <c r="W164" s="12" t="n">
        <v>14028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18" t="inlineStr">
        <is>
          <t>HeatTreatmentBusinessReportableSegmentMember · 부문 이익(손실)</t>
        </is>
      </c>
      <c r="C166" s="20" t="n">
        <v>-169</v>
      </c>
      <c r="D166" s="20" t="n">
        <v>1101</v>
      </c>
      <c r="E166" s="20" t="n">
        <v>-193</v>
      </c>
      <c r="F166" s="20" t="n">
        <v>484</v>
      </c>
      <c r="G166" s="20" t="n">
        <v>145</v>
      </c>
      <c r="H166" s="20" t="n">
        <v>1064</v>
      </c>
      <c r="I166" s="20" t="n">
        <v>-100</v>
      </c>
      <c r="J166" s="20" t="n">
        <v>225</v>
      </c>
      <c r="K166" s="20" t="n">
        <v>164</v>
      </c>
      <c r="L166" s="20" t="n">
        <v>1122</v>
      </c>
      <c r="M166" s="20" t="n">
        <v>-422</v>
      </c>
      <c r="N166" s="20" t="n">
        <v>180</v>
      </c>
      <c r="V166" s="20" t="n">
        <v>1101</v>
      </c>
      <c r="W166" s="20" t="n">
        <v>1064</v>
      </c>
      <c r="X166" s="20" t="n">
        <v>1122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IF(OR(C166="",C150=""),"",IF(C150&lt;=0,"",IFERROR(C166/C150,"")))</f>
        <v/>
      </c>
      <c r="D167" s="15">
        <f>IF(OR(D166="",D150=""),"",IF(D150&lt;=0,"",IFERROR(D166/D150,"")))</f>
        <v/>
      </c>
      <c r="E167" s="15">
        <f>IF(OR(E166="",E150=""),"",IF(E150&lt;=0,"",IFERROR(E166/E150,"")))</f>
        <v/>
      </c>
      <c r="F167" s="15">
        <f>IF(OR(F166="",F150=""),"",IF(F150&lt;=0,"",IFERROR(F166/F150,"")))</f>
        <v/>
      </c>
      <c r="G167" s="15">
        <f>IF(OR(G166="",G150=""),"",IF(G150&lt;=0,"",IFERROR(G166/G150,"")))</f>
        <v/>
      </c>
      <c r="H167" s="15">
        <f>IF(OR(H166="",H150=""),"",IF(H150&lt;=0,"",IFERROR(H166/H150,"")))</f>
        <v/>
      </c>
      <c r="I167" s="15">
        <f>IF(OR(I166="",I150=""),"",IF(I150&lt;=0,"",IFERROR(I166/I150,"")))</f>
        <v/>
      </c>
      <c r="J167" s="15">
        <f>IF(OR(J166="",J150=""),"",IF(J150&lt;=0,"",IFERROR(J166/J150,"")))</f>
        <v/>
      </c>
      <c r="K167" s="15">
        <f>IF(OR(K166="",K150=""),"",IF(K150&lt;=0,"",IFERROR(K166/K150,"")))</f>
        <v/>
      </c>
      <c r="L167" s="15">
        <f>IF(OR(L166="",L150=""),"",IF(L150&lt;=0,"",IFERROR(L166/L150,"")))</f>
        <v/>
      </c>
      <c r="M167" s="15">
        <f>IF(OR(M166="",M150=""),"",IF(M150&lt;=0,"",IFERROR(M166/M150,"")))</f>
        <v/>
      </c>
      <c r="N167" s="15">
        <f>IF(OR(N166="",N150=""),"",IF(N150&lt;=0,"",IFERROR(N166/N150,"")))</f>
        <v/>
      </c>
      <c r="V167" s="15">
        <f>IF(OR(V166="",V150=""),"",IF(V150&lt;=0,"",IFERROR(V166/V150,"")))</f>
        <v/>
      </c>
      <c r="W167" s="15">
        <f>IF(OR(W166="",W150=""),"",IF(W150&lt;=0,"",IFERROR(W166/W150,"")))</f>
        <v/>
      </c>
      <c r="X167" s="15">
        <f>IF(OR(X166="",X150=""),"",IF(X150&lt;=0,"",IFERROR(X166/X150,"")))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69">
      <c r="A169" s="18" t="inlineStr">
        <is>
          <t>PlantBusinessReportableSegmentMember · 부문 이익(손실)</t>
        </is>
      </c>
      <c r="C169" s="20" t="n">
        <v>121</v>
      </c>
      <c r="D169" s="20" t="n">
        <v>234</v>
      </c>
      <c r="E169" s="20" t="n">
        <v>-289</v>
      </c>
      <c r="F169" s="20" t="n">
        <v>114</v>
      </c>
      <c r="G169" s="20" t="n">
        <v>118</v>
      </c>
      <c r="H169" s="20" t="n">
        <v>1020</v>
      </c>
      <c r="I169" s="20" t="n">
        <v>-89</v>
      </c>
      <c r="J169" s="20" t="n">
        <v>456</v>
      </c>
      <c r="K169" s="20" t="n">
        <v>214</v>
      </c>
      <c r="L169" s="20" t="n">
        <v>1096</v>
      </c>
      <c r="M169" s="20" t="n">
        <v>371</v>
      </c>
      <c r="N169" s="20" t="n">
        <v>836</v>
      </c>
      <c r="V169" s="20" t="n">
        <v>234</v>
      </c>
      <c r="W169" s="20" t="n">
        <v>1020</v>
      </c>
      <c r="X169" s="20" t="n">
        <v>1096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IF(OR(C169="",C152=""),"",IF(C152&lt;=0,"",IFERROR(C169/C152,"")))</f>
        <v/>
      </c>
      <c r="D170" s="15">
        <f>IF(OR(D169="",D152=""),"",IF(D152&lt;=0,"",IFERROR(D169/D152,"")))</f>
        <v/>
      </c>
      <c r="E170" s="15">
        <f>IF(OR(E169="",E152=""),"",IF(E152&lt;=0,"",IFERROR(E169/E152,"")))</f>
        <v/>
      </c>
      <c r="F170" s="15">
        <f>IF(OR(F169="",F152=""),"",IF(F152&lt;=0,"",IFERROR(F169/F152,"")))</f>
        <v/>
      </c>
      <c r="G170" s="15">
        <f>IF(OR(G169="",G152=""),"",IF(G152&lt;=0,"",IFERROR(G169/G152,"")))</f>
        <v/>
      </c>
      <c r="H170" s="15">
        <f>IF(OR(H169="",H152=""),"",IF(H152&lt;=0,"",IFERROR(H169/H152,"")))</f>
        <v/>
      </c>
      <c r="I170" s="15">
        <f>IF(OR(I169="",I152=""),"",IF(I152&lt;=0,"",IFERROR(I169/I152,"")))</f>
        <v/>
      </c>
      <c r="J170" s="15">
        <f>IF(OR(J169="",J152=""),"",IF(J152&lt;=0,"",IFERROR(J169/J152,"")))</f>
        <v/>
      </c>
      <c r="K170" s="15">
        <f>IF(OR(K169="",K152=""),"",IF(K152&lt;=0,"",IFERROR(K169/K152,"")))</f>
        <v/>
      </c>
      <c r="L170" s="15">
        <f>IF(OR(L169="",L152=""),"",IF(L152&lt;=0,"",IFERROR(L169/L152,"")))</f>
        <v/>
      </c>
      <c r="M170" s="15">
        <f>IF(OR(M169="",M152=""),"",IF(M152&lt;=0,"",IFERROR(M169/M152,"")))</f>
        <v/>
      </c>
      <c r="N170" s="15">
        <f>IF(OR(N169="",N152=""),"",IF(N152&lt;=0,"",IFERROR(N169/N152,"")))</f>
        <v/>
      </c>
      <c r="V170" s="15">
        <f>IF(OR(V169="",V152=""),"",IF(V152&lt;=0,"",IFERROR(V169/V152,"")))</f>
        <v/>
      </c>
      <c r="W170" s="15">
        <f>IF(OR(W169="",W152=""),"",IF(W152&lt;=0,"",IFERROR(W169/W152,"")))</f>
        <v/>
      </c>
      <c r="X170" s="15">
        <f>IF(OR(X169="",X152=""),"",IF(X152&lt;=0,"",IFERROR(X169/X152,"")))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DevelopmentBusinessReportableSegmentMember · 부문 이익(손실)</t>
        </is>
      </c>
      <c r="C172" s="20" t="n">
        <v>-128</v>
      </c>
      <c r="D172" s="20" t="n">
        <v>367</v>
      </c>
      <c r="E172" s="20" t="n">
        <v>-169</v>
      </c>
      <c r="F172" s="20" t="n">
        <v>93</v>
      </c>
      <c r="G172" s="20" t="n">
        <v>-201</v>
      </c>
      <c r="H172" s="20" t="n">
        <v>69</v>
      </c>
      <c r="I172" s="20" t="n">
        <v>-108</v>
      </c>
      <c r="J172" s="20" t="n">
        <v>-72</v>
      </c>
      <c r="K172" s="20" t="n">
        <v>-47</v>
      </c>
      <c r="L172" s="20" t="n">
        <v>-20</v>
      </c>
      <c r="M172" s="20" t="n">
        <v>-163</v>
      </c>
      <c r="N172" s="20" t="n">
        <v>-167</v>
      </c>
      <c r="V172" s="20" t="n">
        <v>367</v>
      </c>
      <c r="W172" s="20" t="n">
        <v>69</v>
      </c>
      <c r="X172" s="20" t="n">
        <v>-20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IF(OR(C172="",C154=""),"",IF(C154&lt;=0,"",IFERROR(C172/C154,"")))</f>
        <v/>
      </c>
      <c r="D173" s="15">
        <f>IF(OR(D172="",D154=""),"",IF(D154&lt;=0,"",IFERROR(D172/D154,"")))</f>
        <v/>
      </c>
      <c r="E173" s="15">
        <f>IF(OR(E172="",E154=""),"",IF(E154&lt;=0,"",IFERROR(E172/E154,"")))</f>
        <v/>
      </c>
      <c r="F173" s="15">
        <f>IF(OR(F172="",F154=""),"",IF(F154&lt;=0,"",IFERROR(F172/F154,"")))</f>
        <v/>
      </c>
      <c r="G173" s="15">
        <f>IF(OR(G172="",G154=""),"",IF(G154&lt;=0,"",IFERROR(G172/G154,"")))</f>
        <v/>
      </c>
      <c r="H173" s="15">
        <f>IF(OR(H172="",H154=""),"",IF(H154&lt;=0,"",IFERROR(H172/H154,"")))</f>
        <v/>
      </c>
      <c r="I173" s="15">
        <f>IF(OR(I172="",I154=""),"",IF(I154&lt;=0,"",IFERROR(I172/I154,"")))</f>
        <v/>
      </c>
      <c r="J173" s="15">
        <f>IF(OR(J172="",J154=""),"",IF(J154&lt;=0,"",IFERROR(J172/J154,"")))</f>
        <v/>
      </c>
      <c r="K173" s="15">
        <f>IF(OR(K172="",K154=""),"",IF(K154&lt;=0,"",IFERROR(K172/K154,"")))</f>
        <v/>
      </c>
      <c r="L173" s="15">
        <f>IF(OR(L172="",L154=""),"",IF(L154&lt;=0,"",IFERROR(L172/L154,"")))</f>
        <v/>
      </c>
      <c r="M173" s="15">
        <f>IF(OR(M172="",M154=""),"",IF(M154&lt;=0,"",IFERROR(M172/M154,"")))</f>
        <v/>
      </c>
      <c r="N173" s="15">
        <f>IF(OR(N172="",N154=""),"",IF(N154&lt;=0,"",IFERROR(N172/N154,"")))</f>
        <v/>
      </c>
      <c r="V173" s="15">
        <f>IF(OR(V172="",V154=""),"",IF(V154&lt;=0,"",IFERROR(V172/V154,"")))</f>
        <v/>
      </c>
      <c r="W173" s="15">
        <f>IF(OR(W172="",W154=""),"",IF(W154&lt;=0,"",IFERROR(W172/W154,"")))</f>
        <v/>
      </c>
      <c r="X173" s="15">
        <f>IF(OR(X172="",X154=""),"",IF(X154&lt;=0,"",IFERROR(X172/X154,"")))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보고부문 합계 · 부문 이익(손실)</t>
        </is>
      </c>
      <c r="C175" s="20" t="n">
        <v>-175</v>
      </c>
      <c r="D175" s="20" t="n">
        <v>1701</v>
      </c>
      <c r="E175" s="20" t="n">
        <v>-653</v>
      </c>
      <c r="F175" s="20" t="n">
        <v>691</v>
      </c>
      <c r="G175" s="20" t="n">
        <v>64</v>
      </c>
      <c r="H175" s="20" t="n">
        <v>2153</v>
      </c>
      <c r="I175" s="20" t="n">
        <v>-298</v>
      </c>
      <c r="J175" s="20" t="n">
        <v>611</v>
      </c>
      <c r="K175" s="20" t="n">
        <v>330</v>
      </c>
      <c r="L175" s="20" t="n">
        <v>2197</v>
      </c>
      <c r="M175" s="20" t="n">
        <v>-215</v>
      </c>
      <c r="N175" s="20" t="n">
        <v>848</v>
      </c>
      <c r="V175" s="20" t="n">
        <v>1701</v>
      </c>
      <c r="W175" s="20" t="n">
        <v>2153</v>
      </c>
      <c r="X175" s="20" t="n">
        <v>2197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IF(OR(C175="",C156=""),"",IF(C156&lt;=0,"",IFERROR(C175/C156,"")))</f>
        <v/>
      </c>
      <c r="D176" s="15">
        <f>IF(OR(D175="",D156=""),"",IF(D156&lt;=0,"",IFERROR(D175/D156,"")))</f>
        <v/>
      </c>
      <c r="E176" s="15">
        <f>IF(OR(E175="",E156=""),"",IF(E156&lt;=0,"",IFERROR(E175/E156,"")))</f>
        <v/>
      </c>
      <c r="F176" s="15">
        <f>IF(OR(F175="",F156=""),"",IF(F156&lt;=0,"",IFERROR(F175/F156,"")))</f>
        <v/>
      </c>
      <c r="G176" s="15">
        <f>IF(OR(G175="",G156=""),"",IF(G156&lt;=0,"",IFERROR(G175/G156,"")))</f>
        <v/>
      </c>
      <c r="H176" s="15">
        <f>IF(OR(H175="",H156=""),"",IF(H156&lt;=0,"",IFERROR(H175/H156,"")))</f>
        <v/>
      </c>
      <c r="I176" s="15">
        <f>IF(OR(I175="",I156=""),"",IF(I156&lt;=0,"",IFERROR(I175/I156,"")))</f>
        <v/>
      </c>
      <c r="J176" s="15">
        <f>IF(OR(J175="",J156=""),"",IF(J156&lt;=0,"",IFERROR(J175/J156,"")))</f>
        <v/>
      </c>
      <c r="K176" s="15">
        <f>IF(OR(K175="",K156=""),"",IF(K156&lt;=0,"",IFERROR(K175/K156,"")))</f>
        <v/>
      </c>
      <c r="L176" s="15">
        <f>IF(OR(L175="",L156=""),"",IF(L156&lt;=0,"",IFERROR(L175/L156,"")))</f>
        <v/>
      </c>
      <c r="M176" s="15">
        <f>IF(OR(M175="",M156=""),"",IF(M156&lt;=0,"",IFERROR(M175/M156,"")))</f>
        <v/>
      </c>
      <c r="N176" s="15">
        <f>IF(OR(N175="",N156=""),"",IF(N156&lt;=0,"",IFERROR(N175/N156,"")))</f>
        <v/>
      </c>
      <c r="V176" s="15">
        <f>IF(OR(V175="",V156=""),"",IF(V156&lt;=0,"",IFERROR(V175/V156,"")))</f>
        <v/>
      </c>
      <c r="W176" s="15">
        <f>IF(OR(W175="",W156=""),"",IF(W156&lt;=0,"",IFERROR(W175/W156,"")))</f>
        <v/>
      </c>
      <c r="X176" s="15">
        <f>IF(OR(X175="",X156=""),"",IF(X156&lt;=0,"",IFERROR(X175/X156,"")))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기타 · 부문 이익(손실)</t>
        </is>
      </c>
      <c r="C178" s="20" t="n">
        <v>-31</v>
      </c>
      <c r="D178" s="20" t="n">
        <v>232</v>
      </c>
      <c r="E178" s="20" t="n">
        <v>-47</v>
      </c>
      <c r="F178" s="20" t="n">
        <v>134</v>
      </c>
      <c r="G178" s="20" t="n">
        <v>134</v>
      </c>
      <c r="H178" s="20" t="n">
        <v>308</v>
      </c>
      <c r="I178" s="20" t="n">
        <v>-91</v>
      </c>
      <c r="J178" s="20" t="n">
        <v>-51</v>
      </c>
      <c r="K178" s="20" t="n">
        <v>118</v>
      </c>
      <c r="L178" s="20" t="n">
        <v>55</v>
      </c>
      <c r="M178" s="20" t="n">
        <v>-27</v>
      </c>
      <c r="N178" s="20" t="n">
        <v>15</v>
      </c>
      <c r="V178" s="20" t="n">
        <v>232</v>
      </c>
      <c r="W178" s="20" t="n">
        <v>308</v>
      </c>
      <c r="X178" s="20" t="n">
        <v>55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IF(OR(C178="",C158=""),"",IF(C158&lt;=0,"",IFERROR(C178/C158,"")))</f>
        <v/>
      </c>
      <c r="D179" s="15">
        <f>IF(OR(D178="",D158=""),"",IF(D158&lt;=0,"",IFERROR(D178/D158,"")))</f>
        <v/>
      </c>
      <c r="E179" s="15">
        <f>IF(OR(E178="",E158=""),"",IF(E158&lt;=0,"",IFERROR(E178/E158,"")))</f>
        <v/>
      </c>
      <c r="F179" s="15">
        <f>IF(OR(F178="",F158=""),"",IF(F158&lt;=0,"",IFERROR(F178/F158,"")))</f>
        <v/>
      </c>
      <c r="G179" s="15">
        <f>IF(OR(G178="",G158=""),"",IF(G158&lt;=0,"",IFERROR(G178/G158,"")))</f>
        <v/>
      </c>
      <c r="H179" s="15">
        <f>IF(OR(H178="",H158=""),"",IF(H158&lt;=0,"",IFERROR(H178/H158,"")))</f>
        <v/>
      </c>
      <c r="I179" s="15">
        <f>IF(OR(I178="",I158=""),"",IF(I158&lt;=0,"",IFERROR(I178/I158,"")))</f>
        <v/>
      </c>
      <c r="J179" s="15">
        <f>IF(OR(J178="",J158=""),"",IF(J158&lt;=0,"",IFERROR(J178/J158,"")))</f>
        <v/>
      </c>
      <c r="K179" s="15">
        <f>IF(OR(K178="",K158=""),"",IF(K158&lt;=0,"",IFERROR(K178/K158,"")))</f>
        <v/>
      </c>
      <c r="L179" s="15">
        <f>IF(OR(L178="",L158=""),"",IF(L158&lt;=0,"",IFERROR(L178/L158,"")))</f>
        <v/>
      </c>
      <c r="M179" s="15">
        <f>IF(OR(M178="",M158=""),"",IF(M158&lt;=0,"",IFERROR(M178/M158,"")))</f>
        <v/>
      </c>
      <c r="N179" s="15">
        <f>IF(OR(N178="",N158=""),"",IF(N158&lt;=0,"",IFERROR(N178/N158,"")))</f>
        <v/>
      </c>
      <c r="V179" s="15">
        <f>IF(OR(V178="",V158=""),"",IF(V158&lt;=0,"",IFERROR(V178/V158,"")))</f>
        <v/>
      </c>
      <c r="W179" s="15">
        <f>IF(OR(W178="",W158=""),"",IF(W158&lt;=0,"",IFERROR(W178/W158,"")))</f>
        <v/>
      </c>
      <c r="X179" s="15">
        <f>IF(OR(X178="",X158=""),"",IF(X158&lt;=0,"",IFERROR(X178/X158,"")))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1">
      <c r="A181" s="18" t="inlineStr">
        <is>
          <t>합계 · 부문 이익(손실)</t>
        </is>
      </c>
      <c r="C181" s="20" t="n">
        <v>-207</v>
      </c>
      <c r="D181" s="20" t="n">
        <v>1935</v>
      </c>
      <c r="E181" s="20" t="n">
        <v>-701</v>
      </c>
      <c r="F181" s="20" t="n">
        <v>826</v>
      </c>
      <c r="G181" s="20" t="n">
        <v>198</v>
      </c>
      <c r="H181" s="20" t="n">
        <v>2461</v>
      </c>
      <c r="I181" s="20" t="n">
        <v>-390</v>
      </c>
      <c r="J181" s="20" t="n">
        <v>560</v>
      </c>
      <c r="K181" s="20" t="n">
        <v>449</v>
      </c>
      <c r="L181" s="20" t="n">
        <v>2253</v>
      </c>
      <c r="M181" s="20" t="n">
        <v>-243</v>
      </c>
      <c r="N181" s="20" t="n">
        <v>864</v>
      </c>
      <c r="V181" s="20" t="n">
        <v>1935</v>
      </c>
      <c r="W181" s="20" t="n">
        <v>2461</v>
      </c>
      <c r="X181" s="20" t="n">
        <v>2253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IF(OR(C181="",C160=""),"",IF(C160&lt;=0,"",IFERROR(C181/C160,"")))</f>
        <v/>
      </c>
      <c r="D182" s="15">
        <f>IF(OR(D181="",D160=""),"",IF(D160&lt;=0,"",IFERROR(D181/D160,"")))</f>
        <v/>
      </c>
      <c r="E182" s="15">
        <f>IF(OR(E181="",E160=""),"",IF(E160&lt;=0,"",IFERROR(E181/E160,"")))</f>
        <v/>
      </c>
      <c r="F182" s="15">
        <f>IF(OR(F181="",F160=""),"",IF(F160&lt;=0,"",IFERROR(F181/F160,"")))</f>
        <v/>
      </c>
      <c r="G182" s="15">
        <f>IF(OR(G181="",G160=""),"",IF(G160&lt;=0,"",IFERROR(G181/G160,"")))</f>
        <v/>
      </c>
      <c r="H182" s="15">
        <f>IF(OR(H181="",H160=""),"",IF(H160&lt;=0,"",IFERROR(H181/H160,"")))</f>
        <v/>
      </c>
      <c r="I182" s="15">
        <f>IF(OR(I181="",I160=""),"",IF(I160&lt;=0,"",IFERROR(I181/I160,"")))</f>
        <v/>
      </c>
      <c r="J182" s="15">
        <f>IF(OR(J181="",J160=""),"",IF(J160&lt;=0,"",IFERROR(J181/J160,"")))</f>
        <v/>
      </c>
      <c r="K182" s="15">
        <f>IF(OR(K181="",K160=""),"",IF(K160&lt;=0,"",IFERROR(K181/K160,"")))</f>
        <v/>
      </c>
      <c r="L182" s="15">
        <f>IF(OR(L181="",L160=""),"",IF(L160&lt;=0,"",IFERROR(L181/L160,"")))</f>
        <v/>
      </c>
      <c r="M182" s="15">
        <f>IF(OR(M181="",M160=""),"",IF(M160&lt;=0,"",IFERROR(M181/M160,"")))</f>
        <v/>
      </c>
      <c r="N182" s="15">
        <f>IF(OR(N181="",N160=""),"",IF(N160&lt;=0,"",IFERROR(N181/N160,"")))</f>
        <v/>
      </c>
      <c r="V182" s="15">
        <f>IF(OR(V181="",V160=""),"",IF(V160&lt;=0,"",IFERROR(V181/V160,"")))</f>
        <v/>
      </c>
      <c r="W182" s="15">
        <f>IF(OR(W181="",W160=""),"",IF(W160&lt;=0,"",IFERROR(W181/W160,"")))</f>
        <v/>
      </c>
      <c r="X182" s="15">
        <f>IF(OR(X181="",X160=""),"",IF(X160&lt;=0,"",IFERROR(X181/X160,"")))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조정액 · 부문 이익(손실)</t>
        </is>
      </c>
      <c r="C184" s="20" t="n">
        <v>18</v>
      </c>
      <c r="D184" s="20" t="n">
        <v>-19</v>
      </c>
      <c r="E184" s="20" t="n">
        <v>18</v>
      </c>
      <c r="F184" s="20" t="n">
        <v>-66</v>
      </c>
      <c r="G184" s="20" t="n">
        <v>0</v>
      </c>
      <c r="H184" s="20" t="n">
        <v>-1</v>
      </c>
      <c r="I184" s="20" t="n">
        <v>18</v>
      </c>
      <c r="J184" s="20" t="n">
        <v>-25</v>
      </c>
      <c r="K184" s="20" t="n">
        <v>7</v>
      </c>
      <c r="L184" s="20" t="n">
        <v>7</v>
      </c>
      <c r="M184" s="20" t="n">
        <v>34</v>
      </c>
      <c r="N184" s="20" t="n">
        <v>-18</v>
      </c>
      <c r="V184" s="20" t="n">
        <v>-19</v>
      </c>
      <c r="W184" s="20" t="n">
        <v>-1</v>
      </c>
      <c r="X184" s="20" t="n">
        <v>7</v>
      </c>
    </row>
    <row r="185">
      <c r="A185" s="18" t="inlineStr">
        <is>
          <t>EntityTotalMember · 부문 이익(손실)</t>
        </is>
      </c>
      <c r="E185" s="20" t="n">
        <v>-682</v>
      </c>
      <c r="I185" s="20" t="n">
        <v>-371</v>
      </c>
      <c r="M185" s="20" t="n">
        <v>-209</v>
      </c>
    </row>
    <row r="186">
      <c r="A186" s="9" t="inlineStr">
        <is>
          <t>부문 이익(손실)</t>
        </is>
      </c>
      <c r="C186" s="12" t="n">
        <v>-189</v>
      </c>
      <c r="D186" s="12" t="n">
        <v>1916</v>
      </c>
      <c r="E186" s="12" t="n">
        <v>-682</v>
      </c>
      <c r="F186" s="12" t="n">
        <v>759</v>
      </c>
      <c r="G186" s="12" t="n">
        <v>197</v>
      </c>
      <c r="H186" s="12" t="n">
        <v>2461</v>
      </c>
      <c r="V186" s="12" t="n">
        <v>1916</v>
      </c>
      <c r="W186" s="12" t="n">
        <v>2461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IF(OR(C186="",C164=""),"",IF(C164&lt;=0,"",IFERROR(C186/C164,"")))</f>
        <v/>
      </c>
      <c r="D187" s="15">
        <f>IF(OR(D186="",D164=""),"",IF(D164&lt;=0,"",IFERROR(D186/D164,"")))</f>
        <v/>
      </c>
      <c r="E187" s="15">
        <f>IF(OR(E186="",E164=""),"",IF(E164&lt;=0,"",IFERROR(E186/E164,"")))</f>
        <v/>
      </c>
      <c r="F187" s="15">
        <f>IF(OR(F186="",F164=""),"",IF(F164&lt;=0,"",IFERROR(F186/F164,"")))</f>
        <v/>
      </c>
      <c r="G187" s="15">
        <f>IF(OR(G186="",G164=""),"",IF(G164&lt;=0,"",IFERROR(G186/G164,"")))</f>
        <v/>
      </c>
      <c r="H187" s="15">
        <f>IF(OR(H186="",H164=""),"",IF(H164&lt;=0,"",IFERROR(H186/H164,"")))</f>
        <v/>
      </c>
      <c r="V187" s="15">
        <f>IF(OR(V186="",V164=""),"",IF(V164&lt;=0,"",IFERROR(V186/V164,"")))</f>
        <v/>
      </c>
      <c r="W187" s="15">
        <f>IF(OR(W186="",W164=""),"",IF(W164&lt;=0,"",IFERROR(W186/W164,"")))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</row>
    <row r="190">
      <c r="A190" s="16" t="inlineStr">
        <is>
          <t>현금흐름표 · 전 항목</t>
        </is>
      </c>
      <c r="B190" s="42" t="inlineStr">
        <is>
          <t>분기 = 결산기 첫날부터 누계(공시 그대로)</t>
        </is>
      </c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</row>
    <row r="191">
      <c r="A191" s="5" t="inlineStr">
        <is>
          <t>항목</t>
        </is>
      </c>
      <c r="B191" s="5" t="inlineStr">
        <is>
          <t>참고</t>
        </is>
      </c>
      <c r="C191" s="5" t="inlineStr">
        <is>
          <t>2024.3Q</t>
        </is>
      </c>
      <c r="D191" s="5" t="inlineStr">
        <is>
          <t>2024.4Q</t>
        </is>
      </c>
      <c r="E191" s="5" t="inlineStr">
        <is>
          <t>2025.1Q</t>
        </is>
      </c>
      <c r="F191" s="5" t="inlineStr">
        <is>
          <t>2025.2Q</t>
        </is>
      </c>
      <c r="G191" s="5" t="inlineStr">
        <is>
          <t>2025.3Q</t>
        </is>
      </c>
      <c r="H191" s="5" t="inlineStr">
        <is>
          <t>2025.4Q</t>
        </is>
      </c>
      <c r="I191" s="5" t="inlineStr">
        <is>
          <t>2026.1Q</t>
        </is>
      </c>
      <c r="J191" s="5" t="inlineStr">
        <is>
          <t>2026.2Q</t>
        </is>
      </c>
      <c r="K191" s="5" t="inlineStr">
        <is>
          <t>2026.3Q</t>
        </is>
      </c>
      <c r="L191" s="5" t="inlineStr">
        <is>
          <t>2026.4Q</t>
        </is>
      </c>
      <c r="M191" s="5" t="inlineStr">
        <is>
          <t>2027.1Q</t>
        </is>
      </c>
      <c r="N191" s="5" t="inlineStr">
        <is>
          <t>2027.2Q</t>
        </is>
      </c>
      <c r="O191" s="5" t="inlineStr">
        <is>
          <t>2017</t>
        </is>
      </c>
      <c r="P191" s="5" t="inlineStr">
        <is>
          <t>2018</t>
        </is>
      </c>
      <c r="Q191" s="5" t="inlineStr">
        <is>
          <t>2019</t>
        </is>
      </c>
      <c r="R191" s="5" t="inlineStr">
        <is>
          <t>2020</t>
        </is>
      </c>
      <c r="S191" s="5" t="inlineStr">
        <is>
          <t>2021</t>
        </is>
      </c>
      <c r="T191" s="5" t="inlineStr">
        <is>
          <t>2022</t>
        </is>
      </c>
      <c r="U191" s="5" t="inlineStr">
        <is>
          <t>2023</t>
        </is>
      </c>
      <c r="V191" s="5" t="inlineStr">
        <is>
          <t>2024</t>
        </is>
      </c>
      <c r="W191" s="5" t="inlineStr">
        <is>
          <t>2025</t>
        </is>
      </c>
      <c r="X191" s="5" t="inlineStr">
        <is>
          <t>2026</t>
        </is>
      </c>
      <c r="Y191" s="5" t="inlineStr">
        <is>
          <t>2027(MW)</t>
        </is>
      </c>
      <c r="Z191" s="5" t="inlineStr">
        <is>
          <t>2028(MW)</t>
        </is>
      </c>
      <c r="AA191" s="5" t="inlineStr">
        <is>
          <t>2029(MW)</t>
        </is>
      </c>
      <c r="AB191" s="5" t="inlineStr">
        <is>
          <t>2030(MW)</t>
        </is>
      </c>
      <c r="AC191" s="5" t="inlineStr">
        <is>
          <t>2031(MW)</t>
        </is>
      </c>
    </row>
    <row r="192">
      <c r="A192" s="9" t="inlineStr">
        <is>
          <t>법인세차감전 순이익</t>
        </is>
      </c>
      <c r="D192" s="12" t="n">
        <v>3129</v>
      </c>
      <c r="F192" s="12" t="n">
        <v>825</v>
      </c>
      <c r="H192" s="12" t="n">
        <v>4222</v>
      </c>
      <c r="J192" s="12" t="n">
        <v>1546</v>
      </c>
      <c r="L192" s="12" t="n">
        <v>6426</v>
      </c>
      <c r="N192" s="12" t="n">
        <v>401</v>
      </c>
      <c r="O192" s="12" t="n">
        <v>967</v>
      </c>
      <c r="P192" s="12" t="n">
        <v>1294</v>
      </c>
      <c r="Q192" s="12" t="n">
        <v>1177</v>
      </c>
      <c r="R192" s="12" t="n">
        <v>1701</v>
      </c>
      <c r="S192" s="12" t="n">
        <v>527</v>
      </c>
      <c r="T192" s="12" t="n">
        <v>1594</v>
      </c>
      <c r="U192" s="12" t="n">
        <v>1699</v>
      </c>
      <c r="V192" s="12" t="n">
        <v>3129</v>
      </c>
      <c r="W192" s="12" t="n">
        <v>4222</v>
      </c>
      <c r="X192" s="12" t="n">
        <v>6426</v>
      </c>
    </row>
    <row r="193">
      <c r="A193" s="18" t="inlineStr">
        <is>
          <t>감가상각비</t>
        </is>
      </c>
      <c r="D193" s="20" t="n">
        <v>474</v>
      </c>
      <c r="F193" s="20" t="n">
        <v>273</v>
      </c>
      <c r="H193" s="20" t="n">
        <v>552</v>
      </c>
      <c r="J193" s="20" t="n">
        <v>244</v>
      </c>
      <c r="L193" s="20" t="n">
        <v>543</v>
      </c>
      <c r="N193" s="20" t="n">
        <v>262</v>
      </c>
      <c r="O193" s="20" t="n">
        <v>338</v>
      </c>
      <c r="P193" s="20" t="n">
        <v>346</v>
      </c>
      <c r="Q193" s="20" t="n">
        <v>391</v>
      </c>
      <c r="R193" s="20" t="n">
        <v>368</v>
      </c>
      <c r="S193" s="20" t="n">
        <v>360</v>
      </c>
      <c r="T193" s="20" t="n">
        <v>412</v>
      </c>
      <c r="U193" s="20" t="n">
        <v>400</v>
      </c>
      <c r="V193" s="20" t="n">
        <v>474</v>
      </c>
      <c r="W193" s="20" t="n">
        <v>552</v>
      </c>
      <c r="X193" s="20" t="n">
        <v>543</v>
      </c>
    </row>
    <row r="194">
      <c r="A194" s="18" t="inlineStr">
        <is>
          <t>손상차손</t>
        </is>
      </c>
      <c r="D194" s="20" t="n">
        <v>0</v>
      </c>
      <c r="H194" s="20" t="n">
        <v>14</v>
      </c>
      <c r="L194" s="20" t="n">
        <v>0</v>
      </c>
      <c r="Q194" s="20" t="n">
        <v>0</v>
      </c>
      <c r="R194" s="20" t="n">
        <v>123</v>
      </c>
      <c r="S194" s="20" t="n">
        <v>38</v>
      </c>
      <c r="T194" s="20" t="n">
        <v>0</v>
      </c>
      <c r="V194" s="20" t="n">
        <v>0</v>
      </c>
      <c r="W194" s="20" t="n">
        <v>14</v>
      </c>
      <c r="X194" s="20" t="n">
        <v>0</v>
      </c>
    </row>
    <row r="195">
      <c r="A195" s="18" t="inlineStr">
        <is>
          <t>대손충당금 증감</t>
        </is>
      </c>
      <c r="D195" s="20" t="n">
        <v>-3</v>
      </c>
      <c r="F195" s="20" t="n">
        <v>4</v>
      </c>
      <c r="H195" s="20" t="n">
        <v>3</v>
      </c>
      <c r="J195" s="20" t="n">
        <v>-3</v>
      </c>
      <c r="L195" s="20" t="n">
        <v>-3</v>
      </c>
      <c r="N195" s="20" t="n">
        <v>5</v>
      </c>
      <c r="O195" s="20" t="n">
        <v>-3</v>
      </c>
      <c r="P195" s="20" t="n">
        <v>1</v>
      </c>
      <c r="Q195" s="20" t="n">
        <v>-0</v>
      </c>
      <c r="R195" s="20" t="n">
        <v>-13</v>
      </c>
      <c r="S195" s="20" t="n">
        <v>-2</v>
      </c>
      <c r="T195" s="20" t="n">
        <v>-12</v>
      </c>
      <c r="U195" s="20" t="n">
        <v>1</v>
      </c>
      <c r="V195" s="20" t="n">
        <v>-3</v>
      </c>
      <c r="W195" s="20" t="n">
        <v>3</v>
      </c>
      <c r="X195" s="20" t="n">
        <v>-3</v>
      </c>
    </row>
    <row r="196">
      <c r="A196" s="18" t="inlineStr">
        <is>
          <t>퇴직급여 부채·자산 증감액</t>
        </is>
      </c>
      <c r="D196" s="20" t="n">
        <v>-16</v>
      </c>
      <c r="F196" s="20" t="n">
        <v>-67</v>
      </c>
      <c r="H196" s="20" t="n">
        <v>-107</v>
      </c>
      <c r="J196" s="20" t="n">
        <v>-37</v>
      </c>
      <c r="L196" s="20" t="n">
        <v>-36</v>
      </c>
      <c r="N196" s="20" t="n">
        <v>-57</v>
      </c>
      <c r="O196" s="20" t="n">
        <v>3</v>
      </c>
      <c r="P196" s="20" t="n">
        <v>28</v>
      </c>
      <c r="Q196" s="20" t="n">
        <v>11</v>
      </c>
      <c r="R196" s="20" t="n">
        <v>-21</v>
      </c>
      <c r="S196" s="20" t="n">
        <v>-1</v>
      </c>
      <c r="T196" s="20" t="n">
        <v>-16</v>
      </c>
      <c r="U196" s="20" t="n">
        <v>29</v>
      </c>
      <c r="V196" s="20" t="n">
        <v>-16</v>
      </c>
      <c r="W196" s="20" t="n">
        <v>-107</v>
      </c>
      <c r="X196" s="20" t="n">
        <v>-36</v>
      </c>
    </row>
    <row r="197">
      <c r="A197" s="18" t="inlineStr">
        <is>
          <t>공사손실충당금 증감(△는 감소)</t>
        </is>
      </c>
      <c r="D197" s="20" t="n">
        <v>0</v>
      </c>
      <c r="F197" s="20" t="n">
        <v>4</v>
      </c>
      <c r="H197" s="20" t="n">
        <v>-0</v>
      </c>
      <c r="J197" s="20" t="n">
        <v>-0</v>
      </c>
      <c r="L197" s="20" t="n">
        <v>-0</v>
      </c>
      <c r="N197" s="20" t="n">
        <v>0</v>
      </c>
      <c r="O197" s="20" t="n">
        <v>14</v>
      </c>
      <c r="P197" s="20" t="n">
        <v>-14</v>
      </c>
      <c r="Q197" s="20" t="n">
        <v>-0</v>
      </c>
      <c r="R197" s="20" t="n">
        <v>-0</v>
      </c>
      <c r="S197" s="20" t="n">
        <v>1</v>
      </c>
      <c r="T197" s="20" t="n">
        <v>0</v>
      </c>
      <c r="U197" s="20" t="n">
        <v>-2</v>
      </c>
      <c r="V197" s="20" t="n">
        <v>0</v>
      </c>
      <c r="W197" s="20" t="n">
        <v>-0</v>
      </c>
      <c r="X197" s="20" t="n">
        <v>-0</v>
      </c>
    </row>
    <row r="198">
      <c r="A198" s="18" t="inlineStr">
        <is>
          <t>완성공사 보증 충당금 증감액</t>
        </is>
      </c>
      <c r="F198" s="20" t="n">
        <v>0</v>
      </c>
      <c r="H198" s="20" t="n">
        <v>0</v>
      </c>
      <c r="J198" s="20" t="n">
        <v>74</v>
      </c>
      <c r="L198" s="20" t="n">
        <v>118</v>
      </c>
      <c r="N198" s="20" t="n">
        <v>7</v>
      </c>
      <c r="W198" s="20" t="n">
        <v>0</v>
      </c>
      <c r="X198" s="20" t="n">
        <v>118</v>
      </c>
    </row>
    <row r="199">
      <c r="A199" s="18" t="inlineStr">
        <is>
          <t>사업구조개선 충당금 증감액</t>
        </is>
      </c>
      <c r="J199" s="20" t="n">
        <v>0</v>
      </c>
      <c r="N199" s="20" t="n">
        <v>350</v>
      </c>
    </row>
    <row r="200">
      <c r="A200" s="18" t="inlineStr">
        <is>
          <t>이자·배당금 수익</t>
        </is>
      </c>
      <c r="D200" s="20" t="n">
        <v>-231</v>
      </c>
      <c r="F200" s="20" t="n">
        <v>-130</v>
      </c>
      <c r="H200" s="20" t="n">
        <v>-245</v>
      </c>
      <c r="J200" s="20" t="n">
        <v>-147</v>
      </c>
      <c r="L200" s="20" t="n">
        <v>-238</v>
      </c>
      <c r="N200" s="20" t="n">
        <v>-98</v>
      </c>
      <c r="O200" s="20" t="n">
        <v>-106</v>
      </c>
      <c r="P200" s="20" t="n">
        <v>-127</v>
      </c>
      <c r="Q200" s="20" t="n">
        <v>-158</v>
      </c>
      <c r="R200" s="20" t="n">
        <v>-159</v>
      </c>
      <c r="S200" s="20" t="n">
        <v>-169</v>
      </c>
      <c r="T200" s="20" t="n">
        <v>-172</v>
      </c>
      <c r="U200" s="20" t="n">
        <v>-196</v>
      </c>
      <c r="V200" s="20" t="n">
        <v>-231</v>
      </c>
      <c r="W200" s="20" t="n">
        <v>-245</v>
      </c>
      <c r="X200" s="20" t="n">
        <v>-238</v>
      </c>
    </row>
    <row r="201">
      <c r="A201" s="18" t="inlineStr">
        <is>
          <t>이자비용</t>
        </is>
      </c>
      <c r="D201" s="20" t="n">
        <v>56</v>
      </c>
      <c r="F201" s="20" t="n">
        <v>28</v>
      </c>
      <c r="H201" s="20" t="n">
        <v>58</v>
      </c>
      <c r="J201" s="20" t="n">
        <v>39</v>
      </c>
      <c r="L201" s="20" t="n">
        <v>74</v>
      </c>
      <c r="N201" s="20" t="n">
        <v>35</v>
      </c>
      <c r="O201" s="20" t="n">
        <v>39</v>
      </c>
      <c r="P201" s="20" t="n">
        <v>36</v>
      </c>
      <c r="Q201" s="20" t="n">
        <v>31</v>
      </c>
      <c r="R201" s="20" t="n">
        <v>54</v>
      </c>
      <c r="S201" s="20" t="n">
        <v>50</v>
      </c>
      <c r="T201" s="20" t="n">
        <v>42</v>
      </c>
      <c r="U201" s="20" t="n">
        <v>38</v>
      </c>
      <c r="V201" s="20" t="n">
        <v>56</v>
      </c>
      <c r="W201" s="20" t="n">
        <v>58</v>
      </c>
      <c r="X201" s="20" t="n">
        <v>74</v>
      </c>
    </row>
    <row r="202">
      <c r="A202" s="18" t="inlineStr">
        <is>
          <t>투자유가증권 평가손익</t>
        </is>
      </c>
      <c r="O202" s="20" t="n">
        <v>0</v>
      </c>
      <c r="P202" s="20" t="n">
        <v>17</v>
      </c>
      <c r="Q202" s="20" t="n">
        <v>0</v>
      </c>
      <c r="R202" s="20" t="n">
        <v>51</v>
      </c>
      <c r="S202" s="20" t="n">
        <v>0</v>
      </c>
    </row>
    <row r="203">
      <c r="A203" s="18" t="inlineStr">
        <is>
          <t>유가증권 상환손익</t>
        </is>
      </c>
      <c r="O203" s="20" t="n">
        <v>-4</v>
      </c>
      <c r="P203" s="20" t="n">
        <v>0</v>
      </c>
    </row>
    <row r="204">
      <c r="A204" s="18" t="inlineStr">
        <is>
          <t>고정자산 매각손익</t>
        </is>
      </c>
      <c r="O204" s="20" t="n">
        <v>0</v>
      </c>
      <c r="P204" s="20" t="n">
        <v>-17</v>
      </c>
      <c r="Q204" s="20" t="n">
        <v>0</v>
      </c>
    </row>
    <row r="205">
      <c r="A205" s="18" t="inlineStr">
        <is>
          <t>투자유가증권 매각손익</t>
        </is>
      </c>
      <c r="D205" s="20" t="n">
        <v>-1162</v>
      </c>
      <c r="F205" s="20" t="n">
        <v>-592</v>
      </c>
      <c r="H205" s="20" t="n">
        <v>-1183</v>
      </c>
      <c r="J205" s="20" t="n">
        <v>-1284</v>
      </c>
      <c r="L205" s="20" t="n">
        <v>-3315</v>
      </c>
      <c r="N205" s="20" t="n">
        <v>0</v>
      </c>
      <c r="O205" s="20" t="n">
        <v>-42</v>
      </c>
      <c r="P205" s="20" t="n">
        <v>-6</v>
      </c>
      <c r="Q205" s="20" t="n">
        <v>-19</v>
      </c>
      <c r="R205" s="20" t="n">
        <v>0</v>
      </c>
      <c r="S205" s="20" t="n">
        <v>0</v>
      </c>
      <c r="T205" s="20" t="n">
        <v>-100</v>
      </c>
      <c r="U205" s="20" t="n">
        <v>-58</v>
      </c>
      <c r="V205" s="20" t="n">
        <v>-1162</v>
      </c>
      <c r="W205" s="20" t="n">
        <v>-1183</v>
      </c>
      <c r="X205" s="20" t="n">
        <v>-3315</v>
      </c>
    </row>
    <row r="206">
      <c r="A206" s="18" t="inlineStr">
        <is>
          <t>유형자산 매각손익</t>
        </is>
      </c>
      <c r="D206" s="20" t="n">
        <v>-199</v>
      </c>
      <c r="H206" s="20" t="n">
        <v>0</v>
      </c>
      <c r="T206" s="20" t="n">
        <v>0</v>
      </c>
      <c r="U206" s="20" t="n">
        <v>-75</v>
      </c>
      <c r="V206" s="20" t="n">
        <v>-199</v>
      </c>
      <c r="W206" s="20" t="n">
        <v>0</v>
      </c>
    </row>
    <row r="207">
      <c r="A207" s="18" t="inlineStr">
        <is>
          <t>매출채권·계약자산 증감</t>
        </is>
      </c>
      <c r="S207" s="20" t="n">
        <v>0</v>
      </c>
      <c r="T207" s="20" t="n">
        <v>4265</v>
      </c>
      <c r="U207" s="20" t="n">
        <v>-5775</v>
      </c>
    </row>
    <row r="208">
      <c r="A208" s="18" t="inlineStr">
        <is>
          <t>매출채권 증감</t>
        </is>
      </c>
      <c r="O208" s="20" t="n">
        <v>1848</v>
      </c>
      <c r="P208" s="20" t="n">
        <v>-2340</v>
      </c>
      <c r="Q208" s="20" t="n">
        <v>-3185</v>
      </c>
      <c r="R208" s="20" t="n">
        <v>-1801</v>
      </c>
      <c r="S208" s="20" t="n">
        <v>7972</v>
      </c>
      <c r="T208" s="20" t="n">
        <v>0</v>
      </c>
    </row>
    <row r="209">
      <c r="A209" s="18" t="inlineStr">
        <is>
          <t>매출채권·계약자산 증감</t>
        </is>
      </c>
      <c r="D209" s="20" t="n">
        <v>-1193</v>
      </c>
      <c r="F209" s="20" t="n">
        <v>-1259</v>
      </c>
      <c r="H209" s="20" t="n">
        <v>-7663</v>
      </c>
      <c r="J209" s="20" t="n">
        <v>4117</v>
      </c>
      <c r="L209" s="20" t="n">
        <v>3933</v>
      </c>
      <c r="N209" s="20" t="n">
        <v>141</v>
      </c>
      <c r="U209" s="20" t="n">
        <v>-5775</v>
      </c>
      <c r="V209" s="20" t="n">
        <v>-1193</v>
      </c>
      <c r="W209" s="20" t="n">
        <v>-7663</v>
      </c>
      <c r="X209" s="20" t="n">
        <v>3933</v>
      </c>
    </row>
    <row r="210">
      <c r="A210" s="18" t="inlineStr">
        <is>
          <t>미성공사 지출금 등 증감액</t>
        </is>
      </c>
      <c r="D210" s="20" t="n">
        <v>-491</v>
      </c>
      <c r="H210" s="20" t="n">
        <v>453</v>
      </c>
      <c r="L210" s="20" t="n">
        <v>94</v>
      </c>
      <c r="O210" s="20" t="n">
        <v>385</v>
      </c>
      <c r="P210" s="20" t="n">
        <v>-510</v>
      </c>
      <c r="Q210" s="20" t="n">
        <v>-206</v>
      </c>
      <c r="R210" s="20" t="n">
        <v>-22</v>
      </c>
      <c r="S210" s="20" t="n">
        <v>213</v>
      </c>
      <c r="T210" s="20" t="n">
        <v>290</v>
      </c>
      <c r="U210" s="20" t="n">
        <v>-317</v>
      </c>
      <c r="V210" s="20" t="n">
        <v>-491</v>
      </c>
      <c r="W210" s="20" t="n">
        <v>453</v>
      </c>
      <c r="X210" s="20" t="n">
        <v>94</v>
      </c>
    </row>
    <row r="211">
      <c r="A211" s="18" t="inlineStr">
        <is>
          <t>재고자산 증감</t>
        </is>
      </c>
      <c r="F211" s="20" t="n">
        <v>-629</v>
      </c>
      <c r="J211" s="20" t="n">
        <v>-695</v>
      </c>
      <c r="N211" s="20" t="n">
        <v>-141</v>
      </c>
    </row>
    <row r="212">
      <c r="A212" s="18" t="inlineStr">
        <is>
          <t>매입채무 증감</t>
        </is>
      </c>
      <c r="D212" s="20" t="n">
        <v>-1220</v>
      </c>
      <c r="F212" s="20" t="n">
        <v>-1711</v>
      </c>
      <c r="H212" s="20" t="n">
        <v>8</v>
      </c>
      <c r="J212" s="20" t="n">
        <v>-1573</v>
      </c>
      <c r="L212" s="20" t="n">
        <v>-635</v>
      </c>
      <c r="N212" s="20" t="n">
        <v>-2143</v>
      </c>
      <c r="O212" s="20" t="n">
        <v>-2219</v>
      </c>
      <c r="P212" s="20" t="n">
        <v>535</v>
      </c>
      <c r="Q212" s="20" t="n">
        <v>1845</v>
      </c>
      <c r="R212" s="20" t="n">
        <v>-385</v>
      </c>
      <c r="S212" s="20" t="n">
        <v>-5513</v>
      </c>
      <c r="T212" s="20" t="n">
        <v>-9</v>
      </c>
      <c r="U212" s="20" t="n">
        <v>2033</v>
      </c>
      <c r="V212" s="20" t="n">
        <v>-1220</v>
      </c>
      <c r="W212" s="20" t="n">
        <v>8</v>
      </c>
      <c r="X212" s="20" t="n">
        <v>-635</v>
      </c>
    </row>
    <row r="213">
      <c r="A213" s="18" t="inlineStr">
        <is>
          <t>계약부채 증감</t>
        </is>
      </c>
      <c r="S213" s="20" t="n">
        <v>0</v>
      </c>
      <c r="T213" s="20" t="n">
        <v>-36</v>
      </c>
      <c r="U213" s="20" t="n">
        <v>-228</v>
      </c>
    </row>
    <row r="214">
      <c r="A214" s="18" t="inlineStr">
        <is>
          <t>미성공사 선수금 증감(△는 감소)</t>
        </is>
      </c>
      <c r="P214" s="20" t="n">
        <v>1028</v>
      </c>
      <c r="Q214" s="20" t="n">
        <v>-1060</v>
      </c>
      <c r="R214" s="20" t="n">
        <v>111</v>
      </c>
      <c r="S214" s="20" t="n">
        <v>110</v>
      </c>
      <c r="T214" s="20" t="n">
        <v>0</v>
      </c>
    </row>
    <row r="215">
      <c r="A215" s="18" t="inlineStr">
        <is>
          <t>계약부채 증감</t>
        </is>
      </c>
      <c r="D215" s="20" t="n">
        <v>510</v>
      </c>
      <c r="F215" s="20" t="n">
        <v>329</v>
      </c>
      <c r="H215" s="20" t="n">
        <v>545</v>
      </c>
      <c r="J215" s="20" t="n">
        <v>1397</v>
      </c>
      <c r="L215" s="20" t="n">
        <v>704</v>
      </c>
      <c r="N215" s="20" t="n">
        <v>96</v>
      </c>
      <c r="U215" s="20" t="n">
        <v>-228</v>
      </c>
      <c r="V215" s="20" t="n">
        <v>510</v>
      </c>
      <c r="W215" s="20" t="n">
        <v>545</v>
      </c>
      <c r="X215" s="20" t="n">
        <v>704</v>
      </c>
    </row>
    <row r="216">
      <c r="A216" s="18" t="inlineStr">
        <is>
          <t>기타</t>
        </is>
      </c>
      <c r="D216" s="20" t="n">
        <v>-290</v>
      </c>
      <c r="F216" s="20" t="n">
        <v>-92</v>
      </c>
      <c r="H216" s="20" t="n">
        <v>664</v>
      </c>
      <c r="J216" s="20" t="n">
        <v>-631</v>
      </c>
      <c r="L216" s="20" t="n">
        <v>-342</v>
      </c>
      <c r="N216" s="20" t="n">
        <v>-105</v>
      </c>
      <c r="O216" s="20" t="n">
        <v>-56</v>
      </c>
      <c r="P216" s="20" t="n">
        <v>220</v>
      </c>
      <c r="Q216" s="20" t="n">
        <v>104</v>
      </c>
      <c r="R216" s="20" t="n">
        <v>-147</v>
      </c>
      <c r="S216" s="20" t="n">
        <v>-261</v>
      </c>
      <c r="T216" s="20" t="n">
        <v>-84</v>
      </c>
      <c r="U216" s="20" t="n">
        <v>171</v>
      </c>
      <c r="V216" s="20" t="n">
        <v>-290</v>
      </c>
      <c r="W216" s="20" t="n">
        <v>664</v>
      </c>
      <c r="X216" s="20" t="n">
        <v>-342</v>
      </c>
    </row>
    <row r="217">
      <c r="A217" s="18" t="inlineStr">
        <is>
          <t>소계</t>
        </is>
      </c>
      <c r="D217" s="20" t="n">
        <v>-637</v>
      </c>
      <c r="F217" s="20" t="n">
        <v>-3017</v>
      </c>
      <c r="H217" s="20" t="n">
        <v>-2677</v>
      </c>
      <c r="J217" s="20" t="n">
        <v>3045</v>
      </c>
      <c r="L217" s="20" t="n">
        <v>7322</v>
      </c>
      <c r="N217" s="20" t="n">
        <v>-1246</v>
      </c>
      <c r="O217" s="20" t="n">
        <v>1165</v>
      </c>
      <c r="P217" s="20" t="n">
        <v>493</v>
      </c>
      <c r="Q217" s="20" t="n">
        <v>-1069</v>
      </c>
      <c r="R217" s="20" t="n">
        <v>-141</v>
      </c>
      <c r="S217" s="20" t="n">
        <v>3324</v>
      </c>
      <c r="T217" s="20" t="n">
        <v>6172</v>
      </c>
      <c r="U217" s="20" t="n">
        <v>-2280</v>
      </c>
      <c r="V217" s="20" t="n">
        <v>-637</v>
      </c>
      <c r="W217" s="20" t="n">
        <v>-2677</v>
      </c>
      <c r="X217" s="20" t="n">
        <v>7322</v>
      </c>
    </row>
    <row r="218">
      <c r="A218" s="18" t="inlineStr">
        <is>
          <t>이자·배당금 수취</t>
        </is>
      </c>
      <c r="D218" s="20" t="n">
        <v>231</v>
      </c>
      <c r="F218" s="20" t="n">
        <v>130</v>
      </c>
      <c r="H218" s="20" t="n">
        <v>245</v>
      </c>
      <c r="J218" s="20" t="n">
        <v>147</v>
      </c>
      <c r="L218" s="20" t="n">
        <v>238</v>
      </c>
      <c r="N218" s="20" t="n">
        <v>98</v>
      </c>
      <c r="O218" s="20" t="n">
        <v>106</v>
      </c>
      <c r="P218" s="20" t="n">
        <v>127</v>
      </c>
      <c r="Q218" s="20" t="n">
        <v>158</v>
      </c>
      <c r="R218" s="20" t="n">
        <v>159</v>
      </c>
      <c r="S218" s="20" t="n">
        <v>169</v>
      </c>
      <c r="T218" s="20" t="n">
        <v>172</v>
      </c>
      <c r="U218" s="20" t="n">
        <v>196</v>
      </c>
      <c r="V218" s="20" t="n">
        <v>231</v>
      </c>
      <c r="W218" s="20" t="n">
        <v>245</v>
      </c>
      <c r="X218" s="20" t="n">
        <v>238</v>
      </c>
    </row>
    <row r="219">
      <c r="A219" s="18" t="inlineStr">
        <is>
          <t>이자 지급</t>
        </is>
      </c>
      <c r="D219" s="20" t="n">
        <v>-52</v>
      </c>
      <c r="F219" s="20" t="n">
        <v>-29</v>
      </c>
      <c r="H219" s="20" t="n">
        <v>-59</v>
      </c>
      <c r="J219" s="20" t="n">
        <v>-39</v>
      </c>
      <c r="L219" s="20" t="n">
        <v>-75</v>
      </c>
      <c r="N219" s="20" t="n">
        <v>-32</v>
      </c>
      <c r="O219" s="20" t="n">
        <v>-39</v>
      </c>
      <c r="P219" s="20" t="n">
        <v>-36</v>
      </c>
      <c r="Q219" s="20" t="n">
        <v>-31</v>
      </c>
      <c r="R219" s="20" t="n">
        <v>-55</v>
      </c>
      <c r="S219" s="20" t="n">
        <v>-58</v>
      </c>
      <c r="T219" s="20" t="n">
        <v>-41</v>
      </c>
      <c r="U219" s="20" t="n">
        <v>-34</v>
      </c>
      <c r="V219" s="20" t="n">
        <v>-52</v>
      </c>
      <c r="W219" s="20" t="n">
        <v>-59</v>
      </c>
      <c r="X219" s="20" t="n">
        <v>-75</v>
      </c>
    </row>
    <row r="220">
      <c r="A220" s="18" t="inlineStr">
        <is>
          <t>법인세 납부</t>
        </is>
      </c>
      <c r="D220" s="20" t="n">
        <v>-431</v>
      </c>
      <c r="F220" s="20" t="n">
        <v>-730</v>
      </c>
      <c r="H220" s="20" t="n">
        <v>-1204</v>
      </c>
      <c r="J220" s="20" t="n">
        <v>-664</v>
      </c>
      <c r="L220" s="20" t="n">
        <v>-1226</v>
      </c>
      <c r="N220" s="20" t="n">
        <v>-1333</v>
      </c>
      <c r="O220" s="20" t="n">
        <v>-199</v>
      </c>
      <c r="P220" s="20" t="n">
        <v>-207</v>
      </c>
      <c r="Q220" s="20" t="n">
        <v>-406</v>
      </c>
      <c r="R220" s="20" t="n">
        <v>-542</v>
      </c>
      <c r="S220" s="20" t="n">
        <v>-135</v>
      </c>
      <c r="T220" s="20" t="n">
        <v>-213</v>
      </c>
      <c r="U220" s="20" t="n">
        <v>-383</v>
      </c>
      <c r="V220" s="20" t="n">
        <v>-431</v>
      </c>
      <c r="W220" s="20" t="n">
        <v>-1204</v>
      </c>
      <c r="X220" s="20" t="n">
        <v>-1226</v>
      </c>
    </row>
    <row r="221">
      <c r="A221" s="9" t="inlineStr">
        <is>
          <t>영업활동 현금흐름</t>
        </is>
      </c>
      <c r="D221" s="12" t="n">
        <v>-891</v>
      </c>
      <c r="F221" s="12" t="n">
        <v>-3646</v>
      </c>
      <c r="H221" s="12" t="n">
        <v>-3696</v>
      </c>
      <c r="J221" s="12" t="n">
        <v>2488</v>
      </c>
      <c r="L221" s="12" t="n">
        <v>6259</v>
      </c>
      <c r="N221" s="12" t="n">
        <v>-2514</v>
      </c>
      <c r="O221" s="12" t="n">
        <v>1033</v>
      </c>
      <c r="P221" s="12" t="n">
        <v>377</v>
      </c>
      <c r="Q221" s="12" t="n">
        <v>-1348</v>
      </c>
      <c r="R221" s="12" t="n">
        <v>-580</v>
      </c>
      <c r="S221" s="12" t="n">
        <v>3300</v>
      </c>
      <c r="T221" s="12" t="n">
        <v>6090</v>
      </c>
      <c r="U221" s="12" t="n">
        <v>-2500</v>
      </c>
      <c r="V221" s="12" t="n">
        <v>-891</v>
      </c>
      <c r="W221" s="12" t="n">
        <v>-3696</v>
      </c>
      <c r="X221" s="12" t="n">
        <v>6259</v>
      </c>
    </row>
    <row r="222">
      <c r="A222" s="18" t="inlineStr">
        <is>
          <t>정기예금 예입</t>
        </is>
      </c>
      <c r="O222" s="20" t="n">
        <v>0</v>
      </c>
      <c r="P222" s="20" t="n">
        <v>-34</v>
      </c>
      <c r="Q222" s="20" t="n">
        <v>0</v>
      </c>
    </row>
    <row r="223">
      <c r="A223" s="18" t="inlineStr">
        <is>
          <t>유가증권 상환 수입</t>
        </is>
      </c>
      <c r="O223" s="20" t="n">
        <v>210</v>
      </c>
      <c r="P223" s="20" t="n">
        <v>200</v>
      </c>
      <c r="Q223" s="20" t="n">
        <v>100</v>
      </c>
      <c r="R223" s="20" t="n">
        <v>0</v>
      </c>
      <c r="S223" s="20" t="n">
        <v>0</v>
      </c>
      <c r="T223" s="20" t="n">
        <v>200</v>
      </c>
      <c r="U223" s="20" t="n">
        <v>0</v>
      </c>
    </row>
    <row r="224">
      <c r="A224" s="18" t="inlineStr">
        <is>
          <t>유형자산 매각</t>
        </is>
      </c>
      <c r="D224" s="20" t="n">
        <v>389</v>
      </c>
      <c r="H224" s="20" t="n">
        <v>0</v>
      </c>
      <c r="O224" s="20" t="n">
        <v>0</v>
      </c>
      <c r="P224" s="20" t="n">
        <v>30</v>
      </c>
      <c r="Q224" s="20" t="n">
        <v>0</v>
      </c>
      <c r="T224" s="20" t="n">
        <v>0</v>
      </c>
      <c r="U224" s="20" t="n">
        <v>130</v>
      </c>
      <c r="V224" s="20" t="n">
        <v>389</v>
      </c>
      <c r="W224" s="20" t="n">
        <v>0</v>
      </c>
    </row>
    <row r="225">
      <c r="A225" s="18" t="inlineStr">
        <is>
          <t>유형자산 취득(설비투자)</t>
        </is>
      </c>
      <c r="D225" s="20" t="n">
        <v>-1270</v>
      </c>
      <c r="F225" s="20" t="n">
        <v>-513</v>
      </c>
      <c r="H225" s="20" t="n">
        <v>-723</v>
      </c>
      <c r="J225" s="20" t="n">
        <v>-595</v>
      </c>
      <c r="L225" s="20" t="n">
        <v>-846</v>
      </c>
      <c r="N225" s="20" t="n">
        <v>-183</v>
      </c>
      <c r="O225" s="20" t="n">
        <v>-100</v>
      </c>
      <c r="P225" s="20" t="n">
        <v>-375</v>
      </c>
      <c r="Q225" s="20" t="n">
        <v>-377</v>
      </c>
      <c r="R225" s="20" t="n">
        <v>-195</v>
      </c>
      <c r="S225" s="20" t="n">
        <v>-264</v>
      </c>
      <c r="T225" s="20" t="n">
        <v>-127</v>
      </c>
      <c r="U225" s="20" t="n">
        <v>-188</v>
      </c>
      <c r="V225" s="20" t="n">
        <v>-1270</v>
      </c>
      <c r="W225" s="20" t="n">
        <v>-723</v>
      </c>
      <c r="X225" s="20" t="n">
        <v>-846</v>
      </c>
    </row>
    <row r="226">
      <c r="A226" s="18" t="inlineStr">
        <is>
          <t>무형자산 취득</t>
        </is>
      </c>
      <c r="D226" s="20" t="n">
        <v>-65</v>
      </c>
      <c r="F226" s="20" t="n">
        <v>-50</v>
      </c>
      <c r="H226" s="20" t="n">
        <v>-75</v>
      </c>
      <c r="J226" s="20" t="n">
        <v>-34</v>
      </c>
      <c r="L226" s="20" t="n">
        <v>-119</v>
      </c>
      <c r="N226" s="20" t="n">
        <v>-26</v>
      </c>
      <c r="O226" s="20" t="n">
        <v>-13</v>
      </c>
      <c r="P226" s="20" t="n">
        <v>-45</v>
      </c>
      <c r="Q226" s="20" t="n">
        <v>-79</v>
      </c>
      <c r="R226" s="20" t="n">
        <v>-49</v>
      </c>
      <c r="S226" s="20" t="n">
        <v>-178</v>
      </c>
      <c r="T226" s="20" t="n">
        <v>-190</v>
      </c>
      <c r="U226" s="20" t="n">
        <v>-52</v>
      </c>
      <c r="V226" s="20" t="n">
        <v>-65</v>
      </c>
      <c r="W226" s="20" t="n">
        <v>-75</v>
      </c>
      <c r="X226" s="20" t="n">
        <v>-119</v>
      </c>
    </row>
    <row r="227">
      <c r="A227" s="18" t="inlineStr">
        <is>
          <t>투자유가증권 취득</t>
        </is>
      </c>
      <c r="D227" s="20" t="n">
        <v>-5</v>
      </c>
      <c r="F227" s="20" t="n">
        <v>-3</v>
      </c>
      <c r="H227" s="20" t="n">
        <v>-6</v>
      </c>
      <c r="J227" s="20" t="n">
        <v>-3</v>
      </c>
      <c r="L227" s="20" t="n">
        <v>-6</v>
      </c>
      <c r="N227" s="20" t="n">
        <v>-3</v>
      </c>
      <c r="O227" s="20" t="n">
        <v>-3</v>
      </c>
      <c r="P227" s="20" t="n">
        <v>-586</v>
      </c>
      <c r="Q227" s="20" t="n">
        <v>-165</v>
      </c>
      <c r="R227" s="20" t="n">
        <v>-154</v>
      </c>
      <c r="S227" s="20" t="n">
        <v>-4</v>
      </c>
      <c r="T227" s="20" t="n">
        <v>-4</v>
      </c>
      <c r="U227" s="20" t="n">
        <v>-5</v>
      </c>
      <c r="V227" s="20" t="n">
        <v>-5</v>
      </c>
      <c r="W227" s="20" t="n">
        <v>-6</v>
      </c>
      <c r="X227" s="20" t="n">
        <v>-6</v>
      </c>
    </row>
    <row r="228">
      <c r="A228" s="18" t="inlineStr">
        <is>
          <t>투자유가증권 매각</t>
        </is>
      </c>
      <c r="D228" s="20" t="n">
        <v>1500</v>
      </c>
      <c r="F228" s="20" t="n">
        <v>654</v>
      </c>
      <c r="H228" s="20" t="n">
        <v>1460</v>
      </c>
      <c r="J228" s="20" t="n">
        <v>1443</v>
      </c>
      <c r="L228" s="20" t="n">
        <v>3729</v>
      </c>
      <c r="N228" s="20" t="n">
        <v>0</v>
      </c>
      <c r="O228" s="20" t="n">
        <v>279</v>
      </c>
      <c r="P228" s="20" t="n">
        <v>13</v>
      </c>
      <c r="Q228" s="20" t="n">
        <v>43</v>
      </c>
      <c r="R228" s="20" t="n">
        <v>7</v>
      </c>
      <c r="S228" s="20" t="n">
        <v>0</v>
      </c>
      <c r="T228" s="20" t="n">
        <v>486</v>
      </c>
      <c r="U228" s="20" t="n">
        <v>70</v>
      </c>
      <c r="V228" s="20" t="n">
        <v>1500</v>
      </c>
      <c r="W228" s="20" t="n">
        <v>1460</v>
      </c>
      <c r="X228" s="20" t="n">
        <v>3729</v>
      </c>
    </row>
    <row r="229">
      <c r="A229" s="18" t="inlineStr">
        <is>
          <t>기타</t>
        </is>
      </c>
      <c r="D229" s="20" t="n">
        <v>2</v>
      </c>
      <c r="F229" s="20" t="n">
        <v>-2</v>
      </c>
      <c r="H229" s="20" t="n">
        <v>-1</v>
      </c>
      <c r="J229" s="20" t="n">
        <v>-32</v>
      </c>
      <c r="L229" s="20" t="n">
        <v>-72</v>
      </c>
      <c r="N229" s="20" t="n">
        <v>36</v>
      </c>
      <c r="O229" s="20" t="n">
        <v>30</v>
      </c>
      <c r="P229" s="20" t="n">
        <v>-39</v>
      </c>
      <c r="Q229" s="20" t="n">
        <v>0</v>
      </c>
      <c r="R229" s="20" t="n">
        <v>-51</v>
      </c>
      <c r="S229" s="20" t="n">
        <v>-104</v>
      </c>
      <c r="T229" s="20" t="n">
        <v>146</v>
      </c>
      <c r="U229" s="20" t="n">
        <v>-17</v>
      </c>
      <c r="V229" s="20" t="n">
        <v>2</v>
      </c>
      <c r="W229" s="20" t="n">
        <v>-1</v>
      </c>
      <c r="X229" s="20" t="n">
        <v>-72</v>
      </c>
    </row>
    <row r="230">
      <c r="A230" s="9" t="inlineStr">
        <is>
          <t>투자활동 현금흐름</t>
        </is>
      </c>
      <c r="D230" s="12" t="n">
        <v>550</v>
      </c>
      <c r="F230" s="12" t="n">
        <v>85</v>
      </c>
      <c r="H230" s="12" t="n">
        <v>654</v>
      </c>
      <c r="J230" s="12" t="n">
        <v>777</v>
      </c>
      <c r="L230" s="12" t="n">
        <v>2684</v>
      </c>
      <c r="N230" s="12" t="n">
        <v>-177</v>
      </c>
      <c r="O230" s="12" t="n">
        <v>402</v>
      </c>
      <c r="P230" s="12" t="n">
        <v>-837</v>
      </c>
      <c r="Q230" s="12" t="n">
        <v>-478</v>
      </c>
      <c r="R230" s="12" t="n">
        <v>-442</v>
      </c>
      <c r="S230" s="12" t="n">
        <v>-551</v>
      </c>
      <c r="T230" s="12" t="n">
        <v>510</v>
      </c>
      <c r="U230" s="12" t="n">
        <v>-63</v>
      </c>
      <c r="V230" s="12" t="n">
        <v>550</v>
      </c>
      <c r="W230" s="12" t="n">
        <v>654</v>
      </c>
      <c r="X230" s="12" t="n">
        <v>2684</v>
      </c>
    </row>
    <row r="231">
      <c r="A231" s="18" t="inlineStr">
        <is>
          <t>단기차입금 순증감</t>
        </is>
      </c>
      <c r="D231" s="20" t="n">
        <v>3300</v>
      </c>
      <c r="F231" s="20" t="n">
        <v>-2300</v>
      </c>
      <c r="H231" s="20" t="n">
        <v>-3780</v>
      </c>
      <c r="J231" s="20" t="n">
        <v>-2</v>
      </c>
      <c r="L231" s="20" t="n">
        <v>-365</v>
      </c>
      <c r="N231" s="20" t="n">
        <v>185</v>
      </c>
      <c r="O231" s="20" t="n">
        <v>0</v>
      </c>
      <c r="P231" s="20" t="n">
        <v>22</v>
      </c>
      <c r="Q231" s="20" t="n">
        <v>985</v>
      </c>
      <c r="R231" s="20" t="n">
        <v>4992</v>
      </c>
      <c r="S231" s="20" t="n">
        <v>-4000</v>
      </c>
      <c r="T231" s="20" t="n">
        <v>-2000</v>
      </c>
      <c r="U231" s="20" t="n">
        <v>0</v>
      </c>
      <c r="V231" s="20" t="n">
        <v>3300</v>
      </c>
      <c r="W231" s="20" t="n">
        <v>-3780</v>
      </c>
      <c r="X231" s="20" t="n">
        <v>-365</v>
      </c>
    </row>
    <row r="232">
      <c r="A232" s="18" t="inlineStr">
        <is>
          <t>장기차입</t>
        </is>
      </c>
      <c r="D232" s="20" t="n">
        <v>400</v>
      </c>
      <c r="F232" s="20" t="n">
        <v>2400</v>
      </c>
      <c r="H232" s="20" t="n">
        <v>2400</v>
      </c>
      <c r="J232" s="20" t="n">
        <v>200</v>
      </c>
      <c r="L232" s="20" t="n">
        <v>200</v>
      </c>
      <c r="N232" s="20" t="n">
        <v>0</v>
      </c>
      <c r="O232" s="20" t="n">
        <v>400</v>
      </c>
      <c r="P232" s="20" t="n">
        <v>400</v>
      </c>
      <c r="Q232" s="20" t="n">
        <v>400</v>
      </c>
      <c r="R232" s="20" t="n">
        <v>400</v>
      </c>
      <c r="S232" s="20" t="n">
        <v>900</v>
      </c>
      <c r="T232" s="20" t="n">
        <v>400</v>
      </c>
      <c r="U232" s="20" t="n">
        <v>400</v>
      </c>
      <c r="V232" s="20" t="n">
        <v>400</v>
      </c>
      <c r="W232" s="20" t="n">
        <v>2400</v>
      </c>
      <c r="X232" s="20" t="n">
        <v>200</v>
      </c>
    </row>
    <row r="233">
      <c r="A233" s="18" t="inlineStr">
        <is>
          <t>장기차입금 상환</t>
        </is>
      </c>
      <c r="D233" s="20" t="n">
        <v>-400</v>
      </c>
      <c r="F233" s="20" t="n">
        <v>-208</v>
      </c>
      <c r="H233" s="20" t="n">
        <v>-400</v>
      </c>
      <c r="J233" s="20" t="n">
        <v>-458</v>
      </c>
      <c r="L233" s="20" t="n">
        <v>-900</v>
      </c>
      <c r="N233" s="20" t="n">
        <v>-196</v>
      </c>
      <c r="O233" s="20" t="n">
        <v>-400</v>
      </c>
      <c r="P233" s="20" t="n">
        <v>-400</v>
      </c>
      <c r="Q233" s="20" t="n">
        <v>-400</v>
      </c>
      <c r="R233" s="20" t="n">
        <v>-400</v>
      </c>
      <c r="S233" s="20" t="n">
        <v>-900</v>
      </c>
      <c r="T233" s="20" t="n">
        <v>-400</v>
      </c>
      <c r="U233" s="20" t="n">
        <v>-400</v>
      </c>
      <c r="V233" s="20" t="n">
        <v>-400</v>
      </c>
      <c r="W233" s="20" t="n">
        <v>-400</v>
      </c>
      <c r="X233" s="20" t="n">
        <v>-900</v>
      </c>
    </row>
    <row r="234">
      <c r="A234" s="18" t="inlineStr">
        <is>
          <t>배당금 지급</t>
        </is>
      </c>
      <c r="D234" s="20" t="n">
        <v>-530</v>
      </c>
      <c r="F234" s="20" t="n">
        <v>-594</v>
      </c>
      <c r="H234" s="20" t="n">
        <v>-594</v>
      </c>
      <c r="J234" s="20" t="n">
        <v>-1101</v>
      </c>
      <c r="L234" s="20" t="n">
        <v>-1101</v>
      </c>
      <c r="N234" s="20" t="n">
        <v>-1201</v>
      </c>
      <c r="O234" s="20" t="n">
        <v>-467</v>
      </c>
      <c r="P234" s="20" t="n">
        <v>-466</v>
      </c>
      <c r="Q234" s="20" t="n">
        <v>-466</v>
      </c>
      <c r="R234" s="20" t="n">
        <v>-460</v>
      </c>
      <c r="S234" s="20" t="n">
        <v>-460</v>
      </c>
      <c r="T234" s="20" t="n">
        <v>-460</v>
      </c>
      <c r="U234" s="20" t="n">
        <v>-537</v>
      </c>
      <c r="V234" s="20" t="n">
        <v>-530</v>
      </c>
      <c r="W234" s="20" t="n">
        <v>-594</v>
      </c>
      <c r="X234" s="20" t="n">
        <v>-1101</v>
      </c>
    </row>
    <row r="235">
      <c r="A235" s="18" t="inlineStr">
        <is>
          <t>비지배주주 배당금 지급</t>
        </is>
      </c>
      <c r="D235" s="20" t="n">
        <v>-15</v>
      </c>
      <c r="H235" s="20" t="n">
        <v>-13</v>
      </c>
      <c r="J235" s="20" t="n">
        <v>0</v>
      </c>
      <c r="L235" s="20" t="n">
        <v>0</v>
      </c>
      <c r="N235" s="20" t="n">
        <v>-9</v>
      </c>
      <c r="O235" s="20" t="n">
        <v>-14</v>
      </c>
      <c r="P235" s="20" t="n">
        <v>-19</v>
      </c>
      <c r="Q235" s="20" t="n">
        <v>-39</v>
      </c>
      <c r="R235" s="20" t="n">
        <v>-19</v>
      </c>
      <c r="S235" s="20" t="n">
        <v>-19</v>
      </c>
      <c r="T235" s="20" t="n">
        <v>-45</v>
      </c>
      <c r="U235" s="20" t="n">
        <v>-38</v>
      </c>
      <c r="V235" s="20" t="n">
        <v>-15</v>
      </c>
      <c r="W235" s="20" t="n">
        <v>-13</v>
      </c>
      <c r="X235" s="20" t="n">
        <v>0</v>
      </c>
    </row>
    <row r="236">
      <c r="A236" s="18" t="inlineStr">
        <is>
          <t>자기주식 취득</t>
        </is>
      </c>
      <c r="D236" s="20" t="n">
        <v>-302</v>
      </c>
      <c r="F236" s="20" t="n">
        <v>-311</v>
      </c>
      <c r="H236" s="20" t="n">
        <v>-312</v>
      </c>
      <c r="J236" s="20" t="n">
        <v>-401</v>
      </c>
      <c r="L236" s="20" t="n">
        <v>-402</v>
      </c>
      <c r="N236" s="20" t="n">
        <v>-1140</v>
      </c>
      <c r="O236" s="20" t="n">
        <v>-2</v>
      </c>
      <c r="P236" s="20" t="n">
        <v>-5</v>
      </c>
      <c r="Q236" s="20" t="n">
        <v>-199</v>
      </c>
      <c r="R236" s="20" t="n">
        <v>-1</v>
      </c>
      <c r="S236" s="20" t="n">
        <v>-1</v>
      </c>
      <c r="T236" s="20" t="n">
        <v>-2</v>
      </c>
      <c r="U236" s="20" t="n">
        <v>-151</v>
      </c>
      <c r="V236" s="20" t="n">
        <v>-302</v>
      </c>
      <c r="W236" s="20" t="n">
        <v>-312</v>
      </c>
      <c r="X236" s="20" t="n">
        <v>-402</v>
      </c>
    </row>
    <row r="237">
      <c r="A237" s="18" t="inlineStr">
        <is>
          <t>리스부채 상환</t>
        </is>
      </c>
      <c r="J237" s="20" t="n">
        <v>0</v>
      </c>
      <c r="N237" s="20" t="n">
        <v>-55</v>
      </c>
    </row>
    <row r="238">
      <c r="A238" s="9" t="inlineStr">
        <is>
          <t>재무활동 현금흐름</t>
        </is>
      </c>
      <c r="D238" s="12" t="n">
        <v>2451</v>
      </c>
      <c r="F238" s="12" t="n">
        <v>-1014</v>
      </c>
      <c r="H238" s="12" t="n">
        <v>-2701</v>
      </c>
      <c r="J238" s="12" t="n">
        <v>-1762</v>
      </c>
      <c r="L238" s="12" t="n">
        <v>-2569</v>
      </c>
      <c r="N238" s="12" t="n">
        <v>-2417</v>
      </c>
      <c r="O238" s="12" t="n">
        <v>-484</v>
      </c>
      <c r="P238" s="12" t="n">
        <v>-468</v>
      </c>
      <c r="Q238" s="12" t="n">
        <v>279</v>
      </c>
      <c r="R238" s="12" t="n">
        <v>4510</v>
      </c>
      <c r="S238" s="12" t="n">
        <v>-4481</v>
      </c>
      <c r="T238" s="12" t="n">
        <v>-2508</v>
      </c>
      <c r="U238" s="12" t="n">
        <v>-727</v>
      </c>
      <c r="V238" s="12" t="n">
        <v>2451</v>
      </c>
      <c r="W238" s="12" t="n">
        <v>-2701</v>
      </c>
      <c r="X238" s="12" t="n">
        <v>-2569</v>
      </c>
    </row>
    <row r="239">
      <c r="A239" s="18" t="inlineStr">
        <is>
          <t>현금성자산 환산차이</t>
        </is>
      </c>
      <c r="D239" s="20" t="n">
        <v>63</v>
      </c>
      <c r="F239" s="20" t="n">
        <v>78</v>
      </c>
      <c r="H239" s="20" t="n">
        <v>72</v>
      </c>
      <c r="J239" s="20" t="n">
        <v>-44</v>
      </c>
      <c r="L239" s="20" t="n">
        <v>54</v>
      </c>
      <c r="N239" s="20" t="n">
        <v>27</v>
      </c>
      <c r="O239" s="20" t="n">
        <v>-31</v>
      </c>
      <c r="P239" s="20" t="n">
        <v>18</v>
      </c>
      <c r="Q239" s="20" t="n">
        <v>-39</v>
      </c>
      <c r="R239" s="20" t="n">
        <v>0</v>
      </c>
      <c r="S239" s="20" t="n">
        <v>-2</v>
      </c>
      <c r="T239" s="20" t="n">
        <v>110</v>
      </c>
      <c r="U239" s="20" t="n">
        <v>44</v>
      </c>
      <c r="V239" s="20" t="n">
        <v>63</v>
      </c>
      <c r="W239" s="20" t="n">
        <v>72</v>
      </c>
      <c r="X239" s="20" t="n">
        <v>54</v>
      </c>
    </row>
    <row r="240">
      <c r="A240" s="18" t="inlineStr">
        <is>
          <t>현금성자산 증감</t>
        </is>
      </c>
      <c r="D240" s="20" t="n">
        <v>2174</v>
      </c>
      <c r="F240" s="20" t="n">
        <v>-4497</v>
      </c>
      <c r="H240" s="20" t="n">
        <v>-5671</v>
      </c>
      <c r="J240" s="20" t="n">
        <v>1459</v>
      </c>
      <c r="L240" s="20" t="n">
        <v>6428</v>
      </c>
      <c r="N240" s="20" t="n">
        <v>-5081</v>
      </c>
      <c r="O240" s="20" t="n">
        <v>920</v>
      </c>
      <c r="P240" s="20" t="n">
        <v>-910</v>
      </c>
      <c r="Q240" s="20" t="n">
        <v>-1587</v>
      </c>
      <c r="R240" s="20" t="n">
        <v>3488</v>
      </c>
      <c r="S240" s="20" t="n">
        <v>-1735</v>
      </c>
      <c r="T240" s="20" t="n">
        <v>4203</v>
      </c>
      <c r="U240" s="20" t="n">
        <v>-3247</v>
      </c>
      <c r="V240" s="20" t="n">
        <v>2174</v>
      </c>
      <c r="W240" s="20" t="n">
        <v>-5671</v>
      </c>
      <c r="X240" s="20" t="n">
        <v>6428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1964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33918</v>
      </c>
      <c r="D5" s="12" t="n">
        <v>33850</v>
      </c>
      <c r="E5" s="12" t="n">
        <v>38569</v>
      </c>
      <c r="F5" s="12" t="n">
        <v>33622</v>
      </c>
      <c r="G5" s="12" t="n">
        <v>33540</v>
      </c>
      <c r="H5" s="11" t="n">
        <v>27271</v>
      </c>
      <c r="I5" s="12" t="n">
        <v>30214</v>
      </c>
      <c r="J5" s="12" t="n">
        <v>34252</v>
      </c>
      <c r="K5" s="12" t="n">
        <v>35982</v>
      </c>
      <c r="L5" s="12" t="n">
        <v>38569</v>
      </c>
    </row>
    <row r="6">
      <c r="A6" s="18" t="inlineStr">
        <is>
          <t>현금및현금성자산</t>
        </is>
      </c>
      <c r="B6" s="10" t="n"/>
      <c r="C6" s="19" t="n">
        <v>5853</v>
      </c>
      <c r="D6" s="20" t="n">
        <v>6726</v>
      </c>
      <c r="E6" s="20" t="n">
        <v>10821</v>
      </c>
      <c r="F6" s="20" t="n">
        <v>7674</v>
      </c>
      <c r="G6" s="20" t="n">
        <v>5715</v>
      </c>
      <c r="H6" s="19" t="n">
        <v>11130</v>
      </c>
      <c r="I6" s="20" t="n">
        <v>7884</v>
      </c>
      <c r="J6" s="20" t="n">
        <v>10061</v>
      </c>
      <c r="K6" s="20" t="n">
        <v>4392</v>
      </c>
      <c r="L6" s="20" t="n">
        <v>10821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25510</v>
      </c>
      <c r="D8" s="20" t="n">
        <v>24419</v>
      </c>
      <c r="E8" s="20" t="n">
        <v>25859</v>
      </c>
      <c r="F8" s="20" t="n">
        <v>23589</v>
      </c>
      <c r="G8" s="20" t="n">
        <v>25797</v>
      </c>
      <c r="H8" s="19" t="n">
        <v>14852</v>
      </c>
      <c r="I8" s="20" t="n">
        <v>20693</v>
      </c>
      <c r="J8" s="20" t="n">
        <v>21960</v>
      </c>
      <c r="K8" s="20" t="n">
        <v>29720</v>
      </c>
      <c r="L8" s="20" t="n">
        <v>25859</v>
      </c>
    </row>
    <row r="9">
      <c r="A9" s="18" t="inlineStr">
        <is>
          <t>재고자산</t>
        </is>
      </c>
      <c r="B9" s="10" t="n"/>
      <c r="C9" s="19" t="n">
        <v>2377</v>
      </c>
      <c r="D9" s="20" t="n">
        <v>2424</v>
      </c>
      <c r="E9" s="20" t="n">
        <v>1670</v>
      </c>
      <c r="F9" s="20" t="n">
        <v>1991</v>
      </c>
      <c r="G9" s="20" t="n">
        <v>1838</v>
      </c>
      <c r="H9" s="19" t="n">
        <v>1208</v>
      </c>
      <c r="I9" s="20" t="n">
        <v>1560</v>
      </c>
      <c r="J9" s="20" t="n">
        <v>2105</v>
      </c>
      <c r="K9" s="20" t="n">
        <v>1731</v>
      </c>
      <c r="L9" s="20" t="n">
        <v>1670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13738</v>
      </c>
      <c r="D11" s="12" t="n">
        <v>12938</v>
      </c>
      <c r="E11" s="12" t="n">
        <v>12712</v>
      </c>
      <c r="F11" s="12" t="n">
        <v>13208</v>
      </c>
      <c r="G11" s="12" t="n">
        <v>13875</v>
      </c>
      <c r="H11" s="11" t="n">
        <v>10870</v>
      </c>
      <c r="I11" s="12" t="n">
        <v>10963</v>
      </c>
      <c r="J11" s="12" t="n">
        <v>14611</v>
      </c>
      <c r="K11" s="12" t="n">
        <v>12754</v>
      </c>
      <c r="L11" s="12" t="n">
        <v>12712</v>
      </c>
    </row>
    <row r="12">
      <c r="A12" s="18" t="inlineStr">
        <is>
          <t>유형자산</t>
        </is>
      </c>
      <c r="B12" s="10" t="n"/>
      <c r="C12" s="19" t="n">
        <v>5760</v>
      </c>
      <c r="D12" s="20" t="n">
        <v>5911</v>
      </c>
      <c r="E12" s="20" t="n">
        <v>5815</v>
      </c>
      <c r="F12" s="20" t="n">
        <v>5779</v>
      </c>
      <c r="G12" s="20" t="n">
        <v>5913</v>
      </c>
      <c r="H12" s="19" t="n">
        <v>4182</v>
      </c>
      <c r="I12" s="20" t="n">
        <v>4124</v>
      </c>
      <c r="J12" s="20" t="n">
        <v>4845</v>
      </c>
      <c r="K12" s="20" t="n">
        <v>5053</v>
      </c>
      <c r="L12" s="20" t="n">
        <v>5815</v>
      </c>
    </row>
    <row r="13">
      <c r="A13" s="18" t="inlineStr">
        <is>
          <t>무형자산</t>
        </is>
      </c>
      <c r="B13" s="10" t="n"/>
      <c r="C13" s="19" t="n">
        <v>200</v>
      </c>
      <c r="D13" s="20" t="n">
        <v>206</v>
      </c>
      <c r="E13" s="20" t="n">
        <v>224</v>
      </c>
      <c r="F13" s="20" t="n">
        <v>216</v>
      </c>
      <c r="G13" s="20" t="n">
        <v>198</v>
      </c>
      <c r="H13" s="19" t="n">
        <v>363</v>
      </c>
      <c r="I13" s="20" t="n">
        <v>291</v>
      </c>
      <c r="J13" s="20" t="n">
        <v>256</v>
      </c>
      <c r="K13" s="20" t="n">
        <v>208</v>
      </c>
      <c r="L13" s="20" t="n">
        <v>224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47656</v>
      </c>
      <c r="D16" s="12" t="n">
        <v>46788</v>
      </c>
      <c r="E16" s="12" t="n">
        <v>51282</v>
      </c>
      <c r="F16" s="12" t="n">
        <v>46830</v>
      </c>
      <c r="G16" s="12" t="n">
        <v>47416</v>
      </c>
      <c r="H16" s="11" t="n">
        <v>38141</v>
      </c>
      <c r="I16" s="12" t="n">
        <v>41178</v>
      </c>
      <c r="J16" s="12" t="n">
        <v>48863</v>
      </c>
      <c r="K16" s="12" t="n">
        <v>48736</v>
      </c>
      <c r="L16" s="12" t="n">
        <v>51282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14396</v>
      </c>
      <c r="D18" s="12" t="n">
        <v>13064</v>
      </c>
      <c r="E18" s="12" t="n">
        <v>15442</v>
      </c>
      <c r="F18" s="12" t="n">
        <v>12948</v>
      </c>
      <c r="G18" s="12" t="n">
        <v>12519</v>
      </c>
      <c r="H18" s="11" t="n">
        <v>12449</v>
      </c>
      <c r="I18" s="12" t="n">
        <v>14538</v>
      </c>
      <c r="J18" s="12" t="n">
        <v>17517</v>
      </c>
      <c r="K18" s="12" t="n">
        <v>15233</v>
      </c>
      <c r="L18" s="12" t="n">
        <v>15442</v>
      </c>
    </row>
    <row r="19">
      <c r="A19" s="18" t="inlineStr">
        <is>
          <t>매입채무</t>
        </is>
      </c>
      <c r="B19" s="10" t="n"/>
      <c r="C19" s="19" t="n">
        <v>5640</v>
      </c>
      <c r="D19" s="20" t="n">
        <v>4480</v>
      </c>
      <c r="E19" s="20" t="n">
        <v>6887</v>
      </c>
      <c r="F19" s="20" t="n">
        <v>4103</v>
      </c>
      <c r="G19" s="20" t="n">
        <v>5193</v>
      </c>
      <c r="H19" s="19" t="n">
        <v>5903</v>
      </c>
      <c r="I19" s="20" t="n">
        <v>7860</v>
      </c>
      <c r="J19" s="20" t="n">
        <v>6791</v>
      </c>
      <c r="K19" s="20" t="n">
        <v>7441</v>
      </c>
      <c r="L19" s="20" t="n">
        <v>6887</v>
      </c>
    </row>
    <row r="20">
      <c r="A20" s="18" t="inlineStr">
        <is>
          <t>단기차입금</t>
        </is>
      </c>
      <c r="B20" s="10" t="n"/>
      <c r="C20" s="19" t="n">
        <v>2548</v>
      </c>
      <c r="D20" s="20" t="n">
        <v>2466</v>
      </c>
      <c r="E20" s="20" t="n">
        <v>1921</v>
      </c>
      <c r="F20" s="20" t="n">
        <v>2392</v>
      </c>
      <c r="G20" s="20" t="n">
        <v>2077</v>
      </c>
      <c r="H20" s="19" t="n">
        <v>2800</v>
      </c>
      <c r="I20" s="20" t="n">
        <v>2800</v>
      </c>
      <c r="J20" s="20" t="n">
        <v>6100</v>
      </c>
      <c r="K20" s="20" t="n">
        <v>2569</v>
      </c>
      <c r="L20" s="20" t="n">
        <v>1921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4926</v>
      </c>
      <c r="D23" s="12" t="n">
        <v>4581</v>
      </c>
      <c r="E23" s="12" t="n">
        <v>4358</v>
      </c>
      <c r="F23" s="12" t="n">
        <v>4468</v>
      </c>
      <c r="G23" s="12" t="n">
        <v>4867</v>
      </c>
      <c r="H23" s="11" t="n">
        <v>2480</v>
      </c>
      <c r="I23" s="12" t="n">
        <v>2598</v>
      </c>
      <c r="J23" s="12" t="n">
        <v>3577</v>
      </c>
      <c r="K23" s="12" t="n">
        <v>4893</v>
      </c>
      <c r="L23" s="12" t="n">
        <v>4358</v>
      </c>
    </row>
    <row r="24">
      <c r="A24" s="18" t="inlineStr">
        <is>
          <t>장기차입금</t>
        </is>
      </c>
      <c r="B24" s="10" t="n"/>
      <c r="C24" s="19" t="n">
        <v>2692</v>
      </c>
      <c r="D24" s="20" t="n">
        <v>2608</v>
      </c>
      <c r="E24" s="20" t="n">
        <v>2524</v>
      </c>
      <c r="F24" s="20" t="n">
        <v>2444</v>
      </c>
      <c r="G24" s="20" t="n">
        <v>2376</v>
      </c>
      <c r="H24" s="19" t="n">
        <v>1188</v>
      </c>
      <c r="I24" s="20" t="n">
        <v>1188</v>
      </c>
      <c r="J24" s="20" t="n">
        <v>1188</v>
      </c>
      <c r="K24" s="20" t="n">
        <v>2938</v>
      </c>
      <c r="L24" s="20" t="n">
        <v>2524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19322</v>
      </c>
      <c r="D27" s="12" t="n">
        <v>17646</v>
      </c>
      <c r="E27" s="12" t="n">
        <v>19800</v>
      </c>
      <c r="F27" s="12" t="n">
        <v>17416</v>
      </c>
      <c r="G27" s="12" t="n">
        <v>17387</v>
      </c>
      <c r="H27" s="11" t="n">
        <v>14929</v>
      </c>
      <c r="I27" s="12" t="n">
        <v>17136</v>
      </c>
      <c r="J27" s="12" t="n">
        <v>21094</v>
      </c>
      <c r="K27" s="12" t="n">
        <v>20127</v>
      </c>
      <c r="L27" s="12" t="n">
        <v>19800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28117</v>
      </c>
      <c r="D31" s="12" t="n">
        <v>28875</v>
      </c>
      <c r="E31" s="12" t="n">
        <v>31201</v>
      </c>
      <c r="F31" s="12" t="n">
        <v>29159</v>
      </c>
      <c r="G31" s="12" t="n">
        <v>29800</v>
      </c>
      <c r="H31" s="11" t="n">
        <v>23068</v>
      </c>
      <c r="I31" s="12" t="n">
        <v>23860</v>
      </c>
      <c r="J31" s="12" t="n">
        <v>27570</v>
      </c>
      <c r="K31" s="12" t="n">
        <v>28329</v>
      </c>
      <c r="L31" s="12" t="n">
        <v>31201</v>
      </c>
    </row>
    <row r="32">
      <c r="A32" s="18" t="inlineStr">
        <is>
          <t>자본금</t>
        </is>
      </c>
      <c r="B32" s="10" t="n"/>
      <c r="C32" s="19" t="n">
        <v>6176</v>
      </c>
      <c r="D32" s="20" t="n">
        <v>6176</v>
      </c>
      <c r="E32" s="20" t="n">
        <v>6176</v>
      </c>
      <c r="F32" s="20" t="n">
        <v>6176</v>
      </c>
      <c r="G32" s="20" t="n">
        <v>6176</v>
      </c>
      <c r="H32" s="19" t="n">
        <v>6176</v>
      </c>
      <c r="I32" s="20" t="n">
        <v>6176</v>
      </c>
      <c r="J32" s="20" t="n">
        <v>6176</v>
      </c>
      <c r="K32" s="20" t="n">
        <v>6176</v>
      </c>
      <c r="L32" s="20" t="n">
        <v>6176</v>
      </c>
    </row>
    <row r="33">
      <c r="A33" s="18" t="inlineStr">
        <is>
          <t>이익잉여금</t>
        </is>
      </c>
      <c r="B33" s="10" t="n"/>
      <c r="C33" s="19" t="n">
        <v>17799</v>
      </c>
      <c r="D33" s="20" t="n">
        <v>19077</v>
      </c>
      <c r="E33" s="20" t="n">
        <v>21412</v>
      </c>
      <c r="F33" s="20" t="n">
        <v>20136</v>
      </c>
      <c r="G33" s="20" t="n">
        <v>20496</v>
      </c>
      <c r="H33" s="19" t="n">
        <v>13081</v>
      </c>
      <c r="I33" s="20" t="n">
        <v>13775</v>
      </c>
      <c r="J33" s="20" t="n">
        <v>15441</v>
      </c>
      <c r="K33" s="20" t="n">
        <v>17845</v>
      </c>
      <c r="L33" s="20" t="n">
        <v>21412</v>
      </c>
    </row>
    <row r="34">
      <c r="A34" s="18" t="inlineStr">
        <is>
          <t>비지배지분</t>
        </is>
      </c>
      <c r="B34" s="10" t="n"/>
      <c r="C34" s="19" t="n">
        <v>216</v>
      </c>
      <c r="D34" s="20" t="n">
        <v>267</v>
      </c>
      <c r="E34" s="20" t="n">
        <v>280</v>
      </c>
      <c r="F34" s="20" t="n">
        <v>255</v>
      </c>
      <c r="G34" s="20" t="n">
        <v>228</v>
      </c>
      <c r="H34" s="19" t="n">
        <v>143</v>
      </c>
      <c r="I34" s="20" t="n">
        <v>181</v>
      </c>
      <c r="J34" s="20" t="n">
        <v>198</v>
      </c>
      <c r="K34" s="20" t="n">
        <v>280</v>
      </c>
      <c r="L34" s="20" t="n">
        <v>280</v>
      </c>
    </row>
    <row r="35">
      <c r="A35" s="9" t="inlineStr">
        <is>
          <t>자본총계</t>
        </is>
      </c>
      <c r="B35" s="10" t="n"/>
      <c r="C35" s="11" t="n">
        <v>28333</v>
      </c>
      <c r="D35" s="12" t="n">
        <v>29142</v>
      </c>
      <c r="E35" s="12" t="n">
        <v>31481</v>
      </c>
      <c r="F35" s="12" t="n">
        <v>29414</v>
      </c>
      <c r="G35" s="12" t="n">
        <v>30028</v>
      </c>
      <c r="H35" s="11" t="n">
        <v>23211</v>
      </c>
      <c r="I35" s="12" t="n">
        <v>24041</v>
      </c>
      <c r="J35" s="12" t="n">
        <v>27768</v>
      </c>
      <c r="K35" s="12" t="n">
        <v>28609</v>
      </c>
      <c r="L35" s="12" t="n">
        <v>31481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2438</v>
      </c>
      <c r="D37" s="12" t="n"/>
      <c r="E37" s="12" t="n">
        <v>6259</v>
      </c>
      <c r="F37" s="12" t="n"/>
      <c r="G37" s="12" t="n">
        <v>1257</v>
      </c>
      <c r="H37" s="11" t="n">
        <v>6090</v>
      </c>
      <c r="I37" s="12" t="n">
        <v>-2500</v>
      </c>
      <c r="J37" s="12" t="n">
        <v>-891</v>
      </c>
      <c r="K37" s="12" t="n">
        <v>-3696</v>
      </c>
      <c r="L37" s="12" t="n">
        <v>6259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864</v>
      </c>
      <c r="D38" s="20" t="n"/>
      <c r="E38" s="20" t="n">
        <v>965</v>
      </c>
      <c r="F38" s="20" t="n"/>
      <c r="G38" s="20" t="n">
        <v>545</v>
      </c>
      <c r="H38" s="19" t="n">
        <v>317</v>
      </c>
      <c r="I38" s="20" t="n">
        <v>240</v>
      </c>
      <c r="J38" s="20" t="n">
        <v>1335</v>
      </c>
      <c r="K38" s="20" t="n">
        <v>798</v>
      </c>
      <c r="L38" s="20" t="n">
        <v>965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1101</v>
      </c>
      <c r="D40" s="20" t="n"/>
      <c r="E40" s="20" t="n">
        <v>1101</v>
      </c>
      <c r="F40" s="20" t="n"/>
      <c r="G40" s="20" t="n">
        <v>1201</v>
      </c>
      <c r="H40" s="19" t="n">
        <v>460</v>
      </c>
      <c r="I40" s="20" t="n">
        <v>537</v>
      </c>
      <c r="J40" s="20" t="n">
        <v>530</v>
      </c>
      <c r="K40" s="20" t="n">
        <v>594</v>
      </c>
      <c r="L40" s="20" t="n">
        <v>1101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5853</v>
      </c>
      <c r="D71" s="20" t="n">
        <v>6726</v>
      </c>
      <c r="E71" s="20" t="n">
        <v>10821</v>
      </c>
      <c r="F71" s="20" t="n">
        <v>7674</v>
      </c>
      <c r="G71" s="20" t="n">
        <v>5715</v>
      </c>
      <c r="H71" s="20" t="n">
        <v>11130</v>
      </c>
      <c r="I71" s="20" t="n">
        <v>7884</v>
      </c>
      <c r="J71" s="20" t="n">
        <v>10061</v>
      </c>
      <c r="K71" s="20" t="n">
        <v>4392</v>
      </c>
      <c r="L71" s="20" t="n">
        <v>10821</v>
      </c>
    </row>
    <row r="72">
      <c r="A72" s="18" t="inlineStr">
        <is>
          <t>받을어음·매출채권·계약자산</t>
        </is>
      </c>
      <c r="C72" s="20" t="n">
        <v>25510</v>
      </c>
      <c r="D72" s="20" t="n">
        <v>24419</v>
      </c>
      <c r="E72" s="20" t="n">
        <v>25859</v>
      </c>
      <c r="F72" s="20" t="n">
        <v>23589</v>
      </c>
      <c r="G72" s="20" t="n">
        <v>25797</v>
      </c>
      <c r="H72" s="20" t="n">
        <v>14852</v>
      </c>
      <c r="I72" s="20" t="n">
        <v>20693</v>
      </c>
      <c r="J72" s="20" t="n">
        <v>21960</v>
      </c>
      <c r="K72" s="20" t="n">
        <v>29720</v>
      </c>
      <c r="L72" s="20" t="n">
        <v>25859</v>
      </c>
    </row>
    <row r="73">
      <c r="A73" s="18" t="inlineStr">
        <is>
          <t>받을어음·매출채권</t>
        </is>
      </c>
      <c r="H73" s="20" t="n">
        <v>0</v>
      </c>
    </row>
    <row r="74">
      <c r="A74" s="18" t="inlineStr">
        <is>
          <t>유가증권</t>
        </is>
      </c>
      <c r="H74" s="20" t="n">
        <v>0</v>
      </c>
    </row>
    <row r="75">
      <c r="A75" s="18" t="inlineStr">
        <is>
          <t>미성공사 지출금 등</t>
        </is>
      </c>
      <c r="E75" s="20" t="n">
        <v>1670</v>
      </c>
      <c r="H75" s="20" t="n">
        <v>1208</v>
      </c>
      <c r="I75" s="20" t="n">
        <v>1560</v>
      </c>
      <c r="J75" s="20" t="n">
        <v>2105</v>
      </c>
      <c r="K75" s="20" t="n">
        <v>1731</v>
      </c>
      <c r="L75" s="20" t="n">
        <v>1670</v>
      </c>
    </row>
    <row r="76">
      <c r="A76" s="18" t="inlineStr">
        <is>
          <t>재고자산</t>
        </is>
      </c>
      <c r="C76" s="20" t="n">
        <v>2377</v>
      </c>
      <c r="D76" s="20" t="n">
        <v>2424</v>
      </c>
      <c r="E76" s="20" t="n">
        <v>1670</v>
      </c>
      <c r="F76" s="20" t="n">
        <v>1991</v>
      </c>
      <c r="G76" s="20" t="n">
        <v>1838</v>
      </c>
      <c r="H76" s="20" t="n">
        <v>1208</v>
      </c>
      <c r="I76" s="20" t="n">
        <v>1560</v>
      </c>
      <c r="J76" s="20" t="n">
        <v>2105</v>
      </c>
      <c r="K76" s="20" t="n">
        <v>1731</v>
      </c>
      <c r="L76" s="20" t="n">
        <v>1670</v>
      </c>
    </row>
    <row r="77">
      <c r="A77" s="18" t="inlineStr">
        <is>
          <t>기타</t>
        </is>
      </c>
      <c r="C77" s="20" t="n">
        <v>179</v>
      </c>
      <c r="D77" s="20" t="n">
        <v>283</v>
      </c>
      <c r="E77" s="20" t="n">
        <v>219</v>
      </c>
      <c r="F77" s="20" t="n">
        <v>369</v>
      </c>
      <c r="G77" s="20" t="n">
        <v>196</v>
      </c>
      <c r="H77" s="20" t="n">
        <v>83</v>
      </c>
      <c r="I77" s="20" t="n">
        <v>81</v>
      </c>
      <c r="J77" s="20" t="n">
        <v>125</v>
      </c>
      <c r="K77" s="20" t="n">
        <v>137</v>
      </c>
      <c r="L77" s="20" t="n">
        <v>219</v>
      </c>
    </row>
    <row r="78">
      <c r="A78" s="18" t="inlineStr">
        <is>
          <t>대손충당금</t>
        </is>
      </c>
      <c r="C78" s="20" t="n">
        <v>-1</v>
      </c>
      <c r="D78" s="20" t="n">
        <v>-1</v>
      </c>
      <c r="E78" s="20" t="n">
        <v>-1</v>
      </c>
      <c r="F78" s="20" t="n">
        <v>-1</v>
      </c>
      <c r="G78" s="20" t="n">
        <v>-7</v>
      </c>
      <c r="H78" s="20" t="n">
        <v>-3</v>
      </c>
      <c r="I78" s="20" t="n">
        <v>-4</v>
      </c>
      <c r="J78" s="20" t="n">
        <v>-0</v>
      </c>
      <c r="K78" s="20" t="n">
        <v>-0</v>
      </c>
      <c r="L78" s="20" t="n">
        <v>-1</v>
      </c>
    </row>
    <row r="79">
      <c r="A79" s="9" t="inlineStr">
        <is>
          <t>유동자산 합계</t>
        </is>
      </c>
      <c r="C79" s="12" t="n">
        <v>33918</v>
      </c>
      <c r="D79" s="12" t="n">
        <v>33850</v>
      </c>
      <c r="E79" s="12" t="n">
        <v>38569</v>
      </c>
      <c r="F79" s="12" t="n">
        <v>33622</v>
      </c>
      <c r="G79" s="12" t="n">
        <v>33540</v>
      </c>
      <c r="H79" s="12" t="n">
        <v>27271</v>
      </c>
      <c r="I79" s="12" t="n">
        <v>30214</v>
      </c>
      <c r="J79" s="12" t="n">
        <v>34252</v>
      </c>
      <c r="K79" s="12" t="n">
        <v>35982</v>
      </c>
      <c r="L79" s="12" t="n">
        <v>38569</v>
      </c>
    </row>
    <row r="80">
      <c r="A80" s="18" t="inlineStr">
        <is>
          <t>건물·구축물</t>
        </is>
      </c>
      <c r="E80" s="20" t="n">
        <v>7049</v>
      </c>
      <c r="H80" s="20" t="n">
        <v>6122</v>
      </c>
      <c r="I80" s="20" t="n">
        <v>5761</v>
      </c>
      <c r="J80" s="20" t="n">
        <v>6053</v>
      </c>
      <c r="K80" s="20" t="n">
        <v>6062</v>
      </c>
      <c r="L80" s="20" t="n">
        <v>7049</v>
      </c>
    </row>
    <row r="81">
      <c r="A81" s="18" t="inlineStr">
        <is>
          <t>감가상각누계액</t>
        </is>
      </c>
      <c r="E81" s="20" t="n">
        <v>-4443</v>
      </c>
      <c r="H81" s="20" t="n">
        <v>-4591</v>
      </c>
      <c r="I81" s="20" t="n">
        <v>-4363</v>
      </c>
      <c r="J81" s="20" t="n">
        <v>-4227</v>
      </c>
      <c r="K81" s="20" t="n">
        <v>-4321</v>
      </c>
      <c r="L81" s="20" t="n">
        <v>-4443</v>
      </c>
    </row>
    <row r="82">
      <c r="A82" s="18" t="inlineStr">
        <is>
          <t>건물·구축물(순액)</t>
        </is>
      </c>
      <c r="E82" s="20" t="n">
        <v>2606</v>
      </c>
      <c r="H82" s="20" t="n">
        <v>1531</v>
      </c>
      <c r="I82" s="20" t="n">
        <v>1398</v>
      </c>
      <c r="J82" s="20" t="n">
        <v>1826</v>
      </c>
      <c r="K82" s="20" t="n">
        <v>1741</v>
      </c>
      <c r="L82" s="20" t="n">
        <v>2606</v>
      </c>
    </row>
    <row r="83">
      <c r="A83" s="18" t="inlineStr">
        <is>
          <t>기계장치·운반구</t>
        </is>
      </c>
      <c r="E83" s="20" t="n">
        <v>2540</v>
      </c>
      <c r="H83" s="20" t="n">
        <v>2171</v>
      </c>
      <c r="I83" s="20" t="n">
        <v>2142</v>
      </c>
      <c r="J83" s="20" t="n">
        <v>2466</v>
      </c>
      <c r="K83" s="20" t="n">
        <v>2502</v>
      </c>
      <c r="L83" s="20" t="n">
        <v>2540</v>
      </c>
    </row>
    <row r="84">
      <c r="A84" s="18" t="inlineStr">
        <is>
          <t>감가상각누계액</t>
        </is>
      </c>
      <c r="E84" s="20" t="n">
        <v>-2103</v>
      </c>
      <c r="H84" s="20" t="n">
        <v>-1841</v>
      </c>
      <c r="I84" s="20" t="n">
        <v>-1856</v>
      </c>
      <c r="J84" s="20" t="n">
        <v>-1841</v>
      </c>
      <c r="K84" s="20" t="n">
        <v>-1987</v>
      </c>
      <c r="L84" s="20" t="n">
        <v>-2103</v>
      </c>
    </row>
    <row r="85">
      <c r="A85" s="18" t="inlineStr">
        <is>
          <t>기계장치·운반구(순액)</t>
        </is>
      </c>
      <c r="E85" s="20" t="n">
        <v>437</v>
      </c>
      <c r="H85" s="20" t="n">
        <v>329</v>
      </c>
      <c r="I85" s="20" t="n">
        <v>286</v>
      </c>
      <c r="J85" s="20" t="n">
        <v>625</v>
      </c>
      <c r="K85" s="20" t="n">
        <v>514</v>
      </c>
      <c r="L85" s="20" t="n">
        <v>437</v>
      </c>
    </row>
    <row r="86">
      <c r="A86" s="18" t="inlineStr">
        <is>
          <t>토지</t>
        </is>
      </c>
      <c r="E86" s="20" t="n">
        <v>2156</v>
      </c>
      <c r="H86" s="20" t="n">
        <v>2090</v>
      </c>
      <c r="I86" s="20" t="n">
        <v>2081</v>
      </c>
      <c r="J86" s="20" t="n">
        <v>1912</v>
      </c>
      <c r="K86" s="20" t="n">
        <v>2156</v>
      </c>
      <c r="L86" s="20" t="n">
        <v>2156</v>
      </c>
    </row>
    <row r="87">
      <c r="A87" s="18" t="inlineStr">
        <is>
          <t>건설중인자산</t>
        </is>
      </c>
      <c r="E87" s="20" t="n">
        <v>35</v>
      </c>
      <c r="H87" s="20" t="n">
        <v>38</v>
      </c>
      <c r="I87" s="20" t="n">
        <v>67</v>
      </c>
      <c r="J87" s="20" t="n">
        <v>106</v>
      </c>
      <c r="K87" s="20" t="n">
        <v>228</v>
      </c>
      <c r="L87" s="20" t="n">
        <v>35</v>
      </c>
    </row>
    <row r="88">
      <c r="A88" s="18" t="inlineStr">
        <is>
          <t>기타</t>
        </is>
      </c>
      <c r="E88" s="20" t="n">
        <v>1739</v>
      </c>
      <c r="H88" s="20" t="n">
        <v>1160</v>
      </c>
      <c r="I88" s="20" t="n">
        <v>1330</v>
      </c>
      <c r="J88" s="20" t="n">
        <v>1474</v>
      </c>
      <c r="K88" s="20" t="n">
        <v>1522</v>
      </c>
      <c r="L88" s="20" t="n">
        <v>1739</v>
      </c>
    </row>
    <row r="89">
      <c r="A89" s="18" t="inlineStr">
        <is>
          <t>감가상각누계액</t>
        </is>
      </c>
      <c r="E89" s="20" t="n">
        <v>-1160</v>
      </c>
      <c r="H89" s="20" t="n">
        <v>-967</v>
      </c>
      <c r="I89" s="20" t="n">
        <v>-1039</v>
      </c>
      <c r="J89" s="20" t="n">
        <v>-1100</v>
      </c>
      <c r="K89" s="20" t="n">
        <v>-1109</v>
      </c>
      <c r="L89" s="20" t="n">
        <v>-1160</v>
      </c>
    </row>
    <row r="90">
      <c r="A90" s="18" t="inlineStr">
        <is>
          <t>기타(순액)</t>
        </is>
      </c>
      <c r="E90" s="20" t="n">
        <v>579</v>
      </c>
      <c r="H90" s="20" t="n">
        <v>193</v>
      </c>
      <c r="I90" s="20" t="n">
        <v>290</v>
      </c>
      <c r="J90" s="20" t="n">
        <v>374</v>
      </c>
      <c r="K90" s="20" t="n">
        <v>413</v>
      </c>
      <c r="L90" s="20" t="n">
        <v>579</v>
      </c>
    </row>
    <row r="91">
      <c r="A91" s="18" t="inlineStr">
        <is>
          <t>유형자산</t>
        </is>
      </c>
      <c r="C91" s="20" t="n">
        <v>5760</v>
      </c>
      <c r="D91" s="20" t="n">
        <v>5911</v>
      </c>
      <c r="E91" s="20" t="n">
        <v>5815</v>
      </c>
      <c r="F91" s="20" t="n">
        <v>5779</v>
      </c>
      <c r="G91" s="20" t="n">
        <v>5913</v>
      </c>
      <c r="H91" s="20" t="n">
        <v>4182</v>
      </c>
      <c r="I91" s="20" t="n">
        <v>4124</v>
      </c>
      <c r="J91" s="20" t="n">
        <v>4845</v>
      </c>
      <c r="K91" s="20" t="n">
        <v>5053</v>
      </c>
      <c r="L91" s="20" t="n">
        <v>5815</v>
      </c>
    </row>
    <row r="92">
      <c r="A92" s="18" t="inlineStr">
        <is>
          <t>소프트웨어</t>
        </is>
      </c>
      <c r="E92" s="20" t="n">
        <v>224</v>
      </c>
      <c r="H92" s="20" t="n">
        <v>362</v>
      </c>
      <c r="I92" s="20" t="n">
        <v>290</v>
      </c>
      <c r="J92" s="20" t="n">
        <v>255</v>
      </c>
      <c r="K92" s="20" t="n">
        <v>207</v>
      </c>
      <c r="L92" s="20" t="n">
        <v>224</v>
      </c>
    </row>
    <row r="93">
      <c r="A93" s="18" t="inlineStr">
        <is>
          <t>기타</t>
        </is>
      </c>
      <c r="E93" s="20" t="n">
        <v>0</v>
      </c>
      <c r="H93" s="20" t="n">
        <v>1</v>
      </c>
      <c r="I93" s="20" t="n">
        <v>0</v>
      </c>
      <c r="J93" s="20" t="n">
        <v>0</v>
      </c>
      <c r="K93" s="20" t="n">
        <v>0</v>
      </c>
      <c r="L93" s="20" t="n">
        <v>0</v>
      </c>
    </row>
    <row r="94">
      <c r="A94" s="18" t="inlineStr">
        <is>
          <t>무형자산</t>
        </is>
      </c>
      <c r="C94" s="20" t="n">
        <v>200</v>
      </c>
      <c r="D94" s="20" t="n">
        <v>206</v>
      </c>
      <c r="E94" s="20" t="n">
        <v>224</v>
      </c>
      <c r="F94" s="20" t="n">
        <v>216</v>
      </c>
      <c r="G94" s="20" t="n">
        <v>198</v>
      </c>
      <c r="H94" s="20" t="n">
        <v>363</v>
      </c>
      <c r="I94" s="20" t="n">
        <v>291</v>
      </c>
      <c r="J94" s="20" t="n">
        <v>256</v>
      </c>
      <c r="K94" s="20" t="n">
        <v>208</v>
      </c>
      <c r="L94" s="20" t="n">
        <v>224</v>
      </c>
    </row>
    <row r="95">
      <c r="A95" s="18" t="inlineStr">
        <is>
          <t>투자유가증권</t>
        </is>
      </c>
      <c r="C95" s="20" t="n">
        <v>6753</v>
      </c>
      <c r="D95" s="20" t="n">
        <v>5764</v>
      </c>
      <c r="E95" s="20" t="n">
        <v>5330</v>
      </c>
      <c r="F95" s="20" t="n">
        <v>5859</v>
      </c>
      <c r="G95" s="20" t="n">
        <v>6387</v>
      </c>
      <c r="H95" s="20" t="n">
        <v>5764</v>
      </c>
      <c r="I95" s="20" t="n">
        <v>6121</v>
      </c>
      <c r="J95" s="20" t="n">
        <v>8648</v>
      </c>
      <c r="K95" s="20" t="n">
        <v>6533</v>
      </c>
      <c r="L95" s="20" t="n">
        <v>5330</v>
      </c>
    </row>
    <row r="96">
      <c r="A96" s="18" t="inlineStr">
        <is>
          <t>퇴직급여자산</t>
        </is>
      </c>
      <c r="E96" s="20" t="n">
        <v>1037</v>
      </c>
      <c r="H96" s="20" t="n">
        <v>316</v>
      </c>
      <c r="I96" s="20" t="n">
        <v>186</v>
      </c>
      <c r="J96" s="20" t="n">
        <v>593</v>
      </c>
      <c r="K96" s="20" t="n">
        <v>713</v>
      </c>
      <c r="L96" s="20" t="n">
        <v>1037</v>
      </c>
    </row>
    <row r="97">
      <c r="A97" s="18" t="inlineStr">
        <is>
          <t>이연법인세자산</t>
        </is>
      </c>
      <c r="E97" s="20" t="n">
        <v>3</v>
      </c>
      <c r="H97" s="20" t="n">
        <v>2</v>
      </c>
      <c r="I97" s="20" t="n">
        <v>1</v>
      </c>
      <c r="J97" s="20" t="n">
        <v>21</v>
      </c>
      <c r="K97" s="20" t="n">
        <v>17</v>
      </c>
      <c r="L97" s="20" t="n">
        <v>3</v>
      </c>
    </row>
    <row r="98">
      <c r="A98" s="18" t="inlineStr">
        <is>
          <t>기타</t>
        </is>
      </c>
      <c r="C98" s="20" t="n">
        <v>1039</v>
      </c>
      <c r="D98" s="20" t="n">
        <v>1072</v>
      </c>
      <c r="E98" s="20" t="n">
        <v>1358</v>
      </c>
      <c r="F98" s="20" t="n">
        <v>1367</v>
      </c>
      <c r="G98" s="20" t="n">
        <v>1391</v>
      </c>
      <c r="H98" s="20" t="n">
        <v>256</v>
      </c>
      <c r="I98" s="20" t="n">
        <v>254</v>
      </c>
      <c r="J98" s="20" t="n">
        <v>262</v>
      </c>
      <c r="K98" s="20" t="n">
        <v>248</v>
      </c>
      <c r="L98" s="20" t="n">
        <v>1358</v>
      </c>
    </row>
    <row r="99">
      <c r="A99" s="18" t="inlineStr">
        <is>
          <t>대손충당금</t>
        </is>
      </c>
      <c r="C99" s="20" t="n">
        <v>-15</v>
      </c>
      <c r="D99" s="20" t="n">
        <v>-15</v>
      </c>
      <c r="E99" s="20" t="n">
        <v>-15</v>
      </c>
      <c r="F99" s="20" t="n">
        <v>-15</v>
      </c>
      <c r="G99" s="20" t="n">
        <v>-15</v>
      </c>
      <c r="H99" s="20" t="n">
        <v>-16</v>
      </c>
      <c r="I99" s="20" t="n">
        <v>-16</v>
      </c>
      <c r="J99" s="20" t="n">
        <v>-17</v>
      </c>
      <c r="K99" s="20" t="n">
        <v>-20</v>
      </c>
      <c r="L99" s="20" t="n">
        <v>-15</v>
      </c>
    </row>
    <row r="100">
      <c r="A100" s="18" t="inlineStr">
        <is>
          <t>투자 및 기타자산 합계</t>
        </is>
      </c>
      <c r="C100" s="20" t="n">
        <v>7777</v>
      </c>
      <c r="D100" s="20" t="n">
        <v>6820</v>
      </c>
      <c r="E100" s="20" t="n">
        <v>6672</v>
      </c>
      <c r="F100" s="20" t="n">
        <v>7211</v>
      </c>
      <c r="G100" s="20" t="n">
        <v>7763</v>
      </c>
      <c r="H100" s="20" t="n">
        <v>6323</v>
      </c>
      <c r="I100" s="20" t="n">
        <v>6547</v>
      </c>
      <c r="J100" s="20" t="n">
        <v>9509</v>
      </c>
      <c r="K100" s="20" t="n">
        <v>7492</v>
      </c>
      <c r="L100" s="20" t="n">
        <v>6672</v>
      </c>
    </row>
    <row r="101">
      <c r="A101" s="9" t="inlineStr">
        <is>
          <t>비유동자산 합계</t>
        </is>
      </c>
      <c r="C101" s="12" t="n">
        <v>13738</v>
      </c>
      <c r="D101" s="12" t="n">
        <v>12938</v>
      </c>
      <c r="E101" s="12" t="n">
        <v>12712</v>
      </c>
      <c r="F101" s="12" t="n">
        <v>13208</v>
      </c>
      <c r="G101" s="12" t="n">
        <v>13875</v>
      </c>
      <c r="H101" s="12" t="n">
        <v>10870</v>
      </c>
      <c r="I101" s="12" t="n">
        <v>10963</v>
      </c>
      <c r="J101" s="12" t="n">
        <v>14611</v>
      </c>
      <c r="K101" s="12" t="n">
        <v>12754</v>
      </c>
      <c r="L101" s="12" t="n">
        <v>12712</v>
      </c>
    </row>
    <row r="102">
      <c r="A102" s="9" t="inlineStr">
        <is>
          <t>자산 합계</t>
        </is>
      </c>
      <c r="C102" s="12" t="n">
        <v>47656</v>
      </c>
      <c r="D102" s="12" t="n">
        <v>46788</v>
      </c>
      <c r="E102" s="12" t="n">
        <v>51282</v>
      </c>
      <c r="F102" s="12" t="n">
        <v>46830</v>
      </c>
      <c r="G102" s="12" t="n">
        <v>47416</v>
      </c>
      <c r="H102" s="12" t="n">
        <v>38141</v>
      </c>
      <c r="I102" s="12" t="n">
        <v>41178</v>
      </c>
      <c r="J102" s="12" t="n">
        <v>48863</v>
      </c>
      <c r="K102" s="12" t="n">
        <v>48736</v>
      </c>
      <c r="L102" s="12" t="n">
        <v>51282</v>
      </c>
    </row>
    <row r="103">
      <c r="A103" s="18" t="inlineStr">
        <is>
          <t>전자기록채무</t>
        </is>
      </c>
      <c r="C103" s="20" t="n">
        <v>992</v>
      </c>
      <c r="D103" s="20" t="n">
        <v>879</v>
      </c>
      <c r="E103" s="20" t="n">
        <v>877</v>
      </c>
      <c r="F103" s="20" t="n">
        <v>1085</v>
      </c>
      <c r="G103" s="20" t="n">
        <v>515</v>
      </c>
      <c r="H103" s="20" t="n">
        <v>1350</v>
      </c>
      <c r="I103" s="20" t="n">
        <v>1495</v>
      </c>
      <c r="J103" s="20" t="n">
        <v>1443</v>
      </c>
      <c r="K103" s="20" t="n">
        <v>899</v>
      </c>
      <c r="L103" s="20" t="n">
        <v>877</v>
      </c>
    </row>
    <row r="104">
      <c r="A104" s="18" t="inlineStr">
        <is>
          <t>매입채무</t>
        </is>
      </c>
      <c r="C104" s="20" t="n">
        <v>5640</v>
      </c>
      <c r="D104" s="20" t="n">
        <v>4480</v>
      </c>
      <c r="E104" s="20" t="n">
        <v>6887</v>
      </c>
      <c r="F104" s="20" t="n">
        <v>4103</v>
      </c>
      <c r="G104" s="20" t="n">
        <v>5193</v>
      </c>
      <c r="H104" s="20" t="n">
        <v>5903</v>
      </c>
      <c r="I104" s="20" t="n">
        <v>7860</v>
      </c>
      <c r="J104" s="20" t="n">
        <v>6791</v>
      </c>
      <c r="K104" s="20" t="n">
        <v>7441</v>
      </c>
      <c r="L104" s="20" t="n">
        <v>6887</v>
      </c>
    </row>
    <row r="105">
      <c r="A105" s="18" t="inlineStr">
        <is>
          <t>단기차입금</t>
        </is>
      </c>
      <c r="C105" s="20" t="n">
        <v>2548</v>
      </c>
      <c r="D105" s="20" t="n">
        <v>2466</v>
      </c>
      <c r="E105" s="20" t="n">
        <v>1921</v>
      </c>
      <c r="F105" s="20" t="n">
        <v>2392</v>
      </c>
      <c r="G105" s="20" t="n">
        <v>2077</v>
      </c>
      <c r="H105" s="20" t="n">
        <v>2800</v>
      </c>
      <c r="I105" s="20" t="n">
        <v>2800</v>
      </c>
      <c r="J105" s="20" t="n">
        <v>6100</v>
      </c>
      <c r="K105" s="20" t="n">
        <v>2569</v>
      </c>
      <c r="L105" s="20" t="n">
        <v>1921</v>
      </c>
    </row>
    <row r="106">
      <c r="A106" s="18" t="inlineStr">
        <is>
          <t>미지급법인세</t>
        </is>
      </c>
      <c r="E106" s="20" t="n">
        <v>1452</v>
      </c>
      <c r="H106" s="20" t="n">
        <v>310</v>
      </c>
      <c r="I106" s="20" t="n">
        <v>295</v>
      </c>
      <c r="J106" s="20" t="n">
        <v>810</v>
      </c>
      <c r="K106" s="20" t="n">
        <v>750</v>
      </c>
      <c r="L106" s="20" t="n">
        <v>1452</v>
      </c>
    </row>
    <row r="107">
      <c r="A107" s="18" t="inlineStr">
        <is>
          <t>계약부채</t>
        </is>
      </c>
      <c r="E107" s="20" t="n">
        <v>2624</v>
      </c>
      <c r="H107" s="20" t="n">
        <v>940</v>
      </c>
      <c r="I107" s="20" t="n">
        <v>730</v>
      </c>
      <c r="J107" s="20" t="n">
        <v>1255</v>
      </c>
      <c r="K107" s="20" t="n">
        <v>1889</v>
      </c>
      <c r="L107" s="20" t="n">
        <v>2624</v>
      </c>
    </row>
    <row r="108">
      <c r="A108" s="18" t="inlineStr">
        <is>
          <t>미성공사 선수금</t>
        </is>
      </c>
      <c r="H108" s="20" t="n">
        <v>0</v>
      </c>
    </row>
    <row r="109">
      <c r="A109" s="18" t="inlineStr">
        <is>
          <t>상여충당금</t>
        </is>
      </c>
      <c r="E109" s="20" t="n">
        <v>163</v>
      </c>
      <c r="H109" s="20" t="n">
        <v>193</v>
      </c>
      <c r="I109" s="20" t="n">
        <v>77</v>
      </c>
      <c r="J109" s="20" t="n">
        <v>116</v>
      </c>
      <c r="K109" s="20" t="n">
        <v>166</v>
      </c>
      <c r="L109" s="20" t="n">
        <v>163</v>
      </c>
    </row>
    <row r="110">
      <c r="A110" s="18" t="inlineStr">
        <is>
          <t>공사손실충당금</t>
        </is>
      </c>
      <c r="E110" s="20" t="n">
        <v>0</v>
      </c>
      <c r="H110" s="20" t="n">
        <v>2</v>
      </c>
      <c r="I110" s="20" t="n">
        <v>0</v>
      </c>
      <c r="J110" s="20" t="n">
        <v>0</v>
      </c>
      <c r="K110" s="20" t="n">
        <v>0</v>
      </c>
      <c r="L110" s="20" t="n">
        <v>0</v>
      </c>
    </row>
    <row r="111">
      <c r="A111" s="18" t="inlineStr">
        <is>
          <t>완성공사 보증 충당금</t>
        </is>
      </c>
      <c r="E111" s="20" t="n">
        <v>118</v>
      </c>
      <c r="K111" s="20" t="n">
        <v>0</v>
      </c>
      <c r="L111" s="20" t="n">
        <v>118</v>
      </c>
    </row>
    <row r="112">
      <c r="A112" s="18" t="inlineStr">
        <is>
          <t>충당금</t>
        </is>
      </c>
      <c r="C112" s="20" t="n">
        <v>415</v>
      </c>
      <c r="D112" s="20" t="n">
        <v>456</v>
      </c>
      <c r="E112" s="20" t="n">
        <v>281</v>
      </c>
      <c r="F112" s="20" t="n">
        <v>114</v>
      </c>
      <c r="G112" s="20" t="n">
        <v>526</v>
      </c>
      <c r="H112" s="20" t="n">
        <v>195</v>
      </c>
      <c r="I112" s="20" t="n">
        <v>77</v>
      </c>
      <c r="J112" s="20" t="n">
        <v>117</v>
      </c>
      <c r="K112" s="20" t="n">
        <v>166</v>
      </c>
      <c r="L112" s="20" t="n">
        <v>281</v>
      </c>
    </row>
    <row r="113">
      <c r="A113" s="18" t="inlineStr">
        <is>
          <t>기타</t>
        </is>
      </c>
      <c r="C113" s="20" t="n">
        <v>4799</v>
      </c>
      <c r="D113" s="20" t="n">
        <v>4782</v>
      </c>
      <c r="E113" s="20" t="n">
        <v>5475</v>
      </c>
      <c r="F113" s="20" t="n">
        <v>5252</v>
      </c>
      <c r="G113" s="20" t="n">
        <v>4207</v>
      </c>
      <c r="H113" s="20" t="n">
        <v>949</v>
      </c>
      <c r="I113" s="20" t="n">
        <v>1279</v>
      </c>
      <c r="J113" s="20" t="n">
        <v>999</v>
      </c>
      <c r="K113" s="20" t="n">
        <v>1516</v>
      </c>
      <c r="L113" s="20" t="n">
        <v>5475</v>
      </c>
    </row>
    <row r="114">
      <c r="A114" s="9" t="inlineStr">
        <is>
          <t>유동부채 합계</t>
        </is>
      </c>
      <c r="C114" s="12" t="n">
        <v>14396</v>
      </c>
      <c r="D114" s="12" t="n">
        <v>13064</v>
      </c>
      <c r="E114" s="12" t="n">
        <v>15442</v>
      </c>
      <c r="F114" s="12" t="n">
        <v>12948</v>
      </c>
      <c r="G114" s="12" t="n">
        <v>12519</v>
      </c>
      <c r="H114" s="12" t="n">
        <v>12449</v>
      </c>
      <c r="I114" s="12" t="n">
        <v>14538</v>
      </c>
      <c r="J114" s="12" t="n">
        <v>17517</v>
      </c>
      <c r="K114" s="12" t="n">
        <v>15233</v>
      </c>
      <c r="L114" s="12" t="n">
        <v>15442</v>
      </c>
    </row>
    <row r="115">
      <c r="A115" s="18" t="inlineStr">
        <is>
          <t>장기차입금</t>
        </is>
      </c>
      <c r="C115" s="20" t="n">
        <v>2692</v>
      </c>
      <c r="D115" s="20" t="n">
        <v>2608</v>
      </c>
      <c r="E115" s="20" t="n">
        <v>2524</v>
      </c>
      <c r="F115" s="20" t="n">
        <v>2444</v>
      </c>
      <c r="G115" s="20" t="n">
        <v>2376</v>
      </c>
      <c r="H115" s="20" t="n">
        <v>1188</v>
      </c>
      <c r="I115" s="20" t="n">
        <v>1188</v>
      </c>
      <c r="J115" s="20" t="n">
        <v>1188</v>
      </c>
      <c r="K115" s="20" t="n">
        <v>2938</v>
      </c>
      <c r="L115" s="20" t="n">
        <v>2524</v>
      </c>
    </row>
    <row r="116">
      <c r="A116" s="18" t="inlineStr">
        <is>
          <t>이연법인세부채</t>
        </is>
      </c>
      <c r="E116" s="20" t="n">
        <v>1329</v>
      </c>
      <c r="H116" s="20" t="n">
        <v>1057</v>
      </c>
      <c r="I116" s="20" t="n">
        <v>1142</v>
      </c>
      <c r="J116" s="20" t="n">
        <v>2126</v>
      </c>
      <c r="K116" s="20" t="n">
        <v>1600</v>
      </c>
      <c r="L116" s="20" t="n">
        <v>1329</v>
      </c>
    </row>
    <row r="117">
      <c r="A117" s="18" t="inlineStr">
        <is>
          <t>퇴직급여부채</t>
        </is>
      </c>
      <c r="C117" s="20" t="n">
        <v>153</v>
      </c>
      <c r="D117" s="20" t="n">
        <v>175</v>
      </c>
      <c r="E117" s="20" t="n">
        <v>186</v>
      </c>
      <c r="F117" s="20" t="n">
        <v>192</v>
      </c>
      <c r="G117" s="20" t="n">
        <v>198</v>
      </c>
      <c r="H117" s="20" t="n">
        <v>122</v>
      </c>
      <c r="I117" s="20" t="n">
        <v>127</v>
      </c>
      <c r="J117" s="20" t="n">
        <v>154</v>
      </c>
      <c r="K117" s="20" t="n">
        <v>141</v>
      </c>
      <c r="L117" s="20" t="n">
        <v>186</v>
      </c>
    </row>
    <row r="118">
      <c r="A118" s="18" t="inlineStr">
        <is>
          <t>충당금</t>
        </is>
      </c>
      <c r="E118" s="20" t="n">
        <v>0</v>
      </c>
      <c r="G118" s="20" t="n">
        <v>350</v>
      </c>
      <c r="L118" s="20" t="n">
        <v>0</v>
      </c>
    </row>
    <row r="119">
      <c r="A119" s="18" t="inlineStr">
        <is>
          <t>기타</t>
        </is>
      </c>
      <c r="C119" s="20" t="n">
        <v>2081</v>
      </c>
      <c r="D119" s="20" t="n">
        <v>1798</v>
      </c>
      <c r="E119" s="20" t="n">
        <v>1647</v>
      </c>
      <c r="F119" s="20" t="n">
        <v>1831</v>
      </c>
      <c r="G119" s="20" t="n">
        <v>1943</v>
      </c>
      <c r="H119" s="20" t="n">
        <v>112</v>
      </c>
      <c r="I119" s="20" t="n">
        <v>139</v>
      </c>
      <c r="J119" s="20" t="n">
        <v>107</v>
      </c>
      <c r="K119" s="20" t="n">
        <v>213</v>
      </c>
      <c r="L119" s="20" t="n">
        <v>1647</v>
      </c>
    </row>
    <row r="120">
      <c r="A120" s="9" t="inlineStr">
        <is>
          <t>비유동부채 합계</t>
        </is>
      </c>
      <c r="C120" s="12" t="n">
        <v>4926</v>
      </c>
      <c r="D120" s="12" t="n">
        <v>4581</v>
      </c>
      <c r="E120" s="12" t="n">
        <v>4358</v>
      </c>
      <c r="F120" s="12" t="n">
        <v>4468</v>
      </c>
      <c r="G120" s="12" t="n">
        <v>4867</v>
      </c>
      <c r="H120" s="12" t="n">
        <v>2480</v>
      </c>
      <c r="I120" s="12" t="n">
        <v>2598</v>
      </c>
      <c r="J120" s="12" t="n">
        <v>3577</v>
      </c>
      <c r="K120" s="12" t="n">
        <v>4893</v>
      </c>
      <c r="L120" s="12" t="n">
        <v>4358</v>
      </c>
    </row>
    <row r="121">
      <c r="A121" s="9" t="inlineStr">
        <is>
          <t>부채 합계</t>
        </is>
      </c>
      <c r="C121" s="12" t="n">
        <v>19322</v>
      </c>
      <c r="D121" s="12" t="n">
        <v>17646</v>
      </c>
      <c r="E121" s="12" t="n">
        <v>19800</v>
      </c>
      <c r="F121" s="12" t="n">
        <v>17416</v>
      </c>
      <c r="G121" s="12" t="n">
        <v>17387</v>
      </c>
      <c r="H121" s="12" t="n">
        <v>14929</v>
      </c>
      <c r="I121" s="12" t="n">
        <v>17136</v>
      </c>
      <c r="J121" s="12" t="n">
        <v>21094</v>
      </c>
      <c r="K121" s="12" t="n">
        <v>20127</v>
      </c>
      <c r="L121" s="12" t="n">
        <v>19800</v>
      </c>
    </row>
    <row r="122">
      <c r="A122" s="18" t="inlineStr">
        <is>
          <t>자본금</t>
        </is>
      </c>
      <c r="C122" s="20" t="n">
        <v>6176</v>
      </c>
      <c r="D122" s="20" t="n">
        <v>6176</v>
      </c>
      <c r="E122" s="20" t="n">
        <v>6176</v>
      </c>
      <c r="F122" s="20" t="n">
        <v>6176</v>
      </c>
      <c r="G122" s="20" t="n">
        <v>6176</v>
      </c>
      <c r="H122" s="20" t="n">
        <v>6176</v>
      </c>
      <c r="I122" s="20" t="n">
        <v>6176</v>
      </c>
      <c r="J122" s="20" t="n">
        <v>6176</v>
      </c>
      <c r="K122" s="20" t="n">
        <v>6176</v>
      </c>
      <c r="L122" s="20" t="n">
        <v>6176</v>
      </c>
    </row>
    <row r="123">
      <c r="A123" s="18" t="inlineStr">
        <is>
          <t>자본잉여금</t>
        </is>
      </c>
      <c r="C123" s="20" t="n">
        <v>1544</v>
      </c>
      <c r="D123" s="20" t="n">
        <v>1544</v>
      </c>
      <c r="E123" s="20" t="n">
        <v>1544</v>
      </c>
      <c r="F123" s="20" t="n">
        <v>1544</v>
      </c>
      <c r="G123" s="20" t="n">
        <v>1544</v>
      </c>
      <c r="H123" s="20" t="n">
        <v>1544</v>
      </c>
      <c r="I123" s="20" t="n">
        <v>1544</v>
      </c>
      <c r="J123" s="20" t="n">
        <v>1544</v>
      </c>
      <c r="K123" s="20" t="n">
        <v>1544</v>
      </c>
      <c r="L123" s="20" t="n">
        <v>1544</v>
      </c>
    </row>
    <row r="124">
      <c r="A124" s="18" t="inlineStr">
        <is>
          <t>이익잉여금</t>
        </is>
      </c>
      <c r="C124" s="20" t="n">
        <v>17799</v>
      </c>
      <c r="D124" s="20" t="n">
        <v>19077</v>
      </c>
      <c r="E124" s="20" t="n">
        <v>21412</v>
      </c>
      <c r="F124" s="20" t="n">
        <v>20136</v>
      </c>
      <c r="G124" s="20" t="n">
        <v>20496</v>
      </c>
      <c r="H124" s="20" t="n">
        <v>13081</v>
      </c>
      <c r="I124" s="20" t="n">
        <v>13775</v>
      </c>
      <c r="J124" s="20" t="n">
        <v>15441</v>
      </c>
      <c r="K124" s="20" t="n">
        <v>17845</v>
      </c>
      <c r="L124" s="20" t="n">
        <v>21412</v>
      </c>
    </row>
    <row r="125">
      <c r="A125" s="18" t="inlineStr">
        <is>
          <t>자기주식</t>
        </is>
      </c>
      <c r="C125" s="20" t="n">
        <v>-1425</v>
      </c>
      <c r="D125" s="20" t="n">
        <v>-1425</v>
      </c>
      <c r="E125" s="20" t="n">
        <v>-1426</v>
      </c>
      <c r="F125" s="20" t="n">
        <v>-2566</v>
      </c>
      <c r="G125" s="20" t="n">
        <v>-2566</v>
      </c>
      <c r="H125" s="20" t="n">
        <v>-256</v>
      </c>
      <c r="I125" s="20" t="n">
        <v>-408</v>
      </c>
      <c r="J125" s="20" t="n">
        <v>-711</v>
      </c>
      <c r="K125" s="20" t="n">
        <v>-1023</v>
      </c>
      <c r="L125" s="20" t="n">
        <v>-1426</v>
      </c>
    </row>
    <row r="126">
      <c r="A126" s="9" t="inlineStr">
        <is>
          <t>주주자본 합계</t>
        </is>
      </c>
      <c r="C126" s="12" t="n">
        <v>24095</v>
      </c>
      <c r="D126" s="12" t="n">
        <v>25373</v>
      </c>
      <c r="E126" s="12" t="n">
        <v>27707</v>
      </c>
      <c r="F126" s="12" t="n">
        <v>25291</v>
      </c>
      <c r="G126" s="12" t="n">
        <v>25651</v>
      </c>
      <c r="H126" s="12" t="n">
        <v>20545</v>
      </c>
      <c r="I126" s="12" t="n">
        <v>21087</v>
      </c>
      <c r="J126" s="12" t="n">
        <v>22451</v>
      </c>
      <c r="K126" s="12" t="n">
        <v>24542</v>
      </c>
      <c r="L126" s="12" t="n">
        <v>27707</v>
      </c>
    </row>
    <row r="127">
      <c r="A127" s="18" t="inlineStr">
        <is>
          <t>기타유가증권 평가차액</t>
        </is>
      </c>
      <c r="C127" s="20" t="n">
        <v>3611</v>
      </c>
      <c r="D127" s="20" t="n">
        <v>3029</v>
      </c>
      <c r="E127" s="20" t="n">
        <v>2787</v>
      </c>
      <c r="F127" s="20" t="n">
        <v>3146</v>
      </c>
      <c r="G127" s="20" t="n">
        <v>3512</v>
      </c>
      <c r="H127" s="20" t="n">
        <v>2384</v>
      </c>
      <c r="I127" s="20" t="n">
        <v>2664</v>
      </c>
      <c r="J127" s="20" t="n">
        <v>4676</v>
      </c>
      <c r="K127" s="20" t="n">
        <v>3350</v>
      </c>
      <c r="L127" s="20" t="n">
        <v>2787</v>
      </c>
    </row>
    <row r="128">
      <c r="A128" s="18" t="inlineStr">
        <is>
          <t>이연헤지손익</t>
        </is>
      </c>
      <c r="C128" s="20" t="n">
        <v>22</v>
      </c>
      <c r="D128" s="20" t="n">
        <v>78</v>
      </c>
      <c r="E128" s="20" t="n">
        <v>81</v>
      </c>
      <c r="F128" s="20" t="n">
        <v>105</v>
      </c>
      <c r="G128" s="20" t="n">
        <v>16</v>
      </c>
      <c r="H128" s="20" t="n">
        <v>8</v>
      </c>
      <c r="I128" s="20" t="n">
        <v>1</v>
      </c>
      <c r="J128" s="20" t="n">
        <v>31</v>
      </c>
      <c r="K128" s="20" t="n">
        <v>7</v>
      </c>
      <c r="L128" s="20" t="n">
        <v>81</v>
      </c>
    </row>
    <row r="129">
      <c r="A129" s="18" t="inlineStr">
        <is>
          <t>해외사업환산조정</t>
        </is>
      </c>
      <c r="C129" s="20" t="n">
        <v>196</v>
      </c>
      <c r="D129" s="20" t="n">
        <v>211</v>
      </c>
      <c r="E129" s="20" t="n">
        <v>262</v>
      </c>
      <c r="F129" s="20" t="n">
        <v>263</v>
      </c>
      <c r="G129" s="20" t="n">
        <v>275</v>
      </c>
      <c r="H129" s="20" t="n">
        <v>79</v>
      </c>
      <c r="I129" s="20" t="n">
        <v>125</v>
      </c>
      <c r="J129" s="20" t="n">
        <v>181</v>
      </c>
      <c r="K129" s="20" t="n">
        <v>217</v>
      </c>
      <c r="L129" s="20" t="n">
        <v>262</v>
      </c>
    </row>
    <row r="130">
      <c r="A130" s="18" t="inlineStr">
        <is>
          <t>퇴직급여 조정누계액</t>
        </is>
      </c>
      <c r="C130" s="20" t="n">
        <v>191</v>
      </c>
      <c r="D130" s="20" t="n">
        <v>181</v>
      </c>
      <c r="E130" s="20" t="n">
        <v>361</v>
      </c>
      <c r="F130" s="20" t="n">
        <v>352</v>
      </c>
      <c r="G130" s="20" t="n">
        <v>344</v>
      </c>
      <c r="H130" s="20" t="n">
        <v>50</v>
      </c>
      <c r="I130" s="20" t="n">
        <v>-18</v>
      </c>
      <c r="J130" s="20" t="n">
        <v>228</v>
      </c>
      <c r="K130" s="20" t="n">
        <v>209</v>
      </c>
      <c r="L130" s="20" t="n">
        <v>361</v>
      </c>
    </row>
    <row r="131">
      <c r="A131" s="18" t="inlineStr">
        <is>
          <t>기타포괄손익누계액 합계</t>
        </is>
      </c>
      <c r="C131" s="20" t="n">
        <v>4021</v>
      </c>
      <c r="D131" s="20" t="n">
        <v>3501</v>
      </c>
      <c r="E131" s="20" t="n">
        <v>3493</v>
      </c>
      <c r="F131" s="20" t="n">
        <v>3867</v>
      </c>
      <c r="G131" s="20" t="n">
        <v>4149</v>
      </c>
      <c r="H131" s="20" t="n">
        <v>2522</v>
      </c>
      <c r="I131" s="20" t="n">
        <v>2772</v>
      </c>
      <c r="J131" s="20" t="n">
        <v>5119</v>
      </c>
      <c r="K131" s="20" t="n">
        <v>3785</v>
      </c>
      <c r="L131" s="20" t="n">
        <v>3493</v>
      </c>
    </row>
    <row r="132">
      <c r="A132" s="18" t="inlineStr">
        <is>
          <t>비지배지분</t>
        </is>
      </c>
      <c r="C132" s="20" t="n">
        <v>216</v>
      </c>
      <c r="D132" s="20" t="n">
        <v>267</v>
      </c>
      <c r="E132" s="20" t="n">
        <v>280</v>
      </c>
      <c r="F132" s="20" t="n">
        <v>255</v>
      </c>
      <c r="G132" s="20" t="n">
        <v>228</v>
      </c>
      <c r="H132" s="20" t="n">
        <v>143</v>
      </c>
      <c r="I132" s="20" t="n">
        <v>181</v>
      </c>
      <c r="J132" s="20" t="n">
        <v>198</v>
      </c>
      <c r="K132" s="20" t="n">
        <v>280</v>
      </c>
      <c r="L132" s="20" t="n">
        <v>280</v>
      </c>
    </row>
    <row r="133">
      <c r="A133" s="9" t="inlineStr">
        <is>
          <t>순자산 합계</t>
        </is>
      </c>
      <c r="C133" s="12" t="n">
        <v>28333</v>
      </c>
      <c r="D133" s="12" t="n">
        <v>29142</v>
      </c>
      <c r="E133" s="12" t="n">
        <v>31481</v>
      </c>
      <c r="F133" s="12" t="n">
        <v>29414</v>
      </c>
      <c r="G133" s="12" t="n">
        <v>30028</v>
      </c>
      <c r="H133" s="12" t="n">
        <v>23211</v>
      </c>
      <c r="I133" s="12" t="n">
        <v>24041</v>
      </c>
      <c r="J133" s="12" t="n">
        <v>27768</v>
      </c>
      <c r="K133" s="12" t="n">
        <v>28609</v>
      </c>
      <c r="L133" s="12" t="n">
        <v>31481</v>
      </c>
    </row>
    <row r="134">
      <c r="A134" s="9" t="inlineStr">
        <is>
          <t>부채·순자산 합계</t>
        </is>
      </c>
      <c r="C134" s="12" t="n">
        <v>47656</v>
      </c>
      <c r="D134" s="12" t="n">
        <v>46788</v>
      </c>
      <c r="E134" s="12" t="n">
        <v>51282</v>
      </c>
      <c r="F134" s="12" t="n">
        <v>46830</v>
      </c>
      <c r="G134" s="12" t="n">
        <v>47416</v>
      </c>
      <c r="H134" s="12" t="n">
        <v>38141</v>
      </c>
      <c r="I134" s="12" t="n">
        <v>41178</v>
      </c>
      <c r="J134" s="12" t="n">
        <v>48863</v>
      </c>
      <c r="K134" s="12" t="n">
        <v>48736</v>
      </c>
      <c r="L134" s="12" t="n">
        <v>51282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0" t="inlineStr">
        <is>
          <t>1964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q alone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</row>
    <row r="5">
      <c r="A5" s="53" t="inlineStr">
        <is>
          <t>항목</t>
        </is>
      </c>
      <c r="B5" s="53" t="inlineStr">
        <is>
          <t>값</t>
        </is>
      </c>
      <c r="K5" s="53" t="inlineStr">
        <is>
          <t>출처</t>
        </is>
      </c>
    </row>
    <row r="6">
      <c r="A6" s="54" t="inlineStr">
        <is>
          <t>매출</t>
        </is>
      </c>
      <c r="B6" s="55" t="n">
        <v>99.40000000000001</v>
      </c>
      <c r="K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21.8</v>
      </c>
    </row>
    <row r="8">
      <c r="A8" s="54" t="inlineStr">
        <is>
          <t>sga</t>
        </is>
      </c>
      <c r="B8" s="55" t="n">
        <v>13.3</v>
      </c>
    </row>
    <row r="9">
      <c r="A9" s="54" t="inlineStr">
        <is>
          <t>영업이익</t>
        </is>
      </c>
      <c r="B9" s="55" t="n">
        <v>8.5</v>
      </c>
    </row>
    <row r="10">
      <c r="A10" s="54" t="inlineStr">
        <is>
          <t>pbt</t>
        </is>
      </c>
      <c r="B10" s="55" t="n">
        <v>5.1</v>
      </c>
    </row>
    <row r="11">
      <c r="A11" s="54" t="inlineStr">
        <is>
          <t>순이익 owner</t>
        </is>
      </c>
      <c r="B11" s="55" t="n">
        <v>3.6</v>
      </c>
    </row>
    <row r="13">
      <c r="A13" s="52" t="inlineStr">
        <is>
          <t>this quarter · 상반기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</row>
    <row r="14">
      <c r="A14" s="53" t="inlineStr">
        <is>
          <t>항목</t>
        </is>
      </c>
      <c r="B14" s="53" t="inlineStr">
        <is>
          <t>값</t>
        </is>
      </c>
      <c r="K14" s="53" t="inlineStr">
        <is>
          <t>출처</t>
        </is>
      </c>
    </row>
    <row r="15">
      <c r="A15" s="54" t="inlineStr">
        <is>
          <t>매출</t>
        </is>
      </c>
      <c r="B15" s="55" t="n">
        <v>160.55</v>
      </c>
      <c r="K15" s="56" t="inlineStr">
        <is>
          <t>2단계 보고서 자료(회사 설명회 자료·공시)</t>
        </is>
      </c>
    </row>
    <row r="16">
      <c r="A16" s="54" t="inlineStr">
        <is>
          <t>gp</t>
        </is>
      </c>
      <c r="B16" s="55" t="n">
        <v>32.85</v>
      </c>
    </row>
    <row r="17">
      <c r="A17" s="54" t="inlineStr">
        <is>
          <t>sga</t>
        </is>
      </c>
      <c r="B17" s="55" t="n">
        <v>26.47</v>
      </c>
    </row>
    <row r="18">
      <c r="A18" s="54" t="inlineStr">
        <is>
          <t>영업이익</t>
        </is>
      </c>
      <c r="B18" s="55" t="n">
        <v>6.37</v>
      </c>
    </row>
    <row r="19">
      <c r="A19" s="54" t="inlineStr">
        <is>
          <t>영업이익 직전</t>
        </is>
      </c>
      <c r="B19" s="55" t="n">
        <v>1.63</v>
      </c>
    </row>
    <row r="20">
      <c r="A20" s="54" t="inlineStr">
        <is>
          <t>ordinary</t>
        </is>
      </c>
      <c r="B20" s="55" t="n">
        <v>7.51</v>
      </c>
    </row>
    <row r="21">
      <c r="A21" s="54" t="inlineStr">
        <is>
          <t>ordinary 직전</t>
        </is>
      </c>
      <c r="B21" s="55" t="n">
        <v>2.61</v>
      </c>
    </row>
    <row r="22">
      <c r="A22" s="54" t="inlineStr">
        <is>
          <t>순이익 owner</t>
        </is>
      </c>
      <c r="B22" s="55" t="n">
        <v>2.85</v>
      </c>
    </row>
    <row r="23">
      <c r="A23" s="54" t="inlineStr">
        <is>
          <t>순이익 직전</t>
        </is>
      </c>
      <c r="B23" s="55" t="n">
        <v>10.55</v>
      </c>
    </row>
    <row r="24">
      <c r="A24" s="54" t="inlineStr">
        <is>
          <t>EPS</t>
        </is>
      </c>
      <c r="B24" s="55" t="n">
        <v>40.5</v>
      </c>
    </row>
    <row r="26">
      <c r="A26" s="52" t="inlineStr">
        <is>
          <t>가이던스 FY2027 · initial 2026-04-28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</row>
    <row r="27">
      <c r="A27" s="53" t="inlineStr">
        <is>
          <t>항목</t>
        </is>
      </c>
      <c r="B27" s="53" t="inlineStr">
        <is>
          <t>값</t>
        </is>
      </c>
      <c r="K27" s="53" t="inlineStr">
        <is>
          <t>출처</t>
        </is>
      </c>
    </row>
    <row r="28">
      <c r="A28" s="54" t="inlineStr">
        <is>
          <t>수주</t>
        </is>
      </c>
      <c r="B28" s="57" t="n">
        <v>387</v>
      </c>
      <c r="K28" s="56" t="inlineStr">
        <is>
          <t>2단계 보고서 자료(회사 설명회 자료·공시)</t>
        </is>
      </c>
    </row>
    <row r="29">
      <c r="A29" s="54" t="inlineStr">
        <is>
          <t>매출</t>
        </is>
      </c>
      <c r="B29" s="57" t="n">
        <v>403</v>
      </c>
    </row>
    <row r="30">
      <c r="A30" s="54" t="inlineStr">
        <is>
          <t>영업이익</t>
        </is>
      </c>
      <c r="B30" s="55" t="n">
        <v>36.2</v>
      </c>
    </row>
    <row r="31">
      <c r="A31" s="54" t="inlineStr">
        <is>
          <t>ordinary</t>
        </is>
      </c>
      <c r="B31" s="55" t="n">
        <v>37.2</v>
      </c>
    </row>
    <row r="32">
      <c r="A32" s="54" t="inlineStr">
        <is>
          <t>순이익</t>
        </is>
      </c>
      <c r="B32" s="55" t="n">
        <v>25.16</v>
      </c>
    </row>
    <row r="33">
      <c r="A33" s="54" t="inlineStr">
        <is>
          <t>EPS</t>
        </is>
      </c>
      <c r="B33" s="55" t="n">
        <v>361.31</v>
      </c>
    </row>
    <row r="34">
      <c r="A34" s="54" t="inlineStr">
        <is>
          <t>dps</t>
        </is>
      </c>
      <c r="B34" s="57" t="n">
        <v>180</v>
      </c>
    </row>
    <row r="36">
      <c r="A36" s="52" t="inlineStr">
        <is>
          <t>가이던스 FY2027 · revised 2026-10-30</t>
        </is>
      </c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</row>
    <row r="37">
      <c r="A37" s="53" t="inlineStr">
        <is>
          <t>항목</t>
        </is>
      </c>
      <c r="B37" s="53" t="inlineStr">
        <is>
          <t>값</t>
        </is>
      </c>
      <c r="K37" s="53" t="inlineStr">
        <is>
          <t>출처</t>
        </is>
      </c>
    </row>
    <row r="38">
      <c r="A38" s="54" t="inlineStr">
        <is>
          <t>수주</t>
        </is>
      </c>
      <c r="B38" s="57" t="n">
        <v>405</v>
      </c>
      <c r="K38" s="56" t="inlineStr">
        <is>
          <t>2단계 보고서 자료(회사 설명회 자료·공시)</t>
        </is>
      </c>
    </row>
    <row r="39">
      <c r="A39" s="54" t="inlineStr">
        <is>
          <t>매출</t>
        </is>
      </c>
      <c r="B39" s="57" t="n">
        <v>403</v>
      </c>
    </row>
    <row r="40">
      <c r="A40" s="54" t="inlineStr">
        <is>
          <t>영업이익</t>
        </is>
      </c>
      <c r="B40" s="55" t="n">
        <v>36.2</v>
      </c>
    </row>
    <row r="41">
      <c r="A41" s="54" t="inlineStr">
        <is>
          <t>ordinary</t>
        </is>
      </c>
      <c r="B41" s="55" t="n">
        <v>37.2</v>
      </c>
    </row>
    <row r="42">
      <c r="A42" s="54" t="inlineStr">
        <is>
          <t>순이익</t>
        </is>
      </c>
      <c r="B42" s="55" t="n">
        <v>27.87</v>
      </c>
    </row>
    <row r="43">
      <c r="A43" s="54" t="inlineStr">
        <is>
          <t>EPS</t>
        </is>
      </c>
      <c r="B43" s="55" t="n">
        <v>396.96</v>
      </c>
    </row>
    <row r="44">
      <c r="A44" s="54" t="inlineStr">
        <is>
          <t>dps</t>
        </is>
      </c>
      <c r="B44" s="57" t="n">
        <v>180</v>
      </c>
    </row>
    <row r="46">
      <c r="A46" s="52" t="inlineStr">
        <is>
          <t>가이던스 FY2027 · implied 하반기</t>
        </is>
      </c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</row>
    <row r="47">
      <c r="A47" s="53" t="inlineStr">
        <is>
          <t>항목</t>
        </is>
      </c>
      <c r="B47" s="53" t="inlineStr">
        <is>
          <t>값</t>
        </is>
      </c>
      <c r="K47" s="53" t="inlineStr">
        <is>
          <t>출처</t>
        </is>
      </c>
    </row>
    <row r="48">
      <c r="A48" s="54" t="inlineStr">
        <is>
          <t>매출</t>
        </is>
      </c>
      <c r="B48" s="55" t="n">
        <v>242.45</v>
      </c>
      <c r="K48" s="56" t="inlineStr">
        <is>
          <t>2단계 보고서 자료(회사 설명회 자료·공시)</t>
        </is>
      </c>
    </row>
    <row r="49">
      <c r="A49" s="54" t="inlineStr">
        <is>
          <t>영업이익</t>
        </is>
      </c>
      <c r="B49" s="55" t="n">
        <v>29.83</v>
      </c>
    </row>
    <row r="50">
      <c r="A50" s="54" t="inlineStr">
        <is>
          <t>ordinary</t>
        </is>
      </c>
      <c r="B50" s="55" t="n">
        <v>29.69</v>
      </c>
    </row>
    <row r="51">
      <c r="A51" s="54" t="inlineStr">
        <is>
          <t>순이익</t>
        </is>
      </c>
      <c r="B51" s="55" t="n">
        <v>25.02</v>
      </c>
    </row>
    <row r="53">
      <c r="A53" s="52" t="inlineStr">
        <is>
          <t>가이던스 FY2027 · prior FY2026 실적</t>
        </is>
      </c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</row>
    <row r="54">
      <c r="A54" s="53" t="inlineStr">
        <is>
          <t>항목</t>
        </is>
      </c>
      <c r="B54" s="53" t="inlineStr">
        <is>
          <t>값</t>
        </is>
      </c>
      <c r="K54" s="53" t="inlineStr">
        <is>
          <t>출처</t>
        </is>
      </c>
    </row>
    <row r="55">
      <c r="A55" s="54" t="inlineStr">
        <is>
          <t>수주</t>
        </is>
      </c>
      <c r="B55" s="57" t="n">
        <v>371</v>
      </c>
      <c r="K55" s="56" t="inlineStr">
        <is>
          <t>2단계 보고서 자료(회사 설명회 자료·공시)</t>
        </is>
      </c>
    </row>
    <row r="56">
      <c r="A56" s="54" t="inlineStr">
        <is>
          <t>매출</t>
        </is>
      </c>
      <c r="B56" s="55" t="n">
        <v>373.32</v>
      </c>
    </row>
    <row r="57">
      <c r="A57" s="54" t="inlineStr">
        <is>
          <t>영업이익</t>
        </is>
      </c>
      <c r="B57" s="55" t="n">
        <v>28.79</v>
      </c>
    </row>
    <row r="58">
      <c r="A58" s="54" t="inlineStr">
        <is>
          <t>ordinary</t>
        </is>
      </c>
      <c r="B58" s="55" t="n">
        <v>31.1</v>
      </c>
    </row>
    <row r="59">
      <c r="A59" s="54" t="inlineStr">
        <is>
          <t>순이익</t>
        </is>
      </c>
      <c r="B59" s="55" t="n">
        <v>46.68</v>
      </c>
    </row>
    <row r="60">
      <c r="A60" s="54" t="inlineStr">
        <is>
          <t>EPS</t>
        </is>
      </c>
      <c r="B60" s="55" t="n">
        <v>643.7</v>
      </c>
    </row>
    <row r="61">
      <c r="A61" s="54" t="inlineStr">
        <is>
          <t>dps</t>
        </is>
      </c>
      <c r="B61" s="57" t="n">
        <v>166</v>
      </c>
    </row>
    <row r="63">
      <c r="A63" s="52" t="inlineStr">
        <is>
          <t>annual 실적 vs initial · FY2022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</row>
    <row r="64">
      <c r="A64" s="53" t="inlineStr">
        <is>
          <t>항목</t>
        </is>
      </c>
      <c r="B64" s="53" t="inlineStr">
        <is>
          <t>값</t>
        </is>
      </c>
      <c r="K64" s="53" t="inlineStr">
        <is>
          <t>출처</t>
        </is>
      </c>
    </row>
    <row r="65">
      <c r="A65" s="54" t="inlineStr">
        <is>
          <t>init 영업이익</t>
        </is>
      </c>
      <c r="B65" s="55" t="n">
        <v>6</v>
      </c>
      <c r="K65" s="56" t="inlineStr">
        <is>
          <t>2단계 보고서 자료(회사 설명회 자료·공시)</t>
        </is>
      </c>
    </row>
    <row r="66">
      <c r="A66" s="54" t="inlineStr">
        <is>
          <t>영업이익</t>
        </is>
      </c>
      <c r="B66" s="55" t="n">
        <v>12.63</v>
      </c>
    </row>
    <row r="68">
      <c r="A68" s="52" t="inlineStr">
        <is>
          <t>annual 실적 vs initial · FY2023</t>
        </is>
      </c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</row>
    <row r="69">
      <c r="A69" s="53" t="inlineStr">
        <is>
          <t>항목</t>
        </is>
      </c>
      <c r="B69" s="53" t="inlineStr">
        <is>
          <t>값</t>
        </is>
      </c>
      <c r="K69" s="53" t="inlineStr">
        <is>
          <t>출처</t>
        </is>
      </c>
    </row>
    <row r="70">
      <c r="A70" s="54" t="inlineStr">
        <is>
          <t>init 영업이익</t>
        </is>
      </c>
      <c r="B70" s="55" t="n">
        <v>14.5</v>
      </c>
      <c r="K70" s="56" t="inlineStr">
        <is>
          <t>2단계 보고서 자료(회사 설명회 자료·공시)</t>
        </is>
      </c>
    </row>
    <row r="71">
      <c r="A71" s="54" t="inlineStr">
        <is>
          <t>영업이익</t>
        </is>
      </c>
      <c r="B71" s="55" t="n">
        <v>13.09</v>
      </c>
    </row>
    <row r="73">
      <c r="A73" s="52" t="inlineStr">
        <is>
          <t>annual 실적 vs initial · FY2024</t>
        </is>
      </c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</row>
    <row r="74">
      <c r="A74" s="53" t="inlineStr">
        <is>
          <t>항목</t>
        </is>
      </c>
      <c r="B74" s="53" t="inlineStr">
        <is>
          <t>값</t>
        </is>
      </c>
      <c r="K74" s="53" t="inlineStr">
        <is>
          <t>출처</t>
        </is>
      </c>
    </row>
    <row r="75">
      <c r="A75" s="54" t="inlineStr">
        <is>
          <t>init 영업이익</t>
        </is>
      </c>
      <c r="B75" s="55" t="n">
        <v>19</v>
      </c>
      <c r="K75" s="56" t="inlineStr">
        <is>
          <t>2단계 보고서 자료(회사 설명회 자료·공시)</t>
        </is>
      </c>
    </row>
    <row r="76">
      <c r="A76" s="54" t="inlineStr">
        <is>
          <t>영업이익</t>
        </is>
      </c>
      <c r="B76" s="55" t="n">
        <v>14.77</v>
      </c>
    </row>
    <row r="78">
      <c r="A78" s="52" t="inlineStr">
        <is>
          <t>annual 실적 vs initial · FY2025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</row>
    <row r="79">
      <c r="A79" s="53" t="inlineStr">
        <is>
          <t>항목</t>
        </is>
      </c>
      <c r="B79" s="53" t="inlineStr">
        <is>
          <t>값</t>
        </is>
      </c>
      <c r="K79" s="53" t="inlineStr">
        <is>
          <t>출처</t>
        </is>
      </c>
    </row>
    <row r="80">
      <c r="A80" s="54" t="inlineStr">
        <is>
          <t>init 영업이익</t>
        </is>
      </c>
      <c r="B80" s="55" t="n">
        <v>25.7</v>
      </c>
      <c r="K80" s="56" t="inlineStr">
        <is>
          <t>2단계 보고서 자료(회사 설명회 자료·공시)</t>
        </is>
      </c>
    </row>
    <row r="81">
      <c r="A81" s="54" t="inlineStr">
        <is>
          <t>영업이익</t>
        </is>
      </c>
      <c r="B81" s="55" t="n">
        <v>27.35</v>
      </c>
    </row>
    <row r="83">
      <c r="A83" s="52" t="inlineStr">
        <is>
          <t>annual 실적 vs initial · FY2026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</row>
    <row r="84">
      <c r="A84" s="53" t="inlineStr">
        <is>
          <t>항목</t>
        </is>
      </c>
      <c r="B84" s="53" t="inlineStr">
        <is>
          <t>값</t>
        </is>
      </c>
      <c r="K84" s="53" t="inlineStr">
        <is>
          <t>출처</t>
        </is>
      </c>
    </row>
    <row r="85">
      <c r="A85" s="54" t="inlineStr">
        <is>
          <t>init 영업이익</t>
        </is>
      </c>
      <c r="B85" s="55" t="n">
        <v>30</v>
      </c>
      <c r="K85" s="56" t="inlineStr">
        <is>
          <t>2단계 보고서 자료(회사 설명회 자료·공시)</t>
        </is>
      </c>
    </row>
    <row r="86">
      <c r="A86" s="54" t="inlineStr">
        <is>
          <t>영업이익</t>
        </is>
      </c>
      <c r="B86" s="55" t="n">
        <v>28.79</v>
      </c>
    </row>
    <row r="88">
      <c r="A88" s="52" t="inlineStr">
        <is>
          <t>quarterly older</t>
        </is>
      </c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</row>
    <row r="89">
      <c r="A89" s="53" t="inlineStr">
        <is>
          <t>항목</t>
        </is>
      </c>
      <c r="B89" s="53" t="inlineStr">
        <is>
          <t>2023.3Q</t>
        </is>
      </c>
      <c r="C89" s="53" t="inlineStr">
        <is>
          <t>2023.4Q</t>
        </is>
      </c>
      <c r="D89" s="53" t="inlineStr">
        <is>
          <t>2024.1Q</t>
        </is>
      </c>
      <c r="E89" s="53" t="inlineStr">
        <is>
          <t>2024.2Q</t>
        </is>
      </c>
      <c r="K89" s="53" t="inlineStr">
        <is>
          <t>출처</t>
        </is>
      </c>
    </row>
    <row r="90">
      <c r="A90" s="54" t="inlineStr">
        <is>
          <t>매출</t>
        </is>
      </c>
      <c r="B90" s="55" t="n">
        <v>68.94</v>
      </c>
      <c r="C90" s="55" t="n">
        <v>114.98</v>
      </c>
      <c r="D90" s="55" t="n">
        <v>47.41</v>
      </c>
      <c r="E90" s="55" t="n">
        <v>78.68000000000001</v>
      </c>
      <c r="K90" s="56" t="inlineStr">
        <is>
          <t>2단계 보고서 자료(회사 설명회 자료·공시)</t>
        </is>
      </c>
    </row>
    <row r="91">
      <c r="A91" s="54" t="inlineStr">
        <is>
          <t>영업이익</t>
        </is>
      </c>
      <c r="B91" s="55" t="n">
        <v>1.24</v>
      </c>
      <c r="C91" s="55" t="n">
        <v>18.77</v>
      </c>
      <c r="D91" s="55" t="n">
        <v>-6.26</v>
      </c>
      <c r="E91" s="55" t="n">
        <v>3.76</v>
      </c>
    </row>
    <row r="93">
      <c r="A93" s="52" t="inlineStr">
        <is>
          <t>annual EPS</t>
        </is>
      </c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</row>
    <row r="94">
      <c r="A94" s="53" t="inlineStr">
        <is>
          <t>항목</t>
        </is>
      </c>
      <c r="B94" s="53" t="inlineStr">
        <is>
          <t>2018</t>
        </is>
      </c>
      <c r="C94" s="53" t="inlineStr">
        <is>
          <t>2019</t>
        </is>
      </c>
      <c r="D94" s="53" t="inlineStr">
        <is>
          <t>2020</t>
        </is>
      </c>
      <c r="E94" s="53" t="inlineStr">
        <is>
          <t>2021</t>
        </is>
      </c>
      <c r="F94" s="53" t="inlineStr">
        <is>
          <t>2022</t>
        </is>
      </c>
      <c r="G94" s="53" t="inlineStr">
        <is>
          <t>2023</t>
        </is>
      </c>
      <c r="H94" s="53" t="inlineStr">
        <is>
          <t>2024</t>
        </is>
      </c>
      <c r="I94" s="53" t="inlineStr">
        <is>
          <t>2025</t>
        </is>
      </c>
      <c r="J94" s="53" t="inlineStr">
        <is>
          <t>2026</t>
        </is>
      </c>
      <c r="K94" s="53" t="inlineStr">
        <is>
          <t>출처</t>
        </is>
      </c>
    </row>
    <row r="95">
      <c r="A95" s="54" t="inlineStr">
        <is>
          <t>labels</t>
        </is>
      </c>
      <c r="B95" s="57" t="n">
        <v>2018</v>
      </c>
      <c r="C95" s="57" t="n">
        <v>2019</v>
      </c>
      <c r="D95" s="57" t="n">
        <v>2020</v>
      </c>
      <c r="E95" s="57" t="n">
        <v>2021</v>
      </c>
      <c r="F95" s="57" t="n">
        <v>2022</v>
      </c>
      <c r="G95" s="57" t="n">
        <v>2023</v>
      </c>
      <c r="H95" s="57" t="n">
        <v>2024</v>
      </c>
      <c r="I95" s="57" t="n">
        <v>2025</v>
      </c>
      <c r="J95" s="57" t="n">
        <v>2026</v>
      </c>
      <c r="K95" s="56" t="inlineStr">
        <is>
          <t>2단계 보고서 자료(회사 설명회 자료·공시)</t>
        </is>
      </c>
    </row>
    <row r="96">
      <c r="A96" s="54" t="inlineStr">
        <is>
          <t>EPS</t>
        </is>
      </c>
      <c r="B96" s="55" t="n">
        <v>111.09</v>
      </c>
      <c r="C96" s="55" t="n">
        <v>97.31</v>
      </c>
      <c r="D96" s="55" t="n">
        <v>145.97</v>
      </c>
      <c r="E96" s="55" t="n">
        <v>42.88</v>
      </c>
      <c r="F96" s="55" t="n">
        <v>177.18</v>
      </c>
      <c r="G96" s="55" t="n">
        <v>162.04</v>
      </c>
      <c r="H96" s="55" t="n">
        <v>293.78</v>
      </c>
      <c r="I96" s="55" t="n">
        <v>407.61</v>
      </c>
      <c r="J96" s="55" t="n">
        <v>643.7</v>
      </c>
    </row>
    <row r="97">
      <c r="A97" s="54" t="inlineStr">
        <is>
          <t>dps</t>
        </is>
      </c>
      <c r="B97" s="57" t="n">
        <v>60</v>
      </c>
      <c r="C97" s="57" t="n">
        <v>60</v>
      </c>
      <c r="D97" s="57" t="n">
        <v>60</v>
      </c>
      <c r="E97" s="57" t="n">
        <v>60</v>
      </c>
      <c r="F97" s="57" t="n">
        <v>70</v>
      </c>
      <c r="G97" s="57" t="n">
        <v>70</v>
      </c>
      <c r="H97" s="57" t="n">
        <v>80</v>
      </c>
      <c r="I97" s="57" t="n">
        <v>150</v>
      </c>
      <c r="J97" s="57" t="n">
        <v>166</v>
      </c>
    </row>
    <row r="99">
      <c r="A99" s="52" t="inlineStr">
        <is>
          <t>bs annual</t>
        </is>
      </c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</row>
    <row r="100">
      <c r="A100" s="53" t="inlineStr">
        <is>
          <t>항목</t>
        </is>
      </c>
      <c r="B100" s="53" t="inlineStr">
        <is>
          <t>2022</t>
        </is>
      </c>
      <c r="C100" s="53" t="inlineStr">
        <is>
          <t>2023</t>
        </is>
      </c>
      <c r="D100" s="53" t="inlineStr">
        <is>
          <t>2024</t>
        </is>
      </c>
      <c r="E100" s="53" t="inlineStr">
        <is>
          <t>2025</t>
        </is>
      </c>
      <c r="F100" s="53" t="inlineStr">
        <is>
          <t>2026</t>
        </is>
      </c>
      <c r="K100" s="53" t="inlineStr">
        <is>
          <t>출처</t>
        </is>
      </c>
    </row>
    <row r="101">
      <c r="A101" s="54" t="inlineStr">
        <is>
          <t>labels</t>
        </is>
      </c>
      <c r="B101" s="57" t="n">
        <v>2022</v>
      </c>
      <c r="C101" s="57" t="n">
        <v>2023</v>
      </c>
      <c r="D101" s="57" t="n">
        <v>2024</v>
      </c>
      <c r="E101" s="57" t="n">
        <v>2025</v>
      </c>
      <c r="F101" s="57" t="n">
        <v>2026</v>
      </c>
      <c r="K101" s="56" t="inlineStr">
        <is>
          <t>2단계 보고서 자료(회사 설명회 자료·공시)</t>
        </is>
      </c>
    </row>
    <row r="102">
      <c r="A102" s="54" t="inlineStr">
        <is>
          <t>current assets</t>
        </is>
      </c>
      <c r="B102" s="55" t="n">
        <v>272.7</v>
      </c>
      <c r="C102" s="55" t="n">
        <v>302.1</v>
      </c>
      <c r="D102" s="55" t="n">
        <v>342.5</v>
      </c>
      <c r="E102" s="55" t="n">
        <v>359.8</v>
      </c>
      <c r="F102" s="55" t="n">
        <v>385.7</v>
      </c>
    </row>
    <row r="103">
      <c r="A103" s="54" t="inlineStr">
        <is>
          <t>cash</t>
        </is>
      </c>
      <c r="B103" s="55" t="n">
        <v>111.3</v>
      </c>
      <c r="C103" s="55" t="n">
        <v>78.8</v>
      </c>
      <c r="D103" s="55" t="n">
        <v>100.6</v>
      </c>
      <c r="E103" s="55" t="n">
        <v>43.9</v>
      </c>
      <c r="F103" s="55" t="n">
        <v>108.2</v>
      </c>
    </row>
    <row r="104">
      <c r="A104" s="54" t="inlineStr">
        <is>
          <t>st fin</t>
        </is>
      </c>
      <c r="B104" s="55" t="n">
        <v>0</v>
      </c>
      <c r="C104" s="58" t="n"/>
      <c r="D104" s="58" t="n"/>
      <c r="E104" s="58" t="n"/>
      <c r="F104" s="58" t="n"/>
    </row>
    <row r="105">
      <c r="A105" s="54" t="inlineStr">
        <is>
          <t>receivables</t>
        </is>
      </c>
      <c r="B105" s="55" t="n">
        <v>148.5</v>
      </c>
      <c r="C105" s="55" t="n">
        <v>206.9</v>
      </c>
      <c r="D105" s="55" t="n">
        <v>219.6</v>
      </c>
      <c r="E105" s="55" t="n">
        <v>297.2</v>
      </c>
      <c r="F105" s="55" t="n">
        <v>258.6</v>
      </c>
    </row>
    <row r="106">
      <c r="A106" s="54" t="inlineStr">
        <is>
          <t>inventory</t>
        </is>
      </c>
      <c r="B106" s="55" t="n">
        <v>12.1</v>
      </c>
      <c r="C106" s="55" t="n">
        <v>15.6</v>
      </c>
      <c r="D106" s="55" t="n">
        <v>21.1</v>
      </c>
      <c r="E106" s="55" t="n">
        <v>17.3</v>
      </c>
      <c r="F106" s="55" t="n">
        <v>16.7</v>
      </c>
    </row>
    <row r="107">
      <c r="A107" s="54" t="inlineStr">
        <is>
          <t>noncurrent assets</t>
        </is>
      </c>
      <c r="B107" s="55" t="n">
        <v>108.7</v>
      </c>
      <c r="C107" s="55" t="n">
        <v>109.6</v>
      </c>
      <c r="D107" s="55" t="n">
        <v>146.1</v>
      </c>
      <c r="E107" s="55" t="n">
        <v>127.5</v>
      </c>
      <c r="F107" s="55" t="n">
        <v>127.1</v>
      </c>
    </row>
    <row r="108">
      <c r="A108" s="54" t="inlineStr">
        <is>
          <t>ppe</t>
        </is>
      </c>
      <c r="B108" s="55" t="n">
        <v>41.8</v>
      </c>
      <c r="C108" s="55" t="n">
        <v>41.2</v>
      </c>
      <c r="D108" s="55" t="n">
        <v>48.5</v>
      </c>
      <c r="E108" s="55" t="n">
        <v>50.5</v>
      </c>
      <c r="F108" s="55" t="n">
        <v>58.1</v>
      </c>
    </row>
    <row r="109">
      <c r="A109" s="54" t="inlineStr">
        <is>
          <t>intangibles</t>
        </is>
      </c>
      <c r="B109" s="55" t="n">
        <v>3.6</v>
      </c>
      <c r="C109" s="55" t="n">
        <v>2.9</v>
      </c>
      <c r="D109" s="55" t="n">
        <v>2.6</v>
      </c>
      <c r="E109" s="55" t="n">
        <v>2.1</v>
      </c>
      <c r="F109" s="55" t="n">
        <v>2.2</v>
      </c>
    </row>
    <row r="110">
      <c r="A110" s="54" t="inlineStr">
        <is>
          <t>inv property</t>
        </is>
      </c>
      <c r="B110" s="58" t="n"/>
      <c r="C110" s="58" t="n"/>
      <c r="D110" s="58" t="n"/>
      <c r="E110" s="58" t="n"/>
      <c r="F110" s="58" t="n"/>
    </row>
    <row r="111">
      <c r="A111" s="54" t="inlineStr">
        <is>
          <t>합계 assets</t>
        </is>
      </c>
      <c r="B111" s="55" t="n">
        <v>381.4</v>
      </c>
      <c r="C111" s="55" t="n">
        <v>411.8</v>
      </c>
      <c r="D111" s="55" t="n">
        <v>488.6</v>
      </c>
      <c r="E111" s="55" t="n">
        <v>487.4</v>
      </c>
      <c r="F111" s="55" t="n">
        <v>512.8</v>
      </c>
    </row>
    <row r="112">
      <c r="A112" s="54" t="inlineStr">
        <is>
          <t>current liab</t>
        </is>
      </c>
      <c r="B112" s="55" t="n">
        <v>124.5</v>
      </c>
      <c r="C112" s="55" t="n">
        <v>145.4</v>
      </c>
      <c r="D112" s="55" t="n">
        <v>175.2</v>
      </c>
      <c r="E112" s="55" t="n">
        <v>152.3</v>
      </c>
      <c r="F112" s="55" t="n">
        <v>154.4</v>
      </c>
    </row>
    <row r="113">
      <c r="A113" s="54" t="inlineStr">
        <is>
          <t>payables</t>
        </is>
      </c>
      <c r="B113" s="55" t="n">
        <v>59</v>
      </c>
      <c r="C113" s="55" t="n">
        <v>78.59999999999999</v>
      </c>
      <c r="D113" s="55" t="n">
        <v>67.90000000000001</v>
      </c>
      <c r="E113" s="55" t="n">
        <v>74.40000000000001</v>
      </c>
      <c r="F113" s="55" t="n">
        <v>68.90000000000001</v>
      </c>
    </row>
    <row r="114">
      <c r="A114" s="54" t="inlineStr">
        <is>
          <t>st debt</t>
        </is>
      </c>
      <c r="B114" s="55" t="n">
        <v>28</v>
      </c>
      <c r="C114" s="55" t="n">
        <v>28</v>
      </c>
      <c r="D114" s="55" t="n">
        <v>61</v>
      </c>
      <c r="E114" s="55" t="n">
        <v>25.7</v>
      </c>
      <c r="F114" s="55" t="n">
        <v>19.2</v>
      </c>
    </row>
    <row r="115">
      <c r="A115" s="54" t="inlineStr">
        <is>
          <t>noncurrent liab</t>
        </is>
      </c>
      <c r="B115" s="55" t="n">
        <v>24.8</v>
      </c>
      <c r="C115" s="55" t="n">
        <v>26</v>
      </c>
      <c r="D115" s="55" t="n">
        <v>35.8</v>
      </c>
      <c r="E115" s="55" t="n">
        <v>48.9</v>
      </c>
      <c r="F115" s="55" t="n">
        <v>43.6</v>
      </c>
    </row>
    <row r="116">
      <c r="A116" s="54" t="inlineStr">
        <is>
          <t>lt debt</t>
        </is>
      </c>
      <c r="B116" s="55" t="n">
        <v>11.9</v>
      </c>
      <c r="C116" s="55" t="n">
        <v>11.9</v>
      </c>
      <c r="D116" s="55" t="n">
        <v>11.9</v>
      </c>
      <c r="E116" s="55" t="n">
        <v>29.4</v>
      </c>
      <c r="F116" s="55" t="n">
        <v>25.2</v>
      </c>
    </row>
    <row r="117">
      <c r="A117" s="54" t="inlineStr">
        <is>
          <t>bonds</t>
        </is>
      </c>
      <c r="B117" s="58" t="n"/>
      <c r="C117" s="58" t="n"/>
      <c r="D117" s="58" t="n"/>
      <c r="E117" s="58" t="n"/>
      <c r="F117" s="58" t="n"/>
    </row>
    <row r="118">
      <c r="A118" s="54" t="inlineStr">
        <is>
          <t>합계 liab</t>
        </is>
      </c>
      <c r="B118" s="55" t="n">
        <v>149.3</v>
      </c>
      <c r="C118" s="55" t="n">
        <v>171.4</v>
      </c>
      <c r="D118" s="55" t="n">
        <v>210.9</v>
      </c>
      <c r="E118" s="55" t="n">
        <v>201.3</v>
      </c>
      <c r="F118" s="55" t="n">
        <v>198</v>
      </c>
    </row>
    <row r="119">
      <c r="A119" s="54" t="inlineStr">
        <is>
          <t>capital stock</t>
        </is>
      </c>
      <c r="B119" s="55" t="n">
        <v>61.8</v>
      </c>
      <c r="C119" s="55" t="n">
        <v>61.8</v>
      </c>
      <c r="D119" s="55" t="n">
        <v>61.8</v>
      </c>
      <c r="E119" s="55" t="n">
        <v>61.8</v>
      </c>
      <c r="F119" s="55" t="n">
        <v>61.8</v>
      </c>
    </row>
    <row r="120">
      <c r="A120" s="54" t="inlineStr">
        <is>
          <t>retained</t>
        </is>
      </c>
      <c r="B120" s="55" t="n">
        <v>130.8</v>
      </c>
      <c r="C120" s="55" t="n">
        <v>137.8</v>
      </c>
      <c r="D120" s="55" t="n">
        <v>154.4</v>
      </c>
      <c r="E120" s="55" t="n">
        <v>178.4</v>
      </c>
      <c r="F120" s="55" t="n">
        <v>214.1</v>
      </c>
    </row>
    <row r="121">
      <c r="A121" s="54" t="inlineStr">
        <is>
          <t>nci</t>
        </is>
      </c>
      <c r="B121" s="55" t="n">
        <v>1.4</v>
      </c>
      <c r="C121" s="55" t="n">
        <v>1.8</v>
      </c>
      <c r="D121" s="55" t="n">
        <v>2</v>
      </c>
      <c r="E121" s="55" t="n">
        <v>2.8</v>
      </c>
      <c r="F121" s="55" t="n">
        <v>2.8</v>
      </c>
    </row>
    <row r="122">
      <c r="A122" s="54" t="inlineStr">
        <is>
          <t>합계 equity</t>
        </is>
      </c>
      <c r="B122" s="55" t="n">
        <v>232.1</v>
      </c>
      <c r="C122" s="55" t="n">
        <v>240.4</v>
      </c>
      <c r="D122" s="55" t="n">
        <v>277.7</v>
      </c>
      <c r="E122" s="55" t="n">
        <v>286.1</v>
      </c>
      <c r="F122" s="55" t="n">
        <v>314.8</v>
      </c>
    </row>
    <row r="123">
      <c r="A123" s="54" t="inlineStr">
        <is>
          <t>current ltd</t>
        </is>
      </c>
      <c r="B123" s="58" t="n"/>
      <c r="C123" s="58" t="n"/>
      <c r="D123" s="58" t="n"/>
      <c r="E123" s="58" t="n"/>
      <c r="F123" s="58" t="n"/>
    </row>
    <row r="124">
      <c r="A124" s="54" t="inlineStr">
        <is>
          <t>equity owner</t>
        </is>
      </c>
      <c r="B124" s="55" t="n">
        <v>230.7</v>
      </c>
      <c r="C124" s="55" t="n">
        <v>238.6</v>
      </c>
      <c r="D124" s="55" t="n">
        <v>275.7</v>
      </c>
      <c r="E124" s="55" t="n">
        <v>283.3</v>
      </c>
      <c r="F124" s="55" t="n">
        <v>312</v>
      </c>
    </row>
    <row r="126">
      <c r="A126" s="52" t="inlineStr">
        <is>
          <t>cf annual</t>
        </is>
      </c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</row>
    <row r="127">
      <c r="A127" s="53" t="inlineStr">
        <is>
          <t>항목</t>
        </is>
      </c>
      <c r="B127" s="53" t="inlineStr">
        <is>
          <t>2022</t>
        </is>
      </c>
      <c r="C127" s="53" t="inlineStr">
        <is>
          <t>2023</t>
        </is>
      </c>
      <c r="D127" s="53" t="inlineStr">
        <is>
          <t>2024</t>
        </is>
      </c>
      <c r="E127" s="53" t="inlineStr">
        <is>
          <t>2025</t>
        </is>
      </c>
      <c r="F127" s="53" t="inlineStr">
        <is>
          <t>2026</t>
        </is>
      </c>
      <c r="K127" s="53" t="inlineStr">
        <is>
          <t>출처</t>
        </is>
      </c>
    </row>
    <row r="128">
      <c r="A128" s="54" t="inlineStr">
        <is>
          <t>labels</t>
        </is>
      </c>
      <c r="B128" s="57" t="n">
        <v>2022</v>
      </c>
      <c r="C128" s="57" t="n">
        <v>2023</v>
      </c>
      <c r="D128" s="57" t="n">
        <v>2024</v>
      </c>
      <c r="E128" s="57" t="n">
        <v>2025</v>
      </c>
      <c r="F128" s="57" t="n">
        <v>2026</v>
      </c>
      <c r="K128" s="56" t="inlineStr">
        <is>
          <t>2단계 보고서 자료(회사 설명회 자료·공시)</t>
        </is>
      </c>
    </row>
    <row r="129">
      <c r="A129" s="54" t="inlineStr">
        <is>
          <t>ocf</t>
        </is>
      </c>
      <c r="B129" s="55" t="n">
        <v>60.9</v>
      </c>
      <c r="C129" s="55" t="n">
        <v>-25</v>
      </c>
      <c r="D129" s="55" t="n">
        <v>-8.9</v>
      </c>
      <c r="E129" s="55" t="n">
        <v>-37</v>
      </c>
      <c r="F129" s="55" t="n">
        <v>62.6</v>
      </c>
    </row>
    <row r="130">
      <c r="A130" s="54" t="inlineStr">
        <is>
          <t>설비투자</t>
        </is>
      </c>
      <c r="B130" s="55" t="n">
        <v>3.2</v>
      </c>
      <c r="C130" s="55" t="n">
        <v>2.4</v>
      </c>
      <c r="D130" s="55" t="n">
        <v>13.3</v>
      </c>
      <c r="E130" s="55" t="n">
        <v>8</v>
      </c>
      <c r="F130" s="55" t="n">
        <v>9.699999999999999</v>
      </c>
    </row>
    <row r="131">
      <c r="A131" s="54" t="inlineStr">
        <is>
          <t>dividends</t>
        </is>
      </c>
      <c r="B131" s="55" t="n">
        <v>4.6</v>
      </c>
      <c r="C131" s="55" t="n">
        <v>5.4</v>
      </c>
      <c r="D131" s="55" t="n">
        <v>5.3</v>
      </c>
      <c r="E131" s="55" t="n">
        <v>5.9</v>
      </c>
      <c r="F131" s="55" t="n">
        <v>11</v>
      </c>
    </row>
    <row r="133">
      <c r="A133" s="52" t="inlineStr">
        <is>
          <t>shares</t>
        </is>
      </c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</row>
    <row r="134">
      <c r="A134" s="53" t="inlineStr">
        <is>
          <t>항목</t>
        </is>
      </c>
      <c r="B134" s="53" t="inlineStr">
        <is>
          <t>값</t>
        </is>
      </c>
      <c r="K134" s="53" t="inlineStr">
        <is>
          <t>출처</t>
        </is>
      </c>
    </row>
    <row r="135">
      <c r="A135" s="54" t="inlineStr">
        <is>
          <t>issued</t>
        </is>
      </c>
      <c r="B135" s="57" t="n">
        <v>7800000</v>
      </c>
      <c r="K135" s="56" t="inlineStr">
        <is>
          <t>2단계 보고서 자료(회사 설명회 자료·공시)</t>
        </is>
      </c>
    </row>
    <row r="136">
      <c r="A136" s="54" t="inlineStr">
        <is>
          <t>treasury_26.9말</t>
        </is>
      </c>
      <c r="B136" s="57" t="n">
        <v>818645</v>
      </c>
    </row>
    <row r="137">
      <c r="A137" s="54" t="inlineStr">
        <is>
          <t>outstanding</t>
        </is>
      </c>
      <c r="B137" s="57" t="n">
        <v>6981355</v>
      </c>
    </row>
    <row r="138">
      <c r="A138" s="54" t="inlineStr">
        <is>
          <t>avg 상반기</t>
        </is>
      </c>
      <c r="B138" s="57" t="n">
        <v>7055450</v>
      </c>
    </row>
    <row r="140">
      <c r="A140" s="52" t="inlineStr">
        <is>
          <t>가이던스 path fc</t>
        </is>
      </c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</row>
    <row r="141">
      <c r="A141" s="53" t="inlineStr">
        <is>
          <t>항목</t>
        </is>
      </c>
      <c r="B141" s="53" t="inlineStr">
        <is>
          <t>FY</t>
        </is>
      </c>
      <c r="C141" s="53" t="inlineStr">
        <is>
          <t>매출</t>
        </is>
      </c>
      <c r="D141" s="53" t="inlineStr">
        <is>
          <t>영업이익</t>
        </is>
      </c>
      <c r="E141" s="53" t="inlineStr">
        <is>
          <t>순이익</t>
        </is>
      </c>
      <c r="F141" s="53" t="inlineStr">
        <is>
          <t>EPS</t>
        </is>
      </c>
      <c r="K141" s="53" t="inlineStr">
        <is>
          <t>출처</t>
        </is>
      </c>
    </row>
    <row r="142">
      <c r="A142" s="54" t="inlineStr">
        <is>
          <t>2023-05-12</t>
        </is>
      </c>
      <c r="B142" s="58" t="inlineStr">
        <is>
          <t>FY2024</t>
        </is>
      </c>
      <c r="C142" s="57" t="n">
        <v>340</v>
      </c>
      <c r="D142" s="55" t="n">
        <v>19</v>
      </c>
      <c r="E142" s="55" t="n">
        <v>14</v>
      </c>
      <c r="F142" s="55" t="n">
        <v>184.64</v>
      </c>
      <c r="K142" s="56" t="inlineStr">
        <is>
          <t>2단계 보고서 자료(회사 설명회 자료·공시)</t>
        </is>
      </c>
    </row>
    <row r="143">
      <c r="A143" s="54" t="inlineStr">
        <is>
          <t>2023-10-30</t>
        </is>
      </c>
      <c r="B143" s="58" t="inlineStr">
        <is>
          <t>FY2024</t>
        </is>
      </c>
      <c r="C143" s="58" t="n"/>
      <c r="D143" s="58" t="n"/>
      <c r="E143" s="55" t="n">
        <v>21.6</v>
      </c>
      <c r="F143" s="55" t="n">
        <v>285.85</v>
      </c>
    </row>
    <row r="144">
      <c r="A144" s="54" t="inlineStr">
        <is>
          <t>2024-04-30</t>
        </is>
      </c>
      <c r="B144" s="58" t="inlineStr">
        <is>
          <t>FY2025</t>
        </is>
      </c>
      <c r="C144" s="57" t="n">
        <v>376</v>
      </c>
      <c r="D144" s="55" t="n">
        <v>25.7</v>
      </c>
      <c r="E144" s="55" t="n">
        <v>23</v>
      </c>
      <c r="F144" s="55" t="n">
        <v>309.42</v>
      </c>
    </row>
    <row r="145">
      <c r="A145" s="54" t="inlineStr">
        <is>
          <t>2025-04-18</t>
        </is>
      </c>
      <c r="B145" s="58" t="inlineStr">
        <is>
          <t>FY2025</t>
        </is>
      </c>
      <c r="C145" s="58" t="n"/>
      <c r="D145" s="58" t="n"/>
      <c r="E145" s="58" t="n"/>
      <c r="F145" s="58" t="n"/>
    </row>
    <row r="146">
      <c r="A146" s="54" t="inlineStr">
        <is>
          <t>2025-04-28</t>
        </is>
      </c>
      <c r="B146" s="58" t="inlineStr">
        <is>
          <t>FY2026</t>
        </is>
      </c>
      <c r="C146" s="57" t="n">
        <v>375</v>
      </c>
      <c r="D146" s="55" t="n">
        <v>30</v>
      </c>
      <c r="E146" s="55" t="n">
        <v>28</v>
      </c>
      <c r="F146" s="55" t="n">
        <v>387.92</v>
      </c>
    </row>
    <row r="147">
      <c r="A147" s="54" t="inlineStr">
        <is>
          <t>2025-10-31</t>
        </is>
      </c>
      <c r="B147" s="58" t="inlineStr">
        <is>
          <t>FY2026</t>
        </is>
      </c>
      <c r="C147" s="57" t="n">
        <v>375</v>
      </c>
      <c r="D147" s="55" t="n">
        <v>30</v>
      </c>
      <c r="E147" s="55" t="n">
        <v>37</v>
      </c>
      <c r="F147" s="55" t="n">
        <v>510.18</v>
      </c>
    </row>
    <row r="148">
      <c r="A148" s="54" t="inlineStr">
        <is>
          <t>2026-04-28</t>
        </is>
      </c>
      <c r="B148" s="58" t="inlineStr">
        <is>
          <t>FY2027</t>
        </is>
      </c>
      <c r="C148" s="57" t="n">
        <v>403</v>
      </c>
      <c r="D148" s="55" t="n">
        <v>36.2</v>
      </c>
      <c r="E148" s="55" t="n">
        <v>25.16</v>
      </c>
      <c r="F148" s="55" t="n">
        <v>361.31</v>
      </c>
    </row>
    <row r="149">
      <c r="A149" s="54" t="inlineStr">
        <is>
          <t>2026-10-30</t>
        </is>
      </c>
      <c r="B149" s="58" t="inlineStr">
        <is>
          <t>FY2027</t>
        </is>
      </c>
      <c r="C149" s="57" t="n">
        <v>403</v>
      </c>
      <c r="D149" s="55" t="n">
        <v>36.2</v>
      </c>
      <c r="E149" s="55" t="n">
        <v>27.87</v>
      </c>
      <c r="F149" s="55" t="n">
        <v>396.96</v>
      </c>
    </row>
    <row r="151">
      <c r="A151" s="52" t="inlineStr">
        <is>
          <t>reactions</t>
        </is>
      </c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</row>
    <row r="152">
      <c r="A152" s="53" t="inlineStr">
        <is>
          <t>항목</t>
        </is>
      </c>
      <c r="B152" s="53" t="inlineStr">
        <is>
          <t>기준일</t>
        </is>
      </c>
      <c r="C152" s="53" t="inlineStr">
        <is>
          <t>다음날</t>
        </is>
      </c>
      <c r="D152" s="53" t="inlineStr">
        <is>
          <t>등락%</t>
        </is>
      </c>
      <c r="K152" s="53" t="inlineStr">
        <is>
          <t>출처</t>
        </is>
      </c>
    </row>
    <row r="153">
      <c r="A153" s="54" t="inlineStr">
        <is>
          <t>2025-01-31</t>
        </is>
      </c>
      <c r="B153" s="58" t="inlineStr">
        <is>
          <t>2025-01-31</t>
        </is>
      </c>
      <c r="C153" s="58" t="inlineStr">
        <is>
          <t>2025-02-03</t>
        </is>
      </c>
      <c r="D153" s="55" t="n">
        <v>-2.7</v>
      </c>
      <c r="K153" s="56" t="inlineStr">
        <is>
          <t>2단계 보고서 자료(회사 설명회 자료·공시)</t>
        </is>
      </c>
    </row>
    <row r="154">
      <c r="A154" s="54" t="inlineStr">
        <is>
          <t>2025-04-28</t>
        </is>
      </c>
      <c r="B154" s="58" t="inlineStr">
        <is>
          <t>2025-04-28</t>
        </is>
      </c>
      <c r="C154" s="58" t="inlineStr">
        <is>
          <t>2025-04-30</t>
        </is>
      </c>
      <c r="D154" s="55" t="n">
        <v>2</v>
      </c>
    </row>
    <row r="155">
      <c r="A155" s="54" t="inlineStr">
        <is>
          <t>2025-07-25</t>
        </is>
      </c>
      <c r="B155" s="58" t="inlineStr">
        <is>
          <t>2025-07-25</t>
        </is>
      </c>
      <c r="C155" s="58" t="inlineStr">
        <is>
          <t>2025-07-28</t>
        </is>
      </c>
      <c r="D155" s="55" t="n">
        <v>0.9</v>
      </c>
    </row>
    <row r="156">
      <c r="A156" s="54" t="inlineStr">
        <is>
          <t>2025-10-31</t>
        </is>
      </c>
      <c r="B156" s="58" t="inlineStr">
        <is>
          <t>2025-10-31</t>
        </is>
      </c>
      <c r="C156" s="58" t="inlineStr">
        <is>
          <t>2025-11-04</t>
        </is>
      </c>
      <c r="D156" s="55" t="n">
        <v>0.5</v>
      </c>
    </row>
    <row r="157">
      <c r="A157" s="54" t="inlineStr">
        <is>
          <t>2026-01-30</t>
        </is>
      </c>
      <c r="B157" s="58" t="inlineStr">
        <is>
          <t>2026-01-30</t>
        </is>
      </c>
      <c r="C157" s="58" t="inlineStr">
        <is>
          <t>2026-02-02</t>
        </is>
      </c>
      <c r="D157" s="55" t="n">
        <v>-3</v>
      </c>
    </row>
    <row r="158">
      <c r="A158" s="54" t="inlineStr">
        <is>
          <t>2026-04-28</t>
        </is>
      </c>
      <c r="B158" s="58" t="inlineStr">
        <is>
          <t>2026-04-28</t>
        </is>
      </c>
      <c r="C158" s="58" t="inlineStr">
        <is>
          <t>2026-04-30</t>
        </is>
      </c>
      <c r="D158" s="55" t="n">
        <v>3.3</v>
      </c>
    </row>
    <row r="159">
      <c r="A159" s="54" t="inlineStr">
        <is>
          <t>2026-07-24</t>
        </is>
      </c>
      <c r="B159" s="58" t="inlineStr">
        <is>
          <t>2026-07-24</t>
        </is>
      </c>
      <c r="C159" s="58" t="inlineStr">
        <is>
          <t>2026-07-27</t>
        </is>
      </c>
      <c r="D159" s="55" t="n">
        <v>-6.2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https://www2.jpx.co.jp/disc/19640/140120261029559100.pdf</t>
        </is>
      </c>
    </row>
    <row r="5">
      <c r="A5" t="inlineStr">
        <is>
          <t>2026-07-24</t>
        </is>
      </c>
      <c r="B5" t="inlineStr">
        <is>
          <t>2027년 3월 결산기 1분기 결산단신</t>
        </is>
      </c>
      <c r="C5" t="inlineStr">
        <is>
          <t>https://www2.jpx.co.jp/disc/19640/140120260724599456.pdf</t>
        </is>
      </c>
    </row>
    <row r="6">
      <c r="A6" t="inlineStr">
        <is>
          <t>2026-04-28</t>
        </is>
      </c>
      <c r="B6" t="inlineStr">
        <is>
          <t>2626년 3월 결산기 연간 결산단신</t>
        </is>
      </c>
      <c r="C6" t="inlineStr">
        <is>
          <t>https://www2.jpx.co.jp/disc/19640/140120260425510964.pdf</t>
        </is>
      </c>
    </row>
    <row r="7">
      <c r="A7" t="inlineStr">
        <is>
          <t>2026-01-30</t>
        </is>
      </c>
      <c r="B7" t="inlineStr">
        <is>
          <t>2026년 3월 결산기 3분기 결산단신</t>
        </is>
      </c>
      <c r="C7" t="inlineStr">
        <is>
          <t>https://www2.jpx.co.jp/disc/19640/140120260128540766.pdf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https://www2.jpx.co.jp/disc/19640/140120251028579787.pdf</t>
        </is>
      </c>
    </row>
    <row r="9">
      <c r="A9" t="inlineStr">
        <is>
          <t>2025-07-25</t>
        </is>
      </c>
      <c r="B9" t="inlineStr">
        <is>
          <t>2026년 3월 결산기 1분기 결산단신</t>
        </is>
      </c>
      <c r="C9" t="inlineStr">
        <is>
          <t>https://www2.jpx.co.jp/disc/19640/140120250724519149.pdf</t>
        </is>
      </c>
    </row>
    <row r="10">
      <c r="A10" t="inlineStr">
        <is>
          <t>2025-04-28</t>
        </is>
      </c>
      <c r="B10" t="inlineStr">
        <is>
          <t>2025년 3월 결산기 연간 결산단신</t>
        </is>
      </c>
      <c r="C10" t="inlineStr">
        <is>
          <t>https://www2.jpx.co.jp/disc/19640/140120250426525154.pdf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https://www2.jpx.co.jp/disc/19640/140120250127555440.pdf</t>
        </is>
      </c>
    </row>
    <row r="12">
      <c r="A12" t="inlineStr">
        <is>
          <t>2024-10-31</t>
        </is>
      </c>
      <c r="B12" t="inlineStr">
        <is>
          <t>2025년 3월 결산기 2분기 결산단신</t>
        </is>
      </c>
      <c r="C12" t="inlineStr">
        <is>
          <t>https://www2.jpx.co.jp/disc/19640/140120241026503307.pdf</t>
        </is>
      </c>
    </row>
    <row r="13">
      <c r="A13" t="inlineStr">
        <is>
          <t>2024-07-26</t>
        </is>
      </c>
      <c r="B13" t="inlineStr">
        <is>
          <t>2025년 3월 결산기 1분기 결산단신</t>
        </is>
      </c>
      <c r="C13" t="inlineStr">
        <is>
          <t>https://www2.jpx.co.jp/disc/19640/140120240721551992.pdf</t>
        </is>
      </c>
    </row>
    <row r="14">
      <c r="A14" t="inlineStr">
        <is>
          <t>2024-04-30</t>
        </is>
      </c>
      <c r="B14" t="inlineStr">
        <is>
          <t>2024년 3월 결산기 연간 결산단신</t>
        </is>
      </c>
      <c r="C14" t="inlineStr">
        <is>
          <t>https://www2.jpx.co.jp/disc/19640/140120240412569530.pdf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https://www2.jpx.co.jp/disc/19640/140120240105511226.pdf</t>
        </is>
      </c>
    </row>
    <row r="16">
      <c r="A16" t="inlineStr">
        <is>
          <t>2023-10-30</t>
        </is>
      </c>
      <c r="B16" t="inlineStr">
        <is>
          <t>2024년 3월 결산기 2분기 결산단신</t>
        </is>
      </c>
      <c r="C16" t="inlineStr">
        <is>
          <t>https://www2.jpx.co.jp/disc/19640/140120231006563778.pdf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https://www2.jpx.co.jp/disc/19640/140120230627512494.pdf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https://www2.jpx.co.jp/disc/19640/140120230410544737.pdf</t>
        </is>
      </c>
    </row>
    <row r="19">
      <c r="A19" t="inlineStr">
        <is>
          <t>2023-02-10</t>
        </is>
      </c>
      <c r="B19" t="inlineStr">
        <is>
          <t>2023년 3월 결산기 3분기 결산단신</t>
        </is>
      </c>
      <c r="C19" t="inlineStr">
        <is>
          <t>https://www2.jpx.co.jp/disc/19640/140120230120591916.pdf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https://www2.jpx.co.jp/disc/19640/140120220422525717.pdf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https://www2.jpx.co.jp/disc/19640/140120210514418748.pdf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https://www2.jpx.co.jp/disc/19640/140120200430402931.pdf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https://www2.jpx.co.jp/disc/19640/140120190422408324.pdf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https://www2.jpx.co.jp/disc/19640/140120180423417540.pdf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1964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36건(2018-02-09~2026-10-30).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104.7</v>
      </c>
      <c r="D5" s="65" t="n">
        <v>38.4</v>
      </c>
      <c r="E5" s="65" t="n">
        <v>72.2</v>
      </c>
      <c r="F5" s="65" t="n">
        <v>70.59999999999999</v>
      </c>
      <c r="G5" s="65" t="n">
        <v>127.2</v>
      </c>
      <c r="H5" s="65" t="n">
        <v>60</v>
      </c>
      <c r="I5" s="65" t="n">
        <v>87.7</v>
      </c>
      <c r="J5" s="65" t="n">
        <v>86.3</v>
      </c>
      <c r="K5" s="65" t="n">
        <v>136.9</v>
      </c>
      <c r="L5" s="65" t="n">
        <v>67.90000000000001</v>
      </c>
      <c r="M5" s="65" t="n">
        <v>108.7</v>
      </c>
      <c r="N5" s="65" t="n">
        <v>84.09999999999999</v>
      </c>
      <c r="O5" s="65" t="n">
        <v>120.2</v>
      </c>
      <c r="P5" s="65" t="n">
        <v>48.2</v>
      </c>
      <c r="Q5" s="65" t="n">
        <v>47.4</v>
      </c>
      <c r="R5" s="65" t="n">
        <v>60.7</v>
      </c>
      <c r="S5" s="65" t="n">
        <v>90.90000000000001</v>
      </c>
      <c r="T5" s="65" t="n">
        <v>45.1</v>
      </c>
      <c r="U5" s="65" t="n">
        <v>53.2</v>
      </c>
      <c r="V5" s="65" t="n">
        <v>60.9</v>
      </c>
      <c r="W5" s="65" t="n">
        <v>103.9</v>
      </c>
      <c r="X5" s="65" t="n">
        <v>36.9</v>
      </c>
      <c r="Y5" s="65" t="n">
        <v>58.9</v>
      </c>
      <c r="Z5" s="65" t="n">
        <v>68.90000000000001</v>
      </c>
      <c r="AA5" s="65" t="n">
        <v>115</v>
      </c>
      <c r="AB5" s="65" t="n">
        <v>47.4</v>
      </c>
      <c r="AC5" s="65" t="n">
        <v>78.7</v>
      </c>
      <c r="AD5" s="65" t="n">
        <v>58.4</v>
      </c>
      <c r="AE5" s="65" t="n">
        <v>108.4</v>
      </c>
      <c r="AF5" s="65" t="n">
        <v>52.8</v>
      </c>
      <c r="AG5" s="65" t="n">
        <v>94.40000000000001</v>
      </c>
      <c r="AH5" s="65" t="n">
        <v>75</v>
      </c>
      <c r="AI5" s="65" t="n">
        <v>140.3</v>
      </c>
      <c r="AJ5" s="65" t="n">
        <v>63.5</v>
      </c>
      <c r="AK5" s="65" t="n">
        <v>84.2</v>
      </c>
      <c r="AL5" s="65" t="n">
        <v>90.2</v>
      </c>
      <c r="AM5" s="65" t="n">
        <v>135.5</v>
      </c>
      <c r="AN5" s="65" t="n">
        <v>61.2</v>
      </c>
      <c r="AO5" s="65" t="n">
        <v>99.40000000000001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21.5</v>
      </c>
      <c r="H6" s="66" t="n">
        <v>56.2</v>
      </c>
      <c r="I6" s="66" t="n">
        <v>21.5</v>
      </c>
      <c r="J6" s="66" t="n">
        <v>22.2</v>
      </c>
      <c r="K6" s="66" t="n">
        <v>7.6</v>
      </c>
      <c r="L6" s="66" t="n">
        <v>13.2</v>
      </c>
      <c r="M6" s="66" t="n">
        <v>23.9</v>
      </c>
      <c r="N6" s="66" t="n">
        <v>-2.5</v>
      </c>
      <c r="O6" s="66" t="n">
        <v>-12.2</v>
      </c>
      <c r="P6" s="66" t="n">
        <v>-29</v>
      </c>
      <c r="Q6" s="66" t="n">
        <v>-56.4</v>
      </c>
      <c r="R6" s="66" t="n">
        <v>-27.8</v>
      </c>
      <c r="S6" s="66" t="n">
        <v>-24.4</v>
      </c>
      <c r="T6" s="66" t="n">
        <v>-6.4</v>
      </c>
      <c r="U6" s="66" t="n">
        <v>12.2</v>
      </c>
      <c r="V6" s="66" t="n">
        <v>0.3</v>
      </c>
      <c r="W6" s="66" t="n">
        <v>14.3</v>
      </c>
      <c r="X6" s="66" t="n">
        <v>-18.2</v>
      </c>
      <c r="Y6" s="66" t="n">
        <v>10.7</v>
      </c>
      <c r="Z6" s="66" t="n">
        <v>13.1</v>
      </c>
      <c r="AA6" s="66" t="n">
        <v>10.7</v>
      </c>
      <c r="AB6" s="66" t="n">
        <v>28.5</v>
      </c>
      <c r="AC6" s="66" t="n">
        <v>33.6</v>
      </c>
      <c r="AD6" s="66" t="n">
        <v>-15.2</v>
      </c>
      <c r="AE6" s="66" t="n">
        <v>-5.7</v>
      </c>
      <c r="AF6" s="66" t="n">
        <v>11.4</v>
      </c>
      <c r="AG6" s="66" t="n">
        <v>19.9</v>
      </c>
      <c r="AH6" s="66" t="n">
        <v>28.4</v>
      </c>
      <c r="AI6" s="66" t="n">
        <v>29.4</v>
      </c>
      <c r="AJ6" s="66" t="n">
        <v>20.3</v>
      </c>
      <c r="AK6" s="66" t="n">
        <v>-10.8</v>
      </c>
      <c r="AL6" s="66" t="n">
        <v>20.3</v>
      </c>
      <c r="AM6" s="66" t="n">
        <v>-3.4</v>
      </c>
      <c r="AN6" s="66" t="n">
        <v>-3.6</v>
      </c>
      <c r="AO6" s="66" t="n">
        <v>18.1</v>
      </c>
    </row>
    <row r="7">
      <c r="A7" s="64" t="inlineStr">
        <is>
          <t>영업이익</t>
        </is>
      </c>
      <c r="B7" s="65" t="n"/>
      <c r="C7" s="65" t="n">
        <v>11.3</v>
      </c>
      <c r="D7" s="65" t="n">
        <v>-7.2</v>
      </c>
      <c r="E7" s="65" t="n">
        <v>1.9</v>
      </c>
      <c r="F7" s="65" t="n">
        <v>0.7</v>
      </c>
      <c r="G7" s="65" t="n">
        <v>16.5</v>
      </c>
      <c r="H7" s="65" t="n">
        <v>-4.5</v>
      </c>
      <c r="I7" s="65" t="n">
        <v>3.6</v>
      </c>
      <c r="J7" s="65" t="n">
        <v>1.3</v>
      </c>
      <c r="K7" s="65" t="n">
        <v>9.5</v>
      </c>
      <c r="L7" s="65" t="n">
        <v>-1.2</v>
      </c>
      <c r="M7" s="65" t="n">
        <v>9</v>
      </c>
      <c r="N7" s="65" t="n">
        <v>2.2</v>
      </c>
      <c r="O7" s="65" t="n">
        <v>7.1</v>
      </c>
      <c r="P7" s="65" t="n">
        <v>-2.7</v>
      </c>
      <c r="Q7" s="65" t="n">
        <v>-2.3</v>
      </c>
      <c r="R7" s="65" t="n">
        <v>-2.2</v>
      </c>
      <c r="S7" s="65" t="n">
        <v>11.2</v>
      </c>
      <c r="T7" s="65" t="n">
        <v>-3.7</v>
      </c>
      <c r="U7" s="65" t="n">
        <v>0.5</v>
      </c>
      <c r="V7" s="65" t="n">
        <v>0.5</v>
      </c>
      <c r="W7" s="65" t="n">
        <v>15.3</v>
      </c>
      <c r="X7" s="65" t="n">
        <v>-7.3</v>
      </c>
      <c r="Y7" s="65" t="n">
        <v>0.4</v>
      </c>
      <c r="Z7" s="65" t="n">
        <v>1.2</v>
      </c>
      <c r="AA7" s="65" t="n">
        <v>18.8</v>
      </c>
      <c r="AB7" s="65" t="n">
        <v>-6.3</v>
      </c>
      <c r="AC7" s="65" t="n">
        <v>3.8</v>
      </c>
      <c r="AD7" s="65" t="n">
        <v>-1.9</v>
      </c>
      <c r="AE7" s="65" t="n">
        <v>19.2</v>
      </c>
      <c r="AF7" s="65" t="n">
        <v>-6.8</v>
      </c>
      <c r="AG7" s="65" t="n">
        <v>7.6</v>
      </c>
      <c r="AH7" s="65" t="n">
        <v>2</v>
      </c>
      <c r="AI7" s="65" t="n">
        <v>24.6</v>
      </c>
      <c r="AJ7" s="65" t="n">
        <v>-3.7</v>
      </c>
      <c r="AK7" s="65" t="n">
        <v>5.3</v>
      </c>
      <c r="AL7" s="65" t="n">
        <v>4.6</v>
      </c>
      <c r="AM7" s="65" t="n">
        <v>22.6</v>
      </c>
      <c r="AN7" s="65" t="n">
        <v>-2.1</v>
      </c>
      <c r="AO7" s="65" t="n">
        <v>8.5</v>
      </c>
    </row>
    <row r="8">
      <c r="A8" s="64" t="inlineStr">
        <is>
          <t>영업이익률</t>
        </is>
      </c>
      <c r="B8" s="66" t="n"/>
      <c r="C8" s="66" t="n">
        <v>10.8</v>
      </c>
      <c r="D8" s="66" t="n">
        <v>-18.8</v>
      </c>
      <c r="E8" s="66" t="n">
        <v>2.6</v>
      </c>
      <c r="F8" s="66" t="n">
        <v>1</v>
      </c>
      <c r="G8" s="66" t="n">
        <v>13</v>
      </c>
      <c r="H8" s="66" t="n">
        <v>-7.5</v>
      </c>
      <c r="I8" s="66" t="n">
        <v>4.1</v>
      </c>
      <c r="J8" s="66" t="n">
        <v>1.5</v>
      </c>
      <c r="K8" s="66" t="n">
        <v>6.9</v>
      </c>
      <c r="L8" s="66" t="n">
        <v>-1.8</v>
      </c>
      <c r="M8" s="66" t="n">
        <v>8.300000000000001</v>
      </c>
      <c r="N8" s="66" t="n">
        <v>2.6</v>
      </c>
      <c r="O8" s="66" t="n">
        <v>5.9</v>
      </c>
      <c r="P8" s="66" t="n">
        <v>-5.6</v>
      </c>
      <c r="Q8" s="66" t="n">
        <v>-4.9</v>
      </c>
      <c r="R8" s="66" t="n">
        <v>-3.6</v>
      </c>
      <c r="S8" s="66" t="n">
        <v>12.3</v>
      </c>
      <c r="T8" s="66" t="n">
        <v>-8.199999999999999</v>
      </c>
      <c r="U8" s="66" t="n">
        <v>0.9</v>
      </c>
      <c r="V8" s="66" t="n">
        <v>0.8</v>
      </c>
      <c r="W8" s="66" t="n">
        <v>14.7</v>
      </c>
      <c r="X8" s="66" t="n">
        <v>-19.8</v>
      </c>
      <c r="Y8" s="66" t="n">
        <v>0.7</v>
      </c>
      <c r="Z8" s="66" t="n">
        <v>1.7</v>
      </c>
      <c r="AA8" s="66" t="n">
        <v>16.3</v>
      </c>
      <c r="AB8" s="66" t="n">
        <v>-13.3</v>
      </c>
      <c r="AC8" s="66" t="n">
        <v>4.8</v>
      </c>
      <c r="AD8" s="66" t="n">
        <v>-3.3</v>
      </c>
      <c r="AE8" s="66" t="n">
        <v>17.7</v>
      </c>
      <c r="AF8" s="66" t="n">
        <v>-12.9</v>
      </c>
      <c r="AG8" s="66" t="n">
        <v>8.1</v>
      </c>
      <c r="AH8" s="66" t="n">
        <v>2.7</v>
      </c>
      <c r="AI8" s="66" t="n">
        <v>17.5</v>
      </c>
      <c r="AJ8" s="66" t="n">
        <v>-5.8</v>
      </c>
      <c r="AK8" s="66" t="n">
        <v>6.3</v>
      </c>
      <c r="AL8" s="66" t="n">
        <v>5.1</v>
      </c>
      <c r="AM8" s="66" t="n">
        <v>16.7</v>
      </c>
      <c r="AN8" s="66" t="n">
        <v>-3.4</v>
      </c>
      <c r="AO8" s="66" t="n">
        <v>8.6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46</v>
      </c>
      <c r="H9" s="66" t="n"/>
      <c r="I9" s="66" t="n">
        <v>89.5</v>
      </c>
      <c r="J9" s="66" t="n">
        <v>85.7</v>
      </c>
      <c r="K9" s="66" t="n">
        <v>-42.4</v>
      </c>
      <c r="L9" s="66" t="n"/>
      <c r="M9" s="66" t="n">
        <v>150</v>
      </c>
      <c r="N9" s="66" t="n">
        <v>69.2</v>
      </c>
      <c r="O9" s="66" t="n">
        <v>-25.3</v>
      </c>
      <c r="P9" s="66" t="n"/>
      <c r="Q9" s="66" t="n">
        <v>-125.6</v>
      </c>
      <c r="R9" s="66" t="n">
        <v>-200</v>
      </c>
      <c r="S9" s="66" t="n">
        <v>57.7</v>
      </c>
      <c r="T9" s="66" t="n"/>
      <c r="U9" s="66" t="n"/>
      <c r="V9" s="66" t="n"/>
      <c r="W9" s="66" t="n">
        <v>36.6</v>
      </c>
      <c r="X9" s="66" t="n"/>
      <c r="Y9" s="66" t="n">
        <v>-20</v>
      </c>
      <c r="Z9" s="66" t="n">
        <v>140</v>
      </c>
      <c r="AA9" s="66" t="n">
        <v>22.9</v>
      </c>
      <c r="AB9" s="66" t="n"/>
      <c r="AC9" s="66" t="n">
        <v>850</v>
      </c>
      <c r="AD9" s="66" t="n">
        <v>-258.3</v>
      </c>
      <c r="AE9" s="66" t="n">
        <v>2.1</v>
      </c>
      <c r="AF9" s="66" t="n"/>
      <c r="AG9" s="66" t="n">
        <v>100</v>
      </c>
      <c r="AH9" s="66" t="n"/>
      <c r="AI9" s="66" t="n">
        <v>28.1</v>
      </c>
      <c r="AJ9" s="66" t="n"/>
      <c r="AK9" s="66" t="n">
        <v>-30.3</v>
      </c>
      <c r="AL9" s="66" t="n">
        <v>130</v>
      </c>
      <c r="AM9" s="66" t="n">
        <v>-8.1</v>
      </c>
      <c r="AN9" s="66" t="n"/>
      <c r="AO9" s="66" t="n">
        <v>60.4</v>
      </c>
    </row>
    <row r="10">
      <c r="A10" s="64" t="inlineStr">
        <is>
          <t>유동자산</t>
        </is>
      </c>
      <c r="B10" s="65" t="n"/>
      <c r="C10" s="65" t="n">
        <v>287.3</v>
      </c>
      <c r="D10" s="65" t="n"/>
      <c r="E10" s="65" t="n"/>
      <c r="F10" s="65" t="n">
        <v>285</v>
      </c>
      <c r="G10" s="65" t="n">
        <v>304.3</v>
      </c>
      <c r="H10" s="65" t="n">
        <v>285.9</v>
      </c>
      <c r="I10" s="65" t="n">
        <v>283.3</v>
      </c>
      <c r="J10" s="65" t="n">
        <v>278.5</v>
      </c>
      <c r="K10" s="65" t="n">
        <v>320.8</v>
      </c>
      <c r="L10" s="65" t="n">
        <v>323.7</v>
      </c>
      <c r="M10" s="65" t="n">
        <v>368.6</v>
      </c>
      <c r="N10" s="65" t="n">
        <v>373.4</v>
      </c>
      <c r="O10" s="65" t="n">
        <v>373.2</v>
      </c>
      <c r="P10" s="65" t="n">
        <v>339.6</v>
      </c>
      <c r="Q10" s="65" t="n">
        <v>272.5</v>
      </c>
      <c r="R10" s="65" t="n">
        <v>262.5</v>
      </c>
      <c r="S10" s="65" t="n">
        <v>276.2</v>
      </c>
      <c r="T10" s="65" t="n">
        <v>267.7</v>
      </c>
      <c r="U10" s="65" t="n">
        <v>247.6</v>
      </c>
      <c r="V10" s="65" t="n">
        <v>254.2</v>
      </c>
      <c r="W10" s="65" t="n">
        <v>272.7</v>
      </c>
      <c r="X10" s="65" t="n">
        <v>252.8</v>
      </c>
      <c r="Y10" s="65" t="n">
        <v>251</v>
      </c>
      <c r="Z10" s="65" t="n">
        <v>262.3</v>
      </c>
      <c r="AA10" s="65" t="n">
        <v>302.1</v>
      </c>
      <c r="AB10" s="65" t="n">
        <v>318.6</v>
      </c>
      <c r="AC10" s="65" t="n">
        <v>354.4</v>
      </c>
      <c r="AD10" s="65" t="n">
        <v>342.5</v>
      </c>
      <c r="AE10" s="65" t="n">
        <v>342.5</v>
      </c>
      <c r="AF10" s="65" t="n">
        <v>295.1</v>
      </c>
      <c r="AG10" s="65" t="n">
        <v>318.6</v>
      </c>
      <c r="AH10" s="65" t="n">
        <v>309.8</v>
      </c>
      <c r="AI10" s="65" t="n">
        <v>359.8</v>
      </c>
      <c r="AJ10" s="65" t="n">
        <v>339.3</v>
      </c>
      <c r="AK10" s="65" t="n">
        <v>339.2</v>
      </c>
      <c r="AL10" s="65" t="n">
        <v>338.5</v>
      </c>
      <c r="AM10" s="65" t="n">
        <v>385.7</v>
      </c>
      <c r="AN10" s="65" t="n">
        <v>336.2</v>
      </c>
      <c r="AO10" s="65" t="n">
        <v>335.4</v>
      </c>
    </row>
    <row r="11">
      <c r="A11" s="64" t="inlineStr">
        <is>
          <t>유동부채</t>
        </is>
      </c>
      <c r="B11" s="65" t="n"/>
      <c r="C11" s="65" t="n">
        <v>158.4</v>
      </c>
      <c r="D11" s="65" t="n"/>
      <c r="E11" s="65" t="n"/>
      <c r="F11" s="65" t="n">
        <v>166.7</v>
      </c>
      <c r="G11" s="65" t="n">
        <v>178.1</v>
      </c>
      <c r="H11" s="65" t="n">
        <v>169.3</v>
      </c>
      <c r="I11" s="65" t="n">
        <v>161.9</v>
      </c>
      <c r="J11" s="65" t="n">
        <v>157.4</v>
      </c>
      <c r="K11" s="65" t="n">
        <v>196</v>
      </c>
      <c r="L11" s="65" t="n">
        <v>204.4</v>
      </c>
      <c r="M11" s="65" t="n">
        <v>242.3</v>
      </c>
      <c r="N11" s="65" t="n">
        <v>246.1</v>
      </c>
      <c r="O11" s="65" t="n">
        <v>244.6</v>
      </c>
      <c r="P11" s="65" t="n">
        <v>219.9</v>
      </c>
      <c r="Q11" s="65" t="n">
        <v>149.8</v>
      </c>
      <c r="R11" s="65" t="n">
        <v>140.4</v>
      </c>
      <c r="S11" s="65" t="n">
        <v>143.2</v>
      </c>
      <c r="T11" s="65" t="n">
        <v>142.1</v>
      </c>
      <c r="U11" s="65" t="n">
        <v>117</v>
      </c>
      <c r="V11" s="65" t="n">
        <v>123</v>
      </c>
      <c r="W11" s="65" t="n">
        <v>124.5</v>
      </c>
      <c r="X11" s="65" t="n">
        <v>117.6</v>
      </c>
      <c r="Y11" s="65" t="n">
        <v>109.5</v>
      </c>
      <c r="Z11" s="65" t="n">
        <v>119.8</v>
      </c>
      <c r="AA11" s="65" t="n">
        <v>145.4</v>
      </c>
      <c r="AB11" s="65" t="n">
        <v>174</v>
      </c>
      <c r="AC11" s="65" t="n">
        <v>200.5</v>
      </c>
      <c r="AD11" s="65" t="n">
        <v>188.4</v>
      </c>
      <c r="AE11" s="65" t="n">
        <v>175.2</v>
      </c>
      <c r="AF11" s="65" t="n">
        <v>138.1</v>
      </c>
      <c r="AG11" s="65" t="n">
        <v>137.5</v>
      </c>
      <c r="AH11" s="65" t="n">
        <v>122.9</v>
      </c>
      <c r="AI11" s="65" t="n">
        <v>152.3</v>
      </c>
      <c r="AJ11" s="65" t="n">
        <v>145.8</v>
      </c>
      <c r="AK11" s="65" t="n">
        <v>144</v>
      </c>
      <c r="AL11" s="65" t="n">
        <v>130.6</v>
      </c>
      <c r="AM11" s="65" t="n">
        <v>154.4</v>
      </c>
      <c r="AN11" s="65" t="n">
        <v>129.5</v>
      </c>
      <c r="AO11" s="65" t="n">
        <v>125.2</v>
      </c>
    </row>
    <row r="12">
      <c r="A12" s="64" t="inlineStr">
        <is>
          <t>부채총계</t>
        </is>
      </c>
      <c r="B12" s="65" t="n"/>
      <c r="C12" s="65" t="n">
        <v>181.3</v>
      </c>
      <c r="D12" s="65" t="n"/>
      <c r="E12" s="65" t="n"/>
      <c r="F12" s="65" t="n">
        <v>194.1</v>
      </c>
      <c r="G12" s="65" t="n">
        <v>201.3</v>
      </c>
      <c r="H12" s="65" t="n">
        <v>190.7</v>
      </c>
      <c r="I12" s="65" t="n">
        <v>188.8</v>
      </c>
      <c r="J12" s="65" t="n">
        <v>180.6</v>
      </c>
      <c r="K12" s="65" t="n">
        <v>217.8</v>
      </c>
      <c r="L12" s="65" t="n">
        <v>223.9</v>
      </c>
      <c r="M12" s="65" t="n">
        <v>262.3</v>
      </c>
      <c r="N12" s="65" t="n">
        <v>266.4</v>
      </c>
      <c r="O12" s="65" t="n">
        <v>260.1</v>
      </c>
      <c r="P12" s="65" t="n">
        <v>235</v>
      </c>
      <c r="Q12" s="65" t="n">
        <v>171</v>
      </c>
      <c r="R12" s="65" t="n">
        <v>161</v>
      </c>
      <c r="S12" s="65" t="n">
        <v>167.8</v>
      </c>
      <c r="T12" s="65" t="n">
        <v>165.1</v>
      </c>
      <c r="U12" s="65" t="n">
        <v>144.2</v>
      </c>
      <c r="V12" s="65" t="n">
        <v>149.4</v>
      </c>
      <c r="W12" s="65" t="n">
        <v>149.3</v>
      </c>
      <c r="X12" s="65" t="n">
        <v>138.3</v>
      </c>
      <c r="Y12" s="65" t="n">
        <v>133.3</v>
      </c>
      <c r="Z12" s="65" t="n">
        <v>144.2</v>
      </c>
      <c r="AA12" s="65" t="n">
        <v>171.4</v>
      </c>
      <c r="AB12" s="65" t="n">
        <v>202.5</v>
      </c>
      <c r="AC12" s="65" t="n">
        <v>231.3</v>
      </c>
      <c r="AD12" s="65" t="n">
        <v>217.4</v>
      </c>
      <c r="AE12" s="65" t="n">
        <v>210.9</v>
      </c>
      <c r="AF12" s="65" t="n">
        <v>170.8</v>
      </c>
      <c r="AG12" s="65" t="n">
        <v>188</v>
      </c>
      <c r="AH12" s="65" t="n">
        <v>171.2</v>
      </c>
      <c r="AI12" s="65" t="n">
        <v>201.3</v>
      </c>
      <c r="AJ12" s="65" t="n">
        <v>188.8</v>
      </c>
      <c r="AK12" s="65" t="n">
        <v>193.2</v>
      </c>
      <c r="AL12" s="65" t="n">
        <v>176.5</v>
      </c>
      <c r="AM12" s="65" t="n">
        <v>198</v>
      </c>
      <c r="AN12" s="65" t="n">
        <v>174.2</v>
      </c>
      <c r="AO12" s="65" t="n">
        <v>173.9</v>
      </c>
    </row>
    <row r="13">
      <c r="A13" s="64" t="inlineStr">
        <is>
          <t>자기자본</t>
        </is>
      </c>
      <c r="B13" s="66" t="n"/>
      <c r="C13" s="66" t="n">
        <v>203.7</v>
      </c>
      <c r="D13" s="66" t="n"/>
      <c r="E13" s="66" t="n"/>
      <c r="F13" s="66" t="n">
        <v>204.7</v>
      </c>
      <c r="G13" s="66" t="n">
        <v>212.4</v>
      </c>
      <c r="H13" s="66" t="n">
        <v>205.4</v>
      </c>
      <c r="I13" s="66" t="n">
        <v>210.5</v>
      </c>
      <c r="J13" s="66" t="n">
        <v>203.3</v>
      </c>
      <c r="K13" s="66" t="n">
        <v>209.6</v>
      </c>
      <c r="L13" s="66" t="n">
        <v>203.4</v>
      </c>
      <c r="M13" s="66" t="n">
        <v>208.6</v>
      </c>
      <c r="N13" s="66" t="n">
        <v>213.8</v>
      </c>
      <c r="O13" s="66" t="n">
        <v>206.9</v>
      </c>
      <c r="P13" s="66" t="n">
        <v>201.5</v>
      </c>
      <c r="Q13" s="66" t="n">
        <v>201.1</v>
      </c>
      <c r="R13" s="66" t="n">
        <v>200.6</v>
      </c>
      <c r="S13" s="66" t="n">
        <v>217.9</v>
      </c>
      <c r="T13" s="66" t="n">
        <v>208.6</v>
      </c>
      <c r="U13" s="66" t="n">
        <v>212</v>
      </c>
      <c r="V13" s="66" t="n">
        <v>213.3</v>
      </c>
      <c r="W13" s="66" t="n">
        <v>232.1</v>
      </c>
      <c r="X13" s="66" t="n">
        <v>219</v>
      </c>
      <c r="Y13" s="66" t="n">
        <v>219.9</v>
      </c>
      <c r="Z13" s="66" t="n">
        <v>224.2</v>
      </c>
      <c r="AA13" s="66" t="n">
        <v>240.4</v>
      </c>
      <c r="AB13" s="66" t="n">
        <v>243.1</v>
      </c>
      <c r="AC13" s="66" t="n">
        <v>247.6</v>
      </c>
      <c r="AD13" s="66" t="n">
        <v>246.9</v>
      </c>
      <c r="AE13" s="66" t="n">
        <v>277.7</v>
      </c>
      <c r="AF13" s="66" t="n">
        <v>263.8</v>
      </c>
      <c r="AG13" s="66" t="n">
        <v>263.7</v>
      </c>
      <c r="AH13" s="66" t="n">
        <v>265.5</v>
      </c>
      <c r="AI13" s="66" t="n">
        <v>286.1</v>
      </c>
      <c r="AJ13" s="66" t="n">
        <v>271.4</v>
      </c>
      <c r="AK13" s="66" t="n">
        <v>283.3</v>
      </c>
      <c r="AL13" s="66" t="n">
        <v>291.4</v>
      </c>
      <c r="AM13" s="66" t="n">
        <v>314.8</v>
      </c>
      <c r="AN13" s="66" t="n">
        <v>294.1</v>
      </c>
      <c r="AO13" s="66" t="n">
        <v>300.3</v>
      </c>
    </row>
    <row r="14">
      <c r="A14" s="64" t="inlineStr">
        <is>
          <t>유동비율</t>
        </is>
      </c>
      <c r="B14" s="66" t="n"/>
      <c r="C14" s="66" t="n">
        <v>181.4</v>
      </c>
      <c r="D14" s="66" t="n"/>
      <c r="E14" s="66" t="n"/>
      <c r="F14" s="66" t="n">
        <v>171</v>
      </c>
      <c r="G14" s="66" t="n">
        <v>170.9</v>
      </c>
      <c r="H14" s="66" t="n">
        <v>168.9</v>
      </c>
      <c r="I14" s="66" t="n">
        <v>175</v>
      </c>
      <c r="J14" s="66" t="n">
        <v>176.9</v>
      </c>
      <c r="K14" s="66" t="n">
        <v>163.7</v>
      </c>
      <c r="L14" s="66" t="n">
        <v>158.4</v>
      </c>
      <c r="M14" s="66" t="n">
        <v>152.1</v>
      </c>
      <c r="N14" s="66" t="n">
        <v>151.7</v>
      </c>
      <c r="O14" s="66" t="n">
        <v>152.6</v>
      </c>
      <c r="P14" s="66" t="n">
        <v>154.4</v>
      </c>
      <c r="Q14" s="66" t="n">
        <v>181.9</v>
      </c>
      <c r="R14" s="66" t="n">
        <v>187</v>
      </c>
      <c r="S14" s="66" t="n">
        <v>192.9</v>
      </c>
      <c r="T14" s="66" t="n">
        <v>188.4</v>
      </c>
      <c r="U14" s="66" t="n">
        <v>211.6</v>
      </c>
      <c r="V14" s="66" t="n">
        <v>206.7</v>
      </c>
      <c r="W14" s="66" t="n">
        <v>219</v>
      </c>
      <c r="X14" s="66" t="n">
        <v>215</v>
      </c>
      <c r="Y14" s="66" t="n">
        <v>229.2</v>
      </c>
      <c r="Z14" s="66" t="n">
        <v>218.9</v>
      </c>
      <c r="AA14" s="66" t="n">
        <v>207.8</v>
      </c>
      <c r="AB14" s="66" t="n">
        <v>183.1</v>
      </c>
      <c r="AC14" s="66" t="n">
        <v>176.8</v>
      </c>
      <c r="AD14" s="66" t="n">
        <v>181.8</v>
      </c>
      <c r="AE14" s="66" t="n">
        <v>195.5</v>
      </c>
      <c r="AF14" s="66" t="n">
        <v>213.7</v>
      </c>
      <c r="AG14" s="66" t="n">
        <v>231.7</v>
      </c>
      <c r="AH14" s="66" t="n">
        <v>252.1</v>
      </c>
      <c r="AI14" s="66" t="n">
        <v>236.2</v>
      </c>
      <c r="AJ14" s="66" t="n">
        <v>232.7</v>
      </c>
      <c r="AK14" s="66" t="n">
        <v>235.6</v>
      </c>
      <c r="AL14" s="66" t="n">
        <v>259.2</v>
      </c>
      <c r="AM14" s="66" t="n">
        <v>249.8</v>
      </c>
      <c r="AN14" s="66" t="n">
        <v>259.6</v>
      </c>
      <c r="AO14" s="66" t="n">
        <v>267.9</v>
      </c>
    </row>
    <row r="15">
      <c r="A15" s="64" t="inlineStr">
        <is>
          <t>부채비율</t>
        </is>
      </c>
      <c r="B15" s="66" t="n"/>
      <c r="C15" s="66" t="n">
        <v>89</v>
      </c>
      <c r="D15" s="66" t="n"/>
      <c r="E15" s="66" t="n"/>
      <c r="F15" s="66" t="n">
        <v>94.8</v>
      </c>
      <c r="G15" s="66" t="n">
        <v>94.8</v>
      </c>
      <c r="H15" s="66" t="n">
        <v>92.8</v>
      </c>
      <c r="I15" s="66" t="n">
        <v>89.7</v>
      </c>
      <c r="J15" s="66" t="n">
        <v>88.8</v>
      </c>
      <c r="K15" s="66" t="n">
        <v>103.9</v>
      </c>
      <c r="L15" s="66" t="n">
        <v>110.1</v>
      </c>
      <c r="M15" s="66" t="n">
        <v>125.7</v>
      </c>
      <c r="N15" s="66" t="n">
        <v>124.6</v>
      </c>
      <c r="O15" s="66" t="n">
        <v>125.7</v>
      </c>
      <c r="P15" s="66" t="n">
        <v>116.6</v>
      </c>
      <c r="Q15" s="66" t="n">
        <v>85</v>
      </c>
      <c r="R15" s="66" t="n">
        <v>80.3</v>
      </c>
      <c r="S15" s="66" t="n">
        <v>77</v>
      </c>
      <c r="T15" s="66" t="n">
        <v>79.09999999999999</v>
      </c>
      <c r="U15" s="66" t="n">
        <v>68</v>
      </c>
      <c r="V15" s="66" t="n">
        <v>70</v>
      </c>
      <c r="W15" s="66" t="n">
        <v>64.3</v>
      </c>
      <c r="X15" s="66" t="n">
        <v>63.2</v>
      </c>
      <c r="Y15" s="66" t="n">
        <v>60.6</v>
      </c>
      <c r="Z15" s="66" t="n">
        <v>64.3</v>
      </c>
      <c r="AA15" s="66" t="n">
        <v>71.3</v>
      </c>
      <c r="AB15" s="66" t="n">
        <v>83.3</v>
      </c>
      <c r="AC15" s="66" t="n">
        <v>93.40000000000001</v>
      </c>
      <c r="AD15" s="66" t="n">
        <v>88.09999999999999</v>
      </c>
      <c r="AE15" s="66" t="n">
        <v>75.90000000000001</v>
      </c>
      <c r="AF15" s="66" t="n">
        <v>64.7</v>
      </c>
      <c r="AG15" s="66" t="n">
        <v>71.3</v>
      </c>
      <c r="AH15" s="66" t="n">
        <v>64.5</v>
      </c>
      <c r="AI15" s="66" t="n">
        <v>70.40000000000001</v>
      </c>
      <c r="AJ15" s="66" t="n">
        <v>69.59999999999999</v>
      </c>
      <c r="AK15" s="66" t="n">
        <v>68.2</v>
      </c>
      <c r="AL15" s="66" t="n">
        <v>60.6</v>
      </c>
      <c r="AM15" s="66" t="n">
        <v>62.9</v>
      </c>
      <c r="AN15" s="66" t="n">
        <v>59.2</v>
      </c>
      <c r="AO15" s="66" t="n">
        <v>57.9</v>
      </c>
    </row>
    <row r="16">
      <c r="A16" s="64" t="inlineStr">
        <is>
          <t>순차입금/자기자본</t>
        </is>
      </c>
      <c r="B16" s="66" t="n"/>
      <c r="C16" s="66" t="n">
        <v>-17.9</v>
      </c>
      <c r="D16" s="66" t="n"/>
      <c r="E16" s="66" t="n"/>
      <c r="F16" s="66" t="n">
        <v>9.300000000000001</v>
      </c>
      <c r="G16" s="66" t="n">
        <v>-12.9</v>
      </c>
      <c r="H16" s="66" t="n">
        <v>-22.4</v>
      </c>
      <c r="I16" s="66" t="n">
        <v>-18.5</v>
      </c>
      <c r="J16" s="66" t="n">
        <v>-3.7</v>
      </c>
      <c r="K16" s="66" t="n">
        <v>-0.8</v>
      </c>
      <c r="L16" s="66" t="n">
        <v>11.1</v>
      </c>
      <c r="M16" s="66" t="n">
        <v>24.3</v>
      </c>
      <c r="N16" s="66" t="n">
        <v>34.2</v>
      </c>
      <c r="O16" s="66" t="n">
        <v>6.4</v>
      </c>
      <c r="P16" s="66" t="n">
        <v>-2.7</v>
      </c>
      <c r="Q16" s="66" t="n">
        <v>-17.8</v>
      </c>
      <c r="R16" s="66" t="n">
        <v>-1.7</v>
      </c>
      <c r="S16" s="66" t="n">
        <v>-4.3</v>
      </c>
      <c r="T16" s="66" t="n">
        <v>-3.5</v>
      </c>
      <c r="U16" s="66" t="n">
        <v>-16.4</v>
      </c>
      <c r="V16" s="66" t="n">
        <v>-30.4</v>
      </c>
      <c r="W16" s="66" t="n">
        <v>-30.8</v>
      </c>
      <c r="X16" s="66" t="n">
        <v>-27.2</v>
      </c>
      <c r="Y16" s="66" t="n">
        <v>-21.7</v>
      </c>
      <c r="Z16" s="66" t="n">
        <v>-20.4</v>
      </c>
      <c r="AA16" s="66" t="n">
        <v>-16.2</v>
      </c>
      <c r="AB16" s="66" t="n">
        <v>-4</v>
      </c>
      <c r="AC16" s="66" t="n">
        <v>2.4</v>
      </c>
      <c r="AD16" s="66" t="n">
        <v>-1</v>
      </c>
      <c r="AE16" s="66" t="n">
        <v>-10</v>
      </c>
      <c r="AF16" s="66" t="n">
        <v>0.4</v>
      </c>
      <c r="AG16" s="66" t="n">
        <v>6.1</v>
      </c>
      <c r="AH16" s="66" t="n">
        <v>10.7</v>
      </c>
      <c r="AI16" s="66" t="n">
        <v>3.9</v>
      </c>
      <c r="AJ16" s="66" t="n">
        <v>1.2</v>
      </c>
      <c r="AK16" s="66" t="n">
        <v>-2.2</v>
      </c>
      <c r="AL16" s="66" t="n">
        <v>-5.7</v>
      </c>
      <c r="AM16" s="66" t="n">
        <v>-20.3</v>
      </c>
      <c r="AN16" s="66" t="n">
        <v>-9.699999999999999</v>
      </c>
      <c r="AO16" s="66" t="n">
        <v>-4.2</v>
      </c>
    </row>
    <row r="17">
      <c r="A17" s="64" t="inlineStr">
        <is>
          <t>재고자산</t>
        </is>
      </c>
      <c r="B17" s="65" t="n"/>
      <c r="C17" s="65" t="n">
        <v>9.199999999999999</v>
      </c>
      <c r="D17" s="65" t="n"/>
      <c r="E17" s="65" t="n"/>
      <c r="F17" s="65" t="n">
        <v>23.7</v>
      </c>
      <c r="G17" s="65" t="n">
        <v>14.4</v>
      </c>
      <c r="H17" s="65" t="n">
        <v>19.6</v>
      </c>
      <c r="I17" s="65" t="n">
        <v>19.6</v>
      </c>
      <c r="J17" s="65" t="n">
        <v>27.4</v>
      </c>
      <c r="K17" s="65" t="n">
        <v>16</v>
      </c>
      <c r="L17" s="65" t="n">
        <v>18.8</v>
      </c>
      <c r="M17" s="65" t="n">
        <v>16.5</v>
      </c>
      <c r="N17" s="65" t="n">
        <v>23.7</v>
      </c>
      <c r="O17" s="65" t="n">
        <v>16.2</v>
      </c>
      <c r="P17" s="65" t="n">
        <v>20</v>
      </c>
      <c r="Q17" s="65" t="n">
        <v>24.4</v>
      </c>
      <c r="R17" s="65" t="n">
        <v>20.7</v>
      </c>
      <c r="S17" s="65" t="n">
        <v>14.1</v>
      </c>
      <c r="T17" s="65" t="n">
        <v>15.6</v>
      </c>
      <c r="U17" s="65" t="n">
        <v>26.2</v>
      </c>
      <c r="V17" s="65" t="n">
        <v>25.6</v>
      </c>
      <c r="W17" s="65" t="n">
        <v>12.1</v>
      </c>
      <c r="X17" s="65" t="n">
        <v>18.7</v>
      </c>
      <c r="Y17" s="65" t="n">
        <v>19.7</v>
      </c>
      <c r="Z17" s="65" t="n">
        <v>22.4</v>
      </c>
      <c r="AA17" s="65" t="n">
        <v>15.6</v>
      </c>
      <c r="AB17" s="65" t="n">
        <v>15.8</v>
      </c>
      <c r="AC17" s="65" t="n">
        <v>18.2</v>
      </c>
      <c r="AD17" s="65" t="n">
        <v>25.2</v>
      </c>
      <c r="AE17" s="65" t="n">
        <v>21.1</v>
      </c>
      <c r="AF17" s="65" t="n">
        <v>27.2</v>
      </c>
      <c r="AG17" s="65" t="n">
        <v>28.3</v>
      </c>
      <c r="AH17" s="65" t="n">
        <v>25.5</v>
      </c>
      <c r="AI17" s="65" t="n">
        <v>17.3</v>
      </c>
      <c r="AJ17" s="65" t="n">
        <v>20.1</v>
      </c>
      <c r="AK17" s="65" t="n">
        <v>23.8</v>
      </c>
      <c r="AL17" s="65" t="n">
        <v>24.2</v>
      </c>
      <c r="AM17" s="65" t="n">
        <v>16.7</v>
      </c>
      <c r="AN17" s="65" t="n">
        <v>19.9</v>
      </c>
      <c r="AO17" s="65" t="n">
        <v>18.4</v>
      </c>
    </row>
    <row r="18">
      <c r="A18" s="64" t="inlineStr">
        <is>
          <t>재고자산 회전일수</t>
        </is>
      </c>
      <c r="B18" s="65" t="n"/>
      <c r="C18" s="65" t="n">
        <v>10</v>
      </c>
      <c r="D18" s="65" t="n"/>
      <c r="E18" s="65" t="n"/>
      <c r="F18" s="65" t="n">
        <v>36</v>
      </c>
      <c r="G18" s="65" t="n">
        <v>13</v>
      </c>
      <c r="H18" s="65" t="n">
        <v>33</v>
      </c>
      <c r="I18" s="65" t="n">
        <v>24</v>
      </c>
      <c r="J18" s="65" t="n">
        <v>33</v>
      </c>
      <c r="K18" s="65" t="n">
        <v>12</v>
      </c>
      <c r="L18" s="65" t="n">
        <v>29</v>
      </c>
      <c r="M18" s="65" t="n">
        <v>17</v>
      </c>
      <c r="N18" s="65" t="n">
        <v>30</v>
      </c>
      <c r="O18" s="65" t="n">
        <v>15</v>
      </c>
      <c r="P18" s="65" t="n">
        <v>44</v>
      </c>
      <c r="Q18" s="65" t="n">
        <v>56</v>
      </c>
      <c r="R18" s="65" t="n">
        <v>36</v>
      </c>
      <c r="S18" s="65" t="n">
        <v>19</v>
      </c>
      <c r="T18" s="65" t="n">
        <v>37</v>
      </c>
      <c r="U18" s="65" t="n">
        <v>57</v>
      </c>
      <c r="V18" s="65" t="n">
        <v>47</v>
      </c>
      <c r="W18" s="65" t="n">
        <v>14</v>
      </c>
      <c r="X18" s="65" t="n">
        <v>51</v>
      </c>
      <c r="Y18" s="65" t="n">
        <v>38</v>
      </c>
      <c r="Z18" s="65" t="n">
        <v>36</v>
      </c>
      <c r="AA18" s="65" t="n">
        <v>17</v>
      </c>
      <c r="AB18" s="65" t="n">
        <v>34</v>
      </c>
      <c r="AC18" s="65" t="n">
        <v>26</v>
      </c>
      <c r="AD18" s="65" t="n">
        <v>47</v>
      </c>
      <c r="AE18" s="65" t="n">
        <v>25</v>
      </c>
      <c r="AF18" s="65" t="n">
        <v>52</v>
      </c>
      <c r="AG18" s="65" t="n">
        <v>34</v>
      </c>
      <c r="AH18" s="65" t="n">
        <v>38</v>
      </c>
      <c r="AI18" s="65" t="n">
        <v>15</v>
      </c>
      <c r="AJ18" s="65" t="n">
        <v>34</v>
      </c>
      <c r="AK18" s="65" t="n">
        <v>33</v>
      </c>
      <c r="AL18" s="65" t="n">
        <v>31</v>
      </c>
      <c r="AM18" s="65" t="n">
        <v>15</v>
      </c>
      <c r="AN18" s="65" t="n">
        <v>36</v>
      </c>
      <c r="AO18" s="65" t="n">
        <v>22</v>
      </c>
    </row>
    <row r="19">
      <c r="A19" s="64" t="inlineStr">
        <is>
          <t>매출채권 회전일수</t>
        </is>
      </c>
      <c r="B19" s="65" t="n"/>
      <c r="C19" s="65" t="n">
        <v>171</v>
      </c>
      <c r="D19" s="65" t="n"/>
      <c r="E19" s="65" t="n"/>
      <c r="F19" s="65" t="n">
        <v>262</v>
      </c>
      <c r="G19" s="65" t="n">
        <v>157</v>
      </c>
      <c r="H19" s="65" t="n">
        <v>272</v>
      </c>
      <c r="I19" s="65" t="n">
        <v>187</v>
      </c>
      <c r="J19" s="65" t="n">
        <v>210</v>
      </c>
      <c r="K19" s="65" t="n">
        <v>167</v>
      </c>
      <c r="L19" s="65" t="n">
        <v>331</v>
      </c>
      <c r="M19" s="65" t="n">
        <v>242</v>
      </c>
      <c r="N19" s="65" t="n">
        <v>315</v>
      </c>
      <c r="O19" s="65" t="n">
        <v>204</v>
      </c>
      <c r="P19" s="65" t="n">
        <v>404</v>
      </c>
      <c r="Q19" s="65" t="n">
        <v>270</v>
      </c>
      <c r="R19" s="65" t="n">
        <v>247</v>
      </c>
      <c r="S19" s="65" t="n">
        <v>0</v>
      </c>
      <c r="T19" s="65" t="n">
        <v>366</v>
      </c>
      <c r="U19" s="65" t="n">
        <v>241</v>
      </c>
      <c r="V19" s="65" t="n">
        <v>181</v>
      </c>
      <c r="W19" s="65" t="n">
        <v>130</v>
      </c>
      <c r="X19" s="65" t="n">
        <v>331</v>
      </c>
      <c r="Y19" s="65" t="n">
        <v>217</v>
      </c>
      <c r="Z19" s="65" t="n">
        <v>199</v>
      </c>
      <c r="AA19" s="65" t="n">
        <v>164</v>
      </c>
      <c r="AB19" s="65" t="n">
        <v>402</v>
      </c>
      <c r="AC19" s="65" t="n">
        <v>274</v>
      </c>
      <c r="AD19" s="65" t="n">
        <v>354</v>
      </c>
      <c r="AE19" s="65" t="n">
        <v>184</v>
      </c>
      <c r="AF19" s="65" t="n">
        <v>350</v>
      </c>
      <c r="AG19" s="65" t="n">
        <v>225</v>
      </c>
      <c r="AH19" s="65" t="n">
        <v>297</v>
      </c>
      <c r="AI19" s="65" t="n">
        <v>193</v>
      </c>
      <c r="AJ19" s="65" t="n">
        <v>369</v>
      </c>
      <c r="AK19" s="65" t="n">
        <v>276</v>
      </c>
      <c r="AL19" s="65" t="n">
        <v>246</v>
      </c>
      <c r="AM19" s="65" t="n">
        <v>174</v>
      </c>
      <c r="AN19" s="65" t="n">
        <v>351</v>
      </c>
      <c r="AO19" s="65" t="n">
        <v>236</v>
      </c>
    </row>
    <row r="20">
      <c r="A20" s="64" t="inlineStr">
        <is>
          <t>매입채무 회전일수</t>
        </is>
      </c>
      <c r="B20" s="65" t="n"/>
      <c r="C20" s="65" t="n">
        <v>93</v>
      </c>
      <c r="D20" s="65" t="n"/>
      <c r="E20" s="65" t="n"/>
      <c r="F20" s="65" t="n">
        <v>98</v>
      </c>
      <c r="G20" s="65" t="n">
        <v>85</v>
      </c>
      <c r="H20" s="65" t="n">
        <v>121</v>
      </c>
      <c r="I20" s="65" t="n">
        <v>97</v>
      </c>
      <c r="J20" s="65" t="n">
        <v>101</v>
      </c>
      <c r="K20" s="65" t="n">
        <v>87</v>
      </c>
      <c r="L20" s="65" t="n">
        <v>131</v>
      </c>
      <c r="M20" s="65" t="n">
        <v>99</v>
      </c>
      <c r="N20" s="65" t="n">
        <v>104</v>
      </c>
      <c r="O20" s="65" t="n">
        <v>96</v>
      </c>
      <c r="P20" s="65" t="n">
        <v>156</v>
      </c>
      <c r="Q20" s="65" t="n">
        <v>132</v>
      </c>
      <c r="R20" s="65" t="n">
        <v>82</v>
      </c>
      <c r="S20" s="65" t="n">
        <v>75</v>
      </c>
      <c r="T20" s="65" t="n">
        <v>115</v>
      </c>
      <c r="U20" s="65" t="n">
        <v>116</v>
      </c>
      <c r="V20" s="65" t="n">
        <v>86</v>
      </c>
      <c r="W20" s="65" t="n">
        <v>70</v>
      </c>
      <c r="X20" s="65" t="n">
        <v>123</v>
      </c>
      <c r="Y20" s="65" t="n">
        <v>96</v>
      </c>
      <c r="Z20" s="65" t="n">
        <v>95</v>
      </c>
      <c r="AA20" s="65" t="n">
        <v>84</v>
      </c>
      <c r="AB20" s="65" t="n">
        <v>123</v>
      </c>
      <c r="AC20" s="65" t="n">
        <v>90</v>
      </c>
      <c r="AD20" s="65" t="n">
        <v>109</v>
      </c>
      <c r="AE20" s="65" t="n">
        <v>80</v>
      </c>
      <c r="AF20" s="65" t="n">
        <v>83</v>
      </c>
      <c r="AG20" s="65" t="n">
        <v>66</v>
      </c>
      <c r="AH20" s="65" t="n">
        <v>72</v>
      </c>
      <c r="AI20" s="65" t="n">
        <v>66</v>
      </c>
      <c r="AJ20" s="65" t="n">
        <v>89</v>
      </c>
      <c r="AK20" s="65" t="n">
        <v>77</v>
      </c>
      <c r="AL20" s="65" t="n">
        <v>57</v>
      </c>
      <c r="AM20" s="65" t="n">
        <v>63</v>
      </c>
      <c r="AN20" s="65" t="n">
        <v>74</v>
      </c>
      <c r="AO20" s="65" t="n">
        <v>61</v>
      </c>
    </row>
    <row r="21">
      <c r="A21" s="64" t="inlineStr">
        <is>
          <t>현금전환주기(CCC)</t>
        </is>
      </c>
      <c r="B21" s="65" t="n"/>
      <c r="C21" s="65" t="n">
        <v>88</v>
      </c>
      <c r="D21" s="65" t="n"/>
      <c r="E21" s="65" t="n"/>
      <c r="F21" s="65" t="n">
        <v>200</v>
      </c>
      <c r="G21" s="65" t="n">
        <v>85</v>
      </c>
      <c r="H21" s="65" t="n">
        <v>184</v>
      </c>
      <c r="I21" s="65" t="n">
        <v>114</v>
      </c>
      <c r="J21" s="65" t="n">
        <v>142</v>
      </c>
      <c r="K21" s="65" t="n">
        <v>92</v>
      </c>
      <c r="L21" s="65" t="n">
        <v>229</v>
      </c>
      <c r="M21" s="65" t="n">
        <v>160</v>
      </c>
      <c r="N21" s="65" t="n">
        <v>241</v>
      </c>
      <c r="O21" s="65" t="n">
        <v>123</v>
      </c>
      <c r="P21" s="65" t="n">
        <v>292</v>
      </c>
      <c r="Q21" s="65" t="n">
        <v>194</v>
      </c>
      <c r="R21" s="65" t="n">
        <v>201</v>
      </c>
      <c r="S21" s="65" t="n">
        <v>-56</v>
      </c>
      <c r="T21" s="65" t="n">
        <v>288</v>
      </c>
      <c r="U21" s="65" t="n">
        <v>182</v>
      </c>
      <c r="V21" s="65" t="n">
        <v>142</v>
      </c>
      <c r="W21" s="65" t="n">
        <v>74</v>
      </c>
      <c r="X21" s="65" t="n">
        <v>259</v>
      </c>
      <c r="Y21" s="65" t="n">
        <v>159</v>
      </c>
      <c r="Z21" s="65" t="n">
        <v>140</v>
      </c>
      <c r="AA21" s="65" t="n">
        <v>97</v>
      </c>
      <c r="AB21" s="65" t="n">
        <v>313</v>
      </c>
      <c r="AC21" s="65" t="n">
        <v>210</v>
      </c>
      <c r="AD21" s="65" t="n">
        <v>292</v>
      </c>
      <c r="AE21" s="65" t="n">
        <v>129</v>
      </c>
      <c r="AF21" s="65" t="n">
        <v>319</v>
      </c>
      <c r="AG21" s="65" t="n">
        <v>193</v>
      </c>
      <c r="AH21" s="65" t="n">
        <v>263</v>
      </c>
      <c r="AI21" s="65" t="n">
        <v>142</v>
      </c>
      <c r="AJ21" s="65" t="n">
        <v>314</v>
      </c>
      <c r="AK21" s="65" t="n">
        <v>232</v>
      </c>
      <c r="AL21" s="65" t="n">
        <v>220</v>
      </c>
      <c r="AM21" s="65" t="n">
        <v>126</v>
      </c>
      <c r="AN21" s="65" t="n">
        <v>313</v>
      </c>
      <c r="AO21" s="65" t="n">
        <v>197</v>
      </c>
    </row>
    <row r="22">
      <c r="A22" s="64" t="inlineStr">
        <is>
          <t>총 차입금</t>
        </is>
      </c>
      <c r="B22" s="65" t="n"/>
      <c r="C22" s="65" t="n">
        <v>39.9</v>
      </c>
      <c r="D22" s="65" t="n"/>
      <c r="E22" s="65" t="n"/>
      <c r="F22" s="65" t="n">
        <v>70.90000000000001</v>
      </c>
      <c r="G22" s="65" t="n">
        <v>40.1</v>
      </c>
      <c r="H22" s="65" t="n">
        <v>38.9</v>
      </c>
      <c r="I22" s="65" t="n">
        <v>41.8</v>
      </c>
      <c r="J22" s="65" t="n">
        <v>40.8</v>
      </c>
      <c r="K22" s="65" t="n">
        <v>50</v>
      </c>
      <c r="L22" s="65" t="n">
        <v>79</v>
      </c>
      <c r="M22" s="65" t="n">
        <v>111.8</v>
      </c>
      <c r="N22" s="65" t="n">
        <v>130.8</v>
      </c>
      <c r="O22" s="65" t="n">
        <v>99.90000000000001</v>
      </c>
      <c r="P22" s="65" t="n">
        <v>98.90000000000001</v>
      </c>
      <c r="Q22" s="65" t="n">
        <v>69.8</v>
      </c>
      <c r="R22" s="65" t="n">
        <v>68.8</v>
      </c>
      <c r="S22" s="65" t="n">
        <v>59.9</v>
      </c>
      <c r="T22" s="65" t="n">
        <v>58.9</v>
      </c>
      <c r="U22" s="65" t="n">
        <v>41.8</v>
      </c>
      <c r="V22" s="65" t="n">
        <v>40.8</v>
      </c>
      <c r="W22" s="65" t="n">
        <v>39.9</v>
      </c>
      <c r="X22" s="65" t="n">
        <v>38.9</v>
      </c>
      <c r="Y22" s="65" t="n">
        <v>41.8</v>
      </c>
      <c r="Z22" s="65" t="n">
        <v>40.8</v>
      </c>
      <c r="AA22" s="65" t="n">
        <v>39.9</v>
      </c>
      <c r="AB22" s="65" t="n">
        <v>81.90000000000001</v>
      </c>
      <c r="AC22" s="65" t="n">
        <v>102.8</v>
      </c>
      <c r="AD22" s="65" t="n">
        <v>84</v>
      </c>
      <c r="AE22" s="65" t="n">
        <v>72.90000000000001</v>
      </c>
      <c r="AF22" s="65" t="n">
        <v>62.1</v>
      </c>
      <c r="AG22" s="65" t="n">
        <v>71.8</v>
      </c>
      <c r="AH22" s="65" t="n">
        <v>66.8</v>
      </c>
      <c r="AI22" s="65" t="n">
        <v>55.09999999999999</v>
      </c>
      <c r="AJ22" s="65" t="n">
        <v>64</v>
      </c>
      <c r="AK22" s="65" t="n">
        <v>52.4</v>
      </c>
      <c r="AL22" s="65" t="n">
        <v>50.8</v>
      </c>
      <c r="AM22" s="65" t="n">
        <v>44.4</v>
      </c>
      <c r="AN22" s="65" t="n">
        <v>48.3</v>
      </c>
      <c r="AO22" s="65" t="n">
        <v>44.6</v>
      </c>
    </row>
    <row r="23">
      <c r="A23" s="64" t="inlineStr">
        <is>
          <t>현금</t>
        </is>
      </c>
      <c r="B23" s="65" t="n"/>
      <c r="C23" s="65" t="n">
        <v>76.3</v>
      </c>
      <c r="D23" s="65" t="n"/>
      <c r="E23" s="65" t="n"/>
      <c r="F23" s="65" t="n">
        <v>51.9</v>
      </c>
      <c r="G23" s="65" t="n">
        <v>67.59999999999999</v>
      </c>
      <c r="H23" s="65" t="n">
        <v>85</v>
      </c>
      <c r="I23" s="65" t="n">
        <v>80.8</v>
      </c>
      <c r="J23" s="65" t="n">
        <v>48.4</v>
      </c>
      <c r="K23" s="65" t="n">
        <v>51.7</v>
      </c>
      <c r="L23" s="65" t="n">
        <v>56.4</v>
      </c>
      <c r="M23" s="65" t="n">
        <v>61.2</v>
      </c>
      <c r="N23" s="65" t="n">
        <v>57.6</v>
      </c>
      <c r="O23" s="65" t="n">
        <v>86.59999999999999</v>
      </c>
      <c r="P23" s="65" t="n">
        <v>104.3</v>
      </c>
      <c r="Q23" s="65" t="n">
        <v>105.5</v>
      </c>
      <c r="R23" s="65" t="n">
        <v>72.3</v>
      </c>
      <c r="S23" s="65" t="n">
        <v>69.2</v>
      </c>
      <c r="T23" s="65" t="n">
        <v>66.2</v>
      </c>
      <c r="U23" s="65" t="n">
        <v>76.5</v>
      </c>
      <c r="V23" s="65" t="n">
        <v>105.6</v>
      </c>
      <c r="W23" s="65" t="n">
        <v>111.3</v>
      </c>
      <c r="X23" s="65" t="n">
        <v>98.5</v>
      </c>
      <c r="Y23" s="65" t="n">
        <v>89.5</v>
      </c>
      <c r="Z23" s="65" t="n">
        <v>86.59999999999999</v>
      </c>
      <c r="AA23" s="65" t="n">
        <v>78.8</v>
      </c>
      <c r="AB23" s="65" t="n">
        <v>91.7</v>
      </c>
      <c r="AC23" s="65" t="n">
        <v>96.90000000000001</v>
      </c>
      <c r="AD23" s="65" t="n">
        <v>86.40000000000001</v>
      </c>
      <c r="AE23" s="65" t="n">
        <v>100.6</v>
      </c>
      <c r="AF23" s="65" t="n">
        <v>61</v>
      </c>
      <c r="AG23" s="65" t="n">
        <v>55.7</v>
      </c>
      <c r="AH23" s="65" t="n">
        <v>38.5</v>
      </c>
      <c r="AI23" s="65" t="n">
        <v>43.9</v>
      </c>
      <c r="AJ23" s="65" t="n">
        <v>60.7</v>
      </c>
      <c r="AK23" s="65" t="n">
        <v>58.5</v>
      </c>
      <c r="AL23" s="65" t="n">
        <v>67.3</v>
      </c>
      <c r="AM23" s="65" t="n">
        <v>108.2</v>
      </c>
      <c r="AN23" s="65" t="n">
        <v>76.7</v>
      </c>
      <c r="AO23" s="65" t="n">
        <v>57.1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2026-10-30T11:36:41Z</dcterms:created>
  <dcterms:modified xmlns:dcterms="http://purl.org/dc/terms/" xmlns:xsi="http://www.w3.org/2001/XMLSchema-instance" xsi:type="dcterms:W3CDTF">2026-10-30T11:37:00Z</dcterms:modified>
</cp:coreProperties>
</file>