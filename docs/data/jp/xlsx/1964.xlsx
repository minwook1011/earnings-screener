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  <sheet xmlns:r="http://schemas.openxmlformats.org/officeDocument/2006/relationships" name="재무제표 한눈에 보기" sheetId="5" state="visible" r:id="rId5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  <numFmt numFmtId="170" formatCode="0.0&quot;%&quot;"/>
  </numFmts>
  <fonts count="25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  <font>
      <name val="맑은 고딕"/>
      <b val="1"/>
      <sz val="12"/>
    </font>
    <font>
      <name val="맑은 고딕"/>
      <color rgb="00666666"/>
      <sz val="8"/>
    </font>
    <font>
      <name val="맑은 고딕"/>
      <b val="1"/>
      <sz val="9"/>
    </font>
    <font>
      <name val="맑은 고딕"/>
      <sz val="9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  <fill>
      <patternFill patternType="solid">
        <fgColor rgb="00D9E1F2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0" pivotButton="0" quotePrefix="0" xfId="0"/>
    <xf numFmtId="0" fontId="17" fillId="6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9" fillId="0" borderId="0" pivotButton="0" quotePrefix="0" xfId="0"/>
    <xf numFmtId="169" fontId="19" fillId="0" borderId="0" applyAlignment="1" pivotButton="0" quotePrefix="0" xfId="0">
      <alignment horizontal="center" vertical="center"/>
    </xf>
    <xf numFmtId="0" fontId="20" fillId="0" borderId="0" pivotButton="0" quotePrefix="0" xfId="0"/>
    <xf numFmtId="3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7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3" fillId="8" borderId="0" applyAlignment="1" pivotButton="0" quotePrefix="0" xfId="0">
      <alignment horizontal="center"/>
    </xf>
    <xf numFmtId="0" fontId="24" fillId="0" borderId="0" pivotButton="0" quotePrefix="0" xfId="0"/>
    <xf numFmtId="3" fontId="24" fillId="0" borderId="0" pivotButton="0" quotePrefix="0" xfId="0"/>
    <xf numFmtId="170" fontId="24" fillId="0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매출액 (억 엔) · YoY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보기'!A5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보기'!$B$5:$AO$5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1"/>
          <order val="1"/>
          <tx>
            <strRef>
              <f>'재무제표 한눈에 보기'!A6</f>
            </strRef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val>
            <numRef>
              <f>'재무제표 한눈에 보기'!$B$6:$AO$6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영업이익 (억 엔) · OPM·YoY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보기'!A7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보기'!$B$7:$AO$7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1"/>
          <order val="1"/>
          <tx>
            <strRef>
              <f>'재무제표 한눈에 보기'!A8</f>
            </strRef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val>
            <numRef>
              <f>'재무제표 한눈에 보기'!$B$8:$AO$8</f>
            </numRef>
          </val>
          <smooth val="0"/>
        </ser>
        <ser>
          <idx val="2"/>
          <order val="2"/>
          <tx>
            <strRef>
              <f>'재무제표 한눈에 보기'!A9</f>
            </strRef>
          </tx>
          <spPr>
            <a:ln xmlns:a="http://schemas.openxmlformats.org/drawingml/2006/main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val>
            <numRef>
              <f>'재무제표 한눈에 보기'!$B$9:$AO$9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재무 안정성 — 총 차입금·현금 (억 엔) · 부채비율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보기'!A22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보기'!$B$22:$AO$22</f>
            </numRef>
          </val>
        </ser>
        <ser>
          <idx val="1"/>
          <order val="1"/>
          <tx>
            <strRef>
              <f>'재무제표 한눈에 보기'!A23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보기'!$B$23:$AO$23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2"/>
          <order val="2"/>
          <tx>
            <strRef>
              <f>'재무제표 한눈에 보기'!A15</f>
            </strRef>
          </tx>
          <spPr>
            <a:ln xmlns:a="http://schemas.openxmlformats.org/drawingml/2006/main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val>
            <numRef>
              <f>'재무제표 한눈에 보기'!$B$15:$AO$15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25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22</col>
      <colOff>0</colOff>
      <row>25</row>
      <rowOff>0</rowOff>
    </from>
    <ext cx="864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44</row>
      <rowOff>0</rowOff>
    </from>
    <ext cx="864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40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1964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2027.2Q = 2027년 3월 결산기 2분기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2024.3Q</t>
        </is>
      </c>
      <c r="D3" s="5" t="inlineStr">
        <is>
          <t>2024.4Q</t>
        </is>
      </c>
      <c r="E3" s="5" t="inlineStr">
        <is>
          <t>2025.1Q</t>
        </is>
      </c>
      <c r="F3" s="5" t="inlineStr">
        <is>
          <t>2025.2Q</t>
        </is>
      </c>
      <c r="G3" s="5" t="inlineStr">
        <is>
          <t>2025.3Q</t>
        </is>
      </c>
      <c r="H3" s="5" t="inlineStr">
        <is>
          <t>2025.4Q</t>
        </is>
      </c>
      <c r="I3" s="5" t="inlineStr">
        <is>
          <t>2026.1Q</t>
        </is>
      </c>
      <c r="J3" s="5" t="inlineStr">
        <is>
          <t>2026.2Q</t>
        </is>
      </c>
      <c r="K3" s="5" t="inlineStr">
        <is>
          <t>2026.3Q</t>
        </is>
      </c>
      <c r="L3" s="5" t="inlineStr">
        <is>
          <t>2026.4Q</t>
        </is>
      </c>
      <c r="M3" s="5" t="inlineStr">
        <is>
          <t>2027.1Q</t>
        </is>
      </c>
      <c r="N3" s="5" t="inlineStr">
        <is>
          <t>2027.2Q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5837</v>
      </c>
      <c r="D4" s="12" t="n">
        <v>10837</v>
      </c>
      <c r="E4" s="12" t="n">
        <v>5280</v>
      </c>
      <c r="F4" s="12" t="n">
        <v>9441</v>
      </c>
      <c r="G4" s="12" t="n">
        <v>7498</v>
      </c>
      <c r="H4" s="12" t="n">
        <v>14028</v>
      </c>
      <c r="I4" s="12" t="n">
        <v>6347</v>
      </c>
      <c r="J4" s="12" t="n">
        <v>8422</v>
      </c>
      <c r="K4" s="12" t="n">
        <v>9015</v>
      </c>
      <c r="L4" s="12" t="n">
        <v>13548</v>
      </c>
      <c r="M4" s="12" t="n">
        <v>6119</v>
      </c>
      <c r="N4" s="12" t="n">
        <v>9936</v>
      </c>
      <c r="O4" s="11" t="n">
        <v>31146</v>
      </c>
      <c r="P4" s="12" t="n">
        <v>30830</v>
      </c>
      <c r="Q4" s="12" t="n">
        <v>37090</v>
      </c>
      <c r="R4" s="12" t="n">
        <v>38090</v>
      </c>
      <c r="S4" s="12" t="n">
        <v>24718</v>
      </c>
      <c r="T4" s="12" t="n">
        <v>26317</v>
      </c>
      <c r="U4" s="12" t="n">
        <v>27977</v>
      </c>
      <c r="V4" s="12" t="n">
        <v>29283</v>
      </c>
      <c r="W4" s="12" t="n">
        <v>36247</v>
      </c>
      <c r="X4" s="12" t="n">
        <v>37332</v>
      </c>
      <c r="Y4" s="11">
        <f>IF(COUNT(Y7,Y10,Y13,Y16,Y19)=0,"",SUM(Y7,Y10,Y13,Y16,Y19))</f>
        <v/>
      </c>
      <c r="Z4" s="12">
        <f>IF(COUNT(Z7,Z10,Z13,Z16,Z19)=0,"",SUM(Z7,Z10,Z13,Z16,Z19))</f>
        <v/>
      </c>
      <c r="AA4" s="12">
        <f>IF(COUNT(AA7,AA10,AA13,AA16,AA19)=0,"",SUM(AA7,AA10,AA13,AA16,AA19))</f>
        <v/>
      </c>
      <c r="AB4" s="12">
        <f>IF(COUNT(AB7,AB10,AB13,AB16,AB19)=0,"",SUM(AB7,AB10,AB13,AB16,AB19))</f>
        <v/>
      </c>
      <c r="AC4" s="12">
        <f>IF(COUNT(AC7,AC10,AC13,AC16,AC19)=0,"",SUM(AC7,AC10,AC13,AC16,AC19))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HeatTreatmentBusinessReportableSegmentMember</t>
        </is>
      </c>
      <c r="B7" s="10" t="n"/>
      <c r="C7" s="19" t="n">
        <v>2990</v>
      </c>
      <c r="D7" s="20" t="n">
        <v>5780</v>
      </c>
      <c r="E7" s="20" t="n">
        <v>3041</v>
      </c>
      <c r="F7" s="20" t="n">
        <v>4464</v>
      </c>
      <c r="G7" s="20" t="n">
        <v>4461</v>
      </c>
      <c r="H7" s="20" t="n">
        <v>6624</v>
      </c>
      <c r="I7" s="20" t="n">
        <v>3729</v>
      </c>
      <c r="J7" s="20" t="n">
        <v>4116</v>
      </c>
      <c r="K7" s="20" t="n">
        <v>4624</v>
      </c>
      <c r="L7" s="20" t="n">
        <v>5838</v>
      </c>
      <c r="M7" s="20" t="n">
        <v>2510</v>
      </c>
      <c r="N7" s="20" t="n">
        <v>4324</v>
      </c>
      <c r="O7" s="19" t="n"/>
      <c r="P7" s="20" t="n"/>
      <c r="Q7" s="20" t="n"/>
      <c r="R7" s="20" t="n"/>
      <c r="S7" s="20" t="n"/>
      <c r="T7" s="20" t="n"/>
      <c r="U7" s="20" t="n"/>
      <c r="V7" s="20" t="n">
        <v>13912</v>
      </c>
      <c r="W7" s="20" t="n">
        <v>18590</v>
      </c>
      <c r="X7" s="20" t="n">
        <v>18307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PlantBusinessReportableSegmentMember</t>
        </is>
      </c>
      <c r="B10" s="10" t="n"/>
      <c r="C10" s="19" t="n">
        <v>2422</v>
      </c>
      <c r="D10" s="20" t="n">
        <v>2641</v>
      </c>
      <c r="E10" s="20" t="n">
        <v>1525</v>
      </c>
      <c r="F10" s="20" t="n">
        <v>2919</v>
      </c>
      <c r="G10" s="20" t="n">
        <v>2249</v>
      </c>
      <c r="H10" s="20" t="n">
        <v>4829</v>
      </c>
      <c r="I10" s="20" t="n">
        <v>2009</v>
      </c>
      <c r="J10" s="20" t="n">
        <v>3286</v>
      </c>
      <c r="K10" s="20" t="n">
        <v>3207</v>
      </c>
      <c r="L10" s="20" t="n">
        <v>5326</v>
      </c>
      <c r="M10" s="20" t="n">
        <v>3045</v>
      </c>
      <c r="N10" s="20" t="n">
        <v>4759</v>
      </c>
      <c r="O10" s="19" t="n"/>
      <c r="P10" s="20" t="n"/>
      <c r="Q10" s="20" t="n"/>
      <c r="R10" s="20" t="n"/>
      <c r="S10" s="20" t="n"/>
      <c r="T10" s="20" t="n"/>
      <c r="U10" s="20" t="n"/>
      <c r="V10" s="20" t="n">
        <v>11207</v>
      </c>
      <c r="W10" s="20" t="n">
        <v>11522</v>
      </c>
      <c r="X10" s="20" t="n">
        <v>13828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DevelopmentBusinessReportableSegmentMember</t>
        </is>
      </c>
      <c r="B13" s="10" t="n"/>
      <c r="C13" s="19" t="n">
        <v>245</v>
      </c>
      <c r="D13" s="20" t="n">
        <v>1267</v>
      </c>
      <c r="E13" s="20" t="n">
        <v>323</v>
      </c>
      <c r="F13" s="20" t="n">
        <v>849</v>
      </c>
      <c r="G13" s="20" t="n">
        <v>363</v>
      </c>
      <c r="H13" s="20" t="n">
        <v>841</v>
      </c>
      <c r="I13" s="20" t="n">
        <v>278</v>
      </c>
      <c r="J13" s="20" t="n">
        <v>432</v>
      </c>
      <c r="K13" s="20" t="n">
        <v>524</v>
      </c>
      <c r="L13" s="20" t="n">
        <v>747</v>
      </c>
      <c r="M13" s="20" t="n">
        <v>176</v>
      </c>
      <c r="N13" s="20" t="n">
        <v>297</v>
      </c>
      <c r="O13" s="19" t="n"/>
      <c r="P13" s="20" t="n"/>
      <c r="Q13" s="20" t="n"/>
      <c r="R13" s="20" t="n"/>
      <c r="S13" s="20" t="n"/>
      <c r="T13" s="20" t="n"/>
      <c r="U13" s="20" t="n"/>
      <c r="V13" s="20" t="n">
        <v>1896</v>
      </c>
      <c r="W13" s="20" t="n">
        <v>2376</v>
      </c>
      <c r="X13" s="20" t="n">
        <v>1981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기타</t>
        </is>
      </c>
      <c r="B16" s="10" t="n"/>
      <c r="C16" s="19" t="n">
        <v>1118</v>
      </c>
      <c r="D16" s="20" t="n">
        <v>2046</v>
      </c>
      <c r="E16" s="20" t="n">
        <v>1065</v>
      </c>
      <c r="F16" s="20" t="n">
        <v>1850</v>
      </c>
      <c r="G16" s="20" t="n">
        <v>2010</v>
      </c>
      <c r="H16" s="20" t="n">
        <v>3248</v>
      </c>
      <c r="I16" s="20" t="n">
        <v>1295</v>
      </c>
      <c r="J16" s="20" t="n">
        <v>1783</v>
      </c>
      <c r="K16" s="20" t="n">
        <v>2077</v>
      </c>
      <c r="L16" s="20" t="n">
        <v>2870</v>
      </c>
      <c r="M16" s="20" t="n">
        <v>1014</v>
      </c>
      <c r="N16" s="20" t="n">
        <v>1271</v>
      </c>
      <c r="O16" s="19" t="n"/>
      <c r="P16" s="20" t="n"/>
      <c r="Q16" s="20" t="n"/>
      <c r="R16" s="20" t="n"/>
      <c r="S16" s="20" t="n"/>
      <c r="T16" s="20" t="n"/>
      <c r="U16" s="20" t="n"/>
      <c r="V16" s="20" t="n">
        <v>5458</v>
      </c>
      <c r="W16" s="20" t="n">
        <v>8173</v>
      </c>
      <c r="X16" s="20" t="n">
        <v>8025</v>
      </c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8" t="inlineStr">
        <is>
          <t>EntityTotalMember</t>
        </is>
      </c>
      <c r="B19" s="10" t="n"/>
      <c r="C19" s="19" t="n"/>
      <c r="D19" s="20" t="n"/>
      <c r="E19" s="20" t="n">
        <v>5280</v>
      </c>
      <c r="F19" s="20" t="n"/>
      <c r="G19" s="20" t="n"/>
      <c r="H19" s="20" t="n"/>
      <c r="I19" s="20" t="n">
        <v>6347</v>
      </c>
      <c r="J19" s="20" t="n"/>
      <c r="K19" s="20" t="n"/>
      <c r="L19" s="20" t="n"/>
      <c r="M19" s="20" t="n">
        <v>6119</v>
      </c>
      <c r="N19" s="20" t="n"/>
      <c r="O19" s="19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1" t="n"/>
      <c r="Z19" s="22" t="n"/>
      <c r="AA19" s="22" t="n"/>
      <c r="AB19" s="22" t="n"/>
      <c r="AC19" s="22" t="n"/>
    </row>
    <row r="20">
      <c r="A20" s="13" t="inlineStr">
        <is>
          <t>비중</t>
        </is>
      </c>
      <c r="B20" s="10" t="n"/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14">
        <f>IF(OR(Y19="",Y4=""),"",IFERROR(Y19/Y4,""))</f>
        <v/>
      </c>
      <c r="Z20" s="15">
        <f>IF(OR(Z19="",Z4=""),"",IFERROR(Z19/Z4,""))</f>
        <v/>
      </c>
      <c r="AA20" s="15">
        <f>IF(OR(AA19="",AA4=""),"",IFERROR(AA19/AA4,""))</f>
        <v/>
      </c>
      <c r="AB20" s="15">
        <f>IF(OR(AB19="",AB4=""),"",IFERROR(AB19/AB4,""))</f>
        <v/>
      </c>
      <c r="AC20" s="15">
        <f>IF(OR(AC19="",AC4=""),"",IFERROR(AC19/AC4,""))</f>
        <v/>
      </c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IF(OR(G19="",C19=""),"",IFERROR(G19/C19-1,""))</f>
        <v/>
      </c>
      <c r="H21" s="15">
        <f>IF(OR(H19="",D19=""),"",IFERROR(H19/D19-1,""))</f>
        <v/>
      </c>
      <c r="I21" s="15">
        <f>IF(OR(I19="",E19=""),"",IFERROR(I19/E19-1,""))</f>
        <v/>
      </c>
      <c r="J21" s="15">
        <f>IF(OR(J19="",F19=""),"",IFERROR(J19/F19-1,""))</f>
        <v/>
      </c>
      <c r="K21" s="15">
        <f>IF(OR(K19="",G19=""),"",IFERROR(K19/G19-1,""))</f>
        <v/>
      </c>
      <c r="L21" s="15">
        <f>IF(OR(L19="",H19=""),"",IFERROR(L19/H19-1,""))</f>
        <v/>
      </c>
      <c r="M21" s="15">
        <f>IF(OR(M19="",I19=""),"",IFERROR(M19/I19-1,""))</f>
        <v/>
      </c>
      <c r="N21" s="15">
        <f>IF(OR(N19="",J19=""),"",IFERROR(N19/J19-1,""))</f>
        <v/>
      </c>
      <c r="O21" s="14" t="n"/>
      <c r="P21" s="15">
        <f>IF(OR(P19="",O19=""),"",IFERROR(P19/O19-1,""))</f>
        <v/>
      </c>
      <c r="Q21" s="15">
        <f>IF(OR(Q19="",P19=""),"",IFERROR(Q19/P19-1,""))</f>
        <v/>
      </c>
      <c r="R21" s="15">
        <f>IF(OR(R19="",Q19=""),"",IFERROR(R19/Q19-1,""))</f>
        <v/>
      </c>
      <c r="S21" s="15">
        <f>IF(OR(S19="",R19=""),"",IFERROR(S19/R19-1,""))</f>
        <v/>
      </c>
      <c r="T21" s="15">
        <f>IF(OR(T19="",S19=""),"",IFERROR(T19/S19-1,""))</f>
        <v/>
      </c>
      <c r="U21" s="15">
        <f>IF(OR(U19="",T19=""),"",IFERROR(U19/T19-1,""))</f>
        <v/>
      </c>
      <c r="V21" s="15">
        <f>IF(OR(V19="",U19=""),"",IFERROR(V19/U19-1,""))</f>
        <v/>
      </c>
      <c r="W21" s="15">
        <f>IF(OR(W19="",V19=""),"",IFERROR(W19/V19-1,""))</f>
        <v/>
      </c>
      <c r="X21" s="15">
        <f>IF(OR(X19="",W19=""),"",IFERROR(X19/W19-1,""))</f>
        <v/>
      </c>
      <c r="Y21" s="14">
        <f>IF(OR(Y19="",X19=""),"",IFERROR(Y19/X19-1,""))</f>
        <v/>
      </c>
      <c r="Z21" s="15">
        <f>IF(OR(Z19="",Y19=""),"",IFERROR(Z19/Y19-1,""))</f>
        <v/>
      </c>
      <c r="AA21" s="15">
        <f>IF(OR(AA19="",Z19=""),"",IFERROR(AA19/Z19-1,""))</f>
        <v/>
      </c>
      <c r="AB21" s="15">
        <f>IF(OR(AB19="",AA19=""),"",IFERROR(AB19/AA19-1,""))</f>
        <v/>
      </c>
      <c r="AC21" s="15">
        <f>IF(OR(AC19="",AB19=""),"",IFERROR(AC19/AB19-1,""))</f>
        <v/>
      </c>
    </row>
    <row r="22">
      <c r="A22" s="16" t="inlineStr">
        <is>
          <t>매출원가</t>
        </is>
      </c>
      <c r="B22" s="16" t="n"/>
      <c r="C22" s="17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7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7" t="n"/>
      <c r="Z22" s="16" t="n"/>
      <c r="AA22" s="16" t="n"/>
      <c r="AB22" s="16" t="n"/>
      <c r="AC22" s="16" t="n"/>
    </row>
    <row r="23">
      <c r="A23" s="18" t="inlineStr">
        <is>
          <t>전체 매출원가</t>
        </is>
      </c>
      <c r="B23" s="10" t="n"/>
      <c r="C23" s="19" t="n">
        <v>4905</v>
      </c>
      <c r="D23" s="20" t="n">
        <v>7682</v>
      </c>
      <c r="E23" s="20" t="n">
        <v>4759</v>
      </c>
      <c r="F23" s="20" t="n">
        <v>7521</v>
      </c>
      <c r="G23" s="20" t="n">
        <v>6138</v>
      </c>
      <c r="H23" s="20" t="n">
        <v>10238</v>
      </c>
      <c r="I23" s="20" t="n">
        <v>5464</v>
      </c>
      <c r="J23" s="20" t="n">
        <v>6658</v>
      </c>
      <c r="K23" s="20" t="n">
        <v>7203</v>
      </c>
      <c r="L23" s="20" t="n">
        <v>9893</v>
      </c>
      <c r="M23" s="20" t="n">
        <v>5010</v>
      </c>
      <c r="N23" s="20" t="n">
        <v>7760</v>
      </c>
      <c r="O23" s="19" t="n">
        <v>26394</v>
      </c>
      <c r="P23" s="20" t="n">
        <v>25600</v>
      </c>
      <c r="Q23" s="20" t="n">
        <v>31898</v>
      </c>
      <c r="R23" s="20" t="n">
        <v>31787</v>
      </c>
      <c r="S23" s="20" t="n">
        <v>20048</v>
      </c>
      <c r="T23" s="20" t="n">
        <v>20759</v>
      </c>
      <c r="U23" s="20" t="n">
        <v>22285</v>
      </c>
      <c r="V23" s="20" t="n">
        <v>23166</v>
      </c>
      <c r="W23" s="20" t="n">
        <v>28656</v>
      </c>
      <c r="X23" s="20" t="n">
        <v>29218</v>
      </c>
      <c r="Y23" s="19" t="n"/>
      <c r="Z23" s="20" t="n"/>
      <c r="AA23" s="20" t="n"/>
      <c r="AB23" s="20" t="n"/>
      <c r="AC23" s="20" t="n"/>
    </row>
    <row r="24">
      <c r="A24" s="13" t="inlineStr">
        <is>
          <t>YoY</t>
        </is>
      </c>
      <c r="B24" s="10" t="n"/>
      <c r="C24" s="14" t="n"/>
      <c r="D24" s="15" t="n"/>
      <c r="E24" s="15" t="n"/>
      <c r="F24" s="15" t="n"/>
      <c r="G24" s="15">
        <f>IF(OR(G23="",C23=""),"",IF(C23&lt;=0,"",IFERROR(G23/C23-1,"")))</f>
        <v/>
      </c>
      <c r="H24" s="15">
        <f>IF(OR(H23="",D23=""),"",IF(D23&lt;=0,"",IFERROR(H23/D23-1,"")))</f>
        <v/>
      </c>
      <c r="I24" s="15">
        <f>IF(OR(I23="",E23=""),"",IF(E23&lt;=0,"",IFERROR(I23/E23-1,"")))</f>
        <v/>
      </c>
      <c r="J24" s="15">
        <f>IF(OR(J23="",F23=""),"",IF(F23&lt;=0,"",IFERROR(J23/F23-1,"")))</f>
        <v/>
      </c>
      <c r="K24" s="15">
        <f>IF(OR(K23="",G23=""),"",IF(G23&lt;=0,"",IFERROR(K23/G23-1,"")))</f>
        <v/>
      </c>
      <c r="L24" s="15">
        <f>IF(OR(L23="",H23=""),"",IF(H23&lt;=0,"",IFERROR(L23/H23-1,"")))</f>
        <v/>
      </c>
      <c r="M24" s="15">
        <f>IF(OR(M23="",I23=""),"",IF(I23&lt;=0,"",IFERROR(M23/I23-1,"")))</f>
        <v/>
      </c>
      <c r="N24" s="15">
        <f>IF(OR(N23="",J23=""),"",IF(J23&lt;=0,"",IFERROR(N23/J23-1,"")))</f>
        <v/>
      </c>
      <c r="O24" s="14" t="n"/>
      <c r="P24" s="15">
        <f>IF(OR(P23="",O23=""),"",IF(O23&lt;=0,"",IFERROR(P23/O23-1,"")))</f>
        <v/>
      </c>
      <c r="Q24" s="15">
        <f>IF(OR(Q23="",P23=""),"",IF(P23&lt;=0,"",IFERROR(Q23/P23-1,"")))</f>
        <v/>
      </c>
      <c r="R24" s="15">
        <f>IF(OR(R23="",Q23=""),"",IF(Q23&lt;=0,"",IFERROR(R23/Q23-1,"")))</f>
        <v/>
      </c>
      <c r="S24" s="15">
        <f>IF(OR(S23="",R23=""),"",IF(R23&lt;=0,"",IFERROR(S23/R23-1,"")))</f>
        <v/>
      </c>
      <c r="T24" s="15">
        <f>IF(OR(T23="",S23=""),"",IF(S23&lt;=0,"",IFERROR(T23/S23-1,"")))</f>
        <v/>
      </c>
      <c r="U24" s="15">
        <f>IF(OR(U23="",T23=""),"",IF(T23&lt;=0,"",IFERROR(U23/T23-1,"")))</f>
        <v/>
      </c>
      <c r="V24" s="15">
        <f>IF(OR(V23="",U23=""),"",IF(U23&lt;=0,"",IFERROR(V23/U23-1,"")))</f>
        <v/>
      </c>
      <c r="W24" s="15">
        <f>IF(OR(W23="",V23=""),"",IF(V23&lt;=0,"",IFERROR(W23/V23-1,"")))</f>
        <v/>
      </c>
      <c r="X24" s="15">
        <f>IF(OR(X23="",W23=""),"",IF(W23&lt;=0,"",IFERROR(X23/W23-1,"")))</f>
        <v/>
      </c>
      <c r="Y24" s="14">
        <f>IF(OR(Y23="",X23=""),"",IF(X23&lt;=0,"",IFERROR(Y23/X23-1,"")))</f>
        <v/>
      </c>
      <c r="Z24" s="15">
        <f>IF(OR(Z23="",Y23=""),"",IF(Y23&lt;=0,"",IFERROR(Z23/Y23-1,"")))</f>
        <v/>
      </c>
      <c r="AA24" s="15">
        <f>IF(OR(AA23="",Z23=""),"",IF(Z23&lt;=0,"",IFERROR(AA23/Z23-1,"")))</f>
        <v/>
      </c>
      <c r="AB24" s="15">
        <f>IF(OR(AB23="",AA23=""),"",IF(AA23&lt;=0,"",IFERROR(AB23/AA23-1,"")))</f>
        <v/>
      </c>
      <c r="AC24" s="15">
        <f>IF(OR(AC23="",AB23=""),"",IF(AB23&lt;=0,"",IFERROR(AC23/AB23-1,"")))</f>
        <v/>
      </c>
    </row>
    <row r="25">
      <c r="A25" s="18" t="inlineStr">
        <is>
          <t>매출총이익</t>
        </is>
      </c>
      <c r="B25" s="10" t="n"/>
      <c r="C25" s="19">
        <f>IF(OR(C4="",C23=""),"",IFERROR(C4-C23,""))</f>
        <v/>
      </c>
      <c r="D25" s="20">
        <f>IF(OR(D4="",D23=""),"",IFERROR(D4-D23,""))</f>
        <v/>
      </c>
      <c r="E25" s="20">
        <f>IF(OR(E4="",E23=""),"",IFERROR(E4-E23,""))</f>
        <v/>
      </c>
      <c r="F25" s="20">
        <f>IF(OR(F4="",F23=""),"",IFERROR(F4-F23,""))</f>
        <v/>
      </c>
      <c r="G25" s="20">
        <f>IF(OR(G4="",G23=""),"",IFERROR(G4-G23,""))</f>
        <v/>
      </c>
      <c r="H25" s="20">
        <f>IF(OR(H4="",H23=""),"",IFERROR(H4-H23,""))</f>
        <v/>
      </c>
      <c r="I25" s="20">
        <f>IF(OR(I4="",I23=""),"",IFERROR(I4-I23,""))</f>
        <v/>
      </c>
      <c r="J25" s="20">
        <f>IF(OR(J4="",J23=""),"",IFERROR(J4-J23,""))</f>
        <v/>
      </c>
      <c r="K25" s="20">
        <f>IF(OR(K4="",K23=""),"",IFERROR(K4-K23,""))</f>
        <v/>
      </c>
      <c r="L25" s="20">
        <f>IF(OR(L4="",L23=""),"",IFERROR(L4-L23,""))</f>
        <v/>
      </c>
      <c r="M25" s="20">
        <f>IF(OR(M4="",M23=""),"",IFERROR(M4-M23,""))</f>
        <v/>
      </c>
      <c r="N25" s="20">
        <f>IF(OR(N4="",N23=""),"",IFERROR(N4-N23,""))</f>
        <v/>
      </c>
      <c r="O25" s="19">
        <f>IF(OR(O4="",O23=""),"",IFERROR(O4-O23,""))</f>
        <v/>
      </c>
      <c r="P25" s="20">
        <f>IF(OR(P4="",P23=""),"",IFERROR(P4-P23,""))</f>
        <v/>
      </c>
      <c r="Q25" s="20">
        <f>IF(OR(Q4="",Q23=""),"",IFERROR(Q4-Q23,""))</f>
        <v/>
      </c>
      <c r="R25" s="20">
        <f>IF(OR(R4="",R23=""),"",IFERROR(R4-R23,""))</f>
        <v/>
      </c>
      <c r="S25" s="20">
        <f>IF(OR(S4="",S23=""),"",IFERROR(S4-S23,""))</f>
        <v/>
      </c>
      <c r="T25" s="20">
        <f>IF(OR(T4="",T23=""),"",IFERROR(T4-T23,""))</f>
        <v/>
      </c>
      <c r="U25" s="20">
        <f>IF(OR(U4="",U23=""),"",IFERROR(U4-U23,""))</f>
        <v/>
      </c>
      <c r="V25" s="20">
        <f>IF(OR(V4="",V23=""),"",IFERROR(V4-V23,""))</f>
        <v/>
      </c>
      <c r="W25" s="20">
        <f>IF(OR(W4="",W23=""),"",IFERROR(W4-W23,""))</f>
        <v/>
      </c>
      <c r="X25" s="20">
        <f>IF(OR(X4="",X23=""),"",IFERROR(X4-X23,""))</f>
        <v/>
      </c>
      <c r="Y25" s="19" t="n"/>
      <c r="Z25" s="20" t="n"/>
      <c r="AA25" s="20" t="n"/>
      <c r="AB25" s="20" t="n"/>
      <c r="AC25" s="20" t="n"/>
    </row>
    <row r="26">
      <c r="A26" s="13" t="inlineStr">
        <is>
          <t>GPM</t>
        </is>
      </c>
      <c r="B26" s="10" t="n"/>
      <c r="C26" s="14">
        <f>IF(OR(C25="",C4=""),"",IFERROR(C25/C4,""))</f>
        <v/>
      </c>
      <c r="D26" s="15">
        <f>IF(OR(D25="",D4=""),"",IFERROR(D25/D4,""))</f>
        <v/>
      </c>
      <c r="E26" s="15">
        <f>IF(OR(E25="",E4=""),"",IFERROR(E25/E4,""))</f>
        <v/>
      </c>
      <c r="F26" s="15">
        <f>IF(OR(F25="",F4=""),"",IFERROR(F25/F4,""))</f>
        <v/>
      </c>
      <c r="G26" s="15">
        <f>IF(OR(G25="",G4=""),"",IFERROR(G25/G4,""))</f>
        <v/>
      </c>
      <c r="H26" s="15">
        <f>IF(OR(H25="",H4=""),"",IFERROR(H25/H4,""))</f>
        <v/>
      </c>
      <c r="I26" s="15">
        <f>IF(OR(I25="",I4=""),"",IFERROR(I25/I4,""))</f>
        <v/>
      </c>
      <c r="J26" s="15">
        <f>IF(OR(J25="",J4=""),"",IFERROR(J25/J4,""))</f>
        <v/>
      </c>
      <c r="K26" s="15">
        <f>IF(OR(K25="",K4=""),"",IFERROR(K25/K4,""))</f>
        <v/>
      </c>
      <c r="L26" s="15">
        <f>IF(OR(L25="",L4=""),"",IFERROR(L25/L4,""))</f>
        <v/>
      </c>
      <c r="M26" s="15">
        <f>IF(OR(M25="",M4=""),"",IFERROR(M25/M4,""))</f>
        <v/>
      </c>
      <c r="N26" s="15">
        <f>IF(OR(N25="",N4=""),"",IFERROR(N25/N4,""))</f>
        <v/>
      </c>
      <c r="O26" s="14">
        <f>IF(OR(O25="",O4=""),"",IFERROR(O25/O4,""))</f>
        <v/>
      </c>
      <c r="P26" s="15">
        <f>IF(OR(P25="",P4=""),"",IFERROR(P25/P4,""))</f>
        <v/>
      </c>
      <c r="Q26" s="15">
        <f>IF(OR(Q25="",Q4=""),"",IFERROR(Q25/Q4,""))</f>
        <v/>
      </c>
      <c r="R26" s="15">
        <f>IF(OR(R25="",R4=""),"",IFERROR(R25/R4,""))</f>
        <v/>
      </c>
      <c r="S26" s="15">
        <f>IF(OR(S25="",S4=""),"",IFERROR(S25/S4,""))</f>
        <v/>
      </c>
      <c r="T26" s="15">
        <f>IF(OR(T25="",T4=""),"",IFERROR(T25/T4,""))</f>
        <v/>
      </c>
      <c r="U26" s="15">
        <f>IF(OR(U25="",U4=""),"",IFERROR(U25/U4,""))</f>
        <v/>
      </c>
      <c r="V26" s="15">
        <f>IF(OR(V25="",V4=""),"",IFERROR(V25/V4,""))</f>
        <v/>
      </c>
      <c r="W26" s="15">
        <f>IF(OR(W25="",W4=""),"",IFERROR(W25/W4,""))</f>
        <v/>
      </c>
      <c r="X26" s="15">
        <f>IF(OR(X25="",X4=""),"",IFERROR(X25/X4,""))</f>
        <v/>
      </c>
      <c r="Y26" s="14">
        <f>IF(OR(Y25="",Y4=""),"",IFERROR(Y25/Y4,""))</f>
        <v/>
      </c>
      <c r="Z26" s="15">
        <f>IF(OR(Z25="",Z4=""),"",IFERROR(Z25/Z4,""))</f>
        <v/>
      </c>
      <c r="AA26" s="15">
        <f>IF(OR(AA25="",AA4=""),"",IFERROR(AA25/AA4,""))</f>
        <v/>
      </c>
      <c r="AB26" s="15">
        <f>IF(OR(AB25="",AB4=""),"",IFERROR(AB25/AB4,""))</f>
        <v/>
      </c>
      <c r="AC26" s="15">
        <f>IF(OR(AC25="",AC4=""),"",IFERROR(AC25/AC4,""))</f>
        <v/>
      </c>
    </row>
    <row r="27">
      <c r="A27" s="13" t="inlineStr">
        <is>
          <t>YoY</t>
        </is>
      </c>
      <c r="B27" s="10" t="n"/>
      <c r="C27" s="14" t="n"/>
      <c r="D27" s="15" t="n"/>
      <c r="E27" s="15" t="n"/>
      <c r="F27" s="15" t="n"/>
      <c r="G27" s="15">
        <f>IF(OR(G25="",C25=""),"",IF(C25&lt;=0,"",IFERROR(G25/C25-1,"")))</f>
        <v/>
      </c>
      <c r="H27" s="15">
        <f>IF(OR(H25="",D25=""),"",IF(D25&lt;=0,"",IFERROR(H25/D25-1,"")))</f>
        <v/>
      </c>
      <c r="I27" s="15">
        <f>IF(OR(I25="",E25=""),"",IF(E25&lt;=0,"",IFERROR(I25/E25-1,"")))</f>
        <v/>
      </c>
      <c r="J27" s="15">
        <f>IF(OR(J25="",F25=""),"",IF(F25&lt;=0,"",IFERROR(J25/F25-1,"")))</f>
        <v/>
      </c>
      <c r="K27" s="15">
        <f>IF(OR(K25="",G25=""),"",IF(G25&lt;=0,"",IFERROR(K25/G25-1,"")))</f>
        <v/>
      </c>
      <c r="L27" s="15">
        <f>IF(OR(L25="",H25=""),"",IF(H25&lt;=0,"",IFERROR(L25/H25-1,"")))</f>
        <v/>
      </c>
      <c r="M27" s="15">
        <f>IF(OR(M25="",I25=""),"",IF(I25&lt;=0,"",IFERROR(M25/I25-1,"")))</f>
        <v/>
      </c>
      <c r="N27" s="15">
        <f>IF(OR(N25="",J25=""),"",IF(J25&lt;=0,"",IFERROR(N25/J25-1,"")))</f>
        <v/>
      </c>
      <c r="O27" s="14" t="n"/>
      <c r="P27" s="15">
        <f>IF(OR(P25="",O25=""),"",IF(O25&lt;=0,"",IFERROR(P25/O25-1,"")))</f>
        <v/>
      </c>
      <c r="Q27" s="15">
        <f>IF(OR(Q25="",P25=""),"",IF(P25&lt;=0,"",IFERROR(Q25/P25-1,"")))</f>
        <v/>
      </c>
      <c r="R27" s="15">
        <f>IF(OR(R25="",Q25=""),"",IF(Q25&lt;=0,"",IFERROR(R25/Q25-1,"")))</f>
        <v/>
      </c>
      <c r="S27" s="15">
        <f>IF(OR(S25="",R25=""),"",IF(R25&lt;=0,"",IFERROR(S25/R25-1,"")))</f>
        <v/>
      </c>
      <c r="T27" s="15">
        <f>IF(OR(T25="",S25=""),"",IF(S25&lt;=0,"",IFERROR(T25/S25-1,"")))</f>
        <v/>
      </c>
      <c r="U27" s="15">
        <f>IF(OR(U25="",T25=""),"",IF(T25&lt;=0,"",IFERROR(U25/T25-1,"")))</f>
        <v/>
      </c>
      <c r="V27" s="15">
        <f>IF(OR(V25="",U25=""),"",IF(U25&lt;=0,"",IFERROR(V25/U25-1,"")))</f>
        <v/>
      </c>
      <c r="W27" s="15">
        <f>IF(OR(W25="",V25=""),"",IF(V25&lt;=0,"",IFERROR(W25/V25-1,"")))</f>
        <v/>
      </c>
      <c r="X27" s="15">
        <f>IF(OR(X25="",W25=""),"",IF(W25&lt;=0,"",IFERROR(X25/W25-1,"")))</f>
        <v/>
      </c>
      <c r="Y27" s="14">
        <f>IF(OR(Y25="",X25=""),"",IF(X25&lt;=0,"",IFERROR(Y25/X25-1,"")))</f>
        <v/>
      </c>
      <c r="Z27" s="15">
        <f>IF(OR(Z25="",Y25=""),"",IF(Y25&lt;=0,"",IFERROR(Z25/Y25-1,"")))</f>
        <v/>
      </c>
      <c r="AA27" s="15">
        <f>IF(OR(AA25="",Z25=""),"",IF(Z25&lt;=0,"",IFERROR(AA25/Z25-1,"")))</f>
        <v/>
      </c>
      <c r="AB27" s="15">
        <f>IF(OR(AB25="",AA25=""),"",IF(AA25&lt;=0,"",IFERROR(AB25/AA25-1,"")))</f>
        <v/>
      </c>
      <c r="AC27" s="15">
        <f>IF(OR(AC25="",AB25=""),"",IF(AB25&lt;=0,"",IFERROR(AC25/AB25-1,"")))</f>
        <v/>
      </c>
    </row>
    <row r="28">
      <c r="A28" s="23" t="inlineStr">
        <is>
          <t>판매관리비</t>
        </is>
      </c>
      <c r="B28" s="23" t="n"/>
      <c r="C28" s="24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4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4" t="n"/>
      <c r="Z28" s="23" t="n"/>
      <c r="AA28" s="23" t="n"/>
      <c r="AB28" s="23" t="n"/>
      <c r="AC28" s="23" t="n"/>
    </row>
    <row r="29">
      <c r="A29" s="18" t="inlineStr">
        <is>
          <t>전체 판관비</t>
        </is>
      </c>
      <c r="B29" s="10" t="n"/>
      <c r="C29" s="19" t="n">
        <v>1121</v>
      </c>
      <c r="D29" s="20" t="n">
        <v>1238</v>
      </c>
      <c r="E29" s="20" t="n">
        <v>1203</v>
      </c>
      <c r="F29" s="20" t="n">
        <v>1160</v>
      </c>
      <c r="G29" s="20" t="n">
        <v>1163</v>
      </c>
      <c r="H29" s="20" t="n">
        <v>1328</v>
      </c>
      <c r="I29" s="20" t="n">
        <v>1254</v>
      </c>
      <c r="J29" s="20" t="n">
        <v>1229</v>
      </c>
      <c r="K29" s="20" t="n">
        <v>1356</v>
      </c>
      <c r="L29" s="20" t="n">
        <v>1396</v>
      </c>
      <c r="M29" s="20" t="n">
        <v>1317</v>
      </c>
      <c r="N29" s="20" t="n">
        <v>1330</v>
      </c>
      <c r="O29" s="19" t="n">
        <v>3978</v>
      </c>
      <c r="P29" s="20" t="n">
        <v>4048</v>
      </c>
      <c r="Q29" s="20" t="n">
        <v>4204</v>
      </c>
      <c r="R29" s="20" t="n">
        <v>4591</v>
      </c>
      <c r="S29" s="20" t="n">
        <v>4280</v>
      </c>
      <c r="T29" s="20" t="n">
        <v>4294</v>
      </c>
      <c r="U29" s="20" t="n">
        <v>4382</v>
      </c>
      <c r="V29" s="20" t="n">
        <v>4639</v>
      </c>
      <c r="W29" s="20" t="n">
        <v>4854</v>
      </c>
      <c r="X29" s="20" t="n">
        <v>5235</v>
      </c>
      <c r="Y29" s="19" t="n"/>
      <c r="Z29" s="20" t="n"/>
      <c r="AA29" s="20" t="n"/>
      <c r="AB29" s="20" t="n"/>
      <c r="AC29" s="20" t="n"/>
    </row>
    <row r="30">
      <c r="A30" s="13" t="inlineStr">
        <is>
          <t>YoY</t>
        </is>
      </c>
      <c r="B30" s="10" t="n"/>
      <c r="C30" s="14" t="n"/>
      <c r="D30" s="15" t="n"/>
      <c r="E30" s="15" t="n"/>
      <c r="F30" s="15" t="n"/>
      <c r="G30" s="15">
        <f>IF(OR(G29="",C29=""),"",IF(C29&lt;=0,"",IFERROR(G29/C29-1,"")))</f>
        <v/>
      </c>
      <c r="H30" s="15">
        <f>IF(OR(H29="",D29=""),"",IF(D29&lt;=0,"",IFERROR(H29/D29-1,"")))</f>
        <v/>
      </c>
      <c r="I30" s="15">
        <f>IF(OR(I29="",E29=""),"",IF(E29&lt;=0,"",IFERROR(I29/E29-1,"")))</f>
        <v/>
      </c>
      <c r="J30" s="15">
        <f>IF(OR(J29="",F29=""),"",IF(F29&lt;=0,"",IFERROR(J29/F29-1,"")))</f>
        <v/>
      </c>
      <c r="K30" s="15">
        <f>IF(OR(K29="",G29=""),"",IF(G29&lt;=0,"",IFERROR(K29/G29-1,"")))</f>
        <v/>
      </c>
      <c r="L30" s="15">
        <f>IF(OR(L29="",H29=""),"",IF(H29&lt;=0,"",IFERROR(L29/H29-1,"")))</f>
        <v/>
      </c>
      <c r="M30" s="15">
        <f>IF(OR(M29="",I29=""),"",IF(I29&lt;=0,"",IFERROR(M29/I29-1,"")))</f>
        <v/>
      </c>
      <c r="N30" s="15">
        <f>IF(OR(N29="",J29=""),"",IF(J29&lt;=0,"",IFERROR(N29/J29-1,"")))</f>
        <v/>
      </c>
      <c r="O30" s="14" t="n"/>
      <c r="P30" s="15">
        <f>IF(OR(P29="",O29=""),"",IF(O29&lt;=0,"",IFERROR(P29/O29-1,"")))</f>
        <v/>
      </c>
      <c r="Q30" s="15">
        <f>IF(OR(Q29="",P29=""),"",IF(P29&lt;=0,"",IFERROR(Q29/P29-1,"")))</f>
        <v/>
      </c>
      <c r="R30" s="15">
        <f>IF(OR(R29="",Q29=""),"",IF(Q29&lt;=0,"",IFERROR(R29/Q29-1,"")))</f>
        <v/>
      </c>
      <c r="S30" s="15">
        <f>IF(OR(S29="",R29=""),"",IF(R29&lt;=0,"",IFERROR(S29/R29-1,"")))</f>
        <v/>
      </c>
      <c r="T30" s="15">
        <f>IF(OR(T29="",S29=""),"",IF(S29&lt;=0,"",IFERROR(T29/S29-1,"")))</f>
        <v/>
      </c>
      <c r="U30" s="15">
        <f>IF(OR(U29="",T29=""),"",IF(T29&lt;=0,"",IFERROR(U29/T29-1,"")))</f>
        <v/>
      </c>
      <c r="V30" s="15">
        <f>IF(OR(V29="",U29=""),"",IF(U29&lt;=0,"",IFERROR(V29/U29-1,"")))</f>
        <v/>
      </c>
      <c r="W30" s="15">
        <f>IF(OR(W29="",V29=""),"",IF(V29&lt;=0,"",IFERROR(W29/V29-1,"")))</f>
        <v/>
      </c>
      <c r="X30" s="15">
        <f>IF(OR(X29="",W29=""),"",IF(W29&lt;=0,"",IFERROR(X29/W29-1,"")))</f>
        <v/>
      </c>
      <c r="Y30" s="14">
        <f>IF(OR(Y29="",X29=""),"",IF(X29&lt;=0,"",IFERROR(Y29/X29-1,"")))</f>
        <v/>
      </c>
      <c r="Z30" s="15">
        <f>IF(OR(Z29="",Y29=""),"",IF(Y29&lt;=0,"",IFERROR(Z29/Y29-1,"")))</f>
        <v/>
      </c>
      <c r="AA30" s="15">
        <f>IF(OR(AA29="",Z29=""),"",IF(Z29&lt;=0,"",IFERROR(AA29/Z29-1,"")))</f>
        <v/>
      </c>
      <c r="AB30" s="15">
        <f>IF(OR(AB29="",AA29=""),"",IF(AA29&lt;=0,"",IFERROR(AB29/AA29-1,"")))</f>
        <v/>
      </c>
      <c r="AC30" s="15">
        <f>IF(OR(AC29="",AB29=""),"",IF(AB29&lt;=0,"",IFERROR(AC29/AB29-1,"")))</f>
        <v/>
      </c>
    </row>
    <row r="31">
      <c r="A31" s="9" t="inlineStr">
        <is>
          <t>영업이익</t>
        </is>
      </c>
      <c r="B31" s="10" t="inlineStr">
        <is>
          <t>MW = 매출 × OPM</t>
        </is>
      </c>
      <c r="C31" s="11" t="n">
        <v>-189</v>
      </c>
      <c r="D31" s="12" t="n">
        <v>1916</v>
      </c>
      <c r="E31" s="12" t="n">
        <v>-682</v>
      </c>
      <c r="F31" s="12" t="n">
        <v>759</v>
      </c>
      <c r="G31" s="12" t="n">
        <v>197</v>
      </c>
      <c r="H31" s="12" t="n">
        <v>2461</v>
      </c>
      <c r="I31" s="12" t="n">
        <v>-371</v>
      </c>
      <c r="J31" s="12" t="n">
        <v>534</v>
      </c>
      <c r="K31" s="12" t="n">
        <v>456</v>
      </c>
      <c r="L31" s="12" t="n">
        <v>2260</v>
      </c>
      <c r="M31" s="12" t="n">
        <v>-209</v>
      </c>
      <c r="N31" s="12" t="n">
        <v>846</v>
      </c>
      <c r="O31" s="11" t="n">
        <v>774</v>
      </c>
      <c r="P31" s="12" t="n">
        <v>1181</v>
      </c>
      <c r="Q31" s="12" t="n">
        <v>987</v>
      </c>
      <c r="R31" s="12" t="n">
        <v>1711</v>
      </c>
      <c r="S31" s="12" t="n">
        <v>390</v>
      </c>
      <c r="T31" s="12" t="n">
        <v>1263</v>
      </c>
      <c r="U31" s="12" t="n">
        <v>1309</v>
      </c>
      <c r="V31" s="12" t="n">
        <v>1477</v>
      </c>
      <c r="W31" s="12" t="n">
        <v>2735</v>
      </c>
      <c r="X31" s="12" t="n">
        <v>2879</v>
      </c>
      <c r="Y31" s="11">
        <f>IF(OR(Y4="",Y32=""),"",IFERROR(Y4*Y32,""))</f>
        <v/>
      </c>
      <c r="Z31" s="12">
        <f>IF(OR(Z4="",Z32=""),"",IFERROR(Z4*Z32,""))</f>
        <v/>
      </c>
      <c r="AA31" s="12">
        <f>IF(OR(AA4="",AA32=""),"",IFERROR(AA4*AA32,""))</f>
        <v/>
      </c>
      <c r="AB31" s="12">
        <f>IF(OR(AB4="",AB32=""),"",IFERROR(AB4*AB32,""))</f>
        <v/>
      </c>
      <c r="AC31" s="12">
        <f>IF(OR(AC4="",AC32=""),"",IFERROR(AC4*AC32,""))</f>
        <v/>
      </c>
    </row>
    <row r="32">
      <c r="A32" s="13" t="inlineStr">
        <is>
          <t>OPM</t>
        </is>
      </c>
      <c r="B32" s="10" t="inlineStr">
        <is>
          <t>MW 입력</t>
        </is>
      </c>
      <c r="C32" s="14">
        <f>IF(OR(C31="",C4=""),"",IFERROR(C31/C4,""))</f>
        <v/>
      </c>
      <c r="D32" s="15">
        <f>IF(OR(D31="",D4=""),"",IFERROR(D31/D4,""))</f>
        <v/>
      </c>
      <c r="E32" s="15">
        <f>IF(OR(E31="",E4=""),"",IFERROR(E31/E4,""))</f>
        <v/>
      </c>
      <c r="F32" s="15">
        <f>IF(OR(F31="",F4=""),"",IFERROR(F31/F4,""))</f>
        <v/>
      </c>
      <c r="G32" s="15">
        <f>IF(OR(G31="",G4=""),"",IFERROR(G31/G4,""))</f>
        <v/>
      </c>
      <c r="H32" s="15">
        <f>IF(OR(H31="",H4=""),"",IFERROR(H31/H4,""))</f>
        <v/>
      </c>
      <c r="I32" s="15">
        <f>IF(OR(I31="",I4=""),"",IFERROR(I31/I4,""))</f>
        <v/>
      </c>
      <c r="J32" s="15">
        <f>IF(OR(J31="",J4=""),"",IFERROR(J31/J4,""))</f>
        <v/>
      </c>
      <c r="K32" s="15">
        <f>IF(OR(K31="",K4=""),"",IFERROR(K31/K4,""))</f>
        <v/>
      </c>
      <c r="L32" s="15">
        <f>IF(OR(L31="",L4=""),"",IFERROR(L31/L4,""))</f>
        <v/>
      </c>
      <c r="M32" s="15">
        <f>IF(OR(M31="",M4=""),"",IFERROR(M31/M4,""))</f>
        <v/>
      </c>
      <c r="N32" s="15">
        <f>IF(OR(N31="",N4=""),"",IFERROR(N31/N4,""))</f>
        <v/>
      </c>
      <c r="O32" s="14">
        <f>IF(OR(O31="",O4=""),"",IFERROR(O31/O4,""))</f>
        <v/>
      </c>
      <c r="P32" s="15">
        <f>IF(OR(P31="",P4=""),"",IFERROR(P31/P4,""))</f>
        <v/>
      </c>
      <c r="Q32" s="15">
        <f>IF(OR(Q31="",Q4=""),"",IFERROR(Q31/Q4,""))</f>
        <v/>
      </c>
      <c r="R32" s="15">
        <f>IF(OR(R31="",R4=""),"",IFERROR(R31/R4,""))</f>
        <v/>
      </c>
      <c r="S32" s="15">
        <f>IF(OR(S31="",S4=""),"",IFERROR(S31/S4,""))</f>
        <v/>
      </c>
      <c r="T32" s="15">
        <f>IF(OR(T31="",T4=""),"",IFERROR(T31/T4,""))</f>
        <v/>
      </c>
      <c r="U32" s="15">
        <f>IF(OR(U31="",U4=""),"",IFERROR(U31/U4,""))</f>
        <v/>
      </c>
      <c r="V32" s="15">
        <f>IF(OR(V31="",V4=""),"",IFERROR(V31/V4,""))</f>
        <v/>
      </c>
      <c r="W32" s="15">
        <f>IF(OR(W31="",W4=""),"",IFERROR(W31/W4,""))</f>
        <v/>
      </c>
      <c r="X32" s="15">
        <f>IF(OR(X31="",X4=""),"",IFERROR(X31/X4,""))</f>
        <v/>
      </c>
      <c r="Y32" s="25" t="n"/>
      <c r="Z32" s="26" t="n"/>
      <c r="AA32" s="26" t="n"/>
      <c r="AB32" s="26" t="n"/>
      <c r="AC32" s="26" t="n"/>
    </row>
    <row r="33">
      <c r="A33" s="13" t="inlineStr">
        <is>
          <t>증가율</t>
        </is>
      </c>
      <c r="B33" s="10" t="n"/>
      <c r="C33" s="14" t="n"/>
      <c r="D33" s="15" t="n"/>
      <c r="E33" s="15" t="n"/>
      <c r="F33" s="15" t="n"/>
      <c r="G33" s="15">
        <f>IF(OR(G31="",C31=""),"",IFERROR(G31/C31-1,""))</f>
        <v/>
      </c>
      <c r="H33" s="15">
        <f>IF(OR(H31="",D31=""),"",IFERROR(H31/D31-1,""))</f>
        <v/>
      </c>
      <c r="I33" s="15">
        <f>IF(OR(I31="",E31=""),"",IFERROR(I31/E31-1,""))</f>
        <v/>
      </c>
      <c r="J33" s="15">
        <f>IF(OR(J31="",F31=""),"",IFERROR(J31/F31-1,""))</f>
        <v/>
      </c>
      <c r="K33" s="15">
        <f>IF(OR(K31="",G31=""),"",IFERROR(K31/G31-1,""))</f>
        <v/>
      </c>
      <c r="L33" s="15">
        <f>IF(OR(L31="",H31=""),"",IFERROR(L31/H31-1,""))</f>
        <v/>
      </c>
      <c r="M33" s="15">
        <f>IF(OR(M31="",I31=""),"",IFERROR(M31/I31-1,""))</f>
        <v/>
      </c>
      <c r="N33" s="15">
        <f>IF(OR(N31="",J31=""),"",IFERROR(N31/J31-1,""))</f>
        <v/>
      </c>
      <c r="O33" s="14" t="n"/>
      <c r="P33" s="15">
        <f>IF(OR(P31="",O31=""),"",IFERROR(P31/O31-1,""))</f>
        <v/>
      </c>
      <c r="Q33" s="15">
        <f>IF(OR(Q31="",P31=""),"",IFERROR(Q31/P31-1,""))</f>
        <v/>
      </c>
      <c r="R33" s="15">
        <f>IF(OR(R31="",Q31=""),"",IFERROR(R31/Q31-1,""))</f>
        <v/>
      </c>
      <c r="S33" s="15">
        <f>IF(OR(S31="",R31=""),"",IFERROR(S31/R31-1,""))</f>
        <v/>
      </c>
      <c r="T33" s="15">
        <f>IF(OR(T31="",S31=""),"",IFERROR(T31/S31-1,""))</f>
        <v/>
      </c>
      <c r="U33" s="15">
        <f>IF(OR(U31="",T31=""),"",IFERROR(U31/T31-1,""))</f>
        <v/>
      </c>
      <c r="V33" s="15">
        <f>IF(OR(V31="",U31=""),"",IFERROR(V31/U31-1,""))</f>
        <v/>
      </c>
      <c r="W33" s="15">
        <f>IF(OR(W31="",V31=""),"",IFERROR(W31/V31-1,""))</f>
        <v/>
      </c>
      <c r="X33" s="15">
        <f>IF(OR(X31="",W31=""),"",IFERROR(X31/W31-1,""))</f>
        <v/>
      </c>
      <c r="Y33" s="14">
        <f>IF(OR(Y31="",X31=""),"",IFERROR(Y31/X31-1,""))</f>
        <v/>
      </c>
      <c r="Z33" s="15">
        <f>IF(OR(Z31="",Y31=""),"",IFERROR(Z31/Y31-1,""))</f>
        <v/>
      </c>
      <c r="AA33" s="15">
        <f>IF(OR(AA31="",Z31=""),"",IFERROR(AA31/Z31-1,""))</f>
        <v/>
      </c>
      <c r="AB33" s="15">
        <f>IF(OR(AB31="",AA31=""),"",IFERROR(AB31/AA31-1,""))</f>
        <v/>
      </c>
      <c r="AC33" s="15">
        <f>IF(OR(AC31="",AB31=""),"",IFERROR(AC31/AB31-1,""))</f>
        <v/>
      </c>
    </row>
    <row r="34">
      <c r="A34" s="16" t="inlineStr">
        <is>
          <t>비용의 성격별 분류</t>
        </is>
      </c>
      <c r="B34" s="16" t="inlineStr">
        <is>
          <t>참고 데이터</t>
        </is>
      </c>
      <c r="C34" s="17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7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7" t="n"/>
      <c r="Z34" s="16" t="n"/>
      <c r="AA34" s="16" t="n"/>
      <c r="AB34" s="16" t="n"/>
      <c r="AC34" s="16" t="n"/>
    </row>
    <row r="35">
      <c r="A35" s="9" t="inlineStr">
        <is>
          <t>총 판관비</t>
        </is>
      </c>
      <c r="B35" s="10" t="n"/>
      <c r="C35" s="11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1">
        <f>IF(O29="","",O29)</f>
        <v/>
      </c>
      <c r="P35" s="12">
        <f>IF(P29="","",P29)</f>
        <v/>
      </c>
      <c r="Q35" s="12">
        <f>IF(Q29="","",Q29)</f>
        <v/>
      </c>
      <c r="R35" s="12">
        <f>IF(R29="","",R29)</f>
        <v/>
      </c>
      <c r="S35" s="12">
        <f>IF(S29="","",S29)</f>
        <v/>
      </c>
      <c r="T35" s="12">
        <f>IF(T29="","",T29)</f>
        <v/>
      </c>
      <c r="U35" s="12">
        <f>IF(U29="","",U29)</f>
        <v/>
      </c>
      <c r="V35" s="12">
        <f>IF(V29="","",V29)</f>
        <v/>
      </c>
      <c r="W35" s="12">
        <f>IF(W29="","",W29)</f>
        <v/>
      </c>
      <c r="X35" s="12">
        <f>IF(X29="","",X29)</f>
        <v/>
      </c>
      <c r="Y35" s="11" t="n"/>
      <c r="Z35" s="12" t="n"/>
      <c r="AA35" s="12" t="n"/>
      <c r="AB35" s="12" t="n"/>
      <c r="AC35" s="12" t="n"/>
    </row>
    <row r="36">
      <c r="A36" s="18" t="inlineStr">
        <is>
          <t>급여</t>
        </is>
      </c>
      <c r="B36" s="10" t="inlineStr">
        <is>
          <t>고정비</t>
        </is>
      </c>
      <c r="C36" s="19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19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19" t="n"/>
      <c r="Z36" s="20" t="n"/>
      <c r="AA36" s="20" t="n"/>
      <c r="AB36" s="20" t="n"/>
      <c r="AC36" s="20" t="n"/>
    </row>
    <row r="37">
      <c r="A37" s="13" t="inlineStr">
        <is>
          <t>% of Sales</t>
        </is>
      </c>
      <c r="B37" s="10" t="n"/>
      <c r="C37" s="14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4">
        <f>IF(OR(O36="",O4=""),"",IFERROR(O36/O4,""))</f>
        <v/>
      </c>
      <c r="P37" s="15">
        <f>IF(OR(P36="",P4=""),"",IFERROR(P36/P4,""))</f>
        <v/>
      </c>
      <c r="Q37" s="15">
        <f>IF(OR(Q36="",Q4=""),"",IFERROR(Q36/Q4,""))</f>
        <v/>
      </c>
      <c r="R37" s="15">
        <f>IF(OR(R36="",R4=""),"",IFERROR(R36/R4,""))</f>
        <v/>
      </c>
      <c r="S37" s="15">
        <f>IF(OR(S36="",S4=""),"",IFERROR(S36/S4,""))</f>
        <v/>
      </c>
      <c r="T37" s="15">
        <f>IF(OR(T36="",T4=""),"",IFERROR(T36/T4,""))</f>
        <v/>
      </c>
      <c r="U37" s="15">
        <f>IF(OR(U36="",U4=""),"",IFERROR(U36/U4,""))</f>
        <v/>
      </c>
      <c r="V37" s="15">
        <f>IF(OR(V36="",V4=""),"",IFERROR(V36/V4,""))</f>
        <v/>
      </c>
      <c r="W37" s="15">
        <f>IF(OR(W36="",W4=""),"",IFERROR(W36/W4,""))</f>
        <v/>
      </c>
      <c r="X37" s="15">
        <f>IF(OR(X36="",X4=""),"",IFERROR(X36/X4,""))</f>
        <v/>
      </c>
      <c r="Y37" s="14" t="n"/>
      <c r="Z37" s="15" t="n"/>
      <c r="AA37" s="15" t="n"/>
      <c r="AB37" s="15" t="n"/>
      <c r="AC37" s="15" t="n"/>
    </row>
    <row r="38">
      <c r="A38" s="18" t="inlineStr">
        <is>
          <t>감가상각비</t>
        </is>
      </c>
      <c r="B38" s="10" t="inlineStr">
        <is>
          <t>고정비</t>
        </is>
      </c>
      <c r="C38" s="19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19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19" t="n"/>
      <c r="Z38" s="20" t="n"/>
      <c r="AA38" s="20" t="n"/>
      <c r="AB38" s="20" t="n"/>
      <c r="AC38" s="20" t="n"/>
    </row>
    <row r="39">
      <c r="A39" s="13" t="inlineStr">
        <is>
          <t>% of Sales</t>
        </is>
      </c>
      <c r="B39" s="10" t="n"/>
      <c r="C39" s="14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4">
        <f>IF(OR(O38="",O4=""),"",IFERROR(O38/O4,""))</f>
        <v/>
      </c>
      <c r="P39" s="15">
        <f>IF(OR(P38="",P4=""),"",IFERROR(P38/P4,""))</f>
        <v/>
      </c>
      <c r="Q39" s="15">
        <f>IF(OR(Q38="",Q4=""),"",IFERROR(Q38/Q4,""))</f>
        <v/>
      </c>
      <c r="R39" s="15">
        <f>IF(OR(R38="",R4=""),"",IFERROR(R38/R4,""))</f>
        <v/>
      </c>
      <c r="S39" s="15">
        <f>IF(OR(S38="",S4=""),"",IFERROR(S38/S4,""))</f>
        <v/>
      </c>
      <c r="T39" s="15">
        <f>IF(OR(T38="",T4=""),"",IFERROR(T38/T4,""))</f>
        <v/>
      </c>
      <c r="U39" s="15">
        <f>IF(OR(U38="",U4=""),"",IFERROR(U38/U4,""))</f>
        <v/>
      </c>
      <c r="V39" s="15">
        <f>IF(OR(V38="",V4=""),"",IFERROR(V38/V4,""))</f>
        <v/>
      </c>
      <c r="W39" s="15">
        <f>IF(OR(W38="",W4=""),"",IFERROR(W38/W4,""))</f>
        <v/>
      </c>
      <c r="X39" s="15">
        <f>IF(OR(X38="",X4=""),"",IFERROR(X38/X4,""))</f>
        <v/>
      </c>
      <c r="Y39" s="14" t="n"/>
      <c r="Z39" s="15" t="n"/>
      <c r="AA39" s="15" t="n"/>
      <c r="AB39" s="15" t="n"/>
      <c r="AC39" s="15" t="n"/>
    </row>
    <row r="40">
      <c r="A40" s="18" t="inlineStr">
        <is>
          <t>지급수수료</t>
        </is>
      </c>
      <c r="B40" s="10" t="inlineStr">
        <is>
          <t>고정비</t>
        </is>
      </c>
      <c r="C40" s="19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19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19" t="n"/>
      <c r="Z40" s="20" t="n"/>
      <c r="AA40" s="20" t="n"/>
      <c r="AB40" s="20" t="n"/>
      <c r="AC40" s="20" t="n"/>
    </row>
    <row r="41">
      <c r="A41" s="13" t="inlineStr">
        <is>
          <t>% of Sales</t>
        </is>
      </c>
      <c r="B41" s="10" t="n"/>
      <c r="C41" s="14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4">
        <f>IF(OR(O40="",O4=""),"",IFERROR(O40/O4,""))</f>
        <v/>
      </c>
      <c r="P41" s="15">
        <f>IF(OR(P40="",P4=""),"",IFERROR(P40/P4,""))</f>
        <v/>
      </c>
      <c r="Q41" s="15">
        <f>IF(OR(Q40="",Q4=""),"",IFERROR(Q40/Q4,""))</f>
        <v/>
      </c>
      <c r="R41" s="15">
        <f>IF(OR(R40="",R4=""),"",IFERROR(R40/R4,""))</f>
        <v/>
      </c>
      <c r="S41" s="15">
        <f>IF(OR(S40="",S4=""),"",IFERROR(S40/S4,""))</f>
        <v/>
      </c>
      <c r="T41" s="15">
        <f>IF(OR(T40="",T4=""),"",IFERROR(T40/T4,""))</f>
        <v/>
      </c>
      <c r="U41" s="15">
        <f>IF(OR(U40="",U4=""),"",IFERROR(U40/U4,""))</f>
        <v/>
      </c>
      <c r="V41" s="15">
        <f>IF(OR(V40="",V4=""),"",IFERROR(V40/V4,""))</f>
        <v/>
      </c>
      <c r="W41" s="15">
        <f>IF(OR(W40="",W4=""),"",IFERROR(W40/W4,""))</f>
        <v/>
      </c>
      <c r="X41" s="15">
        <f>IF(OR(X40="",X4=""),"",IFERROR(X40/X4,""))</f>
        <v/>
      </c>
      <c r="Y41" s="14" t="n"/>
      <c r="Z41" s="15" t="n"/>
      <c r="AA41" s="15" t="n"/>
      <c r="AB41" s="15" t="n"/>
      <c r="AC41" s="15" t="n"/>
    </row>
    <row r="42">
      <c r="A42" s="18" t="inlineStr">
        <is>
          <t>연구개발비</t>
        </is>
      </c>
      <c r="B42" s="10" t="inlineStr">
        <is>
          <t>변동비</t>
        </is>
      </c>
      <c r="C42" s="19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19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19" t="n"/>
      <c r="Z42" s="20" t="n"/>
      <c r="AA42" s="20" t="n"/>
      <c r="AB42" s="20" t="n"/>
      <c r="AC42" s="20" t="n"/>
    </row>
    <row r="43">
      <c r="A43" s="13" t="inlineStr">
        <is>
          <t>% of Sales</t>
        </is>
      </c>
      <c r="B43" s="10" t="n"/>
      <c r="C43" s="14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4">
        <f>IF(OR(O42="",O4=""),"",IFERROR(O42/O4,""))</f>
        <v/>
      </c>
      <c r="P43" s="15">
        <f>IF(OR(P42="",P4=""),"",IFERROR(P42/P4,""))</f>
        <v/>
      </c>
      <c r="Q43" s="15">
        <f>IF(OR(Q42="",Q4=""),"",IFERROR(Q42/Q4,""))</f>
        <v/>
      </c>
      <c r="R43" s="15">
        <f>IF(OR(R42="",R4=""),"",IFERROR(R42/R4,""))</f>
        <v/>
      </c>
      <c r="S43" s="15">
        <f>IF(OR(S42="",S4=""),"",IFERROR(S42/S4,""))</f>
        <v/>
      </c>
      <c r="T43" s="15">
        <f>IF(OR(T42="",T4=""),"",IFERROR(T42/T4,""))</f>
        <v/>
      </c>
      <c r="U43" s="15">
        <f>IF(OR(U42="",U4=""),"",IFERROR(U42/U4,""))</f>
        <v/>
      </c>
      <c r="V43" s="15">
        <f>IF(OR(V42="",V4=""),"",IFERROR(V42/V4,""))</f>
        <v/>
      </c>
      <c r="W43" s="15">
        <f>IF(OR(W42="",W4=""),"",IFERROR(W42/W4,""))</f>
        <v/>
      </c>
      <c r="X43" s="15">
        <f>IF(OR(X42="",X4=""),"",IFERROR(X42/X4,""))</f>
        <v/>
      </c>
      <c r="Y43" s="14" t="n"/>
      <c r="Z43" s="15" t="n"/>
      <c r="AA43" s="15" t="n"/>
      <c r="AB43" s="15" t="n"/>
      <c r="AC43" s="15" t="n"/>
    </row>
    <row r="44">
      <c r="A44" s="18" t="inlineStr">
        <is>
          <t>기타비용</t>
        </is>
      </c>
      <c r="B44" s="10" t="inlineStr">
        <is>
          <t>변동비</t>
        </is>
      </c>
      <c r="C44" s="19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19">
        <f>IF(OR(O35="",O36="",O38="",O40="",O42=""),"",IFERROR(O35-O36-O38-O40-O42,""))</f>
        <v/>
      </c>
      <c r="P44" s="20">
        <f>IF(OR(P35="",P36="",P38="",P40="",P42=""),"",IFERROR(P35-P36-P38-P40-P42,""))</f>
        <v/>
      </c>
      <c r="Q44" s="20">
        <f>IF(OR(Q35="",Q36="",Q38="",Q40="",Q42=""),"",IFERROR(Q35-Q36-Q38-Q40-Q42,""))</f>
        <v/>
      </c>
      <c r="R44" s="20">
        <f>IF(OR(R35="",R36="",R38="",R40="",R42=""),"",IFERROR(R35-R36-R38-R40-R42,""))</f>
        <v/>
      </c>
      <c r="S44" s="20">
        <f>IF(OR(S35="",S36="",S38="",S40="",S42=""),"",IFERROR(S35-S36-S38-S40-S42,""))</f>
        <v/>
      </c>
      <c r="T44" s="20">
        <f>IF(OR(T35="",T36="",T38="",T40="",T42=""),"",IFERROR(T35-T36-T38-T40-T42,""))</f>
        <v/>
      </c>
      <c r="U44" s="20">
        <f>IF(OR(U35="",U36="",U38="",U40="",U42=""),"",IFERROR(U35-U36-U38-U40-U42,""))</f>
        <v/>
      </c>
      <c r="V44" s="20">
        <f>IF(OR(V35="",V36="",V38="",V40="",V42=""),"",IFERROR(V35-V36-V38-V40-V42,""))</f>
        <v/>
      </c>
      <c r="W44" s="20">
        <f>IF(OR(W35="",W36="",W38="",W40="",W42=""),"",IFERROR(W35-W36-W38-W40-W42,""))</f>
        <v/>
      </c>
      <c r="X44" s="20">
        <f>IF(OR(X35="",X36="",X38="",X40="",X42=""),"",IFERROR(X35-X36-X38-X40-X42,""))</f>
        <v/>
      </c>
      <c r="Y44" s="19" t="n"/>
      <c r="Z44" s="20" t="n"/>
      <c r="AA44" s="20" t="n"/>
      <c r="AB44" s="20" t="n"/>
      <c r="AC44" s="20" t="n"/>
    </row>
    <row r="45">
      <c r="A45" s="13" t="inlineStr">
        <is>
          <t>% of Sales</t>
        </is>
      </c>
      <c r="B45" s="10" t="n"/>
      <c r="C45" s="14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4">
        <f>IF(OR(O44="",O4=""),"",IFERROR(O44/O4,""))</f>
        <v/>
      </c>
      <c r="P45" s="15">
        <f>IF(OR(P44="",P4=""),"",IFERROR(P44/P4,""))</f>
        <v/>
      </c>
      <c r="Q45" s="15">
        <f>IF(OR(Q44="",Q4=""),"",IFERROR(Q44/Q4,""))</f>
        <v/>
      </c>
      <c r="R45" s="15">
        <f>IF(OR(R44="",R4=""),"",IFERROR(R44/R4,""))</f>
        <v/>
      </c>
      <c r="S45" s="15">
        <f>IF(OR(S44="",S4=""),"",IFERROR(S44/S4,""))</f>
        <v/>
      </c>
      <c r="T45" s="15">
        <f>IF(OR(T44="",T4=""),"",IFERROR(T44/T4,""))</f>
        <v/>
      </c>
      <c r="U45" s="15">
        <f>IF(OR(U44="",U4=""),"",IFERROR(U44/U4,""))</f>
        <v/>
      </c>
      <c r="V45" s="15">
        <f>IF(OR(V44="",V4=""),"",IFERROR(V44/V4,""))</f>
        <v/>
      </c>
      <c r="W45" s="15">
        <f>IF(OR(W44="",W4=""),"",IFERROR(W44/W4,""))</f>
        <v/>
      </c>
      <c r="X45" s="15">
        <f>IF(OR(X44="",X4=""),"",IFERROR(X44/X4,""))</f>
        <v/>
      </c>
      <c r="Y45" s="14" t="n"/>
      <c r="Z45" s="15" t="n"/>
      <c r="AA45" s="15" t="n"/>
      <c r="AB45" s="15" t="n"/>
      <c r="AC45" s="15" t="n"/>
    </row>
    <row r="46">
      <c r="A46" s="16" t="inlineStr">
        <is>
          <t>당기순이익 추정</t>
        </is>
      </c>
      <c r="B46" s="16" t="n"/>
      <c r="C46" s="17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7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7" t="n"/>
      <c r="Z46" s="16" t="n"/>
      <c r="AA46" s="16" t="n"/>
      <c r="AB46" s="16" t="n"/>
      <c r="AC46" s="16" t="n"/>
    </row>
    <row r="47">
      <c r="A47" s="18" t="inlineStr">
        <is>
          <t>특별이익</t>
        </is>
      </c>
      <c r="B47" s="10" t="n"/>
      <c r="C47" s="19" t="n">
        <v>278</v>
      </c>
      <c r="D47" s="20" t="n">
        <v>0</v>
      </c>
      <c r="E47" s="20" t="n">
        <v>592</v>
      </c>
      <c r="F47" s="20" t="n">
        <v>0</v>
      </c>
      <c r="G47" s="20" t="n">
        <v>444</v>
      </c>
      <c r="H47" s="20" t="n">
        <v>197</v>
      </c>
      <c r="I47" s="20" t="n">
        <v>1284</v>
      </c>
      <c r="J47" s="20" t="n">
        <v>0</v>
      </c>
      <c r="K47" s="20" t="n">
        <v>1361</v>
      </c>
      <c r="L47" s="20" t="n">
        <v>670</v>
      </c>
      <c r="M47" s="20" t="n">
        <v>0</v>
      </c>
      <c r="N47" s="20" t="n">
        <v>0</v>
      </c>
      <c r="O47" s="19" t="n">
        <v>47</v>
      </c>
      <c r="P47" s="20" t="n">
        <v>24</v>
      </c>
      <c r="Q47" s="20" t="n">
        <v>19</v>
      </c>
      <c r="R47" s="20" t="n">
        <v>0</v>
      </c>
      <c r="S47" s="20" t="n">
        <v>0</v>
      </c>
      <c r="T47" s="20" t="n">
        <v>115</v>
      </c>
      <c r="U47" s="20" t="n">
        <v>133</v>
      </c>
      <c r="V47" s="20" t="n">
        <v>1421</v>
      </c>
      <c r="W47" s="20" t="n">
        <v>1233</v>
      </c>
      <c r="X47" s="20" t="n">
        <v>3315</v>
      </c>
      <c r="Y47" s="19">
        <f>IF(OR(Y4="",Y48=""),"",IFERROR(Y4*Y48,""))</f>
        <v/>
      </c>
      <c r="Z47" s="20">
        <f>IF(OR(Z4="",Z48=""),"",IFERROR(Z4*Z48,""))</f>
        <v/>
      </c>
      <c r="AA47" s="20">
        <f>IF(OR(AA4="",AA48=""),"",IFERROR(AA4*AA48,""))</f>
        <v/>
      </c>
      <c r="AB47" s="20">
        <f>IF(OR(AB4="",AB48=""),"",IFERROR(AB4*AB48,""))</f>
        <v/>
      </c>
      <c r="AC47" s="20">
        <f>IF(OR(AC4="",AC48=""),"",IFERROR(AC4*AC48,""))</f>
        <v/>
      </c>
    </row>
    <row r="48">
      <c r="A48" s="13" t="inlineStr">
        <is>
          <t>% of Sales</t>
        </is>
      </c>
      <c r="B48" s="10" t="inlineStr">
        <is>
          <t>MW = 최근 3년 평균</t>
        </is>
      </c>
      <c r="C48" s="14">
        <f>IF(OR(C47="",C4=""),"",IFERROR(C47/C4,""))</f>
        <v/>
      </c>
      <c r="D48" s="15">
        <f>IF(OR(D47="",D4=""),"",IFERROR(D47/D4,""))</f>
        <v/>
      </c>
      <c r="E48" s="15">
        <f>IF(OR(E47="",E4=""),"",IFERROR(E47/E4,""))</f>
        <v/>
      </c>
      <c r="F48" s="15">
        <f>IF(OR(F47="",F4=""),"",IFERROR(F47/F4,""))</f>
        <v/>
      </c>
      <c r="G48" s="15">
        <f>IF(OR(G47="",G4=""),"",IFERROR(G47/G4,""))</f>
        <v/>
      </c>
      <c r="H48" s="15">
        <f>IF(OR(H47="",H4=""),"",IFERROR(H47/H4,""))</f>
        <v/>
      </c>
      <c r="I48" s="15">
        <f>IF(OR(I47="",I4=""),"",IFERROR(I47/I4,""))</f>
        <v/>
      </c>
      <c r="J48" s="15">
        <f>IF(OR(J47="",J4=""),"",IFERROR(J47/J4,""))</f>
        <v/>
      </c>
      <c r="K48" s="15">
        <f>IF(OR(K47="",K4=""),"",IFERROR(K47/K4,""))</f>
        <v/>
      </c>
      <c r="L48" s="15">
        <f>IF(OR(L47="",L4=""),"",IFERROR(L47/L4,""))</f>
        <v/>
      </c>
      <c r="M48" s="15">
        <f>IF(OR(M47="",M4=""),"",IFERROR(M47/M4,""))</f>
        <v/>
      </c>
      <c r="N48" s="15">
        <f>IF(OR(N47="",N4=""),"",IFERROR(N47/N4,""))</f>
        <v/>
      </c>
      <c r="O48" s="14">
        <f>IF(OR(O47="",O4=""),"",IFERROR(O47/O4,""))</f>
        <v/>
      </c>
      <c r="P48" s="15">
        <f>IF(OR(P47="",P4=""),"",IFERROR(P47/P4,""))</f>
        <v/>
      </c>
      <c r="Q48" s="15">
        <f>IF(OR(Q47="",Q4=""),"",IFERROR(Q47/Q4,""))</f>
        <v/>
      </c>
      <c r="R48" s="15">
        <f>IF(OR(R47="",R4=""),"",IFERROR(R47/R4,""))</f>
        <v/>
      </c>
      <c r="S48" s="15">
        <f>IF(OR(S47="",S4=""),"",IFERROR(S47/S4,""))</f>
        <v/>
      </c>
      <c r="T48" s="15">
        <f>IF(OR(T47="",T4=""),"",IFERROR(T47/T4,""))</f>
        <v/>
      </c>
      <c r="U48" s="15">
        <f>IF(OR(U47="",U4=""),"",IFERROR(U47/U4,""))</f>
        <v/>
      </c>
      <c r="V48" s="15">
        <f>IF(OR(V47="",V4=""),"",IFERROR(V47/V4,""))</f>
        <v/>
      </c>
      <c r="W48" s="15">
        <f>IF(OR(W47="",W4=""),"",IFERROR(W47/W4,""))</f>
        <v/>
      </c>
      <c r="X48" s="15">
        <f>IF(OR(X47="",X4=""),"",IFERROR(X47/X4,""))</f>
        <v/>
      </c>
      <c r="Y48" s="25">
        <f>IFERROR(AVERAGE(V48,W48,X48),"")</f>
        <v/>
      </c>
      <c r="Z48" s="26">
        <f>Y48</f>
        <v/>
      </c>
      <c r="AA48" s="26">
        <f>Z48</f>
        <v/>
      </c>
      <c r="AB48" s="26">
        <f>AA48</f>
        <v/>
      </c>
      <c r="AC48" s="26">
        <f>AB48</f>
        <v/>
      </c>
    </row>
    <row r="49">
      <c r="A49" s="18" t="inlineStr">
        <is>
          <t>특별손실</t>
        </is>
      </c>
      <c r="B49" s="10" t="n"/>
      <c r="C49" s="19" t="n"/>
      <c r="D49" s="20" t="n"/>
      <c r="E49" s="20" t="n"/>
      <c r="F49" s="20" t="n"/>
      <c r="G49" s="20" t="n"/>
      <c r="H49" s="20" t="n"/>
      <c r="I49" s="20" t="n"/>
      <c r="J49" s="20" t="n"/>
      <c r="K49" s="20" t="n"/>
      <c r="L49" s="20" t="n"/>
      <c r="M49" s="20" t="n"/>
      <c r="N49" s="20" t="n"/>
      <c r="O49" s="19" t="n">
        <v>0</v>
      </c>
      <c r="P49" s="20" t="n">
        <v>17</v>
      </c>
      <c r="Q49" s="20" t="n">
        <v>0</v>
      </c>
      <c r="R49" s="20" t="n">
        <v>174</v>
      </c>
      <c r="S49" s="20" t="n">
        <v>38</v>
      </c>
      <c r="T49" s="20" t="n">
        <v>15</v>
      </c>
      <c r="U49" s="20" t="n">
        <v>8</v>
      </c>
      <c r="V49" s="20" t="n">
        <v>6</v>
      </c>
      <c r="W49" s="20" t="n">
        <v>14</v>
      </c>
      <c r="X49" s="20" t="n">
        <v>0</v>
      </c>
      <c r="Y49" s="19">
        <f>IF(OR(Y4="",Y50=""),"",IFERROR(Y4*Y50,""))</f>
        <v/>
      </c>
      <c r="Z49" s="20">
        <f>IF(OR(Z4="",Z50=""),"",IFERROR(Z4*Z50,""))</f>
        <v/>
      </c>
      <c r="AA49" s="20">
        <f>IF(OR(AA4="",AA50=""),"",IFERROR(AA4*AA50,""))</f>
        <v/>
      </c>
      <c r="AB49" s="20">
        <f>IF(OR(AB4="",AB50=""),"",IFERROR(AB4*AB50,""))</f>
        <v/>
      </c>
      <c r="AC49" s="20">
        <f>IF(OR(AC4="",AC50=""),"",IFERROR(AC4*AC50,""))</f>
        <v/>
      </c>
    </row>
    <row r="50">
      <c r="A50" s="13" t="inlineStr">
        <is>
          <t>% of Sales</t>
        </is>
      </c>
      <c r="B50" s="10" t="n"/>
      <c r="C50" s="14">
        <f>IF(OR(C49="",C4=""),"",IFERROR(C49/C4,""))</f>
        <v/>
      </c>
      <c r="D50" s="15">
        <f>IF(OR(D49="",D4=""),"",IFERROR(D49/D4,""))</f>
        <v/>
      </c>
      <c r="E50" s="15">
        <f>IF(OR(E49="",E4=""),"",IFERROR(E49/E4,""))</f>
        <v/>
      </c>
      <c r="F50" s="15">
        <f>IF(OR(F49="",F4=""),"",IFERROR(F49/F4,""))</f>
        <v/>
      </c>
      <c r="G50" s="15">
        <f>IF(OR(G49="",G4=""),"",IFERROR(G49/G4,""))</f>
        <v/>
      </c>
      <c r="H50" s="15">
        <f>IF(OR(H49="",H4=""),"",IFERROR(H49/H4,""))</f>
        <v/>
      </c>
      <c r="I50" s="15">
        <f>IF(OR(I49="",I4=""),"",IFERROR(I49/I4,""))</f>
        <v/>
      </c>
      <c r="J50" s="15">
        <f>IF(OR(J49="",J4=""),"",IFERROR(J49/J4,""))</f>
        <v/>
      </c>
      <c r="K50" s="15">
        <f>IF(OR(K49="",K4=""),"",IFERROR(K49/K4,""))</f>
        <v/>
      </c>
      <c r="L50" s="15">
        <f>IF(OR(L49="",L4=""),"",IFERROR(L49/L4,""))</f>
        <v/>
      </c>
      <c r="M50" s="15">
        <f>IF(OR(M49="",M4=""),"",IFERROR(M49/M4,""))</f>
        <v/>
      </c>
      <c r="N50" s="15">
        <f>IF(OR(N49="",N4=""),"",IFERROR(N49/N4,""))</f>
        <v/>
      </c>
      <c r="O50" s="14">
        <f>IF(OR(O49="",O4=""),"",IFERROR(O49/O4,""))</f>
        <v/>
      </c>
      <c r="P50" s="15">
        <f>IF(OR(P49="",P4=""),"",IFERROR(P49/P4,""))</f>
        <v/>
      </c>
      <c r="Q50" s="15">
        <f>IF(OR(Q49="",Q4=""),"",IFERROR(Q49/Q4,""))</f>
        <v/>
      </c>
      <c r="R50" s="15">
        <f>IF(OR(R49="",R4=""),"",IFERROR(R49/R4,""))</f>
        <v/>
      </c>
      <c r="S50" s="15">
        <f>IF(OR(S49="",S4=""),"",IFERROR(S49/S4,""))</f>
        <v/>
      </c>
      <c r="T50" s="15">
        <f>IF(OR(T49="",T4=""),"",IFERROR(T49/T4,""))</f>
        <v/>
      </c>
      <c r="U50" s="15">
        <f>IF(OR(U49="",U4=""),"",IFERROR(U49/U4,""))</f>
        <v/>
      </c>
      <c r="V50" s="15">
        <f>IF(OR(V49="",V4=""),"",IFERROR(V49/V4,""))</f>
        <v/>
      </c>
      <c r="W50" s="15">
        <f>IF(OR(W49="",W4=""),"",IFERROR(W49/W4,""))</f>
        <v/>
      </c>
      <c r="X50" s="15">
        <f>IF(OR(X49="",X4=""),"",IFERROR(X49/X4,""))</f>
        <v/>
      </c>
      <c r="Y50" s="25">
        <f>IFERROR(AVERAGE(V50,W50,X50),"")</f>
        <v/>
      </c>
      <c r="Z50" s="26">
        <f>Y50</f>
        <v/>
      </c>
      <c r="AA50" s="26">
        <f>Z50</f>
        <v/>
      </c>
      <c r="AB50" s="26">
        <f>AA50</f>
        <v/>
      </c>
      <c r="AC50" s="26">
        <f>AB50</f>
        <v/>
      </c>
    </row>
    <row r="51">
      <c r="A51" s="18" t="inlineStr">
        <is>
          <t>영업외수익</t>
        </is>
      </c>
      <c r="B51" s="10" t="n"/>
      <c r="C51" s="19" t="n">
        <v>109</v>
      </c>
      <c r="D51" s="20" t="n">
        <v>25</v>
      </c>
      <c r="E51" s="20" t="n">
        <v>156</v>
      </c>
      <c r="F51" s="20" t="n">
        <v>30</v>
      </c>
      <c r="G51" s="20" t="n">
        <v>112</v>
      </c>
      <c r="H51" s="20" t="n">
        <v>50</v>
      </c>
      <c r="I51" s="20" t="n">
        <v>157</v>
      </c>
      <c r="J51" s="20" t="n">
        <v>15</v>
      </c>
      <c r="K51" s="20" t="n">
        <v>104</v>
      </c>
      <c r="L51" s="20" t="n">
        <v>41</v>
      </c>
      <c r="M51" s="20" t="n">
        <v>130</v>
      </c>
      <c r="N51" s="20" t="n">
        <v>29</v>
      </c>
      <c r="O51" s="19" t="n">
        <v>192</v>
      </c>
      <c r="P51" s="20" t="n">
        <v>183</v>
      </c>
      <c r="Q51" s="20" t="n">
        <v>222</v>
      </c>
      <c r="R51" s="20" t="n">
        <v>237</v>
      </c>
      <c r="S51" s="20" t="n">
        <v>238</v>
      </c>
      <c r="T51" s="20" t="n">
        <v>276</v>
      </c>
      <c r="U51" s="20" t="n">
        <v>320</v>
      </c>
      <c r="V51" s="20" t="n">
        <v>321</v>
      </c>
      <c r="W51" s="20" t="n">
        <v>348</v>
      </c>
      <c r="X51" s="20" t="n">
        <v>317</v>
      </c>
      <c r="Y51" s="19">
        <f>IF(OR(Y4="",Y52=""),"",IFERROR(Y4*Y52,""))</f>
        <v/>
      </c>
      <c r="Z51" s="20">
        <f>IF(OR(Z4="",Z52=""),"",IFERROR(Z4*Z52,""))</f>
        <v/>
      </c>
      <c r="AA51" s="20">
        <f>IF(OR(AA4="",AA52=""),"",IFERROR(AA4*AA52,""))</f>
        <v/>
      </c>
      <c r="AB51" s="20">
        <f>IF(OR(AB4="",AB52=""),"",IFERROR(AB4*AB52,""))</f>
        <v/>
      </c>
      <c r="AC51" s="20">
        <f>IF(OR(AC4="",AC52=""),"",IFERROR(AC4*AC52,""))</f>
        <v/>
      </c>
    </row>
    <row r="52">
      <c r="A52" s="13" t="inlineStr">
        <is>
          <t>% of Sales</t>
        </is>
      </c>
      <c r="B52" s="10" t="n"/>
      <c r="C52" s="14">
        <f>IF(OR(C51="",C4=""),"",IFERROR(C51/C4,""))</f>
        <v/>
      </c>
      <c r="D52" s="15">
        <f>IF(OR(D51="",D4=""),"",IFERROR(D51/D4,""))</f>
        <v/>
      </c>
      <c r="E52" s="15">
        <f>IF(OR(E51="",E4=""),"",IFERROR(E51/E4,""))</f>
        <v/>
      </c>
      <c r="F52" s="15">
        <f>IF(OR(F51="",F4=""),"",IFERROR(F51/F4,""))</f>
        <v/>
      </c>
      <c r="G52" s="15">
        <f>IF(OR(G51="",G4=""),"",IFERROR(G51/G4,""))</f>
        <v/>
      </c>
      <c r="H52" s="15">
        <f>IF(OR(H51="",H4=""),"",IFERROR(H51/H4,""))</f>
        <v/>
      </c>
      <c r="I52" s="15">
        <f>IF(OR(I51="",I4=""),"",IFERROR(I51/I4,""))</f>
        <v/>
      </c>
      <c r="J52" s="15">
        <f>IF(OR(J51="",J4=""),"",IFERROR(J51/J4,""))</f>
        <v/>
      </c>
      <c r="K52" s="15">
        <f>IF(OR(K51="",K4=""),"",IFERROR(K51/K4,""))</f>
        <v/>
      </c>
      <c r="L52" s="15">
        <f>IF(OR(L51="",L4=""),"",IFERROR(L51/L4,""))</f>
        <v/>
      </c>
      <c r="M52" s="15">
        <f>IF(OR(M51="",M4=""),"",IFERROR(M51/M4,""))</f>
        <v/>
      </c>
      <c r="N52" s="15">
        <f>IF(OR(N51="",N4=""),"",IFERROR(N51/N4,""))</f>
        <v/>
      </c>
      <c r="O52" s="14">
        <f>IF(OR(O51="",O4=""),"",IFERROR(O51/O4,""))</f>
        <v/>
      </c>
      <c r="P52" s="15">
        <f>IF(OR(P51="",P4=""),"",IFERROR(P51/P4,""))</f>
        <v/>
      </c>
      <c r="Q52" s="15">
        <f>IF(OR(Q51="",Q4=""),"",IFERROR(Q51/Q4,""))</f>
        <v/>
      </c>
      <c r="R52" s="15">
        <f>IF(OR(R51="",R4=""),"",IFERROR(R51/R4,""))</f>
        <v/>
      </c>
      <c r="S52" s="15">
        <f>IF(OR(S51="",S4=""),"",IFERROR(S51/S4,""))</f>
        <v/>
      </c>
      <c r="T52" s="15">
        <f>IF(OR(T51="",T4=""),"",IFERROR(T51/T4,""))</f>
        <v/>
      </c>
      <c r="U52" s="15">
        <f>IF(OR(U51="",U4=""),"",IFERROR(U51/U4,""))</f>
        <v/>
      </c>
      <c r="V52" s="15">
        <f>IF(OR(V51="",V4=""),"",IFERROR(V51/V4,""))</f>
        <v/>
      </c>
      <c r="W52" s="15">
        <f>IF(OR(W51="",W4=""),"",IFERROR(W51/W4,""))</f>
        <v/>
      </c>
      <c r="X52" s="15">
        <f>IF(OR(X51="",X4=""),"",IFERROR(X51/X4,""))</f>
        <v/>
      </c>
      <c r="Y52" s="25">
        <f>IFERROR(AVERAGE(V52,W52,X52),"")</f>
        <v/>
      </c>
      <c r="Z52" s="26">
        <f>Y52</f>
        <v/>
      </c>
      <c r="AA52" s="26">
        <f>Z52</f>
        <v/>
      </c>
      <c r="AB52" s="26">
        <f>AA52</f>
        <v/>
      </c>
      <c r="AC52" s="26">
        <f>AB52</f>
        <v/>
      </c>
    </row>
    <row r="53">
      <c r="A53" s="18" t="inlineStr">
        <is>
          <t>영업외비용</t>
        </is>
      </c>
      <c r="B53" s="10" t="n"/>
      <c r="C53" s="19" t="n">
        <v>8</v>
      </c>
      <c r="D53" s="20" t="n">
        <v>33</v>
      </c>
      <c r="E53" s="20" t="n">
        <v>16</v>
      </c>
      <c r="F53" s="20" t="n">
        <v>15</v>
      </c>
      <c r="G53" s="20" t="n">
        <v>49</v>
      </c>
      <c r="H53" s="20" t="n">
        <v>0</v>
      </c>
      <c r="I53" s="20" t="n">
        <v>38</v>
      </c>
      <c r="J53" s="20" t="n">
        <v>36</v>
      </c>
      <c r="K53" s="20" t="n">
        <v>4</v>
      </c>
      <c r="L53" s="20" t="n">
        <v>7</v>
      </c>
      <c r="M53" s="20" t="n">
        <v>29</v>
      </c>
      <c r="N53" s="20" t="n">
        <v>16</v>
      </c>
      <c r="O53" s="19" t="n">
        <v>47</v>
      </c>
      <c r="P53" s="20" t="n">
        <v>77</v>
      </c>
      <c r="Q53" s="20" t="n">
        <v>52</v>
      </c>
      <c r="R53" s="20" t="n">
        <v>73</v>
      </c>
      <c r="S53" s="20" t="n">
        <v>62</v>
      </c>
      <c r="T53" s="20" t="n">
        <v>46</v>
      </c>
      <c r="U53" s="20" t="n">
        <v>55</v>
      </c>
      <c r="V53" s="20" t="n">
        <v>84</v>
      </c>
      <c r="W53" s="20" t="n">
        <v>80</v>
      </c>
      <c r="X53" s="20" t="n">
        <v>85</v>
      </c>
      <c r="Y53" s="19">
        <f>IF(OR(Y4="",Y54=""),"",IFERROR(Y4*Y54,""))</f>
        <v/>
      </c>
      <c r="Z53" s="20">
        <f>IF(OR(Z4="",Z54=""),"",IFERROR(Z4*Z54,""))</f>
        <v/>
      </c>
      <c r="AA53" s="20">
        <f>IF(OR(AA4="",AA54=""),"",IFERROR(AA4*AA54,""))</f>
        <v/>
      </c>
      <c r="AB53" s="20">
        <f>IF(OR(AB4="",AB54=""),"",IFERROR(AB4*AB54,""))</f>
        <v/>
      </c>
      <c r="AC53" s="20">
        <f>IF(OR(AC4="",AC54=""),"",IFERROR(AC4*AC54,""))</f>
        <v/>
      </c>
    </row>
    <row r="54">
      <c r="A54" s="13" t="inlineStr">
        <is>
          <t>% of Sales</t>
        </is>
      </c>
      <c r="B54" s="10" t="n"/>
      <c r="C54" s="14">
        <f>IF(OR(C53="",C4=""),"",IFERROR(C53/C4,""))</f>
        <v/>
      </c>
      <c r="D54" s="15">
        <f>IF(OR(D53="",D4=""),"",IFERROR(D53/D4,""))</f>
        <v/>
      </c>
      <c r="E54" s="15">
        <f>IF(OR(E53="",E4=""),"",IFERROR(E53/E4,""))</f>
        <v/>
      </c>
      <c r="F54" s="15">
        <f>IF(OR(F53="",F4=""),"",IFERROR(F53/F4,""))</f>
        <v/>
      </c>
      <c r="G54" s="15">
        <f>IF(OR(G53="",G4=""),"",IFERROR(G53/G4,""))</f>
        <v/>
      </c>
      <c r="H54" s="15">
        <f>IF(OR(H53="",H4=""),"",IFERROR(H53/H4,""))</f>
        <v/>
      </c>
      <c r="I54" s="15">
        <f>IF(OR(I53="",I4=""),"",IFERROR(I53/I4,""))</f>
        <v/>
      </c>
      <c r="J54" s="15">
        <f>IF(OR(J53="",J4=""),"",IFERROR(J53/J4,""))</f>
        <v/>
      </c>
      <c r="K54" s="15">
        <f>IF(OR(K53="",K4=""),"",IFERROR(K53/K4,""))</f>
        <v/>
      </c>
      <c r="L54" s="15">
        <f>IF(OR(L53="",L4=""),"",IFERROR(L53/L4,""))</f>
        <v/>
      </c>
      <c r="M54" s="15">
        <f>IF(OR(M53="",M4=""),"",IFERROR(M53/M4,""))</f>
        <v/>
      </c>
      <c r="N54" s="15">
        <f>IF(OR(N53="",N4=""),"",IFERROR(N53/N4,""))</f>
        <v/>
      </c>
      <c r="O54" s="14">
        <f>IF(OR(O53="",O4=""),"",IFERROR(O53/O4,""))</f>
        <v/>
      </c>
      <c r="P54" s="15">
        <f>IF(OR(P53="",P4=""),"",IFERROR(P53/P4,""))</f>
        <v/>
      </c>
      <c r="Q54" s="15">
        <f>IF(OR(Q53="",Q4=""),"",IFERROR(Q53/Q4,""))</f>
        <v/>
      </c>
      <c r="R54" s="15">
        <f>IF(OR(R53="",R4=""),"",IFERROR(R53/R4,""))</f>
        <v/>
      </c>
      <c r="S54" s="15">
        <f>IF(OR(S53="",S4=""),"",IFERROR(S53/S4,""))</f>
        <v/>
      </c>
      <c r="T54" s="15">
        <f>IF(OR(T53="",T4=""),"",IFERROR(T53/T4,""))</f>
        <v/>
      </c>
      <c r="U54" s="15">
        <f>IF(OR(U53="",U4=""),"",IFERROR(U53/U4,""))</f>
        <v/>
      </c>
      <c r="V54" s="15">
        <f>IF(OR(V53="",V4=""),"",IFERROR(V53/V4,""))</f>
        <v/>
      </c>
      <c r="W54" s="15">
        <f>IF(OR(W53="",W4=""),"",IFERROR(W53/W4,""))</f>
        <v/>
      </c>
      <c r="X54" s="15">
        <f>IF(OR(X53="",X4=""),"",IFERROR(X53/X4,""))</f>
        <v/>
      </c>
      <c r="Y54" s="25">
        <f>IFERROR(AVERAGE(V54,W54,X54),"")</f>
        <v/>
      </c>
      <c r="Z54" s="26">
        <f>Y54</f>
        <v/>
      </c>
      <c r="AA54" s="26">
        <f>Z54</f>
        <v/>
      </c>
      <c r="AB54" s="26">
        <f>AA54</f>
        <v/>
      </c>
      <c r="AC54" s="26">
        <f>AB54</f>
        <v/>
      </c>
    </row>
    <row r="55">
      <c r="A55" s="9" t="inlineStr">
        <is>
          <t>법인세비용차감전순이익(손실)</t>
        </is>
      </c>
      <c r="B55" s="10" t="n"/>
      <c r="C55" s="11" t="n">
        <v>189</v>
      </c>
      <c r="D55" s="12" t="n">
        <v>1903</v>
      </c>
      <c r="E55" s="12" t="n">
        <v>50</v>
      </c>
      <c r="F55" s="12" t="n">
        <v>775</v>
      </c>
      <c r="G55" s="12" t="n">
        <v>704</v>
      </c>
      <c r="H55" s="12" t="n">
        <v>2693</v>
      </c>
      <c r="I55" s="12" t="n">
        <v>1032</v>
      </c>
      <c r="J55" s="12" t="n">
        <v>514</v>
      </c>
      <c r="K55" s="12" t="n">
        <v>1915</v>
      </c>
      <c r="L55" s="12" t="n">
        <v>2965</v>
      </c>
      <c r="M55" s="12" t="n">
        <v>-108</v>
      </c>
      <c r="N55" s="12" t="n">
        <v>509</v>
      </c>
      <c r="O55" s="11" t="n">
        <v>967</v>
      </c>
      <c r="P55" s="12" t="n">
        <v>1294</v>
      </c>
      <c r="Q55" s="12" t="n">
        <v>1177</v>
      </c>
      <c r="R55" s="12" t="n">
        <v>1701</v>
      </c>
      <c r="S55" s="12" t="n">
        <v>527</v>
      </c>
      <c r="T55" s="12" t="n">
        <v>1594</v>
      </c>
      <c r="U55" s="12" t="n">
        <v>1699</v>
      </c>
      <c r="V55" s="12" t="n">
        <v>3129</v>
      </c>
      <c r="W55" s="12" t="n">
        <v>4222</v>
      </c>
      <c r="X55" s="12" t="n">
        <v>6426</v>
      </c>
      <c r="Y55" s="11">
        <f>IF(OR(Y31=""),"",IFERROR(Y31+N(Y47)-N(Y49)+N(Y51)-N(Y53),""))</f>
        <v/>
      </c>
      <c r="Z55" s="12">
        <f>IF(OR(Z31=""),"",IFERROR(Z31+N(Z47)-N(Z49)+N(Z51)-N(Z53),""))</f>
        <v/>
      </c>
      <c r="AA55" s="12">
        <f>IF(OR(AA31=""),"",IFERROR(AA31+N(AA47)-N(AA49)+N(AA51)-N(AA53),""))</f>
        <v/>
      </c>
      <c r="AB55" s="12">
        <f>IF(OR(AB31=""),"",IFERROR(AB31+N(AB47)-N(AB49)+N(AB51)-N(AB53),""))</f>
        <v/>
      </c>
      <c r="AC55" s="12">
        <f>IF(OR(AC31=""),"",IFERROR(AC31+N(AC47)-N(AC49)+N(AC51)-N(AC53),""))</f>
        <v/>
      </c>
    </row>
    <row r="56">
      <c r="A56" s="13" t="inlineStr">
        <is>
          <t>YoY</t>
        </is>
      </c>
      <c r="B56" s="10" t="n"/>
      <c r="C56" s="14" t="n"/>
      <c r="D56" s="15" t="n"/>
      <c r="E56" s="15" t="n"/>
      <c r="F56" s="15" t="n"/>
      <c r="G56" s="15">
        <f>IF(OR(G55="",C55=""),"",IF(C55&lt;=0,"",IFERROR(G55/C55-1,"")))</f>
        <v/>
      </c>
      <c r="H56" s="15">
        <f>IF(OR(H55="",D55=""),"",IF(D55&lt;=0,"",IFERROR(H55/D55-1,"")))</f>
        <v/>
      </c>
      <c r="I56" s="15">
        <f>IF(OR(I55="",E55=""),"",IF(E55&lt;=0,"",IFERROR(I55/E55-1,"")))</f>
        <v/>
      </c>
      <c r="J56" s="15">
        <f>IF(OR(J55="",F55=""),"",IF(F55&lt;=0,"",IFERROR(J55/F55-1,"")))</f>
        <v/>
      </c>
      <c r="K56" s="15">
        <f>IF(OR(K55="",G55=""),"",IF(G55&lt;=0,"",IFERROR(K55/G55-1,"")))</f>
        <v/>
      </c>
      <c r="L56" s="15">
        <f>IF(OR(L55="",H55=""),"",IF(H55&lt;=0,"",IFERROR(L55/H55-1,"")))</f>
        <v/>
      </c>
      <c r="M56" s="15">
        <f>IF(OR(M55="",I55=""),"",IF(I55&lt;=0,"",IFERROR(M55/I55-1,"")))</f>
        <v/>
      </c>
      <c r="N56" s="15">
        <f>IF(OR(N55="",J55=""),"",IF(J55&lt;=0,"",IFERROR(N55/J55-1,"")))</f>
        <v/>
      </c>
      <c r="O56" s="14" t="n"/>
      <c r="P56" s="15">
        <f>IF(OR(P55="",O55=""),"",IF(O55&lt;=0,"",IFERROR(P55/O55-1,"")))</f>
        <v/>
      </c>
      <c r="Q56" s="15">
        <f>IF(OR(Q55="",P55=""),"",IF(P55&lt;=0,"",IFERROR(Q55/P55-1,"")))</f>
        <v/>
      </c>
      <c r="R56" s="15">
        <f>IF(OR(R55="",Q55=""),"",IF(Q55&lt;=0,"",IFERROR(R55/Q55-1,"")))</f>
        <v/>
      </c>
      <c r="S56" s="15">
        <f>IF(OR(S55="",R55=""),"",IF(R55&lt;=0,"",IFERROR(S55/R55-1,"")))</f>
        <v/>
      </c>
      <c r="T56" s="15">
        <f>IF(OR(T55="",S55=""),"",IF(S55&lt;=0,"",IFERROR(T55/S55-1,"")))</f>
        <v/>
      </c>
      <c r="U56" s="15">
        <f>IF(OR(U55="",T55=""),"",IF(T55&lt;=0,"",IFERROR(U55/T55-1,"")))</f>
        <v/>
      </c>
      <c r="V56" s="15">
        <f>IF(OR(V55="",U55=""),"",IF(U55&lt;=0,"",IFERROR(V55/U55-1,"")))</f>
        <v/>
      </c>
      <c r="W56" s="15">
        <f>IF(OR(W55="",V55=""),"",IF(V55&lt;=0,"",IFERROR(W55/V55-1,"")))</f>
        <v/>
      </c>
      <c r="X56" s="15">
        <f>IF(OR(X55="",W55=""),"",IF(W55&lt;=0,"",IFERROR(X55/W55-1,"")))</f>
        <v/>
      </c>
      <c r="Y56" s="14">
        <f>IF(OR(Y55="",X55=""),"",IF(X55&lt;=0,"",IFERROR(Y55/X55-1,"")))</f>
        <v/>
      </c>
      <c r="Z56" s="15">
        <f>IF(OR(Z55="",Y55=""),"",IF(Y55&lt;=0,"",IFERROR(Z55/Y55-1,"")))</f>
        <v/>
      </c>
      <c r="AA56" s="15">
        <f>IF(OR(AA55="",Z55=""),"",IF(Z55&lt;=0,"",IFERROR(AA55/Z55-1,"")))</f>
        <v/>
      </c>
      <c r="AB56" s="15">
        <f>IF(OR(AB55="",AA55=""),"",IF(AA55&lt;=0,"",IFERROR(AB55/AA55-1,"")))</f>
        <v/>
      </c>
      <c r="AC56" s="15">
        <f>IF(OR(AC55="",AB55=""),"",IF(AB55&lt;=0,"",IFERROR(AC55/AB55-1,"")))</f>
        <v/>
      </c>
    </row>
    <row r="57">
      <c r="A57" s="18" t="inlineStr">
        <is>
          <t>법인세비용(수익)</t>
        </is>
      </c>
      <c r="B57" s="10" t="n"/>
      <c r="C57" s="19" t="n">
        <v>88</v>
      </c>
      <c r="D57" s="20" t="n">
        <v>511</v>
      </c>
      <c r="E57" s="20" t="n">
        <v>60</v>
      </c>
      <c r="F57" s="20" t="n">
        <v>229</v>
      </c>
      <c r="G57" s="20" t="n">
        <v>201</v>
      </c>
      <c r="H57" s="20" t="n">
        <v>660</v>
      </c>
      <c r="I57" s="20" t="n">
        <v>358</v>
      </c>
      <c r="J57" s="20" t="n">
        <v>181</v>
      </c>
      <c r="K57" s="20" t="n">
        <v>597</v>
      </c>
      <c r="L57" s="20" t="n">
        <v>636</v>
      </c>
      <c r="M57" s="20" t="n">
        <v>-19</v>
      </c>
      <c r="N57" s="20" t="n">
        <v>175</v>
      </c>
      <c r="O57" s="19" t="n">
        <v>-33</v>
      </c>
      <c r="P57" s="20" t="n">
        <v>389</v>
      </c>
      <c r="Q57" s="20" t="n">
        <v>395</v>
      </c>
      <c r="R57" s="20" t="n">
        <v>542</v>
      </c>
      <c r="S57" s="20" t="n">
        <v>162</v>
      </c>
      <c r="T57" s="20" t="n">
        <v>164</v>
      </c>
      <c r="U57" s="20" t="n">
        <v>403</v>
      </c>
      <c r="V57" s="20" t="n">
        <v>912</v>
      </c>
      <c r="W57" s="20" t="n">
        <v>1150</v>
      </c>
      <c r="X57" s="20" t="n">
        <v>1772</v>
      </c>
      <c r="Y57" s="19">
        <f>IF(OR(Y55="",Y58=""),"",IFERROR(MAX(Y55,0)*Y58,""))</f>
        <v/>
      </c>
      <c r="Z57" s="20">
        <f>IF(OR(Z55="",Z58=""),"",IFERROR(MAX(Z55,0)*Z58,""))</f>
        <v/>
      </c>
      <c r="AA57" s="20">
        <f>IF(OR(AA55="",AA58=""),"",IFERROR(MAX(AA55,0)*AA58,""))</f>
        <v/>
      </c>
      <c r="AB57" s="20">
        <f>IF(OR(AB55="",AB58=""),"",IFERROR(MAX(AB55,0)*AB58,""))</f>
        <v/>
      </c>
      <c r="AC57" s="20">
        <f>IF(OR(AC55="",AC58=""),"",IFERROR(MAX(AC55,0)*AC58,""))</f>
        <v/>
      </c>
    </row>
    <row r="58">
      <c r="A58" s="13" t="inlineStr">
        <is>
          <t>법인세율</t>
        </is>
      </c>
      <c r="B58" s="10" t="inlineStr">
        <is>
          <t>MW 기본 30%</t>
        </is>
      </c>
      <c r="C58" s="14">
        <f>IF(OR(C57="",C55=""),"",IFERROR(C57/C55,""))</f>
        <v/>
      </c>
      <c r="D58" s="15">
        <f>IF(OR(D57="",D55=""),"",IFERROR(D57/D55,""))</f>
        <v/>
      </c>
      <c r="E58" s="15">
        <f>IF(OR(E57="",E55=""),"",IFERROR(E57/E55,""))</f>
        <v/>
      </c>
      <c r="F58" s="15">
        <f>IF(OR(F57="",F55=""),"",IFERROR(F57/F55,""))</f>
        <v/>
      </c>
      <c r="G58" s="15">
        <f>IF(OR(G57="",G55=""),"",IFERROR(G57/G55,""))</f>
        <v/>
      </c>
      <c r="H58" s="15">
        <f>IF(OR(H57="",H55=""),"",IFERROR(H57/H55,""))</f>
        <v/>
      </c>
      <c r="I58" s="15">
        <f>IF(OR(I57="",I55=""),"",IFERROR(I57/I55,""))</f>
        <v/>
      </c>
      <c r="J58" s="15">
        <f>IF(OR(J57="",J55=""),"",IFERROR(J57/J55,""))</f>
        <v/>
      </c>
      <c r="K58" s="15">
        <f>IF(OR(K57="",K55=""),"",IFERROR(K57/K55,""))</f>
        <v/>
      </c>
      <c r="L58" s="15">
        <f>IF(OR(L57="",L55=""),"",IFERROR(L57/L55,""))</f>
        <v/>
      </c>
      <c r="M58" s="15">
        <f>IF(OR(M57="",M55=""),"",IFERROR(M57/M55,""))</f>
        <v/>
      </c>
      <c r="N58" s="15">
        <f>IF(OR(N57="",N55=""),"",IFERROR(N57/N55,""))</f>
        <v/>
      </c>
      <c r="O58" s="14">
        <f>IF(OR(O57="",O55=""),"",IFERROR(O57/O55,""))</f>
        <v/>
      </c>
      <c r="P58" s="15">
        <f>IF(OR(P57="",P55=""),"",IFERROR(P57/P55,""))</f>
        <v/>
      </c>
      <c r="Q58" s="15">
        <f>IF(OR(Q57="",Q55=""),"",IFERROR(Q57/Q55,""))</f>
        <v/>
      </c>
      <c r="R58" s="15">
        <f>IF(OR(R57="",R55=""),"",IFERROR(R57/R55,""))</f>
        <v/>
      </c>
      <c r="S58" s="15">
        <f>IF(OR(S57="",S55=""),"",IFERROR(S57/S55,""))</f>
        <v/>
      </c>
      <c r="T58" s="15">
        <f>IF(OR(T57="",T55=""),"",IFERROR(T57/T55,""))</f>
        <v/>
      </c>
      <c r="U58" s="15">
        <f>IF(OR(U57="",U55=""),"",IFERROR(U57/U55,""))</f>
        <v/>
      </c>
      <c r="V58" s="15">
        <f>IF(OR(V57="",V55=""),"",IFERROR(V57/V55,""))</f>
        <v/>
      </c>
      <c r="W58" s="15">
        <f>IF(OR(W57="",W55=""),"",IFERROR(W57/W55,""))</f>
        <v/>
      </c>
      <c r="X58" s="15">
        <f>IF(OR(X57="",X55=""),"",IFERROR(X57/X55,""))</f>
        <v/>
      </c>
      <c r="Y58" s="25" t="n">
        <v>0.3</v>
      </c>
      <c r="Z58" s="26" t="n">
        <v>0.3</v>
      </c>
      <c r="AA58" s="26" t="n">
        <v>0.3</v>
      </c>
      <c r="AB58" s="26" t="n">
        <v>0.3</v>
      </c>
      <c r="AC58" s="26" t="n">
        <v>0.3</v>
      </c>
    </row>
    <row r="59">
      <c r="A59" s="9" t="inlineStr">
        <is>
          <t>당기순이익(손실)</t>
        </is>
      </c>
      <c r="B59" s="10" t="n"/>
      <c r="C59" s="11" t="n">
        <v>101</v>
      </c>
      <c r="D59" s="12" t="n">
        <v>1391</v>
      </c>
      <c r="E59" s="12" t="n">
        <v>-9</v>
      </c>
      <c r="F59" s="12" t="n">
        <v>544</v>
      </c>
      <c r="G59" s="12" t="n">
        <v>504</v>
      </c>
      <c r="H59" s="12" t="n">
        <v>2033</v>
      </c>
      <c r="I59" s="12" t="n">
        <v>673</v>
      </c>
      <c r="J59" s="12" t="n">
        <v>333</v>
      </c>
      <c r="K59" s="12" t="n">
        <v>1319</v>
      </c>
      <c r="L59" s="12" t="n">
        <v>2328</v>
      </c>
      <c r="M59" s="12" t="n">
        <v>-88</v>
      </c>
      <c r="N59" s="12" t="n">
        <v>332</v>
      </c>
      <c r="O59" s="11" t="n">
        <v>1000</v>
      </c>
      <c r="P59" s="12" t="n">
        <v>905</v>
      </c>
      <c r="Q59" s="12" t="n">
        <v>781</v>
      </c>
      <c r="R59" s="12" t="n">
        <v>1158</v>
      </c>
      <c r="S59" s="12" t="n">
        <v>364</v>
      </c>
      <c r="T59" s="12" t="n">
        <v>1429</v>
      </c>
      <c r="U59" s="12" t="n">
        <v>1295</v>
      </c>
      <c r="V59" s="12" t="n">
        <v>2216</v>
      </c>
      <c r="W59" s="12" t="n">
        <v>3072</v>
      </c>
      <c r="X59" s="12" t="n">
        <v>4653</v>
      </c>
      <c r="Y59" s="11">
        <f>IF(OR(Y55=""),"",IFERROR(Y55-Y57,""))</f>
        <v/>
      </c>
      <c r="Z59" s="12">
        <f>IF(OR(Z55=""),"",IFERROR(Z55-Z57,""))</f>
        <v/>
      </c>
      <c r="AA59" s="12">
        <f>IF(OR(AA55=""),"",IFERROR(AA55-AA57,""))</f>
        <v/>
      </c>
      <c r="AB59" s="12">
        <f>IF(OR(AB55=""),"",IFERROR(AB55-AB57,""))</f>
        <v/>
      </c>
      <c r="AC59" s="12">
        <f>IF(OR(AC55=""),"",IFERROR(AC55-AC57,""))</f>
        <v/>
      </c>
    </row>
    <row r="60">
      <c r="A60" s="13" t="inlineStr">
        <is>
          <t>YoY</t>
        </is>
      </c>
      <c r="B60" s="10" t="n"/>
      <c r="C60" s="14" t="n"/>
      <c r="D60" s="15" t="n"/>
      <c r="E60" s="15" t="n"/>
      <c r="F60" s="15" t="n"/>
      <c r="G60" s="15">
        <f>IF(OR(G59="",C59=""),"",IF(C59&lt;=0,"",IFERROR(G59/C59-1,"")))</f>
        <v/>
      </c>
      <c r="H60" s="15">
        <f>IF(OR(H59="",D59=""),"",IF(D59&lt;=0,"",IFERROR(H59/D59-1,"")))</f>
        <v/>
      </c>
      <c r="I60" s="15">
        <f>IF(OR(I59="",E59=""),"",IF(E59&lt;=0,"",IFERROR(I59/E59-1,"")))</f>
        <v/>
      </c>
      <c r="J60" s="15">
        <f>IF(OR(J59="",F59=""),"",IF(F59&lt;=0,"",IFERROR(J59/F59-1,"")))</f>
        <v/>
      </c>
      <c r="K60" s="15">
        <f>IF(OR(K59="",G59=""),"",IF(G59&lt;=0,"",IFERROR(K59/G59-1,"")))</f>
        <v/>
      </c>
      <c r="L60" s="15">
        <f>IF(OR(L59="",H59=""),"",IF(H59&lt;=0,"",IFERROR(L59/H59-1,"")))</f>
        <v/>
      </c>
      <c r="M60" s="15">
        <f>IF(OR(M59="",I59=""),"",IF(I59&lt;=0,"",IFERROR(M59/I59-1,"")))</f>
        <v/>
      </c>
      <c r="N60" s="15">
        <f>IF(OR(N59="",J59=""),"",IF(J59&lt;=0,"",IFERROR(N59/J59-1,"")))</f>
        <v/>
      </c>
      <c r="O60" s="14" t="n"/>
      <c r="P60" s="15">
        <f>IF(OR(P59="",O59=""),"",IF(O59&lt;=0,"",IFERROR(P59/O59-1,"")))</f>
        <v/>
      </c>
      <c r="Q60" s="15">
        <f>IF(OR(Q59="",P59=""),"",IF(P59&lt;=0,"",IFERROR(Q59/P59-1,"")))</f>
        <v/>
      </c>
      <c r="R60" s="15">
        <f>IF(OR(R59="",Q59=""),"",IF(Q59&lt;=0,"",IFERROR(R59/Q59-1,"")))</f>
        <v/>
      </c>
      <c r="S60" s="15">
        <f>IF(OR(S59="",R59=""),"",IF(R59&lt;=0,"",IFERROR(S59/R59-1,"")))</f>
        <v/>
      </c>
      <c r="T60" s="15">
        <f>IF(OR(T59="",S59=""),"",IF(S59&lt;=0,"",IFERROR(T59/S59-1,"")))</f>
        <v/>
      </c>
      <c r="U60" s="15">
        <f>IF(OR(U59="",T59=""),"",IF(T59&lt;=0,"",IFERROR(U59/T59-1,"")))</f>
        <v/>
      </c>
      <c r="V60" s="15">
        <f>IF(OR(V59="",U59=""),"",IF(U59&lt;=0,"",IFERROR(V59/U59-1,"")))</f>
        <v/>
      </c>
      <c r="W60" s="15">
        <f>IF(OR(W59="",V59=""),"",IF(V59&lt;=0,"",IFERROR(W59/V59-1,"")))</f>
        <v/>
      </c>
      <c r="X60" s="15">
        <f>IF(OR(X59="",W59=""),"",IF(W59&lt;=0,"",IFERROR(X59/W59-1,"")))</f>
        <v/>
      </c>
      <c r="Y60" s="14">
        <f>IF(OR(Y59="",X59=""),"",IF(X59&lt;=0,"",IFERROR(Y59/X59-1,"")))</f>
        <v/>
      </c>
      <c r="Z60" s="15">
        <f>IF(OR(Z59="",Y59=""),"",IF(Y59&lt;=0,"",IFERROR(Z59/Y59-1,"")))</f>
        <v/>
      </c>
      <c r="AA60" s="15">
        <f>IF(OR(AA59="",Z59=""),"",IF(Z59&lt;=0,"",IFERROR(AA59/Z59-1,"")))</f>
        <v/>
      </c>
      <c r="AB60" s="15">
        <f>IF(OR(AB59="",AA59=""),"",IF(AA59&lt;=0,"",IFERROR(AB59/AA59-1,"")))</f>
        <v/>
      </c>
      <c r="AC60" s="15">
        <f>IF(OR(AC59="",AB59=""),"",IF(AB59&lt;=0,"",IFERROR(AC59/AB59-1,"")))</f>
        <v/>
      </c>
    </row>
    <row r="61">
      <c r="A61" s="9" t="inlineStr">
        <is>
          <t>지배주주 순이익</t>
        </is>
      </c>
      <c r="B61" s="10" t="n"/>
      <c r="C61" s="11" t="n">
        <v>106</v>
      </c>
      <c r="D61" s="12" t="n">
        <v>1344</v>
      </c>
      <c r="E61" s="12" t="n">
        <v>-12</v>
      </c>
      <c r="F61" s="12" t="n">
        <v>530</v>
      </c>
      <c r="G61" s="12" t="n">
        <v>487</v>
      </c>
      <c r="H61" s="12" t="n">
        <v>1993</v>
      </c>
      <c r="I61" s="12" t="n">
        <v>704</v>
      </c>
      <c r="J61" s="12" t="n">
        <v>351</v>
      </c>
      <c r="K61" s="12" t="n">
        <v>1278</v>
      </c>
      <c r="L61" s="12" t="n">
        <v>2335</v>
      </c>
      <c r="M61" s="12" t="n">
        <v>-74</v>
      </c>
      <c r="N61" s="12" t="n">
        <v>359</v>
      </c>
      <c r="O61" s="11" t="n">
        <v>978</v>
      </c>
      <c r="P61" s="12" t="n">
        <v>864</v>
      </c>
      <c r="Q61" s="12" t="n">
        <v>754</v>
      </c>
      <c r="R61" s="12" t="n">
        <v>1120</v>
      </c>
      <c r="S61" s="12" t="n">
        <v>329</v>
      </c>
      <c r="T61" s="12" t="n">
        <v>1360</v>
      </c>
      <c r="U61" s="12" t="n">
        <v>1231</v>
      </c>
      <c r="V61" s="12" t="n">
        <v>2197</v>
      </c>
      <c r="W61" s="12" t="n">
        <v>2998</v>
      </c>
      <c r="X61" s="12" t="n">
        <v>4668</v>
      </c>
      <c r="Y61" s="11">
        <f>IF(OR(Y59="",Y62=""),"",IFERROR(Y59*Y62,""))</f>
        <v/>
      </c>
      <c r="Z61" s="12">
        <f>IF(OR(Z59="",Z62=""),"",IFERROR(Z59*Z62,""))</f>
        <v/>
      </c>
      <c r="AA61" s="12">
        <f>IF(OR(AA59="",AA62=""),"",IFERROR(AA59*AA62,""))</f>
        <v/>
      </c>
      <c r="AB61" s="12">
        <f>IF(OR(AB59="",AB62=""),"",IFERROR(AB59*AB62,""))</f>
        <v/>
      </c>
      <c r="AC61" s="12">
        <f>IF(OR(AC59="",AC62=""),"",IFERROR(AC59*AC62,""))</f>
        <v/>
      </c>
    </row>
    <row r="62">
      <c r="A62" s="13" t="inlineStr">
        <is>
          <t>지배주주 순이익률</t>
        </is>
      </c>
      <c r="B62" s="10" t="inlineStr">
        <is>
          <t>MW 기본 100%</t>
        </is>
      </c>
      <c r="C62" s="14">
        <f>IF(OR(C61="",C59=""),"",IFERROR(C61/C59,""))</f>
        <v/>
      </c>
      <c r="D62" s="15">
        <f>IF(OR(D61="",D59=""),"",IFERROR(D61/D59,""))</f>
        <v/>
      </c>
      <c r="E62" s="15">
        <f>IF(OR(E61="",E59=""),"",IFERROR(E61/E59,""))</f>
        <v/>
      </c>
      <c r="F62" s="15">
        <f>IF(OR(F61="",F59=""),"",IFERROR(F61/F59,""))</f>
        <v/>
      </c>
      <c r="G62" s="15">
        <f>IF(OR(G61="",G59=""),"",IFERROR(G61/G59,""))</f>
        <v/>
      </c>
      <c r="H62" s="15">
        <f>IF(OR(H61="",H59=""),"",IFERROR(H61/H59,""))</f>
        <v/>
      </c>
      <c r="I62" s="15">
        <f>IF(OR(I61="",I59=""),"",IFERROR(I61/I59,""))</f>
        <v/>
      </c>
      <c r="J62" s="15">
        <f>IF(OR(J61="",J59=""),"",IFERROR(J61/J59,""))</f>
        <v/>
      </c>
      <c r="K62" s="15">
        <f>IF(OR(K61="",K59=""),"",IFERROR(K61/K59,""))</f>
        <v/>
      </c>
      <c r="L62" s="15">
        <f>IF(OR(L61="",L59=""),"",IFERROR(L61/L59,""))</f>
        <v/>
      </c>
      <c r="M62" s="15">
        <f>IF(OR(M61="",M59=""),"",IFERROR(M61/M59,""))</f>
        <v/>
      </c>
      <c r="N62" s="15">
        <f>IF(OR(N61="",N59=""),"",IFERROR(N61/N59,""))</f>
        <v/>
      </c>
      <c r="O62" s="14">
        <f>IF(OR(O61="",O59=""),"",IFERROR(O61/O59,""))</f>
        <v/>
      </c>
      <c r="P62" s="15">
        <f>IF(OR(P61="",P59=""),"",IFERROR(P61/P59,""))</f>
        <v/>
      </c>
      <c r="Q62" s="15">
        <f>IF(OR(Q61="",Q59=""),"",IFERROR(Q61/Q59,""))</f>
        <v/>
      </c>
      <c r="R62" s="15">
        <f>IF(OR(R61="",R59=""),"",IFERROR(R61/R59,""))</f>
        <v/>
      </c>
      <c r="S62" s="15">
        <f>IF(OR(S61="",S59=""),"",IFERROR(S61/S59,""))</f>
        <v/>
      </c>
      <c r="T62" s="15">
        <f>IF(OR(T61="",T59=""),"",IFERROR(T61/T59,""))</f>
        <v/>
      </c>
      <c r="U62" s="15">
        <f>IF(OR(U61="",U59=""),"",IFERROR(U61/U59,""))</f>
        <v/>
      </c>
      <c r="V62" s="15">
        <f>IF(OR(V61="",V59=""),"",IFERROR(V61/V59,""))</f>
        <v/>
      </c>
      <c r="W62" s="15">
        <f>IF(OR(W61="",W59=""),"",IFERROR(W61/W59,""))</f>
        <v/>
      </c>
      <c r="X62" s="15">
        <f>IF(OR(X61="",X59=""),"",IFERROR(X61/X59,""))</f>
        <v/>
      </c>
      <c r="Y62" s="25" t="n">
        <v>1</v>
      </c>
      <c r="Z62" s="26" t="n">
        <v>1</v>
      </c>
      <c r="AA62" s="26" t="n">
        <v>1</v>
      </c>
      <c r="AB62" s="26" t="n">
        <v>1</v>
      </c>
      <c r="AC62" s="26" t="n">
        <v>1</v>
      </c>
    </row>
    <row r="63">
      <c r="A63" s="13" t="inlineStr">
        <is>
          <t>지배주주 순이익 YoY</t>
        </is>
      </c>
      <c r="B63" s="10" t="n"/>
      <c r="C63" s="14" t="n"/>
      <c r="D63" s="15" t="n"/>
      <c r="E63" s="15" t="n"/>
      <c r="F63" s="15" t="n"/>
      <c r="G63" s="15">
        <f>IF(OR(G61="",C61=""),"",IF(C61&lt;=0,"",IFERROR(G61/C61-1,"")))</f>
        <v/>
      </c>
      <c r="H63" s="15">
        <f>IF(OR(H61="",D61=""),"",IF(D61&lt;=0,"",IFERROR(H61/D61-1,"")))</f>
        <v/>
      </c>
      <c r="I63" s="15">
        <f>IF(OR(I61="",E61=""),"",IF(E61&lt;=0,"",IFERROR(I61/E61-1,"")))</f>
        <v/>
      </c>
      <c r="J63" s="15">
        <f>IF(OR(J61="",F61=""),"",IF(F61&lt;=0,"",IFERROR(J61/F61-1,"")))</f>
        <v/>
      </c>
      <c r="K63" s="15">
        <f>IF(OR(K61="",G61=""),"",IF(G61&lt;=0,"",IFERROR(K61/G61-1,"")))</f>
        <v/>
      </c>
      <c r="L63" s="15">
        <f>IF(OR(L61="",H61=""),"",IF(H61&lt;=0,"",IFERROR(L61/H61-1,"")))</f>
        <v/>
      </c>
      <c r="M63" s="15">
        <f>IF(OR(M61="",I61=""),"",IF(I61&lt;=0,"",IFERROR(M61/I61-1,"")))</f>
        <v/>
      </c>
      <c r="N63" s="15">
        <f>IF(OR(N61="",J61=""),"",IF(J61&lt;=0,"",IFERROR(N61/J61-1,"")))</f>
        <v/>
      </c>
      <c r="O63" s="14" t="n"/>
      <c r="P63" s="15">
        <f>IF(OR(P61="",O61=""),"",IF(O61&lt;=0,"",IFERROR(P61/O61-1,"")))</f>
        <v/>
      </c>
      <c r="Q63" s="15">
        <f>IF(OR(Q61="",P61=""),"",IF(P61&lt;=0,"",IFERROR(Q61/P61-1,"")))</f>
        <v/>
      </c>
      <c r="R63" s="15">
        <f>IF(OR(R61="",Q61=""),"",IF(Q61&lt;=0,"",IFERROR(R61/Q61-1,"")))</f>
        <v/>
      </c>
      <c r="S63" s="15">
        <f>IF(OR(S61="",R61=""),"",IF(R61&lt;=0,"",IFERROR(S61/R61-1,"")))</f>
        <v/>
      </c>
      <c r="T63" s="15">
        <f>IF(OR(T61="",S61=""),"",IF(S61&lt;=0,"",IFERROR(T61/S61-1,"")))</f>
        <v/>
      </c>
      <c r="U63" s="15">
        <f>IF(OR(U61="",T61=""),"",IF(T61&lt;=0,"",IFERROR(U61/T61-1,"")))</f>
        <v/>
      </c>
      <c r="V63" s="15">
        <f>IF(OR(V61="",U61=""),"",IF(U61&lt;=0,"",IFERROR(V61/U61-1,"")))</f>
        <v/>
      </c>
      <c r="W63" s="15">
        <f>IF(OR(W61="",V61=""),"",IF(V61&lt;=0,"",IFERROR(W61/V61-1,"")))</f>
        <v/>
      </c>
      <c r="X63" s="15">
        <f>IF(OR(X61="",W61=""),"",IF(W61&lt;=0,"",IFERROR(X61/W61-1,"")))</f>
        <v/>
      </c>
      <c r="Y63" s="14">
        <f>IF(OR(Y61="",X61=""),"",IF(X61&lt;=0,"",IFERROR(Y61/X61-1,"")))</f>
        <v/>
      </c>
      <c r="Z63" s="15">
        <f>IF(OR(Z61="",Y61=""),"",IF(Y61&lt;=0,"",IFERROR(Z61/Y61-1,"")))</f>
        <v/>
      </c>
      <c r="AA63" s="15">
        <f>IF(OR(AA61="",Z61=""),"",IF(Z61&lt;=0,"",IFERROR(AA61/Z61-1,"")))</f>
        <v/>
      </c>
      <c r="AB63" s="15">
        <f>IF(OR(AB61="",AA61=""),"",IF(AA61&lt;=0,"",IFERROR(AB61/AA61-1,"")))</f>
        <v/>
      </c>
      <c r="AC63" s="15">
        <f>IF(OR(AC61="",AB61=""),"",IF(AB61&lt;=0,"",IFERROR(AC61/AB61-1,"")))</f>
        <v/>
      </c>
    </row>
    <row r="64">
      <c r="A64" s="16" t="inlineStr">
        <is>
          <t>목표주가 산출</t>
        </is>
      </c>
      <c r="B64" s="16" t="n"/>
      <c r="C64" s="17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7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7" t="n"/>
      <c r="Z64" s="16" t="n"/>
      <c r="AA64" s="16" t="n"/>
      <c r="AB64" s="16" t="n"/>
      <c r="AC64" s="16" t="n"/>
    </row>
    <row r="65">
      <c r="A65" s="18" t="inlineStr">
        <is>
          <t>현재 주가 ()</t>
        </is>
      </c>
      <c r="B65" s="27" t="n"/>
      <c r="C65" s="28" t="n"/>
      <c r="D65" s="29" t="n"/>
      <c r="E65" s="29" t="n"/>
      <c r="F65" s="29" t="n"/>
      <c r="G65" s="29" t="n"/>
      <c r="H65" s="29" t="n"/>
      <c r="I65" s="29" t="n"/>
      <c r="J65" s="29" t="n"/>
      <c r="K65" s="29" t="n"/>
      <c r="L65" s="29" t="n"/>
      <c r="M65" s="29" t="n"/>
      <c r="N65" s="29" t="n"/>
      <c r="O65" s="28" t="n"/>
      <c r="P65" s="29" t="n"/>
      <c r="Q65" s="29" t="n"/>
      <c r="R65" s="29" t="n"/>
      <c r="S65" s="29" t="n"/>
      <c r="T65" s="29" t="n"/>
      <c r="U65" s="29" t="n"/>
      <c r="V65" s="29" t="n"/>
      <c r="W65" s="29" t="n"/>
      <c r="X65" s="29" t="n"/>
      <c r="Y65" s="28" t="n"/>
      <c r="Z65" s="29" t="n"/>
      <c r="AA65" s="29" t="n"/>
      <c r="AB65" s="29" t="n"/>
      <c r="AC65" s="29" t="n"/>
    </row>
    <row r="66">
      <c r="A66" s="18" t="inlineStr">
        <is>
          <t>발행주식수 (보통주)</t>
        </is>
      </c>
      <c r="B66" s="27" t="n"/>
      <c r="C66" s="28" t="n"/>
      <c r="D66" s="29" t="n"/>
      <c r="E66" s="29" t="n"/>
      <c r="F66" s="29" t="n"/>
      <c r="G66" s="29" t="n"/>
      <c r="H66" s="29" t="n"/>
      <c r="I66" s="29" t="n"/>
      <c r="J66" s="29" t="n"/>
      <c r="K66" s="29" t="n"/>
      <c r="L66" s="29" t="n"/>
      <c r="M66" s="29" t="n"/>
      <c r="N66" s="29" t="n"/>
      <c r="O66" s="28" t="n"/>
      <c r="P66" s="29" t="n"/>
      <c r="Q66" s="29" t="n"/>
      <c r="R66" s="29" t="n"/>
      <c r="S66" s="29" t="n"/>
      <c r="T66" s="29" t="n"/>
      <c r="U66" s="29" t="n"/>
      <c r="V66" s="29" t="n"/>
      <c r="W66" s="29" t="n"/>
      <c r="X66" s="29" t="n"/>
      <c r="Y66" s="28" t="n"/>
      <c r="Z66" s="29" t="n"/>
      <c r="AA66" s="29" t="n"/>
      <c r="AB66" s="29" t="n"/>
      <c r="AC66" s="29" t="n"/>
    </row>
    <row r="67">
      <c r="A67" s="18" t="inlineStr">
        <is>
          <t>시가총액 (백만엔)</t>
        </is>
      </c>
      <c r="B67" s="12">
        <f>IF(OR(B65="",B66=""),"",B65*B66/1000000.0)</f>
        <v/>
      </c>
      <c r="C67" s="19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19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 t="n"/>
      <c r="Y67" s="19" t="n"/>
      <c r="Z67" s="20" t="n"/>
      <c r="AA67" s="20" t="n"/>
      <c r="AB67" s="20" t="n"/>
      <c r="AC67" s="20" t="n"/>
    </row>
    <row r="68">
      <c r="A68" s="13" t="inlineStr">
        <is>
          <t>OPM</t>
        </is>
      </c>
      <c r="B68" s="10" t="n"/>
      <c r="C68" s="14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4">
        <f>IF(O32="","",O32)</f>
        <v/>
      </c>
      <c r="P68" s="15">
        <f>IF(P32="","",P32)</f>
        <v/>
      </c>
      <c r="Q68" s="15">
        <f>IF(Q32="","",Q32)</f>
        <v/>
      </c>
      <c r="R68" s="15">
        <f>IF(R32="","",R32)</f>
        <v/>
      </c>
      <c r="S68" s="15">
        <f>IF(S32="","",S32)</f>
        <v/>
      </c>
      <c r="T68" s="15">
        <f>IF(T32="","",T32)</f>
        <v/>
      </c>
      <c r="U68" s="15">
        <f>IF(U32="","",U32)</f>
        <v/>
      </c>
      <c r="V68" s="15">
        <f>IF(V32="","",V32)</f>
        <v/>
      </c>
      <c r="W68" s="15">
        <f>IF(W32="","",W32)</f>
        <v/>
      </c>
      <c r="X68" s="15">
        <f>IF(X32="","",X32)</f>
        <v/>
      </c>
      <c r="Y68" s="14">
        <f>IF(Y32="","",Y32)</f>
        <v/>
      </c>
      <c r="Z68" s="15">
        <f>IF(Z32="","",Z32)</f>
        <v/>
      </c>
      <c r="AA68" s="15">
        <f>IF(AA32="","",AA32)</f>
        <v/>
      </c>
      <c r="AB68" s="15">
        <f>IF(AB32="","",AB32)</f>
        <v/>
      </c>
      <c r="AC68" s="15">
        <f>IF(AC32="","",AC32)</f>
        <v/>
      </c>
    </row>
    <row r="69">
      <c r="A69" s="13" t="inlineStr">
        <is>
          <t>지배주주 순이익 증가율</t>
        </is>
      </c>
      <c r="B69" s="10" t="n"/>
      <c r="C69" s="14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4" t="n"/>
      <c r="P69" s="15">
        <f>IF(OR(P61="",O61=""),"",IFERROR(P61/O61-1,""))</f>
        <v/>
      </c>
      <c r="Q69" s="15">
        <f>IF(OR(Q61="",P61=""),"",IFERROR(Q61/P61-1,""))</f>
        <v/>
      </c>
      <c r="R69" s="15">
        <f>IF(OR(R61="",Q61=""),"",IFERROR(R61/Q61-1,""))</f>
        <v/>
      </c>
      <c r="S69" s="15">
        <f>IF(OR(S61="",R61=""),"",IFERROR(S61/R61-1,""))</f>
        <v/>
      </c>
      <c r="T69" s="15">
        <f>IF(OR(T61="",S61=""),"",IFERROR(T61/S61-1,""))</f>
        <v/>
      </c>
      <c r="U69" s="15">
        <f>IF(OR(U61="",T61=""),"",IFERROR(U61/T61-1,""))</f>
        <v/>
      </c>
      <c r="V69" s="15">
        <f>IF(OR(V61="",U61=""),"",IFERROR(V61/U61-1,""))</f>
        <v/>
      </c>
      <c r="W69" s="15">
        <f>IF(OR(W61="",V61=""),"",IFERROR(W61/V61-1,""))</f>
        <v/>
      </c>
      <c r="X69" s="15">
        <f>IF(OR(X61="",W61=""),"",IFERROR(X61/W61-1,""))</f>
        <v/>
      </c>
      <c r="Y69" s="14">
        <f>IF(OR(Y61="",X61=""),"",IFERROR(Y61/X61-1,""))</f>
        <v/>
      </c>
      <c r="Z69" s="15">
        <f>IF(OR(Z61="",Y61=""),"",IFERROR(Z61/Y61-1,""))</f>
        <v/>
      </c>
      <c r="AA69" s="15">
        <f>IF(OR(AA61="",Z61=""),"",IFERROR(AA61/Z61-1,""))</f>
        <v/>
      </c>
      <c r="AB69" s="15">
        <f>IF(OR(AB61="",AA61=""),"",IFERROR(AB61/AA61-1,""))</f>
        <v/>
      </c>
      <c r="AC69" s="15">
        <f>IF(OR(AC61="",AB61=""),"",IFERROR(AC61/AB61-1,""))</f>
        <v/>
      </c>
    </row>
    <row r="70">
      <c r="A70" s="18" t="inlineStr">
        <is>
          <t>P/E (현재 주가)</t>
        </is>
      </c>
      <c r="B70" s="10" t="inlineStr">
        <is>
          <t>시총 ÷ 지배순이익</t>
        </is>
      </c>
      <c r="C70" s="30" t="n"/>
      <c r="D70" s="31" t="n"/>
      <c r="E70" s="31" t="n"/>
      <c r="F70" s="31" t="n"/>
      <c r="G70" s="31" t="n"/>
      <c r="H70" s="31" t="n"/>
      <c r="I70" s="31" t="n"/>
      <c r="J70" s="31" t="n"/>
      <c r="K70" s="31" t="n"/>
      <c r="L70" s="31" t="n"/>
      <c r="M70" s="31" t="n"/>
      <c r="N70" s="31" t="n"/>
      <c r="O70" s="30" t="n"/>
      <c r="P70" s="31" t="n"/>
      <c r="Q70" s="31" t="n"/>
      <c r="R70" s="31" t="n"/>
      <c r="S70" s="31" t="n"/>
      <c r="T70" s="31" t="n"/>
      <c r="U70" s="31" t="n"/>
      <c r="V70" s="31" t="n"/>
      <c r="W70" s="31" t="n"/>
      <c r="X70" s="31">
        <f>IF(OR($B$67="",X61=""),"",IFERROR($B$67/X61,""))</f>
        <v/>
      </c>
      <c r="Y70" s="30">
        <f>IF(OR($B$67="",Y61=""),"",IFERROR($B$67/Y61,""))</f>
        <v/>
      </c>
      <c r="Z70" s="31">
        <f>IF(OR($B$67="",Z61=""),"",IFERROR($B$67/Z61,""))</f>
        <v/>
      </c>
      <c r="AA70" s="31">
        <f>IF(OR($B$67="",AA61=""),"",IFERROR($B$67/AA61,""))</f>
        <v/>
      </c>
      <c r="AB70" s="31">
        <f>IF(OR($B$67="",AB61=""),"",IFERROR($B$67/AB61,""))</f>
        <v/>
      </c>
      <c r="AC70" s="31">
        <f>IF(OR($B$67="",AC61=""),"",IFERROR($B$67/AC61,""))</f>
        <v/>
      </c>
    </row>
    <row r="71">
      <c r="A71" s="18" t="inlineStr">
        <is>
          <t>Target P/E</t>
        </is>
      </c>
      <c r="B71" s="10" t="inlineStr">
        <is>
          <t>직접 입력</t>
        </is>
      </c>
      <c r="C71" s="30" t="n"/>
      <c r="D71" s="31" t="n"/>
      <c r="E71" s="31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30" t="n"/>
      <c r="P71" s="31" t="n"/>
      <c r="Q71" s="31" t="n"/>
      <c r="R71" s="31" t="n"/>
      <c r="S71" s="31" t="n"/>
      <c r="T71" s="31" t="n"/>
      <c r="U71" s="31" t="n"/>
      <c r="V71" s="31" t="n"/>
      <c r="W71" s="31" t="n"/>
      <c r="X71" s="31" t="n"/>
      <c r="Y71" s="32" t="n"/>
      <c r="Z71" s="33" t="n"/>
      <c r="AA71" s="33" t="n"/>
      <c r="AB71" s="33" t="n"/>
      <c r="AC71" s="33" t="n"/>
    </row>
    <row r="72">
      <c r="A72" s="18" t="inlineStr">
        <is>
          <t>EPS</t>
        </is>
      </c>
      <c r="B72" s="10" t="inlineStr">
        <is>
          <t>지배순이익 ÷ 주식수</t>
        </is>
      </c>
      <c r="C72" s="28" t="n"/>
      <c r="D72" s="29" t="n"/>
      <c r="E72" s="29" t="n"/>
      <c r="F72" s="29" t="n"/>
      <c r="G72" s="29" t="n"/>
      <c r="H72" s="29" t="n"/>
      <c r="I72" s="29" t="n"/>
      <c r="J72" s="29" t="n"/>
      <c r="K72" s="29" t="n"/>
      <c r="L72" s="29" t="n"/>
      <c r="M72" s="29" t="n"/>
      <c r="N72" s="29" t="n"/>
      <c r="O72" s="28">
        <f>IF(OR(O61="",$B$66=""),"",IFERROR(O61*1000000.0/$B$66,""))</f>
        <v/>
      </c>
      <c r="P72" s="29">
        <f>IF(OR(P61="",$B$66=""),"",IFERROR(P61*1000000.0/$B$66,""))</f>
        <v/>
      </c>
      <c r="Q72" s="29">
        <f>IF(OR(Q61="",$B$66=""),"",IFERROR(Q61*1000000.0/$B$66,""))</f>
        <v/>
      </c>
      <c r="R72" s="29">
        <f>IF(OR(R61="",$B$66=""),"",IFERROR(R61*1000000.0/$B$66,""))</f>
        <v/>
      </c>
      <c r="S72" s="29">
        <f>IF(OR(S61="",$B$66=""),"",IFERROR(S61*1000000.0/$B$66,""))</f>
        <v/>
      </c>
      <c r="T72" s="29">
        <f>IF(OR(T61="",$B$66=""),"",IFERROR(T61*1000000.0/$B$66,""))</f>
        <v/>
      </c>
      <c r="U72" s="29">
        <f>IF(OR(U61="",$B$66=""),"",IFERROR(U61*1000000.0/$B$66,""))</f>
        <v/>
      </c>
      <c r="V72" s="29">
        <f>IF(OR(V61="",$B$66=""),"",IFERROR(V61*1000000.0/$B$66,""))</f>
        <v/>
      </c>
      <c r="W72" s="29">
        <f>IF(OR(W61="",$B$66=""),"",IFERROR(W61*1000000.0/$B$66,""))</f>
        <v/>
      </c>
      <c r="X72" s="29">
        <f>IF(OR(X61="",$B$66=""),"",IFERROR(X61*1000000.0/$B$66,""))</f>
        <v/>
      </c>
      <c r="Y72" s="28">
        <f>IF(OR(Y61="",$B$66=""),"",IFERROR(Y61*1000000.0/$B$66,""))</f>
        <v/>
      </c>
      <c r="Z72" s="29">
        <f>IF(OR(Z61="",$B$66=""),"",IFERROR(Z61*1000000.0/$B$66,""))</f>
        <v/>
      </c>
      <c r="AA72" s="29">
        <f>IF(OR(AA61="",$B$66=""),"",IFERROR(AA61*1000000.0/$B$66,""))</f>
        <v/>
      </c>
      <c r="AB72" s="29">
        <f>IF(OR(AB61="",$B$66=""),"",IFERROR(AB61*1000000.0/$B$66,""))</f>
        <v/>
      </c>
      <c r="AC72" s="29">
        <f>IF(OR(AC61="",$B$66=""),"",IFERROR(AC61*1000000.0/$B$66,""))</f>
        <v/>
      </c>
    </row>
    <row r="73">
      <c r="A73" s="9" t="inlineStr">
        <is>
          <t>목표주가</t>
        </is>
      </c>
      <c r="B73" s="10" t="n"/>
      <c r="C73" s="34" t="n"/>
      <c r="D73" s="27" t="n"/>
      <c r="E73" s="27" t="n"/>
      <c r="F73" s="27" t="n"/>
      <c r="G73" s="27" t="n"/>
      <c r="H73" s="27" t="n"/>
      <c r="I73" s="27" t="n"/>
      <c r="J73" s="27" t="n"/>
      <c r="K73" s="27" t="n"/>
      <c r="L73" s="27" t="n"/>
      <c r="M73" s="27" t="n"/>
      <c r="N73" s="27" t="n"/>
      <c r="O73" s="34" t="n"/>
      <c r="P73" s="27" t="n"/>
      <c r="Q73" s="27" t="n"/>
      <c r="R73" s="27" t="n"/>
      <c r="S73" s="27" t="n"/>
      <c r="T73" s="27" t="n"/>
      <c r="U73" s="27" t="n"/>
      <c r="V73" s="27" t="n"/>
      <c r="W73" s="27" t="n"/>
      <c r="X73" s="27" t="n"/>
      <c r="Y73" s="34">
        <f>IF(OR(Y72="",Y71=""),"",IFERROR(Y72*Y71,""))</f>
        <v/>
      </c>
      <c r="Z73" s="27">
        <f>IF(OR(Z72="",Z71=""),"",IFERROR(Z72*Z71,""))</f>
        <v/>
      </c>
      <c r="AA73" s="27">
        <f>IF(OR(AA72="",AA71=""),"",IFERROR(AA72*AA71,""))</f>
        <v/>
      </c>
      <c r="AB73" s="27">
        <f>IF(OR(AB72="",AB71=""),"",IFERROR(AB72*AB71,""))</f>
        <v/>
      </c>
      <c r="AC73" s="27">
        <f>IF(OR(AC72="",AC71=""),"",IFERROR(AC72*AC71,""))</f>
        <v/>
      </c>
    </row>
    <row r="74">
      <c r="A74" s="18" t="inlineStr">
        <is>
          <t>상승여력</t>
        </is>
      </c>
      <c r="B74" s="10" t="n"/>
      <c r="C74" s="35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5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7">
        <f>IF(OR(Y73="",$B$65=""),"",IFERROR(Y73/$B$65-1,""))</f>
        <v/>
      </c>
      <c r="Z74" s="38">
        <f>IF(OR(Z73="",$B$65=""),"",IFERROR(Z73/$B$65-1,""))</f>
        <v/>
      </c>
      <c r="AA74" s="38">
        <f>IF(OR(AA73="",$B$65=""),"",IFERROR(AA73/$B$65-1,""))</f>
        <v/>
      </c>
      <c r="AB74" s="38">
        <f>IF(OR(AB73="",$B$65=""),"",IFERROR(AB73/$B$65-1,""))</f>
        <v/>
      </c>
      <c r="AC74" s="38">
        <f>IF(OR(AC73="",$B$65=""),"",IFERROR(AC73/$B$65-1,""))</f>
        <v/>
      </c>
    </row>
    <row r="75">
      <c r="A75" s="16" t="inlineStr">
        <is>
          <t>자산가치 산출</t>
        </is>
      </c>
      <c r="B75" s="16" t="inlineStr">
        <is>
          <t>최신 분기 BS</t>
        </is>
      </c>
      <c r="C75" s="17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7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7" t="n"/>
      <c r="Z75" s="16" t="n"/>
      <c r="AA75" s="16" t="n"/>
      <c r="AB75" s="16" t="n"/>
      <c r="AC75" s="16" t="n"/>
    </row>
    <row r="76">
      <c r="A76" s="18" t="inlineStr">
        <is>
          <t>현금및현금성자산</t>
        </is>
      </c>
      <c r="B76" s="10" t="n"/>
      <c r="C76" s="19" t="n"/>
      <c r="D76" s="20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 t="n"/>
      <c r="O76" s="19" t="n"/>
      <c r="P76" s="20" t="n"/>
      <c r="Q76" s="20" t="n"/>
      <c r="R76" s="20" t="n"/>
      <c r="S76" s="20" t="n"/>
      <c r="T76" s="20" t="n"/>
      <c r="U76" s="20" t="n"/>
      <c r="V76" s="20" t="n"/>
      <c r="W76" s="20" t="n"/>
      <c r="X76" s="20">
        <f>'재무상태표'!G6</f>
        <v/>
      </c>
      <c r="Y76" s="19">
        <f>'재무상태표'!G6</f>
        <v/>
      </c>
      <c r="Z76" s="20">
        <f>'재무상태표'!G6</f>
        <v/>
      </c>
      <c r="AA76" s="20">
        <f>'재무상태표'!G6</f>
        <v/>
      </c>
      <c r="AB76" s="20">
        <f>'재무상태표'!G6</f>
        <v/>
      </c>
      <c r="AC76" s="20">
        <f>'재무상태표'!G6</f>
        <v/>
      </c>
    </row>
    <row r="77">
      <c r="A77" s="18" t="inlineStr">
        <is>
          <t>단기금융상품</t>
        </is>
      </c>
      <c r="B77" s="10" t="n"/>
      <c r="C77" s="19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19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>
        <f>'재무상태표'!G7</f>
        <v/>
      </c>
      <c r="Y77" s="19">
        <f>'재무상태표'!G7</f>
        <v/>
      </c>
      <c r="Z77" s="20">
        <f>'재무상태표'!G7</f>
        <v/>
      </c>
      <c r="AA77" s="20">
        <f>'재무상태표'!G7</f>
        <v/>
      </c>
      <c r="AB77" s="20">
        <f>'재무상태표'!G7</f>
        <v/>
      </c>
      <c r="AC77" s="20">
        <f>'재무상태표'!G7</f>
        <v/>
      </c>
    </row>
    <row r="78">
      <c r="A78" s="18" t="inlineStr">
        <is>
          <t>투자부동산</t>
        </is>
      </c>
      <c r="B78" s="10" t="n"/>
      <c r="C78" s="19" t="n"/>
      <c r="D78" s="20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 t="n"/>
      <c r="O78" s="19" t="n"/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>
        <f>'재무상태표'!G14</f>
        <v/>
      </c>
      <c r="Y78" s="19">
        <f>'재무상태표'!G14</f>
        <v/>
      </c>
      <c r="Z78" s="20">
        <f>'재무상태표'!G14</f>
        <v/>
      </c>
      <c r="AA78" s="20">
        <f>'재무상태표'!G14</f>
        <v/>
      </c>
      <c r="AB78" s="20">
        <f>'재무상태표'!G14</f>
        <v/>
      </c>
      <c r="AC78" s="20">
        <f>'재무상태표'!G14</f>
        <v/>
      </c>
    </row>
    <row r="79">
      <c r="A79" s="18" t="inlineStr">
        <is>
          <t>지배자본</t>
        </is>
      </c>
      <c r="B79" s="10" t="n"/>
      <c r="C79" s="19" t="n"/>
      <c r="D79" s="20" t="n"/>
      <c r="E79" s="20" t="n"/>
      <c r="F79" s="20" t="n"/>
      <c r="G79" s="20" t="n"/>
      <c r="H79" s="20" t="n"/>
      <c r="I79" s="20" t="n"/>
      <c r="J79" s="20" t="n"/>
      <c r="K79" s="20" t="n"/>
      <c r="L79" s="20" t="n"/>
      <c r="M79" s="20" t="n"/>
      <c r="N79" s="20" t="n"/>
      <c r="O79" s="19" t="n"/>
      <c r="P79" s="20" t="n"/>
      <c r="Q79" s="20" t="n"/>
      <c r="R79" s="20" t="n"/>
      <c r="S79" s="20" t="n"/>
      <c r="T79" s="20" t="n"/>
      <c r="U79" s="20" t="n"/>
      <c r="V79" s="20" t="n"/>
      <c r="W79" s="20" t="n"/>
      <c r="X79" s="20">
        <f>'재무상태표'!G31</f>
        <v/>
      </c>
      <c r="Y79" s="19">
        <f>'재무상태표'!G31</f>
        <v/>
      </c>
      <c r="Z79" s="20">
        <f>'재무상태표'!G31</f>
        <v/>
      </c>
      <c r="AA79" s="20">
        <f>'재무상태표'!G31</f>
        <v/>
      </c>
      <c r="AB79" s="20">
        <f>'재무상태표'!G31</f>
        <v/>
      </c>
      <c r="AC79" s="20">
        <f>'재무상태표'!G31</f>
        <v/>
      </c>
    </row>
    <row r="80">
      <c r="A80" s="18" t="inlineStr">
        <is>
          <t>부채</t>
        </is>
      </c>
      <c r="B80" s="10" t="n"/>
      <c r="C80" s="19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19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>
        <f>'재무상태표'!G27</f>
        <v/>
      </c>
      <c r="Y80" s="19">
        <f>'재무상태표'!G27</f>
        <v/>
      </c>
      <c r="Z80" s="20">
        <f>'재무상태표'!G27</f>
        <v/>
      </c>
      <c r="AA80" s="20">
        <f>'재무상태표'!G27</f>
        <v/>
      </c>
      <c r="AB80" s="20">
        <f>'재무상태표'!G27</f>
        <v/>
      </c>
      <c r="AC80" s="20">
        <f>'재무상태표'!G27</f>
        <v/>
      </c>
    </row>
    <row r="81">
      <c r="A81" s="13" t="inlineStr">
        <is>
          <t>부채비율</t>
        </is>
      </c>
      <c r="B81" s="10" t="n"/>
      <c r="C81" s="14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4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>
        <f>IF(OR(X80="",X79=""),"",IFERROR(X80/X79,""))</f>
        <v/>
      </c>
      <c r="Y81" s="14">
        <f>IF(OR(Y80="",Y79=""),"",IFERROR(Y80/Y79,""))</f>
        <v/>
      </c>
      <c r="Z81" s="15">
        <f>IF(OR(Z80="",Z79=""),"",IFERROR(Z80/Z79,""))</f>
        <v/>
      </c>
      <c r="AA81" s="15">
        <f>IF(OR(AA80="",AA79=""),"",IFERROR(AA80/AA79,""))</f>
        <v/>
      </c>
      <c r="AB81" s="15">
        <f>IF(OR(AB80="",AB79=""),"",IFERROR(AB80/AB79,""))</f>
        <v/>
      </c>
      <c r="AC81" s="15">
        <f>IF(OR(AC80="",AC79=""),"",IFERROR(AC80/AC79,""))</f>
        <v/>
      </c>
    </row>
    <row r="82">
      <c r="A82" s="9" t="inlineStr">
        <is>
          <t>자산가치</t>
        </is>
      </c>
      <c r="B82" s="10" t="inlineStr">
        <is>
          <t>현금+단기금융+투자부동산</t>
        </is>
      </c>
      <c r="C82" s="11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1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>
        <f>SUM(X76,X77,X78)</f>
        <v/>
      </c>
      <c r="Y82" s="11">
        <f>SUM(Y76,Y77,Y78)</f>
        <v/>
      </c>
      <c r="Z82" s="12">
        <f>SUM(Z76,Z77,Z78)</f>
        <v/>
      </c>
      <c r="AA82" s="12">
        <f>SUM(AA76,AA77,AA78)</f>
        <v/>
      </c>
      <c r="AB82" s="12">
        <f>SUM(AB76,AB77,AB78)</f>
        <v/>
      </c>
      <c r="AC82" s="12">
        <f>SUM(AC76,AC77,AC78)</f>
        <v/>
      </c>
    </row>
    <row r="83">
      <c r="A83" s="16" t="inlineStr">
        <is>
          <t>기업가치 산출</t>
        </is>
      </c>
      <c r="B83" s="16" t="n"/>
      <c r="C83" s="17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7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7" t="n"/>
      <c r="Z83" s="16" t="n"/>
      <c r="AA83" s="16" t="n"/>
      <c r="AB83" s="16" t="n"/>
      <c r="AC83" s="16" t="n"/>
    </row>
    <row r="84">
      <c r="A84" s="18" t="inlineStr">
        <is>
          <t>목표 시가총액 (P/E)</t>
        </is>
      </c>
      <c r="B84" s="10" t="inlineStr">
        <is>
          <t>지배순이익 × Target P/E</t>
        </is>
      </c>
      <c r="C84" s="19" t="n"/>
      <c r="D84" s="20" t="n"/>
      <c r="E84" s="20" t="n"/>
      <c r="F84" s="20" t="n"/>
      <c r="G84" s="20" t="n"/>
      <c r="H84" s="20" t="n"/>
      <c r="I84" s="20" t="n"/>
      <c r="J84" s="20" t="n"/>
      <c r="K84" s="20" t="n"/>
      <c r="L84" s="20" t="n"/>
      <c r="M84" s="20" t="n"/>
      <c r="N84" s="20" t="n"/>
      <c r="O84" s="19" t="n"/>
      <c r="P84" s="20" t="n"/>
      <c r="Q84" s="20" t="n"/>
      <c r="R84" s="20" t="n"/>
      <c r="S84" s="20" t="n"/>
      <c r="T84" s="20" t="n"/>
      <c r="U84" s="20" t="n"/>
      <c r="V84" s="20" t="n"/>
      <c r="W84" s="20" t="n"/>
      <c r="X84" s="20" t="n"/>
      <c r="Y84" s="19">
        <f>IF(OR(Y61="",Y71=""),"",IFERROR(Y61*Y71,""))</f>
        <v/>
      </c>
      <c r="Z84" s="20">
        <f>IF(OR(Z61="",Z71=""),"",IFERROR(Z61*Z71,""))</f>
        <v/>
      </c>
      <c r="AA84" s="20">
        <f>IF(OR(AA61="",AA71=""),"",IFERROR(AA61*AA71,""))</f>
        <v/>
      </c>
      <c r="AB84" s="20">
        <f>IF(OR(AB61="",AB71=""),"",IFERROR(AB61*AB71,""))</f>
        <v/>
      </c>
      <c r="AC84" s="20">
        <f>IF(OR(AC61="",AC71=""),"",IFERROR(AC61*AC71,""))</f>
        <v/>
      </c>
    </row>
    <row r="85">
      <c r="A85" s="9" t="inlineStr">
        <is>
          <t>기업가치</t>
        </is>
      </c>
      <c r="B85" s="10" t="inlineStr">
        <is>
          <t>목표시총 + 자산가치</t>
        </is>
      </c>
      <c r="C85" s="11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1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1">
        <f>IF(OR(Y84=""),"",IFERROR(Y84+Y82,""))</f>
        <v/>
      </c>
      <c r="Z85" s="12">
        <f>IF(OR(Z84=""),"",IFERROR(Z84+Z82,""))</f>
        <v/>
      </c>
      <c r="AA85" s="12">
        <f>IF(OR(AA84=""),"",IFERROR(AA84+AA82,""))</f>
        <v/>
      </c>
      <c r="AB85" s="12">
        <f>IF(OR(AB84=""),"",IFERROR(AB84+AB82,""))</f>
        <v/>
      </c>
      <c r="AC85" s="12">
        <f>IF(OR(AC84=""),"",IFERROR(AC84+AC82,""))</f>
        <v/>
      </c>
    </row>
    <row r="86">
      <c r="A86" s="18" t="inlineStr">
        <is>
          <t>현재 시가총액</t>
        </is>
      </c>
      <c r="B86" s="10" t="n"/>
      <c r="C86" s="19" t="n"/>
      <c r="D86" s="20" t="n"/>
      <c r="E86" s="20" t="n"/>
      <c r="F86" s="20" t="n"/>
      <c r="G86" s="20" t="n"/>
      <c r="H86" s="20" t="n"/>
      <c r="I86" s="20" t="n"/>
      <c r="J86" s="20" t="n"/>
      <c r="K86" s="20" t="n"/>
      <c r="L86" s="20" t="n"/>
      <c r="M86" s="20" t="n"/>
      <c r="N86" s="20" t="n"/>
      <c r="O86" s="19" t="n"/>
      <c r="P86" s="20" t="n"/>
      <c r="Q86" s="20" t="n"/>
      <c r="R86" s="20" t="n"/>
      <c r="S86" s="20" t="n"/>
      <c r="T86" s="20" t="n"/>
      <c r="U86" s="20" t="n"/>
      <c r="V86" s="20" t="n"/>
      <c r="W86" s="20" t="n"/>
      <c r="X86" s="20" t="n"/>
      <c r="Y86" s="19">
        <f>$B$67</f>
        <v/>
      </c>
      <c r="Z86" s="20">
        <f>$B$67</f>
        <v/>
      </c>
      <c r="AA86" s="20">
        <f>$B$67</f>
        <v/>
      </c>
      <c r="AB86" s="20">
        <f>$B$67</f>
        <v/>
      </c>
      <c r="AC86" s="20">
        <f>$B$67</f>
        <v/>
      </c>
    </row>
    <row r="87">
      <c r="A87" s="18" t="inlineStr">
        <is>
          <t>상승여력</t>
        </is>
      </c>
      <c r="B87" s="10" t="n"/>
      <c r="C87" s="35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5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7">
        <f>IF(OR(Y85="",Y86=""),"",IFERROR(Y85/Y86-1,""))</f>
        <v/>
      </c>
      <c r="Z87" s="38">
        <f>IF(OR(Z85="",Z86=""),"",IFERROR(Z85/Z86-1,""))</f>
        <v/>
      </c>
      <c r="AA87" s="38">
        <f>IF(OR(AA85="",AA86=""),"",IFERROR(AA85/AA86-1,""))</f>
        <v/>
      </c>
      <c r="AB87" s="38">
        <f>IF(OR(AB85="",AB86=""),"",IFERROR(AB85/AB86-1,""))</f>
        <v/>
      </c>
      <c r="AC87" s="38">
        <f>IF(OR(AC85="",AC86=""),"",IFERROR(AC85/AC86-1,""))</f>
        <v/>
      </c>
    </row>
    <row r="88">
      <c r="C88" s="39" t="n"/>
      <c r="O88" s="39" t="n"/>
      <c r="Y88" s="39" t="n"/>
    </row>
    <row r="89">
      <c r="A89" s="40" t="inlineStr">
        <is>
          <t>출처</t>
        </is>
      </c>
      <c r="C89" s="39" t="n"/>
      <c r="O89" s="39" t="n"/>
      <c r="Y89" s="39" t="n"/>
    </row>
    <row r="90">
      <c r="A90" s="41" t="inlineStr">
        <is>
          <t>결산단신 XBRL(TDnet·JPX 보관소) — 쓴 문서는 '출처' 시트</t>
        </is>
      </c>
      <c r="C90" s="39" t="n"/>
      <c r="O90" s="39" t="n"/>
      <c r="Y90" s="39" t="n"/>
    </row>
    <row r="91">
      <c r="A91" s="41" t="inlineStr">
        <is>
          <t>분기 = 누계에서 앞 분기를 뺀 3개월 값</t>
        </is>
      </c>
      <c r="C91" s="39" t="n"/>
      <c r="O91" s="39" t="n"/>
      <c r="Y91" s="39" t="n"/>
    </row>
    <row r="92">
      <c r="A92" s="41" t="inlineStr">
        <is>
          <t>주가: 야후 파이낸스 일봉</t>
        </is>
      </c>
      <c r="C92" s="39" t="n"/>
      <c r="O92" s="39" t="n"/>
      <c r="Y92" s="39" t="n"/>
    </row>
    <row r="94">
      <c r="A94" s="16" t="inlineStr">
        <is>
          <t>손익계산서 · 전 항목</t>
        </is>
      </c>
      <c r="B94" s="42" t="inlineStr">
        <is>
          <t>분기 = 3개월 단독</t>
        </is>
      </c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  <c r="AA94" s="16" t="n"/>
      <c r="AB94" s="16" t="n"/>
      <c r="AC94" s="16" t="n"/>
    </row>
    <row r="95">
      <c r="A95" s="5" t="inlineStr">
        <is>
          <t>항목</t>
        </is>
      </c>
      <c r="B95" s="5" t="inlineStr">
        <is>
          <t>참고</t>
        </is>
      </c>
      <c r="C95" s="5" t="inlineStr">
        <is>
          <t>2024.3Q</t>
        </is>
      </c>
      <c r="D95" s="5" t="inlineStr">
        <is>
          <t>2024.4Q</t>
        </is>
      </c>
      <c r="E95" s="5" t="inlineStr">
        <is>
          <t>2025.1Q</t>
        </is>
      </c>
      <c r="F95" s="5" t="inlineStr">
        <is>
          <t>2025.2Q</t>
        </is>
      </c>
      <c r="G95" s="5" t="inlineStr">
        <is>
          <t>2025.3Q</t>
        </is>
      </c>
      <c r="H95" s="5" t="inlineStr">
        <is>
          <t>2025.4Q</t>
        </is>
      </c>
      <c r="I95" s="5" t="inlineStr">
        <is>
          <t>2026.1Q</t>
        </is>
      </c>
      <c r="J95" s="5" t="inlineStr">
        <is>
          <t>2026.2Q</t>
        </is>
      </c>
      <c r="K95" s="5" t="inlineStr">
        <is>
          <t>2026.3Q</t>
        </is>
      </c>
      <c r="L95" s="5" t="inlineStr">
        <is>
          <t>2026.4Q</t>
        </is>
      </c>
      <c r="M95" s="5" t="inlineStr">
        <is>
          <t>2027.1Q</t>
        </is>
      </c>
      <c r="N95" s="5" t="inlineStr">
        <is>
          <t>2027.2Q</t>
        </is>
      </c>
      <c r="O95" s="5" t="inlineStr">
        <is>
          <t>2017</t>
        </is>
      </c>
      <c r="P95" s="5" t="inlineStr">
        <is>
          <t>2018</t>
        </is>
      </c>
      <c r="Q95" s="5" t="inlineStr">
        <is>
          <t>2019</t>
        </is>
      </c>
      <c r="R95" s="5" t="inlineStr">
        <is>
          <t>2020</t>
        </is>
      </c>
      <c r="S95" s="5" t="inlineStr">
        <is>
          <t>2021</t>
        </is>
      </c>
      <c r="T95" s="5" t="inlineStr">
        <is>
          <t>2022</t>
        </is>
      </c>
      <c r="U95" s="5" t="inlineStr">
        <is>
          <t>2023</t>
        </is>
      </c>
      <c r="V95" s="5" t="inlineStr">
        <is>
          <t>2024</t>
        </is>
      </c>
      <c r="W95" s="5" t="inlineStr">
        <is>
          <t>2025</t>
        </is>
      </c>
      <c r="X95" s="5" t="inlineStr">
        <is>
          <t>2026</t>
        </is>
      </c>
      <c r="Y95" s="5" t="inlineStr">
        <is>
          <t>2027(MW)</t>
        </is>
      </c>
      <c r="Z95" s="5" t="inlineStr">
        <is>
          <t>2028(MW)</t>
        </is>
      </c>
      <c r="AA95" s="5" t="inlineStr">
        <is>
          <t>2029(MW)</t>
        </is>
      </c>
      <c r="AB95" s="5" t="inlineStr">
        <is>
          <t>2030(MW)</t>
        </is>
      </c>
      <c r="AC95" s="5" t="inlineStr">
        <is>
          <t>2031(MW)</t>
        </is>
      </c>
    </row>
    <row r="96">
      <c r="A96" s="9" t="inlineStr">
        <is>
          <t>매출액</t>
        </is>
      </c>
      <c r="C96" s="12" t="n">
        <v>5837</v>
      </c>
      <c r="D96" s="12" t="n">
        <v>10837</v>
      </c>
      <c r="E96" s="12" t="n">
        <v>5280</v>
      </c>
      <c r="F96" s="12" t="n">
        <v>9441</v>
      </c>
      <c r="G96" s="12" t="n">
        <v>7498</v>
      </c>
      <c r="H96" s="12" t="n">
        <v>14028</v>
      </c>
      <c r="I96" s="12" t="n">
        <v>6347</v>
      </c>
      <c r="J96" s="12" t="n">
        <v>8422</v>
      </c>
      <c r="K96" s="12" t="n">
        <v>9015</v>
      </c>
      <c r="L96" s="12" t="n">
        <v>13548</v>
      </c>
      <c r="M96" s="12" t="n">
        <v>6119</v>
      </c>
      <c r="N96" s="12" t="n">
        <v>9936</v>
      </c>
      <c r="T96" s="12" t="n">
        <v>10392</v>
      </c>
      <c r="U96" s="12" t="n">
        <v>11498</v>
      </c>
      <c r="V96" s="12" t="n">
        <v>10837</v>
      </c>
      <c r="W96" s="12" t="n">
        <v>14028</v>
      </c>
      <c r="X96" s="12" t="n">
        <v>13548</v>
      </c>
    </row>
    <row r="97">
      <c r="A97" s="43" t="inlineStr">
        <is>
          <t>YoY</t>
        </is>
      </c>
      <c r="B97" s="3" t="inlineStr">
        <is>
          <t>전년 같은 분기·전년 대비</t>
        </is>
      </c>
      <c r="G97" s="15">
        <f>IF(OR(G96="",C96=""),"",IF(C96&lt;=0,"",IFERROR(G96/C96-1,"")))</f>
        <v/>
      </c>
      <c r="H97" s="15">
        <f>IF(OR(H96="",D96=""),"",IF(D96&lt;=0,"",IFERROR(H96/D96-1,"")))</f>
        <v/>
      </c>
      <c r="I97" s="15">
        <f>IF(OR(I96="",E96=""),"",IF(E96&lt;=0,"",IFERROR(I96/E96-1,"")))</f>
        <v/>
      </c>
      <c r="J97" s="15">
        <f>IF(OR(J96="",F96=""),"",IF(F96&lt;=0,"",IFERROR(J96/F96-1,"")))</f>
        <v/>
      </c>
      <c r="K97" s="15">
        <f>IF(OR(K96="",G96=""),"",IF(G96&lt;=0,"",IFERROR(K96/G96-1,"")))</f>
        <v/>
      </c>
      <c r="L97" s="15">
        <f>IF(OR(L96="",H96=""),"",IF(H96&lt;=0,"",IFERROR(L96/H96-1,"")))</f>
        <v/>
      </c>
      <c r="M97" s="15">
        <f>IF(OR(M96="",I96=""),"",IF(I96&lt;=0,"",IFERROR(M96/I96-1,"")))</f>
        <v/>
      </c>
      <c r="N97" s="15">
        <f>IF(OR(N96="",J96=""),"",IF(J96&lt;=0,"",IFERROR(N96/J96-1,"")))</f>
        <v/>
      </c>
      <c r="T97" s="15">
        <f>IF(OR(T96="",S96=""),"",IF(S96&lt;=0,"",IFERROR(T96/S96-1,"")))</f>
        <v/>
      </c>
      <c r="U97" s="15">
        <f>IF(OR(U96="",T96=""),"",IF(T96&lt;=0,"",IFERROR(U96/T96-1,"")))</f>
        <v/>
      </c>
      <c r="V97" s="15">
        <f>IF(OR(V96="",U96=""),"",IF(U96&lt;=0,"",IFERROR(V96/U96-1,"")))</f>
        <v/>
      </c>
      <c r="W97" s="15">
        <f>IF(OR(W96="",V96=""),"",IF(V96&lt;=0,"",IFERROR(W96/V96-1,"")))</f>
        <v/>
      </c>
      <c r="X97" s="15">
        <f>IF(OR(X96="",W96=""),"",IF(W96&lt;=0,"",IFERROR(X96/W96-1,"")))</f>
        <v/>
      </c>
    </row>
    <row r="98">
      <c r="A98" s="18" t="inlineStr">
        <is>
          <t>매출원가</t>
        </is>
      </c>
      <c r="C98" s="20" t="n">
        <v>4905</v>
      </c>
      <c r="D98" s="20" t="n">
        <v>7682</v>
      </c>
      <c r="E98" s="20" t="n">
        <v>4759</v>
      </c>
      <c r="F98" s="20" t="n">
        <v>7521</v>
      </c>
      <c r="G98" s="20" t="n">
        <v>6138</v>
      </c>
      <c r="H98" s="20" t="n">
        <v>10238</v>
      </c>
      <c r="I98" s="20" t="n">
        <v>5464</v>
      </c>
      <c r="J98" s="20" t="n">
        <v>6658</v>
      </c>
      <c r="K98" s="20" t="n">
        <v>7203</v>
      </c>
      <c r="L98" s="20" t="n">
        <v>9893</v>
      </c>
      <c r="M98" s="20" t="n">
        <v>5010</v>
      </c>
      <c r="N98" s="20" t="n">
        <v>7760</v>
      </c>
      <c r="T98" s="20" t="n">
        <v>7691</v>
      </c>
      <c r="U98" s="20" t="n">
        <v>8485</v>
      </c>
      <c r="V98" s="20" t="n">
        <v>7682</v>
      </c>
      <c r="W98" s="20" t="n">
        <v>10238</v>
      </c>
      <c r="X98" s="20" t="n">
        <v>9893</v>
      </c>
    </row>
    <row r="99">
      <c r="A99" s="43" t="inlineStr">
        <is>
          <t>YoY</t>
        </is>
      </c>
      <c r="B99" s="3" t="inlineStr">
        <is>
          <t>전년 같은 분기·전년 대비</t>
        </is>
      </c>
      <c r="G99" s="15">
        <f>IF(OR(G98="",C98=""),"",IF(G98*C98&lt;=0,"",IFERROR(G98/C98-1,"")))</f>
        <v/>
      </c>
      <c r="H99" s="15">
        <f>IF(OR(H98="",D98=""),"",IF(H98*D98&lt;=0,"",IFERROR(H98/D98-1,"")))</f>
        <v/>
      </c>
      <c r="I99" s="15">
        <f>IF(OR(I98="",E98=""),"",IF(I98*E98&lt;=0,"",IFERROR(I98/E98-1,"")))</f>
        <v/>
      </c>
      <c r="J99" s="15">
        <f>IF(OR(J98="",F98=""),"",IF(J98*F98&lt;=0,"",IFERROR(J98/F98-1,"")))</f>
        <v/>
      </c>
      <c r="K99" s="15">
        <f>IF(OR(K98="",G98=""),"",IF(K98*G98&lt;=0,"",IFERROR(K98/G98-1,"")))</f>
        <v/>
      </c>
      <c r="L99" s="15">
        <f>IF(OR(L98="",H98=""),"",IF(L98*H98&lt;=0,"",IFERROR(L98/H98-1,"")))</f>
        <v/>
      </c>
      <c r="M99" s="15">
        <f>IF(OR(M98="",I98=""),"",IF(M98*I98&lt;=0,"",IFERROR(M98/I98-1,"")))</f>
        <v/>
      </c>
      <c r="N99" s="15">
        <f>IF(OR(N98="",J98=""),"",IF(N98*J98&lt;=0,"",IFERROR(N98/J98-1,"")))</f>
        <v/>
      </c>
      <c r="T99" s="15">
        <f>IF(OR(T98="",S98=""),"",IF(T98*S98&lt;=0,"",IFERROR(T98/S98-1,"")))</f>
        <v/>
      </c>
      <c r="U99" s="15">
        <f>IF(OR(U98="",T98=""),"",IF(U98*T98&lt;=0,"",IFERROR(U98/T98-1,"")))</f>
        <v/>
      </c>
      <c r="V99" s="15">
        <f>IF(OR(V98="",U98=""),"",IF(V98*U98&lt;=0,"",IFERROR(V98/U98-1,"")))</f>
        <v/>
      </c>
      <c r="W99" s="15">
        <f>IF(OR(W98="",V98=""),"",IF(W98*V98&lt;=0,"",IFERROR(W98/V98-1,"")))</f>
        <v/>
      </c>
      <c r="X99" s="15">
        <f>IF(OR(X98="",W98=""),"",IF(X98*W98&lt;=0,"",IFERROR(X98/W98-1,"")))</f>
        <v/>
      </c>
    </row>
    <row r="100">
      <c r="A100" s="9" t="inlineStr">
        <is>
          <t>매출총이익</t>
        </is>
      </c>
      <c r="C100" s="12" t="n">
        <v>931</v>
      </c>
      <c r="D100" s="12" t="n">
        <v>3156</v>
      </c>
      <c r="E100" s="12" t="n">
        <v>521</v>
      </c>
      <c r="F100" s="12" t="n">
        <v>1919</v>
      </c>
      <c r="G100" s="12" t="n">
        <v>1360</v>
      </c>
      <c r="H100" s="12" t="n">
        <v>3790</v>
      </c>
      <c r="I100" s="12" t="n">
        <v>883</v>
      </c>
      <c r="J100" s="12" t="n">
        <v>1763</v>
      </c>
      <c r="K100" s="12" t="n">
        <v>1813</v>
      </c>
      <c r="L100" s="12" t="n">
        <v>3655</v>
      </c>
      <c r="M100" s="12" t="n">
        <v>1108</v>
      </c>
      <c r="N100" s="12" t="n">
        <v>2177</v>
      </c>
      <c r="T100" s="12" t="n">
        <v>2702</v>
      </c>
      <c r="U100" s="12" t="n">
        <v>3012</v>
      </c>
      <c r="V100" s="12" t="n">
        <v>3156</v>
      </c>
      <c r="W100" s="12" t="n">
        <v>3790</v>
      </c>
      <c r="X100" s="12" t="n">
        <v>3655</v>
      </c>
    </row>
    <row r="101">
      <c r="A101" s="43" t="inlineStr">
        <is>
          <t>YoY</t>
        </is>
      </c>
      <c r="B101" s="3" t="inlineStr">
        <is>
          <t>전년 같은 분기·전년 대비</t>
        </is>
      </c>
      <c r="G101" s="15">
        <f>IF(OR(G100="",C100=""),"",IF(C100&lt;=0,"",IFERROR(G100/C100-1,"")))</f>
        <v/>
      </c>
      <c r="H101" s="15">
        <f>IF(OR(H100="",D100=""),"",IF(D100&lt;=0,"",IFERROR(H100/D100-1,"")))</f>
        <v/>
      </c>
      <c r="I101" s="15">
        <f>IF(OR(I100="",E100=""),"",IF(E100&lt;=0,"",IFERROR(I100/E100-1,"")))</f>
        <v/>
      </c>
      <c r="J101" s="15">
        <f>IF(OR(J100="",F100=""),"",IF(F100&lt;=0,"",IFERROR(J100/F100-1,"")))</f>
        <v/>
      </c>
      <c r="K101" s="15">
        <f>IF(OR(K100="",G100=""),"",IF(G100&lt;=0,"",IFERROR(K100/G100-1,"")))</f>
        <v/>
      </c>
      <c r="L101" s="15">
        <f>IF(OR(L100="",H100=""),"",IF(H100&lt;=0,"",IFERROR(L100/H100-1,"")))</f>
        <v/>
      </c>
      <c r="M101" s="15">
        <f>IF(OR(M100="",I100=""),"",IF(I100&lt;=0,"",IFERROR(M100/I100-1,"")))</f>
        <v/>
      </c>
      <c r="N101" s="15">
        <f>IF(OR(N100="",J100=""),"",IF(J100&lt;=0,"",IFERROR(N100/J100-1,"")))</f>
        <v/>
      </c>
      <c r="T101" s="15">
        <f>IF(OR(T100="",S100=""),"",IF(S100&lt;=0,"",IFERROR(T100/S100-1,"")))</f>
        <v/>
      </c>
      <c r="U101" s="15">
        <f>IF(OR(U100="",T100=""),"",IF(T100&lt;=0,"",IFERROR(U100/T100-1,"")))</f>
        <v/>
      </c>
      <c r="V101" s="15">
        <f>IF(OR(V100="",U100=""),"",IF(U100&lt;=0,"",IFERROR(V100/U100-1,"")))</f>
        <v/>
      </c>
      <c r="W101" s="15">
        <f>IF(OR(W100="",V100=""),"",IF(V100&lt;=0,"",IFERROR(W100/V100-1,"")))</f>
        <v/>
      </c>
      <c r="X101" s="15">
        <f>IF(OR(X100="",W100=""),"",IF(W100&lt;=0,"",IFERROR(X100/W100-1,"")))</f>
        <v/>
      </c>
    </row>
    <row r="102">
      <c r="A102" s="18" t="inlineStr">
        <is>
          <t>판매비와 관리비</t>
        </is>
      </c>
      <c r="C102" s="20" t="n">
        <v>1121</v>
      </c>
      <c r="D102" s="20" t="n">
        <v>1238</v>
      </c>
      <c r="E102" s="20" t="n">
        <v>1203</v>
      </c>
      <c r="F102" s="20" t="n">
        <v>1160</v>
      </c>
      <c r="G102" s="20" t="n">
        <v>1163</v>
      </c>
      <c r="H102" s="20" t="n">
        <v>1328</v>
      </c>
      <c r="I102" s="20" t="n">
        <v>1254</v>
      </c>
      <c r="J102" s="20" t="n">
        <v>1229</v>
      </c>
      <c r="K102" s="20" t="n">
        <v>1356</v>
      </c>
      <c r="L102" s="20" t="n">
        <v>1396</v>
      </c>
      <c r="M102" s="20" t="n">
        <v>1317</v>
      </c>
      <c r="N102" s="20" t="n">
        <v>1330</v>
      </c>
      <c r="T102" s="20" t="n">
        <v>1169</v>
      </c>
      <c r="U102" s="20" t="n">
        <v>1134</v>
      </c>
      <c r="V102" s="20" t="n">
        <v>1238</v>
      </c>
      <c r="W102" s="20" t="n">
        <v>1328</v>
      </c>
      <c r="X102" s="20" t="n">
        <v>1396</v>
      </c>
    </row>
    <row r="103">
      <c r="A103" s="43" t="inlineStr">
        <is>
          <t>YoY</t>
        </is>
      </c>
      <c r="B103" s="3" t="inlineStr">
        <is>
          <t>전년 같은 분기·전년 대비</t>
        </is>
      </c>
      <c r="G103" s="15">
        <f>IF(OR(G102="",C102=""),"",IF(G102*C102&lt;=0,"",IFERROR(G102/C102-1,"")))</f>
        <v/>
      </c>
      <c r="H103" s="15">
        <f>IF(OR(H102="",D102=""),"",IF(H102*D102&lt;=0,"",IFERROR(H102/D102-1,"")))</f>
        <v/>
      </c>
      <c r="I103" s="15">
        <f>IF(OR(I102="",E102=""),"",IF(I102*E102&lt;=0,"",IFERROR(I102/E102-1,"")))</f>
        <v/>
      </c>
      <c r="J103" s="15">
        <f>IF(OR(J102="",F102=""),"",IF(J102*F102&lt;=0,"",IFERROR(J102/F102-1,"")))</f>
        <v/>
      </c>
      <c r="K103" s="15">
        <f>IF(OR(K102="",G102=""),"",IF(K102*G102&lt;=0,"",IFERROR(K102/G102-1,"")))</f>
        <v/>
      </c>
      <c r="L103" s="15">
        <f>IF(OR(L102="",H102=""),"",IF(L102*H102&lt;=0,"",IFERROR(L102/H102-1,"")))</f>
        <v/>
      </c>
      <c r="M103" s="15">
        <f>IF(OR(M102="",I102=""),"",IF(M102*I102&lt;=0,"",IFERROR(M102/I102-1,"")))</f>
        <v/>
      </c>
      <c r="N103" s="15">
        <f>IF(OR(N102="",J102=""),"",IF(N102*J102&lt;=0,"",IFERROR(N102/J102-1,"")))</f>
        <v/>
      </c>
      <c r="T103" s="15">
        <f>IF(OR(T102="",S102=""),"",IF(T102*S102&lt;=0,"",IFERROR(T102/S102-1,"")))</f>
        <v/>
      </c>
      <c r="U103" s="15">
        <f>IF(OR(U102="",T102=""),"",IF(U102*T102&lt;=0,"",IFERROR(U102/T102-1,"")))</f>
        <v/>
      </c>
      <c r="V103" s="15">
        <f>IF(OR(V102="",U102=""),"",IF(V102*U102&lt;=0,"",IFERROR(V102/U102-1,"")))</f>
        <v/>
      </c>
      <c r="W103" s="15">
        <f>IF(OR(W102="",V102=""),"",IF(W102*V102&lt;=0,"",IFERROR(W102/V102-1,"")))</f>
        <v/>
      </c>
      <c r="X103" s="15">
        <f>IF(OR(X102="",W102=""),"",IF(X102*W102&lt;=0,"",IFERROR(X102/W102-1,"")))</f>
        <v/>
      </c>
    </row>
    <row r="104">
      <c r="A104" s="9" t="inlineStr">
        <is>
          <t>영업이익</t>
        </is>
      </c>
      <c r="C104" s="12" t="n">
        <v>-189</v>
      </c>
      <c r="D104" s="12" t="n">
        <v>1916</v>
      </c>
      <c r="E104" s="12" t="n">
        <v>-682</v>
      </c>
      <c r="F104" s="12" t="n">
        <v>759</v>
      </c>
      <c r="G104" s="12" t="n">
        <v>197</v>
      </c>
      <c r="H104" s="12" t="n">
        <v>2461</v>
      </c>
      <c r="I104" s="12" t="n">
        <v>-371</v>
      </c>
      <c r="J104" s="12" t="n">
        <v>534</v>
      </c>
      <c r="K104" s="12" t="n">
        <v>456</v>
      </c>
      <c r="L104" s="12" t="n">
        <v>2260</v>
      </c>
      <c r="M104" s="12" t="n">
        <v>-209</v>
      </c>
      <c r="N104" s="12" t="n">
        <v>846</v>
      </c>
      <c r="T104" s="12" t="n">
        <v>1531</v>
      </c>
      <c r="U104" s="12" t="n">
        <v>1877</v>
      </c>
      <c r="V104" s="12" t="n">
        <v>1916</v>
      </c>
      <c r="W104" s="12" t="n">
        <v>2461</v>
      </c>
      <c r="X104" s="12" t="n">
        <v>2260</v>
      </c>
    </row>
    <row r="105">
      <c r="A105" s="43" t="inlineStr">
        <is>
          <t>OPM</t>
        </is>
      </c>
      <c r="B105" s="3" t="inlineStr">
        <is>
          <t>영업이익 ÷ 매출</t>
        </is>
      </c>
      <c r="C105" s="15">
        <f>IF(OR(C104="",C96=""),"",IF(C96&lt;=0,"",IFERROR(C104/C96,"")))</f>
        <v/>
      </c>
      <c r="D105" s="15">
        <f>IF(OR(D104="",D96=""),"",IF(D96&lt;=0,"",IFERROR(D104/D96,"")))</f>
        <v/>
      </c>
      <c r="E105" s="15">
        <f>IF(OR(E104="",E96=""),"",IF(E96&lt;=0,"",IFERROR(E104/E96,"")))</f>
        <v/>
      </c>
      <c r="F105" s="15">
        <f>IF(OR(F104="",F96=""),"",IF(F96&lt;=0,"",IFERROR(F104/F96,"")))</f>
        <v/>
      </c>
      <c r="G105" s="15">
        <f>IF(OR(G104="",G96=""),"",IF(G96&lt;=0,"",IFERROR(G104/G96,"")))</f>
        <v/>
      </c>
      <c r="H105" s="15">
        <f>IF(OR(H104="",H96=""),"",IF(H96&lt;=0,"",IFERROR(H104/H96,"")))</f>
        <v/>
      </c>
      <c r="I105" s="15">
        <f>IF(OR(I104="",I96=""),"",IF(I96&lt;=0,"",IFERROR(I104/I96,"")))</f>
        <v/>
      </c>
      <c r="J105" s="15">
        <f>IF(OR(J104="",J96=""),"",IF(J96&lt;=0,"",IFERROR(J104/J96,"")))</f>
        <v/>
      </c>
      <c r="K105" s="15">
        <f>IF(OR(K104="",K96=""),"",IF(K96&lt;=0,"",IFERROR(K104/K96,"")))</f>
        <v/>
      </c>
      <c r="L105" s="15">
        <f>IF(OR(L104="",L96=""),"",IF(L96&lt;=0,"",IFERROR(L104/L96,"")))</f>
        <v/>
      </c>
      <c r="M105" s="15">
        <f>IF(OR(M104="",M96=""),"",IF(M96&lt;=0,"",IFERROR(M104/M96,"")))</f>
        <v/>
      </c>
      <c r="N105" s="15">
        <f>IF(OR(N104="",N96=""),"",IF(N96&lt;=0,"",IFERROR(N104/N96,"")))</f>
        <v/>
      </c>
      <c r="T105" s="15">
        <f>IF(OR(T104="",T96=""),"",IF(T96&lt;=0,"",IFERROR(T104/T96,"")))</f>
        <v/>
      </c>
      <c r="U105" s="15">
        <f>IF(OR(U104="",U96=""),"",IF(U96&lt;=0,"",IFERROR(U104/U96,"")))</f>
        <v/>
      </c>
      <c r="V105" s="15">
        <f>IF(OR(V104="",V96=""),"",IF(V96&lt;=0,"",IFERROR(V104/V96,"")))</f>
        <v/>
      </c>
      <c r="W105" s="15">
        <f>IF(OR(W104="",W96=""),"",IF(W96&lt;=0,"",IFERROR(W104/W96,"")))</f>
        <v/>
      </c>
      <c r="X105" s="15">
        <f>IF(OR(X104="",X96=""),"",IF(X96&lt;=0,"",IFERROR(X104/X96,"")))</f>
        <v/>
      </c>
    </row>
    <row r="106">
      <c r="A106" s="43" t="inlineStr">
        <is>
          <t>YoY</t>
        </is>
      </c>
      <c r="B106" s="3" t="inlineStr">
        <is>
          <t>전년 같은 분기·전년 대비</t>
        </is>
      </c>
      <c r="G106" s="15">
        <f>IF(OR(G104="",C104=""),"",IF(C104&lt;=0,"",IFERROR(G104/C104-1,"")))</f>
        <v/>
      </c>
      <c r="H106" s="15">
        <f>IF(OR(H104="",D104=""),"",IF(D104&lt;=0,"",IFERROR(H104/D104-1,"")))</f>
        <v/>
      </c>
      <c r="I106" s="15">
        <f>IF(OR(I104="",E104=""),"",IF(E104&lt;=0,"",IFERROR(I104/E104-1,"")))</f>
        <v/>
      </c>
      <c r="J106" s="15">
        <f>IF(OR(J104="",F104=""),"",IF(F104&lt;=0,"",IFERROR(J104/F104-1,"")))</f>
        <v/>
      </c>
      <c r="K106" s="15">
        <f>IF(OR(K104="",G104=""),"",IF(G104&lt;=0,"",IFERROR(K104/G104-1,"")))</f>
        <v/>
      </c>
      <c r="L106" s="15">
        <f>IF(OR(L104="",H104=""),"",IF(H104&lt;=0,"",IFERROR(L104/H104-1,"")))</f>
        <v/>
      </c>
      <c r="M106" s="15">
        <f>IF(OR(M104="",I104=""),"",IF(I104&lt;=0,"",IFERROR(M104/I104-1,"")))</f>
        <v/>
      </c>
      <c r="N106" s="15">
        <f>IF(OR(N104="",J104=""),"",IF(J104&lt;=0,"",IFERROR(N104/J104-1,"")))</f>
        <v/>
      </c>
      <c r="T106" s="15">
        <f>IF(OR(T104="",S104=""),"",IF(S104&lt;=0,"",IFERROR(T104/S104-1,"")))</f>
        <v/>
      </c>
      <c r="U106" s="15">
        <f>IF(OR(U104="",T104=""),"",IF(T104&lt;=0,"",IFERROR(U104/T104-1,"")))</f>
        <v/>
      </c>
      <c r="V106" s="15">
        <f>IF(OR(V104="",U104=""),"",IF(U104&lt;=0,"",IFERROR(V104/U104-1,"")))</f>
        <v/>
      </c>
      <c r="W106" s="15">
        <f>IF(OR(W104="",V104=""),"",IF(V104&lt;=0,"",IFERROR(W104/V104-1,"")))</f>
        <v/>
      </c>
      <c r="X106" s="15">
        <f>IF(OR(X104="",W104=""),"",IF(W104&lt;=0,"",IFERROR(X104/W104-1,"")))</f>
        <v/>
      </c>
    </row>
    <row r="107">
      <c r="A107" s="18" t="inlineStr">
        <is>
          <t>배당금수익</t>
        </is>
      </c>
      <c r="C107" s="20" t="n">
        <v>94</v>
      </c>
      <c r="D107" s="20" t="n">
        <v>1</v>
      </c>
      <c r="E107" s="20" t="n">
        <v>126</v>
      </c>
      <c r="F107" s="20" t="n">
        <v>3</v>
      </c>
      <c r="G107" s="20" t="n">
        <v>113</v>
      </c>
      <c r="H107" s="20" t="n">
        <v>1</v>
      </c>
      <c r="I107" s="20" t="n">
        <v>143</v>
      </c>
      <c r="J107" s="20" t="n">
        <v>2</v>
      </c>
      <c r="K107" s="20" t="n">
        <v>91</v>
      </c>
      <c r="L107" s="20" t="n">
        <v>0</v>
      </c>
      <c r="M107" s="20" t="n">
        <v>93</v>
      </c>
      <c r="N107" s="20" t="n">
        <v>3</v>
      </c>
      <c r="T107" s="20" t="n">
        <v>1</v>
      </c>
      <c r="U107" s="20" t="n">
        <v>2</v>
      </c>
      <c r="V107" s="20" t="n">
        <v>1</v>
      </c>
      <c r="W107" s="20" t="n">
        <v>1</v>
      </c>
      <c r="X107" s="20" t="n">
        <v>0</v>
      </c>
    </row>
    <row r="108">
      <c r="A108" s="18" t="inlineStr">
        <is>
          <t>기타</t>
        </is>
      </c>
      <c r="C108" s="20" t="n">
        <v>16</v>
      </c>
      <c r="E108" s="20" t="n">
        <v>30</v>
      </c>
      <c r="F108" s="20" t="n">
        <v>26</v>
      </c>
      <c r="G108" s="20" t="n">
        <v>-1</v>
      </c>
      <c r="I108" s="20" t="n">
        <v>14</v>
      </c>
      <c r="J108" s="20" t="n">
        <v>13</v>
      </c>
      <c r="K108" s="20" t="n">
        <v>12</v>
      </c>
      <c r="M108" s="20" t="n">
        <v>36</v>
      </c>
      <c r="N108" s="20" t="n">
        <v>9</v>
      </c>
    </row>
    <row r="109">
      <c r="A109" s="18" t="inlineStr">
        <is>
          <t>영업외수익 합계</t>
        </is>
      </c>
      <c r="C109" s="20" t="n">
        <v>109</v>
      </c>
      <c r="D109" s="20" t="n">
        <v>25</v>
      </c>
      <c r="E109" s="20" t="n">
        <v>156</v>
      </c>
      <c r="F109" s="20" t="n">
        <v>30</v>
      </c>
      <c r="G109" s="20" t="n">
        <v>112</v>
      </c>
      <c r="H109" s="20" t="n">
        <v>50</v>
      </c>
      <c r="I109" s="20" t="n">
        <v>157</v>
      </c>
      <c r="J109" s="20" t="n">
        <v>15</v>
      </c>
      <c r="K109" s="20" t="n">
        <v>104</v>
      </c>
      <c r="L109" s="20" t="n">
        <v>41</v>
      </c>
      <c r="M109" s="20" t="n">
        <v>130</v>
      </c>
      <c r="N109" s="20" t="n">
        <v>29</v>
      </c>
      <c r="T109" s="20" t="n">
        <v>23</v>
      </c>
      <c r="U109" s="20" t="n">
        <v>57</v>
      </c>
      <c r="V109" s="20" t="n">
        <v>25</v>
      </c>
      <c r="W109" s="20" t="n">
        <v>50</v>
      </c>
      <c r="X109" s="20" t="n">
        <v>41</v>
      </c>
    </row>
    <row r="110">
      <c r="A110" s="43" t="inlineStr">
        <is>
          <t>YoY</t>
        </is>
      </c>
      <c r="B110" s="3" t="inlineStr">
        <is>
          <t>전년 같은 분기·전년 대비</t>
        </is>
      </c>
      <c r="G110" s="15">
        <f>IF(OR(G109="",C109=""),"",IF(G109*C109&lt;=0,"",IFERROR(G109/C109-1,"")))</f>
        <v/>
      </c>
      <c r="H110" s="15">
        <f>IF(OR(H109="",D109=""),"",IF(H109*D109&lt;=0,"",IFERROR(H109/D109-1,"")))</f>
        <v/>
      </c>
      <c r="I110" s="15">
        <f>IF(OR(I109="",E109=""),"",IF(I109*E109&lt;=0,"",IFERROR(I109/E109-1,"")))</f>
        <v/>
      </c>
      <c r="J110" s="15">
        <f>IF(OR(J109="",F109=""),"",IF(J109*F109&lt;=0,"",IFERROR(J109/F109-1,"")))</f>
        <v/>
      </c>
      <c r="K110" s="15">
        <f>IF(OR(K109="",G109=""),"",IF(K109*G109&lt;=0,"",IFERROR(K109/G109-1,"")))</f>
        <v/>
      </c>
      <c r="L110" s="15">
        <f>IF(OR(L109="",H109=""),"",IF(L109*H109&lt;=0,"",IFERROR(L109/H109-1,"")))</f>
        <v/>
      </c>
      <c r="M110" s="15">
        <f>IF(OR(M109="",I109=""),"",IF(M109*I109&lt;=0,"",IFERROR(M109/I109-1,"")))</f>
        <v/>
      </c>
      <c r="N110" s="15">
        <f>IF(OR(N109="",J109=""),"",IF(N109*J109&lt;=0,"",IFERROR(N109/J109-1,"")))</f>
        <v/>
      </c>
      <c r="T110" s="15">
        <f>IF(OR(T109="",S109=""),"",IF(T109*S109&lt;=0,"",IFERROR(T109/S109-1,"")))</f>
        <v/>
      </c>
      <c r="U110" s="15">
        <f>IF(OR(U109="",T109=""),"",IF(U109*T109&lt;=0,"",IFERROR(U109/T109-1,"")))</f>
        <v/>
      </c>
      <c r="V110" s="15">
        <f>IF(OR(V109="",U109=""),"",IF(V109*U109&lt;=0,"",IFERROR(V109/U109-1,"")))</f>
        <v/>
      </c>
      <c r="W110" s="15">
        <f>IF(OR(W109="",V109=""),"",IF(W109*V109&lt;=0,"",IFERROR(W109/V109-1,"")))</f>
        <v/>
      </c>
      <c r="X110" s="15">
        <f>IF(OR(X109="",W109=""),"",IF(X109*W109&lt;=0,"",IFERROR(X109/W109-1,"")))</f>
        <v/>
      </c>
    </row>
    <row r="111">
      <c r="A111" s="18" t="inlineStr">
        <is>
          <t>이자비용</t>
        </is>
      </c>
      <c r="C111" s="20" t="n">
        <v>14</v>
      </c>
      <c r="D111" s="20" t="n">
        <v>15</v>
      </c>
      <c r="E111" s="20" t="n">
        <v>13</v>
      </c>
      <c r="F111" s="20" t="n">
        <v>15</v>
      </c>
      <c r="G111" s="20" t="n">
        <v>15</v>
      </c>
      <c r="H111" s="20" t="n">
        <v>15</v>
      </c>
      <c r="I111" s="20" t="n">
        <v>20</v>
      </c>
      <c r="J111" s="20" t="n">
        <v>19</v>
      </c>
      <c r="K111" s="20" t="n">
        <v>19</v>
      </c>
      <c r="L111" s="20" t="n">
        <v>16</v>
      </c>
      <c r="M111" s="20" t="n">
        <v>19</v>
      </c>
      <c r="N111" s="20" t="n">
        <v>16</v>
      </c>
      <c r="T111" s="20" t="n">
        <v>9</v>
      </c>
      <c r="U111" s="20" t="n">
        <v>10</v>
      </c>
      <c r="V111" s="20" t="n">
        <v>15</v>
      </c>
      <c r="W111" s="20" t="n">
        <v>15</v>
      </c>
      <c r="X111" s="20" t="n">
        <v>16</v>
      </c>
    </row>
    <row r="112">
      <c r="A112" s="18" t="inlineStr">
        <is>
          <t>외환차손</t>
        </is>
      </c>
      <c r="D112" s="20" t="n">
        <v>11</v>
      </c>
      <c r="E112" s="20" t="n">
        <v>0</v>
      </c>
      <c r="F112" s="20" t="n">
        <v>0</v>
      </c>
      <c r="G112" s="20" t="n">
        <v>30</v>
      </c>
      <c r="H112" s="20" t="n">
        <v>-14</v>
      </c>
      <c r="I112" s="20" t="n">
        <v>15</v>
      </c>
      <c r="J112" s="20" t="n">
        <v>16</v>
      </c>
      <c r="K112" s="20" t="n">
        <v>-21</v>
      </c>
      <c r="L112" s="20" t="n">
        <v>-10</v>
      </c>
      <c r="M112" s="20" t="n">
        <v>0</v>
      </c>
      <c r="N112" s="20" t="n">
        <v>0</v>
      </c>
      <c r="T112" s="20" t="n">
        <v>0</v>
      </c>
      <c r="U112" s="20" t="n">
        <v>0</v>
      </c>
      <c r="V112" s="20" t="n">
        <v>11</v>
      </c>
      <c r="W112" s="20" t="n">
        <v>-14</v>
      </c>
      <c r="X112" s="20" t="n">
        <v>-10</v>
      </c>
    </row>
    <row r="113">
      <c r="A113" s="18" t="inlineStr">
        <is>
          <t>기타</t>
        </is>
      </c>
      <c r="C113" s="20" t="n">
        <v>-9</v>
      </c>
      <c r="E113" s="20" t="n">
        <v>2</v>
      </c>
      <c r="F113" s="20" t="n">
        <v>0</v>
      </c>
      <c r="G113" s="20" t="n">
        <v>3</v>
      </c>
      <c r="I113" s="20" t="n">
        <v>2</v>
      </c>
      <c r="J113" s="20" t="n">
        <v>2</v>
      </c>
      <c r="K113" s="20" t="n">
        <v>5</v>
      </c>
      <c r="M113" s="20" t="n">
        <v>9</v>
      </c>
      <c r="N113" s="20" t="n">
        <v>0</v>
      </c>
    </row>
    <row r="114">
      <c r="A114" s="18" t="inlineStr">
        <is>
          <t>영업외비용 합계</t>
        </is>
      </c>
      <c r="C114" s="20" t="n">
        <v>8</v>
      </c>
      <c r="D114" s="20" t="n">
        <v>33</v>
      </c>
      <c r="E114" s="20" t="n">
        <v>16</v>
      </c>
      <c r="F114" s="20" t="n">
        <v>15</v>
      </c>
      <c r="G114" s="20" t="n">
        <v>49</v>
      </c>
      <c r="H114" s="20" t="n">
        <v>0</v>
      </c>
      <c r="I114" s="20" t="n">
        <v>38</v>
      </c>
      <c r="J114" s="20" t="n">
        <v>36</v>
      </c>
      <c r="K114" s="20" t="n">
        <v>4</v>
      </c>
      <c r="L114" s="20" t="n">
        <v>7</v>
      </c>
      <c r="M114" s="20" t="n">
        <v>29</v>
      </c>
      <c r="N114" s="20" t="n">
        <v>16</v>
      </c>
      <c r="T114" s="20" t="n">
        <v>12</v>
      </c>
      <c r="U114" s="20" t="n">
        <v>10</v>
      </c>
      <c r="V114" s="20" t="n">
        <v>33</v>
      </c>
      <c r="W114" s="20" t="n">
        <v>0</v>
      </c>
      <c r="X114" s="20" t="n">
        <v>7</v>
      </c>
    </row>
    <row r="115">
      <c r="A115" s="43" t="inlineStr">
        <is>
          <t>YoY</t>
        </is>
      </c>
      <c r="B115" s="3" t="inlineStr">
        <is>
          <t>전년 같은 분기·전년 대비</t>
        </is>
      </c>
      <c r="G115" s="15">
        <f>IF(OR(G114="",C114=""),"",IF(G114*C114&lt;=0,"",IFERROR(G114/C114-1,"")))</f>
        <v/>
      </c>
      <c r="H115" s="15">
        <f>IF(OR(H114="",D114=""),"",IF(H114*D114&lt;=0,"",IFERROR(H114/D114-1,"")))</f>
        <v/>
      </c>
      <c r="I115" s="15">
        <f>IF(OR(I114="",E114=""),"",IF(I114*E114&lt;=0,"",IFERROR(I114/E114-1,"")))</f>
        <v/>
      </c>
      <c r="J115" s="15">
        <f>IF(OR(J114="",F114=""),"",IF(J114*F114&lt;=0,"",IFERROR(J114/F114-1,"")))</f>
        <v/>
      </c>
      <c r="K115" s="15">
        <f>IF(OR(K114="",G114=""),"",IF(K114*G114&lt;=0,"",IFERROR(K114/G114-1,"")))</f>
        <v/>
      </c>
      <c r="L115" s="15">
        <f>IF(OR(L114="",H114=""),"",IF(L114*H114&lt;=0,"",IFERROR(L114/H114-1,"")))</f>
        <v/>
      </c>
      <c r="M115" s="15">
        <f>IF(OR(M114="",I114=""),"",IF(M114*I114&lt;=0,"",IFERROR(M114/I114-1,"")))</f>
        <v/>
      </c>
      <c r="N115" s="15">
        <f>IF(OR(N114="",J114=""),"",IF(N114*J114&lt;=0,"",IFERROR(N114/J114-1,"")))</f>
        <v/>
      </c>
      <c r="T115" s="15">
        <f>IF(OR(T114="",S114=""),"",IF(T114*S114&lt;=0,"",IFERROR(T114/S114-1,"")))</f>
        <v/>
      </c>
      <c r="U115" s="15">
        <f>IF(OR(U114="",T114=""),"",IF(U114*T114&lt;=0,"",IFERROR(U114/T114-1,"")))</f>
        <v/>
      </c>
      <c r="V115" s="15">
        <f>IF(OR(V114="",U114=""),"",IF(V114*U114&lt;=0,"",IFERROR(V114/U114-1,"")))</f>
        <v/>
      </c>
      <c r="W115" s="15">
        <f>IF(OR(W114="",V114=""),"",IF(W114*V114&lt;=0,"",IFERROR(W114/V114-1,"")))</f>
        <v/>
      </c>
      <c r="X115" s="15">
        <f>IF(OR(X114="",W114=""),"",IF(X114*W114&lt;=0,"",IFERROR(X114/W114-1,"")))</f>
        <v/>
      </c>
    </row>
    <row r="116">
      <c r="A116" s="9" t="inlineStr">
        <is>
          <t>경상이익</t>
        </is>
      </c>
      <c r="C116" s="12" t="n">
        <v>-89</v>
      </c>
      <c r="D116" s="12" t="n">
        <v>1908</v>
      </c>
      <c r="E116" s="12" t="n">
        <v>-541</v>
      </c>
      <c r="F116" s="12" t="n">
        <v>773</v>
      </c>
      <c r="G116" s="12" t="n">
        <v>260</v>
      </c>
      <c r="H116" s="12" t="n">
        <v>2511</v>
      </c>
      <c r="I116" s="12" t="n">
        <v>-252</v>
      </c>
      <c r="J116" s="12" t="n">
        <v>513</v>
      </c>
      <c r="K116" s="12" t="n">
        <v>555</v>
      </c>
      <c r="L116" s="12" t="n">
        <v>2294</v>
      </c>
      <c r="M116" s="12" t="n">
        <v>-108</v>
      </c>
      <c r="N116" s="12" t="n">
        <v>859</v>
      </c>
      <c r="T116" s="12" t="n">
        <v>1542</v>
      </c>
      <c r="U116" s="12" t="n">
        <v>1925</v>
      </c>
      <c r="V116" s="12" t="n">
        <v>1908</v>
      </c>
      <c r="W116" s="12" t="n">
        <v>2511</v>
      </c>
      <c r="X116" s="12" t="n">
        <v>2294</v>
      </c>
    </row>
    <row r="117">
      <c r="A117" s="43" t="inlineStr">
        <is>
          <t>YoY</t>
        </is>
      </c>
      <c r="B117" s="3" t="inlineStr">
        <is>
          <t>전년 같은 분기·전년 대비</t>
        </is>
      </c>
      <c r="G117" s="15">
        <f>IF(OR(G116="",C116=""),"",IF(C116&lt;=0,"",IFERROR(G116/C116-1,"")))</f>
        <v/>
      </c>
      <c r="H117" s="15">
        <f>IF(OR(H116="",D116=""),"",IF(D116&lt;=0,"",IFERROR(H116/D116-1,"")))</f>
        <v/>
      </c>
      <c r="I117" s="15">
        <f>IF(OR(I116="",E116=""),"",IF(E116&lt;=0,"",IFERROR(I116/E116-1,"")))</f>
        <v/>
      </c>
      <c r="J117" s="15">
        <f>IF(OR(J116="",F116=""),"",IF(F116&lt;=0,"",IFERROR(J116/F116-1,"")))</f>
        <v/>
      </c>
      <c r="K117" s="15">
        <f>IF(OR(K116="",G116=""),"",IF(G116&lt;=0,"",IFERROR(K116/G116-1,"")))</f>
        <v/>
      </c>
      <c r="L117" s="15">
        <f>IF(OR(L116="",H116=""),"",IF(H116&lt;=0,"",IFERROR(L116/H116-1,"")))</f>
        <v/>
      </c>
      <c r="M117" s="15">
        <f>IF(OR(M116="",I116=""),"",IF(I116&lt;=0,"",IFERROR(M116/I116-1,"")))</f>
        <v/>
      </c>
      <c r="N117" s="15">
        <f>IF(OR(N116="",J116=""),"",IF(J116&lt;=0,"",IFERROR(N116/J116-1,"")))</f>
        <v/>
      </c>
      <c r="T117" s="15">
        <f>IF(OR(T116="",S116=""),"",IF(S116&lt;=0,"",IFERROR(T116/S116-1,"")))</f>
        <v/>
      </c>
      <c r="U117" s="15">
        <f>IF(OR(U116="",T116=""),"",IF(T116&lt;=0,"",IFERROR(U116/T116-1,"")))</f>
        <v/>
      </c>
      <c r="V117" s="15">
        <f>IF(OR(V116="",U116=""),"",IF(U116&lt;=0,"",IFERROR(V116/U116-1,"")))</f>
        <v/>
      </c>
      <c r="W117" s="15">
        <f>IF(OR(W116="",V116=""),"",IF(V116&lt;=0,"",IFERROR(W116/V116-1,"")))</f>
        <v/>
      </c>
      <c r="X117" s="15">
        <f>IF(OR(X116="",W116=""),"",IF(W116&lt;=0,"",IFERROR(X116/W116-1,"")))</f>
        <v/>
      </c>
    </row>
    <row r="118">
      <c r="A118" s="18" t="inlineStr">
        <is>
          <t>투자유가증권 매각이익</t>
        </is>
      </c>
      <c r="C118" s="20" t="n">
        <v>19</v>
      </c>
      <c r="D118" s="20" t="n">
        <v>0</v>
      </c>
      <c r="E118" s="20" t="n">
        <v>592</v>
      </c>
      <c r="F118" s="20" t="n">
        <v>0</v>
      </c>
      <c r="G118" s="20" t="n">
        <v>444</v>
      </c>
      <c r="H118" s="20" t="n">
        <v>147</v>
      </c>
      <c r="I118" s="20" t="n">
        <v>1284</v>
      </c>
      <c r="J118" s="20" t="n">
        <v>0</v>
      </c>
      <c r="K118" s="20" t="n">
        <v>1361</v>
      </c>
      <c r="L118" s="20" t="n">
        <v>670</v>
      </c>
      <c r="M118" s="20" t="n">
        <v>0</v>
      </c>
      <c r="N118" s="20" t="n">
        <v>0</v>
      </c>
      <c r="T118" s="20" t="n">
        <v>115</v>
      </c>
      <c r="U118" s="20" t="n">
        <v>3</v>
      </c>
      <c r="V118" s="20" t="n">
        <v>0</v>
      </c>
      <c r="W118" s="20" t="n">
        <v>147</v>
      </c>
      <c r="X118" s="20" t="n">
        <v>670</v>
      </c>
    </row>
    <row r="119">
      <c r="A119" s="18" t="inlineStr">
        <is>
          <t>고정자산 매각이익</t>
        </is>
      </c>
      <c r="C119" s="20" t="n">
        <v>199</v>
      </c>
      <c r="D119" s="20" t="n">
        <v>0</v>
      </c>
      <c r="H119" s="20" t="n">
        <v>0</v>
      </c>
      <c r="T119" s="20" t="n">
        <v>0</v>
      </c>
      <c r="U119" s="20" t="n">
        <v>0</v>
      </c>
      <c r="V119" s="20" t="n">
        <v>0</v>
      </c>
      <c r="W119" s="20" t="n">
        <v>0</v>
      </c>
    </row>
    <row r="120">
      <c r="A120" s="18" t="inlineStr">
        <is>
          <t>사업 양도 이익</t>
        </is>
      </c>
      <c r="D120" s="20" t="n">
        <v>0</v>
      </c>
      <c r="H120" s="20" t="n">
        <v>0</v>
      </c>
      <c r="U120" s="20" t="n">
        <v>0</v>
      </c>
      <c r="V120" s="20" t="n">
        <v>0</v>
      </c>
      <c r="W120" s="20" t="n">
        <v>0</v>
      </c>
    </row>
    <row r="121">
      <c r="A121" s="18" t="inlineStr">
        <is>
          <t>특별이익 합계</t>
        </is>
      </c>
      <c r="C121" s="20" t="n">
        <v>278</v>
      </c>
      <c r="D121" s="20" t="n">
        <v>0</v>
      </c>
      <c r="E121" s="20" t="n">
        <v>592</v>
      </c>
      <c r="F121" s="20" t="n">
        <v>0</v>
      </c>
      <c r="G121" s="20" t="n">
        <v>444</v>
      </c>
      <c r="H121" s="20" t="n">
        <v>197</v>
      </c>
      <c r="I121" s="20" t="n">
        <v>1284</v>
      </c>
      <c r="J121" s="20" t="n">
        <v>0</v>
      </c>
      <c r="K121" s="20" t="n">
        <v>1361</v>
      </c>
      <c r="L121" s="20" t="n">
        <v>670</v>
      </c>
      <c r="M121" s="20" t="n">
        <v>0</v>
      </c>
      <c r="N121" s="20" t="n">
        <v>0</v>
      </c>
      <c r="T121" s="20" t="n">
        <v>115</v>
      </c>
      <c r="U121" s="20" t="n">
        <v>2</v>
      </c>
      <c r="V121" s="20" t="n">
        <v>0</v>
      </c>
      <c r="W121" s="20" t="n">
        <v>197</v>
      </c>
      <c r="X121" s="20" t="n">
        <v>670</v>
      </c>
    </row>
    <row r="122">
      <c r="A122" s="43" t="inlineStr">
        <is>
          <t>YoY</t>
        </is>
      </c>
      <c r="B122" s="3" t="inlineStr">
        <is>
          <t>전년 같은 분기·전년 대비</t>
        </is>
      </c>
      <c r="G122" s="15">
        <f>IF(OR(G121="",C121=""),"",IF(G121*C121&lt;=0,"",IFERROR(G121/C121-1,"")))</f>
        <v/>
      </c>
      <c r="H122" s="15">
        <f>IF(OR(H121="",D121=""),"",IF(H121*D121&lt;=0,"",IFERROR(H121/D121-1,"")))</f>
        <v/>
      </c>
      <c r="I122" s="15">
        <f>IF(OR(I121="",E121=""),"",IF(I121*E121&lt;=0,"",IFERROR(I121/E121-1,"")))</f>
        <v/>
      </c>
      <c r="J122" s="15">
        <f>IF(OR(J121="",F121=""),"",IF(J121*F121&lt;=0,"",IFERROR(J121/F121-1,"")))</f>
        <v/>
      </c>
      <c r="K122" s="15">
        <f>IF(OR(K121="",G121=""),"",IF(K121*G121&lt;=0,"",IFERROR(K121/G121-1,"")))</f>
        <v/>
      </c>
      <c r="L122" s="15">
        <f>IF(OR(L121="",H121=""),"",IF(L121*H121&lt;=0,"",IFERROR(L121/H121-1,"")))</f>
        <v/>
      </c>
      <c r="M122" s="15">
        <f>IF(OR(M121="",I121=""),"",IF(M121*I121&lt;=0,"",IFERROR(M121/I121-1,"")))</f>
        <v/>
      </c>
      <c r="N122" s="15">
        <f>IF(OR(N121="",J121=""),"",IF(N121*J121&lt;=0,"",IFERROR(N121/J121-1,"")))</f>
        <v/>
      </c>
      <c r="T122" s="15">
        <f>IF(OR(T121="",S121=""),"",IF(T121*S121&lt;=0,"",IFERROR(T121/S121-1,"")))</f>
        <v/>
      </c>
      <c r="U122" s="15">
        <f>IF(OR(U121="",T121=""),"",IF(U121*T121&lt;=0,"",IFERROR(U121/T121-1,"")))</f>
        <v/>
      </c>
      <c r="V122" s="15">
        <f>IF(OR(V121="",U121=""),"",IF(V121*U121&lt;=0,"",IFERROR(V121/U121-1,"")))</f>
        <v/>
      </c>
      <c r="W122" s="15">
        <f>IF(OR(W121="",V121=""),"",IF(W121*V121&lt;=0,"",IFERROR(W121/V121-1,"")))</f>
        <v/>
      </c>
      <c r="X122" s="15">
        <f>IF(OR(X121="",W121=""),"",IF(X121*W121&lt;=0,"",IFERROR(X121/W121-1,"")))</f>
        <v/>
      </c>
    </row>
    <row r="123">
      <c r="A123" s="18" t="inlineStr">
        <is>
          <t>투자유가증권 매각손실</t>
        </is>
      </c>
      <c r="T123" s="20" t="n">
        <v>0</v>
      </c>
      <c r="U123" s="20" t="n">
        <v>0</v>
      </c>
    </row>
    <row r="124">
      <c r="A124" s="18" t="inlineStr">
        <is>
          <t>특별손실 합계</t>
        </is>
      </c>
      <c r="T124" s="20" t="n">
        <v>0</v>
      </c>
      <c r="U124" s="20" t="n">
        <v>8</v>
      </c>
    </row>
    <row r="125">
      <c r="A125" s="43" t="inlineStr">
        <is>
          <t>YoY</t>
        </is>
      </c>
      <c r="B125" s="3" t="inlineStr">
        <is>
          <t>전년 같은 분기·전년 대비</t>
        </is>
      </c>
      <c r="T125" s="15">
        <f>IF(OR(T124="",S124=""),"",IF(T124*S124&lt;=0,"",IFERROR(T124/S124-1,"")))</f>
        <v/>
      </c>
      <c r="U125" s="15">
        <f>IF(OR(U124="",T124=""),"",IF(U124*T124&lt;=0,"",IFERROR(U124/T124-1,"")))</f>
        <v/>
      </c>
    </row>
    <row r="126">
      <c r="A126" s="9" t="inlineStr">
        <is>
          <t>법인세차감전 순이익</t>
        </is>
      </c>
      <c r="C126" s="12" t="n">
        <v>189</v>
      </c>
      <c r="D126" s="12" t="n">
        <v>1903</v>
      </c>
      <c r="E126" s="12" t="n">
        <v>50</v>
      </c>
      <c r="F126" s="12" t="n">
        <v>775</v>
      </c>
      <c r="G126" s="12" t="n">
        <v>704</v>
      </c>
      <c r="H126" s="12" t="n">
        <v>2693</v>
      </c>
      <c r="I126" s="12" t="n">
        <v>1032</v>
      </c>
      <c r="J126" s="12" t="n">
        <v>514</v>
      </c>
      <c r="K126" s="12" t="n">
        <v>1915</v>
      </c>
      <c r="L126" s="12" t="n">
        <v>2965</v>
      </c>
      <c r="M126" s="12" t="n">
        <v>-108</v>
      </c>
      <c r="N126" s="12" t="n">
        <v>509</v>
      </c>
      <c r="T126" s="12" t="n">
        <v>1659</v>
      </c>
      <c r="U126" s="12" t="n">
        <v>1918</v>
      </c>
      <c r="V126" s="12" t="n">
        <v>1903</v>
      </c>
      <c r="W126" s="12" t="n">
        <v>2693</v>
      </c>
      <c r="X126" s="12" t="n">
        <v>2965</v>
      </c>
    </row>
    <row r="127">
      <c r="A127" s="43" t="inlineStr">
        <is>
          <t>YoY</t>
        </is>
      </c>
      <c r="B127" s="3" t="inlineStr">
        <is>
          <t>전년 같은 분기·전년 대비</t>
        </is>
      </c>
      <c r="G127" s="15">
        <f>IF(OR(G126="",C126=""),"",IF(C126&lt;=0,"",IFERROR(G126/C126-1,"")))</f>
        <v/>
      </c>
      <c r="H127" s="15">
        <f>IF(OR(H126="",D126=""),"",IF(D126&lt;=0,"",IFERROR(H126/D126-1,"")))</f>
        <v/>
      </c>
      <c r="I127" s="15">
        <f>IF(OR(I126="",E126=""),"",IF(E126&lt;=0,"",IFERROR(I126/E126-1,"")))</f>
        <v/>
      </c>
      <c r="J127" s="15">
        <f>IF(OR(J126="",F126=""),"",IF(F126&lt;=0,"",IFERROR(J126/F126-1,"")))</f>
        <v/>
      </c>
      <c r="K127" s="15">
        <f>IF(OR(K126="",G126=""),"",IF(G126&lt;=0,"",IFERROR(K126/G126-1,"")))</f>
        <v/>
      </c>
      <c r="L127" s="15">
        <f>IF(OR(L126="",H126=""),"",IF(H126&lt;=0,"",IFERROR(L126/H126-1,"")))</f>
        <v/>
      </c>
      <c r="M127" s="15">
        <f>IF(OR(M126="",I126=""),"",IF(I126&lt;=0,"",IFERROR(M126/I126-1,"")))</f>
        <v/>
      </c>
      <c r="N127" s="15">
        <f>IF(OR(N126="",J126=""),"",IF(J126&lt;=0,"",IFERROR(N126/J126-1,"")))</f>
        <v/>
      </c>
      <c r="T127" s="15">
        <f>IF(OR(T126="",S126=""),"",IF(S126&lt;=0,"",IFERROR(T126/S126-1,"")))</f>
        <v/>
      </c>
      <c r="U127" s="15">
        <f>IF(OR(U126="",T126=""),"",IF(T126&lt;=0,"",IFERROR(U126/T126-1,"")))</f>
        <v/>
      </c>
      <c r="V127" s="15">
        <f>IF(OR(V126="",U126=""),"",IF(U126&lt;=0,"",IFERROR(V126/U126-1,"")))</f>
        <v/>
      </c>
      <c r="W127" s="15">
        <f>IF(OR(W126="",V126=""),"",IF(V126&lt;=0,"",IFERROR(W126/V126-1,"")))</f>
        <v/>
      </c>
      <c r="X127" s="15">
        <f>IF(OR(X126="",W126=""),"",IF(W126&lt;=0,"",IFERROR(X126/W126-1,"")))</f>
        <v/>
      </c>
    </row>
    <row r="128">
      <c r="A128" s="18" t="inlineStr">
        <is>
          <t>법인세 등</t>
        </is>
      </c>
      <c r="C128" s="20" t="n">
        <v>88</v>
      </c>
      <c r="D128" s="20" t="n">
        <v>511</v>
      </c>
      <c r="E128" s="20" t="n">
        <v>60</v>
      </c>
      <c r="F128" s="20" t="n">
        <v>229</v>
      </c>
      <c r="G128" s="20" t="n">
        <v>201</v>
      </c>
      <c r="H128" s="20" t="n">
        <v>660</v>
      </c>
      <c r="I128" s="20" t="n">
        <v>358</v>
      </c>
      <c r="J128" s="20" t="n">
        <v>181</v>
      </c>
      <c r="K128" s="20" t="n">
        <v>597</v>
      </c>
      <c r="L128" s="20" t="n">
        <v>636</v>
      </c>
      <c r="M128" s="20" t="n">
        <v>-19</v>
      </c>
      <c r="N128" s="20" t="n">
        <v>175</v>
      </c>
      <c r="T128" s="20" t="n">
        <v>98</v>
      </c>
      <c r="U128" s="20" t="n">
        <v>477</v>
      </c>
      <c r="V128" s="20" t="n">
        <v>511</v>
      </c>
      <c r="W128" s="20" t="n">
        <v>660</v>
      </c>
      <c r="X128" s="20" t="n">
        <v>636</v>
      </c>
    </row>
    <row r="129">
      <c r="A129" s="43" t="inlineStr">
        <is>
          <t>YoY</t>
        </is>
      </c>
      <c r="B129" s="3" t="inlineStr">
        <is>
          <t>전년 같은 분기·전년 대비</t>
        </is>
      </c>
      <c r="G129" s="15">
        <f>IF(OR(G128="",C128=""),"",IF(G128*C128&lt;=0,"",IFERROR(G128/C128-1,"")))</f>
        <v/>
      </c>
      <c r="H129" s="15">
        <f>IF(OR(H128="",D128=""),"",IF(H128*D128&lt;=0,"",IFERROR(H128/D128-1,"")))</f>
        <v/>
      </c>
      <c r="I129" s="15">
        <f>IF(OR(I128="",E128=""),"",IF(I128*E128&lt;=0,"",IFERROR(I128/E128-1,"")))</f>
        <v/>
      </c>
      <c r="J129" s="15">
        <f>IF(OR(J128="",F128=""),"",IF(J128*F128&lt;=0,"",IFERROR(J128/F128-1,"")))</f>
        <v/>
      </c>
      <c r="K129" s="15">
        <f>IF(OR(K128="",G128=""),"",IF(K128*G128&lt;=0,"",IFERROR(K128/G128-1,"")))</f>
        <v/>
      </c>
      <c r="L129" s="15">
        <f>IF(OR(L128="",H128=""),"",IF(L128*H128&lt;=0,"",IFERROR(L128/H128-1,"")))</f>
        <v/>
      </c>
      <c r="M129" s="15">
        <f>IF(OR(M128="",I128=""),"",IF(M128*I128&lt;=0,"",IFERROR(M128/I128-1,"")))</f>
        <v/>
      </c>
      <c r="N129" s="15">
        <f>IF(OR(N128="",J128=""),"",IF(N128*J128&lt;=0,"",IFERROR(N128/J128-1,"")))</f>
        <v/>
      </c>
      <c r="T129" s="15">
        <f>IF(OR(T128="",S128=""),"",IF(T128*S128&lt;=0,"",IFERROR(T128/S128-1,"")))</f>
        <v/>
      </c>
      <c r="U129" s="15">
        <f>IF(OR(U128="",T128=""),"",IF(U128*T128&lt;=0,"",IFERROR(U128/T128-1,"")))</f>
        <v/>
      </c>
      <c r="V129" s="15">
        <f>IF(OR(V128="",U128=""),"",IF(V128*U128&lt;=0,"",IFERROR(V128/U128-1,"")))</f>
        <v/>
      </c>
      <c r="W129" s="15">
        <f>IF(OR(W128="",V128=""),"",IF(W128*V128&lt;=0,"",IFERROR(W128/V128-1,"")))</f>
        <v/>
      </c>
      <c r="X129" s="15">
        <f>IF(OR(X128="",W128=""),"",IF(X128*W128&lt;=0,"",IFERROR(X128/W128-1,"")))</f>
        <v/>
      </c>
    </row>
    <row r="130">
      <c r="A130" s="9" t="inlineStr">
        <is>
          <t>순이익</t>
        </is>
      </c>
      <c r="C130" s="12" t="n">
        <v>101</v>
      </c>
      <c r="D130" s="12" t="n">
        <v>1391</v>
      </c>
      <c r="E130" s="12" t="n">
        <v>-9</v>
      </c>
      <c r="F130" s="12" t="n">
        <v>544</v>
      </c>
      <c r="G130" s="12" t="n">
        <v>504</v>
      </c>
      <c r="H130" s="12" t="n">
        <v>2033</v>
      </c>
      <c r="I130" s="12" t="n">
        <v>673</v>
      </c>
      <c r="J130" s="12" t="n">
        <v>333</v>
      </c>
      <c r="K130" s="12" t="n">
        <v>1319</v>
      </c>
      <c r="L130" s="12" t="n">
        <v>2328</v>
      </c>
      <c r="M130" s="12" t="n">
        <v>-88</v>
      </c>
      <c r="N130" s="12" t="n">
        <v>332</v>
      </c>
      <c r="T130" s="12" t="n">
        <v>1560</v>
      </c>
      <c r="U130" s="12" t="n">
        <v>1439</v>
      </c>
      <c r="V130" s="12" t="n">
        <v>1391</v>
      </c>
      <c r="W130" s="12" t="n">
        <v>2033</v>
      </c>
      <c r="X130" s="12" t="n">
        <v>2328</v>
      </c>
    </row>
    <row r="131">
      <c r="A131" s="43" t="inlineStr">
        <is>
          <t>YoY</t>
        </is>
      </c>
      <c r="B131" s="3" t="inlineStr">
        <is>
          <t>전년 같은 분기·전년 대비</t>
        </is>
      </c>
      <c r="G131" s="15">
        <f>IF(OR(G130="",C130=""),"",IF(C130&lt;=0,"",IFERROR(G130/C130-1,"")))</f>
        <v/>
      </c>
      <c r="H131" s="15">
        <f>IF(OR(H130="",D130=""),"",IF(D130&lt;=0,"",IFERROR(H130/D130-1,"")))</f>
        <v/>
      </c>
      <c r="I131" s="15">
        <f>IF(OR(I130="",E130=""),"",IF(E130&lt;=0,"",IFERROR(I130/E130-1,"")))</f>
        <v/>
      </c>
      <c r="J131" s="15">
        <f>IF(OR(J130="",F130=""),"",IF(F130&lt;=0,"",IFERROR(J130/F130-1,"")))</f>
        <v/>
      </c>
      <c r="K131" s="15">
        <f>IF(OR(K130="",G130=""),"",IF(G130&lt;=0,"",IFERROR(K130/G130-1,"")))</f>
        <v/>
      </c>
      <c r="L131" s="15">
        <f>IF(OR(L130="",H130=""),"",IF(H130&lt;=0,"",IFERROR(L130/H130-1,"")))</f>
        <v/>
      </c>
      <c r="M131" s="15">
        <f>IF(OR(M130="",I130=""),"",IF(I130&lt;=0,"",IFERROR(M130/I130-1,"")))</f>
        <v/>
      </c>
      <c r="N131" s="15">
        <f>IF(OR(N130="",J130=""),"",IF(J130&lt;=0,"",IFERROR(N130/J130-1,"")))</f>
        <v/>
      </c>
      <c r="T131" s="15">
        <f>IF(OR(T130="",S130=""),"",IF(S130&lt;=0,"",IFERROR(T130/S130-1,"")))</f>
        <v/>
      </c>
      <c r="U131" s="15">
        <f>IF(OR(U130="",T130=""),"",IF(T130&lt;=0,"",IFERROR(U130/T130-1,"")))</f>
        <v/>
      </c>
      <c r="V131" s="15">
        <f>IF(OR(V130="",U130=""),"",IF(U130&lt;=0,"",IFERROR(V130/U130-1,"")))</f>
        <v/>
      </c>
      <c r="W131" s="15">
        <f>IF(OR(W130="",V130=""),"",IF(V130&lt;=0,"",IFERROR(W130/V130-1,"")))</f>
        <v/>
      </c>
      <c r="X131" s="15">
        <f>IF(OR(X130="",W130=""),"",IF(W130&lt;=0,"",IFERROR(X130/W130-1,"")))</f>
        <v/>
      </c>
    </row>
    <row r="132">
      <c r="A132" s="9" t="inlineStr">
        <is>
          <t>비지배주주 당기순손실</t>
        </is>
      </c>
      <c r="C132" s="12" t="n">
        <v>-5</v>
      </c>
      <c r="D132" s="12" t="n">
        <v>46</v>
      </c>
      <c r="E132" s="12" t="n">
        <v>2</v>
      </c>
      <c r="F132" s="12" t="n">
        <v>15</v>
      </c>
      <c r="G132" s="12" t="n">
        <v>16</v>
      </c>
      <c r="H132" s="12" t="n">
        <v>41</v>
      </c>
      <c r="I132" s="12" t="n">
        <v>-31</v>
      </c>
      <c r="J132" s="12" t="n">
        <v>-17</v>
      </c>
      <c r="K132" s="12" t="n">
        <v>40</v>
      </c>
      <c r="L132" s="12" t="n">
        <v>-6</v>
      </c>
      <c r="M132" s="12" t="n">
        <v>-13</v>
      </c>
      <c r="N132" s="12" t="n">
        <v>-28</v>
      </c>
      <c r="T132" s="12" t="n">
        <v>61</v>
      </c>
      <c r="U132" s="12" t="n">
        <v>88</v>
      </c>
      <c r="V132" s="12" t="n">
        <v>46</v>
      </c>
      <c r="W132" s="12" t="n">
        <v>41</v>
      </c>
      <c r="X132" s="12" t="n">
        <v>-6</v>
      </c>
    </row>
    <row r="133">
      <c r="A133" s="9" t="inlineStr">
        <is>
          <t>지배주주 순이익</t>
        </is>
      </c>
      <c r="C133" s="12" t="n">
        <v>106</v>
      </c>
      <c r="D133" s="12" t="n">
        <v>1344</v>
      </c>
      <c r="E133" s="12" t="n">
        <v>-12</v>
      </c>
      <c r="F133" s="12" t="n">
        <v>530</v>
      </c>
      <c r="G133" s="12" t="n">
        <v>487</v>
      </c>
      <c r="H133" s="12" t="n">
        <v>1993</v>
      </c>
      <c r="I133" s="12" t="n">
        <v>704</v>
      </c>
      <c r="J133" s="12" t="n">
        <v>351</v>
      </c>
      <c r="K133" s="12" t="n">
        <v>1278</v>
      </c>
      <c r="L133" s="12" t="n">
        <v>2335</v>
      </c>
      <c r="M133" s="12" t="n">
        <v>-74</v>
      </c>
      <c r="N133" s="12" t="n">
        <v>359</v>
      </c>
      <c r="T133" s="12" t="n">
        <v>1499</v>
      </c>
      <c r="U133" s="12" t="n">
        <v>1351</v>
      </c>
      <c r="V133" s="12" t="n">
        <v>1344</v>
      </c>
      <c r="W133" s="12" t="n">
        <v>1993</v>
      </c>
      <c r="X133" s="12" t="n">
        <v>2335</v>
      </c>
    </row>
    <row r="134">
      <c r="A134" s="43" t="inlineStr">
        <is>
          <t>YoY</t>
        </is>
      </c>
      <c r="B134" s="3" t="inlineStr">
        <is>
          <t>전년 같은 분기·전년 대비</t>
        </is>
      </c>
      <c r="G134" s="15">
        <f>IF(OR(G133="",C133=""),"",IF(C133&lt;=0,"",IFERROR(G133/C133-1,"")))</f>
        <v/>
      </c>
      <c r="H134" s="15">
        <f>IF(OR(H133="",D133=""),"",IF(D133&lt;=0,"",IFERROR(H133/D133-1,"")))</f>
        <v/>
      </c>
      <c r="I134" s="15">
        <f>IF(OR(I133="",E133=""),"",IF(E133&lt;=0,"",IFERROR(I133/E133-1,"")))</f>
        <v/>
      </c>
      <c r="J134" s="15">
        <f>IF(OR(J133="",F133=""),"",IF(F133&lt;=0,"",IFERROR(J133/F133-1,"")))</f>
        <v/>
      </c>
      <c r="K134" s="15">
        <f>IF(OR(K133="",G133=""),"",IF(G133&lt;=0,"",IFERROR(K133/G133-1,"")))</f>
        <v/>
      </c>
      <c r="L134" s="15">
        <f>IF(OR(L133="",H133=""),"",IF(H133&lt;=0,"",IFERROR(L133/H133-1,"")))</f>
        <v/>
      </c>
      <c r="M134" s="15">
        <f>IF(OR(M133="",I133=""),"",IF(I133&lt;=0,"",IFERROR(M133/I133-1,"")))</f>
        <v/>
      </c>
      <c r="N134" s="15">
        <f>IF(OR(N133="",J133=""),"",IF(J133&lt;=0,"",IFERROR(N133/J133-1,"")))</f>
        <v/>
      </c>
      <c r="T134" s="15">
        <f>IF(OR(T133="",S133=""),"",IF(S133&lt;=0,"",IFERROR(T133/S133-1,"")))</f>
        <v/>
      </c>
      <c r="U134" s="15">
        <f>IF(OR(U133="",T133=""),"",IF(T133&lt;=0,"",IFERROR(U133/T133-1,"")))</f>
        <v/>
      </c>
      <c r="V134" s="15">
        <f>IF(OR(V133="",U133=""),"",IF(U133&lt;=0,"",IFERROR(V133/U133-1,"")))</f>
        <v/>
      </c>
      <c r="W134" s="15">
        <f>IF(OR(W133="",V133=""),"",IF(V133&lt;=0,"",IFERROR(W133/V133-1,"")))</f>
        <v/>
      </c>
      <c r="X134" s="15">
        <f>IF(OR(X133="",W133=""),"",IF(W133&lt;=0,"",IFERROR(X133/W133-1,"")))</f>
        <v/>
      </c>
    </row>
    <row r="136">
      <c r="A136" s="16" t="inlineStr">
        <is>
          <t>포괄손익 · 전 항목</t>
        </is>
      </c>
      <c r="B136" s="42" t="inlineStr">
        <is>
          <t>분기 = 3개월 단독</t>
        </is>
      </c>
      <c r="C136" s="16" t="n"/>
      <c r="D136" s="16" t="n"/>
      <c r="E136" s="16" t="n"/>
      <c r="F136" s="16" t="n"/>
      <c r="G136" s="16" t="n"/>
      <c r="H136" s="16" t="n"/>
      <c r="I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  <c r="R136" s="16" t="n"/>
      <c r="S136" s="16" t="n"/>
      <c r="T136" s="16" t="n"/>
      <c r="U136" s="16" t="n"/>
      <c r="V136" s="16" t="n"/>
      <c r="W136" s="16" t="n"/>
      <c r="X136" s="16" t="n"/>
      <c r="Y136" s="16" t="n"/>
      <c r="Z136" s="16" t="n"/>
      <c r="AA136" s="16" t="n"/>
      <c r="AB136" s="16" t="n"/>
      <c r="AC136" s="16" t="n"/>
    </row>
    <row r="137">
      <c r="A137" s="5" t="inlineStr">
        <is>
          <t>항목</t>
        </is>
      </c>
      <c r="B137" s="5" t="inlineStr">
        <is>
          <t>참고</t>
        </is>
      </c>
      <c r="C137" s="5" t="inlineStr">
        <is>
          <t>2024.3Q</t>
        </is>
      </c>
      <c r="D137" s="5" t="inlineStr">
        <is>
          <t>2024.4Q</t>
        </is>
      </c>
      <c r="E137" s="5" t="inlineStr">
        <is>
          <t>2025.1Q</t>
        </is>
      </c>
      <c r="F137" s="5" t="inlineStr">
        <is>
          <t>2025.2Q</t>
        </is>
      </c>
      <c r="G137" s="5" t="inlineStr">
        <is>
          <t>2025.3Q</t>
        </is>
      </c>
      <c r="H137" s="5" t="inlineStr">
        <is>
          <t>2025.4Q</t>
        </is>
      </c>
      <c r="I137" s="5" t="inlineStr">
        <is>
          <t>2026.1Q</t>
        </is>
      </c>
      <c r="J137" s="5" t="inlineStr">
        <is>
          <t>2026.2Q</t>
        </is>
      </c>
      <c r="K137" s="5" t="inlineStr">
        <is>
          <t>2026.3Q</t>
        </is>
      </c>
      <c r="L137" s="5" t="inlineStr">
        <is>
          <t>2026.4Q</t>
        </is>
      </c>
      <c r="M137" s="5" t="inlineStr">
        <is>
          <t>2027.1Q</t>
        </is>
      </c>
      <c r="N137" s="5" t="inlineStr">
        <is>
          <t>2027.2Q</t>
        </is>
      </c>
      <c r="O137" s="5" t="inlineStr">
        <is>
          <t>2017</t>
        </is>
      </c>
      <c r="P137" s="5" t="inlineStr">
        <is>
          <t>2018</t>
        </is>
      </c>
      <c r="Q137" s="5" t="inlineStr">
        <is>
          <t>2019</t>
        </is>
      </c>
      <c r="R137" s="5" t="inlineStr">
        <is>
          <t>2020</t>
        </is>
      </c>
      <c r="S137" s="5" t="inlineStr">
        <is>
          <t>2021</t>
        </is>
      </c>
      <c r="T137" s="5" t="inlineStr">
        <is>
          <t>2022</t>
        </is>
      </c>
      <c r="U137" s="5" t="inlineStr">
        <is>
          <t>2023</t>
        </is>
      </c>
      <c r="V137" s="5" t="inlineStr">
        <is>
          <t>2024</t>
        </is>
      </c>
      <c r="W137" s="5" t="inlineStr">
        <is>
          <t>2025</t>
        </is>
      </c>
      <c r="X137" s="5" t="inlineStr">
        <is>
          <t>2026</t>
        </is>
      </c>
      <c r="Y137" s="5" t="inlineStr">
        <is>
          <t>2027(MW)</t>
        </is>
      </c>
      <c r="Z137" s="5" t="inlineStr">
        <is>
          <t>2028(MW)</t>
        </is>
      </c>
      <c r="AA137" s="5" t="inlineStr">
        <is>
          <t>2029(MW)</t>
        </is>
      </c>
      <c r="AB137" s="5" t="inlineStr">
        <is>
          <t>2030(MW)</t>
        </is>
      </c>
      <c r="AC137" s="5" t="inlineStr">
        <is>
          <t>2031(MW)</t>
        </is>
      </c>
    </row>
    <row r="138">
      <c r="A138" s="9" t="inlineStr">
        <is>
          <t>순이익</t>
        </is>
      </c>
      <c r="C138" s="12" t="n">
        <v>101</v>
      </c>
      <c r="D138" s="12" t="n">
        <v>1391</v>
      </c>
      <c r="E138" s="12" t="n">
        <v>-9</v>
      </c>
      <c r="F138" s="12" t="n">
        <v>544</v>
      </c>
      <c r="G138" s="12" t="n">
        <v>504</v>
      </c>
      <c r="H138" s="12" t="n">
        <v>2033</v>
      </c>
      <c r="I138" s="12" t="n">
        <v>673</v>
      </c>
      <c r="J138" s="12" t="n">
        <v>333</v>
      </c>
      <c r="K138" s="12" t="n">
        <v>1319</v>
      </c>
      <c r="L138" s="12" t="n">
        <v>2328</v>
      </c>
      <c r="M138" s="12" t="n">
        <v>-88</v>
      </c>
      <c r="N138" s="12" t="n">
        <v>332</v>
      </c>
      <c r="T138" s="12" t="n">
        <v>1560</v>
      </c>
      <c r="U138" s="12" t="n">
        <v>1439</v>
      </c>
      <c r="V138" s="12" t="n">
        <v>1391</v>
      </c>
      <c r="W138" s="12" t="n">
        <v>2033</v>
      </c>
      <c r="X138" s="12" t="n">
        <v>2328</v>
      </c>
    </row>
    <row r="139">
      <c r="A139" s="18" t="inlineStr">
        <is>
          <t>기타유가증권 평가차액</t>
        </is>
      </c>
      <c r="C139" s="20" t="n">
        <v>-147</v>
      </c>
      <c r="D139" s="20" t="n">
        <v>1430</v>
      </c>
      <c r="E139" s="20" t="n">
        <v>-532</v>
      </c>
      <c r="F139" s="20" t="n">
        <v>-497</v>
      </c>
      <c r="G139" s="20" t="n">
        <v>-256</v>
      </c>
      <c r="H139" s="20" t="n">
        <v>-41</v>
      </c>
      <c r="I139" s="20" t="n">
        <v>-529</v>
      </c>
      <c r="J139" s="20" t="n">
        <v>789</v>
      </c>
      <c r="K139" s="20" t="n">
        <v>-581</v>
      </c>
      <c r="L139" s="20" t="n">
        <v>-242</v>
      </c>
      <c r="M139" s="20" t="n">
        <v>358</v>
      </c>
      <c r="N139" s="20" t="n">
        <v>367</v>
      </c>
      <c r="T139" s="20" t="n">
        <v>306</v>
      </c>
      <c r="U139" s="20" t="n">
        <v>335</v>
      </c>
      <c r="V139" s="20" t="n">
        <v>1430</v>
      </c>
      <c r="W139" s="20" t="n">
        <v>-41</v>
      </c>
      <c r="X139" s="20" t="n">
        <v>-242</v>
      </c>
    </row>
    <row r="140">
      <c r="A140" s="18" t="inlineStr">
        <is>
          <t>이연헤지손익</t>
        </is>
      </c>
      <c r="C140" s="20" t="n">
        <v>-15</v>
      </c>
      <c r="D140" s="20" t="n">
        <v>23</v>
      </c>
      <c r="E140" s="20" t="n">
        <v>45</v>
      </c>
      <c r="F140" s="20" t="n">
        <v>-76</v>
      </c>
      <c r="G140" s="20" t="n">
        <v>26</v>
      </c>
      <c r="H140" s="20" t="n">
        <v>-19</v>
      </c>
      <c r="I140" s="20" t="n">
        <v>-26</v>
      </c>
      <c r="J140" s="20" t="n">
        <v>41</v>
      </c>
      <c r="K140" s="20" t="n">
        <v>55</v>
      </c>
      <c r="L140" s="20" t="n">
        <v>4</v>
      </c>
      <c r="M140" s="20" t="n">
        <v>23</v>
      </c>
      <c r="N140" s="20" t="n">
        <v>-88</v>
      </c>
      <c r="T140" s="20" t="n">
        <v>-2</v>
      </c>
      <c r="U140" s="20" t="n">
        <v>-14</v>
      </c>
      <c r="V140" s="20" t="n">
        <v>23</v>
      </c>
      <c r="W140" s="20" t="n">
        <v>-19</v>
      </c>
      <c r="X140" s="20" t="n">
        <v>4</v>
      </c>
    </row>
    <row r="141">
      <c r="A141" s="18" t="inlineStr">
        <is>
          <t>해외사업환산조정</t>
        </is>
      </c>
      <c r="C141" s="20" t="n">
        <v>9</v>
      </c>
      <c r="D141" s="20" t="n">
        <v>-9</v>
      </c>
      <c r="E141" s="20" t="n">
        <v>32</v>
      </c>
      <c r="F141" s="20" t="n">
        <v>36</v>
      </c>
      <c r="G141" s="20" t="n">
        <v>-64</v>
      </c>
      <c r="H141" s="20" t="n">
        <v>53</v>
      </c>
      <c r="I141" s="20" t="n">
        <v>-71</v>
      </c>
      <c r="J141" s="20" t="n">
        <v>35</v>
      </c>
      <c r="K141" s="20" t="n">
        <v>26</v>
      </c>
      <c r="L141" s="20" t="n">
        <v>70</v>
      </c>
      <c r="M141" s="20" t="n">
        <v>-1</v>
      </c>
      <c r="N141" s="20" t="n">
        <v>11</v>
      </c>
      <c r="T141" s="20" t="n">
        <v>18</v>
      </c>
      <c r="U141" s="20" t="n">
        <v>-40</v>
      </c>
      <c r="V141" s="20" t="n">
        <v>-9</v>
      </c>
      <c r="W141" s="20" t="n">
        <v>53</v>
      </c>
      <c r="X141" s="20" t="n">
        <v>70</v>
      </c>
    </row>
    <row r="142">
      <c r="A142" s="18" t="inlineStr">
        <is>
          <t>퇴직급여 조정액</t>
        </is>
      </c>
      <c r="C142" s="20" t="n">
        <v>2</v>
      </c>
      <c r="D142" s="20" t="n">
        <v>243</v>
      </c>
      <c r="E142" s="20" t="n">
        <v>-17</v>
      </c>
      <c r="F142" s="20" t="n">
        <v>-17</v>
      </c>
      <c r="G142" s="20" t="n">
        <v>-17</v>
      </c>
      <c r="H142" s="20" t="n">
        <v>33</v>
      </c>
      <c r="I142" s="20" t="n">
        <v>-9</v>
      </c>
      <c r="J142" s="20" t="n">
        <v>-9</v>
      </c>
      <c r="K142" s="20" t="n">
        <v>-10</v>
      </c>
      <c r="L142" s="20" t="n">
        <v>179</v>
      </c>
      <c r="M142" s="20" t="n">
        <v>-8</v>
      </c>
      <c r="N142" s="20" t="n">
        <v>-8</v>
      </c>
      <c r="T142" s="20" t="n">
        <v>3</v>
      </c>
      <c r="U142" s="20" t="n">
        <v>-87</v>
      </c>
      <c r="V142" s="20" t="n">
        <v>243</v>
      </c>
      <c r="W142" s="20" t="n">
        <v>33</v>
      </c>
      <c r="X142" s="20" t="n">
        <v>179</v>
      </c>
    </row>
    <row r="143">
      <c r="A143" s="18" t="inlineStr">
        <is>
          <t>기타포괄손익 합계</t>
        </is>
      </c>
      <c r="C143" s="20" t="n">
        <v>-151</v>
      </c>
      <c r="D143" s="20" t="n">
        <v>1686</v>
      </c>
      <c r="E143" s="20" t="n">
        <v>-471</v>
      </c>
      <c r="F143" s="20" t="n">
        <v>-555</v>
      </c>
      <c r="G143" s="20" t="n">
        <v>-312</v>
      </c>
      <c r="H143" s="20" t="n">
        <v>27</v>
      </c>
      <c r="I143" s="20" t="n">
        <v>-637</v>
      </c>
      <c r="J143" s="20" t="n">
        <v>857</v>
      </c>
      <c r="K143" s="20" t="n">
        <v>-508</v>
      </c>
      <c r="L143" s="20" t="n">
        <v>11</v>
      </c>
      <c r="M143" s="20" t="n">
        <v>371</v>
      </c>
      <c r="N143" s="20" t="n">
        <v>283</v>
      </c>
      <c r="T143" s="20" t="n">
        <v>324</v>
      </c>
      <c r="U143" s="20" t="n">
        <v>193</v>
      </c>
      <c r="V143" s="20" t="n">
        <v>1686</v>
      </c>
      <c r="W143" s="20" t="n">
        <v>27</v>
      </c>
      <c r="X143" s="20" t="n">
        <v>11</v>
      </c>
    </row>
    <row r="144">
      <c r="A144" s="9" t="inlineStr">
        <is>
          <t>포괄이익</t>
        </is>
      </c>
      <c r="C144" s="12" t="n">
        <v>-50</v>
      </c>
      <c r="D144" s="12" t="n">
        <v>3077</v>
      </c>
      <c r="E144" s="12" t="n">
        <v>-481</v>
      </c>
      <c r="F144" s="12" t="n">
        <v>-9</v>
      </c>
      <c r="G144" s="12" t="n">
        <v>192</v>
      </c>
      <c r="H144" s="12" t="n">
        <v>2059</v>
      </c>
      <c r="I144" s="12" t="n">
        <v>36</v>
      </c>
      <c r="J144" s="12" t="n">
        <v>1191</v>
      </c>
      <c r="K144" s="12" t="n">
        <v>809</v>
      </c>
      <c r="L144" s="12" t="n">
        <v>2339</v>
      </c>
      <c r="M144" s="12" t="n">
        <v>283</v>
      </c>
      <c r="N144" s="12" t="n">
        <v>615</v>
      </c>
      <c r="T144" s="12" t="n">
        <v>1884</v>
      </c>
      <c r="U144" s="12" t="n">
        <v>1632</v>
      </c>
      <c r="V144" s="12" t="n">
        <v>3077</v>
      </c>
      <c r="W144" s="12" t="n">
        <v>2059</v>
      </c>
      <c r="X144" s="12" t="n">
        <v>2339</v>
      </c>
    </row>
    <row r="145">
      <c r="A145" s="9" t="inlineStr">
        <is>
          <t>지배주주 포괄이익</t>
        </is>
      </c>
      <c r="C145" s="12" t="n">
        <v>-47</v>
      </c>
      <c r="D145" s="12" t="n">
        <v>3030</v>
      </c>
      <c r="E145" s="12" t="n">
        <v>-487</v>
      </c>
      <c r="F145" s="12" t="n">
        <v>-35</v>
      </c>
      <c r="G145" s="12" t="n">
        <v>179</v>
      </c>
      <c r="H145" s="12" t="n">
        <v>2007</v>
      </c>
      <c r="I145" s="12" t="n">
        <v>81</v>
      </c>
      <c r="J145" s="12" t="n">
        <v>1210</v>
      </c>
      <c r="K145" s="12" t="n">
        <v>758</v>
      </c>
      <c r="L145" s="12" t="n">
        <v>2326</v>
      </c>
      <c r="M145" s="12" t="n">
        <v>299</v>
      </c>
      <c r="N145" s="12" t="n">
        <v>642</v>
      </c>
      <c r="T145" s="12" t="n">
        <v>1820</v>
      </c>
      <c r="U145" s="12" t="n">
        <v>1549</v>
      </c>
      <c r="V145" s="12" t="n">
        <v>3030</v>
      </c>
      <c r="W145" s="12" t="n">
        <v>2007</v>
      </c>
      <c r="X145" s="12" t="n">
        <v>2326</v>
      </c>
    </row>
    <row r="146">
      <c r="A146" s="9" t="inlineStr">
        <is>
          <t>비지배주주 포괄이익</t>
        </is>
      </c>
      <c r="C146" s="12" t="n">
        <v>-2</v>
      </c>
      <c r="D146" s="12" t="n">
        <v>46</v>
      </c>
      <c r="E146" s="12" t="n">
        <v>6</v>
      </c>
      <c r="F146" s="12" t="n">
        <v>25</v>
      </c>
      <c r="G146" s="12" t="n">
        <v>13</v>
      </c>
      <c r="H146" s="12" t="n">
        <v>52</v>
      </c>
      <c r="I146" s="12" t="n">
        <v>-45</v>
      </c>
      <c r="J146" s="12" t="n">
        <v>-19</v>
      </c>
      <c r="K146" s="12" t="n">
        <v>51</v>
      </c>
      <c r="L146" s="12" t="n">
        <v>13</v>
      </c>
      <c r="M146" s="12" t="n">
        <v>-16</v>
      </c>
      <c r="N146" s="12" t="n">
        <v>-26</v>
      </c>
      <c r="T146" s="12" t="n">
        <v>63</v>
      </c>
      <c r="U146" s="12" t="n">
        <v>83</v>
      </c>
      <c r="V146" s="12" t="n">
        <v>46</v>
      </c>
      <c r="W146" s="12" t="n">
        <v>52</v>
      </c>
      <c r="X146" s="12" t="n">
        <v>13</v>
      </c>
    </row>
    <row r="148">
      <c r="A148" s="16" t="inlineStr">
        <is>
          <t>부문 · 전 항목</t>
        </is>
      </c>
      <c r="B148" s="42" t="inlineStr">
        <is>
          <t>부문 · 항목</t>
        </is>
      </c>
      <c r="C148" s="16" t="n"/>
      <c r="D148" s="16" t="n"/>
      <c r="E148" s="16" t="n"/>
      <c r="F148" s="16" t="n"/>
      <c r="G148" s="16" t="n"/>
      <c r="H148" s="16" t="n"/>
      <c r="I148" s="16" t="n"/>
      <c r="J148" s="16" t="n"/>
      <c r="K148" s="16" t="n"/>
      <c r="L148" s="16" t="n"/>
      <c r="M148" s="16" t="n"/>
      <c r="N148" s="16" t="n"/>
      <c r="O148" s="16" t="n"/>
      <c r="P148" s="16" t="n"/>
      <c r="Q148" s="16" t="n"/>
      <c r="R148" s="16" t="n"/>
      <c r="S148" s="16" t="n"/>
      <c r="T148" s="16" t="n"/>
      <c r="U148" s="16" t="n"/>
      <c r="V148" s="16" t="n"/>
      <c r="W148" s="16" t="n"/>
      <c r="X148" s="16" t="n"/>
      <c r="Y148" s="16" t="n"/>
      <c r="Z148" s="16" t="n"/>
      <c r="AA148" s="16" t="n"/>
      <c r="AB148" s="16" t="n"/>
      <c r="AC148" s="16" t="n"/>
    </row>
    <row r="149">
      <c r="A149" s="5" t="inlineStr">
        <is>
          <t>항목</t>
        </is>
      </c>
      <c r="B149" s="5" t="inlineStr">
        <is>
          <t>참고</t>
        </is>
      </c>
      <c r="C149" s="5" t="inlineStr">
        <is>
          <t>2024.3Q</t>
        </is>
      </c>
      <c r="D149" s="5" t="inlineStr">
        <is>
          <t>2024.4Q</t>
        </is>
      </c>
      <c r="E149" s="5" t="inlineStr">
        <is>
          <t>2025.1Q</t>
        </is>
      </c>
      <c r="F149" s="5" t="inlineStr">
        <is>
          <t>2025.2Q</t>
        </is>
      </c>
      <c r="G149" s="5" t="inlineStr">
        <is>
          <t>2025.3Q</t>
        </is>
      </c>
      <c r="H149" s="5" t="inlineStr">
        <is>
          <t>2025.4Q</t>
        </is>
      </c>
      <c r="I149" s="5" t="inlineStr">
        <is>
          <t>2026.1Q</t>
        </is>
      </c>
      <c r="J149" s="5" t="inlineStr">
        <is>
          <t>2026.2Q</t>
        </is>
      </c>
      <c r="K149" s="5" t="inlineStr">
        <is>
          <t>2026.3Q</t>
        </is>
      </c>
      <c r="L149" s="5" t="inlineStr">
        <is>
          <t>2026.4Q</t>
        </is>
      </c>
      <c r="M149" s="5" t="inlineStr">
        <is>
          <t>2027.1Q</t>
        </is>
      </c>
      <c r="N149" s="5" t="inlineStr">
        <is>
          <t>2027.2Q</t>
        </is>
      </c>
      <c r="O149" s="5" t="inlineStr">
        <is>
          <t>2017</t>
        </is>
      </c>
      <c r="P149" s="5" t="inlineStr">
        <is>
          <t>2018</t>
        </is>
      </c>
      <c r="Q149" s="5" t="inlineStr">
        <is>
          <t>2019</t>
        </is>
      </c>
      <c r="R149" s="5" t="inlineStr">
        <is>
          <t>2020</t>
        </is>
      </c>
      <c r="S149" s="5" t="inlineStr">
        <is>
          <t>2021</t>
        </is>
      </c>
      <c r="T149" s="5" t="inlineStr">
        <is>
          <t>2022</t>
        </is>
      </c>
      <c r="U149" s="5" t="inlineStr">
        <is>
          <t>2023</t>
        </is>
      </c>
      <c r="V149" s="5" t="inlineStr">
        <is>
          <t>2024</t>
        </is>
      </c>
      <c r="W149" s="5" t="inlineStr">
        <is>
          <t>2025</t>
        </is>
      </c>
      <c r="X149" s="5" t="inlineStr">
        <is>
          <t>2026</t>
        </is>
      </c>
      <c r="Y149" s="5" t="inlineStr">
        <is>
          <t>2027(MW)</t>
        </is>
      </c>
      <c r="Z149" s="5" t="inlineStr">
        <is>
          <t>2028(MW)</t>
        </is>
      </c>
      <c r="AA149" s="5" t="inlineStr">
        <is>
          <t>2029(MW)</t>
        </is>
      </c>
      <c r="AB149" s="5" t="inlineStr">
        <is>
          <t>2030(MW)</t>
        </is>
      </c>
      <c r="AC149" s="5" t="inlineStr">
        <is>
          <t>2031(MW)</t>
        </is>
      </c>
    </row>
    <row r="150">
      <c r="A150" s="18" t="inlineStr">
        <is>
          <t>HeatTreatmentBusinessReportableSegmentMember · 매출액</t>
        </is>
      </c>
      <c r="C150" s="20" t="n">
        <v>2990</v>
      </c>
      <c r="D150" s="20" t="n">
        <v>5780</v>
      </c>
      <c r="E150" s="20" t="n">
        <v>3041</v>
      </c>
      <c r="F150" s="20" t="n">
        <v>4464</v>
      </c>
      <c r="G150" s="20" t="n">
        <v>4461</v>
      </c>
      <c r="H150" s="20" t="n">
        <v>6624</v>
      </c>
      <c r="I150" s="20" t="n">
        <v>3729</v>
      </c>
      <c r="J150" s="20" t="n">
        <v>4116</v>
      </c>
      <c r="K150" s="20" t="n">
        <v>4624</v>
      </c>
      <c r="L150" s="20" t="n">
        <v>5838</v>
      </c>
      <c r="M150" s="20" t="n">
        <v>2510</v>
      </c>
      <c r="N150" s="20" t="n">
        <v>4324</v>
      </c>
      <c r="V150" s="20" t="n">
        <v>5780</v>
      </c>
      <c r="W150" s="20" t="n">
        <v>6624</v>
      </c>
      <c r="X150" s="20" t="n">
        <v>5838</v>
      </c>
    </row>
    <row r="151">
      <c r="A151" s="43" t="inlineStr">
        <is>
          <t>YoY</t>
        </is>
      </c>
      <c r="B151" s="3" t="inlineStr">
        <is>
          <t>전년 같은 분기·전년 대비</t>
        </is>
      </c>
      <c r="G151" s="15">
        <f>IF(OR(G150="",C150=""),"",IF(C150&lt;=0,"",IFERROR(G150/C150-1,"")))</f>
        <v/>
      </c>
      <c r="H151" s="15">
        <f>IF(OR(H150="",D150=""),"",IF(D150&lt;=0,"",IFERROR(H150/D150-1,"")))</f>
        <v/>
      </c>
      <c r="I151" s="15">
        <f>IF(OR(I150="",E150=""),"",IF(E150&lt;=0,"",IFERROR(I150/E150-1,"")))</f>
        <v/>
      </c>
      <c r="J151" s="15">
        <f>IF(OR(J150="",F150=""),"",IF(F150&lt;=0,"",IFERROR(J150/F150-1,"")))</f>
        <v/>
      </c>
      <c r="K151" s="15">
        <f>IF(OR(K150="",G150=""),"",IF(G150&lt;=0,"",IFERROR(K150/G150-1,"")))</f>
        <v/>
      </c>
      <c r="L151" s="15">
        <f>IF(OR(L150="",H150=""),"",IF(H150&lt;=0,"",IFERROR(L150/H150-1,"")))</f>
        <v/>
      </c>
      <c r="M151" s="15">
        <f>IF(OR(M150="",I150=""),"",IF(I150&lt;=0,"",IFERROR(M150/I150-1,"")))</f>
        <v/>
      </c>
      <c r="N151" s="15">
        <f>IF(OR(N150="",J150=""),"",IF(J150&lt;=0,"",IFERROR(N150/J150-1,"")))</f>
        <v/>
      </c>
      <c r="V151" s="15">
        <f>IF(OR(V150="",U150=""),"",IF(U150&lt;=0,"",IFERROR(V150/U150-1,"")))</f>
        <v/>
      </c>
      <c r="W151" s="15">
        <f>IF(OR(W150="",V150=""),"",IF(V150&lt;=0,"",IFERROR(W150/V150-1,"")))</f>
        <v/>
      </c>
      <c r="X151" s="15">
        <f>IF(OR(X150="",W150=""),"",IF(W150&lt;=0,"",IFERROR(X150/W150-1,"")))</f>
        <v/>
      </c>
    </row>
    <row r="152">
      <c r="A152" s="18" t="inlineStr">
        <is>
          <t>PlantBusinessReportableSegmentMember · 매출액</t>
        </is>
      </c>
      <c r="C152" s="20" t="n">
        <v>2422</v>
      </c>
      <c r="D152" s="20" t="n">
        <v>2641</v>
      </c>
      <c r="E152" s="20" t="n">
        <v>1525</v>
      </c>
      <c r="F152" s="20" t="n">
        <v>2919</v>
      </c>
      <c r="G152" s="20" t="n">
        <v>2249</v>
      </c>
      <c r="H152" s="20" t="n">
        <v>4829</v>
      </c>
      <c r="I152" s="20" t="n">
        <v>2009</v>
      </c>
      <c r="J152" s="20" t="n">
        <v>3286</v>
      </c>
      <c r="K152" s="20" t="n">
        <v>3207</v>
      </c>
      <c r="L152" s="20" t="n">
        <v>5326</v>
      </c>
      <c r="M152" s="20" t="n">
        <v>3045</v>
      </c>
      <c r="N152" s="20" t="n">
        <v>4759</v>
      </c>
      <c r="V152" s="20" t="n">
        <v>2641</v>
      </c>
      <c r="W152" s="20" t="n">
        <v>4829</v>
      </c>
      <c r="X152" s="20" t="n">
        <v>5326</v>
      </c>
    </row>
    <row r="153">
      <c r="A153" s="43" t="inlineStr">
        <is>
          <t>YoY</t>
        </is>
      </c>
      <c r="B153" s="3" t="inlineStr">
        <is>
          <t>전년 같은 분기·전년 대비</t>
        </is>
      </c>
      <c r="G153" s="15">
        <f>IF(OR(G152="",C152=""),"",IF(C152&lt;=0,"",IFERROR(G152/C152-1,"")))</f>
        <v/>
      </c>
      <c r="H153" s="15">
        <f>IF(OR(H152="",D152=""),"",IF(D152&lt;=0,"",IFERROR(H152/D152-1,"")))</f>
        <v/>
      </c>
      <c r="I153" s="15">
        <f>IF(OR(I152="",E152=""),"",IF(E152&lt;=0,"",IFERROR(I152/E152-1,"")))</f>
        <v/>
      </c>
      <c r="J153" s="15">
        <f>IF(OR(J152="",F152=""),"",IF(F152&lt;=0,"",IFERROR(J152/F152-1,"")))</f>
        <v/>
      </c>
      <c r="K153" s="15">
        <f>IF(OR(K152="",G152=""),"",IF(G152&lt;=0,"",IFERROR(K152/G152-1,"")))</f>
        <v/>
      </c>
      <c r="L153" s="15">
        <f>IF(OR(L152="",H152=""),"",IF(H152&lt;=0,"",IFERROR(L152/H152-1,"")))</f>
        <v/>
      </c>
      <c r="M153" s="15">
        <f>IF(OR(M152="",I152=""),"",IF(I152&lt;=0,"",IFERROR(M152/I152-1,"")))</f>
        <v/>
      </c>
      <c r="N153" s="15">
        <f>IF(OR(N152="",J152=""),"",IF(J152&lt;=0,"",IFERROR(N152/J152-1,"")))</f>
        <v/>
      </c>
      <c r="V153" s="15">
        <f>IF(OR(V152="",U152=""),"",IF(U152&lt;=0,"",IFERROR(V152/U152-1,"")))</f>
        <v/>
      </c>
      <c r="W153" s="15">
        <f>IF(OR(W152="",V152=""),"",IF(V152&lt;=0,"",IFERROR(W152/V152-1,"")))</f>
        <v/>
      </c>
      <c r="X153" s="15">
        <f>IF(OR(X152="",W152=""),"",IF(W152&lt;=0,"",IFERROR(X152/W152-1,"")))</f>
        <v/>
      </c>
    </row>
    <row r="154">
      <c r="A154" s="18" t="inlineStr">
        <is>
          <t>DevelopmentBusinessReportableSegmentMember · 매출액</t>
        </is>
      </c>
      <c r="C154" s="20" t="n">
        <v>245</v>
      </c>
      <c r="D154" s="20" t="n">
        <v>1267</v>
      </c>
      <c r="E154" s="20" t="n">
        <v>323</v>
      </c>
      <c r="F154" s="20" t="n">
        <v>849</v>
      </c>
      <c r="G154" s="20" t="n">
        <v>363</v>
      </c>
      <c r="H154" s="20" t="n">
        <v>841</v>
      </c>
      <c r="I154" s="20" t="n">
        <v>278</v>
      </c>
      <c r="J154" s="20" t="n">
        <v>432</v>
      </c>
      <c r="K154" s="20" t="n">
        <v>524</v>
      </c>
      <c r="L154" s="20" t="n">
        <v>747</v>
      </c>
      <c r="M154" s="20" t="n">
        <v>176</v>
      </c>
      <c r="N154" s="20" t="n">
        <v>297</v>
      </c>
      <c r="V154" s="20" t="n">
        <v>1267</v>
      </c>
      <c r="W154" s="20" t="n">
        <v>841</v>
      </c>
      <c r="X154" s="20" t="n">
        <v>747</v>
      </c>
    </row>
    <row r="155">
      <c r="A155" s="43" t="inlineStr">
        <is>
          <t>YoY</t>
        </is>
      </c>
      <c r="B155" s="3" t="inlineStr">
        <is>
          <t>전년 같은 분기·전년 대비</t>
        </is>
      </c>
      <c r="G155" s="15">
        <f>IF(OR(G154="",C154=""),"",IF(C154&lt;=0,"",IFERROR(G154/C154-1,"")))</f>
        <v/>
      </c>
      <c r="H155" s="15">
        <f>IF(OR(H154="",D154=""),"",IF(D154&lt;=0,"",IFERROR(H154/D154-1,"")))</f>
        <v/>
      </c>
      <c r="I155" s="15">
        <f>IF(OR(I154="",E154=""),"",IF(E154&lt;=0,"",IFERROR(I154/E154-1,"")))</f>
        <v/>
      </c>
      <c r="J155" s="15">
        <f>IF(OR(J154="",F154=""),"",IF(F154&lt;=0,"",IFERROR(J154/F154-1,"")))</f>
        <v/>
      </c>
      <c r="K155" s="15">
        <f>IF(OR(K154="",G154=""),"",IF(G154&lt;=0,"",IFERROR(K154/G154-1,"")))</f>
        <v/>
      </c>
      <c r="L155" s="15">
        <f>IF(OR(L154="",H154=""),"",IF(H154&lt;=0,"",IFERROR(L154/H154-1,"")))</f>
        <v/>
      </c>
      <c r="M155" s="15">
        <f>IF(OR(M154="",I154=""),"",IF(I154&lt;=0,"",IFERROR(M154/I154-1,"")))</f>
        <v/>
      </c>
      <c r="N155" s="15">
        <f>IF(OR(N154="",J154=""),"",IF(J154&lt;=0,"",IFERROR(N154/J154-1,"")))</f>
        <v/>
      </c>
      <c r="V155" s="15">
        <f>IF(OR(V154="",U154=""),"",IF(U154&lt;=0,"",IFERROR(V154/U154-1,"")))</f>
        <v/>
      </c>
      <c r="W155" s="15">
        <f>IF(OR(W154="",V154=""),"",IF(V154&lt;=0,"",IFERROR(W154/V154-1,"")))</f>
        <v/>
      </c>
      <c r="X155" s="15">
        <f>IF(OR(X154="",W154=""),"",IF(W154&lt;=0,"",IFERROR(X154/W154-1,"")))</f>
        <v/>
      </c>
    </row>
    <row r="156">
      <c r="A156" s="18" t="inlineStr">
        <is>
          <t>보고부문 합계 · 매출액</t>
        </is>
      </c>
      <c r="C156" s="20" t="n">
        <v>5656</v>
      </c>
      <c r="D156" s="20" t="n">
        <v>9689</v>
      </c>
      <c r="E156" s="20" t="n">
        <v>4890</v>
      </c>
      <c r="F156" s="20" t="n">
        <v>8232</v>
      </c>
      <c r="G156" s="20" t="n">
        <v>7072</v>
      </c>
      <c r="H156" s="20" t="n">
        <v>12295</v>
      </c>
      <c r="I156" s="20" t="n">
        <v>6017</v>
      </c>
      <c r="J156" s="20" t="n">
        <v>7834</v>
      </c>
      <c r="K156" s="20" t="n">
        <v>8356</v>
      </c>
      <c r="L156" s="20" t="n">
        <v>11910</v>
      </c>
      <c r="M156" s="20" t="n">
        <v>5732</v>
      </c>
      <c r="N156" s="20" t="n">
        <v>9380</v>
      </c>
      <c r="V156" s="20" t="n">
        <v>9689</v>
      </c>
      <c r="W156" s="20" t="n">
        <v>12295</v>
      </c>
      <c r="X156" s="20" t="n">
        <v>11910</v>
      </c>
    </row>
    <row r="157">
      <c r="A157" s="43" t="inlineStr">
        <is>
          <t>YoY</t>
        </is>
      </c>
      <c r="B157" s="3" t="inlineStr">
        <is>
          <t>전년 같은 분기·전년 대비</t>
        </is>
      </c>
      <c r="G157" s="15">
        <f>IF(OR(G156="",C156=""),"",IF(C156&lt;=0,"",IFERROR(G156/C156-1,"")))</f>
        <v/>
      </c>
      <c r="H157" s="15">
        <f>IF(OR(H156="",D156=""),"",IF(D156&lt;=0,"",IFERROR(H156/D156-1,"")))</f>
        <v/>
      </c>
      <c r="I157" s="15">
        <f>IF(OR(I156="",E156=""),"",IF(E156&lt;=0,"",IFERROR(I156/E156-1,"")))</f>
        <v/>
      </c>
      <c r="J157" s="15">
        <f>IF(OR(J156="",F156=""),"",IF(F156&lt;=0,"",IFERROR(J156/F156-1,"")))</f>
        <v/>
      </c>
      <c r="K157" s="15">
        <f>IF(OR(K156="",G156=""),"",IF(G156&lt;=0,"",IFERROR(K156/G156-1,"")))</f>
        <v/>
      </c>
      <c r="L157" s="15">
        <f>IF(OR(L156="",H156=""),"",IF(H156&lt;=0,"",IFERROR(L156/H156-1,"")))</f>
        <v/>
      </c>
      <c r="M157" s="15">
        <f>IF(OR(M156="",I156=""),"",IF(I156&lt;=0,"",IFERROR(M156/I156-1,"")))</f>
        <v/>
      </c>
      <c r="N157" s="15">
        <f>IF(OR(N156="",J156=""),"",IF(J156&lt;=0,"",IFERROR(N156/J156-1,"")))</f>
        <v/>
      </c>
      <c r="V157" s="15">
        <f>IF(OR(V156="",U156=""),"",IF(U156&lt;=0,"",IFERROR(V156/U156-1,"")))</f>
        <v/>
      </c>
      <c r="W157" s="15">
        <f>IF(OR(W156="",V156=""),"",IF(V156&lt;=0,"",IFERROR(W156/V156-1,"")))</f>
        <v/>
      </c>
      <c r="X157" s="15">
        <f>IF(OR(X156="",W156=""),"",IF(W156&lt;=0,"",IFERROR(X156/W156-1,"")))</f>
        <v/>
      </c>
    </row>
    <row r="158">
      <c r="A158" s="18" t="inlineStr">
        <is>
          <t>기타 · 매출액</t>
        </is>
      </c>
      <c r="C158" s="20" t="n">
        <v>1118</v>
      </c>
      <c r="D158" s="20" t="n">
        <v>2046</v>
      </c>
      <c r="E158" s="20" t="n">
        <v>1065</v>
      </c>
      <c r="F158" s="20" t="n">
        <v>1850</v>
      </c>
      <c r="G158" s="20" t="n">
        <v>2010</v>
      </c>
      <c r="H158" s="20" t="n">
        <v>3248</v>
      </c>
      <c r="I158" s="20" t="n">
        <v>1295</v>
      </c>
      <c r="J158" s="20" t="n">
        <v>1783</v>
      </c>
      <c r="K158" s="20" t="n">
        <v>2077</v>
      </c>
      <c r="L158" s="20" t="n">
        <v>2870</v>
      </c>
      <c r="M158" s="20" t="n">
        <v>1014</v>
      </c>
      <c r="N158" s="20" t="n">
        <v>1271</v>
      </c>
      <c r="V158" s="20" t="n">
        <v>2046</v>
      </c>
      <c r="W158" s="20" t="n">
        <v>3248</v>
      </c>
      <c r="X158" s="20" t="n">
        <v>2870</v>
      </c>
    </row>
    <row r="159">
      <c r="A159" s="43" t="inlineStr">
        <is>
          <t>YoY</t>
        </is>
      </c>
      <c r="B159" s="3" t="inlineStr">
        <is>
          <t>전년 같은 분기·전년 대비</t>
        </is>
      </c>
      <c r="G159" s="15">
        <f>IF(OR(G158="",C158=""),"",IF(C158&lt;=0,"",IFERROR(G158/C158-1,"")))</f>
        <v/>
      </c>
      <c r="H159" s="15">
        <f>IF(OR(H158="",D158=""),"",IF(D158&lt;=0,"",IFERROR(H158/D158-1,"")))</f>
        <v/>
      </c>
      <c r="I159" s="15">
        <f>IF(OR(I158="",E158=""),"",IF(E158&lt;=0,"",IFERROR(I158/E158-1,"")))</f>
        <v/>
      </c>
      <c r="J159" s="15">
        <f>IF(OR(J158="",F158=""),"",IF(F158&lt;=0,"",IFERROR(J158/F158-1,"")))</f>
        <v/>
      </c>
      <c r="K159" s="15">
        <f>IF(OR(K158="",G158=""),"",IF(G158&lt;=0,"",IFERROR(K158/G158-1,"")))</f>
        <v/>
      </c>
      <c r="L159" s="15">
        <f>IF(OR(L158="",H158=""),"",IF(H158&lt;=0,"",IFERROR(L158/H158-1,"")))</f>
        <v/>
      </c>
      <c r="M159" s="15">
        <f>IF(OR(M158="",I158=""),"",IF(I158&lt;=0,"",IFERROR(M158/I158-1,"")))</f>
        <v/>
      </c>
      <c r="N159" s="15">
        <f>IF(OR(N158="",J158=""),"",IF(J158&lt;=0,"",IFERROR(N158/J158-1,"")))</f>
        <v/>
      </c>
      <c r="V159" s="15">
        <f>IF(OR(V158="",U158=""),"",IF(U158&lt;=0,"",IFERROR(V158/U158-1,"")))</f>
        <v/>
      </c>
      <c r="W159" s="15">
        <f>IF(OR(W158="",V158=""),"",IF(V158&lt;=0,"",IFERROR(W158/V158-1,"")))</f>
        <v/>
      </c>
      <c r="X159" s="15">
        <f>IF(OR(X158="",W158=""),"",IF(W158&lt;=0,"",IFERROR(X158/W158-1,"")))</f>
        <v/>
      </c>
    </row>
    <row r="160">
      <c r="A160" s="18" t="inlineStr">
        <is>
          <t>합계 · 매출액</t>
        </is>
      </c>
      <c r="C160" s="20" t="n">
        <v>6775</v>
      </c>
      <c r="D160" s="20" t="n">
        <v>11735</v>
      </c>
      <c r="E160" s="20" t="n">
        <v>5955</v>
      </c>
      <c r="F160" s="20" t="n">
        <v>10082</v>
      </c>
      <c r="G160" s="20" t="n">
        <v>9082</v>
      </c>
      <c r="H160" s="20" t="n">
        <v>15543</v>
      </c>
      <c r="I160" s="20" t="n">
        <v>7312</v>
      </c>
      <c r="J160" s="20" t="n">
        <v>9617</v>
      </c>
      <c r="K160" s="20" t="n">
        <v>10433</v>
      </c>
      <c r="L160" s="20" t="n">
        <v>14780</v>
      </c>
      <c r="M160" s="20" t="n">
        <v>6746</v>
      </c>
      <c r="N160" s="20" t="n">
        <v>10652</v>
      </c>
      <c r="V160" s="20" t="n">
        <v>11735</v>
      </c>
      <c r="W160" s="20" t="n">
        <v>15543</v>
      </c>
      <c r="X160" s="20" t="n">
        <v>14780</v>
      </c>
    </row>
    <row r="161">
      <c r="A161" s="43" t="inlineStr">
        <is>
          <t>YoY</t>
        </is>
      </c>
      <c r="B161" s="3" t="inlineStr">
        <is>
          <t>전년 같은 분기·전년 대비</t>
        </is>
      </c>
      <c r="G161" s="15">
        <f>IF(OR(G160="",C160=""),"",IF(C160&lt;=0,"",IFERROR(G160/C160-1,"")))</f>
        <v/>
      </c>
      <c r="H161" s="15">
        <f>IF(OR(H160="",D160=""),"",IF(D160&lt;=0,"",IFERROR(H160/D160-1,"")))</f>
        <v/>
      </c>
      <c r="I161" s="15">
        <f>IF(OR(I160="",E160=""),"",IF(E160&lt;=0,"",IFERROR(I160/E160-1,"")))</f>
        <v/>
      </c>
      <c r="J161" s="15">
        <f>IF(OR(J160="",F160=""),"",IF(F160&lt;=0,"",IFERROR(J160/F160-1,"")))</f>
        <v/>
      </c>
      <c r="K161" s="15">
        <f>IF(OR(K160="",G160=""),"",IF(G160&lt;=0,"",IFERROR(K160/G160-1,"")))</f>
        <v/>
      </c>
      <c r="L161" s="15">
        <f>IF(OR(L160="",H160=""),"",IF(H160&lt;=0,"",IFERROR(L160/H160-1,"")))</f>
        <v/>
      </c>
      <c r="M161" s="15">
        <f>IF(OR(M160="",I160=""),"",IF(I160&lt;=0,"",IFERROR(M160/I160-1,"")))</f>
        <v/>
      </c>
      <c r="N161" s="15">
        <f>IF(OR(N160="",J160=""),"",IF(J160&lt;=0,"",IFERROR(N160/J160-1,"")))</f>
        <v/>
      </c>
      <c r="V161" s="15">
        <f>IF(OR(V160="",U160=""),"",IF(U160&lt;=0,"",IFERROR(V160/U160-1,"")))</f>
        <v/>
      </c>
      <c r="W161" s="15">
        <f>IF(OR(W160="",V160=""),"",IF(V160&lt;=0,"",IFERROR(W160/V160-1,"")))</f>
        <v/>
      </c>
      <c r="X161" s="15">
        <f>IF(OR(X160="",W160=""),"",IF(W160&lt;=0,"",IFERROR(X160/W160-1,"")))</f>
        <v/>
      </c>
    </row>
    <row r="162">
      <c r="A162" s="18" t="inlineStr">
        <is>
          <t>조정액 · 매출액</t>
        </is>
      </c>
      <c r="C162" s="20" t="n">
        <v>-938</v>
      </c>
      <c r="D162" s="20" t="n">
        <v>-897</v>
      </c>
      <c r="E162" s="20" t="n">
        <v>-675</v>
      </c>
      <c r="F162" s="20" t="n">
        <v>-640</v>
      </c>
      <c r="G162" s="20" t="n">
        <v>-1585</v>
      </c>
      <c r="H162" s="20" t="n">
        <v>-1515</v>
      </c>
      <c r="I162" s="20" t="n">
        <v>-965</v>
      </c>
      <c r="J162" s="20" t="n">
        <v>-1195</v>
      </c>
      <c r="K162" s="20" t="n">
        <v>-1418</v>
      </c>
      <c r="L162" s="20" t="n">
        <v>-1231</v>
      </c>
      <c r="M162" s="20" t="n">
        <v>-627</v>
      </c>
      <c r="N162" s="20" t="n">
        <v>-715</v>
      </c>
      <c r="V162" s="20" t="n">
        <v>-897</v>
      </c>
      <c r="W162" s="20" t="n">
        <v>-1515</v>
      </c>
      <c r="X162" s="20" t="n">
        <v>-1231</v>
      </c>
    </row>
    <row r="163">
      <c r="A163" s="18" t="inlineStr">
        <is>
          <t>EntityTotalMember · 매출액</t>
        </is>
      </c>
      <c r="E163" s="20" t="n">
        <v>5280</v>
      </c>
      <c r="I163" s="20" t="n">
        <v>6347</v>
      </c>
      <c r="M163" s="20" t="n">
        <v>6119</v>
      </c>
    </row>
    <row r="164">
      <c r="A164" s="9" t="inlineStr">
        <is>
          <t>매출액</t>
        </is>
      </c>
      <c r="C164" s="12" t="n">
        <v>5837</v>
      </c>
      <c r="D164" s="12" t="n">
        <v>10837</v>
      </c>
      <c r="E164" s="12" t="n">
        <v>5280</v>
      </c>
      <c r="F164" s="12" t="n">
        <v>9441</v>
      </c>
      <c r="G164" s="12" t="n">
        <v>7498</v>
      </c>
      <c r="H164" s="12" t="n">
        <v>14028</v>
      </c>
      <c r="V164" s="12" t="n">
        <v>10837</v>
      </c>
      <c r="W164" s="12" t="n">
        <v>14028</v>
      </c>
    </row>
    <row r="165">
      <c r="A165" s="43" t="inlineStr">
        <is>
          <t>YoY</t>
        </is>
      </c>
      <c r="B165" s="3" t="inlineStr">
        <is>
          <t>전년 같은 분기·전년 대비</t>
        </is>
      </c>
      <c r="G165" s="15">
        <f>IF(OR(G164="",C164=""),"",IF(C164&lt;=0,"",IFERROR(G164/C164-1,"")))</f>
        <v/>
      </c>
      <c r="H165" s="15">
        <f>IF(OR(H164="",D164=""),"",IF(D164&lt;=0,"",IFERROR(H164/D164-1,"")))</f>
        <v/>
      </c>
      <c r="V165" s="15">
        <f>IF(OR(V164="",U164=""),"",IF(U164&lt;=0,"",IFERROR(V164/U164-1,"")))</f>
        <v/>
      </c>
      <c r="W165" s="15">
        <f>IF(OR(W164="",V164=""),"",IF(V164&lt;=0,"",IFERROR(W164/V164-1,"")))</f>
        <v/>
      </c>
    </row>
    <row r="166">
      <c r="A166" s="18" t="inlineStr">
        <is>
          <t>HeatTreatmentBusinessReportableSegmentMember · 부문 이익(손실)</t>
        </is>
      </c>
      <c r="C166" s="20" t="n">
        <v>-169</v>
      </c>
      <c r="D166" s="20" t="n">
        <v>1101</v>
      </c>
      <c r="E166" s="20" t="n">
        <v>-193</v>
      </c>
      <c r="F166" s="20" t="n">
        <v>484</v>
      </c>
      <c r="G166" s="20" t="n">
        <v>145</v>
      </c>
      <c r="H166" s="20" t="n">
        <v>1064</v>
      </c>
      <c r="I166" s="20" t="n">
        <v>-100</v>
      </c>
      <c r="J166" s="20" t="n">
        <v>225</v>
      </c>
      <c r="K166" s="20" t="n">
        <v>164</v>
      </c>
      <c r="L166" s="20" t="n">
        <v>1122</v>
      </c>
      <c r="M166" s="20" t="n">
        <v>-422</v>
      </c>
      <c r="N166" s="20" t="n">
        <v>180</v>
      </c>
      <c r="V166" s="20" t="n">
        <v>1101</v>
      </c>
      <c r="W166" s="20" t="n">
        <v>1064</v>
      </c>
      <c r="X166" s="20" t="n">
        <v>1122</v>
      </c>
    </row>
    <row r="167">
      <c r="A167" s="43" t="inlineStr">
        <is>
          <t>OPM</t>
        </is>
      </c>
      <c r="B167" s="3" t="inlineStr">
        <is>
          <t>영업이익 ÷ 매출</t>
        </is>
      </c>
      <c r="C167" s="15">
        <f>IF(OR(C166="",C150=""),"",IF(C150&lt;=0,"",IFERROR(C166/C150,"")))</f>
        <v/>
      </c>
      <c r="D167" s="15">
        <f>IF(OR(D166="",D150=""),"",IF(D150&lt;=0,"",IFERROR(D166/D150,"")))</f>
        <v/>
      </c>
      <c r="E167" s="15">
        <f>IF(OR(E166="",E150=""),"",IF(E150&lt;=0,"",IFERROR(E166/E150,"")))</f>
        <v/>
      </c>
      <c r="F167" s="15">
        <f>IF(OR(F166="",F150=""),"",IF(F150&lt;=0,"",IFERROR(F166/F150,"")))</f>
        <v/>
      </c>
      <c r="G167" s="15">
        <f>IF(OR(G166="",G150=""),"",IF(G150&lt;=0,"",IFERROR(G166/G150,"")))</f>
        <v/>
      </c>
      <c r="H167" s="15">
        <f>IF(OR(H166="",H150=""),"",IF(H150&lt;=0,"",IFERROR(H166/H150,"")))</f>
        <v/>
      </c>
      <c r="I167" s="15">
        <f>IF(OR(I166="",I150=""),"",IF(I150&lt;=0,"",IFERROR(I166/I150,"")))</f>
        <v/>
      </c>
      <c r="J167" s="15">
        <f>IF(OR(J166="",J150=""),"",IF(J150&lt;=0,"",IFERROR(J166/J150,"")))</f>
        <v/>
      </c>
      <c r="K167" s="15">
        <f>IF(OR(K166="",K150=""),"",IF(K150&lt;=0,"",IFERROR(K166/K150,"")))</f>
        <v/>
      </c>
      <c r="L167" s="15">
        <f>IF(OR(L166="",L150=""),"",IF(L150&lt;=0,"",IFERROR(L166/L150,"")))</f>
        <v/>
      </c>
      <c r="M167" s="15">
        <f>IF(OR(M166="",M150=""),"",IF(M150&lt;=0,"",IFERROR(M166/M150,"")))</f>
        <v/>
      </c>
      <c r="N167" s="15">
        <f>IF(OR(N166="",N150=""),"",IF(N150&lt;=0,"",IFERROR(N166/N150,"")))</f>
        <v/>
      </c>
      <c r="V167" s="15">
        <f>IF(OR(V166="",V150=""),"",IF(V150&lt;=0,"",IFERROR(V166/V150,"")))</f>
        <v/>
      </c>
      <c r="W167" s="15">
        <f>IF(OR(W166="",W150=""),"",IF(W150&lt;=0,"",IFERROR(W166/W150,"")))</f>
        <v/>
      </c>
      <c r="X167" s="15">
        <f>IF(OR(X166="",X150=""),"",IF(X150&lt;=0,"",IFERROR(X166/X150,"")))</f>
        <v/>
      </c>
    </row>
    <row r="168">
      <c r="A168" s="43" t="inlineStr">
        <is>
          <t>YoY</t>
        </is>
      </c>
      <c r="B168" s="3" t="inlineStr">
        <is>
          <t>전년 같은 분기·전년 대비</t>
        </is>
      </c>
      <c r="G168" s="15">
        <f>IF(OR(G166="",C166=""),"",IF(C166&lt;=0,"",IFERROR(G166/C166-1,"")))</f>
        <v/>
      </c>
      <c r="H168" s="15">
        <f>IF(OR(H166="",D166=""),"",IF(D166&lt;=0,"",IFERROR(H166/D166-1,"")))</f>
        <v/>
      </c>
      <c r="I168" s="15">
        <f>IF(OR(I166="",E166=""),"",IF(E166&lt;=0,"",IFERROR(I166/E166-1,"")))</f>
        <v/>
      </c>
      <c r="J168" s="15">
        <f>IF(OR(J166="",F166=""),"",IF(F166&lt;=0,"",IFERROR(J166/F166-1,"")))</f>
        <v/>
      </c>
      <c r="K168" s="15">
        <f>IF(OR(K166="",G166=""),"",IF(G166&lt;=0,"",IFERROR(K166/G166-1,"")))</f>
        <v/>
      </c>
      <c r="L168" s="15">
        <f>IF(OR(L166="",H166=""),"",IF(H166&lt;=0,"",IFERROR(L166/H166-1,"")))</f>
        <v/>
      </c>
      <c r="M168" s="15">
        <f>IF(OR(M166="",I166=""),"",IF(I166&lt;=0,"",IFERROR(M166/I166-1,"")))</f>
        <v/>
      </c>
      <c r="N168" s="15">
        <f>IF(OR(N166="",J166=""),"",IF(J166&lt;=0,"",IFERROR(N166/J166-1,"")))</f>
        <v/>
      </c>
      <c r="V168" s="15">
        <f>IF(OR(V166="",U166=""),"",IF(U166&lt;=0,"",IFERROR(V166/U166-1,"")))</f>
        <v/>
      </c>
      <c r="W168" s="15">
        <f>IF(OR(W166="",V166=""),"",IF(V166&lt;=0,"",IFERROR(W166/V166-1,"")))</f>
        <v/>
      </c>
      <c r="X168" s="15">
        <f>IF(OR(X166="",W166=""),"",IF(W166&lt;=0,"",IFERROR(X166/W166-1,"")))</f>
        <v/>
      </c>
    </row>
    <row r="169">
      <c r="A169" s="18" t="inlineStr">
        <is>
          <t>PlantBusinessReportableSegmentMember · 부문 이익(손실)</t>
        </is>
      </c>
      <c r="C169" s="20" t="n">
        <v>121</v>
      </c>
      <c r="D169" s="20" t="n">
        <v>234</v>
      </c>
      <c r="E169" s="20" t="n">
        <v>-289</v>
      </c>
      <c r="F169" s="20" t="n">
        <v>114</v>
      </c>
      <c r="G169" s="20" t="n">
        <v>118</v>
      </c>
      <c r="H169" s="20" t="n">
        <v>1020</v>
      </c>
      <c r="I169" s="20" t="n">
        <v>-89</v>
      </c>
      <c r="J169" s="20" t="n">
        <v>456</v>
      </c>
      <c r="K169" s="20" t="n">
        <v>214</v>
      </c>
      <c r="L169" s="20" t="n">
        <v>1096</v>
      </c>
      <c r="M169" s="20" t="n">
        <v>371</v>
      </c>
      <c r="N169" s="20" t="n">
        <v>836</v>
      </c>
      <c r="V169" s="20" t="n">
        <v>234</v>
      </c>
      <c r="W169" s="20" t="n">
        <v>1020</v>
      </c>
      <c r="X169" s="20" t="n">
        <v>1096</v>
      </c>
    </row>
    <row r="170">
      <c r="A170" s="43" t="inlineStr">
        <is>
          <t>OPM</t>
        </is>
      </c>
      <c r="B170" s="3" t="inlineStr">
        <is>
          <t>영업이익 ÷ 매출</t>
        </is>
      </c>
      <c r="C170" s="15">
        <f>IF(OR(C169="",C152=""),"",IF(C152&lt;=0,"",IFERROR(C169/C152,"")))</f>
        <v/>
      </c>
      <c r="D170" s="15">
        <f>IF(OR(D169="",D152=""),"",IF(D152&lt;=0,"",IFERROR(D169/D152,"")))</f>
        <v/>
      </c>
      <c r="E170" s="15">
        <f>IF(OR(E169="",E152=""),"",IF(E152&lt;=0,"",IFERROR(E169/E152,"")))</f>
        <v/>
      </c>
      <c r="F170" s="15">
        <f>IF(OR(F169="",F152=""),"",IF(F152&lt;=0,"",IFERROR(F169/F152,"")))</f>
        <v/>
      </c>
      <c r="G170" s="15">
        <f>IF(OR(G169="",G152=""),"",IF(G152&lt;=0,"",IFERROR(G169/G152,"")))</f>
        <v/>
      </c>
      <c r="H170" s="15">
        <f>IF(OR(H169="",H152=""),"",IF(H152&lt;=0,"",IFERROR(H169/H152,"")))</f>
        <v/>
      </c>
      <c r="I170" s="15">
        <f>IF(OR(I169="",I152=""),"",IF(I152&lt;=0,"",IFERROR(I169/I152,"")))</f>
        <v/>
      </c>
      <c r="J170" s="15">
        <f>IF(OR(J169="",J152=""),"",IF(J152&lt;=0,"",IFERROR(J169/J152,"")))</f>
        <v/>
      </c>
      <c r="K170" s="15">
        <f>IF(OR(K169="",K152=""),"",IF(K152&lt;=0,"",IFERROR(K169/K152,"")))</f>
        <v/>
      </c>
      <c r="L170" s="15">
        <f>IF(OR(L169="",L152=""),"",IF(L152&lt;=0,"",IFERROR(L169/L152,"")))</f>
        <v/>
      </c>
      <c r="M170" s="15">
        <f>IF(OR(M169="",M152=""),"",IF(M152&lt;=0,"",IFERROR(M169/M152,"")))</f>
        <v/>
      </c>
      <c r="N170" s="15">
        <f>IF(OR(N169="",N152=""),"",IF(N152&lt;=0,"",IFERROR(N169/N152,"")))</f>
        <v/>
      </c>
      <c r="V170" s="15">
        <f>IF(OR(V169="",V152=""),"",IF(V152&lt;=0,"",IFERROR(V169/V152,"")))</f>
        <v/>
      </c>
      <c r="W170" s="15">
        <f>IF(OR(W169="",W152=""),"",IF(W152&lt;=0,"",IFERROR(W169/W152,"")))</f>
        <v/>
      </c>
      <c r="X170" s="15">
        <f>IF(OR(X169="",X152=""),"",IF(X152&lt;=0,"",IFERROR(X169/X152,"")))</f>
        <v/>
      </c>
    </row>
    <row r="171">
      <c r="A171" s="43" t="inlineStr">
        <is>
          <t>YoY</t>
        </is>
      </c>
      <c r="B171" s="3" t="inlineStr">
        <is>
          <t>전년 같은 분기·전년 대비</t>
        </is>
      </c>
      <c r="G171" s="15">
        <f>IF(OR(G169="",C169=""),"",IF(C169&lt;=0,"",IFERROR(G169/C169-1,"")))</f>
        <v/>
      </c>
      <c r="H171" s="15">
        <f>IF(OR(H169="",D169=""),"",IF(D169&lt;=0,"",IFERROR(H169/D169-1,"")))</f>
        <v/>
      </c>
      <c r="I171" s="15">
        <f>IF(OR(I169="",E169=""),"",IF(E169&lt;=0,"",IFERROR(I169/E169-1,"")))</f>
        <v/>
      </c>
      <c r="J171" s="15">
        <f>IF(OR(J169="",F169=""),"",IF(F169&lt;=0,"",IFERROR(J169/F169-1,"")))</f>
        <v/>
      </c>
      <c r="K171" s="15">
        <f>IF(OR(K169="",G169=""),"",IF(G169&lt;=0,"",IFERROR(K169/G169-1,"")))</f>
        <v/>
      </c>
      <c r="L171" s="15">
        <f>IF(OR(L169="",H169=""),"",IF(H169&lt;=0,"",IFERROR(L169/H169-1,"")))</f>
        <v/>
      </c>
      <c r="M171" s="15">
        <f>IF(OR(M169="",I169=""),"",IF(I169&lt;=0,"",IFERROR(M169/I169-1,"")))</f>
        <v/>
      </c>
      <c r="N171" s="15">
        <f>IF(OR(N169="",J169=""),"",IF(J169&lt;=0,"",IFERROR(N169/J169-1,"")))</f>
        <v/>
      </c>
      <c r="V171" s="15">
        <f>IF(OR(V169="",U169=""),"",IF(U169&lt;=0,"",IFERROR(V169/U169-1,"")))</f>
        <v/>
      </c>
      <c r="W171" s="15">
        <f>IF(OR(W169="",V169=""),"",IF(V169&lt;=0,"",IFERROR(W169/V169-1,"")))</f>
        <v/>
      </c>
      <c r="X171" s="15">
        <f>IF(OR(X169="",W169=""),"",IF(W169&lt;=0,"",IFERROR(X169/W169-1,"")))</f>
        <v/>
      </c>
    </row>
    <row r="172">
      <c r="A172" s="18" t="inlineStr">
        <is>
          <t>DevelopmentBusinessReportableSegmentMember · 부문 이익(손실)</t>
        </is>
      </c>
      <c r="C172" s="20" t="n">
        <v>-128</v>
      </c>
      <c r="D172" s="20" t="n">
        <v>367</v>
      </c>
      <c r="E172" s="20" t="n">
        <v>-169</v>
      </c>
      <c r="F172" s="20" t="n">
        <v>93</v>
      </c>
      <c r="G172" s="20" t="n">
        <v>-201</v>
      </c>
      <c r="H172" s="20" t="n">
        <v>69</v>
      </c>
      <c r="I172" s="20" t="n">
        <v>-108</v>
      </c>
      <c r="J172" s="20" t="n">
        <v>-72</v>
      </c>
      <c r="K172" s="20" t="n">
        <v>-47</v>
      </c>
      <c r="L172" s="20" t="n">
        <v>-20</v>
      </c>
      <c r="M172" s="20" t="n">
        <v>-163</v>
      </c>
      <c r="N172" s="20" t="n">
        <v>-167</v>
      </c>
      <c r="V172" s="20" t="n">
        <v>367</v>
      </c>
      <c r="W172" s="20" t="n">
        <v>69</v>
      </c>
      <c r="X172" s="20" t="n">
        <v>-20</v>
      </c>
    </row>
    <row r="173">
      <c r="A173" s="43" t="inlineStr">
        <is>
          <t>OPM</t>
        </is>
      </c>
      <c r="B173" s="3" t="inlineStr">
        <is>
          <t>영업이익 ÷ 매출</t>
        </is>
      </c>
      <c r="C173" s="15">
        <f>IF(OR(C172="",C154=""),"",IF(C154&lt;=0,"",IFERROR(C172/C154,"")))</f>
        <v/>
      </c>
      <c r="D173" s="15">
        <f>IF(OR(D172="",D154=""),"",IF(D154&lt;=0,"",IFERROR(D172/D154,"")))</f>
        <v/>
      </c>
      <c r="E173" s="15">
        <f>IF(OR(E172="",E154=""),"",IF(E154&lt;=0,"",IFERROR(E172/E154,"")))</f>
        <v/>
      </c>
      <c r="F173" s="15">
        <f>IF(OR(F172="",F154=""),"",IF(F154&lt;=0,"",IFERROR(F172/F154,"")))</f>
        <v/>
      </c>
      <c r="G173" s="15">
        <f>IF(OR(G172="",G154=""),"",IF(G154&lt;=0,"",IFERROR(G172/G154,"")))</f>
        <v/>
      </c>
      <c r="H173" s="15">
        <f>IF(OR(H172="",H154=""),"",IF(H154&lt;=0,"",IFERROR(H172/H154,"")))</f>
        <v/>
      </c>
      <c r="I173" s="15">
        <f>IF(OR(I172="",I154=""),"",IF(I154&lt;=0,"",IFERROR(I172/I154,"")))</f>
        <v/>
      </c>
      <c r="J173" s="15">
        <f>IF(OR(J172="",J154=""),"",IF(J154&lt;=0,"",IFERROR(J172/J154,"")))</f>
        <v/>
      </c>
      <c r="K173" s="15">
        <f>IF(OR(K172="",K154=""),"",IF(K154&lt;=0,"",IFERROR(K172/K154,"")))</f>
        <v/>
      </c>
      <c r="L173" s="15">
        <f>IF(OR(L172="",L154=""),"",IF(L154&lt;=0,"",IFERROR(L172/L154,"")))</f>
        <v/>
      </c>
      <c r="M173" s="15">
        <f>IF(OR(M172="",M154=""),"",IF(M154&lt;=0,"",IFERROR(M172/M154,"")))</f>
        <v/>
      </c>
      <c r="N173" s="15">
        <f>IF(OR(N172="",N154=""),"",IF(N154&lt;=0,"",IFERROR(N172/N154,"")))</f>
        <v/>
      </c>
      <c r="V173" s="15">
        <f>IF(OR(V172="",V154=""),"",IF(V154&lt;=0,"",IFERROR(V172/V154,"")))</f>
        <v/>
      </c>
      <c r="W173" s="15">
        <f>IF(OR(W172="",W154=""),"",IF(W154&lt;=0,"",IFERROR(W172/W154,"")))</f>
        <v/>
      </c>
      <c r="X173" s="15">
        <f>IF(OR(X172="",X154=""),"",IF(X154&lt;=0,"",IFERROR(X172/X154,"")))</f>
        <v/>
      </c>
    </row>
    <row r="174">
      <c r="A174" s="43" t="inlineStr">
        <is>
          <t>YoY</t>
        </is>
      </c>
      <c r="B174" s="3" t="inlineStr">
        <is>
          <t>전년 같은 분기·전년 대비</t>
        </is>
      </c>
      <c r="G174" s="15">
        <f>IF(OR(G172="",C172=""),"",IF(C172&lt;=0,"",IFERROR(G172/C172-1,"")))</f>
        <v/>
      </c>
      <c r="H174" s="15">
        <f>IF(OR(H172="",D172=""),"",IF(D172&lt;=0,"",IFERROR(H172/D172-1,"")))</f>
        <v/>
      </c>
      <c r="I174" s="15">
        <f>IF(OR(I172="",E172=""),"",IF(E172&lt;=0,"",IFERROR(I172/E172-1,"")))</f>
        <v/>
      </c>
      <c r="J174" s="15">
        <f>IF(OR(J172="",F172=""),"",IF(F172&lt;=0,"",IFERROR(J172/F172-1,"")))</f>
        <v/>
      </c>
      <c r="K174" s="15">
        <f>IF(OR(K172="",G172=""),"",IF(G172&lt;=0,"",IFERROR(K172/G172-1,"")))</f>
        <v/>
      </c>
      <c r="L174" s="15">
        <f>IF(OR(L172="",H172=""),"",IF(H172&lt;=0,"",IFERROR(L172/H172-1,"")))</f>
        <v/>
      </c>
      <c r="M174" s="15">
        <f>IF(OR(M172="",I172=""),"",IF(I172&lt;=0,"",IFERROR(M172/I172-1,"")))</f>
        <v/>
      </c>
      <c r="N174" s="15">
        <f>IF(OR(N172="",J172=""),"",IF(J172&lt;=0,"",IFERROR(N172/J172-1,"")))</f>
        <v/>
      </c>
      <c r="V174" s="15">
        <f>IF(OR(V172="",U172=""),"",IF(U172&lt;=0,"",IFERROR(V172/U172-1,"")))</f>
        <v/>
      </c>
      <c r="W174" s="15">
        <f>IF(OR(W172="",V172=""),"",IF(V172&lt;=0,"",IFERROR(W172/V172-1,"")))</f>
        <v/>
      </c>
      <c r="X174" s="15">
        <f>IF(OR(X172="",W172=""),"",IF(W172&lt;=0,"",IFERROR(X172/W172-1,"")))</f>
        <v/>
      </c>
    </row>
    <row r="175">
      <c r="A175" s="18" t="inlineStr">
        <is>
          <t>보고부문 합계 · 부문 이익(손실)</t>
        </is>
      </c>
      <c r="C175" s="20" t="n">
        <v>-175</v>
      </c>
      <c r="D175" s="20" t="n">
        <v>1701</v>
      </c>
      <c r="E175" s="20" t="n">
        <v>-653</v>
      </c>
      <c r="F175" s="20" t="n">
        <v>691</v>
      </c>
      <c r="G175" s="20" t="n">
        <v>64</v>
      </c>
      <c r="H175" s="20" t="n">
        <v>2153</v>
      </c>
      <c r="I175" s="20" t="n">
        <v>-298</v>
      </c>
      <c r="J175" s="20" t="n">
        <v>611</v>
      </c>
      <c r="K175" s="20" t="n">
        <v>330</v>
      </c>
      <c r="L175" s="20" t="n">
        <v>2197</v>
      </c>
      <c r="M175" s="20" t="n">
        <v>-215</v>
      </c>
      <c r="N175" s="20" t="n">
        <v>848</v>
      </c>
      <c r="V175" s="20" t="n">
        <v>1701</v>
      </c>
      <c r="W175" s="20" t="n">
        <v>2153</v>
      </c>
      <c r="X175" s="20" t="n">
        <v>2197</v>
      </c>
    </row>
    <row r="176">
      <c r="A176" s="43" t="inlineStr">
        <is>
          <t>OPM</t>
        </is>
      </c>
      <c r="B176" s="3" t="inlineStr">
        <is>
          <t>영업이익 ÷ 매출</t>
        </is>
      </c>
      <c r="C176" s="15">
        <f>IF(OR(C175="",C156=""),"",IF(C156&lt;=0,"",IFERROR(C175/C156,"")))</f>
        <v/>
      </c>
      <c r="D176" s="15">
        <f>IF(OR(D175="",D156=""),"",IF(D156&lt;=0,"",IFERROR(D175/D156,"")))</f>
        <v/>
      </c>
      <c r="E176" s="15">
        <f>IF(OR(E175="",E156=""),"",IF(E156&lt;=0,"",IFERROR(E175/E156,"")))</f>
        <v/>
      </c>
      <c r="F176" s="15">
        <f>IF(OR(F175="",F156=""),"",IF(F156&lt;=0,"",IFERROR(F175/F156,"")))</f>
        <v/>
      </c>
      <c r="G176" s="15">
        <f>IF(OR(G175="",G156=""),"",IF(G156&lt;=0,"",IFERROR(G175/G156,"")))</f>
        <v/>
      </c>
      <c r="H176" s="15">
        <f>IF(OR(H175="",H156=""),"",IF(H156&lt;=0,"",IFERROR(H175/H156,"")))</f>
        <v/>
      </c>
      <c r="I176" s="15">
        <f>IF(OR(I175="",I156=""),"",IF(I156&lt;=0,"",IFERROR(I175/I156,"")))</f>
        <v/>
      </c>
      <c r="J176" s="15">
        <f>IF(OR(J175="",J156=""),"",IF(J156&lt;=0,"",IFERROR(J175/J156,"")))</f>
        <v/>
      </c>
      <c r="K176" s="15">
        <f>IF(OR(K175="",K156=""),"",IF(K156&lt;=0,"",IFERROR(K175/K156,"")))</f>
        <v/>
      </c>
      <c r="L176" s="15">
        <f>IF(OR(L175="",L156=""),"",IF(L156&lt;=0,"",IFERROR(L175/L156,"")))</f>
        <v/>
      </c>
      <c r="M176" s="15">
        <f>IF(OR(M175="",M156=""),"",IF(M156&lt;=0,"",IFERROR(M175/M156,"")))</f>
        <v/>
      </c>
      <c r="N176" s="15">
        <f>IF(OR(N175="",N156=""),"",IF(N156&lt;=0,"",IFERROR(N175/N156,"")))</f>
        <v/>
      </c>
      <c r="V176" s="15">
        <f>IF(OR(V175="",V156=""),"",IF(V156&lt;=0,"",IFERROR(V175/V156,"")))</f>
        <v/>
      </c>
      <c r="W176" s="15">
        <f>IF(OR(W175="",W156=""),"",IF(W156&lt;=0,"",IFERROR(W175/W156,"")))</f>
        <v/>
      </c>
      <c r="X176" s="15">
        <f>IF(OR(X175="",X156=""),"",IF(X156&lt;=0,"",IFERROR(X175/X156,"")))</f>
        <v/>
      </c>
    </row>
    <row r="177">
      <c r="A177" s="43" t="inlineStr">
        <is>
          <t>YoY</t>
        </is>
      </c>
      <c r="B177" s="3" t="inlineStr">
        <is>
          <t>전년 같은 분기·전년 대비</t>
        </is>
      </c>
      <c r="G177" s="15">
        <f>IF(OR(G175="",C175=""),"",IF(C175&lt;=0,"",IFERROR(G175/C175-1,"")))</f>
        <v/>
      </c>
      <c r="H177" s="15">
        <f>IF(OR(H175="",D175=""),"",IF(D175&lt;=0,"",IFERROR(H175/D175-1,"")))</f>
        <v/>
      </c>
      <c r="I177" s="15">
        <f>IF(OR(I175="",E175=""),"",IF(E175&lt;=0,"",IFERROR(I175/E175-1,"")))</f>
        <v/>
      </c>
      <c r="J177" s="15">
        <f>IF(OR(J175="",F175=""),"",IF(F175&lt;=0,"",IFERROR(J175/F175-1,"")))</f>
        <v/>
      </c>
      <c r="K177" s="15">
        <f>IF(OR(K175="",G175=""),"",IF(G175&lt;=0,"",IFERROR(K175/G175-1,"")))</f>
        <v/>
      </c>
      <c r="L177" s="15">
        <f>IF(OR(L175="",H175=""),"",IF(H175&lt;=0,"",IFERROR(L175/H175-1,"")))</f>
        <v/>
      </c>
      <c r="M177" s="15">
        <f>IF(OR(M175="",I175=""),"",IF(I175&lt;=0,"",IFERROR(M175/I175-1,"")))</f>
        <v/>
      </c>
      <c r="N177" s="15">
        <f>IF(OR(N175="",J175=""),"",IF(J175&lt;=0,"",IFERROR(N175/J175-1,"")))</f>
        <v/>
      </c>
      <c r="V177" s="15">
        <f>IF(OR(V175="",U175=""),"",IF(U175&lt;=0,"",IFERROR(V175/U175-1,"")))</f>
        <v/>
      </c>
      <c r="W177" s="15">
        <f>IF(OR(W175="",V175=""),"",IF(V175&lt;=0,"",IFERROR(W175/V175-1,"")))</f>
        <v/>
      </c>
      <c r="X177" s="15">
        <f>IF(OR(X175="",W175=""),"",IF(W175&lt;=0,"",IFERROR(X175/W175-1,"")))</f>
        <v/>
      </c>
    </row>
    <row r="178">
      <c r="A178" s="18" t="inlineStr">
        <is>
          <t>기타 · 부문 이익(손실)</t>
        </is>
      </c>
      <c r="C178" s="20" t="n">
        <v>-31</v>
      </c>
      <c r="D178" s="20" t="n">
        <v>232</v>
      </c>
      <c r="E178" s="20" t="n">
        <v>-47</v>
      </c>
      <c r="F178" s="20" t="n">
        <v>134</v>
      </c>
      <c r="G178" s="20" t="n">
        <v>134</v>
      </c>
      <c r="H178" s="20" t="n">
        <v>308</v>
      </c>
      <c r="I178" s="20" t="n">
        <v>-91</v>
      </c>
      <c r="J178" s="20" t="n">
        <v>-51</v>
      </c>
      <c r="K178" s="20" t="n">
        <v>118</v>
      </c>
      <c r="L178" s="20" t="n">
        <v>55</v>
      </c>
      <c r="M178" s="20" t="n">
        <v>-27</v>
      </c>
      <c r="N178" s="20" t="n">
        <v>15</v>
      </c>
      <c r="V178" s="20" t="n">
        <v>232</v>
      </c>
      <c r="W178" s="20" t="n">
        <v>308</v>
      </c>
      <c r="X178" s="20" t="n">
        <v>55</v>
      </c>
    </row>
    <row r="179">
      <c r="A179" s="43" t="inlineStr">
        <is>
          <t>OPM</t>
        </is>
      </c>
      <c r="B179" s="3" t="inlineStr">
        <is>
          <t>영업이익 ÷ 매출</t>
        </is>
      </c>
      <c r="C179" s="15">
        <f>IF(OR(C178="",C158=""),"",IF(C158&lt;=0,"",IFERROR(C178/C158,"")))</f>
        <v/>
      </c>
      <c r="D179" s="15">
        <f>IF(OR(D178="",D158=""),"",IF(D158&lt;=0,"",IFERROR(D178/D158,"")))</f>
        <v/>
      </c>
      <c r="E179" s="15">
        <f>IF(OR(E178="",E158=""),"",IF(E158&lt;=0,"",IFERROR(E178/E158,"")))</f>
        <v/>
      </c>
      <c r="F179" s="15">
        <f>IF(OR(F178="",F158=""),"",IF(F158&lt;=0,"",IFERROR(F178/F158,"")))</f>
        <v/>
      </c>
      <c r="G179" s="15">
        <f>IF(OR(G178="",G158=""),"",IF(G158&lt;=0,"",IFERROR(G178/G158,"")))</f>
        <v/>
      </c>
      <c r="H179" s="15">
        <f>IF(OR(H178="",H158=""),"",IF(H158&lt;=0,"",IFERROR(H178/H158,"")))</f>
        <v/>
      </c>
      <c r="I179" s="15">
        <f>IF(OR(I178="",I158=""),"",IF(I158&lt;=0,"",IFERROR(I178/I158,"")))</f>
        <v/>
      </c>
      <c r="J179" s="15">
        <f>IF(OR(J178="",J158=""),"",IF(J158&lt;=0,"",IFERROR(J178/J158,"")))</f>
        <v/>
      </c>
      <c r="K179" s="15">
        <f>IF(OR(K178="",K158=""),"",IF(K158&lt;=0,"",IFERROR(K178/K158,"")))</f>
        <v/>
      </c>
      <c r="L179" s="15">
        <f>IF(OR(L178="",L158=""),"",IF(L158&lt;=0,"",IFERROR(L178/L158,"")))</f>
        <v/>
      </c>
      <c r="M179" s="15">
        <f>IF(OR(M178="",M158=""),"",IF(M158&lt;=0,"",IFERROR(M178/M158,"")))</f>
        <v/>
      </c>
      <c r="N179" s="15">
        <f>IF(OR(N178="",N158=""),"",IF(N158&lt;=0,"",IFERROR(N178/N158,"")))</f>
        <v/>
      </c>
      <c r="V179" s="15">
        <f>IF(OR(V178="",V158=""),"",IF(V158&lt;=0,"",IFERROR(V178/V158,"")))</f>
        <v/>
      </c>
      <c r="W179" s="15">
        <f>IF(OR(W178="",W158=""),"",IF(W158&lt;=0,"",IFERROR(W178/W158,"")))</f>
        <v/>
      </c>
      <c r="X179" s="15">
        <f>IF(OR(X178="",X158=""),"",IF(X158&lt;=0,"",IFERROR(X178/X158,"")))</f>
        <v/>
      </c>
    </row>
    <row r="180">
      <c r="A180" s="43" t="inlineStr">
        <is>
          <t>YoY</t>
        </is>
      </c>
      <c r="B180" s="3" t="inlineStr">
        <is>
          <t>전년 같은 분기·전년 대비</t>
        </is>
      </c>
      <c r="G180" s="15">
        <f>IF(OR(G178="",C178=""),"",IF(C178&lt;=0,"",IFERROR(G178/C178-1,"")))</f>
        <v/>
      </c>
      <c r="H180" s="15">
        <f>IF(OR(H178="",D178=""),"",IF(D178&lt;=0,"",IFERROR(H178/D178-1,"")))</f>
        <v/>
      </c>
      <c r="I180" s="15">
        <f>IF(OR(I178="",E178=""),"",IF(E178&lt;=0,"",IFERROR(I178/E178-1,"")))</f>
        <v/>
      </c>
      <c r="J180" s="15">
        <f>IF(OR(J178="",F178=""),"",IF(F178&lt;=0,"",IFERROR(J178/F178-1,"")))</f>
        <v/>
      </c>
      <c r="K180" s="15">
        <f>IF(OR(K178="",G178=""),"",IF(G178&lt;=0,"",IFERROR(K178/G178-1,"")))</f>
        <v/>
      </c>
      <c r="L180" s="15">
        <f>IF(OR(L178="",H178=""),"",IF(H178&lt;=0,"",IFERROR(L178/H178-1,"")))</f>
        <v/>
      </c>
      <c r="M180" s="15">
        <f>IF(OR(M178="",I178=""),"",IF(I178&lt;=0,"",IFERROR(M178/I178-1,"")))</f>
        <v/>
      </c>
      <c r="N180" s="15">
        <f>IF(OR(N178="",J178=""),"",IF(J178&lt;=0,"",IFERROR(N178/J178-1,"")))</f>
        <v/>
      </c>
      <c r="V180" s="15">
        <f>IF(OR(V178="",U178=""),"",IF(U178&lt;=0,"",IFERROR(V178/U178-1,"")))</f>
        <v/>
      </c>
      <c r="W180" s="15">
        <f>IF(OR(W178="",V178=""),"",IF(V178&lt;=0,"",IFERROR(W178/V178-1,"")))</f>
        <v/>
      </c>
      <c r="X180" s="15">
        <f>IF(OR(X178="",W178=""),"",IF(W178&lt;=0,"",IFERROR(X178/W178-1,"")))</f>
        <v/>
      </c>
    </row>
    <row r="181">
      <c r="A181" s="18" t="inlineStr">
        <is>
          <t>합계 · 부문 이익(손실)</t>
        </is>
      </c>
      <c r="C181" s="20" t="n">
        <v>-207</v>
      </c>
      <c r="D181" s="20" t="n">
        <v>1935</v>
      </c>
      <c r="E181" s="20" t="n">
        <v>-701</v>
      </c>
      <c r="F181" s="20" t="n">
        <v>826</v>
      </c>
      <c r="G181" s="20" t="n">
        <v>198</v>
      </c>
      <c r="H181" s="20" t="n">
        <v>2461</v>
      </c>
      <c r="I181" s="20" t="n">
        <v>-390</v>
      </c>
      <c r="J181" s="20" t="n">
        <v>560</v>
      </c>
      <c r="K181" s="20" t="n">
        <v>449</v>
      </c>
      <c r="L181" s="20" t="n">
        <v>2253</v>
      </c>
      <c r="M181" s="20" t="n">
        <v>-243</v>
      </c>
      <c r="N181" s="20" t="n">
        <v>864</v>
      </c>
      <c r="V181" s="20" t="n">
        <v>1935</v>
      </c>
      <c r="W181" s="20" t="n">
        <v>2461</v>
      </c>
      <c r="X181" s="20" t="n">
        <v>2253</v>
      </c>
    </row>
    <row r="182">
      <c r="A182" s="43" t="inlineStr">
        <is>
          <t>OPM</t>
        </is>
      </c>
      <c r="B182" s="3" t="inlineStr">
        <is>
          <t>영업이익 ÷ 매출</t>
        </is>
      </c>
      <c r="C182" s="15">
        <f>IF(OR(C181="",C160=""),"",IF(C160&lt;=0,"",IFERROR(C181/C160,"")))</f>
        <v/>
      </c>
      <c r="D182" s="15">
        <f>IF(OR(D181="",D160=""),"",IF(D160&lt;=0,"",IFERROR(D181/D160,"")))</f>
        <v/>
      </c>
      <c r="E182" s="15">
        <f>IF(OR(E181="",E160=""),"",IF(E160&lt;=0,"",IFERROR(E181/E160,"")))</f>
        <v/>
      </c>
      <c r="F182" s="15">
        <f>IF(OR(F181="",F160=""),"",IF(F160&lt;=0,"",IFERROR(F181/F160,"")))</f>
        <v/>
      </c>
      <c r="G182" s="15">
        <f>IF(OR(G181="",G160=""),"",IF(G160&lt;=0,"",IFERROR(G181/G160,"")))</f>
        <v/>
      </c>
      <c r="H182" s="15">
        <f>IF(OR(H181="",H160=""),"",IF(H160&lt;=0,"",IFERROR(H181/H160,"")))</f>
        <v/>
      </c>
      <c r="I182" s="15">
        <f>IF(OR(I181="",I160=""),"",IF(I160&lt;=0,"",IFERROR(I181/I160,"")))</f>
        <v/>
      </c>
      <c r="J182" s="15">
        <f>IF(OR(J181="",J160=""),"",IF(J160&lt;=0,"",IFERROR(J181/J160,"")))</f>
        <v/>
      </c>
      <c r="K182" s="15">
        <f>IF(OR(K181="",K160=""),"",IF(K160&lt;=0,"",IFERROR(K181/K160,"")))</f>
        <v/>
      </c>
      <c r="L182" s="15">
        <f>IF(OR(L181="",L160=""),"",IF(L160&lt;=0,"",IFERROR(L181/L160,"")))</f>
        <v/>
      </c>
      <c r="M182" s="15">
        <f>IF(OR(M181="",M160=""),"",IF(M160&lt;=0,"",IFERROR(M181/M160,"")))</f>
        <v/>
      </c>
      <c r="N182" s="15">
        <f>IF(OR(N181="",N160=""),"",IF(N160&lt;=0,"",IFERROR(N181/N160,"")))</f>
        <v/>
      </c>
      <c r="V182" s="15">
        <f>IF(OR(V181="",V160=""),"",IF(V160&lt;=0,"",IFERROR(V181/V160,"")))</f>
        <v/>
      </c>
      <c r="W182" s="15">
        <f>IF(OR(W181="",W160=""),"",IF(W160&lt;=0,"",IFERROR(W181/W160,"")))</f>
        <v/>
      </c>
      <c r="X182" s="15">
        <f>IF(OR(X181="",X160=""),"",IF(X160&lt;=0,"",IFERROR(X181/X160,"")))</f>
        <v/>
      </c>
    </row>
    <row r="183">
      <c r="A183" s="43" t="inlineStr">
        <is>
          <t>YoY</t>
        </is>
      </c>
      <c r="B183" s="3" t="inlineStr">
        <is>
          <t>전년 같은 분기·전년 대비</t>
        </is>
      </c>
      <c r="G183" s="15">
        <f>IF(OR(G181="",C181=""),"",IF(C181&lt;=0,"",IFERROR(G181/C181-1,"")))</f>
        <v/>
      </c>
      <c r="H183" s="15">
        <f>IF(OR(H181="",D181=""),"",IF(D181&lt;=0,"",IFERROR(H181/D181-1,"")))</f>
        <v/>
      </c>
      <c r="I183" s="15">
        <f>IF(OR(I181="",E181=""),"",IF(E181&lt;=0,"",IFERROR(I181/E181-1,"")))</f>
        <v/>
      </c>
      <c r="J183" s="15">
        <f>IF(OR(J181="",F181=""),"",IF(F181&lt;=0,"",IFERROR(J181/F181-1,"")))</f>
        <v/>
      </c>
      <c r="K183" s="15">
        <f>IF(OR(K181="",G181=""),"",IF(G181&lt;=0,"",IFERROR(K181/G181-1,"")))</f>
        <v/>
      </c>
      <c r="L183" s="15">
        <f>IF(OR(L181="",H181=""),"",IF(H181&lt;=0,"",IFERROR(L181/H181-1,"")))</f>
        <v/>
      </c>
      <c r="M183" s="15">
        <f>IF(OR(M181="",I181=""),"",IF(I181&lt;=0,"",IFERROR(M181/I181-1,"")))</f>
        <v/>
      </c>
      <c r="N183" s="15">
        <f>IF(OR(N181="",J181=""),"",IF(J181&lt;=0,"",IFERROR(N181/J181-1,"")))</f>
        <v/>
      </c>
      <c r="V183" s="15">
        <f>IF(OR(V181="",U181=""),"",IF(U181&lt;=0,"",IFERROR(V181/U181-1,"")))</f>
        <v/>
      </c>
      <c r="W183" s="15">
        <f>IF(OR(W181="",V181=""),"",IF(V181&lt;=0,"",IFERROR(W181/V181-1,"")))</f>
        <v/>
      </c>
      <c r="X183" s="15">
        <f>IF(OR(X181="",W181=""),"",IF(W181&lt;=0,"",IFERROR(X181/W181-1,"")))</f>
        <v/>
      </c>
    </row>
    <row r="184">
      <c r="A184" s="18" t="inlineStr">
        <is>
          <t>조정액 · 부문 이익(손실)</t>
        </is>
      </c>
      <c r="C184" s="20" t="n">
        <v>18</v>
      </c>
      <c r="D184" s="20" t="n">
        <v>-19</v>
      </c>
      <c r="E184" s="20" t="n">
        <v>18</v>
      </c>
      <c r="F184" s="20" t="n">
        <v>-66</v>
      </c>
      <c r="G184" s="20" t="n">
        <v>0</v>
      </c>
      <c r="H184" s="20" t="n">
        <v>-1</v>
      </c>
      <c r="I184" s="20" t="n">
        <v>18</v>
      </c>
      <c r="J184" s="20" t="n">
        <v>-25</v>
      </c>
      <c r="K184" s="20" t="n">
        <v>7</v>
      </c>
      <c r="L184" s="20" t="n">
        <v>7</v>
      </c>
      <c r="M184" s="20" t="n">
        <v>34</v>
      </c>
      <c r="N184" s="20" t="n">
        <v>-18</v>
      </c>
      <c r="V184" s="20" t="n">
        <v>-19</v>
      </c>
      <c r="W184" s="20" t="n">
        <v>-1</v>
      </c>
      <c r="X184" s="20" t="n">
        <v>7</v>
      </c>
    </row>
    <row r="185">
      <c r="A185" s="18" t="inlineStr">
        <is>
          <t>EntityTotalMember · 부문 이익(손실)</t>
        </is>
      </c>
      <c r="E185" s="20" t="n">
        <v>-682</v>
      </c>
      <c r="I185" s="20" t="n">
        <v>-371</v>
      </c>
      <c r="M185" s="20" t="n">
        <v>-209</v>
      </c>
    </row>
    <row r="186">
      <c r="A186" s="9" t="inlineStr">
        <is>
          <t>부문 이익(손실)</t>
        </is>
      </c>
      <c r="C186" s="12" t="n">
        <v>-189</v>
      </c>
      <c r="D186" s="12" t="n">
        <v>1916</v>
      </c>
      <c r="E186" s="12" t="n">
        <v>-682</v>
      </c>
      <c r="F186" s="12" t="n">
        <v>759</v>
      </c>
      <c r="G186" s="12" t="n">
        <v>197</v>
      </c>
      <c r="H186" s="12" t="n">
        <v>2461</v>
      </c>
      <c r="V186" s="12" t="n">
        <v>1916</v>
      </c>
      <c r="W186" s="12" t="n">
        <v>2461</v>
      </c>
    </row>
    <row r="187">
      <c r="A187" s="43" t="inlineStr">
        <is>
          <t>OPM</t>
        </is>
      </c>
      <c r="B187" s="3" t="inlineStr">
        <is>
          <t>영업이익 ÷ 매출</t>
        </is>
      </c>
      <c r="C187" s="15">
        <f>IF(OR(C186="",C164=""),"",IF(C164&lt;=0,"",IFERROR(C186/C164,"")))</f>
        <v/>
      </c>
      <c r="D187" s="15">
        <f>IF(OR(D186="",D164=""),"",IF(D164&lt;=0,"",IFERROR(D186/D164,"")))</f>
        <v/>
      </c>
      <c r="E187" s="15">
        <f>IF(OR(E186="",E164=""),"",IF(E164&lt;=0,"",IFERROR(E186/E164,"")))</f>
        <v/>
      </c>
      <c r="F187" s="15">
        <f>IF(OR(F186="",F164=""),"",IF(F164&lt;=0,"",IFERROR(F186/F164,"")))</f>
        <v/>
      </c>
      <c r="G187" s="15">
        <f>IF(OR(G186="",G164=""),"",IF(G164&lt;=0,"",IFERROR(G186/G164,"")))</f>
        <v/>
      </c>
      <c r="H187" s="15">
        <f>IF(OR(H186="",H164=""),"",IF(H164&lt;=0,"",IFERROR(H186/H164,"")))</f>
        <v/>
      </c>
      <c r="V187" s="15">
        <f>IF(OR(V186="",V164=""),"",IF(V164&lt;=0,"",IFERROR(V186/V164,"")))</f>
        <v/>
      </c>
      <c r="W187" s="15">
        <f>IF(OR(W186="",W164=""),"",IF(W164&lt;=0,"",IFERROR(W186/W164,"")))</f>
        <v/>
      </c>
    </row>
    <row r="188">
      <c r="A188" s="43" t="inlineStr">
        <is>
          <t>YoY</t>
        </is>
      </c>
      <c r="B188" s="3" t="inlineStr">
        <is>
          <t>전년 같은 분기·전년 대비</t>
        </is>
      </c>
      <c r="G188" s="15">
        <f>IF(OR(G186="",C186=""),"",IF(C186&lt;=0,"",IFERROR(G186/C186-1,"")))</f>
        <v/>
      </c>
      <c r="H188" s="15">
        <f>IF(OR(H186="",D186=""),"",IF(D186&lt;=0,"",IFERROR(H186/D186-1,"")))</f>
        <v/>
      </c>
      <c r="V188" s="15">
        <f>IF(OR(V186="",U186=""),"",IF(U186&lt;=0,"",IFERROR(V186/U186-1,"")))</f>
        <v/>
      </c>
      <c r="W188" s="15">
        <f>IF(OR(W186="",V186=""),"",IF(V186&lt;=0,"",IFERROR(W186/V186-1,"")))</f>
        <v/>
      </c>
    </row>
    <row r="190">
      <c r="A190" s="16" t="inlineStr">
        <is>
          <t>현금흐름표 · 전 항목</t>
        </is>
      </c>
      <c r="B190" s="42" t="inlineStr">
        <is>
          <t>분기 = 결산기 첫날부터 누계(공시 그대로)</t>
        </is>
      </c>
      <c r="C190" s="16" t="n"/>
      <c r="D190" s="16" t="n"/>
      <c r="E190" s="16" t="n"/>
      <c r="F190" s="16" t="n"/>
      <c r="G190" s="16" t="n"/>
      <c r="H190" s="16" t="n"/>
      <c r="I190" s="16" t="n"/>
      <c r="J190" s="16" t="n"/>
      <c r="K190" s="16" t="n"/>
      <c r="L190" s="16" t="n"/>
      <c r="M190" s="16" t="n"/>
      <c r="N190" s="16" t="n"/>
      <c r="O190" s="16" t="n"/>
      <c r="P190" s="16" t="n"/>
      <c r="Q190" s="16" t="n"/>
      <c r="R190" s="16" t="n"/>
      <c r="S190" s="16" t="n"/>
      <c r="T190" s="16" t="n"/>
      <c r="U190" s="16" t="n"/>
      <c r="V190" s="16" t="n"/>
      <c r="W190" s="16" t="n"/>
      <c r="X190" s="16" t="n"/>
      <c r="Y190" s="16" t="n"/>
      <c r="Z190" s="16" t="n"/>
      <c r="AA190" s="16" t="n"/>
      <c r="AB190" s="16" t="n"/>
      <c r="AC190" s="16" t="n"/>
    </row>
    <row r="191">
      <c r="A191" s="5" t="inlineStr">
        <is>
          <t>항목</t>
        </is>
      </c>
      <c r="B191" s="5" t="inlineStr">
        <is>
          <t>참고</t>
        </is>
      </c>
      <c r="C191" s="5" t="inlineStr">
        <is>
          <t>2024.3Q</t>
        </is>
      </c>
      <c r="D191" s="5" t="inlineStr">
        <is>
          <t>2024.4Q</t>
        </is>
      </c>
      <c r="E191" s="5" t="inlineStr">
        <is>
          <t>2025.1Q</t>
        </is>
      </c>
      <c r="F191" s="5" t="inlineStr">
        <is>
          <t>2025.2Q</t>
        </is>
      </c>
      <c r="G191" s="5" t="inlineStr">
        <is>
          <t>2025.3Q</t>
        </is>
      </c>
      <c r="H191" s="5" t="inlineStr">
        <is>
          <t>2025.4Q</t>
        </is>
      </c>
      <c r="I191" s="5" t="inlineStr">
        <is>
          <t>2026.1Q</t>
        </is>
      </c>
      <c r="J191" s="5" t="inlineStr">
        <is>
          <t>2026.2Q</t>
        </is>
      </c>
      <c r="K191" s="5" t="inlineStr">
        <is>
          <t>2026.3Q</t>
        </is>
      </c>
      <c r="L191" s="5" t="inlineStr">
        <is>
          <t>2026.4Q</t>
        </is>
      </c>
      <c r="M191" s="5" t="inlineStr">
        <is>
          <t>2027.1Q</t>
        </is>
      </c>
      <c r="N191" s="5" t="inlineStr">
        <is>
          <t>2027.2Q</t>
        </is>
      </c>
      <c r="O191" s="5" t="inlineStr">
        <is>
          <t>2017</t>
        </is>
      </c>
      <c r="P191" s="5" t="inlineStr">
        <is>
          <t>2018</t>
        </is>
      </c>
      <c r="Q191" s="5" t="inlineStr">
        <is>
          <t>2019</t>
        </is>
      </c>
      <c r="R191" s="5" t="inlineStr">
        <is>
          <t>2020</t>
        </is>
      </c>
      <c r="S191" s="5" t="inlineStr">
        <is>
          <t>2021</t>
        </is>
      </c>
      <c r="T191" s="5" t="inlineStr">
        <is>
          <t>2022</t>
        </is>
      </c>
      <c r="U191" s="5" t="inlineStr">
        <is>
          <t>2023</t>
        </is>
      </c>
      <c r="V191" s="5" t="inlineStr">
        <is>
          <t>2024</t>
        </is>
      </c>
      <c r="W191" s="5" t="inlineStr">
        <is>
          <t>2025</t>
        </is>
      </c>
      <c r="X191" s="5" t="inlineStr">
        <is>
          <t>2026</t>
        </is>
      </c>
      <c r="Y191" s="5" t="inlineStr">
        <is>
          <t>2027(MW)</t>
        </is>
      </c>
      <c r="Z191" s="5" t="inlineStr">
        <is>
          <t>2028(MW)</t>
        </is>
      </c>
      <c r="AA191" s="5" t="inlineStr">
        <is>
          <t>2029(MW)</t>
        </is>
      </c>
      <c r="AB191" s="5" t="inlineStr">
        <is>
          <t>2030(MW)</t>
        </is>
      </c>
      <c r="AC191" s="5" t="inlineStr">
        <is>
          <t>2031(MW)</t>
        </is>
      </c>
    </row>
    <row r="192">
      <c r="A192" s="9" t="inlineStr">
        <is>
          <t>법인세차감전 순이익</t>
        </is>
      </c>
      <c r="D192" s="12" t="n">
        <v>3129</v>
      </c>
      <c r="F192" s="12" t="n">
        <v>825</v>
      </c>
      <c r="H192" s="12" t="n">
        <v>4222</v>
      </c>
      <c r="J192" s="12" t="n">
        <v>1546</v>
      </c>
      <c r="L192" s="12" t="n">
        <v>6426</v>
      </c>
      <c r="N192" s="12" t="n">
        <v>401</v>
      </c>
      <c r="O192" s="12" t="n">
        <v>967</v>
      </c>
      <c r="P192" s="12" t="n">
        <v>1294</v>
      </c>
      <c r="Q192" s="12" t="n">
        <v>1177</v>
      </c>
      <c r="R192" s="12" t="n">
        <v>1701</v>
      </c>
      <c r="S192" s="12" t="n">
        <v>527</v>
      </c>
      <c r="T192" s="12" t="n">
        <v>1594</v>
      </c>
      <c r="U192" s="12" t="n">
        <v>1699</v>
      </c>
      <c r="V192" s="12" t="n">
        <v>3129</v>
      </c>
      <c r="W192" s="12" t="n">
        <v>4222</v>
      </c>
      <c r="X192" s="12" t="n">
        <v>6426</v>
      </c>
    </row>
    <row r="193">
      <c r="A193" s="18" t="inlineStr">
        <is>
          <t>감가상각비</t>
        </is>
      </c>
      <c r="D193" s="20" t="n">
        <v>474</v>
      </c>
      <c r="F193" s="20" t="n">
        <v>273</v>
      </c>
      <c r="H193" s="20" t="n">
        <v>552</v>
      </c>
      <c r="J193" s="20" t="n">
        <v>244</v>
      </c>
      <c r="L193" s="20" t="n">
        <v>543</v>
      </c>
      <c r="N193" s="20" t="n">
        <v>262</v>
      </c>
      <c r="O193" s="20" t="n">
        <v>338</v>
      </c>
      <c r="P193" s="20" t="n">
        <v>346</v>
      </c>
      <c r="Q193" s="20" t="n">
        <v>391</v>
      </c>
      <c r="R193" s="20" t="n">
        <v>368</v>
      </c>
      <c r="S193" s="20" t="n">
        <v>360</v>
      </c>
      <c r="T193" s="20" t="n">
        <v>412</v>
      </c>
      <c r="U193" s="20" t="n">
        <v>400</v>
      </c>
      <c r="V193" s="20" t="n">
        <v>474</v>
      </c>
      <c r="W193" s="20" t="n">
        <v>552</v>
      </c>
      <c r="X193" s="20" t="n">
        <v>543</v>
      </c>
    </row>
    <row r="194">
      <c r="A194" s="18" t="inlineStr">
        <is>
          <t>손상차손</t>
        </is>
      </c>
      <c r="D194" s="20" t="n">
        <v>0</v>
      </c>
      <c r="H194" s="20" t="n">
        <v>14</v>
      </c>
      <c r="L194" s="20" t="n">
        <v>0</v>
      </c>
      <c r="Q194" s="20" t="n">
        <v>0</v>
      </c>
      <c r="R194" s="20" t="n">
        <v>123</v>
      </c>
      <c r="S194" s="20" t="n">
        <v>38</v>
      </c>
      <c r="T194" s="20" t="n">
        <v>0</v>
      </c>
      <c r="V194" s="20" t="n">
        <v>0</v>
      </c>
      <c r="W194" s="20" t="n">
        <v>14</v>
      </c>
      <c r="X194" s="20" t="n">
        <v>0</v>
      </c>
    </row>
    <row r="195">
      <c r="A195" s="18" t="inlineStr">
        <is>
          <t>대손충당금 증감</t>
        </is>
      </c>
      <c r="D195" s="20" t="n">
        <v>-3</v>
      </c>
      <c r="F195" s="20" t="n">
        <v>4</v>
      </c>
      <c r="H195" s="20" t="n">
        <v>3</v>
      </c>
      <c r="J195" s="20" t="n">
        <v>-3</v>
      </c>
      <c r="L195" s="20" t="n">
        <v>-3</v>
      </c>
      <c r="N195" s="20" t="n">
        <v>5</v>
      </c>
      <c r="O195" s="20" t="n">
        <v>-3</v>
      </c>
      <c r="P195" s="20" t="n">
        <v>1</v>
      </c>
      <c r="Q195" s="20" t="n">
        <v>-0</v>
      </c>
      <c r="R195" s="20" t="n">
        <v>-13</v>
      </c>
      <c r="S195" s="20" t="n">
        <v>-2</v>
      </c>
      <c r="T195" s="20" t="n">
        <v>-12</v>
      </c>
      <c r="U195" s="20" t="n">
        <v>1</v>
      </c>
      <c r="V195" s="20" t="n">
        <v>-3</v>
      </c>
      <c r="W195" s="20" t="n">
        <v>3</v>
      </c>
      <c r="X195" s="20" t="n">
        <v>-3</v>
      </c>
    </row>
    <row r="196">
      <c r="A196" s="18" t="inlineStr">
        <is>
          <t>퇴직급여 부채·자산 증감액</t>
        </is>
      </c>
      <c r="D196" s="20" t="n">
        <v>-16</v>
      </c>
      <c r="F196" s="20" t="n">
        <v>-67</v>
      </c>
      <c r="H196" s="20" t="n">
        <v>-107</v>
      </c>
      <c r="J196" s="20" t="n">
        <v>-37</v>
      </c>
      <c r="L196" s="20" t="n">
        <v>-36</v>
      </c>
      <c r="N196" s="20" t="n">
        <v>-57</v>
      </c>
      <c r="O196" s="20" t="n">
        <v>3</v>
      </c>
      <c r="P196" s="20" t="n">
        <v>28</v>
      </c>
      <c r="Q196" s="20" t="n">
        <v>11</v>
      </c>
      <c r="R196" s="20" t="n">
        <v>-21</v>
      </c>
      <c r="S196" s="20" t="n">
        <v>-1</v>
      </c>
      <c r="T196" s="20" t="n">
        <v>-16</v>
      </c>
      <c r="U196" s="20" t="n">
        <v>29</v>
      </c>
      <c r="V196" s="20" t="n">
        <v>-16</v>
      </c>
      <c r="W196" s="20" t="n">
        <v>-107</v>
      </c>
      <c r="X196" s="20" t="n">
        <v>-36</v>
      </c>
    </row>
    <row r="197">
      <c r="A197" s="18" t="inlineStr">
        <is>
          <t>공사손실충당금 증감(△는 감소)</t>
        </is>
      </c>
      <c r="D197" s="20" t="n">
        <v>0</v>
      </c>
      <c r="F197" s="20" t="n">
        <v>4</v>
      </c>
      <c r="H197" s="20" t="n">
        <v>-0</v>
      </c>
      <c r="J197" s="20" t="n">
        <v>-0</v>
      </c>
      <c r="L197" s="20" t="n">
        <v>-0</v>
      </c>
      <c r="N197" s="20" t="n">
        <v>0</v>
      </c>
      <c r="O197" s="20" t="n">
        <v>14</v>
      </c>
      <c r="P197" s="20" t="n">
        <v>-14</v>
      </c>
      <c r="Q197" s="20" t="n">
        <v>-0</v>
      </c>
      <c r="R197" s="20" t="n">
        <v>-0</v>
      </c>
      <c r="S197" s="20" t="n">
        <v>1</v>
      </c>
      <c r="T197" s="20" t="n">
        <v>0</v>
      </c>
      <c r="U197" s="20" t="n">
        <v>-2</v>
      </c>
      <c r="V197" s="20" t="n">
        <v>0</v>
      </c>
      <c r="W197" s="20" t="n">
        <v>-0</v>
      </c>
      <c r="X197" s="20" t="n">
        <v>-0</v>
      </c>
    </row>
    <row r="198">
      <c r="A198" s="18" t="inlineStr">
        <is>
          <t>완성공사 보증 충당금 증감액</t>
        </is>
      </c>
      <c r="F198" s="20" t="n">
        <v>0</v>
      </c>
      <c r="H198" s="20" t="n">
        <v>0</v>
      </c>
      <c r="J198" s="20" t="n">
        <v>74</v>
      </c>
      <c r="L198" s="20" t="n">
        <v>118</v>
      </c>
      <c r="N198" s="20" t="n">
        <v>7</v>
      </c>
      <c r="W198" s="20" t="n">
        <v>0</v>
      </c>
      <c r="X198" s="20" t="n">
        <v>118</v>
      </c>
    </row>
    <row r="199">
      <c r="A199" s="18" t="inlineStr">
        <is>
          <t>사업구조개선 충당금 증감액</t>
        </is>
      </c>
      <c r="J199" s="20" t="n">
        <v>0</v>
      </c>
      <c r="N199" s="20" t="n">
        <v>350</v>
      </c>
    </row>
    <row r="200">
      <c r="A200" s="18" t="inlineStr">
        <is>
          <t>이자·배당금 수익</t>
        </is>
      </c>
      <c r="D200" s="20" t="n">
        <v>-231</v>
      </c>
      <c r="F200" s="20" t="n">
        <v>-130</v>
      </c>
      <c r="H200" s="20" t="n">
        <v>-245</v>
      </c>
      <c r="J200" s="20" t="n">
        <v>-147</v>
      </c>
      <c r="L200" s="20" t="n">
        <v>-238</v>
      </c>
      <c r="N200" s="20" t="n">
        <v>-98</v>
      </c>
      <c r="O200" s="20" t="n">
        <v>-106</v>
      </c>
      <c r="P200" s="20" t="n">
        <v>-127</v>
      </c>
      <c r="Q200" s="20" t="n">
        <v>-158</v>
      </c>
      <c r="R200" s="20" t="n">
        <v>-159</v>
      </c>
      <c r="S200" s="20" t="n">
        <v>-169</v>
      </c>
      <c r="T200" s="20" t="n">
        <v>-172</v>
      </c>
      <c r="U200" s="20" t="n">
        <v>-196</v>
      </c>
      <c r="V200" s="20" t="n">
        <v>-231</v>
      </c>
      <c r="W200" s="20" t="n">
        <v>-245</v>
      </c>
      <c r="X200" s="20" t="n">
        <v>-238</v>
      </c>
    </row>
    <row r="201">
      <c r="A201" s="18" t="inlineStr">
        <is>
          <t>이자비용</t>
        </is>
      </c>
      <c r="D201" s="20" t="n">
        <v>56</v>
      </c>
      <c r="F201" s="20" t="n">
        <v>28</v>
      </c>
      <c r="H201" s="20" t="n">
        <v>58</v>
      </c>
      <c r="J201" s="20" t="n">
        <v>39</v>
      </c>
      <c r="L201" s="20" t="n">
        <v>74</v>
      </c>
      <c r="N201" s="20" t="n">
        <v>35</v>
      </c>
      <c r="O201" s="20" t="n">
        <v>39</v>
      </c>
      <c r="P201" s="20" t="n">
        <v>36</v>
      </c>
      <c r="Q201" s="20" t="n">
        <v>31</v>
      </c>
      <c r="R201" s="20" t="n">
        <v>54</v>
      </c>
      <c r="S201" s="20" t="n">
        <v>50</v>
      </c>
      <c r="T201" s="20" t="n">
        <v>42</v>
      </c>
      <c r="U201" s="20" t="n">
        <v>38</v>
      </c>
      <c r="V201" s="20" t="n">
        <v>56</v>
      </c>
      <c r="W201" s="20" t="n">
        <v>58</v>
      </c>
      <c r="X201" s="20" t="n">
        <v>74</v>
      </c>
    </row>
    <row r="202">
      <c r="A202" s="18" t="inlineStr">
        <is>
          <t>투자유가증권 평가손익</t>
        </is>
      </c>
      <c r="O202" s="20" t="n">
        <v>0</v>
      </c>
      <c r="P202" s="20" t="n">
        <v>17</v>
      </c>
      <c r="Q202" s="20" t="n">
        <v>0</v>
      </c>
      <c r="R202" s="20" t="n">
        <v>51</v>
      </c>
      <c r="S202" s="20" t="n">
        <v>0</v>
      </c>
    </row>
    <row r="203">
      <c r="A203" s="18" t="inlineStr">
        <is>
          <t>유가증권 상환손익</t>
        </is>
      </c>
      <c r="O203" s="20" t="n">
        <v>-4</v>
      </c>
      <c r="P203" s="20" t="n">
        <v>0</v>
      </c>
    </row>
    <row r="204">
      <c r="A204" s="18" t="inlineStr">
        <is>
          <t>고정자산 매각손익</t>
        </is>
      </c>
      <c r="O204" s="20" t="n">
        <v>0</v>
      </c>
      <c r="P204" s="20" t="n">
        <v>-17</v>
      </c>
      <c r="Q204" s="20" t="n">
        <v>0</v>
      </c>
    </row>
    <row r="205">
      <c r="A205" s="18" t="inlineStr">
        <is>
          <t>투자유가증권 매각손익</t>
        </is>
      </c>
      <c r="D205" s="20" t="n">
        <v>-1162</v>
      </c>
      <c r="F205" s="20" t="n">
        <v>-592</v>
      </c>
      <c r="H205" s="20" t="n">
        <v>-1183</v>
      </c>
      <c r="J205" s="20" t="n">
        <v>-1284</v>
      </c>
      <c r="L205" s="20" t="n">
        <v>-3315</v>
      </c>
      <c r="N205" s="20" t="n">
        <v>0</v>
      </c>
      <c r="O205" s="20" t="n">
        <v>-42</v>
      </c>
      <c r="P205" s="20" t="n">
        <v>-6</v>
      </c>
      <c r="Q205" s="20" t="n">
        <v>-19</v>
      </c>
      <c r="R205" s="20" t="n">
        <v>0</v>
      </c>
      <c r="S205" s="20" t="n">
        <v>0</v>
      </c>
      <c r="T205" s="20" t="n">
        <v>-100</v>
      </c>
      <c r="U205" s="20" t="n">
        <v>-58</v>
      </c>
      <c r="V205" s="20" t="n">
        <v>-1162</v>
      </c>
      <c r="W205" s="20" t="n">
        <v>-1183</v>
      </c>
      <c r="X205" s="20" t="n">
        <v>-3315</v>
      </c>
    </row>
    <row r="206">
      <c r="A206" s="18" t="inlineStr">
        <is>
          <t>유형자산 매각손익</t>
        </is>
      </c>
      <c r="D206" s="20" t="n">
        <v>-199</v>
      </c>
      <c r="H206" s="20" t="n">
        <v>0</v>
      </c>
      <c r="T206" s="20" t="n">
        <v>0</v>
      </c>
      <c r="U206" s="20" t="n">
        <v>-75</v>
      </c>
      <c r="V206" s="20" t="n">
        <v>-199</v>
      </c>
      <c r="W206" s="20" t="n">
        <v>0</v>
      </c>
    </row>
    <row r="207">
      <c r="A207" s="18" t="inlineStr">
        <is>
          <t>매출채권·계약자산 증감</t>
        </is>
      </c>
      <c r="S207" s="20" t="n">
        <v>0</v>
      </c>
      <c r="T207" s="20" t="n">
        <v>4265</v>
      </c>
      <c r="U207" s="20" t="n">
        <v>-5775</v>
      </c>
    </row>
    <row r="208">
      <c r="A208" s="18" t="inlineStr">
        <is>
          <t>매출채권 증감</t>
        </is>
      </c>
      <c r="O208" s="20" t="n">
        <v>1848</v>
      </c>
      <c r="P208" s="20" t="n">
        <v>-2340</v>
      </c>
      <c r="Q208" s="20" t="n">
        <v>-3185</v>
      </c>
      <c r="R208" s="20" t="n">
        <v>-1801</v>
      </c>
      <c r="S208" s="20" t="n">
        <v>7972</v>
      </c>
      <c r="T208" s="20" t="n">
        <v>0</v>
      </c>
    </row>
    <row r="209">
      <c r="A209" s="18" t="inlineStr">
        <is>
          <t>매출채권·계약자산 증감</t>
        </is>
      </c>
      <c r="D209" s="20" t="n">
        <v>-1193</v>
      </c>
      <c r="F209" s="20" t="n">
        <v>-1259</v>
      </c>
      <c r="H209" s="20" t="n">
        <v>-7663</v>
      </c>
      <c r="J209" s="20" t="n">
        <v>4117</v>
      </c>
      <c r="L209" s="20" t="n">
        <v>3933</v>
      </c>
      <c r="N209" s="20" t="n">
        <v>141</v>
      </c>
      <c r="U209" s="20" t="n">
        <v>-5775</v>
      </c>
      <c r="V209" s="20" t="n">
        <v>-1193</v>
      </c>
      <c r="W209" s="20" t="n">
        <v>-7663</v>
      </c>
      <c r="X209" s="20" t="n">
        <v>3933</v>
      </c>
    </row>
    <row r="210">
      <c r="A210" s="18" t="inlineStr">
        <is>
          <t>미성공사 지출금 등 증감액</t>
        </is>
      </c>
      <c r="D210" s="20" t="n">
        <v>-491</v>
      </c>
      <c r="H210" s="20" t="n">
        <v>453</v>
      </c>
      <c r="L210" s="20" t="n">
        <v>94</v>
      </c>
      <c r="O210" s="20" t="n">
        <v>385</v>
      </c>
      <c r="P210" s="20" t="n">
        <v>-510</v>
      </c>
      <c r="Q210" s="20" t="n">
        <v>-206</v>
      </c>
      <c r="R210" s="20" t="n">
        <v>-22</v>
      </c>
      <c r="S210" s="20" t="n">
        <v>213</v>
      </c>
      <c r="T210" s="20" t="n">
        <v>290</v>
      </c>
      <c r="U210" s="20" t="n">
        <v>-317</v>
      </c>
      <c r="V210" s="20" t="n">
        <v>-491</v>
      </c>
      <c r="W210" s="20" t="n">
        <v>453</v>
      </c>
      <c r="X210" s="20" t="n">
        <v>94</v>
      </c>
    </row>
    <row r="211">
      <c r="A211" s="18" t="inlineStr">
        <is>
          <t>재고자산 증감</t>
        </is>
      </c>
      <c r="F211" s="20" t="n">
        <v>-629</v>
      </c>
      <c r="J211" s="20" t="n">
        <v>-695</v>
      </c>
      <c r="N211" s="20" t="n">
        <v>-141</v>
      </c>
    </row>
    <row r="212">
      <c r="A212" s="18" t="inlineStr">
        <is>
          <t>매입채무 증감</t>
        </is>
      </c>
      <c r="D212" s="20" t="n">
        <v>-1220</v>
      </c>
      <c r="F212" s="20" t="n">
        <v>-1711</v>
      </c>
      <c r="H212" s="20" t="n">
        <v>8</v>
      </c>
      <c r="J212" s="20" t="n">
        <v>-1573</v>
      </c>
      <c r="L212" s="20" t="n">
        <v>-635</v>
      </c>
      <c r="N212" s="20" t="n">
        <v>-2143</v>
      </c>
      <c r="O212" s="20" t="n">
        <v>-2219</v>
      </c>
      <c r="P212" s="20" t="n">
        <v>535</v>
      </c>
      <c r="Q212" s="20" t="n">
        <v>1845</v>
      </c>
      <c r="R212" s="20" t="n">
        <v>-385</v>
      </c>
      <c r="S212" s="20" t="n">
        <v>-5513</v>
      </c>
      <c r="T212" s="20" t="n">
        <v>-9</v>
      </c>
      <c r="U212" s="20" t="n">
        <v>2033</v>
      </c>
      <c r="V212" s="20" t="n">
        <v>-1220</v>
      </c>
      <c r="W212" s="20" t="n">
        <v>8</v>
      </c>
      <c r="X212" s="20" t="n">
        <v>-635</v>
      </c>
    </row>
    <row r="213">
      <c r="A213" s="18" t="inlineStr">
        <is>
          <t>계약부채 증감</t>
        </is>
      </c>
      <c r="S213" s="20" t="n">
        <v>0</v>
      </c>
      <c r="T213" s="20" t="n">
        <v>-36</v>
      </c>
      <c r="U213" s="20" t="n">
        <v>-228</v>
      </c>
    </row>
    <row r="214">
      <c r="A214" s="18" t="inlineStr">
        <is>
          <t>미성공사 선수금 증감(△는 감소)</t>
        </is>
      </c>
      <c r="P214" s="20" t="n">
        <v>1028</v>
      </c>
      <c r="Q214" s="20" t="n">
        <v>-1060</v>
      </c>
      <c r="R214" s="20" t="n">
        <v>111</v>
      </c>
      <c r="S214" s="20" t="n">
        <v>110</v>
      </c>
      <c r="T214" s="20" t="n">
        <v>0</v>
      </c>
    </row>
    <row r="215">
      <c r="A215" s="18" t="inlineStr">
        <is>
          <t>계약부채 증감</t>
        </is>
      </c>
      <c r="D215" s="20" t="n">
        <v>510</v>
      </c>
      <c r="F215" s="20" t="n">
        <v>329</v>
      </c>
      <c r="H215" s="20" t="n">
        <v>545</v>
      </c>
      <c r="J215" s="20" t="n">
        <v>1397</v>
      </c>
      <c r="L215" s="20" t="n">
        <v>704</v>
      </c>
      <c r="N215" s="20" t="n">
        <v>96</v>
      </c>
      <c r="U215" s="20" t="n">
        <v>-228</v>
      </c>
      <c r="V215" s="20" t="n">
        <v>510</v>
      </c>
      <c r="W215" s="20" t="n">
        <v>545</v>
      </c>
      <c r="X215" s="20" t="n">
        <v>704</v>
      </c>
    </row>
    <row r="216">
      <c r="A216" s="18" t="inlineStr">
        <is>
          <t>기타</t>
        </is>
      </c>
      <c r="D216" s="20" t="n">
        <v>-290</v>
      </c>
      <c r="F216" s="20" t="n">
        <v>-92</v>
      </c>
      <c r="H216" s="20" t="n">
        <v>664</v>
      </c>
      <c r="J216" s="20" t="n">
        <v>-631</v>
      </c>
      <c r="L216" s="20" t="n">
        <v>-342</v>
      </c>
      <c r="N216" s="20" t="n">
        <v>-105</v>
      </c>
      <c r="O216" s="20" t="n">
        <v>-56</v>
      </c>
      <c r="P216" s="20" t="n">
        <v>220</v>
      </c>
      <c r="Q216" s="20" t="n">
        <v>104</v>
      </c>
      <c r="R216" s="20" t="n">
        <v>-147</v>
      </c>
      <c r="S216" s="20" t="n">
        <v>-261</v>
      </c>
      <c r="T216" s="20" t="n">
        <v>-84</v>
      </c>
      <c r="U216" s="20" t="n">
        <v>171</v>
      </c>
      <c r="V216" s="20" t="n">
        <v>-290</v>
      </c>
      <c r="W216" s="20" t="n">
        <v>664</v>
      </c>
      <c r="X216" s="20" t="n">
        <v>-342</v>
      </c>
    </row>
    <row r="217">
      <c r="A217" s="18" t="inlineStr">
        <is>
          <t>소계</t>
        </is>
      </c>
      <c r="D217" s="20" t="n">
        <v>-637</v>
      </c>
      <c r="F217" s="20" t="n">
        <v>-3017</v>
      </c>
      <c r="H217" s="20" t="n">
        <v>-2677</v>
      </c>
      <c r="J217" s="20" t="n">
        <v>3045</v>
      </c>
      <c r="L217" s="20" t="n">
        <v>7322</v>
      </c>
      <c r="N217" s="20" t="n">
        <v>-1246</v>
      </c>
      <c r="O217" s="20" t="n">
        <v>1165</v>
      </c>
      <c r="P217" s="20" t="n">
        <v>493</v>
      </c>
      <c r="Q217" s="20" t="n">
        <v>-1069</v>
      </c>
      <c r="R217" s="20" t="n">
        <v>-141</v>
      </c>
      <c r="S217" s="20" t="n">
        <v>3324</v>
      </c>
      <c r="T217" s="20" t="n">
        <v>6172</v>
      </c>
      <c r="U217" s="20" t="n">
        <v>-2280</v>
      </c>
      <c r="V217" s="20" t="n">
        <v>-637</v>
      </c>
      <c r="W217" s="20" t="n">
        <v>-2677</v>
      </c>
      <c r="X217" s="20" t="n">
        <v>7322</v>
      </c>
    </row>
    <row r="218">
      <c r="A218" s="18" t="inlineStr">
        <is>
          <t>이자·배당금 수취</t>
        </is>
      </c>
      <c r="D218" s="20" t="n">
        <v>231</v>
      </c>
      <c r="F218" s="20" t="n">
        <v>130</v>
      </c>
      <c r="H218" s="20" t="n">
        <v>245</v>
      </c>
      <c r="J218" s="20" t="n">
        <v>147</v>
      </c>
      <c r="L218" s="20" t="n">
        <v>238</v>
      </c>
      <c r="N218" s="20" t="n">
        <v>98</v>
      </c>
      <c r="O218" s="20" t="n">
        <v>106</v>
      </c>
      <c r="P218" s="20" t="n">
        <v>127</v>
      </c>
      <c r="Q218" s="20" t="n">
        <v>158</v>
      </c>
      <c r="R218" s="20" t="n">
        <v>159</v>
      </c>
      <c r="S218" s="20" t="n">
        <v>169</v>
      </c>
      <c r="T218" s="20" t="n">
        <v>172</v>
      </c>
      <c r="U218" s="20" t="n">
        <v>196</v>
      </c>
      <c r="V218" s="20" t="n">
        <v>231</v>
      </c>
      <c r="W218" s="20" t="n">
        <v>245</v>
      </c>
      <c r="X218" s="20" t="n">
        <v>238</v>
      </c>
    </row>
    <row r="219">
      <c r="A219" s="18" t="inlineStr">
        <is>
          <t>이자 지급</t>
        </is>
      </c>
      <c r="D219" s="20" t="n">
        <v>-52</v>
      </c>
      <c r="F219" s="20" t="n">
        <v>-29</v>
      </c>
      <c r="H219" s="20" t="n">
        <v>-59</v>
      </c>
      <c r="J219" s="20" t="n">
        <v>-39</v>
      </c>
      <c r="L219" s="20" t="n">
        <v>-75</v>
      </c>
      <c r="N219" s="20" t="n">
        <v>-32</v>
      </c>
      <c r="O219" s="20" t="n">
        <v>-39</v>
      </c>
      <c r="P219" s="20" t="n">
        <v>-36</v>
      </c>
      <c r="Q219" s="20" t="n">
        <v>-31</v>
      </c>
      <c r="R219" s="20" t="n">
        <v>-55</v>
      </c>
      <c r="S219" s="20" t="n">
        <v>-58</v>
      </c>
      <c r="T219" s="20" t="n">
        <v>-41</v>
      </c>
      <c r="U219" s="20" t="n">
        <v>-34</v>
      </c>
      <c r="V219" s="20" t="n">
        <v>-52</v>
      </c>
      <c r="W219" s="20" t="n">
        <v>-59</v>
      </c>
      <c r="X219" s="20" t="n">
        <v>-75</v>
      </c>
    </row>
    <row r="220">
      <c r="A220" s="18" t="inlineStr">
        <is>
          <t>법인세 납부</t>
        </is>
      </c>
      <c r="D220" s="20" t="n">
        <v>-431</v>
      </c>
      <c r="F220" s="20" t="n">
        <v>-730</v>
      </c>
      <c r="H220" s="20" t="n">
        <v>-1204</v>
      </c>
      <c r="J220" s="20" t="n">
        <v>-664</v>
      </c>
      <c r="L220" s="20" t="n">
        <v>-1226</v>
      </c>
      <c r="N220" s="20" t="n">
        <v>-1333</v>
      </c>
      <c r="O220" s="20" t="n">
        <v>-199</v>
      </c>
      <c r="P220" s="20" t="n">
        <v>-207</v>
      </c>
      <c r="Q220" s="20" t="n">
        <v>-406</v>
      </c>
      <c r="R220" s="20" t="n">
        <v>-542</v>
      </c>
      <c r="S220" s="20" t="n">
        <v>-135</v>
      </c>
      <c r="T220" s="20" t="n">
        <v>-213</v>
      </c>
      <c r="U220" s="20" t="n">
        <v>-383</v>
      </c>
      <c r="V220" s="20" t="n">
        <v>-431</v>
      </c>
      <c r="W220" s="20" t="n">
        <v>-1204</v>
      </c>
      <c r="X220" s="20" t="n">
        <v>-1226</v>
      </c>
    </row>
    <row r="221">
      <c r="A221" s="9" t="inlineStr">
        <is>
          <t>영업활동 현금흐름</t>
        </is>
      </c>
      <c r="D221" s="12" t="n">
        <v>-891</v>
      </c>
      <c r="F221" s="12" t="n">
        <v>-3646</v>
      </c>
      <c r="H221" s="12" t="n">
        <v>-3696</v>
      </c>
      <c r="J221" s="12" t="n">
        <v>2488</v>
      </c>
      <c r="L221" s="12" t="n">
        <v>6259</v>
      </c>
      <c r="N221" s="12" t="n">
        <v>-2514</v>
      </c>
      <c r="O221" s="12" t="n">
        <v>1033</v>
      </c>
      <c r="P221" s="12" t="n">
        <v>377</v>
      </c>
      <c r="Q221" s="12" t="n">
        <v>-1348</v>
      </c>
      <c r="R221" s="12" t="n">
        <v>-580</v>
      </c>
      <c r="S221" s="12" t="n">
        <v>3300</v>
      </c>
      <c r="T221" s="12" t="n">
        <v>6090</v>
      </c>
      <c r="U221" s="12" t="n">
        <v>-2500</v>
      </c>
      <c r="V221" s="12" t="n">
        <v>-891</v>
      </c>
      <c r="W221" s="12" t="n">
        <v>-3696</v>
      </c>
      <c r="X221" s="12" t="n">
        <v>6259</v>
      </c>
    </row>
    <row r="222">
      <c r="A222" s="18" t="inlineStr">
        <is>
          <t>정기예금 예입</t>
        </is>
      </c>
      <c r="O222" s="20" t="n">
        <v>0</v>
      </c>
      <c r="P222" s="20" t="n">
        <v>-34</v>
      </c>
      <c r="Q222" s="20" t="n">
        <v>0</v>
      </c>
    </row>
    <row r="223">
      <c r="A223" s="18" t="inlineStr">
        <is>
          <t>유가증권 상환 수입</t>
        </is>
      </c>
      <c r="O223" s="20" t="n">
        <v>210</v>
      </c>
      <c r="P223" s="20" t="n">
        <v>200</v>
      </c>
      <c r="Q223" s="20" t="n">
        <v>100</v>
      </c>
      <c r="R223" s="20" t="n">
        <v>0</v>
      </c>
      <c r="S223" s="20" t="n">
        <v>0</v>
      </c>
      <c r="T223" s="20" t="n">
        <v>200</v>
      </c>
      <c r="U223" s="20" t="n">
        <v>0</v>
      </c>
    </row>
    <row r="224">
      <c r="A224" s="18" t="inlineStr">
        <is>
          <t>유형자산 매각</t>
        </is>
      </c>
      <c r="D224" s="20" t="n">
        <v>389</v>
      </c>
      <c r="H224" s="20" t="n">
        <v>0</v>
      </c>
      <c r="O224" s="20" t="n">
        <v>0</v>
      </c>
      <c r="P224" s="20" t="n">
        <v>30</v>
      </c>
      <c r="Q224" s="20" t="n">
        <v>0</v>
      </c>
      <c r="T224" s="20" t="n">
        <v>0</v>
      </c>
      <c r="U224" s="20" t="n">
        <v>130</v>
      </c>
      <c r="V224" s="20" t="n">
        <v>389</v>
      </c>
      <c r="W224" s="20" t="n">
        <v>0</v>
      </c>
    </row>
    <row r="225">
      <c r="A225" s="18" t="inlineStr">
        <is>
          <t>유형자산 취득(설비투자)</t>
        </is>
      </c>
      <c r="D225" s="20" t="n">
        <v>-1270</v>
      </c>
      <c r="F225" s="20" t="n">
        <v>-513</v>
      </c>
      <c r="H225" s="20" t="n">
        <v>-723</v>
      </c>
      <c r="J225" s="20" t="n">
        <v>-595</v>
      </c>
      <c r="L225" s="20" t="n">
        <v>-846</v>
      </c>
      <c r="N225" s="20" t="n">
        <v>-183</v>
      </c>
      <c r="O225" s="20" t="n">
        <v>-100</v>
      </c>
      <c r="P225" s="20" t="n">
        <v>-375</v>
      </c>
      <c r="Q225" s="20" t="n">
        <v>-377</v>
      </c>
      <c r="R225" s="20" t="n">
        <v>-195</v>
      </c>
      <c r="S225" s="20" t="n">
        <v>-264</v>
      </c>
      <c r="T225" s="20" t="n">
        <v>-127</v>
      </c>
      <c r="U225" s="20" t="n">
        <v>-188</v>
      </c>
      <c r="V225" s="20" t="n">
        <v>-1270</v>
      </c>
      <c r="W225" s="20" t="n">
        <v>-723</v>
      </c>
      <c r="X225" s="20" t="n">
        <v>-846</v>
      </c>
    </row>
    <row r="226">
      <c r="A226" s="18" t="inlineStr">
        <is>
          <t>무형자산 취득</t>
        </is>
      </c>
      <c r="D226" s="20" t="n">
        <v>-65</v>
      </c>
      <c r="F226" s="20" t="n">
        <v>-50</v>
      </c>
      <c r="H226" s="20" t="n">
        <v>-75</v>
      </c>
      <c r="J226" s="20" t="n">
        <v>-34</v>
      </c>
      <c r="L226" s="20" t="n">
        <v>-119</v>
      </c>
      <c r="N226" s="20" t="n">
        <v>-26</v>
      </c>
      <c r="O226" s="20" t="n">
        <v>-13</v>
      </c>
      <c r="P226" s="20" t="n">
        <v>-45</v>
      </c>
      <c r="Q226" s="20" t="n">
        <v>-79</v>
      </c>
      <c r="R226" s="20" t="n">
        <v>-49</v>
      </c>
      <c r="S226" s="20" t="n">
        <v>-178</v>
      </c>
      <c r="T226" s="20" t="n">
        <v>-190</v>
      </c>
      <c r="U226" s="20" t="n">
        <v>-52</v>
      </c>
      <c r="V226" s="20" t="n">
        <v>-65</v>
      </c>
      <c r="W226" s="20" t="n">
        <v>-75</v>
      </c>
      <c r="X226" s="20" t="n">
        <v>-119</v>
      </c>
    </row>
    <row r="227">
      <c r="A227" s="18" t="inlineStr">
        <is>
          <t>투자유가증권 취득</t>
        </is>
      </c>
      <c r="D227" s="20" t="n">
        <v>-5</v>
      </c>
      <c r="F227" s="20" t="n">
        <v>-3</v>
      </c>
      <c r="H227" s="20" t="n">
        <v>-6</v>
      </c>
      <c r="J227" s="20" t="n">
        <v>-3</v>
      </c>
      <c r="L227" s="20" t="n">
        <v>-6</v>
      </c>
      <c r="N227" s="20" t="n">
        <v>-3</v>
      </c>
      <c r="O227" s="20" t="n">
        <v>-3</v>
      </c>
      <c r="P227" s="20" t="n">
        <v>-586</v>
      </c>
      <c r="Q227" s="20" t="n">
        <v>-165</v>
      </c>
      <c r="R227" s="20" t="n">
        <v>-154</v>
      </c>
      <c r="S227" s="20" t="n">
        <v>-4</v>
      </c>
      <c r="T227" s="20" t="n">
        <v>-4</v>
      </c>
      <c r="U227" s="20" t="n">
        <v>-5</v>
      </c>
      <c r="V227" s="20" t="n">
        <v>-5</v>
      </c>
      <c r="W227" s="20" t="n">
        <v>-6</v>
      </c>
      <c r="X227" s="20" t="n">
        <v>-6</v>
      </c>
    </row>
    <row r="228">
      <c r="A228" s="18" t="inlineStr">
        <is>
          <t>투자유가증권 매각</t>
        </is>
      </c>
      <c r="D228" s="20" t="n">
        <v>1500</v>
      </c>
      <c r="F228" s="20" t="n">
        <v>654</v>
      </c>
      <c r="H228" s="20" t="n">
        <v>1460</v>
      </c>
      <c r="J228" s="20" t="n">
        <v>1443</v>
      </c>
      <c r="L228" s="20" t="n">
        <v>3729</v>
      </c>
      <c r="N228" s="20" t="n">
        <v>0</v>
      </c>
      <c r="O228" s="20" t="n">
        <v>279</v>
      </c>
      <c r="P228" s="20" t="n">
        <v>13</v>
      </c>
      <c r="Q228" s="20" t="n">
        <v>43</v>
      </c>
      <c r="R228" s="20" t="n">
        <v>7</v>
      </c>
      <c r="S228" s="20" t="n">
        <v>0</v>
      </c>
      <c r="T228" s="20" t="n">
        <v>486</v>
      </c>
      <c r="U228" s="20" t="n">
        <v>70</v>
      </c>
      <c r="V228" s="20" t="n">
        <v>1500</v>
      </c>
      <c r="W228" s="20" t="n">
        <v>1460</v>
      </c>
      <c r="X228" s="20" t="n">
        <v>3729</v>
      </c>
    </row>
    <row r="229">
      <c r="A229" s="18" t="inlineStr">
        <is>
          <t>기타</t>
        </is>
      </c>
      <c r="D229" s="20" t="n">
        <v>2</v>
      </c>
      <c r="F229" s="20" t="n">
        <v>-2</v>
      </c>
      <c r="H229" s="20" t="n">
        <v>-1</v>
      </c>
      <c r="J229" s="20" t="n">
        <v>-32</v>
      </c>
      <c r="L229" s="20" t="n">
        <v>-72</v>
      </c>
      <c r="N229" s="20" t="n">
        <v>36</v>
      </c>
      <c r="O229" s="20" t="n">
        <v>30</v>
      </c>
      <c r="P229" s="20" t="n">
        <v>-39</v>
      </c>
      <c r="Q229" s="20" t="n">
        <v>0</v>
      </c>
      <c r="R229" s="20" t="n">
        <v>-51</v>
      </c>
      <c r="S229" s="20" t="n">
        <v>-104</v>
      </c>
      <c r="T229" s="20" t="n">
        <v>146</v>
      </c>
      <c r="U229" s="20" t="n">
        <v>-17</v>
      </c>
      <c r="V229" s="20" t="n">
        <v>2</v>
      </c>
      <c r="W229" s="20" t="n">
        <v>-1</v>
      </c>
      <c r="X229" s="20" t="n">
        <v>-72</v>
      </c>
    </row>
    <row r="230">
      <c r="A230" s="9" t="inlineStr">
        <is>
          <t>투자활동 현금흐름</t>
        </is>
      </c>
      <c r="D230" s="12" t="n">
        <v>550</v>
      </c>
      <c r="F230" s="12" t="n">
        <v>85</v>
      </c>
      <c r="H230" s="12" t="n">
        <v>654</v>
      </c>
      <c r="J230" s="12" t="n">
        <v>777</v>
      </c>
      <c r="L230" s="12" t="n">
        <v>2684</v>
      </c>
      <c r="N230" s="12" t="n">
        <v>-177</v>
      </c>
      <c r="O230" s="12" t="n">
        <v>402</v>
      </c>
      <c r="P230" s="12" t="n">
        <v>-837</v>
      </c>
      <c r="Q230" s="12" t="n">
        <v>-478</v>
      </c>
      <c r="R230" s="12" t="n">
        <v>-442</v>
      </c>
      <c r="S230" s="12" t="n">
        <v>-551</v>
      </c>
      <c r="T230" s="12" t="n">
        <v>510</v>
      </c>
      <c r="U230" s="12" t="n">
        <v>-63</v>
      </c>
      <c r="V230" s="12" t="n">
        <v>550</v>
      </c>
      <c r="W230" s="12" t="n">
        <v>654</v>
      </c>
      <c r="X230" s="12" t="n">
        <v>2684</v>
      </c>
    </row>
    <row r="231">
      <c r="A231" s="18" t="inlineStr">
        <is>
          <t>단기차입금 순증감</t>
        </is>
      </c>
      <c r="D231" s="20" t="n">
        <v>3300</v>
      </c>
      <c r="F231" s="20" t="n">
        <v>-2300</v>
      </c>
      <c r="H231" s="20" t="n">
        <v>-3780</v>
      </c>
      <c r="J231" s="20" t="n">
        <v>-2</v>
      </c>
      <c r="L231" s="20" t="n">
        <v>-365</v>
      </c>
      <c r="N231" s="20" t="n">
        <v>185</v>
      </c>
      <c r="O231" s="20" t="n">
        <v>0</v>
      </c>
      <c r="P231" s="20" t="n">
        <v>22</v>
      </c>
      <c r="Q231" s="20" t="n">
        <v>985</v>
      </c>
      <c r="R231" s="20" t="n">
        <v>4992</v>
      </c>
      <c r="S231" s="20" t="n">
        <v>-4000</v>
      </c>
      <c r="T231" s="20" t="n">
        <v>-2000</v>
      </c>
      <c r="U231" s="20" t="n">
        <v>0</v>
      </c>
      <c r="V231" s="20" t="n">
        <v>3300</v>
      </c>
      <c r="W231" s="20" t="n">
        <v>-3780</v>
      </c>
      <c r="X231" s="20" t="n">
        <v>-365</v>
      </c>
    </row>
    <row r="232">
      <c r="A232" s="18" t="inlineStr">
        <is>
          <t>장기차입</t>
        </is>
      </c>
      <c r="D232" s="20" t="n">
        <v>400</v>
      </c>
      <c r="F232" s="20" t="n">
        <v>2400</v>
      </c>
      <c r="H232" s="20" t="n">
        <v>2400</v>
      </c>
      <c r="J232" s="20" t="n">
        <v>200</v>
      </c>
      <c r="L232" s="20" t="n">
        <v>200</v>
      </c>
      <c r="N232" s="20" t="n">
        <v>0</v>
      </c>
      <c r="O232" s="20" t="n">
        <v>400</v>
      </c>
      <c r="P232" s="20" t="n">
        <v>400</v>
      </c>
      <c r="Q232" s="20" t="n">
        <v>400</v>
      </c>
      <c r="R232" s="20" t="n">
        <v>400</v>
      </c>
      <c r="S232" s="20" t="n">
        <v>900</v>
      </c>
      <c r="T232" s="20" t="n">
        <v>400</v>
      </c>
      <c r="U232" s="20" t="n">
        <v>400</v>
      </c>
      <c r="V232" s="20" t="n">
        <v>400</v>
      </c>
      <c r="W232" s="20" t="n">
        <v>2400</v>
      </c>
      <c r="X232" s="20" t="n">
        <v>200</v>
      </c>
    </row>
    <row r="233">
      <c r="A233" s="18" t="inlineStr">
        <is>
          <t>장기차입금 상환</t>
        </is>
      </c>
      <c r="D233" s="20" t="n">
        <v>-400</v>
      </c>
      <c r="F233" s="20" t="n">
        <v>-208</v>
      </c>
      <c r="H233" s="20" t="n">
        <v>-400</v>
      </c>
      <c r="J233" s="20" t="n">
        <v>-458</v>
      </c>
      <c r="L233" s="20" t="n">
        <v>-900</v>
      </c>
      <c r="N233" s="20" t="n">
        <v>-196</v>
      </c>
      <c r="O233" s="20" t="n">
        <v>-400</v>
      </c>
      <c r="P233" s="20" t="n">
        <v>-400</v>
      </c>
      <c r="Q233" s="20" t="n">
        <v>-400</v>
      </c>
      <c r="R233" s="20" t="n">
        <v>-400</v>
      </c>
      <c r="S233" s="20" t="n">
        <v>-900</v>
      </c>
      <c r="T233" s="20" t="n">
        <v>-400</v>
      </c>
      <c r="U233" s="20" t="n">
        <v>-400</v>
      </c>
      <c r="V233" s="20" t="n">
        <v>-400</v>
      </c>
      <c r="W233" s="20" t="n">
        <v>-400</v>
      </c>
      <c r="X233" s="20" t="n">
        <v>-900</v>
      </c>
    </row>
    <row r="234">
      <c r="A234" s="18" t="inlineStr">
        <is>
          <t>배당금 지급</t>
        </is>
      </c>
      <c r="D234" s="20" t="n">
        <v>-530</v>
      </c>
      <c r="F234" s="20" t="n">
        <v>-594</v>
      </c>
      <c r="H234" s="20" t="n">
        <v>-594</v>
      </c>
      <c r="J234" s="20" t="n">
        <v>-1101</v>
      </c>
      <c r="L234" s="20" t="n">
        <v>-1101</v>
      </c>
      <c r="N234" s="20" t="n">
        <v>-1201</v>
      </c>
      <c r="O234" s="20" t="n">
        <v>-467</v>
      </c>
      <c r="P234" s="20" t="n">
        <v>-466</v>
      </c>
      <c r="Q234" s="20" t="n">
        <v>-466</v>
      </c>
      <c r="R234" s="20" t="n">
        <v>-460</v>
      </c>
      <c r="S234" s="20" t="n">
        <v>-460</v>
      </c>
      <c r="T234" s="20" t="n">
        <v>-460</v>
      </c>
      <c r="U234" s="20" t="n">
        <v>-537</v>
      </c>
      <c r="V234" s="20" t="n">
        <v>-530</v>
      </c>
      <c r="W234" s="20" t="n">
        <v>-594</v>
      </c>
      <c r="X234" s="20" t="n">
        <v>-1101</v>
      </c>
    </row>
    <row r="235">
      <c r="A235" s="18" t="inlineStr">
        <is>
          <t>비지배주주 배당금 지급</t>
        </is>
      </c>
      <c r="D235" s="20" t="n">
        <v>-15</v>
      </c>
      <c r="H235" s="20" t="n">
        <v>-13</v>
      </c>
      <c r="J235" s="20" t="n">
        <v>0</v>
      </c>
      <c r="L235" s="20" t="n">
        <v>0</v>
      </c>
      <c r="N235" s="20" t="n">
        <v>-9</v>
      </c>
      <c r="O235" s="20" t="n">
        <v>-14</v>
      </c>
      <c r="P235" s="20" t="n">
        <v>-19</v>
      </c>
      <c r="Q235" s="20" t="n">
        <v>-39</v>
      </c>
      <c r="R235" s="20" t="n">
        <v>-19</v>
      </c>
      <c r="S235" s="20" t="n">
        <v>-19</v>
      </c>
      <c r="T235" s="20" t="n">
        <v>-45</v>
      </c>
      <c r="U235" s="20" t="n">
        <v>-38</v>
      </c>
      <c r="V235" s="20" t="n">
        <v>-15</v>
      </c>
      <c r="W235" s="20" t="n">
        <v>-13</v>
      </c>
      <c r="X235" s="20" t="n">
        <v>0</v>
      </c>
    </row>
    <row r="236">
      <c r="A236" s="18" t="inlineStr">
        <is>
          <t>자기주식 취득</t>
        </is>
      </c>
      <c r="D236" s="20" t="n">
        <v>-302</v>
      </c>
      <c r="F236" s="20" t="n">
        <v>-311</v>
      </c>
      <c r="H236" s="20" t="n">
        <v>-312</v>
      </c>
      <c r="J236" s="20" t="n">
        <v>-401</v>
      </c>
      <c r="L236" s="20" t="n">
        <v>-402</v>
      </c>
      <c r="N236" s="20" t="n">
        <v>-1140</v>
      </c>
      <c r="O236" s="20" t="n">
        <v>-2</v>
      </c>
      <c r="P236" s="20" t="n">
        <v>-5</v>
      </c>
      <c r="Q236" s="20" t="n">
        <v>-199</v>
      </c>
      <c r="R236" s="20" t="n">
        <v>-1</v>
      </c>
      <c r="S236" s="20" t="n">
        <v>-1</v>
      </c>
      <c r="T236" s="20" t="n">
        <v>-2</v>
      </c>
      <c r="U236" s="20" t="n">
        <v>-151</v>
      </c>
      <c r="V236" s="20" t="n">
        <v>-302</v>
      </c>
      <c r="W236" s="20" t="n">
        <v>-312</v>
      </c>
      <c r="X236" s="20" t="n">
        <v>-402</v>
      </c>
    </row>
    <row r="237">
      <c r="A237" s="18" t="inlineStr">
        <is>
          <t>리스부채 상환</t>
        </is>
      </c>
      <c r="J237" s="20" t="n">
        <v>0</v>
      </c>
      <c r="N237" s="20" t="n">
        <v>-55</v>
      </c>
    </row>
    <row r="238">
      <c r="A238" s="9" t="inlineStr">
        <is>
          <t>재무활동 현금흐름</t>
        </is>
      </c>
      <c r="D238" s="12" t="n">
        <v>2451</v>
      </c>
      <c r="F238" s="12" t="n">
        <v>-1014</v>
      </c>
      <c r="H238" s="12" t="n">
        <v>-2701</v>
      </c>
      <c r="J238" s="12" t="n">
        <v>-1762</v>
      </c>
      <c r="L238" s="12" t="n">
        <v>-2569</v>
      </c>
      <c r="N238" s="12" t="n">
        <v>-2417</v>
      </c>
      <c r="O238" s="12" t="n">
        <v>-484</v>
      </c>
      <c r="P238" s="12" t="n">
        <v>-468</v>
      </c>
      <c r="Q238" s="12" t="n">
        <v>279</v>
      </c>
      <c r="R238" s="12" t="n">
        <v>4510</v>
      </c>
      <c r="S238" s="12" t="n">
        <v>-4481</v>
      </c>
      <c r="T238" s="12" t="n">
        <v>-2508</v>
      </c>
      <c r="U238" s="12" t="n">
        <v>-727</v>
      </c>
      <c r="V238" s="12" t="n">
        <v>2451</v>
      </c>
      <c r="W238" s="12" t="n">
        <v>-2701</v>
      </c>
      <c r="X238" s="12" t="n">
        <v>-2569</v>
      </c>
    </row>
    <row r="239">
      <c r="A239" s="18" t="inlineStr">
        <is>
          <t>현금성자산 환산차이</t>
        </is>
      </c>
      <c r="D239" s="20" t="n">
        <v>63</v>
      </c>
      <c r="F239" s="20" t="n">
        <v>78</v>
      </c>
      <c r="H239" s="20" t="n">
        <v>72</v>
      </c>
      <c r="J239" s="20" t="n">
        <v>-44</v>
      </c>
      <c r="L239" s="20" t="n">
        <v>54</v>
      </c>
      <c r="N239" s="20" t="n">
        <v>27</v>
      </c>
      <c r="O239" s="20" t="n">
        <v>-31</v>
      </c>
      <c r="P239" s="20" t="n">
        <v>18</v>
      </c>
      <c r="Q239" s="20" t="n">
        <v>-39</v>
      </c>
      <c r="R239" s="20" t="n">
        <v>0</v>
      </c>
      <c r="S239" s="20" t="n">
        <v>-2</v>
      </c>
      <c r="T239" s="20" t="n">
        <v>110</v>
      </c>
      <c r="U239" s="20" t="n">
        <v>44</v>
      </c>
      <c r="V239" s="20" t="n">
        <v>63</v>
      </c>
      <c r="W239" s="20" t="n">
        <v>72</v>
      </c>
      <c r="X239" s="20" t="n">
        <v>54</v>
      </c>
    </row>
    <row r="240">
      <c r="A240" s="18" t="inlineStr">
        <is>
          <t>현금성자산 증감</t>
        </is>
      </c>
      <c r="D240" s="20" t="n">
        <v>2174</v>
      </c>
      <c r="F240" s="20" t="n">
        <v>-4497</v>
      </c>
      <c r="H240" s="20" t="n">
        <v>-5671</v>
      </c>
      <c r="J240" s="20" t="n">
        <v>1459</v>
      </c>
      <c r="L240" s="20" t="n">
        <v>6428</v>
      </c>
      <c r="N240" s="20" t="n">
        <v>-5081</v>
      </c>
      <c r="O240" s="20" t="n">
        <v>920</v>
      </c>
      <c r="P240" s="20" t="n">
        <v>-910</v>
      </c>
      <c r="Q240" s="20" t="n">
        <v>-1587</v>
      </c>
      <c r="R240" s="20" t="n">
        <v>3488</v>
      </c>
      <c r="S240" s="20" t="n">
        <v>-1735</v>
      </c>
      <c r="T240" s="20" t="n">
        <v>4203</v>
      </c>
      <c r="U240" s="20" t="n">
        <v>-3247</v>
      </c>
      <c r="V240" s="20" t="n">
        <v>2174</v>
      </c>
      <c r="W240" s="20" t="n">
        <v>-5671</v>
      </c>
      <c r="X240" s="20" t="n">
        <v>6428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34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1964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2026.2Q</t>
        </is>
      </c>
      <c r="D3" s="5" t="inlineStr">
        <is>
          <t>2026.3Q</t>
        </is>
      </c>
      <c r="E3" s="5" t="inlineStr">
        <is>
          <t>2026.4Q</t>
        </is>
      </c>
      <c r="F3" s="5" t="inlineStr">
        <is>
          <t>2027.1Q</t>
        </is>
      </c>
      <c r="G3" s="5" t="inlineStr">
        <is>
          <t>2027.2Q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33918</v>
      </c>
      <c r="D5" s="12" t="n">
        <v>33850</v>
      </c>
      <c r="E5" s="12" t="n">
        <v>38569</v>
      </c>
      <c r="F5" s="12" t="n">
        <v>33622</v>
      </c>
      <c r="G5" s="12" t="n">
        <v>33540</v>
      </c>
      <c r="H5" s="11" t="n">
        <v>27271</v>
      </c>
      <c r="I5" s="12" t="n">
        <v>30214</v>
      </c>
      <c r="J5" s="12" t="n">
        <v>34252</v>
      </c>
      <c r="K5" s="12" t="n">
        <v>35982</v>
      </c>
      <c r="L5" s="12" t="n">
        <v>38569</v>
      </c>
    </row>
    <row r="6">
      <c r="A6" s="18" t="inlineStr">
        <is>
          <t>현금및현금성자산</t>
        </is>
      </c>
      <c r="B6" s="10" t="n"/>
      <c r="C6" s="19" t="n">
        <v>5853</v>
      </c>
      <c r="D6" s="20" t="n">
        <v>6726</v>
      </c>
      <c r="E6" s="20" t="n">
        <v>10821</v>
      </c>
      <c r="F6" s="20" t="n">
        <v>7674</v>
      </c>
      <c r="G6" s="20" t="n">
        <v>5715</v>
      </c>
      <c r="H6" s="19" t="n">
        <v>11130</v>
      </c>
      <c r="I6" s="20" t="n">
        <v>7884</v>
      </c>
      <c r="J6" s="20" t="n">
        <v>10061</v>
      </c>
      <c r="K6" s="20" t="n">
        <v>4392</v>
      </c>
      <c r="L6" s="20" t="n">
        <v>10821</v>
      </c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>
        <v>0</v>
      </c>
      <c r="I7" s="20" t="n"/>
      <c r="J7" s="20" t="n"/>
      <c r="K7" s="20" t="n"/>
      <c r="L7" s="20" t="n"/>
    </row>
    <row r="8">
      <c r="A8" s="18" t="inlineStr">
        <is>
          <t>매출채권</t>
        </is>
      </c>
      <c r="B8" s="10" t="n"/>
      <c r="C8" s="19" t="n">
        <v>25510</v>
      </c>
      <c r="D8" s="20" t="n">
        <v>24419</v>
      </c>
      <c r="E8" s="20" t="n">
        <v>25859</v>
      </c>
      <c r="F8" s="20" t="n">
        <v>23589</v>
      </c>
      <c r="G8" s="20" t="n">
        <v>25797</v>
      </c>
      <c r="H8" s="19" t="n">
        <v>14852</v>
      </c>
      <c r="I8" s="20" t="n">
        <v>20693</v>
      </c>
      <c r="J8" s="20" t="n">
        <v>21960</v>
      </c>
      <c r="K8" s="20" t="n">
        <v>29720</v>
      </c>
      <c r="L8" s="20" t="n">
        <v>25859</v>
      </c>
    </row>
    <row r="9">
      <c r="A9" s="18" t="inlineStr">
        <is>
          <t>재고자산</t>
        </is>
      </c>
      <c r="B9" s="10" t="n"/>
      <c r="C9" s="19" t="n">
        <v>2377</v>
      </c>
      <c r="D9" s="20" t="n">
        <v>2424</v>
      </c>
      <c r="E9" s="20" t="n">
        <v>1670</v>
      </c>
      <c r="F9" s="20" t="n">
        <v>1991</v>
      </c>
      <c r="G9" s="20" t="n">
        <v>1838</v>
      </c>
      <c r="H9" s="19" t="n">
        <v>1208</v>
      </c>
      <c r="I9" s="20" t="n">
        <v>1560</v>
      </c>
      <c r="J9" s="20" t="n">
        <v>2105</v>
      </c>
      <c r="K9" s="20" t="n">
        <v>1731</v>
      </c>
      <c r="L9" s="20" t="n">
        <v>1670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13738</v>
      </c>
      <c r="D11" s="12" t="n">
        <v>12938</v>
      </c>
      <c r="E11" s="12" t="n">
        <v>12712</v>
      </c>
      <c r="F11" s="12" t="n">
        <v>13208</v>
      </c>
      <c r="G11" s="12" t="n">
        <v>13875</v>
      </c>
      <c r="H11" s="11" t="n">
        <v>10870</v>
      </c>
      <c r="I11" s="12" t="n">
        <v>10963</v>
      </c>
      <c r="J11" s="12" t="n">
        <v>14611</v>
      </c>
      <c r="K11" s="12" t="n">
        <v>12754</v>
      </c>
      <c r="L11" s="12" t="n">
        <v>12712</v>
      </c>
    </row>
    <row r="12">
      <c r="A12" s="18" t="inlineStr">
        <is>
          <t>유형자산</t>
        </is>
      </c>
      <c r="B12" s="10" t="n"/>
      <c r="C12" s="19" t="n">
        <v>5760</v>
      </c>
      <c r="D12" s="20" t="n">
        <v>5911</v>
      </c>
      <c r="E12" s="20" t="n">
        <v>5815</v>
      </c>
      <c r="F12" s="20" t="n">
        <v>5779</v>
      </c>
      <c r="G12" s="20" t="n">
        <v>5913</v>
      </c>
      <c r="H12" s="19" t="n">
        <v>4182</v>
      </c>
      <c r="I12" s="20" t="n">
        <v>4124</v>
      </c>
      <c r="J12" s="20" t="n">
        <v>4845</v>
      </c>
      <c r="K12" s="20" t="n">
        <v>5053</v>
      </c>
      <c r="L12" s="20" t="n">
        <v>5815</v>
      </c>
    </row>
    <row r="13">
      <c r="A13" s="18" t="inlineStr">
        <is>
          <t>무형자산</t>
        </is>
      </c>
      <c r="B13" s="10" t="n"/>
      <c r="C13" s="19" t="n">
        <v>200</v>
      </c>
      <c r="D13" s="20" t="n">
        <v>206</v>
      </c>
      <c r="E13" s="20" t="n">
        <v>224</v>
      </c>
      <c r="F13" s="20" t="n">
        <v>216</v>
      </c>
      <c r="G13" s="20" t="n">
        <v>198</v>
      </c>
      <c r="H13" s="19" t="n">
        <v>363</v>
      </c>
      <c r="I13" s="20" t="n">
        <v>291</v>
      </c>
      <c r="J13" s="20" t="n">
        <v>256</v>
      </c>
      <c r="K13" s="20" t="n">
        <v>208</v>
      </c>
      <c r="L13" s="20" t="n">
        <v>224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47656</v>
      </c>
      <c r="D16" s="12" t="n">
        <v>46788</v>
      </c>
      <c r="E16" s="12" t="n">
        <v>51282</v>
      </c>
      <c r="F16" s="12" t="n">
        <v>46830</v>
      </c>
      <c r="G16" s="12" t="n">
        <v>47416</v>
      </c>
      <c r="H16" s="11" t="n">
        <v>38141</v>
      </c>
      <c r="I16" s="12" t="n">
        <v>41178</v>
      </c>
      <c r="J16" s="12" t="n">
        <v>48863</v>
      </c>
      <c r="K16" s="12" t="n">
        <v>48736</v>
      </c>
      <c r="L16" s="12" t="n">
        <v>51282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14396</v>
      </c>
      <c r="D18" s="12" t="n">
        <v>13064</v>
      </c>
      <c r="E18" s="12" t="n">
        <v>15442</v>
      </c>
      <c r="F18" s="12" t="n">
        <v>12948</v>
      </c>
      <c r="G18" s="12" t="n">
        <v>12519</v>
      </c>
      <c r="H18" s="11" t="n">
        <v>12449</v>
      </c>
      <c r="I18" s="12" t="n">
        <v>14538</v>
      </c>
      <c r="J18" s="12" t="n">
        <v>17517</v>
      </c>
      <c r="K18" s="12" t="n">
        <v>15233</v>
      </c>
      <c r="L18" s="12" t="n">
        <v>15442</v>
      </c>
    </row>
    <row r="19">
      <c r="A19" s="18" t="inlineStr">
        <is>
          <t>매입채무</t>
        </is>
      </c>
      <c r="B19" s="10" t="n"/>
      <c r="C19" s="19" t="n">
        <v>5640</v>
      </c>
      <c r="D19" s="20" t="n">
        <v>4480</v>
      </c>
      <c r="E19" s="20" t="n">
        <v>6887</v>
      </c>
      <c r="F19" s="20" t="n">
        <v>4103</v>
      </c>
      <c r="G19" s="20" t="n">
        <v>5193</v>
      </c>
      <c r="H19" s="19" t="n">
        <v>5903</v>
      </c>
      <c r="I19" s="20" t="n">
        <v>7860</v>
      </c>
      <c r="J19" s="20" t="n">
        <v>6791</v>
      </c>
      <c r="K19" s="20" t="n">
        <v>7441</v>
      </c>
      <c r="L19" s="20" t="n">
        <v>6887</v>
      </c>
    </row>
    <row r="20">
      <c r="A20" s="18" t="inlineStr">
        <is>
          <t>단기차입금</t>
        </is>
      </c>
      <c r="B20" s="10" t="n"/>
      <c r="C20" s="19" t="n">
        <v>2548</v>
      </c>
      <c r="D20" s="20" t="n">
        <v>2466</v>
      </c>
      <c r="E20" s="20" t="n">
        <v>1921</v>
      </c>
      <c r="F20" s="20" t="n">
        <v>2392</v>
      </c>
      <c r="G20" s="20" t="n">
        <v>2077</v>
      </c>
      <c r="H20" s="19" t="n">
        <v>2800</v>
      </c>
      <c r="I20" s="20" t="n">
        <v>2800</v>
      </c>
      <c r="J20" s="20" t="n">
        <v>6100</v>
      </c>
      <c r="K20" s="20" t="n">
        <v>2569</v>
      </c>
      <c r="L20" s="20" t="n">
        <v>1921</v>
      </c>
    </row>
    <row r="21">
      <c r="A21" s="18" t="inlineStr">
        <is>
          <t>유동성장기부채</t>
        </is>
      </c>
      <c r="B21" s="10" t="n"/>
      <c r="C21" s="19" t="n"/>
      <c r="D21" s="20" t="n"/>
      <c r="E21" s="20" t="n"/>
      <c r="F21" s="20" t="n"/>
      <c r="G21" s="20" t="n"/>
      <c r="H21" s="19" t="n"/>
      <c r="I21" s="20" t="n"/>
      <c r="J21" s="20" t="n"/>
      <c r="K21" s="20" t="n"/>
      <c r="L21" s="20" t="n"/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4926</v>
      </c>
      <c r="D23" s="12" t="n">
        <v>4581</v>
      </c>
      <c r="E23" s="12" t="n">
        <v>4358</v>
      </c>
      <c r="F23" s="12" t="n">
        <v>4468</v>
      </c>
      <c r="G23" s="12" t="n">
        <v>4867</v>
      </c>
      <c r="H23" s="11" t="n">
        <v>2480</v>
      </c>
      <c r="I23" s="12" t="n">
        <v>2598</v>
      </c>
      <c r="J23" s="12" t="n">
        <v>3577</v>
      </c>
      <c r="K23" s="12" t="n">
        <v>4893</v>
      </c>
      <c r="L23" s="12" t="n">
        <v>4358</v>
      </c>
    </row>
    <row r="24">
      <c r="A24" s="18" t="inlineStr">
        <is>
          <t>장기차입금</t>
        </is>
      </c>
      <c r="B24" s="10" t="n"/>
      <c r="C24" s="19" t="n">
        <v>2692</v>
      </c>
      <c r="D24" s="20" t="n">
        <v>2608</v>
      </c>
      <c r="E24" s="20" t="n">
        <v>2524</v>
      </c>
      <c r="F24" s="20" t="n">
        <v>2444</v>
      </c>
      <c r="G24" s="20" t="n">
        <v>2376</v>
      </c>
      <c r="H24" s="19" t="n">
        <v>1188</v>
      </c>
      <c r="I24" s="20" t="n">
        <v>1188</v>
      </c>
      <c r="J24" s="20" t="n">
        <v>1188</v>
      </c>
      <c r="K24" s="20" t="n">
        <v>2938</v>
      </c>
      <c r="L24" s="20" t="n">
        <v>2524</v>
      </c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/>
      <c r="I25" s="20" t="n"/>
      <c r="J25" s="20" t="n"/>
      <c r="K25" s="20" t="n"/>
      <c r="L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19322</v>
      </c>
      <c r="D27" s="12" t="n">
        <v>17646</v>
      </c>
      <c r="E27" s="12" t="n">
        <v>19800</v>
      </c>
      <c r="F27" s="12" t="n">
        <v>17416</v>
      </c>
      <c r="G27" s="12" t="n">
        <v>17387</v>
      </c>
      <c r="H27" s="11" t="n">
        <v>14929</v>
      </c>
      <c r="I27" s="12" t="n">
        <v>17136</v>
      </c>
      <c r="J27" s="12" t="n">
        <v>21094</v>
      </c>
      <c r="K27" s="12" t="n">
        <v>20127</v>
      </c>
      <c r="L27" s="12" t="n">
        <v>19800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28117</v>
      </c>
      <c r="D31" s="12" t="n">
        <v>28875</v>
      </c>
      <c r="E31" s="12" t="n">
        <v>31201</v>
      </c>
      <c r="F31" s="12" t="n">
        <v>29159</v>
      </c>
      <c r="G31" s="12" t="n">
        <v>29800</v>
      </c>
      <c r="H31" s="11" t="n">
        <v>23068</v>
      </c>
      <c r="I31" s="12" t="n">
        <v>23860</v>
      </c>
      <c r="J31" s="12" t="n">
        <v>27570</v>
      </c>
      <c r="K31" s="12" t="n">
        <v>28329</v>
      </c>
      <c r="L31" s="12" t="n">
        <v>31201</v>
      </c>
    </row>
    <row r="32">
      <c r="A32" s="18" t="inlineStr">
        <is>
          <t>자본금</t>
        </is>
      </c>
      <c r="B32" s="10" t="n"/>
      <c r="C32" s="19" t="n">
        <v>6176</v>
      </c>
      <c r="D32" s="20" t="n">
        <v>6176</v>
      </c>
      <c r="E32" s="20" t="n">
        <v>6176</v>
      </c>
      <c r="F32" s="20" t="n">
        <v>6176</v>
      </c>
      <c r="G32" s="20" t="n">
        <v>6176</v>
      </c>
      <c r="H32" s="19" t="n">
        <v>6176</v>
      </c>
      <c r="I32" s="20" t="n">
        <v>6176</v>
      </c>
      <c r="J32" s="20" t="n">
        <v>6176</v>
      </c>
      <c r="K32" s="20" t="n">
        <v>6176</v>
      </c>
      <c r="L32" s="20" t="n">
        <v>6176</v>
      </c>
    </row>
    <row r="33">
      <c r="A33" s="18" t="inlineStr">
        <is>
          <t>이익잉여금</t>
        </is>
      </c>
      <c r="B33" s="10" t="n"/>
      <c r="C33" s="19" t="n">
        <v>17799</v>
      </c>
      <c r="D33" s="20" t="n">
        <v>19077</v>
      </c>
      <c r="E33" s="20" t="n">
        <v>21412</v>
      </c>
      <c r="F33" s="20" t="n">
        <v>20136</v>
      </c>
      <c r="G33" s="20" t="n">
        <v>20496</v>
      </c>
      <c r="H33" s="19" t="n">
        <v>13081</v>
      </c>
      <c r="I33" s="20" t="n">
        <v>13775</v>
      </c>
      <c r="J33" s="20" t="n">
        <v>15441</v>
      </c>
      <c r="K33" s="20" t="n">
        <v>17845</v>
      </c>
      <c r="L33" s="20" t="n">
        <v>21412</v>
      </c>
    </row>
    <row r="34">
      <c r="A34" s="18" t="inlineStr">
        <is>
          <t>비지배지분</t>
        </is>
      </c>
      <c r="B34" s="10" t="n"/>
      <c r="C34" s="19" t="n">
        <v>216</v>
      </c>
      <c r="D34" s="20" t="n">
        <v>267</v>
      </c>
      <c r="E34" s="20" t="n">
        <v>280</v>
      </c>
      <c r="F34" s="20" t="n">
        <v>255</v>
      </c>
      <c r="G34" s="20" t="n">
        <v>228</v>
      </c>
      <c r="H34" s="19" t="n">
        <v>143</v>
      </c>
      <c r="I34" s="20" t="n">
        <v>181</v>
      </c>
      <c r="J34" s="20" t="n">
        <v>198</v>
      </c>
      <c r="K34" s="20" t="n">
        <v>280</v>
      </c>
      <c r="L34" s="20" t="n">
        <v>280</v>
      </c>
    </row>
    <row r="35">
      <c r="A35" s="9" t="inlineStr">
        <is>
          <t>자본총계</t>
        </is>
      </c>
      <c r="B35" s="10" t="n"/>
      <c r="C35" s="11" t="n">
        <v>28333</v>
      </c>
      <c r="D35" s="12" t="n">
        <v>29142</v>
      </c>
      <c r="E35" s="12" t="n">
        <v>31481</v>
      </c>
      <c r="F35" s="12" t="n">
        <v>29414</v>
      </c>
      <c r="G35" s="12" t="n">
        <v>30028</v>
      </c>
      <c r="H35" s="11" t="n">
        <v>23211</v>
      </c>
      <c r="I35" s="12" t="n">
        <v>24041</v>
      </c>
      <c r="J35" s="12" t="n">
        <v>27768</v>
      </c>
      <c r="K35" s="12" t="n">
        <v>28609</v>
      </c>
      <c r="L35" s="12" t="n">
        <v>31481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>
        <v>2438</v>
      </c>
      <c r="D37" s="12" t="n"/>
      <c r="E37" s="12" t="n">
        <v>6259</v>
      </c>
      <c r="F37" s="12" t="n"/>
      <c r="G37" s="12" t="n">
        <v>1257</v>
      </c>
      <c r="H37" s="11" t="n">
        <v>6090</v>
      </c>
      <c r="I37" s="12" t="n">
        <v>-2500</v>
      </c>
      <c r="J37" s="12" t="n">
        <v>-891</v>
      </c>
      <c r="K37" s="12" t="n">
        <v>-3696</v>
      </c>
      <c r="L37" s="12" t="n">
        <v>6259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>
        <v>864</v>
      </c>
      <c r="D38" s="20" t="n"/>
      <c r="E38" s="20" t="n">
        <v>965</v>
      </c>
      <c r="F38" s="20" t="n"/>
      <c r="G38" s="20" t="n">
        <v>545</v>
      </c>
      <c r="H38" s="19" t="n">
        <v>317</v>
      </c>
      <c r="I38" s="20" t="n">
        <v>240</v>
      </c>
      <c r="J38" s="20" t="n">
        <v>1335</v>
      </c>
      <c r="K38" s="20" t="n">
        <v>798</v>
      </c>
      <c r="L38" s="20" t="n">
        <v>965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>
        <v>1101</v>
      </c>
      <c r="D40" s="20" t="n"/>
      <c r="E40" s="20" t="n">
        <v>1101</v>
      </c>
      <c r="F40" s="20" t="n"/>
      <c r="G40" s="20" t="n">
        <v>1201</v>
      </c>
      <c r="H40" s="19" t="n">
        <v>460</v>
      </c>
      <c r="I40" s="20" t="n">
        <v>537</v>
      </c>
      <c r="J40" s="20" t="n">
        <v>530</v>
      </c>
      <c r="K40" s="20" t="n">
        <v>594</v>
      </c>
      <c r="L40" s="20" t="n">
        <v>1101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IFERROR((IF(COUNT('연간'!G31:J31)&lt;4,"",SUM('연간'!G31:J31)))/(IF(COUNT('연간'!G53:J53)&lt;4,"",SUM('연간'!G53:J53))),"")</f>
        <v/>
      </c>
      <c r="D48" s="31">
        <f>IFERROR((IF(COUNT('연간'!H31:K31)&lt;4,"",SUM('연간'!H31:K31)))/(IF(COUNT('연간'!H53:K53)&lt;4,"",SUM('연간'!H53:K53))),"")</f>
        <v/>
      </c>
      <c r="E48" s="31">
        <f>IFERROR((IF(COUNT('연간'!I31:L31)&lt;4,"",SUM('연간'!I31:L31)))/(IF(COUNT('연간'!I53:L53)&lt;4,"",SUM('연간'!I53:L53))),"")</f>
        <v/>
      </c>
      <c r="F48" s="31">
        <f>IFERROR((IF(COUNT('연간'!J31:M31)&lt;4,"",SUM('연간'!J31:M31)))/(IF(COUNT('연간'!J53:M53)&lt;4,"",SUM('연간'!J53:M53))),"")</f>
        <v/>
      </c>
      <c r="G48" s="31">
        <f>IFERROR((IF(COUNT('연간'!K31:N31)&lt;4,"",SUM('연간'!K31:N31)))/(IF(COUNT('연간'!K53:N53)&lt;4,"",SUM('연간'!K53:N53))),"")</f>
        <v/>
      </c>
      <c r="H48" s="30">
        <f>IFERROR(('연간'!T31)/('연간'!T53),"")</f>
        <v/>
      </c>
      <c r="I48" s="31">
        <f>IFERROR(('연간'!U31)/('연간'!U53),"")</f>
        <v/>
      </c>
      <c r="J48" s="31">
        <f>IFERROR(('연간'!V31)/('연간'!V53),"")</f>
        <v/>
      </c>
      <c r="K48" s="31">
        <f>IFERROR(('연간'!W31)/('연간'!W53),"")</f>
        <v/>
      </c>
      <c r="L48" s="31">
        <f>IFERROR(('연간'!X31)/('연간'!X53),"")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IFERROR(IF((IF(COUNT('연간'!G61:J61)&lt;4,"",SUM('연간'!G61:J61)))&lt;=0,"적자",C28/(IF(COUNT('연간'!G61:J61)&lt;4,"",SUM('연간'!G61:J61)))),"")</f>
        <v/>
      </c>
      <c r="D49" s="47">
        <f>IFERROR(IF((IF(COUNT('연간'!H61:K61)&lt;4,"",SUM('연간'!H61:K61)))&lt;=0,"적자",D28/(IF(COUNT('연간'!H61:K61)&lt;4,"",SUM('연간'!H61:K61)))),"")</f>
        <v/>
      </c>
      <c r="E49" s="47">
        <f>IFERROR(IF((IF(COUNT('연간'!I61:L61)&lt;4,"",SUM('연간'!I61:L61)))&lt;=0,"적자",E28/(IF(COUNT('연간'!I61:L61)&lt;4,"",SUM('연간'!I61:L61)))),"")</f>
        <v/>
      </c>
      <c r="F49" s="47">
        <f>IFERROR(IF((IF(COUNT('연간'!J61:M61)&lt;4,"",SUM('연간'!J61:M61)))&lt;=0,"적자",F28/(IF(COUNT('연간'!J61:M61)&lt;4,"",SUM('연간'!J61:M61)))),"")</f>
        <v/>
      </c>
      <c r="G49" s="47">
        <f>IFERROR(IF((IF(COUNT('연간'!K61:N61)&lt;4,"",SUM('연간'!K61:N61)))&lt;=0,"적자",G28/(IF(COUNT('연간'!K61:N61)&lt;4,"",SUM('연간'!K61:N61)))),"")</f>
        <v/>
      </c>
      <c r="H49" s="46">
        <f>IFERROR(IF(('연간'!T61)&lt;=0,"적자",H28/('연간'!T61)),"")</f>
        <v/>
      </c>
      <c r="I49" s="47">
        <f>IFERROR(IF(('연간'!U61)&lt;=0,"적자",I28/('연간'!U61)),"")</f>
        <v/>
      </c>
      <c r="J49" s="47">
        <f>IFERROR(IF(('연간'!V61)&lt;=0,"적자",J28/('연간'!V61)),"")</f>
        <v/>
      </c>
      <c r="K49" s="47">
        <f>IFERROR(IF(('연간'!W61)&lt;=0,"적자",K28/('연간'!W61)),"")</f>
        <v/>
      </c>
      <c r="L49" s="47">
        <f>IFERROR(IF(('연간'!X61)&lt;=0,"적자",L28/('연간'!X61)),"")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IFERROR((IF(COUNT('연간'!G61:J61)&lt;4,"",SUM('연간'!G61:J61)))/C31,"")</f>
        <v/>
      </c>
      <c r="D51" s="36">
        <f>IFERROR((IF(COUNT('연간'!H61:K61)&lt;4,"",SUM('연간'!H61:K61)))/D31,"")</f>
        <v/>
      </c>
      <c r="E51" s="36">
        <f>IFERROR((IF(COUNT('연간'!I61:L61)&lt;4,"",SUM('연간'!I61:L61)))/E31,"")</f>
        <v/>
      </c>
      <c r="F51" s="36">
        <f>IFERROR((IF(COUNT('연간'!J61:M61)&lt;4,"",SUM('연간'!J61:M61)))/F31,"")</f>
        <v/>
      </c>
      <c r="G51" s="36">
        <f>IFERROR((IF(COUNT('연간'!K61:N61)&lt;4,"",SUM('연간'!K61:N61)))/G31,"")</f>
        <v/>
      </c>
      <c r="H51" s="35">
        <f>IFERROR(('연간'!T61)/H31,"")</f>
        <v/>
      </c>
      <c r="I51" s="36">
        <f>IFERROR(('연간'!U61)/I31,"")</f>
        <v/>
      </c>
      <c r="J51" s="36">
        <f>IFERROR(('연간'!V61)/J31,"")</f>
        <v/>
      </c>
      <c r="K51" s="36">
        <f>IFERROR(('연간'!W61)/K31,"")</f>
        <v/>
      </c>
      <c r="L51" s="36">
        <f>IFERROR(('연간'!X61)/L31,"")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IFERROR((IF(COUNT('연간'!G59:J59)&lt;4,"",SUM('연간'!G59:J59)))/C16,"")</f>
        <v/>
      </c>
      <c r="D52" s="36">
        <f>IFERROR((IF(COUNT('연간'!H59:K59)&lt;4,"",SUM('연간'!H59:K59)))/D16,"")</f>
        <v/>
      </c>
      <c r="E52" s="36">
        <f>IFERROR((IF(COUNT('연간'!I59:L59)&lt;4,"",SUM('연간'!I59:L59)))/E16,"")</f>
        <v/>
      </c>
      <c r="F52" s="36">
        <f>IFERROR((IF(COUNT('연간'!J59:M59)&lt;4,"",SUM('연간'!J59:M59)))/F16,"")</f>
        <v/>
      </c>
      <c r="G52" s="36">
        <f>IFERROR((IF(COUNT('연간'!K59:N59)&lt;4,"",SUM('연간'!K59:N59)))/G16,"")</f>
        <v/>
      </c>
      <c r="H52" s="35">
        <f>IFERROR(('연간'!T59)/H16,"")</f>
        <v/>
      </c>
      <c r="I52" s="36">
        <f>IFERROR(('연간'!U59)/I16,"")</f>
        <v/>
      </c>
      <c r="J52" s="36">
        <f>IFERROR(('연간'!V59)/J16,"")</f>
        <v/>
      </c>
      <c r="K52" s="36">
        <f>IFERROR(('연간'!W59)/K16,"")</f>
        <v/>
      </c>
      <c r="L52" s="36">
        <f>IFERROR(('연간'!X59)/L16,"")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IFERROR((IF(COUNT('연간'!G31:J31)&lt;4,"",SUM('연간'!G31:J31)))*(1-0.3)/(C35+C29),"")</f>
        <v/>
      </c>
      <c r="D53" s="36">
        <f>IFERROR((IF(COUNT('연간'!H31:K31)&lt;4,"",SUM('연간'!H31:K31)))*(1-0.3)/(D35+D29),"")</f>
        <v/>
      </c>
      <c r="E53" s="36">
        <f>IFERROR((IF(COUNT('연간'!I31:L31)&lt;4,"",SUM('연간'!I31:L31)))*(1-0.3)/(E35+E29),"")</f>
        <v/>
      </c>
      <c r="F53" s="36">
        <f>IFERROR((IF(COUNT('연간'!J31:M31)&lt;4,"",SUM('연간'!J31:M31)))*(1-0.3)/(F35+F29),"")</f>
        <v/>
      </c>
      <c r="G53" s="36">
        <f>IFERROR((IF(COUNT('연간'!K31:N31)&lt;4,"",SUM('연간'!K31:N31)))*(1-0.3)/(G35+G29),"")</f>
        <v/>
      </c>
      <c r="H53" s="35">
        <f>IFERROR(('연간'!T31)*(1-0.3)/(H35+H29),"")</f>
        <v/>
      </c>
      <c r="I53" s="36">
        <f>IFERROR(('연간'!U31)*(1-0.3)/(I35+I29),"")</f>
        <v/>
      </c>
      <c r="J53" s="36">
        <f>IFERROR(('연간'!V31)*(1-0.3)/(J35+J29),"")</f>
        <v/>
      </c>
      <c r="K53" s="36">
        <f>IFERROR(('연간'!W31)*(1-0.3)/(K35+K29),"")</f>
        <v/>
      </c>
      <c r="L53" s="36">
        <f>IFERROR(('연간'!X31)*(1-0.3)/(L35+L29),"")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IFERROR((IF(COUNT('연간'!G25:J25)&lt;4,"",SUM('연간'!G25:J25)))/(IF(COUNT('연간'!G4:J4)&lt;4,"",SUM('연간'!G4:J4))),"")</f>
        <v/>
      </c>
      <c r="D54" s="36">
        <f>IFERROR((IF(COUNT('연간'!H25:K25)&lt;4,"",SUM('연간'!H25:K25)))/(IF(COUNT('연간'!H4:K4)&lt;4,"",SUM('연간'!H4:K4))),"")</f>
        <v/>
      </c>
      <c r="E54" s="36">
        <f>IFERROR((IF(COUNT('연간'!I25:L25)&lt;4,"",SUM('연간'!I25:L25)))/(IF(COUNT('연간'!I4:L4)&lt;4,"",SUM('연간'!I4:L4))),"")</f>
        <v/>
      </c>
      <c r="F54" s="36">
        <f>IFERROR((IF(COUNT('연간'!J25:M25)&lt;4,"",SUM('연간'!J25:M25)))/(IF(COUNT('연간'!J4:M4)&lt;4,"",SUM('연간'!J4:M4))),"")</f>
        <v/>
      </c>
      <c r="G54" s="36">
        <f>IFERROR((IF(COUNT('연간'!K25:N25)&lt;4,"",SUM('연간'!K25:N25)))/(IF(COUNT('연간'!K4:N4)&lt;4,"",SUM('연간'!K4:N4))),"")</f>
        <v/>
      </c>
      <c r="H54" s="35">
        <f>IFERROR(('연간'!T25)/('연간'!T4),"")</f>
        <v/>
      </c>
      <c r="I54" s="36">
        <f>IFERROR(('연간'!U25)/('연간'!U4),"")</f>
        <v/>
      </c>
      <c r="J54" s="36">
        <f>IFERROR(('연간'!V25)/('연간'!V4),"")</f>
        <v/>
      </c>
      <c r="K54" s="36">
        <f>IFERROR(('연간'!W25)/('연간'!W4),"")</f>
        <v/>
      </c>
      <c r="L54" s="36">
        <f>IFERROR(('연간'!X25)/('연간'!X4),"")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IFERROR((IF(COUNT('연간'!G31:J31)&lt;4,"",SUM('연간'!G31:J31)))/(IF(COUNT('연간'!G4:J4)&lt;4,"",SUM('연간'!G4:J4))),"")</f>
        <v/>
      </c>
      <c r="D55" s="36">
        <f>IFERROR((IF(COUNT('연간'!H31:K31)&lt;4,"",SUM('연간'!H31:K31)))/(IF(COUNT('연간'!H4:K4)&lt;4,"",SUM('연간'!H4:K4))),"")</f>
        <v/>
      </c>
      <c r="E55" s="36">
        <f>IFERROR((IF(COUNT('연간'!I31:L31)&lt;4,"",SUM('연간'!I31:L31)))/(IF(COUNT('연간'!I4:L4)&lt;4,"",SUM('연간'!I4:L4))),"")</f>
        <v/>
      </c>
      <c r="F55" s="36">
        <f>IFERROR((IF(COUNT('연간'!J31:M31)&lt;4,"",SUM('연간'!J31:M31)))/(IF(COUNT('연간'!J4:M4)&lt;4,"",SUM('연간'!J4:M4))),"")</f>
        <v/>
      </c>
      <c r="G55" s="36">
        <f>IFERROR((IF(COUNT('연간'!K31:N31)&lt;4,"",SUM('연간'!K31:N31)))/(IF(COUNT('연간'!K4:N4)&lt;4,"",SUM('연간'!K4:N4))),"")</f>
        <v/>
      </c>
      <c r="H55" s="35">
        <f>IFERROR(('연간'!T31)/('연간'!T4),"")</f>
        <v/>
      </c>
      <c r="I55" s="36">
        <f>IFERROR(('연간'!U31)/('연간'!U4),"")</f>
        <v/>
      </c>
      <c r="J55" s="36">
        <f>IFERROR(('연간'!V31)/('연간'!V4),"")</f>
        <v/>
      </c>
      <c r="K55" s="36">
        <f>IFERROR(('연간'!W31)/('연간'!W4),"")</f>
        <v/>
      </c>
      <c r="L55" s="36">
        <f>IFERROR(('연간'!X31)/('연간'!X4),"")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IFERROR((IF(COUNT('연간'!G59:J59)&lt;4,"",SUM('연간'!G59:J59)))/(IF(COUNT('연간'!G4:J4)&lt;4,"",SUM('연간'!G4:J4))),"")</f>
        <v/>
      </c>
      <c r="D56" s="36">
        <f>IFERROR((IF(COUNT('연간'!H59:K59)&lt;4,"",SUM('연간'!H59:K59)))/(IF(COUNT('연간'!H4:K4)&lt;4,"",SUM('연간'!H4:K4))),"")</f>
        <v/>
      </c>
      <c r="E56" s="36">
        <f>IFERROR((IF(COUNT('연간'!I59:L59)&lt;4,"",SUM('연간'!I59:L59)))/(IF(COUNT('연간'!I4:L4)&lt;4,"",SUM('연간'!I4:L4))),"")</f>
        <v/>
      </c>
      <c r="F56" s="36">
        <f>IFERROR((IF(COUNT('연간'!J59:M59)&lt;4,"",SUM('연간'!J59:M59)))/(IF(COUNT('연간'!J4:M4)&lt;4,"",SUM('연간'!J4:M4))),"")</f>
        <v/>
      </c>
      <c r="G56" s="36">
        <f>IFERROR((IF(COUNT('연간'!K59:N59)&lt;4,"",SUM('연간'!K59:N59)))/(IF(COUNT('연간'!K4:N4)&lt;4,"",SUM('연간'!K4:N4))),"")</f>
        <v/>
      </c>
      <c r="H56" s="35">
        <f>IFERROR(('연간'!T59)/('연간'!T4),"")</f>
        <v/>
      </c>
      <c r="I56" s="36">
        <f>IFERROR(('연간'!U59)/('연간'!U4),"")</f>
        <v/>
      </c>
      <c r="J56" s="36">
        <f>IFERROR(('연간'!V59)/('연간'!V4),"")</f>
        <v/>
      </c>
      <c r="K56" s="36">
        <f>IFERROR(('연간'!W59)/('연간'!W4),"")</f>
        <v/>
      </c>
      <c r="L56" s="36">
        <f>IFERROR(('연간'!X59)/('연간'!X4),"")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IFERROR(C9/(IF(COUNT('연간'!G23:J23)&lt;4,"",SUM('연간'!G23:J23)))*365,"")</f>
        <v/>
      </c>
      <c r="D60" s="49">
        <f>IFERROR(D9/(IF(COUNT('연간'!H23:K23)&lt;4,"",SUM('연간'!H23:K23)))*365,"")</f>
        <v/>
      </c>
      <c r="E60" s="49">
        <f>IFERROR(E9/(IF(COUNT('연간'!I23:L23)&lt;4,"",SUM('연간'!I23:L23)))*365,"")</f>
        <v/>
      </c>
      <c r="F60" s="49">
        <f>IFERROR(F9/(IF(COUNT('연간'!J23:M23)&lt;4,"",SUM('연간'!J23:M23)))*365,"")</f>
        <v/>
      </c>
      <c r="G60" s="49">
        <f>IFERROR(G9/(IF(COUNT('연간'!K23:N23)&lt;4,"",SUM('연간'!K23:N23)))*365,"")</f>
        <v/>
      </c>
      <c r="H60" s="48">
        <f>IFERROR(H9/('연간'!T23)*365,"")</f>
        <v/>
      </c>
      <c r="I60" s="49">
        <f>IFERROR(I9/('연간'!U23)*365,"")</f>
        <v/>
      </c>
      <c r="J60" s="49">
        <f>IFERROR(J9/('연간'!V23)*365,"")</f>
        <v/>
      </c>
      <c r="K60" s="49">
        <f>IFERROR(K9/('연간'!W23)*365,"")</f>
        <v/>
      </c>
      <c r="L60" s="49">
        <f>IFERROR(L9/('연간'!X23)*365,"")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IFERROR(C19/(IF(COUNT('연간'!G23:J23)&lt;4,"",SUM('연간'!G23:J23)))*365,"")</f>
        <v/>
      </c>
      <c r="D61" s="49">
        <f>IFERROR(D19/(IF(COUNT('연간'!H23:K23)&lt;4,"",SUM('연간'!H23:K23)))*365,"")</f>
        <v/>
      </c>
      <c r="E61" s="49">
        <f>IFERROR(E19/(IF(COUNT('연간'!I23:L23)&lt;4,"",SUM('연간'!I23:L23)))*365,"")</f>
        <v/>
      </c>
      <c r="F61" s="49">
        <f>IFERROR(F19/(IF(COUNT('연간'!J23:M23)&lt;4,"",SUM('연간'!J23:M23)))*365,"")</f>
        <v/>
      </c>
      <c r="G61" s="49">
        <f>IFERROR(G19/(IF(COUNT('연간'!K23:N23)&lt;4,"",SUM('연간'!K23:N23)))*365,"")</f>
        <v/>
      </c>
      <c r="H61" s="48">
        <f>IFERROR(H19/('연간'!T23)*365,"")</f>
        <v/>
      </c>
      <c r="I61" s="49">
        <f>IFERROR(I19/('연간'!U23)*365,"")</f>
        <v/>
      </c>
      <c r="J61" s="49">
        <f>IFERROR(J19/('연간'!V23)*365,"")</f>
        <v/>
      </c>
      <c r="K61" s="49">
        <f>IFERROR(K19/('연간'!W23)*365,"")</f>
        <v/>
      </c>
      <c r="L61" s="49">
        <f>IFERROR(L19/('연간'!X23)*365,"")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IF(C37="","",IFERROR(C37/(IF(COUNT('연간'!G59:J59)&lt;4,"",SUM('연간'!G59:J59))),""))</f>
        <v/>
      </c>
      <c r="D64" s="31">
        <f>IF(D37="","",IFERROR(D37/(IF(COUNT('연간'!H59:K59)&lt;4,"",SUM('연간'!H59:K59))),""))</f>
        <v/>
      </c>
      <c r="E64" s="31">
        <f>IF(E37="","",IFERROR(E37/(IF(COUNT('연간'!I59:L59)&lt;4,"",SUM('연간'!I59:L59))),""))</f>
        <v/>
      </c>
      <c r="F64" s="31">
        <f>IF(F37="","",IFERROR(F37/(IF(COUNT('연간'!J59:M59)&lt;4,"",SUM('연간'!J59:M59))),""))</f>
        <v/>
      </c>
      <c r="G64" s="31">
        <f>IF(G37="","",IFERROR(G37/(IF(COUNT('연간'!K59:N59)&lt;4,"",SUM('연간'!K59:N59))),""))</f>
        <v/>
      </c>
      <c r="H64" s="30">
        <f>IF(H37="","",IFERROR(H37/('연간'!T59),""))</f>
        <v/>
      </c>
      <c r="I64" s="31">
        <f>IF(I37="","",IFERROR(I37/('연간'!U59),""))</f>
        <v/>
      </c>
      <c r="J64" s="31">
        <f>IF(J37="","",IFERROR(J37/('연간'!V59),""))</f>
        <v/>
      </c>
      <c r="K64" s="31">
        <f>IF(K37="","",IFERROR(K37/('연간'!W59),""))</f>
        <v/>
      </c>
      <c r="L64" s="31">
        <f>IF(L37="","",IFERROR(L37/('연간'!X59),""))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IF(C40="","",IFERROR(C40/(IF(COUNT('연간'!G61:J61)&lt;4,"",SUM('연간'!G61:J61))),""))</f>
        <v/>
      </c>
      <c r="D67" s="36">
        <f>IF(D40="","",IFERROR(D40/(IF(COUNT('연간'!H61:K61)&lt;4,"",SUM('연간'!H61:K61))),""))</f>
        <v/>
      </c>
      <c r="E67" s="36">
        <f>IF(E40="","",IFERROR(E40/(IF(COUNT('연간'!I61:L61)&lt;4,"",SUM('연간'!I61:L61))),""))</f>
        <v/>
      </c>
      <c r="F67" s="36">
        <f>IF(F40="","",IFERROR(F40/(IF(COUNT('연간'!J61:M61)&lt;4,"",SUM('연간'!J61:M61))),""))</f>
        <v/>
      </c>
      <c r="G67" s="36">
        <f>IF(G40="","",IFERROR(G40/(IF(COUNT('연간'!K61:N61)&lt;4,"",SUM('연간'!K61:N61))),""))</f>
        <v/>
      </c>
      <c r="H67" s="35">
        <f>IF(H40="","",IFERROR(H40/('연간'!T61),""))</f>
        <v/>
      </c>
      <c r="I67" s="36">
        <f>IF(I40="","",IFERROR(I40/('연간'!U61),""))</f>
        <v/>
      </c>
      <c r="J67" s="36">
        <f>IF(J40="","",IFERROR(J40/('연간'!V61),""))</f>
        <v/>
      </c>
      <c r="K67" s="36">
        <f>IF(K40="","",IFERROR(K40/('연간'!W61),""))</f>
        <v/>
      </c>
      <c r="L67" s="36">
        <f>IF(L40="","",IFERROR(L40/('연간'!X61),""))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2026.2Q</t>
        </is>
      </c>
      <c r="D70" s="5" t="inlineStr">
        <is>
          <t>2026.3Q</t>
        </is>
      </c>
      <c r="E70" s="5" t="inlineStr">
        <is>
          <t>2026.4Q</t>
        </is>
      </c>
      <c r="F70" s="5" t="inlineStr">
        <is>
          <t>2027.1Q</t>
        </is>
      </c>
      <c r="G70" s="5" t="inlineStr">
        <is>
          <t>2027.2Q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5853</v>
      </c>
      <c r="D71" s="20" t="n">
        <v>6726</v>
      </c>
      <c r="E71" s="20" t="n">
        <v>10821</v>
      </c>
      <c r="F71" s="20" t="n">
        <v>7674</v>
      </c>
      <c r="G71" s="20" t="n">
        <v>5715</v>
      </c>
      <c r="H71" s="20" t="n">
        <v>11130</v>
      </c>
      <c r="I71" s="20" t="n">
        <v>7884</v>
      </c>
      <c r="J71" s="20" t="n">
        <v>10061</v>
      </c>
      <c r="K71" s="20" t="n">
        <v>4392</v>
      </c>
      <c r="L71" s="20" t="n">
        <v>10821</v>
      </c>
    </row>
    <row r="72">
      <c r="A72" s="18" t="inlineStr">
        <is>
          <t>받을어음·매출채권·계약자산</t>
        </is>
      </c>
      <c r="C72" s="20" t="n">
        <v>25510</v>
      </c>
      <c r="D72" s="20" t="n">
        <v>24419</v>
      </c>
      <c r="E72" s="20" t="n">
        <v>25859</v>
      </c>
      <c r="F72" s="20" t="n">
        <v>23589</v>
      </c>
      <c r="G72" s="20" t="n">
        <v>25797</v>
      </c>
      <c r="H72" s="20" t="n">
        <v>14852</v>
      </c>
      <c r="I72" s="20" t="n">
        <v>20693</v>
      </c>
      <c r="J72" s="20" t="n">
        <v>21960</v>
      </c>
      <c r="K72" s="20" t="n">
        <v>29720</v>
      </c>
      <c r="L72" s="20" t="n">
        <v>25859</v>
      </c>
    </row>
    <row r="73">
      <c r="A73" s="18" t="inlineStr">
        <is>
          <t>받을어음·매출채권</t>
        </is>
      </c>
      <c r="H73" s="20" t="n">
        <v>0</v>
      </c>
    </row>
    <row r="74">
      <c r="A74" s="18" t="inlineStr">
        <is>
          <t>유가증권</t>
        </is>
      </c>
      <c r="H74" s="20" t="n">
        <v>0</v>
      </c>
    </row>
    <row r="75">
      <c r="A75" s="18" t="inlineStr">
        <is>
          <t>미성공사 지출금 등</t>
        </is>
      </c>
      <c r="E75" s="20" t="n">
        <v>1670</v>
      </c>
      <c r="H75" s="20" t="n">
        <v>1208</v>
      </c>
      <c r="I75" s="20" t="n">
        <v>1560</v>
      </c>
      <c r="J75" s="20" t="n">
        <v>2105</v>
      </c>
      <c r="K75" s="20" t="n">
        <v>1731</v>
      </c>
      <c r="L75" s="20" t="n">
        <v>1670</v>
      </c>
    </row>
    <row r="76">
      <c r="A76" s="18" t="inlineStr">
        <is>
          <t>재고자산</t>
        </is>
      </c>
      <c r="C76" s="20" t="n">
        <v>2377</v>
      </c>
      <c r="D76" s="20" t="n">
        <v>2424</v>
      </c>
      <c r="E76" s="20" t="n">
        <v>1670</v>
      </c>
      <c r="F76" s="20" t="n">
        <v>1991</v>
      </c>
      <c r="G76" s="20" t="n">
        <v>1838</v>
      </c>
      <c r="H76" s="20" t="n">
        <v>1208</v>
      </c>
      <c r="I76" s="20" t="n">
        <v>1560</v>
      </c>
      <c r="J76" s="20" t="n">
        <v>2105</v>
      </c>
      <c r="K76" s="20" t="n">
        <v>1731</v>
      </c>
      <c r="L76" s="20" t="n">
        <v>1670</v>
      </c>
    </row>
    <row r="77">
      <c r="A77" s="18" t="inlineStr">
        <is>
          <t>기타</t>
        </is>
      </c>
      <c r="C77" s="20" t="n">
        <v>179</v>
      </c>
      <c r="D77" s="20" t="n">
        <v>283</v>
      </c>
      <c r="E77" s="20" t="n">
        <v>219</v>
      </c>
      <c r="F77" s="20" t="n">
        <v>369</v>
      </c>
      <c r="G77" s="20" t="n">
        <v>196</v>
      </c>
      <c r="H77" s="20" t="n">
        <v>83</v>
      </c>
      <c r="I77" s="20" t="n">
        <v>81</v>
      </c>
      <c r="J77" s="20" t="n">
        <v>125</v>
      </c>
      <c r="K77" s="20" t="n">
        <v>137</v>
      </c>
      <c r="L77" s="20" t="n">
        <v>219</v>
      </c>
    </row>
    <row r="78">
      <c r="A78" s="18" t="inlineStr">
        <is>
          <t>대손충당금</t>
        </is>
      </c>
      <c r="C78" s="20" t="n">
        <v>-1</v>
      </c>
      <c r="D78" s="20" t="n">
        <v>-1</v>
      </c>
      <c r="E78" s="20" t="n">
        <v>-1</v>
      </c>
      <c r="F78" s="20" t="n">
        <v>-1</v>
      </c>
      <c r="G78" s="20" t="n">
        <v>-7</v>
      </c>
      <c r="H78" s="20" t="n">
        <v>-3</v>
      </c>
      <c r="I78" s="20" t="n">
        <v>-4</v>
      </c>
      <c r="J78" s="20" t="n">
        <v>-0</v>
      </c>
      <c r="K78" s="20" t="n">
        <v>-0</v>
      </c>
      <c r="L78" s="20" t="n">
        <v>-1</v>
      </c>
    </row>
    <row r="79">
      <c r="A79" s="9" t="inlineStr">
        <is>
          <t>유동자산 합계</t>
        </is>
      </c>
      <c r="C79" s="12" t="n">
        <v>33918</v>
      </c>
      <c r="D79" s="12" t="n">
        <v>33850</v>
      </c>
      <c r="E79" s="12" t="n">
        <v>38569</v>
      </c>
      <c r="F79" s="12" t="n">
        <v>33622</v>
      </c>
      <c r="G79" s="12" t="n">
        <v>33540</v>
      </c>
      <c r="H79" s="12" t="n">
        <v>27271</v>
      </c>
      <c r="I79" s="12" t="n">
        <v>30214</v>
      </c>
      <c r="J79" s="12" t="n">
        <v>34252</v>
      </c>
      <c r="K79" s="12" t="n">
        <v>35982</v>
      </c>
      <c r="L79" s="12" t="n">
        <v>38569</v>
      </c>
    </row>
    <row r="80">
      <c r="A80" s="18" t="inlineStr">
        <is>
          <t>건물·구축물</t>
        </is>
      </c>
      <c r="E80" s="20" t="n">
        <v>7049</v>
      </c>
      <c r="H80" s="20" t="n">
        <v>6122</v>
      </c>
      <c r="I80" s="20" t="n">
        <v>5761</v>
      </c>
      <c r="J80" s="20" t="n">
        <v>6053</v>
      </c>
      <c r="K80" s="20" t="n">
        <v>6062</v>
      </c>
      <c r="L80" s="20" t="n">
        <v>7049</v>
      </c>
    </row>
    <row r="81">
      <c r="A81" s="18" t="inlineStr">
        <is>
          <t>감가상각누계액</t>
        </is>
      </c>
      <c r="E81" s="20" t="n">
        <v>-4443</v>
      </c>
      <c r="H81" s="20" t="n">
        <v>-4591</v>
      </c>
      <c r="I81" s="20" t="n">
        <v>-4363</v>
      </c>
      <c r="J81" s="20" t="n">
        <v>-4227</v>
      </c>
      <c r="K81" s="20" t="n">
        <v>-4321</v>
      </c>
      <c r="L81" s="20" t="n">
        <v>-4443</v>
      </c>
    </row>
    <row r="82">
      <c r="A82" s="18" t="inlineStr">
        <is>
          <t>건물·구축물(순액)</t>
        </is>
      </c>
      <c r="E82" s="20" t="n">
        <v>2606</v>
      </c>
      <c r="H82" s="20" t="n">
        <v>1531</v>
      </c>
      <c r="I82" s="20" t="n">
        <v>1398</v>
      </c>
      <c r="J82" s="20" t="n">
        <v>1826</v>
      </c>
      <c r="K82" s="20" t="n">
        <v>1741</v>
      </c>
      <c r="L82" s="20" t="n">
        <v>2606</v>
      </c>
    </row>
    <row r="83">
      <c r="A83" s="18" t="inlineStr">
        <is>
          <t>기계장치·운반구</t>
        </is>
      </c>
      <c r="E83" s="20" t="n">
        <v>2540</v>
      </c>
      <c r="H83" s="20" t="n">
        <v>2171</v>
      </c>
      <c r="I83" s="20" t="n">
        <v>2142</v>
      </c>
      <c r="J83" s="20" t="n">
        <v>2466</v>
      </c>
      <c r="K83" s="20" t="n">
        <v>2502</v>
      </c>
      <c r="L83" s="20" t="n">
        <v>2540</v>
      </c>
    </row>
    <row r="84">
      <c r="A84" s="18" t="inlineStr">
        <is>
          <t>감가상각누계액</t>
        </is>
      </c>
      <c r="E84" s="20" t="n">
        <v>-2103</v>
      </c>
      <c r="H84" s="20" t="n">
        <v>-1841</v>
      </c>
      <c r="I84" s="20" t="n">
        <v>-1856</v>
      </c>
      <c r="J84" s="20" t="n">
        <v>-1841</v>
      </c>
      <c r="K84" s="20" t="n">
        <v>-1987</v>
      </c>
      <c r="L84" s="20" t="n">
        <v>-2103</v>
      </c>
    </row>
    <row r="85">
      <c r="A85" s="18" t="inlineStr">
        <is>
          <t>기계장치·운반구(순액)</t>
        </is>
      </c>
      <c r="E85" s="20" t="n">
        <v>437</v>
      </c>
      <c r="H85" s="20" t="n">
        <v>329</v>
      </c>
      <c r="I85" s="20" t="n">
        <v>286</v>
      </c>
      <c r="J85" s="20" t="n">
        <v>625</v>
      </c>
      <c r="K85" s="20" t="n">
        <v>514</v>
      </c>
      <c r="L85" s="20" t="n">
        <v>437</v>
      </c>
    </row>
    <row r="86">
      <c r="A86" s="18" t="inlineStr">
        <is>
          <t>토지</t>
        </is>
      </c>
      <c r="E86" s="20" t="n">
        <v>2156</v>
      </c>
      <c r="H86" s="20" t="n">
        <v>2090</v>
      </c>
      <c r="I86" s="20" t="n">
        <v>2081</v>
      </c>
      <c r="J86" s="20" t="n">
        <v>1912</v>
      </c>
      <c r="K86" s="20" t="n">
        <v>2156</v>
      </c>
      <c r="L86" s="20" t="n">
        <v>2156</v>
      </c>
    </row>
    <row r="87">
      <c r="A87" s="18" t="inlineStr">
        <is>
          <t>건설중인자산</t>
        </is>
      </c>
      <c r="E87" s="20" t="n">
        <v>35</v>
      </c>
      <c r="H87" s="20" t="n">
        <v>38</v>
      </c>
      <c r="I87" s="20" t="n">
        <v>67</v>
      </c>
      <c r="J87" s="20" t="n">
        <v>106</v>
      </c>
      <c r="K87" s="20" t="n">
        <v>228</v>
      </c>
      <c r="L87" s="20" t="n">
        <v>35</v>
      </c>
    </row>
    <row r="88">
      <c r="A88" s="18" t="inlineStr">
        <is>
          <t>기타</t>
        </is>
      </c>
      <c r="E88" s="20" t="n">
        <v>1739</v>
      </c>
      <c r="H88" s="20" t="n">
        <v>1160</v>
      </c>
      <c r="I88" s="20" t="n">
        <v>1330</v>
      </c>
      <c r="J88" s="20" t="n">
        <v>1474</v>
      </c>
      <c r="K88" s="20" t="n">
        <v>1522</v>
      </c>
      <c r="L88" s="20" t="n">
        <v>1739</v>
      </c>
    </row>
    <row r="89">
      <c r="A89" s="18" t="inlineStr">
        <is>
          <t>감가상각누계액</t>
        </is>
      </c>
      <c r="E89" s="20" t="n">
        <v>-1160</v>
      </c>
      <c r="H89" s="20" t="n">
        <v>-967</v>
      </c>
      <c r="I89" s="20" t="n">
        <v>-1039</v>
      </c>
      <c r="J89" s="20" t="n">
        <v>-1100</v>
      </c>
      <c r="K89" s="20" t="n">
        <v>-1109</v>
      </c>
      <c r="L89" s="20" t="n">
        <v>-1160</v>
      </c>
    </row>
    <row r="90">
      <c r="A90" s="18" t="inlineStr">
        <is>
          <t>기타(순액)</t>
        </is>
      </c>
      <c r="E90" s="20" t="n">
        <v>579</v>
      </c>
      <c r="H90" s="20" t="n">
        <v>193</v>
      </c>
      <c r="I90" s="20" t="n">
        <v>290</v>
      </c>
      <c r="J90" s="20" t="n">
        <v>374</v>
      </c>
      <c r="K90" s="20" t="n">
        <v>413</v>
      </c>
      <c r="L90" s="20" t="n">
        <v>579</v>
      </c>
    </row>
    <row r="91">
      <c r="A91" s="18" t="inlineStr">
        <is>
          <t>유형자산</t>
        </is>
      </c>
      <c r="C91" s="20" t="n">
        <v>5760</v>
      </c>
      <c r="D91" s="20" t="n">
        <v>5911</v>
      </c>
      <c r="E91" s="20" t="n">
        <v>5815</v>
      </c>
      <c r="F91" s="20" t="n">
        <v>5779</v>
      </c>
      <c r="G91" s="20" t="n">
        <v>5913</v>
      </c>
      <c r="H91" s="20" t="n">
        <v>4182</v>
      </c>
      <c r="I91" s="20" t="n">
        <v>4124</v>
      </c>
      <c r="J91" s="20" t="n">
        <v>4845</v>
      </c>
      <c r="K91" s="20" t="n">
        <v>5053</v>
      </c>
      <c r="L91" s="20" t="n">
        <v>5815</v>
      </c>
    </row>
    <row r="92">
      <c r="A92" s="18" t="inlineStr">
        <is>
          <t>소프트웨어</t>
        </is>
      </c>
      <c r="E92" s="20" t="n">
        <v>224</v>
      </c>
      <c r="H92" s="20" t="n">
        <v>362</v>
      </c>
      <c r="I92" s="20" t="n">
        <v>290</v>
      </c>
      <c r="J92" s="20" t="n">
        <v>255</v>
      </c>
      <c r="K92" s="20" t="n">
        <v>207</v>
      </c>
      <c r="L92" s="20" t="n">
        <v>224</v>
      </c>
    </row>
    <row r="93">
      <c r="A93" s="18" t="inlineStr">
        <is>
          <t>기타</t>
        </is>
      </c>
      <c r="E93" s="20" t="n">
        <v>0</v>
      </c>
      <c r="H93" s="20" t="n">
        <v>1</v>
      </c>
      <c r="I93" s="20" t="n">
        <v>0</v>
      </c>
      <c r="J93" s="20" t="n">
        <v>0</v>
      </c>
      <c r="K93" s="20" t="n">
        <v>0</v>
      </c>
      <c r="L93" s="20" t="n">
        <v>0</v>
      </c>
    </row>
    <row r="94">
      <c r="A94" s="18" t="inlineStr">
        <is>
          <t>무형자산</t>
        </is>
      </c>
      <c r="C94" s="20" t="n">
        <v>200</v>
      </c>
      <c r="D94" s="20" t="n">
        <v>206</v>
      </c>
      <c r="E94" s="20" t="n">
        <v>224</v>
      </c>
      <c r="F94" s="20" t="n">
        <v>216</v>
      </c>
      <c r="G94" s="20" t="n">
        <v>198</v>
      </c>
      <c r="H94" s="20" t="n">
        <v>363</v>
      </c>
      <c r="I94" s="20" t="n">
        <v>291</v>
      </c>
      <c r="J94" s="20" t="n">
        <v>256</v>
      </c>
      <c r="K94" s="20" t="n">
        <v>208</v>
      </c>
      <c r="L94" s="20" t="n">
        <v>224</v>
      </c>
    </row>
    <row r="95">
      <c r="A95" s="18" t="inlineStr">
        <is>
          <t>투자유가증권</t>
        </is>
      </c>
      <c r="C95" s="20" t="n">
        <v>6753</v>
      </c>
      <c r="D95" s="20" t="n">
        <v>5764</v>
      </c>
      <c r="E95" s="20" t="n">
        <v>5330</v>
      </c>
      <c r="F95" s="20" t="n">
        <v>5859</v>
      </c>
      <c r="G95" s="20" t="n">
        <v>6387</v>
      </c>
      <c r="H95" s="20" t="n">
        <v>5764</v>
      </c>
      <c r="I95" s="20" t="n">
        <v>6121</v>
      </c>
      <c r="J95" s="20" t="n">
        <v>8648</v>
      </c>
      <c r="K95" s="20" t="n">
        <v>6533</v>
      </c>
      <c r="L95" s="20" t="n">
        <v>5330</v>
      </c>
    </row>
    <row r="96">
      <c r="A96" s="18" t="inlineStr">
        <is>
          <t>퇴직급여자산</t>
        </is>
      </c>
      <c r="E96" s="20" t="n">
        <v>1037</v>
      </c>
      <c r="H96" s="20" t="n">
        <v>316</v>
      </c>
      <c r="I96" s="20" t="n">
        <v>186</v>
      </c>
      <c r="J96" s="20" t="n">
        <v>593</v>
      </c>
      <c r="K96" s="20" t="n">
        <v>713</v>
      </c>
      <c r="L96" s="20" t="n">
        <v>1037</v>
      </c>
    </row>
    <row r="97">
      <c r="A97" s="18" t="inlineStr">
        <is>
          <t>이연법인세자산</t>
        </is>
      </c>
      <c r="E97" s="20" t="n">
        <v>3</v>
      </c>
      <c r="H97" s="20" t="n">
        <v>2</v>
      </c>
      <c r="I97" s="20" t="n">
        <v>1</v>
      </c>
      <c r="J97" s="20" t="n">
        <v>21</v>
      </c>
      <c r="K97" s="20" t="n">
        <v>17</v>
      </c>
      <c r="L97" s="20" t="n">
        <v>3</v>
      </c>
    </row>
    <row r="98">
      <c r="A98" s="18" t="inlineStr">
        <is>
          <t>기타</t>
        </is>
      </c>
      <c r="C98" s="20" t="n">
        <v>1039</v>
      </c>
      <c r="D98" s="20" t="n">
        <v>1072</v>
      </c>
      <c r="E98" s="20" t="n">
        <v>1358</v>
      </c>
      <c r="F98" s="20" t="n">
        <v>1367</v>
      </c>
      <c r="G98" s="20" t="n">
        <v>1391</v>
      </c>
      <c r="H98" s="20" t="n">
        <v>256</v>
      </c>
      <c r="I98" s="20" t="n">
        <v>254</v>
      </c>
      <c r="J98" s="20" t="n">
        <v>262</v>
      </c>
      <c r="K98" s="20" t="n">
        <v>248</v>
      </c>
      <c r="L98" s="20" t="n">
        <v>1358</v>
      </c>
    </row>
    <row r="99">
      <c r="A99" s="18" t="inlineStr">
        <is>
          <t>대손충당금</t>
        </is>
      </c>
      <c r="C99" s="20" t="n">
        <v>-15</v>
      </c>
      <c r="D99" s="20" t="n">
        <v>-15</v>
      </c>
      <c r="E99" s="20" t="n">
        <v>-15</v>
      </c>
      <c r="F99" s="20" t="n">
        <v>-15</v>
      </c>
      <c r="G99" s="20" t="n">
        <v>-15</v>
      </c>
      <c r="H99" s="20" t="n">
        <v>-16</v>
      </c>
      <c r="I99" s="20" t="n">
        <v>-16</v>
      </c>
      <c r="J99" s="20" t="n">
        <v>-17</v>
      </c>
      <c r="K99" s="20" t="n">
        <v>-20</v>
      </c>
      <c r="L99" s="20" t="n">
        <v>-15</v>
      </c>
    </row>
    <row r="100">
      <c r="A100" s="18" t="inlineStr">
        <is>
          <t>투자 및 기타자산 합계</t>
        </is>
      </c>
      <c r="C100" s="20" t="n">
        <v>7777</v>
      </c>
      <c r="D100" s="20" t="n">
        <v>6820</v>
      </c>
      <c r="E100" s="20" t="n">
        <v>6672</v>
      </c>
      <c r="F100" s="20" t="n">
        <v>7211</v>
      </c>
      <c r="G100" s="20" t="n">
        <v>7763</v>
      </c>
      <c r="H100" s="20" t="n">
        <v>6323</v>
      </c>
      <c r="I100" s="20" t="n">
        <v>6547</v>
      </c>
      <c r="J100" s="20" t="n">
        <v>9509</v>
      </c>
      <c r="K100" s="20" t="n">
        <v>7492</v>
      </c>
      <c r="L100" s="20" t="n">
        <v>6672</v>
      </c>
    </row>
    <row r="101">
      <c r="A101" s="9" t="inlineStr">
        <is>
          <t>비유동자산 합계</t>
        </is>
      </c>
      <c r="C101" s="12" t="n">
        <v>13738</v>
      </c>
      <c r="D101" s="12" t="n">
        <v>12938</v>
      </c>
      <c r="E101" s="12" t="n">
        <v>12712</v>
      </c>
      <c r="F101" s="12" t="n">
        <v>13208</v>
      </c>
      <c r="G101" s="12" t="n">
        <v>13875</v>
      </c>
      <c r="H101" s="12" t="n">
        <v>10870</v>
      </c>
      <c r="I101" s="12" t="n">
        <v>10963</v>
      </c>
      <c r="J101" s="12" t="n">
        <v>14611</v>
      </c>
      <c r="K101" s="12" t="n">
        <v>12754</v>
      </c>
      <c r="L101" s="12" t="n">
        <v>12712</v>
      </c>
    </row>
    <row r="102">
      <c r="A102" s="9" t="inlineStr">
        <is>
          <t>자산 합계</t>
        </is>
      </c>
      <c r="C102" s="12" t="n">
        <v>47656</v>
      </c>
      <c r="D102" s="12" t="n">
        <v>46788</v>
      </c>
      <c r="E102" s="12" t="n">
        <v>51282</v>
      </c>
      <c r="F102" s="12" t="n">
        <v>46830</v>
      </c>
      <c r="G102" s="12" t="n">
        <v>47416</v>
      </c>
      <c r="H102" s="12" t="n">
        <v>38141</v>
      </c>
      <c r="I102" s="12" t="n">
        <v>41178</v>
      </c>
      <c r="J102" s="12" t="n">
        <v>48863</v>
      </c>
      <c r="K102" s="12" t="n">
        <v>48736</v>
      </c>
      <c r="L102" s="12" t="n">
        <v>51282</v>
      </c>
    </row>
    <row r="103">
      <c r="A103" s="18" t="inlineStr">
        <is>
          <t>전자기록채무</t>
        </is>
      </c>
      <c r="C103" s="20" t="n">
        <v>992</v>
      </c>
      <c r="D103" s="20" t="n">
        <v>879</v>
      </c>
      <c r="E103" s="20" t="n">
        <v>877</v>
      </c>
      <c r="F103" s="20" t="n">
        <v>1085</v>
      </c>
      <c r="G103" s="20" t="n">
        <v>515</v>
      </c>
      <c r="H103" s="20" t="n">
        <v>1350</v>
      </c>
      <c r="I103" s="20" t="n">
        <v>1495</v>
      </c>
      <c r="J103" s="20" t="n">
        <v>1443</v>
      </c>
      <c r="K103" s="20" t="n">
        <v>899</v>
      </c>
      <c r="L103" s="20" t="n">
        <v>877</v>
      </c>
    </row>
    <row r="104">
      <c r="A104" s="18" t="inlineStr">
        <is>
          <t>매입채무</t>
        </is>
      </c>
      <c r="C104" s="20" t="n">
        <v>5640</v>
      </c>
      <c r="D104" s="20" t="n">
        <v>4480</v>
      </c>
      <c r="E104" s="20" t="n">
        <v>6887</v>
      </c>
      <c r="F104" s="20" t="n">
        <v>4103</v>
      </c>
      <c r="G104" s="20" t="n">
        <v>5193</v>
      </c>
      <c r="H104" s="20" t="n">
        <v>5903</v>
      </c>
      <c r="I104" s="20" t="n">
        <v>7860</v>
      </c>
      <c r="J104" s="20" t="n">
        <v>6791</v>
      </c>
      <c r="K104" s="20" t="n">
        <v>7441</v>
      </c>
      <c r="L104" s="20" t="n">
        <v>6887</v>
      </c>
    </row>
    <row r="105">
      <c r="A105" s="18" t="inlineStr">
        <is>
          <t>단기차입금</t>
        </is>
      </c>
      <c r="C105" s="20" t="n">
        <v>2548</v>
      </c>
      <c r="D105" s="20" t="n">
        <v>2466</v>
      </c>
      <c r="E105" s="20" t="n">
        <v>1921</v>
      </c>
      <c r="F105" s="20" t="n">
        <v>2392</v>
      </c>
      <c r="G105" s="20" t="n">
        <v>2077</v>
      </c>
      <c r="H105" s="20" t="n">
        <v>2800</v>
      </c>
      <c r="I105" s="20" t="n">
        <v>2800</v>
      </c>
      <c r="J105" s="20" t="n">
        <v>6100</v>
      </c>
      <c r="K105" s="20" t="n">
        <v>2569</v>
      </c>
      <c r="L105" s="20" t="n">
        <v>1921</v>
      </c>
    </row>
    <row r="106">
      <c r="A106" s="18" t="inlineStr">
        <is>
          <t>미지급법인세</t>
        </is>
      </c>
      <c r="E106" s="20" t="n">
        <v>1452</v>
      </c>
      <c r="H106" s="20" t="n">
        <v>310</v>
      </c>
      <c r="I106" s="20" t="n">
        <v>295</v>
      </c>
      <c r="J106" s="20" t="n">
        <v>810</v>
      </c>
      <c r="K106" s="20" t="n">
        <v>750</v>
      </c>
      <c r="L106" s="20" t="n">
        <v>1452</v>
      </c>
    </row>
    <row r="107">
      <c r="A107" s="18" t="inlineStr">
        <is>
          <t>계약부채</t>
        </is>
      </c>
      <c r="E107" s="20" t="n">
        <v>2624</v>
      </c>
      <c r="H107" s="20" t="n">
        <v>940</v>
      </c>
      <c r="I107" s="20" t="n">
        <v>730</v>
      </c>
      <c r="J107" s="20" t="n">
        <v>1255</v>
      </c>
      <c r="K107" s="20" t="n">
        <v>1889</v>
      </c>
      <c r="L107" s="20" t="n">
        <v>2624</v>
      </c>
    </row>
    <row r="108">
      <c r="A108" s="18" t="inlineStr">
        <is>
          <t>미성공사 선수금</t>
        </is>
      </c>
      <c r="H108" s="20" t="n">
        <v>0</v>
      </c>
    </row>
    <row r="109">
      <c r="A109" s="18" t="inlineStr">
        <is>
          <t>상여충당금</t>
        </is>
      </c>
      <c r="E109" s="20" t="n">
        <v>163</v>
      </c>
      <c r="H109" s="20" t="n">
        <v>193</v>
      </c>
      <c r="I109" s="20" t="n">
        <v>77</v>
      </c>
      <c r="J109" s="20" t="n">
        <v>116</v>
      </c>
      <c r="K109" s="20" t="n">
        <v>166</v>
      </c>
      <c r="L109" s="20" t="n">
        <v>163</v>
      </c>
    </row>
    <row r="110">
      <c r="A110" s="18" t="inlineStr">
        <is>
          <t>공사손실충당금</t>
        </is>
      </c>
      <c r="E110" s="20" t="n">
        <v>0</v>
      </c>
      <c r="H110" s="20" t="n">
        <v>2</v>
      </c>
      <c r="I110" s="20" t="n">
        <v>0</v>
      </c>
      <c r="J110" s="20" t="n">
        <v>0</v>
      </c>
      <c r="K110" s="20" t="n">
        <v>0</v>
      </c>
      <c r="L110" s="20" t="n">
        <v>0</v>
      </c>
    </row>
    <row r="111">
      <c r="A111" s="18" t="inlineStr">
        <is>
          <t>완성공사 보증 충당금</t>
        </is>
      </c>
      <c r="E111" s="20" t="n">
        <v>118</v>
      </c>
      <c r="K111" s="20" t="n">
        <v>0</v>
      </c>
      <c r="L111" s="20" t="n">
        <v>118</v>
      </c>
    </row>
    <row r="112">
      <c r="A112" s="18" t="inlineStr">
        <is>
          <t>충당금</t>
        </is>
      </c>
      <c r="C112" s="20" t="n">
        <v>415</v>
      </c>
      <c r="D112" s="20" t="n">
        <v>456</v>
      </c>
      <c r="E112" s="20" t="n">
        <v>281</v>
      </c>
      <c r="F112" s="20" t="n">
        <v>114</v>
      </c>
      <c r="G112" s="20" t="n">
        <v>526</v>
      </c>
      <c r="H112" s="20" t="n">
        <v>195</v>
      </c>
      <c r="I112" s="20" t="n">
        <v>77</v>
      </c>
      <c r="J112" s="20" t="n">
        <v>117</v>
      </c>
      <c r="K112" s="20" t="n">
        <v>166</v>
      </c>
      <c r="L112" s="20" t="n">
        <v>281</v>
      </c>
    </row>
    <row r="113">
      <c r="A113" s="18" t="inlineStr">
        <is>
          <t>기타</t>
        </is>
      </c>
      <c r="C113" s="20" t="n">
        <v>4799</v>
      </c>
      <c r="D113" s="20" t="n">
        <v>4782</v>
      </c>
      <c r="E113" s="20" t="n">
        <v>5475</v>
      </c>
      <c r="F113" s="20" t="n">
        <v>5252</v>
      </c>
      <c r="G113" s="20" t="n">
        <v>4207</v>
      </c>
      <c r="H113" s="20" t="n">
        <v>949</v>
      </c>
      <c r="I113" s="20" t="n">
        <v>1279</v>
      </c>
      <c r="J113" s="20" t="n">
        <v>999</v>
      </c>
      <c r="K113" s="20" t="n">
        <v>1516</v>
      </c>
      <c r="L113" s="20" t="n">
        <v>5475</v>
      </c>
    </row>
    <row r="114">
      <c r="A114" s="9" t="inlineStr">
        <is>
          <t>유동부채 합계</t>
        </is>
      </c>
      <c r="C114" s="12" t="n">
        <v>14396</v>
      </c>
      <c r="D114" s="12" t="n">
        <v>13064</v>
      </c>
      <c r="E114" s="12" t="n">
        <v>15442</v>
      </c>
      <c r="F114" s="12" t="n">
        <v>12948</v>
      </c>
      <c r="G114" s="12" t="n">
        <v>12519</v>
      </c>
      <c r="H114" s="12" t="n">
        <v>12449</v>
      </c>
      <c r="I114" s="12" t="n">
        <v>14538</v>
      </c>
      <c r="J114" s="12" t="n">
        <v>17517</v>
      </c>
      <c r="K114" s="12" t="n">
        <v>15233</v>
      </c>
      <c r="L114" s="12" t="n">
        <v>15442</v>
      </c>
    </row>
    <row r="115">
      <c r="A115" s="18" t="inlineStr">
        <is>
          <t>장기차입금</t>
        </is>
      </c>
      <c r="C115" s="20" t="n">
        <v>2692</v>
      </c>
      <c r="D115" s="20" t="n">
        <v>2608</v>
      </c>
      <c r="E115" s="20" t="n">
        <v>2524</v>
      </c>
      <c r="F115" s="20" t="n">
        <v>2444</v>
      </c>
      <c r="G115" s="20" t="n">
        <v>2376</v>
      </c>
      <c r="H115" s="20" t="n">
        <v>1188</v>
      </c>
      <c r="I115" s="20" t="n">
        <v>1188</v>
      </c>
      <c r="J115" s="20" t="n">
        <v>1188</v>
      </c>
      <c r="K115" s="20" t="n">
        <v>2938</v>
      </c>
      <c r="L115" s="20" t="n">
        <v>2524</v>
      </c>
    </row>
    <row r="116">
      <c r="A116" s="18" t="inlineStr">
        <is>
          <t>이연법인세부채</t>
        </is>
      </c>
      <c r="E116" s="20" t="n">
        <v>1329</v>
      </c>
      <c r="H116" s="20" t="n">
        <v>1057</v>
      </c>
      <c r="I116" s="20" t="n">
        <v>1142</v>
      </c>
      <c r="J116" s="20" t="n">
        <v>2126</v>
      </c>
      <c r="K116" s="20" t="n">
        <v>1600</v>
      </c>
      <c r="L116" s="20" t="n">
        <v>1329</v>
      </c>
    </row>
    <row r="117">
      <c r="A117" s="18" t="inlineStr">
        <is>
          <t>퇴직급여부채</t>
        </is>
      </c>
      <c r="C117" s="20" t="n">
        <v>153</v>
      </c>
      <c r="D117" s="20" t="n">
        <v>175</v>
      </c>
      <c r="E117" s="20" t="n">
        <v>186</v>
      </c>
      <c r="F117" s="20" t="n">
        <v>192</v>
      </c>
      <c r="G117" s="20" t="n">
        <v>198</v>
      </c>
      <c r="H117" s="20" t="n">
        <v>122</v>
      </c>
      <c r="I117" s="20" t="n">
        <v>127</v>
      </c>
      <c r="J117" s="20" t="n">
        <v>154</v>
      </c>
      <c r="K117" s="20" t="n">
        <v>141</v>
      </c>
      <c r="L117" s="20" t="n">
        <v>186</v>
      </c>
    </row>
    <row r="118">
      <c r="A118" s="18" t="inlineStr">
        <is>
          <t>충당금</t>
        </is>
      </c>
      <c r="E118" s="20" t="n">
        <v>0</v>
      </c>
      <c r="G118" s="20" t="n">
        <v>350</v>
      </c>
      <c r="L118" s="20" t="n">
        <v>0</v>
      </c>
    </row>
    <row r="119">
      <c r="A119" s="18" t="inlineStr">
        <is>
          <t>기타</t>
        </is>
      </c>
      <c r="C119" s="20" t="n">
        <v>2081</v>
      </c>
      <c r="D119" s="20" t="n">
        <v>1798</v>
      </c>
      <c r="E119" s="20" t="n">
        <v>1647</v>
      </c>
      <c r="F119" s="20" t="n">
        <v>1831</v>
      </c>
      <c r="G119" s="20" t="n">
        <v>1943</v>
      </c>
      <c r="H119" s="20" t="n">
        <v>112</v>
      </c>
      <c r="I119" s="20" t="n">
        <v>139</v>
      </c>
      <c r="J119" s="20" t="n">
        <v>107</v>
      </c>
      <c r="K119" s="20" t="n">
        <v>213</v>
      </c>
      <c r="L119" s="20" t="n">
        <v>1647</v>
      </c>
    </row>
    <row r="120">
      <c r="A120" s="9" t="inlineStr">
        <is>
          <t>비유동부채 합계</t>
        </is>
      </c>
      <c r="C120" s="12" t="n">
        <v>4926</v>
      </c>
      <c r="D120" s="12" t="n">
        <v>4581</v>
      </c>
      <c r="E120" s="12" t="n">
        <v>4358</v>
      </c>
      <c r="F120" s="12" t="n">
        <v>4468</v>
      </c>
      <c r="G120" s="12" t="n">
        <v>4867</v>
      </c>
      <c r="H120" s="12" t="n">
        <v>2480</v>
      </c>
      <c r="I120" s="12" t="n">
        <v>2598</v>
      </c>
      <c r="J120" s="12" t="n">
        <v>3577</v>
      </c>
      <c r="K120" s="12" t="n">
        <v>4893</v>
      </c>
      <c r="L120" s="12" t="n">
        <v>4358</v>
      </c>
    </row>
    <row r="121">
      <c r="A121" s="9" t="inlineStr">
        <is>
          <t>부채 합계</t>
        </is>
      </c>
      <c r="C121" s="12" t="n">
        <v>19322</v>
      </c>
      <c r="D121" s="12" t="n">
        <v>17646</v>
      </c>
      <c r="E121" s="12" t="n">
        <v>19800</v>
      </c>
      <c r="F121" s="12" t="n">
        <v>17416</v>
      </c>
      <c r="G121" s="12" t="n">
        <v>17387</v>
      </c>
      <c r="H121" s="12" t="n">
        <v>14929</v>
      </c>
      <c r="I121" s="12" t="n">
        <v>17136</v>
      </c>
      <c r="J121" s="12" t="n">
        <v>21094</v>
      </c>
      <c r="K121" s="12" t="n">
        <v>20127</v>
      </c>
      <c r="L121" s="12" t="n">
        <v>19800</v>
      </c>
    </row>
    <row r="122">
      <c r="A122" s="18" t="inlineStr">
        <is>
          <t>자본금</t>
        </is>
      </c>
      <c r="C122" s="20" t="n">
        <v>6176</v>
      </c>
      <c r="D122" s="20" t="n">
        <v>6176</v>
      </c>
      <c r="E122" s="20" t="n">
        <v>6176</v>
      </c>
      <c r="F122" s="20" t="n">
        <v>6176</v>
      </c>
      <c r="G122" s="20" t="n">
        <v>6176</v>
      </c>
      <c r="H122" s="20" t="n">
        <v>6176</v>
      </c>
      <c r="I122" s="20" t="n">
        <v>6176</v>
      </c>
      <c r="J122" s="20" t="n">
        <v>6176</v>
      </c>
      <c r="K122" s="20" t="n">
        <v>6176</v>
      </c>
      <c r="L122" s="20" t="n">
        <v>6176</v>
      </c>
    </row>
    <row r="123">
      <c r="A123" s="18" t="inlineStr">
        <is>
          <t>자본잉여금</t>
        </is>
      </c>
      <c r="C123" s="20" t="n">
        <v>1544</v>
      </c>
      <c r="D123" s="20" t="n">
        <v>1544</v>
      </c>
      <c r="E123" s="20" t="n">
        <v>1544</v>
      </c>
      <c r="F123" s="20" t="n">
        <v>1544</v>
      </c>
      <c r="G123" s="20" t="n">
        <v>1544</v>
      </c>
      <c r="H123" s="20" t="n">
        <v>1544</v>
      </c>
      <c r="I123" s="20" t="n">
        <v>1544</v>
      </c>
      <c r="J123" s="20" t="n">
        <v>1544</v>
      </c>
      <c r="K123" s="20" t="n">
        <v>1544</v>
      </c>
      <c r="L123" s="20" t="n">
        <v>1544</v>
      </c>
    </row>
    <row r="124">
      <c r="A124" s="18" t="inlineStr">
        <is>
          <t>이익잉여금</t>
        </is>
      </c>
      <c r="C124" s="20" t="n">
        <v>17799</v>
      </c>
      <c r="D124" s="20" t="n">
        <v>19077</v>
      </c>
      <c r="E124" s="20" t="n">
        <v>21412</v>
      </c>
      <c r="F124" s="20" t="n">
        <v>20136</v>
      </c>
      <c r="G124" s="20" t="n">
        <v>20496</v>
      </c>
      <c r="H124" s="20" t="n">
        <v>13081</v>
      </c>
      <c r="I124" s="20" t="n">
        <v>13775</v>
      </c>
      <c r="J124" s="20" t="n">
        <v>15441</v>
      </c>
      <c r="K124" s="20" t="n">
        <v>17845</v>
      </c>
      <c r="L124" s="20" t="n">
        <v>21412</v>
      </c>
    </row>
    <row r="125">
      <c r="A125" s="18" t="inlineStr">
        <is>
          <t>자기주식</t>
        </is>
      </c>
      <c r="C125" s="20" t="n">
        <v>-1425</v>
      </c>
      <c r="D125" s="20" t="n">
        <v>-1425</v>
      </c>
      <c r="E125" s="20" t="n">
        <v>-1426</v>
      </c>
      <c r="F125" s="20" t="n">
        <v>-2566</v>
      </c>
      <c r="G125" s="20" t="n">
        <v>-2566</v>
      </c>
      <c r="H125" s="20" t="n">
        <v>-256</v>
      </c>
      <c r="I125" s="20" t="n">
        <v>-408</v>
      </c>
      <c r="J125" s="20" t="n">
        <v>-711</v>
      </c>
      <c r="K125" s="20" t="n">
        <v>-1023</v>
      </c>
      <c r="L125" s="20" t="n">
        <v>-1426</v>
      </c>
    </row>
    <row r="126">
      <c r="A126" s="9" t="inlineStr">
        <is>
          <t>주주자본 합계</t>
        </is>
      </c>
      <c r="C126" s="12" t="n">
        <v>24095</v>
      </c>
      <c r="D126" s="12" t="n">
        <v>25373</v>
      </c>
      <c r="E126" s="12" t="n">
        <v>27707</v>
      </c>
      <c r="F126" s="12" t="n">
        <v>25291</v>
      </c>
      <c r="G126" s="12" t="n">
        <v>25651</v>
      </c>
      <c r="H126" s="12" t="n">
        <v>20545</v>
      </c>
      <c r="I126" s="12" t="n">
        <v>21087</v>
      </c>
      <c r="J126" s="12" t="n">
        <v>22451</v>
      </c>
      <c r="K126" s="12" t="n">
        <v>24542</v>
      </c>
      <c r="L126" s="12" t="n">
        <v>27707</v>
      </c>
    </row>
    <row r="127">
      <c r="A127" s="18" t="inlineStr">
        <is>
          <t>기타유가증권 평가차액</t>
        </is>
      </c>
      <c r="C127" s="20" t="n">
        <v>3611</v>
      </c>
      <c r="D127" s="20" t="n">
        <v>3029</v>
      </c>
      <c r="E127" s="20" t="n">
        <v>2787</v>
      </c>
      <c r="F127" s="20" t="n">
        <v>3146</v>
      </c>
      <c r="G127" s="20" t="n">
        <v>3512</v>
      </c>
      <c r="H127" s="20" t="n">
        <v>2384</v>
      </c>
      <c r="I127" s="20" t="n">
        <v>2664</v>
      </c>
      <c r="J127" s="20" t="n">
        <v>4676</v>
      </c>
      <c r="K127" s="20" t="n">
        <v>3350</v>
      </c>
      <c r="L127" s="20" t="n">
        <v>2787</v>
      </c>
    </row>
    <row r="128">
      <c r="A128" s="18" t="inlineStr">
        <is>
          <t>이연헤지손익</t>
        </is>
      </c>
      <c r="C128" s="20" t="n">
        <v>22</v>
      </c>
      <c r="D128" s="20" t="n">
        <v>78</v>
      </c>
      <c r="E128" s="20" t="n">
        <v>81</v>
      </c>
      <c r="F128" s="20" t="n">
        <v>105</v>
      </c>
      <c r="G128" s="20" t="n">
        <v>16</v>
      </c>
      <c r="H128" s="20" t="n">
        <v>8</v>
      </c>
      <c r="I128" s="20" t="n">
        <v>1</v>
      </c>
      <c r="J128" s="20" t="n">
        <v>31</v>
      </c>
      <c r="K128" s="20" t="n">
        <v>7</v>
      </c>
      <c r="L128" s="20" t="n">
        <v>81</v>
      </c>
    </row>
    <row r="129">
      <c r="A129" s="18" t="inlineStr">
        <is>
          <t>해외사업환산조정</t>
        </is>
      </c>
      <c r="C129" s="20" t="n">
        <v>196</v>
      </c>
      <c r="D129" s="20" t="n">
        <v>211</v>
      </c>
      <c r="E129" s="20" t="n">
        <v>262</v>
      </c>
      <c r="F129" s="20" t="n">
        <v>263</v>
      </c>
      <c r="G129" s="20" t="n">
        <v>275</v>
      </c>
      <c r="H129" s="20" t="n">
        <v>79</v>
      </c>
      <c r="I129" s="20" t="n">
        <v>125</v>
      </c>
      <c r="J129" s="20" t="n">
        <v>181</v>
      </c>
      <c r="K129" s="20" t="n">
        <v>217</v>
      </c>
      <c r="L129" s="20" t="n">
        <v>262</v>
      </c>
    </row>
    <row r="130">
      <c r="A130" s="18" t="inlineStr">
        <is>
          <t>퇴직급여 조정누계액</t>
        </is>
      </c>
      <c r="C130" s="20" t="n">
        <v>191</v>
      </c>
      <c r="D130" s="20" t="n">
        <v>181</v>
      </c>
      <c r="E130" s="20" t="n">
        <v>361</v>
      </c>
      <c r="F130" s="20" t="n">
        <v>352</v>
      </c>
      <c r="G130" s="20" t="n">
        <v>344</v>
      </c>
      <c r="H130" s="20" t="n">
        <v>50</v>
      </c>
      <c r="I130" s="20" t="n">
        <v>-18</v>
      </c>
      <c r="J130" s="20" t="n">
        <v>228</v>
      </c>
      <c r="K130" s="20" t="n">
        <v>209</v>
      </c>
      <c r="L130" s="20" t="n">
        <v>361</v>
      </c>
    </row>
    <row r="131">
      <c r="A131" s="18" t="inlineStr">
        <is>
          <t>기타포괄손익누계액 합계</t>
        </is>
      </c>
      <c r="C131" s="20" t="n">
        <v>4021</v>
      </c>
      <c r="D131" s="20" t="n">
        <v>3501</v>
      </c>
      <c r="E131" s="20" t="n">
        <v>3493</v>
      </c>
      <c r="F131" s="20" t="n">
        <v>3867</v>
      </c>
      <c r="G131" s="20" t="n">
        <v>4149</v>
      </c>
      <c r="H131" s="20" t="n">
        <v>2522</v>
      </c>
      <c r="I131" s="20" t="n">
        <v>2772</v>
      </c>
      <c r="J131" s="20" t="n">
        <v>5119</v>
      </c>
      <c r="K131" s="20" t="n">
        <v>3785</v>
      </c>
      <c r="L131" s="20" t="n">
        <v>3493</v>
      </c>
    </row>
    <row r="132">
      <c r="A132" s="18" t="inlineStr">
        <is>
          <t>비지배지분</t>
        </is>
      </c>
      <c r="C132" s="20" t="n">
        <v>216</v>
      </c>
      <c r="D132" s="20" t="n">
        <v>267</v>
      </c>
      <c r="E132" s="20" t="n">
        <v>280</v>
      </c>
      <c r="F132" s="20" t="n">
        <v>255</v>
      </c>
      <c r="G132" s="20" t="n">
        <v>228</v>
      </c>
      <c r="H132" s="20" t="n">
        <v>143</v>
      </c>
      <c r="I132" s="20" t="n">
        <v>181</v>
      </c>
      <c r="J132" s="20" t="n">
        <v>198</v>
      </c>
      <c r="K132" s="20" t="n">
        <v>280</v>
      </c>
      <c r="L132" s="20" t="n">
        <v>280</v>
      </c>
    </row>
    <row r="133">
      <c r="A133" s="9" t="inlineStr">
        <is>
          <t>순자산 합계</t>
        </is>
      </c>
      <c r="C133" s="12" t="n">
        <v>28333</v>
      </c>
      <c r="D133" s="12" t="n">
        <v>29142</v>
      </c>
      <c r="E133" s="12" t="n">
        <v>31481</v>
      </c>
      <c r="F133" s="12" t="n">
        <v>29414</v>
      </c>
      <c r="G133" s="12" t="n">
        <v>30028</v>
      </c>
      <c r="H133" s="12" t="n">
        <v>23211</v>
      </c>
      <c r="I133" s="12" t="n">
        <v>24041</v>
      </c>
      <c r="J133" s="12" t="n">
        <v>27768</v>
      </c>
      <c r="K133" s="12" t="n">
        <v>28609</v>
      </c>
      <c r="L133" s="12" t="n">
        <v>31481</v>
      </c>
    </row>
    <row r="134">
      <c r="A134" s="9" t="inlineStr">
        <is>
          <t>부채·순자산 합계</t>
        </is>
      </c>
      <c r="C134" s="12" t="n">
        <v>47656</v>
      </c>
      <c r="D134" s="12" t="n">
        <v>46788</v>
      </c>
      <c r="E134" s="12" t="n">
        <v>51282</v>
      </c>
      <c r="F134" s="12" t="n">
        <v>46830</v>
      </c>
      <c r="G134" s="12" t="n">
        <v>47416</v>
      </c>
      <c r="H134" s="12" t="n">
        <v>38141</v>
      </c>
      <c r="I134" s="12" t="n">
        <v>41178</v>
      </c>
      <c r="J134" s="12" t="n">
        <v>48863</v>
      </c>
      <c r="K134" s="12" t="n">
        <v>48736</v>
      </c>
      <c r="L134" s="12" t="n">
        <v>51282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44" customWidth="1" min="11" max="11"/>
  </cols>
  <sheetData>
    <row r="1">
      <c r="A1" s="50" t="inlineStr">
        <is>
          <t>1964 섹터·사업 데이터</t>
        </is>
      </c>
    </row>
    <row r="2">
      <c r="A2" s="51" t="inlineStr">
        <is>
          <t>2단계 보고서를 만들 때 모은 자료 · 월차 · 출처는 맨 오른쪽</t>
        </is>
      </c>
    </row>
    <row r="4">
      <c r="A4" s="52" t="inlineStr">
        <is>
          <t>this quarter · q alone</t>
        </is>
      </c>
      <c r="B4" s="52" t="n"/>
      <c r="C4" s="52" t="n"/>
      <c r="D4" s="52" t="n"/>
      <c r="E4" s="52" t="n"/>
      <c r="F4" s="52" t="n"/>
      <c r="G4" s="52" t="n"/>
      <c r="H4" s="52" t="n"/>
      <c r="I4" s="52" t="n"/>
      <c r="J4" s="52" t="n"/>
      <c r="K4" s="52" t="n"/>
    </row>
    <row r="5">
      <c r="A5" s="53" t="inlineStr">
        <is>
          <t>항목</t>
        </is>
      </c>
      <c r="B5" s="53" t="inlineStr">
        <is>
          <t>값</t>
        </is>
      </c>
      <c r="K5" s="53" t="inlineStr">
        <is>
          <t>출처</t>
        </is>
      </c>
    </row>
    <row r="6">
      <c r="A6" s="54" t="inlineStr">
        <is>
          <t>매출</t>
        </is>
      </c>
      <c r="B6" s="55" t="n">
        <v>99.40000000000001</v>
      </c>
      <c r="K6" s="56" t="inlineStr">
        <is>
          <t>2단계 보고서 자료(회사 설명회 자료·공시)</t>
        </is>
      </c>
    </row>
    <row r="7">
      <c r="A7" s="54" t="inlineStr">
        <is>
          <t>gp</t>
        </is>
      </c>
      <c r="B7" s="55" t="n">
        <v>21.8</v>
      </c>
    </row>
    <row r="8">
      <c r="A8" s="54" t="inlineStr">
        <is>
          <t>sga</t>
        </is>
      </c>
      <c r="B8" s="55" t="n">
        <v>13.3</v>
      </c>
    </row>
    <row r="9">
      <c r="A9" s="54" t="inlineStr">
        <is>
          <t>영업이익</t>
        </is>
      </c>
      <c r="B9" s="55" t="n">
        <v>8.5</v>
      </c>
    </row>
    <row r="10">
      <c r="A10" s="54" t="inlineStr">
        <is>
          <t>pbt</t>
        </is>
      </c>
      <c r="B10" s="55" t="n">
        <v>5.1</v>
      </c>
    </row>
    <row r="11">
      <c r="A11" s="54" t="inlineStr">
        <is>
          <t>순이익 owner</t>
        </is>
      </c>
      <c r="B11" s="55" t="n">
        <v>3.6</v>
      </c>
    </row>
    <row r="13">
      <c r="A13" s="52" t="inlineStr">
        <is>
          <t>this quarter · 상반기</t>
        </is>
      </c>
      <c r="B13" s="52" t="n"/>
      <c r="C13" s="52" t="n"/>
      <c r="D13" s="52" t="n"/>
      <c r="E13" s="52" t="n"/>
      <c r="F13" s="52" t="n"/>
      <c r="G13" s="52" t="n"/>
      <c r="H13" s="52" t="n"/>
      <c r="I13" s="52" t="n"/>
      <c r="J13" s="52" t="n"/>
      <c r="K13" s="52" t="n"/>
    </row>
    <row r="14">
      <c r="A14" s="53" t="inlineStr">
        <is>
          <t>항목</t>
        </is>
      </c>
      <c r="B14" s="53" t="inlineStr">
        <is>
          <t>값</t>
        </is>
      </c>
      <c r="K14" s="53" t="inlineStr">
        <is>
          <t>출처</t>
        </is>
      </c>
    </row>
    <row r="15">
      <c r="A15" s="54" t="inlineStr">
        <is>
          <t>매출</t>
        </is>
      </c>
      <c r="B15" s="55" t="n">
        <v>160.55</v>
      </c>
      <c r="K15" s="56" t="inlineStr">
        <is>
          <t>2단계 보고서 자료(회사 설명회 자료·공시)</t>
        </is>
      </c>
    </row>
    <row r="16">
      <c r="A16" s="54" t="inlineStr">
        <is>
          <t>gp</t>
        </is>
      </c>
      <c r="B16" s="55" t="n">
        <v>32.85</v>
      </c>
    </row>
    <row r="17">
      <c r="A17" s="54" t="inlineStr">
        <is>
          <t>sga</t>
        </is>
      </c>
      <c r="B17" s="55" t="n">
        <v>26.47</v>
      </c>
    </row>
    <row r="18">
      <c r="A18" s="54" t="inlineStr">
        <is>
          <t>영업이익</t>
        </is>
      </c>
      <c r="B18" s="55" t="n">
        <v>6.37</v>
      </c>
    </row>
    <row r="19">
      <c r="A19" s="54" t="inlineStr">
        <is>
          <t>영업이익 직전</t>
        </is>
      </c>
      <c r="B19" s="55" t="n">
        <v>1.63</v>
      </c>
    </row>
    <row r="20">
      <c r="A20" s="54" t="inlineStr">
        <is>
          <t>ordinary</t>
        </is>
      </c>
      <c r="B20" s="55" t="n">
        <v>7.51</v>
      </c>
    </row>
    <row r="21">
      <c r="A21" s="54" t="inlineStr">
        <is>
          <t>ordinary 직전</t>
        </is>
      </c>
      <c r="B21" s="55" t="n">
        <v>2.61</v>
      </c>
    </row>
    <row r="22">
      <c r="A22" s="54" t="inlineStr">
        <is>
          <t>순이익 owner</t>
        </is>
      </c>
      <c r="B22" s="55" t="n">
        <v>2.85</v>
      </c>
    </row>
    <row r="23">
      <c r="A23" s="54" t="inlineStr">
        <is>
          <t>순이익 직전</t>
        </is>
      </c>
      <c r="B23" s="55" t="n">
        <v>10.55</v>
      </c>
    </row>
    <row r="24">
      <c r="A24" s="54" t="inlineStr">
        <is>
          <t>EPS</t>
        </is>
      </c>
      <c r="B24" s="55" t="n">
        <v>40.5</v>
      </c>
    </row>
    <row r="26">
      <c r="A26" s="52" t="inlineStr">
        <is>
          <t>가이던스 FY2027 · initial 2026-04-28</t>
        </is>
      </c>
      <c r="B26" s="52" t="n"/>
      <c r="C26" s="52" t="n"/>
      <c r="D26" s="52" t="n"/>
      <c r="E26" s="52" t="n"/>
      <c r="F26" s="52" t="n"/>
      <c r="G26" s="52" t="n"/>
      <c r="H26" s="52" t="n"/>
      <c r="I26" s="52" t="n"/>
      <c r="J26" s="52" t="n"/>
      <c r="K26" s="52" t="n"/>
    </row>
    <row r="27">
      <c r="A27" s="53" t="inlineStr">
        <is>
          <t>항목</t>
        </is>
      </c>
      <c r="B27" s="53" t="inlineStr">
        <is>
          <t>값</t>
        </is>
      </c>
      <c r="K27" s="53" t="inlineStr">
        <is>
          <t>출처</t>
        </is>
      </c>
    </row>
    <row r="28">
      <c r="A28" s="54" t="inlineStr">
        <is>
          <t>수주</t>
        </is>
      </c>
      <c r="B28" s="57" t="n">
        <v>387</v>
      </c>
      <c r="K28" s="56" t="inlineStr">
        <is>
          <t>2단계 보고서 자료(회사 설명회 자료·공시)</t>
        </is>
      </c>
    </row>
    <row r="29">
      <c r="A29" s="54" t="inlineStr">
        <is>
          <t>매출</t>
        </is>
      </c>
      <c r="B29" s="57" t="n">
        <v>403</v>
      </c>
    </row>
    <row r="30">
      <c r="A30" s="54" t="inlineStr">
        <is>
          <t>영업이익</t>
        </is>
      </c>
      <c r="B30" s="55" t="n">
        <v>36.2</v>
      </c>
    </row>
    <row r="31">
      <c r="A31" s="54" t="inlineStr">
        <is>
          <t>ordinary</t>
        </is>
      </c>
      <c r="B31" s="55" t="n">
        <v>37.2</v>
      </c>
    </row>
    <row r="32">
      <c r="A32" s="54" t="inlineStr">
        <is>
          <t>순이익</t>
        </is>
      </c>
      <c r="B32" s="55" t="n">
        <v>25.16</v>
      </c>
    </row>
    <row r="33">
      <c r="A33" s="54" t="inlineStr">
        <is>
          <t>EPS</t>
        </is>
      </c>
      <c r="B33" s="55" t="n">
        <v>361.31</v>
      </c>
    </row>
    <row r="34">
      <c r="A34" s="54" t="inlineStr">
        <is>
          <t>dps</t>
        </is>
      </c>
      <c r="B34" s="57" t="n">
        <v>180</v>
      </c>
    </row>
    <row r="36">
      <c r="A36" s="52" t="inlineStr">
        <is>
          <t>가이던스 FY2027 · revised 2026-10-30</t>
        </is>
      </c>
      <c r="B36" s="52" t="n"/>
      <c r="C36" s="52" t="n"/>
      <c r="D36" s="52" t="n"/>
      <c r="E36" s="52" t="n"/>
      <c r="F36" s="52" t="n"/>
      <c r="G36" s="52" t="n"/>
      <c r="H36" s="52" t="n"/>
      <c r="I36" s="52" t="n"/>
      <c r="J36" s="52" t="n"/>
      <c r="K36" s="52" t="n"/>
    </row>
    <row r="37">
      <c r="A37" s="53" t="inlineStr">
        <is>
          <t>항목</t>
        </is>
      </c>
      <c r="B37" s="53" t="inlineStr">
        <is>
          <t>값</t>
        </is>
      </c>
      <c r="K37" s="53" t="inlineStr">
        <is>
          <t>출처</t>
        </is>
      </c>
    </row>
    <row r="38">
      <c r="A38" s="54" t="inlineStr">
        <is>
          <t>수주</t>
        </is>
      </c>
      <c r="B38" s="57" t="n">
        <v>405</v>
      </c>
      <c r="K38" s="56" t="inlineStr">
        <is>
          <t>2단계 보고서 자료(회사 설명회 자료·공시)</t>
        </is>
      </c>
    </row>
    <row r="39">
      <c r="A39" s="54" t="inlineStr">
        <is>
          <t>매출</t>
        </is>
      </c>
      <c r="B39" s="57" t="n">
        <v>403</v>
      </c>
    </row>
    <row r="40">
      <c r="A40" s="54" t="inlineStr">
        <is>
          <t>영업이익</t>
        </is>
      </c>
      <c r="B40" s="55" t="n">
        <v>36.2</v>
      </c>
    </row>
    <row r="41">
      <c r="A41" s="54" t="inlineStr">
        <is>
          <t>ordinary</t>
        </is>
      </c>
      <c r="B41" s="55" t="n">
        <v>37.2</v>
      </c>
    </row>
    <row r="42">
      <c r="A42" s="54" t="inlineStr">
        <is>
          <t>순이익</t>
        </is>
      </c>
      <c r="B42" s="55" t="n">
        <v>27.87</v>
      </c>
    </row>
    <row r="43">
      <c r="A43" s="54" t="inlineStr">
        <is>
          <t>EPS</t>
        </is>
      </c>
      <c r="B43" s="55" t="n">
        <v>396.96</v>
      </c>
    </row>
    <row r="44">
      <c r="A44" s="54" t="inlineStr">
        <is>
          <t>dps</t>
        </is>
      </c>
      <c r="B44" s="57" t="n">
        <v>180</v>
      </c>
    </row>
    <row r="46">
      <c r="A46" s="52" t="inlineStr">
        <is>
          <t>가이던스 FY2027 · implied 하반기</t>
        </is>
      </c>
      <c r="B46" s="52" t="n"/>
      <c r="C46" s="52" t="n"/>
      <c r="D46" s="52" t="n"/>
      <c r="E46" s="52" t="n"/>
      <c r="F46" s="52" t="n"/>
      <c r="G46" s="52" t="n"/>
      <c r="H46" s="52" t="n"/>
      <c r="I46" s="52" t="n"/>
      <c r="J46" s="52" t="n"/>
      <c r="K46" s="52" t="n"/>
    </row>
    <row r="47">
      <c r="A47" s="53" t="inlineStr">
        <is>
          <t>항목</t>
        </is>
      </c>
      <c r="B47" s="53" t="inlineStr">
        <is>
          <t>값</t>
        </is>
      </c>
      <c r="K47" s="53" t="inlineStr">
        <is>
          <t>출처</t>
        </is>
      </c>
    </row>
    <row r="48">
      <c r="A48" s="54" t="inlineStr">
        <is>
          <t>매출</t>
        </is>
      </c>
      <c r="B48" s="55" t="n">
        <v>242.45</v>
      </c>
      <c r="K48" s="56" t="inlineStr">
        <is>
          <t>2단계 보고서 자료(회사 설명회 자료·공시)</t>
        </is>
      </c>
    </row>
    <row r="49">
      <c r="A49" s="54" t="inlineStr">
        <is>
          <t>영업이익</t>
        </is>
      </c>
      <c r="B49" s="55" t="n">
        <v>29.83</v>
      </c>
    </row>
    <row r="50">
      <c r="A50" s="54" t="inlineStr">
        <is>
          <t>ordinary</t>
        </is>
      </c>
      <c r="B50" s="55" t="n">
        <v>29.69</v>
      </c>
    </row>
    <row r="51">
      <c r="A51" s="54" t="inlineStr">
        <is>
          <t>순이익</t>
        </is>
      </c>
      <c r="B51" s="55" t="n">
        <v>25.02</v>
      </c>
    </row>
    <row r="53">
      <c r="A53" s="52" t="inlineStr">
        <is>
          <t>가이던스 FY2027 · prior FY2026 실적</t>
        </is>
      </c>
      <c r="B53" s="52" t="n"/>
      <c r="C53" s="52" t="n"/>
      <c r="D53" s="52" t="n"/>
      <c r="E53" s="52" t="n"/>
      <c r="F53" s="52" t="n"/>
      <c r="G53" s="52" t="n"/>
      <c r="H53" s="52" t="n"/>
      <c r="I53" s="52" t="n"/>
      <c r="J53" s="52" t="n"/>
      <c r="K53" s="52" t="n"/>
    </row>
    <row r="54">
      <c r="A54" s="53" t="inlineStr">
        <is>
          <t>항목</t>
        </is>
      </c>
      <c r="B54" s="53" t="inlineStr">
        <is>
          <t>값</t>
        </is>
      </c>
      <c r="K54" s="53" t="inlineStr">
        <is>
          <t>출처</t>
        </is>
      </c>
    </row>
    <row r="55">
      <c r="A55" s="54" t="inlineStr">
        <is>
          <t>수주</t>
        </is>
      </c>
      <c r="B55" s="57" t="n">
        <v>371</v>
      </c>
      <c r="K55" s="56" t="inlineStr">
        <is>
          <t>2단계 보고서 자료(회사 설명회 자료·공시)</t>
        </is>
      </c>
    </row>
    <row r="56">
      <c r="A56" s="54" t="inlineStr">
        <is>
          <t>매출</t>
        </is>
      </c>
      <c r="B56" s="55" t="n">
        <v>373.32</v>
      </c>
    </row>
    <row r="57">
      <c r="A57" s="54" t="inlineStr">
        <is>
          <t>영업이익</t>
        </is>
      </c>
      <c r="B57" s="55" t="n">
        <v>28.79</v>
      </c>
    </row>
    <row r="58">
      <c r="A58" s="54" t="inlineStr">
        <is>
          <t>ordinary</t>
        </is>
      </c>
      <c r="B58" s="55" t="n">
        <v>31.1</v>
      </c>
    </row>
    <row r="59">
      <c r="A59" s="54" t="inlineStr">
        <is>
          <t>순이익</t>
        </is>
      </c>
      <c r="B59" s="55" t="n">
        <v>46.68</v>
      </c>
    </row>
    <row r="60">
      <c r="A60" s="54" t="inlineStr">
        <is>
          <t>EPS</t>
        </is>
      </c>
      <c r="B60" s="55" t="n">
        <v>643.7</v>
      </c>
    </row>
    <row r="61">
      <c r="A61" s="54" t="inlineStr">
        <is>
          <t>dps</t>
        </is>
      </c>
      <c r="B61" s="57" t="n">
        <v>166</v>
      </c>
    </row>
    <row r="63">
      <c r="A63" s="52" t="inlineStr">
        <is>
          <t>annual 실적 vs initial · FY2022</t>
        </is>
      </c>
      <c r="B63" s="52" t="n"/>
      <c r="C63" s="52" t="n"/>
      <c r="D63" s="52" t="n"/>
      <c r="E63" s="52" t="n"/>
      <c r="F63" s="52" t="n"/>
      <c r="G63" s="52" t="n"/>
      <c r="H63" s="52" t="n"/>
      <c r="I63" s="52" t="n"/>
      <c r="J63" s="52" t="n"/>
      <c r="K63" s="52" t="n"/>
    </row>
    <row r="64">
      <c r="A64" s="53" t="inlineStr">
        <is>
          <t>항목</t>
        </is>
      </c>
      <c r="B64" s="53" t="inlineStr">
        <is>
          <t>값</t>
        </is>
      </c>
      <c r="K64" s="53" t="inlineStr">
        <is>
          <t>출처</t>
        </is>
      </c>
    </row>
    <row r="65">
      <c r="A65" s="54" t="inlineStr">
        <is>
          <t>init 영업이익</t>
        </is>
      </c>
      <c r="B65" s="55" t="n">
        <v>6</v>
      </c>
      <c r="K65" s="56" t="inlineStr">
        <is>
          <t>2단계 보고서 자료(회사 설명회 자료·공시)</t>
        </is>
      </c>
    </row>
    <row r="66">
      <c r="A66" s="54" t="inlineStr">
        <is>
          <t>영업이익</t>
        </is>
      </c>
      <c r="B66" s="55" t="n">
        <v>12.63</v>
      </c>
    </row>
    <row r="68">
      <c r="A68" s="52" t="inlineStr">
        <is>
          <t>annual 실적 vs initial · FY2023</t>
        </is>
      </c>
      <c r="B68" s="52" t="n"/>
      <c r="C68" s="52" t="n"/>
      <c r="D68" s="52" t="n"/>
      <c r="E68" s="52" t="n"/>
      <c r="F68" s="52" t="n"/>
      <c r="G68" s="52" t="n"/>
      <c r="H68" s="52" t="n"/>
      <c r="I68" s="52" t="n"/>
      <c r="J68" s="52" t="n"/>
      <c r="K68" s="52" t="n"/>
    </row>
    <row r="69">
      <c r="A69" s="53" t="inlineStr">
        <is>
          <t>항목</t>
        </is>
      </c>
      <c r="B69" s="53" t="inlineStr">
        <is>
          <t>값</t>
        </is>
      </c>
      <c r="K69" s="53" t="inlineStr">
        <is>
          <t>출처</t>
        </is>
      </c>
    </row>
    <row r="70">
      <c r="A70" s="54" t="inlineStr">
        <is>
          <t>init 영업이익</t>
        </is>
      </c>
      <c r="B70" s="55" t="n">
        <v>14.5</v>
      </c>
      <c r="K70" s="56" t="inlineStr">
        <is>
          <t>2단계 보고서 자료(회사 설명회 자료·공시)</t>
        </is>
      </c>
    </row>
    <row r="71">
      <c r="A71" s="54" t="inlineStr">
        <is>
          <t>영업이익</t>
        </is>
      </c>
      <c r="B71" s="55" t="n">
        <v>13.09</v>
      </c>
    </row>
    <row r="73">
      <c r="A73" s="52" t="inlineStr">
        <is>
          <t>annual 실적 vs initial · FY2024</t>
        </is>
      </c>
      <c r="B73" s="52" t="n"/>
      <c r="C73" s="52" t="n"/>
      <c r="D73" s="52" t="n"/>
      <c r="E73" s="52" t="n"/>
      <c r="F73" s="52" t="n"/>
      <c r="G73" s="52" t="n"/>
      <c r="H73" s="52" t="n"/>
      <c r="I73" s="52" t="n"/>
      <c r="J73" s="52" t="n"/>
      <c r="K73" s="52" t="n"/>
    </row>
    <row r="74">
      <c r="A74" s="53" t="inlineStr">
        <is>
          <t>항목</t>
        </is>
      </c>
      <c r="B74" s="53" t="inlineStr">
        <is>
          <t>값</t>
        </is>
      </c>
      <c r="K74" s="53" t="inlineStr">
        <is>
          <t>출처</t>
        </is>
      </c>
    </row>
    <row r="75">
      <c r="A75" s="54" t="inlineStr">
        <is>
          <t>init 영업이익</t>
        </is>
      </c>
      <c r="B75" s="55" t="n">
        <v>19</v>
      </c>
      <c r="K75" s="56" t="inlineStr">
        <is>
          <t>2단계 보고서 자료(회사 설명회 자료·공시)</t>
        </is>
      </c>
    </row>
    <row r="76">
      <c r="A76" s="54" t="inlineStr">
        <is>
          <t>영업이익</t>
        </is>
      </c>
      <c r="B76" s="55" t="n">
        <v>14.77</v>
      </c>
    </row>
    <row r="78">
      <c r="A78" s="52" t="inlineStr">
        <is>
          <t>annual 실적 vs initial · FY2025</t>
        </is>
      </c>
      <c r="B78" s="52" t="n"/>
      <c r="C78" s="52" t="n"/>
      <c r="D78" s="52" t="n"/>
      <c r="E78" s="52" t="n"/>
      <c r="F78" s="52" t="n"/>
      <c r="G78" s="52" t="n"/>
      <c r="H78" s="52" t="n"/>
      <c r="I78" s="52" t="n"/>
      <c r="J78" s="52" t="n"/>
      <c r="K78" s="52" t="n"/>
    </row>
    <row r="79">
      <c r="A79" s="53" t="inlineStr">
        <is>
          <t>항목</t>
        </is>
      </c>
      <c r="B79" s="53" t="inlineStr">
        <is>
          <t>값</t>
        </is>
      </c>
      <c r="K79" s="53" t="inlineStr">
        <is>
          <t>출처</t>
        </is>
      </c>
    </row>
    <row r="80">
      <c r="A80" s="54" t="inlineStr">
        <is>
          <t>init 영업이익</t>
        </is>
      </c>
      <c r="B80" s="55" t="n">
        <v>25.7</v>
      </c>
      <c r="K80" s="56" t="inlineStr">
        <is>
          <t>2단계 보고서 자료(회사 설명회 자료·공시)</t>
        </is>
      </c>
    </row>
    <row r="81">
      <c r="A81" s="54" t="inlineStr">
        <is>
          <t>영업이익</t>
        </is>
      </c>
      <c r="B81" s="55" t="n">
        <v>27.35</v>
      </c>
    </row>
    <row r="83">
      <c r="A83" s="52" t="inlineStr">
        <is>
          <t>annual 실적 vs initial · FY2026</t>
        </is>
      </c>
      <c r="B83" s="52" t="n"/>
      <c r="C83" s="52" t="n"/>
      <c r="D83" s="52" t="n"/>
      <c r="E83" s="52" t="n"/>
      <c r="F83" s="52" t="n"/>
      <c r="G83" s="52" t="n"/>
      <c r="H83" s="52" t="n"/>
      <c r="I83" s="52" t="n"/>
      <c r="J83" s="52" t="n"/>
      <c r="K83" s="52" t="n"/>
    </row>
    <row r="84">
      <c r="A84" s="53" t="inlineStr">
        <is>
          <t>항목</t>
        </is>
      </c>
      <c r="B84" s="53" t="inlineStr">
        <is>
          <t>값</t>
        </is>
      </c>
      <c r="K84" s="53" t="inlineStr">
        <is>
          <t>출처</t>
        </is>
      </c>
    </row>
    <row r="85">
      <c r="A85" s="54" t="inlineStr">
        <is>
          <t>init 영업이익</t>
        </is>
      </c>
      <c r="B85" s="55" t="n">
        <v>30</v>
      </c>
      <c r="K85" s="56" t="inlineStr">
        <is>
          <t>2단계 보고서 자료(회사 설명회 자료·공시)</t>
        </is>
      </c>
    </row>
    <row r="86">
      <c r="A86" s="54" t="inlineStr">
        <is>
          <t>영업이익</t>
        </is>
      </c>
      <c r="B86" s="55" t="n">
        <v>28.79</v>
      </c>
    </row>
    <row r="88">
      <c r="A88" s="52" t="inlineStr">
        <is>
          <t>quarterly older</t>
        </is>
      </c>
      <c r="B88" s="52" t="n"/>
      <c r="C88" s="52" t="n"/>
      <c r="D88" s="52" t="n"/>
      <c r="E88" s="52" t="n"/>
      <c r="F88" s="52" t="n"/>
      <c r="G88" s="52" t="n"/>
      <c r="H88" s="52" t="n"/>
      <c r="I88" s="52" t="n"/>
      <c r="J88" s="52" t="n"/>
      <c r="K88" s="52" t="n"/>
    </row>
    <row r="89">
      <c r="A89" s="53" t="inlineStr">
        <is>
          <t>항목</t>
        </is>
      </c>
      <c r="B89" s="53" t="inlineStr">
        <is>
          <t>2023.3Q</t>
        </is>
      </c>
      <c r="C89" s="53" t="inlineStr">
        <is>
          <t>2023.4Q</t>
        </is>
      </c>
      <c r="D89" s="53" t="inlineStr">
        <is>
          <t>2024.1Q</t>
        </is>
      </c>
      <c r="E89" s="53" t="inlineStr">
        <is>
          <t>2024.2Q</t>
        </is>
      </c>
      <c r="K89" s="53" t="inlineStr">
        <is>
          <t>출처</t>
        </is>
      </c>
    </row>
    <row r="90">
      <c r="A90" s="54" t="inlineStr">
        <is>
          <t>매출</t>
        </is>
      </c>
      <c r="B90" s="55" t="n">
        <v>68.94</v>
      </c>
      <c r="C90" s="55" t="n">
        <v>114.98</v>
      </c>
      <c r="D90" s="55" t="n">
        <v>47.41</v>
      </c>
      <c r="E90" s="55" t="n">
        <v>78.68000000000001</v>
      </c>
      <c r="K90" s="56" t="inlineStr">
        <is>
          <t>2단계 보고서 자료(회사 설명회 자료·공시)</t>
        </is>
      </c>
    </row>
    <row r="91">
      <c r="A91" s="54" t="inlineStr">
        <is>
          <t>영업이익</t>
        </is>
      </c>
      <c r="B91" s="55" t="n">
        <v>1.24</v>
      </c>
      <c r="C91" s="55" t="n">
        <v>18.77</v>
      </c>
      <c r="D91" s="55" t="n">
        <v>-6.26</v>
      </c>
      <c r="E91" s="55" t="n">
        <v>3.76</v>
      </c>
    </row>
    <row r="93">
      <c r="A93" s="52" t="inlineStr">
        <is>
          <t>annual EPS</t>
        </is>
      </c>
      <c r="B93" s="52" t="n"/>
      <c r="C93" s="52" t="n"/>
      <c r="D93" s="52" t="n"/>
      <c r="E93" s="52" t="n"/>
      <c r="F93" s="52" t="n"/>
      <c r="G93" s="52" t="n"/>
      <c r="H93" s="52" t="n"/>
      <c r="I93" s="52" t="n"/>
      <c r="J93" s="52" t="n"/>
      <c r="K93" s="52" t="n"/>
    </row>
    <row r="94">
      <c r="A94" s="53" t="inlineStr">
        <is>
          <t>항목</t>
        </is>
      </c>
      <c r="B94" s="53" t="inlineStr">
        <is>
          <t>2018</t>
        </is>
      </c>
      <c r="C94" s="53" t="inlineStr">
        <is>
          <t>2019</t>
        </is>
      </c>
      <c r="D94" s="53" t="inlineStr">
        <is>
          <t>2020</t>
        </is>
      </c>
      <c r="E94" s="53" t="inlineStr">
        <is>
          <t>2021</t>
        </is>
      </c>
      <c r="F94" s="53" t="inlineStr">
        <is>
          <t>2022</t>
        </is>
      </c>
      <c r="G94" s="53" t="inlineStr">
        <is>
          <t>2023</t>
        </is>
      </c>
      <c r="H94" s="53" t="inlineStr">
        <is>
          <t>2024</t>
        </is>
      </c>
      <c r="I94" s="53" t="inlineStr">
        <is>
          <t>2025</t>
        </is>
      </c>
      <c r="J94" s="53" t="inlineStr">
        <is>
          <t>2026</t>
        </is>
      </c>
      <c r="K94" s="53" t="inlineStr">
        <is>
          <t>출처</t>
        </is>
      </c>
    </row>
    <row r="95">
      <c r="A95" s="54" t="inlineStr">
        <is>
          <t>labels</t>
        </is>
      </c>
      <c r="B95" s="57" t="n">
        <v>2018</v>
      </c>
      <c r="C95" s="57" t="n">
        <v>2019</v>
      </c>
      <c r="D95" s="57" t="n">
        <v>2020</v>
      </c>
      <c r="E95" s="57" t="n">
        <v>2021</v>
      </c>
      <c r="F95" s="57" t="n">
        <v>2022</v>
      </c>
      <c r="G95" s="57" t="n">
        <v>2023</v>
      </c>
      <c r="H95" s="57" t="n">
        <v>2024</v>
      </c>
      <c r="I95" s="57" t="n">
        <v>2025</v>
      </c>
      <c r="J95" s="57" t="n">
        <v>2026</v>
      </c>
      <c r="K95" s="56" t="inlineStr">
        <is>
          <t>2단계 보고서 자료(회사 설명회 자료·공시)</t>
        </is>
      </c>
    </row>
    <row r="96">
      <c r="A96" s="54" t="inlineStr">
        <is>
          <t>EPS</t>
        </is>
      </c>
      <c r="B96" s="55" t="n">
        <v>111.09</v>
      </c>
      <c r="C96" s="55" t="n">
        <v>97.31</v>
      </c>
      <c r="D96" s="55" t="n">
        <v>145.97</v>
      </c>
      <c r="E96" s="55" t="n">
        <v>42.88</v>
      </c>
      <c r="F96" s="55" t="n">
        <v>177.18</v>
      </c>
      <c r="G96" s="55" t="n">
        <v>162.04</v>
      </c>
      <c r="H96" s="55" t="n">
        <v>293.78</v>
      </c>
      <c r="I96" s="55" t="n">
        <v>407.61</v>
      </c>
      <c r="J96" s="55" t="n">
        <v>643.7</v>
      </c>
    </row>
    <row r="97">
      <c r="A97" s="54" t="inlineStr">
        <is>
          <t>dps</t>
        </is>
      </c>
      <c r="B97" s="57" t="n">
        <v>60</v>
      </c>
      <c r="C97" s="57" t="n">
        <v>60</v>
      </c>
      <c r="D97" s="57" t="n">
        <v>60</v>
      </c>
      <c r="E97" s="57" t="n">
        <v>60</v>
      </c>
      <c r="F97" s="57" t="n">
        <v>70</v>
      </c>
      <c r="G97" s="57" t="n">
        <v>70</v>
      </c>
      <c r="H97" s="57" t="n">
        <v>80</v>
      </c>
      <c r="I97" s="57" t="n">
        <v>150</v>
      </c>
      <c r="J97" s="57" t="n">
        <v>166</v>
      </c>
    </row>
    <row r="99">
      <c r="A99" s="52" t="inlineStr">
        <is>
          <t>bs annual</t>
        </is>
      </c>
      <c r="B99" s="52" t="n"/>
      <c r="C99" s="52" t="n"/>
      <c r="D99" s="52" t="n"/>
      <c r="E99" s="52" t="n"/>
      <c r="F99" s="52" t="n"/>
      <c r="G99" s="52" t="n"/>
      <c r="H99" s="52" t="n"/>
      <c r="I99" s="52" t="n"/>
      <c r="J99" s="52" t="n"/>
      <c r="K99" s="52" t="n"/>
    </row>
    <row r="100">
      <c r="A100" s="53" t="inlineStr">
        <is>
          <t>항목</t>
        </is>
      </c>
      <c r="B100" s="53" t="inlineStr">
        <is>
          <t>2022</t>
        </is>
      </c>
      <c r="C100" s="53" t="inlineStr">
        <is>
          <t>2023</t>
        </is>
      </c>
      <c r="D100" s="53" t="inlineStr">
        <is>
          <t>2024</t>
        </is>
      </c>
      <c r="E100" s="53" t="inlineStr">
        <is>
          <t>2025</t>
        </is>
      </c>
      <c r="F100" s="53" t="inlineStr">
        <is>
          <t>2026</t>
        </is>
      </c>
      <c r="K100" s="53" t="inlineStr">
        <is>
          <t>출처</t>
        </is>
      </c>
    </row>
    <row r="101">
      <c r="A101" s="54" t="inlineStr">
        <is>
          <t>labels</t>
        </is>
      </c>
      <c r="B101" s="57" t="n">
        <v>2022</v>
      </c>
      <c r="C101" s="57" t="n">
        <v>2023</v>
      </c>
      <c r="D101" s="57" t="n">
        <v>2024</v>
      </c>
      <c r="E101" s="57" t="n">
        <v>2025</v>
      </c>
      <c r="F101" s="57" t="n">
        <v>2026</v>
      </c>
      <c r="K101" s="56" t="inlineStr">
        <is>
          <t>2단계 보고서 자료(회사 설명회 자료·공시)</t>
        </is>
      </c>
    </row>
    <row r="102">
      <c r="A102" s="54" t="inlineStr">
        <is>
          <t>current assets</t>
        </is>
      </c>
      <c r="B102" s="55" t="n">
        <v>272.7</v>
      </c>
      <c r="C102" s="55" t="n">
        <v>302.1</v>
      </c>
      <c r="D102" s="55" t="n">
        <v>342.5</v>
      </c>
      <c r="E102" s="55" t="n">
        <v>359.8</v>
      </c>
      <c r="F102" s="55" t="n">
        <v>385.7</v>
      </c>
    </row>
    <row r="103">
      <c r="A103" s="54" t="inlineStr">
        <is>
          <t>cash</t>
        </is>
      </c>
      <c r="B103" s="55" t="n">
        <v>111.3</v>
      </c>
      <c r="C103" s="55" t="n">
        <v>78.8</v>
      </c>
      <c r="D103" s="55" t="n">
        <v>100.6</v>
      </c>
      <c r="E103" s="55" t="n">
        <v>43.9</v>
      </c>
      <c r="F103" s="55" t="n">
        <v>108.2</v>
      </c>
    </row>
    <row r="104">
      <c r="A104" s="54" t="inlineStr">
        <is>
          <t>st fin</t>
        </is>
      </c>
      <c r="B104" s="55" t="n">
        <v>0</v>
      </c>
      <c r="C104" s="58" t="n"/>
      <c r="D104" s="58" t="n"/>
      <c r="E104" s="58" t="n"/>
      <c r="F104" s="58" t="n"/>
    </row>
    <row r="105">
      <c r="A105" s="54" t="inlineStr">
        <is>
          <t>receivables</t>
        </is>
      </c>
      <c r="B105" s="55" t="n">
        <v>148.5</v>
      </c>
      <c r="C105" s="55" t="n">
        <v>206.9</v>
      </c>
      <c r="D105" s="55" t="n">
        <v>219.6</v>
      </c>
      <c r="E105" s="55" t="n">
        <v>297.2</v>
      </c>
      <c r="F105" s="55" t="n">
        <v>258.6</v>
      </c>
    </row>
    <row r="106">
      <c r="A106" s="54" t="inlineStr">
        <is>
          <t>inventory</t>
        </is>
      </c>
      <c r="B106" s="55" t="n">
        <v>12.1</v>
      </c>
      <c r="C106" s="55" t="n">
        <v>15.6</v>
      </c>
      <c r="D106" s="55" t="n">
        <v>21.1</v>
      </c>
      <c r="E106" s="55" t="n">
        <v>17.3</v>
      </c>
      <c r="F106" s="55" t="n">
        <v>16.7</v>
      </c>
    </row>
    <row r="107">
      <c r="A107" s="54" t="inlineStr">
        <is>
          <t>noncurrent assets</t>
        </is>
      </c>
      <c r="B107" s="55" t="n">
        <v>108.7</v>
      </c>
      <c r="C107" s="55" t="n">
        <v>109.6</v>
      </c>
      <c r="D107" s="55" t="n">
        <v>146.1</v>
      </c>
      <c r="E107" s="55" t="n">
        <v>127.5</v>
      </c>
      <c r="F107" s="55" t="n">
        <v>127.1</v>
      </c>
    </row>
    <row r="108">
      <c r="A108" s="54" t="inlineStr">
        <is>
          <t>ppe</t>
        </is>
      </c>
      <c r="B108" s="55" t="n">
        <v>41.8</v>
      </c>
      <c r="C108" s="55" t="n">
        <v>41.2</v>
      </c>
      <c r="D108" s="55" t="n">
        <v>48.5</v>
      </c>
      <c r="E108" s="55" t="n">
        <v>50.5</v>
      </c>
      <c r="F108" s="55" t="n">
        <v>58.1</v>
      </c>
    </row>
    <row r="109">
      <c r="A109" s="54" t="inlineStr">
        <is>
          <t>intangibles</t>
        </is>
      </c>
      <c r="B109" s="55" t="n">
        <v>3.6</v>
      </c>
      <c r="C109" s="55" t="n">
        <v>2.9</v>
      </c>
      <c r="D109" s="55" t="n">
        <v>2.6</v>
      </c>
      <c r="E109" s="55" t="n">
        <v>2.1</v>
      </c>
      <c r="F109" s="55" t="n">
        <v>2.2</v>
      </c>
    </row>
    <row r="110">
      <c r="A110" s="54" t="inlineStr">
        <is>
          <t>inv property</t>
        </is>
      </c>
      <c r="B110" s="58" t="n"/>
      <c r="C110" s="58" t="n"/>
      <c r="D110" s="58" t="n"/>
      <c r="E110" s="58" t="n"/>
      <c r="F110" s="58" t="n"/>
    </row>
    <row r="111">
      <c r="A111" s="54" t="inlineStr">
        <is>
          <t>합계 assets</t>
        </is>
      </c>
      <c r="B111" s="55" t="n">
        <v>381.4</v>
      </c>
      <c r="C111" s="55" t="n">
        <v>411.8</v>
      </c>
      <c r="D111" s="55" t="n">
        <v>488.6</v>
      </c>
      <c r="E111" s="55" t="n">
        <v>487.4</v>
      </c>
      <c r="F111" s="55" t="n">
        <v>512.8</v>
      </c>
    </row>
    <row r="112">
      <c r="A112" s="54" t="inlineStr">
        <is>
          <t>current liab</t>
        </is>
      </c>
      <c r="B112" s="55" t="n">
        <v>124.5</v>
      </c>
      <c r="C112" s="55" t="n">
        <v>145.4</v>
      </c>
      <c r="D112" s="55" t="n">
        <v>175.2</v>
      </c>
      <c r="E112" s="55" t="n">
        <v>152.3</v>
      </c>
      <c r="F112" s="55" t="n">
        <v>154.4</v>
      </c>
    </row>
    <row r="113">
      <c r="A113" s="54" t="inlineStr">
        <is>
          <t>payables</t>
        </is>
      </c>
      <c r="B113" s="55" t="n">
        <v>59</v>
      </c>
      <c r="C113" s="55" t="n">
        <v>78.59999999999999</v>
      </c>
      <c r="D113" s="55" t="n">
        <v>67.90000000000001</v>
      </c>
      <c r="E113" s="55" t="n">
        <v>74.40000000000001</v>
      </c>
      <c r="F113" s="55" t="n">
        <v>68.90000000000001</v>
      </c>
    </row>
    <row r="114">
      <c r="A114" s="54" t="inlineStr">
        <is>
          <t>st debt</t>
        </is>
      </c>
      <c r="B114" s="55" t="n">
        <v>28</v>
      </c>
      <c r="C114" s="55" t="n">
        <v>28</v>
      </c>
      <c r="D114" s="55" t="n">
        <v>61</v>
      </c>
      <c r="E114" s="55" t="n">
        <v>25.7</v>
      </c>
      <c r="F114" s="55" t="n">
        <v>19.2</v>
      </c>
    </row>
    <row r="115">
      <c r="A115" s="54" t="inlineStr">
        <is>
          <t>noncurrent liab</t>
        </is>
      </c>
      <c r="B115" s="55" t="n">
        <v>24.8</v>
      </c>
      <c r="C115" s="55" t="n">
        <v>26</v>
      </c>
      <c r="D115" s="55" t="n">
        <v>35.8</v>
      </c>
      <c r="E115" s="55" t="n">
        <v>48.9</v>
      </c>
      <c r="F115" s="55" t="n">
        <v>43.6</v>
      </c>
    </row>
    <row r="116">
      <c r="A116" s="54" t="inlineStr">
        <is>
          <t>lt debt</t>
        </is>
      </c>
      <c r="B116" s="55" t="n">
        <v>11.9</v>
      </c>
      <c r="C116" s="55" t="n">
        <v>11.9</v>
      </c>
      <c r="D116" s="55" t="n">
        <v>11.9</v>
      </c>
      <c r="E116" s="55" t="n">
        <v>29.4</v>
      </c>
      <c r="F116" s="55" t="n">
        <v>25.2</v>
      </c>
    </row>
    <row r="117">
      <c r="A117" s="54" t="inlineStr">
        <is>
          <t>bonds</t>
        </is>
      </c>
      <c r="B117" s="58" t="n"/>
      <c r="C117" s="58" t="n"/>
      <c r="D117" s="58" t="n"/>
      <c r="E117" s="58" t="n"/>
      <c r="F117" s="58" t="n"/>
    </row>
    <row r="118">
      <c r="A118" s="54" t="inlineStr">
        <is>
          <t>합계 liab</t>
        </is>
      </c>
      <c r="B118" s="55" t="n">
        <v>149.3</v>
      </c>
      <c r="C118" s="55" t="n">
        <v>171.4</v>
      </c>
      <c r="D118" s="55" t="n">
        <v>210.9</v>
      </c>
      <c r="E118" s="55" t="n">
        <v>201.3</v>
      </c>
      <c r="F118" s="55" t="n">
        <v>198</v>
      </c>
    </row>
    <row r="119">
      <c r="A119" s="54" t="inlineStr">
        <is>
          <t>capital stock</t>
        </is>
      </c>
      <c r="B119" s="55" t="n">
        <v>61.8</v>
      </c>
      <c r="C119" s="55" t="n">
        <v>61.8</v>
      </c>
      <c r="D119" s="55" t="n">
        <v>61.8</v>
      </c>
      <c r="E119" s="55" t="n">
        <v>61.8</v>
      </c>
      <c r="F119" s="55" t="n">
        <v>61.8</v>
      </c>
    </row>
    <row r="120">
      <c r="A120" s="54" t="inlineStr">
        <is>
          <t>retained</t>
        </is>
      </c>
      <c r="B120" s="55" t="n">
        <v>130.8</v>
      </c>
      <c r="C120" s="55" t="n">
        <v>137.8</v>
      </c>
      <c r="D120" s="55" t="n">
        <v>154.4</v>
      </c>
      <c r="E120" s="55" t="n">
        <v>178.4</v>
      </c>
      <c r="F120" s="55" t="n">
        <v>214.1</v>
      </c>
    </row>
    <row r="121">
      <c r="A121" s="54" t="inlineStr">
        <is>
          <t>nci</t>
        </is>
      </c>
      <c r="B121" s="55" t="n">
        <v>1.4</v>
      </c>
      <c r="C121" s="55" t="n">
        <v>1.8</v>
      </c>
      <c r="D121" s="55" t="n">
        <v>2</v>
      </c>
      <c r="E121" s="55" t="n">
        <v>2.8</v>
      </c>
      <c r="F121" s="55" t="n">
        <v>2.8</v>
      </c>
    </row>
    <row r="122">
      <c r="A122" s="54" t="inlineStr">
        <is>
          <t>합계 equity</t>
        </is>
      </c>
      <c r="B122" s="55" t="n">
        <v>232.1</v>
      </c>
      <c r="C122" s="55" t="n">
        <v>240.4</v>
      </c>
      <c r="D122" s="55" t="n">
        <v>277.7</v>
      </c>
      <c r="E122" s="55" t="n">
        <v>286.1</v>
      </c>
      <c r="F122" s="55" t="n">
        <v>314.8</v>
      </c>
    </row>
    <row r="123">
      <c r="A123" s="54" t="inlineStr">
        <is>
          <t>current ltd</t>
        </is>
      </c>
      <c r="B123" s="58" t="n"/>
      <c r="C123" s="58" t="n"/>
      <c r="D123" s="58" t="n"/>
      <c r="E123" s="58" t="n"/>
      <c r="F123" s="58" t="n"/>
    </row>
    <row r="124">
      <c r="A124" s="54" t="inlineStr">
        <is>
          <t>equity owner</t>
        </is>
      </c>
      <c r="B124" s="55" t="n">
        <v>230.7</v>
      </c>
      <c r="C124" s="55" t="n">
        <v>238.6</v>
      </c>
      <c r="D124" s="55" t="n">
        <v>275.7</v>
      </c>
      <c r="E124" s="55" t="n">
        <v>283.3</v>
      </c>
      <c r="F124" s="55" t="n">
        <v>312</v>
      </c>
    </row>
    <row r="126">
      <c r="A126" s="52" t="inlineStr">
        <is>
          <t>cf annual</t>
        </is>
      </c>
      <c r="B126" s="52" t="n"/>
      <c r="C126" s="52" t="n"/>
      <c r="D126" s="52" t="n"/>
      <c r="E126" s="52" t="n"/>
      <c r="F126" s="52" t="n"/>
      <c r="G126" s="52" t="n"/>
      <c r="H126" s="52" t="n"/>
      <c r="I126" s="52" t="n"/>
      <c r="J126" s="52" t="n"/>
      <c r="K126" s="52" t="n"/>
    </row>
    <row r="127">
      <c r="A127" s="53" t="inlineStr">
        <is>
          <t>항목</t>
        </is>
      </c>
      <c r="B127" s="53" t="inlineStr">
        <is>
          <t>2022</t>
        </is>
      </c>
      <c r="C127" s="53" t="inlineStr">
        <is>
          <t>2023</t>
        </is>
      </c>
      <c r="D127" s="53" t="inlineStr">
        <is>
          <t>2024</t>
        </is>
      </c>
      <c r="E127" s="53" t="inlineStr">
        <is>
          <t>2025</t>
        </is>
      </c>
      <c r="F127" s="53" t="inlineStr">
        <is>
          <t>2026</t>
        </is>
      </c>
      <c r="K127" s="53" t="inlineStr">
        <is>
          <t>출처</t>
        </is>
      </c>
    </row>
    <row r="128">
      <c r="A128" s="54" t="inlineStr">
        <is>
          <t>labels</t>
        </is>
      </c>
      <c r="B128" s="57" t="n">
        <v>2022</v>
      </c>
      <c r="C128" s="57" t="n">
        <v>2023</v>
      </c>
      <c r="D128" s="57" t="n">
        <v>2024</v>
      </c>
      <c r="E128" s="57" t="n">
        <v>2025</v>
      </c>
      <c r="F128" s="57" t="n">
        <v>2026</v>
      </c>
      <c r="K128" s="56" t="inlineStr">
        <is>
          <t>2단계 보고서 자료(회사 설명회 자료·공시)</t>
        </is>
      </c>
    </row>
    <row r="129">
      <c r="A129" s="54" t="inlineStr">
        <is>
          <t>ocf</t>
        </is>
      </c>
      <c r="B129" s="55" t="n">
        <v>60.9</v>
      </c>
      <c r="C129" s="55" t="n">
        <v>-25</v>
      </c>
      <c r="D129" s="55" t="n">
        <v>-8.9</v>
      </c>
      <c r="E129" s="55" t="n">
        <v>-37</v>
      </c>
      <c r="F129" s="55" t="n">
        <v>62.6</v>
      </c>
    </row>
    <row r="130">
      <c r="A130" s="54" t="inlineStr">
        <is>
          <t>설비투자</t>
        </is>
      </c>
      <c r="B130" s="55" t="n">
        <v>3.2</v>
      </c>
      <c r="C130" s="55" t="n">
        <v>2.4</v>
      </c>
      <c r="D130" s="55" t="n">
        <v>13.3</v>
      </c>
      <c r="E130" s="55" t="n">
        <v>8</v>
      </c>
      <c r="F130" s="55" t="n">
        <v>9.699999999999999</v>
      </c>
    </row>
    <row r="131">
      <c r="A131" s="54" t="inlineStr">
        <is>
          <t>dividends</t>
        </is>
      </c>
      <c r="B131" s="55" t="n">
        <v>4.6</v>
      </c>
      <c r="C131" s="55" t="n">
        <v>5.4</v>
      </c>
      <c r="D131" s="55" t="n">
        <v>5.3</v>
      </c>
      <c r="E131" s="55" t="n">
        <v>5.9</v>
      </c>
      <c r="F131" s="55" t="n">
        <v>11</v>
      </c>
    </row>
    <row r="133">
      <c r="A133" s="52" t="inlineStr">
        <is>
          <t>shares</t>
        </is>
      </c>
      <c r="B133" s="52" t="n"/>
      <c r="C133" s="52" t="n"/>
      <c r="D133" s="52" t="n"/>
      <c r="E133" s="52" t="n"/>
      <c r="F133" s="52" t="n"/>
      <c r="G133" s="52" t="n"/>
      <c r="H133" s="52" t="n"/>
      <c r="I133" s="52" t="n"/>
      <c r="J133" s="52" t="n"/>
      <c r="K133" s="52" t="n"/>
    </row>
    <row r="134">
      <c r="A134" s="53" t="inlineStr">
        <is>
          <t>항목</t>
        </is>
      </c>
      <c r="B134" s="53" t="inlineStr">
        <is>
          <t>값</t>
        </is>
      </c>
      <c r="K134" s="53" t="inlineStr">
        <is>
          <t>출처</t>
        </is>
      </c>
    </row>
    <row r="135">
      <c r="A135" s="54" t="inlineStr">
        <is>
          <t>issued</t>
        </is>
      </c>
      <c r="B135" s="57" t="n">
        <v>7800000</v>
      </c>
      <c r="K135" s="56" t="inlineStr">
        <is>
          <t>2단계 보고서 자료(회사 설명회 자료·공시)</t>
        </is>
      </c>
    </row>
    <row r="136">
      <c r="A136" s="54" t="inlineStr">
        <is>
          <t>treasury_26.9말</t>
        </is>
      </c>
      <c r="B136" s="57" t="n">
        <v>818645</v>
      </c>
    </row>
    <row r="137">
      <c r="A137" s="54" t="inlineStr">
        <is>
          <t>outstanding</t>
        </is>
      </c>
      <c r="B137" s="57" t="n">
        <v>6981355</v>
      </c>
    </row>
    <row r="138">
      <c r="A138" s="54" t="inlineStr">
        <is>
          <t>avg 상반기</t>
        </is>
      </c>
      <c r="B138" s="57" t="n">
        <v>7055450</v>
      </c>
    </row>
    <row r="140">
      <c r="A140" s="52" t="inlineStr">
        <is>
          <t>가이던스 path fc</t>
        </is>
      </c>
      <c r="B140" s="52" t="n"/>
      <c r="C140" s="52" t="n"/>
      <c r="D140" s="52" t="n"/>
      <c r="E140" s="52" t="n"/>
      <c r="F140" s="52" t="n"/>
      <c r="G140" s="52" t="n"/>
      <c r="H140" s="52" t="n"/>
      <c r="I140" s="52" t="n"/>
      <c r="J140" s="52" t="n"/>
      <c r="K140" s="52" t="n"/>
    </row>
    <row r="141">
      <c r="A141" s="53" t="inlineStr">
        <is>
          <t>항목</t>
        </is>
      </c>
      <c r="B141" s="53" t="inlineStr">
        <is>
          <t>FY</t>
        </is>
      </c>
      <c r="C141" s="53" t="inlineStr">
        <is>
          <t>매출</t>
        </is>
      </c>
      <c r="D141" s="53" t="inlineStr">
        <is>
          <t>영업이익</t>
        </is>
      </c>
      <c r="E141" s="53" t="inlineStr">
        <is>
          <t>순이익</t>
        </is>
      </c>
      <c r="F141" s="53" t="inlineStr">
        <is>
          <t>EPS</t>
        </is>
      </c>
      <c r="K141" s="53" t="inlineStr">
        <is>
          <t>출처</t>
        </is>
      </c>
    </row>
    <row r="142">
      <c r="A142" s="54" t="inlineStr">
        <is>
          <t>2023-05-12</t>
        </is>
      </c>
      <c r="B142" s="58" t="inlineStr">
        <is>
          <t>FY2024</t>
        </is>
      </c>
      <c r="C142" s="57" t="n">
        <v>340</v>
      </c>
      <c r="D142" s="55" t="n">
        <v>19</v>
      </c>
      <c r="E142" s="55" t="n">
        <v>14</v>
      </c>
      <c r="F142" s="55" t="n">
        <v>184.64</v>
      </c>
      <c r="K142" s="56" t="inlineStr">
        <is>
          <t>2단계 보고서 자료(회사 설명회 자료·공시)</t>
        </is>
      </c>
    </row>
    <row r="143">
      <c r="A143" s="54" t="inlineStr">
        <is>
          <t>2023-10-30</t>
        </is>
      </c>
      <c r="B143" s="58" t="inlineStr">
        <is>
          <t>FY2024</t>
        </is>
      </c>
      <c r="C143" s="58" t="n"/>
      <c r="D143" s="58" t="n"/>
      <c r="E143" s="55" t="n">
        <v>21.6</v>
      </c>
      <c r="F143" s="55" t="n">
        <v>285.85</v>
      </c>
    </row>
    <row r="144">
      <c r="A144" s="54" t="inlineStr">
        <is>
          <t>2024-04-30</t>
        </is>
      </c>
      <c r="B144" s="58" t="inlineStr">
        <is>
          <t>FY2025</t>
        </is>
      </c>
      <c r="C144" s="57" t="n">
        <v>376</v>
      </c>
      <c r="D144" s="55" t="n">
        <v>25.7</v>
      </c>
      <c r="E144" s="55" t="n">
        <v>23</v>
      </c>
      <c r="F144" s="55" t="n">
        <v>309.42</v>
      </c>
    </row>
    <row r="145">
      <c r="A145" s="54" t="inlineStr">
        <is>
          <t>2025-04-18</t>
        </is>
      </c>
      <c r="B145" s="58" t="inlineStr">
        <is>
          <t>FY2025</t>
        </is>
      </c>
      <c r="C145" s="58" t="n"/>
      <c r="D145" s="58" t="n"/>
      <c r="E145" s="58" t="n"/>
      <c r="F145" s="58" t="n"/>
    </row>
    <row r="146">
      <c r="A146" s="54" t="inlineStr">
        <is>
          <t>2025-04-28</t>
        </is>
      </c>
      <c r="B146" s="58" t="inlineStr">
        <is>
          <t>FY2026</t>
        </is>
      </c>
      <c r="C146" s="57" t="n">
        <v>375</v>
      </c>
      <c r="D146" s="55" t="n">
        <v>30</v>
      </c>
      <c r="E146" s="55" t="n">
        <v>28</v>
      </c>
      <c r="F146" s="55" t="n">
        <v>387.92</v>
      </c>
    </row>
    <row r="147">
      <c r="A147" s="54" t="inlineStr">
        <is>
          <t>2025-10-31</t>
        </is>
      </c>
      <c r="B147" s="58" t="inlineStr">
        <is>
          <t>FY2026</t>
        </is>
      </c>
      <c r="C147" s="57" t="n">
        <v>375</v>
      </c>
      <c r="D147" s="55" t="n">
        <v>30</v>
      </c>
      <c r="E147" s="55" t="n">
        <v>37</v>
      </c>
      <c r="F147" s="55" t="n">
        <v>510.18</v>
      </c>
    </row>
    <row r="148">
      <c r="A148" s="54" t="inlineStr">
        <is>
          <t>2026-04-28</t>
        </is>
      </c>
      <c r="B148" s="58" t="inlineStr">
        <is>
          <t>FY2027</t>
        </is>
      </c>
      <c r="C148" s="57" t="n">
        <v>403</v>
      </c>
      <c r="D148" s="55" t="n">
        <v>36.2</v>
      </c>
      <c r="E148" s="55" t="n">
        <v>25.16</v>
      </c>
      <c r="F148" s="55" t="n">
        <v>361.31</v>
      </c>
    </row>
    <row r="149">
      <c r="A149" s="54" t="inlineStr">
        <is>
          <t>2026-10-30</t>
        </is>
      </c>
      <c r="B149" s="58" t="inlineStr">
        <is>
          <t>FY2027</t>
        </is>
      </c>
      <c r="C149" s="57" t="n">
        <v>403</v>
      </c>
      <c r="D149" s="55" t="n">
        <v>36.2</v>
      </c>
      <c r="E149" s="55" t="n">
        <v>27.87</v>
      </c>
      <c r="F149" s="55" t="n">
        <v>396.96</v>
      </c>
    </row>
    <row r="151">
      <c r="A151" s="52" t="inlineStr">
        <is>
          <t>reactions</t>
        </is>
      </c>
      <c r="B151" s="52" t="n"/>
      <c r="C151" s="52" t="n"/>
      <c r="D151" s="52" t="n"/>
      <c r="E151" s="52" t="n"/>
      <c r="F151" s="52" t="n"/>
      <c r="G151" s="52" t="n"/>
      <c r="H151" s="52" t="n"/>
      <c r="I151" s="52" t="n"/>
      <c r="J151" s="52" t="n"/>
      <c r="K151" s="52" t="n"/>
    </row>
    <row r="152">
      <c r="A152" s="53" t="inlineStr">
        <is>
          <t>항목</t>
        </is>
      </c>
      <c r="B152" s="53" t="inlineStr">
        <is>
          <t>기준일</t>
        </is>
      </c>
      <c r="C152" s="53" t="inlineStr">
        <is>
          <t>다음날</t>
        </is>
      </c>
      <c r="D152" s="53" t="inlineStr">
        <is>
          <t>등락%</t>
        </is>
      </c>
      <c r="K152" s="53" t="inlineStr">
        <is>
          <t>출처</t>
        </is>
      </c>
    </row>
    <row r="153">
      <c r="A153" s="54" t="inlineStr">
        <is>
          <t>2025-01-31</t>
        </is>
      </c>
      <c r="B153" s="58" t="inlineStr">
        <is>
          <t>2025-01-31</t>
        </is>
      </c>
      <c r="C153" s="58" t="inlineStr">
        <is>
          <t>2025-02-03</t>
        </is>
      </c>
      <c r="D153" s="55" t="n">
        <v>-2.7</v>
      </c>
      <c r="K153" s="56" t="inlineStr">
        <is>
          <t>2단계 보고서 자료(회사 설명회 자료·공시)</t>
        </is>
      </c>
    </row>
    <row r="154">
      <c r="A154" s="54" t="inlineStr">
        <is>
          <t>2025-04-28</t>
        </is>
      </c>
      <c r="B154" s="58" t="inlineStr">
        <is>
          <t>2025-04-28</t>
        </is>
      </c>
      <c r="C154" s="58" t="inlineStr">
        <is>
          <t>2025-04-30</t>
        </is>
      </c>
      <c r="D154" s="55" t="n">
        <v>2</v>
      </c>
    </row>
    <row r="155">
      <c r="A155" s="54" t="inlineStr">
        <is>
          <t>2025-07-25</t>
        </is>
      </c>
      <c r="B155" s="58" t="inlineStr">
        <is>
          <t>2025-07-25</t>
        </is>
      </c>
      <c r="C155" s="58" t="inlineStr">
        <is>
          <t>2025-07-28</t>
        </is>
      </c>
      <c r="D155" s="55" t="n">
        <v>0.9</v>
      </c>
    </row>
    <row r="156">
      <c r="A156" s="54" t="inlineStr">
        <is>
          <t>2025-10-31</t>
        </is>
      </c>
      <c r="B156" s="58" t="inlineStr">
        <is>
          <t>2025-10-31</t>
        </is>
      </c>
      <c r="C156" s="58" t="inlineStr">
        <is>
          <t>2025-11-04</t>
        </is>
      </c>
      <c r="D156" s="55" t="n">
        <v>0.5</v>
      </c>
    </row>
    <row r="157">
      <c r="A157" s="54" t="inlineStr">
        <is>
          <t>2026-01-30</t>
        </is>
      </c>
      <c r="B157" s="58" t="inlineStr">
        <is>
          <t>2026-01-30</t>
        </is>
      </c>
      <c r="C157" s="58" t="inlineStr">
        <is>
          <t>2026-02-02</t>
        </is>
      </c>
      <c r="D157" s="55" t="n">
        <v>-3</v>
      </c>
    </row>
    <row r="158">
      <c r="A158" s="54" t="inlineStr">
        <is>
          <t>2026-04-28</t>
        </is>
      </c>
      <c r="B158" s="58" t="inlineStr">
        <is>
          <t>2026-04-28</t>
        </is>
      </c>
      <c r="C158" s="58" t="inlineStr">
        <is>
          <t>2026-04-30</t>
        </is>
      </c>
      <c r="D158" s="55" t="n">
        <v>3.3</v>
      </c>
    </row>
    <row r="159">
      <c r="A159" s="54" t="inlineStr">
        <is>
          <t>2026-07-24</t>
        </is>
      </c>
      <c r="B159" s="58" t="inlineStr">
        <is>
          <t>2026-07-24</t>
        </is>
      </c>
      <c r="C159" s="58" t="inlineStr">
        <is>
          <t>2026-07-27</t>
        </is>
      </c>
      <c r="D159" s="55" t="n">
        <v>-6.2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9" t="inlineStr">
        <is>
          <t>공시일</t>
        </is>
      </c>
      <c r="B3" s="59" t="inlineStr">
        <is>
          <t>문서</t>
        </is>
      </c>
      <c r="C3" s="59" t="inlineStr">
        <is>
          <t>PDF</t>
        </is>
      </c>
    </row>
    <row r="4">
      <c r="A4" t="inlineStr">
        <is>
          <t>2026-10-30</t>
        </is>
      </c>
      <c r="B4" t="inlineStr">
        <is>
          <t>2027년 3월 결산기 2분기 결산단신</t>
        </is>
      </c>
      <c r="C4" t="inlineStr">
        <is>
          <t>https://www2.jpx.co.jp/disc/19640/140120261029559100.pdf</t>
        </is>
      </c>
    </row>
    <row r="5">
      <c r="A5" t="inlineStr">
        <is>
          <t>2026-07-24</t>
        </is>
      </c>
      <c r="B5" t="inlineStr">
        <is>
          <t>2027년 3월 결산기 1분기 결산단신</t>
        </is>
      </c>
      <c r="C5" t="inlineStr">
        <is>
          <t>https://www2.jpx.co.jp/disc/19640/140120260724599456.pdf</t>
        </is>
      </c>
    </row>
    <row r="6">
      <c r="A6" t="inlineStr">
        <is>
          <t>2026-04-28</t>
        </is>
      </c>
      <c r="B6" t="inlineStr">
        <is>
          <t>2626년 3월 결산기 연간 결산단신</t>
        </is>
      </c>
      <c r="C6" t="inlineStr">
        <is>
          <t>https://www2.jpx.co.jp/disc/19640/140120260425510964.pdf</t>
        </is>
      </c>
    </row>
    <row r="7">
      <c r="A7" t="inlineStr">
        <is>
          <t>2026-01-30</t>
        </is>
      </c>
      <c r="B7" t="inlineStr">
        <is>
          <t>2026년 3월 결산기 3분기 결산단신</t>
        </is>
      </c>
      <c r="C7" t="inlineStr">
        <is>
          <t>https://www2.jpx.co.jp/disc/19640/140120260128540766.pdf</t>
        </is>
      </c>
    </row>
    <row r="8">
      <c r="A8" t="inlineStr">
        <is>
          <t>2025-10-31</t>
        </is>
      </c>
      <c r="B8" t="inlineStr">
        <is>
          <t>2026년 3월 결산기 2분기 결산단신</t>
        </is>
      </c>
      <c r="C8" t="inlineStr">
        <is>
          <t>https://www2.jpx.co.jp/disc/19640/140120251028579787.pdf</t>
        </is>
      </c>
    </row>
    <row r="9">
      <c r="A9" t="inlineStr">
        <is>
          <t>2025-07-25</t>
        </is>
      </c>
      <c r="B9" t="inlineStr">
        <is>
          <t>2026년 3월 결산기 1분기 결산단신</t>
        </is>
      </c>
      <c r="C9" t="inlineStr">
        <is>
          <t>https://www2.jpx.co.jp/disc/19640/140120250724519149.pdf</t>
        </is>
      </c>
    </row>
    <row r="10">
      <c r="A10" t="inlineStr">
        <is>
          <t>2025-04-28</t>
        </is>
      </c>
      <c r="B10" t="inlineStr">
        <is>
          <t>2025년 3월 결산기 연간 결산단신</t>
        </is>
      </c>
      <c r="C10" t="inlineStr">
        <is>
          <t>https://www2.jpx.co.jp/disc/19640/140120250426525154.pdf</t>
        </is>
      </c>
    </row>
    <row r="11">
      <c r="A11" t="inlineStr">
        <is>
          <t>2025-01-31</t>
        </is>
      </c>
      <c r="B11" t="inlineStr">
        <is>
          <t>2025년 3월 결산기 3분기 결산단신</t>
        </is>
      </c>
      <c r="C11" t="inlineStr">
        <is>
          <t>https://www2.jpx.co.jp/disc/19640/140120250127555440.pdf</t>
        </is>
      </c>
    </row>
    <row r="12">
      <c r="A12" t="inlineStr">
        <is>
          <t>2024-10-31</t>
        </is>
      </c>
      <c r="B12" t="inlineStr">
        <is>
          <t>2025년 3월 결산기 2분기 결산단신</t>
        </is>
      </c>
      <c r="C12" t="inlineStr">
        <is>
          <t>https://www2.jpx.co.jp/disc/19640/140120241026503307.pdf</t>
        </is>
      </c>
    </row>
    <row r="13">
      <c r="A13" t="inlineStr">
        <is>
          <t>2024-07-26</t>
        </is>
      </c>
      <c r="B13" t="inlineStr">
        <is>
          <t>2025년 3월 결산기 1분기 결산단신</t>
        </is>
      </c>
      <c r="C13" t="inlineStr">
        <is>
          <t>https://www2.jpx.co.jp/disc/19640/140120240721551992.pdf</t>
        </is>
      </c>
    </row>
    <row r="14">
      <c r="A14" t="inlineStr">
        <is>
          <t>2024-04-30</t>
        </is>
      </c>
      <c r="B14" t="inlineStr">
        <is>
          <t>2024년 3월 결산기 연간 결산단신</t>
        </is>
      </c>
      <c r="C14" t="inlineStr">
        <is>
          <t>https://www2.jpx.co.jp/disc/19640/140120240412569530.pdf</t>
        </is>
      </c>
    </row>
    <row r="15">
      <c r="A15" t="inlineStr">
        <is>
          <t>2024-01-31</t>
        </is>
      </c>
      <c r="B15" t="inlineStr">
        <is>
          <t>2024년 3월 결산기 3분기 결산단신</t>
        </is>
      </c>
      <c r="C15" t="inlineStr">
        <is>
          <t>https://www2.jpx.co.jp/disc/19640/140120240105511226.pdf</t>
        </is>
      </c>
    </row>
    <row r="16">
      <c r="A16" t="inlineStr">
        <is>
          <t>2023-10-30</t>
        </is>
      </c>
      <c r="B16" t="inlineStr">
        <is>
          <t>2024년 3월 결산기 2분기 결산단신</t>
        </is>
      </c>
      <c r="C16" t="inlineStr">
        <is>
          <t>https://www2.jpx.co.jp/disc/19640/140120231006563778.pdf</t>
        </is>
      </c>
    </row>
    <row r="17">
      <c r="A17" t="inlineStr">
        <is>
          <t>2023-07-28</t>
        </is>
      </c>
      <c r="B17" t="inlineStr">
        <is>
          <t>2024년 3월 결산기 1분기 결산단신</t>
        </is>
      </c>
      <c r="C17" t="inlineStr">
        <is>
          <t>https://www2.jpx.co.jp/disc/19640/140120230627512494.pdf</t>
        </is>
      </c>
    </row>
    <row r="18">
      <c r="A18" t="inlineStr">
        <is>
          <t>2023-05-12</t>
        </is>
      </c>
      <c r="B18" t="inlineStr">
        <is>
          <t>2023년 3월 결산기 연간 결산단신</t>
        </is>
      </c>
      <c r="C18" t="inlineStr">
        <is>
          <t>https://www2.jpx.co.jp/disc/19640/140120230410544737.pdf</t>
        </is>
      </c>
    </row>
    <row r="19">
      <c r="A19" t="inlineStr">
        <is>
          <t>2023-02-10</t>
        </is>
      </c>
      <c r="B19" t="inlineStr">
        <is>
          <t>2023년 3월 결산기 3분기 결산단신</t>
        </is>
      </c>
      <c r="C19" t="inlineStr">
        <is>
          <t>https://www2.jpx.co.jp/disc/19640/140120230120591916.pdf</t>
        </is>
      </c>
    </row>
    <row r="20">
      <c r="A20" t="inlineStr">
        <is>
          <t>2022-05-13</t>
        </is>
      </c>
      <c r="B20" t="inlineStr">
        <is>
          <t>2022년 3월 결산기 연간 결산단신</t>
        </is>
      </c>
      <c r="C20" t="inlineStr">
        <is>
          <t>https://www2.jpx.co.jp/disc/19640/140120220422525717.pdf</t>
        </is>
      </c>
    </row>
    <row r="21">
      <c r="A21" t="inlineStr">
        <is>
          <t>2021-05-14</t>
        </is>
      </c>
      <c r="B21" t="inlineStr">
        <is>
          <t>2021년 3월 결산기 연간 결산단신</t>
        </is>
      </c>
      <c r="C21" t="inlineStr">
        <is>
          <t>https://www2.jpx.co.jp/disc/19640/140120210514418748.pdf</t>
        </is>
      </c>
    </row>
    <row r="22">
      <c r="A22" t="inlineStr">
        <is>
          <t>2020-05-15</t>
        </is>
      </c>
      <c r="B22" t="inlineStr">
        <is>
          <t>2020년 3월 결산기 연간 결산단신</t>
        </is>
      </c>
      <c r="C22" t="inlineStr">
        <is>
          <t>https://www2.jpx.co.jp/disc/19640/140120200430402931.pdf</t>
        </is>
      </c>
    </row>
    <row r="23">
      <c r="A23" t="inlineStr">
        <is>
          <t>2019-05-14</t>
        </is>
      </c>
      <c r="B23" t="inlineStr">
        <is>
          <t>2019년 3월 결산기 연간 결산단신</t>
        </is>
      </c>
      <c r="C23" t="inlineStr">
        <is>
          <t>https://www2.jpx.co.jp/disc/19640/140120190422408324.pdf</t>
        </is>
      </c>
    </row>
    <row r="24">
      <c r="A24" t="inlineStr">
        <is>
          <t>2018-05-11</t>
        </is>
      </c>
      <c r="B24" t="inlineStr">
        <is>
          <t>연간 결산단신</t>
        </is>
      </c>
      <c r="C24" t="inlineStr">
        <is>
          <t>https://www2.jpx.co.jp/disc/19640/140120180423417540.pdf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2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60" t="inlineStr">
        <is>
          <t>1964 재무제표 한눈에 보기 — 최근 40개 분기(달력 분기, 3Q26 = 26.7~9) · 단위 억 엔</t>
        </is>
      </c>
    </row>
    <row r="2">
      <c r="A2" s="61" t="inlineStr">
        <is>
          <t>출처: 매출·영업이익 결산단신 XBRL · 재무상태표 등 결산단신 XBRL 36건(2018-02-09~2026-10-30). 부문·지역·수주·수출은 있을 때만(출처는 줄 끝). 총 차입금 = 이자 붙는 부채 전부(단기·장기 차입금, CP, 사채·전환사채, 리스부채)</t>
        </is>
      </c>
    </row>
    <row r="4">
      <c r="A4" s="62" t="inlineStr">
        <is>
          <t>항목</t>
        </is>
      </c>
      <c r="B4" s="63" t="inlineStr">
        <is>
          <t>4Q16</t>
        </is>
      </c>
      <c r="C4" s="63" t="inlineStr">
        <is>
          <t>1Q17</t>
        </is>
      </c>
      <c r="D4" s="63" t="inlineStr">
        <is>
          <t>2Q17</t>
        </is>
      </c>
      <c r="E4" s="63" t="inlineStr">
        <is>
          <t>3Q17</t>
        </is>
      </c>
      <c r="F4" s="63" t="inlineStr">
        <is>
          <t>4Q17</t>
        </is>
      </c>
      <c r="G4" s="63" t="inlineStr">
        <is>
          <t>1Q18</t>
        </is>
      </c>
      <c r="H4" s="63" t="inlineStr">
        <is>
          <t>2Q18</t>
        </is>
      </c>
      <c r="I4" s="63" t="inlineStr">
        <is>
          <t>3Q18</t>
        </is>
      </c>
      <c r="J4" s="63" t="inlineStr">
        <is>
          <t>4Q18</t>
        </is>
      </c>
      <c r="K4" s="63" t="inlineStr">
        <is>
          <t>1Q19</t>
        </is>
      </c>
      <c r="L4" s="63" t="inlineStr">
        <is>
          <t>2Q19</t>
        </is>
      </c>
      <c r="M4" s="63" t="inlineStr">
        <is>
          <t>3Q19</t>
        </is>
      </c>
      <c r="N4" s="63" t="inlineStr">
        <is>
          <t>4Q19</t>
        </is>
      </c>
      <c r="O4" s="63" t="inlineStr">
        <is>
          <t>1Q20</t>
        </is>
      </c>
      <c r="P4" s="63" t="inlineStr">
        <is>
          <t>2Q20</t>
        </is>
      </c>
      <c r="Q4" s="63" t="inlineStr">
        <is>
          <t>3Q20</t>
        </is>
      </c>
      <c r="R4" s="63" t="inlineStr">
        <is>
          <t>4Q20</t>
        </is>
      </c>
      <c r="S4" s="63" t="inlineStr">
        <is>
          <t>1Q21</t>
        </is>
      </c>
      <c r="T4" s="63" t="inlineStr">
        <is>
          <t>2Q21</t>
        </is>
      </c>
      <c r="U4" s="63" t="inlineStr">
        <is>
          <t>3Q21</t>
        </is>
      </c>
      <c r="V4" s="63" t="inlineStr">
        <is>
          <t>4Q21</t>
        </is>
      </c>
      <c r="W4" s="63" t="inlineStr">
        <is>
          <t>1Q22</t>
        </is>
      </c>
      <c r="X4" s="63" t="inlineStr">
        <is>
          <t>2Q22</t>
        </is>
      </c>
      <c r="Y4" s="63" t="inlineStr">
        <is>
          <t>3Q22</t>
        </is>
      </c>
      <c r="Z4" s="63" t="inlineStr">
        <is>
          <t>4Q22</t>
        </is>
      </c>
      <c r="AA4" s="63" t="inlineStr">
        <is>
          <t>1Q23</t>
        </is>
      </c>
      <c r="AB4" s="63" t="inlineStr">
        <is>
          <t>2Q23</t>
        </is>
      </c>
      <c r="AC4" s="63" t="inlineStr">
        <is>
          <t>3Q23</t>
        </is>
      </c>
      <c r="AD4" s="63" t="inlineStr">
        <is>
          <t>4Q23</t>
        </is>
      </c>
      <c r="AE4" s="63" t="inlineStr">
        <is>
          <t>1Q24</t>
        </is>
      </c>
      <c r="AF4" s="63" t="inlineStr">
        <is>
          <t>2Q24</t>
        </is>
      </c>
      <c r="AG4" s="63" t="inlineStr">
        <is>
          <t>3Q24</t>
        </is>
      </c>
      <c r="AH4" s="63" t="inlineStr">
        <is>
          <t>4Q24</t>
        </is>
      </c>
      <c r="AI4" s="63" t="inlineStr">
        <is>
          <t>1Q25</t>
        </is>
      </c>
      <c r="AJ4" s="63" t="inlineStr">
        <is>
          <t>2Q25</t>
        </is>
      </c>
      <c r="AK4" s="63" t="inlineStr">
        <is>
          <t>3Q25</t>
        </is>
      </c>
      <c r="AL4" s="63" t="inlineStr">
        <is>
          <t>4Q25</t>
        </is>
      </c>
      <c r="AM4" s="63" t="inlineStr">
        <is>
          <t>1Q26</t>
        </is>
      </c>
      <c r="AN4" s="63" t="inlineStr">
        <is>
          <t>2Q26</t>
        </is>
      </c>
      <c r="AO4" s="63" t="inlineStr">
        <is>
          <t>3Q26</t>
        </is>
      </c>
      <c r="AP4" s="62" t="inlineStr">
        <is>
          <t>출처</t>
        </is>
      </c>
    </row>
    <row r="5">
      <c r="A5" s="64" t="inlineStr">
        <is>
          <t>매출액</t>
        </is>
      </c>
      <c r="B5" s="65" t="n"/>
      <c r="C5" s="65" t="n">
        <v>104.7</v>
      </c>
      <c r="D5" s="65" t="n">
        <v>38.4</v>
      </c>
      <c r="E5" s="65" t="n">
        <v>72.2</v>
      </c>
      <c r="F5" s="65" t="n">
        <v>70.59999999999999</v>
      </c>
      <c r="G5" s="65" t="n">
        <v>127.2</v>
      </c>
      <c r="H5" s="65" t="n">
        <v>60</v>
      </c>
      <c r="I5" s="65" t="n">
        <v>87.7</v>
      </c>
      <c r="J5" s="65" t="n">
        <v>86.3</v>
      </c>
      <c r="K5" s="65" t="n">
        <v>136.9</v>
      </c>
      <c r="L5" s="65" t="n">
        <v>67.90000000000001</v>
      </c>
      <c r="M5" s="65" t="n">
        <v>108.7</v>
      </c>
      <c r="N5" s="65" t="n">
        <v>84.09999999999999</v>
      </c>
      <c r="O5" s="65" t="n">
        <v>120.2</v>
      </c>
      <c r="P5" s="65" t="n">
        <v>48.2</v>
      </c>
      <c r="Q5" s="65" t="n">
        <v>47.4</v>
      </c>
      <c r="R5" s="65" t="n">
        <v>60.7</v>
      </c>
      <c r="S5" s="65" t="n">
        <v>90.90000000000001</v>
      </c>
      <c r="T5" s="65" t="n">
        <v>45.1</v>
      </c>
      <c r="U5" s="65" t="n">
        <v>53.2</v>
      </c>
      <c r="V5" s="65" t="n">
        <v>60.9</v>
      </c>
      <c r="W5" s="65" t="n">
        <v>103.9</v>
      </c>
      <c r="X5" s="65" t="n">
        <v>36.9</v>
      </c>
      <c r="Y5" s="65" t="n">
        <v>58.9</v>
      </c>
      <c r="Z5" s="65" t="n">
        <v>68.90000000000001</v>
      </c>
      <c r="AA5" s="65" t="n">
        <v>115</v>
      </c>
      <c r="AB5" s="65" t="n">
        <v>47.4</v>
      </c>
      <c r="AC5" s="65" t="n">
        <v>78.7</v>
      </c>
      <c r="AD5" s="65" t="n">
        <v>58.4</v>
      </c>
      <c r="AE5" s="65" t="n">
        <v>108.4</v>
      </c>
      <c r="AF5" s="65" t="n">
        <v>52.8</v>
      </c>
      <c r="AG5" s="65" t="n">
        <v>94.40000000000001</v>
      </c>
      <c r="AH5" s="65" t="n">
        <v>75</v>
      </c>
      <c r="AI5" s="65" t="n">
        <v>140.3</v>
      </c>
      <c r="AJ5" s="65" t="n">
        <v>63.5</v>
      </c>
      <c r="AK5" s="65" t="n">
        <v>84.2</v>
      </c>
      <c r="AL5" s="65" t="n">
        <v>90.2</v>
      </c>
      <c r="AM5" s="65" t="n">
        <v>135.5</v>
      </c>
      <c r="AN5" s="65" t="n">
        <v>61.2</v>
      </c>
      <c r="AO5" s="65" t="n">
        <v>99.40000000000001</v>
      </c>
    </row>
    <row r="6">
      <c r="A6" s="64" t="inlineStr">
        <is>
          <t>매출액 YoY</t>
        </is>
      </c>
      <c r="B6" s="66" t="n"/>
      <c r="C6" s="66" t="n"/>
      <c r="D6" s="66" t="n"/>
      <c r="E6" s="66" t="n"/>
      <c r="F6" s="66" t="n"/>
      <c r="G6" s="66" t="n">
        <v>21.5</v>
      </c>
      <c r="H6" s="66" t="n">
        <v>56.2</v>
      </c>
      <c r="I6" s="66" t="n">
        <v>21.5</v>
      </c>
      <c r="J6" s="66" t="n">
        <v>22.2</v>
      </c>
      <c r="K6" s="66" t="n">
        <v>7.6</v>
      </c>
      <c r="L6" s="66" t="n">
        <v>13.2</v>
      </c>
      <c r="M6" s="66" t="n">
        <v>23.9</v>
      </c>
      <c r="N6" s="66" t="n">
        <v>-2.5</v>
      </c>
      <c r="O6" s="66" t="n">
        <v>-12.2</v>
      </c>
      <c r="P6" s="66" t="n">
        <v>-29</v>
      </c>
      <c r="Q6" s="66" t="n">
        <v>-56.4</v>
      </c>
      <c r="R6" s="66" t="n">
        <v>-27.8</v>
      </c>
      <c r="S6" s="66" t="n">
        <v>-24.4</v>
      </c>
      <c r="T6" s="66" t="n">
        <v>-6.4</v>
      </c>
      <c r="U6" s="66" t="n">
        <v>12.2</v>
      </c>
      <c r="V6" s="66" t="n">
        <v>0.3</v>
      </c>
      <c r="W6" s="66" t="n">
        <v>14.3</v>
      </c>
      <c r="X6" s="66" t="n">
        <v>-18.2</v>
      </c>
      <c r="Y6" s="66" t="n">
        <v>10.7</v>
      </c>
      <c r="Z6" s="66" t="n">
        <v>13.1</v>
      </c>
      <c r="AA6" s="66" t="n">
        <v>10.7</v>
      </c>
      <c r="AB6" s="66" t="n">
        <v>28.5</v>
      </c>
      <c r="AC6" s="66" t="n">
        <v>33.6</v>
      </c>
      <c r="AD6" s="66" t="n">
        <v>-15.2</v>
      </c>
      <c r="AE6" s="66" t="n">
        <v>-5.7</v>
      </c>
      <c r="AF6" s="66" t="n">
        <v>11.4</v>
      </c>
      <c r="AG6" s="66" t="n">
        <v>19.9</v>
      </c>
      <c r="AH6" s="66" t="n">
        <v>28.4</v>
      </c>
      <c r="AI6" s="66" t="n">
        <v>29.4</v>
      </c>
      <c r="AJ6" s="66" t="n">
        <v>20.3</v>
      </c>
      <c r="AK6" s="66" t="n">
        <v>-10.8</v>
      </c>
      <c r="AL6" s="66" t="n">
        <v>20.3</v>
      </c>
      <c r="AM6" s="66" t="n">
        <v>-3.4</v>
      </c>
      <c r="AN6" s="66" t="n">
        <v>-3.6</v>
      </c>
      <c r="AO6" s="66" t="n">
        <v>18.1</v>
      </c>
    </row>
    <row r="7">
      <c r="A7" s="64" t="inlineStr">
        <is>
          <t>영업이익</t>
        </is>
      </c>
      <c r="B7" s="65" t="n"/>
      <c r="C7" s="65" t="n">
        <v>11.3</v>
      </c>
      <c r="D7" s="65" t="n">
        <v>-7.2</v>
      </c>
      <c r="E7" s="65" t="n">
        <v>1.9</v>
      </c>
      <c r="F7" s="65" t="n">
        <v>0.7</v>
      </c>
      <c r="G7" s="65" t="n">
        <v>16.5</v>
      </c>
      <c r="H7" s="65" t="n">
        <v>-4.5</v>
      </c>
      <c r="I7" s="65" t="n">
        <v>3.6</v>
      </c>
      <c r="J7" s="65" t="n">
        <v>1.3</v>
      </c>
      <c r="K7" s="65" t="n">
        <v>9.5</v>
      </c>
      <c r="L7" s="65" t="n">
        <v>-1.2</v>
      </c>
      <c r="M7" s="65" t="n">
        <v>9</v>
      </c>
      <c r="N7" s="65" t="n">
        <v>2.2</v>
      </c>
      <c r="O7" s="65" t="n">
        <v>7.1</v>
      </c>
      <c r="P7" s="65" t="n">
        <v>-2.7</v>
      </c>
      <c r="Q7" s="65" t="n">
        <v>-2.3</v>
      </c>
      <c r="R7" s="65" t="n">
        <v>-2.2</v>
      </c>
      <c r="S7" s="65" t="n">
        <v>11.2</v>
      </c>
      <c r="T7" s="65" t="n">
        <v>-3.7</v>
      </c>
      <c r="U7" s="65" t="n">
        <v>0.5</v>
      </c>
      <c r="V7" s="65" t="n">
        <v>0.5</v>
      </c>
      <c r="W7" s="65" t="n">
        <v>15.3</v>
      </c>
      <c r="X7" s="65" t="n">
        <v>-7.3</v>
      </c>
      <c r="Y7" s="65" t="n">
        <v>0.4</v>
      </c>
      <c r="Z7" s="65" t="n">
        <v>1.2</v>
      </c>
      <c r="AA7" s="65" t="n">
        <v>18.8</v>
      </c>
      <c r="AB7" s="65" t="n">
        <v>-6.3</v>
      </c>
      <c r="AC7" s="65" t="n">
        <v>3.8</v>
      </c>
      <c r="AD7" s="65" t="n">
        <v>-1.9</v>
      </c>
      <c r="AE7" s="65" t="n">
        <v>19.2</v>
      </c>
      <c r="AF7" s="65" t="n">
        <v>-6.8</v>
      </c>
      <c r="AG7" s="65" t="n">
        <v>7.6</v>
      </c>
      <c r="AH7" s="65" t="n">
        <v>2</v>
      </c>
      <c r="AI7" s="65" t="n">
        <v>24.6</v>
      </c>
      <c r="AJ7" s="65" t="n">
        <v>-3.7</v>
      </c>
      <c r="AK7" s="65" t="n">
        <v>5.3</v>
      </c>
      <c r="AL7" s="65" t="n">
        <v>4.6</v>
      </c>
      <c r="AM7" s="65" t="n">
        <v>22.6</v>
      </c>
      <c r="AN7" s="65" t="n">
        <v>-2.1</v>
      </c>
      <c r="AO7" s="65" t="n">
        <v>8.5</v>
      </c>
    </row>
    <row r="8">
      <c r="A8" s="64" t="inlineStr">
        <is>
          <t>영업이익률</t>
        </is>
      </c>
      <c r="B8" s="66" t="n"/>
      <c r="C8" s="66" t="n">
        <v>10.8</v>
      </c>
      <c r="D8" s="66" t="n">
        <v>-18.8</v>
      </c>
      <c r="E8" s="66" t="n">
        <v>2.6</v>
      </c>
      <c r="F8" s="66" t="n">
        <v>1</v>
      </c>
      <c r="G8" s="66" t="n">
        <v>13</v>
      </c>
      <c r="H8" s="66" t="n">
        <v>-7.5</v>
      </c>
      <c r="I8" s="66" t="n">
        <v>4.1</v>
      </c>
      <c r="J8" s="66" t="n">
        <v>1.5</v>
      </c>
      <c r="K8" s="66" t="n">
        <v>6.9</v>
      </c>
      <c r="L8" s="66" t="n">
        <v>-1.8</v>
      </c>
      <c r="M8" s="66" t="n">
        <v>8.300000000000001</v>
      </c>
      <c r="N8" s="66" t="n">
        <v>2.6</v>
      </c>
      <c r="O8" s="66" t="n">
        <v>5.9</v>
      </c>
      <c r="P8" s="66" t="n">
        <v>-5.6</v>
      </c>
      <c r="Q8" s="66" t="n">
        <v>-4.9</v>
      </c>
      <c r="R8" s="66" t="n">
        <v>-3.6</v>
      </c>
      <c r="S8" s="66" t="n">
        <v>12.3</v>
      </c>
      <c r="T8" s="66" t="n">
        <v>-8.199999999999999</v>
      </c>
      <c r="U8" s="66" t="n">
        <v>0.9</v>
      </c>
      <c r="V8" s="66" t="n">
        <v>0.8</v>
      </c>
      <c r="W8" s="66" t="n">
        <v>14.7</v>
      </c>
      <c r="X8" s="66" t="n">
        <v>-19.8</v>
      </c>
      <c r="Y8" s="66" t="n">
        <v>0.7</v>
      </c>
      <c r="Z8" s="66" t="n">
        <v>1.7</v>
      </c>
      <c r="AA8" s="66" t="n">
        <v>16.3</v>
      </c>
      <c r="AB8" s="66" t="n">
        <v>-13.3</v>
      </c>
      <c r="AC8" s="66" t="n">
        <v>4.8</v>
      </c>
      <c r="AD8" s="66" t="n">
        <v>-3.3</v>
      </c>
      <c r="AE8" s="66" t="n">
        <v>17.7</v>
      </c>
      <c r="AF8" s="66" t="n">
        <v>-12.9</v>
      </c>
      <c r="AG8" s="66" t="n">
        <v>8.1</v>
      </c>
      <c r="AH8" s="66" t="n">
        <v>2.7</v>
      </c>
      <c r="AI8" s="66" t="n">
        <v>17.5</v>
      </c>
      <c r="AJ8" s="66" t="n">
        <v>-5.8</v>
      </c>
      <c r="AK8" s="66" t="n">
        <v>6.3</v>
      </c>
      <c r="AL8" s="66" t="n">
        <v>5.1</v>
      </c>
      <c r="AM8" s="66" t="n">
        <v>16.7</v>
      </c>
      <c r="AN8" s="66" t="n">
        <v>-3.4</v>
      </c>
      <c r="AO8" s="66" t="n">
        <v>8.6</v>
      </c>
    </row>
    <row r="9">
      <c r="A9" s="64" t="inlineStr">
        <is>
          <t>영업이익 YoY</t>
        </is>
      </c>
      <c r="B9" s="66" t="n"/>
      <c r="C9" s="66" t="n"/>
      <c r="D9" s="66" t="n"/>
      <c r="E9" s="66" t="n"/>
      <c r="F9" s="66" t="n"/>
      <c r="G9" s="66" t="n">
        <v>46</v>
      </c>
      <c r="H9" s="66" t="n"/>
      <c r="I9" s="66" t="n">
        <v>89.5</v>
      </c>
      <c r="J9" s="66" t="n">
        <v>85.7</v>
      </c>
      <c r="K9" s="66" t="n">
        <v>-42.4</v>
      </c>
      <c r="L9" s="66" t="n"/>
      <c r="M9" s="66" t="n">
        <v>150</v>
      </c>
      <c r="N9" s="66" t="n">
        <v>69.2</v>
      </c>
      <c r="O9" s="66" t="n">
        <v>-25.3</v>
      </c>
      <c r="P9" s="66" t="n"/>
      <c r="Q9" s="66" t="n">
        <v>-125.6</v>
      </c>
      <c r="R9" s="66" t="n">
        <v>-200</v>
      </c>
      <c r="S9" s="66" t="n">
        <v>57.7</v>
      </c>
      <c r="T9" s="66" t="n"/>
      <c r="U9" s="66" t="n"/>
      <c r="V9" s="66" t="n"/>
      <c r="W9" s="66" t="n">
        <v>36.6</v>
      </c>
      <c r="X9" s="66" t="n"/>
      <c r="Y9" s="66" t="n">
        <v>-20</v>
      </c>
      <c r="Z9" s="66" t="n">
        <v>140</v>
      </c>
      <c r="AA9" s="66" t="n">
        <v>22.9</v>
      </c>
      <c r="AB9" s="66" t="n"/>
      <c r="AC9" s="66" t="n">
        <v>850</v>
      </c>
      <c r="AD9" s="66" t="n">
        <v>-258.3</v>
      </c>
      <c r="AE9" s="66" t="n">
        <v>2.1</v>
      </c>
      <c r="AF9" s="66" t="n"/>
      <c r="AG9" s="66" t="n">
        <v>100</v>
      </c>
      <c r="AH9" s="66" t="n"/>
      <c r="AI9" s="66" t="n">
        <v>28.1</v>
      </c>
      <c r="AJ9" s="66" t="n"/>
      <c r="AK9" s="66" t="n">
        <v>-30.3</v>
      </c>
      <c r="AL9" s="66" t="n">
        <v>130</v>
      </c>
      <c r="AM9" s="66" t="n">
        <v>-8.1</v>
      </c>
      <c r="AN9" s="66" t="n"/>
      <c r="AO9" s="66" t="n">
        <v>60.4</v>
      </c>
    </row>
    <row r="10">
      <c r="A10" s="64" t="inlineStr">
        <is>
          <t>유동자산</t>
        </is>
      </c>
      <c r="B10" s="65" t="n"/>
      <c r="C10" s="65" t="n">
        <v>287.3</v>
      </c>
      <c r="D10" s="65" t="n"/>
      <c r="E10" s="65" t="n"/>
      <c r="F10" s="65" t="n">
        <v>285</v>
      </c>
      <c r="G10" s="65" t="n">
        <v>304.3</v>
      </c>
      <c r="H10" s="65" t="n">
        <v>285.9</v>
      </c>
      <c r="I10" s="65" t="n">
        <v>283.3</v>
      </c>
      <c r="J10" s="65" t="n">
        <v>278.5</v>
      </c>
      <c r="K10" s="65" t="n">
        <v>320.8</v>
      </c>
      <c r="L10" s="65" t="n">
        <v>323.7</v>
      </c>
      <c r="M10" s="65" t="n">
        <v>368.6</v>
      </c>
      <c r="N10" s="65" t="n">
        <v>373.4</v>
      </c>
      <c r="O10" s="65" t="n">
        <v>373.2</v>
      </c>
      <c r="P10" s="65" t="n">
        <v>339.6</v>
      </c>
      <c r="Q10" s="65" t="n">
        <v>272.5</v>
      </c>
      <c r="R10" s="65" t="n">
        <v>262.5</v>
      </c>
      <c r="S10" s="65" t="n">
        <v>276.2</v>
      </c>
      <c r="T10" s="65" t="n">
        <v>267.7</v>
      </c>
      <c r="U10" s="65" t="n">
        <v>247.6</v>
      </c>
      <c r="V10" s="65" t="n">
        <v>254.2</v>
      </c>
      <c r="W10" s="65" t="n">
        <v>272.7</v>
      </c>
      <c r="X10" s="65" t="n">
        <v>252.8</v>
      </c>
      <c r="Y10" s="65" t="n">
        <v>251</v>
      </c>
      <c r="Z10" s="65" t="n">
        <v>262.3</v>
      </c>
      <c r="AA10" s="65" t="n">
        <v>302.1</v>
      </c>
      <c r="AB10" s="65" t="n">
        <v>318.6</v>
      </c>
      <c r="AC10" s="65" t="n">
        <v>354.4</v>
      </c>
      <c r="AD10" s="65" t="n">
        <v>342.5</v>
      </c>
      <c r="AE10" s="65" t="n">
        <v>342.5</v>
      </c>
      <c r="AF10" s="65" t="n">
        <v>295.1</v>
      </c>
      <c r="AG10" s="65" t="n">
        <v>318.6</v>
      </c>
      <c r="AH10" s="65" t="n">
        <v>309.8</v>
      </c>
      <c r="AI10" s="65" t="n">
        <v>359.8</v>
      </c>
      <c r="AJ10" s="65" t="n">
        <v>339.3</v>
      </c>
      <c r="AK10" s="65" t="n">
        <v>339.2</v>
      </c>
      <c r="AL10" s="65" t="n">
        <v>338.5</v>
      </c>
      <c r="AM10" s="65" t="n">
        <v>385.7</v>
      </c>
      <c r="AN10" s="65" t="n">
        <v>336.2</v>
      </c>
      <c r="AO10" s="65" t="n">
        <v>335.4</v>
      </c>
    </row>
    <row r="11">
      <c r="A11" s="64" t="inlineStr">
        <is>
          <t>유동부채</t>
        </is>
      </c>
      <c r="B11" s="65" t="n"/>
      <c r="C11" s="65" t="n">
        <v>158.4</v>
      </c>
      <c r="D11" s="65" t="n"/>
      <c r="E11" s="65" t="n"/>
      <c r="F11" s="65" t="n">
        <v>166.7</v>
      </c>
      <c r="G11" s="65" t="n">
        <v>178.1</v>
      </c>
      <c r="H11" s="65" t="n">
        <v>169.3</v>
      </c>
      <c r="I11" s="65" t="n">
        <v>161.9</v>
      </c>
      <c r="J11" s="65" t="n">
        <v>157.4</v>
      </c>
      <c r="K11" s="65" t="n">
        <v>196</v>
      </c>
      <c r="L11" s="65" t="n">
        <v>204.4</v>
      </c>
      <c r="M11" s="65" t="n">
        <v>242.3</v>
      </c>
      <c r="N11" s="65" t="n">
        <v>246.1</v>
      </c>
      <c r="O11" s="65" t="n">
        <v>244.6</v>
      </c>
      <c r="P11" s="65" t="n">
        <v>219.9</v>
      </c>
      <c r="Q11" s="65" t="n">
        <v>149.8</v>
      </c>
      <c r="R11" s="65" t="n">
        <v>140.4</v>
      </c>
      <c r="S11" s="65" t="n">
        <v>143.2</v>
      </c>
      <c r="T11" s="65" t="n">
        <v>142.1</v>
      </c>
      <c r="U11" s="65" t="n">
        <v>117</v>
      </c>
      <c r="V11" s="65" t="n">
        <v>123</v>
      </c>
      <c r="W11" s="65" t="n">
        <v>124.5</v>
      </c>
      <c r="X11" s="65" t="n">
        <v>117.6</v>
      </c>
      <c r="Y11" s="65" t="n">
        <v>109.5</v>
      </c>
      <c r="Z11" s="65" t="n">
        <v>119.8</v>
      </c>
      <c r="AA11" s="65" t="n">
        <v>145.4</v>
      </c>
      <c r="AB11" s="65" t="n">
        <v>174</v>
      </c>
      <c r="AC11" s="65" t="n">
        <v>200.5</v>
      </c>
      <c r="AD11" s="65" t="n">
        <v>188.4</v>
      </c>
      <c r="AE11" s="65" t="n">
        <v>175.2</v>
      </c>
      <c r="AF11" s="65" t="n">
        <v>138.1</v>
      </c>
      <c r="AG11" s="65" t="n">
        <v>137.5</v>
      </c>
      <c r="AH11" s="65" t="n">
        <v>122.9</v>
      </c>
      <c r="AI11" s="65" t="n">
        <v>152.3</v>
      </c>
      <c r="AJ11" s="65" t="n">
        <v>145.8</v>
      </c>
      <c r="AK11" s="65" t="n">
        <v>144</v>
      </c>
      <c r="AL11" s="65" t="n">
        <v>130.6</v>
      </c>
      <c r="AM11" s="65" t="n">
        <v>154.4</v>
      </c>
      <c r="AN11" s="65" t="n">
        <v>129.5</v>
      </c>
      <c r="AO11" s="65" t="n">
        <v>125.2</v>
      </c>
    </row>
    <row r="12">
      <c r="A12" s="64" t="inlineStr">
        <is>
          <t>부채총계</t>
        </is>
      </c>
      <c r="B12" s="65" t="n"/>
      <c r="C12" s="65" t="n">
        <v>181.3</v>
      </c>
      <c r="D12" s="65" t="n"/>
      <c r="E12" s="65" t="n"/>
      <c r="F12" s="65" t="n">
        <v>194.1</v>
      </c>
      <c r="G12" s="65" t="n">
        <v>201.3</v>
      </c>
      <c r="H12" s="65" t="n">
        <v>190.7</v>
      </c>
      <c r="I12" s="65" t="n">
        <v>188.8</v>
      </c>
      <c r="J12" s="65" t="n">
        <v>180.6</v>
      </c>
      <c r="K12" s="65" t="n">
        <v>217.8</v>
      </c>
      <c r="L12" s="65" t="n">
        <v>223.9</v>
      </c>
      <c r="M12" s="65" t="n">
        <v>262.3</v>
      </c>
      <c r="N12" s="65" t="n">
        <v>266.4</v>
      </c>
      <c r="O12" s="65" t="n">
        <v>260.1</v>
      </c>
      <c r="P12" s="65" t="n">
        <v>235</v>
      </c>
      <c r="Q12" s="65" t="n">
        <v>171</v>
      </c>
      <c r="R12" s="65" t="n">
        <v>161</v>
      </c>
      <c r="S12" s="65" t="n">
        <v>167.8</v>
      </c>
      <c r="T12" s="65" t="n">
        <v>165.1</v>
      </c>
      <c r="U12" s="65" t="n">
        <v>144.2</v>
      </c>
      <c r="V12" s="65" t="n">
        <v>149.4</v>
      </c>
      <c r="W12" s="65" t="n">
        <v>149.3</v>
      </c>
      <c r="X12" s="65" t="n">
        <v>138.3</v>
      </c>
      <c r="Y12" s="65" t="n">
        <v>133.3</v>
      </c>
      <c r="Z12" s="65" t="n">
        <v>144.2</v>
      </c>
      <c r="AA12" s="65" t="n">
        <v>171.4</v>
      </c>
      <c r="AB12" s="65" t="n">
        <v>202.5</v>
      </c>
      <c r="AC12" s="65" t="n">
        <v>231.3</v>
      </c>
      <c r="AD12" s="65" t="n">
        <v>217.4</v>
      </c>
      <c r="AE12" s="65" t="n">
        <v>210.9</v>
      </c>
      <c r="AF12" s="65" t="n">
        <v>170.8</v>
      </c>
      <c r="AG12" s="65" t="n">
        <v>188</v>
      </c>
      <c r="AH12" s="65" t="n">
        <v>171.2</v>
      </c>
      <c r="AI12" s="65" t="n">
        <v>201.3</v>
      </c>
      <c r="AJ12" s="65" t="n">
        <v>188.8</v>
      </c>
      <c r="AK12" s="65" t="n">
        <v>193.2</v>
      </c>
      <c r="AL12" s="65" t="n">
        <v>176.5</v>
      </c>
      <c r="AM12" s="65" t="n">
        <v>198</v>
      </c>
      <c r="AN12" s="65" t="n">
        <v>174.2</v>
      </c>
      <c r="AO12" s="65" t="n">
        <v>173.9</v>
      </c>
    </row>
    <row r="13">
      <c r="A13" s="64" t="inlineStr">
        <is>
          <t>자기자본</t>
        </is>
      </c>
      <c r="B13" s="66" t="n"/>
      <c r="C13" s="66" t="n">
        <v>203.7</v>
      </c>
      <c r="D13" s="66" t="n"/>
      <c r="E13" s="66" t="n"/>
      <c r="F13" s="66" t="n">
        <v>204.7</v>
      </c>
      <c r="G13" s="66" t="n">
        <v>212.4</v>
      </c>
      <c r="H13" s="66" t="n">
        <v>205.4</v>
      </c>
      <c r="I13" s="66" t="n">
        <v>210.5</v>
      </c>
      <c r="J13" s="66" t="n">
        <v>203.3</v>
      </c>
      <c r="K13" s="66" t="n">
        <v>209.6</v>
      </c>
      <c r="L13" s="66" t="n">
        <v>203.4</v>
      </c>
      <c r="M13" s="66" t="n">
        <v>208.6</v>
      </c>
      <c r="N13" s="66" t="n">
        <v>213.8</v>
      </c>
      <c r="O13" s="66" t="n">
        <v>206.9</v>
      </c>
      <c r="P13" s="66" t="n">
        <v>201.5</v>
      </c>
      <c r="Q13" s="66" t="n">
        <v>201.1</v>
      </c>
      <c r="R13" s="66" t="n">
        <v>200.6</v>
      </c>
      <c r="S13" s="66" t="n">
        <v>217.9</v>
      </c>
      <c r="T13" s="66" t="n">
        <v>208.6</v>
      </c>
      <c r="U13" s="66" t="n">
        <v>212</v>
      </c>
      <c r="V13" s="66" t="n">
        <v>213.3</v>
      </c>
      <c r="W13" s="66" t="n">
        <v>232.1</v>
      </c>
      <c r="X13" s="66" t="n">
        <v>219</v>
      </c>
      <c r="Y13" s="66" t="n">
        <v>219.9</v>
      </c>
      <c r="Z13" s="66" t="n">
        <v>224.2</v>
      </c>
      <c r="AA13" s="66" t="n">
        <v>240.4</v>
      </c>
      <c r="AB13" s="66" t="n">
        <v>243.1</v>
      </c>
      <c r="AC13" s="66" t="n">
        <v>247.6</v>
      </c>
      <c r="AD13" s="66" t="n">
        <v>246.9</v>
      </c>
      <c r="AE13" s="66" t="n">
        <v>277.7</v>
      </c>
      <c r="AF13" s="66" t="n">
        <v>263.8</v>
      </c>
      <c r="AG13" s="66" t="n">
        <v>263.7</v>
      </c>
      <c r="AH13" s="66" t="n">
        <v>265.5</v>
      </c>
      <c r="AI13" s="66" t="n">
        <v>286.1</v>
      </c>
      <c r="AJ13" s="66" t="n">
        <v>271.4</v>
      </c>
      <c r="AK13" s="66" t="n">
        <v>283.3</v>
      </c>
      <c r="AL13" s="66" t="n">
        <v>291.4</v>
      </c>
      <c r="AM13" s="66" t="n">
        <v>314.8</v>
      </c>
      <c r="AN13" s="66" t="n">
        <v>294.1</v>
      </c>
      <c r="AO13" s="66" t="n">
        <v>300.3</v>
      </c>
    </row>
    <row r="14">
      <c r="A14" s="64" t="inlineStr">
        <is>
          <t>유동비율</t>
        </is>
      </c>
      <c r="B14" s="66" t="n"/>
      <c r="C14" s="66" t="n">
        <v>181.4</v>
      </c>
      <c r="D14" s="66" t="n"/>
      <c r="E14" s="66" t="n"/>
      <c r="F14" s="66" t="n">
        <v>171</v>
      </c>
      <c r="G14" s="66" t="n">
        <v>170.9</v>
      </c>
      <c r="H14" s="66" t="n">
        <v>168.9</v>
      </c>
      <c r="I14" s="66" t="n">
        <v>175</v>
      </c>
      <c r="J14" s="66" t="n">
        <v>176.9</v>
      </c>
      <c r="K14" s="66" t="n">
        <v>163.7</v>
      </c>
      <c r="L14" s="66" t="n">
        <v>158.4</v>
      </c>
      <c r="M14" s="66" t="n">
        <v>152.1</v>
      </c>
      <c r="N14" s="66" t="n">
        <v>151.7</v>
      </c>
      <c r="O14" s="66" t="n">
        <v>152.6</v>
      </c>
      <c r="P14" s="66" t="n">
        <v>154.4</v>
      </c>
      <c r="Q14" s="66" t="n">
        <v>181.9</v>
      </c>
      <c r="R14" s="66" t="n">
        <v>187</v>
      </c>
      <c r="S14" s="66" t="n">
        <v>192.9</v>
      </c>
      <c r="T14" s="66" t="n">
        <v>188.4</v>
      </c>
      <c r="U14" s="66" t="n">
        <v>211.6</v>
      </c>
      <c r="V14" s="66" t="n">
        <v>206.7</v>
      </c>
      <c r="W14" s="66" t="n">
        <v>219</v>
      </c>
      <c r="X14" s="66" t="n">
        <v>215</v>
      </c>
      <c r="Y14" s="66" t="n">
        <v>229.2</v>
      </c>
      <c r="Z14" s="66" t="n">
        <v>218.9</v>
      </c>
      <c r="AA14" s="66" t="n">
        <v>207.8</v>
      </c>
      <c r="AB14" s="66" t="n">
        <v>183.1</v>
      </c>
      <c r="AC14" s="66" t="n">
        <v>176.8</v>
      </c>
      <c r="AD14" s="66" t="n">
        <v>181.8</v>
      </c>
      <c r="AE14" s="66" t="n">
        <v>195.5</v>
      </c>
      <c r="AF14" s="66" t="n">
        <v>213.7</v>
      </c>
      <c r="AG14" s="66" t="n">
        <v>231.7</v>
      </c>
      <c r="AH14" s="66" t="n">
        <v>252.1</v>
      </c>
      <c r="AI14" s="66" t="n">
        <v>236.2</v>
      </c>
      <c r="AJ14" s="66" t="n">
        <v>232.7</v>
      </c>
      <c r="AK14" s="66" t="n">
        <v>235.6</v>
      </c>
      <c r="AL14" s="66" t="n">
        <v>259.2</v>
      </c>
      <c r="AM14" s="66" t="n">
        <v>249.8</v>
      </c>
      <c r="AN14" s="66" t="n">
        <v>259.6</v>
      </c>
      <c r="AO14" s="66" t="n">
        <v>267.9</v>
      </c>
    </row>
    <row r="15">
      <c r="A15" s="64" t="inlineStr">
        <is>
          <t>부채비율</t>
        </is>
      </c>
      <c r="B15" s="66" t="n"/>
      <c r="C15" s="66" t="n">
        <v>89</v>
      </c>
      <c r="D15" s="66" t="n"/>
      <c r="E15" s="66" t="n"/>
      <c r="F15" s="66" t="n">
        <v>94.8</v>
      </c>
      <c r="G15" s="66" t="n">
        <v>94.8</v>
      </c>
      <c r="H15" s="66" t="n">
        <v>92.8</v>
      </c>
      <c r="I15" s="66" t="n">
        <v>89.7</v>
      </c>
      <c r="J15" s="66" t="n">
        <v>88.8</v>
      </c>
      <c r="K15" s="66" t="n">
        <v>103.9</v>
      </c>
      <c r="L15" s="66" t="n">
        <v>110.1</v>
      </c>
      <c r="M15" s="66" t="n">
        <v>125.7</v>
      </c>
      <c r="N15" s="66" t="n">
        <v>124.6</v>
      </c>
      <c r="O15" s="66" t="n">
        <v>125.7</v>
      </c>
      <c r="P15" s="66" t="n">
        <v>116.6</v>
      </c>
      <c r="Q15" s="66" t="n">
        <v>85</v>
      </c>
      <c r="R15" s="66" t="n">
        <v>80.3</v>
      </c>
      <c r="S15" s="66" t="n">
        <v>77</v>
      </c>
      <c r="T15" s="66" t="n">
        <v>79.09999999999999</v>
      </c>
      <c r="U15" s="66" t="n">
        <v>68</v>
      </c>
      <c r="V15" s="66" t="n">
        <v>70</v>
      </c>
      <c r="W15" s="66" t="n">
        <v>64.3</v>
      </c>
      <c r="X15" s="66" t="n">
        <v>63.2</v>
      </c>
      <c r="Y15" s="66" t="n">
        <v>60.6</v>
      </c>
      <c r="Z15" s="66" t="n">
        <v>64.3</v>
      </c>
      <c r="AA15" s="66" t="n">
        <v>71.3</v>
      </c>
      <c r="AB15" s="66" t="n">
        <v>83.3</v>
      </c>
      <c r="AC15" s="66" t="n">
        <v>93.40000000000001</v>
      </c>
      <c r="AD15" s="66" t="n">
        <v>88.09999999999999</v>
      </c>
      <c r="AE15" s="66" t="n">
        <v>75.90000000000001</v>
      </c>
      <c r="AF15" s="66" t="n">
        <v>64.7</v>
      </c>
      <c r="AG15" s="66" t="n">
        <v>71.3</v>
      </c>
      <c r="AH15" s="66" t="n">
        <v>64.5</v>
      </c>
      <c r="AI15" s="66" t="n">
        <v>70.40000000000001</v>
      </c>
      <c r="AJ15" s="66" t="n">
        <v>69.59999999999999</v>
      </c>
      <c r="AK15" s="66" t="n">
        <v>68.2</v>
      </c>
      <c r="AL15" s="66" t="n">
        <v>60.6</v>
      </c>
      <c r="AM15" s="66" t="n">
        <v>62.9</v>
      </c>
      <c r="AN15" s="66" t="n">
        <v>59.2</v>
      </c>
      <c r="AO15" s="66" t="n">
        <v>57.9</v>
      </c>
    </row>
    <row r="16">
      <c r="A16" s="64" t="inlineStr">
        <is>
          <t>순차입금/자기자본</t>
        </is>
      </c>
      <c r="B16" s="66" t="n"/>
      <c r="C16" s="66" t="n">
        <v>-17.9</v>
      </c>
      <c r="D16" s="66" t="n"/>
      <c r="E16" s="66" t="n"/>
      <c r="F16" s="66" t="n">
        <v>9.300000000000001</v>
      </c>
      <c r="G16" s="66" t="n">
        <v>-12.9</v>
      </c>
      <c r="H16" s="66" t="n">
        <v>-22.4</v>
      </c>
      <c r="I16" s="66" t="n">
        <v>-18.5</v>
      </c>
      <c r="J16" s="66" t="n">
        <v>-3.7</v>
      </c>
      <c r="K16" s="66" t="n">
        <v>-0.8</v>
      </c>
      <c r="L16" s="66" t="n">
        <v>11.1</v>
      </c>
      <c r="M16" s="66" t="n">
        <v>24.3</v>
      </c>
      <c r="N16" s="66" t="n">
        <v>34.2</v>
      </c>
      <c r="O16" s="66" t="n">
        <v>6.4</v>
      </c>
      <c r="P16" s="66" t="n">
        <v>-2.7</v>
      </c>
      <c r="Q16" s="66" t="n">
        <v>-17.8</v>
      </c>
      <c r="R16" s="66" t="n">
        <v>-1.7</v>
      </c>
      <c r="S16" s="66" t="n">
        <v>-4.3</v>
      </c>
      <c r="T16" s="66" t="n">
        <v>-3.5</v>
      </c>
      <c r="U16" s="66" t="n">
        <v>-16.4</v>
      </c>
      <c r="V16" s="66" t="n">
        <v>-30.4</v>
      </c>
      <c r="W16" s="66" t="n">
        <v>-30.8</v>
      </c>
      <c r="X16" s="66" t="n">
        <v>-27.2</v>
      </c>
      <c r="Y16" s="66" t="n">
        <v>-21.7</v>
      </c>
      <c r="Z16" s="66" t="n">
        <v>-20.4</v>
      </c>
      <c r="AA16" s="66" t="n">
        <v>-16.2</v>
      </c>
      <c r="AB16" s="66" t="n">
        <v>-4</v>
      </c>
      <c r="AC16" s="66" t="n">
        <v>2.4</v>
      </c>
      <c r="AD16" s="66" t="n">
        <v>-1</v>
      </c>
      <c r="AE16" s="66" t="n">
        <v>-10</v>
      </c>
      <c r="AF16" s="66" t="n">
        <v>0.4</v>
      </c>
      <c r="AG16" s="66" t="n">
        <v>6.1</v>
      </c>
      <c r="AH16" s="66" t="n">
        <v>10.7</v>
      </c>
      <c r="AI16" s="66" t="n">
        <v>3.9</v>
      </c>
      <c r="AJ16" s="66" t="n">
        <v>1.2</v>
      </c>
      <c r="AK16" s="66" t="n">
        <v>-2.2</v>
      </c>
      <c r="AL16" s="66" t="n">
        <v>-5.7</v>
      </c>
      <c r="AM16" s="66" t="n">
        <v>-20.3</v>
      </c>
      <c r="AN16" s="66" t="n">
        <v>-9.699999999999999</v>
      </c>
      <c r="AO16" s="66" t="n">
        <v>-4.2</v>
      </c>
    </row>
    <row r="17">
      <c r="A17" s="64" t="inlineStr">
        <is>
          <t>재고자산</t>
        </is>
      </c>
      <c r="B17" s="65" t="n"/>
      <c r="C17" s="65" t="n">
        <v>9.199999999999999</v>
      </c>
      <c r="D17" s="65" t="n"/>
      <c r="E17" s="65" t="n"/>
      <c r="F17" s="65" t="n">
        <v>23.7</v>
      </c>
      <c r="G17" s="65" t="n">
        <v>14.4</v>
      </c>
      <c r="H17" s="65" t="n">
        <v>19.6</v>
      </c>
      <c r="I17" s="65" t="n">
        <v>19.6</v>
      </c>
      <c r="J17" s="65" t="n">
        <v>27.4</v>
      </c>
      <c r="K17" s="65" t="n">
        <v>16</v>
      </c>
      <c r="L17" s="65" t="n">
        <v>18.8</v>
      </c>
      <c r="M17" s="65" t="n">
        <v>16.5</v>
      </c>
      <c r="N17" s="65" t="n">
        <v>23.7</v>
      </c>
      <c r="O17" s="65" t="n">
        <v>16.2</v>
      </c>
      <c r="P17" s="65" t="n">
        <v>20</v>
      </c>
      <c r="Q17" s="65" t="n">
        <v>24.4</v>
      </c>
      <c r="R17" s="65" t="n">
        <v>20.7</v>
      </c>
      <c r="S17" s="65" t="n">
        <v>14.1</v>
      </c>
      <c r="T17" s="65" t="n">
        <v>15.6</v>
      </c>
      <c r="U17" s="65" t="n">
        <v>26.2</v>
      </c>
      <c r="V17" s="65" t="n">
        <v>25.6</v>
      </c>
      <c r="W17" s="65" t="n">
        <v>12.1</v>
      </c>
      <c r="X17" s="65" t="n">
        <v>18.7</v>
      </c>
      <c r="Y17" s="65" t="n">
        <v>19.7</v>
      </c>
      <c r="Z17" s="65" t="n">
        <v>22.4</v>
      </c>
      <c r="AA17" s="65" t="n">
        <v>15.6</v>
      </c>
      <c r="AB17" s="65" t="n">
        <v>15.8</v>
      </c>
      <c r="AC17" s="65" t="n">
        <v>18.2</v>
      </c>
      <c r="AD17" s="65" t="n">
        <v>25.2</v>
      </c>
      <c r="AE17" s="65" t="n">
        <v>21.1</v>
      </c>
      <c r="AF17" s="65" t="n">
        <v>27.2</v>
      </c>
      <c r="AG17" s="65" t="n">
        <v>28.3</v>
      </c>
      <c r="AH17" s="65" t="n">
        <v>25.5</v>
      </c>
      <c r="AI17" s="65" t="n">
        <v>17.3</v>
      </c>
      <c r="AJ17" s="65" t="n">
        <v>20.1</v>
      </c>
      <c r="AK17" s="65" t="n">
        <v>23.8</v>
      </c>
      <c r="AL17" s="65" t="n">
        <v>24.2</v>
      </c>
      <c r="AM17" s="65" t="n">
        <v>16.7</v>
      </c>
      <c r="AN17" s="65" t="n">
        <v>19.9</v>
      </c>
      <c r="AO17" s="65" t="n">
        <v>18.4</v>
      </c>
    </row>
    <row r="18">
      <c r="A18" s="64" t="inlineStr">
        <is>
          <t>재고자산 회전일수</t>
        </is>
      </c>
      <c r="B18" s="65" t="n"/>
      <c r="C18" s="65" t="n">
        <v>10</v>
      </c>
      <c r="D18" s="65" t="n"/>
      <c r="E18" s="65" t="n"/>
      <c r="F18" s="65" t="n">
        <v>36</v>
      </c>
      <c r="G18" s="65" t="n">
        <v>13</v>
      </c>
      <c r="H18" s="65" t="n">
        <v>33</v>
      </c>
      <c r="I18" s="65" t="n">
        <v>24</v>
      </c>
      <c r="J18" s="65" t="n">
        <v>33</v>
      </c>
      <c r="K18" s="65" t="n">
        <v>12</v>
      </c>
      <c r="L18" s="65" t="n">
        <v>29</v>
      </c>
      <c r="M18" s="65" t="n">
        <v>17</v>
      </c>
      <c r="N18" s="65" t="n">
        <v>30</v>
      </c>
      <c r="O18" s="65" t="n">
        <v>15</v>
      </c>
      <c r="P18" s="65" t="n">
        <v>44</v>
      </c>
      <c r="Q18" s="65" t="n">
        <v>56</v>
      </c>
      <c r="R18" s="65" t="n">
        <v>36</v>
      </c>
      <c r="S18" s="65" t="n">
        <v>19</v>
      </c>
      <c r="T18" s="65" t="n">
        <v>37</v>
      </c>
      <c r="U18" s="65" t="n">
        <v>57</v>
      </c>
      <c r="V18" s="65" t="n">
        <v>47</v>
      </c>
      <c r="W18" s="65" t="n">
        <v>14</v>
      </c>
      <c r="X18" s="65" t="n">
        <v>51</v>
      </c>
      <c r="Y18" s="65" t="n">
        <v>38</v>
      </c>
      <c r="Z18" s="65" t="n">
        <v>36</v>
      </c>
      <c r="AA18" s="65" t="n">
        <v>17</v>
      </c>
      <c r="AB18" s="65" t="n">
        <v>34</v>
      </c>
      <c r="AC18" s="65" t="n">
        <v>26</v>
      </c>
      <c r="AD18" s="65" t="n">
        <v>47</v>
      </c>
      <c r="AE18" s="65" t="n">
        <v>25</v>
      </c>
      <c r="AF18" s="65" t="n">
        <v>52</v>
      </c>
      <c r="AG18" s="65" t="n">
        <v>34</v>
      </c>
      <c r="AH18" s="65" t="n">
        <v>38</v>
      </c>
      <c r="AI18" s="65" t="n">
        <v>15</v>
      </c>
      <c r="AJ18" s="65" t="n">
        <v>34</v>
      </c>
      <c r="AK18" s="65" t="n">
        <v>33</v>
      </c>
      <c r="AL18" s="65" t="n">
        <v>31</v>
      </c>
      <c r="AM18" s="65" t="n">
        <v>15</v>
      </c>
      <c r="AN18" s="65" t="n">
        <v>36</v>
      </c>
      <c r="AO18" s="65" t="n">
        <v>22</v>
      </c>
    </row>
    <row r="19">
      <c r="A19" s="64" t="inlineStr">
        <is>
          <t>매출채권 회전일수</t>
        </is>
      </c>
      <c r="B19" s="65" t="n"/>
      <c r="C19" s="65" t="n">
        <v>171</v>
      </c>
      <c r="D19" s="65" t="n"/>
      <c r="E19" s="65" t="n"/>
      <c r="F19" s="65" t="n">
        <v>262</v>
      </c>
      <c r="G19" s="65" t="n">
        <v>157</v>
      </c>
      <c r="H19" s="65" t="n">
        <v>272</v>
      </c>
      <c r="I19" s="65" t="n">
        <v>187</v>
      </c>
      <c r="J19" s="65" t="n">
        <v>210</v>
      </c>
      <c r="K19" s="65" t="n">
        <v>167</v>
      </c>
      <c r="L19" s="65" t="n">
        <v>331</v>
      </c>
      <c r="M19" s="65" t="n">
        <v>242</v>
      </c>
      <c r="N19" s="65" t="n">
        <v>315</v>
      </c>
      <c r="O19" s="65" t="n">
        <v>204</v>
      </c>
      <c r="P19" s="65" t="n">
        <v>404</v>
      </c>
      <c r="Q19" s="65" t="n">
        <v>270</v>
      </c>
      <c r="R19" s="65" t="n">
        <v>247</v>
      </c>
      <c r="S19" s="65" t="n">
        <v>0</v>
      </c>
      <c r="T19" s="65" t="n">
        <v>366</v>
      </c>
      <c r="U19" s="65" t="n">
        <v>241</v>
      </c>
      <c r="V19" s="65" t="n">
        <v>181</v>
      </c>
      <c r="W19" s="65" t="n">
        <v>130</v>
      </c>
      <c r="X19" s="65" t="n">
        <v>331</v>
      </c>
      <c r="Y19" s="65" t="n">
        <v>217</v>
      </c>
      <c r="Z19" s="65" t="n">
        <v>199</v>
      </c>
      <c r="AA19" s="65" t="n">
        <v>164</v>
      </c>
      <c r="AB19" s="65" t="n">
        <v>402</v>
      </c>
      <c r="AC19" s="65" t="n">
        <v>274</v>
      </c>
      <c r="AD19" s="65" t="n">
        <v>354</v>
      </c>
      <c r="AE19" s="65" t="n">
        <v>184</v>
      </c>
      <c r="AF19" s="65" t="n">
        <v>350</v>
      </c>
      <c r="AG19" s="65" t="n">
        <v>225</v>
      </c>
      <c r="AH19" s="65" t="n">
        <v>297</v>
      </c>
      <c r="AI19" s="65" t="n">
        <v>193</v>
      </c>
      <c r="AJ19" s="65" t="n">
        <v>369</v>
      </c>
      <c r="AK19" s="65" t="n">
        <v>276</v>
      </c>
      <c r="AL19" s="65" t="n">
        <v>246</v>
      </c>
      <c r="AM19" s="65" t="n">
        <v>174</v>
      </c>
      <c r="AN19" s="65" t="n">
        <v>351</v>
      </c>
      <c r="AO19" s="65" t="n">
        <v>236</v>
      </c>
    </row>
    <row r="20">
      <c r="A20" s="64" t="inlineStr">
        <is>
          <t>매입채무 회전일수</t>
        </is>
      </c>
      <c r="B20" s="65" t="n"/>
      <c r="C20" s="65" t="n">
        <v>93</v>
      </c>
      <c r="D20" s="65" t="n"/>
      <c r="E20" s="65" t="n"/>
      <c r="F20" s="65" t="n">
        <v>98</v>
      </c>
      <c r="G20" s="65" t="n">
        <v>85</v>
      </c>
      <c r="H20" s="65" t="n">
        <v>121</v>
      </c>
      <c r="I20" s="65" t="n">
        <v>97</v>
      </c>
      <c r="J20" s="65" t="n">
        <v>101</v>
      </c>
      <c r="K20" s="65" t="n">
        <v>87</v>
      </c>
      <c r="L20" s="65" t="n">
        <v>131</v>
      </c>
      <c r="M20" s="65" t="n">
        <v>99</v>
      </c>
      <c r="N20" s="65" t="n">
        <v>104</v>
      </c>
      <c r="O20" s="65" t="n">
        <v>96</v>
      </c>
      <c r="P20" s="65" t="n">
        <v>156</v>
      </c>
      <c r="Q20" s="65" t="n">
        <v>132</v>
      </c>
      <c r="R20" s="65" t="n">
        <v>82</v>
      </c>
      <c r="S20" s="65" t="n">
        <v>75</v>
      </c>
      <c r="T20" s="65" t="n">
        <v>115</v>
      </c>
      <c r="U20" s="65" t="n">
        <v>116</v>
      </c>
      <c r="V20" s="65" t="n">
        <v>86</v>
      </c>
      <c r="W20" s="65" t="n">
        <v>70</v>
      </c>
      <c r="X20" s="65" t="n">
        <v>123</v>
      </c>
      <c r="Y20" s="65" t="n">
        <v>96</v>
      </c>
      <c r="Z20" s="65" t="n">
        <v>95</v>
      </c>
      <c r="AA20" s="65" t="n">
        <v>84</v>
      </c>
      <c r="AB20" s="65" t="n">
        <v>123</v>
      </c>
      <c r="AC20" s="65" t="n">
        <v>90</v>
      </c>
      <c r="AD20" s="65" t="n">
        <v>109</v>
      </c>
      <c r="AE20" s="65" t="n">
        <v>80</v>
      </c>
      <c r="AF20" s="65" t="n">
        <v>83</v>
      </c>
      <c r="AG20" s="65" t="n">
        <v>66</v>
      </c>
      <c r="AH20" s="65" t="n">
        <v>72</v>
      </c>
      <c r="AI20" s="65" t="n">
        <v>66</v>
      </c>
      <c r="AJ20" s="65" t="n">
        <v>89</v>
      </c>
      <c r="AK20" s="65" t="n">
        <v>77</v>
      </c>
      <c r="AL20" s="65" t="n">
        <v>57</v>
      </c>
      <c r="AM20" s="65" t="n">
        <v>63</v>
      </c>
      <c r="AN20" s="65" t="n">
        <v>74</v>
      </c>
      <c r="AO20" s="65" t="n">
        <v>61</v>
      </c>
    </row>
    <row r="21">
      <c r="A21" s="64" t="inlineStr">
        <is>
          <t>현금전환주기(CCC)</t>
        </is>
      </c>
      <c r="B21" s="65" t="n"/>
      <c r="C21" s="65" t="n">
        <v>88</v>
      </c>
      <c r="D21" s="65" t="n"/>
      <c r="E21" s="65" t="n"/>
      <c r="F21" s="65" t="n">
        <v>200</v>
      </c>
      <c r="G21" s="65" t="n">
        <v>85</v>
      </c>
      <c r="H21" s="65" t="n">
        <v>184</v>
      </c>
      <c r="I21" s="65" t="n">
        <v>114</v>
      </c>
      <c r="J21" s="65" t="n">
        <v>142</v>
      </c>
      <c r="K21" s="65" t="n">
        <v>92</v>
      </c>
      <c r="L21" s="65" t="n">
        <v>229</v>
      </c>
      <c r="M21" s="65" t="n">
        <v>160</v>
      </c>
      <c r="N21" s="65" t="n">
        <v>241</v>
      </c>
      <c r="O21" s="65" t="n">
        <v>123</v>
      </c>
      <c r="P21" s="65" t="n">
        <v>292</v>
      </c>
      <c r="Q21" s="65" t="n">
        <v>194</v>
      </c>
      <c r="R21" s="65" t="n">
        <v>201</v>
      </c>
      <c r="S21" s="65" t="n">
        <v>-56</v>
      </c>
      <c r="T21" s="65" t="n">
        <v>288</v>
      </c>
      <c r="U21" s="65" t="n">
        <v>182</v>
      </c>
      <c r="V21" s="65" t="n">
        <v>142</v>
      </c>
      <c r="W21" s="65" t="n">
        <v>74</v>
      </c>
      <c r="X21" s="65" t="n">
        <v>259</v>
      </c>
      <c r="Y21" s="65" t="n">
        <v>159</v>
      </c>
      <c r="Z21" s="65" t="n">
        <v>140</v>
      </c>
      <c r="AA21" s="65" t="n">
        <v>97</v>
      </c>
      <c r="AB21" s="65" t="n">
        <v>313</v>
      </c>
      <c r="AC21" s="65" t="n">
        <v>210</v>
      </c>
      <c r="AD21" s="65" t="n">
        <v>292</v>
      </c>
      <c r="AE21" s="65" t="n">
        <v>129</v>
      </c>
      <c r="AF21" s="65" t="n">
        <v>319</v>
      </c>
      <c r="AG21" s="65" t="n">
        <v>193</v>
      </c>
      <c r="AH21" s="65" t="n">
        <v>263</v>
      </c>
      <c r="AI21" s="65" t="n">
        <v>142</v>
      </c>
      <c r="AJ21" s="65" t="n">
        <v>314</v>
      </c>
      <c r="AK21" s="65" t="n">
        <v>232</v>
      </c>
      <c r="AL21" s="65" t="n">
        <v>220</v>
      </c>
      <c r="AM21" s="65" t="n">
        <v>126</v>
      </c>
      <c r="AN21" s="65" t="n">
        <v>313</v>
      </c>
      <c r="AO21" s="65" t="n">
        <v>197</v>
      </c>
    </row>
    <row r="22">
      <c r="A22" s="64" t="inlineStr">
        <is>
          <t>총 차입금</t>
        </is>
      </c>
      <c r="B22" s="65" t="n"/>
      <c r="C22" s="65" t="n">
        <v>39.9</v>
      </c>
      <c r="D22" s="65" t="n"/>
      <c r="E22" s="65" t="n"/>
      <c r="F22" s="65" t="n">
        <v>70.90000000000001</v>
      </c>
      <c r="G22" s="65" t="n">
        <v>40.1</v>
      </c>
      <c r="H22" s="65" t="n">
        <v>38.9</v>
      </c>
      <c r="I22" s="65" t="n">
        <v>41.8</v>
      </c>
      <c r="J22" s="65" t="n">
        <v>40.8</v>
      </c>
      <c r="K22" s="65" t="n">
        <v>50</v>
      </c>
      <c r="L22" s="65" t="n">
        <v>79</v>
      </c>
      <c r="M22" s="65" t="n">
        <v>111.8</v>
      </c>
      <c r="N22" s="65" t="n">
        <v>130.8</v>
      </c>
      <c r="O22" s="65" t="n">
        <v>99.90000000000001</v>
      </c>
      <c r="P22" s="65" t="n">
        <v>98.90000000000001</v>
      </c>
      <c r="Q22" s="65" t="n">
        <v>69.8</v>
      </c>
      <c r="R22" s="65" t="n">
        <v>68.8</v>
      </c>
      <c r="S22" s="65" t="n">
        <v>59.9</v>
      </c>
      <c r="T22" s="65" t="n">
        <v>58.9</v>
      </c>
      <c r="U22" s="65" t="n">
        <v>41.8</v>
      </c>
      <c r="V22" s="65" t="n">
        <v>40.8</v>
      </c>
      <c r="W22" s="65" t="n">
        <v>39.9</v>
      </c>
      <c r="X22" s="65" t="n">
        <v>38.9</v>
      </c>
      <c r="Y22" s="65" t="n">
        <v>41.8</v>
      </c>
      <c r="Z22" s="65" t="n">
        <v>40.8</v>
      </c>
      <c r="AA22" s="65" t="n">
        <v>39.9</v>
      </c>
      <c r="AB22" s="65" t="n">
        <v>81.90000000000001</v>
      </c>
      <c r="AC22" s="65" t="n">
        <v>102.8</v>
      </c>
      <c r="AD22" s="65" t="n">
        <v>84</v>
      </c>
      <c r="AE22" s="65" t="n">
        <v>72.90000000000001</v>
      </c>
      <c r="AF22" s="65" t="n">
        <v>62.1</v>
      </c>
      <c r="AG22" s="65" t="n">
        <v>71.8</v>
      </c>
      <c r="AH22" s="65" t="n">
        <v>66.8</v>
      </c>
      <c r="AI22" s="65" t="n">
        <v>55.09999999999999</v>
      </c>
      <c r="AJ22" s="65" t="n">
        <v>64</v>
      </c>
      <c r="AK22" s="65" t="n">
        <v>52.4</v>
      </c>
      <c r="AL22" s="65" t="n">
        <v>50.8</v>
      </c>
      <c r="AM22" s="65" t="n">
        <v>44.4</v>
      </c>
      <c r="AN22" s="65" t="n">
        <v>48.3</v>
      </c>
      <c r="AO22" s="65" t="n">
        <v>44.6</v>
      </c>
    </row>
    <row r="23">
      <c r="A23" s="64" t="inlineStr">
        <is>
          <t>현금</t>
        </is>
      </c>
      <c r="B23" s="65" t="n"/>
      <c r="C23" s="65" t="n">
        <v>76.3</v>
      </c>
      <c r="D23" s="65" t="n"/>
      <c r="E23" s="65" t="n"/>
      <c r="F23" s="65" t="n">
        <v>51.9</v>
      </c>
      <c r="G23" s="65" t="n">
        <v>67.59999999999999</v>
      </c>
      <c r="H23" s="65" t="n">
        <v>85</v>
      </c>
      <c r="I23" s="65" t="n">
        <v>80.8</v>
      </c>
      <c r="J23" s="65" t="n">
        <v>48.4</v>
      </c>
      <c r="K23" s="65" t="n">
        <v>51.7</v>
      </c>
      <c r="L23" s="65" t="n">
        <v>56.4</v>
      </c>
      <c r="M23" s="65" t="n">
        <v>61.2</v>
      </c>
      <c r="N23" s="65" t="n">
        <v>57.6</v>
      </c>
      <c r="O23" s="65" t="n">
        <v>86.59999999999999</v>
      </c>
      <c r="P23" s="65" t="n">
        <v>104.3</v>
      </c>
      <c r="Q23" s="65" t="n">
        <v>105.5</v>
      </c>
      <c r="R23" s="65" t="n">
        <v>72.3</v>
      </c>
      <c r="S23" s="65" t="n">
        <v>69.2</v>
      </c>
      <c r="T23" s="65" t="n">
        <v>66.2</v>
      </c>
      <c r="U23" s="65" t="n">
        <v>76.5</v>
      </c>
      <c r="V23" s="65" t="n">
        <v>105.6</v>
      </c>
      <c r="W23" s="65" t="n">
        <v>111.3</v>
      </c>
      <c r="X23" s="65" t="n">
        <v>98.5</v>
      </c>
      <c r="Y23" s="65" t="n">
        <v>89.5</v>
      </c>
      <c r="Z23" s="65" t="n">
        <v>86.59999999999999</v>
      </c>
      <c r="AA23" s="65" t="n">
        <v>78.8</v>
      </c>
      <c r="AB23" s="65" t="n">
        <v>91.7</v>
      </c>
      <c r="AC23" s="65" t="n">
        <v>96.90000000000001</v>
      </c>
      <c r="AD23" s="65" t="n">
        <v>86.40000000000001</v>
      </c>
      <c r="AE23" s="65" t="n">
        <v>100.6</v>
      </c>
      <c r="AF23" s="65" t="n">
        <v>61</v>
      </c>
      <c r="AG23" s="65" t="n">
        <v>55.7</v>
      </c>
      <c r="AH23" s="65" t="n">
        <v>38.5</v>
      </c>
      <c r="AI23" s="65" t="n">
        <v>43.9</v>
      </c>
      <c r="AJ23" s="65" t="n">
        <v>60.7</v>
      </c>
      <c r="AK23" s="65" t="n">
        <v>58.5</v>
      </c>
      <c r="AL23" s="65" t="n">
        <v>67.3</v>
      </c>
      <c r="AM23" s="65" t="n">
        <v>108.2</v>
      </c>
      <c r="AN23" s="65" t="n">
        <v>76.7</v>
      </c>
      <c r="AO23" s="65" t="n">
        <v>57.1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2026-10-30T09:54:56Z</dcterms:created>
  <dcterms:modified xmlns:dcterms="http://purl.org/dc/terms/" xmlns:xsi="http://www.w3.org/2001/XMLSchema-instance" xsi:type="dcterms:W3CDTF">2026-10-30T09:55:17Z</dcterms:modified>
</cp:coreProperties>
</file>