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유니시아홀딩스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3735.498</v>
      </c>
      <c r="D4" s="12" t="n">
        <v>3821.972</v>
      </c>
      <c r="E4" s="12" t="n">
        <v>4221.114</v>
      </c>
      <c r="F4" s="12" t="n">
        <v>4296.833</v>
      </c>
      <c r="G4" s="12" t="n">
        <v>4524.303</v>
      </c>
      <c r="H4" s="12" t="n">
        <v>4578.58</v>
      </c>
      <c r="I4" s="12" t="n">
        <v>5720.558</v>
      </c>
      <c r="J4" s="12" t="n">
        <v>5336.029</v>
      </c>
      <c r="K4" s="12" t="n">
        <v>5456.356</v>
      </c>
      <c r="L4" s="12" t="n">
        <v>8597.58</v>
      </c>
      <c r="M4" s="12" t="n">
        <v>9261.701999999999</v>
      </c>
      <c r="N4" s="12" t="n">
        <v>9499.103999999999</v>
      </c>
      <c r="O4" s="11" t="n">
        <v>3972.043</v>
      </c>
      <c r="P4" s="12" t="n">
        <v>5529.521</v>
      </c>
      <c r="Q4" s="12" t="n">
        <v>7667.601</v>
      </c>
      <c r="R4" s="12" t="n">
        <v>10010.928</v>
      </c>
      <c r="S4" s="12" t="n">
        <v>8706.995999999999</v>
      </c>
      <c r="T4" s="12" t="n">
        <v>4983.871</v>
      </c>
      <c r="U4" s="12" t="n">
        <v>10919.18</v>
      </c>
      <c r="V4" s="12" t="n">
        <v>14072.548</v>
      </c>
      <c r="W4" s="12" t="n">
        <v>16864.222</v>
      </c>
      <c r="X4" s="12" t="n">
        <v>21091.523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KUSHIKATSUTANAKACOReportableSegmentMember</t>
        </is>
      </c>
      <c r="B7" s="10" t="n"/>
      <c r="C7" s="19" t="n"/>
      <c r="D7" s="20" t="n">
        <v>3616.519</v>
      </c>
      <c r="E7" s="20" t="n">
        <v>3807.213</v>
      </c>
      <c r="F7" s="20" t="n">
        <v>3873.521</v>
      </c>
      <c r="G7" s="20" t="n">
        <v>3772.782</v>
      </c>
      <c r="H7" s="20" t="n">
        <v>4054.115</v>
      </c>
      <c r="I7" s="20" t="n">
        <v>4293.137</v>
      </c>
      <c r="J7" s="20" t="n">
        <v>4614.011</v>
      </c>
      <c r="K7" s="20" t="n">
        <v>4560.887</v>
      </c>
      <c r="L7" s="20" t="n">
        <v>4920.606</v>
      </c>
      <c r="M7" s="20" t="n">
        <v>5042.941</v>
      </c>
      <c r="N7" s="20" t="n">
        <v>4955.848</v>
      </c>
      <c r="O7" s="19" t="n"/>
      <c r="P7" s="20" t="n"/>
      <c r="Q7" s="20" t="n"/>
      <c r="R7" s="20" t="n"/>
      <c r="S7" s="20" t="n"/>
      <c r="T7" s="20" t="n"/>
      <c r="U7" s="20" t="n"/>
      <c r="V7" s="20" t="n">
        <v>13181.609</v>
      </c>
      <c r="W7" s="20" t="n">
        <v>15070.035</v>
      </c>
      <c r="X7" s="20" t="n">
        <v>17522.15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PISOLAReportableSegmentMember</t>
        </is>
      </c>
      <c r="B10" s="10" t="n"/>
      <c r="C10" s="19" t="n"/>
      <c r="D10" s="20" t="n"/>
      <c r="E10" s="20" t="n"/>
      <c r="F10" s="20" t="n"/>
      <c r="G10" s="20" t="n"/>
      <c r="H10" s="20" t="n">
        <v>0</v>
      </c>
      <c r="I10" s="20" t="n">
        <v>0</v>
      </c>
      <c r="J10" s="20" t="n">
        <v>0</v>
      </c>
      <c r="K10" s="20" t="n"/>
      <c r="L10" s="20" t="n">
        <v>2907.02</v>
      </c>
      <c r="M10" s="20" t="n">
        <v>3438.587</v>
      </c>
      <c r="N10" s="20" t="n">
        <v>3664.215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OthersInJapanReportableSegmentsMemberReportableSegmentMember</t>
        </is>
      </c>
      <c r="B13" s="10" t="n"/>
      <c r="C13" s="19" t="n"/>
      <c r="D13" s="20" t="n">
        <v>125.62</v>
      </c>
      <c r="E13" s="20" t="n">
        <v>122.793</v>
      </c>
      <c r="F13" s="20" t="n">
        <v>128.744</v>
      </c>
      <c r="G13" s="20" t="n">
        <v>162.51</v>
      </c>
      <c r="H13" s="20" t="n">
        <v>156.631</v>
      </c>
      <c r="I13" s="20" t="n">
        <v>195.174</v>
      </c>
      <c r="J13" s="20" t="n">
        <v>197.299</v>
      </c>
      <c r="K13" s="20" t="n">
        <v>285.642</v>
      </c>
      <c r="L13" s="20" t="n">
        <v>256.345</v>
      </c>
      <c r="M13" s="20" t="n">
        <v>310.421</v>
      </c>
      <c r="N13" s="20" t="n">
        <v>265.467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432.868</v>
      </c>
      <c r="W13" s="20" t="n">
        <v>539.667</v>
      </c>
      <c r="X13" s="20" t="n">
        <v>834.746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IngredientsDeliveryToHomeBusinessReportableSegmentsMemberReportableSegmentMember</t>
        </is>
      </c>
      <c r="B16" s="10" t="n"/>
      <c r="C16" s="19" t="n"/>
      <c r="D16" s="20" t="n"/>
      <c r="E16" s="20" t="n"/>
      <c r="F16" s="20" t="n">
        <v>50.959</v>
      </c>
      <c r="G16" s="20" t="n">
        <v>204.728</v>
      </c>
      <c r="H16" s="20" t="n">
        <v>252.844</v>
      </c>
      <c r="I16" s="20" t="n">
        <v>358.967</v>
      </c>
      <c r="J16" s="20" t="n">
        <v>357.662</v>
      </c>
      <c r="K16" s="20" t="n">
        <v>333.137</v>
      </c>
      <c r="L16" s="20" t="n">
        <v>283.034</v>
      </c>
      <c r="M16" s="20" t="n">
        <v>319.919</v>
      </c>
      <c r="N16" s="20" t="n">
        <v>275.212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0</v>
      </c>
      <c r="W16" s="20" t="n">
        <v>268.663</v>
      </c>
      <c r="X16" s="20" t="n">
        <v>1302.61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InteriorEngineeringReportableSegmentMember</t>
        </is>
      </c>
      <c r="B19" s="10" t="n"/>
      <c r="C19" s="19" t="n"/>
      <c r="D19" s="20" t="n">
        <v>79.833</v>
      </c>
      <c r="E19" s="20" t="n">
        <v>278.132</v>
      </c>
      <c r="F19" s="20" t="n">
        <v>243.607</v>
      </c>
      <c r="G19" s="20" t="n">
        <v>384.283</v>
      </c>
      <c r="H19" s="20" t="n">
        <v>114.99</v>
      </c>
      <c r="I19" s="20" t="n">
        <v>873.278</v>
      </c>
      <c r="J19" s="20" t="n">
        <v>167.058</v>
      </c>
      <c r="K19" s="20" t="n">
        <v>276.689</v>
      </c>
      <c r="L19" s="20" t="n">
        <v>230.573</v>
      </c>
      <c r="M19" s="20" t="n">
        <v>149.834</v>
      </c>
      <c r="N19" s="20" t="n">
        <v>338.362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458.07</v>
      </c>
      <c r="W19" s="20" t="n">
        <v>985.855</v>
      </c>
      <c r="X19" s="20" t="n">
        <v>1432.015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/>
      <c r="H22" s="20" t="n">
        <v>4578.58</v>
      </c>
      <c r="I22" s="20" t="n"/>
      <c r="J22" s="20" t="n"/>
      <c r="K22" s="20" t="n"/>
      <c r="L22" s="20" t="n">
        <v>8597.58</v>
      </c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1473.459</v>
      </c>
      <c r="D26" s="20" t="n">
        <v>1444.484</v>
      </c>
      <c r="E26" s="20" t="n">
        <v>1679.201</v>
      </c>
      <c r="F26" s="20" t="n">
        <v>1723.348</v>
      </c>
      <c r="G26" s="20" t="n">
        <v>1916.602</v>
      </c>
      <c r="H26" s="20" t="n">
        <v>1785.116</v>
      </c>
      <c r="I26" s="20" t="n">
        <v>2632.055</v>
      </c>
      <c r="J26" s="20" t="n">
        <v>2146.71</v>
      </c>
      <c r="K26" s="20" t="n">
        <v>2246.901</v>
      </c>
      <c r="L26" s="20" t="n">
        <v>3204.259</v>
      </c>
      <c r="M26" s="20" t="n">
        <v>3304.556</v>
      </c>
      <c r="N26" s="20" t="n">
        <v>3536.146</v>
      </c>
      <c r="O26" s="19" t="n">
        <v>1559.338</v>
      </c>
      <c r="P26" s="20" t="n">
        <v>2142.15</v>
      </c>
      <c r="Q26" s="20" t="n">
        <v>2977.678</v>
      </c>
      <c r="R26" s="20" t="n">
        <v>3893.975</v>
      </c>
      <c r="S26" s="20" t="n">
        <v>3295.078</v>
      </c>
      <c r="T26" s="20" t="n">
        <v>1985.486</v>
      </c>
      <c r="U26" s="20" t="n">
        <v>3919.8</v>
      </c>
      <c r="V26" s="20" t="n">
        <v>5364.87</v>
      </c>
      <c r="W26" s="20" t="n">
        <v>6763.635</v>
      </c>
      <c r="X26" s="20" t="n">
        <v>8810.781999999999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2059.867</v>
      </c>
      <c r="D32" s="20" t="n">
        <v>2138.467</v>
      </c>
      <c r="E32" s="20" t="n">
        <v>2329.482</v>
      </c>
      <c r="F32" s="20" t="n">
        <v>2330.299</v>
      </c>
      <c r="G32" s="20" t="n">
        <v>2454.397</v>
      </c>
      <c r="H32" s="20" t="n">
        <v>2545.435</v>
      </c>
      <c r="I32" s="20" t="n">
        <v>2659.793</v>
      </c>
      <c r="J32" s="20" t="n">
        <v>2833.313</v>
      </c>
      <c r="K32" s="20" t="n">
        <v>3056.438</v>
      </c>
      <c r="L32" s="20" t="n">
        <v>5157.627</v>
      </c>
      <c r="M32" s="20" t="n">
        <v>5379.381</v>
      </c>
      <c r="N32" s="20" t="n">
        <v>5549.831</v>
      </c>
      <c r="O32" s="19" t="n">
        <v>2096.427</v>
      </c>
      <c r="P32" s="20" t="n">
        <v>3000.135</v>
      </c>
      <c r="Q32" s="20" t="n">
        <v>4130.345</v>
      </c>
      <c r="R32" s="20" t="n">
        <v>5511.822</v>
      </c>
      <c r="S32" s="20" t="n">
        <v>5452.596</v>
      </c>
      <c r="T32" s="20" t="n">
        <v>5580.902</v>
      </c>
      <c r="U32" s="20" t="n">
        <v>7168.56</v>
      </c>
      <c r="V32" s="20" t="n">
        <v>7944.183</v>
      </c>
      <c r="W32" s="20" t="n">
        <v>9252.645</v>
      </c>
      <c r="X32" s="20" t="n">
        <v>11094.979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202.173</v>
      </c>
      <c r="D34" s="12" t="n">
        <v>239.021</v>
      </c>
      <c r="E34" s="12" t="n">
        <v>212.43</v>
      </c>
      <c r="F34" s="12" t="n">
        <v>243.185</v>
      </c>
      <c r="G34" s="12" t="n">
        <v>153.305</v>
      </c>
      <c r="H34" s="12" t="n">
        <v>248.029</v>
      </c>
      <c r="I34" s="12" t="n">
        <v>428.709</v>
      </c>
      <c r="J34" s="12" t="n">
        <v>356.006</v>
      </c>
      <c r="K34" s="12" t="n">
        <v>153.017</v>
      </c>
      <c r="L34" s="12" t="n">
        <v>235.692</v>
      </c>
      <c r="M34" s="12" t="n">
        <v>577.765</v>
      </c>
      <c r="N34" s="12" t="n">
        <v>413.129</v>
      </c>
      <c r="O34" s="11" t="n">
        <v>316.278</v>
      </c>
      <c r="P34" s="12" t="n">
        <v>387.234</v>
      </c>
      <c r="Q34" s="12" t="n">
        <v>559.577</v>
      </c>
      <c r="R34" s="12" t="n">
        <v>605.13</v>
      </c>
      <c r="S34" s="12" t="n">
        <v>-40.677</v>
      </c>
      <c r="T34" s="12" t="n">
        <v>-2582.518</v>
      </c>
      <c r="U34" s="12" t="n">
        <v>-169.18</v>
      </c>
      <c r="V34" s="12" t="n">
        <v>763.494</v>
      </c>
      <c r="W34" s="12" t="n">
        <v>847.941</v>
      </c>
      <c r="X34" s="12" t="n">
        <v>1185.761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>
        <v>414.505</v>
      </c>
      <c r="P39" s="20" t="n">
        <v>609.381</v>
      </c>
      <c r="Q39" s="20" t="n">
        <v>901.076</v>
      </c>
      <c r="R39" s="20" t="n">
        <v>1170.819</v>
      </c>
      <c r="S39" s="20" t="n">
        <v>1351.569</v>
      </c>
      <c r="T39" s="20" t="n">
        <v>1441.171</v>
      </c>
      <c r="U39" s="20" t="n">
        <v>1545.226</v>
      </c>
      <c r="V39" s="20" t="n">
        <v>1665.103</v>
      </c>
      <c r="W39" s="20" t="n">
        <v>1883.416</v>
      </c>
      <c r="X39" s="20" t="n">
        <v>2235.861</v>
      </c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>
        <v>117.765</v>
      </c>
      <c r="P41" s="20" t="n">
        <v>152.911</v>
      </c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5.54</v>
      </c>
      <c r="D50" s="20" t="n">
        <v>0</v>
      </c>
      <c r="E50" s="20" t="n">
        <v>0</v>
      </c>
      <c r="F50" s="20" t="n">
        <v>18.251</v>
      </c>
      <c r="G50" s="20" t="n">
        <v>27.76</v>
      </c>
      <c r="H50" s="20" t="n">
        <v>3.265</v>
      </c>
      <c r="I50" s="20" t="n">
        <v>12.293</v>
      </c>
      <c r="J50" s="20" t="n">
        <v>4.796</v>
      </c>
      <c r="K50" s="20" t="n">
        <v>42.902</v>
      </c>
      <c r="L50" s="20" t="n">
        <v>25.008</v>
      </c>
      <c r="M50" s="20" t="n">
        <v>1.888</v>
      </c>
      <c r="N50" s="20" t="n">
        <v>1.744</v>
      </c>
      <c r="O50" s="19" t="n"/>
      <c r="P50" s="20" t="n"/>
      <c r="Q50" s="20" t="n">
        <v>47.512</v>
      </c>
      <c r="R50" s="20" t="n">
        <v>3.348</v>
      </c>
      <c r="S50" s="20" t="n">
        <v>0</v>
      </c>
      <c r="T50" s="20" t="n">
        <v>0</v>
      </c>
      <c r="U50" s="20" t="n">
        <v>1.17</v>
      </c>
      <c r="V50" s="20" t="n">
        <v>50.364</v>
      </c>
      <c r="W50" s="20" t="n">
        <v>46.011</v>
      </c>
      <c r="X50" s="20" t="n">
        <v>63.256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132.984</v>
      </c>
      <c r="D52" s="20" t="n">
        <v>9.401999999999999</v>
      </c>
      <c r="E52" s="20" t="n">
        <v>0.458</v>
      </c>
      <c r="F52" s="20" t="n">
        <v>1.558</v>
      </c>
      <c r="G52" s="20" t="n">
        <v>141.14</v>
      </c>
      <c r="H52" s="20" t="n">
        <v>71.28100000000001</v>
      </c>
      <c r="I52" s="20" t="n">
        <v>-1.572</v>
      </c>
      <c r="J52" s="20" t="n">
        <v>9.552</v>
      </c>
      <c r="K52" s="20" t="n">
        <v>286.387</v>
      </c>
      <c r="L52" s="20" t="n">
        <v>8.686999999999999</v>
      </c>
      <c r="M52" s="20" t="n">
        <v>10.85</v>
      </c>
      <c r="N52" s="20" t="n">
        <v>47.681</v>
      </c>
      <c r="O52" s="19" t="n">
        <v>17.845</v>
      </c>
      <c r="P52" s="20" t="n">
        <v>20.197</v>
      </c>
      <c r="Q52" s="20" t="n">
        <v>45.979</v>
      </c>
      <c r="R52" s="20" t="n">
        <v>111.588</v>
      </c>
      <c r="S52" s="20" t="n">
        <v>416.344</v>
      </c>
      <c r="T52" s="20" t="n">
        <v>242.997</v>
      </c>
      <c r="U52" s="20" t="n">
        <v>182.114</v>
      </c>
      <c r="V52" s="20" t="n">
        <v>185.237</v>
      </c>
      <c r="W52" s="20" t="n">
        <v>152.558</v>
      </c>
      <c r="X52" s="20" t="n">
        <v>365.648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43.527</v>
      </c>
      <c r="D54" s="20" t="n">
        <v>52.249</v>
      </c>
      <c r="E54" s="20" t="n">
        <v>53.42</v>
      </c>
      <c r="F54" s="20" t="n">
        <v>12.166</v>
      </c>
      <c r="G54" s="20" t="n">
        <v>42.262</v>
      </c>
      <c r="H54" s="20" t="n">
        <v>109.365</v>
      </c>
      <c r="I54" s="20" t="n">
        <v>35.673</v>
      </c>
      <c r="J54" s="20" t="n">
        <v>53.666</v>
      </c>
      <c r="K54" s="20" t="n">
        <v>31.765</v>
      </c>
      <c r="L54" s="20" t="n">
        <v>82.96299999999999</v>
      </c>
      <c r="M54" s="20" t="n">
        <v>62.598</v>
      </c>
      <c r="N54" s="20" t="n">
        <v>79.679</v>
      </c>
      <c r="O54" s="19" t="n">
        <v>118.443</v>
      </c>
      <c r="P54" s="20" t="n">
        <v>151.027</v>
      </c>
      <c r="Q54" s="20" t="n">
        <v>155.398</v>
      </c>
      <c r="R54" s="20" t="n">
        <v>182.05</v>
      </c>
      <c r="S54" s="20" t="n">
        <v>352.297</v>
      </c>
      <c r="T54" s="20" t="n">
        <v>2099.568</v>
      </c>
      <c r="U54" s="20" t="n">
        <v>1686.214</v>
      </c>
      <c r="V54" s="20" t="n">
        <v>178.46</v>
      </c>
      <c r="W54" s="20" t="n">
        <v>160.097</v>
      </c>
      <c r="X54" s="20" t="n">
        <v>230.469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30.61</v>
      </c>
      <c r="D56" s="20" t="n">
        <v>11.214</v>
      </c>
      <c r="E56" s="20" t="n">
        <v>53.266</v>
      </c>
      <c r="F56" s="20" t="n">
        <v>24.641</v>
      </c>
      <c r="G56" s="20" t="n">
        <v>72.56</v>
      </c>
      <c r="H56" s="20" t="n">
        <v>39.193</v>
      </c>
      <c r="I56" s="20" t="n">
        <v>89.10299999999999</v>
      </c>
      <c r="J56" s="20" t="n">
        <v>36.019</v>
      </c>
      <c r="K56" s="20" t="n">
        <v>15.642</v>
      </c>
      <c r="L56" s="20" t="n">
        <v>158.02</v>
      </c>
      <c r="M56" s="20" t="n">
        <v>63.268</v>
      </c>
      <c r="N56" s="20" t="n">
        <v>106.626</v>
      </c>
      <c r="O56" s="19" t="n">
        <v>25.744</v>
      </c>
      <c r="P56" s="20" t="n">
        <v>18.073</v>
      </c>
      <c r="Q56" s="20" t="n">
        <v>11.236</v>
      </c>
      <c r="R56" s="20" t="n">
        <v>5.974</v>
      </c>
      <c r="S56" s="20" t="n">
        <v>15.596</v>
      </c>
      <c r="T56" s="20" t="n">
        <v>21.55</v>
      </c>
      <c r="U56" s="20" t="n">
        <v>117.876</v>
      </c>
      <c r="V56" s="20" t="n">
        <v>108.596</v>
      </c>
      <c r="W56" s="20" t="n">
        <v>161.681</v>
      </c>
      <c r="X56" s="20" t="n">
        <v>179.957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87.646</v>
      </c>
      <c r="D58" s="12" t="n">
        <v>270.653</v>
      </c>
      <c r="E58" s="12" t="n">
        <v>212.127</v>
      </c>
      <c r="F58" s="12" t="n">
        <v>247.403</v>
      </c>
      <c r="G58" s="12" t="n">
        <v>9.627000000000001</v>
      </c>
      <c r="H58" s="12" t="n">
        <v>250.185</v>
      </c>
      <c r="I58" s="12" t="n">
        <v>389.143</v>
      </c>
      <c r="J58" s="12" t="n">
        <v>368.898</v>
      </c>
      <c r="K58" s="12" t="n">
        <v>-74.345</v>
      </c>
      <c r="L58" s="12" t="n">
        <v>176.956</v>
      </c>
      <c r="M58" s="12" t="n">
        <v>568.134</v>
      </c>
      <c r="N58" s="12" t="n">
        <v>340.244</v>
      </c>
      <c r="O58" s="11" t="n">
        <v>391.131</v>
      </c>
      <c r="P58" s="12" t="n">
        <v>499.991</v>
      </c>
      <c r="Q58" s="12" t="n">
        <v>705.272</v>
      </c>
      <c r="R58" s="12" t="n">
        <v>672.966</v>
      </c>
      <c r="S58" s="12" t="n">
        <v>-120.32</v>
      </c>
      <c r="T58" s="12" t="n">
        <v>-747.497</v>
      </c>
      <c r="U58" s="12" t="n">
        <v>1218.213</v>
      </c>
      <c r="V58" s="12" t="n">
        <v>698.484</v>
      </c>
      <c r="W58" s="12" t="n">
        <v>739.8099999999999</v>
      </c>
      <c r="X58" s="12" t="n">
        <v>933.881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59.965</v>
      </c>
      <c r="D60" s="20" t="n">
        <v>96.357</v>
      </c>
      <c r="E60" s="20" t="n">
        <v>107.773</v>
      </c>
      <c r="F60" s="20" t="n">
        <v>99.17100000000001</v>
      </c>
      <c r="G60" s="20" t="n">
        <v>49.247</v>
      </c>
      <c r="H60" s="20" t="n">
        <v>129.756</v>
      </c>
      <c r="I60" s="20" t="n">
        <v>-110.105</v>
      </c>
      <c r="J60" s="20" t="n">
        <v>132.473</v>
      </c>
      <c r="K60" s="20" t="n">
        <v>26.683</v>
      </c>
      <c r="L60" s="20" t="n">
        <v>142.448</v>
      </c>
      <c r="M60" s="20" t="n">
        <v>236.086</v>
      </c>
      <c r="N60" s="20" t="n">
        <v>187.572</v>
      </c>
      <c r="O60" s="19" t="n">
        <v>132.408</v>
      </c>
      <c r="P60" s="20" t="n">
        <v>172.781</v>
      </c>
      <c r="Q60" s="20" t="n">
        <v>235.398</v>
      </c>
      <c r="R60" s="20" t="n">
        <v>217.564</v>
      </c>
      <c r="S60" s="20" t="n">
        <v>79.387</v>
      </c>
      <c r="T60" s="20" t="n">
        <v>-170.314</v>
      </c>
      <c r="U60" s="20" t="n">
        <v>475.128</v>
      </c>
      <c r="V60" s="20" t="n">
        <v>339.868</v>
      </c>
      <c r="W60" s="20" t="n">
        <v>352.548</v>
      </c>
      <c r="X60" s="20" t="n">
        <v>178.807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27.682</v>
      </c>
      <c r="D62" s="12" t="n">
        <v>174.295</v>
      </c>
      <c r="E62" s="12" t="n">
        <v>104.354</v>
      </c>
      <c r="F62" s="12" t="n">
        <v>148.233</v>
      </c>
      <c r="G62" s="12" t="n">
        <v>-39.621</v>
      </c>
      <c r="H62" s="12" t="n">
        <v>120.429</v>
      </c>
      <c r="I62" s="12" t="n">
        <v>499.248</v>
      </c>
      <c r="J62" s="12" t="n">
        <v>236.424</v>
      </c>
      <c r="K62" s="12" t="n">
        <v>-101.027</v>
      </c>
      <c r="L62" s="12" t="n">
        <v>34.507</v>
      </c>
      <c r="M62" s="12" t="n">
        <v>332.049</v>
      </c>
      <c r="N62" s="12" t="n">
        <v>152.672</v>
      </c>
      <c r="O62" s="11" t="n">
        <v>258.722</v>
      </c>
      <c r="P62" s="12" t="n">
        <v>327.209</v>
      </c>
      <c r="Q62" s="12" t="n">
        <v>469.874</v>
      </c>
      <c r="R62" s="12" t="n">
        <v>455.401</v>
      </c>
      <c r="S62" s="12" t="n">
        <v>-199.708</v>
      </c>
      <c r="T62" s="12" t="n">
        <v>-577.182</v>
      </c>
      <c r="U62" s="12" t="n">
        <v>743.085</v>
      </c>
      <c r="V62" s="12" t="n">
        <v>358.616</v>
      </c>
      <c r="W62" s="12" t="n">
        <v>387.261</v>
      </c>
      <c r="X62" s="12" t="n">
        <v>755.074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27.64</v>
      </c>
      <c r="D64" s="12" t="n">
        <v>175.16</v>
      </c>
      <c r="E64" s="12" t="n">
        <v>102.421</v>
      </c>
      <c r="F64" s="12" t="n">
        <v>147.031</v>
      </c>
      <c r="G64" s="12" t="n">
        <v>-44.24</v>
      </c>
      <c r="H64" s="12" t="n">
        <v>121.853</v>
      </c>
      <c r="I64" s="12" t="n">
        <v>488.452</v>
      </c>
      <c r="J64" s="12" t="n">
        <v>235.219</v>
      </c>
      <c r="K64" s="12" t="n">
        <v>-100.936</v>
      </c>
      <c r="L64" s="12" t="n">
        <v>32.776</v>
      </c>
      <c r="M64" s="12" t="n">
        <v>333.376</v>
      </c>
      <c r="N64" s="12" t="n">
        <v>151.258</v>
      </c>
      <c r="O64" s="11" t="n"/>
      <c r="P64" s="12" t="n"/>
      <c r="Q64" s="12" t="n">
        <v>469.874</v>
      </c>
      <c r="R64" s="12" t="n">
        <v>455.401</v>
      </c>
      <c r="S64" s="12" t="n">
        <v>-199.708</v>
      </c>
      <c r="T64" s="12" t="n">
        <v>-577.182</v>
      </c>
      <c r="U64" s="12" t="n">
        <v>743.085</v>
      </c>
      <c r="V64" s="12" t="n">
        <v>357.886</v>
      </c>
      <c r="W64" s="12" t="n">
        <v>380.372</v>
      </c>
      <c r="X64" s="12" t="n">
        <v>744.588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(2026.10.28)</t>
        </is>
      </c>
      <c r="B68" s="27" t="n">
        <v>1875</v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>
        <v>11061399</v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 2026.10.28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2023.4Q</t>
        </is>
      </c>
      <c r="D98" s="5" t="inlineStr">
        <is>
          <t>2024.1Q</t>
        </is>
      </c>
      <c r="E98" s="5" t="inlineStr">
        <is>
          <t>2024.2Q</t>
        </is>
      </c>
      <c r="F98" s="5" t="inlineStr">
        <is>
          <t>2024.3Q</t>
        </is>
      </c>
      <c r="G98" s="5" t="inlineStr">
        <is>
          <t>2024.4Q</t>
        </is>
      </c>
      <c r="H98" s="5" t="inlineStr">
        <is>
          <t>2025.1Q</t>
        </is>
      </c>
      <c r="I98" s="5" t="inlineStr">
        <is>
          <t>2025.2Q</t>
        </is>
      </c>
      <c r="J98" s="5" t="inlineStr">
        <is>
          <t>2025.3Q</t>
        </is>
      </c>
      <c r="K98" s="5" t="inlineStr">
        <is>
          <t>2025.4Q</t>
        </is>
      </c>
      <c r="L98" s="5" t="inlineStr">
        <is>
          <t>2026.1Q</t>
        </is>
      </c>
      <c r="M98" s="5" t="inlineStr">
        <is>
          <t>2026.2Q</t>
        </is>
      </c>
      <c r="N98" s="5" t="inlineStr">
        <is>
          <t>2026.3Q</t>
        </is>
      </c>
      <c r="O98" s="5" t="inlineStr">
        <is>
          <t>2016</t>
        </is>
      </c>
      <c r="P98" s="5" t="inlineStr">
        <is>
          <t>2017</t>
        </is>
      </c>
      <c r="Q98" s="5" t="inlineStr">
        <is>
          <t>2018</t>
        </is>
      </c>
      <c r="R98" s="5" t="inlineStr">
        <is>
          <t>2019</t>
        </is>
      </c>
      <c r="S98" s="5" t="inlineStr">
        <is>
          <t>2020</t>
        </is>
      </c>
      <c r="T98" s="5" t="inlineStr">
        <is>
          <t>2021</t>
        </is>
      </c>
      <c r="U98" s="5" t="inlineStr">
        <is>
          <t>2022</t>
        </is>
      </c>
      <c r="V98" s="5" t="inlineStr">
        <is>
          <t>2023</t>
        </is>
      </c>
      <c r="W98" s="5" t="inlineStr">
        <is>
          <t>2024</t>
        </is>
      </c>
      <c r="X98" s="5" t="inlineStr">
        <is>
          <t>2025</t>
        </is>
      </c>
      <c r="Y98" s="5" t="inlineStr">
        <is>
          <t>2026(MW)</t>
        </is>
      </c>
      <c r="Z98" s="5" t="inlineStr">
        <is>
          <t>2027(MW)</t>
        </is>
      </c>
      <c r="AA98" s="5" t="inlineStr">
        <is>
          <t>2028(MW)</t>
        </is>
      </c>
      <c r="AB98" s="5" t="inlineStr">
        <is>
          <t>2029(MW)</t>
        </is>
      </c>
      <c r="AC98" s="5" t="inlineStr">
        <is>
          <t>2030(MW)</t>
        </is>
      </c>
    </row>
    <row r="99">
      <c r="A99" s="9" t="inlineStr">
        <is>
          <t>매출액</t>
        </is>
      </c>
      <c r="C99" s="12" t="n">
        <v>3735.498</v>
      </c>
      <c r="D99" s="12" t="n">
        <v>3821.972</v>
      </c>
      <c r="E99" s="12" t="n">
        <v>4221.114</v>
      </c>
      <c r="F99" s="12" t="n">
        <v>4296.833</v>
      </c>
      <c r="G99" s="12" t="n">
        <v>4524.303</v>
      </c>
      <c r="H99" s="12" t="n">
        <v>4578.58</v>
      </c>
      <c r="I99" s="12" t="n">
        <v>5720.558</v>
      </c>
      <c r="J99" s="12" t="n">
        <v>5336.029</v>
      </c>
      <c r="K99" s="12" t="n">
        <v>5456.356</v>
      </c>
      <c r="L99" s="12" t="n">
        <v>8597.58</v>
      </c>
      <c r="M99" s="12" t="n">
        <v>9261.701999999999</v>
      </c>
      <c r="N99" s="12" t="n">
        <v>9499.103999999999</v>
      </c>
      <c r="U99" s="12" t="n">
        <v>3040.121</v>
      </c>
      <c r="V99" s="12" t="n">
        <v>3735.498</v>
      </c>
      <c r="W99" s="12" t="n">
        <v>4524.303</v>
      </c>
      <c r="X99" s="12" t="n">
        <v>5456.356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1473.459</v>
      </c>
      <c r="D101" s="20" t="n">
        <v>1444.484</v>
      </c>
      <c r="E101" s="20" t="n">
        <v>1679.201</v>
      </c>
      <c r="F101" s="20" t="n">
        <v>1723.348</v>
      </c>
      <c r="G101" s="20" t="n">
        <v>1916.602</v>
      </c>
      <c r="H101" s="20" t="n">
        <v>1785.116</v>
      </c>
      <c r="I101" s="20" t="n">
        <v>2632.055</v>
      </c>
      <c r="J101" s="20" t="n">
        <v>2146.71</v>
      </c>
      <c r="K101" s="20" t="n">
        <v>2246.901</v>
      </c>
      <c r="L101" s="20" t="n">
        <v>3204.259</v>
      </c>
      <c r="M101" s="20" t="n">
        <v>3304.556</v>
      </c>
      <c r="N101" s="20" t="n">
        <v>3536.146</v>
      </c>
      <c r="U101" s="20" t="n">
        <v>1104.831</v>
      </c>
      <c r="V101" s="20" t="n">
        <v>1473.459</v>
      </c>
      <c r="W101" s="20" t="n">
        <v>1916.602</v>
      </c>
      <c r="X101" s="20" t="n">
        <v>2246.901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2262.039</v>
      </c>
      <c r="D103" s="12" t="n">
        <v>2377.488</v>
      </c>
      <c r="E103" s="12" t="n">
        <v>2541.913</v>
      </c>
      <c r="F103" s="12" t="n">
        <v>2573.484</v>
      </c>
      <c r="G103" s="12" t="n">
        <v>2607.701</v>
      </c>
      <c r="H103" s="12" t="n">
        <v>2793.464</v>
      </c>
      <c r="I103" s="12" t="n">
        <v>3088.503</v>
      </c>
      <c r="J103" s="12" t="n">
        <v>3189.318</v>
      </c>
      <c r="K103" s="12" t="n">
        <v>3209.456</v>
      </c>
      <c r="L103" s="12" t="n">
        <v>5393.32</v>
      </c>
      <c r="M103" s="12" t="n">
        <v>5957.146</v>
      </c>
      <c r="N103" s="12" t="n">
        <v>5962.959</v>
      </c>
      <c r="U103" s="12" t="n">
        <v>1935.29</v>
      </c>
      <c r="V103" s="12" t="n">
        <v>2262.039</v>
      </c>
      <c r="W103" s="12" t="n">
        <v>2607.701</v>
      </c>
      <c r="X103" s="12" t="n">
        <v>3209.456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2059.867</v>
      </c>
      <c r="D105" s="20" t="n">
        <v>2138.467</v>
      </c>
      <c r="E105" s="20" t="n">
        <v>2329.482</v>
      </c>
      <c r="F105" s="20" t="n">
        <v>2330.299</v>
      </c>
      <c r="G105" s="20" t="n">
        <v>2454.397</v>
      </c>
      <c r="H105" s="20" t="n">
        <v>2545.435</v>
      </c>
      <c r="I105" s="20" t="n">
        <v>2659.793</v>
      </c>
      <c r="J105" s="20" t="n">
        <v>2833.313</v>
      </c>
      <c r="K105" s="20" t="n">
        <v>3056.438</v>
      </c>
      <c r="L105" s="20" t="n">
        <v>5157.627</v>
      </c>
      <c r="M105" s="20" t="n">
        <v>5379.381</v>
      </c>
      <c r="N105" s="20" t="n">
        <v>5549.831</v>
      </c>
      <c r="U105" s="20" t="n">
        <v>1922.889</v>
      </c>
      <c r="V105" s="20" t="n">
        <v>2059.867</v>
      </c>
      <c r="W105" s="20" t="n">
        <v>2454.397</v>
      </c>
      <c r="X105" s="20" t="n">
        <v>3056.438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202.173</v>
      </c>
      <c r="D107" s="12" t="n">
        <v>239.021</v>
      </c>
      <c r="E107" s="12" t="n">
        <v>212.43</v>
      </c>
      <c r="F107" s="12" t="n">
        <v>243.185</v>
      </c>
      <c r="G107" s="12" t="n">
        <v>153.305</v>
      </c>
      <c r="H107" s="12" t="n">
        <v>248.029</v>
      </c>
      <c r="I107" s="12" t="n">
        <v>428.709</v>
      </c>
      <c r="J107" s="12" t="n">
        <v>356.006</v>
      </c>
      <c r="K107" s="12" t="n">
        <v>153.017</v>
      </c>
      <c r="L107" s="12" t="n">
        <v>235.692</v>
      </c>
      <c r="M107" s="12" t="n">
        <v>577.765</v>
      </c>
      <c r="N107" s="12" t="n">
        <v>413.129</v>
      </c>
      <c r="U107" s="12" t="n">
        <v>12.402</v>
      </c>
      <c r="V107" s="12" t="n">
        <v>202.173</v>
      </c>
      <c r="W107" s="12" t="n">
        <v>153.305</v>
      </c>
      <c r="X107" s="12" t="n">
        <v>153.017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이자·배당금 수익</t>
        </is>
      </c>
      <c r="C110" s="20" t="n">
        <v>3.577</v>
      </c>
      <c r="D110" s="20" t="n">
        <v>3.767</v>
      </c>
      <c r="E110" s="20" t="n">
        <v>3.726</v>
      </c>
      <c r="F110" s="20" t="n">
        <v>4.504</v>
      </c>
      <c r="G110" s="20" t="n">
        <v>4.869</v>
      </c>
      <c r="H110" s="20" t="n">
        <v>4.609</v>
      </c>
      <c r="I110" s="20" t="n">
        <v>4.171</v>
      </c>
      <c r="J110" s="20" t="n">
        <v>5.407</v>
      </c>
      <c r="K110" s="20" t="n">
        <v>0.183</v>
      </c>
      <c r="L110" s="20" t="n">
        <v>2.29</v>
      </c>
      <c r="M110" s="20" t="n">
        <v>1.372</v>
      </c>
      <c r="N110" s="20" t="n">
        <v>4.042</v>
      </c>
      <c r="U110" s="20" t="n">
        <v>1.481</v>
      </c>
      <c r="V110" s="20" t="n">
        <v>3.577</v>
      </c>
      <c r="W110" s="20" t="n">
        <v>4.869</v>
      </c>
      <c r="X110" s="20" t="n">
        <v>0.183</v>
      </c>
    </row>
    <row r="111">
      <c r="A111" s="18" t="inlineStr">
        <is>
          <t>협찬금 수입</t>
        </is>
      </c>
      <c r="C111" s="20" t="n">
        <v>36.487</v>
      </c>
      <c r="D111" s="20" t="n">
        <v>29.939</v>
      </c>
      <c r="E111" s="20" t="n">
        <v>25.663</v>
      </c>
      <c r="F111" s="20" t="n">
        <v>30.562</v>
      </c>
      <c r="G111" s="20" t="n">
        <v>20.726</v>
      </c>
      <c r="H111" s="20" t="n">
        <v>51.535</v>
      </c>
      <c r="I111" s="20" t="n">
        <v>21.292</v>
      </c>
      <c r="J111" s="20" t="n">
        <v>32.151</v>
      </c>
      <c r="K111" s="20" t="n">
        <v>22.807</v>
      </c>
      <c r="L111" s="20" t="n">
        <v>31.302</v>
      </c>
      <c r="M111" s="20" t="n">
        <v>46.011</v>
      </c>
      <c r="N111" s="20" t="n">
        <v>39.182</v>
      </c>
      <c r="U111" s="20" t="n">
        <v>21.348</v>
      </c>
      <c r="V111" s="20" t="n">
        <v>36.487</v>
      </c>
      <c r="W111" s="20" t="n">
        <v>20.726</v>
      </c>
      <c r="X111" s="20" t="n">
        <v>22.807</v>
      </c>
    </row>
    <row r="112">
      <c r="A112" s="18" t="inlineStr">
        <is>
          <t>보조금 수입</t>
        </is>
      </c>
      <c r="C112" s="20" t="n">
        <v>0</v>
      </c>
      <c r="H112" s="20" t="n">
        <v>0</v>
      </c>
      <c r="I112" s="20" t="n">
        <v>0</v>
      </c>
      <c r="J112" s="20" t="n">
        <v>0</v>
      </c>
      <c r="L112" s="20" t="n">
        <v>18.165</v>
      </c>
      <c r="M112" s="20" t="n">
        <v>17.646</v>
      </c>
      <c r="N112" s="20" t="n">
        <v>19.354</v>
      </c>
      <c r="U112" s="20" t="n">
        <v>68.938</v>
      </c>
      <c r="V112" s="20" t="n">
        <v>0</v>
      </c>
    </row>
    <row r="113">
      <c r="A113" s="18" t="inlineStr">
        <is>
          <t>외환차익</t>
        </is>
      </c>
      <c r="D113" s="20" t="n">
        <v>11.37</v>
      </c>
      <c r="E113" s="20" t="n">
        <v>19.596</v>
      </c>
      <c r="H113" s="20" t="n">
        <v>0</v>
      </c>
      <c r="I113" s="20" t="n">
        <v>0</v>
      </c>
      <c r="J113" s="20" t="n">
        <v>0</v>
      </c>
      <c r="K113" s="20" t="n">
        <v>0</v>
      </c>
      <c r="N113" s="20" t="n">
        <v>0.371</v>
      </c>
      <c r="X113" s="20" t="n">
        <v>0</v>
      </c>
    </row>
    <row r="114">
      <c r="A114" s="18" t="inlineStr">
        <is>
          <t>보험 해약환급금</t>
        </is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40.429</v>
      </c>
      <c r="I114" s="20" t="n">
        <v>0</v>
      </c>
      <c r="J114" s="20" t="n">
        <v>0</v>
      </c>
      <c r="K114" s="20" t="n">
        <v>0.533</v>
      </c>
      <c r="L114" s="20" t="n">
        <v>0</v>
      </c>
      <c r="M114" s="20" t="n">
        <v>0</v>
      </c>
      <c r="N114" s="20" t="n">
        <v>0</v>
      </c>
      <c r="W114" s="20" t="n">
        <v>0</v>
      </c>
      <c r="X114" s="20" t="n">
        <v>0.533</v>
      </c>
    </row>
    <row r="115">
      <c r="A115" s="18" t="inlineStr">
        <is>
          <t>기타</t>
        </is>
      </c>
      <c r="C115" s="20" t="n">
        <v>-19.802</v>
      </c>
      <c r="D115" s="20" t="n">
        <v>7.171</v>
      </c>
      <c r="E115" s="20" t="n">
        <v>4.437</v>
      </c>
      <c r="F115" s="20" t="n">
        <v>8.065</v>
      </c>
      <c r="G115" s="20" t="n">
        <v>5.823</v>
      </c>
      <c r="H115" s="20" t="n">
        <v>12.791</v>
      </c>
      <c r="I115" s="20" t="n">
        <v>10.209</v>
      </c>
      <c r="J115" s="20" t="n">
        <v>16.108</v>
      </c>
      <c r="K115" s="20" t="n">
        <v>8.243</v>
      </c>
      <c r="L115" s="20" t="n">
        <v>31.205</v>
      </c>
      <c r="M115" s="20" t="n">
        <v>-3.882</v>
      </c>
      <c r="N115" s="20" t="n">
        <v>13.311</v>
      </c>
      <c r="U115" s="20" t="n">
        <v>-11.479</v>
      </c>
      <c r="V115" s="20" t="n">
        <v>-19.802</v>
      </c>
      <c r="W115" s="20" t="n">
        <v>5.823</v>
      </c>
      <c r="X115" s="20" t="n">
        <v>8.243</v>
      </c>
    </row>
    <row r="116">
      <c r="A116" s="18" t="inlineStr">
        <is>
          <t>영업외수익 합계</t>
        </is>
      </c>
      <c r="C116" s="20" t="n">
        <v>43.527</v>
      </c>
      <c r="D116" s="20" t="n">
        <v>52.249</v>
      </c>
      <c r="E116" s="20" t="n">
        <v>53.42</v>
      </c>
      <c r="F116" s="20" t="n">
        <v>12.166</v>
      </c>
      <c r="G116" s="20" t="n">
        <v>42.262</v>
      </c>
      <c r="H116" s="20" t="n">
        <v>109.365</v>
      </c>
      <c r="I116" s="20" t="n">
        <v>35.673</v>
      </c>
      <c r="J116" s="20" t="n">
        <v>53.666</v>
      </c>
      <c r="K116" s="20" t="n">
        <v>31.765</v>
      </c>
      <c r="L116" s="20" t="n">
        <v>82.96299999999999</v>
      </c>
      <c r="M116" s="20" t="n">
        <v>62.598</v>
      </c>
      <c r="N116" s="20" t="n">
        <v>79.679</v>
      </c>
      <c r="U116" s="20" t="n">
        <v>104.55</v>
      </c>
      <c r="V116" s="20" t="n">
        <v>43.527</v>
      </c>
      <c r="W116" s="20" t="n">
        <v>42.262</v>
      </c>
      <c r="X116" s="20" t="n">
        <v>31.765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18" t="inlineStr">
        <is>
          <t>이자비용</t>
        </is>
      </c>
      <c r="C118" s="20" t="n">
        <v>3.005</v>
      </c>
      <c r="D118" s="20" t="n">
        <v>3.171</v>
      </c>
      <c r="E118" s="20" t="n">
        <v>3.883</v>
      </c>
      <c r="F118" s="20" t="n">
        <v>4.232</v>
      </c>
      <c r="G118" s="20" t="n">
        <v>4.48</v>
      </c>
      <c r="H118" s="20" t="n">
        <v>4.209</v>
      </c>
      <c r="I118" s="20" t="n">
        <v>6.61</v>
      </c>
      <c r="J118" s="20" t="n">
        <v>5.846</v>
      </c>
      <c r="K118" s="20" t="n">
        <v>5.236</v>
      </c>
      <c r="L118" s="20" t="n">
        <v>47.386</v>
      </c>
      <c r="M118" s="20" t="n">
        <v>57.235</v>
      </c>
      <c r="N118" s="20" t="n">
        <v>62.047</v>
      </c>
      <c r="U118" s="20" t="n">
        <v>4.026</v>
      </c>
      <c r="V118" s="20" t="n">
        <v>3.005</v>
      </c>
      <c r="W118" s="20" t="n">
        <v>4.48</v>
      </c>
      <c r="X118" s="20" t="n">
        <v>5.236</v>
      </c>
    </row>
    <row r="119">
      <c r="A119" s="18" t="inlineStr">
        <is>
          <t>지급수수료</t>
        </is>
      </c>
      <c r="H119" s="20" t="n">
        <v>0</v>
      </c>
      <c r="I119" s="20" t="n">
        <v>0</v>
      </c>
      <c r="J119" s="20" t="n">
        <v>0</v>
      </c>
      <c r="L119" s="20" t="n">
        <v>82.5</v>
      </c>
      <c r="M119" s="20" t="n">
        <v>0</v>
      </c>
      <c r="N119" s="20" t="n">
        <v>37.28</v>
      </c>
    </row>
    <row r="120">
      <c r="A120" s="18" t="inlineStr">
        <is>
          <t>관계회사 대손충당금 전입액</t>
        </is>
      </c>
      <c r="C120" s="20" t="n">
        <v>23.6</v>
      </c>
      <c r="D120" s="20" t="n">
        <v>2.8</v>
      </c>
      <c r="E120" s="20" t="n">
        <v>46.9</v>
      </c>
      <c r="F120" s="20" t="n">
        <v>8.199999999999999</v>
      </c>
      <c r="G120" s="20" t="n">
        <v>29.1</v>
      </c>
      <c r="H120" s="20" t="n">
        <v>23</v>
      </c>
      <c r="I120" s="20" t="n">
        <v>59</v>
      </c>
      <c r="J120" s="20" t="n">
        <v>34.462</v>
      </c>
      <c r="K120" s="20" t="n">
        <v>7.831</v>
      </c>
      <c r="L120" s="20" t="n">
        <v>10.865</v>
      </c>
      <c r="M120" s="20" t="n">
        <v>0.43</v>
      </c>
      <c r="N120" s="20" t="n">
        <v>0.075</v>
      </c>
      <c r="U120" s="20" t="n">
        <v>86.2</v>
      </c>
      <c r="V120" s="20" t="n">
        <v>23.6</v>
      </c>
      <c r="W120" s="20" t="n">
        <v>29.1</v>
      </c>
      <c r="X120" s="20" t="n">
        <v>7.831</v>
      </c>
    </row>
    <row r="121">
      <c r="A121" s="18" t="inlineStr">
        <is>
          <t>지분법손실</t>
        </is>
      </c>
      <c r="C121" s="20" t="n">
        <v>1.353</v>
      </c>
      <c r="D121" s="20" t="n">
        <v>1.685</v>
      </c>
      <c r="E121" s="20" t="n">
        <v>1.688</v>
      </c>
      <c r="F121" s="20" t="n">
        <v>1.553</v>
      </c>
      <c r="G121" s="20" t="n">
        <v>42.664</v>
      </c>
      <c r="H121" s="20" t="n">
        <v>3.817</v>
      </c>
      <c r="I121" s="20" t="n">
        <v>1.083</v>
      </c>
      <c r="J121" s="20" t="n">
        <v>0</v>
      </c>
      <c r="K121" s="20" t="n">
        <v>1.096</v>
      </c>
      <c r="L121" s="20" t="n">
        <v>0.236</v>
      </c>
      <c r="M121" s="20" t="n">
        <v>-0.178</v>
      </c>
      <c r="N121" s="20" t="n">
        <v>-0.058</v>
      </c>
      <c r="U121" s="20" t="n">
        <v>1.162</v>
      </c>
      <c r="V121" s="20" t="n">
        <v>1.353</v>
      </c>
      <c r="W121" s="20" t="n">
        <v>42.664</v>
      </c>
      <c r="X121" s="20" t="n">
        <v>1.096</v>
      </c>
    </row>
    <row r="122">
      <c r="A122" s="18" t="inlineStr">
        <is>
          <t>외환차손</t>
        </is>
      </c>
      <c r="D122" s="20" t="n">
        <v>0</v>
      </c>
      <c r="E122" s="20" t="n">
        <v>0</v>
      </c>
      <c r="F122" s="20" t="n">
        <v>9.736000000000001</v>
      </c>
      <c r="G122" s="20" t="n">
        <v>-9.736000000000001</v>
      </c>
      <c r="H122" s="20" t="n">
        <v>4.5</v>
      </c>
      <c r="I122" s="20" t="n">
        <v>21.426</v>
      </c>
      <c r="J122" s="20" t="n">
        <v>-10.07</v>
      </c>
      <c r="K122" s="20" t="n">
        <v>-2.104</v>
      </c>
      <c r="L122" s="20" t="n">
        <v>0.524</v>
      </c>
      <c r="M122" s="20" t="n">
        <v>-0.524</v>
      </c>
      <c r="N122" s="20" t="n">
        <v>0</v>
      </c>
      <c r="W122" s="20" t="n">
        <v>-9.736000000000001</v>
      </c>
      <c r="X122" s="20" t="n">
        <v>-2.104</v>
      </c>
    </row>
    <row r="123">
      <c r="A123" s="18" t="inlineStr">
        <is>
          <t>기타</t>
        </is>
      </c>
      <c r="C123" s="20" t="n">
        <v>2.652</v>
      </c>
      <c r="D123" s="20" t="n">
        <v>3.557</v>
      </c>
      <c r="E123" s="20" t="n">
        <v>0.795</v>
      </c>
      <c r="F123" s="20" t="n">
        <v>0.92</v>
      </c>
      <c r="G123" s="20" t="n">
        <v>6.052</v>
      </c>
      <c r="H123" s="20" t="n">
        <v>3.666</v>
      </c>
      <c r="I123" s="20" t="n">
        <v>0.984</v>
      </c>
      <c r="J123" s="20" t="n">
        <v>5.779</v>
      </c>
      <c r="K123" s="20" t="n">
        <v>3.585</v>
      </c>
      <c r="L123" s="20" t="n">
        <v>16.507</v>
      </c>
      <c r="M123" s="20" t="n">
        <v>6.306</v>
      </c>
      <c r="N123" s="20" t="n">
        <v>7.282</v>
      </c>
      <c r="U123" s="20" t="n">
        <v>2.367</v>
      </c>
      <c r="V123" s="20" t="n">
        <v>2.652</v>
      </c>
      <c r="W123" s="20" t="n">
        <v>6.052</v>
      </c>
      <c r="X123" s="20" t="n">
        <v>3.585</v>
      </c>
    </row>
    <row r="124">
      <c r="A124" s="18" t="inlineStr">
        <is>
          <t>영업외비용 합계</t>
        </is>
      </c>
      <c r="C124" s="20" t="n">
        <v>30.61</v>
      </c>
      <c r="D124" s="20" t="n">
        <v>11.214</v>
      </c>
      <c r="E124" s="20" t="n">
        <v>53.266</v>
      </c>
      <c r="F124" s="20" t="n">
        <v>24.641</v>
      </c>
      <c r="G124" s="20" t="n">
        <v>72.56</v>
      </c>
      <c r="H124" s="20" t="n">
        <v>39.193</v>
      </c>
      <c r="I124" s="20" t="n">
        <v>89.10299999999999</v>
      </c>
      <c r="J124" s="20" t="n">
        <v>36.019</v>
      </c>
      <c r="K124" s="20" t="n">
        <v>15.642</v>
      </c>
      <c r="L124" s="20" t="n">
        <v>158.02</v>
      </c>
      <c r="M124" s="20" t="n">
        <v>63.268</v>
      </c>
      <c r="N124" s="20" t="n">
        <v>106.626</v>
      </c>
      <c r="U124" s="20" t="n">
        <v>93.755</v>
      </c>
      <c r="V124" s="20" t="n">
        <v>30.61</v>
      </c>
      <c r="W124" s="20" t="n">
        <v>72.56</v>
      </c>
      <c r="X124" s="20" t="n">
        <v>15.642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I125" s="15">
        <f>IF(OR(I124="",E124=""),"",IF(I124*E124&lt;=0,"",IFERROR(I124/E124-1,"")))</f>
        <v/>
      </c>
      <c r="J125" s="15">
        <f>IF(OR(J124="",F124=""),"",IF(J124*F124&lt;=0,"",IFERROR(J124/F124-1,"")))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M125" s="15">
        <f>IF(OR(M124="",I124=""),"",IF(M124*I124&lt;=0,"",IFERROR(M124/I124-1,"")))</f>
        <v/>
      </c>
      <c r="N125" s="15">
        <f>IF(OR(N124="",J124=""),"",IF(N124*J124&lt;=0,"",IFERROR(N124/J124-1,"")))</f>
        <v/>
      </c>
      <c r="U125" s="15">
        <f>IF(OR(U124="",T124=""),"",IF(U124*T124&lt;=0,"",IFERROR(U124/T124-1,"")))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9" t="inlineStr">
        <is>
          <t>경상이익</t>
        </is>
      </c>
      <c r="C126" s="12" t="n">
        <v>215.091</v>
      </c>
      <c r="D126" s="12" t="n">
        <v>280.056</v>
      </c>
      <c r="E126" s="12" t="n">
        <v>212.584</v>
      </c>
      <c r="F126" s="12" t="n">
        <v>230.711</v>
      </c>
      <c r="G126" s="12" t="n">
        <v>123.006</v>
      </c>
      <c r="H126" s="12" t="n">
        <v>318.201</v>
      </c>
      <c r="I126" s="12" t="n">
        <v>375.278</v>
      </c>
      <c r="J126" s="12" t="n">
        <v>373.654</v>
      </c>
      <c r="K126" s="12" t="n">
        <v>169.14</v>
      </c>
      <c r="L126" s="12" t="n">
        <v>160.635</v>
      </c>
      <c r="M126" s="12" t="n">
        <v>577.096</v>
      </c>
      <c r="N126" s="12" t="n">
        <v>386.181</v>
      </c>
      <c r="U126" s="12" t="n">
        <v>23.197</v>
      </c>
      <c r="V126" s="12" t="n">
        <v>215.091</v>
      </c>
      <c r="W126" s="12" t="n">
        <v>123.006</v>
      </c>
      <c r="X126" s="12" t="n">
        <v>169.14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18" t="inlineStr">
        <is>
          <t>고정자산 매각이익</t>
        </is>
      </c>
      <c r="C128" s="20" t="n">
        <v>0.243</v>
      </c>
      <c r="D128" s="20" t="n">
        <v>0</v>
      </c>
      <c r="E128" s="20" t="n">
        <v>0</v>
      </c>
      <c r="F128" s="20" t="n">
        <v>4.858</v>
      </c>
      <c r="G128" s="20" t="n">
        <v>-4.858</v>
      </c>
      <c r="H128" s="20" t="n">
        <v>3.265</v>
      </c>
      <c r="I128" s="20" t="n">
        <v>7.836</v>
      </c>
      <c r="J128" s="20" t="n">
        <v>0.909</v>
      </c>
      <c r="K128" s="20" t="n">
        <v>0</v>
      </c>
      <c r="L128" s="20" t="n">
        <v>0</v>
      </c>
      <c r="M128" s="20" t="n">
        <v>0.764</v>
      </c>
      <c r="N128" s="20" t="n">
        <v>1.743</v>
      </c>
      <c r="V128" s="20" t="n">
        <v>0.243</v>
      </c>
      <c r="W128" s="20" t="n">
        <v>-4.858</v>
      </c>
      <c r="X128" s="20" t="n">
        <v>0</v>
      </c>
    </row>
    <row r="129">
      <c r="A129" s="18" t="inlineStr">
        <is>
          <t>사업 양도 이익</t>
        </is>
      </c>
      <c r="C129" s="20" t="n">
        <v>0.777</v>
      </c>
      <c r="G129" s="20" t="n">
        <v>29.99</v>
      </c>
      <c r="H129" s="20" t="n">
        <v>0</v>
      </c>
      <c r="I129" s="20" t="n">
        <v>0</v>
      </c>
      <c r="J129" s="20" t="n">
        <v>0</v>
      </c>
      <c r="K129" s="20" t="n">
        <v>47.065</v>
      </c>
      <c r="L129" s="20" t="n">
        <v>22.265</v>
      </c>
      <c r="M129" s="20" t="n">
        <v>1.124</v>
      </c>
      <c r="N129" s="20" t="n">
        <v>0</v>
      </c>
      <c r="U129" s="20" t="n">
        <v>0</v>
      </c>
      <c r="V129" s="20" t="n">
        <v>0.777</v>
      </c>
      <c r="W129" s="20" t="n">
        <v>29.99</v>
      </c>
      <c r="X129" s="20" t="n">
        <v>47.065</v>
      </c>
    </row>
    <row r="130">
      <c r="A130" s="18" t="inlineStr">
        <is>
          <t>자산복구부채 환입이익</t>
        </is>
      </c>
      <c r="C130" s="20" t="n">
        <v>4.519</v>
      </c>
      <c r="F130" s="20" t="n">
        <v>3.392</v>
      </c>
      <c r="G130" s="20" t="n">
        <v>2.628</v>
      </c>
      <c r="H130" s="20" t="n">
        <v>0</v>
      </c>
      <c r="I130" s="20" t="n">
        <v>4.457</v>
      </c>
      <c r="J130" s="20" t="n">
        <v>3.887</v>
      </c>
      <c r="K130" s="20" t="n">
        <v>-4.163</v>
      </c>
      <c r="L130" s="20" t="n">
        <v>2.743</v>
      </c>
      <c r="M130" s="20" t="n">
        <v>0</v>
      </c>
      <c r="N130" s="20" t="n">
        <v>0</v>
      </c>
      <c r="U130" s="20" t="n">
        <v>0</v>
      </c>
      <c r="V130" s="20" t="n">
        <v>4.519</v>
      </c>
      <c r="W130" s="20" t="n">
        <v>2.628</v>
      </c>
      <c r="X130" s="20" t="n">
        <v>-4.163</v>
      </c>
    </row>
    <row r="131">
      <c r="A131" s="18" t="inlineStr">
        <is>
          <t>특별이익 합계</t>
        </is>
      </c>
      <c r="C131" s="20" t="n">
        <v>5.54</v>
      </c>
      <c r="D131" s="20" t="n">
        <v>0</v>
      </c>
      <c r="E131" s="20" t="n">
        <v>0</v>
      </c>
      <c r="F131" s="20" t="n">
        <v>18.251</v>
      </c>
      <c r="G131" s="20" t="n">
        <v>27.76</v>
      </c>
      <c r="H131" s="20" t="n">
        <v>3.265</v>
      </c>
      <c r="I131" s="20" t="n">
        <v>12.293</v>
      </c>
      <c r="J131" s="20" t="n">
        <v>4.796</v>
      </c>
      <c r="K131" s="20" t="n">
        <v>42.902</v>
      </c>
      <c r="L131" s="20" t="n">
        <v>25.008</v>
      </c>
      <c r="M131" s="20" t="n">
        <v>1.888</v>
      </c>
      <c r="N131" s="20" t="n">
        <v>1.744</v>
      </c>
      <c r="U131" s="20" t="n">
        <v>1.17</v>
      </c>
      <c r="V131" s="20" t="n">
        <v>5.54</v>
      </c>
      <c r="W131" s="20" t="n">
        <v>27.76</v>
      </c>
      <c r="X131" s="20" t="n">
        <v>42.902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18" t="inlineStr">
        <is>
          <t>고정자산 매각손실</t>
        </is>
      </c>
      <c r="C133" s="20" t="n">
        <v>0.262</v>
      </c>
      <c r="D133" s="20" t="n">
        <v>4.415</v>
      </c>
      <c r="E133" s="20" t="n">
        <v>0</v>
      </c>
      <c r="F133" s="20" t="n">
        <v>1.211</v>
      </c>
      <c r="G133" s="20" t="n">
        <v>-0.88</v>
      </c>
      <c r="H133" s="20" t="n">
        <v>0</v>
      </c>
      <c r="I133" s="20" t="n">
        <v>0</v>
      </c>
      <c r="J133" s="20" t="n">
        <v>1.587</v>
      </c>
      <c r="K133" s="20" t="n">
        <v>0.382</v>
      </c>
      <c r="L133" s="20" t="n">
        <v>1.863</v>
      </c>
      <c r="M133" s="20" t="n">
        <v>-1.661</v>
      </c>
      <c r="N133" s="20" t="n">
        <v>0.016</v>
      </c>
      <c r="V133" s="20" t="n">
        <v>0.262</v>
      </c>
      <c r="W133" s="20" t="n">
        <v>-0.88</v>
      </c>
      <c r="X133" s="20" t="n">
        <v>0.382</v>
      </c>
    </row>
    <row r="134">
      <c r="A134" s="18" t="inlineStr">
        <is>
          <t>고정자산 제각손실</t>
        </is>
      </c>
      <c r="C134" s="20" t="n">
        <v>1.719</v>
      </c>
      <c r="D134" s="20" t="n">
        <v>1.947</v>
      </c>
      <c r="E134" s="20" t="n">
        <v>0.748</v>
      </c>
      <c r="F134" s="20" t="n">
        <v>0.348</v>
      </c>
      <c r="G134" s="20" t="n">
        <v>1.942</v>
      </c>
      <c r="H134" s="20" t="n">
        <v>0</v>
      </c>
      <c r="I134" s="20" t="n">
        <v>0</v>
      </c>
      <c r="J134" s="20" t="n">
        <v>4.172</v>
      </c>
      <c r="K134" s="20" t="n">
        <v>3.792</v>
      </c>
      <c r="L134" s="20" t="n">
        <v>0.392</v>
      </c>
      <c r="M134" s="20" t="n">
        <v>4.942</v>
      </c>
      <c r="N134" s="20" t="n">
        <v>0.248</v>
      </c>
      <c r="U134" s="20" t="n">
        <v>0</v>
      </c>
      <c r="V134" s="20" t="n">
        <v>1.719</v>
      </c>
      <c r="W134" s="20" t="n">
        <v>1.942</v>
      </c>
      <c r="X134" s="20" t="n">
        <v>3.792</v>
      </c>
    </row>
    <row r="135">
      <c r="A135" s="18" t="inlineStr">
        <is>
          <t>점포 폐쇄 손실</t>
        </is>
      </c>
      <c r="C135" s="20" t="n">
        <v>0</v>
      </c>
      <c r="D135" s="20" t="n">
        <v>0</v>
      </c>
      <c r="E135" s="20" t="n">
        <v>2.748</v>
      </c>
      <c r="F135" s="20" t="n">
        <v>0</v>
      </c>
      <c r="G135" s="20" t="n">
        <v>0</v>
      </c>
      <c r="H135" s="20" t="n">
        <v>1.821</v>
      </c>
      <c r="I135" s="20" t="n">
        <v>6.467</v>
      </c>
      <c r="J135" s="20" t="n">
        <v>1.421</v>
      </c>
      <c r="K135" s="20" t="n">
        <v>0</v>
      </c>
      <c r="L135" s="20" t="n">
        <v>6.431</v>
      </c>
      <c r="M135" s="20" t="n">
        <v>0</v>
      </c>
      <c r="N135" s="20" t="n">
        <v>5.081</v>
      </c>
      <c r="U135" s="20" t="n">
        <v>9.544</v>
      </c>
      <c r="V135" s="20" t="n">
        <v>0</v>
      </c>
      <c r="W135" s="20" t="n">
        <v>0</v>
      </c>
      <c r="X135" s="20" t="n">
        <v>0</v>
      </c>
    </row>
    <row r="136">
      <c r="A136" s="18" t="inlineStr">
        <is>
          <t>특별퇴직금</t>
        </is>
      </c>
      <c r="C136" s="20" t="n">
        <v>-0.079</v>
      </c>
      <c r="G136" s="20" t="n">
        <v>0</v>
      </c>
      <c r="U136" s="20" t="n">
        <v>0</v>
      </c>
      <c r="V136" s="20" t="n">
        <v>-0.079</v>
      </c>
      <c r="W136" s="20" t="n">
        <v>0</v>
      </c>
    </row>
    <row r="137">
      <c r="A137" s="18" t="inlineStr">
        <is>
          <t>손상차손</t>
        </is>
      </c>
      <c r="C137" s="20" t="n">
        <v>131.081</v>
      </c>
      <c r="G137" s="20" t="n">
        <v>140.077</v>
      </c>
      <c r="J137" s="20" t="n">
        <v>3.792</v>
      </c>
      <c r="K137" s="20" t="n">
        <v>67.20699999999999</v>
      </c>
      <c r="N137" s="20" t="n">
        <v>5.424</v>
      </c>
      <c r="U137" s="20" t="n">
        <v>141.815</v>
      </c>
      <c r="V137" s="20" t="n">
        <v>131.081</v>
      </c>
      <c r="W137" s="20" t="n">
        <v>140.077</v>
      </c>
      <c r="X137" s="20" t="n">
        <v>67.20699999999999</v>
      </c>
    </row>
    <row r="138">
      <c r="A138" s="18" t="inlineStr">
        <is>
          <t>점포 폐쇄 손실 충당금 전입액</t>
        </is>
      </c>
      <c r="D138" s="20" t="n">
        <v>3.04</v>
      </c>
      <c r="E138" s="20" t="n">
        <v>-3.04</v>
      </c>
      <c r="H138" s="20" t="n">
        <v>9.460000000000001</v>
      </c>
      <c r="I138" s="20" t="n">
        <v>-8.039</v>
      </c>
      <c r="L138" s="20" t="n">
        <v>0</v>
      </c>
      <c r="M138" s="20" t="n">
        <v>6.034</v>
      </c>
    </row>
    <row r="139">
      <c r="A139" s="18" t="inlineStr">
        <is>
          <t>임원 퇴직위로금</t>
        </is>
      </c>
      <c r="D139" s="20" t="n">
        <v>0</v>
      </c>
      <c r="E139" s="20" t="n">
        <v>0</v>
      </c>
      <c r="F139" s="20" t="n">
        <v>0</v>
      </c>
      <c r="G139" s="20" t="n">
        <v>0</v>
      </c>
      <c r="H139" s="20" t="n">
        <v>60</v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0" t="n">
        <v>0</v>
      </c>
      <c r="W139" s="20" t="n">
        <v>0</v>
      </c>
      <c r="X139" s="20" t="n">
        <v>0</v>
      </c>
    </row>
    <row r="140">
      <c r="A140" s="18" t="inlineStr">
        <is>
          <t>특별손실 합계</t>
        </is>
      </c>
      <c r="C140" s="20" t="n">
        <v>132.984</v>
      </c>
      <c r="D140" s="20" t="n">
        <v>9.401999999999999</v>
      </c>
      <c r="E140" s="20" t="n">
        <v>0.458</v>
      </c>
      <c r="F140" s="20" t="n">
        <v>1.558</v>
      </c>
      <c r="G140" s="20" t="n">
        <v>141.14</v>
      </c>
      <c r="H140" s="20" t="n">
        <v>71.28100000000001</v>
      </c>
      <c r="I140" s="20" t="n">
        <v>-1.572</v>
      </c>
      <c r="J140" s="20" t="n">
        <v>9.552</v>
      </c>
      <c r="K140" s="20" t="n">
        <v>286.387</v>
      </c>
      <c r="L140" s="20" t="n">
        <v>8.686999999999999</v>
      </c>
      <c r="M140" s="20" t="n">
        <v>10.85</v>
      </c>
      <c r="N140" s="20" t="n">
        <v>47.681</v>
      </c>
      <c r="U140" s="20" t="n">
        <v>161.531</v>
      </c>
      <c r="V140" s="20" t="n">
        <v>132.984</v>
      </c>
      <c r="W140" s="20" t="n">
        <v>141.14</v>
      </c>
      <c r="X140" s="20" t="n">
        <v>286.387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법인세차감전 순이익</t>
        </is>
      </c>
      <c r="C142" s="12" t="n">
        <v>87.646</v>
      </c>
      <c r="D142" s="12" t="n">
        <v>270.653</v>
      </c>
      <c r="E142" s="12" t="n">
        <v>212.127</v>
      </c>
      <c r="F142" s="12" t="n">
        <v>247.403</v>
      </c>
      <c r="G142" s="12" t="n">
        <v>9.627000000000001</v>
      </c>
      <c r="H142" s="12" t="n">
        <v>250.185</v>
      </c>
      <c r="I142" s="12" t="n">
        <v>389.143</v>
      </c>
      <c r="J142" s="12" t="n">
        <v>368.898</v>
      </c>
      <c r="K142" s="12" t="n">
        <v>-74.345</v>
      </c>
      <c r="L142" s="12" t="n">
        <v>176.956</v>
      </c>
      <c r="M142" s="12" t="n">
        <v>568.134</v>
      </c>
      <c r="N142" s="12" t="n">
        <v>340.244</v>
      </c>
      <c r="U142" s="12" t="n">
        <v>-137.163</v>
      </c>
      <c r="V142" s="12" t="n">
        <v>87.646</v>
      </c>
      <c r="W142" s="12" t="n">
        <v>9.627000000000001</v>
      </c>
      <c r="X142" s="12" t="n">
        <v>-74.345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법인세·주민세·사업세</t>
        </is>
      </c>
      <c r="C144" s="20" t="n">
        <v>115.587</v>
      </c>
      <c r="D144" s="20" t="n">
        <v>78.574</v>
      </c>
      <c r="E144" s="20" t="n">
        <v>129.426</v>
      </c>
      <c r="F144" s="20" t="n">
        <v>65.011</v>
      </c>
      <c r="G144" s="20" t="n">
        <v>114.497</v>
      </c>
      <c r="H144" s="20" t="n">
        <v>93.053</v>
      </c>
      <c r="I144" s="20" t="n">
        <v>102.449</v>
      </c>
      <c r="J144" s="20" t="n">
        <v>114.282</v>
      </c>
      <c r="K144" s="20" t="n">
        <v>100.788</v>
      </c>
      <c r="L144" s="20" t="n">
        <v>83.47</v>
      </c>
      <c r="M144" s="20" t="n">
        <v>215.705</v>
      </c>
      <c r="N144" s="20" t="n">
        <v>196.555</v>
      </c>
      <c r="U144" s="20" t="n">
        <v>57.545</v>
      </c>
      <c r="V144" s="20" t="n">
        <v>115.587</v>
      </c>
      <c r="W144" s="20" t="n">
        <v>114.497</v>
      </c>
      <c r="X144" s="20" t="n">
        <v>100.788</v>
      </c>
    </row>
    <row r="145">
      <c r="A145" s="18" t="inlineStr">
        <is>
          <t>법인세 조정액</t>
        </is>
      </c>
      <c r="C145" s="20" t="n">
        <v>-55.622</v>
      </c>
      <c r="D145" s="20" t="n">
        <v>17.783</v>
      </c>
      <c r="E145" s="20" t="n">
        <v>-21.652</v>
      </c>
      <c r="F145" s="20" t="n">
        <v>34.159</v>
      </c>
      <c r="G145" s="20" t="n">
        <v>-65.25</v>
      </c>
      <c r="H145" s="20" t="n">
        <v>36.703</v>
      </c>
      <c r="I145" s="20" t="n">
        <v>-212.554</v>
      </c>
      <c r="J145" s="20" t="n">
        <v>18.192</v>
      </c>
      <c r="K145" s="20" t="n">
        <v>-74.10599999999999</v>
      </c>
      <c r="L145" s="20" t="n">
        <v>58.978</v>
      </c>
      <c r="M145" s="20" t="n">
        <v>20.381</v>
      </c>
      <c r="N145" s="20" t="n">
        <v>-8.983000000000001</v>
      </c>
      <c r="U145" s="20" t="n">
        <v>-71.821</v>
      </c>
      <c r="V145" s="20" t="n">
        <v>-55.622</v>
      </c>
      <c r="W145" s="20" t="n">
        <v>-65.25</v>
      </c>
      <c r="X145" s="20" t="n">
        <v>-74.10599999999999</v>
      </c>
    </row>
    <row r="146">
      <c r="A146" s="18" t="inlineStr">
        <is>
          <t>법인세 등 합계</t>
        </is>
      </c>
      <c r="C146" s="20" t="n">
        <v>59.965</v>
      </c>
      <c r="D146" s="20" t="n">
        <v>96.357</v>
      </c>
      <c r="E146" s="20" t="n">
        <v>107.773</v>
      </c>
      <c r="F146" s="20" t="n">
        <v>99.17100000000001</v>
      </c>
      <c r="G146" s="20" t="n">
        <v>49.247</v>
      </c>
      <c r="H146" s="20" t="n">
        <v>129.756</v>
      </c>
      <c r="I146" s="20" t="n">
        <v>-110.105</v>
      </c>
      <c r="J146" s="20" t="n">
        <v>132.473</v>
      </c>
      <c r="K146" s="20" t="n">
        <v>26.683</v>
      </c>
      <c r="L146" s="20" t="n">
        <v>142.448</v>
      </c>
      <c r="M146" s="20" t="n">
        <v>236.086</v>
      </c>
      <c r="N146" s="20" t="n">
        <v>187.572</v>
      </c>
      <c r="U146" s="20" t="n">
        <v>-14.276</v>
      </c>
      <c r="V146" s="20" t="n">
        <v>59.965</v>
      </c>
      <c r="W146" s="20" t="n">
        <v>49.247</v>
      </c>
      <c r="X146" s="20" t="n">
        <v>26.683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순이익</t>
        </is>
      </c>
      <c r="C148" s="12" t="n">
        <v>27.682</v>
      </c>
      <c r="D148" s="12" t="n">
        <v>174.295</v>
      </c>
      <c r="E148" s="12" t="n">
        <v>104.354</v>
      </c>
      <c r="F148" s="12" t="n">
        <v>148.233</v>
      </c>
      <c r="G148" s="12" t="n">
        <v>-39.621</v>
      </c>
      <c r="H148" s="12" t="n">
        <v>120.429</v>
      </c>
      <c r="I148" s="12" t="n">
        <v>499.248</v>
      </c>
      <c r="J148" s="12" t="n">
        <v>236.424</v>
      </c>
      <c r="K148" s="12" t="n">
        <v>-101.027</v>
      </c>
      <c r="L148" s="12" t="n">
        <v>34.507</v>
      </c>
      <c r="M148" s="12" t="n">
        <v>332.049</v>
      </c>
      <c r="N148" s="12" t="n">
        <v>152.672</v>
      </c>
      <c r="U148" s="12" t="n">
        <v>-122.887</v>
      </c>
      <c r="V148" s="12" t="n">
        <v>27.682</v>
      </c>
      <c r="W148" s="12" t="n">
        <v>-39.621</v>
      </c>
      <c r="X148" s="12" t="n">
        <v>-101.027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9" t="inlineStr">
        <is>
          <t>비지배주주 순이익</t>
        </is>
      </c>
      <c r="C150" s="12" t="n">
        <v>0.043</v>
      </c>
      <c r="D150" s="12" t="n">
        <v>-0.864</v>
      </c>
      <c r="E150" s="12" t="n">
        <v>1.932</v>
      </c>
      <c r="F150" s="12" t="n">
        <v>1.201</v>
      </c>
      <c r="G150" s="12" t="n">
        <v>4.62</v>
      </c>
      <c r="H150" s="12" t="n">
        <v>-1.423</v>
      </c>
      <c r="I150" s="12" t="n">
        <v>10.795</v>
      </c>
      <c r="J150" s="12" t="n">
        <v>1.204</v>
      </c>
      <c r="K150" s="12" t="n">
        <v>-0.091</v>
      </c>
      <c r="L150" s="12" t="n">
        <v>1.731</v>
      </c>
      <c r="M150" s="12" t="n">
        <v>-1.328</v>
      </c>
      <c r="N150" s="12" t="n">
        <v>1.415</v>
      </c>
      <c r="U150" s="12" t="n">
        <v>0</v>
      </c>
      <c r="V150" s="12" t="n">
        <v>0.043</v>
      </c>
      <c r="W150" s="12" t="n">
        <v>4.62</v>
      </c>
      <c r="X150" s="12" t="n">
        <v>-0.091</v>
      </c>
    </row>
    <row r="151">
      <c r="A151" s="9" t="inlineStr">
        <is>
          <t>지배주주 순이익</t>
        </is>
      </c>
      <c r="C151" s="12" t="n">
        <v>27.64</v>
      </c>
      <c r="D151" s="12" t="n">
        <v>175.16</v>
      </c>
      <c r="E151" s="12" t="n">
        <v>102.421</v>
      </c>
      <c r="F151" s="12" t="n">
        <v>147.031</v>
      </c>
      <c r="G151" s="12" t="n">
        <v>-44.24</v>
      </c>
      <c r="H151" s="12" t="n">
        <v>121.853</v>
      </c>
      <c r="I151" s="12" t="n">
        <v>488.452</v>
      </c>
      <c r="J151" s="12" t="n">
        <v>235.219</v>
      </c>
      <c r="K151" s="12" t="n">
        <v>-100.936</v>
      </c>
      <c r="L151" s="12" t="n">
        <v>32.776</v>
      </c>
      <c r="M151" s="12" t="n">
        <v>333.376</v>
      </c>
      <c r="N151" s="12" t="n">
        <v>151.258</v>
      </c>
      <c r="U151" s="12" t="n">
        <v>-122.887</v>
      </c>
      <c r="V151" s="12" t="n">
        <v>27.64</v>
      </c>
      <c r="W151" s="12" t="n">
        <v>-44.24</v>
      </c>
      <c r="X151" s="12" t="n">
        <v>-100.936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U152" s="15">
        <f>IF(OR(U151="",T151=""),"",IF(T151&lt;=0,"",IFERROR(U151/T151-1,"")))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4">
      <c r="A154" s="16" t="inlineStr">
        <is>
          <t>포괄손익 · 전 항목</t>
        </is>
      </c>
      <c r="B154" s="42" t="inlineStr">
        <is>
          <t>분기 = 3개월 단독</t>
        </is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</row>
    <row r="155">
      <c r="A155" s="5" t="inlineStr">
        <is>
          <t>항목</t>
        </is>
      </c>
      <c r="B155" s="5" t="inlineStr">
        <is>
          <t>참고</t>
        </is>
      </c>
      <c r="C155" s="5" t="inlineStr">
        <is>
          <t>2023.4Q</t>
        </is>
      </c>
      <c r="D155" s="5" t="inlineStr">
        <is>
          <t>2024.1Q</t>
        </is>
      </c>
      <c r="E155" s="5" t="inlineStr">
        <is>
          <t>2024.2Q</t>
        </is>
      </c>
      <c r="F155" s="5" t="inlineStr">
        <is>
          <t>2024.3Q</t>
        </is>
      </c>
      <c r="G155" s="5" t="inlineStr">
        <is>
          <t>2024.4Q</t>
        </is>
      </c>
      <c r="H155" s="5" t="inlineStr">
        <is>
          <t>2025.1Q</t>
        </is>
      </c>
      <c r="I155" s="5" t="inlineStr">
        <is>
          <t>2025.2Q</t>
        </is>
      </c>
      <c r="J155" s="5" t="inlineStr">
        <is>
          <t>2025.3Q</t>
        </is>
      </c>
      <c r="K155" s="5" t="inlineStr">
        <is>
          <t>2025.4Q</t>
        </is>
      </c>
      <c r="L155" s="5" t="inlineStr">
        <is>
          <t>2026.1Q</t>
        </is>
      </c>
      <c r="M155" s="5" t="inlineStr">
        <is>
          <t>2026.2Q</t>
        </is>
      </c>
      <c r="N155" s="5" t="inlineStr">
        <is>
          <t>2026.3Q</t>
        </is>
      </c>
      <c r="O155" s="5" t="inlineStr">
        <is>
          <t>2016</t>
        </is>
      </c>
      <c r="P155" s="5" t="inlineStr">
        <is>
          <t>2017</t>
        </is>
      </c>
      <c r="Q155" s="5" t="inlineStr">
        <is>
          <t>2018</t>
        </is>
      </c>
      <c r="R155" s="5" t="inlineStr">
        <is>
          <t>2019</t>
        </is>
      </c>
      <c r="S155" s="5" t="inlineStr">
        <is>
          <t>2020</t>
        </is>
      </c>
      <c r="T155" s="5" t="inlineStr">
        <is>
          <t>2021</t>
        </is>
      </c>
      <c r="U155" s="5" t="inlineStr">
        <is>
          <t>2022</t>
        </is>
      </c>
      <c r="V155" s="5" t="inlineStr">
        <is>
          <t>2023</t>
        </is>
      </c>
      <c r="W155" s="5" t="inlineStr">
        <is>
          <t>2024</t>
        </is>
      </c>
      <c r="X155" s="5" t="inlineStr">
        <is>
          <t>2025</t>
        </is>
      </c>
      <c r="Y155" s="5" t="inlineStr">
        <is>
          <t>2026(MW)</t>
        </is>
      </c>
      <c r="Z155" s="5" t="inlineStr">
        <is>
          <t>2027(MW)</t>
        </is>
      </c>
      <c r="AA155" s="5" t="inlineStr">
        <is>
          <t>2028(MW)</t>
        </is>
      </c>
      <c r="AB155" s="5" t="inlineStr">
        <is>
          <t>2029(MW)</t>
        </is>
      </c>
      <c r="AC155" s="5" t="inlineStr">
        <is>
          <t>2030(MW)</t>
        </is>
      </c>
    </row>
    <row r="156">
      <c r="A156" s="9" t="inlineStr">
        <is>
          <t>순이익</t>
        </is>
      </c>
      <c r="C156" s="12" t="n">
        <v>27.682</v>
      </c>
      <c r="D156" s="12" t="n">
        <v>174.295</v>
      </c>
      <c r="E156" s="12" t="n">
        <v>104.354</v>
      </c>
      <c r="F156" s="12" t="n">
        <v>148.233</v>
      </c>
      <c r="G156" s="12" t="n">
        <v>-39.621</v>
      </c>
      <c r="H156" s="12" t="n">
        <v>120.429</v>
      </c>
      <c r="I156" s="12" t="n">
        <v>499.248</v>
      </c>
      <c r="J156" s="12" t="n">
        <v>236.424</v>
      </c>
      <c r="K156" s="12" t="n">
        <v>-101.027</v>
      </c>
      <c r="L156" s="12" t="n">
        <v>34.507</v>
      </c>
      <c r="M156" s="12" t="n">
        <v>332.049</v>
      </c>
      <c r="N156" s="12" t="n">
        <v>152.672</v>
      </c>
      <c r="U156" s="12" t="n">
        <v>-122.887</v>
      </c>
      <c r="V156" s="12" t="n">
        <v>27.682</v>
      </c>
      <c r="W156" s="12" t="n">
        <v>-39.621</v>
      </c>
      <c r="X156" s="12" t="n">
        <v>-101.027</v>
      </c>
    </row>
    <row r="157">
      <c r="A157" s="9" t="inlineStr">
        <is>
          <t>포괄이익</t>
        </is>
      </c>
      <c r="C157" s="12" t="n">
        <v>27.682</v>
      </c>
      <c r="D157" s="12" t="n">
        <v>174.295</v>
      </c>
      <c r="E157" s="12" t="n">
        <v>104.354</v>
      </c>
      <c r="F157" s="12" t="n">
        <v>148.233</v>
      </c>
      <c r="G157" s="12" t="n">
        <v>-39.621</v>
      </c>
      <c r="H157" s="12" t="n">
        <v>120.429</v>
      </c>
      <c r="I157" s="12" t="n">
        <v>499.248</v>
      </c>
      <c r="J157" s="12" t="n">
        <v>236.424</v>
      </c>
      <c r="K157" s="12" t="n">
        <v>-101.027</v>
      </c>
      <c r="L157" s="12" t="n">
        <v>34.507</v>
      </c>
      <c r="M157" s="12" t="n">
        <v>332.049</v>
      </c>
      <c r="N157" s="12" t="n">
        <v>152.672</v>
      </c>
      <c r="U157" s="12" t="n">
        <v>-122.887</v>
      </c>
      <c r="V157" s="12" t="n">
        <v>27.682</v>
      </c>
      <c r="W157" s="12" t="n">
        <v>-39.621</v>
      </c>
      <c r="X157" s="12" t="n">
        <v>-101.027</v>
      </c>
    </row>
    <row r="158">
      <c r="A158" s="9" t="inlineStr">
        <is>
          <t>지배주주 포괄이익</t>
        </is>
      </c>
      <c r="C158" s="12" t="n">
        <v>27.64</v>
      </c>
      <c r="D158" s="12" t="n">
        <v>175.16</v>
      </c>
      <c r="E158" s="12" t="n">
        <v>102.421</v>
      </c>
      <c r="F158" s="12" t="n">
        <v>147.031</v>
      </c>
      <c r="G158" s="12" t="n">
        <v>-44.24</v>
      </c>
      <c r="H158" s="12" t="n">
        <v>121.853</v>
      </c>
      <c r="I158" s="12" t="n">
        <v>488.452</v>
      </c>
      <c r="J158" s="12" t="n">
        <v>235.219</v>
      </c>
      <c r="K158" s="12" t="n">
        <v>-100.936</v>
      </c>
      <c r="L158" s="12" t="n">
        <v>32.776</v>
      </c>
      <c r="M158" s="12" t="n">
        <v>333.376</v>
      </c>
      <c r="N158" s="12" t="n">
        <v>151.258</v>
      </c>
      <c r="U158" s="12" t="n">
        <v>-122.887</v>
      </c>
      <c r="V158" s="12" t="n">
        <v>27.64</v>
      </c>
      <c r="W158" s="12" t="n">
        <v>-44.24</v>
      </c>
      <c r="X158" s="12" t="n">
        <v>-100.936</v>
      </c>
    </row>
    <row r="159">
      <c r="A159" s="9" t="inlineStr">
        <is>
          <t>비지배주주 포괄이익</t>
        </is>
      </c>
      <c r="C159" s="12" t="n">
        <v>0.043</v>
      </c>
      <c r="D159" s="12" t="n">
        <v>-0.864</v>
      </c>
      <c r="E159" s="12" t="n">
        <v>1.932</v>
      </c>
      <c r="F159" s="12" t="n">
        <v>1.201</v>
      </c>
      <c r="G159" s="12" t="n">
        <v>4.62</v>
      </c>
      <c r="H159" s="12" t="n">
        <v>-1.423</v>
      </c>
      <c r="I159" s="12" t="n">
        <v>10.795</v>
      </c>
      <c r="J159" s="12" t="n">
        <v>1.204</v>
      </c>
      <c r="K159" s="12" t="n">
        <v>-0.091</v>
      </c>
      <c r="L159" s="12" t="n">
        <v>1.731</v>
      </c>
      <c r="M159" s="12" t="n">
        <v>-1.328</v>
      </c>
      <c r="N159" s="12" t="n">
        <v>1.415</v>
      </c>
      <c r="U159" s="12" t="n">
        <v>0</v>
      </c>
      <c r="V159" s="12" t="n">
        <v>0.043</v>
      </c>
      <c r="W159" s="12" t="n">
        <v>4.62</v>
      </c>
      <c r="X159" s="12" t="n">
        <v>-0.091</v>
      </c>
    </row>
    <row r="161">
      <c r="A161" s="16" t="inlineStr">
        <is>
          <t>부문 · 전 항목</t>
        </is>
      </c>
      <c r="B161" s="42" t="inlineStr">
        <is>
          <t>부문 · 항목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2023.4Q</t>
        </is>
      </c>
      <c r="D162" s="5" t="inlineStr">
        <is>
          <t>2024.1Q</t>
        </is>
      </c>
      <c r="E162" s="5" t="inlineStr">
        <is>
          <t>2024.2Q</t>
        </is>
      </c>
      <c r="F162" s="5" t="inlineStr">
        <is>
          <t>2024.3Q</t>
        </is>
      </c>
      <c r="G162" s="5" t="inlineStr">
        <is>
          <t>2024.4Q</t>
        </is>
      </c>
      <c r="H162" s="5" t="inlineStr">
        <is>
          <t>2025.1Q</t>
        </is>
      </c>
      <c r="I162" s="5" t="inlineStr">
        <is>
          <t>2025.2Q</t>
        </is>
      </c>
      <c r="J162" s="5" t="inlineStr">
        <is>
          <t>2025.3Q</t>
        </is>
      </c>
      <c r="K162" s="5" t="inlineStr">
        <is>
          <t>2025.4Q</t>
        </is>
      </c>
      <c r="L162" s="5" t="inlineStr">
        <is>
          <t>2026.1Q</t>
        </is>
      </c>
      <c r="M162" s="5" t="inlineStr">
        <is>
          <t>2026.2Q</t>
        </is>
      </c>
      <c r="N162" s="5" t="inlineStr">
        <is>
          <t>2026.3Q</t>
        </is>
      </c>
      <c r="O162" s="5" t="inlineStr">
        <is>
          <t>2016</t>
        </is>
      </c>
      <c r="P162" s="5" t="inlineStr">
        <is>
          <t>2017</t>
        </is>
      </c>
      <c r="Q162" s="5" t="inlineStr">
        <is>
          <t>2018</t>
        </is>
      </c>
      <c r="R162" s="5" t="inlineStr">
        <is>
          <t>2019</t>
        </is>
      </c>
      <c r="S162" s="5" t="inlineStr">
        <is>
          <t>2020</t>
        </is>
      </c>
      <c r="T162" s="5" t="inlineStr">
        <is>
          <t>2021</t>
        </is>
      </c>
      <c r="U162" s="5" t="inlineStr">
        <is>
          <t>2022</t>
        </is>
      </c>
      <c r="V162" s="5" t="inlineStr">
        <is>
          <t>2023</t>
        </is>
      </c>
      <c r="W162" s="5" t="inlineStr">
        <is>
          <t>2024</t>
        </is>
      </c>
      <c r="X162" s="5" t="inlineStr">
        <is>
          <t>2025</t>
        </is>
      </c>
      <c r="Y162" s="5" t="inlineStr">
        <is>
          <t>2026(MW)</t>
        </is>
      </c>
      <c r="Z162" s="5" t="inlineStr">
        <is>
          <t>2027(MW)</t>
        </is>
      </c>
      <c r="AA162" s="5" t="inlineStr">
        <is>
          <t>2028(MW)</t>
        </is>
      </c>
      <c r="AB162" s="5" t="inlineStr">
        <is>
          <t>2029(MW)</t>
        </is>
      </c>
      <c r="AC162" s="5" t="inlineStr">
        <is>
          <t>2030(MW)</t>
        </is>
      </c>
    </row>
    <row r="163">
      <c r="A163" s="18" t="inlineStr">
        <is>
          <t>KUSHIKATSUTANAKACOReportableSegmentMember · 외부 고객 매출</t>
        </is>
      </c>
      <c r="D163" s="20" t="n">
        <v>3616.519</v>
      </c>
      <c r="E163" s="20" t="n">
        <v>3807.213</v>
      </c>
      <c r="F163" s="20" t="n">
        <v>3873.521</v>
      </c>
      <c r="G163" s="20" t="n">
        <v>3772.782</v>
      </c>
      <c r="H163" s="20" t="n">
        <v>4054.115</v>
      </c>
      <c r="I163" s="20" t="n">
        <v>4293.137</v>
      </c>
      <c r="J163" s="20" t="n">
        <v>4614.011</v>
      </c>
      <c r="K163" s="20" t="n">
        <v>4560.887</v>
      </c>
      <c r="L163" s="20" t="n">
        <v>4920.606</v>
      </c>
      <c r="M163" s="20" t="n">
        <v>5042.941</v>
      </c>
      <c r="N163" s="20" t="n">
        <v>4955.848</v>
      </c>
      <c r="W163" s="20" t="n">
        <v>3772.782</v>
      </c>
      <c r="X163" s="20" t="n">
        <v>4560.887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PISOLAReportableSegmentMember · 외부 고객 매출</t>
        </is>
      </c>
      <c r="H165" s="20" t="n">
        <v>0</v>
      </c>
      <c r="I165" s="20" t="n">
        <v>0</v>
      </c>
      <c r="J165" s="20" t="n">
        <v>0</v>
      </c>
      <c r="L165" s="20" t="n">
        <v>2907.02</v>
      </c>
      <c r="M165" s="20" t="n">
        <v>3438.587</v>
      </c>
      <c r="N165" s="20" t="n">
        <v>3664.215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</row>
    <row r="167">
      <c r="A167" s="18" t="inlineStr">
        <is>
          <t>OthersInJapanReportableSegmentsMemberReportableSegmentMember · 외부 고객 매출</t>
        </is>
      </c>
      <c r="D167" s="20" t="n">
        <v>125.62</v>
      </c>
      <c r="E167" s="20" t="n">
        <v>122.793</v>
      </c>
      <c r="F167" s="20" t="n">
        <v>128.744</v>
      </c>
      <c r="G167" s="20" t="n">
        <v>162.51</v>
      </c>
      <c r="H167" s="20" t="n">
        <v>156.631</v>
      </c>
      <c r="I167" s="20" t="n">
        <v>195.174</v>
      </c>
      <c r="J167" s="20" t="n">
        <v>197.299</v>
      </c>
      <c r="K167" s="20" t="n">
        <v>285.642</v>
      </c>
      <c r="L167" s="20" t="n">
        <v>256.345</v>
      </c>
      <c r="M167" s="20" t="n">
        <v>310.421</v>
      </c>
      <c r="N167" s="20" t="n">
        <v>265.467</v>
      </c>
      <c r="W167" s="20" t="n">
        <v>162.51</v>
      </c>
      <c r="X167" s="20" t="n">
        <v>285.642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IngredientsDeliveryToHomeBusinessReportableSegmentsMemberReportableSegmentMember · 외부 고객 매출</t>
        </is>
      </c>
      <c r="F169" s="20" t="n">
        <v>50.959</v>
      </c>
      <c r="G169" s="20" t="n">
        <v>204.728</v>
      </c>
      <c r="H169" s="20" t="n">
        <v>252.844</v>
      </c>
      <c r="I169" s="20" t="n">
        <v>358.967</v>
      </c>
      <c r="J169" s="20" t="n">
        <v>357.662</v>
      </c>
      <c r="K169" s="20" t="n">
        <v>333.137</v>
      </c>
      <c r="L169" s="20" t="n">
        <v>283.034</v>
      </c>
      <c r="M169" s="20" t="n">
        <v>319.919</v>
      </c>
      <c r="N169" s="20" t="n">
        <v>275.212</v>
      </c>
      <c r="W169" s="20" t="n">
        <v>204.728</v>
      </c>
      <c r="X169" s="20" t="n">
        <v>333.137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InteriorEngineeringReportableSegmentMember · 외부 고객 매출</t>
        </is>
      </c>
      <c r="D171" s="20" t="n">
        <v>79.833</v>
      </c>
      <c r="E171" s="20" t="n">
        <v>278.132</v>
      </c>
      <c r="F171" s="20" t="n">
        <v>243.607</v>
      </c>
      <c r="G171" s="20" t="n">
        <v>384.283</v>
      </c>
      <c r="H171" s="20" t="n">
        <v>114.99</v>
      </c>
      <c r="I171" s="20" t="n">
        <v>873.278</v>
      </c>
      <c r="J171" s="20" t="n">
        <v>167.058</v>
      </c>
      <c r="K171" s="20" t="n">
        <v>276.689</v>
      </c>
      <c r="L171" s="20" t="n">
        <v>230.573</v>
      </c>
      <c r="M171" s="20" t="n">
        <v>149.834</v>
      </c>
      <c r="N171" s="20" t="n">
        <v>338.362</v>
      </c>
      <c r="W171" s="20" t="n">
        <v>384.283</v>
      </c>
      <c r="X171" s="20" t="n">
        <v>276.689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보고부문 합계 · 외부 고객 매출</t>
        </is>
      </c>
      <c r="D173" s="20" t="n">
        <v>3821.972</v>
      </c>
      <c r="H173" s="20" t="n">
        <v>4578.58</v>
      </c>
      <c r="L173" s="20" t="n">
        <v>8597.58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H174" s="15">
        <f>IF(OR(H173="",D173=""),"",IF(D173&lt;=0,"",IFERROR(H173/D173-1,"")))</f>
        <v/>
      </c>
      <c r="L174" s="15">
        <f>IF(OR(L173="",H173=""),"",IF(H173&lt;=0,"",IFERROR(L173/H173-1,"")))</f>
        <v/>
      </c>
    </row>
    <row r="175">
      <c r="A175" s="18" t="inlineStr">
        <is>
          <t>합계 · 외부 고객 매출</t>
        </is>
      </c>
      <c r="F175" s="20" t="n">
        <v>4296.833</v>
      </c>
      <c r="J175" s="20" t="n">
        <v>5336.029</v>
      </c>
      <c r="N175" s="20" t="n">
        <v>9499.103999999999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J176" s="15">
        <f>IF(OR(J175="",F175=""),"",IF(F175&lt;=0,"",IFERROR(J175/F175-1,"")))</f>
        <v/>
      </c>
      <c r="N176" s="15">
        <f>IF(OR(N175="",J175=""),"",IF(J175&lt;=0,"",IFERROR(N175/J175-1,"")))</f>
        <v/>
      </c>
    </row>
    <row r="177">
      <c r="A177" s="18" t="inlineStr">
        <is>
          <t>조정액 · 외부 고객 매출</t>
        </is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W177" s="20" t="n">
        <v>0</v>
      </c>
      <c r="X177" s="20" t="n">
        <v>0</v>
      </c>
    </row>
    <row r="178">
      <c r="A178" s="9" t="inlineStr">
        <is>
          <t>외부 고객 매출</t>
        </is>
      </c>
      <c r="D178" s="12" t="n">
        <v>3821.972</v>
      </c>
      <c r="E178" s="12" t="n">
        <v>4221.114</v>
      </c>
      <c r="F178" s="12" t="n">
        <v>4296.833</v>
      </c>
      <c r="G178" s="12" t="n">
        <v>4524.303</v>
      </c>
      <c r="H178" s="12" t="n">
        <v>4578.58</v>
      </c>
      <c r="I178" s="12" t="n">
        <v>5720.558</v>
      </c>
      <c r="J178" s="12" t="n">
        <v>5336.029</v>
      </c>
      <c r="K178" s="12" t="n">
        <v>5456.356</v>
      </c>
      <c r="W178" s="12" t="n">
        <v>4524.303</v>
      </c>
      <c r="X178" s="12" t="n">
        <v>5456.356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EntityTotalMember · 외부 고객 매출</t>
        </is>
      </c>
      <c r="H180" s="20" t="n">
        <v>4578.58</v>
      </c>
      <c r="L180" s="20" t="n">
        <v>8597.58</v>
      </c>
    </row>
    <row r="181">
      <c r="A181" s="18" t="inlineStr">
        <is>
          <t>KUSHIKATSUTANAKACOReportableSegmentMember · 부문 간 내부매출·대체</t>
        </is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0" t="n">
        <v>0</v>
      </c>
      <c r="W181" s="20" t="n">
        <v>0</v>
      </c>
      <c r="X181" s="20" t="n">
        <v>0</v>
      </c>
    </row>
    <row r="182">
      <c r="A182" s="18" t="inlineStr">
        <is>
          <t>PISOLAReportableSegmentMember · 부문 간 내부매출·대체</t>
        </is>
      </c>
      <c r="H182" s="20" t="n">
        <v>0</v>
      </c>
      <c r="I182" s="20" t="n">
        <v>0</v>
      </c>
      <c r="J182" s="20" t="n">
        <v>0</v>
      </c>
      <c r="L182" s="20" t="n">
        <v>0</v>
      </c>
      <c r="M182" s="20" t="n">
        <v>0</v>
      </c>
      <c r="N182" s="20" t="n">
        <v>0</v>
      </c>
    </row>
    <row r="183">
      <c r="A183" s="18" t="inlineStr">
        <is>
          <t>OthersInJapanReportableSegmentsMemberReportableSegmentMember · 부문 간 내부매출·대체</t>
        </is>
      </c>
      <c r="D183" s="20" t="n">
        <v>0</v>
      </c>
      <c r="E183" s="20" t="n">
        <v>0</v>
      </c>
      <c r="F183" s="20" t="n">
        <v>0</v>
      </c>
      <c r="G183" s="20" t="n">
        <v>18.064</v>
      </c>
      <c r="H183" s="20" t="n">
        <v>4.773</v>
      </c>
      <c r="I183" s="20" t="n">
        <v>7.03</v>
      </c>
      <c r="J183" s="20" t="n">
        <v>6.842</v>
      </c>
      <c r="K183" s="20" t="n">
        <v>10.001</v>
      </c>
      <c r="L183" s="20" t="n">
        <v>14.229</v>
      </c>
      <c r="M183" s="20" t="n">
        <v>6.781</v>
      </c>
      <c r="N183" s="20" t="n">
        <v>8.630000000000001</v>
      </c>
      <c r="W183" s="20" t="n">
        <v>18.064</v>
      </c>
      <c r="X183" s="20" t="n">
        <v>10.001</v>
      </c>
    </row>
    <row r="184">
      <c r="A184" s="18" t="inlineStr">
        <is>
          <t>IngredientsDeliveryToHomeBusinessReportableSegmentsMemberReportableSegmentMember · 부문 간 내부매출·대체</t>
        </is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0</v>
      </c>
      <c r="K184" s="20" t="n">
        <v>0</v>
      </c>
      <c r="L184" s="20" t="n">
        <v>0</v>
      </c>
      <c r="M184" s="20" t="n">
        <v>0</v>
      </c>
      <c r="N184" s="20" t="n">
        <v>0</v>
      </c>
      <c r="W184" s="20" t="n">
        <v>0</v>
      </c>
      <c r="X184" s="20" t="n">
        <v>0</v>
      </c>
    </row>
    <row r="185">
      <c r="A185" s="18" t="inlineStr">
        <is>
          <t>InteriorEngineeringReportableSegmentMember · 부문 간 내부매출·대체</t>
        </is>
      </c>
      <c r="D185" s="20" t="n">
        <v>100.794</v>
      </c>
      <c r="E185" s="20" t="n">
        <v>252.104</v>
      </c>
      <c r="F185" s="20" t="n">
        <v>144.513</v>
      </c>
      <c r="G185" s="20" t="n">
        <v>128.21</v>
      </c>
      <c r="H185" s="20" t="n">
        <v>32.652</v>
      </c>
      <c r="I185" s="20" t="n">
        <v>50.494</v>
      </c>
      <c r="J185" s="20" t="n">
        <v>169.403</v>
      </c>
      <c r="K185" s="20" t="n">
        <v>183.3</v>
      </c>
      <c r="L185" s="20" t="n">
        <v>175.553</v>
      </c>
      <c r="M185" s="20" t="n">
        <v>126.188</v>
      </c>
      <c r="N185" s="20" t="n">
        <v>139.688</v>
      </c>
      <c r="W185" s="20" t="n">
        <v>128.21</v>
      </c>
      <c r="X185" s="20" t="n">
        <v>183.3</v>
      </c>
    </row>
    <row r="186">
      <c r="A186" s="18" t="inlineStr">
        <is>
          <t>보고부문 합계 · 부문 간 내부매출·대체</t>
        </is>
      </c>
      <c r="D186" s="20" t="n">
        <v>100.794</v>
      </c>
      <c r="H186" s="20" t="n">
        <v>37.425</v>
      </c>
      <c r="L186" s="20" t="n">
        <v>189.782</v>
      </c>
    </row>
    <row r="187">
      <c r="A187" s="18" t="inlineStr">
        <is>
          <t>합계 · 부문 간 내부매출·대체</t>
        </is>
      </c>
      <c r="F187" s="20" t="n">
        <v>144.513</v>
      </c>
      <c r="J187" s="20" t="n">
        <v>176.245</v>
      </c>
      <c r="N187" s="20" t="n">
        <v>148.318</v>
      </c>
    </row>
    <row r="188">
      <c r="A188" s="18" t="inlineStr">
        <is>
          <t>조정액 · 부문 간 내부매출·대체</t>
        </is>
      </c>
      <c r="D188" s="20" t="n">
        <v>-100.794</v>
      </c>
      <c r="E188" s="20" t="n">
        <v>-252.104</v>
      </c>
      <c r="F188" s="20" t="n">
        <v>-144.513</v>
      </c>
      <c r="G188" s="20" t="n">
        <v>-146.274</v>
      </c>
      <c r="H188" s="20" t="n">
        <v>-37.425</v>
      </c>
      <c r="I188" s="20" t="n">
        <v>-57.524</v>
      </c>
      <c r="J188" s="20" t="n">
        <v>-176.245</v>
      </c>
      <c r="K188" s="20" t="n">
        <v>-193.301</v>
      </c>
      <c r="L188" s="20" t="n">
        <v>-189.782</v>
      </c>
      <c r="M188" s="20" t="n">
        <v>-132.97</v>
      </c>
      <c r="N188" s="20" t="n">
        <v>-148.318</v>
      </c>
      <c r="W188" s="20" t="n">
        <v>-146.274</v>
      </c>
      <c r="X188" s="20" t="n">
        <v>-193.301</v>
      </c>
    </row>
    <row r="189">
      <c r="A189" s="18" t="inlineStr">
        <is>
          <t>부문 간 내부매출·대체</t>
        </is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I189" s="20" t="n">
        <v>0</v>
      </c>
      <c r="J189" s="20" t="n">
        <v>0</v>
      </c>
      <c r="K189" s="20" t="n">
        <v>0</v>
      </c>
      <c r="W189" s="20" t="n">
        <v>0</v>
      </c>
      <c r="X189" s="20" t="n">
        <v>0</v>
      </c>
    </row>
    <row r="190">
      <c r="A190" s="18" t="inlineStr">
        <is>
          <t>EntityTotalMember · 부문 간 내부매출·대체</t>
        </is>
      </c>
      <c r="H190" s="20" t="n">
        <v>0</v>
      </c>
      <c r="L190" s="20" t="n">
        <v>0</v>
      </c>
    </row>
    <row r="191">
      <c r="A191" s="18" t="inlineStr">
        <is>
          <t>KUSHIKATSUTANAKACOReportableSegmentMember · 계</t>
        </is>
      </c>
      <c r="D191" s="20" t="n">
        <v>3616.519</v>
      </c>
      <c r="E191" s="20" t="n">
        <v>3807.213</v>
      </c>
      <c r="F191" s="20" t="n">
        <v>3873.521</v>
      </c>
      <c r="G191" s="20" t="n">
        <v>3772.782</v>
      </c>
      <c r="H191" s="20" t="n">
        <v>4054.115</v>
      </c>
      <c r="I191" s="20" t="n">
        <v>4293.137</v>
      </c>
      <c r="J191" s="20" t="n">
        <v>4614.011</v>
      </c>
      <c r="K191" s="20" t="n">
        <v>4560.887</v>
      </c>
      <c r="L191" s="20" t="n">
        <v>4920.606</v>
      </c>
      <c r="M191" s="20" t="n">
        <v>5042.941</v>
      </c>
      <c r="N191" s="20" t="n">
        <v>4955.848</v>
      </c>
      <c r="W191" s="20" t="n">
        <v>3772.782</v>
      </c>
      <c r="X191" s="20" t="n">
        <v>4560.887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PISOLAReportableSegmentMember · 계</t>
        </is>
      </c>
      <c r="H193" s="20" t="n">
        <v>0</v>
      </c>
      <c r="I193" s="20" t="n">
        <v>0</v>
      </c>
      <c r="J193" s="20" t="n">
        <v>0</v>
      </c>
      <c r="L193" s="20" t="n">
        <v>2907.02</v>
      </c>
      <c r="M193" s="20" t="n">
        <v>3438.587</v>
      </c>
      <c r="N193" s="20" t="n">
        <v>3664.215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</row>
    <row r="195">
      <c r="A195" s="18" t="inlineStr">
        <is>
          <t>OthersInJapanReportableSegmentsMemberReportableSegmentMember · 계</t>
        </is>
      </c>
      <c r="D195" s="20" t="n">
        <v>125.62</v>
      </c>
      <c r="E195" s="20" t="n">
        <v>122.793</v>
      </c>
      <c r="F195" s="20" t="n">
        <v>128.744</v>
      </c>
      <c r="G195" s="20" t="n">
        <v>180.574</v>
      </c>
      <c r="H195" s="20" t="n">
        <v>161.404</v>
      </c>
      <c r="I195" s="20" t="n">
        <v>202.204</v>
      </c>
      <c r="J195" s="20" t="n">
        <v>204.142</v>
      </c>
      <c r="K195" s="20" t="n">
        <v>295.643</v>
      </c>
      <c r="L195" s="20" t="n">
        <v>270.574</v>
      </c>
      <c r="M195" s="20" t="n">
        <v>317.202</v>
      </c>
      <c r="N195" s="20" t="n">
        <v>274.097</v>
      </c>
      <c r="W195" s="20" t="n">
        <v>180.574</v>
      </c>
      <c r="X195" s="20" t="n">
        <v>295.643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IngredientsDeliveryToHomeBusinessReportableSegmentsMemberReportableSegmentMember · 계</t>
        </is>
      </c>
      <c r="F197" s="20" t="n">
        <v>50.959</v>
      </c>
      <c r="G197" s="20" t="n">
        <v>204.728</v>
      </c>
      <c r="H197" s="20" t="n">
        <v>252.844</v>
      </c>
      <c r="I197" s="20" t="n">
        <v>358.967</v>
      </c>
      <c r="J197" s="20" t="n">
        <v>357.662</v>
      </c>
      <c r="K197" s="20" t="n">
        <v>333.137</v>
      </c>
      <c r="L197" s="20" t="n">
        <v>283.034</v>
      </c>
      <c r="M197" s="20" t="n">
        <v>319.919</v>
      </c>
      <c r="N197" s="20" t="n">
        <v>275.212</v>
      </c>
      <c r="W197" s="20" t="n">
        <v>204.728</v>
      </c>
      <c r="X197" s="20" t="n">
        <v>333.137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K198" s="15">
        <f>IF(OR(K197="",G197=""),"",IF(G197&lt;=0,"",IFERROR(K197/G197-1,"")))</f>
        <v/>
      </c>
      <c r="L198" s="15">
        <f>IF(OR(L197="",H197=""),"",IF(H197&lt;=0,"",IFERROR(L197/H197-1,"")))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  <c r="W198" s="15">
        <f>IF(OR(W197="",V197=""),"",IF(V197&lt;=0,"",IFERROR(W197/V197-1,"")))</f>
        <v/>
      </c>
      <c r="X198" s="15">
        <f>IF(OR(X197="",W197=""),"",IF(W197&lt;=0,"",IFERROR(X197/W197-1,"")))</f>
        <v/>
      </c>
    </row>
    <row r="199">
      <c r="A199" s="18" t="inlineStr">
        <is>
          <t>InteriorEngineeringReportableSegmentMember · 계</t>
        </is>
      </c>
      <c r="D199" s="20" t="n">
        <v>180.627</v>
      </c>
      <c r="E199" s="20" t="n">
        <v>530.236</v>
      </c>
      <c r="F199" s="20" t="n">
        <v>388.12</v>
      </c>
      <c r="G199" s="20" t="n">
        <v>512.4930000000001</v>
      </c>
      <c r="H199" s="20" t="n">
        <v>147.642</v>
      </c>
      <c r="I199" s="20" t="n">
        <v>923.772</v>
      </c>
      <c r="J199" s="20" t="n">
        <v>336.461</v>
      </c>
      <c r="K199" s="20" t="n">
        <v>459.989</v>
      </c>
      <c r="L199" s="20" t="n">
        <v>406.127</v>
      </c>
      <c r="M199" s="20" t="n">
        <v>276.022</v>
      </c>
      <c r="N199" s="20" t="n">
        <v>478.05</v>
      </c>
      <c r="W199" s="20" t="n">
        <v>512.4930000000001</v>
      </c>
      <c r="X199" s="20" t="n">
        <v>459.989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IF(OR(G199="",C199=""),"",IF(C199&lt;=0,"",IFERROR(G199/C199-1,"")))</f>
        <v/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J200" s="15">
        <f>IF(OR(J199="",F199=""),"",IF(F199&lt;=0,"",IFERROR(J199/F199-1,"")))</f>
        <v/>
      </c>
      <c r="K200" s="15">
        <f>IF(OR(K199="",G199=""),"",IF(G199&lt;=0,"",IFERROR(K199/G199-1,"")))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N200" s="15">
        <f>IF(OR(N199="",J199=""),"",IF(J199&lt;=0,"",IFERROR(N199/J199-1,"")))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보고부문 합계 · 계</t>
        </is>
      </c>
      <c r="D201" s="20" t="n">
        <v>3922.766</v>
      </c>
      <c r="H201" s="20" t="n">
        <v>4616.005</v>
      </c>
      <c r="L201" s="20" t="n">
        <v>8787.362999999999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H202" s="15">
        <f>IF(OR(H201="",D201=""),"",IF(D201&lt;=0,"",IFERROR(H201/D201-1,"")))</f>
        <v/>
      </c>
      <c r="L202" s="15">
        <f>IF(OR(L201="",H201=""),"",IF(H201&lt;=0,"",IFERROR(L201/H201-1,"")))</f>
        <v/>
      </c>
    </row>
    <row r="203">
      <c r="A203" s="18" t="inlineStr">
        <is>
          <t>합계 · 계</t>
        </is>
      </c>
      <c r="F203" s="20" t="n">
        <v>4441.346</v>
      </c>
      <c r="J203" s="20" t="n">
        <v>5512.273</v>
      </c>
      <c r="N203" s="20" t="n">
        <v>9647.422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J204" s="15">
        <f>IF(OR(J203="",F203=""),"",IF(F203&lt;=0,"",IFERROR(J203/F203-1,"")))</f>
        <v/>
      </c>
      <c r="N204" s="15">
        <f>IF(OR(N203="",J203=""),"",IF(J203&lt;=0,"",IFERROR(N203/J203-1,"")))</f>
        <v/>
      </c>
    </row>
    <row r="205">
      <c r="A205" s="18" t="inlineStr">
        <is>
          <t>조정액 · 계</t>
        </is>
      </c>
      <c r="D205" s="20" t="n">
        <v>-100.794</v>
      </c>
      <c r="E205" s="20" t="n">
        <v>-252.104</v>
      </c>
      <c r="F205" s="20" t="n">
        <v>-144.513</v>
      </c>
      <c r="G205" s="20" t="n">
        <v>-146.274</v>
      </c>
      <c r="H205" s="20" t="n">
        <v>-37.425</v>
      </c>
      <c r="I205" s="20" t="n">
        <v>-57.524</v>
      </c>
      <c r="J205" s="20" t="n">
        <v>-176.245</v>
      </c>
      <c r="K205" s="20" t="n">
        <v>-193.301</v>
      </c>
      <c r="L205" s="20" t="n">
        <v>-189.782</v>
      </c>
      <c r="M205" s="20" t="n">
        <v>-132.97</v>
      </c>
      <c r="N205" s="20" t="n">
        <v>-148.318</v>
      </c>
      <c r="W205" s="20" t="n">
        <v>-146.274</v>
      </c>
      <c r="X205" s="20" t="n">
        <v>-193.301</v>
      </c>
    </row>
    <row r="206">
      <c r="A206" s="9" t="inlineStr">
        <is>
          <t>계</t>
        </is>
      </c>
      <c r="D206" s="12" t="n">
        <v>3821.972</v>
      </c>
      <c r="E206" s="12" t="n">
        <v>4221.114</v>
      </c>
      <c r="F206" s="12" t="n">
        <v>4296.833</v>
      </c>
      <c r="G206" s="12" t="n">
        <v>4524.303</v>
      </c>
      <c r="H206" s="12" t="n">
        <v>4578.58</v>
      </c>
      <c r="I206" s="12" t="n">
        <v>5720.558</v>
      </c>
      <c r="J206" s="12" t="n">
        <v>5336.029</v>
      </c>
      <c r="K206" s="12" t="n">
        <v>5456.356</v>
      </c>
      <c r="W206" s="12" t="n">
        <v>4524.303</v>
      </c>
      <c r="X206" s="12" t="n">
        <v>5456.356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IF(OR(G206="",C206=""),"",IF(C206&lt;=0,"",IFERROR(G206/C206-1,"")))</f>
        <v/>
      </c>
      <c r="H207" s="15">
        <f>IF(OR(H206="",D206=""),"",IF(D206&lt;=0,"",IFERROR(H206/D206-1,"")))</f>
        <v/>
      </c>
      <c r="I207" s="15">
        <f>IF(OR(I206="",E206=""),"",IF(E206&lt;=0,"",IFERROR(I206/E206-1,"")))</f>
        <v/>
      </c>
      <c r="J207" s="15">
        <f>IF(OR(J206="",F206=""),"",IF(F206&lt;=0,"",IFERROR(J206/F206-1,"")))</f>
        <v/>
      </c>
      <c r="K207" s="15">
        <f>IF(OR(K206="",G206=""),"",IF(G206&lt;=0,"",IFERROR(K206/G206-1,"")))</f>
        <v/>
      </c>
      <c r="W207" s="15">
        <f>IF(OR(W206="",V206=""),"",IF(V206&lt;=0,"",IFERROR(W206/V206-1,"")))</f>
        <v/>
      </c>
      <c r="X207" s="15">
        <f>IF(OR(X206="",W206=""),"",IF(W206&lt;=0,"",IFERROR(X206/W206-1,"")))</f>
        <v/>
      </c>
    </row>
    <row r="208">
      <c r="A208" s="18" t="inlineStr">
        <is>
          <t>EntityTotalMember · 계</t>
        </is>
      </c>
      <c r="H208" s="20" t="n">
        <v>4578.58</v>
      </c>
      <c r="L208" s="20" t="n">
        <v>8597.58</v>
      </c>
    </row>
    <row r="209">
      <c r="A209" s="18" t="inlineStr">
        <is>
          <t>KUSHIKATSUTANAKACOReportableSegmentMember · 부문 이익 및 손실</t>
        </is>
      </c>
      <c r="D209" s="20" t="n">
        <v>266.926</v>
      </c>
      <c r="E209" s="20" t="n">
        <v>293.948</v>
      </c>
      <c r="F209" s="20" t="n">
        <v>315.555</v>
      </c>
      <c r="G209" s="20" t="n">
        <v>176.526</v>
      </c>
      <c r="H209" s="20" t="n">
        <v>521.213</v>
      </c>
      <c r="I209" s="20" t="n">
        <v>567.999</v>
      </c>
      <c r="J209" s="20" t="n">
        <v>574.162</v>
      </c>
      <c r="K209" s="20" t="n">
        <v>-249.049</v>
      </c>
      <c r="L209" s="20" t="n">
        <v>653.176</v>
      </c>
      <c r="M209" s="20" t="n">
        <v>751.4930000000001</v>
      </c>
      <c r="N209" s="20" t="n">
        <v>603.796</v>
      </c>
      <c r="W209" s="20" t="n">
        <v>176.526</v>
      </c>
      <c r="X209" s="20" t="n">
        <v>-249.049</v>
      </c>
    </row>
    <row r="210">
      <c r="A210" s="43" t="inlineStr">
        <is>
          <t>OPM</t>
        </is>
      </c>
      <c r="B210" s="3" t="inlineStr">
        <is>
          <t>영업이익 ÷ 매출</t>
        </is>
      </c>
      <c r="D210" s="15">
        <f>IF(OR(D209="",D191=""),"",IF(D191&lt;=0,"",IFERROR(D209/D191,"")))</f>
        <v/>
      </c>
      <c r="E210" s="15">
        <f>IF(OR(E209="",E191=""),"",IF(E191&lt;=0,"",IFERROR(E209/E191,"")))</f>
        <v/>
      </c>
      <c r="F210" s="15">
        <f>IF(OR(F209="",F191=""),"",IF(F191&lt;=0,"",IFERROR(F209/F191,"")))</f>
        <v/>
      </c>
      <c r="G210" s="15">
        <f>IF(OR(G209="",G191=""),"",IF(G191&lt;=0,"",IFERROR(G209/G191,"")))</f>
        <v/>
      </c>
      <c r="H210" s="15">
        <f>IF(OR(H209="",H191=""),"",IF(H191&lt;=0,"",IFERROR(H209/H191,"")))</f>
        <v/>
      </c>
      <c r="I210" s="15">
        <f>IF(OR(I209="",I191=""),"",IF(I191&lt;=0,"",IFERROR(I209/I191,"")))</f>
        <v/>
      </c>
      <c r="J210" s="15">
        <f>IF(OR(J209="",J191=""),"",IF(J191&lt;=0,"",IFERROR(J209/J191,"")))</f>
        <v/>
      </c>
      <c r="K210" s="15">
        <f>IF(OR(K209="",K191=""),"",IF(K191&lt;=0,"",IFERROR(K209/K191,"")))</f>
        <v/>
      </c>
      <c r="L210" s="15">
        <f>IF(OR(L209="",L191=""),"",IF(L191&lt;=0,"",IFERROR(L209/L191,"")))</f>
        <v/>
      </c>
      <c r="M210" s="15">
        <f>IF(OR(M209="",M191=""),"",IF(M191&lt;=0,"",IFERROR(M209/M191,"")))</f>
        <v/>
      </c>
      <c r="N210" s="15">
        <f>IF(OR(N209="",N191=""),"",IF(N191&lt;=0,"",IFERROR(N209/N191,"")))</f>
        <v/>
      </c>
      <c r="W210" s="15">
        <f>IF(OR(W209="",W191=""),"",IF(W191&lt;=0,"",IFERROR(W209/W191,"")))</f>
        <v/>
      </c>
      <c r="X210" s="15">
        <f>IF(OR(X209="",X191=""),"",IF(X191&lt;=0,"",IFERROR(X209/X191,"")))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IF(OR(G209="",C209=""),"",IF(C209&lt;=0,"",IFERROR(G209/C209-1,"")))</f>
        <v/>
      </c>
      <c r="H211" s="15">
        <f>IF(OR(H209="",D209=""),"",IF(D209&lt;=0,"",IFERROR(H209/D209-1,"")))</f>
        <v/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K211" s="15">
        <f>IF(OR(K209="",G209=""),"",IF(G209&lt;=0,"",IFERROR(K209/G209-1,"")))</f>
        <v/>
      </c>
      <c r="L211" s="15">
        <f>IF(OR(L209="",H209=""),"",IF(H209&lt;=0,"",IFERROR(L209/H209-1,"")))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PISOLAReportableSegmentMember · 부문 이익 및 손실</t>
        </is>
      </c>
      <c r="H212" s="20" t="n">
        <v>0</v>
      </c>
      <c r="I212" s="20" t="n">
        <v>0</v>
      </c>
      <c r="J212" s="20" t="n">
        <v>0</v>
      </c>
      <c r="L212" s="20" t="n">
        <v>-33.581</v>
      </c>
      <c r="M212" s="20" t="n">
        <v>129.701</v>
      </c>
      <c r="N212" s="20" t="n">
        <v>122.138</v>
      </c>
    </row>
    <row r="213">
      <c r="A213" s="43" t="inlineStr">
        <is>
          <t>OPM</t>
        </is>
      </c>
      <c r="B213" s="3" t="inlineStr">
        <is>
          <t>영업이익 ÷ 매출</t>
        </is>
      </c>
      <c r="H213" s="15">
        <f>IF(OR(H212="",H193=""),"",IF(H193&lt;=0,"",IFERROR(H212/H193,"")))</f>
        <v/>
      </c>
      <c r="I213" s="15">
        <f>IF(OR(I212="",I193=""),"",IF(I193&lt;=0,"",IFERROR(I212/I193,"")))</f>
        <v/>
      </c>
      <c r="J213" s="15">
        <f>IF(OR(J212="",J193=""),"",IF(J193&lt;=0,"",IFERROR(J212/J193,"")))</f>
        <v/>
      </c>
      <c r="L213" s="15">
        <f>IF(OR(L212="",L193=""),"",IF(L193&lt;=0,"",IFERROR(L212/L193,"")))</f>
        <v/>
      </c>
      <c r="M213" s="15">
        <f>IF(OR(M212="",M193=""),"",IF(M193&lt;=0,"",IFERROR(M212/M193,"")))</f>
        <v/>
      </c>
      <c r="N213" s="15">
        <f>IF(OR(N212="",N193=""),"",IF(N193&lt;=0,"",IFERROR(N212/N193,"")))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H214" s="15">
        <f>IF(OR(H212="",D212=""),"",IF(D212&lt;=0,"",IFERROR(H212/D212-1,"")))</f>
        <v/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L214" s="15">
        <f>IF(OR(L212="",H212=""),"",IF(H212&lt;=0,"",IFERROR(L212/H212-1,"")))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</row>
    <row r="215">
      <c r="A215" s="18" t="inlineStr">
        <is>
          <t>OthersInJapanReportableSegmentsMemberReportableSegmentMember · 부문 이익 및 손실</t>
        </is>
      </c>
      <c r="D215" s="20" t="n">
        <v>-22.392</v>
      </c>
      <c r="E215" s="20" t="n">
        <v>-37.295</v>
      </c>
      <c r="F215" s="20" t="n">
        <v>-45.54</v>
      </c>
      <c r="G215" s="20" t="n">
        <v>-37.926</v>
      </c>
      <c r="H215" s="20" t="n">
        <v>-26.024</v>
      </c>
      <c r="I215" s="20" t="n">
        <v>-21.91</v>
      </c>
      <c r="J215" s="20" t="n">
        <v>-46.519</v>
      </c>
      <c r="K215" s="20" t="n">
        <v>-95.94799999999999</v>
      </c>
      <c r="L215" s="20" t="n">
        <v>-56.73</v>
      </c>
      <c r="M215" s="20" t="n">
        <v>-6.93</v>
      </c>
      <c r="N215" s="20" t="n">
        <v>-50.354</v>
      </c>
      <c r="W215" s="20" t="n">
        <v>-37.926</v>
      </c>
      <c r="X215" s="20" t="n">
        <v>-95.94799999999999</v>
      </c>
    </row>
    <row r="216">
      <c r="A216" s="43" t="inlineStr">
        <is>
          <t>OPM</t>
        </is>
      </c>
      <c r="B216" s="3" t="inlineStr">
        <is>
          <t>영업이익 ÷ 매출</t>
        </is>
      </c>
      <c r="D216" s="15">
        <f>IF(OR(D215="",D195=""),"",IF(D195&lt;=0,"",IFERROR(D215/D195,"")))</f>
        <v/>
      </c>
      <c r="E216" s="15">
        <f>IF(OR(E215="",E195=""),"",IF(E195&lt;=0,"",IFERROR(E215/E195,"")))</f>
        <v/>
      </c>
      <c r="F216" s="15">
        <f>IF(OR(F215="",F195=""),"",IF(F195&lt;=0,"",IFERROR(F215/F195,"")))</f>
        <v/>
      </c>
      <c r="G216" s="15">
        <f>IF(OR(G215="",G195=""),"",IF(G195&lt;=0,"",IFERROR(G215/G195,"")))</f>
        <v/>
      </c>
      <c r="H216" s="15">
        <f>IF(OR(H215="",H195=""),"",IF(H195&lt;=0,"",IFERROR(H215/H195,"")))</f>
        <v/>
      </c>
      <c r="I216" s="15">
        <f>IF(OR(I215="",I195=""),"",IF(I195&lt;=0,"",IFERROR(I215/I195,"")))</f>
        <v/>
      </c>
      <c r="J216" s="15">
        <f>IF(OR(J215="",J195=""),"",IF(J195&lt;=0,"",IFERROR(J215/J195,"")))</f>
        <v/>
      </c>
      <c r="K216" s="15">
        <f>IF(OR(K215="",K195=""),"",IF(K195&lt;=0,"",IFERROR(K215/K195,"")))</f>
        <v/>
      </c>
      <c r="L216" s="15">
        <f>IF(OR(L215="",L195=""),"",IF(L195&lt;=0,"",IFERROR(L215/L195,"")))</f>
        <v/>
      </c>
      <c r="M216" s="15">
        <f>IF(OR(M215="",M195=""),"",IF(M195&lt;=0,"",IFERROR(M215/M195,"")))</f>
        <v/>
      </c>
      <c r="N216" s="15">
        <f>IF(OR(N215="",N195=""),"",IF(N195&lt;=0,"",IFERROR(N215/N195,"")))</f>
        <v/>
      </c>
      <c r="W216" s="15">
        <f>IF(OR(W215="",W195=""),"",IF(W195&lt;=0,"",IFERROR(W215/W195,"")))</f>
        <v/>
      </c>
      <c r="X216" s="15">
        <f>IF(OR(X215="",X195=""),"",IF(X195&lt;=0,"",IFERROR(X215/X195,"")))</f>
        <v/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IF(OR(G215="",C215=""),"",IF(C215&lt;=0,"",IFERROR(G215/C215-1,"")))</f>
        <v/>
      </c>
      <c r="H217" s="15">
        <f>IF(OR(H215="",D215=""),"",IF(D215&lt;=0,"",IFERROR(H215/D215-1,"")))</f>
        <v/>
      </c>
      <c r="I217" s="15">
        <f>IF(OR(I215="",E215=""),"",IF(E215&lt;=0,"",IFERROR(I215/E215-1,"")))</f>
        <v/>
      </c>
      <c r="J217" s="15">
        <f>IF(OR(J215="",F215=""),"",IF(F215&lt;=0,"",IFERROR(J215/F215-1,"")))</f>
        <v/>
      </c>
      <c r="K217" s="15">
        <f>IF(OR(K215="",G215=""),"",IF(G215&lt;=0,"",IFERROR(K215/G215-1,"")))</f>
        <v/>
      </c>
      <c r="L217" s="15">
        <f>IF(OR(L215="",H215=""),"",IF(H215&lt;=0,"",IFERROR(L215/H215-1,"")))</f>
        <v/>
      </c>
      <c r="M217" s="15">
        <f>IF(OR(M215="",I215=""),"",IF(I215&lt;=0,"",IFERROR(M215/I215-1,"")))</f>
        <v/>
      </c>
      <c r="N217" s="15">
        <f>IF(OR(N215="",J215=""),"",IF(J215&lt;=0,"",IFERROR(N215/J215-1,"")))</f>
        <v/>
      </c>
      <c r="W217" s="15">
        <f>IF(OR(W215="",V215=""),"",IF(V215&lt;=0,"",IFERROR(W215/V215-1,"")))</f>
        <v/>
      </c>
      <c r="X217" s="15">
        <f>IF(OR(X215="",W215=""),"",IF(W215&lt;=0,"",IFERROR(X215/W215-1,"")))</f>
        <v/>
      </c>
    </row>
    <row r="218">
      <c r="A218" s="18" t="inlineStr">
        <is>
          <t>IngredientsDeliveryToHomeBusinessReportableSegmentsMemberReportableSegmentMember · 부문 이익 및 손실</t>
        </is>
      </c>
      <c r="F218" s="20" t="n">
        <v>-33.239</v>
      </c>
      <c r="G218" s="20" t="n">
        <v>-19.026</v>
      </c>
      <c r="H218" s="20" t="n">
        <v>-0.799</v>
      </c>
      <c r="I218" s="20" t="n">
        <v>21.207</v>
      </c>
      <c r="J218" s="20" t="n">
        <v>40.36</v>
      </c>
      <c r="K218" s="20" t="n">
        <v>-16.709</v>
      </c>
      <c r="L218" s="20" t="n">
        <v>15.512</v>
      </c>
      <c r="M218" s="20" t="n">
        <v>13.362</v>
      </c>
      <c r="N218" s="20" t="n">
        <v>12.64</v>
      </c>
      <c r="W218" s="20" t="n">
        <v>-19.026</v>
      </c>
      <c r="X218" s="20" t="n">
        <v>-16.709</v>
      </c>
    </row>
    <row r="219">
      <c r="A219" s="43" t="inlineStr">
        <is>
          <t>OPM</t>
        </is>
      </c>
      <c r="B219" s="3" t="inlineStr">
        <is>
          <t>영업이익 ÷ 매출</t>
        </is>
      </c>
      <c r="F219" s="15">
        <f>IF(OR(F218="",F197=""),"",IF(F197&lt;=0,"",IFERROR(F218/F197,"")))</f>
        <v/>
      </c>
      <c r="G219" s="15">
        <f>IF(OR(G218="",G197=""),"",IF(G197&lt;=0,"",IFERROR(G218/G197,"")))</f>
        <v/>
      </c>
      <c r="H219" s="15">
        <f>IF(OR(H218="",H197=""),"",IF(H197&lt;=0,"",IFERROR(H218/H197,"")))</f>
        <v/>
      </c>
      <c r="I219" s="15">
        <f>IF(OR(I218="",I197=""),"",IF(I197&lt;=0,"",IFERROR(I218/I197,"")))</f>
        <v/>
      </c>
      <c r="J219" s="15">
        <f>IF(OR(J218="",J197=""),"",IF(J197&lt;=0,"",IFERROR(J218/J197,"")))</f>
        <v/>
      </c>
      <c r="K219" s="15">
        <f>IF(OR(K218="",K197=""),"",IF(K197&lt;=0,"",IFERROR(K218/K197,"")))</f>
        <v/>
      </c>
      <c r="L219" s="15">
        <f>IF(OR(L218="",L197=""),"",IF(L197&lt;=0,"",IFERROR(L218/L197,"")))</f>
        <v/>
      </c>
      <c r="M219" s="15">
        <f>IF(OR(M218="",M197=""),"",IF(M197&lt;=0,"",IFERROR(M218/M197,"")))</f>
        <v/>
      </c>
      <c r="N219" s="15">
        <f>IF(OR(N218="",N197=""),"",IF(N197&lt;=0,"",IFERROR(N218/N197,"")))</f>
        <v/>
      </c>
      <c r="W219" s="15">
        <f>IF(OR(W218="",W197=""),"",IF(W197&lt;=0,"",IFERROR(W218/W197,"")))</f>
        <v/>
      </c>
      <c r="X219" s="15">
        <f>IF(OR(X218="",X197=""),"",IF(X197&lt;=0,"",IFERROR(X218/X197,"")))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IF(OR(G218="",C218=""),"",IF(C218&lt;=0,"",IFERROR(G218/C218-1,"")))</f>
        <v/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1">
      <c r="A221" s="18" t="inlineStr">
        <is>
          <t>InteriorEngineeringReportableSegmentMember · 부문 이익 및 손실</t>
        </is>
      </c>
      <c r="D221" s="20" t="n">
        <v>2.198</v>
      </c>
      <c r="E221" s="20" t="n">
        <v>34.424</v>
      </c>
      <c r="F221" s="20" t="n">
        <v>19.371</v>
      </c>
      <c r="G221" s="20" t="n">
        <v>44.509</v>
      </c>
      <c r="H221" s="20" t="n">
        <v>-8.484999999999999</v>
      </c>
      <c r="I221" s="20" t="n">
        <v>84.767</v>
      </c>
      <c r="J221" s="20" t="n">
        <v>15.892</v>
      </c>
      <c r="K221" s="20" t="n">
        <v>9.992000000000001</v>
      </c>
      <c r="L221" s="20" t="n">
        <v>25.047</v>
      </c>
      <c r="M221" s="20" t="n">
        <v>-0.273</v>
      </c>
      <c r="N221" s="20" t="n">
        <v>19.98</v>
      </c>
      <c r="W221" s="20" t="n">
        <v>44.509</v>
      </c>
      <c r="X221" s="20" t="n">
        <v>9.992000000000001</v>
      </c>
    </row>
    <row r="222">
      <c r="A222" s="43" t="inlineStr">
        <is>
          <t>OPM</t>
        </is>
      </c>
      <c r="B222" s="3" t="inlineStr">
        <is>
          <t>영업이익 ÷ 매출</t>
        </is>
      </c>
      <c r="D222" s="15">
        <f>IF(OR(D221="",D199=""),"",IF(D199&lt;=0,"",IFERROR(D221/D199,"")))</f>
        <v/>
      </c>
      <c r="E222" s="15">
        <f>IF(OR(E221="",E199=""),"",IF(E199&lt;=0,"",IFERROR(E221/E199,"")))</f>
        <v/>
      </c>
      <c r="F222" s="15">
        <f>IF(OR(F221="",F199=""),"",IF(F199&lt;=0,"",IFERROR(F221/F199,"")))</f>
        <v/>
      </c>
      <c r="G222" s="15">
        <f>IF(OR(G221="",G199=""),"",IF(G199&lt;=0,"",IFERROR(G221/G199,"")))</f>
        <v/>
      </c>
      <c r="H222" s="15">
        <f>IF(OR(H221="",H199=""),"",IF(H199&lt;=0,"",IFERROR(H221/H199,"")))</f>
        <v/>
      </c>
      <c r="I222" s="15">
        <f>IF(OR(I221="",I199=""),"",IF(I199&lt;=0,"",IFERROR(I221/I199,"")))</f>
        <v/>
      </c>
      <c r="J222" s="15">
        <f>IF(OR(J221="",J199=""),"",IF(J199&lt;=0,"",IFERROR(J221/J199,"")))</f>
        <v/>
      </c>
      <c r="K222" s="15">
        <f>IF(OR(K221="",K199=""),"",IF(K199&lt;=0,"",IFERROR(K221/K199,"")))</f>
        <v/>
      </c>
      <c r="L222" s="15">
        <f>IF(OR(L221="",L199=""),"",IF(L199&lt;=0,"",IFERROR(L221/L199,"")))</f>
        <v/>
      </c>
      <c r="M222" s="15">
        <f>IF(OR(M221="",M199=""),"",IF(M199&lt;=0,"",IFERROR(M221/M199,"")))</f>
        <v/>
      </c>
      <c r="N222" s="15">
        <f>IF(OR(N221="",N199=""),"",IF(N199&lt;=0,"",IFERROR(N221/N199,"")))</f>
        <v/>
      </c>
      <c r="W222" s="15">
        <f>IF(OR(W221="",W199=""),"",IF(W199&lt;=0,"",IFERROR(W221/W199,"")))</f>
        <v/>
      </c>
      <c r="X222" s="15">
        <f>IF(OR(X221="",X199=""),"",IF(X199&lt;=0,"",IFERROR(X221/X199,"")))</f>
        <v/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IF(OR(G221="",C221=""),"",IF(C221&lt;=0,"",IFERROR(G221/C221-1,"")))</f>
        <v/>
      </c>
      <c r="H223" s="15">
        <f>IF(OR(H221="",D221=""),"",IF(D221&lt;=0,"",IFERROR(H221/D221-1,"")))</f>
        <v/>
      </c>
      <c r="I223" s="15">
        <f>IF(OR(I221="",E221=""),"",IF(E221&lt;=0,"",IFERROR(I221/E221-1,"")))</f>
        <v/>
      </c>
      <c r="J223" s="15">
        <f>IF(OR(J221="",F221=""),"",IF(F221&lt;=0,"",IFERROR(J221/F221-1,"")))</f>
        <v/>
      </c>
      <c r="K223" s="15">
        <f>IF(OR(K221="",G221=""),"",IF(G221&lt;=0,"",IFERROR(K221/G221-1,"")))</f>
        <v/>
      </c>
      <c r="L223" s="15">
        <f>IF(OR(L221="",H221=""),"",IF(H221&lt;=0,"",IFERROR(L221/H221-1,"")))</f>
        <v/>
      </c>
      <c r="M223" s="15">
        <f>IF(OR(M221="",I221=""),"",IF(I221&lt;=0,"",IFERROR(M221/I221-1,"")))</f>
        <v/>
      </c>
      <c r="N223" s="15">
        <f>IF(OR(N221="",J221=""),"",IF(J221&lt;=0,"",IFERROR(N221/J221-1,"")))</f>
        <v/>
      </c>
      <c r="W223" s="15">
        <f>IF(OR(W221="",V221=""),"",IF(V221&lt;=0,"",IFERROR(W221/V221-1,"")))</f>
        <v/>
      </c>
      <c r="X223" s="15">
        <f>IF(OR(X221="",W221=""),"",IF(W221&lt;=0,"",IFERROR(X221/W221-1,"")))</f>
        <v/>
      </c>
    </row>
    <row r="224">
      <c r="A224" s="18" t="inlineStr">
        <is>
          <t>보고부문 합계 · 부문 이익 및 손실</t>
        </is>
      </c>
      <c r="D224" s="20" t="n">
        <v>246.732</v>
      </c>
      <c r="H224" s="20" t="n">
        <v>485.904</v>
      </c>
      <c r="L224" s="20" t="n">
        <v>603.424</v>
      </c>
    </row>
    <row r="225">
      <c r="A225" s="43" t="inlineStr">
        <is>
          <t>OPM</t>
        </is>
      </c>
      <c r="B225" s="3" t="inlineStr">
        <is>
          <t>영업이익 ÷ 매출</t>
        </is>
      </c>
      <c r="D225" s="15">
        <f>IF(OR(D224="",D201=""),"",IF(D201&lt;=0,"",IFERROR(D224/D201,"")))</f>
        <v/>
      </c>
      <c r="H225" s="15">
        <f>IF(OR(H224="",H201=""),"",IF(H201&lt;=0,"",IFERROR(H224/H201,"")))</f>
        <v/>
      </c>
      <c r="L225" s="15">
        <f>IF(OR(L224="",L201=""),"",IF(L201&lt;=0,"",IFERROR(L224/L201,"")))</f>
        <v/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H226" s="15">
        <f>IF(OR(H224="",D224=""),"",IF(D224&lt;=0,"",IFERROR(H224/D224-1,"")))</f>
        <v/>
      </c>
      <c r="L226" s="15">
        <f>IF(OR(L224="",H224=""),"",IF(H224&lt;=0,"",IFERROR(L224/H224-1,"")))</f>
        <v/>
      </c>
    </row>
    <row r="227">
      <c r="A227" s="18" t="inlineStr">
        <is>
          <t>합계 · 부문 이익 및 손실</t>
        </is>
      </c>
      <c r="F227" s="20" t="n">
        <v>256.147</v>
      </c>
      <c r="J227" s="20" t="n">
        <v>583.895</v>
      </c>
      <c r="N227" s="20" t="n">
        <v>708.2</v>
      </c>
    </row>
    <row r="228">
      <c r="A228" s="43" t="inlineStr">
        <is>
          <t>OPM</t>
        </is>
      </c>
      <c r="B228" s="3" t="inlineStr">
        <is>
          <t>영업이익 ÷ 매출</t>
        </is>
      </c>
      <c r="F228" s="15">
        <f>IF(OR(F227="",F203=""),"",IF(F203&lt;=0,"",IFERROR(F227/F203,"")))</f>
        <v/>
      </c>
      <c r="J228" s="15">
        <f>IF(OR(J227="",J203=""),"",IF(J203&lt;=0,"",IFERROR(J227/J203,"")))</f>
        <v/>
      </c>
      <c r="N228" s="15">
        <f>IF(OR(N227="",N203=""),"",IF(N203&lt;=0,"",IFERROR(N227/N203,"")))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J229" s="15">
        <f>IF(OR(J227="",F227=""),"",IF(F227&lt;=0,"",IFERROR(J227/F227-1,"")))</f>
        <v/>
      </c>
      <c r="N229" s="15">
        <f>IF(OR(N227="",J227=""),"",IF(J227&lt;=0,"",IFERROR(N227/J227-1,"")))</f>
        <v/>
      </c>
    </row>
    <row r="230">
      <c r="A230" s="18" t="inlineStr">
        <is>
          <t>조정액 · 부문 이익 및 손실</t>
        </is>
      </c>
      <c r="D230" s="20" t="n">
        <v>-7.711</v>
      </c>
      <c r="E230" s="20" t="n">
        <v>-19.868</v>
      </c>
      <c r="F230" s="20" t="n">
        <v>-12.963</v>
      </c>
      <c r="G230" s="20" t="n">
        <v>-10.777</v>
      </c>
      <c r="H230" s="20" t="n">
        <v>-237.874</v>
      </c>
      <c r="I230" s="20" t="n">
        <v>-223.356</v>
      </c>
      <c r="J230" s="20" t="n">
        <v>-227.889</v>
      </c>
      <c r="K230" s="20" t="n">
        <v>504.731</v>
      </c>
      <c r="L230" s="20" t="n">
        <v>-367.732</v>
      </c>
      <c r="M230" s="20" t="n">
        <v>-309.589</v>
      </c>
      <c r="N230" s="20" t="n">
        <v>-295.071</v>
      </c>
      <c r="W230" s="20" t="n">
        <v>-10.777</v>
      </c>
      <c r="X230" s="20" t="n">
        <v>504.731</v>
      </c>
    </row>
    <row r="231">
      <c r="A231" s="9" t="inlineStr">
        <is>
          <t>부문 이익 및 손실</t>
        </is>
      </c>
      <c r="D231" s="12" t="n">
        <v>239.021</v>
      </c>
      <c r="E231" s="12" t="n">
        <v>212.43</v>
      </c>
      <c r="F231" s="12" t="n">
        <v>243.185</v>
      </c>
      <c r="G231" s="12" t="n">
        <v>153.305</v>
      </c>
      <c r="H231" s="12" t="n">
        <v>248.029</v>
      </c>
      <c r="I231" s="12" t="n">
        <v>428.709</v>
      </c>
      <c r="J231" s="12" t="n">
        <v>356.006</v>
      </c>
      <c r="K231" s="12" t="n">
        <v>153.017</v>
      </c>
      <c r="W231" s="12" t="n">
        <v>153.305</v>
      </c>
      <c r="X231" s="12" t="n">
        <v>153.017</v>
      </c>
    </row>
    <row r="232">
      <c r="A232" s="43" t="inlineStr">
        <is>
          <t>OPM</t>
        </is>
      </c>
      <c r="B232" s="3" t="inlineStr">
        <is>
          <t>영업이익 ÷ 매출</t>
        </is>
      </c>
      <c r="D232" s="15">
        <f>IF(OR(D231="",D178=""),"",IF(D178&lt;=0,"",IFERROR(D231/D178,"")))</f>
        <v/>
      </c>
      <c r="E232" s="15">
        <f>IF(OR(E231="",E178=""),"",IF(E178&lt;=0,"",IFERROR(E231/E178,"")))</f>
        <v/>
      </c>
      <c r="F232" s="15">
        <f>IF(OR(F231="",F178=""),"",IF(F178&lt;=0,"",IFERROR(F231/F178,"")))</f>
        <v/>
      </c>
      <c r="G232" s="15">
        <f>IF(OR(G231="",G178=""),"",IF(G178&lt;=0,"",IFERROR(G231/G178,"")))</f>
        <v/>
      </c>
      <c r="H232" s="15">
        <f>IF(OR(H231="",H178=""),"",IF(H178&lt;=0,"",IFERROR(H231/H178,"")))</f>
        <v/>
      </c>
      <c r="I232" s="15">
        <f>IF(OR(I231="",I178=""),"",IF(I178&lt;=0,"",IFERROR(I231/I178,"")))</f>
        <v/>
      </c>
      <c r="J232" s="15">
        <f>IF(OR(J231="",J178=""),"",IF(J178&lt;=0,"",IFERROR(J231/J178,"")))</f>
        <v/>
      </c>
      <c r="K232" s="15">
        <f>IF(OR(K231="",K178=""),"",IF(K178&lt;=0,"",IFERROR(K231/K178,"")))</f>
        <v/>
      </c>
      <c r="W232" s="15">
        <f>IF(OR(W231="",W178=""),"",IF(W178&lt;=0,"",IFERROR(W231/W178,"")))</f>
        <v/>
      </c>
      <c r="X232" s="15">
        <f>IF(OR(X231="",X178=""),"",IF(X178&lt;=0,"",IFERROR(X231/X178,"")))</f>
        <v/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G233" s="15">
        <f>IF(OR(G231="",C231=""),"",IF(C231&lt;=0,"",IFERROR(G231/C231-1,"")))</f>
        <v/>
      </c>
      <c r="H233" s="15">
        <f>IF(OR(H231="",D231=""),"",IF(D231&lt;=0,"",IFERROR(H231/D231-1,"")))</f>
        <v/>
      </c>
      <c r="I233" s="15">
        <f>IF(OR(I231="",E231=""),"",IF(E231&lt;=0,"",IFERROR(I231/E231-1,"")))</f>
        <v/>
      </c>
      <c r="J233" s="15">
        <f>IF(OR(J231="",F231=""),"",IF(F231&lt;=0,"",IFERROR(J231/F231-1,"")))</f>
        <v/>
      </c>
      <c r="K233" s="15">
        <f>IF(OR(K231="",G231=""),"",IF(G231&lt;=0,"",IFERROR(K231/G231-1,"")))</f>
        <v/>
      </c>
      <c r="W233" s="15">
        <f>IF(OR(W231="",V231=""),"",IF(V231&lt;=0,"",IFERROR(W231/V231-1,"")))</f>
        <v/>
      </c>
      <c r="X233" s="15">
        <f>IF(OR(X231="",W231=""),"",IF(W231&lt;=0,"",IFERROR(X231/W231-1,"")))</f>
        <v/>
      </c>
    </row>
    <row r="234">
      <c r="A234" s="18" t="inlineStr">
        <is>
          <t>EntityTotalMember · 부문 이익 및 손실</t>
        </is>
      </c>
      <c r="H234" s="20" t="n">
        <v>248.029</v>
      </c>
      <c r="L234" s="20" t="n">
        <v>235.692</v>
      </c>
    </row>
    <row r="236">
      <c r="A236" s="16" t="inlineStr">
        <is>
          <t>현금흐름표 · 전 항목</t>
        </is>
      </c>
      <c r="B236" s="42" t="inlineStr">
        <is>
          <t>분기 = 결산기 첫날부터 누계(공시 그대로)</t>
        </is>
      </c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</row>
    <row r="237">
      <c r="A237" s="5" t="inlineStr">
        <is>
          <t>항목</t>
        </is>
      </c>
      <c r="B237" s="5" t="inlineStr">
        <is>
          <t>참고</t>
        </is>
      </c>
      <c r="C237" s="5" t="inlineStr">
        <is>
          <t>2023.4Q</t>
        </is>
      </c>
      <c r="D237" s="5" t="inlineStr">
        <is>
          <t>2024.1Q</t>
        </is>
      </c>
      <c r="E237" s="5" t="inlineStr">
        <is>
          <t>2024.2Q</t>
        </is>
      </c>
      <c r="F237" s="5" t="inlineStr">
        <is>
          <t>2024.3Q</t>
        </is>
      </c>
      <c r="G237" s="5" t="inlineStr">
        <is>
          <t>2024.4Q</t>
        </is>
      </c>
      <c r="H237" s="5" t="inlineStr">
        <is>
          <t>2025.1Q</t>
        </is>
      </c>
      <c r="I237" s="5" t="inlineStr">
        <is>
          <t>2025.2Q</t>
        </is>
      </c>
      <c r="J237" s="5" t="inlineStr">
        <is>
          <t>2025.3Q</t>
        </is>
      </c>
      <c r="K237" s="5" t="inlineStr">
        <is>
          <t>2025.4Q</t>
        </is>
      </c>
      <c r="L237" s="5" t="inlineStr">
        <is>
          <t>2026.1Q</t>
        </is>
      </c>
      <c r="M237" s="5" t="inlineStr">
        <is>
          <t>2026.2Q</t>
        </is>
      </c>
      <c r="N237" s="5" t="inlineStr">
        <is>
          <t>2026.3Q</t>
        </is>
      </c>
      <c r="O237" s="5" t="inlineStr">
        <is>
          <t>2016</t>
        </is>
      </c>
      <c r="P237" s="5" t="inlineStr">
        <is>
          <t>2017</t>
        </is>
      </c>
      <c r="Q237" s="5" t="inlineStr">
        <is>
          <t>2018</t>
        </is>
      </c>
      <c r="R237" s="5" t="inlineStr">
        <is>
          <t>2019</t>
        </is>
      </c>
      <c r="S237" s="5" t="inlineStr">
        <is>
          <t>2020</t>
        </is>
      </c>
      <c r="T237" s="5" t="inlineStr">
        <is>
          <t>2021</t>
        </is>
      </c>
      <c r="U237" s="5" t="inlineStr">
        <is>
          <t>2022</t>
        </is>
      </c>
      <c r="V237" s="5" t="inlineStr">
        <is>
          <t>2023</t>
        </is>
      </c>
      <c r="W237" s="5" t="inlineStr">
        <is>
          <t>2024</t>
        </is>
      </c>
      <c r="X237" s="5" t="inlineStr">
        <is>
          <t>2025</t>
        </is>
      </c>
      <c r="Y237" s="5" t="inlineStr">
        <is>
          <t>2026(MW)</t>
        </is>
      </c>
      <c r="Z237" s="5" t="inlineStr">
        <is>
          <t>2027(MW)</t>
        </is>
      </c>
      <c r="AA237" s="5" t="inlineStr">
        <is>
          <t>2028(MW)</t>
        </is>
      </c>
      <c r="AB237" s="5" t="inlineStr">
        <is>
          <t>2029(MW)</t>
        </is>
      </c>
      <c r="AC237" s="5" t="inlineStr">
        <is>
          <t>2030(MW)</t>
        </is>
      </c>
    </row>
    <row r="238">
      <c r="A238" s="9" t="inlineStr">
        <is>
          <t>법인세차감전 순이익</t>
        </is>
      </c>
      <c r="C238" s="12" t="n">
        <v>698.484</v>
      </c>
      <c r="E238" s="12" t="n">
        <v>482.78</v>
      </c>
      <c r="G238" s="12" t="n">
        <v>739.8099999999999</v>
      </c>
      <c r="I238" s="12" t="n">
        <v>639.328</v>
      </c>
      <c r="K238" s="12" t="n">
        <v>933.881</v>
      </c>
      <c r="M238" s="12" t="n">
        <v>745.09</v>
      </c>
      <c r="O238" s="12" t="n">
        <v>391.131</v>
      </c>
      <c r="P238" s="12" t="n">
        <v>499.991</v>
      </c>
      <c r="Q238" s="12" t="n">
        <v>705.272</v>
      </c>
      <c r="R238" s="12" t="n">
        <v>672.966</v>
      </c>
      <c r="S238" s="12" t="n">
        <v>-120.32</v>
      </c>
      <c r="T238" s="12" t="n">
        <v>-747.497</v>
      </c>
      <c r="U238" s="12" t="n">
        <v>1218.213</v>
      </c>
      <c r="V238" s="12" t="n">
        <v>698.484</v>
      </c>
      <c r="W238" s="12" t="n">
        <v>739.8099999999999</v>
      </c>
      <c r="X238" s="12" t="n">
        <v>933.881</v>
      </c>
    </row>
    <row r="239">
      <c r="A239" s="18" t="inlineStr">
        <is>
          <t>감가상각비</t>
        </is>
      </c>
      <c r="C239" s="20" t="n">
        <v>325.872</v>
      </c>
      <c r="E239" s="20" t="n">
        <v>179.127</v>
      </c>
      <c r="G239" s="20" t="n">
        <v>407.052</v>
      </c>
      <c r="I239" s="20" t="n">
        <v>207.161</v>
      </c>
      <c r="K239" s="20" t="n">
        <v>442.079</v>
      </c>
      <c r="M239" s="20" t="n">
        <v>500.254</v>
      </c>
      <c r="O239" s="20" t="n">
        <v>117.765</v>
      </c>
      <c r="P239" s="20" t="n">
        <v>152.911</v>
      </c>
      <c r="Q239" s="20" t="n">
        <v>216.777</v>
      </c>
      <c r="R239" s="20" t="n">
        <v>289.479</v>
      </c>
      <c r="S239" s="20" t="n">
        <v>309.311</v>
      </c>
      <c r="T239" s="20" t="n">
        <v>318.17</v>
      </c>
      <c r="U239" s="20" t="n">
        <v>374.183</v>
      </c>
      <c r="V239" s="20" t="n">
        <v>325.872</v>
      </c>
      <c r="W239" s="20" t="n">
        <v>407.052</v>
      </c>
      <c r="X239" s="20" t="n">
        <v>442.079</v>
      </c>
    </row>
    <row r="240">
      <c r="A240" s="18" t="inlineStr">
        <is>
          <t>주식보상비용</t>
        </is>
      </c>
      <c r="C240" s="20" t="n">
        <v>51.045</v>
      </c>
      <c r="E240" s="20" t="n">
        <v>21.268</v>
      </c>
      <c r="G240" s="20" t="n">
        <v>21.268</v>
      </c>
      <c r="I240" s="20" t="n">
        <v>0</v>
      </c>
      <c r="K240" s="20" t="n">
        <v>0</v>
      </c>
      <c r="M240" s="20" t="n">
        <v>2.032</v>
      </c>
      <c r="T240" s="20" t="n">
        <v>26.685</v>
      </c>
      <c r="U240" s="20" t="n">
        <v>39.455</v>
      </c>
      <c r="V240" s="20" t="n">
        <v>51.045</v>
      </c>
      <c r="W240" s="20" t="n">
        <v>21.268</v>
      </c>
      <c r="X240" s="20" t="n">
        <v>0</v>
      </c>
    </row>
    <row r="241">
      <c r="A241" s="18" t="inlineStr">
        <is>
          <t>장기선급비용 상각액</t>
        </is>
      </c>
      <c r="C241" s="20" t="n">
        <v>18.504</v>
      </c>
      <c r="E241" s="20" t="n">
        <v>10.996</v>
      </c>
      <c r="G241" s="20" t="n">
        <v>22.458</v>
      </c>
      <c r="I241" s="20" t="n">
        <v>12.412</v>
      </c>
      <c r="K241" s="20" t="n">
        <v>25.143</v>
      </c>
      <c r="M241" s="20" t="n">
        <v>16.954</v>
      </c>
      <c r="O241" s="20" t="n">
        <v>11.659</v>
      </c>
      <c r="P241" s="20" t="n">
        <v>17.139</v>
      </c>
      <c r="Q241" s="20" t="n">
        <v>26.241</v>
      </c>
      <c r="R241" s="20" t="n">
        <v>32.004</v>
      </c>
      <c r="S241" s="20" t="n">
        <v>30.593</v>
      </c>
      <c r="T241" s="20" t="n">
        <v>25.347</v>
      </c>
      <c r="U241" s="20" t="n">
        <v>19.701</v>
      </c>
      <c r="V241" s="20" t="n">
        <v>18.504</v>
      </c>
      <c r="W241" s="20" t="n">
        <v>22.458</v>
      </c>
      <c r="X241" s="20" t="n">
        <v>25.143</v>
      </c>
    </row>
    <row r="242">
      <c r="A242" s="18" t="inlineStr">
        <is>
          <t>영업권 상각</t>
        </is>
      </c>
      <c r="I242" s="20" t="n">
        <v>0</v>
      </c>
      <c r="M242" s="20" t="n">
        <v>295.17</v>
      </c>
    </row>
    <row r="243">
      <c r="A243" s="18" t="inlineStr">
        <is>
          <t>주식 교부 비용</t>
        </is>
      </c>
      <c r="I243" s="20" t="n">
        <v>0</v>
      </c>
      <c r="M243" s="20" t="n">
        <v>3.606</v>
      </c>
    </row>
    <row r="244">
      <c r="A244" s="18" t="inlineStr">
        <is>
          <t>손상차손</t>
        </is>
      </c>
      <c r="C244" s="20" t="n">
        <v>157.953</v>
      </c>
      <c r="G244" s="20" t="n">
        <v>140.077</v>
      </c>
      <c r="I244" s="20" t="n">
        <v>0</v>
      </c>
      <c r="K244" s="20" t="n">
        <v>70.999</v>
      </c>
      <c r="M244" s="20" t="n">
        <v>1.535</v>
      </c>
      <c r="O244" s="20" t="n">
        <v>17.845</v>
      </c>
      <c r="P244" s="20" t="n">
        <v>15.126</v>
      </c>
      <c r="Q244" s="20" t="n">
        <v>40.009</v>
      </c>
      <c r="R244" s="20" t="n">
        <v>108.836</v>
      </c>
      <c r="S244" s="20" t="n">
        <v>382.866</v>
      </c>
      <c r="T244" s="20" t="n">
        <v>242.997</v>
      </c>
      <c r="U244" s="20" t="n">
        <v>160.959</v>
      </c>
      <c r="V244" s="20" t="n">
        <v>157.953</v>
      </c>
      <c r="W244" s="20" t="n">
        <v>140.077</v>
      </c>
      <c r="X244" s="20" t="n">
        <v>70.999</v>
      </c>
    </row>
    <row r="245">
      <c r="A245" s="18" t="inlineStr">
        <is>
          <t>대손충당금 증감</t>
        </is>
      </c>
      <c r="C245" s="20" t="n">
        <v>79.878</v>
      </c>
      <c r="E245" s="20" t="n">
        <v>52.682</v>
      </c>
      <c r="G245" s="20" t="n">
        <v>90.20699999999999</v>
      </c>
      <c r="I245" s="20" t="n">
        <v>92.735</v>
      </c>
      <c r="K245" s="20" t="n">
        <v>152.097</v>
      </c>
      <c r="M245" s="20" t="n">
        <v>9.891</v>
      </c>
      <c r="Q245" s="20" t="n">
        <v>1.65</v>
      </c>
      <c r="R245" s="20" t="n">
        <v>-1.65</v>
      </c>
      <c r="S245" s="20" t="n">
        <v>0</v>
      </c>
      <c r="T245" s="20" t="n">
        <v>0</v>
      </c>
      <c r="U245" s="20" t="n">
        <v>86.2</v>
      </c>
      <c r="V245" s="20" t="n">
        <v>79.878</v>
      </c>
      <c r="W245" s="20" t="n">
        <v>90.20699999999999</v>
      </c>
      <c r="X245" s="20" t="n">
        <v>152.097</v>
      </c>
    </row>
    <row r="246">
      <c r="A246" s="18" t="inlineStr">
        <is>
          <t>상여충당금 증감</t>
        </is>
      </c>
      <c r="C246" s="20" t="n">
        <v>7.304</v>
      </c>
      <c r="E246" s="20" t="n">
        <v>24.527</v>
      </c>
      <c r="G246" s="20" t="n">
        <v>22.863</v>
      </c>
      <c r="I246" s="20" t="n">
        <v>22.83</v>
      </c>
      <c r="K246" s="20" t="n">
        <v>28.254</v>
      </c>
      <c r="M246" s="20" t="n">
        <v>93.959</v>
      </c>
      <c r="T246" s="20" t="n">
        <v>0</v>
      </c>
      <c r="U246" s="20" t="n">
        <v>87</v>
      </c>
      <c r="V246" s="20" t="n">
        <v>7.304</v>
      </c>
      <c r="W246" s="20" t="n">
        <v>22.863</v>
      </c>
      <c r="X246" s="20" t="n">
        <v>28.254</v>
      </c>
    </row>
    <row r="247">
      <c r="A247" s="18" t="inlineStr">
        <is>
          <t>점포 폐쇄 손실 충당금 증감액(△는 감소)</t>
        </is>
      </c>
      <c r="C247" s="20" t="n">
        <v>-10.17</v>
      </c>
      <c r="E247" s="20" t="n">
        <v>0</v>
      </c>
      <c r="G247" s="20" t="n">
        <v>0</v>
      </c>
      <c r="I247" s="20" t="n">
        <v>1.421</v>
      </c>
      <c r="M247" s="20" t="n">
        <v>6.034</v>
      </c>
      <c r="T247" s="20" t="n">
        <v>0</v>
      </c>
      <c r="U247" s="20" t="n">
        <v>10.17</v>
      </c>
      <c r="V247" s="20" t="n">
        <v>-10.17</v>
      </c>
      <c r="W247" s="20" t="n">
        <v>0</v>
      </c>
    </row>
    <row r="248">
      <c r="A248" s="18" t="inlineStr">
        <is>
          <t>이자·배당금 수익</t>
        </is>
      </c>
      <c r="C248" s="20" t="n">
        <v>-9.976000000000001</v>
      </c>
      <c r="E248" s="20" t="n">
        <v>-7.493</v>
      </c>
      <c r="G248" s="20" t="n">
        <v>-16.866</v>
      </c>
      <c r="I248" s="20" t="n">
        <v>-8.779999999999999</v>
      </c>
      <c r="K248" s="20" t="n">
        <v>-14.37</v>
      </c>
      <c r="M248" s="20" t="n">
        <v>-3.662</v>
      </c>
      <c r="O248" s="20" t="n">
        <v>-0.123</v>
      </c>
      <c r="P248" s="20" t="n">
        <v>-2.477</v>
      </c>
      <c r="Q248" s="20" t="n">
        <v>-2.764</v>
      </c>
      <c r="R248" s="20" t="n">
        <v>-2.544</v>
      </c>
      <c r="S248" s="20" t="n">
        <v>-2.486</v>
      </c>
      <c r="T248" s="20" t="n">
        <v>-2.505</v>
      </c>
      <c r="U248" s="20" t="n">
        <v>-3.947</v>
      </c>
      <c r="V248" s="20" t="n">
        <v>-9.976000000000001</v>
      </c>
      <c r="W248" s="20" t="n">
        <v>-16.866</v>
      </c>
      <c r="X248" s="20" t="n">
        <v>-14.37</v>
      </c>
    </row>
    <row r="249">
      <c r="A249" s="18" t="inlineStr">
        <is>
          <t>이자비용</t>
        </is>
      </c>
      <c r="C249" s="20" t="n">
        <v>13.35</v>
      </c>
      <c r="E249" s="20" t="n">
        <v>7.054</v>
      </c>
      <c r="G249" s="20" t="n">
        <v>15.766</v>
      </c>
      <c r="I249" s="20" t="n">
        <v>10.819</v>
      </c>
      <c r="K249" s="20" t="n">
        <v>21.901</v>
      </c>
      <c r="M249" s="20" t="n">
        <v>104.621</v>
      </c>
      <c r="O249" s="20" t="n">
        <v>11.175</v>
      </c>
      <c r="P249" s="20" t="n">
        <v>7.741</v>
      </c>
      <c r="Q249" s="20" t="n">
        <v>3.901</v>
      </c>
      <c r="R249" s="20" t="n">
        <v>3.297</v>
      </c>
      <c r="S249" s="20" t="n">
        <v>10.602</v>
      </c>
      <c r="T249" s="20" t="n">
        <v>15.862</v>
      </c>
      <c r="U249" s="20" t="n">
        <v>17.94</v>
      </c>
      <c r="V249" s="20" t="n">
        <v>13.35</v>
      </c>
      <c r="W249" s="20" t="n">
        <v>15.766</v>
      </c>
      <c r="X249" s="20" t="n">
        <v>21.901</v>
      </c>
    </row>
    <row r="250">
      <c r="A250" s="18" t="inlineStr">
        <is>
          <t>주식교부비</t>
        </is>
      </c>
      <c r="O250" s="20" t="n">
        <v>5.311</v>
      </c>
      <c r="P250" s="20" t="n">
        <v>0</v>
      </c>
    </row>
    <row r="251">
      <c r="A251" s="18" t="inlineStr">
        <is>
          <t>차입금 조기상환 비용</t>
        </is>
      </c>
      <c r="Q251" s="20" t="n">
        <v>2.489</v>
      </c>
      <c r="R251" s="20" t="n">
        <v>0</v>
      </c>
    </row>
    <row r="252">
      <c r="A252" s="18" t="inlineStr">
        <is>
          <t>부동산 임대료</t>
        </is>
      </c>
      <c r="O252" s="20" t="n">
        <v>-22.248</v>
      </c>
      <c r="P252" s="20" t="n">
        <v>-22.713</v>
      </c>
      <c r="Q252" s="20" t="n">
        <v>-3.541</v>
      </c>
      <c r="R252" s="20" t="n">
        <v>0</v>
      </c>
    </row>
    <row r="253">
      <c r="A253" s="18" t="inlineStr">
        <is>
          <t>부동산 임대원가</t>
        </is>
      </c>
      <c r="O253" s="20" t="n">
        <v>7.878</v>
      </c>
      <c r="P253" s="20" t="n">
        <v>9.083</v>
      </c>
      <c r="Q253" s="20" t="n">
        <v>2.577</v>
      </c>
      <c r="R253" s="20" t="n">
        <v>0</v>
      </c>
    </row>
    <row r="254">
      <c r="A254" s="18" t="inlineStr">
        <is>
          <t>외환차손익</t>
        </is>
      </c>
      <c r="C254" s="20" t="n">
        <v>-23.265</v>
      </c>
      <c r="E254" s="20" t="n">
        <v>-30.966</v>
      </c>
      <c r="G254" s="20" t="n">
        <v>-10.843</v>
      </c>
      <c r="I254" s="20" t="n">
        <v>25.926</v>
      </c>
      <c r="K254" s="20" t="n">
        <v>14.08</v>
      </c>
      <c r="M254" s="20" t="n">
        <v>-1.451</v>
      </c>
      <c r="U254" s="20" t="n">
        <v>-24.262</v>
      </c>
      <c r="V254" s="20" t="n">
        <v>-23.265</v>
      </c>
      <c r="W254" s="20" t="n">
        <v>-10.843</v>
      </c>
      <c r="X254" s="20" t="n">
        <v>14.08</v>
      </c>
    </row>
    <row r="255">
      <c r="A255" s="18" t="inlineStr">
        <is>
          <t>고정자산 제각손실</t>
        </is>
      </c>
      <c r="E255" s="20" t="n">
        <v>2.695</v>
      </c>
      <c r="I255" s="20" t="n">
        <v>0</v>
      </c>
      <c r="M255" s="20" t="n">
        <v>5.334</v>
      </c>
      <c r="O255" s="20" t="n">
        <v>0</v>
      </c>
      <c r="P255" s="20" t="n">
        <v>5.07</v>
      </c>
    </row>
    <row r="256">
      <c r="A256" s="18" t="inlineStr">
        <is>
          <t>고정자산 매각손익</t>
        </is>
      </c>
      <c r="C256" s="20" t="n">
        <v>0.018</v>
      </c>
      <c r="E256" s="20" t="n">
        <v>4.415</v>
      </c>
      <c r="G256" s="20" t="n">
        <v>4.746</v>
      </c>
      <c r="I256" s="20" t="n">
        <v>-11.101</v>
      </c>
      <c r="M256" s="20" t="n">
        <v>-0.5610000000000001</v>
      </c>
      <c r="U256" s="20" t="n">
        <v>-1.17</v>
      </c>
      <c r="V256" s="20" t="n">
        <v>0.018</v>
      </c>
      <c r="W256" s="20" t="n">
        <v>4.746</v>
      </c>
    </row>
    <row r="257">
      <c r="A257" s="18" t="inlineStr">
        <is>
          <t>점포 폐쇄 손실</t>
        </is>
      </c>
      <c r="C257" s="20" t="n">
        <v>9.382999999999999</v>
      </c>
      <c r="E257" s="20" t="n">
        <v>2.748</v>
      </c>
      <c r="G257" s="20" t="n">
        <v>2.748</v>
      </c>
      <c r="I257" s="20" t="n">
        <v>8.288</v>
      </c>
      <c r="K257" s="20" t="n">
        <v>9.709</v>
      </c>
      <c r="M257" s="20" t="n">
        <v>6.431</v>
      </c>
      <c r="R257" s="20" t="n">
        <v>0</v>
      </c>
      <c r="S257" s="20" t="n">
        <v>31.285</v>
      </c>
      <c r="T257" s="20" t="n">
        <v>0</v>
      </c>
      <c r="U257" s="20" t="n">
        <v>9.544</v>
      </c>
      <c r="V257" s="20" t="n">
        <v>9.382999999999999</v>
      </c>
      <c r="W257" s="20" t="n">
        <v>2.748</v>
      </c>
      <c r="X257" s="20" t="n">
        <v>9.709</v>
      </c>
    </row>
    <row r="258">
      <c r="A258" s="18" t="inlineStr">
        <is>
          <t>유형자산 매각손익</t>
        </is>
      </c>
      <c r="Q258" s="20" t="n">
        <v>-27.466</v>
      </c>
      <c r="R258" s="20" t="n">
        <v>-3.348</v>
      </c>
      <c r="S258" s="20" t="n">
        <v>0</v>
      </c>
    </row>
    <row r="259">
      <c r="A259" s="18" t="inlineStr">
        <is>
          <t>보상금 수취</t>
        </is>
      </c>
      <c r="Q259" s="20" t="n">
        <v>-20.046</v>
      </c>
      <c r="R259" s="20" t="n">
        <v>0</v>
      </c>
    </row>
    <row r="260">
      <c r="A260" s="18" t="inlineStr">
        <is>
          <t>고용조정 보조금</t>
        </is>
      </c>
      <c r="R260" s="20" t="n">
        <v>0</v>
      </c>
      <c r="S260" s="20" t="n">
        <v>-188.13</v>
      </c>
    </row>
    <row r="261">
      <c r="A261" s="18" t="inlineStr">
        <is>
          <t>임원 퇴직위로금</t>
        </is>
      </c>
      <c r="E261" s="20" t="n">
        <v>0</v>
      </c>
      <c r="G261" s="20" t="n">
        <v>0</v>
      </c>
      <c r="I261" s="20" t="n">
        <v>60</v>
      </c>
      <c r="K261" s="20" t="n">
        <v>60</v>
      </c>
      <c r="M261" s="20" t="n">
        <v>0</v>
      </c>
      <c r="W261" s="20" t="n">
        <v>0</v>
      </c>
      <c r="X261" s="20" t="n">
        <v>60</v>
      </c>
    </row>
    <row r="262">
      <c r="A262" s="18" t="inlineStr">
        <is>
          <t>보험 해약환급금</t>
        </is>
      </c>
      <c r="E262" s="20" t="n">
        <v>0</v>
      </c>
      <c r="G262" s="20" t="n">
        <v>0</v>
      </c>
      <c r="I262" s="20" t="n">
        <v>-40.429</v>
      </c>
      <c r="K262" s="20" t="n">
        <v>-40.429</v>
      </c>
      <c r="M262" s="20" t="n">
        <v>0</v>
      </c>
      <c r="W262" s="20" t="n">
        <v>0</v>
      </c>
      <c r="X262" s="20" t="n">
        <v>-40.429</v>
      </c>
    </row>
    <row r="263">
      <c r="A263" s="18" t="inlineStr">
        <is>
          <t>고정자산 매각이익</t>
        </is>
      </c>
      <c r="G263" s="20" t="n">
        <v>0</v>
      </c>
      <c r="K263" s="20" t="n">
        <v>-12.01</v>
      </c>
      <c r="T263" s="20" t="n">
        <v>0</v>
      </c>
      <c r="U263" s="20" t="n">
        <v>-1.17</v>
      </c>
      <c r="W263" s="20" t="n">
        <v>0</v>
      </c>
      <c r="X263" s="20" t="n">
        <v>-12.01</v>
      </c>
    </row>
    <row r="264">
      <c r="A264" s="18" t="inlineStr">
        <is>
          <t>고정자산 매각손실</t>
        </is>
      </c>
      <c r="G264" s="20" t="n">
        <v>4.746</v>
      </c>
      <c r="K264" s="20" t="n">
        <v>1.969</v>
      </c>
      <c r="W264" s="20" t="n">
        <v>4.746</v>
      </c>
      <c r="X264" s="20" t="n">
        <v>1.969</v>
      </c>
    </row>
    <row r="265">
      <c r="A265" s="18" t="inlineStr">
        <is>
          <t>지분법손익</t>
        </is>
      </c>
      <c r="C265" s="20" t="n">
        <v>5.448</v>
      </c>
      <c r="E265" s="20" t="n">
        <v>3.373</v>
      </c>
      <c r="G265" s="20" t="n">
        <v>47.59</v>
      </c>
      <c r="I265" s="20" t="n">
        <v>4.9</v>
      </c>
      <c r="K265" s="20" t="n">
        <v>5.996</v>
      </c>
      <c r="M265" s="20" t="n">
        <v>0.058</v>
      </c>
      <c r="T265" s="20" t="n">
        <v>0</v>
      </c>
      <c r="U265" s="20" t="n">
        <v>4.76</v>
      </c>
      <c r="V265" s="20" t="n">
        <v>5.448</v>
      </c>
      <c r="W265" s="20" t="n">
        <v>47.59</v>
      </c>
      <c r="X265" s="20" t="n">
        <v>5.996</v>
      </c>
    </row>
    <row r="266">
      <c r="A266" s="18" t="inlineStr">
        <is>
          <t>관계회사 주식 평가손실</t>
        </is>
      </c>
      <c r="G266" s="20" t="n">
        <v>0</v>
      </c>
      <c r="K266" s="20" t="n">
        <v>215.005</v>
      </c>
      <c r="W266" s="20" t="n">
        <v>0</v>
      </c>
      <c r="X266" s="20" t="n">
        <v>215.005</v>
      </c>
    </row>
    <row r="267">
      <c r="A267" s="18" t="inlineStr">
        <is>
          <t>유형자산 제각손실</t>
        </is>
      </c>
      <c r="C267" s="20" t="n">
        <v>5.018</v>
      </c>
      <c r="G267" s="20" t="n">
        <v>4.985</v>
      </c>
      <c r="K267" s="20" t="n">
        <v>7.964</v>
      </c>
      <c r="Q267" s="20" t="n">
        <v>5.97</v>
      </c>
      <c r="R267" s="20" t="n">
        <v>2.751</v>
      </c>
      <c r="S267" s="20" t="n">
        <v>2.191</v>
      </c>
      <c r="T267" s="20" t="n">
        <v>0</v>
      </c>
      <c r="U267" s="20" t="n">
        <v>1.439</v>
      </c>
      <c r="V267" s="20" t="n">
        <v>5.018</v>
      </c>
      <c r="W267" s="20" t="n">
        <v>4.985</v>
      </c>
      <c r="X267" s="20" t="n">
        <v>7.964</v>
      </c>
    </row>
    <row r="268">
      <c r="A268" s="18" t="inlineStr">
        <is>
          <t>사업양도 손익</t>
        </is>
      </c>
      <c r="C268" s="20" t="n">
        <v>-33.834</v>
      </c>
      <c r="G268" s="20" t="n">
        <v>-39.99</v>
      </c>
      <c r="I268" s="20" t="n">
        <v>0</v>
      </c>
      <c r="K268" s="20" t="n">
        <v>-47.065</v>
      </c>
      <c r="M268" s="20" t="n">
        <v>-23.389</v>
      </c>
      <c r="U268" s="20" t="n">
        <v>0</v>
      </c>
      <c r="V268" s="20" t="n">
        <v>-33.834</v>
      </c>
      <c r="W268" s="20" t="n">
        <v>-39.99</v>
      </c>
      <c r="X268" s="20" t="n">
        <v>-47.065</v>
      </c>
    </row>
    <row r="269">
      <c r="A269" s="18" t="inlineStr">
        <is>
          <t>보조금 수입</t>
        </is>
      </c>
      <c r="C269" s="20" t="n">
        <v>0</v>
      </c>
      <c r="S269" s="20" t="n">
        <v>-188.13</v>
      </c>
      <c r="T269" s="20" t="n">
        <v>-2014.342</v>
      </c>
      <c r="U269" s="20" t="n">
        <v>-1475.012</v>
      </c>
      <c r="V269" s="20" t="n">
        <v>0</v>
      </c>
    </row>
    <row r="270">
      <c r="A270" s="18" t="inlineStr">
        <is>
          <t>매출채권 증감</t>
        </is>
      </c>
      <c r="C270" s="20" t="n">
        <v>-205.184</v>
      </c>
      <c r="E270" s="20" t="n">
        <v>-92.78</v>
      </c>
      <c r="G270" s="20" t="n">
        <v>-197.041</v>
      </c>
      <c r="I270" s="20" t="n">
        <v>-306.983</v>
      </c>
      <c r="K270" s="20" t="n">
        <v>-188.379</v>
      </c>
      <c r="M270" s="20" t="n">
        <v>-329.979</v>
      </c>
      <c r="O270" s="20" t="n">
        <v>-19.828</v>
      </c>
      <c r="P270" s="20" t="n">
        <v>-70.492</v>
      </c>
      <c r="Q270" s="20" t="n">
        <v>-262.559</v>
      </c>
      <c r="R270" s="20" t="n">
        <v>-72.274</v>
      </c>
      <c r="S270" s="20" t="n">
        <v>13.471</v>
      </c>
      <c r="T270" s="20" t="n">
        <v>2.181</v>
      </c>
      <c r="U270" s="20" t="n">
        <v>-130.931</v>
      </c>
      <c r="V270" s="20" t="n">
        <v>-205.184</v>
      </c>
      <c r="W270" s="20" t="n">
        <v>-197.041</v>
      </c>
      <c r="X270" s="20" t="n">
        <v>-188.379</v>
      </c>
    </row>
    <row r="271">
      <c r="A271" s="18" t="inlineStr">
        <is>
          <t>미수금 증감</t>
        </is>
      </c>
      <c r="E271" s="20" t="n">
        <v>42.055</v>
      </c>
      <c r="I271" s="20" t="n">
        <v>-3.817</v>
      </c>
      <c r="M271" s="20" t="n">
        <v>3.286</v>
      </c>
      <c r="O271" s="20" t="n">
        <v>-7.283</v>
      </c>
      <c r="P271" s="20" t="n">
        <v>-11.728</v>
      </c>
    </row>
    <row r="272">
      <c r="A272" s="18" t="inlineStr">
        <is>
          <t>재고자산 증감</t>
        </is>
      </c>
      <c r="C272" s="20" t="n">
        <v>0.258</v>
      </c>
      <c r="E272" s="20" t="n">
        <v>-41.073</v>
      </c>
      <c r="G272" s="20" t="n">
        <v>-52.878</v>
      </c>
      <c r="I272" s="20" t="n">
        <v>-4.297</v>
      </c>
      <c r="K272" s="20" t="n">
        <v>-11.764</v>
      </c>
      <c r="M272" s="20" t="n">
        <v>-140.396</v>
      </c>
      <c r="O272" s="20" t="n">
        <v>-3.252</v>
      </c>
      <c r="P272" s="20" t="n">
        <v>-9.897</v>
      </c>
      <c r="Q272" s="20" t="n">
        <v>-10.62</v>
      </c>
      <c r="R272" s="20" t="n">
        <v>-8.006</v>
      </c>
      <c r="S272" s="20" t="n">
        <v>-1.144</v>
      </c>
      <c r="T272" s="20" t="n">
        <v>-46.507</v>
      </c>
      <c r="U272" s="20" t="n">
        <v>10.363</v>
      </c>
      <c r="V272" s="20" t="n">
        <v>0.258</v>
      </c>
      <c r="W272" s="20" t="n">
        <v>-52.878</v>
      </c>
      <c r="X272" s="20" t="n">
        <v>-11.764</v>
      </c>
    </row>
    <row r="273">
      <c r="A273" s="18" t="inlineStr">
        <is>
          <t>선급비용 증감</t>
        </is>
      </c>
      <c r="C273" s="20" t="n">
        <v>-26.424</v>
      </c>
      <c r="E273" s="20" t="n">
        <v>-14.31</v>
      </c>
      <c r="G273" s="20" t="n">
        <v>-1.581</v>
      </c>
      <c r="I273" s="20" t="n">
        <v>-67.63500000000001</v>
      </c>
      <c r="K273" s="20" t="n">
        <v>-74.643</v>
      </c>
      <c r="M273" s="20" t="n">
        <v>-52.985</v>
      </c>
      <c r="O273" s="20" t="n">
        <v>-9.630000000000001</v>
      </c>
      <c r="P273" s="20" t="n">
        <v>-13.546</v>
      </c>
      <c r="Q273" s="20" t="n">
        <v>-26.968</v>
      </c>
      <c r="R273" s="20" t="n">
        <v>-24.747</v>
      </c>
      <c r="S273" s="20" t="n">
        <v>45.964</v>
      </c>
      <c r="T273" s="20" t="n">
        <v>-26.696</v>
      </c>
      <c r="U273" s="20" t="n">
        <v>-10.1</v>
      </c>
      <c r="V273" s="20" t="n">
        <v>-26.424</v>
      </c>
      <c r="W273" s="20" t="n">
        <v>-1.581</v>
      </c>
      <c r="X273" s="20" t="n">
        <v>-74.643</v>
      </c>
    </row>
    <row r="274">
      <c r="A274" s="18" t="inlineStr">
        <is>
          <t>매입채무 증감</t>
        </is>
      </c>
      <c r="C274" s="20" t="n">
        <v>316.078</v>
      </c>
      <c r="E274" s="20" t="n">
        <v>-249.675</v>
      </c>
      <c r="G274" s="20" t="n">
        <v>-189.882</v>
      </c>
      <c r="I274" s="20" t="n">
        <v>121.113</v>
      </c>
      <c r="K274" s="20" t="n">
        <v>218.26</v>
      </c>
      <c r="M274" s="20" t="n">
        <v>-70.595</v>
      </c>
      <c r="O274" s="20" t="n">
        <v>47.855</v>
      </c>
      <c r="P274" s="20" t="n">
        <v>96.34999999999999</v>
      </c>
      <c r="Q274" s="20" t="n">
        <v>166.412</v>
      </c>
      <c r="R274" s="20" t="n">
        <v>72.056</v>
      </c>
      <c r="S274" s="20" t="n">
        <v>-55.449</v>
      </c>
      <c r="T274" s="20" t="n">
        <v>54.634</v>
      </c>
      <c r="U274" s="20" t="n">
        <v>100.921</v>
      </c>
      <c r="V274" s="20" t="n">
        <v>316.078</v>
      </c>
      <c r="W274" s="20" t="n">
        <v>-189.882</v>
      </c>
      <c r="X274" s="20" t="n">
        <v>218.26</v>
      </c>
    </row>
    <row r="275">
      <c r="A275" s="18" t="inlineStr">
        <is>
          <t>미지급금 증감</t>
        </is>
      </c>
      <c r="C275" s="20" t="n">
        <v>74.126</v>
      </c>
      <c r="E275" s="20" t="n">
        <v>-63.471</v>
      </c>
      <c r="G275" s="20" t="n">
        <v>-38.565</v>
      </c>
      <c r="I275" s="20" t="n">
        <v>13.917</v>
      </c>
      <c r="K275" s="20" t="n">
        <v>208.591</v>
      </c>
      <c r="M275" s="20" t="n">
        <v>-159.558</v>
      </c>
      <c r="O275" s="20" t="n">
        <v>7.939</v>
      </c>
      <c r="P275" s="20" t="n">
        <v>27.422</v>
      </c>
      <c r="Q275" s="20" t="n">
        <v>20.001</v>
      </c>
      <c r="R275" s="20" t="n">
        <v>25.888</v>
      </c>
      <c r="S275" s="20" t="n">
        <v>-16.398</v>
      </c>
      <c r="T275" s="20" t="n">
        <v>27.98</v>
      </c>
      <c r="U275" s="20" t="n">
        <v>27.677</v>
      </c>
      <c r="V275" s="20" t="n">
        <v>74.126</v>
      </c>
      <c r="W275" s="20" t="n">
        <v>-38.565</v>
      </c>
      <c r="X275" s="20" t="n">
        <v>208.591</v>
      </c>
    </row>
    <row r="276">
      <c r="A276" s="18" t="inlineStr">
        <is>
          <t>미지급비용 증감</t>
        </is>
      </c>
      <c r="C276" s="20" t="n">
        <v>157.76</v>
      </c>
      <c r="E276" s="20" t="n">
        <v>-68.203</v>
      </c>
      <c r="G276" s="20" t="n">
        <v>-43.948</v>
      </c>
      <c r="I276" s="20" t="n">
        <v>67.111</v>
      </c>
      <c r="K276" s="20" t="n">
        <v>114.254</v>
      </c>
      <c r="M276" s="20" t="n">
        <v>13.749</v>
      </c>
      <c r="O276" s="20" t="n">
        <v>3.807</v>
      </c>
      <c r="P276" s="20" t="n">
        <v>73.27500000000001</v>
      </c>
      <c r="Q276" s="20" t="n">
        <v>106.964</v>
      </c>
      <c r="R276" s="20" t="n">
        <v>112.442</v>
      </c>
      <c r="S276" s="20" t="n">
        <v>-80.67700000000001</v>
      </c>
      <c r="T276" s="20" t="n">
        <v>110.937</v>
      </c>
      <c r="U276" s="20" t="n">
        <v>-38.407</v>
      </c>
      <c r="V276" s="20" t="n">
        <v>157.76</v>
      </c>
      <c r="W276" s="20" t="n">
        <v>-43.948</v>
      </c>
      <c r="X276" s="20" t="n">
        <v>114.254</v>
      </c>
    </row>
    <row r="277">
      <c r="A277" s="18" t="inlineStr">
        <is>
          <t>예수금 증감</t>
        </is>
      </c>
      <c r="C277" s="20" t="n">
        <v>-9.199</v>
      </c>
      <c r="E277" s="20" t="n">
        <v>23.343</v>
      </c>
      <c r="G277" s="20" t="n">
        <v>82.498</v>
      </c>
      <c r="I277" s="20" t="n">
        <v>69.458</v>
      </c>
      <c r="K277" s="20" t="n">
        <v>162.389</v>
      </c>
      <c r="M277" s="20" t="n">
        <v>84.41800000000001</v>
      </c>
      <c r="O277" s="20" t="n">
        <v>0.786</v>
      </c>
      <c r="P277" s="20" t="n">
        <v>2.256</v>
      </c>
      <c r="V277" s="20" t="n">
        <v>-9.199</v>
      </c>
      <c r="W277" s="20" t="n">
        <v>82.498</v>
      </c>
      <c r="X277" s="20" t="n">
        <v>162.389</v>
      </c>
    </row>
    <row r="278">
      <c r="A278" s="18" t="inlineStr">
        <is>
          <t>미수 소비세 증감</t>
        </is>
      </c>
      <c r="C278" s="20" t="n">
        <v>8.709</v>
      </c>
      <c r="E278" s="20" t="n">
        <v>0.5</v>
      </c>
      <c r="G278" s="20" t="n">
        <v>0.493</v>
      </c>
      <c r="I278" s="20" t="n">
        <v>-89.208</v>
      </c>
      <c r="K278" s="20" t="n">
        <v>-14.072</v>
      </c>
      <c r="M278" s="20" t="n">
        <v>-34.465</v>
      </c>
      <c r="S278" s="20" t="n">
        <v>14.926</v>
      </c>
      <c r="T278" s="20" t="n">
        <v>-175.082</v>
      </c>
      <c r="U278" s="20" t="n">
        <v>242.857</v>
      </c>
      <c r="V278" s="20" t="n">
        <v>8.709</v>
      </c>
      <c r="W278" s="20" t="n">
        <v>0.493</v>
      </c>
      <c r="X278" s="20" t="n">
        <v>-14.072</v>
      </c>
    </row>
    <row r="279">
      <c r="A279" s="18" t="inlineStr">
        <is>
          <t>미지급 소비세 증감</t>
        </is>
      </c>
      <c r="C279" s="20" t="n">
        <v>-158.669</v>
      </c>
      <c r="E279" s="20" t="n">
        <v>-117.823</v>
      </c>
      <c r="G279" s="20" t="n">
        <v>-82.744</v>
      </c>
      <c r="I279" s="20" t="n">
        <v>137.037</v>
      </c>
      <c r="K279" s="20" t="n">
        <v>159.646</v>
      </c>
      <c r="M279" s="20" t="n">
        <v>59.638</v>
      </c>
      <c r="O279" s="20" t="n">
        <v>5.13</v>
      </c>
      <c r="P279" s="20" t="n">
        <v>8.090999999999999</v>
      </c>
      <c r="Q279" s="20" t="n">
        <v>34.409</v>
      </c>
      <c r="R279" s="20" t="n">
        <v>62.408</v>
      </c>
      <c r="S279" s="20" t="n">
        <v>-85.964</v>
      </c>
      <c r="T279" s="20" t="n">
        <v>-62.9</v>
      </c>
      <c r="U279" s="20" t="n">
        <v>361.188</v>
      </c>
      <c r="V279" s="20" t="n">
        <v>-158.669</v>
      </c>
      <c r="W279" s="20" t="n">
        <v>-82.744</v>
      </c>
      <c r="X279" s="20" t="n">
        <v>159.646</v>
      </c>
    </row>
    <row r="280">
      <c r="A280" s="18" t="inlineStr">
        <is>
          <t>예수보증금 증감액</t>
        </is>
      </c>
      <c r="C280" s="20" t="n">
        <v>58.209</v>
      </c>
      <c r="E280" s="20" t="n">
        <v>6</v>
      </c>
      <c r="G280" s="20" t="n">
        <v>23.92</v>
      </c>
      <c r="I280" s="20" t="n">
        <v>14</v>
      </c>
      <c r="K280" s="20" t="n">
        <v>31</v>
      </c>
      <c r="M280" s="20" t="n">
        <v>13.8</v>
      </c>
      <c r="O280" s="20" t="n">
        <v>24</v>
      </c>
      <c r="P280" s="20" t="n">
        <v>16</v>
      </c>
      <c r="Q280" s="20" t="n">
        <v>49</v>
      </c>
      <c r="R280" s="20" t="n">
        <v>80</v>
      </c>
      <c r="S280" s="20" t="n">
        <v>21</v>
      </c>
      <c r="T280" s="20" t="n">
        <v>9</v>
      </c>
      <c r="U280" s="20" t="n">
        <v>12</v>
      </c>
      <c r="V280" s="20" t="n">
        <v>58.209</v>
      </c>
      <c r="W280" s="20" t="n">
        <v>23.92</v>
      </c>
      <c r="X280" s="20" t="n">
        <v>31</v>
      </c>
    </row>
    <row r="281">
      <c r="A281" s="18" t="inlineStr">
        <is>
          <t>선수수익 증감</t>
        </is>
      </c>
      <c r="C281" s="20" t="n">
        <v>10.924</v>
      </c>
      <c r="I281" s="20" t="n">
        <v>21.152</v>
      </c>
      <c r="M281" s="20" t="n">
        <v>142.13</v>
      </c>
      <c r="O281" s="20" t="n">
        <v>-20.458</v>
      </c>
      <c r="P281" s="20" t="n">
        <v>6.362</v>
      </c>
      <c r="U281" s="20" t="n">
        <v>-17.28</v>
      </c>
      <c r="V281" s="20" t="n">
        <v>10.924</v>
      </c>
    </row>
    <row r="282">
      <c r="A282" s="18" t="inlineStr">
        <is>
          <t>기타</t>
        </is>
      </c>
      <c r="C282" s="20" t="n">
        <v>-51.783</v>
      </c>
      <c r="E282" s="20" t="n">
        <v>-25.267</v>
      </c>
      <c r="G282" s="20" t="n">
        <v>44.222</v>
      </c>
      <c r="I282" s="20" t="n">
        <v>-2.937</v>
      </c>
      <c r="K282" s="20" t="n">
        <v>10.522</v>
      </c>
      <c r="M282" s="20" t="n">
        <v>137.499</v>
      </c>
      <c r="O282" s="20" t="n">
        <v>6.748</v>
      </c>
      <c r="P282" s="20" t="n">
        <v>5.512</v>
      </c>
      <c r="Q282" s="20" t="n">
        <v>-6.858</v>
      </c>
      <c r="R282" s="20" t="n">
        <v>-14.948</v>
      </c>
      <c r="S282" s="20" t="n">
        <v>-45.153</v>
      </c>
      <c r="T282" s="20" t="n">
        <v>-29.938</v>
      </c>
      <c r="U282" s="20" t="n">
        <v>47.751</v>
      </c>
      <c r="V282" s="20" t="n">
        <v>-51.783</v>
      </c>
      <c r="W282" s="20" t="n">
        <v>44.222</v>
      </c>
      <c r="X282" s="20" t="n">
        <v>10.522</v>
      </c>
    </row>
    <row r="283">
      <c r="A283" s="18" t="inlineStr">
        <is>
          <t>소계</t>
        </is>
      </c>
      <c r="C283" s="20" t="n">
        <v>1458.898</v>
      </c>
      <c r="E283" s="20" t="n">
        <v>152.504</v>
      </c>
      <c r="G283" s="20" t="n">
        <v>996.366</v>
      </c>
      <c r="I283" s="20" t="n">
        <v>994.423</v>
      </c>
      <c r="K283" s="20" t="n">
        <v>2491.012</v>
      </c>
      <c r="M283" s="20" t="n">
        <v>1428.452</v>
      </c>
      <c r="O283" s="20" t="n">
        <v>576.21</v>
      </c>
      <c r="P283" s="20" t="n">
        <v>811.48</v>
      </c>
      <c r="Q283" s="20" t="n">
        <v>1020.852</v>
      </c>
      <c r="R283" s="20" t="n">
        <v>1334.611</v>
      </c>
      <c r="S283" s="20" t="n">
        <v>235.203</v>
      </c>
      <c r="T283" s="20" t="n">
        <v>-2271.673</v>
      </c>
      <c r="U283" s="20" t="n">
        <v>1131.216</v>
      </c>
      <c r="V283" s="20" t="n">
        <v>1458.898</v>
      </c>
      <c r="W283" s="20" t="n">
        <v>996.366</v>
      </c>
      <c r="X283" s="20" t="n">
        <v>2491.012</v>
      </c>
    </row>
    <row r="284">
      <c r="A284" s="18" t="inlineStr">
        <is>
          <t>이자·배당금 수취</t>
        </is>
      </c>
      <c r="C284" s="20" t="n">
        <v>0.011</v>
      </c>
      <c r="E284" s="20" t="n">
        <v>0.157</v>
      </c>
      <c r="G284" s="20" t="n">
        <v>0.157</v>
      </c>
      <c r="I284" s="20" t="n">
        <v>0.187</v>
      </c>
      <c r="K284" s="20" t="n">
        <v>0.776</v>
      </c>
      <c r="M284" s="20" t="n">
        <v>1.855</v>
      </c>
      <c r="O284" s="20" t="n">
        <v>0.128</v>
      </c>
      <c r="P284" s="20" t="n">
        <v>7.321</v>
      </c>
      <c r="Q284" s="20" t="n">
        <v>11.628</v>
      </c>
      <c r="R284" s="20" t="n">
        <v>11.408</v>
      </c>
      <c r="S284" s="20" t="n">
        <v>11.374</v>
      </c>
      <c r="T284" s="20" t="n">
        <v>11.37</v>
      </c>
      <c r="U284" s="20" t="n">
        <v>5.695</v>
      </c>
      <c r="V284" s="20" t="n">
        <v>0.011</v>
      </c>
      <c r="W284" s="20" t="n">
        <v>0.157</v>
      </c>
      <c r="X284" s="20" t="n">
        <v>0.776</v>
      </c>
    </row>
    <row r="285">
      <c r="A285" s="18" t="inlineStr">
        <is>
          <t>이자 지급</t>
        </is>
      </c>
      <c r="C285" s="20" t="n">
        <v>-12.994</v>
      </c>
      <c r="E285" s="20" t="n">
        <v>-7.287</v>
      </c>
      <c r="G285" s="20" t="n">
        <v>-16.136</v>
      </c>
      <c r="I285" s="20" t="n">
        <v>-11.478</v>
      </c>
      <c r="K285" s="20" t="n">
        <v>-22.232</v>
      </c>
      <c r="M285" s="20" t="n">
        <v>-105.177</v>
      </c>
      <c r="O285" s="20" t="n">
        <v>-11.118</v>
      </c>
      <c r="P285" s="20" t="n">
        <v>-7.566</v>
      </c>
      <c r="Q285" s="20" t="n">
        <v>-3.899</v>
      </c>
      <c r="R285" s="20" t="n">
        <v>-3.253</v>
      </c>
      <c r="S285" s="20" t="n">
        <v>-11.539</v>
      </c>
      <c r="T285" s="20" t="n">
        <v>-15.919</v>
      </c>
      <c r="U285" s="20" t="n">
        <v>-18.076</v>
      </c>
      <c r="V285" s="20" t="n">
        <v>-12.994</v>
      </c>
      <c r="W285" s="20" t="n">
        <v>-16.136</v>
      </c>
      <c r="X285" s="20" t="n">
        <v>-22.232</v>
      </c>
    </row>
    <row r="286">
      <c r="A286" s="18" t="inlineStr">
        <is>
          <t>차입금 조기상환 비용 지급액</t>
        </is>
      </c>
      <c r="Q286" s="20" t="n">
        <v>-2.489</v>
      </c>
      <c r="R286" s="20" t="n">
        <v>0</v>
      </c>
    </row>
    <row r="287">
      <c r="A287" s="18" t="inlineStr">
        <is>
          <t>점포 폐쇄 관련 지급액</t>
        </is>
      </c>
      <c r="C287" s="20" t="n">
        <v>-29.099</v>
      </c>
      <c r="E287" s="20" t="n">
        <v>-2.748</v>
      </c>
      <c r="G287" s="20" t="n">
        <v>-2.748</v>
      </c>
      <c r="I287" s="20" t="n">
        <v>-9.709</v>
      </c>
      <c r="K287" s="20" t="n">
        <v>-9.709</v>
      </c>
      <c r="M287" s="20" t="n">
        <v>-6.431</v>
      </c>
      <c r="R287" s="20" t="n">
        <v>0</v>
      </c>
      <c r="S287" s="20" t="n">
        <v>-31.285</v>
      </c>
      <c r="T287" s="20" t="n">
        <v>0</v>
      </c>
      <c r="U287" s="20" t="n">
        <v>0</v>
      </c>
      <c r="V287" s="20" t="n">
        <v>-29.099</v>
      </c>
      <c r="W287" s="20" t="n">
        <v>-2.748</v>
      </c>
      <c r="X287" s="20" t="n">
        <v>-9.709</v>
      </c>
    </row>
    <row r="288">
      <c r="A288" s="18" t="inlineStr">
        <is>
          <t>법인세 환급</t>
        </is>
      </c>
      <c r="C288" s="20" t="n">
        <v>0</v>
      </c>
      <c r="E288" s="20" t="n">
        <v>26.679</v>
      </c>
      <c r="G288" s="20" t="n">
        <v>27.185</v>
      </c>
      <c r="I288" s="20" t="n">
        <v>0</v>
      </c>
      <c r="K288" s="20" t="n">
        <v>0.394</v>
      </c>
      <c r="M288" s="20" t="n">
        <v>33.453</v>
      </c>
      <c r="S288" s="20" t="n">
        <v>0</v>
      </c>
      <c r="T288" s="20" t="n">
        <v>107.245</v>
      </c>
      <c r="U288" s="20" t="n">
        <v>0.746</v>
      </c>
      <c r="V288" s="20" t="n">
        <v>0</v>
      </c>
      <c r="W288" s="20" t="n">
        <v>27.185</v>
      </c>
      <c r="X288" s="20" t="n">
        <v>0.394</v>
      </c>
    </row>
    <row r="289">
      <c r="A289" s="18" t="inlineStr">
        <is>
          <t>법인세 납부</t>
        </is>
      </c>
      <c r="C289" s="20" t="n">
        <v>-597.867</v>
      </c>
      <c r="E289" s="20" t="n">
        <v>-136.291</v>
      </c>
      <c r="G289" s="20" t="n">
        <v>-290.319</v>
      </c>
      <c r="I289" s="20" t="n">
        <v>-234.17</v>
      </c>
      <c r="K289" s="20" t="n">
        <v>-430.761</v>
      </c>
      <c r="M289" s="20" t="n">
        <v>-254.986</v>
      </c>
      <c r="O289" s="20" t="n">
        <v>-73.05</v>
      </c>
      <c r="P289" s="20" t="n">
        <v>-169.305</v>
      </c>
      <c r="Q289" s="20" t="n">
        <v>-220.208</v>
      </c>
      <c r="R289" s="20" t="n">
        <v>-290.401</v>
      </c>
      <c r="S289" s="20" t="n">
        <v>-245.284</v>
      </c>
      <c r="T289" s="20" t="n">
        <v>-7.427</v>
      </c>
      <c r="U289" s="20" t="n">
        <v>-13.56</v>
      </c>
      <c r="V289" s="20" t="n">
        <v>-597.867</v>
      </c>
      <c r="W289" s="20" t="n">
        <v>-290.319</v>
      </c>
      <c r="X289" s="20" t="n">
        <v>-430.761</v>
      </c>
    </row>
    <row r="290">
      <c r="A290" s="18" t="inlineStr">
        <is>
          <t>보상금 수취</t>
        </is>
      </c>
      <c r="Q290" s="20" t="n">
        <v>26.488</v>
      </c>
      <c r="R290" s="20" t="n">
        <v>0</v>
      </c>
    </row>
    <row r="291">
      <c r="A291" s="18" t="inlineStr">
        <is>
          <t>고용조정 조성금 수령액</t>
        </is>
      </c>
      <c r="R291" s="20" t="n">
        <v>0</v>
      </c>
      <c r="S291" s="20" t="n">
        <v>188.13</v>
      </c>
    </row>
    <row r="292">
      <c r="A292" s="18" t="inlineStr">
        <is>
          <t>보조금 수취</t>
        </is>
      </c>
      <c r="C292" s="20" t="n">
        <v>41.452</v>
      </c>
      <c r="G292" s="20" t="n">
        <v>0</v>
      </c>
      <c r="S292" s="20" t="n">
        <v>188.13</v>
      </c>
      <c r="T292" s="20" t="n">
        <v>1953.835</v>
      </c>
      <c r="U292" s="20" t="n">
        <v>1494.067</v>
      </c>
      <c r="V292" s="20" t="n">
        <v>41.452</v>
      </c>
      <c r="W292" s="20" t="n">
        <v>0</v>
      </c>
    </row>
    <row r="293">
      <c r="A293" s="18" t="inlineStr">
        <is>
          <t>임원 퇴직위로금 지급액</t>
        </is>
      </c>
      <c r="E293" s="20" t="n">
        <v>0</v>
      </c>
      <c r="G293" s="20" t="n">
        <v>0</v>
      </c>
      <c r="I293" s="20" t="n">
        <v>-60</v>
      </c>
      <c r="K293" s="20" t="n">
        <v>-60</v>
      </c>
      <c r="M293" s="20" t="n">
        <v>0</v>
      </c>
      <c r="W293" s="20" t="n">
        <v>0</v>
      </c>
      <c r="X293" s="20" t="n">
        <v>-60</v>
      </c>
    </row>
    <row r="294">
      <c r="A294" s="18" t="inlineStr">
        <is>
          <t>보험 해약환급금 수취</t>
        </is>
      </c>
      <c r="G294" s="20" t="n">
        <v>0</v>
      </c>
      <c r="K294" s="20" t="n">
        <v>40.429</v>
      </c>
      <c r="W294" s="20" t="n">
        <v>0</v>
      </c>
      <c r="X294" s="20" t="n">
        <v>40.429</v>
      </c>
    </row>
    <row r="295">
      <c r="A295" s="18" t="inlineStr">
        <is>
          <t>보험 해약환급금 수취</t>
        </is>
      </c>
      <c r="E295" s="20" t="n">
        <v>0</v>
      </c>
      <c r="I295" s="20" t="n">
        <v>40.429</v>
      </c>
      <c r="M295" s="20" t="n">
        <v>0</v>
      </c>
    </row>
    <row r="296">
      <c r="A296" s="9" t="inlineStr">
        <is>
          <t>영업활동 현금흐름</t>
        </is>
      </c>
      <c r="C296" s="12" t="n">
        <v>860.4</v>
      </c>
      <c r="E296" s="12" t="n">
        <v>33.013</v>
      </c>
      <c r="G296" s="12" t="n">
        <v>714.503</v>
      </c>
      <c r="I296" s="12" t="n">
        <v>719.682</v>
      </c>
      <c r="K296" s="12" t="n">
        <v>2009.91</v>
      </c>
      <c r="M296" s="12" t="n">
        <v>1097.166</v>
      </c>
      <c r="O296" s="12" t="n">
        <v>492.169</v>
      </c>
      <c r="P296" s="12" t="n">
        <v>641.9299999999999</v>
      </c>
      <c r="Q296" s="12" t="n">
        <v>832.371</v>
      </c>
      <c r="R296" s="12" t="n">
        <v>1052.365</v>
      </c>
      <c r="S296" s="12" t="n">
        <v>177.883</v>
      </c>
      <c r="T296" s="12" t="n">
        <v>-222.569</v>
      </c>
      <c r="U296" s="12" t="n">
        <v>2600.09</v>
      </c>
      <c r="V296" s="12" t="n">
        <v>860.4</v>
      </c>
      <c r="W296" s="12" t="n">
        <v>714.503</v>
      </c>
      <c r="X296" s="12" t="n">
        <v>2009.91</v>
      </c>
    </row>
    <row r="297">
      <c r="A297" s="18" t="inlineStr">
        <is>
          <t>투자유가증권 매각</t>
        </is>
      </c>
      <c r="C297" s="20" t="n">
        <v>0</v>
      </c>
      <c r="T297" s="20" t="n">
        <v>0</v>
      </c>
      <c r="U297" s="20" t="n">
        <v>400</v>
      </c>
      <c r="V297" s="20" t="n">
        <v>0</v>
      </c>
    </row>
    <row r="298">
      <c r="A298" s="18" t="inlineStr">
        <is>
          <t>유형자산 취득(설비투자)</t>
        </is>
      </c>
      <c r="C298" s="20" t="n">
        <v>-507.276</v>
      </c>
      <c r="E298" s="20" t="n">
        <v>-671.303</v>
      </c>
      <c r="G298" s="20" t="n">
        <v>-1100.063</v>
      </c>
      <c r="I298" s="20" t="n">
        <v>-203.097</v>
      </c>
      <c r="K298" s="20" t="n">
        <v>-822.288</v>
      </c>
      <c r="M298" s="20" t="n">
        <v>-1057.409</v>
      </c>
      <c r="O298" s="20" t="n">
        <v>-320.39</v>
      </c>
      <c r="P298" s="20" t="n">
        <v>-496.517</v>
      </c>
      <c r="Q298" s="20" t="n">
        <v>-660.58</v>
      </c>
      <c r="R298" s="20" t="n">
        <v>-731.803</v>
      </c>
      <c r="S298" s="20" t="n">
        <v>-612.912</v>
      </c>
      <c r="T298" s="20" t="n">
        <v>-835.898</v>
      </c>
      <c r="U298" s="20" t="n">
        <v>-547.106</v>
      </c>
      <c r="V298" s="20" t="n">
        <v>-507.276</v>
      </c>
      <c r="W298" s="20" t="n">
        <v>-1100.063</v>
      </c>
      <c r="X298" s="20" t="n">
        <v>-822.288</v>
      </c>
    </row>
    <row r="299">
      <c r="A299" s="18" t="inlineStr">
        <is>
          <t>유형자산 매각</t>
        </is>
      </c>
      <c r="C299" s="20" t="n">
        <v>0.833</v>
      </c>
      <c r="E299" s="20" t="n">
        <v>0.792</v>
      </c>
      <c r="G299" s="20" t="n">
        <v>0.792</v>
      </c>
      <c r="I299" s="20" t="n">
        <v>13.87</v>
      </c>
      <c r="K299" s="20" t="n">
        <v>16.667</v>
      </c>
      <c r="M299" s="20" t="n">
        <v>0.5669999999999999</v>
      </c>
      <c r="O299" s="20" t="n">
        <v>2.793</v>
      </c>
      <c r="P299" s="20" t="n">
        <v>0</v>
      </c>
      <c r="Q299" s="20" t="n">
        <v>0</v>
      </c>
      <c r="R299" s="20" t="n">
        <v>4.626</v>
      </c>
      <c r="S299" s="20" t="n">
        <v>0</v>
      </c>
      <c r="T299" s="20" t="n">
        <v>0</v>
      </c>
      <c r="U299" s="20" t="n">
        <v>2.05</v>
      </c>
      <c r="V299" s="20" t="n">
        <v>0.833</v>
      </c>
      <c r="W299" s="20" t="n">
        <v>0.792</v>
      </c>
      <c r="X299" s="20" t="n">
        <v>16.667</v>
      </c>
    </row>
    <row r="300">
      <c r="A300" s="18" t="inlineStr">
        <is>
          <t>투자부동산 매각</t>
        </is>
      </c>
      <c r="Q300" s="20" t="n">
        <v>330</v>
      </c>
      <c r="R300" s="20" t="n">
        <v>0</v>
      </c>
    </row>
    <row r="301">
      <c r="A301" s="18" t="inlineStr">
        <is>
          <t>자산복구부채 이행 지출</t>
        </is>
      </c>
      <c r="C301" s="20" t="n">
        <v>-31.796</v>
      </c>
      <c r="E301" s="20" t="n">
        <v>-4.59</v>
      </c>
      <c r="G301" s="20" t="n">
        <v>-4.59</v>
      </c>
      <c r="I301" s="20" t="n">
        <v>-2.74</v>
      </c>
      <c r="K301" s="20" t="n">
        <v>-13.71</v>
      </c>
      <c r="M301" s="20" t="n">
        <v>-6.71</v>
      </c>
      <c r="R301" s="20" t="n">
        <v>0</v>
      </c>
      <c r="S301" s="20" t="n">
        <v>-30.504</v>
      </c>
      <c r="T301" s="20" t="n">
        <v>-0.908</v>
      </c>
      <c r="U301" s="20" t="n">
        <v>-4.21</v>
      </c>
      <c r="V301" s="20" t="n">
        <v>-31.796</v>
      </c>
      <c r="W301" s="20" t="n">
        <v>-4.59</v>
      </c>
      <c r="X301" s="20" t="n">
        <v>-13.71</v>
      </c>
    </row>
    <row r="302">
      <c r="A302" s="18" t="inlineStr">
        <is>
          <t>관계회사 주식 매각</t>
        </is>
      </c>
      <c r="C302" s="20" t="n">
        <v>8</v>
      </c>
      <c r="G302" s="20" t="n">
        <v>0</v>
      </c>
      <c r="U302" s="20" t="n">
        <v>0</v>
      </c>
      <c r="V302" s="20" t="n">
        <v>8</v>
      </c>
      <c r="W302" s="20" t="n">
        <v>0</v>
      </c>
    </row>
    <row r="303">
      <c r="A303" s="18" t="inlineStr">
        <is>
          <t>무형자산 취득</t>
        </is>
      </c>
      <c r="C303" s="20" t="n">
        <v>-10.431</v>
      </c>
      <c r="E303" s="20" t="n">
        <v>-1.7</v>
      </c>
      <c r="G303" s="20" t="n">
        <v>-3.2</v>
      </c>
      <c r="I303" s="20" t="n">
        <v>-5</v>
      </c>
      <c r="K303" s="20" t="n">
        <v>-10.95</v>
      </c>
      <c r="M303" s="20" t="n">
        <v>-31.858</v>
      </c>
      <c r="O303" s="20" t="n">
        <v>-3.24</v>
      </c>
      <c r="P303" s="20" t="n">
        <v>-2.223</v>
      </c>
      <c r="Q303" s="20" t="n">
        <v>-0.58</v>
      </c>
      <c r="R303" s="20" t="n">
        <v>-5.048</v>
      </c>
      <c r="S303" s="20" t="n">
        <v>-1.468</v>
      </c>
      <c r="T303" s="20" t="n">
        <v>-8.199999999999999</v>
      </c>
      <c r="U303" s="20" t="n">
        <v>-0.3</v>
      </c>
      <c r="V303" s="20" t="n">
        <v>-10.431</v>
      </c>
      <c r="W303" s="20" t="n">
        <v>-3.2</v>
      </c>
      <c r="X303" s="20" t="n">
        <v>-10.95</v>
      </c>
    </row>
    <row r="304">
      <c r="A304" s="18" t="inlineStr">
        <is>
          <t>고정자산 제각 지출</t>
        </is>
      </c>
      <c r="C304" s="20" t="n">
        <v>-0.076</v>
      </c>
      <c r="G304" s="20" t="n">
        <v>0</v>
      </c>
      <c r="U304" s="20" t="n">
        <v>0</v>
      </c>
      <c r="V304" s="20" t="n">
        <v>-0.076</v>
      </c>
      <c r="W304" s="20" t="n">
        <v>0</v>
      </c>
    </row>
    <row r="305">
      <c r="A305" s="18" t="inlineStr">
        <is>
          <t>대여</t>
        </is>
      </c>
      <c r="C305" s="20" t="n">
        <v>-159.44</v>
      </c>
      <c r="E305" s="20" t="n">
        <v>-88.727</v>
      </c>
      <c r="G305" s="20" t="n">
        <v>-88.727</v>
      </c>
      <c r="I305" s="20" t="n">
        <v>-15.75</v>
      </c>
      <c r="K305" s="20" t="n">
        <v>-106.675</v>
      </c>
      <c r="M305" s="20" t="n">
        <v>-39.262</v>
      </c>
      <c r="O305" s="20" t="n">
        <v>-17.604</v>
      </c>
      <c r="P305" s="20" t="n">
        <v>0</v>
      </c>
      <c r="S305" s="20" t="n">
        <v>0</v>
      </c>
      <c r="T305" s="20" t="n">
        <v>-3.32</v>
      </c>
      <c r="U305" s="20" t="n">
        <v>-222.945</v>
      </c>
      <c r="V305" s="20" t="n">
        <v>-159.44</v>
      </c>
      <c r="W305" s="20" t="n">
        <v>-88.727</v>
      </c>
      <c r="X305" s="20" t="n">
        <v>-106.675</v>
      </c>
    </row>
    <row r="306">
      <c r="A306" s="18" t="inlineStr">
        <is>
          <t>대여금 회수</t>
        </is>
      </c>
      <c r="C306" s="20" t="n">
        <v>0</v>
      </c>
      <c r="E306" s="20" t="n">
        <v>15.016</v>
      </c>
      <c r="G306" s="20" t="n">
        <v>15.016</v>
      </c>
      <c r="I306" s="20" t="n">
        <v>0</v>
      </c>
      <c r="K306" s="20" t="n">
        <v>0</v>
      </c>
      <c r="O306" s="20" t="n">
        <v>10.544</v>
      </c>
      <c r="P306" s="20" t="n">
        <v>7.344</v>
      </c>
      <c r="Q306" s="20" t="n">
        <v>7.344</v>
      </c>
      <c r="R306" s="20" t="n">
        <v>7.344</v>
      </c>
      <c r="S306" s="20" t="n">
        <v>6.732</v>
      </c>
      <c r="T306" s="20" t="n">
        <v>0</v>
      </c>
      <c r="V306" s="20" t="n">
        <v>0</v>
      </c>
      <c r="W306" s="20" t="n">
        <v>15.016</v>
      </c>
      <c r="X306" s="20" t="n">
        <v>0</v>
      </c>
    </row>
    <row r="307">
      <c r="A307" s="18" t="inlineStr">
        <is>
          <t>장기선급비용 지출</t>
        </is>
      </c>
      <c r="C307" s="20" t="n">
        <v>-31.257</v>
      </c>
      <c r="E307" s="20" t="n">
        <v>-10.237</v>
      </c>
      <c r="G307" s="20" t="n">
        <v>-24.676</v>
      </c>
      <c r="I307" s="20" t="n">
        <v>-16.549</v>
      </c>
      <c r="K307" s="20" t="n">
        <v>-30.094</v>
      </c>
      <c r="M307" s="20" t="n">
        <v>-17.816</v>
      </c>
      <c r="O307" s="20" t="n">
        <v>-23.935</v>
      </c>
      <c r="P307" s="20" t="n">
        <v>-17.333</v>
      </c>
      <c r="Q307" s="20" t="n">
        <v>-28.229</v>
      </c>
      <c r="R307" s="20" t="n">
        <v>-22.332</v>
      </c>
      <c r="S307" s="20" t="n">
        <v>-17.922</v>
      </c>
      <c r="T307" s="20" t="n">
        <v>-13.764</v>
      </c>
      <c r="U307" s="20" t="n">
        <v>-13.792</v>
      </c>
      <c r="V307" s="20" t="n">
        <v>-31.257</v>
      </c>
      <c r="W307" s="20" t="n">
        <v>-24.676</v>
      </c>
      <c r="X307" s="20" t="n">
        <v>-30.094</v>
      </c>
    </row>
    <row r="308">
      <c r="A308" s="18" t="inlineStr">
        <is>
          <t>보증금 납입</t>
        </is>
      </c>
      <c r="C308" s="20" t="n">
        <v>-100.536</v>
      </c>
      <c r="E308" s="20" t="n">
        <v>-84.61799999999999</v>
      </c>
      <c r="G308" s="20" t="n">
        <v>-128.326</v>
      </c>
      <c r="I308" s="20" t="n">
        <v>-44.079</v>
      </c>
      <c r="K308" s="20" t="n">
        <v>-129.84</v>
      </c>
      <c r="M308" s="20" t="n">
        <v>-85.768</v>
      </c>
      <c r="O308" s="20" t="n">
        <v>-70.032</v>
      </c>
      <c r="P308" s="20" t="n">
        <v>-94.161</v>
      </c>
      <c r="Q308" s="20" t="n">
        <v>-158.668</v>
      </c>
      <c r="R308" s="20" t="n">
        <v>-147.523</v>
      </c>
      <c r="S308" s="20" t="n">
        <v>-108.595</v>
      </c>
      <c r="T308" s="20" t="n">
        <v>-149.549</v>
      </c>
      <c r="U308" s="20" t="n">
        <v>-33.293</v>
      </c>
      <c r="V308" s="20" t="n">
        <v>-100.536</v>
      </c>
      <c r="W308" s="20" t="n">
        <v>-128.326</v>
      </c>
      <c r="X308" s="20" t="n">
        <v>-129.84</v>
      </c>
    </row>
    <row r="309">
      <c r="A309" s="18" t="inlineStr">
        <is>
          <t>보증금 회수</t>
        </is>
      </c>
      <c r="C309" s="20" t="n">
        <v>64.812</v>
      </c>
      <c r="E309" s="20" t="n">
        <v>7.232</v>
      </c>
      <c r="G309" s="20" t="n">
        <v>17.495</v>
      </c>
      <c r="I309" s="20" t="n">
        <v>13.597</v>
      </c>
      <c r="K309" s="20" t="n">
        <v>75.55500000000001</v>
      </c>
      <c r="M309" s="20" t="n">
        <v>19.94</v>
      </c>
      <c r="O309" s="20" t="n">
        <v>0.021</v>
      </c>
      <c r="P309" s="20" t="n">
        <v>0.14</v>
      </c>
      <c r="Q309" s="20" t="n">
        <v>9.654999999999999</v>
      </c>
      <c r="R309" s="20" t="n">
        <v>10.798</v>
      </c>
      <c r="S309" s="20" t="n">
        <v>75.726</v>
      </c>
      <c r="T309" s="20" t="n">
        <v>6.284</v>
      </c>
      <c r="U309" s="20" t="n">
        <v>7.232</v>
      </c>
      <c r="V309" s="20" t="n">
        <v>64.812</v>
      </c>
      <c r="W309" s="20" t="n">
        <v>17.495</v>
      </c>
      <c r="X309" s="20" t="n">
        <v>75.55500000000001</v>
      </c>
    </row>
    <row r="310">
      <c r="A310" s="18" t="inlineStr">
        <is>
          <t>투자부동산 임대 수입</t>
        </is>
      </c>
      <c r="O310" s="20" t="n">
        <v>22.248</v>
      </c>
      <c r="P310" s="20" t="n">
        <v>22.713</v>
      </c>
      <c r="Q310" s="20" t="n">
        <v>3.541</v>
      </c>
      <c r="R310" s="20" t="n">
        <v>0</v>
      </c>
    </row>
    <row r="311">
      <c r="A311" s="18" t="inlineStr">
        <is>
          <t>투자부동산 임대 지출</t>
        </is>
      </c>
      <c r="O311" s="20" t="n">
        <v>-3.758</v>
      </c>
      <c r="P311" s="20" t="n">
        <v>-4.962</v>
      </c>
      <c r="Q311" s="20" t="n">
        <v>-2.234</v>
      </c>
      <c r="R311" s="20" t="n">
        <v>0</v>
      </c>
    </row>
    <row r="312">
      <c r="A312" s="18" t="inlineStr">
        <is>
          <t>정기예금 예입</t>
        </is>
      </c>
      <c r="I312" s="20" t="n">
        <v>0</v>
      </c>
      <c r="M312" s="20" t="n">
        <v>-12</v>
      </c>
      <c r="O312" s="20" t="n">
        <v>-50.008</v>
      </c>
      <c r="P312" s="20" t="n">
        <v>-150.101</v>
      </c>
      <c r="Q312" s="20" t="n">
        <v>-150.268</v>
      </c>
      <c r="R312" s="20" t="n">
        <v>-20.015</v>
      </c>
      <c r="S312" s="20" t="n">
        <v>-20.017</v>
      </c>
      <c r="T312" s="20" t="n">
        <v>0</v>
      </c>
    </row>
    <row r="313">
      <c r="A313" s="18" t="inlineStr">
        <is>
          <t>투자유가증권 취득</t>
        </is>
      </c>
      <c r="O313" s="20" t="n">
        <v>0</v>
      </c>
      <c r="P313" s="20" t="n">
        <v>-445.608</v>
      </c>
    </row>
    <row r="314">
      <c r="A314" s="18" t="inlineStr">
        <is>
          <t>정기예금 인출</t>
        </is>
      </c>
      <c r="I314" s="20" t="n">
        <v>0</v>
      </c>
      <c r="M314" s="20" t="n">
        <v>19</v>
      </c>
      <c r="O314" s="20" t="n">
        <v>20.003</v>
      </c>
      <c r="P314" s="20" t="n">
        <v>20.008</v>
      </c>
      <c r="Q314" s="20" t="n">
        <v>210.355</v>
      </c>
      <c r="R314" s="20" t="n">
        <v>120.014</v>
      </c>
      <c r="S314" s="20" t="n">
        <v>40.033</v>
      </c>
      <c r="T314" s="20" t="n">
        <v>0</v>
      </c>
    </row>
    <row r="315">
      <c r="A315" s="18" t="inlineStr">
        <is>
          <t>관계회사 주식 취득</t>
        </is>
      </c>
      <c r="E315" s="20" t="n">
        <v>0</v>
      </c>
      <c r="G315" s="20" t="n">
        <v>0</v>
      </c>
      <c r="I315" s="20" t="n">
        <v>-48.841</v>
      </c>
      <c r="K315" s="20" t="n">
        <v>-48.841</v>
      </c>
      <c r="M315" s="20" t="n">
        <v>0</v>
      </c>
      <c r="S315" s="20" t="n">
        <v>0</v>
      </c>
      <c r="T315" s="20" t="n">
        <v>-90.863</v>
      </c>
      <c r="U315" s="20" t="n">
        <v>0</v>
      </c>
      <c r="W315" s="20" t="n">
        <v>0</v>
      </c>
      <c r="X315" s="20" t="n">
        <v>-48.841</v>
      </c>
    </row>
    <row r="316">
      <c r="A316" s="18" t="inlineStr">
        <is>
          <t>사업양도 수입</t>
        </is>
      </c>
      <c r="C316" s="20" t="n">
        <v>0</v>
      </c>
      <c r="E316" s="20" t="n">
        <v>211.262</v>
      </c>
      <c r="G316" s="20" t="n">
        <v>286.559</v>
      </c>
      <c r="I316" s="20" t="n">
        <v>0</v>
      </c>
      <c r="K316" s="20" t="n">
        <v>7.586</v>
      </c>
      <c r="M316" s="20" t="n">
        <v>109.868</v>
      </c>
      <c r="V316" s="20" t="n">
        <v>0</v>
      </c>
      <c r="W316" s="20" t="n">
        <v>286.559</v>
      </c>
      <c r="X316" s="20" t="n">
        <v>7.586</v>
      </c>
    </row>
    <row r="317">
      <c r="A317" s="18" t="inlineStr">
        <is>
          <t>개업비 지출</t>
        </is>
      </c>
      <c r="C317" s="20" t="n">
        <v>0</v>
      </c>
      <c r="G317" s="20" t="n">
        <v>-20</v>
      </c>
      <c r="K317" s="20" t="n">
        <v>0</v>
      </c>
      <c r="V317" s="20" t="n">
        <v>0</v>
      </c>
      <c r="W317" s="20" t="n">
        <v>-20</v>
      </c>
      <c r="X317" s="20" t="n">
        <v>0</v>
      </c>
    </row>
    <row r="318">
      <c r="A318" s="18" t="inlineStr">
        <is>
          <t>기타</t>
        </is>
      </c>
      <c r="C318" s="20" t="n">
        <v>-0.01</v>
      </c>
      <c r="G318" s="20" t="n">
        <v>0</v>
      </c>
      <c r="O318" s="20" t="n">
        <v>-0.01</v>
      </c>
      <c r="P318" s="20" t="n">
        <v>0.034</v>
      </c>
      <c r="Q318" s="20" t="n">
        <v>0</v>
      </c>
      <c r="R318" s="20" t="n">
        <v>-0.005</v>
      </c>
      <c r="S318" s="20" t="n">
        <v>0</v>
      </c>
      <c r="T318" s="20" t="n">
        <v>0.01</v>
      </c>
      <c r="U318" s="20" t="n">
        <v>-0.01</v>
      </c>
      <c r="V318" s="20" t="n">
        <v>-0.01</v>
      </c>
      <c r="W318" s="20" t="n">
        <v>0</v>
      </c>
    </row>
    <row r="319">
      <c r="A319" s="18" t="inlineStr">
        <is>
          <t>연결범위 변경 자회사 주식 취득</t>
        </is>
      </c>
      <c r="I319" s="20" t="n">
        <v>0</v>
      </c>
      <c r="M319" s="20" t="n">
        <v>-8417.255999999999</v>
      </c>
    </row>
    <row r="320">
      <c r="A320" s="9" t="inlineStr">
        <is>
          <t>투자활동 현금흐름</t>
        </is>
      </c>
      <c r="C320" s="12" t="n">
        <v>-767.178</v>
      </c>
      <c r="E320" s="12" t="n">
        <v>-626.873</v>
      </c>
      <c r="G320" s="12" t="n">
        <v>-1049.72</v>
      </c>
      <c r="I320" s="12" t="n">
        <v>-308.59</v>
      </c>
      <c r="K320" s="12" t="n">
        <v>-1062.59</v>
      </c>
      <c r="M320" s="12" t="n">
        <v>-9518.704</v>
      </c>
      <c r="O320" s="12" t="n">
        <v>-433.367</v>
      </c>
      <c r="P320" s="12" t="n">
        <v>-1160.666</v>
      </c>
      <c r="Q320" s="12" t="n">
        <v>-439.664</v>
      </c>
      <c r="R320" s="12" t="n">
        <v>-783.944</v>
      </c>
      <c r="S320" s="12" t="n">
        <v>-668.928</v>
      </c>
      <c r="T320" s="12" t="n">
        <v>-1096.21</v>
      </c>
      <c r="U320" s="12" t="n">
        <v>-412.375</v>
      </c>
      <c r="V320" s="12" t="n">
        <v>-767.178</v>
      </c>
      <c r="W320" s="12" t="n">
        <v>-1049.72</v>
      </c>
      <c r="X320" s="12" t="n">
        <v>-1062.59</v>
      </c>
    </row>
    <row r="321">
      <c r="A321" s="18" t="inlineStr">
        <is>
          <t>단기차입</t>
        </is>
      </c>
      <c r="I321" s="20" t="n">
        <v>0</v>
      </c>
      <c r="M321" s="20" t="n">
        <v>9500</v>
      </c>
      <c r="O321" s="20" t="n">
        <v>39</v>
      </c>
      <c r="P321" s="20" t="n">
        <v>0</v>
      </c>
      <c r="R321" s="20" t="n">
        <v>0</v>
      </c>
      <c r="S321" s="20" t="n">
        <v>2200</v>
      </c>
      <c r="T321" s="20" t="n">
        <v>800</v>
      </c>
      <c r="U321" s="20" t="n">
        <v>0</v>
      </c>
    </row>
    <row r="322">
      <c r="A322" s="18" t="inlineStr">
        <is>
          <t>단기차입금 상환</t>
        </is>
      </c>
      <c r="C322" s="20" t="n">
        <v>-159.996</v>
      </c>
      <c r="E322" s="20" t="n">
        <v>-79.998</v>
      </c>
      <c r="G322" s="20" t="n">
        <v>-159.996</v>
      </c>
      <c r="I322" s="20" t="n">
        <v>-79.998</v>
      </c>
      <c r="K322" s="20" t="n">
        <v>-159.996</v>
      </c>
      <c r="M322" s="20" t="n">
        <v>-9553.352000000001</v>
      </c>
      <c r="O322" s="20" t="n">
        <v>-39</v>
      </c>
      <c r="P322" s="20" t="n">
        <v>0</v>
      </c>
      <c r="R322" s="20" t="n">
        <v>0</v>
      </c>
      <c r="S322" s="20" t="n">
        <v>-1100</v>
      </c>
      <c r="T322" s="20" t="n">
        <v>-1206.664</v>
      </c>
      <c r="U322" s="20" t="n">
        <v>-159.996</v>
      </c>
      <c r="V322" s="20" t="n">
        <v>-159.996</v>
      </c>
      <c r="W322" s="20" t="n">
        <v>-159.996</v>
      </c>
      <c r="X322" s="20" t="n">
        <v>-159.996</v>
      </c>
    </row>
    <row r="323">
      <c r="A323" s="18" t="inlineStr">
        <is>
          <t>장기차입</t>
        </is>
      </c>
      <c r="C323" s="20" t="n">
        <v>400</v>
      </c>
      <c r="E323" s="20" t="n">
        <v>800</v>
      </c>
      <c r="G323" s="20" t="n">
        <v>1300</v>
      </c>
      <c r="I323" s="20" t="n">
        <v>800</v>
      </c>
      <c r="K323" s="20" t="n">
        <v>800</v>
      </c>
      <c r="M323" s="20" t="n">
        <v>7105.4</v>
      </c>
      <c r="O323" s="20" t="n">
        <v>158</v>
      </c>
      <c r="P323" s="20" t="n">
        <v>87</v>
      </c>
      <c r="Q323" s="20" t="n">
        <v>375</v>
      </c>
      <c r="R323" s="20" t="n">
        <v>800</v>
      </c>
      <c r="S323" s="20" t="n">
        <v>3500</v>
      </c>
      <c r="T323" s="20" t="n">
        <v>700</v>
      </c>
      <c r="U323" s="20" t="n">
        <v>1050</v>
      </c>
      <c r="V323" s="20" t="n">
        <v>400</v>
      </c>
      <c r="W323" s="20" t="n">
        <v>1300</v>
      </c>
      <c r="X323" s="20" t="n">
        <v>800</v>
      </c>
    </row>
    <row r="324">
      <c r="A324" s="18" t="inlineStr">
        <is>
          <t>장기차입금 상환</t>
        </is>
      </c>
      <c r="C324" s="20" t="n">
        <v>-1290.502</v>
      </c>
      <c r="E324" s="20" t="n">
        <v>-493.924</v>
      </c>
      <c r="G324" s="20" t="n">
        <v>-950.609</v>
      </c>
      <c r="I324" s="20" t="n">
        <v>-526.976</v>
      </c>
      <c r="K324" s="20" t="n">
        <v>-901.97</v>
      </c>
      <c r="M324" s="20" t="n">
        <v>-1050.987</v>
      </c>
      <c r="O324" s="20" t="n">
        <v>-243.224</v>
      </c>
      <c r="P324" s="20" t="n">
        <v>-400.603</v>
      </c>
      <c r="Q324" s="20" t="n">
        <v>-438.425</v>
      </c>
      <c r="R324" s="20" t="n">
        <v>-425.368</v>
      </c>
      <c r="S324" s="20" t="n">
        <v>-896.301</v>
      </c>
      <c r="T324" s="20" t="n">
        <v>-1228.104</v>
      </c>
      <c r="U324" s="20" t="n">
        <v>-1539.328</v>
      </c>
      <c r="V324" s="20" t="n">
        <v>-1290.502</v>
      </c>
      <c r="W324" s="20" t="n">
        <v>-950.609</v>
      </c>
      <c r="X324" s="20" t="n">
        <v>-901.97</v>
      </c>
    </row>
    <row r="325">
      <c r="A325" s="18" t="inlineStr">
        <is>
          <t>주식 발행</t>
        </is>
      </c>
      <c r="C325" s="20" t="n">
        <v>1.267</v>
      </c>
      <c r="G325" s="20" t="n">
        <v>0</v>
      </c>
      <c r="O325" s="20" t="n">
        <v>1086.517</v>
      </c>
      <c r="P325" s="20" t="n">
        <v>4.485</v>
      </c>
      <c r="Q325" s="20" t="n">
        <v>3.168</v>
      </c>
      <c r="R325" s="20" t="n">
        <v>3.685</v>
      </c>
      <c r="S325" s="20" t="n">
        <v>2.534</v>
      </c>
      <c r="T325" s="20" t="n">
        <v>2.534</v>
      </c>
      <c r="U325" s="20" t="n">
        <v>0</v>
      </c>
      <c r="V325" s="20" t="n">
        <v>1.267</v>
      </c>
      <c r="W325" s="20" t="n">
        <v>0</v>
      </c>
    </row>
    <row r="326">
      <c r="A326" s="18" t="inlineStr">
        <is>
          <t>사채 상환</t>
        </is>
      </c>
      <c r="I326" s="20" t="n">
        <v>0</v>
      </c>
      <c r="M326" s="20" t="n">
        <v>-7.5</v>
      </c>
    </row>
    <row r="327">
      <c r="A327" s="18" t="inlineStr">
        <is>
          <t>배당금 지급</t>
        </is>
      </c>
      <c r="C327" s="20" t="n">
        <v>-92.363</v>
      </c>
      <c r="E327" s="20" t="n">
        <v>-119.179</v>
      </c>
      <c r="G327" s="20" t="n">
        <v>-119.419</v>
      </c>
      <c r="I327" s="20" t="n">
        <v>-119.337</v>
      </c>
      <c r="K327" s="20" t="n">
        <v>-119.458</v>
      </c>
      <c r="M327" s="20" t="n">
        <v>-137.842</v>
      </c>
      <c r="O327" s="20" t="n">
        <v>0</v>
      </c>
      <c r="P327" s="20" t="n">
        <v>-90.08499999999999</v>
      </c>
      <c r="Q327" s="20" t="n">
        <v>-105.911</v>
      </c>
      <c r="R327" s="20" t="n">
        <v>-118.992</v>
      </c>
      <c r="S327" s="20" t="n">
        <v>-277.379</v>
      </c>
      <c r="T327" s="20" t="n">
        <v>-90.748</v>
      </c>
      <c r="U327" s="20" t="n">
        <v>-91.71899999999999</v>
      </c>
      <c r="V327" s="20" t="n">
        <v>-92.363</v>
      </c>
      <c r="W327" s="20" t="n">
        <v>-119.419</v>
      </c>
      <c r="X327" s="20" t="n">
        <v>-119.458</v>
      </c>
    </row>
    <row r="328">
      <c r="A328" s="18" t="inlineStr">
        <is>
          <t>자기주식 취득</t>
        </is>
      </c>
      <c r="C328" s="20" t="n">
        <v>0</v>
      </c>
      <c r="E328" s="20" t="n">
        <v>-0.003</v>
      </c>
      <c r="G328" s="20" t="n">
        <v>-0.008</v>
      </c>
      <c r="I328" s="20" t="n">
        <v>0</v>
      </c>
      <c r="K328" s="20" t="n">
        <v>-0.1</v>
      </c>
      <c r="M328" s="20" t="n">
        <v>-0.038</v>
      </c>
      <c r="Q328" s="20" t="n">
        <v>0</v>
      </c>
      <c r="R328" s="20" t="n">
        <v>-51.496</v>
      </c>
      <c r="S328" s="20" t="n">
        <v>-493.226</v>
      </c>
      <c r="T328" s="20" t="n">
        <v>-0.158</v>
      </c>
      <c r="U328" s="20" t="n">
        <v>-0.048</v>
      </c>
      <c r="V328" s="20" t="n">
        <v>0</v>
      </c>
      <c r="W328" s="20" t="n">
        <v>-0.008</v>
      </c>
      <c r="X328" s="20" t="n">
        <v>-0.1</v>
      </c>
    </row>
    <row r="329">
      <c r="A329" s="18" t="inlineStr">
        <is>
          <t>신주청약증거금 납입 수입</t>
        </is>
      </c>
      <c r="G329" s="20" t="n">
        <v>0</v>
      </c>
      <c r="K329" s="20" t="n">
        <v>1000.001</v>
      </c>
      <c r="W329" s="20" t="n">
        <v>0</v>
      </c>
      <c r="X329" s="20" t="n">
        <v>1000.001</v>
      </c>
    </row>
    <row r="330">
      <c r="A330" s="18" t="inlineStr">
        <is>
          <t>리스부채 상환</t>
        </is>
      </c>
      <c r="I330" s="20" t="n">
        <v>0</v>
      </c>
      <c r="M330" s="20" t="n">
        <v>-29.242</v>
      </c>
      <c r="O330" s="20" t="n">
        <v>-4.336</v>
      </c>
      <c r="P330" s="20" t="n">
        <v>-7.344</v>
      </c>
      <c r="Q330" s="20" t="n">
        <v>-7.344</v>
      </c>
      <c r="R330" s="20" t="n">
        <v>-7.344</v>
      </c>
      <c r="S330" s="20" t="n">
        <v>-6.732</v>
      </c>
      <c r="T330" s="20" t="n">
        <v>0</v>
      </c>
    </row>
    <row r="331">
      <c r="A331" s="18" t="inlineStr">
        <is>
          <t>증자에 따른 수입</t>
        </is>
      </c>
      <c r="I331" s="20" t="n">
        <v>0</v>
      </c>
      <c r="M331" s="20" t="n">
        <v>3003.997</v>
      </c>
    </row>
    <row r="332">
      <c r="A332" s="9" t="inlineStr">
        <is>
          <t>재무활동 현금흐름</t>
        </is>
      </c>
      <c r="C332" s="12" t="n">
        <v>-1141.594</v>
      </c>
      <c r="E332" s="12" t="n">
        <v>106.895</v>
      </c>
      <c r="G332" s="12" t="n">
        <v>69.96599999999999</v>
      </c>
      <c r="I332" s="12" t="n">
        <v>73.688</v>
      </c>
      <c r="K332" s="12" t="n">
        <v>618.476</v>
      </c>
      <c r="M332" s="12" t="n">
        <v>8830.434999999999</v>
      </c>
      <c r="O332" s="12" t="n">
        <v>996.957</v>
      </c>
      <c r="P332" s="12" t="n">
        <v>-406.547</v>
      </c>
      <c r="Q332" s="12" t="n">
        <v>-173.512</v>
      </c>
      <c r="R332" s="12" t="n">
        <v>200.484</v>
      </c>
      <c r="S332" s="12" t="n">
        <v>2928.895</v>
      </c>
      <c r="T332" s="12" t="n">
        <v>-1023.14</v>
      </c>
      <c r="U332" s="12" t="n">
        <v>-741.091</v>
      </c>
      <c r="V332" s="12" t="n">
        <v>-1141.594</v>
      </c>
      <c r="W332" s="12" t="n">
        <v>69.96599999999999</v>
      </c>
      <c r="X332" s="12" t="n">
        <v>618.476</v>
      </c>
    </row>
    <row r="333">
      <c r="A333" s="18" t="inlineStr">
        <is>
          <t>현금성자산 환산차이</t>
        </is>
      </c>
      <c r="C333" s="20" t="n">
        <v>0</v>
      </c>
      <c r="E333" s="20" t="n">
        <v>0</v>
      </c>
      <c r="G333" s="20" t="n">
        <v>0.058</v>
      </c>
      <c r="I333" s="20" t="n">
        <v>-0.694</v>
      </c>
      <c r="K333" s="20" t="n">
        <v>0.109</v>
      </c>
      <c r="M333" s="20" t="n">
        <v>0.035</v>
      </c>
      <c r="V333" s="20" t="n">
        <v>0</v>
      </c>
      <c r="W333" s="20" t="n">
        <v>0.058</v>
      </c>
      <c r="X333" s="20" t="n">
        <v>0.109</v>
      </c>
    </row>
    <row r="334">
      <c r="A334" s="18" t="inlineStr">
        <is>
          <t>현금성자산 증감</t>
        </is>
      </c>
      <c r="C334" s="20" t="n">
        <v>-1048.371</v>
      </c>
      <c r="E334" s="20" t="n">
        <v>-486.964</v>
      </c>
      <c r="G334" s="20" t="n">
        <v>-265.191</v>
      </c>
      <c r="I334" s="20" t="n">
        <v>484.085</v>
      </c>
      <c r="K334" s="20" t="n">
        <v>1565.905</v>
      </c>
      <c r="M334" s="20" t="n">
        <v>408.932</v>
      </c>
      <c r="O334" s="20" t="n">
        <v>1055.759</v>
      </c>
      <c r="P334" s="20" t="n">
        <v>-925.283</v>
      </c>
      <c r="Q334" s="20" t="n">
        <v>219.195</v>
      </c>
      <c r="R334" s="20" t="n">
        <v>468.905</v>
      </c>
      <c r="S334" s="20" t="n">
        <v>2437.85</v>
      </c>
      <c r="T334" s="20" t="n">
        <v>-2341.92</v>
      </c>
      <c r="U334" s="20" t="n">
        <v>1446.623</v>
      </c>
      <c r="V334" s="20" t="n">
        <v>-1048.371</v>
      </c>
      <c r="W334" s="20" t="n">
        <v>-265.191</v>
      </c>
      <c r="X334" s="20" t="n">
        <v>1565.905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유니시아홀딩스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3994.405</v>
      </c>
      <c r="D5" s="12" t="n">
        <v>5185.875</v>
      </c>
      <c r="E5" s="12" t="n">
        <v>5283.931</v>
      </c>
      <c r="F5" s="12" t="n">
        <v>6762.523</v>
      </c>
      <c r="G5" s="12" t="n">
        <v>8403.525</v>
      </c>
      <c r="H5" s="11" t="n">
        <v>3211.487</v>
      </c>
      <c r="I5" s="12" t="n">
        <v>4173.179</v>
      </c>
      <c r="J5" s="12" t="n">
        <v>3606.924</v>
      </c>
      <c r="K5" s="12" t="n">
        <v>3525.917</v>
      </c>
      <c r="L5" s="12" t="n">
        <v>5185.875</v>
      </c>
    </row>
    <row r="6">
      <c r="A6" s="18" t="inlineStr">
        <is>
          <t>현금및현금성자산</t>
        </is>
      </c>
      <c r="B6" s="10" t="n"/>
      <c r="C6" s="19" t="n">
        <v>1974.931</v>
      </c>
      <c r="D6" s="20" t="n">
        <v>3351.793</v>
      </c>
      <c r="E6" s="20" t="n">
        <v>2939.944</v>
      </c>
      <c r="F6" s="20" t="n">
        <v>3884.17</v>
      </c>
      <c r="G6" s="20" t="n">
        <v>5207.853</v>
      </c>
      <c r="H6" s="19" t="n">
        <v>1695.229</v>
      </c>
      <c r="I6" s="20" t="n">
        <v>3124.577</v>
      </c>
      <c r="J6" s="20" t="n">
        <v>2089.127</v>
      </c>
      <c r="K6" s="20" t="n">
        <v>1804.022</v>
      </c>
      <c r="L6" s="20" t="n">
        <v>3351.793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401.748</v>
      </c>
      <c r="I7" s="20" t="n">
        <v>0</v>
      </c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1342.666</v>
      </c>
      <c r="D8" s="20" t="n">
        <v>1216.401</v>
      </c>
      <c r="E8" s="20" t="n">
        <v>1470.638</v>
      </c>
      <c r="F8" s="20" t="n">
        <v>1813.614</v>
      </c>
      <c r="G8" s="20" t="n">
        <v>1822.91</v>
      </c>
      <c r="H8" s="19" t="n">
        <v>494.865</v>
      </c>
      <c r="I8" s="20" t="n">
        <v>625.796</v>
      </c>
      <c r="J8" s="20" t="n">
        <v>830.98</v>
      </c>
      <c r="K8" s="20" t="n">
        <v>1028.022</v>
      </c>
      <c r="L8" s="20" t="n">
        <v>1216.401</v>
      </c>
    </row>
    <row r="9">
      <c r="A9" s="18" t="inlineStr">
        <is>
          <t>재고자산</t>
        </is>
      </c>
      <c r="B9" s="10" t="n"/>
      <c r="C9" s="19" t="n">
        <v>146.423</v>
      </c>
      <c r="D9" s="20" t="n">
        <v>148.187</v>
      </c>
      <c r="E9" s="20" t="n">
        <v>237.166</v>
      </c>
      <c r="F9" s="20" t="n">
        <v>365.059</v>
      </c>
      <c r="G9" s="20" t="n">
        <v>484.079</v>
      </c>
      <c r="H9" s="19" t="n">
        <v>94.16500000000001</v>
      </c>
      <c r="I9" s="20" t="n">
        <v>83.80200000000001</v>
      </c>
      <c r="J9" s="20" t="n">
        <v>83.54300000000001</v>
      </c>
      <c r="K9" s="20" t="n">
        <v>136.422</v>
      </c>
      <c r="L9" s="20" t="n">
        <v>148.187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4443.261</v>
      </c>
      <c r="D11" s="12" t="n">
        <v>4495.836</v>
      </c>
      <c r="E11" s="12" t="n">
        <v>18435.591</v>
      </c>
      <c r="F11" s="12" t="n">
        <v>18581.204</v>
      </c>
      <c r="G11" s="12" t="n">
        <v>18940.067</v>
      </c>
      <c r="H11" s="11" t="n">
        <v>3512.058</v>
      </c>
      <c r="I11" s="12" t="n">
        <v>3429.963</v>
      </c>
      <c r="J11" s="12" t="n">
        <v>3402.608</v>
      </c>
      <c r="K11" s="12" t="n">
        <v>3803.733</v>
      </c>
      <c r="L11" s="12" t="n">
        <v>4495.836</v>
      </c>
    </row>
    <row r="12">
      <c r="A12" s="18" t="inlineStr">
        <is>
          <t>유형자산</t>
        </is>
      </c>
      <c r="B12" s="10" t="n"/>
      <c r="C12" s="19" t="n">
        <v>2849.26</v>
      </c>
      <c r="D12" s="20" t="n">
        <v>2989.919</v>
      </c>
      <c r="E12" s="20" t="n">
        <v>7651.041</v>
      </c>
      <c r="F12" s="20" t="n">
        <v>7888.134</v>
      </c>
      <c r="G12" s="20" t="n">
        <v>8301.603999999999</v>
      </c>
      <c r="H12" s="19" t="n">
        <v>2433.886</v>
      </c>
      <c r="I12" s="20" t="n">
        <v>2251.425</v>
      </c>
      <c r="J12" s="20" t="n">
        <v>2154.397</v>
      </c>
      <c r="K12" s="20" t="n">
        <v>2682.382</v>
      </c>
      <c r="L12" s="20" t="n">
        <v>2989.919</v>
      </c>
    </row>
    <row r="13">
      <c r="A13" s="18" t="inlineStr">
        <is>
          <t>무형자산</t>
        </is>
      </c>
      <c r="B13" s="10" t="n"/>
      <c r="C13" s="19" t="n">
        <v>19.56</v>
      </c>
      <c r="D13" s="20" t="n">
        <v>17.906</v>
      </c>
      <c r="E13" s="20" t="n">
        <v>8802.721</v>
      </c>
      <c r="F13" s="20" t="n">
        <v>8672.976000000001</v>
      </c>
      <c r="G13" s="20" t="n">
        <v>8533.668</v>
      </c>
      <c r="H13" s="19" t="n">
        <v>11.784</v>
      </c>
      <c r="I13" s="20" t="n">
        <v>8.868</v>
      </c>
      <c r="J13" s="20" t="n">
        <v>14.704</v>
      </c>
      <c r="K13" s="20" t="n">
        <v>12.96</v>
      </c>
      <c r="L13" s="20" t="n">
        <v>17.906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8444.994000000001</v>
      </c>
      <c r="D16" s="12" t="n">
        <v>9686.291999999999</v>
      </c>
      <c r="E16" s="12" t="n">
        <v>23721.355</v>
      </c>
      <c r="F16" s="12" t="n">
        <v>25343.728</v>
      </c>
      <c r="G16" s="12" t="n">
        <v>27343.592</v>
      </c>
      <c r="H16" s="11" t="n">
        <v>6723.546</v>
      </c>
      <c r="I16" s="12" t="n">
        <v>7603.143</v>
      </c>
      <c r="J16" s="12" t="n">
        <v>7009.532</v>
      </c>
      <c r="K16" s="12" t="n">
        <v>7345.222</v>
      </c>
      <c r="L16" s="12" t="n">
        <v>9686.291999999999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3182.464</v>
      </c>
      <c r="D18" s="12" t="n">
        <v>3652.879</v>
      </c>
      <c r="E18" s="12" t="n">
        <v>5370.618</v>
      </c>
      <c r="F18" s="12" t="n">
        <v>6529.032</v>
      </c>
      <c r="G18" s="12" t="n">
        <v>7088.557</v>
      </c>
      <c r="H18" s="11" t="n">
        <v>3400.519</v>
      </c>
      <c r="I18" s="12" t="n">
        <v>3913.301</v>
      </c>
      <c r="J18" s="12" t="n">
        <v>3437.295</v>
      </c>
      <c r="K18" s="12" t="n">
        <v>3076.78</v>
      </c>
      <c r="L18" s="12" t="n">
        <v>3652.879</v>
      </c>
    </row>
    <row r="19">
      <c r="A19" s="18" t="inlineStr">
        <is>
          <t>매입채무</t>
        </is>
      </c>
      <c r="B19" s="10" t="n"/>
      <c r="C19" s="19" t="n">
        <v>882.425</v>
      </c>
      <c r="D19" s="20" t="n">
        <v>1035.102</v>
      </c>
      <c r="E19" s="20" t="n">
        <v>1097.603</v>
      </c>
      <c r="F19" s="20" t="n">
        <v>1245.046</v>
      </c>
      <c r="G19" s="20" t="n">
        <v>1559.729</v>
      </c>
      <c r="H19" s="19" t="n">
        <v>589.723</v>
      </c>
      <c r="I19" s="20" t="n">
        <v>690.645</v>
      </c>
      <c r="J19" s="20" t="n">
        <v>1006.723</v>
      </c>
      <c r="K19" s="20" t="n">
        <v>816.841</v>
      </c>
      <c r="L19" s="20" t="n">
        <v>1035.102</v>
      </c>
    </row>
    <row r="20">
      <c r="A20" s="18" t="inlineStr">
        <is>
          <t>단기차입금</t>
        </is>
      </c>
      <c r="B20" s="10" t="n"/>
      <c r="C20" s="19" t="n">
        <v>93.351</v>
      </c>
      <c r="D20" s="20" t="n">
        <v>53.352</v>
      </c>
      <c r="E20" s="20" t="n">
        <v>13.353</v>
      </c>
      <c r="F20" s="20" t="n">
        <v>0</v>
      </c>
      <c r="G20" s="20" t="n">
        <v>0</v>
      </c>
      <c r="H20" s="19" t="n">
        <v>693.336</v>
      </c>
      <c r="I20" s="20" t="n">
        <v>533.34</v>
      </c>
      <c r="J20" s="20" t="n">
        <v>373.344</v>
      </c>
      <c r="K20" s="20" t="n">
        <v>213.348</v>
      </c>
      <c r="L20" s="20" t="n">
        <v>53.352</v>
      </c>
    </row>
    <row r="21">
      <c r="A21" s="18" t="inlineStr">
        <is>
          <t>유동성장기부채</t>
        </is>
      </c>
      <c r="B21" s="10" t="n"/>
      <c r="C21" s="19" t="n">
        <v>662.4880000000001</v>
      </c>
      <c r="D21" s="20" t="n">
        <v>624.9880000000001</v>
      </c>
      <c r="E21" s="20" t="n">
        <v>1954.744</v>
      </c>
      <c r="F21" s="20" t="n">
        <v>2205.726</v>
      </c>
      <c r="G21" s="20" t="n">
        <v>2196.733</v>
      </c>
      <c r="H21" s="19" t="n">
        <v>1319.328</v>
      </c>
      <c r="I21" s="20" t="n">
        <v>1246.494</v>
      </c>
      <c r="J21" s="20" t="n">
        <v>802.698</v>
      </c>
      <c r="K21" s="20" t="n">
        <v>781.982</v>
      </c>
      <c r="L21" s="20" t="n">
        <v>624.9880000000001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2042.569</v>
      </c>
      <c r="D23" s="12" t="n">
        <v>1914.51</v>
      </c>
      <c r="E23" s="12" t="n">
        <v>11327.572</v>
      </c>
      <c r="F23" s="12" t="n">
        <v>11422.941</v>
      </c>
      <c r="G23" s="12" t="n">
        <v>12710.609</v>
      </c>
      <c r="H23" s="11" t="n">
        <v>2145.808</v>
      </c>
      <c r="I23" s="12" t="n">
        <v>1750.498</v>
      </c>
      <c r="J23" s="12" t="n">
        <v>1356.621</v>
      </c>
      <c r="K23" s="12" t="n">
        <v>1785.044</v>
      </c>
      <c r="L23" s="12" t="n">
        <v>1914.51</v>
      </c>
    </row>
    <row r="24">
      <c r="A24" s="18" t="inlineStr">
        <is>
          <t>장기차입금</t>
        </is>
      </c>
      <c r="B24" s="10" t="n"/>
      <c r="C24" s="19" t="n">
        <v>1352.502</v>
      </c>
      <c r="D24" s="20" t="n">
        <v>1202.505</v>
      </c>
      <c r="E24" s="20" t="n">
        <v>10008.656</v>
      </c>
      <c r="F24" s="20" t="n">
        <v>10022.007</v>
      </c>
      <c r="G24" s="20" t="n">
        <v>11275.701</v>
      </c>
      <c r="H24" s="19" t="n">
        <v>1640.574</v>
      </c>
      <c r="I24" s="20" t="n">
        <v>1224.08</v>
      </c>
      <c r="J24" s="20" t="n">
        <v>777.374</v>
      </c>
      <c r="K24" s="20" t="n">
        <v>1147.481</v>
      </c>
      <c r="L24" s="20" t="n">
        <v>1202.505</v>
      </c>
    </row>
    <row r="25">
      <c r="A25" s="18" t="inlineStr">
        <is>
          <t>사채</t>
        </is>
      </c>
      <c r="B25" s="10" t="n"/>
      <c r="C25" s="19" t="n"/>
      <c r="D25" s="20" t="n">
        <v>0</v>
      </c>
      <c r="E25" s="20" t="n">
        <v>43</v>
      </c>
      <c r="F25" s="20" t="n">
        <v>39.5</v>
      </c>
      <c r="G25" s="20" t="n">
        <v>35.5</v>
      </c>
      <c r="H25" s="19" t="n"/>
      <c r="I25" s="20" t="n"/>
      <c r="J25" s="20" t="n"/>
      <c r="K25" s="20" t="n"/>
      <c r="L25" s="20" t="n">
        <v>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5225.034</v>
      </c>
      <c r="D27" s="12" t="n">
        <v>5567.39</v>
      </c>
      <c r="E27" s="12" t="n">
        <v>16698.191</v>
      </c>
      <c r="F27" s="12" t="n">
        <v>17951.974</v>
      </c>
      <c r="G27" s="12" t="n">
        <v>19799.167</v>
      </c>
      <c r="H27" s="11" t="n">
        <v>5546.327</v>
      </c>
      <c r="I27" s="12" t="n">
        <v>5663.799</v>
      </c>
      <c r="J27" s="12" t="n">
        <v>4793.917</v>
      </c>
      <c r="K27" s="12" t="n">
        <v>4861.825</v>
      </c>
      <c r="L27" s="12" t="n">
        <v>5567.39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3193.767</v>
      </c>
      <c r="D31" s="12" t="n">
        <v>4092.797</v>
      </c>
      <c r="E31" s="12" t="n">
        <v>6995.327</v>
      </c>
      <c r="F31" s="12" t="n">
        <v>7365.245</v>
      </c>
      <c r="G31" s="12" t="n">
        <v>7516.502</v>
      </c>
      <c r="H31" s="11" t="n">
        <v>1177.218</v>
      </c>
      <c r="I31" s="12" t="n">
        <v>1939.343</v>
      </c>
      <c r="J31" s="12" t="n">
        <v>2206.885</v>
      </c>
      <c r="K31" s="12" t="n">
        <v>2467.778</v>
      </c>
      <c r="L31" s="12" t="n">
        <v>4092.797</v>
      </c>
    </row>
    <row r="32">
      <c r="A32" s="18" t="inlineStr">
        <is>
          <t>자본금</t>
        </is>
      </c>
      <c r="B32" s="10" t="n"/>
      <c r="C32" s="19" t="n">
        <v>306.594</v>
      </c>
      <c r="D32" s="20" t="n">
        <v>306.594</v>
      </c>
      <c r="E32" s="20" t="n">
        <v>306.594</v>
      </c>
      <c r="F32" s="20" t="n">
        <v>306.594</v>
      </c>
      <c r="G32" s="20" t="n">
        <v>306.594</v>
      </c>
      <c r="H32" s="19" t="n">
        <v>305.961</v>
      </c>
      <c r="I32" s="20" t="n">
        <v>305.961</v>
      </c>
      <c r="J32" s="20" t="n">
        <v>306.594</v>
      </c>
      <c r="K32" s="20" t="n">
        <v>306.594</v>
      </c>
      <c r="L32" s="20" t="n">
        <v>306.594</v>
      </c>
    </row>
    <row r="33">
      <c r="A33" s="18" t="inlineStr">
        <is>
          <t>이익잉여금</t>
        </is>
      </c>
      <c r="B33" s="10" t="n"/>
      <c r="C33" s="19" t="n">
        <v>2425.889</v>
      </c>
      <c r="D33" s="20" t="n">
        <v>2324.943</v>
      </c>
      <c r="E33" s="20" t="n">
        <v>2219.869</v>
      </c>
      <c r="F33" s="20" t="n">
        <v>2553.245</v>
      </c>
      <c r="G33" s="20" t="n">
        <v>2704.503</v>
      </c>
      <c r="H33" s="19" t="n">
        <v>520.6180000000001</v>
      </c>
      <c r="I33" s="20" t="n">
        <v>1172.65</v>
      </c>
      <c r="J33" s="20" t="n">
        <v>1438.924</v>
      </c>
      <c r="K33" s="20" t="n">
        <v>1699.825</v>
      </c>
      <c r="L33" s="20" t="n">
        <v>2324.943</v>
      </c>
    </row>
    <row r="34">
      <c r="A34" s="18" t="inlineStr">
        <is>
          <t>비지배지분</t>
        </is>
      </c>
      <c r="B34" s="10" t="n"/>
      <c r="C34" s="19" t="n">
        <v>26.193</v>
      </c>
      <c r="D34" s="20" t="n">
        <v>26.104</v>
      </c>
      <c r="E34" s="20" t="n">
        <v>27.836</v>
      </c>
      <c r="F34" s="20" t="n">
        <v>26.508</v>
      </c>
      <c r="G34" s="20" t="n">
        <v>27.923</v>
      </c>
      <c r="H34" s="19" t="n"/>
      <c r="I34" s="20" t="n">
        <v>0</v>
      </c>
      <c r="J34" s="20" t="n">
        <v>8.73</v>
      </c>
      <c r="K34" s="20" t="n">
        <v>15.619</v>
      </c>
      <c r="L34" s="20" t="n">
        <v>26.104</v>
      </c>
    </row>
    <row r="35">
      <c r="A35" s="9" t="inlineStr">
        <is>
          <t>자본총계</t>
        </is>
      </c>
      <c r="B35" s="10" t="n"/>
      <c r="C35" s="11" t="n">
        <v>3219.96</v>
      </c>
      <c r="D35" s="12" t="n">
        <v>4118.901</v>
      </c>
      <c r="E35" s="12" t="n">
        <v>7023.163</v>
      </c>
      <c r="F35" s="12" t="n">
        <v>7391.753</v>
      </c>
      <c r="G35" s="12" t="n">
        <v>7544.425</v>
      </c>
      <c r="H35" s="11" t="n">
        <v>1177.218</v>
      </c>
      <c r="I35" s="12" t="n">
        <v>1939.343</v>
      </c>
      <c r="J35" s="12" t="n">
        <v>2215.615</v>
      </c>
      <c r="K35" s="12" t="n">
        <v>2483.397</v>
      </c>
      <c r="L35" s="12" t="n">
        <v>4118.901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2009.91</v>
      </c>
      <c r="E37" s="12" t="n"/>
      <c r="F37" s="12" t="n">
        <v>2387.394</v>
      </c>
      <c r="G37" s="12" t="n"/>
      <c r="H37" s="11" t="n">
        <v>-222.569</v>
      </c>
      <c r="I37" s="12" t="n">
        <v>2600.09</v>
      </c>
      <c r="J37" s="12" t="n">
        <v>860.4</v>
      </c>
      <c r="K37" s="12" t="n">
        <v>714.503</v>
      </c>
      <c r="L37" s="12" t="n">
        <v>2009.91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833.2380000000001</v>
      </c>
      <c r="E38" s="20" t="n"/>
      <c r="F38" s="20" t="n">
        <v>1714.408</v>
      </c>
      <c r="G38" s="20" t="n"/>
      <c r="H38" s="19" t="n">
        <v>844.098</v>
      </c>
      <c r="I38" s="20" t="n">
        <v>547.4059999999999</v>
      </c>
      <c r="J38" s="20" t="n">
        <v>517.707</v>
      </c>
      <c r="K38" s="20" t="n">
        <v>1103.263</v>
      </c>
      <c r="L38" s="20" t="n">
        <v>833.2380000000001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119.458</v>
      </c>
      <c r="E40" s="20" t="n"/>
      <c r="F40" s="20" t="n">
        <v>137.963</v>
      </c>
      <c r="G40" s="20" t="n"/>
      <c r="H40" s="19" t="n">
        <v>90.748</v>
      </c>
      <c r="I40" s="20" t="n">
        <v>91.71899999999999</v>
      </c>
      <c r="J40" s="20" t="n">
        <v>92.363</v>
      </c>
      <c r="K40" s="20" t="n">
        <v>119.419</v>
      </c>
      <c r="L40" s="20" t="n">
        <v>119.458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1974.931</v>
      </c>
      <c r="D71" s="20" t="n">
        <v>3351.793</v>
      </c>
      <c r="E71" s="20" t="n">
        <v>2939.944</v>
      </c>
      <c r="F71" s="20" t="n">
        <v>3884.17</v>
      </c>
      <c r="G71" s="20" t="n">
        <v>5207.853</v>
      </c>
      <c r="H71" s="20" t="n">
        <v>1695.229</v>
      </c>
      <c r="I71" s="20" t="n">
        <v>3124.577</v>
      </c>
      <c r="J71" s="20" t="n">
        <v>2089.127</v>
      </c>
      <c r="K71" s="20" t="n">
        <v>1804.022</v>
      </c>
      <c r="L71" s="20" t="n">
        <v>3351.793</v>
      </c>
    </row>
    <row r="72">
      <c r="A72" s="18" t="inlineStr">
        <is>
          <t>매출채권</t>
        </is>
      </c>
      <c r="C72" s="20" t="n">
        <v>1342.666</v>
      </c>
      <c r="D72" s="20" t="n">
        <v>1216.401</v>
      </c>
      <c r="E72" s="20" t="n">
        <v>1470.638</v>
      </c>
      <c r="F72" s="20" t="n">
        <v>1813.614</v>
      </c>
      <c r="G72" s="20" t="n">
        <v>1822.91</v>
      </c>
      <c r="H72" s="20" t="n">
        <v>494.865</v>
      </c>
      <c r="I72" s="20" t="n">
        <v>625.796</v>
      </c>
      <c r="J72" s="20" t="n">
        <v>830.98</v>
      </c>
      <c r="K72" s="20" t="n">
        <v>1028.022</v>
      </c>
      <c r="L72" s="20" t="n">
        <v>1216.401</v>
      </c>
    </row>
    <row r="73">
      <c r="A73" s="18" t="inlineStr">
        <is>
          <t>유가증권</t>
        </is>
      </c>
      <c r="H73" s="20" t="n">
        <v>401.748</v>
      </c>
      <c r="I73" s="20" t="n">
        <v>0</v>
      </c>
    </row>
    <row r="74">
      <c r="A74" s="18" t="inlineStr">
        <is>
          <t>상품·제품</t>
        </is>
      </c>
      <c r="C74" s="20" t="n">
        <v>1.135</v>
      </c>
      <c r="D74" s="20" t="n">
        <v>5.289</v>
      </c>
      <c r="E74" s="20" t="n">
        <v>13.569</v>
      </c>
      <c r="F74" s="20" t="n">
        <v>4.586</v>
      </c>
      <c r="G74" s="20" t="n">
        <v>4.235</v>
      </c>
      <c r="H74" s="20" t="n">
        <v>29.622</v>
      </c>
      <c r="I74" s="20" t="n">
        <v>13.758</v>
      </c>
      <c r="J74" s="20" t="n">
        <v>2.348</v>
      </c>
      <c r="K74" s="20" t="n">
        <v>2.089</v>
      </c>
      <c r="L74" s="20" t="n">
        <v>5.289</v>
      </c>
    </row>
    <row r="75">
      <c r="A75" s="18" t="inlineStr">
        <is>
          <t>재공품</t>
        </is>
      </c>
      <c r="C75" s="20" t="n">
        <v>11.798</v>
      </c>
      <c r="D75" s="20" t="n">
        <v>1.848</v>
      </c>
      <c r="E75" s="20" t="n">
        <v>0</v>
      </c>
      <c r="F75" s="20" t="n">
        <v>113.872</v>
      </c>
      <c r="G75" s="20" t="n">
        <v>211.86</v>
      </c>
      <c r="K75" s="20" t="n">
        <v>0</v>
      </c>
      <c r="L75" s="20" t="n">
        <v>1.848</v>
      </c>
    </row>
    <row r="76">
      <c r="A76" s="18" t="inlineStr">
        <is>
          <t>원재료·저장품</t>
        </is>
      </c>
      <c r="C76" s="20" t="n">
        <v>133.49</v>
      </c>
      <c r="D76" s="20" t="n">
        <v>141.05</v>
      </c>
      <c r="E76" s="20" t="n">
        <v>223.597</v>
      </c>
      <c r="F76" s="20" t="n">
        <v>246.601</v>
      </c>
      <c r="G76" s="20" t="n">
        <v>267.984</v>
      </c>
      <c r="H76" s="20" t="n">
        <v>64.54300000000001</v>
      </c>
      <c r="I76" s="20" t="n">
        <v>70.044</v>
      </c>
      <c r="J76" s="20" t="n">
        <v>81.19499999999999</v>
      </c>
      <c r="K76" s="20" t="n">
        <v>134.333</v>
      </c>
      <c r="L76" s="20" t="n">
        <v>141.05</v>
      </c>
    </row>
    <row r="77">
      <c r="A77" s="18" t="inlineStr">
        <is>
          <t>미수금</t>
        </is>
      </c>
      <c r="C77" s="20" t="n">
        <v>184.433</v>
      </c>
      <c r="D77" s="20" t="n">
        <v>151.727</v>
      </c>
      <c r="E77" s="20" t="n">
        <v>115.022</v>
      </c>
      <c r="F77" s="20" t="n">
        <v>107.834</v>
      </c>
      <c r="G77" s="20" t="n">
        <v>247.3</v>
      </c>
      <c r="H77" s="20" t="n">
        <v>339.82</v>
      </c>
      <c r="I77" s="20" t="n">
        <v>96.611</v>
      </c>
      <c r="J77" s="20" t="n">
        <v>336.254</v>
      </c>
      <c r="K77" s="20" t="n">
        <v>89.754</v>
      </c>
      <c r="L77" s="20" t="n">
        <v>151.727</v>
      </c>
    </row>
    <row r="78">
      <c r="A78" s="18" t="inlineStr">
        <is>
          <t>미수 환급법인세</t>
        </is>
      </c>
      <c r="C78" s="20" t="n">
        <v>28.094</v>
      </c>
      <c r="D78" s="20" t="n">
        <v>25.194</v>
      </c>
      <c r="F78" s="20" t="n">
        <v>0</v>
      </c>
      <c r="H78" s="20" t="n">
        <v>0</v>
      </c>
      <c r="I78" s="20" t="n">
        <v>0</v>
      </c>
      <c r="J78" s="20" t="n">
        <v>18.338</v>
      </c>
      <c r="K78" s="20" t="n">
        <v>0</v>
      </c>
      <c r="L78" s="20" t="n">
        <v>25.194</v>
      </c>
    </row>
    <row r="79">
      <c r="A79" s="18" t="inlineStr">
        <is>
          <t>기타</t>
        </is>
      </c>
      <c r="C79" s="20" t="n">
        <v>334.196</v>
      </c>
      <c r="D79" s="20" t="n">
        <v>349.804</v>
      </c>
      <c r="E79" s="20" t="n">
        <v>524.187</v>
      </c>
      <c r="F79" s="20" t="n">
        <v>594.87</v>
      </c>
      <c r="G79" s="20" t="n">
        <v>644.409</v>
      </c>
      <c r="H79" s="20" t="n">
        <v>185.658</v>
      </c>
      <c r="I79" s="20" t="n">
        <v>243.141</v>
      </c>
      <c r="J79" s="20" t="n">
        <v>249.706</v>
      </c>
      <c r="K79" s="20" t="n">
        <v>495.605</v>
      </c>
      <c r="L79" s="20" t="n">
        <v>349.804</v>
      </c>
    </row>
    <row r="80">
      <c r="A80" s="18" t="inlineStr">
        <is>
          <t>대손충당금</t>
        </is>
      </c>
      <c r="C80" s="20" t="n">
        <v>-16.341</v>
      </c>
      <c r="D80" s="20" t="n">
        <v>-32.038</v>
      </c>
      <c r="E80" s="20" t="n">
        <v>-3.027</v>
      </c>
      <c r="F80" s="20" t="n">
        <v>-3.027</v>
      </c>
      <c r="G80" s="20" t="n">
        <v>-3.027</v>
      </c>
      <c r="H80" s="20" t="n">
        <v>0</v>
      </c>
      <c r="I80" s="20" t="n">
        <v>-0.749</v>
      </c>
      <c r="J80" s="20" t="n">
        <v>-1.027</v>
      </c>
      <c r="K80" s="20" t="n">
        <v>-27.91</v>
      </c>
      <c r="L80" s="20" t="n">
        <v>-32.038</v>
      </c>
    </row>
    <row r="81">
      <c r="A81" s="9" t="inlineStr">
        <is>
          <t>유동자산 합계</t>
        </is>
      </c>
      <c r="C81" s="12" t="n">
        <v>3994.405</v>
      </c>
      <c r="D81" s="12" t="n">
        <v>5185.875</v>
      </c>
      <c r="E81" s="12" t="n">
        <v>5283.931</v>
      </c>
      <c r="F81" s="12" t="n">
        <v>6762.523</v>
      </c>
      <c r="G81" s="12" t="n">
        <v>8403.525</v>
      </c>
      <c r="H81" s="12" t="n">
        <v>3211.487</v>
      </c>
      <c r="I81" s="12" t="n">
        <v>4173.179</v>
      </c>
      <c r="J81" s="12" t="n">
        <v>3606.924</v>
      </c>
      <c r="K81" s="12" t="n">
        <v>3525.917</v>
      </c>
      <c r="L81" s="12" t="n">
        <v>5185.875</v>
      </c>
    </row>
    <row r="82">
      <c r="A82" s="18" t="inlineStr">
        <is>
          <t>건물·구축물(순액)</t>
        </is>
      </c>
      <c r="C82" s="20" t="n">
        <v>2378.856</v>
      </c>
      <c r="D82" s="20" t="n">
        <v>2450.486</v>
      </c>
      <c r="E82" s="20" t="n">
        <v>6084.336</v>
      </c>
      <c r="F82" s="20" t="n">
        <v>6601.125</v>
      </c>
      <c r="G82" s="20" t="n">
        <v>6757.982</v>
      </c>
      <c r="H82" s="20" t="n">
        <v>2048.575</v>
      </c>
      <c r="I82" s="20" t="n">
        <v>1970.833</v>
      </c>
      <c r="J82" s="20" t="n">
        <v>1827.986</v>
      </c>
      <c r="K82" s="20" t="n">
        <v>2201.601</v>
      </c>
      <c r="L82" s="20" t="n">
        <v>2450.486</v>
      </c>
    </row>
    <row r="83">
      <c r="A83" s="18" t="inlineStr">
        <is>
          <t>기계장치(순액)</t>
        </is>
      </c>
      <c r="D83" s="20" t="n">
        <v>239.573</v>
      </c>
      <c r="H83" s="20" t="n">
        <v>168.782</v>
      </c>
      <c r="I83" s="20" t="n">
        <v>129.402</v>
      </c>
      <c r="J83" s="20" t="n">
        <v>122.044</v>
      </c>
      <c r="K83" s="20" t="n">
        <v>256.213</v>
      </c>
      <c r="L83" s="20" t="n">
        <v>239.573</v>
      </c>
    </row>
    <row r="84">
      <c r="A84" s="18" t="inlineStr">
        <is>
          <t>공구·기구·비품(순액)</t>
        </is>
      </c>
      <c r="D84" s="20" t="n">
        <v>173.457</v>
      </c>
      <c r="H84" s="20" t="n">
        <v>207.009</v>
      </c>
      <c r="I84" s="20" t="n">
        <v>148.805</v>
      </c>
      <c r="J84" s="20" t="n">
        <v>190.94</v>
      </c>
      <c r="K84" s="20" t="n">
        <v>190.379</v>
      </c>
      <c r="L84" s="20" t="n">
        <v>173.457</v>
      </c>
    </row>
    <row r="85">
      <c r="A85" s="18" t="inlineStr">
        <is>
          <t>건설중인자산</t>
        </is>
      </c>
      <c r="D85" s="20" t="n">
        <v>121.169</v>
      </c>
      <c r="K85" s="20" t="n">
        <v>25.77</v>
      </c>
      <c r="L85" s="20" t="n">
        <v>121.169</v>
      </c>
    </row>
    <row r="86">
      <c r="A86" s="18" t="inlineStr">
        <is>
          <t>기타(순액)</t>
        </is>
      </c>
      <c r="C86" s="20" t="n">
        <v>470.404</v>
      </c>
      <c r="D86" s="20" t="n">
        <v>539.433</v>
      </c>
      <c r="E86" s="20" t="n">
        <v>1566.705</v>
      </c>
      <c r="F86" s="20" t="n">
        <v>1287.009</v>
      </c>
      <c r="G86" s="20" t="n">
        <v>1543.621</v>
      </c>
      <c r="H86" s="20" t="n">
        <v>9.518000000000001</v>
      </c>
      <c r="I86" s="20" t="n">
        <v>2.383</v>
      </c>
      <c r="J86" s="20" t="n">
        <v>13.426</v>
      </c>
      <c r="K86" s="20" t="n">
        <v>8.417</v>
      </c>
      <c r="L86" s="20" t="n">
        <v>539.433</v>
      </c>
    </row>
    <row r="87">
      <c r="A87" s="18" t="inlineStr">
        <is>
          <t>유형자산 합계</t>
        </is>
      </c>
      <c r="C87" s="20" t="n">
        <v>2849.26</v>
      </c>
      <c r="D87" s="20" t="n">
        <v>2989.919</v>
      </c>
      <c r="E87" s="20" t="n">
        <v>7651.041</v>
      </c>
      <c r="F87" s="20" t="n">
        <v>7888.134</v>
      </c>
      <c r="G87" s="20" t="n">
        <v>8301.603999999999</v>
      </c>
      <c r="H87" s="20" t="n">
        <v>2433.886</v>
      </c>
      <c r="I87" s="20" t="n">
        <v>2251.425</v>
      </c>
      <c r="J87" s="20" t="n">
        <v>2154.397</v>
      </c>
      <c r="K87" s="20" t="n">
        <v>2682.382</v>
      </c>
      <c r="L87" s="20" t="n">
        <v>2989.919</v>
      </c>
    </row>
    <row r="88">
      <c r="A88" s="18" t="inlineStr">
        <is>
          <t>소프트웨어</t>
        </is>
      </c>
      <c r="C88" s="20" t="n">
        <v>19.56</v>
      </c>
      <c r="D88" s="20" t="n">
        <v>17.906</v>
      </c>
      <c r="E88" s="20" t="n">
        <v>49.517</v>
      </c>
      <c r="F88" s="20" t="n">
        <v>64.80500000000001</v>
      </c>
      <c r="G88" s="20" t="n">
        <v>103.265</v>
      </c>
      <c r="H88" s="20" t="n">
        <v>11.784</v>
      </c>
      <c r="I88" s="20" t="n">
        <v>8.868</v>
      </c>
      <c r="J88" s="20" t="n">
        <v>14.704</v>
      </c>
      <c r="K88" s="20" t="n">
        <v>12.96</v>
      </c>
      <c r="L88" s="20" t="n">
        <v>17.906</v>
      </c>
    </row>
    <row r="89">
      <c r="A89" s="18" t="inlineStr">
        <is>
          <t>개발 중 소프트웨어</t>
        </is>
      </c>
      <c r="D89" s="20" t="n">
        <v>0</v>
      </c>
      <c r="E89" s="20" t="n">
        <v>27.5</v>
      </c>
      <c r="F89" s="20" t="n">
        <v>30.118</v>
      </c>
      <c r="L89" s="20" t="n">
        <v>0</v>
      </c>
    </row>
    <row r="90">
      <c r="A90" s="18" t="inlineStr">
        <is>
          <t>영업권</t>
        </is>
      </c>
      <c r="D90" s="20" t="n">
        <v>0</v>
      </c>
      <c r="E90" s="20" t="n">
        <v>8707.535</v>
      </c>
      <c r="F90" s="20" t="n">
        <v>8559.950000000001</v>
      </c>
      <c r="G90" s="20" t="n">
        <v>8412.365</v>
      </c>
      <c r="L90" s="20" t="n">
        <v>0</v>
      </c>
    </row>
    <row r="91">
      <c r="A91" s="18" t="inlineStr">
        <is>
          <t>기타</t>
        </is>
      </c>
      <c r="D91" s="20" t="n">
        <v>0</v>
      </c>
      <c r="E91" s="20" t="n">
        <v>18.168</v>
      </c>
      <c r="F91" s="20" t="n">
        <v>18.102</v>
      </c>
      <c r="G91" s="20" t="n">
        <v>18.037</v>
      </c>
      <c r="L91" s="20" t="n">
        <v>0</v>
      </c>
    </row>
    <row r="92">
      <c r="A92" s="18" t="inlineStr">
        <is>
          <t>무형자산 합계</t>
        </is>
      </c>
      <c r="C92" s="20" t="n">
        <v>19.56</v>
      </c>
      <c r="D92" s="20" t="n">
        <v>17.906</v>
      </c>
      <c r="E92" s="20" t="n">
        <v>8802.721</v>
      </c>
      <c r="F92" s="20" t="n">
        <v>8672.976000000001</v>
      </c>
      <c r="G92" s="20" t="n">
        <v>8533.668</v>
      </c>
      <c r="H92" s="20" t="n">
        <v>11.784</v>
      </c>
      <c r="I92" s="20" t="n">
        <v>8.868</v>
      </c>
      <c r="J92" s="20" t="n">
        <v>14.704</v>
      </c>
      <c r="K92" s="20" t="n">
        <v>12.96</v>
      </c>
      <c r="L92" s="20" t="n">
        <v>17.906</v>
      </c>
    </row>
    <row r="93">
      <c r="A93" s="18" t="inlineStr">
        <is>
          <t>투자유가증권</t>
        </is>
      </c>
      <c r="H93" s="20" t="n">
        <v>0</v>
      </c>
    </row>
    <row r="94">
      <c r="A94" s="18" t="inlineStr">
        <is>
          <t>관계회사 주식</t>
        </is>
      </c>
      <c r="D94" s="20" t="n">
        <v>74.318</v>
      </c>
      <c r="H94" s="20" t="n">
        <v>90.863</v>
      </c>
      <c r="I94" s="20" t="n">
        <v>86.10299999999999</v>
      </c>
      <c r="J94" s="20" t="n">
        <v>80.655</v>
      </c>
      <c r="K94" s="20" t="n">
        <v>33.064</v>
      </c>
      <c r="L94" s="20" t="n">
        <v>74.318</v>
      </c>
    </row>
    <row r="95">
      <c r="A95" s="18" t="inlineStr">
        <is>
          <t>장기대여금</t>
        </is>
      </c>
      <c r="D95" s="20" t="n">
        <v>46.989</v>
      </c>
      <c r="H95" s="20" t="n">
        <v>3.413</v>
      </c>
      <c r="I95" s="20" t="n">
        <v>226.358</v>
      </c>
      <c r="J95" s="20" t="n">
        <v>389.735</v>
      </c>
      <c r="K95" s="20" t="n">
        <v>229.124</v>
      </c>
      <c r="L95" s="20" t="n">
        <v>46.989</v>
      </c>
    </row>
    <row r="96">
      <c r="A96" s="18" t="inlineStr">
        <is>
          <t>장기선급비용</t>
        </is>
      </c>
      <c r="D96" s="20" t="n">
        <v>71.58499999999999</v>
      </c>
      <c r="H96" s="20" t="n">
        <v>38.072</v>
      </c>
      <c r="I96" s="20" t="n">
        <v>57.761</v>
      </c>
      <c r="J96" s="20" t="n">
        <v>48.421</v>
      </c>
      <c r="K96" s="20" t="n">
        <v>57.74</v>
      </c>
      <c r="L96" s="20" t="n">
        <v>71.58499999999999</v>
      </c>
    </row>
    <row r="97">
      <c r="A97" s="18" t="inlineStr">
        <is>
          <t>보증금</t>
        </is>
      </c>
      <c r="C97" s="20" t="n">
        <v>879.071</v>
      </c>
      <c r="D97" s="20" t="n">
        <v>902.6799999999999</v>
      </c>
      <c r="E97" s="20" t="n">
        <v>1241.523</v>
      </c>
      <c r="F97" s="20" t="n">
        <v>1279.365</v>
      </c>
      <c r="G97" s="20" t="n">
        <v>1329.985</v>
      </c>
      <c r="H97" s="20" t="n">
        <v>692.165</v>
      </c>
      <c r="I97" s="20" t="n">
        <v>718.163</v>
      </c>
      <c r="J97" s="20" t="n">
        <v>746.951</v>
      </c>
      <c r="K97" s="20" t="n">
        <v>849.082</v>
      </c>
      <c r="L97" s="20" t="n">
        <v>902.6799999999999</v>
      </c>
    </row>
    <row r="98">
      <c r="A98" s="18" t="inlineStr">
        <is>
          <t>이연법인세자산</t>
        </is>
      </c>
      <c r="D98" s="20" t="n">
        <v>400.233</v>
      </c>
      <c r="H98" s="20" t="n">
        <v>241.856</v>
      </c>
      <c r="I98" s="20" t="n">
        <v>167.457</v>
      </c>
      <c r="J98" s="20" t="n">
        <v>133.507</v>
      </c>
      <c r="K98" s="20" t="n">
        <v>168.467</v>
      </c>
      <c r="L98" s="20" t="n">
        <v>400.233</v>
      </c>
    </row>
    <row r="99">
      <c r="A99" s="18" t="inlineStr">
        <is>
          <t>기타</t>
        </is>
      </c>
      <c r="C99" s="20" t="n">
        <v>695.3680000000001</v>
      </c>
      <c r="D99" s="20" t="n">
        <v>593.1609999999999</v>
      </c>
      <c r="E99" s="20" t="n">
        <v>787.068</v>
      </c>
      <c r="F99" s="20" t="n">
        <v>787.462</v>
      </c>
      <c r="G99" s="20" t="n">
        <v>821.619</v>
      </c>
      <c r="H99" s="20" t="n">
        <v>0.015</v>
      </c>
      <c r="I99" s="20" t="n">
        <v>0.025</v>
      </c>
      <c r="J99" s="20" t="n">
        <v>0.035</v>
      </c>
      <c r="K99" s="20" t="n">
        <v>0.035</v>
      </c>
      <c r="L99" s="20" t="n">
        <v>593.1609999999999</v>
      </c>
    </row>
    <row r="100">
      <c r="A100" s="18" t="inlineStr">
        <is>
          <t>대손충당금</t>
        </is>
      </c>
      <c r="C100" s="20" t="n">
        <v>0</v>
      </c>
      <c r="D100" s="20" t="n">
        <v>-7.831</v>
      </c>
      <c r="E100" s="20" t="n">
        <v>-46.763</v>
      </c>
      <c r="F100" s="20" t="n">
        <v>-46.734</v>
      </c>
      <c r="G100" s="20" t="n">
        <v>-46.81</v>
      </c>
      <c r="H100" s="20" t="n">
        <v>0</v>
      </c>
      <c r="I100" s="20" t="n">
        <v>-86.2</v>
      </c>
      <c r="J100" s="20" t="n">
        <v>-165.8</v>
      </c>
      <c r="K100" s="20" t="n">
        <v>-229.124</v>
      </c>
      <c r="L100" s="20" t="n">
        <v>-7.831</v>
      </c>
    </row>
    <row r="101">
      <c r="A101" s="18" t="inlineStr">
        <is>
          <t>투자 및 기타자산 합계</t>
        </is>
      </c>
      <c r="C101" s="20" t="n">
        <v>1574.44</v>
      </c>
      <c r="D101" s="20" t="n">
        <v>1488.01</v>
      </c>
      <c r="E101" s="20" t="n">
        <v>1981.828</v>
      </c>
      <c r="F101" s="20" t="n">
        <v>2020.093</v>
      </c>
      <c r="G101" s="20" t="n">
        <v>2104.794</v>
      </c>
      <c r="H101" s="20" t="n">
        <v>1066.387</v>
      </c>
      <c r="I101" s="20" t="n">
        <v>1169.669</v>
      </c>
      <c r="J101" s="20" t="n">
        <v>1233.506</v>
      </c>
      <c r="K101" s="20" t="n">
        <v>1108.39</v>
      </c>
      <c r="L101" s="20" t="n">
        <v>1488.01</v>
      </c>
    </row>
    <row r="102">
      <c r="A102" s="9" t="inlineStr">
        <is>
          <t>비유동자산 합계</t>
        </is>
      </c>
      <c r="C102" s="12" t="n">
        <v>4443.261</v>
      </c>
      <c r="D102" s="12" t="n">
        <v>4495.836</v>
      </c>
      <c r="E102" s="12" t="n">
        <v>18435.591</v>
      </c>
      <c r="F102" s="12" t="n">
        <v>18581.204</v>
      </c>
      <c r="G102" s="12" t="n">
        <v>18940.067</v>
      </c>
      <c r="H102" s="12" t="n">
        <v>3512.058</v>
      </c>
      <c r="I102" s="12" t="n">
        <v>3429.963</v>
      </c>
      <c r="J102" s="12" t="n">
        <v>3402.608</v>
      </c>
      <c r="K102" s="12" t="n">
        <v>3803.733</v>
      </c>
      <c r="L102" s="12" t="n">
        <v>4495.836</v>
      </c>
    </row>
    <row r="103">
      <c r="A103" s="18" t="inlineStr">
        <is>
          <t>개업비</t>
        </is>
      </c>
      <c r="C103" s="20" t="n">
        <v>7.328</v>
      </c>
      <c r="D103" s="20" t="n">
        <v>4.58</v>
      </c>
      <c r="E103" s="20" t="n">
        <v>1.832</v>
      </c>
      <c r="F103" s="20" t="n">
        <v>0</v>
      </c>
      <c r="G103" s="20" t="n">
        <v>0</v>
      </c>
      <c r="J103" s="20" t="n">
        <v>0</v>
      </c>
      <c r="K103" s="20" t="n">
        <v>15.572</v>
      </c>
      <c r="L103" s="20" t="n">
        <v>4.58</v>
      </c>
    </row>
    <row r="104">
      <c r="A104" s="18" t="inlineStr">
        <is>
          <t>이연자산 합계</t>
        </is>
      </c>
      <c r="C104" s="20" t="n">
        <v>7.328</v>
      </c>
      <c r="D104" s="20" t="n">
        <v>4.58</v>
      </c>
      <c r="E104" s="20" t="n">
        <v>1.832</v>
      </c>
      <c r="F104" s="20" t="n">
        <v>0</v>
      </c>
      <c r="G104" s="20" t="n">
        <v>0</v>
      </c>
      <c r="J104" s="20" t="n">
        <v>0</v>
      </c>
      <c r="K104" s="20" t="n">
        <v>15.572</v>
      </c>
      <c r="L104" s="20" t="n">
        <v>4.58</v>
      </c>
    </row>
    <row r="105">
      <c r="A105" s="9" t="inlineStr">
        <is>
          <t>자산 합계</t>
        </is>
      </c>
      <c r="C105" s="12" t="n">
        <v>8444.994000000001</v>
      </c>
      <c r="D105" s="12" t="n">
        <v>9686.291999999999</v>
      </c>
      <c r="E105" s="12" t="n">
        <v>23721.355</v>
      </c>
      <c r="F105" s="12" t="n">
        <v>25343.728</v>
      </c>
      <c r="G105" s="12" t="n">
        <v>27343.592</v>
      </c>
      <c r="H105" s="12" t="n">
        <v>6723.546</v>
      </c>
      <c r="I105" s="12" t="n">
        <v>7603.143</v>
      </c>
      <c r="J105" s="12" t="n">
        <v>7009.532</v>
      </c>
      <c r="K105" s="12" t="n">
        <v>7345.222</v>
      </c>
      <c r="L105" s="12" t="n">
        <v>9686.291999999999</v>
      </c>
    </row>
    <row r="106">
      <c r="A106" s="18" t="inlineStr">
        <is>
          <t>매입채무</t>
        </is>
      </c>
      <c r="C106" s="20" t="n">
        <v>882.425</v>
      </c>
      <c r="D106" s="20" t="n">
        <v>1035.102</v>
      </c>
      <c r="E106" s="20" t="n">
        <v>1097.603</v>
      </c>
      <c r="F106" s="20" t="n">
        <v>1245.046</v>
      </c>
      <c r="G106" s="20" t="n">
        <v>1559.729</v>
      </c>
      <c r="H106" s="20" t="n">
        <v>589.723</v>
      </c>
      <c r="I106" s="20" t="n">
        <v>690.645</v>
      </c>
      <c r="J106" s="20" t="n">
        <v>1006.723</v>
      </c>
      <c r="K106" s="20" t="n">
        <v>816.841</v>
      </c>
      <c r="L106" s="20" t="n">
        <v>1035.102</v>
      </c>
    </row>
    <row r="107">
      <c r="A107" s="18" t="inlineStr">
        <is>
          <t>단기차입금</t>
        </is>
      </c>
      <c r="C107" s="20" t="n">
        <v>93.351</v>
      </c>
      <c r="D107" s="20" t="n">
        <v>53.352</v>
      </c>
      <c r="E107" s="20" t="n">
        <v>13.353</v>
      </c>
      <c r="F107" s="20" t="n">
        <v>0</v>
      </c>
      <c r="G107" s="20" t="n">
        <v>0</v>
      </c>
      <c r="H107" s="20" t="n">
        <v>693.336</v>
      </c>
      <c r="I107" s="20" t="n">
        <v>533.34</v>
      </c>
      <c r="J107" s="20" t="n">
        <v>373.344</v>
      </c>
      <c r="K107" s="20" t="n">
        <v>213.348</v>
      </c>
      <c r="L107" s="20" t="n">
        <v>53.352</v>
      </c>
    </row>
    <row r="108">
      <c r="A108" s="18" t="inlineStr">
        <is>
          <t>1년 내 상환 사채</t>
        </is>
      </c>
      <c r="D108" s="20" t="n">
        <v>0</v>
      </c>
      <c r="E108" s="20" t="n">
        <v>15</v>
      </c>
      <c r="F108" s="20" t="n">
        <v>15</v>
      </c>
      <c r="G108" s="20" t="n">
        <v>15</v>
      </c>
      <c r="L108" s="20" t="n">
        <v>0</v>
      </c>
    </row>
    <row r="109">
      <c r="A109" s="18" t="inlineStr">
        <is>
          <t>1년 내 상환 장기차입금</t>
        </is>
      </c>
      <c r="C109" s="20" t="n">
        <v>662.4880000000001</v>
      </c>
      <c r="D109" s="20" t="n">
        <v>624.9880000000001</v>
      </c>
      <c r="E109" s="20" t="n">
        <v>1939.744</v>
      </c>
      <c r="F109" s="20" t="n">
        <v>2190.726</v>
      </c>
      <c r="G109" s="20" t="n">
        <v>2181.733</v>
      </c>
      <c r="H109" s="20" t="n">
        <v>1319.328</v>
      </c>
      <c r="I109" s="20" t="n">
        <v>1246.494</v>
      </c>
      <c r="J109" s="20" t="n">
        <v>802.698</v>
      </c>
      <c r="K109" s="20" t="n">
        <v>781.982</v>
      </c>
      <c r="L109" s="20" t="n">
        <v>624.9880000000001</v>
      </c>
    </row>
    <row r="110">
      <c r="A110" s="18" t="inlineStr">
        <is>
          <t>미지급금</t>
        </is>
      </c>
      <c r="C110" s="20" t="n">
        <v>245.559</v>
      </c>
      <c r="D110" s="20" t="n">
        <v>411.285</v>
      </c>
      <c r="E110" s="20" t="n">
        <v>516.3339999999999</v>
      </c>
      <c r="F110" s="20" t="n">
        <v>564.2329999999999</v>
      </c>
      <c r="G110" s="20" t="n">
        <v>648.395</v>
      </c>
      <c r="H110" s="20" t="n">
        <v>340.039</v>
      </c>
      <c r="I110" s="20" t="n">
        <v>159.528</v>
      </c>
      <c r="J110" s="20" t="n">
        <v>262.284</v>
      </c>
      <c r="K110" s="20" t="n">
        <v>200.682</v>
      </c>
      <c r="L110" s="20" t="n">
        <v>411.285</v>
      </c>
    </row>
    <row r="111">
      <c r="A111" s="18" t="inlineStr">
        <is>
          <t>미지급비용</t>
        </is>
      </c>
      <c r="C111" s="20" t="n">
        <v>551.703</v>
      </c>
      <c r="D111" s="20" t="n">
        <v>576.522</v>
      </c>
      <c r="E111" s="20" t="n">
        <v>866.647</v>
      </c>
      <c r="F111" s="20" t="n">
        <v>968.552</v>
      </c>
      <c r="G111" s="20" t="n">
        <v>938.3819999999999</v>
      </c>
      <c r="H111" s="20" t="n">
        <v>391.256</v>
      </c>
      <c r="I111" s="20" t="n">
        <v>362.392</v>
      </c>
      <c r="J111" s="20" t="n">
        <v>510.607</v>
      </c>
      <c r="K111" s="20" t="n">
        <v>462.267</v>
      </c>
      <c r="L111" s="20" t="n">
        <v>576.522</v>
      </c>
    </row>
    <row r="112">
      <c r="A112" s="18" t="inlineStr">
        <is>
          <t>미지급법인세</t>
        </is>
      </c>
      <c r="C112" s="20" t="n">
        <v>151.87</v>
      </c>
      <c r="D112" s="20" t="n">
        <v>255.26</v>
      </c>
      <c r="E112" s="20" t="n">
        <v>89.30800000000001</v>
      </c>
      <c r="F112" s="20" t="n">
        <v>321.355</v>
      </c>
      <c r="G112" s="20" t="n">
        <v>324.849</v>
      </c>
      <c r="H112" s="20" t="n">
        <v>16.661</v>
      </c>
      <c r="I112" s="20" t="n">
        <v>416.232</v>
      </c>
      <c r="J112" s="20" t="n">
        <v>136.779</v>
      </c>
      <c r="K112" s="20" t="n">
        <v>246.606</v>
      </c>
      <c r="L112" s="20" t="n">
        <v>255.26</v>
      </c>
    </row>
    <row r="113">
      <c r="A113" s="18" t="inlineStr">
        <is>
          <t>주주우대 충당금</t>
        </is>
      </c>
      <c r="D113" s="20" t="n">
        <v>0</v>
      </c>
      <c r="F113" s="20" t="n">
        <v>28.904</v>
      </c>
      <c r="G113" s="20" t="n">
        <v>28.904</v>
      </c>
      <c r="L113" s="20" t="n">
        <v>0</v>
      </c>
    </row>
    <row r="114">
      <c r="A114" s="18" t="inlineStr">
        <is>
          <t>상여충당금</t>
        </is>
      </c>
      <c r="C114" s="20" t="n">
        <v>71.599</v>
      </c>
      <c r="D114" s="20" t="n">
        <v>145.422</v>
      </c>
      <c r="E114" s="20" t="n">
        <v>120.637</v>
      </c>
      <c r="F114" s="20" t="n">
        <v>239.381</v>
      </c>
      <c r="G114" s="20" t="n">
        <v>134.543</v>
      </c>
      <c r="H114" s="20" t="n">
        <v>0</v>
      </c>
      <c r="I114" s="20" t="n">
        <v>87</v>
      </c>
      <c r="J114" s="20" t="n">
        <v>94.304</v>
      </c>
      <c r="K114" s="20" t="n">
        <v>117.168</v>
      </c>
      <c r="L114" s="20" t="n">
        <v>145.422</v>
      </c>
    </row>
    <row r="115">
      <c r="A115" s="18" t="inlineStr">
        <is>
          <t>점포 폐쇄 손실 충당금</t>
        </is>
      </c>
      <c r="D115" s="20" t="n">
        <v>0</v>
      </c>
      <c r="F115" s="20" t="n">
        <v>6.034</v>
      </c>
      <c r="H115" s="20" t="n">
        <v>0</v>
      </c>
      <c r="I115" s="20" t="n">
        <v>10.17</v>
      </c>
      <c r="J115" s="20" t="n">
        <v>0</v>
      </c>
      <c r="K115" s="20" t="n">
        <v>0</v>
      </c>
      <c r="L115" s="20" t="n">
        <v>0</v>
      </c>
    </row>
    <row r="116">
      <c r="A116" s="18" t="inlineStr">
        <is>
          <t>사업양도 손실 충당금</t>
        </is>
      </c>
      <c r="D116" s="20" t="n">
        <v>0</v>
      </c>
      <c r="G116" s="20" t="n">
        <v>25.47</v>
      </c>
      <c r="L116" s="20" t="n">
        <v>0</v>
      </c>
    </row>
    <row r="117">
      <c r="A117" s="18" t="inlineStr">
        <is>
          <t>기타</t>
        </is>
      </c>
      <c r="C117" s="20" t="n">
        <v>523.467</v>
      </c>
      <c r="D117" s="20" t="n">
        <v>550.946</v>
      </c>
      <c r="E117" s="20" t="n">
        <v>711.991</v>
      </c>
      <c r="F117" s="20" t="n">
        <v>949.799</v>
      </c>
      <c r="G117" s="20" t="n">
        <v>1231.549</v>
      </c>
      <c r="H117" s="20" t="n">
        <v>50.173</v>
      </c>
      <c r="I117" s="20" t="n">
        <v>407.497</v>
      </c>
      <c r="J117" s="20" t="n">
        <v>250.553</v>
      </c>
      <c r="K117" s="20" t="n">
        <v>237.884</v>
      </c>
      <c r="L117" s="20" t="n">
        <v>550.946</v>
      </c>
    </row>
    <row r="118">
      <c r="A118" s="9" t="inlineStr">
        <is>
          <t>유동부채 합계</t>
        </is>
      </c>
      <c r="C118" s="12" t="n">
        <v>3182.464</v>
      </c>
      <c r="D118" s="12" t="n">
        <v>3652.879</v>
      </c>
      <c r="E118" s="12" t="n">
        <v>5370.618</v>
      </c>
      <c r="F118" s="12" t="n">
        <v>6529.032</v>
      </c>
      <c r="G118" s="12" t="n">
        <v>7088.557</v>
      </c>
      <c r="H118" s="12" t="n">
        <v>3400.519</v>
      </c>
      <c r="I118" s="12" t="n">
        <v>3913.301</v>
      </c>
      <c r="J118" s="12" t="n">
        <v>3437.295</v>
      </c>
      <c r="K118" s="12" t="n">
        <v>3076.78</v>
      </c>
      <c r="L118" s="12" t="n">
        <v>3652.879</v>
      </c>
    </row>
    <row r="119">
      <c r="A119" s="18" t="inlineStr">
        <is>
          <t>사채</t>
        </is>
      </c>
      <c r="D119" s="20" t="n">
        <v>0</v>
      </c>
      <c r="E119" s="20" t="n">
        <v>43</v>
      </c>
      <c r="F119" s="20" t="n">
        <v>39.5</v>
      </c>
      <c r="G119" s="20" t="n">
        <v>35.5</v>
      </c>
      <c r="L119" s="20" t="n">
        <v>0</v>
      </c>
    </row>
    <row r="120">
      <c r="A120" s="18" t="inlineStr">
        <is>
          <t>장기차입금</t>
        </is>
      </c>
      <c r="C120" s="20" t="n">
        <v>1352.502</v>
      </c>
      <c r="D120" s="20" t="n">
        <v>1202.505</v>
      </c>
      <c r="E120" s="20" t="n">
        <v>10008.656</v>
      </c>
      <c r="F120" s="20" t="n">
        <v>10022.007</v>
      </c>
      <c r="G120" s="20" t="n">
        <v>11275.701</v>
      </c>
      <c r="H120" s="20" t="n">
        <v>1640.574</v>
      </c>
      <c r="I120" s="20" t="n">
        <v>1224.08</v>
      </c>
      <c r="J120" s="20" t="n">
        <v>777.374</v>
      </c>
      <c r="K120" s="20" t="n">
        <v>1147.481</v>
      </c>
      <c r="L120" s="20" t="n">
        <v>1202.505</v>
      </c>
    </row>
    <row r="121">
      <c r="A121" s="18" t="inlineStr">
        <is>
          <t>퇴직급여부채</t>
        </is>
      </c>
      <c r="C121" s="20" t="n">
        <v>41.697</v>
      </c>
      <c r="D121" s="20" t="n">
        <v>43.582</v>
      </c>
      <c r="E121" s="20" t="n">
        <v>47.84</v>
      </c>
      <c r="F121" s="20" t="n">
        <v>53.141</v>
      </c>
      <c r="G121" s="20" t="n">
        <v>60.951</v>
      </c>
      <c r="K121" s="20" t="n">
        <v>4.39</v>
      </c>
      <c r="L121" s="20" t="n">
        <v>43.582</v>
      </c>
    </row>
    <row r="122">
      <c r="A122" s="18" t="inlineStr">
        <is>
          <t>자산복구부채</t>
        </is>
      </c>
      <c r="C122" s="20" t="n">
        <v>283.24</v>
      </c>
      <c r="D122" s="20" t="n">
        <v>286.294</v>
      </c>
      <c r="E122" s="20" t="n">
        <v>463.529</v>
      </c>
      <c r="F122" s="20" t="n">
        <v>475.619</v>
      </c>
      <c r="G122" s="20" t="n">
        <v>482.085</v>
      </c>
      <c r="H122" s="20" t="n">
        <v>248.234</v>
      </c>
      <c r="I122" s="20" t="n">
        <v>257.418</v>
      </c>
      <c r="J122" s="20" t="n">
        <v>252.038</v>
      </c>
      <c r="K122" s="20" t="n">
        <v>282.043</v>
      </c>
      <c r="L122" s="20" t="n">
        <v>286.294</v>
      </c>
    </row>
    <row r="123">
      <c r="A123" s="18" t="inlineStr">
        <is>
          <t>기타</t>
        </is>
      </c>
      <c r="C123" s="20" t="n">
        <v>365.129</v>
      </c>
      <c r="D123" s="20" t="n">
        <v>382.129</v>
      </c>
      <c r="E123" s="20" t="n">
        <v>764.545</v>
      </c>
      <c r="F123" s="20" t="n">
        <v>832.673</v>
      </c>
      <c r="G123" s="20" t="n">
        <v>856.371</v>
      </c>
      <c r="H123" s="20" t="n">
        <v>257</v>
      </c>
      <c r="I123" s="20" t="n">
        <v>269</v>
      </c>
      <c r="J123" s="20" t="n">
        <v>327.209</v>
      </c>
      <c r="K123" s="20" t="n">
        <v>351.129</v>
      </c>
      <c r="L123" s="20" t="n">
        <v>382.129</v>
      </c>
    </row>
    <row r="124">
      <c r="A124" s="9" t="inlineStr">
        <is>
          <t>비유동부채 합계</t>
        </is>
      </c>
      <c r="C124" s="12" t="n">
        <v>2042.569</v>
      </c>
      <c r="D124" s="12" t="n">
        <v>1914.51</v>
      </c>
      <c r="E124" s="12" t="n">
        <v>11327.572</v>
      </c>
      <c r="F124" s="12" t="n">
        <v>11422.941</v>
      </c>
      <c r="G124" s="12" t="n">
        <v>12710.609</v>
      </c>
      <c r="H124" s="12" t="n">
        <v>2145.808</v>
      </c>
      <c r="I124" s="12" t="n">
        <v>1750.498</v>
      </c>
      <c r="J124" s="12" t="n">
        <v>1356.621</v>
      </c>
      <c r="K124" s="12" t="n">
        <v>1785.044</v>
      </c>
      <c r="L124" s="12" t="n">
        <v>1914.51</v>
      </c>
    </row>
    <row r="125">
      <c r="A125" s="9" t="inlineStr">
        <is>
          <t>부채 합계</t>
        </is>
      </c>
      <c r="C125" s="12" t="n">
        <v>5225.034</v>
      </c>
      <c r="D125" s="12" t="n">
        <v>5567.39</v>
      </c>
      <c r="E125" s="12" t="n">
        <v>16698.191</v>
      </c>
      <c r="F125" s="12" t="n">
        <v>17951.974</v>
      </c>
      <c r="G125" s="12" t="n">
        <v>19799.167</v>
      </c>
      <c r="H125" s="12" t="n">
        <v>5546.327</v>
      </c>
      <c r="I125" s="12" t="n">
        <v>5663.799</v>
      </c>
      <c r="J125" s="12" t="n">
        <v>4793.917</v>
      </c>
      <c r="K125" s="12" t="n">
        <v>4861.825</v>
      </c>
      <c r="L125" s="12" t="n">
        <v>5567.39</v>
      </c>
    </row>
    <row r="126">
      <c r="A126" s="18" t="inlineStr">
        <is>
          <t>자본금</t>
        </is>
      </c>
      <c r="C126" s="20" t="n">
        <v>306.594</v>
      </c>
      <c r="D126" s="20" t="n">
        <v>306.594</v>
      </c>
      <c r="E126" s="20" t="n">
        <v>306.594</v>
      </c>
      <c r="F126" s="20" t="n">
        <v>306.594</v>
      </c>
      <c r="G126" s="20" t="n">
        <v>306.594</v>
      </c>
      <c r="H126" s="20" t="n">
        <v>305.961</v>
      </c>
      <c r="I126" s="20" t="n">
        <v>305.961</v>
      </c>
      <c r="J126" s="20" t="n">
        <v>306.594</v>
      </c>
      <c r="K126" s="20" t="n">
        <v>306.594</v>
      </c>
      <c r="L126" s="20" t="n">
        <v>306.594</v>
      </c>
    </row>
    <row r="127">
      <c r="A127" s="18" t="inlineStr">
        <is>
          <t>신주청약증거금</t>
        </is>
      </c>
      <c r="D127" s="20" t="n">
        <v>1000.001</v>
      </c>
      <c r="E127" s="20" t="n">
        <v>0</v>
      </c>
      <c r="F127" s="20" t="n">
        <v>0</v>
      </c>
      <c r="G127" s="20" t="n">
        <v>0</v>
      </c>
      <c r="K127" s="20" t="n">
        <v>0</v>
      </c>
      <c r="L127" s="20" t="n">
        <v>1000.001</v>
      </c>
    </row>
    <row r="128">
      <c r="A128" s="18" t="inlineStr">
        <is>
          <t>자본잉여금</t>
        </is>
      </c>
      <c r="C128" s="20" t="n">
        <v>844.972</v>
      </c>
      <c r="D128" s="20" t="n">
        <v>844.972</v>
      </c>
      <c r="E128" s="20" t="n">
        <v>4852.577</v>
      </c>
      <c r="F128" s="20" t="n">
        <v>4856.957</v>
      </c>
      <c r="G128" s="20" t="n">
        <v>4856.957</v>
      </c>
      <c r="H128" s="20" t="n">
        <v>828.388</v>
      </c>
      <c r="I128" s="20" t="n">
        <v>844.338</v>
      </c>
      <c r="J128" s="20" t="n">
        <v>844.972</v>
      </c>
      <c r="K128" s="20" t="n">
        <v>844.972</v>
      </c>
      <c r="L128" s="20" t="n">
        <v>844.972</v>
      </c>
    </row>
    <row r="129">
      <c r="A129" s="18" t="inlineStr">
        <is>
          <t>이익잉여금</t>
        </is>
      </c>
      <c r="C129" s="20" t="n">
        <v>2425.889</v>
      </c>
      <c r="D129" s="20" t="n">
        <v>2324.943</v>
      </c>
      <c r="E129" s="20" t="n">
        <v>2219.869</v>
      </c>
      <c r="F129" s="20" t="n">
        <v>2553.245</v>
      </c>
      <c r="G129" s="20" t="n">
        <v>2704.503</v>
      </c>
      <c r="H129" s="20" t="n">
        <v>520.6180000000001</v>
      </c>
      <c r="I129" s="20" t="n">
        <v>1172.65</v>
      </c>
      <c r="J129" s="20" t="n">
        <v>1438.924</v>
      </c>
      <c r="K129" s="20" t="n">
        <v>1699.825</v>
      </c>
      <c r="L129" s="20" t="n">
        <v>2324.943</v>
      </c>
    </row>
    <row r="130">
      <c r="A130" s="18" t="inlineStr">
        <is>
          <t>자기주식</t>
        </is>
      </c>
      <c r="C130" s="20" t="n">
        <v>-383.689</v>
      </c>
      <c r="D130" s="20" t="n">
        <v>-383.714</v>
      </c>
      <c r="E130" s="20" t="n">
        <v>-383.714</v>
      </c>
      <c r="F130" s="20" t="n">
        <v>-351.553</v>
      </c>
      <c r="G130" s="20" t="n">
        <v>-351.553</v>
      </c>
      <c r="H130" s="20" t="n">
        <v>-477.749</v>
      </c>
      <c r="I130" s="20" t="n">
        <v>-383.606</v>
      </c>
      <c r="J130" s="20" t="n">
        <v>-383.606</v>
      </c>
      <c r="K130" s="20" t="n">
        <v>-383.614</v>
      </c>
      <c r="L130" s="20" t="n">
        <v>-383.714</v>
      </c>
    </row>
    <row r="131">
      <c r="A131" s="9" t="inlineStr">
        <is>
          <t>주주자본 합계</t>
        </is>
      </c>
      <c r="C131" s="12" t="n">
        <v>3193.766</v>
      </c>
      <c r="D131" s="12" t="n">
        <v>4092.796</v>
      </c>
      <c r="E131" s="12" t="n">
        <v>6995.327</v>
      </c>
      <c r="F131" s="12" t="n">
        <v>7365.244</v>
      </c>
      <c r="G131" s="12" t="n">
        <v>7516.502</v>
      </c>
      <c r="H131" s="12" t="n">
        <v>1177.218</v>
      </c>
      <c r="I131" s="12" t="n">
        <v>1939.343</v>
      </c>
      <c r="J131" s="12" t="n">
        <v>2206.884</v>
      </c>
      <c r="K131" s="12" t="n">
        <v>2467.778</v>
      </c>
      <c r="L131" s="12" t="n">
        <v>4092.796</v>
      </c>
    </row>
    <row r="132">
      <c r="A132" s="18" t="inlineStr">
        <is>
          <t>비지배지분</t>
        </is>
      </c>
      <c r="C132" s="20" t="n">
        <v>26.193</v>
      </c>
      <c r="D132" s="20" t="n">
        <v>26.104</v>
      </c>
      <c r="E132" s="20" t="n">
        <v>27.836</v>
      </c>
      <c r="F132" s="20" t="n">
        <v>26.508</v>
      </c>
      <c r="G132" s="20" t="n">
        <v>27.923</v>
      </c>
      <c r="I132" s="20" t="n">
        <v>0</v>
      </c>
      <c r="J132" s="20" t="n">
        <v>8.73</v>
      </c>
      <c r="K132" s="20" t="n">
        <v>15.619</v>
      </c>
      <c r="L132" s="20" t="n">
        <v>26.104</v>
      </c>
    </row>
    <row r="133">
      <c r="A133" s="9" t="inlineStr">
        <is>
          <t>순자산 합계</t>
        </is>
      </c>
      <c r="C133" s="12" t="n">
        <v>3219.96</v>
      </c>
      <c r="D133" s="12" t="n">
        <v>4118.901</v>
      </c>
      <c r="E133" s="12" t="n">
        <v>7023.163</v>
      </c>
      <c r="F133" s="12" t="n">
        <v>7391.753</v>
      </c>
      <c r="G133" s="12" t="n">
        <v>7544.425</v>
      </c>
      <c r="H133" s="12" t="n">
        <v>1177.218</v>
      </c>
      <c r="I133" s="12" t="n">
        <v>1939.343</v>
      </c>
      <c r="J133" s="12" t="n">
        <v>2215.615</v>
      </c>
      <c r="K133" s="12" t="n">
        <v>2483.397</v>
      </c>
      <c r="L133" s="12" t="n">
        <v>4118.901</v>
      </c>
    </row>
    <row r="134">
      <c r="A134" s="9" t="inlineStr">
        <is>
          <t>부채·순자산 합계</t>
        </is>
      </c>
      <c r="C134" s="12" t="n">
        <v>8444.994000000001</v>
      </c>
      <c r="D134" s="12" t="n">
        <v>9686.291999999999</v>
      </c>
      <c r="E134" s="12" t="n">
        <v>23721.355</v>
      </c>
      <c r="F134" s="12" t="n">
        <v>25343.728</v>
      </c>
      <c r="G134" s="12" t="n">
        <v>27343.592</v>
      </c>
      <c r="H134" s="12" t="n">
        <v>6723.546</v>
      </c>
      <c r="I134" s="12" t="n">
        <v>7603.143</v>
      </c>
      <c r="J134" s="12" t="n">
        <v>7009.532</v>
      </c>
      <c r="K134" s="12" t="n">
        <v>7345.222</v>
      </c>
      <c r="L134" s="12" t="n">
        <v>9686.291999999999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유니시아홀딩스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company 예상 fy26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364</v>
      </c>
      <c r="C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13.4</v>
      </c>
    </row>
    <row r="8">
      <c r="A8" s="54" t="inlineStr">
        <is>
          <t>ord</t>
        </is>
      </c>
      <c r="B8" s="55" t="n">
        <v>12.4</v>
      </c>
    </row>
    <row r="9">
      <c r="A9" s="54" t="inlineStr">
        <is>
          <t>순이익</t>
        </is>
      </c>
      <c r="B9" s="55" t="n">
        <v>5</v>
      </c>
    </row>
    <row r="10">
      <c r="A10" s="54" t="inlineStr">
        <is>
          <t>EPS</t>
        </is>
      </c>
      <c r="B10" s="55" t="n">
        <v>54.47</v>
      </c>
    </row>
    <row r="12">
      <c r="A12" s="52" t="inlineStr">
        <is>
          <t>company 예상 fy26 · initial 2026 01 14</t>
        </is>
      </c>
      <c r="B12" s="52" t="n"/>
      <c r="C12" s="52" t="n"/>
    </row>
    <row r="13">
      <c r="A13" s="53" t="inlineStr">
        <is>
          <t>항목</t>
        </is>
      </c>
      <c r="B13" s="53" t="inlineStr">
        <is>
          <t>값</t>
        </is>
      </c>
      <c r="C13" s="53" t="inlineStr">
        <is>
          <t>출처</t>
        </is>
      </c>
    </row>
    <row r="14">
      <c r="A14" s="54" t="inlineStr">
        <is>
          <t>매출</t>
        </is>
      </c>
      <c r="B14" s="55" t="n">
        <v>361.4</v>
      </c>
      <c r="C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10</v>
      </c>
    </row>
    <row r="16">
      <c r="A16" s="54" t="inlineStr">
        <is>
          <t>순이익</t>
        </is>
      </c>
      <c r="B16" s="55" t="n">
        <v>4.2</v>
      </c>
    </row>
    <row r="17">
      <c r="A17" s="54" t="inlineStr">
        <is>
          <t>EPS</t>
        </is>
      </c>
      <c r="B17" s="55" t="n">
        <v>45.76</v>
      </c>
    </row>
    <row r="19">
      <c r="A19" s="52" t="inlineStr">
        <is>
          <t>컨센서스</t>
        </is>
      </c>
      <c r="B19" s="52" t="n"/>
      <c r="C19" s="52" t="n"/>
    </row>
    <row r="20">
      <c r="A20" s="53" t="inlineStr">
        <is>
          <t>항목</t>
        </is>
      </c>
      <c r="B20" s="53" t="inlineStr">
        <is>
          <t>값</t>
        </is>
      </c>
      <c r="C20" s="53" t="inlineStr">
        <is>
          <t>출처</t>
        </is>
      </c>
    </row>
    <row r="21">
      <c r="A21" s="54" t="inlineStr">
        <is>
          <t>애널리스트 수</t>
        </is>
      </c>
      <c r="B21" s="57" t="n">
        <v>2</v>
      </c>
      <c r="C21" s="56" t="inlineStr">
        <is>
          <t>2단계 보고서 자료(회사 설명회 자료·공시)</t>
        </is>
      </c>
    </row>
    <row r="22">
      <c r="A22" s="54" t="inlineStr">
        <is>
          <t>fy26 매출</t>
        </is>
      </c>
      <c r="B22" s="55" t="n">
        <v>366</v>
      </c>
    </row>
    <row r="23">
      <c r="A23" s="54" t="inlineStr">
        <is>
          <t>fy26 EPS</t>
        </is>
      </c>
      <c r="B23" s="55" t="n">
        <v>54</v>
      </c>
    </row>
    <row r="24">
      <c r="A24" s="54" t="inlineStr">
        <is>
          <t>fy27 매출</t>
        </is>
      </c>
      <c r="B24" s="55" t="n">
        <v>415.7</v>
      </c>
    </row>
    <row r="25">
      <c r="A25" s="54" t="inlineStr">
        <is>
          <t>fy27 EPS</t>
        </is>
      </c>
      <c r="B25" s="55" t="n">
        <v>72</v>
      </c>
    </row>
    <row r="26">
      <c r="A26" s="54" t="inlineStr">
        <is>
          <t>4Q 매출</t>
        </is>
      </c>
      <c r="B26" s="55" t="n">
        <v>96.40000000000001</v>
      </c>
    </row>
    <row r="27">
      <c r="A27" s="54" t="inlineStr">
        <is>
          <t>목표주가 가격</t>
        </is>
      </c>
      <c r="B27" s="57" t="n">
        <v>2300</v>
      </c>
    </row>
    <row r="29">
      <c r="A29" s="52" t="inlineStr">
        <is>
          <t>PER band 3y</t>
        </is>
      </c>
      <c r="B29" s="52" t="n"/>
      <c r="C29" s="52" t="n"/>
    </row>
    <row r="30">
      <c r="A30" s="53" t="inlineStr">
        <is>
          <t>항목</t>
        </is>
      </c>
      <c r="B30" s="53" t="inlineStr">
        <is>
          <t>값</t>
        </is>
      </c>
      <c r="C30" s="53" t="inlineStr">
        <is>
          <t>출처</t>
        </is>
      </c>
    </row>
    <row r="31">
      <c r="A31" s="54" t="inlineStr">
        <is>
          <t>lo</t>
        </is>
      </c>
      <c r="B31" s="55" t="n">
        <v>19.4</v>
      </c>
      <c r="C31" s="56" t="inlineStr">
        <is>
          <t>2단계 보고서 자료(회사 설명회 자료·공시)</t>
        </is>
      </c>
    </row>
    <row r="32">
      <c r="A32" s="54" t="inlineStr">
        <is>
          <t>avg</t>
        </is>
      </c>
      <c r="B32" s="55" t="n">
        <v>33.1</v>
      </c>
    </row>
    <row r="33">
      <c r="A33" s="54" t="inlineStr">
        <is>
          <t>hi</t>
        </is>
      </c>
      <c r="B33" s="55" t="n">
        <v>53.8</v>
      </c>
    </row>
    <row r="35">
      <c r="A35" s="52" t="inlineStr">
        <is>
          <t>월차 기존점 YoY q</t>
        </is>
      </c>
      <c r="B35" s="52" t="n"/>
      <c r="C35" s="52" t="n"/>
    </row>
    <row r="36">
      <c r="A36" s="53" t="inlineStr">
        <is>
          <t>항목</t>
        </is>
      </c>
      <c r="B36" s="53" t="inlineStr">
        <is>
          <t>값</t>
        </is>
      </c>
      <c r="C36" s="53" t="inlineStr">
        <is>
          <t>출처</t>
        </is>
      </c>
    </row>
    <row r="37">
      <c r="A37" s="54" t="inlineStr">
        <is>
          <t>2025.1Q</t>
        </is>
      </c>
      <c r="B37" s="55" t="n">
        <v>10.1</v>
      </c>
      <c r="C37" s="56" t="inlineStr">
        <is>
          <t>2단계 보고서 자료(회사 설명회 자료·공시)</t>
        </is>
      </c>
    </row>
    <row r="38">
      <c r="A38" s="54" t="inlineStr">
        <is>
          <t>2025.2Q</t>
        </is>
      </c>
      <c r="B38" s="55" t="n">
        <v>8.5</v>
      </c>
    </row>
    <row r="39">
      <c r="A39" s="54" t="inlineStr">
        <is>
          <t>2025.3Q</t>
        </is>
      </c>
      <c r="B39" s="55" t="n">
        <v>15.9</v>
      </c>
    </row>
    <row r="40">
      <c r="A40" s="54" t="inlineStr">
        <is>
          <t>2025.4Q</t>
        </is>
      </c>
      <c r="B40" s="55" t="n">
        <v>17.9</v>
      </c>
    </row>
    <row r="41">
      <c r="A41" s="54" t="inlineStr">
        <is>
          <t>2026.1Q</t>
        </is>
      </c>
      <c r="B41" s="55" t="n">
        <v>16.8</v>
      </c>
    </row>
    <row r="42">
      <c r="A42" s="54" t="inlineStr">
        <is>
          <t>2026.2Q</t>
        </is>
      </c>
      <c r="B42" s="55" t="n">
        <v>12.5</v>
      </c>
    </row>
    <row r="43">
      <c r="A43" s="54" t="inlineStr">
        <is>
          <t>2026.3Q</t>
        </is>
      </c>
      <c r="B43" s="55" t="n">
        <v>1.5</v>
      </c>
    </row>
    <row r="44">
      <c r="A44" s="54" t="inlineStr">
        <is>
          <t>2026.4Q</t>
        </is>
      </c>
      <c r="B44" s="55" t="n">
        <v>3</v>
      </c>
    </row>
    <row r="46">
      <c r="A46" s="52" t="inlineStr">
        <is>
          <t>kushi seg 매출 YoY</t>
        </is>
      </c>
      <c r="B46" s="52" t="n"/>
      <c r="C46" s="52" t="n"/>
    </row>
    <row r="47">
      <c r="A47" s="53" t="inlineStr">
        <is>
          <t>항목</t>
        </is>
      </c>
      <c r="B47" s="53" t="inlineStr">
        <is>
          <t>값</t>
        </is>
      </c>
      <c r="C47" s="53" t="inlineStr">
        <is>
          <t>출처</t>
        </is>
      </c>
    </row>
    <row r="48">
      <c r="A48" s="54" t="inlineStr">
        <is>
          <t>2025.1Q</t>
        </is>
      </c>
      <c r="B48" s="55" t="n">
        <v>11.9</v>
      </c>
      <c r="C48" s="56" t="inlineStr">
        <is>
          <t>2단계 보고서 자료(회사 설명회 자료·공시)</t>
        </is>
      </c>
    </row>
    <row r="49">
      <c r="A49" s="54" t="inlineStr">
        <is>
          <t>2025.2Q</t>
        </is>
      </c>
      <c r="B49" s="55" t="n">
        <v>12.6</v>
      </c>
    </row>
    <row r="50">
      <c r="A50" s="54" t="inlineStr">
        <is>
          <t>2025.3Q</t>
        </is>
      </c>
      <c r="B50" s="55" t="n">
        <v>19.1</v>
      </c>
    </row>
    <row r="51">
      <c r="A51" s="54" t="inlineStr">
        <is>
          <t>2025.4Q</t>
        </is>
      </c>
      <c r="B51" s="55" t="n">
        <v>21</v>
      </c>
    </row>
    <row r="52">
      <c r="A52" s="54" t="inlineStr">
        <is>
          <t>2026.1Q</t>
        </is>
      </c>
      <c r="B52" s="55" t="n">
        <v>21.5</v>
      </c>
    </row>
    <row r="53">
      <c r="A53" s="54" t="inlineStr">
        <is>
          <t>2026.2Q</t>
        </is>
      </c>
      <c r="B53" s="55" t="n">
        <v>17.5</v>
      </c>
    </row>
    <row r="54">
      <c r="A54" s="54" t="inlineStr">
        <is>
          <t>2026.3Q</t>
        </is>
      </c>
      <c r="B54" s="55" t="n">
        <v>7.6</v>
      </c>
    </row>
    <row r="56">
      <c r="A56" s="52" t="inlineStr">
        <is>
          <t>비교 기업 PER now</t>
        </is>
      </c>
      <c r="B56" s="52" t="n"/>
      <c r="C56" s="52" t="n"/>
    </row>
    <row r="57">
      <c r="A57" s="53" t="inlineStr">
        <is>
          <t>항목</t>
        </is>
      </c>
      <c r="B57" s="53" t="inlineStr">
        <is>
          <t>값</t>
        </is>
      </c>
      <c r="C57" s="53" t="inlineStr">
        <is>
          <t>출처</t>
        </is>
      </c>
    </row>
    <row r="58">
      <c r="A58" s="54" t="inlineStr">
        <is>
          <t>3547</t>
        </is>
      </c>
      <c r="B58" s="55" t="n">
        <v>42.1</v>
      </c>
      <c r="C58" s="56" t="inlineStr">
        <is>
          <t>2단계 보고서 자료(회사 설명회 자료·공시)</t>
        </is>
      </c>
    </row>
    <row r="59">
      <c r="A59" s="54" t="inlineStr">
        <is>
          <t>3193</t>
        </is>
      </c>
      <c r="B59" s="55" t="n">
        <v>16.1</v>
      </c>
    </row>
    <row r="60">
      <c r="A60" s="54" t="inlineStr">
        <is>
          <t>7581</t>
        </is>
      </c>
      <c r="B60" s="55" t="n">
        <v>28.6</v>
      </c>
    </row>
    <row r="61">
      <c r="A61" s="54" t="inlineStr">
        <is>
          <t>3197</t>
        </is>
      </c>
      <c r="B61" s="55" t="n">
        <v>39.2</v>
      </c>
    </row>
    <row r="62">
      <c r="A62" s="54" t="inlineStr">
        <is>
          <t>3097</t>
        </is>
      </c>
      <c r="B62" s="55" t="n">
        <v>26.1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2026년 11월 결산기 ３분기 결산단신</t>
        </is>
      </c>
      <c r="C4" t="inlineStr">
        <is>
          <t>https://www2.jpx.co.jp/disc/35470/140120261015551083.pdf</t>
        </is>
      </c>
    </row>
    <row r="5">
      <c r="A5" t="inlineStr">
        <is>
          <t>2026-07-15</t>
        </is>
      </c>
      <c r="B5" t="inlineStr">
        <is>
          <t>2026년 11월 결산기 ２분기 결산단신</t>
        </is>
      </c>
      <c r="C5" t="inlineStr">
        <is>
          <t>https://www2.jpx.co.jp/disc/35470/140120260715594631.pdf</t>
        </is>
      </c>
    </row>
    <row r="6">
      <c r="A6" t="inlineStr">
        <is>
          <t>2026-04-14</t>
        </is>
      </c>
      <c r="B6" t="inlineStr">
        <is>
          <t>2026년 11월 결산기 １분기 결산단신</t>
        </is>
      </c>
      <c r="C6" t="inlineStr">
        <is>
          <t>https://www2.jpx.co.jp/disc/35470/140120260414504181.pdf</t>
        </is>
      </c>
    </row>
    <row r="7">
      <c r="A7" t="inlineStr">
        <is>
          <t>2026-01-14</t>
        </is>
      </c>
      <c r="B7" t="inlineStr">
        <is>
          <t>2025년 11월 결산기 연간 결산단신</t>
        </is>
      </c>
      <c r="C7" t="inlineStr">
        <is>
          <t>https://www2.jpx.co.jp/disc/35470/140120260114534073.pdf</t>
        </is>
      </c>
    </row>
    <row r="8">
      <c r="A8" t="inlineStr">
        <is>
          <t>2025-10-15</t>
        </is>
      </c>
      <c r="B8" t="inlineStr">
        <is>
          <t>2025년 11월 결산기 ３분기 결산단신</t>
        </is>
      </c>
      <c r="C8" t="inlineStr">
        <is>
          <t>https://www2.jpx.co.jp/disc/35470/140120251015574060.pdf</t>
        </is>
      </c>
    </row>
    <row r="9">
      <c r="A9" t="inlineStr">
        <is>
          <t>2025-07-15</t>
        </is>
      </c>
      <c r="B9" t="inlineStr">
        <is>
          <t>2025년 11월 결산기 ２분기 결산단신</t>
        </is>
      </c>
      <c r="C9" t="inlineStr">
        <is>
          <t>https://www2.jpx.co.jp/disc/35470/140120250715514745.pdf</t>
        </is>
      </c>
    </row>
    <row r="10">
      <c r="A10" t="inlineStr">
        <is>
          <t>2025-04-14</t>
        </is>
      </c>
      <c r="B10" t="inlineStr">
        <is>
          <t>2025년 11월 결산기 １분기 결산단신</t>
        </is>
      </c>
      <c r="C10" t="inlineStr">
        <is>
          <t>https://www2.jpx.co.jp/disc/35470/140120250414515176.pdf</t>
        </is>
      </c>
    </row>
    <row r="11">
      <c r="A11" t="inlineStr">
        <is>
          <t>2025-01-14</t>
        </is>
      </c>
      <c r="B11" t="inlineStr">
        <is>
          <t>2024년 11월 결산기 연간 결산단신</t>
        </is>
      </c>
      <c r="C11" t="inlineStr">
        <is>
          <t>https://www2.jpx.co.jp/disc/35470/140120250110549348.pdf</t>
        </is>
      </c>
    </row>
    <row r="12">
      <c r="A12" t="inlineStr">
        <is>
          <t>2024-10-15</t>
        </is>
      </c>
      <c r="B12" t="inlineStr">
        <is>
          <t>2024년 11월 결산기 ３분기 결산단신</t>
        </is>
      </c>
      <c r="C12" t="inlineStr">
        <is>
          <t>https://www2.jpx.co.jp/disc/35470/140120241015598370.pdf</t>
        </is>
      </c>
    </row>
    <row r="13">
      <c r="A13" t="inlineStr">
        <is>
          <t>2024-07-12</t>
        </is>
      </c>
      <c r="B13" t="inlineStr">
        <is>
          <t>2024년 11월 결산기 ２분기 결산단신</t>
        </is>
      </c>
      <c r="C13" t="inlineStr">
        <is>
          <t>https://www2.jpx.co.jp/disc/35470/140120240712549102.pdf</t>
        </is>
      </c>
    </row>
    <row r="14">
      <c r="A14" t="inlineStr">
        <is>
          <t>2024-04-15</t>
        </is>
      </c>
      <c r="B14" t="inlineStr">
        <is>
          <t>2024년 11월 결산기 １분기 결산단신</t>
        </is>
      </c>
      <c r="C14" t="inlineStr">
        <is>
          <t>https://www2.jpx.co.jp/disc/35470/140120240415571222.pdf</t>
        </is>
      </c>
    </row>
    <row r="15">
      <c r="A15" t="inlineStr">
        <is>
          <t>2024-01-15</t>
        </is>
      </c>
      <c r="B15" t="inlineStr">
        <is>
          <t>2023년 11월 결산기 연간 결산단신</t>
        </is>
      </c>
      <c r="C15" t="inlineStr">
        <is>
          <t>https://www2.jpx.co.jp/disc/35470/140120240115515373.pdf</t>
        </is>
      </c>
    </row>
    <row r="16">
      <c r="A16" t="inlineStr">
        <is>
          <t>2023-10-13</t>
        </is>
      </c>
      <c r="B16" t="inlineStr">
        <is>
          <t>2023년 11월 결산기 ３분기 결산단신</t>
        </is>
      </c>
      <c r="C16" t="inlineStr">
        <is>
          <t>https://www2.jpx.co.jp/disc/35470/140120231013566877.pdf</t>
        </is>
      </c>
    </row>
    <row r="17">
      <c r="A17" t="inlineStr">
        <is>
          <t>2023-07-14</t>
        </is>
      </c>
      <c r="B17" t="inlineStr">
        <is>
          <t>2023년 11월 결산기 ２분기 결산단신</t>
        </is>
      </c>
      <c r="C17" t="inlineStr">
        <is>
          <t>https://www2.jpx.co.jp/disc/35470/140120230714522878.pdf</t>
        </is>
      </c>
    </row>
    <row r="18">
      <c r="A18" t="inlineStr">
        <is>
          <t>2023-04-14</t>
        </is>
      </c>
      <c r="B18" t="inlineStr">
        <is>
          <t>2023년 11월 결산기 １분기 결산단신</t>
        </is>
      </c>
      <c r="C18" t="inlineStr">
        <is>
          <t>https://www2.jpx.co.jp/disc/35470/140120230414547880.pdf</t>
        </is>
      </c>
    </row>
    <row r="19">
      <c r="A19" t="inlineStr">
        <is>
          <t>2023-01-13</t>
        </is>
      </c>
      <c r="B19" t="inlineStr">
        <is>
          <t>2022년 11월 결산기 연간 결산단신</t>
        </is>
      </c>
      <c r="C19" t="inlineStr">
        <is>
          <t>https://www2.jpx.co.jp/disc/35470/140120230113589428.pdf</t>
        </is>
      </c>
    </row>
    <row r="20">
      <c r="A20" t="inlineStr">
        <is>
          <t>2022-01-14</t>
        </is>
      </c>
      <c r="B20" t="inlineStr">
        <is>
          <t>2021년 11월 결산기 연간 결산단신</t>
        </is>
      </c>
      <c r="C20" t="inlineStr">
        <is>
          <t>https://www2.jpx.co.jp/disc/35470/140120220114567773.pdf</t>
        </is>
      </c>
    </row>
    <row r="21">
      <c r="A21" t="inlineStr">
        <is>
          <t>2021-01-15</t>
        </is>
      </c>
      <c r="B21" t="inlineStr">
        <is>
          <t>2020년 11월 결산기 연간 결산단신</t>
        </is>
      </c>
      <c r="C21" t="inlineStr">
        <is>
          <t>https://www2.jpx.co.jp/disc/35470/140120210115444780.pdf</t>
        </is>
      </c>
    </row>
    <row r="22">
      <c r="A22" t="inlineStr">
        <is>
          <t>2020-01-14</t>
        </is>
      </c>
      <c r="B22" t="inlineStr">
        <is>
          <t>2019년 11월 결산기 연간 결산단신</t>
        </is>
      </c>
      <c r="C22" t="inlineStr">
        <is>
          <t>https://www2.jpx.co.jp/disc/35470/140120200114446605.pdf</t>
        </is>
      </c>
    </row>
    <row r="23">
      <c r="A23" t="inlineStr">
        <is>
          <t>2019-01-15</t>
        </is>
      </c>
      <c r="B23" t="inlineStr">
        <is>
          <t>2018년 11월 결산기 연간 결산단신</t>
        </is>
      </c>
      <c r="C23" t="inlineStr">
        <is>
          <t>https://www2.jpx.co.jp/disc/35470/140120190115459907.pdf</t>
        </is>
      </c>
    </row>
    <row r="24">
      <c r="A24" t="inlineStr">
        <is>
          <t>2018-01-12</t>
        </is>
      </c>
      <c r="B24" t="inlineStr">
        <is>
          <t>연간 결산단신</t>
        </is>
      </c>
      <c r="C24" t="inlineStr">
        <is>
          <t>https://www2.jpx.co.jp/disc/35470/140120180112449842.pdf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2026-10-28T07:02:12Z</dcterms:created>
  <dcterms:modified xmlns:dcterms="http://purl.org/dc/terms/" xmlns:xsi="http://www.w3.org/2001/XMLSchema-instance" xsi:type="dcterms:W3CDTF">2026-10-28T07:02:12Z</dcterms:modified>
</cp:coreProperties>
</file>