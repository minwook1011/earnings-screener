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6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3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7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4" fillId="8" borderId="0" applyAlignment="1" pivotButton="0" quotePrefix="0" xfId="0">
      <alignment horizontal="center"/>
    </xf>
    <xf numFmtId="0" fontId="25" fillId="0" borderId="0" pivotButton="0" quotePrefix="0" xfId="0"/>
    <xf numFmtId="3" fontId="25" fillId="0" borderId="0" pivotButton="0" quotePrefix="0" xfId="0"/>
    <xf numFmtId="170" fontId="25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25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44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9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6099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12월 결산 · 일본 기준 · 2026.3Q = 2026년 12월 결산기 3분기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2023.4Q</t>
        </is>
      </c>
      <c r="D3" s="5" t="inlineStr">
        <is>
          <t>2024.1Q</t>
        </is>
      </c>
      <c r="E3" s="5" t="inlineStr">
        <is>
          <t>2024.2Q</t>
        </is>
      </c>
      <c r="F3" s="5" t="inlineStr">
        <is>
          <t>2024.3Q</t>
        </is>
      </c>
      <c r="G3" s="5" t="inlineStr">
        <is>
          <t>2024.4Q</t>
        </is>
      </c>
      <c r="H3" s="5" t="inlineStr">
        <is>
          <t>2025.1Q</t>
        </is>
      </c>
      <c r="I3" s="5" t="inlineStr">
        <is>
          <t>2025.2Q</t>
        </is>
      </c>
      <c r="J3" s="5" t="inlineStr">
        <is>
          <t>2025.3Q</t>
        </is>
      </c>
      <c r="K3" s="5" t="inlineStr">
        <is>
          <t>2025.4Q</t>
        </is>
      </c>
      <c r="L3" s="5" t="inlineStr">
        <is>
          <t>2026.1Q</t>
        </is>
      </c>
      <c r="M3" s="5" t="inlineStr">
        <is>
          <t>2026.2Q</t>
        </is>
      </c>
      <c r="N3" s="5" t="inlineStr">
        <is>
          <t>2026.3Q</t>
        </is>
      </c>
      <c r="O3" s="6" t="inlineStr">
        <is>
          <t>2016</t>
        </is>
      </c>
      <c r="P3" s="5" t="inlineStr">
        <is>
          <t>2017</t>
        </is>
      </c>
      <c r="Q3" s="5" t="inlineStr">
        <is>
          <t>2018</t>
        </is>
      </c>
      <c r="R3" s="5" t="inlineStr">
        <is>
          <t>2019</t>
        </is>
      </c>
      <c r="S3" s="5" t="inlineStr">
        <is>
          <t>2020</t>
        </is>
      </c>
      <c r="T3" s="5" t="inlineStr">
        <is>
          <t>2021</t>
        </is>
      </c>
      <c r="U3" s="5" t="inlineStr">
        <is>
          <t>2022</t>
        </is>
      </c>
      <c r="V3" s="5" t="inlineStr">
        <is>
          <t>2023</t>
        </is>
      </c>
      <c r="W3" s="5" t="inlineStr">
        <is>
          <t>2024</t>
        </is>
      </c>
      <c r="X3" s="5" t="inlineStr">
        <is>
          <t>2025</t>
        </is>
      </c>
      <c r="Y3" s="7" t="inlineStr">
        <is>
          <t>2026(MW)</t>
        </is>
      </c>
      <c r="Z3" s="8" t="inlineStr">
        <is>
          <t>2027(MW)</t>
        </is>
      </c>
      <c r="AA3" s="8" t="inlineStr">
        <is>
          <t>2028(MW)</t>
        </is>
      </c>
      <c r="AB3" s="8" t="inlineStr">
        <is>
          <t>2029(MW)</t>
        </is>
      </c>
      <c r="AC3" s="8" t="inlineStr">
        <is>
          <t>2030(MW)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10999.252</v>
      </c>
      <c r="D4" s="12" t="n">
        <v>11486.616</v>
      </c>
      <c r="E4" s="12" t="n">
        <v>11358.015</v>
      </c>
      <c r="F4" s="12" t="n">
        <v>12002.76</v>
      </c>
      <c r="G4" s="12" t="n">
        <v>12264.753</v>
      </c>
      <c r="H4" s="12" t="n">
        <v>13433.555</v>
      </c>
      <c r="I4" s="12" t="n">
        <v>13406.874</v>
      </c>
      <c r="J4" s="12" t="n">
        <v>13898.784</v>
      </c>
      <c r="K4" s="12" t="n">
        <v>12245.693</v>
      </c>
      <c r="L4" s="12" t="n">
        <v>14762.993</v>
      </c>
      <c r="M4" s="12" t="n">
        <v>14762.994</v>
      </c>
      <c r="N4" s="12" t="n">
        <v>15507.277</v>
      </c>
      <c r="O4" s="11" t="n">
        <v>11407.598</v>
      </c>
      <c r="P4" s="12" t="n">
        <v>13971.712</v>
      </c>
      <c r="Q4" s="12" t="n">
        <v>18585.306</v>
      </c>
      <c r="R4" s="12" t="n">
        <v>18948.34</v>
      </c>
      <c r="S4" s="12" t="n">
        <v>26055.807</v>
      </c>
      <c r="T4" s="12" t="n">
        <v>31608.553</v>
      </c>
      <c r="U4" s="12" t="n">
        <v>36203.339</v>
      </c>
      <c r="V4" s="12" t="n">
        <v>41425.501</v>
      </c>
      <c r="W4" s="12" t="n">
        <v>47112.144</v>
      </c>
      <c r="X4" s="12" t="n">
        <v>52984.906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8417.694</v>
      </c>
      <c r="D11" s="22" t="n">
        <v>8665.865</v>
      </c>
      <c r="E11" s="22" t="n">
        <v>8806.290000000001</v>
      </c>
      <c r="F11" s="22" t="n">
        <v>9384.545</v>
      </c>
      <c r="G11" s="22" t="n">
        <v>10047.03</v>
      </c>
      <c r="H11" s="22" t="n">
        <v>10439.713</v>
      </c>
      <c r="I11" s="22" t="n">
        <v>10633.752</v>
      </c>
      <c r="J11" s="22" t="n">
        <v>11028.137</v>
      </c>
      <c r="K11" s="22" t="n">
        <v>10046.526</v>
      </c>
      <c r="L11" s="22" t="n">
        <v>11365.114</v>
      </c>
      <c r="M11" s="22" t="n">
        <v>11478.584</v>
      </c>
      <c r="N11" s="22" t="n">
        <v>12136.291</v>
      </c>
      <c r="O11" s="21" t="n">
        <v>8379.227000000001</v>
      </c>
      <c r="P11" s="22" t="n">
        <v>10492.312</v>
      </c>
      <c r="Q11" s="22" t="n">
        <v>13758.175</v>
      </c>
      <c r="R11" s="22" t="n">
        <v>14237.687</v>
      </c>
      <c r="S11" s="22" t="n">
        <v>19492.664</v>
      </c>
      <c r="T11" s="22" t="n">
        <v>23743.809</v>
      </c>
      <c r="U11" s="22" t="n">
        <v>27195.447</v>
      </c>
      <c r="V11" s="22" t="n">
        <v>31674.226</v>
      </c>
      <c r="W11" s="22" t="n">
        <v>36903.73</v>
      </c>
      <c r="X11" s="22" t="n">
        <v>42148.128</v>
      </c>
      <c r="Y11" s="21" t="n"/>
      <c r="Z11" s="22" t="n"/>
      <c r="AA11" s="22" t="n"/>
      <c r="AB11" s="22" t="n"/>
      <c r="AC11" s="22" t="n"/>
    </row>
    <row r="12">
      <c r="A12" s="15" t="inlineStr">
        <is>
          <t>YoY</t>
        </is>
      </c>
      <c r="B12" s="10" t="n"/>
      <c r="C12" s="16" t="n"/>
      <c r="D12" s="17" t="n"/>
      <c r="E12" s="17" t="n"/>
      <c r="F12" s="17" t="n"/>
      <c r="G12" s="17">
        <f>IF(OR(G11="",C11=""),"",IF(C11&lt;=0,"",IFERROR(G11/C11-1,"")))</f>
        <v/>
      </c>
      <c r="H12" s="17">
        <f>IF(OR(H11="",D11=""),"",IF(D11&lt;=0,"",IFERROR(H11/D11-1,"")))</f>
        <v/>
      </c>
      <c r="I12" s="17">
        <f>IF(OR(I11="",E11=""),"",IF(E11&lt;=0,"",IFERROR(I11/E11-1,"")))</f>
        <v/>
      </c>
      <c r="J12" s="17">
        <f>IF(OR(J11="",F11=""),"",IF(F11&lt;=0,"",IFERROR(J11/F11-1,"")))</f>
        <v/>
      </c>
      <c r="K12" s="17">
        <f>IF(OR(K11="",G11=""),"",IF(G11&lt;=0,"",IFERROR(K11/G11-1,"")))</f>
        <v/>
      </c>
      <c r="L12" s="17">
        <f>IF(OR(L11="",H11=""),"",IF(H11&lt;=0,"",IFERROR(L11/H11-1,"")))</f>
        <v/>
      </c>
      <c r="M12" s="17">
        <f>IF(OR(M11="",I11=""),"",IF(I11&lt;=0,"",IFERROR(M11/I11-1,"")))</f>
        <v/>
      </c>
      <c r="N12" s="17">
        <f>IF(OR(N11="",J11=""),"",IF(J11&lt;=0,"",IFERROR(N11/J11-1,"")))</f>
        <v/>
      </c>
      <c r="O12" s="16" t="n"/>
      <c r="P12" s="17">
        <f>IF(OR(P11="",O11=""),"",IF(O11&lt;=0,"",IFERROR(P11/O11-1,"")))</f>
        <v/>
      </c>
      <c r="Q12" s="17">
        <f>IF(OR(Q11="",P11=""),"",IF(P11&lt;=0,"",IFERROR(Q11/P11-1,"")))</f>
        <v/>
      </c>
      <c r="R12" s="17">
        <f>IF(OR(R11="",Q11=""),"",IF(Q11&lt;=0,"",IFERROR(R11/Q11-1,"")))</f>
        <v/>
      </c>
      <c r="S12" s="17">
        <f>IF(OR(S11="",R11=""),"",IF(R11&lt;=0,"",IFERROR(S11/R11-1,"")))</f>
        <v/>
      </c>
      <c r="T12" s="17">
        <f>IF(OR(T11="",S11=""),"",IF(S11&lt;=0,"",IFERROR(T11/S11-1,"")))</f>
        <v/>
      </c>
      <c r="U12" s="17">
        <f>IF(OR(U11="",T11=""),"",IF(T11&lt;=0,"",IFERROR(U11/T11-1,"")))</f>
        <v/>
      </c>
      <c r="V12" s="17">
        <f>IF(OR(V11="",U11=""),"",IF(U11&lt;=0,"",IFERROR(V11/U11-1,"")))</f>
        <v/>
      </c>
      <c r="W12" s="17">
        <f>IF(OR(W11="",V11=""),"",IF(V11&lt;=0,"",IFERROR(W11/V11-1,"")))</f>
        <v/>
      </c>
      <c r="X12" s="17">
        <f>IF(OR(X11="",W11=""),"",IF(W11&lt;=0,"",IFERROR(X11/W11-1,"")))</f>
        <v/>
      </c>
      <c r="Y12" s="16">
        <f>IF(OR(Y11="",X11=""),"",IF(X11&lt;=0,"",IFERROR(Y11/X11-1,"")))</f>
        <v/>
      </c>
      <c r="Z12" s="17">
        <f>IF(OR(Z11="",Y11=""),"",IF(Y11&lt;=0,"",IFERROR(Z11/Y11-1,"")))</f>
        <v/>
      </c>
      <c r="AA12" s="17">
        <f>IF(OR(AA11="",Z11=""),"",IF(Z11&lt;=0,"",IFERROR(AA11/Z11-1,"")))</f>
        <v/>
      </c>
      <c r="AB12" s="17">
        <f>IF(OR(AB11="",AA11=""),"",IF(AA11&lt;=0,"",IFERROR(AB11/AA11-1,"")))</f>
        <v/>
      </c>
      <c r="AC12" s="17">
        <f>IF(OR(AC11="",AB11=""),"",IF(AB11&lt;=0,"",IFERROR(AC11/AB11-1,"")))</f>
        <v/>
      </c>
    </row>
    <row r="13">
      <c r="A13" s="20" t="inlineStr">
        <is>
          <t>매출총이익</t>
        </is>
      </c>
      <c r="B13" s="10" t="n"/>
      <c r="C13" s="21">
        <f>IF(OR(C4="",C11=""),"",IFERROR(C4-C11,""))</f>
        <v/>
      </c>
      <c r="D13" s="22">
        <f>IF(OR(D4="",D11=""),"",IFERROR(D4-D11,""))</f>
        <v/>
      </c>
      <c r="E13" s="22">
        <f>IF(OR(E4="",E11=""),"",IFERROR(E4-E11,""))</f>
        <v/>
      </c>
      <c r="F13" s="22">
        <f>IF(OR(F4="",F11=""),"",IFERROR(F4-F11,""))</f>
        <v/>
      </c>
      <c r="G13" s="22">
        <f>IF(OR(G4="",G11=""),"",IFERROR(G4-G11,""))</f>
        <v/>
      </c>
      <c r="H13" s="22">
        <f>IF(OR(H4="",H11=""),"",IFERROR(H4-H11,""))</f>
        <v/>
      </c>
      <c r="I13" s="22">
        <f>IF(OR(I4="",I11=""),"",IFERROR(I4-I11,""))</f>
        <v/>
      </c>
      <c r="J13" s="22">
        <f>IF(OR(J4="",J11=""),"",IFERROR(J4-J11,""))</f>
        <v/>
      </c>
      <c r="K13" s="22">
        <f>IF(OR(K4="",K11=""),"",IFERROR(K4-K11,""))</f>
        <v/>
      </c>
      <c r="L13" s="22">
        <f>IF(OR(L4="",L11=""),"",IFERROR(L4-L11,""))</f>
        <v/>
      </c>
      <c r="M13" s="22">
        <f>IF(OR(M4="",M11=""),"",IFERROR(M4-M11,""))</f>
        <v/>
      </c>
      <c r="N13" s="22">
        <f>IF(OR(N4="",N11=""),"",IFERROR(N4-N11,""))</f>
        <v/>
      </c>
      <c r="O13" s="21">
        <f>IF(OR(O4="",O11=""),"",IFERROR(O4-O11,""))</f>
        <v/>
      </c>
      <c r="P13" s="22">
        <f>IF(OR(P4="",P11=""),"",IFERROR(P4-P11,""))</f>
        <v/>
      </c>
      <c r="Q13" s="22">
        <f>IF(OR(Q4="",Q11=""),"",IFERROR(Q4-Q11,""))</f>
        <v/>
      </c>
      <c r="R13" s="22">
        <f>IF(OR(R4="",R11=""),"",IFERROR(R4-R11,""))</f>
        <v/>
      </c>
      <c r="S13" s="22">
        <f>IF(OR(S4="",S11=""),"",IFERROR(S4-S11,""))</f>
        <v/>
      </c>
      <c r="T13" s="22">
        <f>IF(OR(T4="",T11=""),"",IFERROR(T4-T11,""))</f>
        <v/>
      </c>
      <c r="U13" s="22">
        <f>IF(OR(U4="",U11=""),"",IFERROR(U4-U11,""))</f>
        <v/>
      </c>
      <c r="V13" s="22">
        <f>IF(OR(V4="",V11=""),"",IFERROR(V4-V11,""))</f>
        <v/>
      </c>
      <c r="W13" s="22">
        <f>IF(OR(W4="",W11=""),"",IFERROR(W4-W11,""))</f>
        <v/>
      </c>
      <c r="X13" s="22">
        <f>IF(OR(X4="",X11=""),"",IFERROR(X4-X11,""))</f>
        <v/>
      </c>
      <c r="Y13" s="21" t="n"/>
      <c r="Z13" s="22" t="n"/>
      <c r="AA13" s="22" t="n"/>
      <c r="AB13" s="22" t="n"/>
      <c r="AC13" s="22" t="n"/>
    </row>
    <row r="14">
      <c r="A14" s="15" t="inlineStr">
        <is>
          <t>GPM</t>
        </is>
      </c>
      <c r="B14" s="10" t="n"/>
      <c r="C14" s="16">
        <f>IF(OR(C13="",C4=""),"",IFERROR(C13/C4,""))</f>
        <v/>
      </c>
      <c r="D14" s="17">
        <f>IF(OR(D13="",D4=""),"",IFERROR(D13/D4,""))</f>
        <v/>
      </c>
      <c r="E14" s="17">
        <f>IF(OR(E13="",E4=""),"",IFERROR(E13/E4,""))</f>
        <v/>
      </c>
      <c r="F14" s="17">
        <f>IF(OR(F13="",F4=""),"",IFERROR(F13/F4,""))</f>
        <v/>
      </c>
      <c r="G14" s="17">
        <f>IF(OR(G13="",G4=""),"",IFERROR(G13/G4,""))</f>
        <v/>
      </c>
      <c r="H14" s="17">
        <f>IF(OR(H13="",H4=""),"",IFERROR(H13/H4,""))</f>
        <v/>
      </c>
      <c r="I14" s="17">
        <f>IF(OR(I13="",I4=""),"",IFERROR(I13/I4,""))</f>
        <v/>
      </c>
      <c r="J14" s="17">
        <f>IF(OR(J13="",J4=""),"",IFERROR(J13/J4,""))</f>
        <v/>
      </c>
      <c r="K14" s="17">
        <f>IF(OR(K13="",K4=""),"",IFERROR(K13/K4,""))</f>
        <v/>
      </c>
      <c r="L14" s="17">
        <f>IF(OR(L13="",L4=""),"",IFERROR(L13/L4,""))</f>
        <v/>
      </c>
      <c r="M14" s="17">
        <f>IF(OR(M13="",M4=""),"",IFERROR(M13/M4,""))</f>
        <v/>
      </c>
      <c r="N14" s="17">
        <f>IF(OR(N13="",N4=""),"",IFERROR(N13/N4,""))</f>
        <v/>
      </c>
      <c r="O14" s="16">
        <f>IF(OR(O13="",O4=""),"",IFERROR(O13/O4,""))</f>
        <v/>
      </c>
      <c r="P14" s="17">
        <f>IF(OR(P13="",P4=""),"",IFERROR(P13/P4,""))</f>
        <v/>
      </c>
      <c r="Q14" s="17">
        <f>IF(OR(Q13="",Q4=""),"",IFERROR(Q13/Q4,""))</f>
        <v/>
      </c>
      <c r="R14" s="17">
        <f>IF(OR(R13="",R4=""),"",IFERROR(R13/R4,""))</f>
        <v/>
      </c>
      <c r="S14" s="17">
        <f>IF(OR(S13="",S4=""),"",IFERROR(S13/S4,""))</f>
        <v/>
      </c>
      <c r="T14" s="17">
        <f>IF(OR(T13="",T4=""),"",IFERROR(T13/T4,""))</f>
        <v/>
      </c>
      <c r="U14" s="17">
        <f>IF(OR(U13="",U4=""),"",IFERROR(U13/U4,""))</f>
        <v/>
      </c>
      <c r="V14" s="17">
        <f>IF(OR(V13="",V4=""),"",IFERROR(V13/V4,""))</f>
        <v/>
      </c>
      <c r="W14" s="17">
        <f>IF(OR(W13="",W4=""),"",IFERROR(W13/W4,""))</f>
        <v/>
      </c>
      <c r="X14" s="17">
        <f>IF(OR(X13="",X4=""),"",IFERROR(X13/X4,""))</f>
        <v/>
      </c>
      <c r="Y14" s="16">
        <f>IF(OR(Y13="",Y4=""),"",IFERROR(Y13/Y4,""))</f>
        <v/>
      </c>
      <c r="Z14" s="17">
        <f>IF(OR(Z13="",Z4=""),"",IFERROR(Z13/Z4,""))</f>
        <v/>
      </c>
      <c r="AA14" s="17">
        <f>IF(OR(AA13="",AA4=""),"",IFERROR(AA13/AA4,""))</f>
        <v/>
      </c>
      <c r="AB14" s="17">
        <f>IF(OR(AB13="",AB4=""),"",IFERROR(AB13/AB4,""))</f>
        <v/>
      </c>
      <c r="AC14" s="17">
        <f>IF(OR(AC13="",AC4=""),"",IFERROR(AC13/AC4,""))</f>
        <v/>
      </c>
    </row>
    <row r="15">
      <c r="A15" s="15" t="inlineStr">
        <is>
          <t>YoY</t>
        </is>
      </c>
      <c r="B15" s="10" t="n"/>
      <c r="C15" s="16" t="n"/>
      <c r="D15" s="17" t="n"/>
      <c r="E15" s="17" t="n"/>
      <c r="F15" s="17" t="n"/>
      <c r="G15" s="17">
        <f>IF(OR(G13="",C13=""),"",IF(C13&lt;=0,"",IFERROR(G13/C13-1,"")))</f>
        <v/>
      </c>
      <c r="H15" s="17">
        <f>IF(OR(H13="",D13=""),"",IF(D13&lt;=0,"",IFERROR(H13/D13-1,"")))</f>
        <v/>
      </c>
      <c r="I15" s="17">
        <f>IF(OR(I13="",E13=""),"",IF(E13&lt;=0,"",IFERROR(I13/E13-1,"")))</f>
        <v/>
      </c>
      <c r="J15" s="17">
        <f>IF(OR(J13="",F13=""),"",IF(F13&lt;=0,"",IFERROR(J13/F13-1,"")))</f>
        <v/>
      </c>
      <c r="K15" s="17">
        <f>IF(OR(K13="",G13=""),"",IF(G13&lt;=0,"",IFERROR(K13/G13-1,"")))</f>
        <v/>
      </c>
      <c r="L15" s="17">
        <f>IF(OR(L13="",H13=""),"",IF(H13&lt;=0,"",IFERROR(L13/H13-1,"")))</f>
        <v/>
      </c>
      <c r="M15" s="17">
        <f>IF(OR(M13="",I13=""),"",IF(I13&lt;=0,"",IFERROR(M13/I13-1,"")))</f>
        <v/>
      </c>
      <c r="N15" s="17">
        <f>IF(OR(N13="",J13=""),"",IF(J13&lt;=0,"",IFERROR(N13/J13-1,"")))</f>
        <v/>
      </c>
      <c r="O15" s="16" t="n"/>
      <c r="P15" s="17">
        <f>IF(OR(P13="",O13=""),"",IF(O13&lt;=0,"",IFERROR(P13/O13-1,"")))</f>
        <v/>
      </c>
      <c r="Q15" s="17">
        <f>IF(OR(Q13="",P13=""),"",IF(P13&lt;=0,"",IFERROR(Q13/P13-1,"")))</f>
        <v/>
      </c>
      <c r="R15" s="17">
        <f>IF(OR(R13="",Q13=""),"",IF(Q13&lt;=0,"",IFERROR(R13/Q13-1,"")))</f>
        <v/>
      </c>
      <c r="S15" s="17">
        <f>IF(OR(S13="",R13=""),"",IF(R13&lt;=0,"",IFERROR(S13/R13-1,"")))</f>
        <v/>
      </c>
      <c r="T15" s="17">
        <f>IF(OR(T13="",S13=""),"",IF(S13&lt;=0,"",IFERROR(T13/S13-1,"")))</f>
        <v/>
      </c>
      <c r="U15" s="17">
        <f>IF(OR(U13="",T13=""),"",IF(T13&lt;=0,"",IFERROR(U13/T13-1,"")))</f>
        <v/>
      </c>
      <c r="V15" s="17">
        <f>IF(OR(V13="",U13=""),"",IF(U13&lt;=0,"",IFERROR(V13/U13-1,"")))</f>
        <v/>
      </c>
      <c r="W15" s="17">
        <f>IF(OR(W13="",V13=""),"",IF(V13&lt;=0,"",IFERROR(W13/V13-1,"")))</f>
        <v/>
      </c>
      <c r="X15" s="17">
        <f>IF(OR(X13="",W13=""),"",IF(W13&lt;=0,"",IFERROR(X13/W13-1,"")))</f>
        <v/>
      </c>
      <c r="Y15" s="16">
        <f>IF(OR(Y13="",X13=""),"",IF(X13&lt;=0,"",IFERROR(Y13/X13-1,"")))</f>
        <v/>
      </c>
      <c r="Z15" s="17">
        <f>IF(OR(Z13="",Y13=""),"",IF(Y13&lt;=0,"",IFERROR(Z13/Y13-1,"")))</f>
        <v/>
      </c>
      <c r="AA15" s="17">
        <f>IF(OR(AA13="",Z13=""),"",IF(Z13&lt;=0,"",IFERROR(AA13/Z13-1,"")))</f>
        <v/>
      </c>
      <c r="AB15" s="17">
        <f>IF(OR(AB13="",AA13=""),"",IF(AA13&lt;=0,"",IFERROR(AB13/AA13-1,"")))</f>
        <v/>
      </c>
      <c r="AC15" s="17">
        <f>IF(OR(AC13="",AB13=""),"",IF(AB13&lt;=0,"",IFERROR(AC13/AB13-1,"")))</f>
        <v/>
      </c>
    </row>
    <row r="16">
      <c r="A16" s="25" t="inlineStr">
        <is>
          <t>판매관리비</t>
        </is>
      </c>
      <c r="B16" s="25" t="n"/>
      <c r="C16" s="26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6" t="n"/>
      <c r="Z16" s="25" t="n"/>
      <c r="AA16" s="25" t="n"/>
      <c r="AB16" s="25" t="n"/>
      <c r="AC16" s="25" t="n"/>
    </row>
    <row r="17">
      <c r="A17" s="20" t="inlineStr">
        <is>
          <t>전체 판관비</t>
        </is>
      </c>
      <c r="B17" s="10" t="n"/>
      <c r="C17" s="21" t="n">
        <v>1642.503</v>
      </c>
      <c r="D17" s="22" t="n">
        <v>1761.556</v>
      </c>
      <c r="E17" s="22" t="n">
        <v>1680.125</v>
      </c>
      <c r="F17" s="22" t="n">
        <v>1817.561</v>
      </c>
      <c r="G17" s="22" t="n">
        <v>2529.051</v>
      </c>
      <c r="H17" s="22" t="n">
        <v>1810.943</v>
      </c>
      <c r="I17" s="22" t="n">
        <v>1896.73</v>
      </c>
      <c r="J17" s="22" t="n">
        <v>1906.458</v>
      </c>
      <c r="K17" s="22" t="n">
        <v>2218.208</v>
      </c>
      <c r="L17" s="22" t="n">
        <v>1956.239</v>
      </c>
      <c r="M17" s="22" t="n">
        <v>2084.646</v>
      </c>
      <c r="N17" s="22" t="n">
        <v>2045.377</v>
      </c>
      <c r="O17" s="21" t="n">
        <v>2292.301</v>
      </c>
      <c r="P17" s="22" t="n">
        <v>2743.607</v>
      </c>
      <c r="Q17" s="22" t="n">
        <v>3548.406</v>
      </c>
      <c r="R17" s="22" t="n">
        <v>3912.977</v>
      </c>
      <c r="S17" s="22" t="n">
        <v>5218.585</v>
      </c>
      <c r="T17" s="22" t="n">
        <v>6063.344</v>
      </c>
      <c r="U17" s="22" t="n">
        <v>6765.191</v>
      </c>
      <c r="V17" s="22" t="n">
        <v>6085.865</v>
      </c>
      <c r="W17" s="22" t="n">
        <v>7788.293</v>
      </c>
      <c r="X17" s="22" t="n">
        <v>7832.339</v>
      </c>
      <c r="Y17" s="21" t="n"/>
      <c r="Z17" s="22" t="n"/>
      <c r="AA17" s="22" t="n"/>
      <c r="AB17" s="22" t="n"/>
      <c r="AC17" s="22" t="n"/>
    </row>
    <row r="18">
      <c r="A18" s="15" t="inlineStr">
        <is>
          <t>YoY</t>
        </is>
      </c>
      <c r="B18" s="10" t="n"/>
      <c r="C18" s="16" t="n"/>
      <c r="D18" s="17" t="n"/>
      <c r="E18" s="17" t="n"/>
      <c r="F18" s="17" t="n"/>
      <c r="G18" s="17">
        <f>IF(OR(G17="",C17=""),"",IF(C17&lt;=0,"",IFERROR(G17/C17-1,"")))</f>
        <v/>
      </c>
      <c r="H18" s="17">
        <f>IF(OR(H17="",D17=""),"",IF(D17&lt;=0,"",IFERROR(H17/D17-1,"")))</f>
        <v/>
      </c>
      <c r="I18" s="17">
        <f>IF(OR(I17="",E17=""),"",IF(E17&lt;=0,"",IFERROR(I17/E17-1,"")))</f>
        <v/>
      </c>
      <c r="J18" s="17">
        <f>IF(OR(J17="",F17=""),"",IF(F17&lt;=0,"",IFERROR(J17/F17-1,"")))</f>
        <v/>
      </c>
      <c r="K18" s="17">
        <f>IF(OR(K17="",G17=""),"",IF(G17&lt;=0,"",IFERROR(K17/G17-1,"")))</f>
        <v/>
      </c>
      <c r="L18" s="17">
        <f>IF(OR(L17="",H17=""),"",IF(H17&lt;=0,"",IFERROR(L17/H17-1,"")))</f>
        <v/>
      </c>
      <c r="M18" s="17">
        <f>IF(OR(M17="",I17=""),"",IF(I17&lt;=0,"",IFERROR(M17/I17-1,"")))</f>
        <v/>
      </c>
      <c r="N18" s="17">
        <f>IF(OR(N17="",J17=""),"",IF(J17&lt;=0,"",IFERROR(N17/J17-1,"")))</f>
        <v/>
      </c>
      <c r="O18" s="16" t="n"/>
      <c r="P18" s="17">
        <f>IF(OR(P17="",O17=""),"",IF(O17&lt;=0,"",IFERROR(P17/O17-1,"")))</f>
        <v/>
      </c>
      <c r="Q18" s="17">
        <f>IF(OR(Q17="",P17=""),"",IF(P17&lt;=0,"",IFERROR(Q17/P17-1,"")))</f>
        <v/>
      </c>
      <c r="R18" s="17">
        <f>IF(OR(R17="",Q17=""),"",IF(Q17&lt;=0,"",IFERROR(R17/Q17-1,"")))</f>
        <v/>
      </c>
      <c r="S18" s="17">
        <f>IF(OR(S17="",R17=""),"",IF(R17&lt;=0,"",IFERROR(S17/R17-1,"")))</f>
        <v/>
      </c>
      <c r="T18" s="17">
        <f>IF(OR(T17="",S17=""),"",IF(S17&lt;=0,"",IFERROR(T17/S17-1,"")))</f>
        <v/>
      </c>
      <c r="U18" s="17">
        <f>IF(OR(U17="",T17=""),"",IF(T17&lt;=0,"",IFERROR(U17/T17-1,"")))</f>
        <v/>
      </c>
      <c r="V18" s="17">
        <f>IF(OR(V17="",U17=""),"",IF(U17&lt;=0,"",IFERROR(V17/U17-1,"")))</f>
        <v/>
      </c>
      <c r="W18" s="17">
        <f>IF(OR(W17="",V17=""),"",IF(V17&lt;=0,"",IFERROR(W17/V17-1,"")))</f>
        <v/>
      </c>
      <c r="X18" s="17">
        <f>IF(OR(X17="",W17=""),"",IF(W17&lt;=0,"",IFERROR(X17/W17-1,"")))</f>
        <v/>
      </c>
      <c r="Y18" s="16">
        <f>IF(OR(Y17="",X17=""),"",IF(X17&lt;=0,"",IFERROR(Y17/X17-1,"")))</f>
        <v/>
      </c>
      <c r="Z18" s="17">
        <f>IF(OR(Z17="",Y17=""),"",IF(Y17&lt;=0,"",IFERROR(Z17/Y17-1,"")))</f>
        <v/>
      </c>
      <c r="AA18" s="17">
        <f>IF(OR(AA17="",Z17=""),"",IF(Z17&lt;=0,"",IFERROR(AA17/Z17-1,"")))</f>
        <v/>
      </c>
      <c r="AB18" s="17">
        <f>IF(OR(AB17="",AA17=""),"",IF(AA17&lt;=0,"",IFERROR(AB17/AA17-1,"")))</f>
        <v/>
      </c>
      <c r="AC18" s="17">
        <f>IF(OR(AC17="",AB17=""),"",IF(AB17&lt;=0,"",IFERROR(AC17/AB17-1,"")))</f>
        <v/>
      </c>
    </row>
    <row r="19">
      <c r="A19" s="9" t="inlineStr">
        <is>
          <t>영업이익</t>
        </is>
      </c>
      <c r="B19" s="10" t="inlineStr">
        <is>
          <t>MW = 매출 × OPM</t>
        </is>
      </c>
      <c r="C19" s="11" t="n">
        <v>939.0549999999999</v>
      </c>
      <c r="D19" s="12" t="n">
        <v>1059.195</v>
      </c>
      <c r="E19" s="12" t="n">
        <v>871.6</v>
      </c>
      <c r="F19" s="12" t="n">
        <v>800.653</v>
      </c>
      <c r="G19" s="12" t="n">
        <v>-311.329</v>
      </c>
      <c r="H19" s="12" t="n">
        <v>1182.898</v>
      </c>
      <c r="I19" s="12" t="n">
        <v>876.391</v>
      </c>
      <c r="J19" s="12" t="n">
        <v>964.1900000000001</v>
      </c>
      <c r="K19" s="12" t="n">
        <v>-19.04</v>
      </c>
      <c r="L19" s="12" t="n">
        <v>1441.639</v>
      </c>
      <c r="M19" s="12" t="n">
        <v>1199.763</v>
      </c>
      <c r="N19" s="12" t="n">
        <v>1325.61</v>
      </c>
      <c r="O19" s="11" t="n">
        <v>736.069</v>
      </c>
      <c r="P19" s="12" t="n">
        <v>735.792</v>
      </c>
      <c r="Q19" s="12" t="n">
        <v>1278.724</v>
      </c>
      <c r="R19" s="12" t="n">
        <v>797.675</v>
      </c>
      <c r="S19" s="12" t="n">
        <v>1344.557</v>
      </c>
      <c r="T19" s="12" t="n">
        <v>1801.399</v>
      </c>
      <c r="U19" s="12" t="n">
        <v>2242.699</v>
      </c>
      <c r="V19" s="12" t="n">
        <v>3665.409</v>
      </c>
      <c r="W19" s="12" t="n">
        <v>2420.119</v>
      </c>
      <c r="X19" s="12" t="n">
        <v>3004.439</v>
      </c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5" t="inlineStr">
        <is>
          <t>OPM</t>
        </is>
      </c>
      <c r="B20" s="10" t="inlineStr">
        <is>
          <t>MW 입력</t>
        </is>
      </c>
      <c r="C20" s="16">
        <f>IF(OR(C19="",C4=""),"",IFERROR(C19/C4,""))</f>
        <v/>
      </c>
      <c r="D20" s="17">
        <f>IF(OR(D19="",D4=""),"",IFERROR(D19/D4,""))</f>
        <v/>
      </c>
      <c r="E20" s="17">
        <f>IF(OR(E19="",E4=""),"",IFERROR(E19/E4,""))</f>
        <v/>
      </c>
      <c r="F20" s="17">
        <f>IF(OR(F19="",F4=""),"",IFERROR(F19/F4,""))</f>
        <v/>
      </c>
      <c r="G20" s="17">
        <f>IF(OR(G19="",G4=""),"",IFERROR(G19/G4,""))</f>
        <v/>
      </c>
      <c r="H20" s="17">
        <f>IF(OR(H19="",H4=""),"",IFERROR(H19/H4,""))</f>
        <v/>
      </c>
      <c r="I20" s="17">
        <f>IF(OR(I19="",I4=""),"",IFERROR(I19/I4,""))</f>
        <v/>
      </c>
      <c r="J20" s="17">
        <f>IF(OR(J19="",J4=""),"",IFERROR(J19/J4,""))</f>
        <v/>
      </c>
      <c r="K20" s="17">
        <f>IF(OR(K19="",K4=""),"",IFERROR(K19/K4,""))</f>
        <v/>
      </c>
      <c r="L20" s="17">
        <f>IF(OR(L19="",L4=""),"",IFERROR(L19/L4,""))</f>
        <v/>
      </c>
      <c r="M20" s="17">
        <f>IF(OR(M19="",M4=""),"",IFERROR(M19/M4,""))</f>
        <v/>
      </c>
      <c r="N20" s="17">
        <f>IF(OR(N19="",N4=""),"",IFERROR(N19/N4,""))</f>
        <v/>
      </c>
      <c r="O20" s="16">
        <f>IF(OR(O19="",O4=""),"",IFERROR(O19/O4,""))</f>
        <v/>
      </c>
      <c r="P20" s="17">
        <f>IF(OR(P19="",P4=""),"",IFERROR(P19/P4,""))</f>
        <v/>
      </c>
      <c r="Q20" s="17">
        <f>IF(OR(Q19="",Q4=""),"",IFERROR(Q19/Q4,""))</f>
        <v/>
      </c>
      <c r="R20" s="17">
        <f>IF(OR(R19="",R4=""),"",IFERROR(R19/R4,""))</f>
        <v/>
      </c>
      <c r="S20" s="17">
        <f>IF(OR(S19="",S4=""),"",IFERROR(S19/S4,""))</f>
        <v/>
      </c>
      <c r="T20" s="17">
        <f>IF(OR(T19="",T4=""),"",IFERROR(T19/T4,""))</f>
        <v/>
      </c>
      <c r="U20" s="17">
        <f>IF(OR(U19="",U4=""),"",IFERROR(U19/U4,""))</f>
        <v/>
      </c>
      <c r="V20" s="17">
        <f>IF(OR(V19="",V4=""),"",IFERROR(V19/V4,""))</f>
        <v/>
      </c>
      <c r="W20" s="17">
        <f>IF(OR(W19="",W4=""),"",IFERROR(W19/W4,""))</f>
        <v/>
      </c>
      <c r="X20" s="17">
        <f>IF(OR(X19="",X4=""),"",IFERROR(X19/X4,""))</f>
        <v/>
      </c>
      <c r="Y20" s="27" t="n"/>
      <c r="Z20" s="28" t="n"/>
      <c r="AA20" s="28" t="n"/>
      <c r="AB20" s="28" t="n"/>
      <c r="AC20" s="28" t="n"/>
    </row>
    <row r="21">
      <c r="A21" s="15" t="inlineStr">
        <is>
          <t>증가율</t>
        </is>
      </c>
      <c r="B21" s="10" t="n"/>
      <c r="C21" s="16" t="n"/>
      <c r="D21" s="17" t="n"/>
      <c r="E21" s="17" t="n"/>
      <c r="F21" s="17" t="n"/>
      <c r="G21" s="17">
        <f>IF(OR(G19="",C19=""),"",IFERROR(G19/C19-1,""))</f>
        <v/>
      </c>
      <c r="H21" s="17">
        <f>IF(OR(H19="",D19=""),"",IFERROR(H19/D19-1,""))</f>
        <v/>
      </c>
      <c r="I21" s="17">
        <f>IF(OR(I19="",E19=""),"",IFERROR(I19/E19-1,""))</f>
        <v/>
      </c>
      <c r="J21" s="17">
        <f>IF(OR(J19="",F19=""),"",IFERROR(J19/F19-1,""))</f>
        <v/>
      </c>
      <c r="K21" s="17">
        <f>IF(OR(K19="",G19=""),"",IFERROR(K19/G19-1,""))</f>
        <v/>
      </c>
      <c r="L21" s="17">
        <f>IF(OR(L19="",H19=""),"",IFERROR(L19/H19-1,""))</f>
        <v/>
      </c>
      <c r="M21" s="17">
        <f>IF(OR(M19="",I19=""),"",IFERROR(M19/I19-1,""))</f>
        <v/>
      </c>
      <c r="N21" s="17">
        <f>IF(OR(N19="",J19=""),"",IFERROR(N19/J19-1,""))</f>
        <v/>
      </c>
      <c r="O21" s="16" t="n"/>
      <c r="P21" s="17">
        <f>IF(OR(P19="",O19=""),"",IFERROR(P19/O19-1,""))</f>
        <v/>
      </c>
      <c r="Q21" s="17">
        <f>IF(OR(Q19="",P19=""),"",IFERROR(Q19/P19-1,""))</f>
        <v/>
      </c>
      <c r="R21" s="17">
        <f>IF(OR(R19="",Q19=""),"",IFERROR(R19/Q19-1,""))</f>
        <v/>
      </c>
      <c r="S21" s="17">
        <f>IF(OR(S19="",R19=""),"",IFERROR(S19/R19-1,""))</f>
        <v/>
      </c>
      <c r="T21" s="17">
        <f>IF(OR(T19="",S19=""),"",IFERROR(T19/S19-1,""))</f>
        <v/>
      </c>
      <c r="U21" s="17">
        <f>IF(OR(U19="",T19=""),"",IFERROR(U19/T19-1,""))</f>
        <v/>
      </c>
      <c r="V21" s="17">
        <f>IF(OR(V19="",U19=""),"",IFERROR(V19/U19-1,""))</f>
        <v/>
      </c>
      <c r="W21" s="17">
        <f>IF(OR(W19="",V19=""),"",IFERROR(W19/V19-1,""))</f>
        <v/>
      </c>
      <c r="X21" s="17">
        <f>IF(OR(X19="",W19=""),"",IFERROR(X19/W19-1,""))</f>
        <v/>
      </c>
      <c r="Y21" s="16">
        <f>IF(OR(Y19="",X19=""),"",IFERROR(Y19/X19-1,""))</f>
        <v/>
      </c>
      <c r="Z21" s="17">
        <f>IF(OR(Z19="",Y19=""),"",IFERROR(Z19/Y19-1,""))</f>
        <v/>
      </c>
      <c r="AA21" s="17">
        <f>IF(OR(AA19="",Z19=""),"",IFERROR(AA19/Z19-1,""))</f>
        <v/>
      </c>
      <c r="AB21" s="17">
        <f>IF(OR(AB19="",AA19=""),"",IFERROR(AB19/AA19-1,""))</f>
        <v/>
      </c>
      <c r="AC21" s="17">
        <f>IF(OR(AC19="",AB19=""),"",IFERROR(AC19/AB19-1,""))</f>
        <v/>
      </c>
    </row>
    <row r="22">
      <c r="A22" s="18" t="inlineStr">
        <is>
          <t>비용의 성격별 분류</t>
        </is>
      </c>
      <c r="B22" s="18" t="inlineStr">
        <is>
          <t>참고 데이터</t>
        </is>
      </c>
      <c r="C22" s="19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9" t="n"/>
      <c r="Z22" s="18" t="n"/>
      <c r="AA22" s="18" t="n"/>
      <c r="AB22" s="18" t="n"/>
      <c r="AC22" s="18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IF(O17="","",O17)</f>
        <v/>
      </c>
      <c r="P23" s="12">
        <f>IF(P17="","",P17)</f>
        <v/>
      </c>
      <c r="Q23" s="12">
        <f>IF(Q17="","",Q17)</f>
        <v/>
      </c>
      <c r="R23" s="12">
        <f>IF(R17="","",R17)</f>
        <v/>
      </c>
      <c r="S23" s="12">
        <f>IF(S17="","",S17)</f>
        <v/>
      </c>
      <c r="T23" s="12">
        <f>IF(T17="","",T17)</f>
        <v/>
      </c>
      <c r="U23" s="12">
        <f>IF(U17="","",U17)</f>
        <v/>
      </c>
      <c r="V23" s="12">
        <f>IF(V17="","",V17)</f>
        <v/>
      </c>
      <c r="W23" s="12">
        <f>IF(W17="","",W17)</f>
        <v/>
      </c>
      <c r="X23" s="12">
        <f>IF(X17="","",X17)</f>
        <v/>
      </c>
      <c r="Y23" s="11" t="n"/>
      <c r="Z23" s="12" t="n"/>
      <c r="AA23" s="12" t="n"/>
      <c r="AB23" s="12" t="n"/>
      <c r="AC23" s="12" t="n"/>
    </row>
    <row r="24">
      <c r="A24" s="20" t="inlineStr">
        <is>
          <t>급여</t>
        </is>
      </c>
      <c r="B24" s="10" t="inlineStr">
        <is>
          <t>고정비</t>
        </is>
      </c>
      <c r="C24" s="21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1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1" t="n"/>
      <c r="Z24" s="22" t="n"/>
      <c r="AA24" s="22" t="n"/>
      <c r="AB24" s="22" t="n"/>
      <c r="AC24" s="22" t="n"/>
    </row>
    <row r="25">
      <c r="A25" s="15" t="inlineStr">
        <is>
          <t>% of Sales</t>
        </is>
      </c>
      <c r="B25" s="10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>
        <f>IF(OR(O24="",O4=""),"",IFERROR(O24/O4,""))</f>
        <v/>
      </c>
      <c r="P25" s="17">
        <f>IF(OR(P24="",P4=""),"",IFERROR(P24/P4,""))</f>
        <v/>
      </c>
      <c r="Q25" s="17">
        <f>IF(OR(Q24="",Q4=""),"",IFERROR(Q24/Q4,""))</f>
        <v/>
      </c>
      <c r="R25" s="17">
        <f>IF(OR(R24="",R4=""),"",IFERROR(R24/R4,""))</f>
        <v/>
      </c>
      <c r="S25" s="17">
        <f>IF(OR(S24="",S4=""),"",IFERROR(S24/S4,""))</f>
        <v/>
      </c>
      <c r="T25" s="17">
        <f>IF(OR(T24="",T4=""),"",IFERROR(T24/T4,""))</f>
        <v/>
      </c>
      <c r="U25" s="17">
        <f>IF(OR(U24="",U4=""),"",IFERROR(U24/U4,""))</f>
        <v/>
      </c>
      <c r="V25" s="17">
        <f>IF(OR(V24="",V4=""),"",IFERROR(V24/V4,""))</f>
        <v/>
      </c>
      <c r="W25" s="17">
        <f>IF(OR(W24="",W4=""),"",IFERROR(W24/W4,""))</f>
        <v/>
      </c>
      <c r="X25" s="17">
        <f>IF(OR(X24="",X4=""),"",IFERROR(X24/X4,""))</f>
        <v/>
      </c>
      <c r="Y25" s="16" t="n"/>
      <c r="Z25" s="17" t="n"/>
      <c r="AA25" s="17" t="n"/>
      <c r="AB25" s="17" t="n"/>
      <c r="AC25" s="17" t="n"/>
    </row>
    <row r="26">
      <c r="A26" s="20" t="inlineStr">
        <is>
          <t>감가상각비</t>
        </is>
      </c>
      <c r="B26" s="10" t="inlineStr">
        <is>
          <t>고정비</t>
        </is>
      </c>
      <c r="C26" s="21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1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1" t="n"/>
      <c r="Z26" s="22" t="n"/>
      <c r="AA26" s="22" t="n"/>
      <c r="AB26" s="22" t="n"/>
      <c r="AC26" s="22" t="n"/>
    </row>
    <row r="27">
      <c r="A27" s="15" t="inlineStr">
        <is>
          <t>% of Sales</t>
        </is>
      </c>
      <c r="B27" s="10" t="n"/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6">
        <f>IF(OR(O26="",O4=""),"",IFERROR(O26/O4,""))</f>
        <v/>
      </c>
      <c r="P27" s="17">
        <f>IF(OR(P26="",P4=""),"",IFERROR(P26/P4,""))</f>
        <v/>
      </c>
      <c r="Q27" s="17">
        <f>IF(OR(Q26="",Q4=""),"",IFERROR(Q26/Q4,""))</f>
        <v/>
      </c>
      <c r="R27" s="17">
        <f>IF(OR(R26="",R4=""),"",IFERROR(R26/R4,""))</f>
        <v/>
      </c>
      <c r="S27" s="17">
        <f>IF(OR(S26="",S4=""),"",IFERROR(S26/S4,""))</f>
        <v/>
      </c>
      <c r="T27" s="17">
        <f>IF(OR(T26="",T4=""),"",IFERROR(T26/T4,""))</f>
        <v/>
      </c>
      <c r="U27" s="17">
        <f>IF(OR(U26="",U4=""),"",IFERROR(U26/U4,""))</f>
        <v/>
      </c>
      <c r="V27" s="17">
        <f>IF(OR(V26="",V4=""),"",IFERROR(V26/V4,""))</f>
        <v/>
      </c>
      <c r="W27" s="17">
        <f>IF(OR(W26="",W4=""),"",IFERROR(W26/W4,""))</f>
        <v/>
      </c>
      <c r="X27" s="17">
        <f>IF(OR(X26="",X4=""),"",IFERROR(X26/X4,""))</f>
        <v/>
      </c>
      <c r="Y27" s="16" t="n"/>
      <c r="Z27" s="17" t="n"/>
      <c r="AA27" s="17" t="n"/>
      <c r="AB27" s="17" t="n"/>
      <c r="AC27" s="17" t="n"/>
    </row>
    <row r="28">
      <c r="A28" s="20" t="inlineStr">
        <is>
          <t>지급수수료</t>
        </is>
      </c>
      <c r="B28" s="10" t="inlineStr">
        <is>
          <t>고정비</t>
        </is>
      </c>
      <c r="C28" s="21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1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1" t="n"/>
      <c r="Z28" s="22" t="n"/>
      <c r="AA28" s="22" t="n"/>
      <c r="AB28" s="22" t="n"/>
      <c r="AC28" s="22" t="n"/>
    </row>
    <row r="29">
      <c r="A29" s="15" t="inlineStr">
        <is>
          <t>% of Sales</t>
        </is>
      </c>
      <c r="B29" s="10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6">
        <f>IF(OR(O28="",O4=""),"",IFERROR(O28/O4,""))</f>
        <v/>
      </c>
      <c r="P29" s="17">
        <f>IF(OR(P28="",P4=""),"",IFERROR(P28/P4,""))</f>
        <v/>
      </c>
      <c r="Q29" s="17">
        <f>IF(OR(Q28="",Q4=""),"",IFERROR(Q28/Q4,""))</f>
        <v/>
      </c>
      <c r="R29" s="17">
        <f>IF(OR(R28="",R4=""),"",IFERROR(R28/R4,""))</f>
        <v/>
      </c>
      <c r="S29" s="17">
        <f>IF(OR(S28="",S4=""),"",IFERROR(S28/S4,""))</f>
        <v/>
      </c>
      <c r="T29" s="17">
        <f>IF(OR(T28="",T4=""),"",IFERROR(T28/T4,""))</f>
        <v/>
      </c>
      <c r="U29" s="17">
        <f>IF(OR(U28="",U4=""),"",IFERROR(U28/U4,""))</f>
        <v/>
      </c>
      <c r="V29" s="17">
        <f>IF(OR(V28="",V4=""),"",IFERROR(V28/V4,""))</f>
        <v/>
      </c>
      <c r="W29" s="17">
        <f>IF(OR(W28="",W4=""),"",IFERROR(W28/W4,""))</f>
        <v/>
      </c>
      <c r="X29" s="17">
        <f>IF(OR(X28="",X4=""),"",IFERROR(X28/X4,""))</f>
        <v/>
      </c>
      <c r="Y29" s="16" t="n"/>
      <c r="Z29" s="17" t="n"/>
      <c r="AA29" s="17" t="n"/>
      <c r="AB29" s="17" t="n"/>
      <c r="AC29" s="17" t="n"/>
    </row>
    <row r="30">
      <c r="A30" s="20" t="inlineStr">
        <is>
          <t>연구개발비</t>
        </is>
      </c>
      <c r="B30" s="10" t="inlineStr">
        <is>
          <t>변동비</t>
        </is>
      </c>
      <c r="C30" s="21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1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1" t="n"/>
      <c r="Z30" s="22" t="n"/>
      <c r="AA30" s="22" t="n"/>
      <c r="AB30" s="22" t="n"/>
      <c r="AC30" s="22" t="n"/>
    </row>
    <row r="31">
      <c r="A31" s="15" t="inlineStr">
        <is>
          <t>% of Sales</t>
        </is>
      </c>
      <c r="B31" s="10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>
        <f>IF(OR(O30="",O4=""),"",IFERROR(O30/O4,""))</f>
        <v/>
      </c>
      <c r="P31" s="17">
        <f>IF(OR(P30="",P4=""),"",IFERROR(P30/P4,""))</f>
        <v/>
      </c>
      <c r="Q31" s="17">
        <f>IF(OR(Q30="",Q4=""),"",IFERROR(Q30/Q4,""))</f>
        <v/>
      </c>
      <c r="R31" s="17">
        <f>IF(OR(R30="",R4=""),"",IFERROR(R30/R4,""))</f>
        <v/>
      </c>
      <c r="S31" s="17">
        <f>IF(OR(S30="",S4=""),"",IFERROR(S30/S4,""))</f>
        <v/>
      </c>
      <c r="T31" s="17">
        <f>IF(OR(T30="",T4=""),"",IFERROR(T30/T4,""))</f>
        <v/>
      </c>
      <c r="U31" s="17">
        <f>IF(OR(U30="",U4=""),"",IFERROR(U30/U4,""))</f>
        <v/>
      </c>
      <c r="V31" s="17">
        <f>IF(OR(V30="",V4=""),"",IFERROR(V30/V4,""))</f>
        <v/>
      </c>
      <c r="W31" s="17">
        <f>IF(OR(W30="",W4=""),"",IFERROR(W30/W4,""))</f>
        <v/>
      </c>
      <c r="X31" s="17">
        <f>IF(OR(X30="",X4=""),"",IFERROR(X30/X4,""))</f>
        <v/>
      </c>
      <c r="Y31" s="16" t="n"/>
      <c r="Z31" s="17" t="n"/>
      <c r="AA31" s="17" t="n"/>
      <c r="AB31" s="17" t="n"/>
      <c r="AC31" s="17" t="n"/>
    </row>
    <row r="32">
      <c r="A32" s="20" t="inlineStr">
        <is>
          <t>기타비용</t>
        </is>
      </c>
      <c r="B32" s="10" t="inlineStr">
        <is>
          <t>변동비</t>
        </is>
      </c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>
        <f>IF(OR(O23="",O24="",O26="",O28="",O30=""),"",IFERROR(O23-O24-O26-O28-O30,""))</f>
        <v/>
      </c>
      <c r="P32" s="22">
        <f>IF(OR(P23="",P24="",P26="",P28="",P30=""),"",IFERROR(P23-P24-P26-P28-P30,""))</f>
        <v/>
      </c>
      <c r="Q32" s="22">
        <f>IF(OR(Q23="",Q24="",Q26="",Q28="",Q30=""),"",IFERROR(Q23-Q24-Q26-Q28-Q30,""))</f>
        <v/>
      </c>
      <c r="R32" s="22">
        <f>IF(OR(R23="",R24="",R26="",R28="",R30=""),"",IFERROR(R23-R24-R26-R28-R30,""))</f>
        <v/>
      </c>
      <c r="S32" s="22">
        <f>IF(OR(S23="",S24="",S26="",S28="",S30=""),"",IFERROR(S23-S24-S26-S28-S30,""))</f>
        <v/>
      </c>
      <c r="T32" s="22">
        <f>IF(OR(T23="",T24="",T26="",T28="",T30=""),"",IFERROR(T23-T24-T26-T28-T30,""))</f>
        <v/>
      </c>
      <c r="U32" s="22">
        <f>IF(OR(U23="",U24="",U26="",U28="",U30=""),"",IFERROR(U23-U24-U26-U28-U30,""))</f>
        <v/>
      </c>
      <c r="V32" s="22">
        <f>IF(OR(V23="",V24="",V26="",V28="",V30=""),"",IFERROR(V23-V24-V26-V28-V30,""))</f>
        <v/>
      </c>
      <c r="W32" s="22">
        <f>IF(OR(W23="",W24="",W26="",W28="",W30=""),"",IFERROR(W23-W24-W26-W28-W30,""))</f>
        <v/>
      </c>
      <c r="X32" s="22">
        <f>IF(OR(X23="",X24="",X26="",X28="",X30=""),"",IFERROR(X23-X24-X26-X28-X30,""))</f>
        <v/>
      </c>
      <c r="Y32" s="21" t="n"/>
      <c r="Z32" s="22" t="n"/>
      <c r="AA32" s="22" t="n"/>
      <c r="AB32" s="22" t="n"/>
      <c r="AC32" s="22" t="n"/>
    </row>
    <row r="33">
      <c r="A33" s="15" t="inlineStr">
        <is>
          <t>% of Sales</t>
        </is>
      </c>
      <c r="B33" s="10" t="n"/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16" t="n"/>
      <c r="Z33" s="17" t="n"/>
      <c r="AA33" s="17" t="n"/>
      <c r="AB33" s="17" t="n"/>
      <c r="AC33" s="17" t="n"/>
    </row>
    <row r="34">
      <c r="A34" s="18" t="inlineStr">
        <is>
          <t>당기순이익 추정</t>
        </is>
      </c>
      <c r="B34" s="18" t="n"/>
      <c r="C34" s="19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9" t="n"/>
      <c r="Z34" s="18" t="n"/>
      <c r="AA34" s="18" t="n"/>
      <c r="AB34" s="18" t="n"/>
      <c r="AC34" s="18" t="n"/>
    </row>
    <row r="35">
      <c r="A35" s="20" t="inlineStr">
        <is>
          <t>특별이익</t>
        </is>
      </c>
      <c r="B35" s="10" t="n"/>
      <c r="C35" s="21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1" t="n">
        <v>0.267</v>
      </c>
      <c r="P35" s="22" t="n">
        <v>0</v>
      </c>
      <c r="Q35" s="22" t="n">
        <v>0</v>
      </c>
      <c r="R35" s="22" t="n">
        <v>0</v>
      </c>
      <c r="S35" s="22" t="n">
        <v>301.444</v>
      </c>
      <c r="T35" s="22" t="n">
        <v>0</v>
      </c>
      <c r="U35" s="22" t="n"/>
      <c r="V35" s="22" t="n"/>
      <c r="W35" s="22" t="n"/>
      <c r="X35" s="22" t="n"/>
      <c r="Y35" s="21">
        <f>IF(OR(Y4="",Y36=""),"",IFERROR(Y4*Y36,""))</f>
        <v/>
      </c>
      <c r="Z35" s="22">
        <f>IF(OR(Z4="",Z36=""),"",IFERROR(Z4*Z36,""))</f>
        <v/>
      </c>
      <c r="AA35" s="22">
        <f>IF(OR(AA4="",AA36=""),"",IFERROR(AA4*AA36,""))</f>
        <v/>
      </c>
      <c r="AB35" s="22">
        <f>IF(OR(AB4="",AB36=""),"",IFERROR(AB4*AB36,""))</f>
        <v/>
      </c>
      <c r="AC35" s="22">
        <f>IF(OR(AC4="",AC36=""),"",IFERROR(AC4*AC36,""))</f>
        <v/>
      </c>
    </row>
    <row r="36">
      <c r="A36" s="15" t="inlineStr">
        <is>
          <t>% of Sales</t>
        </is>
      </c>
      <c r="B36" s="10" t="inlineStr">
        <is>
          <t>MW = 최근 3년 평균</t>
        </is>
      </c>
      <c r="C36" s="16">
        <f>IF(OR(C35="",C4=""),"",IFERROR(C35/C4,""))</f>
        <v/>
      </c>
      <c r="D36" s="17">
        <f>IF(OR(D35="",D4=""),"",IFERROR(D35/D4,""))</f>
        <v/>
      </c>
      <c r="E36" s="17">
        <f>IF(OR(E35="",E4=""),"",IFERROR(E35/E4,""))</f>
        <v/>
      </c>
      <c r="F36" s="17">
        <f>IF(OR(F35="",F4=""),"",IFERROR(F35/F4,""))</f>
        <v/>
      </c>
      <c r="G36" s="17">
        <f>IF(OR(G35="",G4=""),"",IFERROR(G35/G4,""))</f>
        <v/>
      </c>
      <c r="H36" s="17">
        <f>IF(OR(H35="",H4=""),"",IFERROR(H35/H4,""))</f>
        <v/>
      </c>
      <c r="I36" s="17">
        <f>IF(OR(I35="",I4=""),"",IFERROR(I35/I4,""))</f>
        <v/>
      </c>
      <c r="J36" s="17">
        <f>IF(OR(J35="",J4=""),"",IFERROR(J35/J4,""))</f>
        <v/>
      </c>
      <c r="K36" s="17">
        <f>IF(OR(K35="",K4=""),"",IFERROR(K35/K4,""))</f>
        <v/>
      </c>
      <c r="L36" s="17">
        <f>IF(OR(L35="",L4=""),"",IFERROR(L35/L4,""))</f>
        <v/>
      </c>
      <c r="M36" s="17">
        <f>IF(OR(M35="",M4=""),"",IFERROR(M35/M4,""))</f>
        <v/>
      </c>
      <c r="N36" s="17">
        <f>IF(OR(N35="",N4=""),"",IFERROR(N35/N4,""))</f>
        <v/>
      </c>
      <c r="O36" s="16">
        <f>IF(OR(O35="",O4=""),"",IFERROR(O35/O4,""))</f>
        <v/>
      </c>
      <c r="P36" s="17">
        <f>IF(OR(P35="",P4=""),"",IFERROR(P35/P4,""))</f>
        <v/>
      </c>
      <c r="Q36" s="17">
        <f>IF(OR(Q35="",Q4=""),"",IFERROR(Q35/Q4,""))</f>
        <v/>
      </c>
      <c r="R36" s="17">
        <f>IF(OR(R35="",R4=""),"",IFERROR(R35/R4,""))</f>
        <v/>
      </c>
      <c r="S36" s="17">
        <f>IF(OR(S35="",S4=""),"",IFERROR(S35/S4,""))</f>
        <v/>
      </c>
      <c r="T36" s="17">
        <f>IF(OR(T35="",T4=""),"",IFERROR(T35/T4,""))</f>
        <v/>
      </c>
      <c r="U36" s="17">
        <f>IF(OR(U35="",U4=""),"",IFERROR(U35/U4,""))</f>
        <v/>
      </c>
      <c r="V36" s="17">
        <f>IF(OR(V35="",V4=""),"",IFERROR(V35/V4,""))</f>
        <v/>
      </c>
      <c r="W36" s="17">
        <f>IF(OR(W35="",W4=""),"",IFERROR(W35/W4,""))</f>
        <v/>
      </c>
      <c r="X36" s="17">
        <f>IF(OR(X35="",X4=""),"",IFERROR(X35/X4,""))</f>
        <v/>
      </c>
      <c r="Y36" s="27">
        <f>IFERROR(AVERAGE(V36,W36,X36),"")</f>
        <v/>
      </c>
      <c r="Z36" s="28">
        <f>Y36</f>
        <v/>
      </c>
      <c r="AA36" s="28">
        <f>Z36</f>
        <v/>
      </c>
      <c r="AB36" s="28">
        <f>AA36</f>
        <v/>
      </c>
      <c r="AC36" s="28">
        <f>AB36</f>
        <v/>
      </c>
    </row>
    <row r="37">
      <c r="A37" s="20" t="inlineStr">
        <is>
          <t>특별손실</t>
        </is>
      </c>
      <c r="B37" s="10" t="n"/>
      <c r="C37" s="21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1" t="n"/>
      <c r="P37" s="22" t="n"/>
      <c r="Q37" s="22" t="n"/>
      <c r="R37" s="22" t="n"/>
      <c r="S37" s="22" t="n"/>
      <c r="T37" s="22" t="n">
        <v>0</v>
      </c>
      <c r="U37" s="22" t="n">
        <v>376.637</v>
      </c>
      <c r="V37" s="22" t="n">
        <v>0</v>
      </c>
      <c r="W37" s="22" t="n"/>
      <c r="X37" s="22" t="n"/>
      <c r="Y37" s="21">
        <f>IF(OR(Y4="",Y38=""),"",IFERROR(Y4*Y38,""))</f>
        <v/>
      </c>
      <c r="Z37" s="22">
        <f>IF(OR(Z4="",Z38=""),"",IFERROR(Z4*Z38,""))</f>
        <v/>
      </c>
      <c r="AA37" s="22">
        <f>IF(OR(AA4="",AA38=""),"",IFERROR(AA4*AA38,""))</f>
        <v/>
      </c>
      <c r="AB37" s="22">
        <f>IF(OR(AB4="",AB38=""),"",IFERROR(AB4*AB38,""))</f>
        <v/>
      </c>
      <c r="AC37" s="22">
        <f>IF(OR(AC4="",AC38=""),"",IFERROR(AC4*AC38,""))</f>
        <v/>
      </c>
    </row>
    <row r="38">
      <c r="A38" s="15" t="inlineStr">
        <is>
          <t>% of Sales</t>
        </is>
      </c>
      <c r="B38" s="10" t="n"/>
      <c r="C38" s="16">
        <f>IF(OR(C37="",C4=""),"",IFERROR(C37/C4,""))</f>
        <v/>
      </c>
      <c r="D38" s="17">
        <f>IF(OR(D37="",D4=""),"",IFERROR(D37/D4,""))</f>
        <v/>
      </c>
      <c r="E38" s="17">
        <f>IF(OR(E37="",E4=""),"",IFERROR(E37/E4,""))</f>
        <v/>
      </c>
      <c r="F38" s="17">
        <f>IF(OR(F37="",F4=""),"",IFERROR(F37/F4,""))</f>
        <v/>
      </c>
      <c r="G38" s="17">
        <f>IF(OR(G37="",G4=""),"",IFERROR(G37/G4,""))</f>
        <v/>
      </c>
      <c r="H38" s="17">
        <f>IF(OR(H37="",H4=""),"",IFERROR(H37/H4,""))</f>
        <v/>
      </c>
      <c r="I38" s="17">
        <f>IF(OR(I37="",I4=""),"",IFERROR(I37/I4,""))</f>
        <v/>
      </c>
      <c r="J38" s="17">
        <f>IF(OR(J37="",J4=""),"",IFERROR(J37/J4,""))</f>
        <v/>
      </c>
      <c r="K38" s="17">
        <f>IF(OR(K37="",K4=""),"",IFERROR(K37/K4,""))</f>
        <v/>
      </c>
      <c r="L38" s="17">
        <f>IF(OR(L37="",L4=""),"",IFERROR(L37/L4,""))</f>
        <v/>
      </c>
      <c r="M38" s="17">
        <f>IF(OR(M37="",M4=""),"",IFERROR(M37/M4,""))</f>
        <v/>
      </c>
      <c r="N38" s="17">
        <f>IF(OR(N37="",N4=""),"",IFERROR(N37/N4,""))</f>
        <v/>
      </c>
      <c r="O38" s="16">
        <f>IF(OR(O37="",O4=""),"",IFERROR(O37/O4,""))</f>
        <v/>
      </c>
      <c r="P38" s="17">
        <f>IF(OR(P37="",P4=""),"",IFERROR(P37/P4,""))</f>
        <v/>
      </c>
      <c r="Q38" s="17">
        <f>IF(OR(Q37="",Q4=""),"",IFERROR(Q37/Q4,""))</f>
        <v/>
      </c>
      <c r="R38" s="17">
        <f>IF(OR(R37="",R4=""),"",IFERROR(R37/R4,""))</f>
        <v/>
      </c>
      <c r="S38" s="17">
        <f>IF(OR(S37="",S4=""),"",IFERROR(S37/S4,""))</f>
        <v/>
      </c>
      <c r="T38" s="17">
        <f>IF(OR(T37="",T4=""),"",IFERROR(T37/T4,""))</f>
        <v/>
      </c>
      <c r="U38" s="17">
        <f>IF(OR(U37="",U4=""),"",IFERROR(U37/U4,""))</f>
        <v/>
      </c>
      <c r="V38" s="17">
        <f>IF(OR(V37="",V4=""),"",IFERROR(V37/V4,""))</f>
        <v/>
      </c>
      <c r="W38" s="17">
        <f>IF(OR(W37="",W4=""),"",IFERROR(W37/W4,""))</f>
        <v/>
      </c>
      <c r="X38" s="17">
        <f>IF(OR(X37="",X4=""),"",IFERROR(X37/X4,""))</f>
        <v/>
      </c>
      <c r="Y38" s="27">
        <f>IFERROR(AVERAGE(V38,W38,X38),"")</f>
        <v/>
      </c>
      <c r="Z38" s="28">
        <f>Y38</f>
        <v/>
      </c>
      <c r="AA38" s="28">
        <f>Z38</f>
        <v/>
      </c>
      <c r="AB38" s="28">
        <f>AA38</f>
        <v/>
      </c>
      <c r="AC38" s="28">
        <f>AB38</f>
        <v/>
      </c>
    </row>
    <row r="39">
      <c r="A39" s="20" t="inlineStr">
        <is>
          <t>영업외수익</t>
        </is>
      </c>
      <c r="B39" s="10" t="n"/>
      <c r="C39" s="21" t="n">
        <v>8.992000000000001</v>
      </c>
      <c r="D39" s="22" t="n">
        <v>10.72</v>
      </c>
      <c r="E39" s="22" t="n">
        <v>11.584</v>
      </c>
      <c r="F39" s="22" t="n">
        <v>14.093</v>
      </c>
      <c r="G39" s="22" t="n">
        <v>905.5</v>
      </c>
      <c r="H39" s="22" t="n">
        <v>13.291</v>
      </c>
      <c r="I39" s="22" t="n">
        <v>15.789</v>
      </c>
      <c r="J39" s="22" t="n">
        <v>32.113</v>
      </c>
      <c r="K39" s="22" t="n">
        <v>396.643</v>
      </c>
      <c r="L39" s="22" t="n">
        <v>46.016</v>
      </c>
      <c r="M39" s="22" t="n">
        <v>38.678</v>
      </c>
      <c r="N39" s="22" t="n">
        <v>588.249</v>
      </c>
      <c r="O39" s="21" t="n">
        <v>13.755</v>
      </c>
      <c r="P39" s="22" t="n">
        <v>63.7</v>
      </c>
      <c r="Q39" s="22" t="n">
        <v>4.266</v>
      </c>
      <c r="R39" s="22" t="n">
        <v>468.389</v>
      </c>
      <c r="S39" s="22" t="n">
        <v>644.668</v>
      </c>
      <c r="T39" s="22" t="n">
        <v>793.3920000000001</v>
      </c>
      <c r="U39" s="22" t="n">
        <v>994.313</v>
      </c>
      <c r="V39" s="22" t="n">
        <v>32.635</v>
      </c>
      <c r="W39" s="22" t="n">
        <v>941.897</v>
      </c>
      <c r="X39" s="22" t="n">
        <v>457.836</v>
      </c>
      <c r="Y39" s="21">
        <f>IF(OR(Y4="",Y40=""),"",IFERROR(Y4*Y40,""))</f>
        <v/>
      </c>
      <c r="Z39" s="22">
        <f>IF(OR(Z4="",Z40=""),"",IFERROR(Z4*Z40,""))</f>
        <v/>
      </c>
      <c r="AA39" s="22">
        <f>IF(OR(AA4="",AA40=""),"",IFERROR(AA4*AA40,""))</f>
        <v/>
      </c>
      <c r="AB39" s="22">
        <f>IF(OR(AB4="",AB40=""),"",IFERROR(AB4*AB40,""))</f>
        <v/>
      </c>
      <c r="AC39" s="22">
        <f>IF(OR(AC4="",AC40=""),"",IFERROR(AC4*AC40,""))</f>
        <v/>
      </c>
    </row>
    <row r="40">
      <c r="A40" s="15" t="inlineStr">
        <is>
          <t>% of Sales</t>
        </is>
      </c>
      <c r="B40" s="10" t="n"/>
      <c r="C40" s="16">
        <f>IF(OR(C39="",C4=""),"",IFERROR(C39/C4,""))</f>
        <v/>
      </c>
      <c r="D40" s="17">
        <f>IF(OR(D39="",D4=""),"",IFERROR(D39/D4,""))</f>
        <v/>
      </c>
      <c r="E40" s="17">
        <f>IF(OR(E39="",E4=""),"",IFERROR(E39/E4,""))</f>
        <v/>
      </c>
      <c r="F40" s="17">
        <f>IF(OR(F39="",F4=""),"",IFERROR(F39/F4,""))</f>
        <v/>
      </c>
      <c r="G40" s="17">
        <f>IF(OR(G39="",G4=""),"",IFERROR(G39/G4,""))</f>
        <v/>
      </c>
      <c r="H40" s="17">
        <f>IF(OR(H39="",H4=""),"",IFERROR(H39/H4,""))</f>
        <v/>
      </c>
      <c r="I40" s="17">
        <f>IF(OR(I39="",I4=""),"",IFERROR(I39/I4,""))</f>
        <v/>
      </c>
      <c r="J40" s="17">
        <f>IF(OR(J39="",J4=""),"",IFERROR(J39/J4,""))</f>
        <v/>
      </c>
      <c r="K40" s="17">
        <f>IF(OR(K39="",K4=""),"",IFERROR(K39/K4,""))</f>
        <v/>
      </c>
      <c r="L40" s="17">
        <f>IF(OR(L39="",L4=""),"",IFERROR(L39/L4,""))</f>
        <v/>
      </c>
      <c r="M40" s="17">
        <f>IF(OR(M39="",M4=""),"",IFERROR(M39/M4,""))</f>
        <v/>
      </c>
      <c r="N40" s="17">
        <f>IF(OR(N39="",N4=""),"",IFERROR(N39/N4,""))</f>
        <v/>
      </c>
      <c r="O40" s="16">
        <f>IF(OR(O39="",O4=""),"",IFERROR(O39/O4,""))</f>
        <v/>
      </c>
      <c r="P40" s="17">
        <f>IF(OR(P39="",P4=""),"",IFERROR(P39/P4,""))</f>
        <v/>
      </c>
      <c r="Q40" s="17">
        <f>IF(OR(Q39="",Q4=""),"",IFERROR(Q39/Q4,""))</f>
        <v/>
      </c>
      <c r="R40" s="17">
        <f>IF(OR(R39="",R4=""),"",IFERROR(R39/R4,""))</f>
        <v/>
      </c>
      <c r="S40" s="17">
        <f>IF(OR(S39="",S4=""),"",IFERROR(S39/S4,""))</f>
        <v/>
      </c>
      <c r="T40" s="17">
        <f>IF(OR(T39="",T4=""),"",IFERROR(T39/T4,""))</f>
        <v/>
      </c>
      <c r="U40" s="17">
        <f>IF(OR(U39="",U4=""),"",IFERROR(U39/U4,""))</f>
        <v/>
      </c>
      <c r="V40" s="17">
        <f>IF(OR(V39="",V4=""),"",IFERROR(V39/V4,""))</f>
        <v/>
      </c>
      <c r="W40" s="17">
        <f>IF(OR(W39="",W4=""),"",IFERROR(W39/W4,""))</f>
        <v/>
      </c>
      <c r="X40" s="17">
        <f>IF(OR(X39="",X4=""),"",IFERROR(X39/X4,""))</f>
        <v/>
      </c>
      <c r="Y40" s="27">
        <f>IFERROR(AVERAGE(V40,W40,X40),"")</f>
        <v/>
      </c>
      <c r="Z40" s="28">
        <f>Y40</f>
        <v/>
      </c>
      <c r="AA40" s="28">
        <f>Z40</f>
        <v/>
      </c>
      <c r="AB40" s="28">
        <f>AA40</f>
        <v/>
      </c>
      <c r="AC40" s="28">
        <f>AB40</f>
        <v/>
      </c>
    </row>
    <row r="41">
      <c r="A41" s="20" t="inlineStr">
        <is>
          <t>영업외비용</t>
        </is>
      </c>
      <c r="B41" s="10" t="n"/>
      <c r="C41" s="21" t="n">
        <v>8.494</v>
      </c>
      <c r="D41" s="22" t="n">
        <v>4.279</v>
      </c>
      <c r="E41" s="22" t="n">
        <v>0.121</v>
      </c>
      <c r="F41" s="22" t="n">
        <v>65.703</v>
      </c>
      <c r="G41" s="22" t="n">
        <v>12.816</v>
      </c>
      <c r="H41" s="22" t="n">
        <v>20.72</v>
      </c>
      <c r="I41" s="22" t="n">
        <v>35.585</v>
      </c>
      <c r="J41" s="22" t="n">
        <v>21.84</v>
      </c>
      <c r="K41" s="22" t="n">
        <v>20.539</v>
      </c>
      <c r="L41" s="22" t="n">
        <v>77.498</v>
      </c>
      <c r="M41" s="22" t="n">
        <v>57.577</v>
      </c>
      <c r="N41" s="22" t="n">
        <v>309.898</v>
      </c>
      <c r="O41" s="21" t="n">
        <v>0.502</v>
      </c>
      <c r="P41" s="22" t="n">
        <v>0.825</v>
      </c>
      <c r="Q41" s="22" t="n">
        <v>0.536</v>
      </c>
      <c r="R41" s="22" t="n">
        <v>1.379</v>
      </c>
      <c r="S41" s="22" t="n">
        <v>2.143</v>
      </c>
      <c r="T41" s="22" t="n">
        <v>5.974</v>
      </c>
      <c r="U41" s="22" t="n">
        <v>7.168</v>
      </c>
      <c r="V41" s="22" t="n">
        <v>16.469</v>
      </c>
      <c r="W41" s="22" t="n">
        <v>82.919</v>
      </c>
      <c r="X41" s="22" t="n">
        <v>98.684</v>
      </c>
      <c r="Y41" s="21">
        <f>IF(OR(Y4="",Y42=""),"",IFERROR(Y4*Y42,""))</f>
        <v/>
      </c>
      <c r="Z41" s="22">
        <f>IF(OR(Z4="",Z42=""),"",IFERROR(Z4*Z42,""))</f>
        <v/>
      </c>
      <c r="AA41" s="22">
        <f>IF(OR(AA4="",AA42=""),"",IFERROR(AA4*AA42,""))</f>
        <v/>
      </c>
      <c r="AB41" s="22">
        <f>IF(OR(AB4="",AB42=""),"",IFERROR(AB4*AB42,""))</f>
        <v/>
      </c>
      <c r="AC41" s="22">
        <f>IF(OR(AC4="",AC42=""),"",IFERROR(AC4*AC42,""))</f>
        <v/>
      </c>
    </row>
    <row r="42">
      <c r="A42" s="15" t="inlineStr">
        <is>
          <t>% of Sales</t>
        </is>
      </c>
      <c r="B42" s="10" t="n"/>
      <c r="C42" s="16">
        <f>IF(OR(C41="",C4=""),"",IFERROR(C41/C4,""))</f>
        <v/>
      </c>
      <c r="D42" s="17">
        <f>IF(OR(D41="",D4=""),"",IFERROR(D41/D4,""))</f>
        <v/>
      </c>
      <c r="E42" s="17">
        <f>IF(OR(E41="",E4=""),"",IFERROR(E41/E4,""))</f>
        <v/>
      </c>
      <c r="F42" s="17">
        <f>IF(OR(F41="",F4=""),"",IFERROR(F41/F4,""))</f>
        <v/>
      </c>
      <c r="G42" s="17">
        <f>IF(OR(G41="",G4=""),"",IFERROR(G41/G4,""))</f>
        <v/>
      </c>
      <c r="H42" s="17">
        <f>IF(OR(H41="",H4=""),"",IFERROR(H41/H4,""))</f>
        <v/>
      </c>
      <c r="I42" s="17">
        <f>IF(OR(I41="",I4=""),"",IFERROR(I41/I4,""))</f>
        <v/>
      </c>
      <c r="J42" s="17">
        <f>IF(OR(J41="",J4=""),"",IFERROR(J41/J4,""))</f>
        <v/>
      </c>
      <c r="K42" s="17">
        <f>IF(OR(K41="",K4=""),"",IFERROR(K41/K4,""))</f>
        <v/>
      </c>
      <c r="L42" s="17">
        <f>IF(OR(L41="",L4=""),"",IFERROR(L41/L4,""))</f>
        <v/>
      </c>
      <c r="M42" s="17">
        <f>IF(OR(M41="",M4=""),"",IFERROR(M41/M4,""))</f>
        <v/>
      </c>
      <c r="N42" s="17">
        <f>IF(OR(N41="",N4=""),"",IFERROR(N41/N4,""))</f>
        <v/>
      </c>
      <c r="O42" s="16">
        <f>IF(OR(O41="",O4=""),"",IFERROR(O41/O4,""))</f>
        <v/>
      </c>
      <c r="P42" s="17">
        <f>IF(OR(P41="",P4=""),"",IFERROR(P41/P4,""))</f>
        <v/>
      </c>
      <c r="Q42" s="17">
        <f>IF(OR(Q41="",Q4=""),"",IFERROR(Q41/Q4,""))</f>
        <v/>
      </c>
      <c r="R42" s="17">
        <f>IF(OR(R41="",R4=""),"",IFERROR(R41/R4,""))</f>
        <v/>
      </c>
      <c r="S42" s="17">
        <f>IF(OR(S41="",S4=""),"",IFERROR(S41/S4,""))</f>
        <v/>
      </c>
      <c r="T42" s="17">
        <f>IF(OR(T41="",T4=""),"",IFERROR(T41/T4,""))</f>
        <v/>
      </c>
      <c r="U42" s="17">
        <f>IF(OR(U41="",U4=""),"",IFERROR(U41/U4,""))</f>
        <v/>
      </c>
      <c r="V42" s="17">
        <f>IF(OR(V41="",V4=""),"",IFERROR(V41/V4,""))</f>
        <v/>
      </c>
      <c r="W42" s="17">
        <f>IF(OR(W41="",W4=""),"",IFERROR(W41/W4,""))</f>
        <v/>
      </c>
      <c r="X42" s="17">
        <f>IF(OR(X41="",X4=""),"",IFERROR(X41/X4,""))</f>
        <v/>
      </c>
      <c r="Y42" s="27">
        <f>IFERROR(AVERAGE(V42,W42,X42),"")</f>
        <v/>
      </c>
      <c r="Z42" s="28">
        <f>Y42</f>
        <v/>
      </c>
      <c r="AA42" s="28">
        <f>Z42</f>
        <v/>
      </c>
      <c r="AB42" s="28">
        <f>AA42</f>
        <v/>
      </c>
      <c r="AC42" s="28">
        <f>AB42</f>
        <v/>
      </c>
    </row>
    <row r="43">
      <c r="A43" s="9" t="inlineStr">
        <is>
          <t>법인세비용차감전순이익(손실)</t>
        </is>
      </c>
      <c r="B43" s="10" t="n"/>
      <c r="C43" s="11" t="n">
        <v>939.553</v>
      </c>
      <c r="D43" s="12" t="n">
        <v>1065.636</v>
      </c>
      <c r="E43" s="12" t="n">
        <v>883.063</v>
      </c>
      <c r="F43" s="12" t="n">
        <v>749.042</v>
      </c>
      <c r="G43" s="12" t="n">
        <v>581.356</v>
      </c>
      <c r="H43" s="12" t="n">
        <v>1175.47</v>
      </c>
      <c r="I43" s="12" t="n">
        <v>856.5940000000001</v>
      </c>
      <c r="J43" s="12" t="n">
        <v>974.463</v>
      </c>
      <c r="K43" s="12" t="n">
        <v>357.064</v>
      </c>
      <c r="L43" s="12" t="n">
        <v>1410.157</v>
      </c>
      <c r="M43" s="12" t="n">
        <v>1180.864</v>
      </c>
      <c r="N43" s="12" t="n">
        <v>1603.961</v>
      </c>
      <c r="O43" s="11" t="n">
        <v>749.59</v>
      </c>
      <c r="P43" s="12" t="n">
        <v>798.667</v>
      </c>
      <c r="Q43" s="12" t="n">
        <v>1282.455</v>
      </c>
      <c r="R43" s="12" t="n">
        <v>1264.684</v>
      </c>
      <c r="S43" s="12" t="n">
        <v>2288.525</v>
      </c>
      <c r="T43" s="12" t="n">
        <v>2588.817</v>
      </c>
      <c r="U43" s="12" t="n">
        <v>2853.207</v>
      </c>
      <c r="V43" s="12" t="n">
        <v>3681.575</v>
      </c>
      <c r="W43" s="12" t="n">
        <v>3279.097</v>
      </c>
      <c r="X43" s="12" t="n">
        <v>3363.591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5" t="inlineStr">
        <is>
          <t>YoY</t>
        </is>
      </c>
      <c r="B44" s="10" t="n"/>
      <c r="C44" s="16" t="n"/>
      <c r="D44" s="17" t="n"/>
      <c r="E44" s="17" t="n"/>
      <c r="F44" s="17" t="n"/>
      <c r="G44" s="17">
        <f>IF(OR(G43="",C43=""),"",IF(C43&lt;=0,"",IFERROR(G43/C43-1,"")))</f>
        <v/>
      </c>
      <c r="H44" s="17">
        <f>IF(OR(H43="",D43=""),"",IF(D43&lt;=0,"",IFERROR(H43/D43-1,"")))</f>
        <v/>
      </c>
      <c r="I44" s="17">
        <f>IF(OR(I43="",E43=""),"",IF(E43&lt;=0,"",IFERROR(I43/E43-1,"")))</f>
        <v/>
      </c>
      <c r="J44" s="17">
        <f>IF(OR(J43="",F43=""),"",IF(F43&lt;=0,"",IFERROR(J43/F43-1,"")))</f>
        <v/>
      </c>
      <c r="K44" s="17">
        <f>IF(OR(K43="",G43=""),"",IF(G43&lt;=0,"",IFERROR(K43/G43-1,"")))</f>
        <v/>
      </c>
      <c r="L44" s="17">
        <f>IF(OR(L43="",H43=""),"",IF(H43&lt;=0,"",IFERROR(L43/H43-1,"")))</f>
        <v/>
      </c>
      <c r="M44" s="17">
        <f>IF(OR(M43="",I43=""),"",IF(I43&lt;=0,"",IFERROR(M43/I43-1,"")))</f>
        <v/>
      </c>
      <c r="N44" s="17">
        <f>IF(OR(N43="",J43=""),"",IF(J43&lt;=0,"",IFERROR(N43/J43-1,"")))</f>
        <v/>
      </c>
      <c r="O44" s="16" t="n"/>
      <c r="P44" s="17">
        <f>IF(OR(P43="",O43=""),"",IF(O43&lt;=0,"",IFERROR(P43/O43-1,"")))</f>
        <v/>
      </c>
      <c r="Q44" s="17">
        <f>IF(OR(Q43="",P43=""),"",IF(P43&lt;=0,"",IFERROR(Q43/P43-1,"")))</f>
        <v/>
      </c>
      <c r="R44" s="17">
        <f>IF(OR(R43="",Q43=""),"",IF(Q43&lt;=0,"",IFERROR(R43/Q43-1,"")))</f>
        <v/>
      </c>
      <c r="S44" s="17">
        <f>IF(OR(S43="",R43=""),"",IF(R43&lt;=0,"",IFERROR(S43/R43-1,"")))</f>
        <v/>
      </c>
      <c r="T44" s="17">
        <f>IF(OR(T43="",S43=""),"",IF(S43&lt;=0,"",IFERROR(T43/S43-1,"")))</f>
        <v/>
      </c>
      <c r="U44" s="17">
        <f>IF(OR(U43="",T43=""),"",IF(T43&lt;=0,"",IFERROR(U43/T43-1,"")))</f>
        <v/>
      </c>
      <c r="V44" s="17">
        <f>IF(OR(V43="",U43=""),"",IF(U43&lt;=0,"",IFERROR(V43/U43-1,"")))</f>
        <v/>
      </c>
      <c r="W44" s="17">
        <f>IF(OR(W43="",V43=""),"",IF(V43&lt;=0,"",IFERROR(W43/V43-1,"")))</f>
        <v/>
      </c>
      <c r="X44" s="17">
        <f>IF(OR(X43="",W43=""),"",IF(W43&lt;=0,"",IFERROR(X43/W43-1,"")))</f>
        <v/>
      </c>
      <c r="Y44" s="16">
        <f>IF(OR(Y43="",X43=""),"",IF(X43&lt;=0,"",IFERROR(Y43/X43-1,"")))</f>
        <v/>
      </c>
      <c r="Z44" s="17">
        <f>IF(OR(Z43="",Y43=""),"",IF(Y43&lt;=0,"",IFERROR(Z43/Y43-1,"")))</f>
        <v/>
      </c>
      <c r="AA44" s="17">
        <f>IF(OR(AA43="",Z43=""),"",IF(Z43&lt;=0,"",IFERROR(AA43/Z43-1,"")))</f>
        <v/>
      </c>
      <c r="AB44" s="17">
        <f>IF(OR(AB43="",AA43=""),"",IF(AA43&lt;=0,"",IFERROR(AB43/AA43-1,"")))</f>
        <v/>
      </c>
      <c r="AC44" s="17">
        <f>IF(OR(AC43="",AB43=""),"",IF(AB43&lt;=0,"",IFERROR(AC43/AB43-1,"")))</f>
        <v/>
      </c>
    </row>
    <row r="45">
      <c r="A45" s="20" t="inlineStr">
        <is>
          <t>법인세비용(수익)</t>
        </is>
      </c>
      <c r="B45" s="10" t="n"/>
      <c r="C45" s="21" t="n">
        <v>309.416</v>
      </c>
      <c r="D45" s="22" t="n">
        <v>338.826</v>
      </c>
      <c r="E45" s="22" t="n">
        <v>284.556</v>
      </c>
      <c r="F45" s="22" t="n">
        <v>242.173</v>
      </c>
      <c r="G45" s="22" t="n">
        <v>59.024</v>
      </c>
      <c r="H45" s="22" t="n">
        <v>372.325</v>
      </c>
      <c r="I45" s="22" t="n">
        <v>281.236</v>
      </c>
      <c r="J45" s="22" t="n">
        <v>310.27</v>
      </c>
      <c r="K45" s="22" t="n">
        <v>45.699</v>
      </c>
      <c r="L45" s="22" t="n">
        <v>470.627</v>
      </c>
      <c r="M45" s="22" t="n">
        <v>387.592</v>
      </c>
      <c r="N45" s="22" t="n">
        <v>598.09</v>
      </c>
      <c r="O45" s="21" t="n">
        <v>248.92</v>
      </c>
      <c r="P45" s="22" t="n">
        <v>242.127</v>
      </c>
      <c r="Q45" s="22" t="n">
        <v>417.043</v>
      </c>
      <c r="R45" s="22" t="n">
        <v>412.415</v>
      </c>
      <c r="S45" s="22" t="n">
        <v>646.788</v>
      </c>
      <c r="T45" s="22" t="n">
        <v>821.717</v>
      </c>
      <c r="U45" s="22" t="n">
        <v>851.855</v>
      </c>
      <c r="V45" s="22" t="n">
        <v>1162.837</v>
      </c>
      <c r="W45" s="22" t="n">
        <v>924.579</v>
      </c>
      <c r="X45" s="22" t="n">
        <v>1009.53</v>
      </c>
      <c r="Y45" s="21">
        <f>IF(OR(Y43="",Y46=""),"",IFERROR(MAX(Y43,0)*Y46,""))</f>
        <v/>
      </c>
      <c r="Z45" s="22">
        <f>IF(OR(Z43="",Z46=""),"",IFERROR(MAX(Z43,0)*Z46,""))</f>
        <v/>
      </c>
      <c r="AA45" s="22">
        <f>IF(OR(AA43="",AA46=""),"",IFERROR(MAX(AA43,0)*AA46,""))</f>
        <v/>
      </c>
      <c r="AB45" s="22">
        <f>IF(OR(AB43="",AB46=""),"",IFERROR(MAX(AB43,0)*AB46,""))</f>
        <v/>
      </c>
      <c r="AC45" s="22">
        <f>IF(OR(AC43="",AC46=""),"",IFERROR(MAX(AC43,0)*AC46,""))</f>
        <v/>
      </c>
    </row>
    <row r="46">
      <c r="A46" s="15" t="inlineStr">
        <is>
          <t>법인세율</t>
        </is>
      </c>
      <c r="B46" s="10" t="inlineStr">
        <is>
          <t>MW 기본 30%</t>
        </is>
      </c>
      <c r="C46" s="16">
        <f>IF(OR(C45="",C43=""),"",IFERROR(C45/C43,""))</f>
        <v/>
      </c>
      <c r="D46" s="17">
        <f>IF(OR(D45="",D43=""),"",IFERROR(D45/D43,""))</f>
        <v/>
      </c>
      <c r="E46" s="17">
        <f>IF(OR(E45="",E43=""),"",IFERROR(E45/E43,""))</f>
        <v/>
      </c>
      <c r="F46" s="17">
        <f>IF(OR(F45="",F43=""),"",IFERROR(F45/F43,""))</f>
        <v/>
      </c>
      <c r="G46" s="17">
        <f>IF(OR(G45="",G43=""),"",IFERROR(G45/G43,""))</f>
        <v/>
      </c>
      <c r="H46" s="17">
        <f>IF(OR(H45="",H43=""),"",IFERROR(H45/H43,""))</f>
        <v/>
      </c>
      <c r="I46" s="17">
        <f>IF(OR(I45="",I43=""),"",IFERROR(I45/I43,""))</f>
        <v/>
      </c>
      <c r="J46" s="17">
        <f>IF(OR(J45="",J43=""),"",IFERROR(J45/J43,""))</f>
        <v/>
      </c>
      <c r="K46" s="17">
        <f>IF(OR(K45="",K43=""),"",IFERROR(K45/K43,""))</f>
        <v/>
      </c>
      <c r="L46" s="17">
        <f>IF(OR(L45="",L43=""),"",IFERROR(L45/L43,""))</f>
        <v/>
      </c>
      <c r="M46" s="17">
        <f>IF(OR(M45="",M43=""),"",IFERROR(M45/M43,""))</f>
        <v/>
      </c>
      <c r="N46" s="17">
        <f>IF(OR(N45="",N43=""),"",IFERROR(N45/N43,""))</f>
        <v/>
      </c>
      <c r="O46" s="16">
        <f>IF(OR(O45="",O43=""),"",IFERROR(O45/O43,""))</f>
        <v/>
      </c>
      <c r="P46" s="17">
        <f>IF(OR(P45="",P43=""),"",IFERROR(P45/P43,""))</f>
        <v/>
      </c>
      <c r="Q46" s="17">
        <f>IF(OR(Q45="",Q43=""),"",IFERROR(Q45/Q43,""))</f>
        <v/>
      </c>
      <c r="R46" s="17">
        <f>IF(OR(R45="",R43=""),"",IFERROR(R45/R43,""))</f>
        <v/>
      </c>
      <c r="S46" s="17">
        <f>IF(OR(S45="",S43=""),"",IFERROR(S45/S43,""))</f>
        <v/>
      </c>
      <c r="T46" s="17">
        <f>IF(OR(T45="",T43=""),"",IFERROR(T45/T43,""))</f>
        <v/>
      </c>
      <c r="U46" s="17">
        <f>IF(OR(U45="",U43=""),"",IFERROR(U45/U43,""))</f>
        <v/>
      </c>
      <c r="V46" s="17">
        <f>IF(OR(V45="",V43=""),"",IFERROR(V45/V43,""))</f>
        <v/>
      </c>
      <c r="W46" s="17">
        <f>IF(OR(W45="",W43=""),"",IFERROR(W45/W43,""))</f>
        <v/>
      </c>
      <c r="X46" s="17">
        <f>IF(OR(X45="",X43=""),"",IFERROR(X45/X43,""))</f>
        <v/>
      </c>
      <c r="Y46" s="27" t="n">
        <v>0.3</v>
      </c>
      <c r="Z46" s="28" t="n">
        <v>0.3</v>
      </c>
      <c r="AA46" s="28" t="n">
        <v>0.3</v>
      </c>
      <c r="AB46" s="28" t="n">
        <v>0.3</v>
      </c>
      <c r="AC46" s="28" t="n">
        <v>0.3</v>
      </c>
    </row>
    <row r="47">
      <c r="A47" s="9" t="inlineStr">
        <is>
          <t>당기순이익(손실)</t>
        </is>
      </c>
      <c r="B47" s="10" t="n"/>
      <c r="C47" s="11" t="n">
        <v>630.138</v>
      </c>
      <c r="D47" s="12" t="n">
        <v>726.8099999999999</v>
      </c>
      <c r="E47" s="12" t="n">
        <v>598.506</v>
      </c>
      <c r="F47" s="12" t="n">
        <v>506.87</v>
      </c>
      <c r="G47" s="12" t="n">
        <v>522.332</v>
      </c>
      <c r="H47" s="12" t="n">
        <v>803.144</v>
      </c>
      <c r="I47" s="12" t="n">
        <v>575.3579999999999</v>
      </c>
      <c r="J47" s="12" t="n">
        <v>664.193</v>
      </c>
      <c r="K47" s="12" t="n">
        <v>311.366</v>
      </c>
      <c r="L47" s="12" t="n">
        <v>939.53</v>
      </c>
      <c r="M47" s="12" t="n">
        <v>793.271</v>
      </c>
      <c r="N47" s="12" t="n">
        <v>1005.871</v>
      </c>
      <c r="O47" s="11" t="n">
        <v>500.67</v>
      </c>
      <c r="P47" s="12" t="n">
        <v>556.54</v>
      </c>
      <c r="Q47" s="12" t="n">
        <v>865.4109999999999</v>
      </c>
      <c r="R47" s="12" t="n">
        <v>852.268</v>
      </c>
      <c r="S47" s="12" t="n">
        <v>1641.736</v>
      </c>
      <c r="T47" s="12" t="n">
        <v>1767.1</v>
      </c>
      <c r="U47" s="12" t="n">
        <v>2001.352</v>
      </c>
      <c r="V47" s="12" t="n">
        <v>2518.738</v>
      </c>
      <c r="W47" s="12" t="n">
        <v>2354.518</v>
      </c>
      <c r="X47" s="12" t="n">
        <v>2354.061</v>
      </c>
      <c r="Y47" s="11">
        <f>IF(OR(Y43=""),"",IFERROR(Y43-Y45,""))</f>
        <v/>
      </c>
      <c r="Z47" s="12">
        <f>IF(OR(Z43=""),"",IFERROR(Z43-Z45,""))</f>
        <v/>
      </c>
      <c r="AA47" s="12">
        <f>IF(OR(AA43=""),"",IFERROR(AA43-AA45,""))</f>
        <v/>
      </c>
      <c r="AB47" s="12">
        <f>IF(OR(AB43=""),"",IFERROR(AB43-AB45,""))</f>
        <v/>
      </c>
      <c r="AC47" s="12">
        <f>IF(OR(AC43=""),"",IFERROR(AC43-AC45,""))</f>
        <v/>
      </c>
    </row>
    <row r="48">
      <c r="A48" s="15" t="inlineStr">
        <is>
          <t>YoY</t>
        </is>
      </c>
      <c r="B48" s="10" t="n"/>
      <c r="C48" s="16" t="n"/>
      <c r="D48" s="17" t="n"/>
      <c r="E48" s="17" t="n"/>
      <c r="F48" s="17" t="n"/>
      <c r="G48" s="17">
        <f>IF(OR(G47="",C47=""),"",IF(C47&lt;=0,"",IFERROR(G47/C47-1,"")))</f>
        <v/>
      </c>
      <c r="H48" s="17">
        <f>IF(OR(H47="",D47=""),"",IF(D47&lt;=0,"",IFERROR(H47/D47-1,"")))</f>
        <v/>
      </c>
      <c r="I48" s="17">
        <f>IF(OR(I47="",E47=""),"",IF(E47&lt;=0,"",IFERROR(I47/E47-1,"")))</f>
        <v/>
      </c>
      <c r="J48" s="17">
        <f>IF(OR(J47="",F47=""),"",IF(F47&lt;=0,"",IFERROR(J47/F47-1,"")))</f>
        <v/>
      </c>
      <c r="K48" s="17">
        <f>IF(OR(K47="",G47=""),"",IF(G47&lt;=0,"",IFERROR(K47/G47-1,"")))</f>
        <v/>
      </c>
      <c r="L48" s="17">
        <f>IF(OR(L47="",H47=""),"",IF(H47&lt;=0,"",IFERROR(L47/H47-1,"")))</f>
        <v/>
      </c>
      <c r="M48" s="17">
        <f>IF(OR(M47="",I47=""),"",IF(I47&lt;=0,"",IFERROR(M47/I47-1,"")))</f>
        <v/>
      </c>
      <c r="N48" s="17">
        <f>IF(OR(N47="",J47=""),"",IF(J47&lt;=0,"",IFERROR(N47/J47-1,"")))</f>
        <v/>
      </c>
      <c r="O48" s="16" t="n"/>
      <c r="P48" s="17">
        <f>IF(OR(P47="",O47=""),"",IF(O47&lt;=0,"",IFERROR(P47/O47-1,"")))</f>
        <v/>
      </c>
      <c r="Q48" s="17">
        <f>IF(OR(Q47="",P47=""),"",IF(P47&lt;=0,"",IFERROR(Q47/P47-1,"")))</f>
        <v/>
      </c>
      <c r="R48" s="17">
        <f>IF(OR(R47="",Q47=""),"",IF(Q47&lt;=0,"",IFERROR(R47/Q47-1,"")))</f>
        <v/>
      </c>
      <c r="S48" s="17">
        <f>IF(OR(S47="",R47=""),"",IF(R47&lt;=0,"",IFERROR(S47/R47-1,"")))</f>
        <v/>
      </c>
      <c r="T48" s="17">
        <f>IF(OR(T47="",S47=""),"",IF(S47&lt;=0,"",IFERROR(T47/S47-1,"")))</f>
        <v/>
      </c>
      <c r="U48" s="17">
        <f>IF(OR(U47="",T47=""),"",IF(T47&lt;=0,"",IFERROR(U47/T47-1,"")))</f>
        <v/>
      </c>
      <c r="V48" s="17">
        <f>IF(OR(V47="",U47=""),"",IF(U47&lt;=0,"",IFERROR(V47/U47-1,"")))</f>
        <v/>
      </c>
      <c r="W48" s="17">
        <f>IF(OR(W47="",V47=""),"",IF(V47&lt;=0,"",IFERROR(W47/V47-1,"")))</f>
        <v/>
      </c>
      <c r="X48" s="17">
        <f>IF(OR(X47="",W47=""),"",IF(W47&lt;=0,"",IFERROR(X47/W47-1,"")))</f>
        <v/>
      </c>
      <c r="Y48" s="16">
        <f>IF(OR(Y47="",X47=""),"",IF(X47&lt;=0,"",IFERROR(Y47/X47-1,"")))</f>
        <v/>
      </c>
      <c r="Z48" s="17">
        <f>IF(OR(Z47="",Y47=""),"",IF(Y47&lt;=0,"",IFERROR(Z47/Y47-1,"")))</f>
        <v/>
      </c>
      <c r="AA48" s="17">
        <f>IF(OR(AA47="",Z47=""),"",IF(Z47&lt;=0,"",IFERROR(AA47/Z47-1,"")))</f>
        <v/>
      </c>
      <c r="AB48" s="17">
        <f>IF(OR(AB47="",AA47=""),"",IF(AA47&lt;=0,"",IFERROR(AB47/AA47-1,"")))</f>
        <v/>
      </c>
      <c r="AC48" s="17">
        <f>IF(OR(AC47="",AB47=""),"",IF(AB47&lt;=0,"",IFERROR(AC47/AB47-1,"")))</f>
        <v/>
      </c>
    </row>
    <row r="49">
      <c r="A49" s="9" t="inlineStr">
        <is>
          <t>지배주주 순이익</t>
        </is>
      </c>
      <c r="B49" s="10" t="n"/>
      <c r="C49" s="11" t="n">
        <v>630.138</v>
      </c>
      <c r="D49" s="12" t="n">
        <v>726.8099999999999</v>
      </c>
      <c r="E49" s="12" t="n">
        <v>598.506</v>
      </c>
      <c r="F49" s="12" t="n">
        <v>506.87</v>
      </c>
      <c r="G49" s="12" t="n">
        <v>522.484</v>
      </c>
      <c r="H49" s="12" t="n">
        <v>800.056</v>
      </c>
      <c r="I49" s="12" t="n">
        <v>567.25</v>
      </c>
      <c r="J49" s="12" t="n">
        <v>655.3869999999999</v>
      </c>
      <c r="K49" s="12" t="n">
        <v>745.067</v>
      </c>
      <c r="L49" s="12" t="n">
        <v>949.8579999999999</v>
      </c>
      <c r="M49" s="12" t="n">
        <v>788.736</v>
      </c>
      <c r="N49" s="12" t="n">
        <v>1013.07</v>
      </c>
      <c r="O49" s="11" t="n"/>
      <c r="P49" s="12" t="n">
        <v>657.726</v>
      </c>
      <c r="Q49" s="12" t="n">
        <v>865.4109999999999</v>
      </c>
      <c r="R49" s="12" t="n">
        <v>989.595</v>
      </c>
      <c r="S49" s="12" t="n">
        <v>1446.372</v>
      </c>
      <c r="T49" s="12" t="n">
        <v>1905.925</v>
      </c>
      <c r="U49" s="12" t="n">
        <v>2082.698</v>
      </c>
      <c r="V49" s="12" t="n">
        <v>2518.738</v>
      </c>
      <c r="W49" s="12" t="n">
        <v>2354.67</v>
      </c>
      <c r="X49" s="12" t="n">
        <v>2767.76</v>
      </c>
      <c r="Y49" s="11">
        <f>IF(OR(Y47="",Y50=""),"",IFERROR(Y47*Y50,""))</f>
        <v/>
      </c>
      <c r="Z49" s="12">
        <f>IF(OR(Z47="",Z50=""),"",IFERROR(Z47*Z50,""))</f>
        <v/>
      </c>
      <c r="AA49" s="12">
        <f>IF(OR(AA47="",AA50=""),"",IFERROR(AA47*AA50,""))</f>
        <v/>
      </c>
      <c r="AB49" s="12">
        <f>IF(OR(AB47="",AB50=""),"",IFERROR(AB47*AB50,""))</f>
        <v/>
      </c>
      <c r="AC49" s="12">
        <f>IF(OR(AC47="",AC50=""),"",IFERROR(AC47*AC50,""))</f>
        <v/>
      </c>
    </row>
    <row r="50">
      <c r="A50" s="15" t="inlineStr">
        <is>
          <t>지배주주 순이익률</t>
        </is>
      </c>
      <c r="B50" s="10" t="inlineStr">
        <is>
          <t>MW 기본 100%</t>
        </is>
      </c>
      <c r="C50" s="16">
        <f>IF(OR(C49="",C47=""),"",IFERROR(C49/C47,""))</f>
        <v/>
      </c>
      <c r="D50" s="17">
        <f>IF(OR(D49="",D47=""),"",IFERROR(D49/D47,""))</f>
        <v/>
      </c>
      <c r="E50" s="17">
        <f>IF(OR(E49="",E47=""),"",IFERROR(E49/E47,""))</f>
        <v/>
      </c>
      <c r="F50" s="17">
        <f>IF(OR(F49="",F47=""),"",IFERROR(F49/F47,""))</f>
        <v/>
      </c>
      <c r="G50" s="17">
        <f>IF(OR(G49="",G47=""),"",IFERROR(G49/G47,""))</f>
        <v/>
      </c>
      <c r="H50" s="17">
        <f>IF(OR(H49="",H47=""),"",IFERROR(H49/H47,""))</f>
        <v/>
      </c>
      <c r="I50" s="17">
        <f>IF(OR(I49="",I47=""),"",IFERROR(I49/I47,""))</f>
        <v/>
      </c>
      <c r="J50" s="17">
        <f>IF(OR(J49="",J47=""),"",IFERROR(J49/J47,""))</f>
        <v/>
      </c>
      <c r="K50" s="17">
        <f>IF(OR(K49="",K47=""),"",IFERROR(K49/K47,""))</f>
        <v/>
      </c>
      <c r="L50" s="17">
        <f>IF(OR(L49="",L47=""),"",IFERROR(L49/L47,""))</f>
        <v/>
      </c>
      <c r="M50" s="17">
        <f>IF(OR(M49="",M47=""),"",IFERROR(M49/M47,""))</f>
        <v/>
      </c>
      <c r="N50" s="17">
        <f>IF(OR(N49="",N47=""),"",IFERROR(N49/N47,""))</f>
        <v/>
      </c>
      <c r="O50" s="16">
        <f>IF(OR(O49="",O47=""),"",IFERROR(O49/O47,""))</f>
        <v/>
      </c>
      <c r="P50" s="17">
        <f>IF(OR(P49="",P47=""),"",IFERROR(P49/P47,""))</f>
        <v/>
      </c>
      <c r="Q50" s="17">
        <f>IF(OR(Q49="",Q47=""),"",IFERROR(Q49/Q47,""))</f>
        <v/>
      </c>
      <c r="R50" s="17">
        <f>IF(OR(R49="",R47=""),"",IFERROR(R49/R47,""))</f>
        <v/>
      </c>
      <c r="S50" s="17">
        <f>IF(OR(S49="",S47=""),"",IFERROR(S49/S47,""))</f>
        <v/>
      </c>
      <c r="T50" s="17">
        <f>IF(OR(T49="",T47=""),"",IFERROR(T49/T47,""))</f>
        <v/>
      </c>
      <c r="U50" s="17">
        <f>IF(OR(U49="",U47=""),"",IFERROR(U49/U47,""))</f>
        <v/>
      </c>
      <c r="V50" s="17">
        <f>IF(OR(V49="",V47=""),"",IFERROR(V49/V47,""))</f>
        <v/>
      </c>
      <c r="W50" s="17">
        <f>IF(OR(W49="",W47=""),"",IFERROR(W49/W47,""))</f>
        <v/>
      </c>
      <c r="X50" s="17">
        <f>IF(OR(X49="",X47=""),"",IFERROR(X49/X47,""))</f>
        <v/>
      </c>
      <c r="Y50" s="27" t="n">
        <v>1</v>
      </c>
      <c r="Z50" s="28" t="n">
        <v>1</v>
      </c>
      <c r="AA50" s="28" t="n">
        <v>1</v>
      </c>
      <c r="AB50" s="28" t="n">
        <v>1</v>
      </c>
      <c r="AC50" s="28" t="n">
        <v>1</v>
      </c>
    </row>
    <row r="51">
      <c r="A51" s="15" t="inlineStr">
        <is>
          <t>지배주주 순이익 YoY</t>
        </is>
      </c>
      <c r="B51" s="10" t="n"/>
      <c r="C51" s="16" t="n"/>
      <c r="D51" s="17" t="n"/>
      <c r="E51" s="17" t="n"/>
      <c r="F51" s="17" t="n"/>
      <c r="G51" s="17">
        <f>IF(OR(G49="",C49=""),"",IF(C49&lt;=0,"",IFERROR(G49/C49-1,"")))</f>
        <v/>
      </c>
      <c r="H51" s="17">
        <f>IF(OR(H49="",D49=""),"",IF(D49&lt;=0,"",IFERROR(H49/D49-1,"")))</f>
        <v/>
      </c>
      <c r="I51" s="17">
        <f>IF(OR(I49="",E49=""),"",IF(E49&lt;=0,"",IFERROR(I49/E49-1,"")))</f>
        <v/>
      </c>
      <c r="J51" s="17">
        <f>IF(OR(J49="",F49=""),"",IF(F49&lt;=0,"",IFERROR(J49/F49-1,"")))</f>
        <v/>
      </c>
      <c r="K51" s="17">
        <f>IF(OR(K49="",G49=""),"",IF(G49&lt;=0,"",IFERROR(K49/G49-1,"")))</f>
        <v/>
      </c>
      <c r="L51" s="17">
        <f>IF(OR(L49="",H49=""),"",IF(H49&lt;=0,"",IFERROR(L49/H49-1,"")))</f>
        <v/>
      </c>
      <c r="M51" s="17">
        <f>IF(OR(M49="",I49=""),"",IF(I49&lt;=0,"",IFERROR(M49/I49-1,"")))</f>
        <v/>
      </c>
      <c r="N51" s="17">
        <f>IF(OR(N49="",J49=""),"",IF(J49&lt;=0,"",IFERROR(N49/J49-1,"")))</f>
        <v/>
      </c>
      <c r="O51" s="16" t="n"/>
      <c r="P51" s="17">
        <f>IF(OR(P49="",O49=""),"",IF(O49&lt;=0,"",IFERROR(P49/O49-1,"")))</f>
        <v/>
      </c>
      <c r="Q51" s="17">
        <f>IF(OR(Q49="",P49=""),"",IF(P49&lt;=0,"",IFERROR(Q49/P49-1,"")))</f>
        <v/>
      </c>
      <c r="R51" s="17">
        <f>IF(OR(R49="",Q49=""),"",IF(Q49&lt;=0,"",IFERROR(R49/Q49-1,"")))</f>
        <v/>
      </c>
      <c r="S51" s="17">
        <f>IF(OR(S49="",R49=""),"",IF(R49&lt;=0,"",IFERROR(S49/R49-1,"")))</f>
        <v/>
      </c>
      <c r="T51" s="17">
        <f>IF(OR(T49="",S49=""),"",IF(S49&lt;=0,"",IFERROR(T49/S49-1,"")))</f>
        <v/>
      </c>
      <c r="U51" s="17">
        <f>IF(OR(U49="",T49=""),"",IF(T49&lt;=0,"",IFERROR(U49/T49-1,"")))</f>
        <v/>
      </c>
      <c r="V51" s="17">
        <f>IF(OR(V49="",U49=""),"",IF(U49&lt;=0,"",IFERROR(V49/U49-1,"")))</f>
        <v/>
      </c>
      <c r="W51" s="17">
        <f>IF(OR(W49="",V49=""),"",IF(V49&lt;=0,"",IFERROR(W49/V49-1,"")))</f>
        <v/>
      </c>
      <c r="X51" s="17">
        <f>IF(OR(X49="",W49=""),"",IF(W49&lt;=0,"",IFERROR(X49/W49-1,"")))</f>
        <v/>
      </c>
      <c r="Y51" s="16">
        <f>IF(OR(Y49="",X49=""),"",IF(X49&lt;=0,"",IFERROR(Y49/X49-1,"")))</f>
        <v/>
      </c>
      <c r="Z51" s="17">
        <f>IF(OR(Z49="",Y49=""),"",IF(Y49&lt;=0,"",IFERROR(Z49/Y49-1,"")))</f>
        <v/>
      </c>
      <c r="AA51" s="17">
        <f>IF(OR(AA49="",Z49=""),"",IF(Z49&lt;=0,"",IFERROR(AA49/Z49-1,"")))</f>
        <v/>
      </c>
      <c r="AB51" s="17">
        <f>IF(OR(AB49="",AA49=""),"",IF(AA49&lt;=0,"",IFERROR(AB49/AA49-1,"")))</f>
        <v/>
      </c>
      <c r="AC51" s="17">
        <f>IF(OR(AC49="",AB49=""),"",IF(AB49&lt;=0,"",IFERROR(AC49/AB49-1,"")))</f>
        <v/>
      </c>
    </row>
    <row r="52">
      <c r="A52" s="18" t="inlineStr">
        <is>
          <t>목표주가 산출</t>
        </is>
      </c>
      <c r="B52" s="18" t="n"/>
      <c r="C52" s="19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9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9" t="n"/>
      <c r="Z52" s="18" t="n"/>
      <c r="AA52" s="18" t="n"/>
      <c r="AB52" s="18" t="n"/>
      <c r="AC52" s="18" t="n"/>
    </row>
    <row r="53">
      <c r="A53" s="20" t="inlineStr">
        <is>
          <t>현재 주가 ()</t>
        </is>
      </c>
      <c r="B53" s="29" t="n"/>
      <c r="C53" s="30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0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1" t="n"/>
      <c r="AA53" s="31" t="n"/>
      <c r="AB53" s="31" t="n"/>
      <c r="AC53" s="31" t="n"/>
    </row>
    <row r="54">
      <c r="A54" s="20" t="inlineStr">
        <is>
          <t>발행주식수 (보통주)</t>
        </is>
      </c>
      <c r="B54" s="29" t="n"/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1" t="n"/>
      <c r="AA54" s="31" t="n"/>
      <c r="AB54" s="31" t="n"/>
      <c r="AC54" s="31" t="n"/>
    </row>
    <row r="55">
      <c r="A55" s="20" t="inlineStr">
        <is>
          <t>시가총액 (백만엔)</t>
        </is>
      </c>
      <c r="B55" s="12">
        <f>IF(OR(B53="",B54=""),"",B53*B54/1000000.0)</f>
        <v/>
      </c>
      <c r="C55" s="21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1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1" t="n"/>
      <c r="Z55" s="22" t="n"/>
      <c r="AA55" s="22" t="n"/>
      <c r="AB55" s="22" t="n"/>
      <c r="AC55" s="22" t="n"/>
    </row>
    <row r="56">
      <c r="A56" s="15" t="inlineStr">
        <is>
          <t>OPM</t>
        </is>
      </c>
      <c r="B56" s="10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>
        <f>IF(O20="","",O20)</f>
        <v/>
      </c>
      <c r="P56" s="17">
        <f>IF(P20="","",P20)</f>
        <v/>
      </c>
      <c r="Q56" s="17">
        <f>IF(Q20="","",Q20)</f>
        <v/>
      </c>
      <c r="R56" s="17">
        <f>IF(R20="","",R20)</f>
        <v/>
      </c>
      <c r="S56" s="17">
        <f>IF(S20="","",S20)</f>
        <v/>
      </c>
      <c r="T56" s="17">
        <f>IF(T20="","",T20)</f>
        <v/>
      </c>
      <c r="U56" s="17">
        <f>IF(U20="","",U20)</f>
        <v/>
      </c>
      <c r="V56" s="17">
        <f>IF(V20="","",V20)</f>
        <v/>
      </c>
      <c r="W56" s="17">
        <f>IF(W20="","",W20)</f>
        <v/>
      </c>
      <c r="X56" s="17">
        <f>IF(X20="","",X20)</f>
        <v/>
      </c>
      <c r="Y56" s="16">
        <f>IF(Y20="","",Y20)</f>
        <v/>
      </c>
      <c r="Z56" s="17">
        <f>IF(Z20="","",Z20)</f>
        <v/>
      </c>
      <c r="AA56" s="17">
        <f>IF(AA20="","",AA20)</f>
        <v/>
      </c>
      <c r="AB56" s="17">
        <f>IF(AB20="","",AB20)</f>
        <v/>
      </c>
      <c r="AC56" s="17">
        <f>IF(AC20="","",AC20)</f>
        <v/>
      </c>
    </row>
    <row r="57">
      <c r="A57" s="15" t="inlineStr">
        <is>
          <t>지배주주 순이익 증가율</t>
        </is>
      </c>
      <c r="B57" s="10" t="n"/>
      <c r="C57" s="16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17">
        <f>IF(OR(P49="",O49=""),"",IFERROR(P49/O49-1,""))</f>
        <v/>
      </c>
      <c r="Q57" s="17">
        <f>IF(OR(Q49="",P49=""),"",IFERROR(Q49/P49-1,""))</f>
        <v/>
      </c>
      <c r="R57" s="17">
        <f>IF(OR(R49="",Q49=""),"",IFERROR(R49/Q49-1,""))</f>
        <v/>
      </c>
      <c r="S57" s="17">
        <f>IF(OR(S49="",R49=""),"",IFERROR(S49/R49-1,""))</f>
        <v/>
      </c>
      <c r="T57" s="17">
        <f>IF(OR(T49="",S49=""),"",IFERROR(T49/S49-1,""))</f>
        <v/>
      </c>
      <c r="U57" s="17">
        <f>IF(OR(U49="",T49=""),"",IFERROR(U49/T49-1,""))</f>
        <v/>
      </c>
      <c r="V57" s="17">
        <f>IF(OR(V49="",U49=""),"",IFERROR(V49/U49-1,""))</f>
        <v/>
      </c>
      <c r="W57" s="17">
        <f>IF(OR(W49="",V49=""),"",IFERROR(W49/V49-1,""))</f>
        <v/>
      </c>
      <c r="X57" s="17">
        <f>IF(OR(X49="",W49=""),"",IFERROR(X49/W49-1,""))</f>
        <v/>
      </c>
      <c r="Y57" s="16">
        <f>IF(OR(Y49="",X49=""),"",IFERROR(Y49/X49-1,""))</f>
        <v/>
      </c>
      <c r="Z57" s="17">
        <f>IF(OR(Z49="",Y49=""),"",IFERROR(Z49/Y49-1,""))</f>
        <v/>
      </c>
      <c r="AA57" s="17">
        <f>IF(OR(AA49="",Z49=""),"",IFERROR(AA49/Z49-1,""))</f>
        <v/>
      </c>
      <c r="AB57" s="17">
        <f>IF(OR(AB49="",AA49=""),"",IFERROR(AB49/AA49-1,""))</f>
        <v/>
      </c>
      <c r="AC57" s="17">
        <f>IF(OR(AC49="",AB49=""),"",IFERROR(AC49/AB49-1,""))</f>
        <v/>
      </c>
    </row>
    <row r="58">
      <c r="A58" s="20" t="inlineStr">
        <is>
          <t>P/E (현재 주가)</t>
        </is>
      </c>
      <c r="B58" s="10" t="inlineStr">
        <is>
          <t>시총 ÷ 지배순이익</t>
        </is>
      </c>
      <c r="C58" s="32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2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>
        <f>IF(OR($B$55="",X49=""),"",IFERROR($B$55/X49,""))</f>
        <v/>
      </c>
      <c r="Y58" s="32">
        <f>IF(OR($B$55="",Y49=""),"",IFERROR($B$55/Y49,""))</f>
        <v/>
      </c>
      <c r="Z58" s="33">
        <f>IF(OR($B$55="",Z49=""),"",IFERROR($B$55/Z49,""))</f>
        <v/>
      </c>
      <c r="AA58" s="33">
        <f>IF(OR($B$55="",AA49=""),"",IFERROR($B$55/AA49,""))</f>
        <v/>
      </c>
      <c r="AB58" s="33">
        <f>IF(OR($B$55="",AB49=""),"",IFERROR($B$55/AB49,""))</f>
        <v/>
      </c>
      <c r="AC58" s="33">
        <f>IF(OR($B$55="",AC49=""),"",IFERROR($B$55/AC49,""))</f>
        <v/>
      </c>
    </row>
    <row r="59">
      <c r="A59" s="20" t="inlineStr">
        <is>
          <t>Target P/E</t>
        </is>
      </c>
      <c r="B59" s="10" t="inlineStr">
        <is>
          <t>직접 입력</t>
        </is>
      </c>
      <c r="C59" s="32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2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4" t="n"/>
      <c r="Z59" s="35" t="n"/>
      <c r="AA59" s="35" t="n"/>
      <c r="AB59" s="35" t="n"/>
      <c r="AC59" s="35" t="n"/>
    </row>
    <row r="60">
      <c r="A60" s="20" t="inlineStr">
        <is>
          <t>EPS</t>
        </is>
      </c>
      <c r="B60" s="10" t="inlineStr">
        <is>
          <t>지배순이익 ÷ 주식수</t>
        </is>
      </c>
      <c r="C60" s="30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0">
        <f>IF(OR(O49="",$B$54=""),"",IFERROR(O49*1000000.0/$B$54,""))</f>
        <v/>
      </c>
      <c r="P60" s="31">
        <f>IF(OR(P49="",$B$54=""),"",IFERROR(P49*1000000.0/$B$54,""))</f>
        <v/>
      </c>
      <c r="Q60" s="31">
        <f>IF(OR(Q49="",$B$54=""),"",IFERROR(Q49*1000000.0/$B$54,""))</f>
        <v/>
      </c>
      <c r="R60" s="31">
        <f>IF(OR(R49="",$B$54=""),"",IFERROR(R49*1000000.0/$B$54,""))</f>
        <v/>
      </c>
      <c r="S60" s="31">
        <f>IF(OR(S49="",$B$54=""),"",IFERROR(S49*1000000.0/$B$54,""))</f>
        <v/>
      </c>
      <c r="T60" s="31">
        <f>IF(OR(T49="",$B$54=""),"",IFERROR(T49*1000000.0/$B$54,""))</f>
        <v/>
      </c>
      <c r="U60" s="31">
        <f>IF(OR(U49="",$B$54=""),"",IFERROR(U49*1000000.0/$B$54,""))</f>
        <v/>
      </c>
      <c r="V60" s="31">
        <f>IF(OR(V49="",$B$54=""),"",IFERROR(V49*1000000.0/$B$54,""))</f>
        <v/>
      </c>
      <c r="W60" s="31">
        <f>IF(OR(W49="",$B$54=""),"",IFERROR(W49*1000000.0/$B$54,""))</f>
        <v/>
      </c>
      <c r="X60" s="31">
        <f>IF(OR(X49="",$B$54=""),"",IFERROR(X49*1000000.0/$B$54,""))</f>
        <v/>
      </c>
      <c r="Y60" s="30">
        <f>IF(OR(Y49="",$B$54=""),"",IFERROR(Y49*1000000.0/$B$54,""))</f>
        <v/>
      </c>
      <c r="Z60" s="31">
        <f>IF(OR(Z49="",$B$54=""),"",IFERROR(Z49*1000000.0/$B$54,""))</f>
        <v/>
      </c>
      <c r="AA60" s="31">
        <f>IF(OR(AA49="",$B$54=""),"",IFERROR(AA49*1000000.0/$B$54,""))</f>
        <v/>
      </c>
      <c r="AB60" s="31">
        <f>IF(OR(AB49="",$B$54=""),"",IFERROR(AB49*1000000.0/$B$54,""))</f>
        <v/>
      </c>
      <c r="AC60" s="31">
        <f>IF(OR(AC49="",$B$54=""),"",IFERROR(AC49*1000000.0/$B$54,""))</f>
        <v/>
      </c>
    </row>
    <row r="61">
      <c r="A61" s="9" t="inlineStr">
        <is>
          <t>목표주가</t>
        </is>
      </c>
      <c r="B61" s="10" t="n"/>
      <c r="C61" s="36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36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36">
        <f>IF(OR(Y60="",Y59=""),"",IFERROR(Y60*Y59,""))</f>
        <v/>
      </c>
      <c r="Z61" s="29">
        <f>IF(OR(Z60="",Z59=""),"",IFERROR(Z60*Z59,""))</f>
        <v/>
      </c>
      <c r="AA61" s="29">
        <f>IF(OR(AA60="",AA59=""),"",IFERROR(AA60*AA59,""))</f>
        <v/>
      </c>
      <c r="AB61" s="29">
        <f>IF(OR(AB60="",AB59=""),"",IFERROR(AB60*AB59,""))</f>
        <v/>
      </c>
      <c r="AC61" s="29">
        <f>IF(OR(AC60="",AC59=""),"",IFERROR(AC60*AC59,""))</f>
        <v/>
      </c>
    </row>
    <row r="62">
      <c r="A62" s="20" t="inlineStr">
        <is>
          <t>상승여력</t>
        </is>
      </c>
      <c r="B62" s="10" t="n"/>
      <c r="C62" s="37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7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9">
        <f>IF(OR(Y61="",$B$53=""),"",IFERROR(Y61/$B$53-1,""))</f>
        <v/>
      </c>
      <c r="Z62" s="40">
        <f>IF(OR(Z61="",$B$53=""),"",IFERROR(Z61/$B$53-1,""))</f>
        <v/>
      </c>
      <c r="AA62" s="40">
        <f>IF(OR(AA61="",$B$53=""),"",IFERROR(AA61/$B$53-1,""))</f>
        <v/>
      </c>
      <c r="AB62" s="40">
        <f>IF(OR(AB61="",$B$53=""),"",IFERROR(AB61/$B$53-1,""))</f>
        <v/>
      </c>
      <c r="AC62" s="40">
        <f>IF(OR(AC61="",$B$53=""),"",IFERROR(AC61/$B$53-1,""))</f>
        <v/>
      </c>
    </row>
    <row r="63">
      <c r="A63" s="18" t="inlineStr">
        <is>
          <t>자산가치 산출</t>
        </is>
      </c>
      <c r="B63" s="18" t="inlineStr">
        <is>
          <t>최신 분기 BS</t>
        </is>
      </c>
      <c r="C63" s="19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9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9" t="n"/>
      <c r="Z63" s="18" t="n"/>
      <c r="AA63" s="18" t="n"/>
      <c r="AB63" s="18" t="n"/>
      <c r="AC63" s="18" t="n"/>
    </row>
    <row r="64">
      <c r="A64" s="20" t="inlineStr">
        <is>
          <t>현금및현금성자산</t>
        </is>
      </c>
      <c r="B64" s="10" t="n"/>
      <c r="C64" s="21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1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>
        <f>'재무상태표'!G6</f>
        <v/>
      </c>
      <c r="Y64" s="21">
        <f>'재무상태표'!G6</f>
        <v/>
      </c>
      <c r="Z64" s="22">
        <f>'재무상태표'!G6</f>
        <v/>
      </c>
      <c r="AA64" s="22">
        <f>'재무상태표'!G6</f>
        <v/>
      </c>
      <c r="AB64" s="22">
        <f>'재무상태표'!G6</f>
        <v/>
      </c>
      <c r="AC64" s="22">
        <f>'재무상태표'!G6</f>
        <v/>
      </c>
    </row>
    <row r="65">
      <c r="A65" s="20" t="inlineStr">
        <is>
          <t>단기금융상품</t>
        </is>
      </c>
      <c r="B65" s="10" t="n"/>
      <c r="C65" s="21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1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>
        <f>'재무상태표'!G7</f>
        <v/>
      </c>
      <c r="Y65" s="21">
        <f>'재무상태표'!G7</f>
        <v/>
      </c>
      <c r="Z65" s="22">
        <f>'재무상태표'!G7</f>
        <v/>
      </c>
      <c r="AA65" s="22">
        <f>'재무상태표'!G7</f>
        <v/>
      </c>
      <c r="AB65" s="22">
        <f>'재무상태표'!G7</f>
        <v/>
      </c>
      <c r="AC65" s="22">
        <f>'재무상태표'!G7</f>
        <v/>
      </c>
    </row>
    <row r="66">
      <c r="A66" s="20" t="inlineStr">
        <is>
          <t>투자부동산</t>
        </is>
      </c>
      <c r="B66" s="10" t="n"/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>
        <f>'재무상태표'!G14</f>
        <v/>
      </c>
      <c r="Y66" s="21">
        <f>'재무상태표'!G14</f>
        <v/>
      </c>
      <c r="Z66" s="22">
        <f>'재무상태표'!G14</f>
        <v/>
      </c>
      <c r="AA66" s="22">
        <f>'재무상태표'!G14</f>
        <v/>
      </c>
      <c r="AB66" s="22">
        <f>'재무상태표'!G14</f>
        <v/>
      </c>
      <c r="AC66" s="22">
        <f>'재무상태표'!G14</f>
        <v/>
      </c>
    </row>
    <row r="67">
      <c r="A67" s="20" t="inlineStr">
        <is>
          <t>지배자본</t>
        </is>
      </c>
      <c r="B67" s="10" t="n"/>
      <c r="C67" s="21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1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>
        <f>'재무상태표'!G31</f>
        <v/>
      </c>
      <c r="Y67" s="21">
        <f>'재무상태표'!G31</f>
        <v/>
      </c>
      <c r="Z67" s="22">
        <f>'재무상태표'!G31</f>
        <v/>
      </c>
      <c r="AA67" s="22">
        <f>'재무상태표'!G31</f>
        <v/>
      </c>
      <c r="AB67" s="22">
        <f>'재무상태표'!G31</f>
        <v/>
      </c>
      <c r="AC67" s="22">
        <f>'재무상태표'!G31</f>
        <v/>
      </c>
    </row>
    <row r="68">
      <c r="A68" s="20" t="inlineStr">
        <is>
          <t>부채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>
        <f>'재무상태표'!G27</f>
        <v/>
      </c>
      <c r="Y68" s="21">
        <f>'재무상태표'!G27</f>
        <v/>
      </c>
      <c r="Z68" s="22">
        <f>'재무상태표'!G27</f>
        <v/>
      </c>
      <c r="AA68" s="22">
        <f>'재무상태표'!G27</f>
        <v/>
      </c>
      <c r="AB68" s="22">
        <f>'재무상태표'!G27</f>
        <v/>
      </c>
      <c r="AC68" s="22">
        <f>'재무상태표'!G27</f>
        <v/>
      </c>
    </row>
    <row r="69">
      <c r="A69" s="15" t="inlineStr">
        <is>
          <t>부채비율</t>
        </is>
      </c>
      <c r="B69" s="10" t="n"/>
      <c r="C69" s="16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>
        <f>IF(OR(X68="",X67=""),"",IFERROR(X68/X67,""))</f>
        <v/>
      </c>
      <c r="Y69" s="16">
        <f>IF(OR(Y68="",Y67=""),"",IFERROR(Y68/Y67,""))</f>
        <v/>
      </c>
      <c r="Z69" s="17">
        <f>IF(OR(Z68="",Z67=""),"",IFERROR(Z68/Z67,""))</f>
        <v/>
      </c>
      <c r="AA69" s="17">
        <f>IF(OR(AA68="",AA67=""),"",IFERROR(AA68/AA67,""))</f>
        <v/>
      </c>
      <c r="AB69" s="17">
        <f>IF(OR(AB68="",AB67=""),"",IFERROR(AB68/AB67,""))</f>
        <v/>
      </c>
      <c r="AC69" s="17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8" t="inlineStr">
        <is>
          <t>기업가치 산출</t>
        </is>
      </c>
      <c r="B71" s="18" t="n"/>
      <c r="C71" s="19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9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9" t="n"/>
      <c r="Z71" s="18" t="n"/>
      <c r="AA71" s="18" t="n"/>
      <c r="AB71" s="18" t="n"/>
      <c r="AC71" s="18" t="n"/>
    </row>
    <row r="72">
      <c r="A72" s="20" t="inlineStr">
        <is>
          <t>목표 시가총액 (P/E)</t>
        </is>
      </c>
      <c r="B72" s="10" t="inlineStr">
        <is>
          <t>지배순이익 × Target P/E</t>
        </is>
      </c>
      <c r="C72" s="21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1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1">
        <f>IF(OR(Y49="",Y59=""),"",IFERROR(Y49*Y59,""))</f>
        <v/>
      </c>
      <c r="Z72" s="22">
        <f>IF(OR(Z49="",Z59=""),"",IFERROR(Z49*Z59,""))</f>
        <v/>
      </c>
      <c r="AA72" s="22">
        <f>IF(OR(AA49="",AA59=""),"",IFERROR(AA49*AA59,""))</f>
        <v/>
      </c>
      <c r="AB72" s="22">
        <f>IF(OR(AB49="",AB59=""),"",IFERROR(AB49*AB59,""))</f>
        <v/>
      </c>
      <c r="AC72" s="22">
        <f>IF(OR(AC49="",AC59=""),"",IFERROR(AC49*AC59,""))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20" t="inlineStr">
        <is>
          <t>현재 시가총액</t>
        </is>
      </c>
      <c r="B74" s="10" t="n"/>
      <c r="C74" s="21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1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1">
        <f>$B$55</f>
        <v/>
      </c>
      <c r="Z74" s="22">
        <f>$B$55</f>
        <v/>
      </c>
      <c r="AA74" s="22">
        <f>$B$55</f>
        <v/>
      </c>
      <c r="AB74" s="22">
        <f>$B$55</f>
        <v/>
      </c>
      <c r="AC74" s="22">
        <f>$B$55</f>
        <v/>
      </c>
    </row>
    <row r="75">
      <c r="A75" s="20" t="inlineStr">
        <is>
          <t>상승여력</t>
        </is>
      </c>
      <c r="B75" s="10" t="n"/>
      <c r="C75" s="37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7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9">
        <f>IF(OR(Y73="",Y74=""),"",IFERROR(Y73/Y74-1,""))</f>
        <v/>
      </c>
      <c r="Z75" s="40">
        <f>IF(OR(Z73="",Z74=""),"",IFERROR(Z73/Z74-1,""))</f>
        <v/>
      </c>
      <c r="AA75" s="40">
        <f>IF(OR(AA73="",AA74=""),"",IFERROR(AA73/AA74-1,""))</f>
        <v/>
      </c>
      <c r="AB75" s="40">
        <f>IF(OR(AB73="",AB74=""),"",IFERROR(AB73/AB74-1,""))</f>
        <v/>
      </c>
      <c r="AC75" s="40">
        <f>IF(OR(AC73="",AC74=""),"",IFERROR(AC73/AC74-1,""))</f>
        <v/>
      </c>
    </row>
    <row r="76">
      <c r="C76" s="41" t="n"/>
      <c r="O76" s="41" t="n"/>
      <c r="Y76" s="41" t="n"/>
    </row>
    <row r="77">
      <c r="A77" s="42" t="inlineStr">
        <is>
          <t>출처</t>
        </is>
      </c>
      <c r="C77" s="41" t="n"/>
      <c r="O77" s="41" t="n"/>
      <c r="Y77" s="41" t="n"/>
    </row>
    <row r="78">
      <c r="A78" s="43" t="inlineStr">
        <is>
          <t>결산단신 XBRL(TDnet·JPX 보관소) — 쓴 문서는 '출처' 시트</t>
        </is>
      </c>
      <c r="C78" s="41" t="n"/>
      <c r="O78" s="41" t="n"/>
      <c r="Y78" s="41" t="n"/>
    </row>
    <row r="79">
      <c r="A79" s="43" t="inlineStr">
        <is>
          <t>분기 = 누계에서 앞 분기를 뺀 3개월 값</t>
        </is>
      </c>
      <c r="C79" s="41" t="n"/>
      <c r="O79" s="41" t="n"/>
      <c r="Y79" s="41" t="n"/>
    </row>
    <row r="80">
      <c r="A80" s="43" t="inlineStr">
        <is>
          <t>주가: 야후 파이낸스 일봉</t>
        </is>
      </c>
      <c r="C80" s="41" t="n"/>
      <c r="O80" s="41" t="n"/>
      <c r="Y80" s="41" t="n"/>
    </row>
    <row r="82">
      <c r="A82" s="18" t="inlineStr">
        <is>
          <t>손익계산서 · 전 항목</t>
        </is>
      </c>
      <c r="B82" s="44" t="inlineStr">
        <is>
          <t>분기 = 3개월 단독</t>
        </is>
      </c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2023.4Q</t>
        </is>
      </c>
      <c r="D83" s="5" t="inlineStr">
        <is>
          <t>2024.1Q</t>
        </is>
      </c>
      <c r="E83" s="5" t="inlineStr">
        <is>
          <t>2024.2Q</t>
        </is>
      </c>
      <c r="F83" s="5" t="inlineStr">
        <is>
          <t>2024.3Q</t>
        </is>
      </c>
      <c r="G83" s="5" t="inlineStr">
        <is>
          <t>2024.4Q</t>
        </is>
      </c>
      <c r="H83" s="5" t="inlineStr">
        <is>
          <t>2025.1Q</t>
        </is>
      </c>
      <c r="I83" s="5" t="inlineStr">
        <is>
          <t>2025.2Q</t>
        </is>
      </c>
      <c r="J83" s="5" t="inlineStr">
        <is>
          <t>2025.3Q</t>
        </is>
      </c>
      <c r="K83" s="5" t="inlineStr">
        <is>
          <t>2025.4Q</t>
        </is>
      </c>
      <c r="L83" s="5" t="inlineStr">
        <is>
          <t>2026.1Q</t>
        </is>
      </c>
      <c r="M83" s="5" t="inlineStr">
        <is>
          <t>2026.2Q</t>
        </is>
      </c>
      <c r="N83" s="5" t="inlineStr">
        <is>
          <t>2026.3Q</t>
        </is>
      </c>
      <c r="O83" s="5" t="inlineStr">
        <is>
          <t>2016</t>
        </is>
      </c>
      <c r="P83" s="5" t="inlineStr">
        <is>
          <t>2017</t>
        </is>
      </c>
      <c r="Q83" s="5" t="inlineStr">
        <is>
          <t>2018</t>
        </is>
      </c>
      <c r="R83" s="5" t="inlineStr">
        <is>
          <t>2019</t>
        </is>
      </c>
      <c r="S83" s="5" t="inlineStr">
        <is>
          <t>2020</t>
        </is>
      </c>
      <c r="T83" s="5" t="inlineStr">
        <is>
          <t>2021</t>
        </is>
      </c>
      <c r="U83" s="5" t="inlineStr">
        <is>
          <t>2022</t>
        </is>
      </c>
      <c r="V83" s="5" t="inlineStr">
        <is>
          <t>2023</t>
        </is>
      </c>
      <c r="W83" s="5" t="inlineStr">
        <is>
          <t>2024</t>
        </is>
      </c>
      <c r="X83" s="5" t="inlineStr">
        <is>
          <t>2025</t>
        </is>
      </c>
      <c r="Y83" s="5" t="inlineStr">
        <is>
          <t>2026(MW)</t>
        </is>
      </c>
      <c r="Z83" s="5" t="inlineStr">
        <is>
          <t>2027(MW)</t>
        </is>
      </c>
      <c r="AA83" s="5" t="inlineStr">
        <is>
          <t>2028(MW)</t>
        </is>
      </c>
      <c r="AB83" s="5" t="inlineStr">
        <is>
          <t>2029(MW)</t>
        </is>
      </c>
      <c r="AC83" s="5" t="inlineStr">
        <is>
          <t>2030(MW)</t>
        </is>
      </c>
    </row>
    <row r="84">
      <c r="A84" s="9" t="inlineStr">
        <is>
          <t>매출액</t>
        </is>
      </c>
      <c r="C84" s="12" t="n">
        <v>10999.252</v>
      </c>
      <c r="D84" s="12" t="n">
        <v>11486.616</v>
      </c>
      <c r="E84" s="12" t="n">
        <v>11358.015</v>
      </c>
      <c r="F84" s="12" t="n">
        <v>12002.76</v>
      </c>
      <c r="G84" s="12" t="n">
        <v>12264.753</v>
      </c>
      <c r="H84" s="12" t="n">
        <v>13433.555</v>
      </c>
      <c r="I84" s="12" t="n">
        <v>13406.874</v>
      </c>
      <c r="J84" s="12" t="n">
        <v>13898.784</v>
      </c>
      <c r="K84" s="12" t="n">
        <v>12245.693</v>
      </c>
      <c r="L84" s="12" t="n">
        <v>14762.993</v>
      </c>
      <c r="M84" s="12" t="n">
        <v>14762.994</v>
      </c>
      <c r="N84" s="12" t="n">
        <v>15507.277</v>
      </c>
      <c r="U84" s="12" t="n">
        <v>9437.416999999999</v>
      </c>
      <c r="V84" s="12" t="n">
        <v>10999.252</v>
      </c>
      <c r="W84" s="12" t="n">
        <v>12264.753</v>
      </c>
      <c r="X84" s="12" t="n">
        <v>12245.693</v>
      </c>
    </row>
    <row r="85">
      <c r="A85" s="45" t="inlineStr">
        <is>
          <t>YoY</t>
        </is>
      </c>
      <c r="B85" s="3" t="inlineStr">
        <is>
          <t>전년 같은 분기·전년 대비</t>
        </is>
      </c>
      <c r="G85" s="17">
        <f>IF(OR(G84="",C84=""),"",IF(C84&lt;=0,"",IFERROR(G84/C84-1,"")))</f>
        <v/>
      </c>
      <c r="H85" s="17">
        <f>IF(OR(H84="",D84=""),"",IF(D84&lt;=0,"",IFERROR(H84/D84-1,"")))</f>
        <v/>
      </c>
      <c r="I85" s="17">
        <f>IF(OR(I84="",E84=""),"",IF(E84&lt;=0,"",IFERROR(I84/E84-1,"")))</f>
        <v/>
      </c>
      <c r="J85" s="17">
        <f>IF(OR(J84="",F84=""),"",IF(F84&lt;=0,"",IFERROR(J84/F84-1,"")))</f>
        <v/>
      </c>
      <c r="K85" s="17">
        <f>IF(OR(K84="",G84=""),"",IF(G84&lt;=0,"",IFERROR(K84/G84-1,"")))</f>
        <v/>
      </c>
      <c r="L85" s="17">
        <f>IF(OR(L84="",H84=""),"",IF(H84&lt;=0,"",IFERROR(L84/H84-1,"")))</f>
        <v/>
      </c>
      <c r="M85" s="17">
        <f>IF(OR(M84="",I84=""),"",IF(I84&lt;=0,"",IFERROR(M84/I84-1,"")))</f>
        <v/>
      </c>
      <c r="N85" s="17">
        <f>IF(OR(N84="",J84=""),"",IF(J84&lt;=0,"",IFERROR(N84/J84-1,"")))</f>
        <v/>
      </c>
      <c r="U85" s="17">
        <f>IF(OR(U84="",T84=""),"",IF(T84&lt;=0,"",IFERROR(U84/T84-1,"")))</f>
        <v/>
      </c>
      <c r="V85" s="17">
        <f>IF(OR(V84="",U84=""),"",IF(U84&lt;=0,"",IFERROR(V84/U84-1,"")))</f>
        <v/>
      </c>
      <c r="W85" s="17">
        <f>IF(OR(W84="",V84=""),"",IF(V84&lt;=0,"",IFERROR(W84/V84-1,"")))</f>
        <v/>
      </c>
      <c r="X85" s="17">
        <f>IF(OR(X84="",W84=""),"",IF(W84&lt;=0,"",IFERROR(X84/W84-1,"")))</f>
        <v/>
      </c>
    </row>
    <row r="86">
      <c r="A86" s="20" t="inlineStr">
        <is>
          <t>매출원가</t>
        </is>
      </c>
      <c r="C86" s="22" t="n">
        <v>8417.694</v>
      </c>
      <c r="D86" s="22" t="n">
        <v>8665.865</v>
      </c>
      <c r="E86" s="22" t="n">
        <v>8806.290000000001</v>
      </c>
      <c r="F86" s="22" t="n">
        <v>9384.545</v>
      </c>
      <c r="G86" s="22" t="n">
        <v>10047.03</v>
      </c>
      <c r="H86" s="22" t="n">
        <v>10439.713</v>
      </c>
      <c r="I86" s="22" t="n">
        <v>10633.752</v>
      </c>
      <c r="J86" s="22" t="n">
        <v>11028.137</v>
      </c>
      <c r="K86" s="22" t="n">
        <v>10046.526</v>
      </c>
      <c r="L86" s="22" t="n">
        <v>11365.114</v>
      </c>
      <c r="M86" s="22" t="n">
        <v>11478.584</v>
      </c>
      <c r="N86" s="22" t="n">
        <v>12136.291</v>
      </c>
      <c r="U86" s="22" t="n">
        <v>7084.637</v>
      </c>
      <c r="V86" s="22" t="n">
        <v>8417.694</v>
      </c>
      <c r="W86" s="22" t="n">
        <v>10047.03</v>
      </c>
      <c r="X86" s="22" t="n">
        <v>10046.526</v>
      </c>
    </row>
    <row r="87">
      <c r="A87" s="45" t="inlineStr">
        <is>
          <t>YoY</t>
        </is>
      </c>
      <c r="B87" s="3" t="inlineStr">
        <is>
          <t>전년 같은 분기·전년 대비</t>
        </is>
      </c>
      <c r="G87" s="17">
        <f>IF(OR(G86="",C86=""),"",IF(G86*C86&lt;=0,"",IFERROR(G86/C86-1,"")))</f>
        <v/>
      </c>
      <c r="H87" s="17">
        <f>IF(OR(H86="",D86=""),"",IF(H86*D86&lt;=0,"",IFERROR(H86/D86-1,"")))</f>
        <v/>
      </c>
      <c r="I87" s="17">
        <f>IF(OR(I86="",E86=""),"",IF(I86*E86&lt;=0,"",IFERROR(I86/E86-1,"")))</f>
        <v/>
      </c>
      <c r="J87" s="17">
        <f>IF(OR(J86="",F86=""),"",IF(J86*F86&lt;=0,"",IFERROR(J86/F86-1,"")))</f>
        <v/>
      </c>
      <c r="K87" s="17">
        <f>IF(OR(K86="",G86=""),"",IF(K86*G86&lt;=0,"",IFERROR(K86/G86-1,"")))</f>
        <v/>
      </c>
      <c r="L87" s="17">
        <f>IF(OR(L86="",H86=""),"",IF(L86*H86&lt;=0,"",IFERROR(L86/H86-1,"")))</f>
        <v/>
      </c>
      <c r="M87" s="17">
        <f>IF(OR(M86="",I86=""),"",IF(M86*I86&lt;=0,"",IFERROR(M86/I86-1,"")))</f>
        <v/>
      </c>
      <c r="N87" s="17">
        <f>IF(OR(N86="",J86=""),"",IF(N86*J86&lt;=0,"",IFERROR(N86/J86-1,"")))</f>
        <v/>
      </c>
      <c r="U87" s="17">
        <f>IF(OR(U86="",T86=""),"",IF(U86*T86&lt;=0,"",IFERROR(U86/T86-1,"")))</f>
        <v/>
      </c>
      <c r="V87" s="17">
        <f>IF(OR(V86="",U86=""),"",IF(V86*U86&lt;=0,"",IFERROR(V86/U86-1,"")))</f>
        <v/>
      </c>
      <c r="W87" s="17">
        <f>IF(OR(W86="",V86=""),"",IF(W86*V86&lt;=0,"",IFERROR(W86/V86-1,"")))</f>
        <v/>
      </c>
      <c r="X87" s="17">
        <f>IF(OR(X86="",W86=""),"",IF(X86*W86&lt;=0,"",IFERROR(X86/W86-1,"")))</f>
        <v/>
      </c>
    </row>
    <row r="88">
      <c r="A88" s="9" t="inlineStr">
        <is>
          <t>매출총이익</t>
        </is>
      </c>
      <c r="C88" s="12" t="n">
        <v>2581.558</v>
      </c>
      <c r="D88" s="12" t="n">
        <v>2820.751</v>
      </c>
      <c r="E88" s="12" t="n">
        <v>2551.725</v>
      </c>
      <c r="F88" s="12" t="n">
        <v>2618.214</v>
      </c>
      <c r="G88" s="12" t="n">
        <v>2217.723</v>
      </c>
      <c r="H88" s="12" t="n">
        <v>2993.842</v>
      </c>
      <c r="I88" s="12" t="n">
        <v>2773.121</v>
      </c>
      <c r="J88" s="12" t="n">
        <v>2870.647</v>
      </c>
      <c r="K88" s="12" t="n">
        <v>2199.168</v>
      </c>
      <c r="L88" s="12" t="n">
        <v>3397.878</v>
      </c>
      <c r="M88" s="12" t="n">
        <v>3284.41</v>
      </c>
      <c r="N88" s="12" t="n">
        <v>3370.987</v>
      </c>
      <c r="U88" s="12" t="n">
        <v>2352.779</v>
      </c>
      <c r="V88" s="12" t="n">
        <v>2581.558</v>
      </c>
      <c r="W88" s="12" t="n">
        <v>2217.723</v>
      </c>
      <c r="X88" s="12" t="n">
        <v>2199.168</v>
      </c>
    </row>
    <row r="89">
      <c r="A89" s="45" t="inlineStr">
        <is>
          <t>YoY</t>
        </is>
      </c>
      <c r="B89" s="3" t="inlineStr">
        <is>
          <t>전년 같은 분기·전년 대비</t>
        </is>
      </c>
      <c r="G89" s="17">
        <f>IF(OR(G88="",C88=""),"",IF(C88&lt;=0,"",IFERROR(G88/C88-1,"")))</f>
        <v/>
      </c>
      <c r="H89" s="17">
        <f>IF(OR(H88="",D88=""),"",IF(D88&lt;=0,"",IFERROR(H88/D88-1,"")))</f>
        <v/>
      </c>
      <c r="I89" s="17">
        <f>IF(OR(I88="",E88=""),"",IF(E88&lt;=0,"",IFERROR(I88/E88-1,"")))</f>
        <v/>
      </c>
      <c r="J89" s="17">
        <f>IF(OR(J88="",F88=""),"",IF(F88&lt;=0,"",IFERROR(J88/F88-1,"")))</f>
        <v/>
      </c>
      <c r="K89" s="17">
        <f>IF(OR(K88="",G88=""),"",IF(G88&lt;=0,"",IFERROR(K88/G88-1,"")))</f>
        <v/>
      </c>
      <c r="L89" s="17">
        <f>IF(OR(L88="",H88=""),"",IF(H88&lt;=0,"",IFERROR(L88/H88-1,"")))</f>
        <v/>
      </c>
      <c r="M89" s="17">
        <f>IF(OR(M88="",I88=""),"",IF(I88&lt;=0,"",IFERROR(M88/I88-1,"")))</f>
        <v/>
      </c>
      <c r="N89" s="17">
        <f>IF(OR(N88="",J88=""),"",IF(J88&lt;=0,"",IFERROR(N88/J88-1,"")))</f>
        <v/>
      </c>
      <c r="U89" s="17">
        <f>IF(OR(U88="",T88=""),"",IF(T88&lt;=0,"",IFERROR(U88/T88-1,"")))</f>
        <v/>
      </c>
      <c r="V89" s="17">
        <f>IF(OR(V88="",U88=""),"",IF(U88&lt;=0,"",IFERROR(V88/U88-1,"")))</f>
        <v/>
      </c>
      <c r="W89" s="17">
        <f>IF(OR(W88="",V88=""),"",IF(V88&lt;=0,"",IFERROR(W88/V88-1,"")))</f>
        <v/>
      </c>
      <c r="X89" s="17">
        <f>IF(OR(X88="",W88=""),"",IF(W88&lt;=0,"",IFERROR(X88/W88-1,"")))</f>
        <v/>
      </c>
    </row>
    <row r="90">
      <c r="A90" s="20" t="inlineStr">
        <is>
          <t>판매비와 관리비</t>
        </is>
      </c>
      <c r="C90" s="22" t="n">
        <v>1642.503</v>
      </c>
      <c r="D90" s="22" t="n">
        <v>1761.556</v>
      </c>
      <c r="E90" s="22" t="n">
        <v>1680.125</v>
      </c>
      <c r="F90" s="22" t="n">
        <v>1817.561</v>
      </c>
      <c r="G90" s="22" t="n">
        <v>2529.051</v>
      </c>
      <c r="H90" s="22" t="n">
        <v>1810.943</v>
      </c>
      <c r="I90" s="22" t="n">
        <v>1896.73</v>
      </c>
      <c r="J90" s="22" t="n">
        <v>1906.458</v>
      </c>
      <c r="K90" s="22" t="n">
        <v>2218.208</v>
      </c>
      <c r="L90" s="22" t="n">
        <v>1956.239</v>
      </c>
      <c r="M90" s="22" t="n">
        <v>2084.646</v>
      </c>
      <c r="N90" s="22" t="n">
        <v>2045.377</v>
      </c>
      <c r="U90" s="22" t="n">
        <v>2672.386</v>
      </c>
      <c r="V90" s="22" t="n">
        <v>1642.503</v>
      </c>
      <c r="W90" s="22" t="n">
        <v>2529.051</v>
      </c>
      <c r="X90" s="22" t="n">
        <v>2218.208</v>
      </c>
    </row>
    <row r="91">
      <c r="A91" s="45" t="inlineStr">
        <is>
          <t>YoY</t>
        </is>
      </c>
      <c r="B91" s="3" t="inlineStr">
        <is>
          <t>전년 같은 분기·전년 대비</t>
        </is>
      </c>
      <c r="G91" s="17">
        <f>IF(OR(G90="",C90=""),"",IF(G90*C90&lt;=0,"",IFERROR(G90/C90-1,"")))</f>
        <v/>
      </c>
      <c r="H91" s="17">
        <f>IF(OR(H90="",D90=""),"",IF(H90*D90&lt;=0,"",IFERROR(H90/D90-1,"")))</f>
        <v/>
      </c>
      <c r="I91" s="17">
        <f>IF(OR(I90="",E90=""),"",IF(I90*E90&lt;=0,"",IFERROR(I90/E90-1,"")))</f>
        <v/>
      </c>
      <c r="J91" s="17">
        <f>IF(OR(J90="",F90=""),"",IF(J90*F90&lt;=0,"",IFERROR(J90/F90-1,"")))</f>
        <v/>
      </c>
      <c r="K91" s="17">
        <f>IF(OR(K90="",G90=""),"",IF(K90*G90&lt;=0,"",IFERROR(K90/G90-1,"")))</f>
        <v/>
      </c>
      <c r="L91" s="17">
        <f>IF(OR(L90="",H90=""),"",IF(L90*H90&lt;=0,"",IFERROR(L90/H90-1,"")))</f>
        <v/>
      </c>
      <c r="M91" s="17">
        <f>IF(OR(M90="",I90=""),"",IF(M90*I90&lt;=0,"",IFERROR(M90/I90-1,"")))</f>
        <v/>
      </c>
      <c r="N91" s="17">
        <f>IF(OR(N90="",J90=""),"",IF(N90*J90&lt;=0,"",IFERROR(N90/J90-1,"")))</f>
        <v/>
      </c>
      <c r="U91" s="17">
        <f>IF(OR(U90="",T90=""),"",IF(U90*T90&lt;=0,"",IFERROR(U90/T90-1,"")))</f>
        <v/>
      </c>
      <c r="V91" s="17">
        <f>IF(OR(V90="",U90=""),"",IF(V90*U90&lt;=0,"",IFERROR(V90/U90-1,"")))</f>
        <v/>
      </c>
      <c r="W91" s="17">
        <f>IF(OR(W90="",V90=""),"",IF(W90*V90&lt;=0,"",IFERROR(W90/V90-1,"")))</f>
        <v/>
      </c>
      <c r="X91" s="17">
        <f>IF(OR(X90="",W90=""),"",IF(X90*W90&lt;=0,"",IFERROR(X90/W90-1,"")))</f>
        <v/>
      </c>
    </row>
    <row r="92">
      <c r="A92" s="9" t="inlineStr">
        <is>
          <t>영업이익</t>
        </is>
      </c>
      <c r="C92" s="12" t="n">
        <v>939.0549999999999</v>
      </c>
      <c r="D92" s="12" t="n">
        <v>1059.195</v>
      </c>
      <c r="E92" s="12" t="n">
        <v>871.6</v>
      </c>
      <c r="F92" s="12" t="n">
        <v>800.653</v>
      </c>
      <c r="G92" s="12" t="n">
        <v>-311.329</v>
      </c>
      <c r="H92" s="12" t="n">
        <v>1182.898</v>
      </c>
      <c r="I92" s="12" t="n">
        <v>876.391</v>
      </c>
      <c r="J92" s="12" t="n">
        <v>964.1900000000001</v>
      </c>
      <c r="K92" s="12" t="n">
        <v>-19.04</v>
      </c>
      <c r="L92" s="12" t="n">
        <v>1441.639</v>
      </c>
      <c r="M92" s="12" t="n">
        <v>1199.763</v>
      </c>
      <c r="N92" s="12" t="n">
        <v>1325.61</v>
      </c>
      <c r="U92" s="12" t="n">
        <v>-319.607</v>
      </c>
      <c r="V92" s="12" t="n">
        <v>939.0549999999999</v>
      </c>
      <c r="W92" s="12" t="n">
        <v>-311.329</v>
      </c>
      <c r="X92" s="12" t="n">
        <v>-19.04</v>
      </c>
    </row>
    <row r="93">
      <c r="A93" s="45" t="inlineStr">
        <is>
          <t>OPM</t>
        </is>
      </c>
      <c r="B93" s="3" t="inlineStr">
        <is>
          <t>영업이익 ÷ 매출</t>
        </is>
      </c>
      <c r="C93" s="17">
        <f>IF(OR(C92="",C84=""),"",IF(C84&lt;=0,"",IFERROR(C92/C84,"")))</f>
        <v/>
      </c>
      <c r="D93" s="17">
        <f>IF(OR(D92="",D84=""),"",IF(D84&lt;=0,"",IFERROR(D92/D84,"")))</f>
        <v/>
      </c>
      <c r="E93" s="17">
        <f>IF(OR(E92="",E84=""),"",IF(E84&lt;=0,"",IFERROR(E92/E84,"")))</f>
        <v/>
      </c>
      <c r="F93" s="17">
        <f>IF(OR(F92="",F84=""),"",IF(F84&lt;=0,"",IFERROR(F92/F84,"")))</f>
        <v/>
      </c>
      <c r="G93" s="17">
        <f>IF(OR(G92="",G84=""),"",IF(G84&lt;=0,"",IFERROR(G92/G84,"")))</f>
        <v/>
      </c>
      <c r="H93" s="17">
        <f>IF(OR(H92="",H84=""),"",IF(H84&lt;=0,"",IFERROR(H92/H84,"")))</f>
        <v/>
      </c>
      <c r="I93" s="17">
        <f>IF(OR(I92="",I84=""),"",IF(I84&lt;=0,"",IFERROR(I92/I84,"")))</f>
        <v/>
      </c>
      <c r="J93" s="17">
        <f>IF(OR(J92="",J84=""),"",IF(J84&lt;=0,"",IFERROR(J92/J84,"")))</f>
        <v/>
      </c>
      <c r="K93" s="17">
        <f>IF(OR(K92="",K84=""),"",IF(K84&lt;=0,"",IFERROR(K92/K84,"")))</f>
        <v/>
      </c>
      <c r="L93" s="17">
        <f>IF(OR(L92="",L84=""),"",IF(L84&lt;=0,"",IFERROR(L92/L84,"")))</f>
        <v/>
      </c>
      <c r="M93" s="17">
        <f>IF(OR(M92="",M84=""),"",IF(M84&lt;=0,"",IFERROR(M92/M84,"")))</f>
        <v/>
      </c>
      <c r="N93" s="17">
        <f>IF(OR(N92="",N84=""),"",IF(N84&lt;=0,"",IFERROR(N92/N84,"")))</f>
        <v/>
      </c>
      <c r="U93" s="17">
        <f>IF(OR(U92="",U84=""),"",IF(U84&lt;=0,"",IFERROR(U92/U84,"")))</f>
        <v/>
      </c>
      <c r="V93" s="17">
        <f>IF(OR(V92="",V84=""),"",IF(V84&lt;=0,"",IFERROR(V92/V84,"")))</f>
        <v/>
      </c>
      <c r="W93" s="17">
        <f>IF(OR(W92="",W84=""),"",IF(W84&lt;=0,"",IFERROR(W92/W84,"")))</f>
        <v/>
      </c>
      <c r="X93" s="17">
        <f>IF(OR(X92="",X84=""),"",IF(X84&lt;=0,"",IFERROR(X92/X84,"")))</f>
        <v/>
      </c>
    </row>
    <row r="94">
      <c r="A94" s="45" t="inlineStr">
        <is>
          <t>YoY</t>
        </is>
      </c>
      <c r="B94" s="3" t="inlineStr">
        <is>
          <t>전년 같은 분기·전년 대비</t>
        </is>
      </c>
      <c r="G94" s="17">
        <f>IF(OR(G92="",C92=""),"",IF(C92&lt;=0,"",IFERROR(G92/C92-1,"")))</f>
        <v/>
      </c>
      <c r="H94" s="17">
        <f>IF(OR(H92="",D92=""),"",IF(D92&lt;=0,"",IFERROR(H92/D92-1,"")))</f>
        <v/>
      </c>
      <c r="I94" s="17">
        <f>IF(OR(I92="",E92=""),"",IF(E92&lt;=0,"",IFERROR(I92/E92-1,"")))</f>
        <v/>
      </c>
      <c r="J94" s="17">
        <f>IF(OR(J92="",F92=""),"",IF(F92&lt;=0,"",IFERROR(J92/F92-1,"")))</f>
        <v/>
      </c>
      <c r="K94" s="17">
        <f>IF(OR(K92="",G92=""),"",IF(G92&lt;=0,"",IFERROR(K92/G92-1,"")))</f>
        <v/>
      </c>
      <c r="L94" s="17">
        <f>IF(OR(L92="",H92=""),"",IF(H92&lt;=0,"",IFERROR(L92/H92-1,"")))</f>
        <v/>
      </c>
      <c r="M94" s="17">
        <f>IF(OR(M92="",I92=""),"",IF(I92&lt;=0,"",IFERROR(M92/I92-1,"")))</f>
        <v/>
      </c>
      <c r="N94" s="17">
        <f>IF(OR(N92="",J92=""),"",IF(J92&lt;=0,"",IFERROR(N92/J92-1,"")))</f>
        <v/>
      </c>
      <c r="U94" s="17">
        <f>IF(OR(U92="",T92=""),"",IF(T92&lt;=0,"",IFERROR(U92/T92-1,"")))</f>
        <v/>
      </c>
      <c r="V94" s="17">
        <f>IF(OR(V92="",U92=""),"",IF(U92&lt;=0,"",IFERROR(V92/U92-1,"")))</f>
        <v/>
      </c>
      <c r="W94" s="17">
        <f>IF(OR(W92="",V92=""),"",IF(V92&lt;=0,"",IFERROR(W92/V92-1,"")))</f>
        <v/>
      </c>
      <c r="X94" s="17">
        <f>IF(OR(X92="",W92=""),"",IF(W92&lt;=0,"",IFERROR(X92/W92-1,"")))</f>
        <v/>
      </c>
    </row>
    <row r="95">
      <c r="A95" s="20" t="inlineStr">
        <is>
          <t>이자수익</t>
        </is>
      </c>
      <c r="D95" s="22" t="n">
        <v>0.033</v>
      </c>
      <c r="G95" s="22" t="n">
        <v>1.227</v>
      </c>
      <c r="H95" s="22" t="n">
        <v>3.286</v>
      </c>
      <c r="I95" s="22" t="n">
        <v>0.868</v>
      </c>
      <c r="J95" s="22" t="n">
        <v>11.556</v>
      </c>
      <c r="K95" s="22" t="n">
        <v>16.018</v>
      </c>
      <c r="L95" s="22" t="n">
        <v>21.623</v>
      </c>
      <c r="M95" s="22" t="n">
        <v>14.544</v>
      </c>
      <c r="N95" s="22" t="n">
        <v>25.855</v>
      </c>
      <c r="W95" s="22" t="n">
        <v>1.227</v>
      </c>
      <c r="X95" s="22" t="n">
        <v>16.018</v>
      </c>
    </row>
    <row r="96">
      <c r="A96" s="20" t="inlineStr">
        <is>
          <t>보조금 수입</t>
        </is>
      </c>
      <c r="C96" s="22" t="n">
        <v>0.24</v>
      </c>
      <c r="D96" s="22" t="n">
        <v>2.064</v>
      </c>
      <c r="E96" s="22" t="n">
        <v>1.601</v>
      </c>
      <c r="F96" s="22" t="n">
        <v>0.766</v>
      </c>
      <c r="G96" s="22" t="n">
        <v>-2.364</v>
      </c>
      <c r="H96" s="22" t="n">
        <v>3.084</v>
      </c>
      <c r="I96" s="22" t="n">
        <v>2.003</v>
      </c>
      <c r="J96" s="22" t="n">
        <v>1.808</v>
      </c>
      <c r="K96" s="22" t="n">
        <v>-4.832</v>
      </c>
      <c r="L96" s="22" t="n">
        <v>3.084</v>
      </c>
      <c r="M96" s="22" t="n">
        <v>1.24</v>
      </c>
      <c r="N96" s="22" t="n">
        <v>3.44</v>
      </c>
      <c r="U96" s="22" t="n">
        <v>1</v>
      </c>
      <c r="V96" s="22" t="n">
        <v>0.24</v>
      </c>
      <c r="W96" s="22" t="n">
        <v>-2.364</v>
      </c>
      <c r="X96" s="22" t="n">
        <v>-4.832</v>
      </c>
    </row>
    <row r="97">
      <c r="A97" s="20" t="inlineStr">
        <is>
          <t>고정자산 매각이익</t>
        </is>
      </c>
      <c r="C97" s="22" t="n">
        <v>0.199</v>
      </c>
      <c r="U97" s="22" t="n">
        <v>0.502</v>
      </c>
      <c r="V97" s="22" t="n">
        <v>0.199</v>
      </c>
    </row>
    <row r="98">
      <c r="A98" s="20" t="inlineStr">
        <is>
          <t>수취 지연손해금</t>
        </is>
      </c>
      <c r="D98" s="22" t="n">
        <v>2.441</v>
      </c>
      <c r="E98" s="22" t="n">
        <v>2.922</v>
      </c>
      <c r="F98" s="22" t="n">
        <v>2.855</v>
      </c>
      <c r="H98" s="22" t="n">
        <v>1.684</v>
      </c>
      <c r="I98" s="22" t="n">
        <v>4.399</v>
      </c>
      <c r="J98" s="22" t="n">
        <v>3.497</v>
      </c>
      <c r="L98" s="22" t="n">
        <v>3.766</v>
      </c>
      <c r="M98" s="22" t="n">
        <v>4.957</v>
      </c>
      <c r="N98" s="22" t="n">
        <v>5.112</v>
      </c>
    </row>
    <row r="99">
      <c r="A99" s="20" t="inlineStr">
        <is>
          <t>경영지도료</t>
        </is>
      </c>
      <c r="C99" s="22" t="n">
        <v>1.05</v>
      </c>
      <c r="D99" s="22" t="n">
        <v>1.05</v>
      </c>
      <c r="E99" s="22" t="n">
        <v>1.05</v>
      </c>
      <c r="F99" s="22" t="n">
        <v>1.05</v>
      </c>
      <c r="G99" s="22" t="n">
        <v>48.882</v>
      </c>
      <c r="H99" s="22" t="n">
        <v>1.05</v>
      </c>
      <c r="I99" s="22" t="n">
        <v>1.05</v>
      </c>
      <c r="J99" s="22" t="n">
        <v>1.05</v>
      </c>
      <c r="K99" s="22" t="n">
        <v>54.543</v>
      </c>
      <c r="L99" s="22" t="n">
        <v>1.35</v>
      </c>
      <c r="M99" s="22" t="n">
        <v>1.5</v>
      </c>
      <c r="N99" s="22" t="n">
        <v>1.5</v>
      </c>
      <c r="U99" s="22" t="n">
        <v>39.9</v>
      </c>
      <c r="V99" s="22" t="n">
        <v>1.05</v>
      </c>
      <c r="W99" s="22" t="n">
        <v>48.882</v>
      </c>
      <c r="X99" s="22" t="n">
        <v>54.543</v>
      </c>
    </row>
    <row r="100">
      <c r="A100" s="20" t="inlineStr">
        <is>
          <t>소비세 등 면제 이익</t>
        </is>
      </c>
      <c r="C100" s="22" t="n">
        <v>2.633</v>
      </c>
      <c r="D100" s="22" t="n">
        <v>4.027</v>
      </c>
      <c r="E100" s="22" t="n">
        <v>2.815</v>
      </c>
      <c r="F100" s="22" t="n">
        <v>5.455</v>
      </c>
      <c r="G100" s="22" t="n">
        <v>2.806</v>
      </c>
      <c r="H100" s="22" t="n">
        <v>0</v>
      </c>
      <c r="I100" s="22" t="n">
        <v>0</v>
      </c>
      <c r="J100" s="22" t="n">
        <v>0</v>
      </c>
      <c r="K100" s="22" t="n">
        <v>0</v>
      </c>
      <c r="V100" s="22" t="n">
        <v>2.633</v>
      </c>
      <c r="W100" s="22" t="n">
        <v>2.806</v>
      </c>
      <c r="X100" s="22" t="n">
        <v>0</v>
      </c>
    </row>
    <row r="101">
      <c r="A101" s="20" t="inlineStr">
        <is>
          <t>기타</t>
        </is>
      </c>
      <c r="C101" s="22" t="n">
        <v>2.002</v>
      </c>
      <c r="D101" s="22" t="n">
        <v>1.103</v>
      </c>
      <c r="E101" s="22" t="n">
        <v>3.229</v>
      </c>
      <c r="F101" s="22" t="n">
        <v>3.43</v>
      </c>
      <c r="G101" s="22" t="n">
        <v>64.32299999999999</v>
      </c>
      <c r="H101" s="22" t="n">
        <v>4.187</v>
      </c>
      <c r="I101" s="22" t="n">
        <v>7.467</v>
      </c>
      <c r="J101" s="22" t="n">
        <v>14.202</v>
      </c>
      <c r="K101" s="22" t="n">
        <v>46.69</v>
      </c>
      <c r="L101" s="22" t="n">
        <v>16.192</v>
      </c>
      <c r="M101" s="22" t="n">
        <v>16.437</v>
      </c>
      <c r="N101" s="22" t="n">
        <v>14.461</v>
      </c>
      <c r="U101" s="22" t="n">
        <v>63.754</v>
      </c>
      <c r="V101" s="22" t="n">
        <v>2.002</v>
      </c>
      <c r="W101" s="22" t="n">
        <v>64.32299999999999</v>
      </c>
      <c r="X101" s="22" t="n">
        <v>46.69</v>
      </c>
    </row>
    <row r="102">
      <c r="A102" s="20" t="inlineStr">
        <is>
          <t>영업외수익 합계</t>
        </is>
      </c>
      <c r="C102" s="22" t="n">
        <v>8.992000000000001</v>
      </c>
      <c r="D102" s="22" t="n">
        <v>10.72</v>
      </c>
      <c r="E102" s="22" t="n">
        <v>11.584</v>
      </c>
      <c r="F102" s="22" t="n">
        <v>14.093</v>
      </c>
      <c r="G102" s="22" t="n">
        <v>905.5</v>
      </c>
      <c r="H102" s="22" t="n">
        <v>13.291</v>
      </c>
      <c r="I102" s="22" t="n">
        <v>15.789</v>
      </c>
      <c r="J102" s="22" t="n">
        <v>32.113</v>
      </c>
      <c r="K102" s="22" t="n">
        <v>396.643</v>
      </c>
      <c r="L102" s="22" t="n">
        <v>46.016</v>
      </c>
      <c r="M102" s="22" t="n">
        <v>38.678</v>
      </c>
      <c r="N102" s="22" t="n">
        <v>588.249</v>
      </c>
      <c r="U102" s="22" t="n">
        <v>975.804</v>
      </c>
      <c r="V102" s="22" t="n">
        <v>8.992000000000001</v>
      </c>
      <c r="W102" s="22" t="n">
        <v>905.5</v>
      </c>
      <c r="X102" s="22" t="n">
        <v>396.643</v>
      </c>
    </row>
    <row r="103">
      <c r="A103" s="45" t="inlineStr">
        <is>
          <t>YoY</t>
        </is>
      </c>
      <c r="B103" s="3" t="inlineStr">
        <is>
          <t>전년 같은 분기·전년 대비</t>
        </is>
      </c>
      <c r="G103" s="17">
        <f>IF(OR(G102="",C102=""),"",IF(G102*C102&lt;=0,"",IFERROR(G102/C102-1,"")))</f>
        <v/>
      </c>
      <c r="H103" s="17">
        <f>IF(OR(H102="",D102=""),"",IF(H102*D102&lt;=0,"",IFERROR(H102/D102-1,"")))</f>
        <v/>
      </c>
      <c r="I103" s="17">
        <f>IF(OR(I102="",E102=""),"",IF(I102*E102&lt;=0,"",IFERROR(I102/E102-1,"")))</f>
        <v/>
      </c>
      <c r="J103" s="17">
        <f>IF(OR(J102="",F102=""),"",IF(J102*F102&lt;=0,"",IFERROR(J102/F102-1,"")))</f>
        <v/>
      </c>
      <c r="K103" s="17">
        <f>IF(OR(K102="",G102=""),"",IF(K102*G102&lt;=0,"",IFERROR(K102/G102-1,"")))</f>
        <v/>
      </c>
      <c r="L103" s="17">
        <f>IF(OR(L102="",H102=""),"",IF(L102*H102&lt;=0,"",IFERROR(L102/H102-1,"")))</f>
        <v/>
      </c>
      <c r="M103" s="17">
        <f>IF(OR(M102="",I102=""),"",IF(M102*I102&lt;=0,"",IFERROR(M102/I102-1,"")))</f>
        <v/>
      </c>
      <c r="N103" s="17">
        <f>IF(OR(N102="",J102=""),"",IF(N102*J102&lt;=0,"",IFERROR(N102/J102-1,"")))</f>
        <v/>
      </c>
      <c r="U103" s="17">
        <f>IF(OR(U102="",T102=""),"",IF(U102*T102&lt;=0,"",IFERROR(U102/T102-1,"")))</f>
        <v/>
      </c>
      <c r="V103" s="17">
        <f>IF(OR(V102="",U102=""),"",IF(V102*U102&lt;=0,"",IFERROR(V102/U102-1,"")))</f>
        <v/>
      </c>
      <c r="W103" s="17">
        <f>IF(OR(W102="",V102=""),"",IF(W102*V102&lt;=0,"",IFERROR(W102/V102-1,"")))</f>
        <v/>
      </c>
      <c r="X103" s="17">
        <f>IF(OR(X102="",W102=""),"",IF(X102*W102&lt;=0,"",IFERROR(X102/W102-1,"")))</f>
        <v/>
      </c>
    </row>
    <row r="104">
      <c r="A104" s="20" t="inlineStr">
        <is>
          <t>이자비용</t>
        </is>
      </c>
      <c r="D104" s="22" t="n">
        <v>0</v>
      </c>
      <c r="E104" s="22" t="n">
        <v>0</v>
      </c>
      <c r="F104" s="22" t="n">
        <v>0</v>
      </c>
      <c r="G104" s="22" t="n">
        <v>1.654</v>
      </c>
      <c r="H104" s="22" t="n">
        <v>7.991</v>
      </c>
      <c r="I104" s="22" t="n">
        <v>10.467</v>
      </c>
      <c r="J104" s="22" t="n">
        <v>13.898</v>
      </c>
      <c r="K104" s="22" t="n">
        <v>26.655</v>
      </c>
      <c r="L104" s="22" t="n">
        <v>12.741</v>
      </c>
      <c r="M104" s="22" t="n">
        <v>14.121</v>
      </c>
      <c r="N104" s="22" t="n">
        <v>15.97</v>
      </c>
      <c r="W104" s="22" t="n">
        <v>1.654</v>
      </c>
      <c r="X104" s="22" t="n">
        <v>26.655</v>
      </c>
    </row>
    <row r="105">
      <c r="A105" s="20" t="inlineStr">
        <is>
          <t>고정자산 제각손실</t>
        </is>
      </c>
      <c r="C105" s="22" t="n">
        <v>0.019</v>
      </c>
      <c r="D105" s="22" t="n">
        <v>0</v>
      </c>
      <c r="E105" s="22" t="n">
        <v>0</v>
      </c>
      <c r="F105" s="22" t="n">
        <v>1.097</v>
      </c>
      <c r="G105" s="22" t="n">
        <v>2.37</v>
      </c>
      <c r="K105" s="22" t="n">
        <v>2.902</v>
      </c>
      <c r="U105" s="22" t="n">
        <v>2.08</v>
      </c>
      <c r="V105" s="22" t="n">
        <v>0.019</v>
      </c>
      <c r="W105" s="22" t="n">
        <v>2.37</v>
      </c>
      <c r="X105" s="22" t="n">
        <v>2.902</v>
      </c>
    </row>
    <row r="106">
      <c r="A106" s="20" t="inlineStr">
        <is>
          <t>투자조합 운용손실</t>
        </is>
      </c>
      <c r="C106" s="22" t="n">
        <v>0.112</v>
      </c>
      <c r="D106" s="22" t="n">
        <v>4.279</v>
      </c>
      <c r="E106" s="22" t="n">
        <v>0.121</v>
      </c>
      <c r="F106" s="22" t="n">
        <v>-0.382</v>
      </c>
      <c r="G106" s="22" t="n">
        <v>14.437</v>
      </c>
      <c r="H106" s="22" t="n">
        <v>9.601000000000001</v>
      </c>
      <c r="I106" s="22" t="n">
        <v>23.173</v>
      </c>
      <c r="J106" s="22" t="n">
        <v>0.003</v>
      </c>
      <c r="K106" s="22" t="n">
        <v>12.548</v>
      </c>
      <c r="L106" s="22" t="n">
        <v>10.423</v>
      </c>
      <c r="M106" s="22" t="n">
        <v>-3.786</v>
      </c>
      <c r="N106" s="22" t="n">
        <v>-6.637</v>
      </c>
      <c r="U106" s="22" t="n">
        <v>4.837</v>
      </c>
      <c r="V106" s="22" t="n">
        <v>0.112</v>
      </c>
      <c r="W106" s="22" t="n">
        <v>14.437</v>
      </c>
      <c r="X106" s="22" t="n">
        <v>12.548</v>
      </c>
    </row>
    <row r="107">
      <c r="A107" s="20" t="inlineStr">
        <is>
          <t>지분법손실</t>
        </is>
      </c>
      <c r="H107" s="22" t="n">
        <v>0</v>
      </c>
      <c r="I107" s="22" t="n">
        <v>0</v>
      </c>
      <c r="J107" s="22" t="n">
        <v>0</v>
      </c>
      <c r="K107" s="22" t="n">
        <v>48.826</v>
      </c>
      <c r="L107" s="22" t="n">
        <v>39.832</v>
      </c>
      <c r="M107" s="22" t="n">
        <v>53.047</v>
      </c>
      <c r="N107" s="22" t="n">
        <v>255.491</v>
      </c>
      <c r="X107" s="22" t="n">
        <v>48.826</v>
      </c>
    </row>
    <row r="108">
      <c r="A108" s="20" t="inlineStr">
        <is>
          <t>외환차손</t>
        </is>
      </c>
      <c r="C108" s="22" t="n">
        <v>0</v>
      </c>
      <c r="D108" s="22" t="n">
        <v>0</v>
      </c>
      <c r="E108" s="22" t="n">
        <v>0</v>
      </c>
      <c r="F108" s="22" t="n">
        <v>64.98699999999999</v>
      </c>
      <c r="G108" s="22" t="n">
        <v>-3.991</v>
      </c>
      <c r="H108" s="22" t="n">
        <v>3.127</v>
      </c>
      <c r="I108" s="22" t="n">
        <v>1.72</v>
      </c>
      <c r="J108" s="22" t="n">
        <v>7.938</v>
      </c>
      <c r="K108" s="22" t="n">
        <v>-12.785</v>
      </c>
      <c r="L108" s="22" t="n">
        <v>14.501</v>
      </c>
      <c r="M108" s="22" t="n">
        <v>-5.806</v>
      </c>
      <c r="N108" s="22" t="n">
        <v>45.075</v>
      </c>
      <c r="V108" s="22" t="n">
        <v>0</v>
      </c>
      <c r="W108" s="22" t="n">
        <v>-3.991</v>
      </c>
      <c r="X108" s="22" t="n">
        <v>-12.785</v>
      </c>
    </row>
    <row r="109">
      <c r="A109" s="20" t="inlineStr">
        <is>
          <t>영업외비용 합계</t>
        </is>
      </c>
      <c r="C109" s="22" t="n">
        <v>8.494</v>
      </c>
      <c r="D109" s="22" t="n">
        <v>4.279</v>
      </c>
      <c r="E109" s="22" t="n">
        <v>0.121</v>
      </c>
      <c r="F109" s="22" t="n">
        <v>65.703</v>
      </c>
      <c r="G109" s="22" t="n">
        <v>12.816</v>
      </c>
      <c r="H109" s="22" t="n">
        <v>20.72</v>
      </c>
      <c r="I109" s="22" t="n">
        <v>35.585</v>
      </c>
      <c r="J109" s="22" t="n">
        <v>21.84</v>
      </c>
      <c r="K109" s="22" t="n">
        <v>20.539</v>
      </c>
      <c r="L109" s="22" t="n">
        <v>77.498</v>
      </c>
      <c r="M109" s="22" t="n">
        <v>57.577</v>
      </c>
      <c r="N109" s="22" t="n">
        <v>309.898</v>
      </c>
      <c r="U109" s="22" t="n">
        <v>6.918</v>
      </c>
      <c r="V109" s="22" t="n">
        <v>8.494</v>
      </c>
      <c r="W109" s="22" t="n">
        <v>12.816</v>
      </c>
      <c r="X109" s="22" t="n">
        <v>20.539</v>
      </c>
    </row>
    <row r="110">
      <c r="A110" s="45" t="inlineStr">
        <is>
          <t>YoY</t>
        </is>
      </c>
      <c r="B110" s="3" t="inlineStr">
        <is>
          <t>전년 같은 분기·전년 대비</t>
        </is>
      </c>
      <c r="G110" s="17">
        <f>IF(OR(G109="",C109=""),"",IF(G109*C109&lt;=0,"",IFERROR(G109/C109-1,"")))</f>
        <v/>
      </c>
      <c r="H110" s="17">
        <f>IF(OR(H109="",D109=""),"",IF(H109*D109&lt;=0,"",IFERROR(H109/D109-1,"")))</f>
        <v/>
      </c>
      <c r="I110" s="17">
        <f>IF(OR(I109="",E109=""),"",IF(I109*E109&lt;=0,"",IFERROR(I109/E109-1,"")))</f>
        <v/>
      </c>
      <c r="J110" s="17">
        <f>IF(OR(J109="",F109=""),"",IF(J109*F109&lt;=0,"",IFERROR(J109/F109-1,"")))</f>
        <v/>
      </c>
      <c r="K110" s="17">
        <f>IF(OR(K109="",G109=""),"",IF(K109*G109&lt;=0,"",IFERROR(K109/G109-1,"")))</f>
        <v/>
      </c>
      <c r="L110" s="17">
        <f>IF(OR(L109="",H109=""),"",IF(L109*H109&lt;=0,"",IFERROR(L109/H109-1,"")))</f>
        <v/>
      </c>
      <c r="M110" s="17">
        <f>IF(OR(M109="",I109=""),"",IF(M109*I109&lt;=0,"",IFERROR(M109/I109-1,"")))</f>
        <v/>
      </c>
      <c r="N110" s="17">
        <f>IF(OR(N109="",J109=""),"",IF(N109*J109&lt;=0,"",IFERROR(N109/J109-1,"")))</f>
        <v/>
      </c>
      <c r="U110" s="17">
        <f>IF(OR(U109="",T109=""),"",IF(U109*T109&lt;=0,"",IFERROR(U109/T109-1,"")))</f>
        <v/>
      </c>
      <c r="V110" s="17">
        <f>IF(OR(V109="",U109=""),"",IF(V109*U109&lt;=0,"",IFERROR(V109/U109-1,"")))</f>
        <v/>
      </c>
      <c r="W110" s="17">
        <f>IF(OR(W109="",V109=""),"",IF(W109*V109&lt;=0,"",IFERROR(W109/V109-1,"")))</f>
        <v/>
      </c>
      <c r="X110" s="17">
        <f>IF(OR(X109="",W109=""),"",IF(X109*W109&lt;=0,"",IFERROR(X109/W109-1,"")))</f>
        <v/>
      </c>
    </row>
    <row r="111">
      <c r="A111" s="9" t="inlineStr">
        <is>
          <t>경상이익</t>
        </is>
      </c>
      <c r="C111" s="12" t="n">
        <v>939.553</v>
      </c>
      <c r="D111" s="12" t="n">
        <v>1065.636</v>
      </c>
      <c r="E111" s="12" t="n">
        <v>883.063</v>
      </c>
      <c r="F111" s="12" t="n">
        <v>749.042</v>
      </c>
      <c r="G111" s="12" t="n">
        <v>581.356</v>
      </c>
      <c r="H111" s="12" t="n">
        <v>1175.47</v>
      </c>
      <c r="I111" s="12" t="n">
        <v>856.5940000000001</v>
      </c>
      <c r="J111" s="12" t="n">
        <v>974.463</v>
      </c>
      <c r="K111" s="12" t="n">
        <v>357.064</v>
      </c>
      <c r="L111" s="12" t="n">
        <v>1410.157</v>
      </c>
      <c r="M111" s="12" t="n">
        <v>1180.864</v>
      </c>
      <c r="N111" s="12" t="n">
        <v>1603.961</v>
      </c>
      <c r="U111" s="12" t="n">
        <v>649.28</v>
      </c>
      <c r="V111" s="12" t="n">
        <v>939.553</v>
      </c>
      <c r="W111" s="12" t="n">
        <v>581.356</v>
      </c>
      <c r="X111" s="12" t="n">
        <v>357.064</v>
      </c>
    </row>
    <row r="112">
      <c r="A112" s="45" t="inlineStr">
        <is>
          <t>YoY</t>
        </is>
      </c>
      <c r="B112" s="3" t="inlineStr">
        <is>
          <t>전년 같은 분기·전년 대비</t>
        </is>
      </c>
      <c r="G112" s="17">
        <f>IF(OR(G111="",C111=""),"",IF(C111&lt;=0,"",IFERROR(G111/C111-1,"")))</f>
        <v/>
      </c>
      <c r="H112" s="17">
        <f>IF(OR(H111="",D111=""),"",IF(D111&lt;=0,"",IFERROR(H111/D111-1,"")))</f>
        <v/>
      </c>
      <c r="I112" s="17">
        <f>IF(OR(I111="",E111=""),"",IF(E111&lt;=0,"",IFERROR(I111/E111-1,"")))</f>
        <v/>
      </c>
      <c r="J112" s="17">
        <f>IF(OR(J111="",F111=""),"",IF(F111&lt;=0,"",IFERROR(J111/F111-1,"")))</f>
        <v/>
      </c>
      <c r="K112" s="17">
        <f>IF(OR(K111="",G111=""),"",IF(G111&lt;=0,"",IFERROR(K111/G111-1,"")))</f>
        <v/>
      </c>
      <c r="L112" s="17">
        <f>IF(OR(L111="",H111=""),"",IF(H111&lt;=0,"",IFERROR(L111/H111-1,"")))</f>
        <v/>
      </c>
      <c r="M112" s="17">
        <f>IF(OR(M111="",I111=""),"",IF(I111&lt;=0,"",IFERROR(M111/I111-1,"")))</f>
        <v/>
      </c>
      <c r="N112" s="17">
        <f>IF(OR(N111="",J111=""),"",IF(J111&lt;=0,"",IFERROR(N111/J111-1,"")))</f>
        <v/>
      </c>
      <c r="U112" s="17">
        <f>IF(OR(U111="",T111=""),"",IF(T111&lt;=0,"",IFERROR(U111/T111-1,"")))</f>
        <v/>
      </c>
      <c r="V112" s="17">
        <f>IF(OR(V111="",U111=""),"",IF(U111&lt;=0,"",IFERROR(V111/U111-1,"")))</f>
        <v/>
      </c>
      <c r="W112" s="17">
        <f>IF(OR(W111="",V111=""),"",IF(V111&lt;=0,"",IFERROR(W111/V111-1,"")))</f>
        <v/>
      </c>
      <c r="X112" s="17">
        <f>IF(OR(X111="",W111=""),"",IF(W111&lt;=0,"",IFERROR(X111/W111-1,"")))</f>
        <v/>
      </c>
    </row>
    <row r="113">
      <c r="A113" s="9" t="inlineStr">
        <is>
          <t>법인세차감전 순이익</t>
        </is>
      </c>
      <c r="C113" s="12" t="n">
        <v>939.553</v>
      </c>
      <c r="D113" s="12" t="n">
        <v>1065.636</v>
      </c>
      <c r="E113" s="12" t="n">
        <v>883.063</v>
      </c>
      <c r="F113" s="12" t="n">
        <v>749.042</v>
      </c>
      <c r="G113" s="12" t="n">
        <v>581.356</v>
      </c>
      <c r="H113" s="12" t="n">
        <v>1175.47</v>
      </c>
      <c r="I113" s="12" t="n">
        <v>856.5940000000001</v>
      </c>
      <c r="J113" s="12" t="n">
        <v>974.463</v>
      </c>
      <c r="K113" s="12" t="n">
        <v>357.064</v>
      </c>
      <c r="L113" s="12" t="n">
        <v>1410.157</v>
      </c>
      <c r="M113" s="12" t="n">
        <v>1180.864</v>
      </c>
      <c r="N113" s="12" t="n">
        <v>1603.961</v>
      </c>
      <c r="U113" s="12" t="n">
        <v>272.642</v>
      </c>
      <c r="V113" s="12" t="n">
        <v>939.553</v>
      </c>
      <c r="W113" s="12" t="n">
        <v>581.356</v>
      </c>
      <c r="X113" s="12" t="n">
        <v>357.064</v>
      </c>
    </row>
    <row r="114">
      <c r="A114" s="45" t="inlineStr">
        <is>
          <t>YoY</t>
        </is>
      </c>
      <c r="B114" s="3" t="inlineStr">
        <is>
          <t>전년 같은 분기·전년 대비</t>
        </is>
      </c>
      <c r="G114" s="17">
        <f>IF(OR(G113="",C113=""),"",IF(C113&lt;=0,"",IFERROR(G113/C113-1,"")))</f>
        <v/>
      </c>
      <c r="H114" s="17">
        <f>IF(OR(H113="",D113=""),"",IF(D113&lt;=0,"",IFERROR(H113/D113-1,"")))</f>
        <v/>
      </c>
      <c r="I114" s="17">
        <f>IF(OR(I113="",E113=""),"",IF(E113&lt;=0,"",IFERROR(I113/E113-1,"")))</f>
        <v/>
      </c>
      <c r="J114" s="17">
        <f>IF(OR(J113="",F113=""),"",IF(F113&lt;=0,"",IFERROR(J113/F113-1,"")))</f>
        <v/>
      </c>
      <c r="K114" s="17">
        <f>IF(OR(K113="",G113=""),"",IF(G113&lt;=0,"",IFERROR(K113/G113-1,"")))</f>
        <v/>
      </c>
      <c r="L114" s="17">
        <f>IF(OR(L113="",H113=""),"",IF(H113&lt;=0,"",IFERROR(L113/H113-1,"")))</f>
        <v/>
      </c>
      <c r="M114" s="17">
        <f>IF(OR(M113="",I113=""),"",IF(I113&lt;=0,"",IFERROR(M113/I113-1,"")))</f>
        <v/>
      </c>
      <c r="N114" s="17">
        <f>IF(OR(N113="",J113=""),"",IF(J113&lt;=0,"",IFERROR(N113/J113-1,"")))</f>
        <v/>
      </c>
      <c r="U114" s="17">
        <f>IF(OR(U113="",T113=""),"",IF(T113&lt;=0,"",IFERROR(U113/T113-1,"")))</f>
        <v/>
      </c>
      <c r="V114" s="17">
        <f>IF(OR(V113="",U113=""),"",IF(U113&lt;=0,"",IFERROR(V113/U113-1,"")))</f>
        <v/>
      </c>
      <c r="W114" s="17">
        <f>IF(OR(W113="",V113=""),"",IF(V113&lt;=0,"",IFERROR(W113/V113-1,"")))</f>
        <v/>
      </c>
      <c r="X114" s="17">
        <f>IF(OR(X113="",W113=""),"",IF(W113&lt;=0,"",IFERROR(X113/W113-1,"")))</f>
        <v/>
      </c>
    </row>
    <row r="115">
      <c r="A115" s="20" t="inlineStr">
        <is>
          <t>법인세·주민세·사업세</t>
        </is>
      </c>
      <c r="C115" s="22" t="n">
        <v>342.498</v>
      </c>
      <c r="D115" s="22" t="n">
        <v>339.682</v>
      </c>
      <c r="E115" s="22" t="n">
        <v>321.046</v>
      </c>
      <c r="F115" s="22" t="n">
        <v>225.932</v>
      </c>
      <c r="G115" s="22" t="n">
        <v>30.507</v>
      </c>
      <c r="H115" s="22" t="n">
        <v>379.065</v>
      </c>
      <c r="I115" s="22" t="n">
        <v>333.98</v>
      </c>
      <c r="J115" s="22" t="n">
        <v>304.518</v>
      </c>
      <c r="K115" s="22" t="n">
        <v>80.032</v>
      </c>
      <c r="L115" s="22" t="n">
        <v>466.681</v>
      </c>
      <c r="M115" s="22" t="n">
        <v>450.984</v>
      </c>
      <c r="N115" s="22" t="n">
        <v>612.035</v>
      </c>
      <c r="U115" s="22" t="n">
        <v>197.303</v>
      </c>
      <c r="V115" s="22" t="n">
        <v>342.498</v>
      </c>
      <c r="W115" s="22" t="n">
        <v>30.507</v>
      </c>
      <c r="X115" s="22" t="n">
        <v>80.032</v>
      </c>
    </row>
    <row r="116">
      <c r="A116" s="20" t="inlineStr">
        <is>
          <t>법인세 조정액</t>
        </is>
      </c>
      <c r="C116" s="22" t="n">
        <v>-33.082</v>
      </c>
      <c r="D116" s="22" t="n">
        <v>-0.856</v>
      </c>
      <c r="E116" s="22" t="n">
        <v>-36.489</v>
      </c>
      <c r="F116" s="22" t="n">
        <v>16.241</v>
      </c>
      <c r="G116" s="22" t="n">
        <v>28.516</v>
      </c>
      <c r="H116" s="22" t="n">
        <v>-6.74</v>
      </c>
      <c r="I116" s="22" t="n">
        <v>-52.744</v>
      </c>
      <c r="J116" s="22" t="n">
        <v>5.752</v>
      </c>
      <c r="K116" s="22" t="n">
        <v>-34.332</v>
      </c>
      <c r="L116" s="22" t="n">
        <v>3.945</v>
      </c>
      <c r="M116" s="22" t="n">
        <v>-63.39</v>
      </c>
      <c r="N116" s="22" t="n">
        <v>-13.946</v>
      </c>
      <c r="U116" s="22" t="n">
        <v>-162.543</v>
      </c>
      <c r="V116" s="22" t="n">
        <v>-33.082</v>
      </c>
      <c r="W116" s="22" t="n">
        <v>28.516</v>
      </c>
      <c r="X116" s="22" t="n">
        <v>-34.332</v>
      </c>
    </row>
    <row r="117">
      <c r="A117" s="20" t="inlineStr">
        <is>
          <t>법인세 등 합계</t>
        </is>
      </c>
      <c r="C117" s="22" t="n">
        <v>309.416</v>
      </c>
      <c r="D117" s="22" t="n">
        <v>338.826</v>
      </c>
      <c r="E117" s="22" t="n">
        <v>284.556</v>
      </c>
      <c r="F117" s="22" t="n">
        <v>242.173</v>
      </c>
      <c r="G117" s="22" t="n">
        <v>59.024</v>
      </c>
      <c r="H117" s="22" t="n">
        <v>372.325</v>
      </c>
      <c r="I117" s="22" t="n">
        <v>281.236</v>
      </c>
      <c r="J117" s="22" t="n">
        <v>310.27</v>
      </c>
      <c r="K117" s="22" t="n">
        <v>45.699</v>
      </c>
      <c r="L117" s="22" t="n">
        <v>470.627</v>
      </c>
      <c r="M117" s="22" t="n">
        <v>387.592</v>
      </c>
      <c r="N117" s="22" t="n">
        <v>598.09</v>
      </c>
      <c r="U117" s="22" t="n">
        <v>34.758</v>
      </c>
      <c r="V117" s="22" t="n">
        <v>309.416</v>
      </c>
      <c r="W117" s="22" t="n">
        <v>59.024</v>
      </c>
      <c r="X117" s="22" t="n">
        <v>45.699</v>
      </c>
    </row>
    <row r="118">
      <c r="A118" s="45" t="inlineStr">
        <is>
          <t>YoY</t>
        </is>
      </c>
      <c r="B118" s="3" t="inlineStr">
        <is>
          <t>전년 같은 분기·전년 대비</t>
        </is>
      </c>
      <c r="G118" s="17">
        <f>IF(OR(G117="",C117=""),"",IF(G117*C117&lt;=0,"",IFERROR(G117/C117-1,"")))</f>
        <v/>
      </c>
      <c r="H118" s="17">
        <f>IF(OR(H117="",D117=""),"",IF(H117*D117&lt;=0,"",IFERROR(H117/D117-1,"")))</f>
        <v/>
      </c>
      <c r="I118" s="17">
        <f>IF(OR(I117="",E117=""),"",IF(I117*E117&lt;=0,"",IFERROR(I117/E117-1,"")))</f>
        <v/>
      </c>
      <c r="J118" s="17">
        <f>IF(OR(J117="",F117=""),"",IF(J117*F117&lt;=0,"",IFERROR(J117/F117-1,"")))</f>
        <v/>
      </c>
      <c r="K118" s="17">
        <f>IF(OR(K117="",G117=""),"",IF(K117*G117&lt;=0,"",IFERROR(K117/G117-1,"")))</f>
        <v/>
      </c>
      <c r="L118" s="17">
        <f>IF(OR(L117="",H117=""),"",IF(L117*H117&lt;=0,"",IFERROR(L117/H117-1,"")))</f>
        <v/>
      </c>
      <c r="M118" s="17">
        <f>IF(OR(M117="",I117=""),"",IF(M117*I117&lt;=0,"",IFERROR(M117/I117-1,"")))</f>
        <v/>
      </c>
      <c r="N118" s="17">
        <f>IF(OR(N117="",J117=""),"",IF(N117*J117&lt;=0,"",IFERROR(N117/J117-1,"")))</f>
        <v/>
      </c>
      <c r="U118" s="17">
        <f>IF(OR(U117="",T117=""),"",IF(U117*T117&lt;=0,"",IFERROR(U117/T117-1,"")))</f>
        <v/>
      </c>
      <c r="V118" s="17">
        <f>IF(OR(V117="",U117=""),"",IF(V117*U117&lt;=0,"",IFERROR(V117/U117-1,"")))</f>
        <v/>
      </c>
      <c r="W118" s="17">
        <f>IF(OR(W117="",V117=""),"",IF(W117*V117&lt;=0,"",IFERROR(W117/V117-1,"")))</f>
        <v/>
      </c>
      <c r="X118" s="17">
        <f>IF(OR(X117="",W117=""),"",IF(X117*W117&lt;=0,"",IFERROR(X117/W117-1,"")))</f>
        <v/>
      </c>
    </row>
    <row r="119">
      <c r="A119" s="9" t="inlineStr">
        <is>
          <t>순이익</t>
        </is>
      </c>
      <c r="C119" s="12" t="n">
        <v>630.138</v>
      </c>
      <c r="D119" s="12" t="n">
        <v>726.8099999999999</v>
      </c>
      <c r="E119" s="12" t="n">
        <v>598.506</v>
      </c>
      <c r="F119" s="12" t="n">
        <v>506.87</v>
      </c>
      <c r="G119" s="12" t="n">
        <v>522.332</v>
      </c>
      <c r="H119" s="12" t="n">
        <v>803.144</v>
      </c>
      <c r="I119" s="12" t="n">
        <v>575.3579999999999</v>
      </c>
      <c r="J119" s="12" t="n">
        <v>664.193</v>
      </c>
      <c r="K119" s="12" t="n">
        <v>311.366</v>
      </c>
      <c r="L119" s="12" t="n">
        <v>939.53</v>
      </c>
      <c r="M119" s="12" t="n">
        <v>793.271</v>
      </c>
      <c r="N119" s="12" t="n">
        <v>1005.871</v>
      </c>
      <c r="U119" s="12" t="n">
        <v>237.884</v>
      </c>
      <c r="V119" s="12" t="n">
        <v>630.138</v>
      </c>
      <c r="W119" s="12" t="n">
        <v>522.332</v>
      </c>
      <c r="X119" s="12" t="n">
        <v>311.366</v>
      </c>
    </row>
    <row r="120">
      <c r="A120" s="45" t="inlineStr">
        <is>
          <t>YoY</t>
        </is>
      </c>
      <c r="B120" s="3" t="inlineStr">
        <is>
          <t>전년 같은 분기·전년 대비</t>
        </is>
      </c>
      <c r="G120" s="17">
        <f>IF(OR(G119="",C119=""),"",IF(C119&lt;=0,"",IFERROR(G119/C119-1,"")))</f>
        <v/>
      </c>
      <c r="H120" s="17">
        <f>IF(OR(H119="",D119=""),"",IF(D119&lt;=0,"",IFERROR(H119/D119-1,"")))</f>
        <v/>
      </c>
      <c r="I120" s="17">
        <f>IF(OR(I119="",E119=""),"",IF(E119&lt;=0,"",IFERROR(I119/E119-1,"")))</f>
        <v/>
      </c>
      <c r="J120" s="17">
        <f>IF(OR(J119="",F119=""),"",IF(F119&lt;=0,"",IFERROR(J119/F119-1,"")))</f>
        <v/>
      </c>
      <c r="K120" s="17">
        <f>IF(OR(K119="",G119=""),"",IF(G119&lt;=0,"",IFERROR(K119/G119-1,"")))</f>
        <v/>
      </c>
      <c r="L120" s="17">
        <f>IF(OR(L119="",H119=""),"",IF(H119&lt;=0,"",IFERROR(L119/H119-1,"")))</f>
        <v/>
      </c>
      <c r="M120" s="17">
        <f>IF(OR(M119="",I119=""),"",IF(I119&lt;=0,"",IFERROR(M119/I119-1,"")))</f>
        <v/>
      </c>
      <c r="N120" s="17">
        <f>IF(OR(N119="",J119=""),"",IF(J119&lt;=0,"",IFERROR(N119/J119-1,"")))</f>
        <v/>
      </c>
      <c r="U120" s="17">
        <f>IF(OR(U119="",T119=""),"",IF(T119&lt;=0,"",IFERROR(U119/T119-1,"")))</f>
        <v/>
      </c>
      <c r="V120" s="17">
        <f>IF(OR(V119="",U119=""),"",IF(U119&lt;=0,"",IFERROR(V119/U119-1,"")))</f>
        <v/>
      </c>
      <c r="W120" s="17">
        <f>IF(OR(W119="",V119=""),"",IF(V119&lt;=0,"",IFERROR(W119/V119-1,"")))</f>
        <v/>
      </c>
      <c r="X120" s="17">
        <f>IF(OR(X119="",W119=""),"",IF(W119&lt;=0,"",IFERROR(X119/W119-1,"")))</f>
        <v/>
      </c>
    </row>
    <row r="121">
      <c r="A121" s="9" t="inlineStr">
        <is>
          <t>비지배주주 순손익</t>
        </is>
      </c>
      <c r="C121" s="12" t="n">
        <v>0</v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3.088</v>
      </c>
      <c r="I121" s="12" t="n">
        <v>8.108000000000001</v>
      </c>
      <c r="J121" s="12" t="n">
        <v>8.805</v>
      </c>
      <c r="K121" s="12" t="n">
        <v>42.02</v>
      </c>
      <c r="L121" s="12" t="n">
        <v>-10.328</v>
      </c>
      <c r="M121" s="12" t="n">
        <v>4.536</v>
      </c>
      <c r="N121" s="12" t="n">
        <v>-7.199</v>
      </c>
      <c r="U121" s="12" t="n">
        <v>0</v>
      </c>
      <c r="V121" s="12" t="n">
        <v>0</v>
      </c>
      <c r="W121" s="12" t="n">
        <v>0</v>
      </c>
      <c r="X121" s="12" t="n">
        <v>42.02</v>
      </c>
    </row>
    <row r="122">
      <c r="A122" s="9" t="inlineStr">
        <is>
          <t>지배주주 순이익</t>
        </is>
      </c>
      <c r="C122" s="12" t="n">
        <v>630.138</v>
      </c>
      <c r="D122" s="12" t="n">
        <v>726.8099999999999</v>
      </c>
      <c r="E122" s="12" t="n">
        <v>598.506</v>
      </c>
      <c r="F122" s="12" t="n">
        <v>506.87</v>
      </c>
      <c r="G122" s="12" t="n">
        <v>522.484</v>
      </c>
      <c r="H122" s="12" t="n">
        <v>800.056</v>
      </c>
      <c r="I122" s="12" t="n">
        <v>567.25</v>
      </c>
      <c r="J122" s="12" t="n">
        <v>655.3869999999999</v>
      </c>
      <c r="K122" s="12" t="n">
        <v>745.067</v>
      </c>
      <c r="L122" s="12" t="n">
        <v>949.8579999999999</v>
      </c>
      <c r="M122" s="12" t="n">
        <v>788.736</v>
      </c>
      <c r="N122" s="12" t="n">
        <v>1013.07</v>
      </c>
      <c r="U122" s="12" t="n">
        <v>319.23</v>
      </c>
      <c r="V122" s="12" t="n">
        <v>630.138</v>
      </c>
      <c r="W122" s="12" t="n">
        <v>522.484</v>
      </c>
      <c r="X122" s="12" t="n">
        <v>745.067</v>
      </c>
    </row>
    <row r="123">
      <c r="A123" s="45" t="inlineStr">
        <is>
          <t>YoY</t>
        </is>
      </c>
      <c r="B123" s="3" t="inlineStr">
        <is>
          <t>전년 같은 분기·전년 대비</t>
        </is>
      </c>
      <c r="G123" s="17">
        <f>IF(OR(G122="",C122=""),"",IF(C122&lt;=0,"",IFERROR(G122/C122-1,"")))</f>
        <v/>
      </c>
      <c r="H123" s="17">
        <f>IF(OR(H122="",D122=""),"",IF(D122&lt;=0,"",IFERROR(H122/D122-1,"")))</f>
        <v/>
      </c>
      <c r="I123" s="17">
        <f>IF(OR(I122="",E122=""),"",IF(E122&lt;=0,"",IFERROR(I122/E122-1,"")))</f>
        <v/>
      </c>
      <c r="J123" s="17">
        <f>IF(OR(J122="",F122=""),"",IF(F122&lt;=0,"",IFERROR(J122/F122-1,"")))</f>
        <v/>
      </c>
      <c r="K123" s="17">
        <f>IF(OR(K122="",G122=""),"",IF(G122&lt;=0,"",IFERROR(K122/G122-1,"")))</f>
        <v/>
      </c>
      <c r="L123" s="17">
        <f>IF(OR(L122="",H122=""),"",IF(H122&lt;=0,"",IFERROR(L122/H122-1,"")))</f>
        <v/>
      </c>
      <c r="M123" s="17">
        <f>IF(OR(M122="",I122=""),"",IF(I122&lt;=0,"",IFERROR(M122/I122-1,"")))</f>
        <v/>
      </c>
      <c r="N123" s="17">
        <f>IF(OR(N122="",J122=""),"",IF(J122&lt;=0,"",IFERROR(N122/J122-1,"")))</f>
        <v/>
      </c>
      <c r="U123" s="17">
        <f>IF(OR(U122="",T122=""),"",IF(T122&lt;=0,"",IFERROR(U122/T122-1,"")))</f>
        <v/>
      </c>
      <c r="V123" s="17">
        <f>IF(OR(V122="",U122=""),"",IF(U122&lt;=0,"",IFERROR(V122/U122-1,"")))</f>
        <v/>
      </c>
      <c r="W123" s="17">
        <f>IF(OR(W122="",V122=""),"",IF(V122&lt;=0,"",IFERROR(W122/V122-1,"")))</f>
        <v/>
      </c>
      <c r="X123" s="17">
        <f>IF(OR(X122="",W122=""),"",IF(W122&lt;=0,"",IFERROR(X122/W122-1,"")))</f>
        <v/>
      </c>
    </row>
    <row r="125">
      <c r="A125" s="18" t="inlineStr">
        <is>
          <t>포괄손익 · 전 항목</t>
        </is>
      </c>
      <c r="B125" s="44" t="inlineStr">
        <is>
          <t>분기 = 3개월 단독</t>
        </is>
      </c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</row>
    <row r="126">
      <c r="A126" s="5" t="inlineStr">
        <is>
          <t>항목</t>
        </is>
      </c>
      <c r="B126" s="5" t="inlineStr">
        <is>
          <t>참고</t>
        </is>
      </c>
      <c r="C126" s="5" t="inlineStr">
        <is>
          <t>2023.4Q</t>
        </is>
      </c>
      <c r="D126" s="5" t="inlineStr">
        <is>
          <t>2024.1Q</t>
        </is>
      </c>
      <c r="E126" s="5" t="inlineStr">
        <is>
          <t>2024.2Q</t>
        </is>
      </c>
      <c r="F126" s="5" t="inlineStr">
        <is>
          <t>2024.3Q</t>
        </is>
      </c>
      <c r="G126" s="5" t="inlineStr">
        <is>
          <t>2024.4Q</t>
        </is>
      </c>
      <c r="H126" s="5" t="inlineStr">
        <is>
          <t>2025.1Q</t>
        </is>
      </c>
      <c r="I126" s="5" t="inlineStr">
        <is>
          <t>2025.2Q</t>
        </is>
      </c>
      <c r="J126" s="5" t="inlineStr">
        <is>
          <t>2025.3Q</t>
        </is>
      </c>
      <c r="K126" s="5" t="inlineStr">
        <is>
          <t>2025.4Q</t>
        </is>
      </c>
      <c r="L126" s="5" t="inlineStr">
        <is>
          <t>2026.1Q</t>
        </is>
      </c>
      <c r="M126" s="5" t="inlineStr">
        <is>
          <t>2026.2Q</t>
        </is>
      </c>
      <c r="N126" s="5" t="inlineStr">
        <is>
          <t>2026.3Q</t>
        </is>
      </c>
      <c r="O126" s="5" t="inlineStr">
        <is>
          <t>2016</t>
        </is>
      </c>
      <c r="P126" s="5" t="inlineStr">
        <is>
          <t>2017</t>
        </is>
      </c>
      <c r="Q126" s="5" t="inlineStr">
        <is>
          <t>2018</t>
        </is>
      </c>
      <c r="R126" s="5" t="inlineStr">
        <is>
          <t>2019</t>
        </is>
      </c>
      <c r="S126" s="5" t="inlineStr">
        <is>
          <t>2020</t>
        </is>
      </c>
      <c r="T126" s="5" t="inlineStr">
        <is>
          <t>2021</t>
        </is>
      </c>
      <c r="U126" s="5" t="inlineStr">
        <is>
          <t>2022</t>
        </is>
      </c>
      <c r="V126" s="5" t="inlineStr">
        <is>
          <t>2023</t>
        </is>
      </c>
      <c r="W126" s="5" t="inlineStr">
        <is>
          <t>2024</t>
        </is>
      </c>
      <c r="X126" s="5" t="inlineStr">
        <is>
          <t>2025</t>
        </is>
      </c>
      <c r="Y126" s="5" t="inlineStr">
        <is>
          <t>2026(MW)</t>
        </is>
      </c>
      <c r="Z126" s="5" t="inlineStr">
        <is>
          <t>2027(MW)</t>
        </is>
      </c>
      <c r="AA126" s="5" t="inlineStr">
        <is>
          <t>2028(MW)</t>
        </is>
      </c>
      <c r="AB126" s="5" t="inlineStr">
        <is>
          <t>2029(MW)</t>
        </is>
      </c>
      <c r="AC126" s="5" t="inlineStr">
        <is>
          <t>2030(MW)</t>
        </is>
      </c>
    </row>
    <row r="127">
      <c r="A127" s="9" t="inlineStr">
        <is>
          <t>순이익</t>
        </is>
      </c>
      <c r="C127" s="12" t="n">
        <v>630.138</v>
      </c>
      <c r="D127" s="12" t="n">
        <v>726.8099999999999</v>
      </c>
      <c r="E127" s="12" t="n">
        <v>598.506</v>
      </c>
      <c r="F127" s="12" t="n">
        <v>506.87</v>
      </c>
      <c r="G127" s="12" t="n">
        <v>522.484</v>
      </c>
      <c r="H127" s="12" t="n">
        <v>803.144</v>
      </c>
      <c r="I127" s="12" t="n">
        <v>575.3579999999999</v>
      </c>
      <c r="J127" s="12" t="n">
        <v>664.193</v>
      </c>
      <c r="K127" s="12" t="n">
        <v>787.087</v>
      </c>
      <c r="L127" s="12" t="n">
        <v>939.53</v>
      </c>
      <c r="M127" s="12" t="n">
        <v>793.271</v>
      </c>
      <c r="N127" s="12" t="n">
        <v>1005.871</v>
      </c>
      <c r="U127" s="12" t="n">
        <v>319.23</v>
      </c>
      <c r="V127" s="12" t="n">
        <v>630.138</v>
      </c>
      <c r="W127" s="12" t="n">
        <v>522.484</v>
      </c>
      <c r="X127" s="12" t="n">
        <v>787.087</v>
      </c>
    </row>
    <row r="128">
      <c r="A128" s="20" t="inlineStr">
        <is>
          <t>기타유가증권 평가차액</t>
        </is>
      </c>
      <c r="D128" s="22" t="n">
        <v>33.036</v>
      </c>
      <c r="E128" s="22" t="n">
        <v>24.289</v>
      </c>
      <c r="H128" s="22" t="n">
        <v>-40.33</v>
      </c>
      <c r="I128" s="22" t="n">
        <v>7.829</v>
      </c>
      <c r="L128" s="22" t="n">
        <v>-4.582</v>
      </c>
      <c r="M128" s="22" t="n">
        <v>0.915</v>
      </c>
    </row>
    <row r="129">
      <c r="A129" s="20" t="inlineStr">
        <is>
          <t>해외사업환산조정</t>
        </is>
      </c>
      <c r="D129" s="22" t="n">
        <v>0</v>
      </c>
      <c r="E129" s="22" t="n">
        <v>0</v>
      </c>
      <c r="H129" s="22" t="n">
        <v>-65.358</v>
      </c>
      <c r="I129" s="22" t="n">
        <v>-173.534</v>
      </c>
      <c r="L129" s="22" t="n">
        <v>41.998</v>
      </c>
      <c r="M129" s="22" t="n">
        <v>42.718</v>
      </c>
    </row>
    <row r="130">
      <c r="A130" s="20" t="inlineStr">
        <is>
          <t>기타포괄손익 합계</t>
        </is>
      </c>
      <c r="C130" s="22" t="n">
        <v>-13.801</v>
      </c>
      <c r="D130" s="22" t="n">
        <v>33.036</v>
      </c>
      <c r="E130" s="22" t="n">
        <v>24.289</v>
      </c>
      <c r="F130" s="22" t="n">
        <v>-38.519</v>
      </c>
      <c r="G130" s="22" t="n">
        <v>99.15000000000001</v>
      </c>
      <c r="H130" s="22" t="n">
        <v>-105.689</v>
      </c>
      <c r="I130" s="22" t="n">
        <v>-165.704</v>
      </c>
      <c r="J130" s="22" t="n">
        <v>17.01</v>
      </c>
      <c r="K130" s="22" t="n">
        <v>183.794</v>
      </c>
      <c r="L130" s="22" t="n">
        <v>37.415</v>
      </c>
      <c r="M130" s="22" t="n">
        <v>43.633</v>
      </c>
      <c r="N130" s="22" t="n">
        <v>-26.087</v>
      </c>
      <c r="U130" s="22" t="n">
        <v>-43.539</v>
      </c>
      <c r="V130" s="22" t="n">
        <v>-13.801</v>
      </c>
      <c r="W130" s="22" t="n">
        <v>99.15000000000001</v>
      </c>
      <c r="X130" s="22" t="n">
        <v>183.794</v>
      </c>
    </row>
    <row r="131">
      <c r="A131" s="9" t="inlineStr">
        <is>
          <t>포괄이익</t>
        </is>
      </c>
      <c r="C131" s="12" t="n">
        <v>616.338</v>
      </c>
      <c r="D131" s="12" t="n">
        <v>759.846</v>
      </c>
      <c r="E131" s="12" t="n">
        <v>622.795</v>
      </c>
      <c r="F131" s="12" t="n">
        <v>468.351</v>
      </c>
      <c r="G131" s="12" t="n">
        <v>621.635</v>
      </c>
      <c r="H131" s="12" t="n">
        <v>697.455</v>
      </c>
      <c r="I131" s="12" t="n">
        <v>409.654</v>
      </c>
      <c r="J131" s="12" t="n">
        <v>681.203</v>
      </c>
      <c r="K131" s="12" t="n">
        <v>970.88</v>
      </c>
      <c r="L131" s="12" t="n">
        <v>976.946</v>
      </c>
      <c r="M131" s="12" t="n">
        <v>836.904</v>
      </c>
      <c r="N131" s="12" t="n">
        <v>979.784</v>
      </c>
      <c r="U131" s="12" t="n">
        <v>275.69</v>
      </c>
      <c r="V131" s="12" t="n">
        <v>616.338</v>
      </c>
      <c r="W131" s="12" t="n">
        <v>621.635</v>
      </c>
      <c r="X131" s="12" t="n">
        <v>970.88</v>
      </c>
    </row>
    <row r="132">
      <c r="A132" s="9" t="inlineStr">
        <is>
          <t>지배주주 포괄이익</t>
        </is>
      </c>
      <c r="C132" s="12" t="n">
        <v>616.338</v>
      </c>
      <c r="D132" s="12" t="n">
        <v>759.846</v>
      </c>
      <c r="E132" s="12" t="n">
        <v>622.795</v>
      </c>
      <c r="F132" s="12" t="n">
        <v>468.351</v>
      </c>
      <c r="G132" s="12" t="n">
        <v>621.635</v>
      </c>
      <c r="H132" s="12" t="n">
        <v>676.217</v>
      </c>
      <c r="I132" s="12" t="n">
        <v>450.908</v>
      </c>
      <c r="J132" s="12" t="n">
        <v>678.83</v>
      </c>
      <c r="K132" s="12" t="n">
        <v>894.881</v>
      </c>
      <c r="L132" s="12" t="n">
        <v>983.393</v>
      </c>
      <c r="M132" s="12" t="n">
        <v>828.2380000000001</v>
      </c>
      <c r="N132" s="12" t="n">
        <v>991.023</v>
      </c>
      <c r="U132" s="12" t="n">
        <v>275.69</v>
      </c>
      <c r="V132" s="12" t="n">
        <v>616.338</v>
      </c>
      <c r="W132" s="12" t="n">
        <v>621.635</v>
      </c>
      <c r="X132" s="12" t="n">
        <v>894.881</v>
      </c>
    </row>
    <row r="133">
      <c r="A133" s="9" t="inlineStr">
        <is>
          <t>비지배주주 포괄이익</t>
        </is>
      </c>
      <c r="C133" s="12" t="n">
        <v>0</v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21.237</v>
      </c>
      <c r="I133" s="12" t="n">
        <v>-41.253</v>
      </c>
      <c r="J133" s="12" t="n">
        <v>2.373</v>
      </c>
      <c r="K133" s="12" t="n">
        <v>75.999</v>
      </c>
      <c r="L133" s="12" t="n">
        <v>-6.447</v>
      </c>
      <c r="M133" s="12" t="n">
        <v>8.666</v>
      </c>
      <c r="N133" s="12" t="n">
        <v>-11.238</v>
      </c>
      <c r="U133" s="12" t="n">
        <v>0</v>
      </c>
      <c r="V133" s="12" t="n">
        <v>0</v>
      </c>
      <c r="W133" s="12" t="n">
        <v>0</v>
      </c>
      <c r="X133" s="12" t="n">
        <v>75.999</v>
      </c>
    </row>
    <row r="135">
      <c r="A135" s="18" t="inlineStr">
        <is>
          <t>현금흐름표 · 전 항목</t>
        </is>
      </c>
      <c r="B135" s="44" t="inlineStr">
        <is>
          <t>분기 = 결산기 첫날부터 누계(공시 그대로)</t>
        </is>
      </c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</row>
    <row r="136">
      <c r="A136" s="5" t="inlineStr">
        <is>
          <t>항목</t>
        </is>
      </c>
      <c r="B136" s="5" t="inlineStr">
        <is>
          <t>참고</t>
        </is>
      </c>
      <c r="C136" s="5" t="inlineStr">
        <is>
          <t>2023.4Q</t>
        </is>
      </c>
      <c r="D136" s="5" t="inlineStr">
        <is>
          <t>2024.1Q</t>
        </is>
      </c>
      <c r="E136" s="5" t="inlineStr">
        <is>
          <t>2024.2Q</t>
        </is>
      </c>
      <c r="F136" s="5" t="inlineStr">
        <is>
          <t>2024.3Q</t>
        </is>
      </c>
      <c r="G136" s="5" t="inlineStr">
        <is>
          <t>2024.4Q</t>
        </is>
      </c>
      <c r="H136" s="5" t="inlineStr">
        <is>
          <t>2025.1Q</t>
        </is>
      </c>
      <c r="I136" s="5" t="inlineStr">
        <is>
          <t>2025.2Q</t>
        </is>
      </c>
      <c r="J136" s="5" t="inlineStr">
        <is>
          <t>2025.3Q</t>
        </is>
      </c>
      <c r="K136" s="5" t="inlineStr">
        <is>
          <t>2025.4Q</t>
        </is>
      </c>
      <c r="L136" s="5" t="inlineStr">
        <is>
          <t>2026.1Q</t>
        </is>
      </c>
      <c r="M136" s="5" t="inlineStr">
        <is>
          <t>2026.2Q</t>
        </is>
      </c>
      <c r="N136" s="5" t="inlineStr">
        <is>
          <t>2026.3Q</t>
        </is>
      </c>
      <c r="O136" s="5" t="inlineStr">
        <is>
          <t>2016</t>
        </is>
      </c>
      <c r="P136" s="5" t="inlineStr">
        <is>
          <t>2017</t>
        </is>
      </c>
      <c r="Q136" s="5" t="inlineStr">
        <is>
          <t>2018</t>
        </is>
      </c>
      <c r="R136" s="5" t="inlineStr">
        <is>
          <t>2019</t>
        </is>
      </c>
      <c r="S136" s="5" t="inlineStr">
        <is>
          <t>2020</t>
        </is>
      </c>
      <c r="T136" s="5" t="inlineStr">
        <is>
          <t>2021</t>
        </is>
      </c>
      <c r="U136" s="5" t="inlineStr">
        <is>
          <t>2022</t>
        </is>
      </c>
      <c r="V136" s="5" t="inlineStr">
        <is>
          <t>2023</t>
        </is>
      </c>
      <c r="W136" s="5" t="inlineStr">
        <is>
          <t>2024</t>
        </is>
      </c>
      <c r="X136" s="5" t="inlineStr">
        <is>
          <t>2025</t>
        </is>
      </c>
      <c r="Y136" s="5" t="inlineStr">
        <is>
          <t>2026(MW)</t>
        </is>
      </c>
      <c r="Z136" s="5" t="inlineStr">
        <is>
          <t>2027(MW)</t>
        </is>
      </c>
      <c r="AA136" s="5" t="inlineStr">
        <is>
          <t>2028(MW)</t>
        </is>
      </c>
      <c r="AB136" s="5" t="inlineStr">
        <is>
          <t>2029(MW)</t>
        </is>
      </c>
      <c r="AC136" s="5" t="inlineStr">
        <is>
          <t>2030(MW)</t>
        </is>
      </c>
    </row>
    <row r="137">
      <c r="A137" s="9" t="inlineStr">
        <is>
          <t>법인세차감전 순이익</t>
        </is>
      </c>
      <c r="C137" s="12" t="n">
        <v>3681.575</v>
      </c>
      <c r="E137" s="12" t="n">
        <v>1948.699</v>
      </c>
      <c r="G137" s="12" t="n">
        <v>3542.588</v>
      </c>
      <c r="I137" s="12" t="n">
        <v>2032.064</v>
      </c>
      <c r="K137" s="12" t="n">
        <v>4184.902</v>
      </c>
      <c r="M137" s="12" t="n">
        <v>2591.021</v>
      </c>
      <c r="P137" s="12" t="n">
        <v>950.597</v>
      </c>
      <c r="Q137" s="12" t="n">
        <v>1282.455</v>
      </c>
      <c r="R137" s="12" t="n">
        <v>1501.385</v>
      </c>
      <c r="S137" s="12" t="n">
        <v>2148.379</v>
      </c>
      <c r="T137" s="12" t="n">
        <v>2818.548</v>
      </c>
      <c r="U137" s="12" t="n">
        <v>3035.259</v>
      </c>
      <c r="V137" s="12" t="n">
        <v>3681.575</v>
      </c>
      <c r="W137" s="12" t="n">
        <v>3542.588</v>
      </c>
      <c r="X137" s="12" t="n">
        <v>4184.902</v>
      </c>
    </row>
    <row r="138">
      <c r="A138" s="20" t="inlineStr">
        <is>
          <t>감가상각비</t>
        </is>
      </c>
      <c r="C138" s="22" t="n">
        <v>187.645</v>
      </c>
      <c r="E138" s="22" t="n">
        <v>287.576</v>
      </c>
      <c r="G138" s="22" t="n">
        <v>908.764</v>
      </c>
      <c r="I138" s="22" t="n">
        <v>700.814</v>
      </c>
      <c r="K138" s="22" t="n">
        <v>1217.956</v>
      </c>
      <c r="M138" s="22" t="n">
        <v>146.509</v>
      </c>
      <c r="P138" s="22" t="n">
        <v>50.381</v>
      </c>
      <c r="Q138" s="22" t="n">
        <v>60.497</v>
      </c>
      <c r="R138" s="22" t="n">
        <v>71.389</v>
      </c>
      <c r="S138" s="22" t="n">
        <v>78.399</v>
      </c>
      <c r="T138" s="22" t="n">
        <v>80.703</v>
      </c>
      <c r="U138" s="22" t="n">
        <v>133.579</v>
      </c>
      <c r="V138" s="22" t="n">
        <v>187.645</v>
      </c>
      <c r="W138" s="22" t="n">
        <v>908.764</v>
      </c>
      <c r="X138" s="22" t="n">
        <v>1217.956</v>
      </c>
    </row>
    <row r="139">
      <c r="A139" s="20" t="inlineStr">
        <is>
          <t>영업권 상각</t>
        </is>
      </c>
      <c r="C139" s="22" t="n">
        <v>0</v>
      </c>
      <c r="E139" s="22" t="n">
        <v>0</v>
      </c>
      <c r="G139" s="22" t="n">
        <v>10.601</v>
      </c>
      <c r="I139" s="22" t="n">
        <v>54.887</v>
      </c>
      <c r="K139" s="22" t="n">
        <v>131.506</v>
      </c>
      <c r="M139" s="22" t="n">
        <v>61.301</v>
      </c>
      <c r="P139" s="22" t="n">
        <v>29.313</v>
      </c>
      <c r="Q139" s="22" t="n">
        <v>39.085</v>
      </c>
      <c r="R139" s="22" t="n">
        <v>39.085</v>
      </c>
      <c r="S139" s="22" t="n">
        <v>39.085</v>
      </c>
      <c r="T139" s="22" t="n">
        <v>39.085</v>
      </c>
      <c r="U139" s="22" t="n">
        <v>9.771000000000001</v>
      </c>
      <c r="V139" s="22" t="n">
        <v>0</v>
      </c>
      <c r="W139" s="22" t="n">
        <v>10.601</v>
      </c>
      <c r="X139" s="22" t="n">
        <v>131.506</v>
      </c>
    </row>
    <row r="140">
      <c r="A140" s="20" t="inlineStr">
        <is>
          <t>상여충당금 증감</t>
        </is>
      </c>
      <c r="P140" s="22" t="n">
        <v>-3.963</v>
      </c>
      <c r="Q140" s="22" t="n">
        <v>4.169</v>
      </c>
      <c r="R140" s="22" t="n">
        <v>-7.998</v>
      </c>
      <c r="S140" s="22" t="n">
        <v>0</v>
      </c>
      <c r="T140" s="22" t="n">
        <v>0</v>
      </c>
    </row>
    <row r="141">
      <c r="A141" s="20" t="inlineStr">
        <is>
          <t>대손충당금 증감</t>
        </is>
      </c>
      <c r="C141" s="22" t="n">
        <v>102.036</v>
      </c>
      <c r="E141" s="22" t="n">
        <v>45.598</v>
      </c>
      <c r="G141" s="22" t="n">
        <v>70.09399999999999</v>
      </c>
      <c r="I141" s="22" t="n">
        <v>92.096</v>
      </c>
      <c r="K141" s="22" t="n">
        <v>242.949</v>
      </c>
      <c r="M141" s="22" t="n">
        <v>92.185</v>
      </c>
      <c r="P141" s="22" t="n">
        <v>59.863</v>
      </c>
      <c r="Q141" s="22" t="n">
        <v>86.64700000000001</v>
      </c>
      <c r="R141" s="22" t="n">
        <v>119.514</v>
      </c>
      <c r="S141" s="22" t="n">
        <v>23.999</v>
      </c>
      <c r="T141" s="22" t="n">
        <v>74.90600000000001</v>
      </c>
      <c r="U141" s="22" t="n">
        <v>-43.8</v>
      </c>
      <c r="V141" s="22" t="n">
        <v>102.036</v>
      </c>
      <c r="W141" s="22" t="n">
        <v>70.09399999999999</v>
      </c>
      <c r="X141" s="22" t="n">
        <v>242.949</v>
      </c>
    </row>
    <row r="142">
      <c r="A142" s="20" t="inlineStr">
        <is>
          <t>주식급여 충당금 증감</t>
        </is>
      </c>
      <c r="C142" s="22" t="n">
        <v>7.229</v>
      </c>
      <c r="E142" s="22" t="n">
        <v>6.618</v>
      </c>
      <c r="G142" s="22" t="n">
        <v>11.242</v>
      </c>
      <c r="I142" s="22" t="n">
        <v>1.462</v>
      </c>
      <c r="K142" s="22" t="n">
        <v>6.316</v>
      </c>
      <c r="M142" s="22" t="n">
        <v>4.621</v>
      </c>
      <c r="S142" s="22" t="n">
        <v>0</v>
      </c>
      <c r="T142" s="22" t="n">
        <v>13.858</v>
      </c>
      <c r="U142" s="22" t="n">
        <v>6.5</v>
      </c>
      <c r="V142" s="22" t="n">
        <v>7.229</v>
      </c>
      <c r="W142" s="22" t="n">
        <v>11.242</v>
      </c>
      <c r="X142" s="22" t="n">
        <v>6.316</v>
      </c>
    </row>
    <row r="143">
      <c r="A143" s="20" t="inlineStr">
        <is>
          <t>임원 주식급여 충당금 증감</t>
        </is>
      </c>
      <c r="C143" s="22" t="n">
        <v>12.865</v>
      </c>
      <c r="E143" s="22" t="n">
        <v>8.460000000000001</v>
      </c>
      <c r="G143" s="22" t="n">
        <v>-2.506</v>
      </c>
      <c r="I143" s="22" t="n">
        <v>4.05</v>
      </c>
      <c r="K143" s="22" t="n">
        <v>0</v>
      </c>
      <c r="M143" s="22" t="n">
        <v>4.05</v>
      </c>
      <c r="S143" s="22" t="n">
        <v>0</v>
      </c>
      <c r="T143" s="22" t="n">
        <v>31.417</v>
      </c>
      <c r="U143" s="22" t="n">
        <v>18.34</v>
      </c>
      <c r="V143" s="22" t="n">
        <v>12.865</v>
      </c>
      <c r="W143" s="22" t="n">
        <v>-2.506</v>
      </c>
      <c r="X143" s="22" t="n">
        <v>0</v>
      </c>
    </row>
    <row r="144">
      <c r="A144" s="20" t="inlineStr">
        <is>
          <t>이자·배당금 수익</t>
        </is>
      </c>
      <c r="C144" s="22" t="n">
        <v>-0.068</v>
      </c>
      <c r="E144" s="22" t="n">
        <v>-0.035</v>
      </c>
      <c r="G144" s="22" t="n">
        <v>-0.951</v>
      </c>
      <c r="I144" s="22" t="n">
        <v>-4.155</v>
      </c>
      <c r="K144" s="22" t="n">
        <v>-30.511</v>
      </c>
      <c r="M144" s="22" t="n">
        <v>-36.169</v>
      </c>
      <c r="P144" s="22" t="n">
        <v>-0.03</v>
      </c>
      <c r="Q144" s="22" t="n">
        <v>-0.033</v>
      </c>
      <c r="R144" s="22" t="n">
        <v>-0.04</v>
      </c>
      <c r="S144" s="22" t="n">
        <v>-0.046</v>
      </c>
      <c r="T144" s="22" t="n">
        <v>-0.053</v>
      </c>
      <c r="U144" s="22" t="n">
        <v>-0.061</v>
      </c>
      <c r="V144" s="22" t="n">
        <v>-0.068</v>
      </c>
      <c r="W144" s="22" t="n">
        <v>-0.951</v>
      </c>
      <c r="X144" s="22" t="n">
        <v>-30.511</v>
      </c>
    </row>
    <row r="145">
      <c r="A145" s="20" t="inlineStr">
        <is>
          <t>주식보상비용</t>
        </is>
      </c>
      <c r="P145" s="22" t="n">
        <v>0</v>
      </c>
      <c r="Q145" s="22" t="n">
        <v>18.207</v>
      </c>
    </row>
    <row r="146">
      <c r="A146" s="20" t="inlineStr">
        <is>
          <t>단계적 취득 차손익</t>
        </is>
      </c>
      <c r="P146" s="22" t="n">
        <v>-27</v>
      </c>
      <c r="Q146" s="22" t="n">
        <v>0</v>
      </c>
    </row>
    <row r="147">
      <c r="A147" s="20" t="inlineStr">
        <is>
          <t>외환차손익</t>
        </is>
      </c>
      <c r="C147" s="22" t="n">
        <v>0</v>
      </c>
      <c r="E147" s="22" t="n">
        <v>0</v>
      </c>
      <c r="G147" s="22" t="n">
        <v>60.996</v>
      </c>
      <c r="I147" s="22" t="n">
        <v>4.847</v>
      </c>
      <c r="K147" s="22" t="n">
        <v>-19.51</v>
      </c>
      <c r="M147" s="22" t="n">
        <v>8.695</v>
      </c>
      <c r="V147" s="22" t="n">
        <v>0</v>
      </c>
      <c r="W147" s="22" t="n">
        <v>60.996</v>
      </c>
      <c r="X147" s="22" t="n">
        <v>-19.51</v>
      </c>
    </row>
    <row r="148">
      <c r="A148" s="20" t="inlineStr">
        <is>
          <t>이자비용</t>
        </is>
      </c>
      <c r="C148" s="22" t="n">
        <v>0</v>
      </c>
      <c r="E148" s="22" t="n">
        <v>0</v>
      </c>
      <c r="G148" s="22" t="n">
        <v>1.654</v>
      </c>
      <c r="I148" s="22" t="n">
        <v>18.458</v>
      </c>
      <c r="K148" s="22" t="n">
        <v>59.011</v>
      </c>
      <c r="M148" s="22" t="n">
        <v>26.862</v>
      </c>
      <c r="V148" s="22" t="n">
        <v>0</v>
      </c>
      <c r="W148" s="22" t="n">
        <v>1.654</v>
      </c>
      <c r="X148" s="22" t="n">
        <v>59.011</v>
      </c>
    </row>
    <row r="149">
      <c r="A149" s="20" t="inlineStr">
        <is>
          <t>지분법손익</t>
        </is>
      </c>
      <c r="G149" s="22" t="n">
        <v>0</v>
      </c>
      <c r="I149" s="22" t="n">
        <v>0</v>
      </c>
      <c r="K149" s="22" t="n">
        <v>48.826</v>
      </c>
      <c r="M149" s="22" t="n">
        <v>92.879</v>
      </c>
      <c r="W149" s="22" t="n">
        <v>0</v>
      </c>
      <c r="X149" s="22" t="n">
        <v>48.826</v>
      </c>
    </row>
    <row r="150">
      <c r="A150" s="20" t="inlineStr">
        <is>
          <t>투자사업조합 운용 손익(△는 이익)</t>
        </is>
      </c>
      <c r="C150" s="22" t="n">
        <v>4.524</v>
      </c>
      <c r="E150" s="22" t="n">
        <v>4.4</v>
      </c>
      <c r="G150" s="22" t="n">
        <v>18.455</v>
      </c>
      <c r="I150" s="22" t="n">
        <v>32.774</v>
      </c>
      <c r="K150" s="22" t="n">
        <v>45.325</v>
      </c>
      <c r="M150" s="22" t="n">
        <v>6.637</v>
      </c>
      <c r="S150" s="22" t="n">
        <v>0</v>
      </c>
      <c r="T150" s="22" t="n">
        <v>3.159</v>
      </c>
      <c r="U150" s="22" t="n">
        <v>4.837</v>
      </c>
      <c r="V150" s="22" t="n">
        <v>4.524</v>
      </c>
      <c r="W150" s="22" t="n">
        <v>18.455</v>
      </c>
      <c r="X150" s="22" t="n">
        <v>45.325</v>
      </c>
    </row>
    <row r="151">
      <c r="A151" s="20" t="inlineStr">
        <is>
          <t>투자유가증권 평가손익</t>
        </is>
      </c>
      <c r="C151" s="22" t="n">
        <v>8.362</v>
      </c>
      <c r="G151" s="22" t="n">
        <v>0</v>
      </c>
      <c r="T151" s="22" t="n">
        <v>0</v>
      </c>
      <c r="U151" s="22" t="n">
        <v>376.637</v>
      </c>
      <c r="V151" s="22" t="n">
        <v>8.362</v>
      </c>
      <c r="W151" s="22" t="n">
        <v>0</v>
      </c>
    </row>
    <row r="152">
      <c r="A152" s="20" t="inlineStr">
        <is>
          <t>고정자산 매각손익</t>
        </is>
      </c>
      <c r="C152" s="22" t="n">
        <v>-0.199</v>
      </c>
      <c r="E152" s="22" t="n">
        <v>-0.203</v>
      </c>
      <c r="G152" s="22" t="n">
        <v>-3.281</v>
      </c>
      <c r="I152" s="22" t="n">
        <v>-0.521</v>
      </c>
      <c r="K152" s="22" t="n">
        <v>-6.589</v>
      </c>
      <c r="M152" s="22" t="n">
        <v>-0.379</v>
      </c>
      <c r="P152" s="22" t="n">
        <v>-1.875</v>
      </c>
      <c r="Q152" s="22" t="n">
        <v>-0.125</v>
      </c>
      <c r="R152" s="22" t="n">
        <v>-0.963</v>
      </c>
      <c r="S152" s="22" t="n">
        <v>-0.343</v>
      </c>
      <c r="T152" s="22" t="n">
        <v>-1.595</v>
      </c>
      <c r="U152" s="22" t="n">
        <v>-1.027</v>
      </c>
      <c r="V152" s="22" t="n">
        <v>-0.199</v>
      </c>
      <c r="W152" s="22" t="n">
        <v>-3.281</v>
      </c>
      <c r="X152" s="22" t="n">
        <v>-6.589</v>
      </c>
    </row>
    <row r="153">
      <c r="A153" s="20" t="inlineStr">
        <is>
          <t>고정자산 제각손실</t>
        </is>
      </c>
      <c r="C153" s="22" t="n">
        <v>3.581</v>
      </c>
      <c r="E153" s="22" t="n">
        <v>0</v>
      </c>
      <c r="G153" s="22" t="n">
        <v>3.467</v>
      </c>
      <c r="I153" s="22" t="n">
        <v>0.225</v>
      </c>
      <c r="K153" s="22" t="n">
        <v>3.462</v>
      </c>
      <c r="M153" s="22" t="n">
        <v>12.365</v>
      </c>
      <c r="P153" s="22" t="n">
        <v>0.68</v>
      </c>
      <c r="Q153" s="22" t="n">
        <v>0.331</v>
      </c>
      <c r="R153" s="22" t="n">
        <v>4.537</v>
      </c>
      <c r="S153" s="22" t="n">
        <v>0</v>
      </c>
      <c r="T153" s="22" t="n">
        <v>1.447</v>
      </c>
      <c r="U153" s="22" t="n">
        <v>2.33</v>
      </c>
      <c r="V153" s="22" t="n">
        <v>3.581</v>
      </c>
      <c r="W153" s="22" t="n">
        <v>3.467</v>
      </c>
      <c r="X153" s="22" t="n">
        <v>3.462</v>
      </c>
    </row>
    <row r="154">
      <c r="A154" s="20" t="inlineStr">
        <is>
          <t>매출채권 증감</t>
        </is>
      </c>
      <c r="C154" s="22" t="n">
        <v>-1360.545</v>
      </c>
      <c r="E154" s="22" t="n">
        <v>-243.437</v>
      </c>
      <c r="G154" s="22" t="n">
        <v>727.607</v>
      </c>
      <c r="I154" s="22" t="n">
        <v>-609.196</v>
      </c>
      <c r="K154" s="22" t="n">
        <v>-881.869</v>
      </c>
      <c r="M154" s="22" t="n">
        <v>-298.157</v>
      </c>
      <c r="P154" s="22" t="n">
        <v>-713.8200000000001</v>
      </c>
      <c r="Q154" s="22" t="n">
        <v>-248.962</v>
      </c>
      <c r="R154" s="22" t="n">
        <v>-866.92</v>
      </c>
      <c r="S154" s="22" t="n">
        <v>-575.891</v>
      </c>
      <c r="T154" s="22" t="n">
        <v>-787.274</v>
      </c>
      <c r="U154" s="22" t="n">
        <v>-1176.493</v>
      </c>
      <c r="V154" s="22" t="n">
        <v>-1360.545</v>
      </c>
      <c r="W154" s="22" t="n">
        <v>727.607</v>
      </c>
      <c r="X154" s="22" t="n">
        <v>-881.869</v>
      </c>
    </row>
    <row r="155">
      <c r="A155" s="20" t="inlineStr">
        <is>
          <t>재고자산 증감</t>
        </is>
      </c>
      <c r="C155" s="22" t="n">
        <v>-567.779</v>
      </c>
      <c r="E155" s="22" t="n">
        <v>149.228</v>
      </c>
      <c r="G155" s="22" t="n">
        <v>-363.364</v>
      </c>
      <c r="I155" s="22" t="n">
        <v>-33.829</v>
      </c>
      <c r="K155" s="22" t="n">
        <v>-514.15</v>
      </c>
      <c r="M155" s="22" t="n">
        <v>285.556</v>
      </c>
      <c r="P155" s="22" t="n">
        <v>-60.571</v>
      </c>
      <c r="Q155" s="22" t="n">
        <v>-95.983</v>
      </c>
      <c r="R155" s="22" t="n">
        <v>-171.833</v>
      </c>
      <c r="S155" s="22" t="n">
        <v>-228.801</v>
      </c>
      <c r="T155" s="22" t="n">
        <v>-84.93300000000001</v>
      </c>
      <c r="U155" s="22" t="n">
        <v>-251.359</v>
      </c>
      <c r="V155" s="22" t="n">
        <v>-567.779</v>
      </c>
      <c r="W155" s="22" t="n">
        <v>-363.364</v>
      </c>
      <c r="X155" s="22" t="n">
        <v>-514.15</v>
      </c>
    </row>
    <row r="156">
      <c r="A156" s="20" t="inlineStr">
        <is>
          <t>기타 유동자산 증감</t>
        </is>
      </c>
      <c r="C156" s="22" t="n">
        <v>-151.583</v>
      </c>
      <c r="E156" s="22" t="n">
        <v>-344.625</v>
      </c>
      <c r="G156" s="22" t="n">
        <v>-56.394</v>
      </c>
      <c r="I156" s="22" t="n">
        <v>4.919</v>
      </c>
      <c r="K156" s="22" t="n">
        <v>15.098</v>
      </c>
      <c r="M156" s="22" t="n">
        <v>22.769</v>
      </c>
      <c r="P156" s="22" t="n">
        <v>4.296</v>
      </c>
      <c r="Q156" s="22" t="n">
        <v>-7.352</v>
      </c>
      <c r="R156" s="22" t="n">
        <v>-2.717</v>
      </c>
      <c r="S156" s="22" t="n">
        <v>-47.443</v>
      </c>
      <c r="T156" s="22" t="n">
        <v>-19.714</v>
      </c>
      <c r="U156" s="22" t="n">
        <v>-68.229</v>
      </c>
      <c r="V156" s="22" t="n">
        <v>-151.583</v>
      </c>
      <c r="W156" s="22" t="n">
        <v>-56.394</v>
      </c>
      <c r="X156" s="22" t="n">
        <v>15.098</v>
      </c>
    </row>
    <row r="157">
      <c r="A157" s="20" t="inlineStr">
        <is>
          <t>매입채무 증감</t>
        </is>
      </c>
      <c r="C157" s="22" t="n">
        <v>859.458</v>
      </c>
      <c r="E157" s="22" t="n">
        <v>-257.125</v>
      </c>
      <c r="G157" s="22" t="n">
        <v>786.7190000000001</v>
      </c>
      <c r="I157" s="22" t="n">
        <v>-171.188</v>
      </c>
      <c r="K157" s="22" t="n">
        <v>879.2809999999999</v>
      </c>
      <c r="M157" s="22" t="n">
        <v>-344.876</v>
      </c>
      <c r="P157" s="22" t="n">
        <v>380.682</v>
      </c>
      <c r="Q157" s="22" t="n">
        <v>404.899</v>
      </c>
      <c r="R157" s="22" t="n">
        <v>594.23</v>
      </c>
      <c r="S157" s="22" t="n">
        <v>817.889</v>
      </c>
      <c r="T157" s="22" t="n">
        <v>710.546</v>
      </c>
      <c r="U157" s="22" t="n">
        <v>699.485</v>
      </c>
      <c r="V157" s="22" t="n">
        <v>859.458</v>
      </c>
      <c r="W157" s="22" t="n">
        <v>786.7190000000001</v>
      </c>
      <c r="X157" s="22" t="n">
        <v>879.2809999999999</v>
      </c>
    </row>
    <row r="158">
      <c r="A158" s="20" t="inlineStr">
        <is>
          <t>미지급금 증감</t>
        </is>
      </c>
      <c r="C158" s="22" t="n">
        <v>-65.527</v>
      </c>
      <c r="E158" s="22" t="n">
        <v>-15.287</v>
      </c>
      <c r="G158" s="22" t="n">
        <v>63.239</v>
      </c>
      <c r="I158" s="22" t="n">
        <v>124.307</v>
      </c>
      <c r="K158" s="22" t="n">
        <v>177.031</v>
      </c>
      <c r="M158" s="22" t="n">
        <v>15.723</v>
      </c>
      <c r="P158" s="22" t="n">
        <v>-15.018</v>
      </c>
      <c r="Q158" s="22" t="n">
        <v>-76.583</v>
      </c>
      <c r="R158" s="22" t="n">
        <v>3.199</v>
      </c>
      <c r="S158" s="22" t="n">
        <v>239.747</v>
      </c>
      <c r="T158" s="22" t="n">
        <v>40.242</v>
      </c>
      <c r="U158" s="22" t="n">
        <v>10.7</v>
      </c>
      <c r="V158" s="22" t="n">
        <v>-65.527</v>
      </c>
      <c r="W158" s="22" t="n">
        <v>63.239</v>
      </c>
      <c r="X158" s="22" t="n">
        <v>177.031</v>
      </c>
    </row>
    <row r="159">
      <c r="A159" s="20" t="inlineStr">
        <is>
          <t>기타 유동부채 증감</t>
        </is>
      </c>
      <c r="C159" s="22" t="n">
        <v>158.721</v>
      </c>
      <c r="E159" s="22" t="n">
        <v>71.422</v>
      </c>
      <c r="G159" s="22" t="n">
        <v>5.706</v>
      </c>
      <c r="I159" s="22" t="n">
        <v>-37.11</v>
      </c>
      <c r="K159" s="22" t="n">
        <v>65.13800000000001</v>
      </c>
      <c r="M159" s="22" t="n">
        <v>10.711</v>
      </c>
      <c r="P159" s="22" t="n">
        <v>11.569</v>
      </c>
      <c r="Q159" s="22" t="n">
        <v>106.438</v>
      </c>
      <c r="R159" s="22" t="n">
        <v>70.80500000000001</v>
      </c>
      <c r="S159" s="22" t="n">
        <v>15.702</v>
      </c>
      <c r="T159" s="22" t="n">
        <v>100.454</v>
      </c>
      <c r="U159" s="22" t="n">
        <v>-91.771</v>
      </c>
      <c r="V159" s="22" t="n">
        <v>158.721</v>
      </c>
      <c r="W159" s="22" t="n">
        <v>5.706</v>
      </c>
      <c r="X159" s="22" t="n">
        <v>65.13800000000001</v>
      </c>
    </row>
    <row r="160">
      <c r="A160" s="20" t="inlineStr">
        <is>
          <t>기타</t>
        </is>
      </c>
      <c r="C160" s="22" t="n">
        <v>-1.116</v>
      </c>
      <c r="E160" s="22" t="n">
        <v>0.03</v>
      </c>
      <c r="G160" s="22" t="n">
        <v>-0.878</v>
      </c>
      <c r="I160" s="22" t="n">
        <v>8.321999999999999</v>
      </c>
      <c r="K160" s="22" t="n">
        <v>-73.20099999999999</v>
      </c>
      <c r="M160" s="22" t="n">
        <v>-2.151</v>
      </c>
      <c r="P160" s="22" t="n">
        <v>-1.444</v>
      </c>
      <c r="Q160" s="22" t="n">
        <v>11.037</v>
      </c>
      <c r="R160" s="22" t="n">
        <v>-14.853</v>
      </c>
      <c r="S160" s="22" t="n">
        <v>-0.052</v>
      </c>
      <c r="T160" s="22" t="n">
        <v>1.609</v>
      </c>
      <c r="U160" s="22" t="n">
        <v>-1.339</v>
      </c>
      <c r="V160" s="22" t="n">
        <v>-1.116</v>
      </c>
      <c r="W160" s="22" t="n">
        <v>-0.878</v>
      </c>
      <c r="X160" s="22" t="n">
        <v>-73.20099999999999</v>
      </c>
    </row>
    <row r="161">
      <c r="A161" s="20" t="inlineStr">
        <is>
          <t>소계</t>
        </is>
      </c>
      <c r="C161" s="22" t="n">
        <v>2879.179</v>
      </c>
      <c r="E161" s="22" t="n">
        <v>1661.318</v>
      </c>
      <c r="G161" s="22" t="n">
        <v>5783.759</v>
      </c>
      <c r="I161" s="22" t="n">
        <v>2223.231</v>
      </c>
      <c r="K161" s="22" t="n">
        <v>5550.976</v>
      </c>
      <c r="M161" s="22" t="n">
        <v>2700.156</v>
      </c>
      <c r="P161" s="22" t="n">
        <v>663.6609999999999</v>
      </c>
      <c r="Q161" s="22" t="n">
        <v>1566.518</v>
      </c>
      <c r="R161" s="22" t="n">
        <v>1338.82</v>
      </c>
      <c r="S161" s="22" t="n">
        <v>2510.624</v>
      </c>
      <c r="T161" s="22" t="n">
        <v>3022.409</v>
      </c>
      <c r="U161" s="22" t="n">
        <v>2663.358</v>
      </c>
      <c r="V161" s="22" t="n">
        <v>2879.179</v>
      </c>
      <c r="W161" s="22" t="n">
        <v>5783.759</v>
      </c>
      <c r="X161" s="22" t="n">
        <v>5550.976</v>
      </c>
    </row>
    <row r="162">
      <c r="A162" s="20" t="inlineStr">
        <is>
          <t>이자·배당금 수취</t>
        </is>
      </c>
      <c r="C162" s="22" t="n">
        <v>0.068</v>
      </c>
      <c r="E162" s="22" t="n">
        <v>0.035</v>
      </c>
      <c r="G162" s="22" t="n">
        <v>0.52</v>
      </c>
      <c r="I162" s="22" t="n">
        <v>3.355</v>
      </c>
      <c r="K162" s="22" t="n">
        <v>9.781000000000001</v>
      </c>
      <c r="M162" s="22" t="n">
        <v>34.921</v>
      </c>
      <c r="P162" s="22" t="n">
        <v>0.032</v>
      </c>
      <c r="Q162" s="22" t="n">
        <v>0.034</v>
      </c>
      <c r="R162" s="22" t="n">
        <v>0.036</v>
      </c>
      <c r="S162" s="22" t="n">
        <v>0.046</v>
      </c>
      <c r="T162" s="22" t="n">
        <v>0.054</v>
      </c>
      <c r="U162" s="22" t="n">
        <v>0.061</v>
      </c>
      <c r="V162" s="22" t="n">
        <v>0.068</v>
      </c>
      <c r="W162" s="22" t="n">
        <v>0.52</v>
      </c>
      <c r="X162" s="22" t="n">
        <v>9.781000000000001</v>
      </c>
    </row>
    <row r="163">
      <c r="A163" s="20" t="inlineStr">
        <is>
          <t>이자 지급</t>
        </is>
      </c>
      <c r="C163" s="22" t="n">
        <v>0</v>
      </c>
      <c r="E163" s="22" t="n">
        <v>0</v>
      </c>
      <c r="G163" s="22" t="n">
        <v>-1.654</v>
      </c>
      <c r="I163" s="22" t="n">
        <v>-18.458</v>
      </c>
      <c r="K163" s="22" t="n">
        <v>-59.011</v>
      </c>
      <c r="M163" s="22" t="n">
        <v>-26.862</v>
      </c>
      <c r="V163" s="22" t="n">
        <v>0</v>
      </c>
      <c r="W163" s="22" t="n">
        <v>-1.654</v>
      </c>
      <c r="X163" s="22" t="n">
        <v>-59.011</v>
      </c>
    </row>
    <row r="164">
      <c r="A164" s="20" t="inlineStr">
        <is>
          <t>법인세 납부</t>
        </is>
      </c>
      <c r="C164" s="22" t="n">
        <v>-1098.465</v>
      </c>
      <c r="E164" s="22" t="n">
        <v>-689.087</v>
      </c>
      <c r="G164" s="22" t="n">
        <v>-1282.565</v>
      </c>
      <c r="I164" s="22" t="n">
        <v>-623.557</v>
      </c>
      <c r="K164" s="22" t="n">
        <v>-1215.994</v>
      </c>
      <c r="M164" s="22" t="n">
        <v>-862.337</v>
      </c>
      <c r="P164" s="22" t="n">
        <v>-345.788</v>
      </c>
      <c r="Q164" s="22" t="n">
        <v>-375.525</v>
      </c>
      <c r="R164" s="22" t="n">
        <v>-559.654</v>
      </c>
      <c r="S164" s="22" t="n">
        <v>-562.912</v>
      </c>
      <c r="T164" s="22" t="n">
        <v>-916.265</v>
      </c>
      <c r="U164" s="22" t="n">
        <v>-1081.977</v>
      </c>
      <c r="V164" s="22" t="n">
        <v>-1098.465</v>
      </c>
      <c r="W164" s="22" t="n">
        <v>-1282.565</v>
      </c>
      <c r="X164" s="22" t="n">
        <v>-1215.994</v>
      </c>
    </row>
    <row r="165">
      <c r="A165" s="9" t="inlineStr">
        <is>
          <t>영업활동 현금흐름</t>
        </is>
      </c>
      <c r="C165" s="12" t="n">
        <v>1780.782</v>
      </c>
      <c r="E165" s="12" t="n">
        <v>972.266</v>
      </c>
      <c r="G165" s="12" t="n">
        <v>4500.06</v>
      </c>
      <c r="I165" s="12" t="n">
        <v>1584.571</v>
      </c>
      <c r="K165" s="12" t="n">
        <v>4285.75</v>
      </c>
      <c r="M165" s="12" t="n">
        <v>1845.878</v>
      </c>
      <c r="P165" s="12" t="n">
        <v>317.905</v>
      </c>
      <c r="Q165" s="12" t="n">
        <v>1191.027</v>
      </c>
      <c r="R165" s="12" t="n">
        <v>779.201</v>
      </c>
      <c r="S165" s="12" t="n">
        <v>1947.758</v>
      </c>
      <c r="T165" s="12" t="n">
        <v>2106.198</v>
      </c>
      <c r="U165" s="12" t="n">
        <v>1581.443</v>
      </c>
      <c r="V165" s="12" t="n">
        <v>1780.782</v>
      </c>
      <c r="W165" s="12" t="n">
        <v>4500.06</v>
      </c>
      <c r="X165" s="12" t="n">
        <v>4285.75</v>
      </c>
    </row>
    <row r="166">
      <c r="A166" s="20" t="inlineStr">
        <is>
          <t>정기예금 예입</t>
        </is>
      </c>
      <c r="C166" s="22" t="n">
        <v>-24.292</v>
      </c>
      <c r="E166" s="22" t="n">
        <v>-24.292</v>
      </c>
      <c r="G166" s="22" t="n">
        <v>-24.292</v>
      </c>
      <c r="I166" s="22" t="n">
        <v>-24.293</v>
      </c>
      <c r="K166" s="22" t="n">
        <v>-24.293</v>
      </c>
      <c r="M166" s="22" t="n">
        <v>-24.328</v>
      </c>
      <c r="P166" s="22" t="n">
        <v>-24.283</v>
      </c>
      <c r="Q166" s="22" t="n">
        <v>-24.285</v>
      </c>
      <c r="R166" s="22" t="n">
        <v>-24.287</v>
      </c>
      <c r="S166" s="22" t="n">
        <v>-24.289</v>
      </c>
      <c r="T166" s="22" t="n">
        <v>-24.291</v>
      </c>
      <c r="U166" s="22" t="n">
        <v>-24.291</v>
      </c>
      <c r="V166" s="22" t="n">
        <v>-24.292</v>
      </c>
      <c r="W166" s="22" t="n">
        <v>-24.292</v>
      </c>
      <c r="X166" s="22" t="n">
        <v>-24.293</v>
      </c>
    </row>
    <row r="167">
      <c r="A167" s="20" t="inlineStr">
        <is>
          <t>정기예금 인출</t>
        </is>
      </c>
      <c r="C167" s="22" t="n">
        <v>24.291</v>
      </c>
      <c r="E167" s="22" t="n">
        <v>24.292</v>
      </c>
      <c r="G167" s="22" t="n">
        <v>24.292</v>
      </c>
      <c r="I167" s="22" t="n">
        <v>24.292</v>
      </c>
      <c r="K167" s="22" t="n">
        <v>24.292</v>
      </c>
      <c r="M167" s="22" t="n">
        <v>24.293</v>
      </c>
      <c r="P167" s="22" t="n">
        <v>24.279</v>
      </c>
      <c r="Q167" s="22" t="n">
        <v>24.283</v>
      </c>
      <c r="R167" s="22" t="n">
        <v>24.285</v>
      </c>
      <c r="S167" s="22" t="n">
        <v>24.287</v>
      </c>
      <c r="T167" s="22" t="n">
        <v>24.289</v>
      </c>
      <c r="U167" s="22" t="n">
        <v>24.291</v>
      </c>
      <c r="V167" s="22" t="n">
        <v>24.291</v>
      </c>
      <c r="W167" s="22" t="n">
        <v>24.292</v>
      </c>
      <c r="X167" s="22" t="n">
        <v>24.292</v>
      </c>
    </row>
    <row r="168">
      <c r="A168" s="20" t="inlineStr">
        <is>
          <t>유형자산 취득(설비투자)</t>
        </is>
      </c>
      <c r="C168" s="22" t="n">
        <v>-143.24</v>
      </c>
      <c r="E168" s="22" t="n">
        <v>-254.28</v>
      </c>
      <c r="G168" s="22" t="n">
        <v>-876.2859999999999</v>
      </c>
      <c r="I168" s="22" t="n">
        <v>-634.075</v>
      </c>
      <c r="K168" s="22" t="n">
        <v>-1107.407</v>
      </c>
      <c r="M168" s="22" t="n">
        <v>-370.215</v>
      </c>
      <c r="P168" s="22" t="n">
        <v>-48.375</v>
      </c>
      <c r="Q168" s="22" t="n">
        <v>-35.287</v>
      </c>
      <c r="R168" s="22" t="n">
        <v>-36.659</v>
      </c>
      <c r="S168" s="22" t="n">
        <v>-43.49</v>
      </c>
      <c r="T168" s="22" t="n">
        <v>-56.644</v>
      </c>
      <c r="U168" s="22" t="n">
        <v>-318.395</v>
      </c>
      <c r="V168" s="22" t="n">
        <v>-143.24</v>
      </c>
      <c r="W168" s="22" t="n">
        <v>-876.2859999999999</v>
      </c>
      <c r="X168" s="22" t="n">
        <v>-1107.407</v>
      </c>
    </row>
    <row r="169">
      <c r="A169" s="20" t="inlineStr">
        <is>
          <t>유형자산 매각</t>
        </is>
      </c>
      <c r="C169" s="22" t="n">
        <v>0.219</v>
      </c>
      <c r="E169" s="22" t="n">
        <v>0.203</v>
      </c>
      <c r="G169" s="22" t="n">
        <v>0.336</v>
      </c>
      <c r="I169" s="22" t="n">
        <v>4.196</v>
      </c>
      <c r="K169" s="22" t="n">
        <v>11.775</v>
      </c>
      <c r="M169" s="22" t="n">
        <v>1.582</v>
      </c>
      <c r="P169" s="22" t="n">
        <v>3.719</v>
      </c>
      <c r="Q169" s="22" t="n">
        <v>0.125</v>
      </c>
      <c r="R169" s="22" t="n">
        <v>1.3</v>
      </c>
      <c r="S169" s="22" t="n">
        <v>2.518</v>
      </c>
      <c r="T169" s="22" t="n">
        <v>1.967</v>
      </c>
      <c r="U169" s="22" t="n">
        <v>1.463</v>
      </c>
      <c r="V169" s="22" t="n">
        <v>0.219</v>
      </c>
      <c r="W169" s="22" t="n">
        <v>0.336</v>
      </c>
      <c r="X169" s="22" t="n">
        <v>11.775</v>
      </c>
    </row>
    <row r="170">
      <c r="A170" s="20" t="inlineStr">
        <is>
          <t>투자유가증권 취득</t>
        </is>
      </c>
      <c r="C170" s="22" t="n">
        <v>-1474.87</v>
      </c>
      <c r="E170" s="22" t="n">
        <v>-107.296</v>
      </c>
      <c r="G170" s="22" t="n">
        <v>-353.68</v>
      </c>
      <c r="I170" s="22" t="n">
        <v>-199.108</v>
      </c>
      <c r="K170" s="22" t="n">
        <v>-212.858</v>
      </c>
      <c r="M170" s="22" t="n">
        <v>-19.817</v>
      </c>
      <c r="P170" s="22" t="n">
        <v>0</v>
      </c>
      <c r="Q170" s="22" t="n">
        <v>-67.66</v>
      </c>
      <c r="R170" s="22" t="n">
        <v>-70.602</v>
      </c>
      <c r="S170" s="22" t="n">
        <v>-550</v>
      </c>
      <c r="T170" s="22" t="n">
        <v>-267.891</v>
      </c>
      <c r="U170" s="22" t="n">
        <v>-210.766</v>
      </c>
      <c r="V170" s="22" t="n">
        <v>-1474.87</v>
      </c>
      <c r="W170" s="22" t="n">
        <v>-353.68</v>
      </c>
      <c r="X170" s="22" t="n">
        <v>-212.858</v>
      </c>
    </row>
    <row r="171">
      <c r="A171" s="20" t="inlineStr">
        <is>
          <t>연결범위 변경 자회사 주식 취득</t>
        </is>
      </c>
      <c r="C171" s="22" t="n">
        <v>0</v>
      </c>
      <c r="E171" s="22" t="n">
        <v>0</v>
      </c>
      <c r="G171" s="22" t="n">
        <v>-867.236</v>
      </c>
      <c r="I171" s="22" t="n">
        <v>-1080.575</v>
      </c>
      <c r="K171" s="22" t="n">
        <v>-1082.019</v>
      </c>
      <c r="M171" s="22" t="n">
        <v>0</v>
      </c>
      <c r="P171" s="22" t="n">
        <v>-160.689</v>
      </c>
      <c r="Q171" s="22" t="n">
        <v>0</v>
      </c>
      <c r="V171" s="22" t="n">
        <v>0</v>
      </c>
      <c r="W171" s="22" t="n">
        <v>-867.236</v>
      </c>
      <c r="X171" s="22" t="n">
        <v>-1082.019</v>
      </c>
    </row>
    <row r="172">
      <c r="A172" s="20" t="inlineStr">
        <is>
          <t>무형자산 취득</t>
        </is>
      </c>
      <c r="C172" s="22" t="n">
        <v>-52.278</v>
      </c>
      <c r="E172" s="22" t="n">
        <v>-11.2</v>
      </c>
      <c r="G172" s="22" t="n">
        <v>-19.815</v>
      </c>
      <c r="I172" s="22" t="n">
        <v>-8.795</v>
      </c>
      <c r="K172" s="22" t="n">
        <v>-30.395</v>
      </c>
      <c r="M172" s="22" t="n">
        <v>-16.5</v>
      </c>
      <c r="P172" s="22" t="n">
        <v>-25.95</v>
      </c>
      <c r="Q172" s="22" t="n">
        <v>-67.18899999999999</v>
      </c>
      <c r="R172" s="22" t="n">
        <v>-33.617</v>
      </c>
      <c r="S172" s="22" t="n">
        <v>-43.91</v>
      </c>
      <c r="T172" s="22" t="n">
        <v>-21.344</v>
      </c>
      <c r="U172" s="22" t="n">
        <v>-28.907</v>
      </c>
      <c r="V172" s="22" t="n">
        <v>-52.278</v>
      </c>
      <c r="W172" s="22" t="n">
        <v>-19.815</v>
      </c>
      <c r="X172" s="22" t="n">
        <v>-30.395</v>
      </c>
    </row>
    <row r="173">
      <c r="A173" s="20" t="inlineStr">
        <is>
          <t>임차보증금 납입</t>
        </is>
      </c>
      <c r="C173" s="22" t="n">
        <v>-12.654</v>
      </c>
      <c r="E173" s="22" t="n">
        <v>-16.727</v>
      </c>
      <c r="G173" s="22" t="n">
        <v>-18.853</v>
      </c>
      <c r="I173" s="22" t="n">
        <v>-45.298</v>
      </c>
      <c r="K173" s="22" t="n">
        <v>-57.728</v>
      </c>
      <c r="M173" s="22" t="n">
        <v>-9.545999999999999</v>
      </c>
      <c r="P173" s="22" t="n">
        <v>-7.568</v>
      </c>
      <c r="Q173" s="22" t="n">
        <v>-7.596</v>
      </c>
      <c r="R173" s="22" t="n">
        <v>-12.029</v>
      </c>
      <c r="S173" s="22" t="n">
        <v>-14.369</v>
      </c>
      <c r="T173" s="22" t="n">
        <v>-12.116</v>
      </c>
      <c r="U173" s="22" t="n">
        <v>-70.236</v>
      </c>
      <c r="V173" s="22" t="n">
        <v>-12.654</v>
      </c>
      <c r="W173" s="22" t="n">
        <v>-18.853</v>
      </c>
      <c r="X173" s="22" t="n">
        <v>-57.728</v>
      </c>
    </row>
    <row r="174">
      <c r="A174" s="20" t="inlineStr">
        <is>
          <t>임차보증금 회수</t>
        </is>
      </c>
      <c r="C174" s="22" t="n">
        <v>21.714</v>
      </c>
      <c r="E174" s="22" t="n">
        <v>0.336</v>
      </c>
      <c r="G174" s="22" t="n">
        <v>5.813</v>
      </c>
      <c r="I174" s="22" t="n">
        <v>0.208</v>
      </c>
      <c r="K174" s="22" t="n">
        <v>0.227</v>
      </c>
      <c r="M174" s="22" t="n">
        <v>0.488</v>
      </c>
      <c r="R174" s="22" t="n">
        <v>0</v>
      </c>
      <c r="S174" s="22" t="n">
        <v>0.419</v>
      </c>
      <c r="T174" s="22" t="n">
        <v>0.66</v>
      </c>
      <c r="U174" s="22" t="n">
        <v>2.677</v>
      </c>
      <c r="V174" s="22" t="n">
        <v>21.714</v>
      </c>
      <c r="W174" s="22" t="n">
        <v>5.813</v>
      </c>
      <c r="X174" s="22" t="n">
        <v>0.227</v>
      </c>
    </row>
    <row r="175">
      <c r="A175" s="20" t="inlineStr">
        <is>
          <t>대여금 회수</t>
        </is>
      </c>
      <c r="G175" s="22" t="n">
        <v>0</v>
      </c>
      <c r="K175" s="22" t="n">
        <v>19</v>
      </c>
      <c r="W175" s="22" t="n">
        <v>0</v>
      </c>
      <c r="X175" s="22" t="n">
        <v>19</v>
      </c>
    </row>
    <row r="176">
      <c r="A176" s="20" t="inlineStr">
        <is>
          <t>대여</t>
        </is>
      </c>
      <c r="C176" s="22" t="n">
        <v>0</v>
      </c>
      <c r="G176" s="22" t="n">
        <v>-99</v>
      </c>
      <c r="K176" s="22" t="n">
        <v>-865.28</v>
      </c>
      <c r="V176" s="22" t="n">
        <v>0</v>
      </c>
      <c r="W176" s="22" t="n">
        <v>-99</v>
      </c>
      <c r="X176" s="22" t="n">
        <v>-865.28</v>
      </c>
    </row>
    <row r="177">
      <c r="A177" s="20" t="inlineStr">
        <is>
          <t>기타</t>
        </is>
      </c>
      <c r="C177" s="22" t="n">
        <v>-0.047</v>
      </c>
      <c r="E177" s="22" t="n">
        <v>-1.443</v>
      </c>
      <c r="G177" s="22" t="n">
        <v>-4.788</v>
      </c>
      <c r="I177" s="22" t="n">
        <v>-12.174</v>
      </c>
      <c r="K177" s="22" t="n">
        <v>-60.816</v>
      </c>
      <c r="M177" s="22" t="n">
        <v>40.806</v>
      </c>
      <c r="P177" s="22" t="n">
        <v>1.029</v>
      </c>
      <c r="Q177" s="22" t="n">
        <v>1.261</v>
      </c>
      <c r="R177" s="22" t="n">
        <v>-0.289</v>
      </c>
      <c r="S177" s="22" t="n">
        <v>0.504</v>
      </c>
      <c r="T177" s="22" t="n">
        <v>-2.306</v>
      </c>
      <c r="U177" s="22" t="n">
        <v>-0.347</v>
      </c>
      <c r="V177" s="22" t="n">
        <v>-0.047</v>
      </c>
      <c r="W177" s="22" t="n">
        <v>-4.788</v>
      </c>
      <c r="X177" s="22" t="n">
        <v>-60.816</v>
      </c>
    </row>
    <row r="178">
      <c r="A178" s="9" t="inlineStr">
        <is>
          <t>투자활동 현금흐름</t>
        </is>
      </c>
      <c r="C178" s="12" t="n">
        <v>-1661.156</v>
      </c>
      <c r="E178" s="12" t="n">
        <v>-390.407</v>
      </c>
      <c r="G178" s="12" t="n">
        <v>-2233.51</v>
      </c>
      <c r="I178" s="12" t="n">
        <v>-1975.624</v>
      </c>
      <c r="K178" s="12" t="n">
        <v>-3385.505</v>
      </c>
      <c r="M178" s="12" t="n">
        <v>-373.236</v>
      </c>
      <c r="P178" s="12" t="n">
        <v>-237.838</v>
      </c>
      <c r="Q178" s="12" t="n">
        <v>-176.349</v>
      </c>
      <c r="R178" s="12" t="n">
        <v>-151.9</v>
      </c>
      <c r="S178" s="12" t="n">
        <v>-648.329</v>
      </c>
      <c r="T178" s="12" t="n">
        <v>-357.677</v>
      </c>
      <c r="U178" s="12" t="n">
        <v>-624.513</v>
      </c>
      <c r="V178" s="12" t="n">
        <v>-1661.156</v>
      </c>
      <c r="W178" s="12" t="n">
        <v>-2233.51</v>
      </c>
      <c r="X178" s="12" t="n">
        <v>-3385.505</v>
      </c>
    </row>
    <row r="179">
      <c r="A179" s="20" t="inlineStr">
        <is>
          <t>주식 발행</t>
        </is>
      </c>
      <c r="P179" s="22" t="n">
        <v>7.14</v>
      </c>
      <c r="Q179" s="22" t="n">
        <v>15.66</v>
      </c>
      <c r="R179" s="22" t="n">
        <v>0</v>
      </c>
    </row>
    <row r="180">
      <c r="A180" s="20" t="inlineStr">
        <is>
          <t>자기주식 취득</t>
        </is>
      </c>
      <c r="P180" s="22" t="n">
        <v>-0.089</v>
      </c>
      <c r="Q180" s="22" t="n">
        <v>-0.092</v>
      </c>
      <c r="R180" s="22" t="n">
        <v>0</v>
      </c>
      <c r="S180" s="22" t="n">
        <v>-0.081</v>
      </c>
      <c r="T180" s="22" t="n">
        <v>-196.869</v>
      </c>
    </row>
    <row r="181">
      <c r="A181" s="20" t="inlineStr">
        <is>
          <t>단기차입금 순증감</t>
        </is>
      </c>
      <c r="C181" s="22" t="n">
        <v>0</v>
      </c>
      <c r="G181" s="22" t="n">
        <v>-60.961</v>
      </c>
      <c r="K181" s="22" t="n">
        <v>143.158</v>
      </c>
      <c r="V181" s="22" t="n">
        <v>0</v>
      </c>
      <c r="W181" s="22" t="n">
        <v>-60.961</v>
      </c>
      <c r="X181" s="22" t="n">
        <v>143.158</v>
      </c>
    </row>
    <row r="182">
      <c r="A182" s="20" t="inlineStr">
        <is>
          <t>단기차입금 증감</t>
        </is>
      </c>
      <c r="E182" s="22" t="n">
        <v>0</v>
      </c>
      <c r="I182" s="22" t="n">
        <v>93.48399999999999</v>
      </c>
      <c r="M182" s="22" t="n">
        <v>-49.39</v>
      </c>
    </row>
    <row r="183">
      <c r="A183" s="20" t="inlineStr">
        <is>
          <t>장기차입금 상환</t>
        </is>
      </c>
      <c r="E183" s="22" t="n">
        <v>0</v>
      </c>
      <c r="I183" s="22" t="n">
        <v>-51.116</v>
      </c>
      <c r="M183" s="22" t="n">
        <v>-4.345</v>
      </c>
    </row>
    <row r="184">
      <c r="A184" s="20" t="inlineStr">
        <is>
          <t>장기차입</t>
        </is>
      </c>
      <c r="G184" s="22" t="n">
        <v>0</v>
      </c>
      <c r="I184" s="22" t="n">
        <v>0</v>
      </c>
      <c r="K184" s="22" t="n">
        <v>-170.295</v>
      </c>
      <c r="M184" s="22" t="n">
        <v>16.154</v>
      </c>
      <c r="W184" s="22" t="n">
        <v>0</v>
      </c>
      <c r="X184" s="22" t="n">
        <v>-170.295</v>
      </c>
    </row>
    <row r="185">
      <c r="A185" s="20" t="inlineStr">
        <is>
          <t>자기주식 증감액</t>
        </is>
      </c>
      <c r="C185" s="22" t="n">
        <v>-0.028</v>
      </c>
      <c r="G185" s="22" t="n">
        <v>0</v>
      </c>
      <c r="I185" s="22" t="n">
        <v>0</v>
      </c>
      <c r="M185" s="22" t="n">
        <v>-0.011</v>
      </c>
      <c r="T185" s="22" t="n">
        <v>-196.869</v>
      </c>
      <c r="U185" s="22" t="n">
        <v>3.093</v>
      </c>
      <c r="V185" s="22" t="n">
        <v>-0.028</v>
      </c>
      <c r="W185" s="22" t="n">
        <v>0</v>
      </c>
    </row>
    <row r="186">
      <c r="A186" s="20" t="inlineStr">
        <is>
          <t>연결범위 변경 없는 자회사 주식 취득</t>
        </is>
      </c>
      <c r="E186" s="22" t="n">
        <v>0</v>
      </c>
      <c r="G186" s="22" t="n">
        <v>0</v>
      </c>
      <c r="I186" s="22" t="n">
        <v>-88.681</v>
      </c>
      <c r="K186" s="22" t="n">
        <v>-91.011</v>
      </c>
      <c r="M186" s="22" t="n">
        <v>-0.33</v>
      </c>
      <c r="W186" s="22" t="n">
        <v>0</v>
      </c>
      <c r="X186" s="22" t="n">
        <v>-91.011</v>
      </c>
    </row>
    <row r="187">
      <c r="A187" s="20" t="inlineStr">
        <is>
          <t>배당금 지급</t>
        </is>
      </c>
      <c r="C187" s="22" t="n">
        <v>-665.755</v>
      </c>
      <c r="E187" s="22" t="n">
        <v>-787.7089999999999</v>
      </c>
      <c r="G187" s="22" t="n">
        <v>-788.1369999999999</v>
      </c>
      <c r="I187" s="22" t="n">
        <v>-774.349</v>
      </c>
      <c r="K187" s="22" t="n">
        <v>-787.753</v>
      </c>
      <c r="M187" s="22" t="n">
        <v>-908.924</v>
      </c>
      <c r="P187" s="22" t="n">
        <v>-89.039</v>
      </c>
      <c r="Q187" s="22" t="n">
        <v>-119.486</v>
      </c>
      <c r="R187" s="22" t="n">
        <v>-211.766</v>
      </c>
      <c r="S187" s="22" t="n">
        <v>-272.44</v>
      </c>
      <c r="T187" s="22" t="n">
        <v>-415.976</v>
      </c>
      <c r="U187" s="22" t="n">
        <v>-554.748</v>
      </c>
      <c r="V187" s="22" t="n">
        <v>-665.755</v>
      </c>
      <c r="W187" s="22" t="n">
        <v>-788.1369999999999</v>
      </c>
      <c r="X187" s="22" t="n">
        <v>-787.753</v>
      </c>
    </row>
    <row r="188">
      <c r="A188" s="20" t="inlineStr">
        <is>
          <t>리스부채 상환</t>
        </is>
      </c>
      <c r="C188" s="22" t="n">
        <v>-1.302</v>
      </c>
      <c r="E188" s="22" t="n">
        <v>-0.434</v>
      </c>
      <c r="G188" s="22" t="n">
        <v>-0.434</v>
      </c>
      <c r="I188" s="22" t="n">
        <v>-0.335</v>
      </c>
      <c r="K188" s="22" t="n">
        <v>-0.959</v>
      </c>
      <c r="M188" s="22" t="n">
        <v>-0.873</v>
      </c>
      <c r="Q188" s="22" t="n">
        <v>0</v>
      </c>
      <c r="R188" s="22" t="n">
        <v>-0.858</v>
      </c>
      <c r="S188" s="22" t="n">
        <v>-1.302</v>
      </c>
      <c r="T188" s="22" t="n">
        <v>-1.302</v>
      </c>
      <c r="U188" s="22" t="n">
        <v>-1.302</v>
      </c>
      <c r="V188" s="22" t="n">
        <v>-1.302</v>
      </c>
      <c r="W188" s="22" t="n">
        <v>-0.434</v>
      </c>
      <c r="X188" s="22" t="n">
        <v>-0.959</v>
      </c>
    </row>
    <row r="189">
      <c r="A189" s="9" t="inlineStr">
        <is>
          <t>재무활동 현금흐름</t>
        </is>
      </c>
      <c r="C189" s="12" t="n">
        <v>-667.086</v>
      </c>
      <c r="E189" s="12" t="n">
        <v>-788.144</v>
      </c>
      <c r="G189" s="12" t="n">
        <v>-849.533</v>
      </c>
      <c r="I189" s="12" t="n">
        <v>-820.998</v>
      </c>
      <c r="K189" s="12" t="n">
        <v>-906.861</v>
      </c>
      <c r="M189" s="12" t="n">
        <v>-947.721</v>
      </c>
      <c r="P189" s="12" t="n">
        <v>-81.989</v>
      </c>
      <c r="Q189" s="12" t="n">
        <v>-103.919</v>
      </c>
      <c r="R189" s="12" t="n">
        <v>-212.625</v>
      </c>
      <c r="S189" s="12" t="n">
        <v>-273.824</v>
      </c>
      <c r="T189" s="12" t="n">
        <v>-614.149</v>
      </c>
      <c r="U189" s="12" t="n">
        <v>-552.958</v>
      </c>
      <c r="V189" s="12" t="n">
        <v>-667.086</v>
      </c>
      <c r="W189" s="12" t="n">
        <v>-849.533</v>
      </c>
      <c r="X189" s="12" t="n">
        <v>-906.861</v>
      </c>
    </row>
    <row r="190">
      <c r="A190" s="20" t="inlineStr">
        <is>
          <t>현금성자산 환산차이</t>
        </is>
      </c>
      <c r="C190" s="22" t="n">
        <v>0</v>
      </c>
      <c r="E190" s="22" t="n">
        <v>0</v>
      </c>
      <c r="G190" s="22" t="n">
        <v>-56.181</v>
      </c>
      <c r="I190" s="22" t="n">
        <v>-19.215</v>
      </c>
      <c r="K190" s="22" t="n">
        <v>2.627</v>
      </c>
      <c r="M190" s="22" t="n">
        <v>13.079</v>
      </c>
      <c r="V190" s="22" t="n">
        <v>0</v>
      </c>
      <c r="W190" s="22" t="n">
        <v>-56.181</v>
      </c>
      <c r="X190" s="22" t="n">
        <v>2.627</v>
      </c>
    </row>
    <row r="191">
      <c r="A191" s="20" t="inlineStr">
        <is>
          <t>현금성자산 증감</t>
        </is>
      </c>
      <c r="C191" s="22" t="n">
        <v>-547.461</v>
      </c>
      <c r="E191" s="22" t="n">
        <v>-206.285</v>
      </c>
      <c r="G191" s="22" t="n">
        <v>1360.834</v>
      </c>
      <c r="I191" s="22" t="n">
        <v>-1231.266</v>
      </c>
      <c r="K191" s="22" t="n">
        <v>-3.988</v>
      </c>
      <c r="M191" s="22" t="n">
        <v>538</v>
      </c>
      <c r="P191" s="22" t="n">
        <v>-1.922</v>
      </c>
      <c r="Q191" s="22" t="n">
        <v>910.758</v>
      </c>
      <c r="R191" s="22" t="n">
        <v>414.676</v>
      </c>
      <c r="S191" s="22" t="n">
        <v>1025.604</v>
      </c>
      <c r="T191" s="22" t="n">
        <v>1134.371</v>
      </c>
      <c r="U191" s="22" t="n">
        <v>403.971</v>
      </c>
      <c r="V191" s="22" t="n">
        <v>-547.461</v>
      </c>
      <c r="W191" s="22" t="n">
        <v>1360.834</v>
      </c>
      <c r="X191" s="22" t="n">
        <v>-3.988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6099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2025.3Q</t>
        </is>
      </c>
      <c r="D3" s="5" t="inlineStr">
        <is>
          <t>2025.4Q</t>
        </is>
      </c>
      <c r="E3" s="5" t="inlineStr">
        <is>
          <t>2026.1Q</t>
        </is>
      </c>
      <c r="F3" s="5" t="inlineStr">
        <is>
          <t>2026.2Q</t>
        </is>
      </c>
      <c r="G3" s="5" t="inlineStr">
        <is>
          <t>2026.3Q</t>
        </is>
      </c>
      <c r="H3" s="6" t="inlineStr">
        <is>
          <t>2021</t>
        </is>
      </c>
      <c r="I3" s="5" t="inlineStr">
        <is>
          <t>2022</t>
        </is>
      </c>
      <c r="J3" s="5" t="inlineStr">
        <is>
          <t>2023</t>
        </is>
      </c>
      <c r="K3" s="5" t="inlineStr">
        <is>
          <t>2024</t>
        </is>
      </c>
      <c r="L3" s="5" t="inlineStr">
        <is>
          <t>2025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16315.068</v>
      </c>
      <c r="D5" s="12" t="n">
        <v>18535.104</v>
      </c>
      <c r="E5" s="12" t="n">
        <v>16531.157</v>
      </c>
      <c r="F5" s="12" t="n">
        <v>17818.794</v>
      </c>
      <c r="G5" s="12" t="n">
        <v>19848.105</v>
      </c>
      <c r="H5" s="11" t="n">
        <v>12129.983</v>
      </c>
      <c r="I5" s="12" t="n">
        <v>14075.718</v>
      </c>
      <c r="J5" s="12" t="n">
        <v>14824.602</v>
      </c>
      <c r="K5" s="12" t="n">
        <v>15706.366</v>
      </c>
      <c r="L5" s="12" t="n">
        <v>18535.104</v>
      </c>
    </row>
    <row r="6">
      <c r="A6" s="20" t="inlineStr">
        <is>
          <t>현금및현금성자산</t>
        </is>
      </c>
      <c r="B6" s="10" t="n"/>
      <c r="C6" s="21" t="n">
        <v>5134.732</v>
      </c>
      <c r="D6" s="22" t="n">
        <v>6845.41</v>
      </c>
      <c r="E6" s="22" t="n">
        <v>5626.419</v>
      </c>
      <c r="F6" s="22" t="n">
        <v>7383.445</v>
      </c>
      <c r="G6" s="22" t="n">
        <v>8065.488</v>
      </c>
      <c r="H6" s="21" t="n">
        <v>5632.051</v>
      </c>
      <c r="I6" s="22" t="n">
        <v>6036.023</v>
      </c>
      <c r="J6" s="22" t="n">
        <v>4731.318</v>
      </c>
      <c r="K6" s="22" t="n">
        <v>5740.501</v>
      </c>
      <c r="L6" s="22" t="n">
        <v>6845.41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  <c r="K7" s="22" t="n">
        <v>0</v>
      </c>
      <c r="L7" s="22" t="n"/>
    </row>
    <row r="8">
      <c r="A8" s="20" t="inlineStr">
        <is>
          <t>매출채권</t>
        </is>
      </c>
      <c r="B8" s="10" t="n"/>
      <c r="C8" s="21" t="n"/>
      <c r="D8" s="22" t="n">
        <v>6597.977</v>
      </c>
      <c r="E8" s="22" t="n"/>
      <c r="F8" s="22" t="n"/>
      <c r="G8" s="22" t="n"/>
      <c r="H8" s="21" t="n">
        <v>3891.204</v>
      </c>
      <c r="I8" s="22" t="n">
        <v>4246.702</v>
      </c>
      <c r="J8" s="22" t="n">
        <v>4947.793</v>
      </c>
      <c r="K8" s="22" t="n">
        <v>5760.126</v>
      </c>
      <c r="L8" s="22" t="n">
        <v>6597.977</v>
      </c>
    </row>
    <row r="9">
      <c r="A9" s="20" t="inlineStr">
        <is>
          <t>재고자산</t>
        </is>
      </c>
      <c r="B9" s="10" t="n"/>
      <c r="C9" s="21" t="n">
        <v>2637.613</v>
      </c>
      <c r="D9" s="22" t="n">
        <v>2966.119</v>
      </c>
      <c r="E9" s="22" t="n">
        <v>1599.787</v>
      </c>
      <c r="F9" s="22" t="n">
        <v>1586.819</v>
      </c>
      <c r="G9" s="22" t="n">
        <v>1624.419</v>
      </c>
      <c r="H9" s="21" t="n">
        <v>1080.287</v>
      </c>
      <c r="I9" s="22" t="n">
        <v>1331.646</v>
      </c>
      <c r="J9" s="22" t="n">
        <v>1899.335</v>
      </c>
      <c r="K9" s="22" t="n">
        <v>2215.516</v>
      </c>
      <c r="L9" s="22" t="n">
        <v>2966.119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7604.337</v>
      </c>
      <c r="D11" s="12" t="n">
        <v>8039.9</v>
      </c>
      <c r="E11" s="12" t="n">
        <v>9233.834000000001</v>
      </c>
      <c r="F11" s="12" t="n">
        <v>9329.870000000001</v>
      </c>
      <c r="G11" s="12" t="n">
        <v>8706.192999999999</v>
      </c>
      <c r="H11" s="11" t="n">
        <v>1817.816</v>
      </c>
      <c r="I11" s="12" t="n">
        <v>1996.431</v>
      </c>
      <c r="J11" s="12" t="n">
        <v>3653.234</v>
      </c>
      <c r="K11" s="12" t="n">
        <v>4943.901</v>
      </c>
      <c r="L11" s="12" t="n">
        <v>8039.9</v>
      </c>
    </row>
    <row r="12">
      <c r="A12" s="20" t="inlineStr">
        <is>
          <t>유형자산</t>
        </is>
      </c>
      <c r="B12" s="10" t="n"/>
      <c r="C12" s="21" t="n">
        <v>1359.287</v>
      </c>
      <c r="D12" s="22" t="n">
        <v>1386.404</v>
      </c>
      <c r="E12" s="22" t="n">
        <v>2662.037</v>
      </c>
      <c r="F12" s="22" t="n">
        <v>2765.163</v>
      </c>
      <c r="G12" s="22" t="n">
        <v>2795.419</v>
      </c>
      <c r="H12" s="21" t="n">
        <v>341.085</v>
      </c>
      <c r="I12" s="22" t="n">
        <v>561.475</v>
      </c>
      <c r="J12" s="22" t="n">
        <v>529.491</v>
      </c>
      <c r="K12" s="22" t="n">
        <v>520.7670000000001</v>
      </c>
      <c r="L12" s="22" t="n">
        <v>1386.404</v>
      </c>
    </row>
    <row r="13">
      <c r="A13" s="20" t="inlineStr">
        <is>
          <t>무형자산</t>
        </is>
      </c>
      <c r="B13" s="10" t="n"/>
      <c r="C13" s="21" t="n">
        <v>1832.12</v>
      </c>
      <c r="D13" s="22" t="n">
        <v>2182.941</v>
      </c>
      <c r="E13" s="22" t="n">
        <v>2163.307</v>
      </c>
      <c r="F13" s="22" t="n">
        <v>2138.358</v>
      </c>
      <c r="G13" s="22" t="n">
        <v>1925.27</v>
      </c>
      <c r="H13" s="21" t="n">
        <v>105.421</v>
      </c>
      <c r="I13" s="22" t="n">
        <v>92.47199999999999</v>
      </c>
      <c r="J13" s="22" t="n">
        <v>108.878</v>
      </c>
      <c r="K13" s="22" t="n">
        <v>102.058</v>
      </c>
      <c r="L13" s="22" t="n">
        <v>2182.941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23919.406</v>
      </c>
      <c r="D16" s="12" t="n">
        <v>26575.004</v>
      </c>
      <c r="E16" s="12" t="n">
        <v>25764.992</v>
      </c>
      <c r="F16" s="12" t="n">
        <v>27148.665</v>
      </c>
      <c r="G16" s="12" t="n">
        <v>28554.299</v>
      </c>
      <c r="H16" s="11" t="n">
        <v>13947.8</v>
      </c>
      <c r="I16" s="12" t="n">
        <v>16072.15</v>
      </c>
      <c r="J16" s="12" t="n">
        <v>18477.837</v>
      </c>
      <c r="K16" s="12" t="n">
        <v>20650.268</v>
      </c>
      <c r="L16" s="12" t="n">
        <v>26575.004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9569.571</v>
      </c>
      <c r="D18" s="12" t="n">
        <v>11054.363</v>
      </c>
      <c r="E18" s="12" t="n">
        <v>10388.171</v>
      </c>
      <c r="F18" s="12" t="n">
        <v>10842.659</v>
      </c>
      <c r="G18" s="12" t="n">
        <v>11326.279</v>
      </c>
      <c r="H18" s="11" t="n">
        <v>6417.063</v>
      </c>
      <c r="I18" s="12" t="n">
        <v>7011.89</v>
      </c>
      <c r="J18" s="12" t="n">
        <v>8076.965</v>
      </c>
      <c r="K18" s="12" t="n">
        <v>8602.571</v>
      </c>
      <c r="L18" s="12" t="n">
        <v>11054.363</v>
      </c>
    </row>
    <row r="19">
      <c r="A19" s="20" t="inlineStr">
        <is>
          <t>매입채무</t>
        </is>
      </c>
      <c r="B19" s="10" t="n"/>
      <c r="C19" s="21" t="n">
        <v>7610.637</v>
      </c>
      <c r="D19" s="22" t="n">
        <v>8384.308000000001</v>
      </c>
      <c r="E19" s="22" t="n">
        <v>8115.348</v>
      </c>
      <c r="F19" s="22" t="n">
        <v>8031.937</v>
      </c>
      <c r="G19" s="22" t="n">
        <v>8555.49</v>
      </c>
      <c r="H19" s="21" t="n">
        <v>4868.493</v>
      </c>
      <c r="I19" s="22" t="n">
        <v>5567.979</v>
      </c>
      <c r="J19" s="22" t="n">
        <v>6420.617</v>
      </c>
      <c r="K19" s="22" t="n">
        <v>7181.024</v>
      </c>
      <c r="L19" s="22" t="n">
        <v>8384.308000000001</v>
      </c>
    </row>
    <row r="20">
      <c r="A20" s="20" t="inlineStr">
        <is>
          <t>단기차입금</t>
        </is>
      </c>
      <c r="B20" s="10" t="n"/>
      <c r="C20" s="21" t="n">
        <v>322.96</v>
      </c>
      <c r="D20" s="22" t="n">
        <v>365.474</v>
      </c>
      <c r="E20" s="22" t="n">
        <v>350.983</v>
      </c>
      <c r="F20" s="22" t="n">
        <v>305.072</v>
      </c>
      <c r="G20" s="22" t="n">
        <v>350.774</v>
      </c>
      <c r="H20" s="21" t="n"/>
      <c r="I20" s="22" t="n"/>
      <c r="J20" s="22" t="n">
        <v>0</v>
      </c>
      <c r="K20" s="22" t="n">
        <v>0</v>
      </c>
      <c r="L20" s="22" t="n">
        <v>365.474</v>
      </c>
    </row>
    <row r="21">
      <c r="A21" s="20" t="inlineStr">
        <is>
          <t>유동성장기부채</t>
        </is>
      </c>
      <c r="B21" s="10" t="n"/>
      <c r="C21" s="21" t="n"/>
      <c r="D21" s="22" t="n">
        <v>97.325</v>
      </c>
      <c r="E21" s="22" t="n">
        <v>173.432</v>
      </c>
      <c r="F21" s="22" t="n">
        <v>175.364</v>
      </c>
      <c r="G21" s="22" t="n">
        <v>172.038</v>
      </c>
      <c r="H21" s="21" t="n"/>
      <c r="I21" s="22" t="n"/>
      <c r="J21" s="22" t="n"/>
      <c r="K21" s="22" t="n"/>
      <c r="L21" s="22" t="n">
        <v>97.325</v>
      </c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614.5</v>
      </c>
      <c r="D23" s="12" t="n">
        <v>658.066</v>
      </c>
      <c r="E23" s="12" t="n">
        <v>446.014</v>
      </c>
      <c r="F23" s="12" t="n">
        <v>535.3049999999999</v>
      </c>
      <c r="G23" s="12" t="n">
        <v>477.398</v>
      </c>
      <c r="H23" s="11" t="n">
        <v>47.013</v>
      </c>
      <c r="I23" s="12" t="n">
        <v>70.551</v>
      </c>
      <c r="J23" s="12" t="n">
        <v>89.999</v>
      </c>
      <c r="K23" s="12" t="n">
        <v>95.22</v>
      </c>
      <c r="L23" s="12" t="n">
        <v>658.066</v>
      </c>
    </row>
    <row r="24">
      <c r="A24" s="20" t="inlineStr">
        <is>
          <t>장기차입금</t>
        </is>
      </c>
      <c r="B24" s="10" t="n"/>
      <c r="C24" s="21" t="n">
        <v>414.566</v>
      </c>
      <c r="D24" s="22" t="n">
        <v>365.827</v>
      </c>
      <c r="E24" s="22" t="n">
        <v>160.782</v>
      </c>
      <c r="F24" s="22" t="n">
        <v>251.572</v>
      </c>
      <c r="G24" s="22" t="n">
        <v>198.187</v>
      </c>
      <c r="H24" s="21" t="n"/>
      <c r="I24" s="22" t="n"/>
      <c r="J24" s="22" t="n">
        <v>0</v>
      </c>
      <c r="K24" s="22" t="n">
        <v>76.617</v>
      </c>
      <c r="L24" s="22" t="n">
        <v>365.827</v>
      </c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10184.071</v>
      </c>
      <c r="D27" s="12" t="n">
        <v>11712.429</v>
      </c>
      <c r="E27" s="12" t="n">
        <v>10834.185</v>
      </c>
      <c r="F27" s="12" t="n">
        <v>11377.964</v>
      </c>
      <c r="G27" s="12" t="n">
        <v>11803.677</v>
      </c>
      <c r="H27" s="11" t="n">
        <v>6464.077</v>
      </c>
      <c r="I27" s="12" t="n">
        <v>7082.441</v>
      </c>
      <c r="J27" s="12" t="n">
        <v>8166.964</v>
      </c>
      <c r="K27" s="12" t="n">
        <v>8697.791999999999</v>
      </c>
      <c r="L27" s="12" t="n">
        <v>11712.429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13540.953</v>
      </c>
      <c r="D31" s="12" t="n">
        <v>14443.513</v>
      </c>
      <c r="E31" s="12" t="n">
        <v>14518.193</v>
      </c>
      <c r="F31" s="12" t="n">
        <v>15349.421</v>
      </c>
      <c r="G31" s="12" t="n">
        <v>16340.58</v>
      </c>
      <c r="H31" s="11" t="n">
        <v>7483.722</v>
      </c>
      <c r="I31" s="12" t="n">
        <v>8989.708000000001</v>
      </c>
      <c r="J31" s="12" t="n">
        <v>10310.873</v>
      </c>
      <c r="K31" s="12" t="n">
        <v>11952.476</v>
      </c>
      <c r="L31" s="12" t="n">
        <v>14443.513</v>
      </c>
    </row>
    <row r="32">
      <c r="A32" s="20" t="inlineStr">
        <is>
          <t>자본금</t>
        </is>
      </c>
      <c r="B32" s="10" t="n"/>
      <c r="C32" s="21" t="n">
        <v>573.496</v>
      </c>
      <c r="D32" s="22" t="n">
        <v>573.496</v>
      </c>
      <c r="E32" s="22" t="n">
        <v>573.496</v>
      </c>
      <c r="F32" s="22" t="n">
        <v>573.496</v>
      </c>
      <c r="G32" s="22" t="n">
        <v>573.496</v>
      </c>
      <c r="H32" s="21" t="n">
        <v>573.496</v>
      </c>
      <c r="I32" s="22" t="n">
        <v>573.496</v>
      </c>
      <c r="J32" s="22" t="n">
        <v>573.496</v>
      </c>
      <c r="K32" s="22" t="n">
        <v>573.496</v>
      </c>
      <c r="L32" s="22" t="n">
        <v>573.496</v>
      </c>
    </row>
    <row r="33">
      <c r="A33" s="20" t="inlineStr">
        <is>
          <t>이익잉여금</t>
        </is>
      </c>
      <c r="B33" s="10" t="n"/>
      <c r="C33" s="21" t="n">
        <v>12765.644</v>
      </c>
      <c r="D33" s="22" t="n">
        <v>13511.101</v>
      </c>
      <c r="E33" s="22" t="n">
        <v>13551.975</v>
      </c>
      <c r="F33" s="22" t="n">
        <v>14340.195</v>
      </c>
      <c r="G33" s="22" t="n">
        <v>15353.265</v>
      </c>
      <c r="H33" s="21" t="n">
        <v>6574.561</v>
      </c>
      <c r="I33" s="22" t="n">
        <v>8111.868</v>
      </c>
      <c r="J33" s="22" t="n">
        <v>9460.527</v>
      </c>
      <c r="K33" s="22" t="n">
        <v>11027.258</v>
      </c>
      <c r="L33" s="22" t="n">
        <v>13511.101</v>
      </c>
    </row>
    <row r="34">
      <c r="A34" s="20" t="inlineStr">
        <is>
          <t>비지배지분</t>
        </is>
      </c>
      <c r="B34" s="10" t="n"/>
      <c r="C34" s="21" t="n">
        <v>194.381</v>
      </c>
      <c r="D34" s="22" t="n">
        <v>419.061</v>
      </c>
      <c r="E34" s="22" t="n">
        <v>412.614</v>
      </c>
      <c r="F34" s="22" t="n">
        <v>421.28</v>
      </c>
      <c r="G34" s="22" t="n">
        <v>410.041</v>
      </c>
      <c r="H34" s="21" t="n"/>
      <c r="I34" s="22" t="n"/>
      <c r="J34" s="22" t="n"/>
      <c r="K34" s="22" t="n">
        <v>0</v>
      </c>
      <c r="L34" s="22" t="n">
        <v>419.061</v>
      </c>
    </row>
    <row r="35">
      <c r="A35" s="9" t="inlineStr">
        <is>
          <t>자본총계</t>
        </is>
      </c>
      <c r="B35" s="10" t="n"/>
      <c r="C35" s="11" t="n">
        <v>13735.334</v>
      </c>
      <c r="D35" s="12" t="n">
        <v>14862.574</v>
      </c>
      <c r="E35" s="12" t="n">
        <v>14930.807</v>
      </c>
      <c r="F35" s="12" t="n">
        <v>15770.701</v>
      </c>
      <c r="G35" s="12" t="n">
        <v>16750.621</v>
      </c>
      <c r="H35" s="11" t="n">
        <v>7483.722</v>
      </c>
      <c r="I35" s="12" t="n">
        <v>8989.708000000001</v>
      </c>
      <c r="J35" s="12" t="n">
        <v>10310.873</v>
      </c>
      <c r="K35" s="12" t="n">
        <v>11952.476</v>
      </c>
      <c r="L35" s="12" t="n">
        <v>14862.574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/>
      <c r="D37" s="12" t="n">
        <v>4285.75</v>
      </c>
      <c r="E37" s="12" t="n"/>
      <c r="F37" s="12" t="n">
        <v>4547.057</v>
      </c>
      <c r="G37" s="12" t="n"/>
      <c r="H37" s="11" t="n">
        <v>2106.198</v>
      </c>
      <c r="I37" s="12" t="n">
        <v>1581.443</v>
      </c>
      <c r="J37" s="12" t="n">
        <v>1780.782</v>
      </c>
      <c r="K37" s="12" t="n">
        <v>4500.06</v>
      </c>
      <c r="L37" s="12" t="n">
        <v>4285.75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>
        <v>1137.802</v>
      </c>
      <c r="E38" s="22" t="n"/>
      <c r="F38" s="22" t="n">
        <v>881.647</v>
      </c>
      <c r="G38" s="22" t="n"/>
      <c r="H38" s="21" t="n">
        <v>77.988</v>
      </c>
      <c r="I38" s="22" t="n">
        <v>347.302</v>
      </c>
      <c r="J38" s="22" t="n">
        <v>195.518</v>
      </c>
      <c r="K38" s="22" t="n">
        <v>896.101</v>
      </c>
      <c r="L38" s="22" t="n">
        <v>1137.802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>
        <v>787.753</v>
      </c>
      <c r="E40" s="22" t="n"/>
      <c r="F40" s="22" t="n">
        <v>922.328</v>
      </c>
      <c r="G40" s="22" t="n"/>
      <c r="H40" s="21" t="n">
        <v>415.976</v>
      </c>
      <c r="I40" s="22" t="n">
        <v>554.748</v>
      </c>
      <c r="J40" s="22" t="n">
        <v>665.755</v>
      </c>
      <c r="K40" s="22" t="n">
        <v>788.1369999999999</v>
      </c>
      <c r="L40" s="22" t="n">
        <v>787.753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IFERROR((IF(COUNT('연간'!G19:J19)&lt;4,"",SUM('연간'!G19:J19)))/(IF(COUNT('연간'!G41:J41)&lt;4,"",SUM('연간'!G41:J41))),"")</f>
        <v/>
      </c>
      <c r="D48" s="33">
        <f>IFERROR((IF(COUNT('연간'!H19:K19)&lt;4,"",SUM('연간'!H19:K19)))/(IF(COUNT('연간'!H41:K41)&lt;4,"",SUM('연간'!H41:K41))),"")</f>
        <v/>
      </c>
      <c r="E48" s="33">
        <f>IFERROR((IF(COUNT('연간'!I19:L19)&lt;4,"",SUM('연간'!I19:L19)))/(IF(COUNT('연간'!I41:L41)&lt;4,"",SUM('연간'!I41:L41))),"")</f>
        <v/>
      </c>
      <c r="F48" s="33">
        <f>IFERROR((IF(COUNT('연간'!J19:M19)&lt;4,"",SUM('연간'!J19:M19)))/(IF(COUNT('연간'!J41:M41)&lt;4,"",SUM('연간'!J41:M41))),"")</f>
        <v/>
      </c>
      <c r="G48" s="33">
        <f>IFERROR((IF(COUNT('연간'!K19:N19)&lt;4,"",SUM('연간'!K19:N19)))/(IF(COUNT('연간'!K41:N41)&lt;4,"",SUM('연간'!K41:N41))),"")</f>
        <v/>
      </c>
      <c r="H48" s="32">
        <f>IFERROR(('연간'!T19)/('연간'!T41),"")</f>
        <v/>
      </c>
      <c r="I48" s="33">
        <f>IFERROR(('연간'!U19)/('연간'!U41),"")</f>
        <v/>
      </c>
      <c r="J48" s="33">
        <f>IFERROR(('연간'!V19)/('연간'!V41),"")</f>
        <v/>
      </c>
      <c r="K48" s="33">
        <f>IFERROR(('연간'!W19)/('연간'!W41),"")</f>
        <v/>
      </c>
      <c r="L48" s="33">
        <f>IFERROR(('연간'!X19)/('연간'!X41),"")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IFERROR(IF((IF(COUNT('연간'!G49:J49)&lt;4,"",SUM('연간'!G49:J49)))&lt;=0,"적자",C28/(IF(COUNT('연간'!G49:J49)&lt;4,"",SUM('연간'!G49:J49)))),"")</f>
        <v/>
      </c>
      <c r="D49" s="49">
        <f>IFERROR(IF((IF(COUNT('연간'!H49:K49)&lt;4,"",SUM('연간'!H49:K49)))&lt;=0,"적자",D28/(IF(COUNT('연간'!H49:K49)&lt;4,"",SUM('연간'!H49:K49)))),"")</f>
        <v/>
      </c>
      <c r="E49" s="49">
        <f>IFERROR(IF((IF(COUNT('연간'!I49:L49)&lt;4,"",SUM('연간'!I49:L49)))&lt;=0,"적자",E28/(IF(COUNT('연간'!I49:L49)&lt;4,"",SUM('연간'!I49:L49)))),"")</f>
        <v/>
      </c>
      <c r="F49" s="49">
        <f>IFERROR(IF((IF(COUNT('연간'!J49:M49)&lt;4,"",SUM('연간'!J49:M49)))&lt;=0,"적자",F28/(IF(COUNT('연간'!J49:M49)&lt;4,"",SUM('연간'!J49:M49)))),"")</f>
        <v/>
      </c>
      <c r="G49" s="49">
        <f>IFERROR(IF((IF(COUNT('연간'!K49:N49)&lt;4,"",SUM('연간'!K49:N49)))&lt;=0,"적자",G28/(IF(COUNT('연간'!K49:N49)&lt;4,"",SUM('연간'!K49:N49)))),"")</f>
        <v/>
      </c>
      <c r="H49" s="48">
        <f>IFERROR(IF(('연간'!T49)&lt;=0,"적자",H28/('연간'!T49)),"")</f>
        <v/>
      </c>
      <c r="I49" s="49">
        <f>IFERROR(IF(('연간'!U49)&lt;=0,"적자",I28/('연간'!U49)),"")</f>
        <v/>
      </c>
      <c r="J49" s="49">
        <f>IFERROR(IF(('연간'!V49)&lt;=0,"적자",J28/('연간'!V49)),"")</f>
        <v/>
      </c>
      <c r="K49" s="49">
        <f>IFERROR(IF(('연간'!W49)&lt;=0,"적자",K28/('연간'!W49)),"")</f>
        <v/>
      </c>
      <c r="L49" s="49">
        <f>IFERROR(IF(('연간'!X49)&lt;=0,"적자",L28/('연간'!X49)),"")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IFERROR((IF(COUNT('연간'!G49:J49)&lt;4,"",SUM('연간'!G49:J49)))/C31,"")</f>
        <v/>
      </c>
      <c r="D51" s="38">
        <f>IFERROR((IF(COUNT('연간'!H49:K49)&lt;4,"",SUM('연간'!H49:K49)))/D31,"")</f>
        <v/>
      </c>
      <c r="E51" s="38">
        <f>IFERROR((IF(COUNT('연간'!I49:L49)&lt;4,"",SUM('연간'!I49:L49)))/E31,"")</f>
        <v/>
      </c>
      <c r="F51" s="38">
        <f>IFERROR((IF(COUNT('연간'!J49:M49)&lt;4,"",SUM('연간'!J49:M49)))/F31,"")</f>
        <v/>
      </c>
      <c r="G51" s="38">
        <f>IFERROR((IF(COUNT('연간'!K49:N49)&lt;4,"",SUM('연간'!K49:N49)))/G31,"")</f>
        <v/>
      </c>
      <c r="H51" s="37">
        <f>IFERROR(('연간'!T49)/H31,"")</f>
        <v/>
      </c>
      <c r="I51" s="38">
        <f>IFERROR(('연간'!U49)/I31,"")</f>
        <v/>
      </c>
      <c r="J51" s="38">
        <f>IFERROR(('연간'!V49)/J31,"")</f>
        <v/>
      </c>
      <c r="K51" s="38">
        <f>IFERROR(('연간'!W49)/K31,"")</f>
        <v/>
      </c>
      <c r="L51" s="38">
        <f>IFERROR(('연간'!X49)/L31,"")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IFERROR((IF(COUNT('연간'!G47:J47)&lt;4,"",SUM('연간'!G47:J47)))/C16,"")</f>
        <v/>
      </c>
      <c r="D52" s="38">
        <f>IFERROR((IF(COUNT('연간'!H47:K47)&lt;4,"",SUM('연간'!H47:K47)))/D16,"")</f>
        <v/>
      </c>
      <c r="E52" s="38">
        <f>IFERROR((IF(COUNT('연간'!I47:L47)&lt;4,"",SUM('연간'!I47:L47)))/E16,"")</f>
        <v/>
      </c>
      <c r="F52" s="38">
        <f>IFERROR((IF(COUNT('연간'!J47:M47)&lt;4,"",SUM('연간'!J47:M47)))/F16,"")</f>
        <v/>
      </c>
      <c r="G52" s="38">
        <f>IFERROR((IF(COUNT('연간'!K47:N47)&lt;4,"",SUM('연간'!K47:N47)))/G16,"")</f>
        <v/>
      </c>
      <c r="H52" s="37">
        <f>IFERROR(('연간'!T47)/H16,"")</f>
        <v/>
      </c>
      <c r="I52" s="38">
        <f>IFERROR(('연간'!U47)/I16,"")</f>
        <v/>
      </c>
      <c r="J52" s="38">
        <f>IFERROR(('연간'!V47)/J16,"")</f>
        <v/>
      </c>
      <c r="K52" s="38">
        <f>IFERROR(('연간'!W47)/K16,"")</f>
        <v/>
      </c>
      <c r="L52" s="38">
        <f>IFERROR(('연간'!X47)/L16,"")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IFERROR((IF(COUNT('연간'!G19:J19)&lt;4,"",SUM('연간'!G19:J19)))*(1-0.3)/(C35+C29),"")</f>
        <v/>
      </c>
      <c r="D53" s="38">
        <f>IFERROR((IF(COUNT('연간'!H19:K19)&lt;4,"",SUM('연간'!H19:K19)))*(1-0.3)/(D35+D29),"")</f>
        <v/>
      </c>
      <c r="E53" s="38">
        <f>IFERROR((IF(COUNT('연간'!I19:L19)&lt;4,"",SUM('연간'!I19:L19)))*(1-0.3)/(E35+E29),"")</f>
        <v/>
      </c>
      <c r="F53" s="38">
        <f>IFERROR((IF(COUNT('연간'!J19:M19)&lt;4,"",SUM('연간'!J19:M19)))*(1-0.3)/(F35+F29),"")</f>
        <v/>
      </c>
      <c r="G53" s="38">
        <f>IFERROR((IF(COUNT('연간'!K19:N19)&lt;4,"",SUM('연간'!K19:N19)))*(1-0.3)/(G35+G29),"")</f>
        <v/>
      </c>
      <c r="H53" s="37">
        <f>IFERROR(('연간'!T19)*(1-0.3)/(H35+H29),"")</f>
        <v/>
      </c>
      <c r="I53" s="38">
        <f>IFERROR(('연간'!U19)*(1-0.3)/(I35+I29),"")</f>
        <v/>
      </c>
      <c r="J53" s="38">
        <f>IFERROR(('연간'!V19)*(1-0.3)/(J35+J29),"")</f>
        <v/>
      </c>
      <c r="K53" s="38">
        <f>IFERROR(('연간'!W19)*(1-0.3)/(K35+K29),"")</f>
        <v/>
      </c>
      <c r="L53" s="38">
        <f>IFERROR(('연간'!X19)*(1-0.3)/(L35+L29),"")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IFERROR((IF(COUNT('연간'!G13:J13)&lt;4,"",SUM('연간'!G13:J13)))/(IF(COUNT('연간'!G4:J4)&lt;4,"",SUM('연간'!G4:J4))),"")</f>
        <v/>
      </c>
      <c r="D54" s="38">
        <f>IFERROR((IF(COUNT('연간'!H13:K13)&lt;4,"",SUM('연간'!H13:K13)))/(IF(COUNT('연간'!H4:K4)&lt;4,"",SUM('연간'!H4:K4))),"")</f>
        <v/>
      </c>
      <c r="E54" s="38">
        <f>IFERROR((IF(COUNT('연간'!I13:L13)&lt;4,"",SUM('연간'!I13:L13)))/(IF(COUNT('연간'!I4:L4)&lt;4,"",SUM('연간'!I4:L4))),"")</f>
        <v/>
      </c>
      <c r="F54" s="38">
        <f>IFERROR((IF(COUNT('연간'!J13:M13)&lt;4,"",SUM('연간'!J13:M13)))/(IF(COUNT('연간'!J4:M4)&lt;4,"",SUM('연간'!J4:M4))),"")</f>
        <v/>
      </c>
      <c r="G54" s="38">
        <f>IFERROR((IF(COUNT('연간'!K13:N13)&lt;4,"",SUM('연간'!K13:N13)))/(IF(COUNT('연간'!K4:N4)&lt;4,"",SUM('연간'!K4:N4))),"")</f>
        <v/>
      </c>
      <c r="H54" s="37">
        <f>IFERROR(('연간'!T13)/('연간'!T4),"")</f>
        <v/>
      </c>
      <c r="I54" s="38">
        <f>IFERROR(('연간'!U13)/('연간'!U4),"")</f>
        <v/>
      </c>
      <c r="J54" s="38">
        <f>IFERROR(('연간'!V13)/('연간'!V4),"")</f>
        <v/>
      </c>
      <c r="K54" s="38">
        <f>IFERROR(('연간'!W13)/('연간'!W4),"")</f>
        <v/>
      </c>
      <c r="L54" s="38">
        <f>IFERROR(('연간'!X13)/('연간'!X4),"")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IFERROR((IF(COUNT('연간'!G19:J19)&lt;4,"",SUM('연간'!G19:J19)))/(IF(COUNT('연간'!G4:J4)&lt;4,"",SUM('연간'!G4:J4))),"")</f>
        <v/>
      </c>
      <c r="D55" s="38">
        <f>IFERROR((IF(COUNT('연간'!H19:K19)&lt;4,"",SUM('연간'!H19:K19)))/(IF(COUNT('연간'!H4:K4)&lt;4,"",SUM('연간'!H4:K4))),"")</f>
        <v/>
      </c>
      <c r="E55" s="38">
        <f>IFERROR((IF(COUNT('연간'!I19:L19)&lt;4,"",SUM('연간'!I19:L19)))/(IF(COUNT('연간'!I4:L4)&lt;4,"",SUM('연간'!I4:L4))),"")</f>
        <v/>
      </c>
      <c r="F55" s="38">
        <f>IFERROR((IF(COUNT('연간'!J19:M19)&lt;4,"",SUM('연간'!J19:M19)))/(IF(COUNT('연간'!J4:M4)&lt;4,"",SUM('연간'!J4:M4))),"")</f>
        <v/>
      </c>
      <c r="G55" s="38">
        <f>IFERROR((IF(COUNT('연간'!K19:N19)&lt;4,"",SUM('연간'!K19:N19)))/(IF(COUNT('연간'!K4:N4)&lt;4,"",SUM('연간'!K4:N4))),"")</f>
        <v/>
      </c>
      <c r="H55" s="37">
        <f>IFERROR(('연간'!T19)/('연간'!T4),"")</f>
        <v/>
      </c>
      <c r="I55" s="38">
        <f>IFERROR(('연간'!U19)/('연간'!U4),"")</f>
        <v/>
      </c>
      <c r="J55" s="38">
        <f>IFERROR(('연간'!V19)/('연간'!V4),"")</f>
        <v/>
      </c>
      <c r="K55" s="38">
        <f>IFERROR(('연간'!W19)/('연간'!W4),"")</f>
        <v/>
      </c>
      <c r="L55" s="38">
        <f>IFERROR(('연간'!X19)/('연간'!X4),"")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IFERROR((IF(COUNT('연간'!G47:J47)&lt;4,"",SUM('연간'!G47:J47)))/(IF(COUNT('연간'!G4:J4)&lt;4,"",SUM('연간'!G4:J4))),"")</f>
        <v/>
      </c>
      <c r="D56" s="38">
        <f>IFERROR((IF(COUNT('연간'!H47:K47)&lt;4,"",SUM('연간'!H47:K47)))/(IF(COUNT('연간'!H4:K4)&lt;4,"",SUM('연간'!H4:K4))),"")</f>
        <v/>
      </c>
      <c r="E56" s="38">
        <f>IFERROR((IF(COUNT('연간'!I47:L47)&lt;4,"",SUM('연간'!I47:L47)))/(IF(COUNT('연간'!I4:L4)&lt;4,"",SUM('연간'!I4:L4))),"")</f>
        <v/>
      </c>
      <c r="F56" s="38">
        <f>IFERROR((IF(COUNT('연간'!J47:M47)&lt;4,"",SUM('연간'!J47:M47)))/(IF(COUNT('연간'!J4:M4)&lt;4,"",SUM('연간'!J4:M4))),"")</f>
        <v/>
      </c>
      <c r="G56" s="38">
        <f>IFERROR((IF(COUNT('연간'!K47:N47)&lt;4,"",SUM('연간'!K47:N47)))/(IF(COUNT('연간'!K4:N4)&lt;4,"",SUM('연간'!K4:N4))),"")</f>
        <v/>
      </c>
      <c r="H56" s="37">
        <f>IFERROR(('연간'!T47)/('연간'!T4),"")</f>
        <v/>
      </c>
      <c r="I56" s="38">
        <f>IFERROR(('연간'!U47)/('연간'!U4),"")</f>
        <v/>
      </c>
      <c r="J56" s="38">
        <f>IFERROR(('연간'!V47)/('연간'!V4),"")</f>
        <v/>
      </c>
      <c r="K56" s="38">
        <f>IFERROR(('연간'!W47)/('연간'!W4),"")</f>
        <v/>
      </c>
      <c r="L56" s="38">
        <f>IFERROR(('연간'!X47)/('연간'!X4),"")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IF(C37="","",IFERROR(C37/(IF(COUNT('연간'!G47:J47)&lt;4,"",SUM('연간'!G47:J47))),""))</f>
        <v/>
      </c>
      <c r="D64" s="33">
        <f>IF(D37="","",IFERROR(D37/(IF(COUNT('연간'!H47:K47)&lt;4,"",SUM('연간'!H47:K47))),""))</f>
        <v/>
      </c>
      <c r="E64" s="33">
        <f>IF(E37="","",IFERROR(E37/(IF(COUNT('연간'!I47:L47)&lt;4,"",SUM('연간'!I47:L47))),""))</f>
        <v/>
      </c>
      <c r="F64" s="33">
        <f>IF(F37="","",IFERROR(F37/(IF(COUNT('연간'!J47:M47)&lt;4,"",SUM('연간'!J47:M47))),""))</f>
        <v/>
      </c>
      <c r="G64" s="33">
        <f>IF(G37="","",IFERROR(G37/(IF(COUNT('연간'!K47:N47)&lt;4,"",SUM('연간'!K47:N47))),""))</f>
        <v/>
      </c>
      <c r="H64" s="32">
        <f>IF(H37="","",IFERROR(H37/('연간'!T47),""))</f>
        <v/>
      </c>
      <c r="I64" s="33">
        <f>IF(I37="","",IFERROR(I37/('연간'!U47),""))</f>
        <v/>
      </c>
      <c r="J64" s="33">
        <f>IF(J37="","",IFERROR(J37/('연간'!V47),""))</f>
        <v/>
      </c>
      <c r="K64" s="33">
        <f>IF(K37="","",IFERROR(K37/('연간'!W47),""))</f>
        <v/>
      </c>
      <c r="L64" s="33">
        <f>IF(L37="","",IFERROR(L37/('연간'!X47),""))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IF(C40="","",IFERROR(C40/(IF(COUNT('연간'!G49:J49)&lt;4,"",SUM('연간'!G49:J49))),""))</f>
        <v/>
      </c>
      <c r="D67" s="38">
        <f>IF(D40="","",IFERROR(D40/(IF(COUNT('연간'!H49:K49)&lt;4,"",SUM('연간'!H49:K49))),""))</f>
        <v/>
      </c>
      <c r="E67" s="38">
        <f>IF(E40="","",IFERROR(E40/(IF(COUNT('연간'!I49:L49)&lt;4,"",SUM('연간'!I49:L49))),""))</f>
        <v/>
      </c>
      <c r="F67" s="38">
        <f>IF(F40="","",IFERROR(F40/(IF(COUNT('연간'!J49:M49)&lt;4,"",SUM('연간'!J49:M49))),""))</f>
        <v/>
      </c>
      <c r="G67" s="38">
        <f>IF(G40="","",IFERROR(G40/(IF(COUNT('연간'!K49:N49)&lt;4,"",SUM('연간'!K49:N49))),""))</f>
        <v/>
      </c>
      <c r="H67" s="37">
        <f>IF(H40="","",IFERROR(H40/('연간'!T49),""))</f>
        <v/>
      </c>
      <c r="I67" s="38">
        <f>IF(I40="","",IFERROR(I40/('연간'!U49),""))</f>
        <v/>
      </c>
      <c r="J67" s="38">
        <f>IF(J40="","",IFERROR(J40/('연간'!V49),""))</f>
        <v/>
      </c>
      <c r="K67" s="38">
        <f>IF(K40="","",IFERROR(K40/('연간'!W49),""))</f>
        <v/>
      </c>
      <c r="L67" s="38">
        <f>IF(L40="","",IFERROR(L40/('연간'!X49),""))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2025.3Q</t>
        </is>
      </c>
      <c r="D70" s="5" t="inlineStr">
        <is>
          <t>2025.4Q</t>
        </is>
      </c>
      <c r="E70" s="5" t="inlineStr">
        <is>
          <t>2026.1Q</t>
        </is>
      </c>
      <c r="F70" s="5" t="inlineStr">
        <is>
          <t>2026.2Q</t>
        </is>
      </c>
      <c r="G70" s="5" t="inlineStr">
        <is>
          <t>2026.3Q</t>
        </is>
      </c>
      <c r="H70" s="5" t="inlineStr">
        <is>
          <t>2021</t>
        </is>
      </c>
      <c r="I70" s="5" t="inlineStr">
        <is>
          <t>2022</t>
        </is>
      </c>
      <c r="J70" s="5" t="inlineStr">
        <is>
          <t>2023</t>
        </is>
      </c>
      <c r="K70" s="5" t="inlineStr">
        <is>
          <t>2024</t>
        </is>
      </c>
      <c r="L70" s="5" t="inlineStr">
        <is>
          <t>2025</t>
        </is>
      </c>
    </row>
    <row r="71">
      <c r="A71" s="20" t="inlineStr">
        <is>
          <t>현금 및 예금</t>
        </is>
      </c>
      <c r="C71" s="22" t="n">
        <v>5134.732</v>
      </c>
      <c r="D71" s="22" t="n">
        <v>6845.41</v>
      </c>
      <c r="E71" s="22" t="n">
        <v>5626.419</v>
      </c>
      <c r="F71" s="22" t="n">
        <v>7383.445</v>
      </c>
      <c r="G71" s="22" t="n">
        <v>8065.488</v>
      </c>
      <c r="H71" s="22" t="n">
        <v>5632.051</v>
      </c>
      <c r="I71" s="22" t="n">
        <v>6036.023</v>
      </c>
      <c r="J71" s="22" t="n">
        <v>4731.318</v>
      </c>
      <c r="K71" s="22" t="n">
        <v>5740.501</v>
      </c>
      <c r="L71" s="22" t="n">
        <v>6845.41</v>
      </c>
    </row>
    <row r="72">
      <c r="A72" s="20" t="inlineStr">
        <is>
          <t>매출채권</t>
        </is>
      </c>
      <c r="D72" s="22" t="n">
        <v>6597.977</v>
      </c>
      <c r="H72" s="22" t="n">
        <v>3891.204</v>
      </c>
      <c r="I72" s="22" t="n">
        <v>4246.702</v>
      </c>
      <c r="J72" s="22" t="n">
        <v>4947.793</v>
      </c>
      <c r="K72" s="22" t="n">
        <v>5760.126</v>
      </c>
      <c r="L72" s="22" t="n">
        <v>6597.977</v>
      </c>
    </row>
    <row r="73">
      <c r="A73" s="20" t="inlineStr">
        <is>
          <t>매출채권·계약자산</t>
        </is>
      </c>
      <c r="C73" s="22" t="n">
        <v>6487.799</v>
      </c>
      <c r="D73" s="22" t="n">
        <v>7026.614</v>
      </c>
      <c r="E73" s="22" t="n">
        <v>7309.662</v>
      </c>
      <c r="F73" s="22" t="n">
        <v>7044.27</v>
      </c>
      <c r="G73" s="22" t="n">
        <v>7613.371</v>
      </c>
      <c r="H73" s="22" t="n">
        <v>0</v>
      </c>
      <c r="I73" s="22" t="n">
        <v>4246.702</v>
      </c>
      <c r="J73" s="22" t="n">
        <v>4947.868</v>
      </c>
      <c r="K73" s="22" t="n">
        <v>5783.858</v>
      </c>
      <c r="L73" s="22" t="n">
        <v>7026.614</v>
      </c>
    </row>
    <row r="74">
      <c r="A74" s="20" t="inlineStr">
        <is>
          <t>유가증권</t>
        </is>
      </c>
      <c r="K74" s="22" t="n">
        <v>0</v>
      </c>
    </row>
    <row r="75">
      <c r="A75" s="20" t="inlineStr">
        <is>
          <t>상품</t>
        </is>
      </c>
      <c r="C75" s="22" t="n">
        <v>1481.093</v>
      </c>
      <c r="D75" s="22" t="n">
        <v>1862.354</v>
      </c>
      <c r="E75" s="22" t="n">
        <v>1574.407</v>
      </c>
      <c r="F75" s="22" t="n">
        <v>1560.395</v>
      </c>
      <c r="G75" s="22" t="n">
        <v>1590.432</v>
      </c>
      <c r="H75" s="22" t="n">
        <v>1068.647</v>
      </c>
      <c r="I75" s="22" t="n">
        <v>1242.037</v>
      </c>
      <c r="J75" s="22" t="n">
        <v>1379.085</v>
      </c>
      <c r="K75" s="22" t="n">
        <v>1475.386</v>
      </c>
      <c r="L75" s="22" t="n">
        <v>1862.354</v>
      </c>
    </row>
    <row r="76">
      <c r="A76" s="20" t="inlineStr">
        <is>
          <t>저장품</t>
        </is>
      </c>
      <c r="C76" s="22" t="n">
        <v>1156.52</v>
      </c>
      <c r="D76" s="22" t="n">
        <v>1103.765</v>
      </c>
      <c r="E76" s="22" t="n">
        <v>25.38</v>
      </c>
      <c r="F76" s="22" t="n">
        <v>26.424</v>
      </c>
      <c r="G76" s="22" t="n">
        <v>33.987</v>
      </c>
      <c r="H76" s="22" t="n">
        <v>11.64</v>
      </c>
      <c r="I76" s="22" t="n">
        <v>89.60899999999999</v>
      </c>
      <c r="J76" s="22" t="n">
        <v>520.25</v>
      </c>
      <c r="K76" s="22" t="n">
        <v>740.13</v>
      </c>
      <c r="L76" s="22" t="n">
        <v>1103.765</v>
      </c>
    </row>
    <row r="77">
      <c r="A77" s="20" t="inlineStr">
        <is>
          <t>미수금</t>
        </is>
      </c>
      <c r="C77" s="22" t="n">
        <v>2605.216</v>
      </c>
      <c r="D77" s="22" t="n">
        <v>2293.478</v>
      </c>
      <c r="E77" s="22" t="n">
        <v>2734.687</v>
      </c>
      <c r="F77" s="22" t="n">
        <v>2590.106</v>
      </c>
      <c r="G77" s="22" t="n">
        <v>3336.236</v>
      </c>
      <c r="H77" s="22" t="n">
        <v>1957.416</v>
      </c>
      <c r="I77" s="22" t="n">
        <v>2858.068</v>
      </c>
      <c r="J77" s="22" t="n">
        <v>3706.71</v>
      </c>
      <c r="K77" s="22" t="n">
        <v>2352.808</v>
      </c>
      <c r="L77" s="22" t="n">
        <v>2293.478</v>
      </c>
    </row>
    <row r="78">
      <c r="A78" s="20" t="inlineStr">
        <is>
          <t>선급비용</t>
        </is>
      </c>
      <c r="D78" s="22" t="n">
        <v>77.61199999999999</v>
      </c>
      <c r="H78" s="22" t="n">
        <v>34.469</v>
      </c>
      <c r="I78" s="22" t="n">
        <v>52.619</v>
      </c>
      <c r="J78" s="22" t="n">
        <v>67.41500000000001</v>
      </c>
      <c r="K78" s="22" t="n">
        <v>85.011</v>
      </c>
      <c r="L78" s="22" t="n">
        <v>77.61199999999999</v>
      </c>
    </row>
    <row r="79">
      <c r="A79" s="20" t="inlineStr">
        <is>
          <t>기타</t>
        </is>
      </c>
      <c r="C79" s="22" t="n">
        <v>281.38</v>
      </c>
      <c r="D79" s="22" t="n">
        <v>285.899</v>
      </c>
      <c r="E79" s="22" t="n">
        <v>214.36</v>
      </c>
      <c r="F79" s="22" t="n">
        <v>179.748</v>
      </c>
      <c r="G79" s="22" t="n">
        <v>213.295</v>
      </c>
      <c r="H79" s="22" t="n">
        <v>55.927</v>
      </c>
      <c r="I79" s="22" t="n">
        <v>82.09</v>
      </c>
      <c r="J79" s="22" t="n">
        <v>57.283</v>
      </c>
      <c r="K79" s="22" t="n">
        <v>210.671</v>
      </c>
      <c r="L79" s="22" t="n">
        <v>285.899</v>
      </c>
    </row>
    <row r="80">
      <c r="A80" s="20" t="inlineStr">
        <is>
          <t>대손충당금</t>
        </is>
      </c>
      <c r="C80" s="22" t="n">
        <v>-831.673</v>
      </c>
      <c r="D80" s="22" t="n">
        <v>-882.418</v>
      </c>
      <c r="E80" s="22" t="n">
        <v>-953.76</v>
      </c>
      <c r="F80" s="22" t="n">
        <v>-965.596</v>
      </c>
      <c r="G80" s="22" t="n">
        <v>-1004.705</v>
      </c>
      <c r="H80" s="22" t="n">
        <v>-486.903</v>
      </c>
      <c r="I80" s="22" t="n">
        <v>-478.813</v>
      </c>
      <c r="J80" s="22" t="n">
        <v>-585.253</v>
      </c>
      <c r="K80" s="22" t="n">
        <v>-658.27</v>
      </c>
      <c r="L80" s="22" t="n">
        <v>-882.418</v>
      </c>
    </row>
    <row r="81">
      <c r="A81" s="9" t="inlineStr">
        <is>
          <t>유동자산 합계</t>
        </is>
      </c>
      <c r="C81" s="12" t="n">
        <v>16315.068</v>
      </c>
      <c r="D81" s="12" t="n">
        <v>18535.104</v>
      </c>
      <c r="E81" s="12" t="n">
        <v>16531.157</v>
      </c>
      <c r="F81" s="12" t="n">
        <v>17818.794</v>
      </c>
      <c r="G81" s="12" t="n">
        <v>19848.105</v>
      </c>
      <c r="H81" s="12" t="n">
        <v>12129.983</v>
      </c>
      <c r="I81" s="12" t="n">
        <v>14075.718</v>
      </c>
      <c r="J81" s="12" t="n">
        <v>14824.602</v>
      </c>
      <c r="K81" s="12" t="n">
        <v>15706.366</v>
      </c>
      <c r="L81" s="12" t="n">
        <v>18535.104</v>
      </c>
    </row>
    <row r="82">
      <c r="A82" s="20" t="inlineStr">
        <is>
          <t>건물·구축물</t>
        </is>
      </c>
      <c r="D82" s="22" t="n">
        <v>783.057</v>
      </c>
      <c r="H82" s="22" t="n">
        <v>252.102</v>
      </c>
      <c r="I82" s="22" t="n">
        <v>315.435</v>
      </c>
      <c r="J82" s="22" t="n">
        <v>323.442</v>
      </c>
      <c r="K82" s="22" t="n">
        <v>345.379</v>
      </c>
      <c r="L82" s="22" t="n">
        <v>783.057</v>
      </c>
    </row>
    <row r="83">
      <c r="A83" s="20" t="inlineStr">
        <is>
          <t>감가상각누계액</t>
        </is>
      </c>
      <c r="D83" s="22" t="n">
        <v>-164.539</v>
      </c>
      <c r="H83" s="22" t="n">
        <v>-98.393</v>
      </c>
      <c r="I83" s="22" t="n">
        <v>-110.528</v>
      </c>
      <c r="J83" s="22" t="n">
        <v>-123.164</v>
      </c>
      <c r="K83" s="22" t="n">
        <v>-137.95</v>
      </c>
      <c r="L83" s="22" t="n">
        <v>-164.539</v>
      </c>
    </row>
    <row r="84">
      <c r="A84" s="20" t="inlineStr">
        <is>
          <t>건물·구축물(순액)</t>
        </is>
      </c>
      <c r="D84" s="22" t="n">
        <v>618.518</v>
      </c>
      <c r="H84" s="22" t="n">
        <v>153.708</v>
      </c>
      <c r="I84" s="22" t="n">
        <v>204.907</v>
      </c>
      <c r="J84" s="22" t="n">
        <v>200.278</v>
      </c>
      <c r="K84" s="22" t="n">
        <v>207.428</v>
      </c>
      <c r="L84" s="22" t="n">
        <v>618.518</v>
      </c>
    </row>
    <row r="85">
      <c r="A85" s="20" t="inlineStr">
        <is>
          <t>기계장치·운반구</t>
        </is>
      </c>
      <c r="D85" s="22" t="n">
        <v>775.038</v>
      </c>
      <c r="H85" s="22" t="n">
        <v>60.905</v>
      </c>
      <c r="I85" s="22" t="n">
        <v>61.747</v>
      </c>
      <c r="J85" s="22" t="n">
        <v>67.93300000000001</v>
      </c>
      <c r="K85" s="22" t="n">
        <v>206.358</v>
      </c>
      <c r="L85" s="22" t="n">
        <v>775.038</v>
      </c>
    </row>
    <row r="86">
      <c r="A86" s="20" t="inlineStr">
        <is>
          <t>감가상각누계액</t>
        </is>
      </c>
      <c r="D86" s="22" t="n">
        <v>-335.577</v>
      </c>
      <c r="H86" s="22" t="n">
        <v>-26.148</v>
      </c>
      <c r="I86" s="22" t="n">
        <v>-36.916</v>
      </c>
      <c r="J86" s="22" t="n">
        <v>-46.031</v>
      </c>
      <c r="K86" s="22" t="n">
        <v>-159.705</v>
      </c>
      <c r="L86" s="22" t="n">
        <v>-335.577</v>
      </c>
    </row>
    <row r="87">
      <c r="A87" s="20" t="inlineStr">
        <is>
          <t>기계장치·운반구(순액)</t>
        </is>
      </c>
      <c r="D87" s="22" t="n">
        <v>439.461</v>
      </c>
      <c r="H87" s="22" t="n">
        <v>34.756</v>
      </c>
      <c r="I87" s="22" t="n">
        <v>24.831</v>
      </c>
      <c r="J87" s="22" t="n">
        <v>21.901</v>
      </c>
      <c r="K87" s="22" t="n">
        <v>46.653</v>
      </c>
      <c r="L87" s="22" t="n">
        <v>439.461</v>
      </c>
    </row>
    <row r="88">
      <c r="A88" s="20" t="inlineStr">
        <is>
          <t>건물</t>
        </is>
      </c>
      <c r="D88" s="22" t="n">
        <v>308.406</v>
      </c>
      <c r="H88" s="22" t="n">
        <v>241.099</v>
      </c>
      <c r="I88" s="22" t="n">
        <v>303.584</v>
      </c>
      <c r="J88" s="22" t="n">
        <v>311.592</v>
      </c>
      <c r="K88" s="22" t="n">
        <v>315.372</v>
      </c>
      <c r="L88" s="22" t="n">
        <v>308.406</v>
      </c>
    </row>
    <row r="89">
      <c r="A89" s="20" t="inlineStr">
        <is>
          <t>감가상각누계액</t>
        </is>
      </c>
      <c r="D89" s="22" t="n">
        <v>-134.456</v>
      </c>
      <c r="H89" s="22" t="n">
        <v>-97.56999999999999</v>
      </c>
      <c r="I89" s="22" t="n">
        <v>-108.902</v>
      </c>
      <c r="J89" s="22" t="n">
        <v>-120.706</v>
      </c>
      <c r="K89" s="22" t="n">
        <v>-134.352</v>
      </c>
      <c r="L89" s="22" t="n">
        <v>-134.456</v>
      </c>
    </row>
    <row r="90">
      <c r="A90" s="20" t="inlineStr">
        <is>
          <t>건물(순액)</t>
        </is>
      </c>
      <c r="D90" s="22" t="n">
        <v>173.949</v>
      </c>
      <c r="H90" s="22" t="n">
        <v>143.529</v>
      </c>
      <c r="I90" s="22" t="n">
        <v>194.682</v>
      </c>
      <c r="J90" s="22" t="n">
        <v>190.885</v>
      </c>
      <c r="K90" s="22" t="n">
        <v>181.019</v>
      </c>
      <c r="L90" s="22" t="n">
        <v>173.949</v>
      </c>
    </row>
    <row r="91">
      <c r="A91" s="20" t="inlineStr">
        <is>
          <t>구축물</t>
        </is>
      </c>
      <c r="D91" s="22" t="n">
        <v>3</v>
      </c>
      <c r="H91" s="22" t="n">
        <v>1.659</v>
      </c>
      <c r="I91" s="22" t="n">
        <v>2.507</v>
      </c>
      <c r="J91" s="22" t="n">
        <v>2.507</v>
      </c>
      <c r="K91" s="22" t="n">
        <v>2.507</v>
      </c>
      <c r="L91" s="22" t="n">
        <v>3</v>
      </c>
    </row>
    <row r="92">
      <c r="A92" s="20" t="inlineStr">
        <is>
          <t>감가상각누계액</t>
        </is>
      </c>
      <c r="D92" s="22" t="n">
        <v>-0.848</v>
      </c>
      <c r="H92" s="22" t="n">
        <v>-0.719</v>
      </c>
      <c r="I92" s="22" t="n">
        <v>-0.825</v>
      </c>
      <c r="J92" s="22" t="n">
        <v>-0.96</v>
      </c>
      <c r="K92" s="22" t="n">
        <v>-1.093</v>
      </c>
      <c r="L92" s="22" t="n">
        <v>-0.848</v>
      </c>
    </row>
    <row r="93">
      <c r="A93" s="20" t="inlineStr">
        <is>
          <t>구축물(순액)</t>
        </is>
      </c>
      <c r="D93" s="22" t="n">
        <v>2.152</v>
      </c>
      <c r="H93" s="22" t="n">
        <v>0.9389999999999999</v>
      </c>
      <c r="I93" s="22" t="n">
        <v>1.681</v>
      </c>
      <c r="J93" s="22" t="n">
        <v>1.546</v>
      </c>
      <c r="K93" s="22" t="n">
        <v>1.413</v>
      </c>
      <c r="L93" s="22" t="n">
        <v>2.152</v>
      </c>
    </row>
    <row r="94">
      <c r="A94" s="20" t="inlineStr">
        <is>
          <t>차량운반구</t>
        </is>
      </c>
      <c r="D94" s="22" t="n">
        <v>45.581</v>
      </c>
      <c r="H94" s="22" t="n">
        <v>60.905</v>
      </c>
      <c r="I94" s="22" t="n">
        <v>61.747</v>
      </c>
      <c r="J94" s="22" t="n">
        <v>66.259</v>
      </c>
      <c r="K94" s="22" t="n">
        <v>64.738</v>
      </c>
      <c r="L94" s="22" t="n">
        <v>45.581</v>
      </c>
    </row>
    <row r="95">
      <c r="A95" s="20" t="inlineStr">
        <is>
          <t>감가상각누계액</t>
        </is>
      </c>
      <c r="D95" s="22" t="n">
        <v>-30.648</v>
      </c>
      <c r="H95" s="22" t="n">
        <v>-26.148</v>
      </c>
      <c r="I95" s="22" t="n">
        <v>-36.916</v>
      </c>
      <c r="J95" s="22" t="n">
        <v>-45.803</v>
      </c>
      <c r="K95" s="22" t="n">
        <v>-38.778</v>
      </c>
      <c r="L95" s="22" t="n">
        <v>-30.648</v>
      </c>
    </row>
    <row r="96">
      <c r="A96" s="20" t="inlineStr">
        <is>
          <t>차량운반구(순액)</t>
        </is>
      </c>
      <c r="D96" s="22" t="n">
        <v>14.933</v>
      </c>
      <c r="H96" s="22" t="n">
        <v>34.756</v>
      </c>
      <c r="I96" s="22" t="n">
        <v>24.831</v>
      </c>
      <c r="J96" s="22" t="n">
        <v>20.455</v>
      </c>
      <c r="K96" s="22" t="n">
        <v>25.959</v>
      </c>
      <c r="L96" s="22" t="n">
        <v>14.933</v>
      </c>
    </row>
    <row r="97">
      <c r="A97" s="20" t="inlineStr">
        <is>
          <t>공구·기구·비품</t>
        </is>
      </c>
      <c r="D97" s="22" t="n">
        <v>123.16</v>
      </c>
      <c r="H97" s="22" t="n">
        <v>104.951</v>
      </c>
      <c r="I97" s="22" t="n">
        <v>147.037</v>
      </c>
      <c r="J97" s="22" t="n">
        <v>152.612</v>
      </c>
      <c r="K97" s="22" t="n">
        <v>145.104</v>
      </c>
      <c r="L97" s="22" t="n">
        <v>123.16</v>
      </c>
    </row>
    <row r="98">
      <c r="A98" s="20" t="inlineStr">
        <is>
          <t>감가상각누계액</t>
        </is>
      </c>
      <c r="D98" s="22" t="n">
        <v>-96.944</v>
      </c>
      <c r="H98" s="22" t="n">
        <v>-71.533</v>
      </c>
      <c r="I98" s="22" t="n">
        <v>-87.77</v>
      </c>
      <c r="J98" s="22" t="n">
        <v>-105.604</v>
      </c>
      <c r="K98" s="22" t="n">
        <v>-113.387</v>
      </c>
      <c r="L98" s="22" t="n">
        <v>-96.944</v>
      </c>
    </row>
    <row r="99">
      <c r="A99" s="20" t="inlineStr">
        <is>
          <t>공구·기구·비품(순액)</t>
        </is>
      </c>
      <c r="D99" s="22" t="n">
        <v>26.216</v>
      </c>
      <c r="H99" s="22" t="n">
        <v>33.418</v>
      </c>
      <c r="I99" s="22" t="n">
        <v>59.266</v>
      </c>
      <c r="J99" s="22" t="n">
        <v>47.008</v>
      </c>
      <c r="K99" s="22" t="n">
        <v>31.717</v>
      </c>
      <c r="L99" s="22" t="n">
        <v>26.216</v>
      </c>
    </row>
    <row r="100">
      <c r="A100" s="20" t="inlineStr">
        <is>
          <t>토지</t>
        </is>
      </c>
      <c r="D100" s="22" t="n">
        <v>269.2</v>
      </c>
      <c r="H100" s="22" t="n">
        <v>114.018</v>
      </c>
      <c r="I100" s="22" t="n">
        <v>269.2</v>
      </c>
      <c r="J100" s="22" t="n">
        <v>269.2</v>
      </c>
      <c r="K100" s="22" t="n">
        <v>269.2</v>
      </c>
      <c r="L100" s="22" t="n">
        <v>269.2</v>
      </c>
    </row>
    <row r="101">
      <c r="A101" s="20" t="inlineStr">
        <is>
          <t>기타</t>
        </is>
      </c>
      <c r="D101" s="22" t="n">
        <v>184.328</v>
      </c>
      <c r="H101" s="22" t="n">
        <v>113.42</v>
      </c>
      <c r="I101" s="22" t="n">
        <v>155.505</v>
      </c>
      <c r="J101" s="22" t="n">
        <v>161.081</v>
      </c>
      <c r="K101" s="22" t="n">
        <v>168.969</v>
      </c>
      <c r="L101" s="22" t="n">
        <v>184.328</v>
      </c>
    </row>
    <row r="102">
      <c r="A102" s="20" t="inlineStr">
        <is>
          <t>리스자산</t>
        </is>
      </c>
      <c r="D102" s="22" t="n">
        <v>36.852</v>
      </c>
      <c r="H102" s="22" t="n">
        <v>5.922</v>
      </c>
      <c r="I102" s="22" t="n">
        <v>5.922</v>
      </c>
      <c r="J102" s="22" t="n">
        <v>5.922</v>
      </c>
      <c r="K102" s="22" t="n">
        <v>12.06</v>
      </c>
      <c r="L102" s="22" t="n">
        <v>36.852</v>
      </c>
    </row>
    <row r="103">
      <c r="A103" s="20" t="inlineStr">
        <is>
          <t>감가상각누계액</t>
        </is>
      </c>
      <c r="D103" s="22" t="n">
        <v>-5.046</v>
      </c>
      <c r="H103" s="22" t="n">
        <v>-74.819</v>
      </c>
      <c r="I103" s="22" t="n">
        <v>-92.968</v>
      </c>
      <c r="J103" s="22" t="n">
        <v>-5.527</v>
      </c>
      <c r="K103" s="22" t="n">
        <v>-0.603</v>
      </c>
      <c r="L103" s="22" t="n">
        <v>-5.046</v>
      </c>
    </row>
    <row r="104">
      <c r="A104" s="20" t="inlineStr">
        <is>
          <t>기타(순액)</t>
        </is>
      </c>
      <c r="D104" s="22" t="n">
        <v>71.20699999999999</v>
      </c>
      <c r="H104" s="22" t="n">
        <v>38.6</v>
      </c>
      <c r="I104" s="22" t="n">
        <v>62.536</v>
      </c>
      <c r="J104" s="22" t="n">
        <v>48.594</v>
      </c>
      <c r="K104" s="22" t="n">
        <v>52.515</v>
      </c>
      <c r="L104" s="22" t="n">
        <v>71.20699999999999</v>
      </c>
    </row>
    <row r="105">
      <c r="A105" s="20" t="inlineStr">
        <is>
          <t>리스자산(순액)</t>
        </is>
      </c>
      <c r="D105" s="22" t="n">
        <v>31.806</v>
      </c>
      <c r="H105" s="22" t="n">
        <v>2.763</v>
      </c>
      <c r="I105" s="22" t="n">
        <v>1.579</v>
      </c>
      <c r="J105" s="22" t="n">
        <v>0.394</v>
      </c>
      <c r="K105" s="22" t="n">
        <v>11.457</v>
      </c>
      <c r="L105" s="22" t="n">
        <v>31.806</v>
      </c>
    </row>
    <row r="106">
      <c r="A106" s="20" t="inlineStr">
        <is>
          <t>유형자산</t>
        </is>
      </c>
      <c r="C106" s="22" t="n">
        <v>1359.287</v>
      </c>
      <c r="D106" s="22" t="n">
        <v>1386.404</v>
      </c>
      <c r="E106" s="22" t="n">
        <v>2662.037</v>
      </c>
      <c r="F106" s="22" t="n">
        <v>2765.163</v>
      </c>
      <c r="G106" s="22" t="n">
        <v>2795.419</v>
      </c>
      <c r="H106" s="22" t="n">
        <v>341.085</v>
      </c>
      <c r="I106" s="22" t="n">
        <v>561.475</v>
      </c>
      <c r="J106" s="22" t="n">
        <v>529.491</v>
      </c>
      <c r="K106" s="22" t="n">
        <v>520.7670000000001</v>
      </c>
      <c r="L106" s="22" t="n">
        <v>1386.404</v>
      </c>
    </row>
    <row r="107">
      <c r="A107" s="20" t="inlineStr">
        <is>
          <t>소프트웨어</t>
        </is>
      </c>
      <c r="D107" s="22" t="n">
        <v>71.676</v>
      </c>
      <c r="H107" s="22" t="n">
        <v>73.066</v>
      </c>
      <c r="I107" s="22" t="n">
        <v>44.436</v>
      </c>
      <c r="J107" s="22" t="n">
        <v>101.053</v>
      </c>
      <c r="K107" s="22" t="n">
        <v>71.294</v>
      </c>
      <c r="L107" s="22" t="n">
        <v>71.676</v>
      </c>
    </row>
    <row r="108">
      <c r="A108" s="20" t="inlineStr">
        <is>
          <t>영업권</t>
        </is>
      </c>
      <c r="C108" s="22" t="n">
        <v>1214.723</v>
      </c>
      <c r="D108" s="22" t="n">
        <v>1078.249</v>
      </c>
      <c r="E108" s="22" t="n">
        <v>1065.569</v>
      </c>
      <c r="F108" s="22" t="n">
        <v>1051.884</v>
      </c>
      <c r="G108" s="22" t="n">
        <v>1004.268</v>
      </c>
      <c r="H108" s="22" t="n">
        <v>9.771000000000001</v>
      </c>
      <c r="I108" s="22" t="n">
        <v>0</v>
      </c>
      <c r="J108" s="22" t="n">
        <v>0</v>
      </c>
      <c r="K108" s="22" t="n">
        <v>427.223</v>
      </c>
      <c r="L108" s="22" t="n">
        <v>1078.249</v>
      </c>
    </row>
    <row r="109">
      <c r="A109" s="20" t="inlineStr">
        <is>
          <t>기타</t>
        </is>
      </c>
      <c r="C109" s="22" t="n">
        <v>617.397</v>
      </c>
      <c r="D109" s="22" t="n">
        <v>1104.692</v>
      </c>
      <c r="E109" s="22" t="n">
        <v>1097.737</v>
      </c>
      <c r="F109" s="22" t="n">
        <v>1086.473</v>
      </c>
      <c r="G109" s="22" t="n">
        <v>921.002</v>
      </c>
      <c r="H109" s="22" t="n">
        <v>22.583</v>
      </c>
      <c r="I109" s="22" t="n">
        <v>48.035</v>
      </c>
      <c r="J109" s="22" t="n">
        <v>7.825</v>
      </c>
      <c r="K109" s="22" t="n">
        <v>30.763</v>
      </c>
      <c r="L109" s="22" t="n">
        <v>1104.692</v>
      </c>
    </row>
    <row r="110">
      <c r="A110" s="20" t="inlineStr">
        <is>
          <t>무형자산 합계</t>
        </is>
      </c>
      <c r="C110" s="22" t="n">
        <v>1832.12</v>
      </c>
      <c r="D110" s="22" t="n">
        <v>2182.941</v>
      </c>
      <c r="E110" s="22" t="n">
        <v>2163.307</v>
      </c>
      <c r="F110" s="22" t="n">
        <v>2138.358</v>
      </c>
      <c r="G110" s="22" t="n">
        <v>1925.27</v>
      </c>
      <c r="H110" s="22" t="n">
        <v>105.421</v>
      </c>
      <c r="I110" s="22" t="n">
        <v>92.47199999999999</v>
      </c>
      <c r="J110" s="22" t="n">
        <v>108.878</v>
      </c>
      <c r="K110" s="22" t="n">
        <v>102.058</v>
      </c>
      <c r="L110" s="22" t="n">
        <v>2182.941</v>
      </c>
    </row>
    <row r="111">
      <c r="A111" s="20" t="inlineStr">
        <is>
          <t>투자유가증권</t>
        </is>
      </c>
      <c r="C111" s="22" t="n">
        <v>2709.454</v>
      </c>
      <c r="D111" s="22" t="n">
        <v>1160.538</v>
      </c>
      <c r="E111" s="22" t="n">
        <v>1184.802</v>
      </c>
      <c r="F111" s="22" t="n">
        <v>1196.169</v>
      </c>
      <c r="G111" s="22" t="n">
        <v>918.274</v>
      </c>
      <c r="H111" s="22" t="n">
        <v>941.92</v>
      </c>
      <c r="I111" s="22" t="n">
        <v>736.797</v>
      </c>
      <c r="J111" s="22" t="n">
        <v>1416.352</v>
      </c>
      <c r="K111" s="22" t="n">
        <v>1803.774</v>
      </c>
      <c r="L111" s="22" t="n">
        <v>1160.538</v>
      </c>
    </row>
    <row r="112">
      <c r="A112" s="20" t="inlineStr">
        <is>
          <t>장기대여금</t>
        </is>
      </c>
      <c r="D112" s="22" t="n">
        <v>950.88</v>
      </c>
      <c r="E112" s="22" t="n">
        <v>935.52</v>
      </c>
      <c r="F112" s="22" t="n">
        <v>940.64</v>
      </c>
      <c r="G112" s="22" t="n">
        <v>899.6799999999999</v>
      </c>
      <c r="K112" s="22" t="n">
        <v>40</v>
      </c>
      <c r="L112" s="22" t="n">
        <v>950.88</v>
      </c>
    </row>
    <row r="113">
      <c r="A113" s="20" t="inlineStr">
        <is>
          <t>임차보증금</t>
        </is>
      </c>
      <c r="D113" s="22" t="n">
        <v>105.572</v>
      </c>
      <c r="H113" s="22" t="n">
        <v>60.375</v>
      </c>
      <c r="I113" s="22" t="n">
        <v>122.808</v>
      </c>
      <c r="J113" s="22" t="n">
        <v>113.246</v>
      </c>
      <c r="K113" s="22" t="n">
        <v>105.787</v>
      </c>
      <c r="L113" s="22" t="n">
        <v>105.572</v>
      </c>
    </row>
    <row r="114">
      <c r="A114" s="20" t="inlineStr">
        <is>
          <t>이연법인세자산</t>
        </is>
      </c>
      <c r="D114" s="22" t="n">
        <v>572.218</v>
      </c>
      <c r="H114" s="22" t="n">
        <v>350.189</v>
      </c>
      <c r="I114" s="22" t="n">
        <v>463.704</v>
      </c>
      <c r="J114" s="22" t="n">
        <v>488.066</v>
      </c>
      <c r="K114" s="22" t="n">
        <v>480.654</v>
      </c>
      <c r="L114" s="22" t="n">
        <v>572.218</v>
      </c>
    </row>
    <row r="115">
      <c r="A115" s="20" t="inlineStr">
        <is>
          <t>관계회사 주식</t>
        </is>
      </c>
      <c r="D115" s="22" t="n">
        <v>1521.574</v>
      </c>
      <c r="E115" s="22" t="n">
        <v>1474.108</v>
      </c>
      <c r="F115" s="22" t="n">
        <v>1435.673</v>
      </c>
      <c r="G115" s="22" t="n">
        <v>1194.064</v>
      </c>
      <c r="H115" s="22" t="n">
        <v>256.623</v>
      </c>
      <c r="I115" s="22" t="n">
        <v>413.095</v>
      </c>
      <c r="J115" s="22" t="n">
        <v>924.974</v>
      </c>
      <c r="K115" s="22" t="n">
        <v>1874.071</v>
      </c>
      <c r="L115" s="22" t="n">
        <v>1521.574</v>
      </c>
    </row>
    <row r="116">
      <c r="A116" s="20" t="inlineStr">
        <is>
          <t>기타</t>
        </is>
      </c>
      <c r="C116" s="22" t="n">
        <v>1744.113</v>
      </c>
      <c r="D116" s="22" t="n">
        <v>919.523</v>
      </c>
      <c r="E116" s="22" t="n">
        <v>901.9930000000001</v>
      </c>
      <c r="F116" s="22" t="n">
        <v>945.88</v>
      </c>
      <c r="G116" s="22" t="n">
        <v>1069.193</v>
      </c>
      <c r="H116" s="22" t="n">
        <v>168.518</v>
      </c>
      <c r="I116" s="22" t="n">
        <v>195.59</v>
      </c>
      <c r="J116" s="22" t="n">
        <v>112.758</v>
      </c>
      <c r="K116" s="22" t="n">
        <v>51.102</v>
      </c>
      <c r="L116" s="22" t="n">
        <v>919.523</v>
      </c>
    </row>
    <row r="117">
      <c r="A117" s="20" t="inlineStr">
        <is>
          <t>대손충당금</t>
        </is>
      </c>
      <c r="C117" s="22" t="n">
        <v>-40.638</v>
      </c>
      <c r="D117" s="22" t="n">
        <v>-81.961</v>
      </c>
      <c r="E117" s="22" t="n">
        <v>-87.934</v>
      </c>
      <c r="F117" s="22" t="n">
        <v>-92.014</v>
      </c>
      <c r="G117" s="22" t="n">
        <v>-95.709</v>
      </c>
      <c r="H117" s="22" t="n">
        <v>-89.318</v>
      </c>
      <c r="I117" s="22" t="n">
        <v>-53.608</v>
      </c>
      <c r="J117" s="22" t="n">
        <v>-40.533</v>
      </c>
      <c r="K117" s="22" t="n">
        <v>-34.313</v>
      </c>
      <c r="L117" s="22" t="n">
        <v>-81.961</v>
      </c>
    </row>
    <row r="118">
      <c r="A118" s="20" t="inlineStr">
        <is>
          <t>투자 및 기타자산 합계</t>
        </is>
      </c>
      <c r="C118" s="22" t="n">
        <v>4412.929</v>
      </c>
      <c r="D118" s="22" t="n">
        <v>4470.554</v>
      </c>
      <c r="E118" s="22" t="n">
        <v>4408.489</v>
      </c>
      <c r="F118" s="22" t="n">
        <v>4426.349</v>
      </c>
      <c r="G118" s="22" t="n">
        <v>3985.503</v>
      </c>
      <c r="H118" s="22" t="n">
        <v>1371.309</v>
      </c>
      <c r="I118" s="22" t="n">
        <v>1342.483</v>
      </c>
      <c r="J118" s="22" t="n">
        <v>3014.865</v>
      </c>
      <c r="K118" s="22" t="n">
        <v>4321.076</v>
      </c>
      <c r="L118" s="22" t="n">
        <v>4470.554</v>
      </c>
    </row>
    <row r="119">
      <c r="A119" s="9" t="inlineStr">
        <is>
          <t>비유동자산 합계</t>
        </is>
      </c>
      <c r="C119" s="12" t="n">
        <v>7604.337</v>
      </c>
      <c r="D119" s="12" t="n">
        <v>8039.9</v>
      </c>
      <c r="E119" s="12" t="n">
        <v>9233.834000000001</v>
      </c>
      <c r="F119" s="12" t="n">
        <v>9329.870000000001</v>
      </c>
      <c r="G119" s="12" t="n">
        <v>8706.192999999999</v>
      </c>
      <c r="H119" s="12" t="n">
        <v>1817.816</v>
      </c>
      <c r="I119" s="12" t="n">
        <v>1996.431</v>
      </c>
      <c r="J119" s="12" t="n">
        <v>3653.234</v>
      </c>
      <c r="K119" s="12" t="n">
        <v>4943.901</v>
      </c>
      <c r="L119" s="12" t="n">
        <v>8039.9</v>
      </c>
    </row>
    <row r="120">
      <c r="A120" s="9" t="inlineStr">
        <is>
          <t>자산 합계</t>
        </is>
      </c>
      <c r="C120" s="12" t="n">
        <v>23919.406</v>
      </c>
      <c r="D120" s="12" t="n">
        <v>26575.004</v>
      </c>
      <c r="E120" s="12" t="n">
        <v>25764.992</v>
      </c>
      <c r="F120" s="12" t="n">
        <v>27148.665</v>
      </c>
      <c r="G120" s="12" t="n">
        <v>28554.299</v>
      </c>
      <c r="H120" s="12" t="n">
        <v>13947.8</v>
      </c>
      <c r="I120" s="12" t="n">
        <v>16072.15</v>
      </c>
      <c r="J120" s="12" t="n">
        <v>18477.837</v>
      </c>
      <c r="K120" s="12" t="n">
        <v>20650.268</v>
      </c>
      <c r="L120" s="12" t="n">
        <v>26575.004</v>
      </c>
    </row>
    <row r="121">
      <c r="A121" s="20" t="inlineStr">
        <is>
          <t>매입채무</t>
        </is>
      </c>
      <c r="C121" s="22" t="n">
        <v>7610.637</v>
      </c>
      <c r="D121" s="22" t="n">
        <v>8384.308000000001</v>
      </c>
      <c r="E121" s="22" t="n">
        <v>8115.348</v>
      </c>
      <c r="F121" s="22" t="n">
        <v>8031.937</v>
      </c>
      <c r="G121" s="22" t="n">
        <v>8555.49</v>
      </c>
      <c r="H121" s="22" t="n">
        <v>4868.493</v>
      </c>
      <c r="I121" s="22" t="n">
        <v>5567.979</v>
      </c>
      <c r="J121" s="22" t="n">
        <v>6420.617</v>
      </c>
      <c r="K121" s="22" t="n">
        <v>7181.024</v>
      </c>
      <c r="L121" s="22" t="n">
        <v>8384.308000000001</v>
      </c>
    </row>
    <row r="122">
      <c r="A122" s="20" t="inlineStr">
        <is>
          <t>미지급금</t>
        </is>
      </c>
      <c r="D122" s="22" t="n">
        <v>829.428</v>
      </c>
      <c r="H122" s="22" t="n">
        <v>547.426</v>
      </c>
      <c r="I122" s="22" t="n">
        <v>559.194</v>
      </c>
      <c r="J122" s="22" t="n">
        <v>737.204</v>
      </c>
      <c r="K122" s="22" t="n">
        <v>794.823</v>
      </c>
      <c r="L122" s="22" t="n">
        <v>829.428</v>
      </c>
    </row>
    <row r="123">
      <c r="A123" s="20" t="inlineStr">
        <is>
          <t>미지급비용</t>
        </is>
      </c>
      <c r="D123" s="22" t="n">
        <v>51.612</v>
      </c>
      <c r="H123" s="22" t="n">
        <v>69.437</v>
      </c>
      <c r="I123" s="22" t="n">
        <v>63.122</v>
      </c>
      <c r="J123" s="22" t="n">
        <v>66.31999999999999</v>
      </c>
      <c r="K123" s="22" t="n">
        <v>52.371</v>
      </c>
      <c r="L123" s="22" t="n">
        <v>51.612</v>
      </c>
    </row>
    <row r="124">
      <c r="A124" s="20" t="inlineStr">
        <is>
          <t>단기차입금</t>
        </is>
      </c>
      <c r="C124" s="22" t="n">
        <v>322.96</v>
      </c>
      <c r="D124" s="22" t="n">
        <v>365.474</v>
      </c>
      <c r="E124" s="22" t="n">
        <v>350.983</v>
      </c>
      <c r="F124" s="22" t="n">
        <v>305.072</v>
      </c>
      <c r="G124" s="22" t="n">
        <v>350.774</v>
      </c>
      <c r="J124" s="22" t="n">
        <v>0</v>
      </c>
      <c r="K124" s="22" t="n">
        <v>0</v>
      </c>
      <c r="L124" s="22" t="n">
        <v>365.474</v>
      </c>
    </row>
    <row r="125">
      <c r="A125" s="20" t="inlineStr">
        <is>
          <t>1년 내 상환 장기차입금</t>
        </is>
      </c>
      <c r="D125" s="22" t="n">
        <v>97.325</v>
      </c>
      <c r="E125" s="22" t="n">
        <v>173.432</v>
      </c>
      <c r="F125" s="22" t="n">
        <v>175.364</v>
      </c>
      <c r="G125" s="22" t="n">
        <v>172.038</v>
      </c>
      <c r="L125" s="22" t="n">
        <v>97.325</v>
      </c>
    </row>
    <row r="126">
      <c r="A126" s="20" t="inlineStr">
        <is>
          <t>미지급법인세</t>
        </is>
      </c>
      <c r="C126" s="22" t="n">
        <v>457.64</v>
      </c>
      <c r="D126" s="22" t="n">
        <v>893.073</v>
      </c>
      <c r="E126" s="22" t="n">
        <v>486.355</v>
      </c>
      <c r="F126" s="22" t="n">
        <v>952.804</v>
      </c>
      <c r="G126" s="22" t="n">
        <v>853.003</v>
      </c>
      <c r="H126" s="22" t="n">
        <v>610.067</v>
      </c>
      <c r="I126" s="22" t="n">
        <v>594.575</v>
      </c>
      <c r="J126" s="22" t="n">
        <v>658.189</v>
      </c>
      <c r="K126" s="22" t="n">
        <v>400.977</v>
      </c>
      <c r="L126" s="22" t="n">
        <v>893.073</v>
      </c>
    </row>
    <row r="127">
      <c r="A127" s="20" t="inlineStr">
        <is>
          <t>미지급 소비세</t>
        </is>
      </c>
      <c r="D127" s="22" t="n">
        <v>104.44</v>
      </c>
      <c r="H127" s="22" t="n">
        <v>236.865</v>
      </c>
      <c r="I127" s="22" t="n">
        <v>135.192</v>
      </c>
      <c r="J127" s="22" t="n">
        <v>97.488</v>
      </c>
      <c r="K127" s="22" t="n">
        <v>76.839</v>
      </c>
      <c r="L127" s="22" t="n">
        <v>104.44</v>
      </c>
    </row>
    <row r="128">
      <c r="A128" s="20" t="inlineStr">
        <is>
          <t>리스부채</t>
        </is>
      </c>
      <c r="D128" s="22" t="n">
        <v>5.769</v>
      </c>
      <c r="H128" s="22" t="n">
        <v>1.302</v>
      </c>
      <c r="I128" s="22" t="n">
        <v>1.302</v>
      </c>
      <c r="J128" s="22" t="n">
        <v>0.434</v>
      </c>
      <c r="K128" s="22" t="n">
        <v>2.653</v>
      </c>
      <c r="L128" s="22" t="n">
        <v>5.769</v>
      </c>
    </row>
    <row r="129">
      <c r="A129" s="20" t="inlineStr">
        <is>
          <t>종업원 예수금</t>
        </is>
      </c>
      <c r="D129" s="22" t="n">
        <v>32.965</v>
      </c>
      <c r="H129" s="22" t="n">
        <v>33.555</v>
      </c>
      <c r="I129" s="22" t="n">
        <v>41.205</v>
      </c>
      <c r="J129" s="22" t="n">
        <v>44.154</v>
      </c>
      <c r="K129" s="22" t="n">
        <v>35.16</v>
      </c>
      <c r="L129" s="22" t="n">
        <v>32.965</v>
      </c>
    </row>
    <row r="130">
      <c r="A130" s="20" t="inlineStr">
        <is>
          <t>상여충당금</t>
        </is>
      </c>
      <c r="C130" s="22" t="n">
        <v>36.315</v>
      </c>
      <c r="D130" s="22" t="n">
        <v>0</v>
      </c>
      <c r="E130" s="22" t="n">
        <v>41.354</v>
      </c>
      <c r="G130" s="22" t="n">
        <v>41.749</v>
      </c>
      <c r="I130" s="22" t="n">
        <v>0</v>
      </c>
      <c r="J130" s="22" t="n">
        <v>0</v>
      </c>
      <c r="K130" s="22" t="n">
        <v>0</v>
      </c>
      <c r="L130" s="22" t="n">
        <v>0</v>
      </c>
    </row>
    <row r="131">
      <c r="A131" s="20" t="inlineStr">
        <is>
          <t>기타</t>
        </is>
      </c>
      <c r="C131" s="22" t="n">
        <v>1142.016</v>
      </c>
      <c r="D131" s="22" t="n">
        <v>1314.182</v>
      </c>
      <c r="E131" s="22" t="n">
        <v>1220.696</v>
      </c>
      <c r="F131" s="22" t="n">
        <v>1377.48</v>
      </c>
      <c r="G131" s="22" t="n">
        <v>1353.222</v>
      </c>
      <c r="H131" s="22" t="n">
        <v>84.773</v>
      </c>
      <c r="I131" s="22" t="n">
        <v>91.82599999999999</v>
      </c>
      <c r="J131" s="22" t="n">
        <v>52.555</v>
      </c>
      <c r="K131" s="22" t="n">
        <v>58.72</v>
      </c>
      <c r="L131" s="22" t="n">
        <v>1314.182</v>
      </c>
    </row>
    <row r="132">
      <c r="A132" s="9" t="inlineStr">
        <is>
          <t>유동부채 합계</t>
        </is>
      </c>
      <c r="C132" s="12" t="n">
        <v>9569.571</v>
      </c>
      <c r="D132" s="12" t="n">
        <v>11054.363</v>
      </c>
      <c r="E132" s="12" t="n">
        <v>10388.171</v>
      </c>
      <c r="F132" s="12" t="n">
        <v>10842.659</v>
      </c>
      <c r="G132" s="12" t="n">
        <v>11326.279</v>
      </c>
      <c r="H132" s="12" t="n">
        <v>6417.063</v>
      </c>
      <c r="I132" s="12" t="n">
        <v>7011.89</v>
      </c>
      <c r="J132" s="12" t="n">
        <v>8076.965</v>
      </c>
      <c r="K132" s="12" t="n">
        <v>8602.571</v>
      </c>
      <c r="L132" s="12" t="n">
        <v>11054.363</v>
      </c>
    </row>
    <row r="133">
      <c r="A133" s="20" t="inlineStr">
        <is>
          <t>리스부채</t>
        </is>
      </c>
      <c r="D133" s="22" t="n">
        <v>29.284</v>
      </c>
      <c r="H133" s="22" t="n">
        <v>1.737</v>
      </c>
      <c r="I133" s="22" t="n">
        <v>0.434</v>
      </c>
      <c r="J133" s="22" t="n">
        <v>0</v>
      </c>
      <c r="K133" s="22" t="n">
        <v>9.949</v>
      </c>
      <c r="L133" s="22" t="n">
        <v>29.284</v>
      </c>
    </row>
    <row r="134">
      <c r="A134" s="20" t="inlineStr">
        <is>
          <t>장기차입금</t>
        </is>
      </c>
      <c r="C134" s="22" t="n">
        <v>414.566</v>
      </c>
      <c r="D134" s="22" t="n">
        <v>365.827</v>
      </c>
      <c r="E134" s="22" t="n">
        <v>160.782</v>
      </c>
      <c r="F134" s="22" t="n">
        <v>251.572</v>
      </c>
      <c r="G134" s="22" t="n">
        <v>198.187</v>
      </c>
      <c r="J134" s="22" t="n">
        <v>0</v>
      </c>
      <c r="K134" s="22" t="n">
        <v>76.617</v>
      </c>
      <c r="L134" s="22" t="n">
        <v>365.827</v>
      </c>
    </row>
    <row r="135">
      <c r="A135" s="20" t="inlineStr">
        <is>
          <t>주식급여 충당금</t>
        </is>
      </c>
      <c r="C135" s="22" t="n">
        <v>41.839</v>
      </c>
      <c r="D135" s="22" t="n">
        <v>44.585</v>
      </c>
      <c r="E135" s="22" t="n">
        <v>45.622</v>
      </c>
      <c r="F135" s="22" t="n">
        <v>48.784</v>
      </c>
      <c r="G135" s="22" t="n">
        <v>50.907</v>
      </c>
      <c r="H135" s="22" t="n">
        <v>13.858</v>
      </c>
      <c r="I135" s="22" t="n">
        <v>20.358</v>
      </c>
      <c r="J135" s="22" t="n">
        <v>27.375</v>
      </c>
      <c r="K135" s="22" t="n">
        <v>25.154</v>
      </c>
      <c r="L135" s="22" t="n">
        <v>44.585</v>
      </c>
    </row>
    <row r="136">
      <c r="A136" s="20" t="inlineStr">
        <is>
          <t>임원 주식급여 충당금</t>
        </is>
      </c>
      <c r="C136" s="22" t="n">
        <v>45.525</v>
      </c>
      <c r="D136" s="22" t="n">
        <v>27.443</v>
      </c>
      <c r="E136" s="22" t="n">
        <v>29.468</v>
      </c>
      <c r="F136" s="22" t="n">
        <v>28.654</v>
      </c>
      <c r="G136" s="22" t="n">
        <v>31.94</v>
      </c>
      <c r="H136" s="22" t="n">
        <v>31.417</v>
      </c>
      <c r="I136" s="22" t="n">
        <v>49.757</v>
      </c>
      <c r="J136" s="22" t="n">
        <v>62.623</v>
      </c>
      <c r="K136" s="22" t="n">
        <v>60.116</v>
      </c>
      <c r="L136" s="22" t="n">
        <v>27.443</v>
      </c>
    </row>
    <row r="137">
      <c r="A137" s="20" t="inlineStr">
        <is>
          <t>기타</t>
        </is>
      </c>
      <c r="C137" s="22" t="n">
        <v>112.569</v>
      </c>
      <c r="D137" s="22" t="n">
        <v>220.209</v>
      </c>
      <c r="E137" s="22" t="n">
        <v>210.14</v>
      </c>
      <c r="F137" s="22" t="n">
        <v>206.293</v>
      </c>
      <c r="G137" s="22" t="n">
        <v>196.363</v>
      </c>
      <c r="H137" s="22" t="n">
        <v>1.737</v>
      </c>
      <c r="I137" s="22" t="n">
        <v>0.434</v>
      </c>
      <c r="J137" s="22" t="n">
        <v>0</v>
      </c>
      <c r="K137" s="22" t="n">
        <v>106.628</v>
      </c>
      <c r="L137" s="22" t="n">
        <v>220.209</v>
      </c>
    </row>
    <row r="138">
      <c r="A138" s="9" t="inlineStr">
        <is>
          <t>비유동부채 합계</t>
        </is>
      </c>
      <c r="C138" s="12" t="n">
        <v>614.5</v>
      </c>
      <c r="D138" s="12" t="n">
        <v>658.066</v>
      </c>
      <c r="E138" s="12" t="n">
        <v>446.014</v>
      </c>
      <c r="F138" s="12" t="n">
        <v>535.3049999999999</v>
      </c>
      <c r="G138" s="12" t="n">
        <v>477.398</v>
      </c>
      <c r="H138" s="12" t="n">
        <v>47.013</v>
      </c>
      <c r="I138" s="12" t="n">
        <v>70.551</v>
      </c>
      <c r="J138" s="12" t="n">
        <v>89.999</v>
      </c>
      <c r="K138" s="12" t="n">
        <v>95.22</v>
      </c>
      <c r="L138" s="12" t="n">
        <v>658.066</v>
      </c>
    </row>
    <row r="139">
      <c r="A139" s="9" t="inlineStr">
        <is>
          <t>부채 합계</t>
        </is>
      </c>
      <c r="C139" s="12" t="n">
        <v>10184.071</v>
      </c>
      <c r="D139" s="12" t="n">
        <v>11712.429</v>
      </c>
      <c r="E139" s="12" t="n">
        <v>10834.185</v>
      </c>
      <c r="F139" s="12" t="n">
        <v>11377.964</v>
      </c>
      <c r="G139" s="12" t="n">
        <v>11803.677</v>
      </c>
      <c r="H139" s="12" t="n">
        <v>6464.077</v>
      </c>
      <c r="I139" s="12" t="n">
        <v>7082.441</v>
      </c>
      <c r="J139" s="12" t="n">
        <v>8166.964</v>
      </c>
      <c r="K139" s="12" t="n">
        <v>8697.791999999999</v>
      </c>
      <c r="L139" s="12" t="n">
        <v>11712.429</v>
      </c>
    </row>
    <row r="140">
      <c r="A140" s="20" t="inlineStr">
        <is>
          <t>자본금</t>
        </is>
      </c>
      <c r="C140" s="22" t="n">
        <v>573.496</v>
      </c>
      <c r="D140" s="22" t="n">
        <v>573.496</v>
      </c>
      <c r="E140" s="22" t="n">
        <v>573.496</v>
      </c>
      <c r="F140" s="22" t="n">
        <v>573.496</v>
      </c>
      <c r="G140" s="22" t="n">
        <v>573.496</v>
      </c>
      <c r="H140" s="22" t="n">
        <v>573.496</v>
      </c>
      <c r="I140" s="22" t="n">
        <v>573.496</v>
      </c>
      <c r="J140" s="22" t="n">
        <v>573.496</v>
      </c>
      <c r="K140" s="22" t="n">
        <v>573.496</v>
      </c>
      <c r="L140" s="22" t="n">
        <v>573.496</v>
      </c>
    </row>
    <row r="141">
      <c r="A141" s="20" t="inlineStr">
        <is>
          <t>자본준비금</t>
        </is>
      </c>
      <c r="D141" s="22" t="n">
        <v>543.496</v>
      </c>
      <c r="H141" s="22" t="n">
        <v>543.496</v>
      </c>
      <c r="I141" s="22" t="n">
        <v>543.496</v>
      </c>
      <c r="J141" s="22" t="n">
        <v>543.496</v>
      </c>
      <c r="K141" s="22" t="n">
        <v>543.496</v>
      </c>
      <c r="L141" s="22" t="n">
        <v>543.496</v>
      </c>
    </row>
    <row r="142">
      <c r="A142" s="20" t="inlineStr">
        <is>
          <t>자본잉여금</t>
        </is>
      </c>
      <c r="C142" s="22" t="n">
        <v>543.496</v>
      </c>
      <c r="D142" s="22" t="n">
        <v>543.496</v>
      </c>
      <c r="E142" s="22" t="n">
        <v>543.496</v>
      </c>
      <c r="F142" s="22" t="n">
        <v>543.496</v>
      </c>
      <c r="G142" s="22" t="n">
        <v>543.496</v>
      </c>
      <c r="H142" s="22" t="n">
        <v>543.496</v>
      </c>
      <c r="I142" s="22" t="n">
        <v>543.496</v>
      </c>
      <c r="J142" s="22" t="n">
        <v>543.496</v>
      </c>
      <c r="K142" s="22" t="n">
        <v>543.496</v>
      </c>
      <c r="L142" s="22" t="n">
        <v>543.496</v>
      </c>
    </row>
    <row r="143">
      <c r="A143" s="20" t="inlineStr">
        <is>
          <t>이익준비금</t>
        </is>
      </c>
      <c r="D143" s="22" t="n">
        <v>7.5</v>
      </c>
      <c r="H143" s="22" t="n">
        <v>7.5</v>
      </c>
      <c r="I143" s="22" t="n">
        <v>7.5</v>
      </c>
      <c r="J143" s="22" t="n">
        <v>7.5</v>
      </c>
      <c r="K143" s="22" t="n">
        <v>7.5</v>
      </c>
      <c r="L143" s="22" t="n">
        <v>7.5</v>
      </c>
    </row>
    <row r="144">
      <c r="A144" s="20" t="inlineStr">
        <is>
          <t>별도적립금</t>
        </is>
      </c>
      <c r="D144" s="22" t="n">
        <v>12.5</v>
      </c>
      <c r="H144" s="22" t="n">
        <v>12.5</v>
      </c>
      <c r="I144" s="22" t="n">
        <v>12.5</v>
      </c>
      <c r="J144" s="22" t="n">
        <v>12.5</v>
      </c>
      <c r="K144" s="22" t="n">
        <v>12.5</v>
      </c>
      <c r="L144" s="22" t="n">
        <v>12.5</v>
      </c>
    </row>
    <row r="145">
      <c r="A145" s="20" t="inlineStr">
        <is>
          <t>이월이익잉여금</t>
        </is>
      </c>
      <c r="D145" s="22" t="n">
        <v>12573.533</v>
      </c>
      <c r="H145" s="22" t="n">
        <v>6289.156</v>
      </c>
      <c r="I145" s="22" t="n">
        <v>7745.117</v>
      </c>
      <c r="J145" s="22" t="n">
        <v>9440.527</v>
      </c>
      <c r="K145" s="22" t="n">
        <v>11007.258</v>
      </c>
      <c r="L145" s="22" t="n">
        <v>12573.533</v>
      </c>
    </row>
    <row r="146">
      <c r="A146" s="20" t="inlineStr">
        <is>
          <t>이익잉여금</t>
        </is>
      </c>
      <c r="C146" s="22" t="n">
        <v>12765.644</v>
      </c>
      <c r="D146" s="22" t="n">
        <v>13511.101</v>
      </c>
      <c r="E146" s="22" t="n">
        <v>13551.975</v>
      </c>
      <c r="F146" s="22" t="n">
        <v>14340.195</v>
      </c>
      <c r="G146" s="22" t="n">
        <v>15353.265</v>
      </c>
      <c r="H146" s="22" t="n">
        <v>6574.561</v>
      </c>
      <c r="I146" s="22" t="n">
        <v>8111.868</v>
      </c>
      <c r="J146" s="22" t="n">
        <v>9460.527</v>
      </c>
      <c r="K146" s="22" t="n">
        <v>11027.258</v>
      </c>
      <c r="L146" s="22" t="n">
        <v>13511.101</v>
      </c>
    </row>
    <row r="147">
      <c r="A147" s="20" t="inlineStr">
        <is>
          <t>자기주식</t>
        </is>
      </c>
      <c r="C147" s="22" t="n">
        <v>-170.389</v>
      </c>
      <c r="D147" s="22" t="n">
        <v>-163.1</v>
      </c>
      <c r="E147" s="22" t="n">
        <v>-162.821</v>
      </c>
      <c r="F147" s="22" t="n">
        <v>-159.315</v>
      </c>
      <c r="G147" s="22" t="n">
        <v>-159.179</v>
      </c>
      <c r="H147" s="22" t="n">
        <v>-197.189</v>
      </c>
      <c r="I147" s="22" t="n">
        <v>-194.096</v>
      </c>
      <c r="J147" s="22" t="n">
        <v>-194.125</v>
      </c>
      <c r="K147" s="22" t="n">
        <v>-191.477</v>
      </c>
      <c r="L147" s="22" t="n">
        <v>-163.1</v>
      </c>
    </row>
    <row r="148">
      <c r="A148" s="9" t="inlineStr">
        <is>
          <t>주주자본 합계</t>
        </is>
      </c>
      <c r="C148" s="12" t="n">
        <v>13712.248</v>
      </c>
      <c r="D148" s="12" t="n">
        <v>14464.994</v>
      </c>
      <c r="E148" s="12" t="n">
        <v>14506.146</v>
      </c>
      <c r="F148" s="12" t="n">
        <v>15297.872</v>
      </c>
      <c r="G148" s="12" t="n">
        <v>16311.078</v>
      </c>
      <c r="H148" s="12" t="n">
        <v>7494.363</v>
      </c>
      <c r="I148" s="12" t="n">
        <v>9034.763999999999</v>
      </c>
      <c r="J148" s="12" t="n">
        <v>10383.394</v>
      </c>
      <c r="K148" s="12" t="n">
        <v>11952.773</v>
      </c>
      <c r="L148" s="12" t="n">
        <v>14464.994</v>
      </c>
    </row>
    <row r="149">
      <c r="A149" s="20" t="inlineStr">
        <is>
          <t>기타유가증권 평가차액</t>
        </is>
      </c>
      <c r="C149" s="22" t="n">
        <v>-16.076</v>
      </c>
      <c r="D149" s="22" t="n">
        <v>-7.659</v>
      </c>
      <c r="E149" s="22" t="n">
        <v>-12.241</v>
      </c>
      <c r="F149" s="22" t="n">
        <v>-11.327</v>
      </c>
      <c r="G149" s="22" t="n">
        <v>4.552</v>
      </c>
      <c r="H149" s="22" t="n">
        <v>-10.64</v>
      </c>
      <c r="I149" s="22" t="n">
        <v>-45.055</v>
      </c>
      <c r="J149" s="22" t="n">
        <v>-72.521</v>
      </c>
      <c r="K149" s="22" t="n">
        <v>-0.297</v>
      </c>
      <c r="L149" s="22" t="n">
        <v>-7.659</v>
      </c>
    </row>
    <row r="150">
      <c r="A150" s="20" t="inlineStr">
        <is>
          <t>해외사업환산조정</t>
        </is>
      </c>
      <c r="C150" s="22" t="n">
        <v>-155.218</v>
      </c>
      <c r="D150" s="22" t="n">
        <v>-13.821</v>
      </c>
      <c r="E150" s="22" t="n">
        <v>24.287</v>
      </c>
      <c r="F150" s="22" t="n">
        <v>62.875</v>
      </c>
      <c r="G150" s="22" t="n">
        <v>24.948</v>
      </c>
      <c r="J150" s="22" t="n">
        <v>0</v>
      </c>
      <c r="K150" s="22" t="n">
        <v>45.732</v>
      </c>
      <c r="L150" s="22" t="n">
        <v>-13.821</v>
      </c>
    </row>
    <row r="151">
      <c r="A151" s="20" t="inlineStr">
        <is>
          <t>기타포괄손익누계액 합계</t>
        </is>
      </c>
      <c r="C151" s="22" t="n">
        <v>-171.295</v>
      </c>
      <c r="D151" s="22" t="n">
        <v>-21.48</v>
      </c>
      <c r="E151" s="22" t="n">
        <v>12.046</v>
      </c>
      <c r="F151" s="22" t="n">
        <v>51.547</v>
      </c>
      <c r="G151" s="22" t="n">
        <v>29.501</v>
      </c>
      <c r="H151" s="22" t="n">
        <v>-10.64</v>
      </c>
      <c r="I151" s="22" t="n">
        <v>-45.055</v>
      </c>
      <c r="J151" s="22" t="n">
        <v>-72.521</v>
      </c>
      <c r="K151" s="22" t="n">
        <v>-0.297</v>
      </c>
      <c r="L151" s="22" t="n">
        <v>-21.48</v>
      </c>
    </row>
    <row r="152">
      <c r="A152" s="20" t="inlineStr">
        <is>
          <t>비지배지분</t>
        </is>
      </c>
      <c r="C152" s="22" t="n">
        <v>194.381</v>
      </c>
      <c r="D152" s="22" t="n">
        <v>419.061</v>
      </c>
      <c r="E152" s="22" t="n">
        <v>412.614</v>
      </c>
      <c r="F152" s="22" t="n">
        <v>421.28</v>
      </c>
      <c r="G152" s="22" t="n">
        <v>410.041</v>
      </c>
      <c r="K152" s="22" t="n">
        <v>0</v>
      </c>
      <c r="L152" s="22" t="n">
        <v>419.061</v>
      </c>
    </row>
    <row r="153">
      <c r="A153" s="9" t="inlineStr">
        <is>
          <t>순자산 합계</t>
        </is>
      </c>
      <c r="C153" s="12" t="n">
        <v>13735.334</v>
      </c>
      <c r="D153" s="12" t="n">
        <v>14862.574</v>
      </c>
      <c r="E153" s="12" t="n">
        <v>14930.807</v>
      </c>
      <c r="F153" s="12" t="n">
        <v>15770.701</v>
      </c>
      <c r="G153" s="12" t="n">
        <v>16750.621</v>
      </c>
      <c r="H153" s="12" t="n">
        <v>7483.722</v>
      </c>
      <c r="I153" s="12" t="n">
        <v>8989.708000000001</v>
      </c>
      <c r="J153" s="12" t="n">
        <v>10310.873</v>
      </c>
      <c r="K153" s="12" t="n">
        <v>11952.476</v>
      </c>
      <c r="L153" s="12" t="n">
        <v>14862.574</v>
      </c>
    </row>
    <row r="154">
      <c r="A154" s="9" t="inlineStr">
        <is>
          <t>부채·순자산 합계</t>
        </is>
      </c>
      <c r="C154" s="12" t="n">
        <v>23919.406</v>
      </c>
      <c r="D154" s="12" t="n">
        <v>26575.004</v>
      </c>
      <c r="E154" s="12" t="n">
        <v>25764.992</v>
      </c>
      <c r="F154" s="12" t="n">
        <v>27148.665</v>
      </c>
      <c r="G154" s="12" t="n">
        <v>28554.299</v>
      </c>
      <c r="H154" s="12" t="n">
        <v>13947.8</v>
      </c>
      <c r="I154" s="12" t="n">
        <v>16072.15</v>
      </c>
      <c r="J154" s="12" t="n">
        <v>18477.837</v>
      </c>
      <c r="K154" s="12" t="n">
        <v>20650.268</v>
      </c>
      <c r="L154" s="12" t="n">
        <v>26575.004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44" customWidth="1" min="7" max="7"/>
  </cols>
  <sheetData>
    <row r="1">
      <c r="A1" s="52" t="inlineStr">
        <is>
          <t>6099 섹터·사업 데이터</t>
        </is>
      </c>
    </row>
    <row r="2">
      <c r="A2" s="53" t="inlineStr">
        <is>
          <t>2단계 보고서를 만들 때 모은 자료 · 월차 · 출처는 맨 오른쪽</t>
        </is>
      </c>
    </row>
    <row r="4">
      <c r="A4" s="54" t="inlineStr">
        <is>
          <t>가이던스 fy2026</t>
        </is>
      </c>
      <c r="B4" s="54" t="n"/>
      <c r="C4" s="54" t="n"/>
      <c r="D4" s="54" t="n"/>
      <c r="E4" s="54" t="n"/>
      <c r="F4" s="54" t="n"/>
      <c r="G4" s="54" t="n"/>
    </row>
    <row r="5">
      <c r="A5" s="55" t="inlineStr">
        <is>
          <t>항목</t>
        </is>
      </c>
      <c r="B5" s="55" t="inlineStr">
        <is>
          <t>값</t>
        </is>
      </c>
      <c r="G5" s="55" t="inlineStr">
        <is>
          <t>출처</t>
        </is>
      </c>
    </row>
    <row r="6">
      <c r="A6" s="56" t="inlineStr">
        <is>
          <t>매출</t>
        </is>
      </c>
      <c r="B6" s="57" t="n">
        <v>608</v>
      </c>
      <c r="G6" s="58" t="inlineStr">
        <is>
          <t>2단계 보고서 자료(회사 설명회 자료·공시)</t>
        </is>
      </c>
    </row>
    <row r="7">
      <c r="A7" s="56" t="inlineStr">
        <is>
          <t>영업이익</t>
        </is>
      </c>
      <c r="B7" s="57" t="n">
        <v>50</v>
      </c>
    </row>
    <row r="8">
      <c r="A8" s="56" t="inlineStr">
        <is>
          <t>ordinary</t>
        </is>
      </c>
      <c r="B8" s="57" t="n">
        <v>50</v>
      </c>
    </row>
    <row r="9">
      <c r="A9" s="56" t="inlineStr">
        <is>
          <t>순이익</t>
        </is>
      </c>
      <c r="B9" s="57" t="n">
        <v>32</v>
      </c>
    </row>
    <row r="10">
      <c r="A10" s="56" t="inlineStr">
        <is>
          <t>EPS</t>
        </is>
      </c>
      <c r="B10" s="57" t="n">
        <v>52.81</v>
      </c>
    </row>
    <row r="11">
      <c r="A11" s="56" t="inlineStr">
        <is>
          <t>dps</t>
        </is>
      </c>
      <c r="B11" s="59" t="n">
        <v>16</v>
      </c>
    </row>
    <row r="12">
      <c r="A12" s="56" t="inlineStr">
        <is>
          <t>revised</t>
        </is>
      </c>
      <c r="B12" s="59" t="b">
        <v>0</v>
      </c>
    </row>
    <row r="14">
      <c r="A14" s="54" t="inlineStr">
        <is>
          <t>가이던스 fy2026 · implied 4Q</t>
        </is>
      </c>
      <c r="B14" s="54" t="n"/>
      <c r="C14" s="54" t="n"/>
      <c r="D14" s="54" t="n"/>
      <c r="E14" s="54" t="n"/>
      <c r="F14" s="54" t="n"/>
      <c r="G14" s="54" t="n"/>
    </row>
    <row r="15">
      <c r="A15" s="55" t="inlineStr">
        <is>
          <t>항목</t>
        </is>
      </c>
      <c r="B15" s="55" t="inlineStr">
        <is>
          <t>값</t>
        </is>
      </c>
      <c r="G15" s="55" t="inlineStr">
        <is>
          <t>출처</t>
        </is>
      </c>
    </row>
    <row r="16">
      <c r="A16" s="56" t="inlineStr">
        <is>
          <t>매출</t>
        </is>
      </c>
      <c r="B16" s="57" t="n">
        <v>157.7</v>
      </c>
      <c r="G16" s="58" t="inlineStr">
        <is>
          <t>2단계 보고서 자료(회사 설명회 자료·공시)</t>
        </is>
      </c>
    </row>
    <row r="17">
      <c r="A17" s="56" t="inlineStr">
        <is>
          <t>영업이익</t>
        </is>
      </c>
      <c r="B17" s="57" t="n">
        <v>10.3</v>
      </c>
    </row>
    <row r="18">
      <c r="A18" s="56" t="inlineStr">
        <is>
          <t>ordinary</t>
        </is>
      </c>
      <c r="B18" s="57" t="n">
        <v>8.1</v>
      </c>
    </row>
    <row r="19">
      <c r="A19" s="56" t="inlineStr">
        <is>
          <t>순이익</t>
        </is>
      </c>
      <c r="B19" s="57" t="n">
        <v>4.5</v>
      </c>
    </row>
    <row r="21">
      <c r="A21" s="54" t="inlineStr">
        <is>
          <t>midterm 계획 2026 2028</t>
        </is>
      </c>
      <c r="B21" s="54" t="n"/>
      <c r="C21" s="54" t="n"/>
      <c r="D21" s="54" t="n"/>
      <c r="E21" s="54" t="n"/>
      <c r="F21" s="54" t="n"/>
      <c r="G21" s="54" t="n"/>
    </row>
    <row r="22">
      <c r="A22" s="55" t="inlineStr">
        <is>
          <t>항목</t>
        </is>
      </c>
      <c r="B22" s="55" t="inlineStr">
        <is>
          <t>값</t>
        </is>
      </c>
      <c r="G22" s="55" t="inlineStr">
        <is>
          <t>출처</t>
        </is>
      </c>
    </row>
    <row r="23">
      <c r="A23" s="56" t="inlineStr">
        <is>
          <t>매출 2028</t>
        </is>
      </c>
      <c r="B23" s="59" t="n">
        <v>800</v>
      </c>
      <c r="G23" s="58" t="inlineStr">
        <is>
          <t>설명회 자료 3Q26. 직전 중계(2023~25)는 3년 모두 매출 계획 미달(달성률 95·95·94%), 영업익 100·83·91%</t>
        </is>
      </c>
    </row>
    <row r="24">
      <c r="A24" s="56" t="inlineStr">
        <is>
          <t>영업이익 2028</t>
        </is>
      </c>
      <c r="B24" s="59" t="n">
        <v>75</v>
      </c>
    </row>
    <row r="26">
      <c r="A26" s="54" t="inlineStr">
        <is>
          <t>3Q 2026 detail · 9M</t>
        </is>
      </c>
      <c r="B26" s="54" t="n"/>
      <c r="C26" s="54" t="n"/>
      <c r="D26" s="54" t="n"/>
      <c r="E26" s="54" t="n"/>
      <c r="F26" s="54" t="n"/>
      <c r="G26" s="54" t="n"/>
    </row>
    <row r="27">
      <c r="A27" s="55" t="inlineStr">
        <is>
          <t>항목</t>
        </is>
      </c>
      <c r="B27" s="55" t="inlineStr">
        <is>
          <t>값</t>
        </is>
      </c>
      <c r="G27" s="55" t="inlineStr">
        <is>
          <t>출처</t>
        </is>
      </c>
    </row>
    <row r="28">
      <c r="A28" s="56" t="inlineStr">
        <is>
          <t>매출</t>
        </is>
      </c>
      <c r="B28" s="57" t="n">
        <v>450.33</v>
      </c>
      <c r="G28" s="58" t="inlineStr">
        <is>
          <t>2단계 보고서 자료(회사 설명회 자료·공시)</t>
        </is>
      </c>
    </row>
    <row r="29">
      <c r="A29" s="56" t="inlineStr">
        <is>
          <t>gp</t>
        </is>
      </c>
      <c r="B29" s="57" t="n">
        <v>100.53</v>
      </c>
    </row>
    <row r="30">
      <c r="A30" s="56" t="inlineStr">
        <is>
          <t>sga</t>
        </is>
      </c>
      <c r="B30" s="57" t="n">
        <v>60.86</v>
      </c>
    </row>
    <row r="31">
      <c r="A31" s="56" t="inlineStr">
        <is>
          <t>영업이익</t>
        </is>
      </c>
      <c r="B31" s="57" t="n">
        <v>39.67</v>
      </c>
    </row>
    <row r="32">
      <c r="A32" s="56" t="inlineStr">
        <is>
          <t>ordinary</t>
        </is>
      </c>
      <c r="B32" s="57" t="n">
        <v>41.95</v>
      </c>
    </row>
    <row r="33">
      <c r="A33" s="56" t="inlineStr">
        <is>
          <t>순이익</t>
        </is>
      </c>
      <c r="B33" s="57" t="n">
        <v>27.52</v>
      </c>
    </row>
    <row r="34">
      <c r="A34" s="56" t="inlineStr">
        <is>
          <t>EPS</t>
        </is>
      </c>
      <c r="B34" s="57" t="n">
        <v>45.49</v>
      </c>
    </row>
    <row r="36">
      <c r="A36" s="54" t="inlineStr">
        <is>
          <t>3Q 2026 detail · 3Q standalone</t>
        </is>
      </c>
      <c r="B36" s="54" t="n"/>
      <c r="C36" s="54" t="n"/>
      <c r="D36" s="54" t="n"/>
      <c r="E36" s="54" t="n"/>
      <c r="F36" s="54" t="n"/>
      <c r="G36" s="54" t="n"/>
    </row>
    <row r="37">
      <c r="A37" s="55" t="inlineStr">
        <is>
          <t>항목</t>
        </is>
      </c>
      <c r="B37" s="55" t="inlineStr">
        <is>
          <t>값</t>
        </is>
      </c>
      <c r="G37" s="55" t="inlineStr">
        <is>
          <t>출처</t>
        </is>
      </c>
    </row>
    <row r="38">
      <c r="A38" s="56" t="inlineStr">
        <is>
          <t>매출</t>
        </is>
      </c>
      <c r="B38" s="57" t="n">
        <v>155.08</v>
      </c>
      <c r="G38" s="58" t="inlineStr">
        <is>
          <t>2단계 보고서 자료(회사 설명회 자료·공시)</t>
        </is>
      </c>
    </row>
    <row r="39">
      <c r="A39" s="56" t="inlineStr">
        <is>
          <t>영업이익</t>
        </is>
      </c>
      <c r="B39" s="57" t="n">
        <v>13.26</v>
      </c>
    </row>
    <row r="40">
      <c r="A40" s="56" t="inlineStr">
        <is>
          <t>ordinary</t>
        </is>
      </c>
      <c r="B40" s="57" t="n">
        <v>16.03</v>
      </c>
    </row>
    <row r="41">
      <c r="A41" s="56" t="inlineStr">
        <is>
          <t>순이익</t>
        </is>
      </c>
      <c r="B41" s="57" t="n">
        <v>10.13</v>
      </c>
    </row>
    <row r="42">
      <c r="A42" s="56" t="inlineStr">
        <is>
          <t>gp</t>
        </is>
      </c>
      <c r="B42" s="57" t="n">
        <v>33.7</v>
      </c>
    </row>
    <row r="43">
      <c r="A43" s="56" t="inlineStr">
        <is>
          <t>sga</t>
        </is>
      </c>
      <c r="B43" s="57" t="n">
        <v>20.5</v>
      </c>
    </row>
    <row r="45">
      <c r="A45" s="54" t="inlineStr">
        <is>
          <t>3Q 2026 detail · 핵심 지표</t>
        </is>
      </c>
      <c r="B45" s="54" t="n"/>
      <c r="C45" s="54" t="n"/>
      <c r="D45" s="54" t="n"/>
      <c r="E45" s="54" t="n"/>
      <c r="F45" s="54" t="n"/>
      <c r="G45" s="54" t="n"/>
    </row>
    <row r="46">
      <c r="A46" s="55" t="inlineStr">
        <is>
          <t>항목</t>
        </is>
      </c>
      <c r="B46" s="55" t="inlineStr">
        <is>
          <t>값</t>
        </is>
      </c>
      <c r="G46" s="55" t="inlineStr">
        <is>
          <t>출처</t>
        </is>
      </c>
    </row>
    <row r="47">
      <c r="A47" s="56" t="inlineStr">
        <is>
          <t>new 9M</t>
        </is>
      </c>
      <c r="B47" s="59" t="n">
        <v>244</v>
      </c>
      <c r="G47" s="58" t="inlineStr">
        <is>
          <t>2단계 보고서 자료(회사 설명회 자료·공시)</t>
        </is>
      </c>
    </row>
    <row r="48">
      <c r="A48" s="56" t="inlineStr">
        <is>
          <t>cancel 9M</t>
        </is>
      </c>
      <c r="B48" s="59" t="n">
        <v>102</v>
      </c>
    </row>
    <row r="50">
      <c r="A50" s="54" t="inlineStr">
        <is>
          <t>컨센서스</t>
        </is>
      </c>
      <c r="B50" s="54" t="n"/>
      <c r="C50" s="54" t="n"/>
      <c r="D50" s="54" t="n"/>
      <c r="E50" s="54" t="n"/>
      <c r="F50" s="54" t="n"/>
      <c r="G50" s="54" t="n"/>
    </row>
    <row r="51">
      <c r="A51" s="55" t="inlineStr">
        <is>
          <t>항목</t>
        </is>
      </c>
      <c r="B51" s="55" t="inlineStr">
        <is>
          <t>값</t>
        </is>
      </c>
      <c r="G51" s="55" t="inlineStr">
        <is>
          <t>출처</t>
        </is>
      </c>
    </row>
    <row r="52">
      <c r="A52" s="56" t="inlineStr">
        <is>
          <t>3Q26 매출 추정</t>
        </is>
      </c>
      <c r="B52" s="57" t="n">
        <v>154.45</v>
      </c>
      <c r="G52" s="58" t="inlineStr">
        <is>
          <t>야후 파이낸스(jp_consensus) 2026-10-30, 애널리스트 1명 — '컨센'이 아니라 '애널리스트 1명 추정'으로 표기</t>
        </is>
      </c>
    </row>
    <row r="53">
      <c r="A53" s="56" t="inlineStr">
        <is>
          <t>3Q26 매출 실적</t>
        </is>
      </c>
      <c r="B53" s="57" t="n">
        <v>155.08</v>
      </c>
    </row>
    <row r="54">
      <c r="A54" s="56" t="inlineStr">
        <is>
          <t>4Q26 매출 추정</t>
        </is>
      </c>
      <c r="B54" s="57" t="n">
        <v>160.3</v>
      </c>
    </row>
    <row r="56">
      <c r="A56" s="54" t="inlineStr">
        <is>
          <t>컨센서스 · FY26</t>
        </is>
      </c>
      <c r="B56" s="54" t="n"/>
      <c r="C56" s="54" t="n"/>
      <c r="D56" s="54" t="n"/>
      <c r="E56" s="54" t="n"/>
      <c r="F56" s="54" t="n"/>
      <c r="G56" s="54" t="n"/>
    </row>
    <row r="57">
      <c r="A57" s="55" t="inlineStr">
        <is>
          <t>항목</t>
        </is>
      </c>
      <c r="B57" s="55" t="inlineStr">
        <is>
          <t>값</t>
        </is>
      </c>
      <c r="G57" s="55" t="inlineStr">
        <is>
          <t>출처</t>
        </is>
      </c>
    </row>
    <row r="58">
      <c r="A58" s="56" t="inlineStr">
        <is>
          <t>매출</t>
        </is>
      </c>
      <c r="B58" s="59" t="n">
        <v>610</v>
      </c>
      <c r="G58" s="58" t="inlineStr">
        <is>
          <t>야후 파이낸스(jp_consensus) 2026-10-30, 애널리스트 1명 — '컨센'이 아니라 '애널리스트 1명 추정'으로 표기</t>
        </is>
      </c>
    </row>
    <row r="59">
      <c r="A59" s="56" t="inlineStr">
        <is>
          <t>EPS</t>
        </is>
      </c>
      <c r="B59" s="57" t="n">
        <v>52.9</v>
      </c>
    </row>
    <row r="61">
      <c r="A61" s="54" t="inlineStr">
        <is>
          <t>컨센서스 · FY27</t>
        </is>
      </c>
      <c r="B61" s="54" t="n"/>
      <c r="C61" s="54" t="n"/>
      <c r="D61" s="54" t="n"/>
      <c r="E61" s="54" t="n"/>
      <c r="F61" s="54" t="n"/>
      <c r="G61" s="54" t="n"/>
    </row>
    <row r="62">
      <c r="A62" s="55" t="inlineStr">
        <is>
          <t>항목</t>
        </is>
      </c>
      <c r="B62" s="55" t="inlineStr">
        <is>
          <t>값</t>
        </is>
      </c>
      <c r="G62" s="55" t="inlineStr">
        <is>
          <t>출처</t>
        </is>
      </c>
    </row>
    <row r="63">
      <c r="A63" s="56" t="inlineStr">
        <is>
          <t>매출</t>
        </is>
      </c>
      <c r="B63" s="59" t="n">
        <v>670</v>
      </c>
      <c r="G63" s="58" t="inlineStr">
        <is>
          <t>야후 파이낸스(jp_consensus) 2026-10-30, 애널리스트 1명 — '컨센'이 아니라 '애널리스트 1명 추정'으로 표기</t>
        </is>
      </c>
    </row>
    <row r="64">
      <c r="A64" s="56" t="inlineStr">
        <is>
          <t>EPS</t>
        </is>
      </c>
      <c r="B64" s="57" t="n">
        <v>57.9</v>
      </c>
    </row>
    <row r="66">
      <c r="A66" s="54" t="inlineStr">
        <is>
          <t>market</t>
        </is>
      </c>
      <c r="B66" s="54" t="n"/>
      <c r="C66" s="54" t="n"/>
      <c r="D66" s="54" t="n"/>
      <c r="E66" s="54" t="n"/>
      <c r="F66" s="54" t="n"/>
      <c r="G66" s="54" t="n"/>
    </row>
    <row r="67">
      <c r="A67" s="55" t="inlineStr">
        <is>
          <t>항목</t>
        </is>
      </c>
      <c r="B67" s="55" t="inlineStr">
        <is>
          <t>값</t>
        </is>
      </c>
      <c r="G67" s="55" t="inlineStr">
        <is>
          <t>출처</t>
        </is>
      </c>
    </row>
    <row r="68">
      <c r="A68" s="56" t="inlineStr">
        <is>
          <t>가격</t>
        </is>
      </c>
      <c r="B68" s="59" t="n">
        <v>735</v>
      </c>
      <c r="G68" s="58" t="inlineStr">
        <is>
          <t>2단계 보고서 자료(회사 설명회 자료·공시)</t>
        </is>
      </c>
    </row>
    <row r="69">
      <c r="A69" s="56" t="inlineStr">
        <is>
          <t>shares issued</t>
        </is>
      </c>
      <c r="B69" s="59" t="n">
        <v>60600000</v>
      </c>
    </row>
    <row r="70">
      <c r="A70" s="56" t="inlineStr">
        <is>
          <t>treasury</t>
        </is>
      </c>
      <c r="B70" s="59" t="n">
        <v>113953</v>
      </c>
    </row>
    <row r="71">
      <c r="A71" s="56" t="inlineStr">
        <is>
          <t>shares out</t>
        </is>
      </c>
      <c r="B71" s="59" t="n">
        <v>60486047</v>
      </c>
    </row>
    <row r="72">
      <c r="A72" s="56" t="inlineStr">
        <is>
          <t>mcap oku</t>
        </is>
      </c>
      <c r="B72" s="57" t="n">
        <v>444.6</v>
      </c>
    </row>
    <row r="73">
      <c r="A73" s="56" t="inlineStr">
        <is>
          <t>가이던스 PER</t>
        </is>
      </c>
      <c r="B73" s="57" t="n">
        <v>13.9</v>
      </c>
    </row>
    <row r="74">
      <c r="A74" s="56" t="inlineStr">
        <is>
          <t>dps fy26e</t>
        </is>
      </c>
      <c r="B74" s="59" t="n">
        <v>16</v>
      </c>
    </row>
    <row r="75">
      <c r="A75" s="56" t="inlineStr">
        <is>
          <t>trailing pe yahoo</t>
        </is>
      </c>
      <c r="B75" s="57" t="n">
        <v>14.2</v>
      </c>
    </row>
    <row r="77">
      <c r="A77" s="54" t="inlineStr">
        <is>
          <t>market · bs 3Q26</t>
        </is>
      </c>
      <c r="B77" s="54" t="n"/>
      <c r="C77" s="54" t="n"/>
      <c r="D77" s="54" t="n"/>
      <c r="E77" s="54" t="n"/>
      <c r="F77" s="54" t="n"/>
      <c r="G77" s="54" t="n"/>
    </row>
    <row r="78">
      <c r="A78" s="55" t="inlineStr">
        <is>
          <t>항목</t>
        </is>
      </c>
      <c r="B78" s="55" t="inlineStr">
        <is>
          <t>값</t>
        </is>
      </c>
      <c r="G78" s="55" t="inlineStr">
        <is>
          <t>출처</t>
        </is>
      </c>
    </row>
    <row r="79">
      <c r="A79" s="56" t="inlineStr">
        <is>
          <t>합계 assets</t>
        </is>
      </c>
      <c r="B79" s="57" t="n">
        <v>285.54</v>
      </c>
      <c r="G79" s="58" t="inlineStr">
        <is>
          <t>2단계 보고서 자료(회사 설명회 자료·공시)</t>
        </is>
      </c>
    </row>
    <row r="80">
      <c r="A80" s="56" t="inlineStr">
        <is>
          <t>equity</t>
        </is>
      </c>
      <c r="B80" s="57" t="n">
        <v>167.51</v>
      </c>
    </row>
    <row r="81">
      <c r="A81" s="56" t="inlineStr">
        <is>
          <t>st debt</t>
        </is>
      </c>
      <c r="B81" s="57" t="n">
        <v>3.51</v>
      </c>
    </row>
    <row r="82">
      <c r="A82" s="56" t="inlineStr">
        <is>
          <t>lt debt incl current</t>
        </is>
      </c>
      <c r="B82" s="57" t="n">
        <v>3.7</v>
      </c>
    </row>
    <row r="84">
      <c r="A84" s="54" t="inlineStr">
        <is>
          <t>bs annual</t>
        </is>
      </c>
      <c r="B84" s="54" t="n"/>
      <c r="C84" s="54" t="n"/>
      <c r="D84" s="54" t="n"/>
      <c r="E84" s="54" t="n"/>
      <c r="F84" s="54" t="n"/>
      <c r="G84" s="54" t="n"/>
    </row>
    <row r="85">
      <c r="A85" s="55" t="inlineStr">
        <is>
          <t>항목</t>
        </is>
      </c>
      <c r="B85" s="55" t="inlineStr">
        <is>
          <t>2021</t>
        </is>
      </c>
      <c r="C85" s="55" t="inlineStr">
        <is>
          <t>2022</t>
        </is>
      </c>
      <c r="D85" s="55" t="inlineStr">
        <is>
          <t>2023</t>
        </is>
      </c>
      <c r="E85" s="55" t="inlineStr">
        <is>
          <t>2024</t>
        </is>
      </c>
      <c r="F85" s="55" t="inlineStr">
        <is>
          <t>2025</t>
        </is>
      </c>
      <c r="G85" s="55" t="inlineStr">
        <is>
          <t>출처</t>
        </is>
      </c>
    </row>
    <row r="86">
      <c r="A86" s="56" t="inlineStr">
        <is>
          <t>labels</t>
        </is>
      </c>
      <c r="B86" s="59" t="n">
        <v>2021</v>
      </c>
      <c r="C86" s="59" t="n">
        <v>2022</v>
      </c>
      <c r="D86" s="59" t="n">
        <v>2023</v>
      </c>
      <c r="E86" s="59" t="n">
        <v>2024</v>
      </c>
      <c r="F86" s="59" t="n">
        <v>2025</v>
      </c>
      <c r="G86" s="58" t="inlineStr">
        <is>
          <t>2단계 보고서 자료(회사 설명회 자료·공시)</t>
        </is>
      </c>
    </row>
    <row r="87">
      <c r="A87" s="56" t="inlineStr">
        <is>
          <t>current assets</t>
        </is>
      </c>
      <c r="B87" s="57" t="n">
        <v>121.3</v>
      </c>
      <c r="C87" s="57" t="n">
        <v>140.8</v>
      </c>
      <c r="D87" s="57" t="n">
        <v>148.2</v>
      </c>
      <c r="E87" s="57" t="n">
        <v>157.1</v>
      </c>
      <c r="F87" s="57" t="n">
        <v>185.4</v>
      </c>
    </row>
    <row r="88">
      <c r="A88" s="56" t="inlineStr">
        <is>
          <t>cash</t>
        </is>
      </c>
      <c r="B88" s="57" t="n">
        <v>56.3</v>
      </c>
      <c r="C88" s="57" t="n">
        <v>60.4</v>
      </c>
      <c r="D88" s="57" t="n">
        <v>47.3</v>
      </c>
      <c r="E88" s="57" t="n">
        <v>57.4</v>
      </c>
      <c r="F88" s="57" t="n">
        <v>68.5</v>
      </c>
    </row>
    <row r="89">
      <c r="A89" s="56" t="inlineStr">
        <is>
          <t>st fin</t>
        </is>
      </c>
      <c r="B89" s="60" t="n"/>
      <c r="C89" s="60" t="n"/>
      <c r="D89" s="60" t="n"/>
      <c r="E89" s="57" t="n">
        <v>0</v>
      </c>
      <c r="F89" s="60" t="n"/>
    </row>
    <row r="90">
      <c r="A90" s="56" t="inlineStr">
        <is>
          <t>receivables</t>
        </is>
      </c>
      <c r="B90" s="57" t="n">
        <v>38.9</v>
      </c>
      <c r="C90" s="57" t="n">
        <v>42.5</v>
      </c>
      <c r="D90" s="57" t="n">
        <v>49.5</v>
      </c>
      <c r="E90" s="57" t="n">
        <v>57.6</v>
      </c>
      <c r="F90" s="57" t="n">
        <v>66</v>
      </c>
    </row>
    <row r="91">
      <c r="A91" s="56" t="inlineStr">
        <is>
          <t>inventory</t>
        </is>
      </c>
      <c r="B91" s="57" t="n">
        <v>10.8</v>
      </c>
      <c r="C91" s="57" t="n">
        <v>13.3</v>
      </c>
      <c r="D91" s="57" t="n">
        <v>19</v>
      </c>
      <c r="E91" s="57" t="n">
        <v>22.2</v>
      </c>
      <c r="F91" s="57" t="n">
        <v>29.7</v>
      </c>
    </row>
    <row r="92">
      <c r="A92" s="56" t="inlineStr">
        <is>
          <t>noncurrent assets</t>
        </is>
      </c>
      <c r="B92" s="57" t="n">
        <v>18.2</v>
      </c>
      <c r="C92" s="57" t="n">
        <v>20</v>
      </c>
      <c r="D92" s="57" t="n">
        <v>36.5</v>
      </c>
      <c r="E92" s="57" t="n">
        <v>49.4</v>
      </c>
      <c r="F92" s="57" t="n">
        <v>80.40000000000001</v>
      </c>
    </row>
    <row r="93">
      <c r="A93" s="56" t="inlineStr">
        <is>
          <t>ppe</t>
        </is>
      </c>
      <c r="B93" s="57" t="n">
        <v>3.4</v>
      </c>
      <c r="C93" s="57" t="n">
        <v>5.6</v>
      </c>
      <c r="D93" s="57" t="n">
        <v>5.3</v>
      </c>
      <c r="E93" s="57" t="n">
        <v>5.2</v>
      </c>
      <c r="F93" s="57" t="n">
        <v>13.9</v>
      </c>
    </row>
    <row r="94">
      <c r="A94" s="56" t="inlineStr">
        <is>
          <t>intangibles</t>
        </is>
      </c>
      <c r="B94" s="57" t="n">
        <v>1.1</v>
      </c>
      <c r="C94" s="57" t="n">
        <v>0.9</v>
      </c>
      <c r="D94" s="57" t="n">
        <v>1.1</v>
      </c>
      <c r="E94" s="57" t="n">
        <v>1</v>
      </c>
      <c r="F94" s="57" t="n">
        <v>21.8</v>
      </c>
    </row>
    <row r="95">
      <c r="A95" s="56" t="inlineStr">
        <is>
          <t>inv property</t>
        </is>
      </c>
      <c r="B95" s="60" t="n"/>
      <c r="C95" s="60" t="n"/>
      <c r="D95" s="60" t="n"/>
      <c r="E95" s="60" t="n"/>
      <c r="F95" s="60" t="n"/>
    </row>
    <row r="96">
      <c r="A96" s="56" t="inlineStr">
        <is>
          <t>합계 assets</t>
        </is>
      </c>
      <c r="B96" s="57" t="n">
        <v>139.5</v>
      </c>
      <c r="C96" s="57" t="n">
        <v>160.7</v>
      </c>
      <c r="D96" s="57" t="n">
        <v>184.8</v>
      </c>
      <c r="E96" s="57" t="n">
        <v>206.5</v>
      </c>
      <c r="F96" s="57" t="n">
        <v>265.8</v>
      </c>
    </row>
    <row r="97">
      <c r="A97" s="56" t="inlineStr">
        <is>
          <t>current liab</t>
        </is>
      </c>
      <c r="B97" s="57" t="n">
        <v>64.2</v>
      </c>
      <c r="C97" s="57" t="n">
        <v>70.09999999999999</v>
      </c>
      <c r="D97" s="57" t="n">
        <v>80.8</v>
      </c>
      <c r="E97" s="57" t="n">
        <v>86</v>
      </c>
      <c r="F97" s="57" t="n">
        <v>110.5</v>
      </c>
    </row>
    <row r="98">
      <c r="A98" s="56" t="inlineStr">
        <is>
          <t>payables</t>
        </is>
      </c>
      <c r="B98" s="57" t="n">
        <v>48.7</v>
      </c>
      <c r="C98" s="57" t="n">
        <v>55.7</v>
      </c>
      <c r="D98" s="57" t="n">
        <v>64.2</v>
      </c>
      <c r="E98" s="57" t="n">
        <v>71.8</v>
      </c>
      <c r="F98" s="57" t="n">
        <v>83.8</v>
      </c>
    </row>
    <row r="99">
      <c r="A99" s="56" t="inlineStr">
        <is>
          <t>st debt</t>
        </is>
      </c>
      <c r="B99" s="60" t="n"/>
      <c r="C99" s="60" t="n"/>
      <c r="D99" s="57" t="n">
        <v>0</v>
      </c>
      <c r="E99" s="57" t="n">
        <v>0</v>
      </c>
      <c r="F99" s="57" t="n">
        <v>3.7</v>
      </c>
    </row>
    <row r="100">
      <c r="A100" s="56" t="inlineStr">
        <is>
          <t>noncurrent liab</t>
        </is>
      </c>
      <c r="B100" s="57" t="n">
        <v>0.5</v>
      </c>
      <c r="C100" s="57" t="n">
        <v>0.7</v>
      </c>
      <c r="D100" s="57" t="n">
        <v>0.9</v>
      </c>
      <c r="E100" s="57" t="n">
        <v>1</v>
      </c>
      <c r="F100" s="57" t="n">
        <v>6.6</v>
      </c>
    </row>
    <row r="101">
      <c r="A101" s="56" t="inlineStr">
        <is>
          <t>lt debt</t>
        </is>
      </c>
      <c r="B101" s="60" t="n"/>
      <c r="C101" s="60" t="n"/>
      <c r="D101" s="57" t="n">
        <v>0</v>
      </c>
      <c r="E101" s="57" t="n">
        <v>0.8</v>
      </c>
      <c r="F101" s="57" t="n">
        <v>3.7</v>
      </c>
    </row>
    <row r="102">
      <c r="A102" s="56" t="inlineStr">
        <is>
          <t>bonds</t>
        </is>
      </c>
      <c r="B102" s="60" t="n"/>
      <c r="C102" s="60" t="n"/>
      <c r="D102" s="60" t="n"/>
      <c r="E102" s="60" t="n"/>
      <c r="F102" s="60" t="n"/>
    </row>
    <row r="103">
      <c r="A103" s="56" t="inlineStr">
        <is>
          <t>합계 liab</t>
        </is>
      </c>
      <c r="B103" s="57" t="n">
        <v>64.59999999999999</v>
      </c>
      <c r="C103" s="57" t="n">
        <v>70.8</v>
      </c>
      <c r="D103" s="57" t="n">
        <v>81.7</v>
      </c>
      <c r="E103" s="57" t="n">
        <v>87</v>
      </c>
      <c r="F103" s="57" t="n">
        <v>117.1</v>
      </c>
    </row>
    <row r="104">
      <c r="A104" s="56" t="inlineStr">
        <is>
          <t>capital stock</t>
        </is>
      </c>
      <c r="B104" s="57" t="n">
        <v>5.7</v>
      </c>
      <c r="C104" s="57" t="n">
        <v>5.7</v>
      </c>
      <c r="D104" s="57" t="n">
        <v>5.7</v>
      </c>
      <c r="E104" s="57" t="n">
        <v>5.7</v>
      </c>
      <c r="F104" s="57" t="n">
        <v>5.7</v>
      </c>
    </row>
    <row r="105">
      <c r="A105" s="56" t="inlineStr">
        <is>
          <t>retained</t>
        </is>
      </c>
      <c r="B105" s="57" t="n">
        <v>65.7</v>
      </c>
      <c r="C105" s="57" t="n">
        <v>81.09999999999999</v>
      </c>
      <c r="D105" s="57" t="n">
        <v>94.59999999999999</v>
      </c>
      <c r="E105" s="57" t="n">
        <v>110.3</v>
      </c>
      <c r="F105" s="57" t="n">
        <v>135.1</v>
      </c>
    </row>
    <row r="106">
      <c r="A106" s="56" t="inlineStr">
        <is>
          <t>nci</t>
        </is>
      </c>
      <c r="B106" s="60" t="n"/>
      <c r="C106" s="60" t="n"/>
      <c r="D106" s="60" t="n"/>
      <c r="E106" s="57" t="n">
        <v>0</v>
      </c>
      <c r="F106" s="57" t="n">
        <v>4.2</v>
      </c>
    </row>
    <row r="107">
      <c r="A107" s="56" t="inlineStr">
        <is>
          <t>합계 equity</t>
        </is>
      </c>
      <c r="B107" s="57" t="n">
        <v>74.8</v>
      </c>
      <c r="C107" s="57" t="n">
        <v>89.90000000000001</v>
      </c>
      <c r="D107" s="57" t="n">
        <v>103.1</v>
      </c>
      <c r="E107" s="57" t="n">
        <v>119.5</v>
      </c>
      <c r="F107" s="57" t="n">
        <v>148.6</v>
      </c>
    </row>
    <row r="108">
      <c r="A108" s="56" t="inlineStr">
        <is>
          <t>current ltd</t>
        </is>
      </c>
      <c r="B108" s="60" t="n"/>
      <c r="C108" s="60" t="n"/>
      <c r="D108" s="60" t="n"/>
      <c r="E108" s="60" t="n"/>
      <c r="F108" s="57" t="n">
        <v>1</v>
      </c>
    </row>
    <row r="109">
      <c r="A109" s="56" t="inlineStr">
        <is>
          <t>equity owner</t>
        </is>
      </c>
      <c r="B109" s="57" t="n">
        <v>74.8</v>
      </c>
      <c r="C109" s="57" t="n">
        <v>89.90000000000001</v>
      </c>
      <c r="D109" s="57" t="n">
        <v>103.1</v>
      </c>
      <c r="E109" s="57" t="n">
        <v>119.5</v>
      </c>
      <c r="F109" s="57" t="n">
        <v>144.4</v>
      </c>
    </row>
    <row r="111">
      <c r="A111" s="54" t="inlineStr">
        <is>
          <t>cf annual</t>
        </is>
      </c>
      <c r="B111" s="54" t="n"/>
      <c r="C111" s="54" t="n"/>
      <c r="D111" s="54" t="n"/>
      <c r="E111" s="54" t="n"/>
      <c r="F111" s="54" t="n"/>
      <c r="G111" s="54" t="n"/>
    </row>
    <row r="112">
      <c r="A112" s="55" t="inlineStr">
        <is>
          <t>항목</t>
        </is>
      </c>
      <c r="B112" s="55" t="inlineStr">
        <is>
          <t>2021</t>
        </is>
      </c>
      <c r="C112" s="55" t="inlineStr">
        <is>
          <t>2022</t>
        </is>
      </c>
      <c r="D112" s="55" t="inlineStr">
        <is>
          <t>2023</t>
        </is>
      </c>
      <c r="E112" s="55" t="inlineStr">
        <is>
          <t>2024</t>
        </is>
      </c>
      <c r="F112" s="55" t="inlineStr">
        <is>
          <t>2025</t>
        </is>
      </c>
      <c r="G112" s="55" t="inlineStr">
        <is>
          <t>출처</t>
        </is>
      </c>
    </row>
    <row r="113">
      <c r="A113" s="56" t="inlineStr">
        <is>
          <t>labels</t>
        </is>
      </c>
      <c r="B113" s="59" t="n">
        <v>2021</v>
      </c>
      <c r="C113" s="59" t="n">
        <v>2022</v>
      </c>
      <c r="D113" s="59" t="n">
        <v>2023</v>
      </c>
      <c r="E113" s="59" t="n">
        <v>2024</v>
      </c>
      <c r="F113" s="59" t="n">
        <v>2025</v>
      </c>
      <c r="G113" s="58" t="inlineStr">
        <is>
          <t>2단계 보고서 자료(회사 설명회 자료·공시)</t>
        </is>
      </c>
    </row>
    <row r="114">
      <c r="A114" s="56" t="inlineStr">
        <is>
          <t>ocf</t>
        </is>
      </c>
      <c r="B114" s="57" t="n">
        <v>21.1</v>
      </c>
      <c r="C114" s="57" t="n">
        <v>15.8</v>
      </c>
      <c r="D114" s="57" t="n">
        <v>17.8</v>
      </c>
      <c r="E114" s="57" t="n">
        <v>45</v>
      </c>
      <c r="F114" s="57" t="n">
        <v>42.9</v>
      </c>
    </row>
    <row r="115">
      <c r="A115" s="56" t="inlineStr">
        <is>
          <t>설비투자</t>
        </is>
      </c>
      <c r="B115" s="57" t="n">
        <v>0.8</v>
      </c>
      <c r="C115" s="57" t="n">
        <v>3.5</v>
      </c>
      <c r="D115" s="57" t="n">
        <v>2</v>
      </c>
      <c r="E115" s="57" t="n">
        <v>9</v>
      </c>
      <c r="F115" s="57" t="n">
        <v>11.4</v>
      </c>
    </row>
    <row r="116">
      <c r="A116" s="56" t="inlineStr">
        <is>
          <t>dividends</t>
        </is>
      </c>
      <c r="B116" s="57" t="n">
        <v>4.2</v>
      </c>
      <c r="C116" s="57" t="n">
        <v>5.5</v>
      </c>
      <c r="D116" s="57" t="n">
        <v>6.7</v>
      </c>
      <c r="E116" s="57" t="n">
        <v>7.9</v>
      </c>
      <c r="F116" s="57" t="n">
        <v>7.9</v>
      </c>
    </row>
    <row r="118">
      <c r="A118" s="54" t="inlineStr">
        <is>
          <t>ROE trend</t>
        </is>
      </c>
      <c r="B118" s="54" t="n"/>
      <c r="C118" s="54" t="n"/>
      <c r="D118" s="54" t="n"/>
      <c r="E118" s="54" t="n"/>
      <c r="F118" s="54" t="n"/>
      <c r="G118" s="54" t="n"/>
    </row>
    <row r="119">
      <c r="A119" s="55" t="inlineStr">
        <is>
          <t>항목</t>
        </is>
      </c>
      <c r="B119" s="55" t="inlineStr">
        <is>
          <t>값</t>
        </is>
      </c>
      <c r="G119" s="55" t="inlineStr">
        <is>
          <t>출처</t>
        </is>
      </c>
    </row>
    <row r="120">
      <c r="A120" s="56" t="inlineStr">
        <is>
          <t>FY2020</t>
        </is>
      </c>
      <c r="B120" s="57" t="n">
        <v>25.8</v>
      </c>
      <c r="G120" s="58" t="inlineStr">
        <is>
          <t>2단계 보고서 자료(회사 설명회 자료·공시)</t>
        </is>
      </c>
    </row>
    <row r="121">
      <c r="A121" s="56" t="inlineStr">
        <is>
          <t>FY2021</t>
        </is>
      </c>
      <c r="B121" s="57" t="n">
        <v>27.9</v>
      </c>
    </row>
    <row r="122">
      <c r="A122" s="56" t="inlineStr">
        <is>
          <t>FY2022</t>
        </is>
      </c>
      <c r="B122" s="57" t="n">
        <v>25.3</v>
      </c>
    </row>
    <row r="123">
      <c r="A123" s="56" t="inlineStr">
        <is>
          <t>FY2023</t>
        </is>
      </c>
      <c r="B123" s="57" t="n">
        <v>25.4</v>
      </c>
    </row>
    <row r="124">
      <c r="A124" s="56" t="inlineStr">
        <is>
          <t>FY2024</t>
        </is>
      </c>
      <c r="B124" s="57" t="n">
        <v>20.2</v>
      </c>
    </row>
    <row r="125">
      <c r="A125" s="56" t="inlineStr">
        <is>
          <t>FY2025</t>
        </is>
      </c>
      <c r="B125" s="57" t="n">
        <v>20.5</v>
      </c>
    </row>
    <row r="127">
      <c r="A127" s="54" t="inlineStr">
        <is>
          <t>PER trend deck</t>
        </is>
      </c>
      <c r="B127" s="54" t="n"/>
      <c r="C127" s="54" t="n"/>
      <c r="D127" s="54" t="n"/>
      <c r="E127" s="54" t="n"/>
      <c r="F127" s="54" t="n"/>
      <c r="G127" s="54" t="n"/>
    </row>
    <row r="128">
      <c r="A128" s="55" t="inlineStr">
        <is>
          <t>항목</t>
        </is>
      </c>
      <c r="B128" s="55" t="inlineStr">
        <is>
          <t>값</t>
        </is>
      </c>
      <c r="G128" s="55" t="inlineStr">
        <is>
          <t>출처</t>
        </is>
      </c>
    </row>
    <row r="129">
      <c r="A129" s="56" t="inlineStr">
        <is>
          <t>FY2020</t>
        </is>
      </c>
      <c r="B129" s="57" t="n">
        <v>62.8</v>
      </c>
      <c r="G129" s="58" t="inlineStr">
        <is>
          <t>회사 자료의 연말 PER(실적 기준)</t>
        </is>
      </c>
    </row>
    <row r="130">
      <c r="A130" s="56" t="inlineStr">
        <is>
          <t>FY2021</t>
        </is>
      </c>
      <c r="B130" s="57" t="n">
        <v>35.2</v>
      </c>
    </row>
    <row r="131">
      <c r="A131" s="56" t="inlineStr">
        <is>
          <t>FY2022</t>
        </is>
      </c>
      <c r="B131" s="57" t="n">
        <v>27.2</v>
      </c>
    </row>
    <row r="132">
      <c r="A132" s="56" t="inlineStr">
        <is>
          <t>FY2023</t>
        </is>
      </c>
      <c r="B132" s="57" t="n">
        <v>26.8</v>
      </c>
    </row>
    <row r="133">
      <c r="A133" s="56" t="inlineStr">
        <is>
          <t>FY2024</t>
        </is>
      </c>
      <c r="B133" s="57" t="n">
        <v>19</v>
      </c>
    </row>
    <row r="134">
      <c r="A134" s="56" t="inlineStr">
        <is>
          <t>FY2025</t>
        </is>
      </c>
      <c r="B134" s="57" t="n">
        <v>15.8</v>
      </c>
    </row>
    <row r="136">
      <c r="A136" s="54" t="inlineStr">
        <is>
          <t>가이던스 history FY</t>
        </is>
      </c>
      <c r="B136" s="54" t="n"/>
      <c r="C136" s="54" t="n"/>
      <c r="D136" s="54" t="n"/>
      <c r="E136" s="54" t="n"/>
      <c r="F136" s="54" t="n"/>
      <c r="G136" s="54" t="n"/>
    </row>
    <row r="137">
      <c r="A137" s="55" t="inlineStr">
        <is>
          <t>항목</t>
        </is>
      </c>
      <c r="B137" s="55" t="inlineStr">
        <is>
          <t>initial 매출</t>
        </is>
      </c>
      <c r="C137" s="55" t="inlineStr">
        <is>
          <t>initial 영업이익</t>
        </is>
      </c>
      <c r="D137" s="55" t="inlineStr">
        <is>
          <t>실적 매출</t>
        </is>
      </c>
      <c r="E137" s="55" t="inlineStr">
        <is>
          <t>실적 영업이익</t>
        </is>
      </c>
      <c r="G137" s="55" t="inlineStr">
        <is>
          <t>출처</t>
        </is>
      </c>
    </row>
    <row r="138">
      <c r="A138" s="56" t="inlineStr">
        <is>
          <t>2023</t>
        </is>
      </c>
      <c r="B138" s="59" t="n">
        <v>437</v>
      </c>
      <c r="C138" s="59" t="n">
        <v>36</v>
      </c>
      <c r="D138" s="57" t="n">
        <v>414.25</v>
      </c>
      <c r="E138" s="57" t="n">
        <v>36.65</v>
      </c>
      <c r="G138" s="58" t="inlineStr">
        <is>
          <t>2단계 보고서 자료(회사 설명회 자료·공시)</t>
        </is>
      </c>
    </row>
    <row r="139">
      <c r="A139" s="56" t="inlineStr">
        <is>
          <t>2024</t>
        </is>
      </c>
      <c r="B139" s="59" t="n">
        <v>500</v>
      </c>
      <c r="C139" s="59" t="n">
        <v>42</v>
      </c>
      <c r="D139" s="57" t="n">
        <v>475.13</v>
      </c>
      <c r="E139" s="57" t="n">
        <v>35.77</v>
      </c>
    </row>
    <row r="140">
      <c r="A140" s="56" t="inlineStr">
        <is>
          <t>2025</t>
        </is>
      </c>
      <c r="B140" s="59" t="n">
        <v>590</v>
      </c>
      <c r="C140" s="57" t="n">
        <v>47.2</v>
      </c>
      <c r="D140" s="57" t="n">
        <v>554.48</v>
      </c>
      <c r="E140" s="57" t="n">
        <v>42.72</v>
      </c>
    </row>
    <row r="141">
      <c r="A141" s="56" t="inlineStr">
        <is>
          <t>2026</t>
        </is>
      </c>
      <c r="B141" s="59" t="n">
        <v>608</v>
      </c>
      <c r="C141" s="59" t="n">
        <v>50</v>
      </c>
      <c r="D141" s="60" t="n"/>
      <c r="E141" s="60" t="n"/>
    </row>
    <row r="143">
      <c r="A143" s="54" t="inlineStr">
        <is>
          <t>reactions</t>
        </is>
      </c>
      <c r="B143" s="54" t="n"/>
      <c r="C143" s="54" t="n"/>
      <c r="D143" s="54" t="n"/>
      <c r="E143" s="54" t="n"/>
      <c r="F143" s="54" t="n"/>
      <c r="G143" s="54" t="n"/>
    </row>
    <row r="144">
      <c r="A144" s="55" t="inlineStr">
        <is>
          <t>항목</t>
        </is>
      </c>
      <c r="B144" s="55" t="inlineStr">
        <is>
          <t>기준일</t>
        </is>
      </c>
      <c r="C144" s="55" t="inlineStr">
        <is>
          <t>다음날</t>
        </is>
      </c>
      <c r="D144" s="55" t="inlineStr">
        <is>
          <t>등락%</t>
        </is>
      </c>
      <c r="G144" s="55" t="inlineStr">
        <is>
          <t>출처</t>
        </is>
      </c>
    </row>
    <row r="145">
      <c r="A145" s="56" t="inlineStr">
        <is>
          <t>2025-02-10</t>
        </is>
      </c>
      <c r="B145" s="60" t="inlineStr">
        <is>
          <t>2025-02-10</t>
        </is>
      </c>
      <c r="C145" s="60" t="inlineStr">
        <is>
          <t>2025-02-12</t>
        </is>
      </c>
      <c r="D145" s="57" t="n">
        <v>9.6</v>
      </c>
      <c r="G145" s="58" t="inlineStr">
        <is>
          <t>2단계 보고서 자료(회사 설명회 자료·공시)</t>
        </is>
      </c>
    </row>
    <row r="146">
      <c r="A146" s="56" t="inlineStr">
        <is>
          <t>2025-05-02</t>
        </is>
      </c>
      <c r="B146" s="60" t="inlineStr">
        <is>
          <t>2025-05-02</t>
        </is>
      </c>
      <c r="C146" s="60" t="inlineStr">
        <is>
          <t>2025-05-07</t>
        </is>
      </c>
      <c r="D146" s="57" t="n">
        <v>-4.4</v>
      </c>
    </row>
    <row r="147">
      <c r="A147" s="56" t="inlineStr">
        <is>
          <t>2025-08-06</t>
        </is>
      </c>
      <c r="B147" s="60" t="inlineStr">
        <is>
          <t>2025-08-06</t>
        </is>
      </c>
      <c r="C147" s="60" t="inlineStr">
        <is>
          <t>2025-08-07</t>
        </is>
      </c>
      <c r="D147" s="57" t="n">
        <v>-5.2</v>
      </c>
    </row>
    <row r="148">
      <c r="A148" s="56" t="inlineStr">
        <is>
          <t>2025-11-07</t>
        </is>
      </c>
      <c r="B148" s="60" t="inlineStr">
        <is>
          <t>2025-11-07</t>
        </is>
      </c>
      <c r="C148" s="60" t="inlineStr">
        <is>
          <t>2025-11-10</t>
        </is>
      </c>
      <c r="D148" s="57" t="n">
        <v>0</v>
      </c>
    </row>
    <row r="149">
      <c r="A149" s="56" t="inlineStr">
        <is>
          <t>2026-02-04</t>
        </is>
      </c>
      <c r="B149" s="60" t="inlineStr">
        <is>
          <t>2026-02-04</t>
        </is>
      </c>
      <c r="C149" s="60" t="inlineStr">
        <is>
          <t>2026-02-05</t>
        </is>
      </c>
      <c r="D149" s="57" t="n">
        <v>7.8</v>
      </c>
    </row>
    <row r="150">
      <c r="A150" s="56" t="inlineStr">
        <is>
          <t>2026-05-01</t>
        </is>
      </c>
      <c r="B150" s="60" t="inlineStr">
        <is>
          <t>2026-05-01</t>
        </is>
      </c>
      <c r="C150" s="60" t="inlineStr">
        <is>
          <t>2026-05-07</t>
        </is>
      </c>
      <c r="D150" s="57" t="n">
        <v>-8.800000000000001</v>
      </c>
    </row>
    <row r="151">
      <c r="A151" s="56" t="inlineStr">
        <is>
          <t>2026-07-31</t>
        </is>
      </c>
      <c r="B151" s="60" t="inlineStr">
        <is>
          <t>2026-07-31</t>
        </is>
      </c>
      <c r="C151" s="60" t="inlineStr">
        <is>
          <t>2026-08-03</t>
        </is>
      </c>
      <c r="D151" s="57" t="n">
        <v>-3.9</v>
      </c>
    </row>
    <row r="153">
      <c r="A153" s="54" t="inlineStr">
        <is>
          <t>filings</t>
        </is>
      </c>
      <c r="B153" s="54" t="n"/>
      <c r="C153" s="54" t="n"/>
      <c r="D153" s="54" t="n"/>
      <c r="E153" s="54" t="n"/>
      <c r="F153" s="54" t="n"/>
      <c r="G153" s="54" t="n"/>
    </row>
    <row r="154">
      <c r="A154" s="55" t="inlineStr">
        <is>
          <t>항목</t>
        </is>
      </c>
      <c r="B154" s="55" t="inlineStr">
        <is>
          <t>title</t>
        </is>
      </c>
      <c r="C154" s="55" t="inlineStr">
        <is>
          <t>doc</t>
        </is>
      </c>
      <c r="G154" s="55" t="inlineStr">
        <is>
          <t>출처</t>
        </is>
      </c>
    </row>
    <row r="155">
      <c r="A155" s="56" t="inlineStr">
        <is>
          <t>2026-10-30</t>
        </is>
      </c>
      <c r="B155" s="60" t="inlineStr">
        <is>
          <t>2026年12月期第3四半期決算短信〔日本基準〕(連結)</t>
        </is>
      </c>
      <c r="C155" s="60" t="inlineStr">
        <is>
          <t>140120261029559206</t>
        </is>
      </c>
      <c r="G155" s="58" t="inlineStr">
        <is>
          <t>2단계 보고서 자료(회사 설명회 자료·공시)</t>
        </is>
      </c>
    </row>
    <row r="156">
      <c r="A156" s="56" t="inlineStr">
        <is>
          <t>2026-07-31</t>
        </is>
      </c>
      <c r="B156" s="60" t="inlineStr">
        <is>
          <t>2026年12月期第2四半期（中間期）決算短信〔日本基準〕（連結）</t>
        </is>
      </c>
      <c r="C156" s="60" t="inlineStr">
        <is>
          <t>140120260728500503</t>
        </is>
      </c>
    </row>
    <row r="157">
      <c r="A157" s="56" t="inlineStr">
        <is>
          <t>2026-05-01</t>
        </is>
      </c>
      <c r="B157" s="60" t="inlineStr">
        <is>
          <t>2026年12月期第1四半期決算短信〔日本基準〕（連結）</t>
        </is>
      </c>
      <c r="C157" s="60" t="inlineStr">
        <is>
          <t>140120260430515144</t>
        </is>
      </c>
    </row>
    <row r="158">
      <c r="A158" s="56" t="inlineStr">
        <is>
          <t>2026-02-04</t>
        </is>
      </c>
      <c r="B158" s="60" t="inlineStr">
        <is>
          <t>2025年12月期 決算短信〔日本基準〕（連結）</t>
        </is>
      </c>
      <c r="C158" s="60" t="inlineStr">
        <is>
          <t>140120260203545378</t>
        </is>
      </c>
    </row>
    <row r="159">
      <c r="A159" s="56" t="inlineStr">
        <is>
          <t>2025-11-07</t>
        </is>
      </c>
      <c r="B159" s="60" t="inlineStr">
        <is>
          <t>2025年12月期第3四半期決算短信〔日本基準〕（連結）</t>
        </is>
      </c>
      <c r="C159" s="60" t="inlineStr">
        <is>
          <t>140120251107591163</t>
        </is>
      </c>
    </row>
    <row r="160">
      <c r="A160" s="56" t="inlineStr">
        <is>
          <t>2025-08-06</t>
        </is>
      </c>
      <c r="B160" s="60" t="inlineStr">
        <is>
          <t>2025年12月期第2四半期（中間期）決算短信〔日本基準〕(連結)</t>
        </is>
      </c>
      <c r="C160" s="60" t="inlineStr">
        <is>
          <t>140120250805531106</t>
        </is>
      </c>
    </row>
    <row r="161">
      <c r="A161" s="56" t="inlineStr">
        <is>
          <t>2025-05-02</t>
        </is>
      </c>
      <c r="B161" s="60" t="inlineStr">
        <is>
          <t>2025年12月期第1四半期決算短信〔日本基準〕（連結）</t>
        </is>
      </c>
      <c r="C161" s="60" t="inlineStr">
        <is>
          <t>140120250409511770</t>
        </is>
      </c>
    </row>
    <row r="162">
      <c r="A162" s="56" t="inlineStr">
        <is>
          <t>2025-02-10</t>
        </is>
      </c>
      <c r="B162" s="60" t="inlineStr">
        <is>
          <t>2024年12月期 決算短信〔日本基準〕（連結）</t>
        </is>
      </c>
      <c r="C162" s="60" t="inlineStr">
        <is>
          <t>140120250210567596</t>
        </is>
      </c>
    </row>
    <row r="163">
      <c r="A163" s="56" t="inlineStr">
        <is>
          <t>2024-11-06</t>
        </is>
      </c>
      <c r="B163" s="60" t="inlineStr">
        <is>
          <t>2024年12月期第3四半期決算短信〔日本基準〕（連結）</t>
        </is>
      </c>
      <c r="C163" s="60" t="inlineStr">
        <is>
          <t>140120241028504252</t>
        </is>
      </c>
    </row>
    <row r="164">
      <c r="A164" s="56" t="inlineStr">
        <is>
          <t>2024-08-06</t>
        </is>
      </c>
      <c r="B164" s="60" t="inlineStr">
        <is>
          <t>2024年12月期第2四半期（中間期）決算短信〔日本基準〕（連結）</t>
        </is>
      </c>
      <c r="C164" s="60" t="inlineStr">
        <is>
          <t>140120240723552974</t>
        </is>
      </c>
    </row>
    <row r="165">
      <c r="A165" s="56" t="inlineStr">
        <is>
          <t>2024-05-08</t>
        </is>
      </c>
      <c r="B165" s="60" t="inlineStr">
        <is>
          <t>2024年12月期 第1四半期決算短信〔日本基準〕（連結）</t>
        </is>
      </c>
      <c r="C165" s="60" t="inlineStr">
        <is>
          <t>140120240422574165</t>
        </is>
      </c>
    </row>
    <row r="166">
      <c r="A166" s="56" t="inlineStr">
        <is>
          <t>2024-02-14</t>
        </is>
      </c>
      <c r="B166" s="60" t="inlineStr">
        <is>
          <t>2023年12月期 決算短信〔日本基準〕（連結）</t>
        </is>
      </c>
      <c r="C166" s="60" t="inlineStr">
        <is>
          <t>140120240206527095</t>
        </is>
      </c>
    </row>
    <row r="167">
      <c r="A167" s="56" t="inlineStr">
        <is>
          <t>2023-11-07</t>
        </is>
      </c>
      <c r="B167" s="60" t="inlineStr">
        <is>
          <t>2023年12月期 第3四半期決算短信〔日本基準〕（連結）</t>
        </is>
      </c>
      <c r="C167" s="60" t="inlineStr">
        <is>
          <t>140120231024570301</t>
        </is>
      </c>
    </row>
    <row r="168">
      <c r="A168" s="56" t="inlineStr">
        <is>
          <t>2023-08-07</t>
        </is>
      </c>
      <c r="B168" s="60" t="inlineStr">
        <is>
          <t>2023年12月期 第2四半期決算短信〔日本基準〕（連結）</t>
        </is>
      </c>
      <c r="C168" s="60" t="inlineStr">
        <is>
          <t>140120230727528471</t>
        </is>
      </c>
    </row>
    <row r="169">
      <c r="A169" s="56" t="inlineStr">
        <is>
          <t>2023-05-10</t>
        </is>
      </c>
      <c r="B169" s="60" t="inlineStr">
        <is>
          <t>2023年12月期 第1四半期決算短信〔日本基準〕（連結）</t>
        </is>
      </c>
      <c r="C169" s="60" t="inlineStr">
        <is>
          <t>140120230425552607</t>
        </is>
      </c>
    </row>
    <row r="170">
      <c r="A170" s="56" t="inlineStr">
        <is>
          <t>2023-02-09</t>
        </is>
      </c>
      <c r="B170" s="60" t="inlineStr">
        <is>
          <t>2022年12月期 決算短信〔日本基準〕（連結）</t>
        </is>
      </c>
      <c r="C170" s="60" t="inlineStr">
        <is>
          <t>140120230202599588</t>
        </is>
      </c>
    </row>
    <row r="171">
      <c r="A171" s="56" t="inlineStr">
        <is>
          <t>2022-02-10</t>
        </is>
      </c>
      <c r="B171" s="60" t="inlineStr">
        <is>
          <t>2021年12月期 決算短信〔日本基準〕（連結）</t>
        </is>
      </c>
      <c r="C171" s="60" t="inlineStr">
        <is>
          <t>140120220201577807</t>
        </is>
      </c>
    </row>
    <row r="172">
      <c r="A172" s="56" t="inlineStr">
        <is>
          <t>2021-02-12</t>
        </is>
      </c>
      <c r="B172" s="60" t="inlineStr">
        <is>
          <t>2020年12月期 決算短信〔日本基準〕（連結）</t>
        </is>
      </c>
      <c r="C172" s="60" t="inlineStr">
        <is>
          <t>140120210203455158</t>
        </is>
      </c>
    </row>
    <row r="173">
      <c r="A173" s="56" t="inlineStr">
        <is>
          <t>2020-02-13</t>
        </is>
      </c>
      <c r="B173" s="60" t="inlineStr">
        <is>
          <t>2019年12月期 決算短信〔日本基準〕（連結）</t>
        </is>
      </c>
      <c r="C173" s="60" t="inlineStr">
        <is>
          <t>140120200206459071</t>
        </is>
      </c>
    </row>
    <row r="174">
      <c r="A174" s="56" t="inlineStr">
        <is>
          <t>2019-02-13</t>
        </is>
      </c>
      <c r="B174" s="60" t="inlineStr">
        <is>
          <t>2018年12月期 決算短信〔日本基準〕（連結）</t>
        </is>
      </c>
      <c r="C174" s="60" t="inlineStr">
        <is>
          <t>140120190205470019</t>
        </is>
      </c>
    </row>
    <row r="175">
      <c r="A175" s="56" t="inlineStr">
        <is>
          <t>2018-02-13</t>
        </is>
      </c>
      <c r="B175" s="60" t="inlineStr">
        <is>
          <t>平成29年12月期　決算短信〔日本基準〕（連結）</t>
        </is>
      </c>
      <c r="C175" s="60" t="inlineStr">
        <is>
          <t>140120180202463047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61" t="inlineStr">
        <is>
          <t>공시일</t>
        </is>
      </c>
      <c r="B3" s="61" t="inlineStr">
        <is>
          <t>문서</t>
        </is>
      </c>
      <c r="C3" s="61" t="inlineStr">
        <is>
          <t>PDF</t>
        </is>
      </c>
    </row>
    <row r="4">
      <c r="A4" t="inlineStr">
        <is>
          <t>2026-10-30</t>
        </is>
      </c>
      <c r="B4" t="inlineStr">
        <is>
          <t>2026년 12월 결산기 3분기 결산단신</t>
        </is>
      </c>
      <c r="C4" t="inlineStr">
        <is>
          <t>https://www2.jpx.co.jp/disc/60990/140120261029559206.pdf</t>
        </is>
      </c>
    </row>
    <row r="5">
      <c r="A5" t="inlineStr">
        <is>
          <t>2026-07-31</t>
        </is>
      </c>
      <c r="B5" t="inlineStr">
        <is>
          <t>2026년 12월 결산기 2분기 결산단신</t>
        </is>
      </c>
      <c r="C5" t="inlineStr">
        <is>
          <t>https://www2.jpx.co.jp/disc/60990/140120260728500503.pdf</t>
        </is>
      </c>
    </row>
    <row r="6">
      <c r="A6" t="inlineStr">
        <is>
          <t>2026-05-01</t>
        </is>
      </c>
      <c r="B6" t="inlineStr">
        <is>
          <t>2026년 12월 결산기 1분기 결산단신</t>
        </is>
      </c>
      <c r="C6" t="inlineStr">
        <is>
          <t>https://www2.jpx.co.jp/disc/60990/140120260430515144.pdf</t>
        </is>
      </c>
    </row>
    <row r="7">
      <c r="A7" t="inlineStr">
        <is>
          <t>2026-02-04</t>
        </is>
      </c>
      <c r="B7" t="inlineStr">
        <is>
          <t>2025년 12월 결산기 연간 결산단신</t>
        </is>
      </c>
      <c r="C7" t="inlineStr">
        <is>
          <t>https://www2.jpx.co.jp/disc/60990/140120260203545378.pdf</t>
        </is>
      </c>
    </row>
    <row r="8">
      <c r="A8" t="inlineStr">
        <is>
          <t>2025-11-07</t>
        </is>
      </c>
      <c r="B8" t="inlineStr">
        <is>
          <t>2025년 12월 결산기 3분기 결산단신</t>
        </is>
      </c>
      <c r="C8" t="inlineStr">
        <is>
          <t>https://www2.jpx.co.jp/disc/60990/140120251107591163.pdf</t>
        </is>
      </c>
    </row>
    <row r="9">
      <c r="A9" t="inlineStr">
        <is>
          <t>2025-08-06</t>
        </is>
      </c>
      <c r="B9" t="inlineStr">
        <is>
          <t>2025년 12월 결산기 2분기 결산단신</t>
        </is>
      </c>
      <c r="C9" t="inlineStr">
        <is>
          <t>https://www2.jpx.co.jp/disc/60990/140120250805531106.pdf</t>
        </is>
      </c>
    </row>
    <row r="10">
      <c r="A10" t="inlineStr">
        <is>
          <t>2025-05-02</t>
        </is>
      </c>
      <c r="B10" t="inlineStr">
        <is>
          <t>2025년 12월 결산기 1분기 결산단신</t>
        </is>
      </c>
      <c r="C10" t="inlineStr">
        <is>
          <t>https://www2.jpx.co.jp/disc/60990/140120250409511770.pdf</t>
        </is>
      </c>
    </row>
    <row r="11">
      <c r="A11" t="inlineStr">
        <is>
          <t>2025-02-10</t>
        </is>
      </c>
      <c r="B11" t="inlineStr">
        <is>
          <t>2024년 12월 결산기 연간 결산단신</t>
        </is>
      </c>
      <c r="C11" t="inlineStr">
        <is>
          <t>https://www2.jpx.co.jp/disc/60990/140120250210567596.pdf</t>
        </is>
      </c>
    </row>
    <row r="12">
      <c r="A12" t="inlineStr">
        <is>
          <t>2024-11-06</t>
        </is>
      </c>
      <c r="B12" t="inlineStr">
        <is>
          <t>2024년 12월 결산기 3분기 결산단신</t>
        </is>
      </c>
      <c r="C12" t="inlineStr">
        <is>
          <t>https://www2.jpx.co.jp/disc/60990/140120241028504252.pdf</t>
        </is>
      </c>
    </row>
    <row r="13">
      <c r="A13" t="inlineStr">
        <is>
          <t>2024-08-06</t>
        </is>
      </c>
      <c r="B13" t="inlineStr">
        <is>
          <t>2024년 12월 결산기 2분기 결산단신</t>
        </is>
      </c>
      <c r="C13" t="inlineStr">
        <is>
          <t>https://www2.jpx.co.jp/disc/60990/140120240723552974.pdf</t>
        </is>
      </c>
    </row>
    <row r="14">
      <c r="A14" t="inlineStr">
        <is>
          <t>2024-05-08</t>
        </is>
      </c>
      <c r="B14" t="inlineStr">
        <is>
          <t>2024년 12월 결산기 1분기 결산단신</t>
        </is>
      </c>
      <c r="C14" t="inlineStr">
        <is>
          <t>https://www2.jpx.co.jp/disc/60990/140120240422574165.pdf</t>
        </is>
      </c>
    </row>
    <row r="15">
      <c r="A15" t="inlineStr">
        <is>
          <t>2024-02-14</t>
        </is>
      </c>
      <c r="B15" t="inlineStr">
        <is>
          <t>2023년 12월 결산기 연간 결산단신</t>
        </is>
      </c>
      <c r="C15" t="inlineStr">
        <is>
          <t>https://www2.jpx.co.jp/disc/60990/140120240206527095.pdf</t>
        </is>
      </c>
    </row>
    <row r="16">
      <c r="A16" t="inlineStr">
        <is>
          <t>2023-11-07</t>
        </is>
      </c>
      <c r="B16" t="inlineStr">
        <is>
          <t>2023년 12월 결산기 3분기 결산단신</t>
        </is>
      </c>
      <c r="C16" t="inlineStr">
        <is>
          <t>https://www2.jpx.co.jp/disc/60990/140120231024570301.pdf</t>
        </is>
      </c>
    </row>
    <row r="17">
      <c r="A17" t="inlineStr">
        <is>
          <t>2023-08-07</t>
        </is>
      </c>
      <c r="B17" t="inlineStr">
        <is>
          <t>2023년 12월 결산기 2분기 결산단신</t>
        </is>
      </c>
      <c r="C17" t="inlineStr">
        <is>
          <t>https://www2.jpx.co.jp/disc/60990/140120230727528471.pdf</t>
        </is>
      </c>
    </row>
    <row r="18">
      <c r="A18" t="inlineStr">
        <is>
          <t>2023-05-10</t>
        </is>
      </c>
      <c r="B18" t="inlineStr">
        <is>
          <t>2023년 12월 결산기 1분기 결산단신</t>
        </is>
      </c>
      <c r="C18" t="inlineStr">
        <is>
          <t>https://www2.jpx.co.jp/disc/60990/140120230425552607.pdf</t>
        </is>
      </c>
    </row>
    <row r="19">
      <c r="A19" t="inlineStr">
        <is>
          <t>2023-02-09</t>
        </is>
      </c>
      <c r="B19" t="inlineStr">
        <is>
          <t>2022년 12월 결산기 연간 결산단신</t>
        </is>
      </c>
      <c r="C19" t="inlineStr">
        <is>
          <t>https://www2.jpx.co.jp/disc/60990/140120230202599588.pdf</t>
        </is>
      </c>
    </row>
    <row r="20">
      <c r="A20" t="inlineStr">
        <is>
          <t>2022-02-10</t>
        </is>
      </c>
      <c r="B20" t="inlineStr">
        <is>
          <t>2021년 12월 결산기 연간 결산단신</t>
        </is>
      </c>
      <c r="C20" t="inlineStr">
        <is>
          <t>https://www2.jpx.co.jp/disc/60990/140120220201577807.pdf</t>
        </is>
      </c>
    </row>
    <row r="21">
      <c r="A21" t="inlineStr">
        <is>
          <t>2021-02-12</t>
        </is>
      </c>
      <c r="B21" t="inlineStr">
        <is>
          <t>2020년 12월 결산기 연간 결산단신</t>
        </is>
      </c>
      <c r="C21" t="inlineStr">
        <is>
          <t>https://www2.jpx.co.jp/disc/60990/140120210203455158.pdf</t>
        </is>
      </c>
    </row>
    <row r="22">
      <c r="A22" t="inlineStr">
        <is>
          <t>2020-02-13</t>
        </is>
      </c>
      <c r="B22" t="inlineStr">
        <is>
          <t>2019년 12월 결산기 연간 결산단신</t>
        </is>
      </c>
      <c r="C22" t="inlineStr">
        <is>
          <t>https://www2.jpx.co.jp/disc/60990/140120200206459071.pdf</t>
        </is>
      </c>
    </row>
    <row r="23">
      <c r="A23" t="inlineStr">
        <is>
          <t>2019-02-13</t>
        </is>
      </c>
      <c r="B23" t="inlineStr">
        <is>
          <t>2018년 12월 결산기 연간 결산단신</t>
        </is>
      </c>
      <c r="C23" t="inlineStr">
        <is>
          <t>https://www2.jpx.co.jp/disc/60990/140120190205470019.pdf</t>
        </is>
      </c>
    </row>
    <row r="24">
      <c r="A24" t="inlineStr">
        <is>
          <t>2018-02-13</t>
        </is>
      </c>
      <c r="B24" t="inlineStr">
        <is>
          <t>연간 결산단신</t>
        </is>
      </c>
      <c r="C24" t="inlineStr">
        <is>
          <t>https://www2.jpx.co.jp/disc/60990/140120180202463047.pdf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62" t="inlineStr">
        <is>
          <t>6099 재무제표 한눈에 보기 — 최근 40개 분기(달력 분기, 3Q26 = 26.7~9) · 단위 억 엔</t>
        </is>
      </c>
    </row>
    <row r="2">
      <c r="A2" s="63" t="inlineStr">
        <is>
          <t>출처: 매출·영업이익 결산단신 XBRL · 재무상태표 등 결산단신 XBRL 36건(2018-02-13~2026-10-30). 부문·지역·수주·수출은 있을 때만(출처는 줄 끝). 총 차입금 = 이자 붙는 부채 전부(단기·장기 차입금, CP, 사채·전환사채, 리스부채)</t>
        </is>
      </c>
    </row>
    <row r="4">
      <c r="A4" s="64" t="inlineStr">
        <is>
          <t>항목</t>
        </is>
      </c>
      <c r="B4" s="65" t="inlineStr">
        <is>
          <t>4Q16</t>
        </is>
      </c>
      <c r="C4" s="65" t="inlineStr">
        <is>
          <t>1Q17</t>
        </is>
      </c>
      <c r="D4" s="65" t="inlineStr">
        <is>
          <t>2Q17</t>
        </is>
      </c>
      <c r="E4" s="65" t="inlineStr">
        <is>
          <t>3Q17</t>
        </is>
      </c>
      <c r="F4" s="65" t="inlineStr">
        <is>
          <t>4Q17</t>
        </is>
      </c>
      <c r="G4" s="65" t="inlineStr">
        <is>
          <t>1Q18</t>
        </is>
      </c>
      <c r="H4" s="65" t="inlineStr">
        <is>
          <t>2Q18</t>
        </is>
      </c>
      <c r="I4" s="65" t="inlineStr">
        <is>
          <t>3Q18</t>
        </is>
      </c>
      <c r="J4" s="65" t="inlineStr">
        <is>
          <t>4Q18</t>
        </is>
      </c>
      <c r="K4" s="65" t="inlineStr">
        <is>
          <t>1Q19</t>
        </is>
      </c>
      <c r="L4" s="65" t="inlineStr">
        <is>
          <t>2Q19</t>
        </is>
      </c>
      <c r="M4" s="65" t="inlineStr">
        <is>
          <t>3Q19</t>
        </is>
      </c>
      <c r="N4" s="65" t="inlineStr">
        <is>
          <t>4Q19</t>
        </is>
      </c>
      <c r="O4" s="65" t="inlineStr">
        <is>
          <t>1Q20</t>
        </is>
      </c>
      <c r="P4" s="65" t="inlineStr">
        <is>
          <t>2Q20</t>
        </is>
      </c>
      <c r="Q4" s="65" t="inlineStr">
        <is>
          <t>3Q20</t>
        </is>
      </c>
      <c r="R4" s="65" t="inlineStr">
        <is>
          <t>4Q20</t>
        </is>
      </c>
      <c r="S4" s="65" t="inlineStr">
        <is>
          <t>1Q21</t>
        </is>
      </c>
      <c r="T4" s="65" t="inlineStr">
        <is>
          <t>2Q21</t>
        </is>
      </c>
      <c r="U4" s="65" t="inlineStr">
        <is>
          <t>3Q21</t>
        </is>
      </c>
      <c r="V4" s="65" t="inlineStr">
        <is>
          <t>4Q21</t>
        </is>
      </c>
      <c r="W4" s="65" t="inlineStr">
        <is>
          <t>1Q22</t>
        </is>
      </c>
      <c r="X4" s="65" t="inlineStr">
        <is>
          <t>2Q22</t>
        </is>
      </c>
      <c r="Y4" s="65" t="inlineStr">
        <is>
          <t>3Q22</t>
        </is>
      </c>
      <c r="Z4" s="65" t="inlineStr">
        <is>
          <t>4Q22</t>
        </is>
      </c>
      <c r="AA4" s="65" t="inlineStr">
        <is>
          <t>1Q23</t>
        </is>
      </c>
      <c r="AB4" s="65" t="inlineStr">
        <is>
          <t>2Q23</t>
        </is>
      </c>
      <c r="AC4" s="65" t="inlineStr">
        <is>
          <t>3Q23</t>
        </is>
      </c>
      <c r="AD4" s="65" t="inlineStr">
        <is>
          <t>4Q23</t>
        </is>
      </c>
      <c r="AE4" s="65" t="inlineStr">
        <is>
          <t>1Q24</t>
        </is>
      </c>
      <c r="AF4" s="65" t="inlineStr">
        <is>
          <t>2Q24</t>
        </is>
      </c>
      <c r="AG4" s="65" t="inlineStr">
        <is>
          <t>3Q24</t>
        </is>
      </c>
      <c r="AH4" s="65" t="inlineStr">
        <is>
          <t>4Q24</t>
        </is>
      </c>
      <c r="AI4" s="65" t="inlineStr">
        <is>
          <t>1Q25</t>
        </is>
      </c>
      <c r="AJ4" s="65" t="inlineStr">
        <is>
          <t>2Q25</t>
        </is>
      </c>
      <c r="AK4" s="65" t="inlineStr">
        <is>
          <t>3Q25</t>
        </is>
      </c>
      <c r="AL4" s="65" t="inlineStr">
        <is>
          <t>4Q25</t>
        </is>
      </c>
      <c r="AM4" s="65" t="inlineStr">
        <is>
          <t>1Q26</t>
        </is>
      </c>
      <c r="AN4" s="65" t="inlineStr">
        <is>
          <t>2Q26</t>
        </is>
      </c>
      <c r="AO4" s="65" t="inlineStr">
        <is>
          <t>3Q26</t>
        </is>
      </c>
      <c r="AP4" s="64" t="inlineStr">
        <is>
          <t>출처</t>
        </is>
      </c>
    </row>
    <row r="5">
      <c r="A5" s="66" t="inlineStr">
        <is>
          <t>매출액</t>
        </is>
      </c>
      <c r="B5" s="67" t="n"/>
      <c r="C5" s="67" t="n">
        <v>33</v>
      </c>
      <c r="D5" s="67" t="n">
        <v>38.7</v>
      </c>
      <c r="E5" s="67" t="n">
        <v>40.7</v>
      </c>
      <c r="F5" s="67" t="n">
        <v>27.4</v>
      </c>
      <c r="G5" s="67" t="n">
        <v>45.1</v>
      </c>
      <c r="H5" s="67" t="n">
        <v>44.9</v>
      </c>
      <c r="I5" s="67" t="n">
        <v>47.1</v>
      </c>
      <c r="J5" s="67" t="n">
        <v>48.8</v>
      </c>
      <c r="K5" s="67" t="n">
        <v>51</v>
      </c>
      <c r="L5" s="67" t="n">
        <v>52.5</v>
      </c>
      <c r="M5" s="67" t="n">
        <v>54.2</v>
      </c>
      <c r="N5" s="67" t="n">
        <v>31.9</v>
      </c>
      <c r="O5" s="67" t="n">
        <v>59.9</v>
      </c>
      <c r="P5" s="67" t="n">
        <v>61.7</v>
      </c>
      <c r="Q5" s="67" t="n">
        <v>66.90000000000001</v>
      </c>
      <c r="R5" s="67" t="n">
        <v>72</v>
      </c>
      <c r="S5" s="67" t="n">
        <v>75.2</v>
      </c>
      <c r="T5" s="67" t="n">
        <v>76.90000000000001</v>
      </c>
      <c r="U5" s="67" t="n">
        <v>80.59999999999999</v>
      </c>
      <c r="V5" s="67" t="n">
        <v>83.3</v>
      </c>
      <c r="W5" s="67" t="n">
        <v>87.90000000000001</v>
      </c>
      <c r="X5" s="67" t="n">
        <v>88.09999999999999</v>
      </c>
      <c r="Y5" s="67" t="n">
        <v>91.59999999999999</v>
      </c>
      <c r="Z5" s="67" t="n">
        <v>94.40000000000001</v>
      </c>
      <c r="AA5" s="67" t="n">
        <v>98.59999999999999</v>
      </c>
      <c r="AB5" s="67" t="n">
        <v>99.2</v>
      </c>
      <c r="AC5" s="67" t="n">
        <v>106.5</v>
      </c>
      <c r="AD5" s="67" t="n">
        <v>110</v>
      </c>
      <c r="AE5" s="67" t="n">
        <v>114.9</v>
      </c>
      <c r="AF5" s="67" t="n">
        <v>113.6</v>
      </c>
      <c r="AG5" s="67" t="n">
        <v>120</v>
      </c>
      <c r="AH5" s="67" t="n">
        <v>122.6</v>
      </c>
      <c r="AI5" s="67" t="n">
        <v>134.3</v>
      </c>
      <c r="AJ5" s="67" t="n">
        <v>134.1</v>
      </c>
      <c r="AK5" s="67" t="n">
        <v>139</v>
      </c>
      <c r="AL5" s="67" t="n">
        <v>122.5</v>
      </c>
      <c r="AM5" s="67" t="n">
        <v>147.6</v>
      </c>
      <c r="AN5" s="67" t="n">
        <v>147.6</v>
      </c>
      <c r="AO5" s="67" t="n">
        <v>155.1</v>
      </c>
    </row>
    <row r="6">
      <c r="A6" s="66" t="inlineStr">
        <is>
          <t>매출액 YoY</t>
        </is>
      </c>
      <c r="B6" s="68" t="n"/>
      <c r="C6" s="68" t="n"/>
      <c r="D6" s="68" t="n"/>
      <c r="E6" s="68" t="n"/>
      <c r="F6" s="68" t="n"/>
      <c r="G6" s="68" t="n">
        <v>36.7</v>
      </c>
      <c r="H6" s="68" t="n">
        <v>16</v>
      </c>
      <c r="I6" s="68" t="n">
        <v>15.7</v>
      </c>
      <c r="J6" s="68" t="n">
        <v>78.09999999999999</v>
      </c>
      <c r="K6" s="68" t="n">
        <v>13.1</v>
      </c>
      <c r="L6" s="68" t="n">
        <v>16.9</v>
      </c>
      <c r="M6" s="68" t="n">
        <v>15.1</v>
      </c>
      <c r="N6" s="68" t="n">
        <v>-34.6</v>
      </c>
      <c r="O6" s="68" t="n">
        <v>17.5</v>
      </c>
      <c r="P6" s="68" t="n">
        <v>17.5</v>
      </c>
      <c r="Q6" s="68" t="n">
        <v>23.4</v>
      </c>
      <c r="R6" s="68" t="n">
        <v>125.7</v>
      </c>
      <c r="S6" s="68" t="n">
        <v>25.5</v>
      </c>
      <c r="T6" s="68" t="n">
        <v>24.6</v>
      </c>
      <c r="U6" s="68" t="n">
        <v>20.5</v>
      </c>
      <c r="V6" s="68" t="n">
        <v>15.7</v>
      </c>
      <c r="W6" s="68" t="n">
        <v>16.9</v>
      </c>
      <c r="X6" s="68" t="n">
        <v>14.6</v>
      </c>
      <c r="Y6" s="68" t="n">
        <v>13.6</v>
      </c>
      <c r="Z6" s="68" t="n">
        <v>13.3</v>
      </c>
      <c r="AA6" s="68" t="n">
        <v>12.2</v>
      </c>
      <c r="AB6" s="68" t="n">
        <v>12.6</v>
      </c>
      <c r="AC6" s="68" t="n">
        <v>16.3</v>
      </c>
      <c r="AD6" s="68" t="n">
        <v>16.5</v>
      </c>
      <c r="AE6" s="68" t="n">
        <v>16.5</v>
      </c>
      <c r="AF6" s="68" t="n">
        <v>14.5</v>
      </c>
      <c r="AG6" s="68" t="n">
        <v>12.7</v>
      </c>
      <c r="AH6" s="68" t="n">
        <v>11.5</v>
      </c>
      <c r="AI6" s="68" t="n">
        <v>16.9</v>
      </c>
      <c r="AJ6" s="68" t="n">
        <v>18</v>
      </c>
      <c r="AK6" s="68" t="n">
        <v>15.8</v>
      </c>
      <c r="AL6" s="68" t="n">
        <v>-0.1</v>
      </c>
      <c r="AM6" s="68" t="n">
        <v>9.9</v>
      </c>
      <c r="AN6" s="68" t="n">
        <v>10.1</v>
      </c>
      <c r="AO6" s="68" t="n">
        <v>11.6</v>
      </c>
    </row>
    <row r="7">
      <c r="A7" s="66" t="inlineStr">
        <is>
          <t>영업이익</t>
        </is>
      </c>
      <c r="B7" s="67" t="n"/>
      <c r="C7" s="67" t="n">
        <v>2.4</v>
      </c>
      <c r="D7" s="67" t="n">
        <v>2</v>
      </c>
      <c r="E7" s="67" t="n">
        <v>2</v>
      </c>
      <c r="F7" s="67" t="n">
        <v>1</v>
      </c>
      <c r="G7" s="67" t="n">
        <v>3.5</v>
      </c>
      <c r="H7" s="67" t="n">
        <v>3.1</v>
      </c>
      <c r="I7" s="67" t="n">
        <v>3.4</v>
      </c>
      <c r="J7" s="67" t="n">
        <v>2.7</v>
      </c>
      <c r="K7" s="67" t="n">
        <v>4.3</v>
      </c>
      <c r="L7" s="67" t="n">
        <v>3.4</v>
      </c>
      <c r="M7" s="67" t="n">
        <v>3.5</v>
      </c>
      <c r="N7" s="67" t="n">
        <v>-3.3</v>
      </c>
      <c r="O7" s="67" t="n">
        <v>5</v>
      </c>
      <c r="P7" s="67" t="n">
        <v>4.8</v>
      </c>
      <c r="Q7" s="67" t="n">
        <v>5.5</v>
      </c>
      <c r="R7" s="67" t="n">
        <v>-1.9</v>
      </c>
      <c r="S7" s="67" t="n">
        <v>7.4</v>
      </c>
      <c r="T7" s="67" t="n">
        <v>6.7</v>
      </c>
      <c r="U7" s="67" t="n">
        <v>7.6</v>
      </c>
      <c r="V7" s="67" t="n">
        <v>-3.6</v>
      </c>
      <c r="W7" s="67" t="n">
        <v>9.1</v>
      </c>
      <c r="X7" s="67" t="n">
        <v>8</v>
      </c>
      <c r="Y7" s="67" t="n">
        <v>8.5</v>
      </c>
      <c r="Z7" s="67" t="n">
        <v>-3.2</v>
      </c>
      <c r="AA7" s="67" t="n">
        <v>9.9</v>
      </c>
      <c r="AB7" s="67" t="n">
        <v>8.1</v>
      </c>
      <c r="AC7" s="67" t="n">
        <v>9.199999999999999</v>
      </c>
      <c r="AD7" s="67" t="n">
        <v>9.4</v>
      </c>
      <c r="AE7" s="67" t="n">
        <v>10.6</v>
      </c>
      <c r="AF7" s="67" t="n">
        <v>8.699999999999999</v>
      </c>
      <c r="AG7" s="67" t="n">
        <v>8</v>
      </c>
      <c r="AH7" s="67" t="n">
        <v>-3.1</v>
      </c>
      <c r="AI7" s="67" t="n">
        <v>11.8</v>
      </c>
      <c r="AJ7" s="67" t="n">
        <v>8.800000000000001</v>
      </c>
      <c r="AK7" s="67" t="n">
        <v>9.6</v>
      </c>
      <c r="AL7" s="67" t="n">
        <v>-0.2</v>
      </c>
      <c r="AM7" s="67" t="n">
        <v>14.4</v>
      </c>
      <c r="AN7" s="67" t="n">
        <v>12</v>
      </c>
      <c r="AO7" s="67" t="n">
        <v>13.3</v>
      </c>
    </row>
    <row r="8">
      <c r="A8" s="66" t="inlineStr">
        <is>
          <t>영업이익률</t>
        </is>
      </c>
      <c r="B8" s="68" t="n"/>
      <c r="C8" s="68" t="n">
        <v>7.3</v>
      </c>
      <c r="D8" s="68" t="n">
        <v>5.2</v>
      </c>
      <c r="E8" s="68" t="n">
        <v>4.9</v>
      </c>
      <c r="F8" s="68" t="n">
        <v>3.6</v>
      </c>
      <c r="G8" s="68" t="n">
        <v>7.8</v>
      </c>
      <c r="H8" s="68" t="n">
        <v>6.9</v>
      </c>
      <c r="I8" s="68" t="n">
        <v>7.2</v>
      </c>
      <c r="J8" s="68" t="n">
        <v>5.5</v>
      </c>
      <c r="K8" s="68" t="n">
        <v>8.4</v>
      </c>
      <c r="L8" s="68" t="n">
        <v>6.5</v>
      </c>
      <c r="M8" s="68" t="n">
        <v>6.5</v>
      </c>
      <c r="N8" s="68" t="n">
        <v>-10.3</v>
      </c>
      <c r="O8" s="68" t="n">
        <v>8.300000000000001</v>
      </c>
      <c r="P8" s="68" t="n">
        <v>7.8</v>
      </c>
      <c r="Q8" s="68" t="n">
        <v>8.199999999999999</v>
      </c>
      <c r="R8" s="68" t="n">
        <v>-2.6</v>
      </c>
      <c r="S8" s="68" t="n">
        <v>9.800000000000001</v>
      </c>
      <c r="T8" s="68" t="n">
        <v>8.699999999999999</v>
      </c>
      <c r="U8" s="68" t="n">
        <v>9.4</v>
      </c>
      <c r="V8" s="68" t="n">
        <v>-4.3</v>
      </c>
      <c r="W8" s="68" t="n">
        <v>10.4</v>
      </c>
      <c r="X8" s="68" t="n">
        <v>9.1</v>
      </c>
      <c r="Y8" s="68" t="n">
        <v>9.300000000000001</v>
      </c>
      <c r="Z8" s="68" t="n">
        <v>-3.4</v>
      </c>
      <c r="AA8" s="68" t="n">
        <v>10</v>
      </c>
      <c r="AB8" s="68" t="n">
        <v>8.199999999999999</v>
      </c>
      <c r="AC8" s="68" t="n">
        <v>8.6</v>
      </c>
      <c r="AD8" s="68" t="n">
        <v>8.5</v>
      </c>
      <c r="AE8" s="68" t="n">
        <v>9.199999999999999</v>
      </c>
      <c r="AF8" s="68" t="n">
        <v>7.7</v>
      </c>
      <c r="AG8" s="68" t="n">
        <v>6.7</v>
      </c>
      <c r="AH8" s="68" t="n">
        <v>-2.5</v>
      </c>
      <c r="AI8" s="68" t="n">
        <v>8.800000000000001</v>
      </c>
      <c r="AJ8" s="68" t="n">
        <v>6.6</v>
      </c>
      <c r="AK8" s="68" t="n">
        <v>6.9</v>
      </c>
      <c r="AL8" s="68" t="n">
        <v>-0.2</v>
      </c>
      <c r="AM8" s="68" t="n">
        <v>9.800000000000001</v>
      </c>
      <c r="AN8" s="68" t="n">
        <v>8.1</v>
      </c>
      <c r="AO8" s="68" t="n">
        <v>8.6</v>
      </c>
    </row>
    <row r="9">
      <c r="A9" s="66" t="inlineStr">
        <is>
          <t>영업이익 YoY</t>
        </is>
      </c>
      <c r="B9" s="68" t="n"/>
      <c r="C9" s="68" t="n"/>
      <c r="D9" s="68" t="n"/>
      <c r="E9" s="68" t="n"/>
      <c r="F9" s="68" t="n"/>
      <c r="G9" s="68" t="n">
        <v>45.8</v>
      </c>
      <c r="H9" s="68" t="n">
        <v>55</v>
      </c>
      <c r="I9" s="68" t="n">
        <v>70</v>
      </c>
      <c r="J9" s="68" t="n">
        <v>170</v>
      </c>
      <c r="K9" s="68" t="n">
        <v>22.9</v>
      </c>
      <c r="L9" s="68" t="n">
        <v>9.699999999999999</v>
      </c>
      <c r="M9" s="68" t="n">
        <v>2.9</v>
      </c>
      <c r="N9" s="68" t="n">
        <v>-222.2</v>
      </c>
      <c r="O9" s="68" t="n">
        <v>16.3</v>
      </c>
      <c r="P9" s="68" t="n">
        <v>41.2</v>
      </c>
      <c r="Q9" s="68" t="n">
        <v>57.1</v>
      </c>
      <c r="R9" s="68" t="n"/>
      <c r="S9" s="68" t="n">
        <v>48</v>
      </c>
      <c r="T9" s="68" t="n">
        <v>39.6</v>
      </c>
      <c r="U9" s="68" t="n">
        <v>38.2</v>
      </c>
      <c r="V9" s="68" t="n"/>
      <c r="W9" s="68" t="n">
        <v>23</v>
      </c>
      <c r="X9" s="68" t="n">
        <v>19.4</v>
      </c>
      <c r="Y9" s="68" t="n">
        <v>11.8</v>
      </c>
      <c r="Z9" s="68" t="n"/>
      <c r="AA9" s="68" t="n">
        <v>8.800000000000001</v>
      </c>
      <c r="AB9" s="68" t="n">
        <v>1.2</v>
      </c>
      <c r="AC9" s="68" t="n">
        <v>8.199999999999999</v>
      </c>
      <c r="AD9" s="68" t="n"/>
      <c r="AE9" s="68" t="n">
        <v>7.1</v>
      </c>
      <c r="AF9" s="68" t="n">
        <v>7.4</v>
      </c>
      <c r="AG9" s="68" t="n">
        <v>-13</v>
      </c>
      <c r="AH9" s="68" t="n">
        <v>-133</v>
      </c>
      <c r="AI9" s="68" t="n">
        <v>11.3</v>
      </c>
      <c r="AJ9" s="68" t="n">
        <v>1.1</v>
      </c>
      <c r="AK9" s="68" t="n">
        <v>20</v>
      </c>
      <c r="AL9" s="68" t="n"/>
      <c r="AM9" s="68" t="n">
        <v>22</v>
      </c>
      <c r="AN9" s="68" t="n">
        <v>36.4</v>
      </c>
      <c r="AO9" s="68" t="n">
        <v>38.5</v>
      </c>
    </row>
    <row r="10">
      <c r="A10" s="66" t="inlineStr">
        <is>
          <t>유동자산</t>
        </is>
      </c>
      <c r="B10" s="67" t="n">
        <v>48.4</v>
      </c>
      <c r="C10" s="67" t="n"/>
      <c r="D10" s="67" t="n"/>
      <c r="E10" s="67" t="n"/>
      <c r="F10" s="67" t="n">
        <v>50.4</v>
      </c>
      <c r="G10" s="67" t="n">
        <v>60.4</v>
      </c>
      <c r="H10" s="67" t="n">
        <v>63.9</v>
      </c>
      <c r="I10" s="67" t="n">
        <v>65.09999999999999</v>
      </c>
      <c r="J10" s="67" t="n">
        <v>69.90000000000001</v>
      </c>
      <c r="K10" s="67" t="n">
        <v>68.2</v>
      </c>
      <c r="L10" s="67" t="n">
        <v>72.3</v>
      </c>
      <c r="M10" s="67" t="n">
        <v>75</v>
      </c>
      <c r="N10" s="67" t="n">
        <v>72.59999999999999</v>
      </c>
      <c r="O10" s="67" t="n">
        <v>74.8</v>
      </c>
      <c r="P10" s="67" t="n">
        <v>81.09999999999999</v>
      </c>
      <c r="Q10" s="67" t="n">
        <v>88</v>
      </c>
      <c r="R10" s="67" t="n">
        <v>101.1</v>
      </c>
      <c r="S10" s="67" t="n">
        <v>95.7</v>
      </c>
      <c r="T10" s="67" t="n">
        <v>101.1</v>
      </c>
      <c r="U10" s="67" t="n">
        <v>108.2</v>
      </c>
      <c r="V10" s="67" t="n">
        <v>121.3</v>
      </c>
      <c r="W10" s="67" t="n">
        <v>114.7</v>
      </c>
      <c r="X10" s="67" t="n">
        <v>118.9</v>
      </c>
      <c r="Y10" s="67" t="n">
        <v>126.4</v>
      </c>
      <c r="Z10" s="67" t="n">
        <v>140.8</v>
      </c>
      <c r="AA10" s="67" t="n">
        <v>133.2</v>
      </c>
      <c r="AB10" s="67" t="n">
        <v>135.9</v>
      </c>
      <c r="AC10" s="67" t="n">
        <v>142.7</v>
      </c>
      <c r="AD10" s="67" t="n">
        <v>148.2</v>
      </c>
      <c r="AE10" s="67" t="n">
        <v>150.1</v>
      </c>
      <c r="AF10" s="67" t="n">
        <v>157</v>
      </c>
      <c r="AG10" s="67" t="n">
        <v>155.9</v>
      </c>
      <c r="AH10" s="67" t="n">
        <v>157.1</v>
      </c>
      <c r="AI10" s="67" t="n">
        <v>162.2</v>
      </c>
      <c r="AJ10" s="67" t="n">
        <v>166.4</v>
      </c>
      <c r="AK10" s="67" t="n">
        <v>163.2</v>
      </c>
      <c r="AL10" s="67" t="n">
        <v>185.4</v>
      </c>
      <c r="AM10" s="67" t="n">
        <v>165.3</v>
      </c>
      <c r="AN10" s="67" t="n">
        <v>178.2</v>
      </c>
      <c r="AO10" s="67" t="n">
        <v>198.5</v>
      </c>
    </row>
    <row r="11">
      <c r="A11" s="66" t="inlineStr">
        <is>
          <t>유동부채</t>
        </is>
      </c>
      <c r="B11" s="67" t="n">
        <v>23.4</v>
      </c>
      <c r="C11" s="67" t="n"/>
      <c r="D11" s="67" t="n"/>
      <c r="E11" s="67" t="n"/>
      <c r="F11" s="67" t="n">
        <v>26.7</v>
      </c>
      <c r="G11" s="67" t="n">
        <v>30.3</v>
      </c>
      <c r="H11" s="67" t="n">
        <v>31.7</v>
      </c>
      <c r="I11" s="67" t="n">
        <v>31.5</v>
      </c>
      <c r="J11" s="67" t="n">
        <v>35.6</v>
      </c>
      <c r="K11" s="67" t="n">
        <v>32.9</v>
      </c>
      <c r="L11" s="67" t="n">
        <v>34.7</v>
      </c>
      <c r="M11" s="67" t="n">
        <v>35.3</v>
      </c>
      <c r="N11" s="67" t="n">
        <v>39.4</v>
      </c>
      <c r="O11" s="67" t="n">
        <v>38.1</v>
      </c>
      <c r="P11" s="67" t="n">
        <v>41.4</v>
      </c>
      <c r="Q11" s="67" t="n">
        <v>44.3</v>
      </c>
      <c r="R11" s="67" t="n">
        <v>55.6</v>
      </c>
      <c r="S11" s="67" t="n">
        <v>48.2</v>
      </c>
      <c r="T11" s="67" t="n">
        <v>51.2</v>
      </c>
      <c r="U11" s="67" t="n">
        <v>53.5</v>
      </c>
      <c r="V11" s="67" t="n">
        <v>64.2</v>
      </c>
      <c r="W11" s="67" t="n">
        <v>56.9</v>
      </c>
      <c r="X11" s="67" t="n">
        <v>58.9</v>
      </c>
      <c r="Y11" s="67" t="n">
        <v>60.3</v>
      </c>
      <c r="Z11" s="67" t="n">
        <v>70.09999999999999</v>
      </c>
      <c r="AA11" s="67" t="n">
        <v>64.5</v>
      </c>
      <c r="AB11" s="67" t="n">
        <v>68.40000000000001</v>
      </c>
      <c r="AC11" s="67" t="n">
        <v>71.7</v>
      </c>
      <c r="AD11" s="67" t="n">
        <v>80.8</v>
      </c>
      <c r="AE11" s="67" t="n">
        <v>76.2</v>
      </c>
      <c r="AF11" s="67" t="n">
        <v>78.5</v>
      </c>
      <c r="AG11" s="67" t="n">
        <v>79.59999999999999</v>
      </c>
      <c r="AH11" s="67" t="n">
        <v>86</v>
      </c>
      <c r="AI11" s="67" t="n">
        <v>92.3</v>
      </c>
      <c r="AJ11" s="67" t="n">
        <v>95</v>
      </c>
      <c r="AK11" s="67" t="n">
        <v>95.7</v>
      </c>
      <c r="AL11" s="67" t="n">
        <v>110.5</v>
      </c>
      <c r="AM11" s="67" t="n">
        <v>103.9</v>
      </c>
      <c r="AN11" s="67" t="n">
        <v>108.4</v>
      </c>
      <c r="AO11" s="67" t="n">
        <v>113.3</v>
      </c>
    </row>
    <row r="12">
      <c r="A12" s="66" t="inlineStr">
        <is>
          <t>부채총계</t>
        </is>
      </c>
      <c r="B12" s="67" t="n">
        <v>23.4</v>
      </c>
      <c r="C12" s="67" t="n"/>
      <c r="D12" s="67" t="n"/>
      <c r="E12" s="67" t="n"/>
      <c r="F12" s="67" t="n">
        <v>26.7</v>
      </c>
      <c r="G12" s="67" t="n">
        <v>30.3</v>
      </c>
      <c r="H12" s="67" t="n">
        <v>31.7</v>
      </c>
      <c r="I12" s="67" t="n">
        <v>31.5</v>
      </c>
      <c r="J12" s="67" t="n">
        <v>35.6</v>
      </c>
      <c r="K12" s="67" t="n">
        <v>32.9</v>
      </c>
      <c r="L12" s="67" t="n">
        <v>34.8</v>
      </c>
      <c r="M12" s="67" t="n">
        <v>35.4</v>
      </c>
      <c r="N12" s="67" t="n">
        <v>39.4</v>
      </c>
      <c r="O12" s="67" t="n">
        <v>38.1</v>
      </c>
      <c r="P12" s="67" t="n">
        <v>41.4</v>
      </c>
      <c r="Q12" s="67" t="n">
        <v>44.3</v>
      </c>
      <c r="R12" s="67" t="n">
        <v>55.7</v>
      </c>
      <c r="S12" s="67" t="n">
        <v>48.2</v>
      </c>
      <c r="T12" s="67" t="n">
        <v>51.3</v>
      </c>
      <c r="U12" s="67" t="n">
        <v>53.7</v>
      </c>
      <c r="V12" s="67" t="n">
        <v>64.59999999999999</v>
      </c>
      <c r="W12" s="67" t="n">
        <v>57.5</v>
      </c>
      <c r="X12" s="67" t="n">
        <v>59.5</v>
      </c>
      <c r="Y12" s="67" t="n">
        <v>61</v>
      </c>
      <c r="Z12" s="67" t="n">
        <v>70.8</v>
      </c>
      <c r="AA12" s="67" t="n">
        <v>65.3</v>
      </c>
      <c r="AB12" s="67" t="n">
        <v>69.2</v>
      </c>
      <c r="AC12" s="67" t="n">
        <v>72.59999999999999</v>
      </c>
      <c r="AD12" s="67" t="n">
        <v>81.7</v>
      </c>
      <c r="AE12" s="67" t="n">
        <v>77.09999999999999</v>
      </c>
      <c r="AF12" s="67" t="n">
        <v>79.5</v>
      </c>
      <c r="AG12" s="67" t="n">
        <v>81.40000000000001</v>
      </c>
      <c r="AH12" s="67" t="n">
        <v>87</v>
      </c>
      <c r="AI12" s="67" t="n">
        <v>98.90000000000001</v>
      </c>
      <c r="AJ12" s="67" t="n">
        <v>100.8</v>
      </c>
      <c r="AK12" s="67" t="n">
        <v>101.8</v>
      </c>
      <c r="AL12" s="67" t="n">
        <v>117.1</v>
      </c>
      <c r="AM12" s="67" t="n">
        <v>108.3</v>
      </c>
      <c r="AN12" s="67" t="n">
        <v>113.8</v>
      </c>
      <c r="AO12" s="67" t="n">
        <v>118</v>
      </c>
    </row>
    <row r="13">
      <c r="A13" s="66" t="inlineStr">
        <is>
          <t>자기자본</t>
        </is>
      </c>
      <c r="B13" s="68" t="n">
        <v>29.2</v>
      </c>
      <c r="C13" s="68" t="n"/>
      <c r="D13" s="68" t="n"/>
      <c r="E13" s="68" t="n"/>
      <c r="F13" s="68" t="n">
        <v>34</v>
      </c>
      <c r="G13" s="68" t="n">
        <v>36</v>
      </c>
      <c r="H13" s="68" t="n">
        <v>38.2</v>
      </c>
      <c r="I13" s="68" t="n">
        <v>40.5</v>
      </c>
      <c r="J13" s="68" t="n">
        <v>42.6</v>
      </c>
      <c r="K13" s="68" t="n">
        <v>43.5</v>
      </c>
      <c r="L13" s="68" t="n">
        <v>45.9</v>
      </c>
      <c r="M13" s="68" t="n">
        <v>47.9</v>
      </c>
      <c r="N13" s="68" t="n">
        <v>47</v>
      </c>
      <c r="O13" s="68" t="n">
        <v>50.8</v>
      </c>
      <c r="P13" s="68" t="n">
        <v>54</v>
      </c>
      <c r="Q13" s="68" t="n">
        <v>57.8</v>
      </c>
      <c r="R13" s="68" t="n">
        <v>60.6</v>
      </c>
      <c r="S13" s="68" t="n">
        <v>62.8</v>
      </c>
      <c r="T13" s="68" t="n">
        <v>65.3</v>
      </c>
      <c r="U13" s="68" t="n">
        <v>70.59999999999999</v>
      </c>
      <c r="V13" s="68" t="n">
        <v>74.8</v>
      </c>
      <c r="W13" s="68" t="n">
        <v>75.7</v>
      </c>
      <c r="X13" s="68" t="n">
        <v>81.3</v>
      </c>
      <c r="Y13" s="68" t="n">
        <v>87.09999999999999</v>
      </c>
      <c r="Z13" s="68" t="n">
        <v>89.90000000000001</v>
      </c>
      <c r="AA13" s="68" t="n">
        <v>90</v>
      </c>
      <c r="AB13" s="68" t="n">
        <v>95.7</v>
      </c>
      <c r="AC13" s="68" t="n">
        <v>102</v>
      </c>
      <c r="AD13" s="68" t="n">
        <v>103.1</v>
      </c>
      <c r="AE13" s="68" t="n">
        <v>107.9</v>
      </c>
      <c r="AF13" s="68" t="n">
        <v>114.1</v>
      </c>
      <c r="AG13" s="68" t="n">
        <v>118.8</v>
      </c>
      <c r="AH13" s="68" t="n">
        <v>119.5</v>
      </c>
      <c r="AI13" s="68" t="n">
        <v>125.5</v>
      </c>
      <c r="AJ13" s="68" t="n">
        <v>130.5</v>
      </c>
      <c r="AK13" s="68" t="n">
        <v>137.4</v>
      </c>
      <c r="AL13" s="68" t="n">
        <v>148.6</v>
      </c>
      <c r="AM13" s="68" t="n">
        <v>149.3</v>
      </c>
      <c r="AN13" s="68" t="n">
        <v>157.7</v>
      </c>
      <c r="AO13" s="68" t="n">
        <v>167.5</v>
      </c>
    </row>
    <row r="14">
      <c r="A14" s="66" t="inlineStr">
        <is>
          <t>유동비율</t>
        </is>
      </c>
      <c r="B14" s="68" t="n">
        <v>206.8</v>
      </c>
      <c r="C14" s="68" t="n"/>
      <c r="D14" s="68" t="n"/>
      <c r="E14" s="68" t="n"/>
      <c r="F14" s="68" t="n">
        <v>188.8</v>
      </c>
      <c r="G14" s="68" t="n">
        <v>199.3</v>
      </c>
      <c r="H14" s="68" t="n">
        <v>201.6</v>
      </c>
      <c r="I14" s="68" t="n">
        <v>206.7</v>
      </c>
      <c r="J14" s="68" t="n">
        <v>196.3</v>
      </c>
      <c r="K14" s="68" t="n">
        <v>207.3</v>
      </c>
      <c r="L14" s="68" t="n">
        <v>208.4</v>
      </c>
      <c r="M14" s="68" t="n">
        <v>212.5</v>
      </c>
      <c r="N14" s="68" t="n">
        <v>184.3</v>
      </c>
      <c r="O14" s="68" t="n">
        <v>196.3</v>
      </c>
      <c r="P14" s="68" t="n">
        <v>195.9</v>
      </c>
      <c r="Q14" s="68" t="n">
        <v>198.6</v>
      </c>
      <c r="R14" s="68" t="n">
        <v>181.8</v>
      </c>
      <c r="S14" s="68" t="n">
        <v>198.5</v>
      </c>
      <c r="T14" s="68" t="n">
        <v>197.5</v>
      </c>
      <c r="U14" s="68" t="n">
        <v>202.2</v>
      </c>
      <c r="V14" s="68" t="n">
        <v>188.9</v>
      </c>
      <c r="W14" s="68" t="n">
        <v>201.6</v>
      </c>
      <c r="X14" s="68" t="n">
        <v>201.9</v>
      </c>
      <c r="Y14" s="68" t="n">
        <v>209.6</v>
      </c>
      <c r="Z14" s="68" t="n">
        <v>200.9</v>
      </c>
      <c r="AA14" s="68" t="n">
        <v>206.5</v>
      </c>
      <c r="AB14" s="68" t="n">
        <v>198.7</v>
      </c>
      <c r="AC14" s="68" t="n">
        <v>199</v>
      </c>
      <c r="AD14" s="68" t="n">
        <v>183.4</v>
      </c>
      <c r="AE14" s="68" t="n">
        <v>197</v>
      </c>
      <c r="AF14" s="68" t="n">
        <v>200</v>
      </c>
      <c r="AG14" s="68" t="n">
        <v>195.9</v>
      </c>
      <c r="AH14" s="68" t="n">
        <v>182.7</v>
      </c>
      <c r="AI14" s="68" t="n">
        <v>175.7</v>
      </c>
      <c r="AJ14" s="68" t="n">
        <v>175.2</v>
      </c>
      <c r="AK14" s="68" t="n">
        <v>170.5</v>
      </c>
      <c r="AL14" s="68" t="n">
        <v>167.8</v>
      </c>
      <c r="AM14" s="68" t="n">
        <v>159.1</v>
      </c>
      <c r="AN14" s="68" t="n">
        <v>164.4</v>
      </c>
      <c r="AO14" s="68" t="n">
        <v>175.2</v>
      </c>
    </row>
    <row r="15">
      <c r="A15" s="66" t="inlineStr">
        <is>
          <t>부채비율</t>
        </is>
      </c>
      <c r="B15" s="68" t="n">
        <v>80.09999999999999</v>
      </c>
      <c r="C15" s="68" t="n"/>
      <c r="D15" s="68" t="n"/>
      <c r="E15" s="68" t="n"/>
      <c r="F15" s="68" t="n">
        <v>78.5</v>
      </c>
      <c r="G15" s="68" t="n">
        <v>84.2</v>
      </c>
      <c r="H15" s="68" t="n">
        <v>83</v>
      </c>
      <c r="I15" s="68" t="n">
        <v>77.8</v>
      </c>
      <c r="J15" s="68" t="n">
        <v>83.59999999999999</v>
      </c>
      <c r="K15" s="68" t="n">
        <v>75.59999999999999</v>
      </c>
      <c r="L15" s="68" t="n">
        <v>75.8</v>
      </c>
      <c r="M15" s="68" t="n">
        <v>73.90000000000001</v>
      </c>
      <c r="N15" s="68" t="n">
        <v>83.8</v>
      </c>
      <c r="O15" s="68" t="n">
        <v>75</v>
      </c>
      <c r="P15" s="68" t="n">
        <v>76.7</v>
      </c>
      <c r="Q15" s="68" t="n">
        <v>76.59999999999999</v>
      </c>
      <c r="R15" s="68" t="n">
        <v>91.90000000000001</v>
      </c>
      <c r="S15" s="68" t="n">
        <v>76.8</v>
      </c>
      <c r="T15" s="68" t="n">
        <v>78.59999999999999</v>
      </c>
      <c r="U15" s="68" t="n">
        <v>76.09999999999999</v>
      </c>
      <c r="V15" s="68" t="n">
        <v>86.40000000000001</v>
      </c>
      <c r="W15" s="68" t="n">
        <v>76</v>
      </c>
      <c r="X15" s="68" t="n">
        <v>73.2</v>
      </c>
      <c r="Y15" s="68" t="n">
        <v>70</v>
      </c>
      <c r="Z15" s="68" t="n">
        <v>78.8</v>
      </c>
      <c r="AA15" s="68" t="n">
        <v>72.59999999999999</v>
      </c>
      <c r="AB15" s="68" t="n">
        <v>72.3</v>
      </c>
      <c r="AC15" s="68" t="n">
        <v>71.2</v>
      </c>
      <c r="AD15" s="68" t="n">
        <v>79.2</v>
      </c>
      <c r="AE15" s="68" t="n">
        <v>71.5</v>
      </c>
      <c r="AF15" s="68" t="n">
        <v>69.7</v>
      </c>
      <c r="AG15" s="68" t="n">
        <v>68.5</v>
      </c>
      <c r="AH15" s="68" t="n">
        <v>72.8</v>
      </c>
      <c r="AI15" s="68" t="n">
        <v>78.8</v>
      </c>
      <c r="AJ15" s="68" t="n">
        <v>77.2</v>
      </c>
      <c r="AK15" s="68" t="n">
        <v>74.09999999999999</v>
      </c>
      <c r="AL15" s="68" t="n">
        <v>78.8</v>
      </c>
      <c r="AM15" s="68" t="n">
        <v>72.5</v>
      </c>
      <c r="AN15" s="68" t="n">
        <v>72.2</v>
      </c>
      <c r="AO15" s="68" t="n">
        <v>70.40000000000001</v>
      </c>
    </row>
    <row r="16">
      <c r="A16" s="66" t="inlineStr">
        <is>
          <t>순차입금/자기자본</t>
        </is>
      </c>
      <c r="B16" s="68" t="n">
        <v>-73.59999999999999</v>
      </c>
      <c r="C16" s="68" t="n"/>
      <c r="D16" s="68" t="n"/>
      <c r="E16" s="68" t="n"/>
      <c r="F16" s="68" t="n">
        <v>-50</v>
      </c>
      <c r="G16" s="68" t="n">
        <v>-64.7</v>
      </c>
      <c r="H16" s="68" t="n">
        <v>-68.3</v>
      </c>
      <c r="I16" s="68" t="n">
        <v>-63.7</v>
      </c>
      <c r="J16" s="68" t="n">
        <v>-71.8</v>
      </c>
      <c r="K16" s="68" t="n">
        <v>-60.5</v>
      </c>
      <c r="L16" s="68" t="n">
        <v>-65.09999999999999</v>
      </c>
      <c r="M16" s="68" t="n">
        <v>-64.5</v>
      </c>
      <c r="N16" s="68" t="n">
        <v>-58.7</v>
      </c>
      <c r="O16" s="68" t="n">
        <v>-51.8</v>
      </c>
      <c r="P16" s="68" t="n">
        <v>-60.2</v>
      </c>
      <c r="Q16" s="68" t="n">
        <v>-64.5</v>
      </c>
      <c r="R16" s="68" t="n">
        <v>-71.3</v>
      </c>
      <c r="S16" s="68" t="n">
        <v>-63.9</v>
      </c>
      <c r="T16" s="68" t="n">
        <v>-67.7</v>
      </c>
      <c r="U16" s="68" t="n">
        <v>-69.5</v>
      </c>
      <c r="V16" s="68" t="n">
        <v>-75.3</v>
      </c>
      <c r="W16" s="68" t="n">
        <v>-61.6</v>
      </c>
      <c r="X16" s="68" t="n">
        <v>-63.6</v>
      </c>
      <c r="Y16" s="68" t="n">
        <v>-65</v>
      </c>
      <c r="Z16" s="68" t="n">
        <v>-67.2</v>
      </c>
      <c r="AA16" s="68" t="n">
        <v>-62.2</v>
      </c>
      <c r="AB16" s="68" t="n">
        <v>-56.9</v>
      </c>
      <c r="AC16" s="68" t="n">
        <v>-51.9</v>
      </c>
      <c r="AD16" s="68" t="n">
        <v>-45.9</v>
      </c>
      <c r="AE16" s="68" t="n">
        <v>-47.1</v>
      </c>
      <c r="AF16" s="68" t="n">
        <v>-46.3</v>
      </c>
      <c r="AG16" s="68" t="n">
        <v>-30.6</v>
      </c>
      <c r="AH16" s="68" t="n">
        <v>-47.3</v>
      </c>
      <c r="AI16" s="68" t="n">
        <v>-35.4</v>
      </c>
      <c r="AJ16" s="68" t="n">
        <v>-37.1</v>
      </c>
      <c r="AK16" s="68" t="n">
        <v>-32</v>
      </c>
      <c r="AL16" s="68" t="n">
        <v>-40.2</v>
      </c>
      <c r="AM16" s="68" t="n">
        <v>-33.2</v>
      </c>
      <c r="AN16" s="68" t="n">
        <v>-42.1</v>
      </c>
      <c r="AO16" s="68" t="n">
        <v>-43.9</v>
      </c>
    </row>
    <row r="17">
      <c r="A17" s="66" t="inlineStr">
        <is>
          <t>재고자산</t>
        </is>
      </c>
      <c r="B17" s="67" t="n">
        <v>3.9</v>
      </c>
      <c r="C17" s="67" t="n"/>
      <c r="D17" s="67" t="n"/>
      <c r="E17" s="67" t="n"/>
      <c r="F17" s="67" t="n">
        <v>4.3</v>
      </c>
      <c r="G17" s="67" t="n">
        <v>4.4</v>
      </c>
      <c r="H17" s="67" t="n">
        <v>4.4</v>
      </c>
      <c r="I17" s="67" t="n">
        <v>4.6</v>
      </c>
      <c r="J17" s="67" t="n">
        <v>5.9</v>
      </c>
      <c r="K17" s="67" t="n">
        <v>5.2</v>
      </c>
      <c r="L17" s="67" t="n">
        <v>5.4</v>
      </c>
      <c r="M17" s="67" t="n">
        <v>5.9</v>
      </c>
      <c r="N17" s="67" t="n">
        <v>6.7</v>
      </c>
      <c r="O17" s="67" t="n">
        <v>6.5</v>
      </c>
      <c r="P17" s="67" t="n">
        <v>7</v>
      </c>
      <c r="Q17" s="67" t="n">
        <v>7.5</v>
      </c>
      <c r="R17" s="67" t="n">
        <v>9.9</v>
      </c>
      <c r="S17" s="67" t="n">
        <v>8</v>
      </c>
      <c r="T17" s="67" t="n">
        <v>8.199999999999999</v>
      </c>
      <c r="U17" s="67" t="n">
        <v>8.5</v>
      </c>
      <c r="V17" s="67" t="n">
        <v>10.8</v>
      </c>
      <c r="W17" s="67" t="n">
        <v>8.9</v>
      </c>
      <c r="X17" s="67" t="n">
        <v>9.199999999999999</v>
      </c>
      <c r="Y17" s="67" t="n">
        <v>9.300000000000001</v>
      </c>
      <c r="Z17" s="67" t="n">
        <v>13.3</v>
      </c>
      <c r="AA17" s="67" t="n">
        <v>12</v>
      </c>
      <c r="AB17" s="67" t="n">
        <v>12.4</v>
      </c>
      <c r="AC17" s="67" t="n">
        <v>12.2</v>
      </c>
      <c r="AD17" s="67" t="n">
        <v>19</v>
      </c>
      <c r="AE17" s="67" t="n">
        <v>16.6</v>
      </c>
      <c r="AF17" s="67" t="n">
        <v>17.5</v>
      </c>
      <c r="AG17" s="67" t="n">
        <v>18.6</v>
      </c>
      <c r="AH17" s="67" t="n">
        <v>22.2</v>
      </c>
      <c r="AI17" s="67" t="n">
        <v>21.6</v>
      </c>
      <c r="AJ17" s="67" t="n">
        <v>24.7</v>
      </c>
      <c r="AK17" s="67" t="n">
        <v>26.4</v>
      </c>
      <c r="AL17" s="67" t="n">
        <v>29.6</v>
      </c>
      <c r="AM17" s="67" t="n">
        <v>16</v>
      </c>
      <c r="AN17" s="67" t="n">
        <v>15.9</v>
      </c>
      <c r="AO17" s="67" t="n">
        <v>16.2</v>
      </c>
    </row>
    <row r="18">
      <c r="A18" s="66" t="inlineStr">
        <is>
          <t>재고자산 회전일수</t>
        </is>
      </c>
      <c r="B18" s="67" t="n"/>
      <c r="C18" s="67" t="n"/>
      <c r="D18" s="67" t="n"/>
      <c r="E18" s="67" t="n"/>
      <c r="F18" s="67" t="n">
        <v>18</v>
      </c>
      <c r="G18" s="67" t="n">
        <v>12</v>
      </c>
      <c r="H18" s="67" t="n">
        <v>12</v>
      </c>
      <c r="I18" s="67" t="n">
        <v>12</v>
      </c>
      <c r="J18" s="67" t="n">
        <v>15</v>
      </c>
      <c r="K18" s="67" t="n">
        <v>13</v>
      </c>
      <c r="L18" s="67" t="n">
        <v>13</v>
      </c>
      <c r="M18" s="67" t="n">
        <v>13</v>
      </c>
      <c r="N18" s="67" t="n">
        <v>24</v>
      </c>
      <c r="O18" s="67" t="n">
        <v>13</v>
      </c>
      <c r="P18" s="67" t="n">
        <v>14</v>
      </c>
      <c r="Q18" s="67" t="n">
        <v>14</v>
      </c>
      <c r="R18" s="67" t="n">
        <v>17</v>
      </c>
      <c r="S18" s="67" t="n">
        <v>13</v>
      </c>
      <c r="T18" s="67" t="n">
        <v>13</v>
      </c>
      <c r="U18" s="67" t="n">
        <v>13</v>
      </c>
      <c r="V18" s="67" t="n">
        <v>16</v>
      </c>
      <c r="W18" s="67" t="n">
        <v>12</v>
      </c>
      <c r="X18" s="67" t="n">
        <v>13</v>
      </c>
      <c r="Y18" s="67" t="n">
        <v>12</v>
      </c>
      <c r="Z18" s="67" t="n">
        <v>17</v>
      </c>
      <c r="AA18" s="67" t="n">
        <v>15</v>
      </c>
      <c r="AB18" s="67" t="n">
        <v>15</v>
      </c>
      <c r="AC18" s="67" t="n">
        <v>14</v>
      </c>
      <c r="AD18" s="67" t="n">
        <v>21</v>
      </c>
      <c r="AE18" s="67" t="n">
        <v>17</v>
      </c>
      <c r="AF18" s="67" t="n">
        <v>18</v>
      </c>
      <c r="AG18" s="67" t="n">
        <v>18</v>
      </c>
      <c r="AH18" s="67" t="n">
        <v>20</v>
      </c>
      <c r="AI18" s="67" t="n">
        <v>19</v>
      </c>
      <c r="AJ18" s="67" t="n">
        <v>21</v>
      </c>
      <c r="AK18" s="67" t="n">
        <v>22</v>
      </c>
      <c r="AL18" s="67" t="n">
        <v>27</v>
      </c>
      <c r="AM18" s="67" t="n">
        <v>13</v>
      </c>
      <c r="AN18" s="67" t="n">
        <v>13</v>
      </c>
      <c r="AO18" s="67" t="n">
        <v>12</v>
      </c>
    </row>
    <row r="19">
      <c r="A19" s="66" t="inlineStr">
        <is>
          <t>매출채권 회전일수</t>
        </is>
      </c>
      <c r="B19" s="67" t="n"/>
      <c r="C19" s="67" t="n"/>
      <c r="D19" s="67" t="n"/>
      <c r="E19" s="67" t="n"/>
      <c r="F19" s="67" t="n">
        <v>62</v>
      </c>
      <c r="G19" s="67" t="n">
        <v>46</v>
      </c>
      <c r="H19" s="67" t="n">
        <v>45</v>
      </c>
      <c r="I19" s="67" t="n">
        <v>46</v>
      </c>
      <c r="J19" s="67" t="n">
        <v>46</v>
      </c>
      <c r="K19" s="67" t="n">
        <v>47</v>
      </c>
      <c r="L19" s="67" t="n">
        <v>46</v>
      </c>
      <c r="M19" s="67" t="n">
        <v>46</v>
      </c>
      <c r="N19" s="67" t="n">
        <v>69</v>
      </c>
      <c r="O19" s="67" t="n">
        <v>43</v>
      </c>
      <c r="P19" s="67" t="n">
        <v>42</v>
      </c>
      <c r="Q19" s="67" t="n">
        <v>41</v>
      </c>
      <c r="R19" s="67" t="n">
        <v>41</v>
      </c>
      <c r="S19" s="67" t="n">
        <v>42</v>
      </c>
      <c r="T19" s="67" t="n">
        <v>42</v>
      </c>
      <c r="U19" s="67" t="n">
        <v>42</v>
      </c>
      <c r="V19" s="67" t="n">
        <v>42</v>
      </c>
      <c r="W19" s="67" t="n">
        <v>0</v>
      </c>
      <c r="X19" s="67" t="n">
        <v>0</v>
      </c>
      <c r="Y19" s="67" t="n">
        <v>0</v>
      </c>
      <c r="Z19" s="67" t="n">
        <v>41</v>
      </c>
      <c r="AA19" s="67" t="n"/>
      <c r="AB19" s="67" t="n"/>
      <c r="AC19" s="67" t="n"/>
      <c r="AD19" s="67" t="n">
        <v>41</v>
      </c>
      <c r="AE19" s="67" t="n"/>
      <c r="AF19" s="67" t="n"/>
      <c r="AG19" s="67" t="n"/>
      <c r="AH19" s="67" t="n">
        <v>43</v>
      </c>
      <c r="AI19" s="67" t="n"/>
      <c r="AJ19" s="67" t="n"/>
      <c r="AK19" s="67" t="n"/>
      <c r="AL19" s="67" t="n">
        <v>49</v>
      </c>
      <c r="AM19" s="67" t="n"/>
      <c r="AN19" s="67" t="n"/>
      <c r="AO19" s="67" t="n"/>
    </row>
    <row r="20">
      <c r="A20" s="66" t="inlineStr">
        <is>
          <t>매입채무 회전일수</t>
        </is>
      </c>
      <c r="B20" s="67" t="n"/>
      <c r="C20" s="67" t="n"/>
      <c r="D20" s="67" t="n"/>
      <c r="E20" s="67" t="n"/>
      <c r="F20" s="67" t="n">
        <v>87</v>
      </c>
      <c r="G20" s="67" t="n">
        <v>65</v>
      </c>
      <c r="H20" s="67" t="n">
        <v>64</v>
      </c>
      <c r="I20" s="67" t="n">
        <v>65</v>
      </c>
      <c r="J20" s="67" t="n">
        <v>69</v>
      </c>
      <c r="K20" s="67" t="n">
        <v>65</v>
      </c>
      <c r="L20" s="67" t="n">
        <v>62</v>
      </c>
      <c r="M20" s="67" t="n">
        <v>65</v>
      </c>
      <c r="N20" s="67" t="n">
        <v>107</v>
      </c>
      <c r="O20" s="67" t="n">
        <v>65</v>
      </c>
      <c r="P20" s="67" t="n">
        <v>64</v>
      </c>
      <c r="Q20" s="67" t="n">
        <v>65</v>
      </c>
      <c r="R20" s="67" t="n">
        <v>69</v>
      </c>
      <c r="S20" s="67" t="n">
        <v>65</v>
      </c>
      <c r="T20" s="67" t="n">
        <v>64</v>
      </c>
      <c r="U20" s="67" t="n">
        <v>65</v>
      </c>
      <c r="V20" s="67" t="n">
        <v>71</v>
      </c>
      <c r="W20" s="67" t="n">
        <v>66</v>
      </c>
      <c r="X20" s="67" t="n">
        <v>64</v>
      </c>
      <c r="Y20" s="67" t="n">
        <v>66</v>
      </c>
      <c r="Z20" s="67" t="n">
        <v>72</v>
      </c>
      <c r="AA20" s="67" t="n">
        <v>65</v>
      </c>
      <c r="AB20" s="67" t="n">
        <v>65</v>
      </c>
      <c r="AC20" s="67" t="n">
        <v>66</v>
      </c>
      <c r="AD20" s="67" t="n">
        <v>69</v>
      </c>
      <c r="AE20" s="67" t="n">
        <v>65</v>
      </c>
      <c r="AF20" s="67" t="n">
        <v>64</v>
      </c>
      <c r="AG20" s="67" t="n">
        <v>64</v>
      </c>
      <c r="AH20" s="67" t="n">
        <v>65</v>
      </c>
      <c r="AI20" s="67" t="n">
        <v>64</v>
      </c>
      <c r="AJ20" s="67" t="n">
        <v>63</v>
      </c>
      <c r="AK20" s="67" t="n">
        <v>63</v>
      </c>
      <c r="AL20" s="67" t="n">
        <v>76</v>
      </c>
      <c r="AM20" s="67" t="n">
        <v>65</v>
      </c>
      <c r="AN20" s="67" t="n">
        <v>64</v>
      </c>
      <c r="AO20" s="67" t="n">
        <v>64</v>
      </c>
    </row>
    <row r="21">
      <c r="A21" s="66" t="inlineStr">
        <is>
          <t>현금전환주기(CCC)</t>
        </is>
      </c>
      <c r="B21" s="67" t="n"/>
      <c r="C21" s="67" t="n"/>
      <c r="D21" s="67" t="n"/>
      <c r="E21" s="67" t="n"/>
      <c r="F21" s="67" t="n">
        <v>-7</v>
      </c>
      <c r="G21" s="67" t="n">
        <v>-7</v>
      </c>
      <c r="H21" s="67" t="n">
        <v>-7</v>
      </c>
      <c r="I21" s="67" t="n">
        <v>-7</v>
      </c>
      <c r="J21" s="67" t="n">
        <v>-8</v>
      </c>
      <c r="K21" s="67" t="n">
        <v>-5</v>
      </c>
      <c r="L21" s="67" t="n">
        <v>-3</v>
      </c>
      <c r="M21" s="67" t="n">
        <v>-6</v>
      </c>
      <c r="N21" s="67" t="n">
        <v>-14</v>
      </c>
      <c r="O21" s="67" t="n">
        <v>-9</v>
      </c>
      <c r="P21" s="67" t="n">
        <v>-8</v>
      </c>
      <c r="Q21" s="67" t="n">
        <v>-10</v>
      </c>
      <c r="R21" s="67" t="n">
        <v>-11</v>
      </c>
      <c r="S21" s="67" t="n">
        <v>-10</v>
      </c>
      <c r="T21" s="67" t="n">
        <v>-9</v>
      </c>
      <c r="U21" s="67" t="n">
        <v>-10</v>
      </c>
      <c r="V21" s="67" t="n">
        <v>-13</v>
      </c>
      <c r="W21" s="67" t="n">
        <v>-54</v>
      </c>
      <c r="X21" s="67" t="n">
        <v>-51</v>
      </c>
      <c r="Y21" s="67" t="n">
        <v>-54</v>
      </c>
      <c r="Z21" s="67" t="n">
        <v>-14</v>
      </c>
      <c r="AA21" s="67" t="n"/>
      <c r="AB21" s="67" t="n"/>
      <c r="AC21" s="67" t="n"/>
      <c r="AD21" s="67" t="n">
        <v>-7</v>
      </c>
      <c r="AE21" s="67" t="n"/>
      <c r="AF21" s="67" t="n"/>
      <c r="AG21" s="67" t="n"/>
      <c r="AH21" s="67" t="n">
        <v>-2</v>
      </c>
      <c r="AI21" s="67" t="n"/>
      <c r="AJ21" s="67" t="n"/>
      <c r="AK21" s="67" t="n"/>
      <c r="AL21" s="67" t="n">
        <v>0</v>
      </c>
      <c r="AM21" s="67" t="n"/>
      <c r="AN21" s="67" t="n"/>
      <c r="AO21" s="67" t="n"/>
    </row>
    <row r="22">
      <c r="A22" s="66" t="inlineStr">
        <is>
          <t>총 차입금</t>
        </is>
      </c>
      <c r="B22" s="67" t="n">
        <v>0</v>
      </c>
      <c r="C22" s="67" t="n"/>
      <c r="D22" s="67" t="n"/>
      <c r="E22" s="67" t="n"/>
      <c r="F22" s="67" t="n">
        <v>0</v>
      </c>
      <c r="G22" s="67" t="n">
        <v>0</v>
      </c>
      <c r="H22" s="67" t="n">
        <v>0</v>
      </c>
      <c r="I22" s="67" t="n">
        <v>0</v>
      </c>
      <c r="J22" s="67" t="n">
        <v>0</v>
      </c>
      <c r="K22" s="67" t="n">
        <v>0</v>
      </c>
      <c r="L22" s="67" t="n">
        <v>0</v>
      </c>
      <c r="M22" s="67" t="n">
        <v>0</v>
      </c>
      <c r="N22" s="67" t="n">
        <v>0</v>
      </c>
      <c r="O22" s="67" t="n">
        <v>0</v>
      </c>
      <c r="P22" s="67" t="n">
        <v>0</v>
      </c>
      <c r="Q22" s="67" t="n">
        <v>0</v>
      </c>
      <c r="R22" s="67" t="n">
        <v>0</v>
      </c>
      <c r="S22" s="67" t="n">
        <v>0</v>
      </c>
      <c r="T22" s="67" t="n">
        <v>0</v>
      </c>
      <c r="U22" s="67" t="n">
        <v>0</v>
      </c>
      <c r="V22" s="67" t="n">
        <v>0</v>
      </c>
      <c r="W22" s="67" t="n">
        <v>0</v>
      </c>
      <c r="X22" s="67" t="n">
        <v>0</v>
      </c>
      <c r="Y22" s="67" t="n">
        <v>0</v>
      </c>
      <c r="Z22" s="67" t="n">
        <v>0</v>
      </c>
      <c r="AA22" s="67" t="n">
        <v>0</v>
      </c>
      <c r="AB22" s="67" t="n">
        <v>0</v>
      </c>
      <c r="AC22" s="67" t="n">
        <v>0</v>
      </c>
      <c r="AD22" s="67" t="n">
        <v>0</v>
      </c>
      <c r="AE22" s="67" t="n">
        <v>0</v>
      </c>
      <c r="AF22" s="67" t="n">
        <v>0</v>
      </c>
      <c r="AG22" s="67" t="n">
        <v>1.3</v>
      </c>
      <c r="AH22" s="67" t="n">
        <v>0.9</v>
      </c>
      <c r="AI22" s="67" t="n">
        <v>7.8</v>
      </c>
      <c r="AJ22" s="67" t="n">
        <v>7.800000000000001</v>
      </c>
      <c r="AK22" s="67" t="n">
        <v>7.3</v>
      </c>
      <c r="AL22" s="67" t="n">
        <v>8.800000000000001</v>
      </c>
      <c r="AM22" s="67" t="n">
        <v>6.8</v>
      </c>
      <c r="AN22" s="67" t="n">
        <v>7.4</v>
      </c>
      <c r="AO22" s="67" t="n">
        <v>7.2</v>
      </c>
    </row>
    <row r="23">
      <c r="A23" s="66" t="inlineStr">
        <is>
          <t>현금</t>
        </is>
      </c>
      <c r="B23" s="67" t="n">
        <v>21.5</v>
      </c>
      <c r="C23" s="67" t="n"/>
      <c r="D23" s="67" t="n"/>
      <c r="E23" s="67" t="n"/>
      <c r="F23" s="67" t="n">
        <v>17</v>
      </c>
      <c r="G23" s="67" t="n">
        <v>23.3</v>
      </c>
      <c r="H23" s="67" t="n">
        <v>26.1</v>
      </c>
      <c r="I23" s="67" t="n">
        <v>25.8</v>
      </c>
      <c r="J23" s="67" t="n">
        <v>30.6</v>
      </c>
      <c r="K23" s="67" t="n">
        <v>26.3</v>
      </c>
      <c r="L23" s="67" t="n">
        <v>29.9</v>
      </c>
      <c r="M23" s="67" t="n">
        <v>30.9</v>
      </c>
      <c r="N23" s="67" t="n">
        <v>27.6</v>
      </c>
      <c r="O23" s="67" t="n">
        <v>26.3</v>
      </c>
      <c r="P23" s="67" t="n">
        <v>32.5</v>
      </c>
      <c r="Q23" s="67" t="n">
        <v>37.3</v>
      </c>
      <c r="R23" s="67" t="n">
        <v>43.2</v>
      </c>
      <c r="S23" s="67" t="n">
        <v>40.1</v>
      </c>
      <c r="T23" s="67" t="n">
        <v>44.2</v>
      </c>
      <c r="U23" s="67" t="n">
        <v>49.1</v>
      </c>
      <c r="V23" s="67" t="n">
        <v>56.3</v>
      </c>
      <c r="W23" s="67" t="n">
        <v>46.6</v>
      </c>
      <c r="X23" s="67" t="n">
        <v>51.7</v>
      </c>
      <c r="Y23" s="67" t="n">
        <v>56.6</v>
      </c>
      <c r="Z23" s="67" t="n">
        <v>60.4</v>
      </c>
      <c r="AA23" s="67" t="n">
        <v>56</v>
      </c>
      <c r="AB23" s="67" t="n">
        <v>54.5</v>
      </c>
      <c r="AC23" s="67" t="n">
        <v>52.9</v>
      </c>
      <c r="AD23" s="67" t="n">
        <v>47.3</v>
      </c>
      <c r="AE23" s="67" t="n">
        <v>50.8</v>
      </c>
      <c r="AF23" s="67" t="n">
        <v>52.8</v>
      </c>
      <c r="AG23" s="67" t="n">
        <v>37.7</v>
      </c>
      <c r="AH23" s="67" t="n">
        <v>57.4</v>
      </c>
      <c r="AI23" s="67" t="n">
        <v>52.2</v>
      </c>
      <c r="AJ23" s="67" t="n">
        <v>56.2</v>
      </c>
      <c r="AK23" s="67" t="n">
        <v>51.3</v>
      </c>
      <c r="AL23" s="67" t="n">
        <v>68.5</v>
      </c>
      <c r="AM23" s="67" t="n">
        <v>56.3</v>
      </c>
      <c r="AN23" s="67" t="n">
        <v>73.8</v>
      </c>
      <c r="AO23" s="67" t="n">
        <v>80.7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2026-10-30T11:45:19Z</dcterms:created>
  <dcterms:modified xmlns:dcterms="http://purl.org/dc/terms/" xmlns:xsi="http://www.w3.org/2001/XMLSchema-instance" xsi:type="dcterms:W3CDTF">2026-10-30T11:45:37Z</dcterms:modified>
</cp:coreProperties>
</file>