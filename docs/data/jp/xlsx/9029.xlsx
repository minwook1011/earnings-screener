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히가시홀딩스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10006.745</v>
      </c>
      <c r="D4" s="12" t="n">
        <v>11097.891</v>
      </c>
      <c r="E4" s="12" t="n">
        <v>11040.44</v>
      </c>
      <c r="F4" s="12" t="n">
        <v>10935.621</v>
      </c>
      <c r="G4" s="12" t="n">
        <v>12711.4</v>
      </c>
      <c r="H4" s="12" t="n">
        <v>13438.579</v>
      </c>
      <c r="I4" s="12" t="n">
        <v>12956.411</v>
      </c>
      <c r="J4" s="12" t="n">
        <v>13843.226</v>
      </c>
      <c r="K4" s="12" t="n">
        <v>15674.286</v>
      </c>
      <c r="L4" s="12" t="n">
        <v>15498.633</v>
      </c>
      <c r="M4" s="12" t="n">
        <v>15199.346</v>
      </c>
      <c r="N4" s="12" t="n">
        <v>14847.238</v>
      </c>
      <c r="O4" s="11" t="n">
        <v>19443.995</v>
      </c>
      <c r="P4" s="12" t="n">
        <v>20892.257</v>
      </c>
      <c r="Q4" s="12" t="n">
        <v>23499.904</v>
      </c>
      <c r="R4" s="12" t="n">
        <v>21891.027</v>
      </c>
      <c r="S4" s="12" t="n">
        <v>24436.7</v>
      </c>
      <c r="T4" s="12" t="n">
        <v>20111.664</v>
      </c>
      <c r="U4" s="12" t="n">
        <v>34807.706</v>
      </c>
      <c r="V4" s="12" t="n">
        <v>40635.071</v>
      </c>
      <c r="W4" s="12" t="n">
        <v>48126.04</v>
      </c>
      <c r="X4" s="12" t="n">
        <v>57972.556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TransportationReportableSegmentsMember</t>
        </is>
      </c>
      <c r="B7" s="10" t="n"/>
      <c r="C7" s="19" t="n">
        <v>5269.294</v>
      </c>
      <c r="D7" s="20" t="n"/>
      <c r="E7" s="20" t="n">
        <v>5883.804</v>
      </c>
      <c r="F7" s="20" t="n">
        <v>5705.205</v>
      </c>
      <c r="G7" s="20" t="n">
        <v>6394.279</v>
      </c>
      <c r="H7" s="20" t="n">
        <v>7497.862</v>
      </c>
      <c r="I7" s="20" t="n">
        <v>6582.179</v>
      </c>
      <c r="J7" s="20" t="n">
        <v>7187.667</v>
      </c>
      <c r="K7" s="20" t="n">
        <v>7466.355</v>
      </c>
      <c r="L7" s="20" t="n">
        <v>8293.606</v>
      </c>
      <c r="M7" s="20" t="n">
        <v>7673.142</v>
      </c>
      <c r="N7" s="20" t="n">
        <v>7617.054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25481.15</v>
      </c>
      <c r="X7" s="20" t="n">
        <v>29529.807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WarehouseReportableSegmentsMember</t>
        </is>
      </c>
      <c r="B10" s="10" t="n"/>
      <c r="C10" s="19" t="n">
        <v>2873.087</v>
      </c>
      <c r="D10" s="20" t="n"/>
      <c r="E10" s="20" t="n">
        <v>3248.554</v>
      </c>
      <c r="F10" s="20" t="n">
        <v>3370.645</v>
      </c>
      <c r="G10" s="20" t="n">
        <v>3833.112</v>
      </c>
      <c r="H10" s="20" t="n">
        <v>3588.655</v>
      </c>
      <c r="I10" s="20" t="n">
        <v>3991.802</v>
      </c>
      <c r="J10" s="20" t="n">
        <v>4157.713</v>
      </c>
      <c r="K10" s="20" t="n">
        <v>4588.273</v>
      </c>
      <c r="L10" s="20" t="n">
        <v>4509.256</v>
      </c>
      <c r="M10" s="20" t="n">
        <v>4890.962</v>
      </c>
      <c r="N10" s="20" t="n">
        <v>4976.001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14040.966</v>
      </c>
      <c r="X10" s="20" t="n">
        <v>17247.044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GoodsSaleReportableSegmentsMember</t>
        </is>
      </c>
      <c r="B13" s="10" t="n"/>
      <c r="C13" s="19" t="n">
        <v>1193.327</v>
      </c>
      <c r="D13" s="20" t="n"/>
      <c r="E13" s="20" t="n">
        <v>1249.5</v>
      </c>
      <c r="F13" s="20" t="n">
        <v>1190.67</v>
      </c>
      <c r="G13" s="20" t="n">
        <v>1381.404</v>
      </c>
      <c r="H13" s="20" t="n">
        <v>1239.904</v>
      </c>
      <c r="I13" s="20" t="n">
        <v>1312.13</v>
      </c>
      <c r="J13" s="20" t="n">
        <v>1390.626</v>
      </c>
      <c r="K13" s="20" t="n">
        <v>2470.616</v>
      </c>
      <c r="L13" s="20" t="n">
        <v>1537.752</v>
      </c>
      <c r="M13" s="20" t="n">
        <v>1449.352</v>
      </c>
      <c r="N13" s="20" t="n">
        <v>1175.862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5061.478</v>
      </c>
      <c r="X13" s="20" t="n">
        <v>6711.124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WelfareReportableSegmentsMember</t>
        </is>
      </c>
      <c r="B16" s="10" t="n"/>
      <c r="C16" s="19" t="n">
        <v>268.599</v>
      </c>
      <c r="D16" s="20" t="n"/>
      <c r="E16" s="20" t="n">
        <v>279.126</v>
      </c>
      <c r="F16" s="20" t="n">
        <v>278.056</v>
      </c>
      <c r="G16" s="20" t="n">
        <v>295.922</v>
      </c>
      <c r="H16" s="20" t="n">
        <v>287.687</v>
      </c>
      <c r="I16" s="20" t="n">
        <v>295.437</v>
      </c>
      <c r="J16" s="20" t="n">
        <v>317.953</v>
      </c>
      <c r="K16" s="20" t="n">
        <v>321.089</v>
      </c>
      <c r="L16" s="20" t="n">
        <v>312.461</v>
      </c>
      <c r="M16" s="20" t="n">
        <v>324.887</v>
      </c>
      <c r="N16" s="20" t="n">
        <v>341.309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1140.791</v>
      </c>
      <c r="X16" s="20" t="n">
        <v>1246.94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402.437</v>
      </c>
      <c r="D19" s="20" t="n"/>
      <c r="E19" s="20" t="n">
        <v>379.454</v>
      </c>
      <c r="F19" s="20" t="n">
        <v>391.044</v>
      </c>
      <c r="G19" s="20" t="n">
        <v>806.683</v>
      </c>
      <c r="H19" s="20" t="n">
        <v>824.472</v>
      </c>
      <c r="I19" s="20" t="n">
        <v>774.862</v>
      </c>
      <c r="J19" s="20" t="n">
        <v>789.266</v>
      </c>
      <c r="K19" s="20" t="n">
        <v>827.952</v>
      </c>
      <c r="L19" s="20" t="n">
        <v>845.5599999999999</v>
      </c>
      <c r="M19" s="20" t="n">
        <v>861.002</v>
      </c>
      <c r="N19" s="20" t="n">
        <v>737.011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2401.653</v>
      </c>
      <c r="X19" s="20" t="n">
        <v>3237.64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8088.627</v>
      </c>
      <c r="D23" s="20" t="n">
        <v>9105.477000000001</v>
      </c>
      <c r="E23" s="20" t="n">
        <v>8946.236000000001</v>
      </c>
      <c r="F23" s="20" t="n">
        <v>8945.620999999999</v>
      </c>
      <c r="G23" s="20" t="n">
        <v>10327.696</v>
      </c>
      <c r="H23" s="20" t="n">
        <v>10880.507</v>
      </c>
      <c r="I23" s="20" t="n">
        <v>10461.416</v>
      </c>
      <c r="J23" s="20" t="n">
        <v>11203.398</v>
      </c>
      <c r="K23" s="20" t="n">
        <v>12687.15</v>
      </c>
      <c r="L23" s="20" t="n">
        <v>12525.214</v>
      </c>
      <c r="M23" s="20" t="n">
        <v>12317.13</v>
      </c>
      <c r="N23" s="20" t="n">
        <v>11915.253</v>
      </c>
      <c r="O23" s="19" t="n">
        <v>15920.879</v>
      </c>
      <c r="P23" s="20" t="n">
        <v>16967.847</v>
      </c>
      <c r="Q23" s="20" t="n">
        <v>19110.691</v>
      </c>
      <c r="R23" s="20" t="n">
        <v>17914.85</v>
      </c>
      <c r="S23" s="20" t="n">
        <v>19374.497</v>
      </c>
      <c r="T23" s="20" t="n">
        <v>16649.657</v>
      </c>
      <c r="U23" s="20" t="n">
        <v>27795.718</v>
      </c>
      <c r="V23" s="20" t="n">
        <v>32857.705</v>
      </c>
      <c r="W23" s="20" t="n">
        <v>39100.06</v>
      </c>
      <c r="X23" s="20" t="n">
        <v>46877.178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1364.037</v>
      </c>
      <c r="D29" s="20" t="n">
        <v>1487.796</v>
      </c>
      <c r="E29" s="20" t="n">
        <v>1557.473</v>
      </c>
      <c r="F29" s="20" t="n">
        <v>1422.208</v>
      </c>
      <c r="G29" s="20" t="n">
        <v>1530.765</v>
      </c>
      <c r="H29" s="20" t="n">
        <v>1775.67</v>
      </c>
      <c r="I29" s="20" t="n">
        <v>1684.035</v>
      </c>
      <c r="J29" s="20" t="n">
        <v>1592.294</v>
      </c>
      <c r="K29" s="20" t="n">
        <v>1753.16</v>
      </c>
      <c r="L29" s="20" t="n">
        <v>2021.432</v>
      </c>
      <c r="M29" s="20" t="n">
        <v>1900.4</v>
      </c>
      <c r="N29" s="20" t="n">
        <v>1867.068</v>
      </c>
      <c r="O29" s="19" t="n">
        <v>2852.822</v>
      </c>
      <c r="P29" s="20" t="n">
        <v>3113.366</v>
      </c>
      <c r="Q29" s="20" t="n">
        <v>3503.574</v>
      </c>
      <c r="R29" s="20" t="n">
        <v>3183.883</v>
      </c>
      <c r="S29" s="20" t="n">
        <v>4039.32</v>
      </c>
      <c r="T29" s="20" t="n">
        <v>2767.337</v>
      </c>
      <c r="U29" s="20" t="n">
        <v>5103.839</v>
      </c>
      <c r="V29" s="20" t="n">
        <v>5587.311</v>
      </c>
      <c r="W29" s="20" t="n">
        <v>6286.116</v>
      </c>
      <c r="X29" s="20" t="n">
        <v>7050.921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554.08</v>
      </c>
      <c r="D31" s="12" t="n">
        <v>504.617</v>
      </c>
      <c r="E31" s="12" t="n">
        <v>536.729</v>
      </c>
      <c r="F31" s="12" t="n">
        <v>567.793</v>
      </c>
      <c r="G31" s="12" t="n">
        <v>852.939</v>
      </c>
      <c r="H31" s="12" t="n">
        <v>782.402</v>
      </c>
      <c r="I31" s="12" t="n">
        <v>810.9589999999999</v>
      </c>
      <c r="J31" s="12" t="n">
        <v>1047.534</v>
      </c>
      <c r="K31" s="12" t="n">
        <v>1233.975</v>
      </c>
      <c r="L31" s="12" t="n">
        <v>951.9880000000001</v>
      </c>
      <c r="M31" s="12" t="n">
        <v>981.816</v>
      </c>
      <c r="N31" s="12" t="n">
        <v>1064.916</v>
      </c>
      <c r="O31" s="11" t="n">
        <v>670.293</v>
      </c>
      <c r="P31" s="12" t="n">
        <v>811.044</v>
      </c>
      <c r="Q31" s="12" t="n">
        <v>885.639</v>
      </c>
      <c r="R31" s="12" t="n">
        <v>792.293</v>
      </c>
      <c r="S31" s="12" t="n">
        <v>1022.882</v>
      </c>
      <c r="T31" s="12" t="n">
        <v>694.67</v>
      </c>
      <c r="U31" s="12" t="n">
        <v>1908.148</v>
      </c>
      <c r="V31" s="12" t="n">
        <v>2190.053</v>
      </c>
      <c r="W31" s="12" t="n">
        <v>2739.863</v>
      </c>
      <c r="X31" s="12" t="n">
        <v>4044.456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0</v>
      </c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>
        <v>64.598</v>
      </c>
      <c r="P47" s="20" t="n">
        <v>0</v>
      </c>
      <c r="Q47" s="20" t="n">
        <v>126.919</v>
      </c>
      <c r="R47" s="20" t="n">
        <v>184</v>
      </c>
      <c r="S47" s="20" t="n">
        <v>3.781</v>
      </c>
      <c r="T47" s="20" t="n">
        <v>5.049</v>
      </c>
      <c r="U47" s="20" t="n">
        <v>0.399</v>
      </c>
      <c r="V47" s="20" t="n">
        <v>0</v>
      </c>
      <c r="W47" s="20" t="n"/>
      <c r="X47" s="20" t="n"/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0</v>
      </c>
      <c r="D49" s="20" t="n">
        <v>0</v>
      </c>
      <c r="E49" s="20" t="n">
        <v>0.388</v>
      </c>
      <c r="F49" s="20" t="n">
        <v>17.99</v>
      </c>
      <c r="G49" s="20" t="n">
        <v>0.843</v>
      </c>
      <c r="H49" s="20" t="n">
        <v>78.441</v>
      </c>
      <c r="I49" s="20" t="n">
        <v>0.271</v>
      </c>
      <c r="J49" s="20" t="n">
        <v>1.253</v>
      </c>
      <c r="K49" s="20" t="n">
        <v>0.094</v>
      </c>
      <c r="L49" s="20" t="n">
        <v>62.566</v>
      </c>
      <c r="M49" s="20" t="n">
        <v>0.076</v>
      </c>
      <c r="N49" s="20" t="n">
        <v>6.472</v>
      </c>
      <c r="O49" s="19" t="n">
        <v>14.697</v>
      </c>
      <c r="P49" s="20" t="n">
        <v>5.233</v>
      </c>
      <c r="Q49" s="20" t="n">
        <v>171.299</v>
      </c>
      <c r="R49" s="20" t="n">
        <v>156.236</v>
      </c>
      <c r="S49" s="20" t="n">
        <v>240.348</v>
      </c>
      <c r="T49" s="20" t="n">
        <v>1.823</v>
      </c>
      <c r="U49" s="20" t="n">
        <v>15.044</v>
      </c>
      <c r="V49" s="20" t="n">
        <v>0.015</v>
      </c>
      <c r="W49" s="20" t="n">
        <v>97.66200000000001</v>
      </c>
      <c r="X49" s="20" t="n">
        <v>64.184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32.691</v>
      </c>
      <c r="D51" s="20" t="n">
        <v>29.549</v>
      </c>
      <c r="E51" s="20" t="n">
        <v>43.627</v>
      </c>
      <c r="F51" s="20" t="n">
        <v>43.324</v>
      </c>
      <c r="G51" s="20" t="n">
        <v>54.631</v>
      </c>
      <c r="H51" s="20" t="n">
        <v>110.116</v>
      </c>
      <c r="I51" s="20" t="n">
        <v>58.67</v>
      </c>
      <c r="J51" s="20" t="n">
        <v>56.645</v>
      </c>
      <c r="K51" s="20" t="n">
        <v>48.313</v>
      </c>
      <c r="L51" s="20" t="n">
        <v>36.526</v>
      </c>
      <c r="M51" s="20" t="n">
        <v>132.045</v>
      </c>
      <c r="N51" s="20" t="n">
        <v>110.037</v>
      </c>
      <c r="O51" s="19" t="n">
        <v>52.636</v>
      </c>
      <c r="P51" s="20" t="n">
        <v>57.494</v>
      </c>
      <c r="Q51" s="20" t="n">
        <v>81.535</v>
      </c>
      <c r="R51" s="20" t="n">
        <v>228.071</v>
      </c>
      <c r="S51" s="20" t="n">
        <v>295.149</v>
      </c>
      <c r="T51" s="20" t="n">
        <v>426.235</v>
      </c>
      <c r="U51" s="20" t="n">
        <v>150.827</v>
      </c>
      <c r="V51" s="20" t="n">
        <v>151.365</v>
      </c>
      <c r="W51" s="20" t="n">
        <v>251.698</v>
      </c>
      <c r="X51" s="20" t="n">
        <v>200.154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7.288</v>
      </c>
      <c r="D53" s="20" t="n">
        <v>10.374</v>
      </c>
      <c r="E53" s="20" t="n">
        <v>12.877</v>
      </c>
      <c r="F53" s="20" t="n">
        <v>10.78</v>
      </c>
      <c r="G53" s="20" t="n">
        <v>11.6</v>
      </c>
      <c r="H53" s="20" t="n">
        <v>20.802</v>
      </c>
      <c r="I53" s="20" t="n">
        <v>24.019</v>
      </c>
      <c r="J53" s="20" t="n">
        <v>20.515</v>
      </c>
      <c r="K53" s="20" t="n">
        <v>20.364</v>
      </c>
      <c r="L53" s="20" t="n">
        <v>28.948</v>
      </c>
      <c r="M53" s="20" t="n">
        <v>26.955</v>
      </c>
      <c r="N53" s="20" t="n">
        <v>33.4</v>
      </c>
      <c r="O53" s="19" t="n">
        <v>22.64</v>
      </c>
      <c r="P53" s="20" t="n">
        <v>54.718</v>
      </c>
      <c r="Q53" s="20" t="n">
        <v>42.017</v>
      </c>
      <c r="R53" s="20" t="n">
        <v>61.001</v>
      </c>
      <c r="S53" s="20" t="n">
        <v>30.073</v>
      </c>
      <c r="T53" s="20" t="n">
        <v>46.439</v>
      </c>
      <c r="U53" s="20" t="n">
        <v>32.058</v>
      </c>
      <c r="V53" s="20" t="n">
        <v>31.741</v>
      </c>
      <c r="W53" s="20" t="n">
        <v>56.059</v>
      </c>
      <c r="X53" s="20" t="n">
        <v>93.846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579.4829999999999</v>
      </c>
      <c r="D55" s="12" t="n">
        <v>523.792</v>
      </c>
      <c r="E55" s="12" t="n">
        <v>567.091</v>
      </c>
      <c r="F55" s="12" t="n">
        <v>582.347</v>
      </c>
      <c r="G55" s="12" t="n">
        <v>895.126</v>
      </c>
      <c r="H55" s="12" t="n">
        <v>793.277</v>
      </c>
      <c r="I55" s="12" t="n">
        <v>845.338</v>
      </c>
      <c r="J55" s="12" t="n">
        <v>1082.412</v>
      </c>
      <c r="K55" s="12" t="n">
        <v>1261.829</v>
      </c>
      <c r="L55" s="12" t="n">
        <v>897</v>
      </c>
      <c r="M55" s="12" t="n">
        <v>1086.83</v>
      </c>
      <c r="N55" s="12" t="n">
        <v>1135.08</v>
      </c>
      <c r="O55" s="11" t="n">
        <v>750.191</v>
      </c>
      <c r="P55" s="12" t="n">
        <v>808.586</v>
      </c>
      <c r="Q55" s="12" t="n">
        <v>880.777</v>
      </c>
      <c r="R55" s="12" t="n">
        <v>987.127</v>
      </c>
      <c r="S55" s="12" t="n">
        <v>1051.391</v>
      </c>
      <c r="T55" s="12" t="n">
        <v>1077.691</v>
      </c>
      <c r="U55" s="12" t="n">
        <v>2012.272</v>
      </c>
      <c r="V55" s="12" t="n">
        <v>2309.662</v>
      </c>
      <c r="W55" s="12" t="n">
        <v>2837.841</v>
      </c>
      <c r="X55" s="12" t="n">
        <v>4086.579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194.623</v>
      </c>
      <c r="D57" s="20" t="n">
        <v>144.343</v>
      </c>
      <c r="E57" s="20" t="n">
        <v>264.56</v>
      </c>
      <c r="F57" s="20" t="n">
        <v>195.394</v>
      </c>
      <c r="G57" s="20" t="n">
        <v>288.577</v>
      </c>
      <c r="H57" s="20" t="n">
        <v>283.451</v>
      </c>
      <c r="I57" s="20" t="n">
        <v>338.436</v>
      </c>
      <c r="J57" s="20" t="n">
        <v>365.788</v>
      </c>
      <c r="K57" s="20" t="n">
        <v>427.356</v>
      </c>
      <c r="L57" s="20" t="n">
        <v>352.389</v>
      </c>
      <c r="M57" s="20" t="n">
        <v>458.558</v>
      </c>
      <c r="N57" s="20" t="n">
        <v>383.116</v>
      </c>
      <c r="O57" s="19" t="n">
        <v>213.227</v>
      </c>
      <c r="P57" s="20" t="n">
        <v>307.258</v>
      </c>
      <c r="Q57" s="20" t="n">
        <v>296.246</v>
      </c>
      <c r="R57" s="20" t="n">
        <v>334.602</v>
      </c>
      <c r="S57" s="20" t="n">
        <v>384.862</v>
      </c>
      <c r="T57" s="20" t="n">
        <v>349.165</v>
      </c>
      <c r="U57" s="20" t="n">
        <v>743.749</v>
      </c>
      <c r="V57" s="20" t="n">
        <v>802.953</v>
      </c>
      <c r="W57" s="20" t="n">
        <v>1031.982</v>
      </c>
      <c r="X57" s="20" t="n">
        <v>1483.969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384.86</v>
      </c>
      <c r="D59" s="12" t="n">
        <v>379.449</v>
      </c>
      <c r="E59" s="12" t="n">
        <v>302.531</v>
      </c>
      <c r="F59" s="12" t="n">
        <v>386.953</v>
      </c>
      <c r="G59" s="12" t="n">
        <v>606.548</v>
      </c>
      <c r="H59" s="12" t="n">
        <v>509.826</v>
      </c>
      <c r="I59" s="12" t="n">
        <v>506.902</v>
      </c>
      <c r="J59" s="12" t="n">
        <v>716.623</v>
      </c>
      <c r="K59" s="12" t="n">
        <v>834.474</v>
      </c>
      <c r="L59" s="12" t="n">
        <v>544.611</v>
      </c>
      <c r="M59" s="12" t="n">
        <v>628.271</v>
      </c>
      <c r="N59" s="12" t="n">
        <v>751.9640000000001</v>
      </c>
      <c r="O59" s="11" t="n">
        <v>536.9640000000001</v>
      </c>
      <c r="P59" s="12" t="n">
        <v>501.328</v>
      </c>
      <c r="Q59" s="12" t="n">
        <v>584.53</v>
      </c>
      <c r="R59" s="12" t="n">
        <v>652.524</v>
      </c>
      <c r="S59" s="12" t="n">
        <v>666.529</v>
      </c>
      <c r="T59" s="12" t="n">
        <v>728.526</v>
      </c>
      <c r="U59" s="12" t="n">
        <v>1268.522</v>
      </c>
      <c r="V59" s="12" t="n">
        <v>1506.708</v>
      </c>
      <c r="W59" s="12" t="n">
        <v>1805.858</v>
      </c>
      <c r="X59" s="12" t="n">
        <v>2602.61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384.86</v>
      </c>
      <c r="D61" s="12" t="n">
        <v>379.449</v>
      </c>
      <c r="E61" s="12" t="n">
        <v>302.531</v>
      </c>
      <c r="F61" s="12" t="n">
        <v>386.953</v>
      </c>
      <c r="G61" s="12" t="n">
        <v>606.548</v>
      </c>
      <c r="H61" s="12" t="n">
        <v>509.826</v>
      </c>
      <c r="I61" s="12" t="n">
        <v>506.902</v>
      </c>
      <c r="J61" s="12" t="n">
        <v>716.623</v>
      </c>
      <c r="K61" s="12" t="n">
        <v>834.474</v>
      </c>
      <c r="L61" s="12" t="n">
        <v>544.611</v>
      </c>
      <c r="M61" s="12" t="n">
        <v>628.271</v>
      </c>
      <c r="N61" s="12" t="n">
        <v>751.9640000000001</v>
      </c>
      <c r="O61" s="11" t="n">
        <v>536.9640000000001</v>
      </c>
      <c r="P61" s="12" t="n">
        <v>501.328</v>
      </c>
      <c r="Q61" s="12" t="n">
        <v>584.53</v>
      </c>
      <c r="R61" s="12" t="n">
        <v>691.593</v>
      </c>
      <c r="S61" s="12" t="n">
        <v>666.529</v>
      </c>
      <c r="T61" s="12" t="n">
        <v>1120.671</v>
      </c>
      <c r="U61" s="12" t="n">
        <v>1268.522</v>
      </c>
      <c r="V61" s="12" t="n">
        <v>1506.708</v>
      </c>
      <c r="W61" s="12" t="n">
        <v>1805.858</v>
      </c>
      <c r="X61" s="12" t="n">
        <v>2602.61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10006.745</v>
      </c>
      <c r="D96" s="12" t="n">
        <v>11097.891</v>
      </c>
      <c r="E96" s="12" t="n">
        <v>11040.44</v>
      </c>
      <c r="F96" s="12" t="n">
        <v>10935.621</v>
      </c>
      <c r="G96" s="12" t="n">
        <v>12711.4</v>
      </c>
      <c r="H96" s="12" t="n">
        <v>13438.579</v>
      </c>
      <c r="I96" s="12" t="n">
        <v>12956.411</v>
      </c>
      <c r="J96" s="12" t="n">
        <v>13843.226</v>
      </c>
      <c r="K96" s="12" t="n">
        <v>15674.286</v>
      </c>
      <c r="L96" s="12" t="n">
        <v>15498.633</v>
      </c>
      <c r="M96" s="12" t="n">
        <v>15199.346</v>
      </c>
      <c r="N96" s="12" t="n">
        <v>14847.238</v>
      </c>
      <c r="T96" s="12" t="n">
        <v>481.537</v>
      </c>
      <c r="U96" s="12" t="n">
        <v>9687.311</v>
      </c>
      <c r="V96" s="12" t="n">
        <v>11097.891</v>
      </c>
      <c r="W96" s="12" t="n">
        <v>13438.579</v>
      </c>
      <c r="X96" s="12" t="n">
        <v>15498.633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8088.627</v>
      </c>
      <c r="D98" s="20" t="n">
        <v>9105.477000000001</v>
      </c>
      <c r="E98" s="20" t="n">
        <v>8946.236000000001</v>
      </c>
      <c r="F98" s="20" t="n">
        <v>8945.620999999999</v>
      </c>
      <c r="G98" s="20" t="n">
        <v>10327.696</v>
      </c>
      <c r="H98" s="20" t="n">
        <v>10880.507</v>
      </c>
      <c r="I98" s="20" t="n">
        <v>10461.416</v>
      </c>
      <c r="J98" s="20" t="n">
        <v>11203.398</v>
      </c>
      <c r="K98" s="20" t="n">
        <v>12687.15</v>
      </c>
      <c r="L98" s="20" t="n">
        <v>12525.214</v>
      </c>
      <c r="M98" s="20" t="n">
        <v>12317.13</v>
      </c>
      <c r="N98" s="20" t="n">
        <v>11915.253</v>
      </c>
      <c r="T98" s="20" t="n">
        <v>1188.753</v>
      </c>
      <c r="U98" s="20" t="n">
        <v>7826.967</v>
      </c>
      <c r="V98" s="20" t="n">
        <v>9105.477000000001</v>
      </c>
      <c r="W98" s="20" t="n">
        <v>10880.507</v>
      </c>
      <c r="X98" s="20" t="n">
        <v>12525.214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1918.118</v>
      </c>
      <c r="D100" s="12" t="n">
        <v>1992.413</v>
      </c>
      <c r="E100" s="12" t="n">
        <v>2094.203</v>
      </c>
      <c r="F100" s="12" t="n">
        <v>1990</v>
      </c>
      <c r="G100" s="12" t="n">
        <v>2383.704</v>
      </c>
      <c r="H100" s="12" t="n">
        <v>2558.073</v>
      </c>
      <c r="I100" s="12" t="n">
        <v>2494.995</v>
      </c>
      <c r="J100" s="12" t="n">
        <v>2639.827</v>
      </c>
      <c r="K100" s="12" t="n">
        <v>2987.136</v>
      </c>
      <c r="L100" s="12" t="n">
        <v>2973.42</v>
      </c>
      <c r="M100" s="12" t="n">
        <v>2882.216</v>
      </c>
      <c r="N100" s="12" t="n">
        <v>2931.984</v>
      </c>
      <c r="T100" s="12" t="n">
        <v>-707.215</v>
      </c>
      <c r="U100" s="12" t="n">
        <v>1860.344</v>
      </c>
      <c r="V100" s="12" t="n">
        <v>1992.413</v>
      </c>
      <c r="W100" s="12" t="n">
        <v>2558.073</v>
      </c>
      <c r="X100" s="12" t="n">
        <v>2973.42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1364.037</v>
      </c>
      <c r="D102" s="20" t="n">
        <v>1487.796</v>
      </c>
      <c r="E102" s="20" t="n">
        <v>1557.473</v>
      </c>
      <c r="F102" s="20" t="n">
        <v>1422.208</v>
      </c>
      <c r="G102" s="20" t="n">
        <v>1530.765</v>
      </c>
      <c r="H102" s="20" t="n">
        <v>1775.67</v>
      </c>
      <c r="I102" s="20" t="n">
        <v>1684.035</v>
      </c>
      <c r="J102" s="20" t="n">
        <v>1592.294</v>
      </c>
      <c r="K102" s="20" t="n">
        <v>1753.16</v>
      </c>
      <c r="L102" s="20" t="n">
        <v>2021.432</v>
      </c>
      <c r="M102" s="20" t="n">
        <v>1900.4</v>
      </c>
      <c r="N102" s="20" t="n">
        <v>1867.068</v>
      </c>
      <c r="T102" s="20" t="n">
        <v>-330.095</v>
      </c>
      <c r="U102" s="20" t="n">
        <v>1408.11</v>
      </c>
      <c r="V102" s="20" t="n">
        <v>1487.796</v>
      </c>
      <c r="W102" s="20" t="n">
        <v>1775.67</v>
      </c>
      <c r="X102" s="20" t="n">
        <v>2021.432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554.08</v>
      </c>
      <c r="D104" s="12" t="n">
        <v>504.617</v>
      </c>
      <c r="E104" s="12" t="n">
        <v>536.729</v>
      </c>
      <c r="F104" s="12" t="n">
        <v>567.793</v>
      </c>
      <c r="G104" s="12" t="n">
        <v>852.939</v>
      </c>
      <c r="H104" s="12" t="n">
        <v>782.402</v>
      </c>
      <c r="I104" s="12" t="n">
        <v>810.9589999999999</v>
      </c>
      <c r="J104" s="12" t="n">
        <v>1047.534</v>
      </c>
      <c r="K104" s="12" t="n">
        <v>1233.975</v>
      </c>
      <c r="L104" s="12" t="n">
        <v>951.9880000000001</v>
      </c>
      <c r="M104" s="12" t="n">
        <v>981.816</v>
      </c>
      <c r="N104" s="12" t="n">
        <v>1064.916</v>
      </c>
      <c r="T104" s="12" t="n">
        <v>-377.12</v>
      </c>
      <c r="U104" s="12" t="n">
        <v>452.235</v>
      </c>
      <c r="V104" s="12" t="n">
        <v>504.617</v>
      </c>
      <c r="W104" s="12" t="n">
        <v>782.402</v>
      </c>
      <c r="X104" s="12" t="n">
        <v>951.9880000000001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0.008999999999999999</v>
      </c>
      <c r="D107" s="20" t="n">
        <v>0.011</v>
      </c>
      <c r="E107" s="20" t="n">
        <v>0.024</v>
      </c>
      <c r="F107" s="20" t="n">
        <v>0.029</v>
      </c>
      <c r="G107" s="20" t="n">
        <v>0.027</v>
      </c>
      <c r="H107" s="20" t="n">
        <v>0.248</v>
      </c>
      <c r="I107" s="20" t="n">
        <v>0.158</v>
      </c>
      <c r="J107" s="20" t="n">
        <v>0.876</v>
      </c>
      <c r="K107" s="20" t="n">
        <v>0.43</v>
      </c>
      <c r="L107" s="20" t="n">
        <v>0.625</v>
      </c>
      <c r="M107" s="20" t="n">
        <v>0.361</v>
      </c>
      <c r="N107" s="20" t="n">
        <v>0.856</v>
      </c>
      <c r="T107" s="20" t="n">
        <v>2.057</v>
      </c>
      <c r="U107" s="20" t="n">
        <v>0.008</v>
      </c>
      <c r="V107" s="20" t="n">
        <v>0.011</v>
      </c>
      <c r="W107" s="20" t="n">
        <v>0.248</v>
      </c>
      <c r="X107" s="20" t="n">
        <v>0.625</v>
      </c>
    </row>
    <row r="108">
      <c r="A108" s="18" t="inlineStr">
        <is>
          <t>배당금수익</t>
        </is>
      </c>
      <c r="C108" s="20" t="n">
        <v>5.153</v>
      </c>
      <c r="D108" s="20" t="n">
        <v>0.395</v>
      </c>
      <c r="E108" s="20" t="n">
        <v>12.362</v>
      </c>
      <c r="F108" s="20" t="n">
        <v>8.369</v>
      </c>
      <c r="G108" s="20" t="n">
        <v>6.035</v>
      </c>
      <c r="H108" s="20" t="n">
        <v>0.728</v>
      </c>
      <c r="I108" s="20" t="n">
        <v>14.091</v>
      </c>
      <c r="J108" s="20" t="n">
        <v>13.433</v>
      </c>
      <c r="K108" s="20" t="n">
        <v>6.758</v>
      </c>
      <c r="L108" s="20" t="n">
        <v>0.664</v>
      </c>
      <c r="M108" s="20" t="n">
        <v>14.702</v>
      </c>
      <c r="N108" s="20" t="n">
        <v>16.122</v>
      </c>
      <c r="T108" s="20" t="n">
        <v>57.959</v>
      </c>
      <c r="U108" s="20" t="n">
        <v>0.244</v>
      </c>
      <c r="V108" s="20" t="n">
        <v>0.395</v>
      </c>
      <c r="W108" s="20" t="n">
        <v>0.728</v>
      </c>
      <c r="X108" s="20" t="n">
        <v>0.664</v>
      </c>
    </row>
    <row r="109">
      <c r="A109" s="18" t="inlineStr">
        <is>
          <t>임대료 수익</t>
        </is>
      </c>
      <c r="C109" s="20" t="n">
        <v>12.002</v>
      </c>
      <c r="D109" s="20" t="n">
        <v>11.686</v>
      </c>
      <c r="E109" s="20" t="n">
        <v>11.369</v>
      </c>
      <c r="F109" s="20" t="n">
        <v>12.168</v>
      </c>
      <c r="G109" s="20" t="n">
        <v>11.717</v>
      </c>
      <c r="H109" s="20" t="n">
        <v>11.352</v>
      </c>
      <c r="I109" s="20" t="n">
        <v>11.466</v>
      </c>
      <c r="J109" s="20" t="n">
        <v>12.176</v>
      </c>
      <c r="K109" s="20" t="n">
        <v>13.002</v>
      </c>
      <c r="L109" s="20" t="n">
        <v>12.339</v>
      </c>
      <c r="M109" s="20" t="n">
        <v>11.987</v>
      </c>
      <c r="N109" s="20" t="n">
        <v>11.942</v>
      </c>
      <c r="T109" s="20" t="n">
        <v>26.186</v>
      </c>
      <c r="U109" s="20" t="n">
        <v>12.505</v>
      </c>
      <c r="V109" s="20" t="n">
        <v>11.686</v>
      </c>
      <c r="W109" s="20" t="n">
        <v>11.352</v>
      </c>
      <c r="X109" s="20" t="n">
        <v>12.339</v>
      </c>
    </row>
    <row r="110">
      <c r="A110" s="18" t="inlineStr">
        <is>
          <t>보조금 수입</t>
        </is>
      </c>
      <c r="C110" s="20" t="n">
        <v>5.695</v>
      </c>
      <c r="D110" s="20" t="n">
        <v>2.826</v>
      </c>
      <c r="E110" s="20" t="n">
        <v>5.589</v>
      </c>
      <c r="F110" s="20" t="n">
        <v>2.632</v>
      </c>
      <c r="G110" s="20" t="n">
        <v>20.27</v>
      </c>
      <c r="H110" s="20" t="n">
        <v>4.938</v>
      </c>
      <c r="I110" s="20" t="n">
        <v>5.515</v>
      </c>
      <c r="J110" s="20" t="n">
        <v>5.236</v>
      </c>
      <c r="K110" s="20" t="n">
        <v>5.528</v>
      </c>
      <c r="L110" s="20" t="n">
        <v>4.489</v>
      </c>
      <c r="M110" s="20" t="n">
        <v>3.501</v>
      </c>
      <c r="N110" s="20" t="n">
        <v>4.209</v>
      </c>
      <c r="T110" s="20" t="n">
        <v>-55.825</v>
      </c>
      <c r="U110" s="20" t="n">
        <v>12.765</v>
      </c>
      <c r="V110" s="20" t="n">
        <v>2.826</v>
      </c>
      <c r="W110" s="20" t="n">
        <v>4.938</v>
      </c>
      <c r="X110" s="20" t="n">
        <v>4.489</v>
      </c>
    </row>
    <row r="111">
      <c r="A111" s="18" t="inlineStr">
        <is>
          <t>폐지 매각 수입</t>
        </is>
      </c>
      <c r="I111" s="20" t="n">
        <v>8.249000000000001</v>
      </c>
      <c r="J111" s="20" t="n">
        <v>8.936999999999999</v>
      </c>
      <c r="M111" s="20" t="n">
        <v>13.294</v>
      </c>
      <c r="N111" s="20" t="n">
        <v>17.411</v>
      </c>
    </row>
    <row r="112">
      <c r="A112" s="18" t="inlineStr">
        <is>
          <t>보험 해약환급금</t>
        </is>
      </c>
      <c r="C112" s="20" t="n">
        <v>0</v>
      </c>
      <c r="D112" s="20" t="n">
        <v>-0.126</v>
      </c>
      <c r="E112" s="20" t="n">
        <v>0</v>
      </c>
      <c r="F112" s="20" t="n">
        <v>0.975</v>
      </c>
      <c r="G112" s="20" t="n">
        <v>0.625</v>
      </c>
      <c r="H112" s="20" t="n">
        <v>80.622</v>
      </c>
      <c r="I112" s="20" t="n">
        <v>8.114000000000001</v>
      </c>
      <c r="J112" s="20" t="n">
        <v>2.218</v>
      </c>
      <c r="K112" s="20" t="n">
        <v>0.209</v>
      </c>
      <c r="L112" s="20" t="n">
        <v>0</v>
      </c>
      <c r="M112" s="20" t="n">
        <v>70.72199999999999</v>
      </c>
      <c r="N112" s="20" t="n">
        <v>1.21</v>
      </c>
      <c r="U112" s="20" t="n">
        <v>0</v>
      </c>
      <c r="V112" s="20" t="n">
        <v>-0.126</v>
      </c>
      <c r="W112" s="20" t="n">
        <v>80.622</v>
      </c>
      <c r="X112" s="20" t="n">
        <v>0</v>
      </c>
    </row>
    <row r="113">
      <c r="A113" s="18" t="inlineStr">
        <is>
          <t>기타</t>
        </is>
      </c>
      <c r="C113" s="20" t="n">
        <v>9.831</v>
      </c>
      <c r="D113" s="20" t="n">
        <v>14.758</v>
      </c>
      <c r="E113" s="20" t="n">
        <v>14.282</v>
      </c>
      <c r="F113" s="20" t="n">
        <v>19.151</v>
      </c>
      <c r="G113" s="20" t="n">
        <v>15.955</v>
      </c>
      <c r="H113" s="20" t="n">
        <v>-9.505000000000001</v>
      </c>
      <c r="I113" s="20" t="n">
        <v>11.074</v>
      </c>
      <c r="J113" s="20" t="n">
        <v>13.769</v>
      </c>
      <c r="K113" s="20" t="n">
        <v>39.572</v>
      </c>
      <c r="L113" s="20" t="n">
        <v>-18.33</v>
      </c>
      <c r="M113" s="20" t="n">
        <v>17.474</v>
      </c>
      <c r="N113" s="20" t="n">
        <v>58.288</v>
      </c>
      <c r="T113" s="20" t="n">
        <v>-7.384</v>
      </c>
      <c r="U113" s="20" t="n">
        <v>6.929</v>
      </c>
      <c r="V113" s="20" t="n">
        <v>14.758</v>
      </c>
      <c r="W113" s="20" t="n">
        <v>-9.505000000000001</v>
      </c>
      <c r="X113" s="20" t="n">
        <v>-18.33</v>
      </c>
    </row>
    <row r="114">
      <c r="A114" s="18" t="inlineStr">
        <is>
          <t>영업외수익 합계</t>
        </is>
      </c>
      <c r="C114" s="20" t="n">
        <v>32.691</v>
      </c>
      <c r="D114" s="20" t="n">
        <v>29.549</v>
      </c>
      <c r="E114" s="20" t="n">
        <v>43.627</v>
      </c>
      <c r="F114" s="20" t="n">
        <v>43.324</v>
      </c>
      <c r="G114" s="20" t="n">
        <v>54.631</v>
      </c>
      <c r="H114" s="20" t="n">
        <v>110.116</v>
      </c>
      <c r="I114" s="20" t="n">
        <v>58.67</v>
      </c>
      <c r="J114" s="20" t="n">
        <v>56.645</v>
      </c>
      <c r="K114" s="20" t="n">
        <v>48.313</v>
      </c>
      <c r="L114" s="20" t="n">
        <v>36.526</v>
      </c>
      <c r="M114" s="20" t="n">
        <v>132.045</v>
      </c>
      <c r="N114" s="20" t="n">
        <v>110.037</v>
      </c>
      <c r="T114" s="20" t="n">
        <v>261.241</v>
      </c>
      <c r="U114" s="20" t="n">
        <v>32.452</v>
      </c>
      <c r="V114" s="20" t="n">
        <v>29.549</v>
      </c>
      <c r="W114" s="20" t="n">
        <v>110.116</v>
      </c>
      <c r="X114" s="20" t="n">
        <v>36.526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18" t="inlineStr">
        <is>
          <t>이자비용</t>
        </is>
      </c>
      <c r="C116" s="20" t="n">
        <v>3.128</v>
      </c>
      <c r="D116" s="20" t="n">
        <v>4.048</v>
      </c>
      <c r="E116" s="20" t="n">
        <v>4.733</v>
      </c>
      <c r="F116" s="20" t="n">
        <v>7.526</v>
      </c>
      <c r="G116" s="20" t="n">
        <v>8.154</v>
      </c>
      <c r="H116" s="20" t="n">
        <v>12.239</v>
      </c>
      <c r="I116" s="20" t="n">
        <v>15.378</v>
      </c>
      <c r="J116" s="20" t="n">
        <v>15.139</v>
      </c>
      <c r="K116" s="20" t="n">
        <v>16.828</v>
      </c>
      <c r="L116" s="20" t="n">
        <v>22.217</v>
      </c>
      <c r="M116" s="20" t="n">
        <v>23.943</v>
      </c>
      <c r="N116" s="20" t="n">
        <v>28.69</v>
      </c>
      <c r="T116" s="20" t="n">
        <v>2.615</v>
      </c>
      <c r="U116" s="20" t="n">
        <v>2.693</v>
      </c>
      <c r="V116" s="20" t="n">
        <v>4.048</v>
      </c>
      <c r="W116" s="20" t="n">
        <v>12.239</v>
      </c>
      <c r="X116" s="20" t="n">
        <v>22.217</v>
      </c>
    </row>
    <row r="117">
      <c r="A117" s="18" t="inlineStr">
        <is>
          <t>임대비용</t>
        </is>
      </c>
      <c r="C117" s="20" t="n">
        <v>3.097</v>
      </c>
      <c r="D117" s="20" t="n">
        <v>3.788</v>
      </c>
      <c r="E117" s="20" t="n">
        <v>3.041</v>
      </c>
      <c r="F117" s="20" t="n">
        <v>3.039</v>
      </c>
      <c r="G117" s="20" t="n">
        <v>3.088</v>
      </c>
      <c r="H117" s="20" t="n">
        <v>3.039</v>
      </c>
      <c r="I117" s="20" t="n">
        <v>1.533</v>
      </c>
      <c r="J117" s="20" t="n">
        <v>4.6</v>
      </c>
      <c r="K117" s="20" t="n">
        <v>2.07</v>
      </c>
      <c r="L117" s="20" t="n">
        <v>3.065</v>
      </c>
      <c r="M117" s="20" t="n">
        <v>2.708</v>
      </c>
      <c r="N117" s="20" t="n">
        <v>2.715</v>
      </c>
      <c r="T117" s="20" t="n">
        <v>15.84</v>
      </c>
      <c r="U117" s="20" t="n">
        <v>3.166</v>
      </c>
      <c r="V117" s="20" t="n">
        <v>3.788</v>
      </c>
      <c r="W117" s="20" t="n">
        <v>3.039</v>
      </c>
      <c r="X117" s="20" t="n">
        <v>3.065</v>
      </c>
    </row>
    <row r="118">
      <c r="A118" s="18" t="inlineStr">
        <is>
          <t>기타</t>
        </is>
      </c>
      <c r="C118" s="20" t="n">
        <v>1.063</v>
      </c>
      <c r="D118" s="20" t="n">
        <v>2.54</v>
      </c>
      <c r="E118" s="20" t="n">
        <v>5.101</v>
      </c>
      <c r="F118" s="20" t="n">
        <v>0.215</v>
      </c>
      <c r="G118" s="20" t="n">
        <v>0.359</v>
      </c>
      <c r="H118" s="20" t="n">
        <v>5.524</v>
      </c>
      <c r="I118" s="20" t="n">
        <v>7.106</v>
      </c>
      <c r="J118" s="20" t="n">
        <v>0.776</v>
      </c>
      <c r="K118" s="20" t="n">
        <v>1.467</v>
      </c>
      <c r="L118" s="20" t="n">
        <v>3.666</v>
      </c>
      <c r="M118" s="20" t="n">
        <v>0.303</v>
      </c>
      <c r="N118" s="20" t="n">
        <v>1.994</v>
      </c>
      <c r="T118" s="20" t="n">
        <v>3.319</v>
      </c>
      <c r="U118" s="20" t="n">
        <v>6.765</v>
      </c>
      <c r="V118" s="20" t="n">
        <v>2.54</v>
      </c>
      <c r="W118" s="20" t="n">
        <v>5.524</v>
      </c>
      <c r="X118" s="20" t="n">
        <v>3.666</v>
      </c>
    </row>
    <row r="119">
      <c r="A119" s="18" t="inlineStr">
        <is>
          <t>영업외비용 합계</t>
        </is>
      </c>
      <c r="C119" s="20" t="n">
        <v>7.288</v>
      </c>
      <c r="D119" s="20" t="n">
        <v>10.374</v>
      </c>
      <c r="E119" s="20" t="n">
        <v>12.877</v>
      </c>
      <c r="F119" s="20" t="n">
        <v>10.78</v>
      </c>
      <c r="G119" s="20" t="n">
        <v>11.6</v>
      </c>
      <c r="H119" s="20" t="n">
        <v>20.802</v>
      </c>
      <c r="I119" s="20" t="n">
        <v>24.019</v>
      </c>
      <c r="J119" s="20" t="n">
        <v>20.515</v>
      </c>
      <c r="K119" s="20" t="n">
        <v>20.364</v>
      </c>
      <c r="L119" s="20" t="n">
        <v>28.948</v>
      </c>
      <c r="M119" s="20" t="n">
        <v>26.955</v>
      </c>
      <c r="N119" s="20" t="n">
        <v>33.4</v>
      </c>
      <c r="T119" s="20" t="n">
        <v>26.51</v>
      </c>
      <c r="U119" s="20" t="n">
        <v>12.625</v>
      </c>
      <c r="V119" s="20" t="n">
        <v>10.374</v>
      </c>
      <c r="W119" s="20" t="n">
        <v>20.802</v>
      </c>
      <c r="X119" s="20" t="n">
        <v>28.948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경상이익</t>
        </is>
      </c>
      <c r="C121" s="12" t="n">
        <v>579.4829999999999</v>
      </c>
      <c r="D121" s="12" t="n">
        <v>523.792</v>
      </c>
      <c r="E121" s="12" t="n">
        <v>567.48</v>
      </c>
      <c r="F121" s="12" t="n">
        <v>600.336</v>
      </c>
      <c r="G121" s="12" t="n">
        <v>895.9690000000001</v>
      </c>
      <c r="H121" s="12" t="n">
        <v>871.718</v>
      </c>
      <c r="I121" s="12" t="n">
        <v>845.61</v>
      </c>
      <c r="J121" s="12" t="n">
        <v>1083.664</v>
      </c>
      <c r="K121" s="12" t="n">
        <v>1261.923</v>
      </c>
      <c r="L121" s="12" t="n">
        <v>959.567</v>
      </c>
      <c r="M121" s="12" t="n">
        <v>1086.906</v>
      </c>
      <c r="N121" s="12" t="n">
        <v>1141.553</v>
      </c>
      <c r="T121" s="12" t="n">
        <v>-142.391</v>
      </c>
      <c r="U121" s="12" t="n">
        <v>472.061</v>
      </c>
      <c r="V121" s="12" t="n">
        <v>523.792</v>
      </c>
      <c r="W121" s="12" t="n">
        <v>871.718</v>
      </c>
      <c r="X121" s="12" t="n">
        <v>959.567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투자유가증권 매각이익</t>
        </is>
      </c>
      <c r="T123" s="20" t="n">
        <v>0</v>
      </c>
      <c r="U123" s="20" t="n">
        <v>0</v>
      </c>
    </row>
    <row r="124">
      <c r="A124" s="18" t="inlineStr">
        <is>
          <t>고정자산 매각이익</t>
        </is>
      </c>
      <c r="C124" s="20" t="n">
        <v>0</v>
      </c>
      <c r="D124" s="20" t="n">
        <v>0</v>
      </c>
      <c r="T124" s="20" t="n">
        <v>0</v>
      </c>
      <c r="U124" s="20" t="n">
        <v>0</v>
      </c>
      <c r="V124" s="20" t="n">
        <v>0</v>
      </c>
    </row>
    <row r="125">
      <c r="A125" s="18" t="inlineStr">
        <is>
          <t>특별이익 합계</t>
        </is>
      </c>
      <c r="C125" s="20" t="n">
        <v>0</v>
      </c>
      <c r="D125" s="20" t="n">
        <v>0</v>
      </c>
      <c r="T125" s="20" t="n">
        <v>0</v>
      </c>
      <c r="U125" s="20" t="n">
        <v>0</v>
      </c>
      <c r="V125" s="20" t="n">
        <v>0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</row>
    <row r="127">
      <c r="A127" s="18" t="inlineStr">
        <is>
          <t>고정자산 제각손실</t>
        </is>
      </c>
      <c r="C127" s="20" t="n">
        <v>0</v>
      </c>
      <c r="D127" s="20" t="n">
        <v>0</v>
      </c>
      <c r="E127" s="20" t="n">
        <v>0.388</v>
      </c>
      <c r="F127" s="20" t="n">
        <v>17.99</v>
      </c>
      <c r="G127" s="20" t="n">
        <v>0.843</v>
      </c>
      <c r="H127" s="20" t="n">
        <v>60.757</v>
      </c>
      <c r="I127" s="20" t="n">
        <v>0.271</v>
      </c>
      <c r="J127" s="20" t="n">
        <v>1.253</v>
      </c>
      <c r="K127" s="20" t="n">
        <v>0.094</v>
      </c>
      <c r="L127" s="20" t="n">
        <v>9.946</v>
      </c>
      <c r="M127" s="20" t="n">
        <v>0.076</v>
      </c>
      <c r="N127" s="20" t="n">
        <v>6.472</v>
      </c>
      <c r="T127" s="20" t="n">
        <v>0.31</v>
      </c>
      <c r="U127" s="20" t="n">
        <v>11.514</v>
      </c>
      <c r="V127" s="20" t="n">
        <v>0</v>
      </c>
      <c r="W127" s="20" t="n">
        <v>60.757</v>
      </c>
      <c r="X127" s="20" t="n">
        <v>9.946</v>
      </c>
    </row>
    <row r="128">
      <c r="A128" s="18" t="inlineStr">
        <is>
          <t>특별손실 합계</t>
        </is>
      </c>
      <c r="C128" s="20" t="n">
        <v>0</v>
      </c>
      <c r="D128" s="20" t="n">
        <v>0</v>
      </c>
      <c r="E128" s="20" t="n">
        <v>0.388</v>
      </c>
      <c r="F128" s="20" t="n">
        <v>17.99</v>
      </c>
      <c r="G128" s="20" t="n">
        <v>0.843</v>
      </c>
      <c r="H128" s="20" t="n">
        <v>78.441</v>
      </c>
      <c r="I128" s="20" t="n">
        <v>0.271</v>
      </c>
      <c r="J128" s="20" t="n">
        <v>1.253</v>
      </c>
      <c r="K128" s="20" t="n">
        <v>0.094</v>
      </c>
      <c r="L128" s="20" t="n">
        <v>62.566</v>
      </c>
      <c r="M128" s="20" t="n">
        <v>0.076</v>
      </c>
      <c r="N128" s="20" t="n">
        <v>6.472</v>
      </c>
      <c r="T128" s="20" t="n">
        <v>0.31</v>
      </c>
      <c r="U128" s="20" t="n">
        <v>11.514</v>
      </c>
      <c r="V128" s="20" t="n">
        <v>0</v>
      </c>
      <c r="W128" s="20" t="n">
        <v>78.441</v>
      </c>
      <c r="X128" s="20" t="n">
        <v>62.566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T129" s="15">
        <f>IF(OR(T128="",S128=""),"",IF(T128*S128&lt;=0,"",IFERROR(T128/S128-1,"")))</f>
        <v/>
      </c>
      <c r="U129" s="15">
        <f>IF(OR(U128="",T128=""),"",IF(U128*T128&lt;=0,"",IFERROR(U128/T128-1,"")))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9" t="inlineStr">
        <is>
          <t>법인세차감전 순이익</t>
        </is>
      </c>
      <c r="C130" s="12" t="n">
        <v>579.4829999999999</v>
      </c>
      <c r="D130" s="12" t="n">
        <v>523.792</v>
      </c>
      <c r="E130" s="12" t="n">
        <v>567.091</v>
      </c>
      <c r="F130" s="12" t="n">
        <v>582.347</v>
      </c>
      <c r="G130" s="12" t="n">
        <v>895.126</v>
      </c>
      <c r="H130" s="12" t="n">
        <v>793.277</v>
      </c>
      <c r="I130" s="12" t="n">
        <v>845.338</v>
      </c>
      <c r="J130" s="12" t="n">
        <v>1082.412</v>
      </c>
      <c r="K130" s="12" t="n">
        <v>1261.829</v>
      </c>
      <c r="L130" s="12" t="n">
        <v>897</v>
      </c>
      <c r="M130" s="12" t="n">
        <v>1086.83</v>
      </c>
      <c r="N130" s="12" t="n">
        <v>1135.08</v>
      </c>
      <c r="T130" s="12" t="n">
        <v>-142.701</v>
      </c>
      <c r="U130" s="12" t="n">
        <v>460.547</v>
      </c>
      <c r="V130" s="12" t="n">
        <v>523.792</v>
      </c>
      <c r="W130" s="12" t="n">
        <v>793.277</v>
      </c>
      <c r="X130" s="12" t="n">
        <v>897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18" t="inlineStr">
        <is>
          <t>법인세 등</t>
        </is>
      </c>
      <c r="C132" s="20" t="n">
        <v>194.623</v>
      </c>
      <c r="D132" s="20" t="n">
        <v>144.343</v>
      </c>
      <c r="E132" s="20" t="n">
        <v>264.56</v>
      </c>
      <c r="F132" s="20" t="n">
        <v>195.394</v>
      </c>
      <c r="G132" s="20" t="n">
        <v>288.577</v>
      </c>
      <c r="H132" s="20" t="n">
        <v>283.451</v>
      </c>
      <c r="I132" s="20" t="n">
        <v>338.436</v>
      </c>
      <c r="J132" s="20" t="n">
        <v>365.788</v>
      </c>
      <c r="K132" s="20" t="n">
        <v>427.356</v>
      </c>
      <c r="L132" s="20" t="n">
        <v>352.389</v>
      </c>
      <c r="M132" s="20" t="n">
        <v>458.558</v>
      </c>
      <c r="N132" s="20" t="n">
        <v>383.116</v>
      </c>
      <c r="T132" s="20" t="n">
        <v>-71.126</v>
      </c>
      <c r="U132" s="20" t="n">
        <v>183.062</v>
      </c>
      <c r="V132" s="20" t="n">
        <v>144.343</v>
      </c>
      <c r="W132" s="20" t="n">
        <v>283.451</v>
      </c>
      <c r="X132" s="20" t="n">
        <v>352.389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T133" s="15">
        <f>IF(OR(T132="",S132=""),"",IF(T132*S132&lt;=0,"",IFERROR(T132/S132-1,"")))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9" t="inlineStr">
        <is>
          <t>순이익</t>
        </is>
      </c>
      <c r="C134" s="12" t="n">
        <v>384.86</v>
      </c>
      <c r="D134" s="12" t="n">
        <v>379.449</v>
      </c>
      <c r="E134" s="12" t="n">
        <v>302.531</v>
      </c>
      <c r="F134" s="12" t="n">
        <v>386.953</v>
      </c>
      <c r="G134" s="12" t="n">
        <v>606.548</v>
      </c>
      <c r="H134" s="12" t="n">
        <v>509.826</v>
      </c>
      <c r="I134" s="12" t="n">
        <v>506.902</v>
      </c>
      <c r="J134" s="12" t="n">
        <v>716.623</v>
      </c>
      <c r="K134" s="12" t="n">
        <v>834.474</v>
      </c>
      <c r="L134" s="12" t="n">
        <v>544.611</v>
      </c>
      <c r="M134" s="12" t="n">
        <v>628.271</v>
      </c>
      <c r="N134" s="12" t="n">
        <v>751.9640000000001</v>
      </c>
      <c r="T134" s="12" t="n">
        <v>-71.575</v>
      </c>
      <c r="U134" s="12" t="n">
        <v>277.484</v>
      </c>
      <c r="V134" s="12" t="n">
        <v>379.449</v>
      </c>
      <c r="W134" s="12" t="n">
        <v>509.826</v>
      </c>
      <c r="X134" s="12" t="n">
        <v>544.611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9" t="inlineStr">
        <is>
          <t>비지배주주 순이익</t>
        </is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</row>
    <row r="137">
      <c r="A137" s="9" t="inlineStr">
        <is>
          <t>지배주주 순이익</t>
        </is>
      </c>
      <c r="C137" s="12" t="n">
        <v>384.86</v>
      </c>
      <c r="D137" s="12" t="n">
        <v>379.449</v>
      </c>
      <c r="E137" s="12" t="n">
        <v>302.531</v>
      </c>
      <c r="F137" s="12" t="n">
        <v>386.953</v>
      </c>
      <c r="G137" s="12" t="n">
        <v>606.548</v>
      </c>
      <c r="H137" s="12" t="n">
        <v>509.826</v>
      </c>
      <c r="I137" s="12" t="n">
        <v>506.902</v>
      </c>
      <c r="J137" s="12" t="n">
        <v>716.623</v>
      </c>
      <c r="K137" s="12" t="n">
        <v>834.474</v>
      </c>
      <c r="L137" s="12" t="n">
        <v>544.611</v>
      </c>
      <c r="M137" s="12" t="n">
        <v>628.271</v>
      </c>
      <c r="N137" s="12" t="n">
        <v>751.9640000000001</v>
      </c>
      <c r="T137" s="12" t="n">
        <v>320.57</v>
      </c>
      <c r="U137" s="12" t="n">
        <v>277.484</v>
      </c>
      <c r="V137" s="12" t="n">
        <v>379.449</v>
      </c>
      <c r="W137" s="12" t="n">
        <v>509.826</v>
      </c>
      <c r="X137" s="12" t="n">
        <v>544.611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40">
      <c r="A140" s="16" t="inlineStr">
        <is>
          <t>포괄손익 · 전 항목</t>
        </is>
      </c>
      <c r="B140" s="42" t="inlineStr">
        <is>
          <t>분기 = 3개월 단독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2024.3Q</t>
        </is>
      </c>
      <c r="D141" s="5" t="inlineStr">
        <is>
          <t>2024.4Q</t>
        </is>
      </c>
      <c r="E141" s="5" t="inlineStr">
        <is>
          <t>2025.1Q</t>
        </is>
      </c>
      <c r="F141" s="5" t="inlineStr">
        <is>
          <t>2025.2Q</t>
        </is>
      </c>
      <c r="G141" s="5" t="inlineStr">
        <is>
          <t>2025.3Q</t>
        </is>
      </c>
      <c r="H141" s="5" t="inlineStr">
        <is>
          <t>2025.4Q</t>
        </is>
      </c>
      <c r="I141" s="5" t="inlineStr">
        <is>
          <t>2026.1Q</t>
        </is>
      </c>
      <c r="J141" s="5" t="inlineStr">
        <is>
          <t>2026.2Q</t>
        </is>
      </c>
      <c r="K141" s="5" t="inlineStr">
        <is>
          <t>2026.3Q</t>
        </is>
      </c>
      <c r="L141" s="5" t="inlineStr">
        <is>
          <t>2026.4Q</t>
        </is>
      </c>
      <c r="M141" s="5" t="inlineStr">
        <is>
          <t>2027.1Q</t>
        </is>
      </c>
      <c r="N141" s="5" t="inlineStr">
        <is>
          <t>2027.2Q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순이익</t>
        </is>
      </c>
      <c r="C142" s="12" t="n">
        <v>384.86</v>
      </c>
      <c r="D142" s="12" t="n">
        <v>379.449</v>
      </c>
      <c r="E142" s="12" t="n">
        <v>302.531</v>
      </c>
      <c r="F142" s="12" t="n">
        <v>386.953</v>
      </c>
      <c r="G142" s="12" t="n">
        <v>606.548</v>
      </c>
      <c r="H142" s="12" t="n">
        <v>509.826</v>
      </c>
      <c r="I142" s="12" t="n">
        <v>506.902</v>
      </c>
      <c r="J142" s="12" t="n">
        <v>716.623</v>
      </c>
      <c r="K142" s="12" t="n">
        <v>834.474</v>
      </c>
      <c r="L142" s="12" t="n">
        <v>544.611</v>
      </c>
      <c r="M142" s="12" t="n">
        <v>628.271</v>
      </c>
      <c r="N142" s="12" t="n">
        <v>751.9640000000001</v>
      </c>
      <c r="T142" s="12" t="n">
        <v>320.57</v>
      </c>
      <c r="U142" s="12" t="n">
        <v>277.484</v>
      </c>
      <c r="V142" s="12" t="n">
        <v>379.449</v>
      </c>
      <c r="W142" s="12" t="n">
        <v>509.826</v>
      </c>
      <c r="X142" s="12" t="n">
        <v>544.611</v>
      </c>
    </row>
    <row r="143">
      <c r="A143" s="18" t="inlineStr">
        <is>
          <t>기타유가증권 평가차액</t>
        </is>
      </c>
      <c r="C143" s="20" t="n">
        <v>67.483</v>
      </c>
      <c r="D143" s="20" t="n">
        <v>146.722</v>
      </c>
      <c r="E143" s="20" t="n">
        <v>-9.619</v>
      </c>
      <c r="F143" s="20" t="n">
        <v>-23.301</v>
      </c>
      <c r="G143" s="20" t="n">
        <v>76.91800000000001</v>
      </c>
      <c r="H143" s="20" t="n">
        <v>1.342</v>
      </c>
      <c r="I143" s="20" t="n">
        <v>111.199</v>
      </c>
      <c r="J143" s="20" t="n">
        <v>50.898</v>
      </c>
      <c r="K143" s="20" t="n">
        <v>88.024</v>
      </c>
      <c r="L143" s="20" t="n">
        <v>141.052</v>
      </c>
      <c r="M143" s="20" t="n">
        <v>366.317</v>
      </c>
      <c r="N143" s="20" t="n">
        <v>-102.973</v>
      </c>
      <c r="T143" s="20" t="n">
        <v>-5.819</v>
      </c>
      <c r="U143" s="20" t="n">
        <v>30.912</v>
      </c>
      <c r="V143" s="20" t="n">
        <v>146.722</v>
      </c>
      <c r="W143" s="20" t="n">
        <v>1.342</v>
      </c>
      <c r="X143" s="20" t="n">
        <v>141.052</v>
      </c>
    </row>
    <row r="144">
      <c r="A144" s="18" t="inlineStr">
        <is>
          <t>퇴직급여 조정액</t>
        </is>
      </c>
      <c r="C144" s="20" t="n">
        <v>1.772</v>
      </c>
      <c r="D144" s="20" t="n">
        <v>-6.935</v>
      </c>
      <c r="E144" s="20" t="n">
        <v>1.968</v>
      </c>
      <c r="F144" s="20" t="n">
        <v>1.969</v>
      </c>
      <c r="G144" s="20" t="n">
        <v>1.968</v>
      </c>
      <c r="H144" s="20" t="n">
        <v>-0.746</v>
      </c>
      <c r="I144" s="20" t="n">
        <v>0.9320000000000001</v>
      </c>
      <c r="J144" s="20" t="n">
        <v>0.9330000000000001</v>
      </c>
      <c r="K144" s="20" t="n">
        <v>0.9320000000000001</v>
      </c>
      <c r="L144" s="20" t="n">
        <v>78.292</v>
      </c>
      <c r="M144" s="20" t="n">
        <v>-0.851</v>
      </c>
      <c r="N144" s="20" t="n">
        <v>-0.852</v>
      </c>
      <c r="T144" s="20" t="n">
        <v>5.232</v>
      </c>
      <c r="U144" s="20" t="n">
        <v>-1.43</v>
      </c>
      <c r="V144" s="20" t="n">
        <v>-6.935</v>
      </c>
      <c r="W144" s="20" t="n">
        <v>-0.746</v>
      </c>
      <c r="X144" s="20" t="n">
        <v>78.292</v>
      </c>
    </row>
    <row r="145">
      <c r="A145" s="18" t="inlineStr">
        <is>
          <t>기타포괄손익 합계</t>
        </is>
      </c>
      <c r="C145" s="20" t="n">
        <v>69.254</v>
      </c>
      <c r="D145" s="20" t="n">
        <v>139.787</v>
      </c>
      <c r="E145" s="20" t="n">
        <v>-7.65</v>
      </c>
      <c r="F145" s="20" t="n">
        <v>-21.333</v>
      </c>
      <c r="G145" s="20" t="n">
        <v>78.887</v>
      </c>
      <c r="H145" s="20" t="n">
        <v>0.596</v>
      </c>
      <c r="I145" s="20" t="n">
        <v>112.131</v>
      </c>
      <c r="J145" s="20" t="n">
        <v>51.831</v>
      </c>
      <c r="K145" s="20" t="n">
        <v>88.95699999999999</v>
      </c>
      <c r="L145" s="20" t="n">
        <v>219.343</v>
      </c>
      <c r="M145" s="20" t="n">
        <v>365.465</v>
      </c>
      <c r="N145" s="20" t="n">
        <v>-103.825</v>
      </c>
      <c r="T145" s="20" t="n">
        <v>-0.586</v>
      </c>
      <c r="U145" s="20" t="n">
        <v>29.481</v>
      </c>
      <c r="V145" s="20" t="n">
        <v>139.787</v>
      </c>
      <c r="W145" s="20" t="n">
        <v>0.596</v>
      </c>
      <c r="X145" s="20" t="n">
        <v>219.343</v>
      </c>
    </row>
    <row r="146">
      <c r="A146" s="9" t="inlineStr">
        <is>
          <t>포괄이익</t>
        </is>
      </c>
      <c r="C146" s="12" t="n">
        <v>454.114</v>
      </c>
      <c r="D146" s="12" t="n">
        <v>519.236</v>
      </c>
      <c r="E146" s="12" t="n">
        <v>294.88</v>
      </c>
      <c r="F146" s="12" t="n">
        <v>365.62</v>
      </c>
      <c r="G146" s="12" t="n">
        <v>685.437</v>
      </c>
      <c r="H146" s="12" t="n">
        <v>510.422</v>
      </c>
      <c r="I146" s="12" t="n">
        <v>619.033</v>
      </c>
      <c r="J146" s="12" t="n">
        <v>768.455</v>
      </c>
      <c r="K146" s="12" t="n">
        <v>923.4299999999999</v>
      </c>
      <c r="L146" s="12" t="n">
        <v>763.955</v>
      </c>
      <c r="M146" s="12" t="n">
        <v>993.736</v>
      </c>
      <c r="N146" s="12" t="n">
        <v>648.14</v>
      </c>
      <c r="T146" s="12" t="n">
        <v>319.983</v>
      </c>
      <c r="U146" s="12" t="n">
        <v>306.966</v>
      </c>
      <c r="V146" s="12" t="n">
        <v>519.236</v>
      </c>
      <c r="W146" s="12" t="n">
        <v>510.422</v>
      </c>
      <c r="X146" s="12" t="n">
        <v>763.955</v>
      </c>
    </row>
    <row r="147">
      <c r="A147" s="9" t="inlineStr">
        <is>
          <t>지배주주 포괄이익</t>
        </is>
      </c>
      <c r="C147" s="12" t="n">
        <v>454.114</v>
      </c>
      <c r="D147" s="12" t="n">
        <v>519.236</v>
      </c>
      <c r="E147" s="12" t="n">
        <v>294.88</v>
      </c>
      <c r="F147" s="12" t="n">
        <v>365.62</v>
      </c>
      <c r="G147" s="12" t="n">
        <v>685.437</v>
      </c>
      <c r="H147" s="12" t="n">
        <v>510.422</v>
      </c>
      <c r="I147" s="12" t="n">
        <v>619.033</v>
      </c>
      <c r="J147" s="12" t="n">
        <v>768.455</v>
      </c>
      <c r="K147" s="12" t="n">
        <v>923.4299999999999</v>
      </c>
      <c r="L147" s="12" t="n">
        <v>763.955</v>
      </c>
      <c r="M147" s="12" t="n">
        <v>993.736</v>
      </c>
      <c r="N147" s="12" t="n">
        <v>648.14</v>
      </c>
      <c r="T147" s="12" t="n">
        <v>319.983</v>
      </c>
      <c r="U147" s="12" t="n">
        <v>306.966</v>
      </c>
      <c r="V147" s="12" t="n">
        <v>519.236</v>
      </c>
      <c r="W147" s="12" t="n">
        <v>510.422</v>
      </c>
      <c r="X147" s="12" t="n">
        <v>763.955</v>
      </c>
    </row>
    <row r="148">
      <c r="A148" s="9" t="inlineStr">
        <is>
          <t>비지배주주 포괄이익</t>
        </is>
      </c>
      <c r="C148" s="12" t="n">
        <v>0</v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12" t="n">
        <v>0</v>
      </c>
    </row>
    <row r="150">
      <c r="A150" s="16" t="inlineStr">
        <is>
          <t>부문 · 전 항목</t>
        </is>
      </c>
      <c r="B150" s="42" t="inlineStr">
        <is>
          <t>부문 · 항목</t>
        </is>
      </c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</row>
    <row r="151">
      <c r="A151" s="5" t="inlineStr">
        <is>
          <t>항목</t>
        </is>
      </c>
      <c r="B151" s="5" t="inlineStr">
        <is>
          <t>참고</t>
        </is>
      </c>
      <c r="C151" s="5" t="inlineStr">
        <is>
          <t>2024.3Q</t>
        </is>
      </c>
      <c r="D151" s="5" t="inlineStr">
        <is>
          <t>2024.4Q</t>
        </is>
      </c>
      <c r="E151" s="5" t="inlineStr">
        <is>
          <t>2025.1Q</t>
        </is>
      </c>
      <c r="F151" s="5" t="inlineStr">
        <is>
          <t>2025.2Q</t>
        </is>
      </c>
      <c r="G151" s="5" t="inlineStr">
        <is>
          <t>2025.3Q</t>
        </is>
      </c>
      <c r="H151" s="5" t="inlineStr">
        <is>
          <t>2025.4Q</t>
        </is>
      </c>
      <c r="I151" s="5" t="inlineStr">
        <is>
          <t>2026.1Q</t>
        </is>
      </c>
      <c r="J151" s="5" t="inlineStr">
        <is>
          <t>2026.2Q</t>
        </is>
      </c>
      <c r="K151" s="5" t="inlineStr">
        <is>
          <t>2026.3Q</t>
        </is>
      </c>
      <c r="L151" s="5" t="inlineStr">
        <is>
          <t>2026.4Q</t>
        </is>
      </c>
      <c r="M151" s="5" t="inlineStr">
        <is>
          <t>2027.1Q</t>
        </is>
      </c>
      <c r="N151" s="5" t="inlineStr">
        <is>
          <t>2027.2Q</t>
        </is>
      </c>
      <c r="O151" s="5" t="inlineStr">
        <is>
          <t>2017</t>
        </is>
      </c>
      <c r="P151" s="5" t="inlineStr">
        <is>
          <t>2018</t>
        </is>
      </c>
      <c r="Q151" s="5" t="inlineStr">
        <is>
          <t>2019</t>
        </is>
      </c>
      <c r="R151" s="5" t="inlineStr">
        <is>
          <t>2020</t>
        </is>
      </c>
      <c r="S151" s="5" t="inlineStr">
        <is>
          <t>2021</t>
        </is>
      </c>
      <c r="T151" s="5" t="inlineStr">
        <is>
          <t>2022</t>
        </is>
      </c>
      <c r="U151" s="5" t="inlineStr">
        <is>
          <t>2023</t>
        </is>
      </c>
      <c r="V151" s="5" t="inlineStr">
        <is>
          <t>2024</t>
        </is>
      </c>
      <c r="W151" s="5" t="inlineStr">
        <is>
          <t>2025</t>
        </is>
      </c>
      <c r="X151" s="5" t="inlineStr">
        <is>
          <t>2026</t>
        </is>
      </c>
      <c r="Y151" s="5" t="inlineStr">
        <is>
          <t>2027(MW)</t>
        </is>
      </c>
      <c r="Z151" s="5" t="inlineStr">
        <is>
          <t>2028(MW)</t>
        </is>
      </c>
      <c r="AA151" s="5" t="inlineStr">
        <is>
          <t>2029(MW)</t>
        </is>
      </c>
      <c r="AB151" s="5" t="inlineStr">
        <is>
          <t>2030(MW)</t>
        </is>
      </c>
      <c r="AC151" s="5" t="inlineStr">
        <is>
          <t>2031(MW)</t>
        </is>
      </c>
    </row>
    <row r="152">
      <c r="A152" s="18" t="inlineStr">
        <is>
          <t>TransportationReportableSegmentsMember · 외부 고객 매출</t>
        </is>
      </c>
      <c r="C152" s="20" t="n">
        <v>5269.294</v>
      </c>
      <c r="E152" s="20" t="n">
        <v>5883.804</v>
      </c>
      <c r="F152" s="20" t="n">
        <v>5705.205</v>
      </c>
      <c r="G152" s="20" t="n">
        <v>6394.279</v>
      </c>
      <c r="H152" s="20" t="n">
        <v>7497.862</v>
      </c>
      <c r="I152" s="20" t="n">
        <v>6582.179</v>
      </c>
      <c r="J152" s="20" t="n">
        <v>7187.667</v>
      </c>
      <c r="K152" s="20" t="n">
        <v>7466.355</v>
      </c>
      <c r="L152" s="20" t="n">
        <v>8293.606</v>
      </c>
      <c r="M152" s="20" t="n">
        <v>7673.142</v>
      </c>
      <c r="N152" s="20" t="n">
        <v>7617.054</v>
      </c>
      <c r="W152" s="20" t="n">
        <v>7497.862</v>
      </c>
      <c r="X152" s="20" t="n">
        <v>8293.606</v>
      </c>
    </row>
    <row r="153">
      <c r="A153" s="43" t="inlineStr">
        <is>
          <t>YoY</t>
        </is>
      </c>
      <c r="B153" s="3" t="inlineStr">
        <is>
          <t>전년 같은 분기·전년 대비</t>
        </is>
      </c>
      <c r="G153" s="15">
        <f>IF(OR(G152="",C152=""),"",IF(C152&lt;=0,"",IFERROR(G152/C152-1,"")))</f>
        <v/>
      </c>
      <c r="H153" s="15">
        <f>IF(OR(H152="",D152=""),"",IF(D152&lt;=0,"",IFERROR(H152/D152-1,"")))</f>
        <v/>
      </c>
      <c r="I153" s="15">
        <f>IF(OR(I152="",E152=""),"",IF(E152&lt;=0,"",IFERROR(I152/E152-1,"")))</f>
        <v/>
      </c>
      <c r="J153" s="15">
        <f>IF(OR(J152="",F152=""),"",IF(F152&lt;=0,"",IFERROR(J152/F152-1,"")))</f>
        <v/>
      </c>
      <c r="K153" s="15">
        <f>IF(OR(K152="",G152=""),"",IF(G152&lt;=0,"",IFERROR(K152/G152-1,"")))</f>
        <v/>
      </c>
      <c r="L153" s="15">
        <f>IF(OR(L152="",H152=""),"",IF(H152&lt;=0,"",IFERROR(L152/H152-1,"")))</f>
        <v/>
      </c>
      <c r="M153" s="15">
        <f>IF(OR(M152="",I152=""),"",IF(I152&lt;=0,"",IFERROR(M152/I152-1,"")))</f>
        <v/>
      </c>
      <c r="N153" s="15">
        <f>IF(OR(N152="",J152=""),"",IF(J152&lt;=0,"",IFERROR(N152/J152-1,"")))</f>
        <v/>
      </c>
      <c r="W153" s="15">
        <f>IF(OR(W152="",V152=""),"",IF(V152&lt;=0,"",IFERROR(W152/V152-1,"")))</f>
        <v/>
      </c>
      <c r="X153" s="15">
        <f>IF(OR(X152="",W152=""),"",IF(W152&lt;=0,"",IFERROR(X152/W152-1,"")))</f>
        <v/>
      </c>
    </row>
    <row r="154">
      <c r="A154" s="18" t="inlineStr">
        <is>
          <t>WarehouseReportableSegmentsMember · 외부 고객 매출</t>
        </is>
      </c>
      <c r="C154" s="20" t="n">
        <v>2873.087</v>
      </c>
      <c r="E154" s="20" t="n">
        <v>3248.554</v>
      </c>
      <c r="F154" s="20" t="n">
        <v>3370.645</v>
      </c>
      <c r="G154" s="20" t="n">
        <v>3833.112</v>
      </c>
      <c r="H154" s="20" t="n">
        <v>3588.655</v>
      </c>
      <c r="I154" s="20" t="n">
        <v>3991.802</v>
      </c>
      <c r="J154" s="20" t="n">
        <v>4157.713</v>
      </c>
      <c r="K154" s="20" t="n">
        <v>4588.273</v>
      </c>
      <c r="L154" s="20" t="n">
        <v>4509.256</v>
      </c>
      <c r="M154" s="20" t="n">
        <v>4890.962</v>
      </c>
      <c r="N154" s="20" t="n">
        <v>4976.001</v>
      </c>
      <c r="W154" s="20" t="n">
        <v>3588.655</v>
      </c>
      <c r="X154" s="20" t="n">
        <v>4509.256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6">
      <c r="A156" s="18" t="inlineStr">
        <is>
          <t>GoodsSaleReportableSegmentsMember · 외부 고객 매출</t>
        </is>
      </c>
      <c r="C156" s="20" t="n">
        <v>1193.327</v>
      </c>
      <c r="E156" s="20" t="n">
        <v>1249.5</v>
      </c>
      <c r="F156" s="20" t="n">
        <v>1190.67</v>
      </c>
      <c r="G156" s="20" t="n">
        <v>1381.404</v>
      </c>
      <c r="H156" s="20" t="n">
        <v>1239.904</v>
      </c>
      <c r="I156" s="20" t="n">
        <v>1312.13</v>
      </c>
      <c r="J156" s="20" t="n">
        <v>1390.626</v>
      </c>
      <c r="K156" s="20" t="n">
        <v>2470.616</v>
      </c>
      <c r="L156" s="20" t="n">
        <v>1537.752</v>
      </c>
      <c r="M156" s="20" t="n">
        <v>1449.352</v>
      </c>
      <c r="N156" s="20" t="n">
        <v>1175.862</v>
      </c>
      <c r="W156" s="20" t="n">
        <v>1239.904</v>
      </c>
      <c r="X156" s="20" t="n">
        <v>1537.752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IF(OR(G156="",C156=""),"",IF(C156&lt;=0,"",IFERROR(G156/C156-1,"")))</f>
        <v/>
      </c>
      <c r="H157" s="15">
        <f>IF(OR(H156="",D156=""),"",IF(D156&lt;=0,"",IFERROR(H156/D156-1,"")))</f>
        <v/>
      </c>
      <c r="I157" s="15">
        <f>IF(OR(I156="",E156=""),"",IF(E156&lt;=0,"",IFERROR(I156/E156-1,"")))</f>
        <v/>
      </c>
      <c r="J157" s="15">
        <f>IF(OR(J156="",F156=""),"",IF(F156&lt;=0,"",IFERROR(J156/F156-1,"")))</f>
        <v/>
      </c>
      <c r="K157" s="15">
        <f>IF(OR(K156="",G156=""),"",IF(G156&lt;=0,"",IFERROR(K156/G156-1,"")))</f>
        <v/>
      </c>
      <c r="L157" s="15">
        <f>IF(OR(L156="",H156=""),"",IF(H156&lt;=0,"",IFERROR(L156/H156-1,"")))</f>
        <v/>
      </c>
      <c r="M157" s="15">
        <f>IF(OR(M156="",I156=""),"",IF(I156&lt;=0,"",IFERROR(M156/I156-1,"")))</f>
        <v/>
      </c>
      <c r="N157" s="15">
        <f>IF(OR(N156="",J156=""),"",IF(J156&lt;=0,"",IFERROR(N156/J156-1,"")))</f>
        <v/>
      </c>
      <c r="W157" s="15">
        <f>IF(OR(W156="",V156=""),"",IF(V156&lt;=0,"",IFERROR(W156/V156-1,"")))</f>
        <v/>
      </c>
      <c r="X157" s="15">
        <f>IF(OR(X156="",W156=""),"",IF(W156&lt;=0,"",IFERROR(X156/W156-1,"")))</f>
        <v/>
      </c>
    </row>
    <row r="158">
      <c r="A158" s="18" t="inlineStr">
        <is>
          <t>WelfareReportableSegmentsMember · 외부 고객 매출</t>
        </is>
      </c>
      <c r="C158" s="20" t="n">
        <v>268.599</v>
      </c>
      <c r="E158" s="20" t="n">
        <v>279.126</v>
      </c>
      <c r="F158" s="20" t="n">
        <v>278.056</v>
      </c>
      <c r="G158" s="20" t="n">
        <v>295.922</v>
      </c>
      <c r="H158" s="20" t="n">
        <v>287.687</v>
      </c>
      <c r="I158" s="20" t="n">
        <v>295.437</v>
      </c>
      <c r="J158" s="20" t="n">
        <v>317.953</v>
      </c>
      <c r="K158" s="20" t="n">
        <v>321.089</v>
      </c>
      <c r="L158" s="20" t="n">
        <v>312.461</v>
      </c>
      <c r="M158" s="20" t="n">
        <v>324.887</v>
      </c>
      <c r="N158" s="20" t="n">
        <v>341.309</v>
      </c>
      <c r="W158" s="20" t="n">
        <v>287.687</v>
      </c>
      <c r="X158" s="20" t="n">
        <v>312.461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보고부문 합계 · 외부 고객 매출</t>
        </is>
      </c>
      <c r="C160" s="20" t="n">
        <v>9604.308000000001</v>
      </c>
      <c r="E160" s="20" t="n">
        <v>10660.985</v>
      </c>
      <c r="F160" s="20" t="n">
        <v>10544.578</v>
      </c>
      <c r="G160" s="20" t="n">
        <v>11904.716</v>
      </c>
      <c r="H160" s="20" t="n">
        <v>12614.108</v>
      </c>
      <c r="I160" s="20" t="n">
        <v>12181.549</v>
      </c>
      <c r="J160" s="20" t="n">
        <v>13053.959</v>
      </c>
      <c r="K160" s="20" t="n">
        <v>14846.334</v>
      </c>
      <c r="L160" s="20" t="n">
        <v>14653.074</v>
      </c>
      <c r="M160" s="20" t="n">
        <v>14338.344</v>
      </c>
      <c r="N160" s="20" t="n">
        <v>14110.227</v>
      </c>
      <c r="W160" s="20" t="n">
        <v>12614.108</v>
      </c>
      <c r="X160" s="20" t="n">
        <v>14653.074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기타 · 외부 고객 매출</t>
        </is>
      </c>
      <c r="C162" s="20" t="n">
        <v>402.437</v>
      </c>
      <c r="E162" s="20" t="n">
        <v>379.454</v>
      </c>
      <c r="F162" s="20" t="n">
        <v>391.044</v>
      </c>
      <c r="G162" s="20" t="n">
        <v>806.683</v>
      </c>
      <c r="H162" s="20" t="n">
        <v>824.472</v>
      </c>
      <c r="I162" s="20" t="n">
        <v>774.862</v>
      </c>
      <c r="J162" s="20" t="n">
        <v>789.266</v>
      </c>
      <c r="K162" s="20" t="n">
        <v>827.952</v>
      </c>
      <c r="L162" s="20" t="n">
        <v>845.5599999999999</v>
      </c>
      <c r="M162" s="20" t="n">
        <v>861.002</v>
      </c>
      <c r="N162" s="20" t="n">
        <v>737.011</v>
      </c>
      <c r="W162" s="20" t="n">
        <v>824.472</v>
      </c>
      <c r="X162" s="20" t="n">
        <v>845.5599999999999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합계 · 외부 고객 매출</t>
        </is>
      </c>
      <c r="C164" s="20" t="n">
        <v>10006.745</v>
      </c>
      <c r="E164" s="20" t="n">
        <v>11040.44</v>
      </c>
      <c r="F164" s="20" t="n">
        <v>10935.621</v>
      </c>
      <c r="G164" s="20" t="n">
        <v>12711.4</v>
      </c>
      <c r="H164" s="20" t="n">
        <v>13438.579</v>
      </c>
      <c r="I164" s="20" t="n">
        <v>12956.411</v>
      </c>
      <c r="J164" s="20" t="n">
        <v>13843.226</v>
      </c>
      <c r="K164" s="20" t="n">
        <v>15674.286</v>
      </c>
      <c r="L164" s="20" t="n">
        <v>15498.633</v>
      </c>
      <c r="M164" s="20" t="n">
        <v>15199.346</v>
      </c>
      <c r="N164" s="20" t="n">
        <v>14847.238</v>
      </c>
      <c r="W164" s="20" t="n">
        <v>13438.579</v>
      </c>
      <c r="X164" s="20" t="n">
        <v>15498.633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TransportationReportableSegmentsMember · 부문 간 내부매출·대체</t>
        </is>
      </c>
      <c r="C166" s="20" t="n">
        <v>0</v>
      </c>
      <c r="E166" s="20" t="n">
        <v>0</v>
      </c>
      <c r="F166" s="20" t="n">
        <v>0</v>
      </c>
      <c r="G166" s="20" t="n">
        <v>0</v>
      </c>
      <c r="H166" s="20" t="n">
        <v>0</v>
      </c>
      <c r="I166" s="20" t="n">
        <v>0</v>
      </c>
      <c r="J166" s="20" t="n">
        <v>0</v>
      </c>
      <c r="K166" s="20" t="n">
        <v>0</v>
      </c>
      <c r="L166" s="20" t="n">
        <v>97.514</v>
      </c>
      <c r="M166" s="20" t="n">
        <v>28.621</v>
      </c>
      <c r="N166" s="20" t="n">
        <v>57.579</v>
      </c>
      <c r="W166" s="20" t="n">
        <v>0</v>
      </c>
      <c r="X166" s="20" t="n">
        <v>97.514</v>
      </c>
    </row>
    <row r="167">
      <c r="A167" s="18" t="inlineStr">
        <is>
          <t>WarehouseReportableSegmentsMember · 부문 간 내부매출·대체</t>
        </is>
      </c>
      <c r="C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268.577</v>
      </c>
      <c r="M167" s="20" t="n">
        <v>64.688</v>
      </c>
      <c r="N167" s="20" t="n">
        <v>64.349</v>
      </c>
      <c r="W167" s="20" t="n">
        <v>0</v>
      </c>
      <c r="X167" s="20" t="n">
        <v>268.577</v>
      </c>
    </row>
    <row r="168">
      <c r="A168" s="18" t="inlineStr">
        <is>
          <t>GoodsSaleReportableSegmentsMember · 부문 간 내부매출·대체</t>
        </is>
      </c>
      <c r="C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0.24</v>
      </c>
      <c r="M168" s="20" t="n">
        <v>0.6860000000000001</v>
      </c>
      <c r="N168" s="20" t="n">
        <v>0</v>
      </c>
      <c r="W168" s="20" t="n">
        <v>0</v>
      </c>
      <c r="X168" s="20" t="n">
        <v>0.24</v>
      </c>
    </row>
    <row r="169">
      <c r="A169" s="18" t="inlineStr">
        <is>
          <t>WelfareReportableSegmentsMember · 부문 간 내부매출·대체</t>
        </is>
      </c>
      <c r="C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W169" s="20" t="n">
        <v>0</v>
      </c>
      <c r="X169" s="20" t="n">
        <v>0</v>
      </c>
    </row>
    <row r="170">
      <c r="A170" s="18" t="inlineStr">
        <is>
          <t>보고부문 합계 · 부문 간 내부매출·대체</t>
        </is>
      </c>
      <c r="C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K170" s="20" t="n">
        <v>0</v>
      </c>
      <c r="L170" s="20" t="n">
        <v>366.332</v>
      </c>
      <c r="M170" s="20" t="n">
        <v>93.996</v>
      </c>
      <c r="N170" s="20" t="n">
        <v>121.928</v>
      </c>
      <c r="W170" s="20" t="n">
        <v>0</v>
      </c>
      <c r="X170" s="20" t="n">
        <v>366.332</v>
      </c>
    </row>
    <row r="171">
      <c r="A171" s="18" t="inlineStr">
        <is>
          <t>기타 · 부문 간 내부매출·대체</t>
        </is>
      </c>
      <c r="C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100.509</v>
      </c>
      <c r="M171" s="20" t="n">
        <v>45.318</v>
      </c>
      <c r="N171" s="20" t="n">
        <v>168.068</v>
      </c>
      <c r="W171" s="20" t="n">
        <v>0</v>
      </c>
      <c r="X171" s="20" t="n">
        <v>100.509</v>
      </c>
    </row>
    <row r="172">
      <c r="A172" s="18" t="inlineStr">
        <is>
          <t>합계 · 부문 간 내부매출·대체</t>
        </is>
      </c>
      <c r="C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466.842</v>
      </c>
      <c r="M172" s="20" t="n">
        <v>139.315</v>
      </c>
      <c r="N172" s="20" t="n">
        <v>289.995</v>
      </c>
      <c r="W172" s="20" t="n">
        <v>0</v>
      </c>
      <c r="X172" s="20" t="n">
        <v>466.842</v>
      </c>
    </row>
    <row r="173">
      <c r="A173" s="18" t="inlineStr">
        <is>
          <t>TransportationReportableSegmentsMember · 계</t>
        </is>
      </c>
      <c r="C173" s="20" t="n">
        <v>5269.294</v>
      </c>
      <c r="E173" s="20" t="n">
        <v>5883.804</v>
      </c>
      <c r="F173" s="20" t="n">
        <v>5705.205</v>
      </c>
      <c r="G173" s="20" t="n">
        <v>6394.279</v>
      </c>
      <c r="H173" s="20" t="n">
        <v>7497.862</v>
      </c>
      <c r="I173" s="20" t="n">
        <v>6582.179</v>
      </c>
      <c r="J173" s="20" t="n">
        <v>7187.667</v>
      </c>
      <c r="K173" s="20" t="n">
        <v>7466.355</v>
      </c>
      <c r="L173" s="20" t="n">
        <v>8391.120999999999</v>
      </c>
      <c r="M173" s="20" t="n">
        <v>7701.764</v>
      </c>
      <c r="N173" s="20" t="n">
        <v>7674.633</v>
      </c>
      <c r="W173" s="20" t="n">
        <v>7497.862</v>
      </c>
      <c r="X173" s="20" t="n">
        <v>8391.120999999999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WarehouseReportableSegmentsMember · 계</t>
        </is>
      </c>
      <c r="C175" s="20" t="n">
        <v>2873.087</v>
      </c>
      <c r="E175" s="20" t="n">
        <v>3248.554</v>
      </c>
      <c r="F175" s="20" t="n">
        <v>3370.645</v>
      </c>
      <c r="G175" s="20" t="n">
        <v>3833.112</v>
      </c>
      <c r="H175" s="20" t="n">
        <v>3588.655</v>
      </c>
      <c r="I175" s="20" t="n">
        <v>3991.802</v>
      </c>
      <c r="J175" s="20" t="n">
        <v>4157.713</v>
      </c>
      <c r="K175" s="20" t="n">
        <v>4588.273</v>
      </c>
      <c r="L175" s="20" t="n">
        <v>4777.833</v>
      </c>
      <c r="M175" s="20" t="n">
        <v>4955.651</v>
      </c>
      <c r="N175" s="20" t="n">
        <v>5040.35</v>
      </c>
      <c r="W175" s="20" t="n">
        <v>3588.655</v>
      </c>
      <c r="X175" s="20" t="n">
        <v>4777.833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GoodsSaleReportableSegmentsMember · 계</t>
        </is>
      </c>
      <c r="C177" s="20" t="n">
        <v>1193.327</v>
      </c>
      <c r="E177" s="20" t="n">
        <v>1249.5</v>
      </c>
      <c r="F177" s="20" t="n">
        <v>1190.67</v>
      </c>
      <c r="G177" s="20" t="n">
        <v>1381.404</v>
      </c>
      <c r="H177" s="20" t="n">
        <v>1239.904</v>
      </c>
      <c r="I177" s="20" t="n">
        <v>1312.13</v>
      </c>
      <c r="J177" s="20" t="n">
        <v>1390.626</v>
      </c>
      <c r="K177" s="20" t="n">
        <v>2470.616</v>
      </c>
      <c r="L177" s="20" t="n">
        <v>1537.992</v>
      </c>
      <c r="M177" s="20" t="n">
        <v>1450.039</v>
      </c>
      <c r="N177" s="20" t="n">
        <v>1175.862</v>
      </c>
      <c r="W177" s="20" t="n">
        <v>1239.904</v>
      </c>
      <c r="X177" s="20" t="n">
        <v>1537.992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WelfareReportableSegmentsMember · 계</t>
        </is>
      </c>
      <c r="C179" s="20" t="n">
        <v>268.599</v>
      </c>
      <c r="E179" s="20" t="n">
        <v>279.126</v>
      </c>
      <c r="F179" s="20" t="n">
        <v>278.056</v>
      </c>
      <c r="G179" s="20" t="n">
        <v>295.922</v>
      </c>
      <c r="H179" s="20" t="n">
        <v>287.687</v>
      </c>
      <c r="I179" s="20" t="n">
        <v>295.437</v>
      </c>
      <c r="J179" s="20" t="n">
        <v>317.953</v>
      </c>
      <c r="K179" s="20" t="n">
        <v>321.089</v>
      </c>
      <c r="L179" s="20" t="n">
        <v>312.461</v>
      </c>
      <c r="M179" s="20" t="n">
        <v>324.887</v>
      </c>
      <c r="N179" s="20" t="n">
        <v>341.309</v>
      </c>
      <c r="W179" s="20" t="n">
        <v>287.687</v>
      </c>
      <c r="X179" s="20" t="n">
        <v>312.461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보고부문 합계 · 계</t>
        </is>
      </c>
      <c r="C181" s="20" t="n">
        <v>9604.308000000001</v>
      </c>
      <c r="E181" s="20" t="n">
        <v>10660.985</v>
      </c>
      <c r="F181" s="20" t="n">
        <v>10544.578</v>
      </c>
      <c r="G181" s="20" t="n">
        <v>11904.716</v>
      </c>
      <c r="H181" s="20" t="n">
        <v>12614.108</v>
      </c>
      <c r="I181" s="20" t="n">
        <v>12181.549</v>
      </c>
      <c r="J181" s="20" t="n">
        <v>13053.959</v>
      </c>
      <c r="K181" s="20" t="n">
        <v>14846.334</v>
      </c>
      <c r="L181" s="20" t="n">
        <v>15019.406</v>
      </c>
      <c r="M181" s="20" t="n">
        <v>14432.341</v>
      </c>
      <c r="N181" s="20" t="n">
        <v>14232.155</v>
      </c>
      <c r="W181" s="20" t="n">
        <v>12614.108</v>
      </c>
      <c r="X181" s="20" t="n">
        <v>15019.406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기타 · 계</t>
        </is>
      </c>
      <c r="C183" s="20" t="n">
        <v>402.437</v>
      </c>
      <c r="E183" s="20" t="n">
        <v>379.454</v>
      </c>
      <c r="F183" s="20" t="n">
        <v>391.044</v>
      </c>
      <c r="G183" s="20" t="n">
        <v>806.683</v>
      </c>
      <c r="H183" s="20" t="n">
        <v>824.472</v>
      </c>
      <c r="I183" s="20" t="n">
        <v>774.862</v>
      </c>
      <c r="J183" s="20" t="n">
        <v>789.266</v>
      </c>
      <c r="K183" s="20" t="n">
        <v>827.952</v>
      </c>
      <c r="L183" s="20" t="n">
        <v>946.0700000000001</v>
      </c>
      <c r="M183" s="20" t="n">
        <v>906.3200000000001</v>
      </c>
      <c r="N183" s="20" t="n">
        <v>905.079</v>
      </c>
      <c r="W183" s="20" t="n">
        <v>824.472</v>
      </c>
      <c r="X183" s="20" t="n">
        <v>946.0700000000001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합계 · 계</t>
        </is>
      </c>
      <c r="C185" s="20" t="n">
        <v>10006.745</v>
      </c>
      <c r="E185" s="20" t="n">
        <v>11040.44</v>
      </c>
      <c r="F185" s="20" t="n">
        <v>10935.621</v>
      </c>
      <c r="G185" s="20" t="n">
        <v>12711.4</v>
      </c>
      <c r="H185" s="20" t="n">
        <v>13438.579</v>
      </c>
      <c r="I185" s="20" t="n">
        <v>12956.411</v>
      </c>
      <c r="J185" s="20" t="n">
        <v>13843.226</v>
      </c>
      <c r="K185" s="20" t="n">
        <v>15674.286</v>
      </c>
      <c r="L185" s="20" t="n">
        <v>15965.476</v>
      </c>
      <c r="M185" s="20" t="n">
        <v>15338.662</v>
      </c>
      <c r="N185" s="20" t="n">
        <v>15137.233</v>
      </c>
      <c r="W185" s="20" t="n">
        <v>13438.579</v>
      </c>
      <c r="X185" s="20" t="n">
        <v>15965.476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TransportationReportableSegmentsMember · 부문 이익</t>
        </is>
      </c>
      <c r="C187" s="20" t="n">
        <v>575.849</v>
      </c>
      <c r="E187" s="20" t="n">
        <v>658.532</v>
      </c>
      <c r="F187" s="20" t="n">
        <v>693.304</v>
      </c>
      <c r="G187" s="20" t="n">
        <v>789.019</v>
      </c>
      <c r="H187" s="20" t="n">
        <v>997.989</v>
      </c>
      <c r="I187" s="20" t="n">
        <v>802.951</v>
      </c>
      <c r="J187" s="20" t="n">
        <v>1030.709</v>
      </c>
      <c r="K187" s="20" t="n">
        <v>980.639</v>
      </c>
      <c r="L187" s="20" t="n">
        <v>872.434</v>
      </c>
      <c r="M187" s="20" t="n">
        <v>923.422</v>
      </c>
      <c r="N187" s="20" t="n">
        <v>955.913</v>
      </c>
      <c r="W187" s="20" t="n">
        <v>997.989</v>
      </c>
      <c r="X187" s="20" t="n">
        <v>872.434</v>
      </c>
    </row>
    <row r="188">
      <c r="A188" s="43" t="inlineStr">
        <is>
          <t>OPM</t>
        </is>
      </c>
      <c r="B188" s="3" t="inlineStr">
        <is>
          <t>영업이익 ÷ 매출</t>
        </is>
      </c>
      <c r="C188" s="15">
        <f>IF(OR(C187="",C173=""),"",IF(C173&lt;=0,"",IFERROR(C187/C173,"")))</f>
        <v/>
      </c>
      <c r="E188" s="15">
        <f>IF(OR(E187="",E173=""),"",IF(E173&lt;=0,"",IFERROR(E187/E173,"")))</f>
        <v/>
      </c>
      <c r="F188" s="15">
        <f>IF(OR(F187="",F173=""),"",IF(F173&lt;=0,"",IFERROR(F187/F173,"")))</f>
        <v/>
      </c>
      <c r="G188" s="15">
        <f>IF(OR(G187="",G173=""),"",IF(G173&lt;=0,"",IFERROR(G187/G173,"")))</f>
        <v/>
      </c>
      <c r="H188" s="15">
        <f>IF(OR(H187="",H173=""),"",IF(H173&lt;=0,"",IFERROR(H187/H173,"")))</f>
        <v/>
      </c>
      <c r="I188" s="15">
        <f>IF(OR(I187="",I173=""),"",IF(I173&lt;=0,"",IFERROR(I187/I173,"")))</f>
        <v/>
      </c>
      <c r="J188" s="15">
        <f>IF(OR(J187="",J173=""),"",IF(J173&lt;=0,"",IFERROR(J187/J173,"")))</f>
        <v/>
      </c>
      <c r="K188" s="15">
        <f>IF(OR(K187="",K173=""),"",IF(K173&lt;=0,"",IFERROR(K187/K173,"")))</f>
        <v/>
      </c>
      <c r="L188" s="15">
        <f>IF(OR(L187="",L173=""),"",IF(L173&lt;=0,"",IFERROR(L187/L173,"")))</f>
        <v/>
      </c>
      <c r="M188" s="15">
        <f>IF(OR(M187="",M173=""),"",IF(M173&lt;=0,"",IFERROR(M187/M173,"")))</f>
        <v/>
      </c>
      <c r="N188" s="15">
        <f>IF(OR(N187="",N173=""),"",IF(N173&lt;=0,"",IFERROR(N187/N173,"")))</f>
        <v/>
      </c>
      <c r="W188" s="15">
        <f>IF(OR(W187="",W173=""),"",IF(W173&lt;=0,"",IFERROR(W187/W173,"")))</f>
        <v/>
      </c>
      <c r="X188" s="15">
        <f>IF(OR(X187="",X173=""),"",IF(X173&lt;=0,"",IFERROR(X187/X173,"")))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IF(OR(G187="",C187=""),"",IF(C187&lt;=0,"",IFERROR(G187/C187-1,"")))</f>
        <v/>
      </c>
      <c r="H189" s="15">
        <f>IF(OR(H187="",D187=""),"",IF(D187&lt;=0,"",IFERROR(H187/D187-1,"")))</f>
        <v/>
      </c>
      <c r="I189" s="15">
        <f>IF(OR(I187="",E187=""),"",IF(E187&lt;=0,"",IFERROR(I187/E187-1,"")))</f>
        <v/>
      </c>
      <c r="J189" s="15">
        <f>IF(OR(J187="",F187=""),"",IF(F187&lt;=0,"",IFERROR(J187/F187-1,"")))</f>
        <v/>
      </c>
      <c r="K189" s="15">
        <f>IF(OR(K187="",G187=""),"",IF(G187&lt;=0,"",IFERROR(K187/G187-1,"")))</f>
        <v/>
      </c>
      <c r="L189" s="15">
        <f>IF(OR(L187="",H187=""),"",IF(H187&lt;=0,"",IFERROR(L187/H187-1,"")))</f>
        <v/>
      </c>
      <c r="M189" s="15">
        <f>IF(OR(M187="",I187=""),"",IF(I187&lt;=0,"",IFERROR(M187/I187-1,"")))</f>
        <v/>
      </c>
      <c r="N189" s="15">
        <f>IF(OR(N187="",J187=""),"",IF(J187&lt;=0,"",IFERROR(N187/J187-1,"")))</f>
        <v/>
      </c>
      <c r="W189" s="15">
        <f>IF(OR(W187="",V187=""),"",IF(V187&lt;=0,"",IFERROR(W187/V187-1,"")))</f>
        <v/>
      </c>
      <c r="X189" s="15">
        <f>IF(OR(X187="",W187=""),"",IF(W187&lt;=0,"",IFERROR(X187/W187-1,"")))</f>
        <v/>
      </c>
    </row>
    <row r="190">
      <c r="A190" s="18" t="inlineStr">
        <is>
          <t>WarehouseReportableSegmentsMember · 부문 이익</t>
        </is>
      </c>
      <c r="C190" s="20" t="n">
        <v>299.994</v>
      </c>
      <c r="E190" s="20" t="n">
        <v>286.661</v>
      </c>
      <c r="F190" s="20" t="n">
        <v>211.654</v>
      </c>
      <c r="G190" s="20" t="n">
        <v>383.053</v>
      </c>
      <c r="H190" s="20" t="n">
        <v>294.98</v>
      </c>
      <c r="I190" s="20" t="n">
        <v>420.853</v>
      </c>
      <c r="J190" s="20" t="n">
        <v>389.701</v>
      </c>
      <c r="K190" s="20" t="n">
        <v>607.643</v>
      </c>
      <c r="L190" s="20" t="n">
        <v>535.874</v>
      </c>
      <c r="M190" s="20" t="n">
        <v>436.899</v>
      </c>
      <c r="N190" s="20" t="n">
        <v>490.504</v>
      </c>
      <c r="W190" s="20" t="n">
        <v>294.98</v>
      </c>
      <c r="X190" s="20" t="n">
        <v>535.874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IF(OR(C190="",C175=""),"",IF(C175&lt;=0,"",IFERROR(C190/C175,"")))</f>
        <v/>
      </c>
      <c r="E191" s="15">
        <f>IF(OR(E190="",E175=""),"",IF(E175&lt;=0,"",IFERROR(E190/E175,"")))</f>
        <v/>
      </c>
      <c r="F191" s="15">
        <f>IF(OR(F190="",F175=""),"",IF(F175&lt;=0,"",IFERROR(F190/F175,"")))</f>
        <v/>
      </c>
      <c r="G191" s="15">
        <f>IF(OR(G190="",G175=""),"",IF(G175&lt;=0,"",IFERROR(G190/G175,"")))</f>
        <v/>
      </c>
      <c r="H191" s="15">
        <f>IF(OR(H190="",H175=""),"",IF(H175&lt;=0,"",IFERROR(H190/H175,"")))</f>
        <v/>
      </c>
      <c r="I191" s="15">
        <f>IF(OR(I190="",I175=""),"",IF(I175&lt;=0,"",IFERROR(I190/I175,"")))</f>
        <v/>
      </c>
      <c r="J191" s="15">
        <f>IF(OR(J190="",J175=""),"",IF(J175&lt;=0,"",IFERROR(J190/J175,"")))</f>
        <v/>
      </c>
      <c r="K191" s="15">
        <f>IF(OR(K190="",K175=""),"",IF(K175&lt;=0,"",IFERROR(K190/K175,"")))</f>
        <v/>
      </c>
      <c r="L191" s="15">
        <f>IF(OR(L190="",L175=""),"",IF(L175&lt;=0,"",IFERROR(L190/L175,"")))</f>
        <v/>
      </c>
      <c r="M191" s="15">
        <f>IF(OR(M190="",M175=""),"",IF(M175&lt;=0,"",IFERROR(M190/M175,"")))</f>
        <v/>
      </c>
      <c r="N191" s="15">
        <f>IF(OR(N190="",N175=""),"",IF(N175&lt;=0,"",IFERROR(N190/N175,"")))</f>
        <v/>
      </c>
      <c r="W191" s="15">
        <f>IF(OR(W190="",W175=""),"",IF(W175&lt;=0,"",IFERROR(W190/W175,"")))</f>
        <v/>
      </c>
      <c r="X191" s="15">
        <f>IF(OR(X190="",X175=""),"",IF(X175&lt;=0,"",IFERROR(X190/X175,"")))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GoodsSaleReportableSegmentsMember · 부문 이익</t>
        </is>
      </c>
      <c r="C193" s="20" t="n">
        <v>67.488</v>
      </c>
      <c r="E193" s="20" t="n">
        <v>82.40900000000001</v>
      </c>
      <c r="F193" s="20" t="n">
        <v>68.756</v>
      </c>
      <c r="G193" s="20" t="n">
        <v>96.357</v>
      </c>
      <c r="H193" s="20" t="n">
        <v>59.691</v>
      </c>
      <c r="I193" s="20" t="n">
        <v>79.16800000000001</v>
      </c>
      <c r="J193" s="20" t="n">
        <v>73.754</v>
      </c>
      <c r="K193" s="20" t="n">
        <v>114.537</v>
      </c>
      <c r="L193" s="20" t="n">
        <v>76.931</v>
      </c>
      <c r="M193" s="20" t="n">
        <v>95.211</v>
      </c>
      <c r="N193" s="20" t="n">
        <v>63.093</v>
      </c>
      <c r="W193" s="20" t="n">
        <v>59.691</v>
      </c>
      <c r="X193" s="20" t="n">
        <v>76.931</v>
      </c>
    </row>
    <row r="194">
      <c r="A194" s="43" t="inlineStr">
        <is>
          <t>OPM</t>
        </is>
      </c>
      <c r="B194" s="3" t="inlineStr">
        <is>
          <t>영업이익 ÷ 매출</t>
        </is>
      </c>
      <c r="C194" s="15">
        <f>IF(OR(C193="",C177=""),"",IF(C177&lt;=0,"",IFERROR(C193/C177,"")))</f>
        <v/>
      </c>
      <c r="E194" s="15">
        <f>IF(OR(E193="",E177=""),"",IF(E177&lt;=0,"",IFERROR(E193/E177,"")))</f>
        <v/>
      </c>
      <c r="F194" s="15">
        <f>IF(OR(F193="",F177=""),"",IF(F177&lt;=0,"",IFERROR(F193/F177,"")))</f>
        <v/>
      </c>
      <c r="G194" s="15">
        <f>IF(OR(G193="",G177=""),"",IF(G177&lt;=0,"",IFERROR(G193/G177,"")))</f>
        <v/>
      </c>
      <c r="H194" s="15">
        <f>IF(OR(H193="",H177=""),"",IF(H177&lt;=0,"",IFERROR(H193/H177,"")))</f>
        <v/>
      </c>
      <c r="I194" s="15">
        <f>IF(OR(I193="",I177=""),"",IF(I177&lt;=0,"",IFERROR(I193/I177,"")))</f>
        <v/>
      </c>
      <c r="J194" s="15">
        <f>IF(OR(J193="",J177=""),"",IF(J177&lt;=0,"",IFERROR(J193/J177,"")))</f>
        <v/>
      </c>
      <c r="K194" s="15">
        <f>IF(OR(K193="",K177=""),"",IF(K177&lt;=0,"",IFERROR(K193/K177,"")))</f>
        <v/>
      </c>
      <c r="L194" s="15">
        <f>IF(OR(L193="",L177=""),"",IF(L177&lt;=0,"",IFERROR(L193/L177,"")))</f>
        <v/>
      </c>
      <c r="M194" s="15">
        <f>IF(OR(M193="",M177=""),"",IF(M177&lt;=0,"",IFERROR(M193/M177,"")))</f>
        <v/>
      </c>
      <c r="N194" s="15">
        <f>IF(OR(N193="",N177=""),"",IF(N177&lt;=0,"",IFERROR(N193/N177,"")))</f>
        <v/>
      </c>
      <c r="W194" s="15">
        <f>IF(OR(W193="",W177=""),"",IF(W177&lt;=0,"",IFERROR(W193/W177,"")))</f>
        <v/>
      </c>
      <c r="X194" s="15">
        <f>IF(OR(X193="",X177=""),"",IF(X177&lt;=0,"",IFERROR(X193/X177,"")))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IF(OR(G193="",C193=""),"",IF(C193&lt;=0,"",IFERROR(G193/C193-1,"")))</f>
        <v/>
      </c>
      <c r="H195" s="15">
        <f>IF(OR(H193="",D193=""),"",IF(D193&lt;=0,"",IFERROR(H193/D193-1,"")))</f>
        <v/>
      </c>
      <c r="I195" s="15">
        <f>IF(OR(I193="",E193=""),"",IF(E193&lt;=0,"",IFERROR(I193/E193-1,"")))</f>
        <v/>
      </c>
      <c r="J195" s="15">
        <f>IF(OR(J193="",F193=""),"",IF(F193&lt;=0,"",IFERROR(J193/F193-1,"")))</f>
        <v/>
      </c>
      <c r="K195" s="15">
        <f>IF(OR(K193="",G193=""),"",IF(G193&lt;=0,"",IFERROR(K193/G193-1,"")))</f>
        <v/>
      </c>
      <c r="L195" s="15">
        <f>IF(OR(L193="",H193=""),"",IF(H193&lt;=0,"",IFERROR(L193/H193-1,"")))</f>
        <v/>
      </c>
      <c r="M195" s="15">
        <f>IF(OR(M193="",I193=""),"",IF(I193&lt;=0,"",IFERROR(M193/I193-1,"")))</f>
        <v/>
      </c>
      <c r="N195" s="15">
        <f>IF(OR(N193="",J193=""),"",IF(J193&lt;=0,"",IFERROR(N193/J193-1,"")))</f>
        <v/>
      </c>
      <c r="W195" s="15">
        <f>IF(OR(W193="",V193=""),"",IF(V193&lt;=0,"",IFERROR(W193/V193-1,"")))</f>
        <v/>
      </c>
      <c r="X195" s="15">
        <f>IF(OR(X193="",W193=""),"",IF(W193&lt;=0,"",IFERROR(X193/W193-1,"")))</f>
        <v/>
      </c>
    </row>
    <row r="196">
      <c r="A196" s="18" t="inlineStr">
        <is>
          <t>WelfareReportableSegmentsMember · 부문 이익</t>
        </is>
      </c>
      <c r="C196" s="20" t="n">
        <v>41.739</v>
      </c>
      <c r="E196" s="20" t="n">
        <v>46.744</v>
      </c>
      <c r="F196" s="20" t="n">
        <v>44.169</v>
      </c>
      <c r="G196" s="20" t="n">
        <v>45.745</v>
      </c>
      <c r="H196" s="20" t="n">
        <v>44.384</v>
      </c>
      <c r="I196" s="20" t="n">
        <v>46.895</v>
      </c>
      <c r="J196" s="20" t="n">
        <v>54.648</v>
      </c>
      <c r="K196" s="20" t="n">
        <v>58.299</v>
      </c>
      <c r="L196" s="20" t="n">
        <v>52.94</v>
      </c>
      <c r="M196" s="20" t="n">
        <v>60.161</v>
      </c>
      <c r="N196" s="20" t="n">
        <v>66.194</v>
      </c>
      <c r="W196" s="20" t="n">
        <v>44.384</v>
      </c>
      <c r="X196" s="20" t="n">
        <v>52.94</v>
      </c>
    </row>
    <row r="197">
      <c r="A197" s="43" t="inlineStr">
        <is>
          <t>OPM</t>
        </is>
      </c>
      <c r="B197" s="3" t="inlineStr">
        <is>
          <t>영업이익 ÷ 매출</t>
        </is>
      </c>
      <c r="C197" s="15">
        <f>IF(OR(C196="",C179=""),"",IF(C179&lt;=0,"",IFERROR(C196/C179,"")))</f>
        <v/>
      </c>
      <c r="E197" s="15">
        <f>IF(OR(E196="",E179=""),"",IF(E179&lt;=0,"",IFERROR(E196/E179,"")))</f>
        <v/>
      </c>
      <c r="F197" s="15">
        <f>IF(OR(F196="",F179=""),"",IF(F179&lt;=0,"",IFERROR(F196/F179,"")))</f>
        <v/>
      </c>
      <c r="G197" s="15">
        <f>IF(OR(G196="",G179=""),"",IF(G179&lt;=0,"",IFERROR(G196/G179,"")))</f>
        <v/>
      </c>
      <c r="H197" s="15">
        <f>IF(OR(H196="",H179=""),"",IF(H179&lt;=0,"",IFERROR(H196/H179,"")))</f>
        <v/>
      </c>
      <c r="I197" s="15">
        <f>IF(OR(I196="",I179=""),"",IF(I179&lt;=0,"",IFERROR(I196/I179,"")))</f>
        <v/>
      </c>
      <c r="J197" s="15">
        <f>IF(OR(J196="",J179=""),"",IF(J179&lt;=0,"",IFERROR(J196/J179,"")))</f>
        <v/>
      </c>
      <c r="K197" s="15">
        <f>IF(OR(K196="",K179=""),"",IF(K179&lt;=0,"",IFERROR(K196/K179,"")))</f>
        <v/>
      </c>
      <c r="L197" s="15">
        <f>IF(OR(L196="",L179=""),"",IF(L179&lt;=0,"",IFERROR(L196/L179,"")))</f>
        <v/>
      </c>
      <c r="M197" s="15">
        <f>IF(OR(M196="",M179=""),"",IF(M179&lt;=0,"",IFERROR(M196/M179,"")))</f>
        <v/>
      </c>
      <c r="N197" s="15">
        <f>IF(OR(N196="",N179=""),"",IF(N179&lt;=0,"",IFERROR(N196/N179,"")))</f>
        <v/>
      </c>
      <c r="W197" s="15">
        <f>IF(OR(W196="",W179=""),"",IF(W179&lt;=0,"",IFERROR(W196/W179,"")))</f>
        <v/>
      </c>
      <c r="X197" s="15">
        <f>IF(OR(X196="",X179=""),"",IF(X179&lt;=0,"",IFERROR(X196/X179,"")))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IF(OR(G196="",C196=""),"",IF(C196&lt;=0,"",IFERROR(G196/C196-1,"")))</f>
        <v/>
      </c>
      <c r="H198" s="15">
        <f>IF(OR(H196="",D196=""),"",IF(D196&lt;=0,"",IFERROR(H196/D196-1,"")))</f>
        <v/>
      </c>
      <c r="I198" s="15">
        <f>IF(OR(I196="",E196=""),"",IF(E196&lt;=0,"",IFERROR(I196/E196-1,"")))</f>
        <v/>
      </c>
      <c r="J198" s="15">
        <f>IF(OR(J196="",F196=""),"",IF(F196&lt;=0,"",IFERROR(J196/F196-1,"")))</f>
        <v/>
      </c>
      <c r="K198" s="15">
        <f>IF(OR(K196="",G196=""),"",IF(G196&lt;=0,"",IFERROR(K196/G196-1,"")))</f>
        <v/>
      </c>
      <c r="L198" s="15">
        <f>IF(OR(L196="",H196=""),"",IF(H196&lt;=0,"",IFERROR(L196/H196-1,"")))</f>
        <v/>
      </c>
      <c r="M198" s="15">
        <f>IF(OR(M196="",I196=""),"",IF(I196&lt;=0,"",IFERROR(M196/I196-1,"")))</f>
        <v/>
      </c>
      <c r="N198" s="15">
        <f>IF(OR(N196="",J196=""),"",IF(J196&lt;=0,"",IFERROR(N196/J196-1,"")))</f>
        <v/>
      </c>
      <c r="W198" s="15">
        <f>IF(OR(W196="",V196=""),"",IF(V196&lt;=0,"",IFERROR(W196/V196-1,"")))</f>
        <v/>
      </c>
      <c r="X198" s="15">
        <f>IF(OR(X196="",W196=""),"",IF(W196&lt;=0,"",IFERROR(X196/W196-1,"")))</f>
        <v/>
      </c>
    </row>
    <row r="199">
      <c r="A199" s="18" t="inlineStr">
        <is>
          <t>보고부문 합계 · 부문 이익</t>
        </is>
      </c>
      <c r="C199" s="20" t="n">
        <v>985.071</v>
      </c>
      <c r="E199" s="20" t="n">
        <v>1074.347</v>
      </c>
      <c r="F199" s="20" t="n">
        <v>1017.884</v>
      </c>
      <c r="G199" s="20" t="n">
        <v>1314.175</v>
      </c>
      <c r="H199" s="20" t="n">
        <v>1397.043</v>
      </c>
      <c r="I199" s="20" t="n">
        <v>1349.869</v>
      </c>
      <c r="J199" s="20" t="n">
        <v>1548.811</v>
      </c>
      <c r="K199" s="20" t="n">
        <v>1761.119</v>
      </c>
      <c r="L199" s="20" t="n">
        <v>1538.179</v>
      </c>
      <c r="M199" s="20" t="n">
        <v>1515.695</v>
      </c>
      <c r="N199" s="20" t="n">
        <v>1575.704</v>
      </c>
      <c r="W199" s="20" t="n">
        <v>1397.043</v>
      </c>
      <c r="X199" s="20" t="n">
        <v>1538.179</v>
      </c>
    </row>
    <row r="200">
      <c r="A200" s="43" t="inlineStr">
        <is>
          <t>OPM</t>
        </is>
      </c>
      <c r="B200" s="3" t="inlineStr">
        <is>
          <t>영업이익 ÷ 매출</t>
        </is>
      </c>
      <c r="C200" s="15">
        <f>IF(OR(C199="",C181=""),"",IF(C181&lt;=0,"",IFERROR(C199/C181,"")))</f>
        <v/>
      </c>
      <c r="E200" s="15">
        <f>IF(OR(E199="",E181=""),"",IF(E181&lt;=0,"",IFERROR(E199/E181,"")))</f>
        <v/>
      </c>
      <c r="F200" s="15">
        <f>IF(OR(F199="",F181=""),"",IF(F181&lt;=0,"",IFERROR(F199/F181,"")))</f>
        <v/>
      </c>
      <c r="G200" s="15">
        <f>IF(OR(G199="",G181=""),"",IF(G181&lt;=0,"",IFERROR(G199/G181,"")))</f>
        <v/>
      </c>
      <c r="H200" s="15">
        <f>IF(OR(H199="",H181=""),"",IF(H181&lt;=0,"",IFERROR(H199/H181,"")))</f>
        <v/>
      </c>
      <c r="I200" s="15">
        <f>IF(OR(I199="",I181=""),"",IF(I181&lt;=0,"",IFERROR(I199/I181,"")))</f>
        <v/>
      </c>
      <c r="J200" s="15">
        <f>IF(OR(J199="",J181=""),"",IF(J181&lt;=0,"",IFERROR(J199/J181,"")))</f>
        <v/>
      </c>
      <c r="K200" s="15">
        <f>IF(OR(K199="",K181=""),"",IF(K181&lt;=0,"",IFERROR(K199/K181,"")))</f>
        <v/>
      </c>
      <c r="L200" s="15">
        <f>IF(OR(L199="",L181=""),"",IF(L181&lt;=0,"",IFERROR(L199/L181,"")))</f>
        <v/>
      </c>
      <c r="M200" s="15">
        <f>IF(OR(M199="",M181=""),"",IF(M181&lt;=0,"",IFERROR(M199/M181,"")))</f>
        <v/>
      </c>
      <c r="N200" s="15">
        <f>IF(OR(N199="",N181=""),"",IF(N181&lt;=0,"",IFERROR(N199/N181,"")))</f>
        <v/>
      </c>
      <c r="W200" s="15">
        <f>IF(OR(W199="",W181=""),"",IF(W181&lt;=0,"",IFERROR(W199/W181,"")))</f>
        <v/>
      </c>
      <c r="X200" s="15">
        <f>IF(OR(X199="",X181=""),"",IF(X181&lt;=0,"",IFERROR(X199/X181,"")))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K201" s="15">
        <f>IF(OR(K199="",G199=""),"",IF(G199&lt;=0,"",IFERROR(K199/G199-1,"")))</f>
        <v/>
      </c>
      <c r="L201" s="15">
        <f>IF(OR(L199="",H199=""),"",IF(H199&lt;=0,"",IFERROR(L199/H199-1,"")))</f>
        <v/>
      </c>
      <c r="M201" s="15">
        <f>IF(OR(M199="",I199=""),"",IF(I199&lt;=0,"",IFERROR(M199/I199-1,"")))</f>
        <v/>
      </c>
      <c r="N201" s="15">
        <f>IF(OR(N199="",J199=""),"",IF(J199&lt;=0,"",IFERROR(N199/J199-1,"")))</f>
        <v/>
      </c>
      <c r="W201" s="15">
        <f>IF(OR(W199="",V199=""),"",IF(V199&lt;=0,"",IFERROR(W199/V199-1,"")))</f>
        <v/>
      </c>
      <c r="X201" s="15">
        <f>IF(OR(X199="",W199=""),"",IF(W199&lt;=0,"",IFERROR(X199/W199-1,"")))</f>
        <v/>
      </c>
    </row>
    <row r="202">
      <c r="A202" s="18" t="inlineStr">
        <is>
          <t>기타 · 부문 이익</t>
        </is>
      </c>
      <c r="C202" s="20" t="n">
        <v>81.163</v>
      </c>
      <c r="E202" s="20" t="n">
        <v>77.878</v>
      </c>
      <c r="F202" s="20" t="n">
        <v>70.565</v>
      </c>
      <c r="G202" s="20" t="n">
        <v>99.922</v>
      </c>
      <c r="H202" s="20" t="n">
        <v>106.173</v>
      </c>
      <c r="I202" s="20" t="n">
        <v>109.41</v>
      </c>
      <c r="J202" s="20" t="n">
        <v>110.381</v>
      </c>
      <c r="K202" s="20" t="n">
        <v>137.09</v>
      </c>
      <c r="L202" s="20" t="n">
        <v>217.167</v>
      </c>
      <c r="M202" s="20" t="n">
        <v>168.5</v>
      </c>
      <c r="N202" s="20" t="n">
        <v>156.173</v>
      </c>
      <c r="W202" s="20" t="n">
        <v>106.173</v>
      </c>
      <c r="X202" s="20" t="n">
        <v>217.167</v>
      </c>
    </row>
    <row r="203">
      <c r="A203" s="43" t="inlineStr">
        <is>
          <t>OPM</t>
        </is>
      </c>
      <c r="B203" s="3" t="inlineStr">
        <is>
          <t>영업이익 ÷ 매출</t>
        </is>
      </c>
      <c r="C203" s="15">
        <f>IF(OR(C202="",C183=""),"",IF(C183&lt;=0,"",IFERROR(C202/C183,"")))</f>
        <v/>
      </c>
      <c r="E203" s="15">
        <f>IF(OR(E202="",E183=""),"",IF(E183&lt;=0,"",IFERROR(E202/E183,"")))</f>
        <v/>
      </c>
      <c r="F203" s="15">
        <f>IF(OR(F202="",F183=""),"",IF(F183&lt;=0,"",IFERROR(F202/F183,"")))</f>
        <v/>
      </c>
      <c r="G203" s="15">
        <f>IF(OR(G202="",G183=""),"",IF(G183&lt;=0,"",IFERROR(G202/G183,"")))</f>
        <v/>
      </c>
      <c r="H203" s="15">
        <f>IF(OR(H202="",H183=""),"",IF(H183&lt;=0,"",IFERROR(H202/H183,"")))</f>
        <v/>
      </c>
      <c r="I203" s="15">
        <f>IF(OR(I202="",I183=""),"",IF(I183&lt;=0,"",IFERROR(I202/I183,"")))</f>
        <v/>
      </c>
      <c r="J203" s="15">
        <f>IF(OR(J202="",J183=""),"",IF(J183&lt;=0,"",IFERROR(J202/J183,"")))</f>
        <v/>
      </c>
      <c r="K203" s="15">
        <f>IF(OR(K202="",K183=""),"",IF(K183&lt;=0,"",IFERROR(K202/K183,"")))</f>
        <v/>
      </c>
      <c r="L203" s="15">
        <f>IF(OR(L202="",L183=""),"",IF(L183&lt;=0,"",IFERROR(L202/L183,"")))</f>
        <v/>
      </c>
      <c r="M203" s="15">
        <f>IF(OR(M202="",M183=""),"",IF(M183&lt;=0,"",IFERROR(M202/M183,"")))</f>
        <v/>
      </c>
      <c r="N203" s="15">
        <f>IF(OR(N202="",N183=""),"",IF(N183&lt;=0,"",IFERROR(N202/N183,"")))</f>
        <v/>
      </c>
      <c r="W203" s="15">
        <f>IF(OR(W202="",W183=""),"",IF(W183&lt;=0,"",IFERROR(W202/W183,"")))</f>
        <v/>
      </c>
      <c r="X203" s="15">
        <f>IF(OR(X202="",X183=""),"",IF(X183&lt;=0,"",IFERROR(X202/X183,"")))</f>
        <v/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IF(OR(G202="",C202=""),"",IF(C202&lt;=0,"",IFERROR(G202/C202-1,"")))</f>
        <v/>
      </c>
      <c r="H204" s="15">
        <f>IF(OR(H202="",D202=""),"",IF(D202&lt;=0,"",IFERROR(H202/D202-1,"")))</f>
        <v/>
      </c>
      <c r="I204" s="15">
        <f>IF(OR(I202="",E202=""),"",IF(E202&lt;=0,"",IFERROR(I202/E202-1,"")))</f>
        <v/>
      </c>
      <c r="J204" s="15">
        <f>IF(OR(J202="",F202=""),"",IF(F202&lt;=0,"",IFERROR(J202/F202-1,"")))</f>
        <v/>
      </c>
      <c r="K204" s="15">
        <f>IF(OR(K202="",G202=""),"",IF(G202&lt;=0,"",IFERROR(K202/G202-1,"")))</f>
        <v/>
      </c>
      <c r="L204" s="15">
        <f>IF(OR(L202="",H202=""),"",IF(H202&lt;=0,"",IFERROR(L202/H202-1,"")))</f>
        <v/>
      </c>
      <c r="M204" s="15">
        <f>IF(OR(M202="",I202=""),"",IF(I202&lt;=0,"",IFERROR(M202/I202-1,"")))</f>
        <v/>
      </c>
      <c r="N204" s="15">
        <f>IF(OR(N202="",J202=""),"",IF(J202&lt;=0,"",IFERROR(N202/J202-1,"")))</f>
        <v/>
      </c>
      <c r="W204" s="15">
        <f>IF(OR(W202="",V202=""),"",IF(V202&lt;=0,"",IFERROR(W202/V202-1,"")))</f>
        <v/>
      </c>
      <c r="X204" s="15">
        <f>IF(OR(X202="",W202=""),"",IF(W202&lt;=0,"",IFERROR(X202/W202-1,"")))</f>
        <v/>
      </c>
    </row>
    <row r="205">
      <c r="A205" s="18" t="inlineStr">
        <is>
          <t>합계 · 부문 이익</t>
        </is>
      </c>
      <c r="C205" s="20" t="n">
        <v>1066.235</v>
      </c>
      <c r="E205" s="20" t="n">
        <v>1152.226</v>
      </c>
      <c r="F205" s="20" t="n">
        <v>1088.448</v>
      </c>
      <c r="G205" s="20" t="n">
        <v>1414.097</v>
      </c>
      <c r="H205" s="20" t="n">
        <v>1503.216</v>
      </c>
      <c r="I205" s="20" t="n">
        <v>1459.279</v>
      </c>
      <c r="J205" s="20" t="n">
        <v>1659.192</v>
      </c>
      <c r="K205" s="20" t="n">
        <v>1898.209</v>
      </c>
      <c r="L205" s="20" t="n">
        <v>1755.347</v>
      </c>
      <c r="M205" s="20" t="n">
        <v>1684.195</v>
      </c>
      <c r="N205" s="20" t="n">
        <v>1731.877</v>
      </c>
      <c r="W205" s="20" t="n">
        <v>1503.216</v>
      </c>
      <c r="X205" s="20" t="n">
        <v>1755.347</v>
      </c>
    </row>
    <row r="206">
      <c r="A206" s="43" t="inlineStr">
        <is>
          <t>OPM</t>
        </is>
      </c>
      <c r="B206" s="3" t="inlineStr">
        <is>
          <t>영업이익 ÷ 매출</t>
        </is>
      </c>
      <c r="C206" s="15">
        <f>IF(OR(C205="",C185=""),"",IF(C185&lt;=0,"",IFERROR(C205/C185,"")))</f>
        <v/>
      </c>
      <c r="E206" s="15">
        <f>IF(OR(E205="",E185=""),"",IF(E185&lt;=0,"",IFERROR(E205/E185,"")))</f>
        <v/>
      </c>
      <c r="F206" s="15">
        <f>IF(OR(F205="",F185=""),"",IF(F185&lt;=0,"",IFERROR(F205/F185,"")))</f>
        <v/>
      </c>
      <c r="G206" s="15">
        <f>IF(OR(G205="",G185=""),"",IF(G185&lt;=0,"",IFERROR(G205/G185,"")))</f>
        <v/>
      </c>
      <c r="H206" s="15">
        <f>IF(OR(H205="",H185=""),"",IF(H185&lt;=0,"",IFERROR(H205/H185,"")))</f>
        <v/>
      </c>
      <c r="I206" s="15">
        <f>IF(OR(I205="",I185=""),"",IF(I185&lt;=0,"",IFERROR(I205/I185,"")))</f>
        <v/>
      </c>
      <c r="J206" s="15">
        <f>IF(OR(J205="",J185=""),"",IF(J185&lt;=0,"",IFERROR(J205/J185,"")))</f>
        <v/>
      </c>
      <c r="K206" s="15">
        <f>IF(OR(K205="",K185=""),"",IF(K185&lt;=0,"",IFERROR(K205/K185,"")))</f>
        <v/>
      </c>
      <c r="L206" s="15">
        <f>IF(OR(L205="",L185=""),"",IF(L185&lt;=0,"",IFERROR(L205/L185,"")))</f>
        <v/>
      </c>
      <c r="M206" s="15">
        <f>IF(OR(M205="",M185=""),"",IF(M185&lt;=0,"",IFERROR(M205/M185,"")))</f>
        <v/>
      </c>
      <c r="N206" s="15">
        <f>IF(OR(N205="",N185=""),"",IF(N185&lt;=0,"",IFERROR(N205/N185,"")))</f>
        <v/>
      </c>
      <c r="W206" s="15">
        <f>IF(OR(W205="",W185=""),"",IF(W185&lt;=0,"",IFERROR(W205/W185,"")))</f>
        <v/>
      </c>
      <c r="X206" s="15">
        <f>IF(OR(X205="",X185=""),"",IF(X185&lt;=0,"",IFERROR(X205/X185,"")))</f>
        <v/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IF(OR(G205="",C205=""),"",IF(C205&lt;=0,"",IFERROR(G205/C205-1,"")))</f>
        <v/>
      </c>
      <c r="H207" s="15">
        <f>IF(OR(H205="",D205=""),"",IF(D205&lt;=0,"",IFERROR(H205/D205-1,"")))</f>
        <v/>
      </c>
      <c r="I207" s="15">
        <f>IF(OR(I205="",E205=""),"",IF(E205&lt;=0,"",IFERROR(I205/E205-1,"")))</f>
        <v/>
      </c>
      <c r="J207" s="15">
        <f>IF(OR(J205="",F205=""),"",IF(F205&lt;=0,"",IFERROR(J205/F205-1,"")))</f>
        <v/>
      </c>
      <c r="K207" s="15">
        <f>IF(OR(K205="",G205=""),"",IF(G205&lt;=0,"",IFERROR(K205/G205-1,"")))</f>
        <v/>
      </c>
      <c r="L207" s="15">
        <f>IF(OR(L205="",H205=""),"",IF(H205&lt;=0,"",IFERROR(L205/H205-1,"")))</f>
        <v/>
      </c>
      <c r="M207" s="15">
        <f>IF(OR(M205="",I205=""),"",IF(I205&lt;=0,"",IFERROR(M205/I205-1,"")))</f>
        <v/>
      </c>
      <c r="N207" s="15">
        <f>IF(OR(N205="",J205=""),"",IF(J205&lt;=0,"",IFERROR(N205/J205-1,"")))</f>
        <v/>
      </c>
      <c r="W207" s="15">
        <f>IF(OR(W205="",V205=""),"",IF(V205&lt;=0,"",IFERROR(W205/V205-1,"")))</f>
        <v/>
      </c>
      <c r="X207" s="15">
        <f>IF(OR(X205="",W205=""),"",IF(W205&lt;=0,"",IFERROR(X205/W205-1,"")))</f>
        <v/>
      </c>
    </row>
    <row r="209">
      <c r="A209" s="16" t="inlineStr">
        <is>
          <t>현금흐름표 · 전 항목</t>
        </is>
      </c>
      <c r="B209" s="42" t="inlineStr">
        <is>
          <t>분기 = 결산기 첫날부터 누계(공시 그대로)</t>
        </is>
      </c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</row>
    <row r="210">
      <c r="A210" s="5" t="inlineStr">
        <is>
          <t>항목</t>
        </is>
      </c>
      <c r="B210" s="5" t="inlineStr">
        <is>
          <t>참고</t>
        </is>
      </c>
      <c r="C210" s="5" t="inlineStr">
        <is>
          <t>2024.3Q</t>
        </is>
      </c>
      <c r="D210" s="5" t="inlineStr">
        <is>
          <t>2024.4Q</t>
        </is>
      </c>
      <c r="E210" s="5" t="inlineStr">
        <is>
          <t>2025.1Q</t>
        </is>
      </c>
      <c r="F210" s="5" t="inlineStr">
        <is>
          <t>2025.2Q</t>
        </is>
      </c>
      <c r="G210" s="5" t="inlineStr">
        <is>
          <t>2025.3Q</t>
        </is>
      </c>
      <c r="H210" s="5" t="inlineStr">
        <is>
          <t>2025.4Q</t>
        </is>
      </c>
      <c r="I210" s="5" t="inlineStr">
        <is>
          <t>2026.1Q</t>
        </is>
      </c>
      <c r="J210" s="5" t="inlineStr">
        <is>
          <t>2026.2Q</t>
        </is>
      </c>
      <c r="K210" s="5" t="inlineStr">
        <is>
          <t>2026.3Q</t>
        </is>
      </c>
      <c r="L210" s="5" t="inlineStr">
        <is>
          <t>2026.4Q</t>
        </is>
      </c>
      <c r="M210" s="5" t="inlineStr">
        <is>
          <t>2027.1Q</t>
        </is>
      </c>
      <c r="N210" s="5" t="inlineStr">
        <is>
          <t>2027.2Q</t>
        </is>
      </c>
      <c r="O210" s="5" t="inlineStr">
        <is>
          <t>2017</t>
        </is>
      </c>
      <c r="P210" s="5" t="inlineStr">
        <is>
          <t>2018</t>
        </is>
      </c>
      <c r="Q210" s="5" t="inlineStr">
        <is>
          <t>2019</t>
        </is>
      </c>
      <c r="R210" s="5" t="inlineStr">
        <is>
          <t>2020</t>
        </is>
      </c>
      <c r="S210" s="5" t="inlineStr">
        <is>
          <t>2021</t>
        </is>
      </c>
      <c r="T210" s="5" t="inlineStr">
        <is>
          <t>2022</t>
        </is>
      </c>
      <c r="U210" s="5" t="inlineStr">
        <is>
          <t>2023</t>
        </is>
      </c>
      <c r="V210" s="5" t="inlineStr">
        <is>
          <t>2024</t>
        </is>
      </c>
      <c r="W210" s="5" t="inlineStr">
        <is>
          <t>2025</t>
        </is>
      </c>
      <c r="X210" s="5" t="inlineStr">
        <is>
          <t>2026</t>
        </is>
      </c>
      <c r="Y210" s="5" t="inlineStr">
        <is>
          <t>2027(MW)</t>
        </is>
      </c>
      <c r="Z210" s="5" t="inlineStr">
        <is>
          <t>2028(MW)</t>
        </is>
      </c>
      <c r="AA210" s="5" t="inlineStr">
        <is>
          <t>2029(MW)</t>
        </is>
      </c>
      <c r="AB210" s="5" t="inlineStr">
        <is>
          <t>2030(MW)</t>
        </is>
      </c>
      <c r="AC210" s="5" t="inlineStr">
        <is>
          <t>2031(MW)</t>
        </is>
      </c>
    </row>
    <row r="211">
      <c r="A211" s="9" t="inlineStr">
        <is>
          <t>법인세차감전 순이익</t>
        </is>
      </c>
      <c r="D211" s="12" t="n">
        <v>2309.662</v>
      </c>
      <c r="F211" s="12" t="n">
        <v>1149.438</v>
      </c>
      <c r="H211" s="12" t="n">
        <v>2837.841</v>
      </c>
      <c r="J211" s="12" t="n">
        <v>1927.75</v>
      </c>
      <c r="L211" s="12" t="n">
        <v>4086.579</v>
      </c>
      <c r="N211" s="12" t="n">
        <v>2221.91</v>
      </c>
      <c r="O211" s="12" t="n">
        <v>750.191</v>
      </c>
      <c r="P211" s="12" t="n">
        <v>808.586</v>
      </c>
      <c r="Q211" s="12" t="n">
        <v>880.777</v>
      </c>
      <c r="R211" s="12" t="n">
        <v>1086.217</v>
      </c>
      <c r="S211" s="12" t="n">
        <v>1051.391</v>
      </c>
      <c r="T211" s="12" t="n">
        <v>1720.118</v>
      </c>
      <c r="U211" s="12" t="n">
        <v>2012.272</v>
      </c>
      <c r="V211" s="12" t="n">
        <v>2309.662</v>
      </c>
      <c r="W211" s="12" t="n">
        <v>2837.841</v>
      </c>
      <c r="X211" s="12" t="n">
        <v>4086.579</v>
      </c>
    </row>
    <row r="212">
      <c r="A212" s="18" t="inlineStr">
        <is>
          <t>감가상각비</t>
        </is>
      </c>
      <c r="D212" s="20" t="n">
        <v>765.3049999999999</v>
      </c>
      <c r="F212" s="20" t="n">
        <v>453.722</v>
      </c>
      <c r="H212" s="20" t="n">
        <v>1016.152</v>
      </c>
      <c r="J212" s="20" t="n">
        <v>577.454</v>
      </c>
      <c r="L212" s="20" t="n">
        <v>1200.653</v>
      </c>
      <c r="N212" s="20" t="n">
        <v>738.788</v>
      </c>
      <c r="O212" s="20" t="n">
        <v>279.431</v>
      </c>
      <c r="P212" s="20" t="n">
        <v>300.456</v>
      </c>
      <c r="Q212" s="20" t="n">
        <v>390.718</v>
      </c>
      <c r="R212" s="20" t="n">
        <v>412.847</v>
      </c>
      <c r="S212" s="20" t="n">
        <v>448.216</v>
      </c>
      <c r="T212" s="20" t="n">
        <v>514.652</v>
      </c>
      <c r="U212" s="20" t="n">
        <v>583.253</v>
      </c>
      <c r="V212" s="20" t="n">
        <v>765.3049999999999</v>
      </c>
      <c r="W212" s="20" t="n">
        <v>1016.152</v>
      </c>
      <c r="X212" s="20" t="n">
        <v>1200.653</v>
      </c>
    </row>
    <row r="213">
      <c r="A213" s="18" t="inlineStr">
        <is>
          <t>영업권 상각</t>
        </is>
      </c>
      <c r="D213" s="20" t="n">
        <v>119.566</v>
      </c>
      <c r="F213" s="20" t="n">
        <v>59.783</v>
      </c>
      <c r="H213" s="20" t="n">
        <v>155.852</v>
      </c>
      <c r="J213" s="20" t="n">
        <v>96.068</v>
      </c>
      <c r="L213" s="20" t="n">
        <v>206.838</v>
      </c>
      <c r="N213" s="20" t="n">
        <v>110.769</v>
      </c>
      <c r="O213" s="20" t="n">
        <v>0</v>
      </c>
      <c r="P213" s="20" t="n">
        <v>14.289</v>
      </c>
      <c r="Q213" s="20" t="n">
        <v>34.295</v>
      </c>
      <c r="R213" s="20" t="n">
        <v>51.802</v>
      </c>
      <c r="S213" s="20" t="n">
        <v>34.295</v>
      </c>
      <c r="T213" s="20" t="n">
        <v>34.295</v>
      </c>
      <c r="U213" s="20" t="n">
        <v>76.931</v>
      </c>
      <c r="V213" s="20" t="n">
        <v>119.566</v>
      </c>
      <c r="W213" s="20" t="n">
        <v>155.852</v>
      </c>
      <c r="X213" s="20" t="n">
        <v>206.838</v>
      </c>
    </row>
    <row r="214">
      <c r="A214" s="18" t="inlineStr">
        <is>
          <t>부의 영업권 발생이익</t>
        </is>
      </c>
      <c r="S214" s="20" t="n">
        <v>0</v>
      </c>
      <c r="T214" s="20" t="n">
        <v>-46.144</v>
      </c>
      <c r="U214" s="20" t="n">
        <v>0</v>
      </c>
    </row>
    <row r="215">
      <c r="A215" s="18" t="inlineStr">
        <is>
          <t>손상차손</t>
        </is>
      </c>
      <c r="H215" s="20" t="n">
        <v>0</v>
      </c>
      <c r="L215" s="20" t="n">
        <v>52.619</v>
      </c>
      <c r="O215" s="20" t="n">
        <v>5.996</v>
      </c>
      <c r="P215" s="20" t="n">
        <v>0</v>
      </c>
      <c r="Q215" s="20" t="n">
        <v>97.40000000000001</v>
      </c>
      <c r="R215" s="20" t="n">
        <v>127.036</v>
      </c>
      <c r="S215" s="20" t="n">
        <v>97.723</v>
      </c>
      <c r="T215" s="20" t="n">
        <v>0</v>
      </c>
      <c r="W215" s="20" t="n">
        <v>0</v>
      </c>
      <c r="X215" s="20" t="n">
        <v>52.619</v>
      </c>
    </row>
    <row r="216">
      <c r="A216" s="18" t="inlineStr">
        <is>
          <t>재해 손실</t>
        </is>
      </c>
      <c r="P216" s="20" t="n">
        <v>0</v>
      </c>
      <c r="Q216" s="20" t="n">
        <v>59.458</v>
      </c>
    </row>
    <row r="217">
      <c r="A217" s="18" t="inlineStr">
        <is>
          <t>재해 손실</t>
        </is>
      </c>
      <c r="Q217" s="20" t="n">
        <v>59.458</v>
      </c>
      <c r="R217" s="20" t="n">
        <v>0</v>
      </c>
    </row>
    <row r="218">
      <c r="A218" s="18" t="inlineStr">
        <is>
          <t>단계적 취득 차손익</t>
        </is>
      </c>
      <c r="Q218" s="20" t="n">
        <v>0</v>
      </c>
      <c r="R218" s="20" t="n">
        <v>-3.563</v>
      </c>
      <c r="S218" s="20" t="n">
        <v>0</v>
      </c>
    </row>
    <row r="219">
      <c r="A219" s="18" t="inlineStr">
        <is>
          <t>사업구조개혁 비용</t>
        </is>
      </c>
      <c r="R219" s="20" t="n">
        <v>0</v>
      </c>
      <c r="S219" s="20" t="n">
        <v>137.733</v>
      </c>
      <c r="T219" s="20" t="n">
        <v>0</v>
      </c>
    </row>
    <row r="220">
      <c r="A220" s="18" t="inlineStr">
        <is>
          <t>대손충당금 증감</t>
        </is>
      </c>
      <c r="D220" s="20" t="n">
        <v>-12.587</v>
      </c>
      <c r="F220" s="20" t="n">
        <v>0.002</v>
      </c>
      <c r="H220" s="20" t="n">
        <v>-1.552</v>
      </c>
      <c r="J220" s="20" t="n">
        <v>-1.389</v>
      </c>
      <c r="L220" s="20" t="n">
        <v>11.789</v>
      </c>
      <c r="N220" s="20" t="n">
        <v>-3.361</v>
      </c>
      <c r="O220" s="20" t="n">
        <v>34.229</v>
      </c>
      <c r="P220" s="20" t="n">
        <v>9.619</v>
      </c>
      <c r="Q220" s="20" t="n">
        <v>-52.774</v>
      </c>
      <c r="R220" s="20" t="n">
        <v>0.262</v>
      </c>
      <c r="S220" s="20" t="n">
        <v>4.294</v>
      </c>
      <c r="T220" s="20" t="n">
        <v>-1.153</v>
      </c>
      <c r="U220" s="20" t="n">
        <v>2.166</v>
      </c>
      <c r="V220" s="20" t="n">
        <v>-12.587</v>
      </c>
      <c r="W220" s="20" t="n">
        <v>-1.552</v>
      </c>
      <c r="X220" s="20" t="n">
        <v>11.789</v>
      </c>
    </row>
    <row r="221">
      <c r="A221" s="18" t="inlineStr">
        <is>
          <t>이자·배당금 수익</t>
        </is>
      </c>
      <c r="D221" s="20" t="n">
        <v>-24.88</v>
      </c>
      <c r="F221" s="20" t="n">
        <v>-20.784</v>
      </c>
      <c r="H221" s="20" t="n">
        <v>-27.822</v>
      </c>
      <c r="J221" s="20" t="n">
        <v>-28.558</v>
      </c>
      <c r="L221" s="20" t="n">
        <v>-37.035</v>
      </c>
      <c r="N221" s="20" t="n">
        <v>-32.042</v>
      </c>
      <c r="O221" s="20" t="n">
        <v>-4.777</v>
      </c>
      <c r="P221" s="20" t="n">
        <v>-5.458</v>
      </c>
      <c r="Q221" s="20" t="n">
        <v>-5.906</v>
      </c>
      <c r="R221" s="20" t="n">
        <v>-9.712</v>
      </c>
      <c r="S221" s="20" t="n">
        <v>-7.149</v>
      </c>
      <c r="T221" s="20" t="n">
        <v>-8.09</v>
      </c>
      <c r="U221" s="20" t="n">
        <v>-16.3</v>
      </c>
      <c r="V221" s="20" t="n">
        <v>-24.88</v>
      </c>
      <c r="W221" s="20" t="n">
        <v>-27.822</v>
      </c>
      <c r="X221" s="20" t="n">
        <v>-37.035</v>
      </c>
    </row>
    <row r="222">
      <c r="A222" s="18" t="inlineStr">
        <is>
          <t>이자비용</t>
        </is>
      </c>
      <c r="D222" s="20" t="n">
        <v>13.17</v>
      </c>
      <c r="F222" s="20" t="n">
        <v>12.259</v>
      </c>
      <c r="H222" s="20" t="n">
        <v>32.652</v>
      </c>
      <c r="J222" s="20" t="n">
        <v>30.517</v>
      </c>
      <c r="L222" s="20" t="n">
        <v>69.562</v>
      </c>
      <c r="N222" s="20" t="n">
        <v>52.633</v>
      </c>
      <c r="O222" s="20" t="n">
        <v>11.376</v>
      </c>
      <c r="P222" s="20" t="n">
        <v>13.682</v>
      </c>
      <c r="Q222" s="20" t="n">
        <v>12.384</v>
      </c>
      <c r="R222" s="20" t="n">
        <v>10.701</v>
      </c>
      <c r="S222" s="20" t="n">
        <v>9.291</v>
      </c>
      <c r="T222" s="20" t="n">
        <v>8.999000000000001</v>
      </c>
      <c r="U222" s="20" t="n">
        <v>11.101</v>
      </c>
      <c r="V222" s="20" t="n">
        <v>13.17</v>
      </c>
      <c r="W222" s="20" t="n">
        <v>32.652</v>
      </c>
      <c r="X222" s="20" t="n">
        <v>69.562</v>
      </c>
    </row>
    <row r="223">
      <c r="A223" s="18" t="inlineStr">
        <is>
          <t>보조금 수입</t>
        </is>
      </c>
      <c r="D223" s="20" t="n">
        <v>-15.519</v>
      </c>
      <c r="F223" s="20" t="n">
        <v>-8.221</v>
      </c>
      <c r="H223" s="20" t="n">
        <v>-33.429</v>
      </c>
      <c r="J223" s="20" t="n">
        <v>-10.751</v>
      </c>
      <c r="L223" s="20" t="n">
        <v>-20.768</v>
      </c>
      <c r="N223" s="20" t="n">
        <v>-7.71</v>
      </c>
      <c r="R223" s="20" t="n">
        <v>-3.318</v>
      </c>
      <c r="S223" s="20" t="n">
        <v>-213.639</v>
      </c>
      <c r="T223" s="20" t="n">
        <v>-127.251</v>
      </c>
      <c r="U223" s="20" t="n">
        <v>-34.665</v>
      </c>
      <c r="V223" s="20" t="n">
        <v>-15.519</v>
      </c>
      <c r="W223" s="20" t="n">
        <v>-33.429</v>
      </c>
      <c r="X223" s="20" t="n">
        <v>-20.768</v>
      </c>
    </row>
    <row r="224">
      <c r="A224" s="18" t="inlineStr">
        <is>
          <t>보험 해약환급금</t>
        </is>
      </c>
      <c r="D224" s="20" t="n">
        <v>-15.445</v>
      </c>
      <c r="F224" s="20" t="n">
        <v>-0.975</v>
      </c>
      <c r="H224" s="20" t="n">
        <v>-82.22199999999999</v>
      </c>
      <c r="J224" s="20" t="n">
        <v>-10.332</v>
      </c>
      <c r="L224" s="20" t="n">
        <v>-10.541</v>
      </c>
      <c r="N224" s="20" t="n">
        <v>-71.932</v>
      </c>
      <c r="U224" s="20" t="n">
        <v>0</v>
      </c>
      <c r="V224" s="20" t="n">
        <v>-15.445</v>
      </c>
      <c r="W224" s="20" t="n">
        <v>-82.22199999999999</v>
      </c>
      <c r="X224" s="20" t="n">
        <v>-10.541</v>
      </c>
    </row>
    <row r="225">
      <c r="A225" s="18" t="inlineStr">
        <is>
          <t>고정자산 제각손실</t>
        </is>
      </c>
      <c r="D225" s="20" t="n">
        <v>0.015</v>
      </c>
      <c r="F225" s="20" t="n">
        <v>18.378</v>
      </c>
      <c r="H225" s="20" t="n">
        <v>79.97799999999999</v>
      </c>
      <c r="J225" s="20" t="n">
        <v>1.524</v>
      </c>
      <c r="L225" s="20" t="n">
        <v>11.564</v>
      </c>
      <c r="N225" s="20" t="n">
        <v>6.548</v>
      </c>
      <c r="O225" s="20" t="n">
        <v>1.645</v>
      </c>
      <c r="P225" s="20" t="n">
        <v>0.183</v>
      </c>
      <c r="Q225" s="20" t="n">
        <v>12.89</v>
      </c>
      <c r="R225" s="20" t="n">
        <v>21.444</v>
      </c>
      <c r="S225" s="20" t="n">
        <v>2.091</v>
      </c>
      <c r="T225" s="20" t="n">
        <v>1.989</v>
      </c>
      <c r="U225" s="20" t="n">
        <v>15.044</v>
      </c>
      <c r="V225" s="20" t="n">
        <v>0.015</v>
      </c>
      <c r="W225" s="20" t="n">
        <v>79.97799999999999</v>
      </c>
      <c r="X225" s="20" t="n">
        <v>11.564</v>
      </c>
    </row>
    <row r="226">
      <c r="A226" s="18" t="inlineStr">
        <is>
          <t>고정자산 매각손익</t>
        </is>
      </c>
      <c r="D226" s="20" t="n">
        <v>0</v>
      </c>
      <c r="O226" s="20" t="n">
        <v>-64.598</v>
      </c>
      <c r="P226" s="20" t="n">
        <v>0</v>
      </c>
      <c r="Q226" s="20" t="n">
        <v>-39.101</v>
      </c>
      <c r="R226" s="20" t="n">
        <v>0</v>
      </c>
      <c r="S226" s="20" t="n">
        <v>-3.781</v>
      </c>
      <c r="T226" s="20" t="n">
        <v>0</v>
      </c>
      <c r="U226" s="20" t="n">
        <v>-0.399</v>
      </c>
      <c r="V226" s="20" t="n">
        <v>0</v>
      </c>
    </row>
    <row r="227">
      <c r="A227" s="18" t="inlineStr">
        <is>
          <t>회원권 평가손실</t>
        </is>
      </c>
      <c r="O227" s="20" t="n">
        <v>5.342</v>
      </c>
      <c r="P227" s="20" t="n">
        <v>0</v>
      </c>
      <c r="Q227" s="20" t="n">
        <v>1.55</v>
      </c>
      <c r="R227" s="20" t="n">
        <v>5.93</v>
      </c>
      <c r="S227" s="20" t="n">
        <v>2.8</v>
      </c>
      <c r="T227" s="20" t="n">
        <v>0</v>
      </c>
    </row>
    <row r="228">
      <c r="A228" s="18" t="inlineStr">
        <is>
          <t>투자유가증권 평가손익</t>
        </is>
      </c>
      <c r="O228" s="20" t="n">
        <v>0</v>
      </c>
      <c r="P228" s="20" t="n">
        <v>5.049</v>
      </c>
      <c r="Q228" s="20" t="n">
        <v>0</v>
      </c>
      <c r="R228" s="20" t="n">
        <v>2.859</v>
      </c>
      <c r="S228" s="20" t="n">
        <v>0</v>
      </c>
    </row>
    <row r="229">
      <c r="A229" s="18" t="inlineStr">
        <is>
          <t>투자유가증권 매각손익</t>
        </is>
      </c>
      <c r="P229" s="20" t="n">
        <v>0</v>
      </c>
      <c r="Q229" s="20" t="n">
        <v>-1.393</v>
      </c>
      <c r="R229" s="20" t="n">
        <v>-184.391</v>
      </c>
      <c r="S229" s="20" t="n">
        <v>0</v>
      </c>
      <c r="T229" s="20" t="n">
        <v>-5.049</v>
      </c>
      <c r="U229" s="20" t="n">
        <v>0</v>
      </c>
    </row>
    <row r="230">
      <c r="A230" s="18" t="inlineStr">
        <is>
          <t>지분법손익</t>
        </is>
      </c>
      <c r="O230" s="20" t="n">
        <v>-0.177</v>
      </c>
      <c r="P230" s="20" t="n">
        <v>1.524</v>
      </c>
      <c r="Q230" s="20" t="n">
        <v>-0.428</v>
      </c>
      <c r="R230" s="20" t="n">
        <v>-2.855</v>
      </c>
      <c r="S230" s="20" t="n">
        <v>0</v>
      </c>
    </row>
    <row r="231">
      <c r="A231" s="18" t="inlineStr">
        <is>
          <t>보험금 수익</t>
        </is>
      </c>
      <c r="P231" s="20" t="n">
        <v>0</v>
      </c>
      <c r="Q231" s="20" t="n">
        <v>-74.816</v>
      </c>
      <c r="R231" s="20" t="n">
        <v>0</v>
      </c>
      <c r="S231" s="20" t="n">
        <v>0</v>
      </c>
      <c r="T231" s="20" t="n">
        <v>-3.163</v>
      </c>
      <c r="U231" s="20" t="n">
        <v>0</v>
      </c>
    </row>
    <row r="232">
      <c r="A232" s="18" t="inlineStr">
        <is>
          <t>후생연금기금 해산손실 충당금 환입액</t>
        </is>
      </c>
      <c r="P232" s="20" t="n">
        <v>0</v>
      </c>
      <c r="Q232" s="20" t="n">
        <v>-11.607</v>
      </c>
      <c r="R232" s="20" t="n">
        <v>0</v>
      </c>
    </row>
    <row r="233">
      <c r="A233" s="18" t="inlineStr">
        <is>
          <t>자산복구부채 이행차액</t>
        </is>
      </c>
      <c r="H233" s="20" t="n">
        <v>17.683</v>
      </c>
      <c r="L233" s="20" t="n">
        <v>0</v>
      </c>
      <c r="W233" s="20" t="n">
        <v>17.683</v>
      </c>
      <c r="X233" s="20" t="n">
        <v>0</v>
      </c>
    </row>
    <row r="234">
      <c r="A234" s="18" t="inlineStr">
        <is>
          <t>매출채권 증감</t>
        </is>
      </c>
      <c r="D234" s="20" t="n">
        <v>-709.3150000000001</v>
      </c>
      <c r="F234" s="20" t="n">
        <v>1053.382</v>
      </c>
      <c r="H234" s="20" t="n">
        <v>-1167.803</v>
      </c>
      <c r="J234" s="20" t="n">
        <v>604.506</v>
      </c>
      <c r="L234" s="20" t="n">
        <v>-92.09699999999999</v>
      </c>
      <c r="N234" s="20" t="n">
        <v>1052.176</v>
      </c>
      <c r="O234" s="20" t="n">
        <v>96.774</v>
      </c>
      <c r="P234" s="20" t="n">
        <v>-347.012</v>
      </c>
      <c r="Q234" s="20" t="n">
        <v>-256.699</v>
      </c>
      <c r="R234" s="20" t="n">
        <v>-198.906</v>
      </c>
      <c r="S234" s="20" t="n">
        <v>-393.771</v>
      </c>
      <c r="T234" s="20" t="n">
        <v>-152.898</v>
      </c>
      <c r="U234" s="20" t="n">
        <v>-860.513</v>
      </c>
      <c r="V234" s="20" t="n">
        <v>-709.3150000000001</v>
      </c>
      <c r="W234" s="20" t="n">
        <v>-1167.803</v>
      </c>
      <c r="X234" s="20" t="n">
        <v>-92.09699999999999</v>
      </c>
    </row>
    <row r="235">
      <c r="A235" s="18" t="inlineStr">
        <is>
          <t>재고자산 증감</t>
        </is>
      </c>
      <c r="D235" s="20" t="n">
        <v>47.318</v>
      </c>
      <c r="F235" s="20" t="n">
        <v>20.486</v>
      </c>
      <c r="H235" s="20" t="n">
        <v>29.124</v>
      </c>
      <c r="J235" s="20" t="n">
        <v>-50.951</v>
      </c>
      <c r="L235" s="20" t="n">
        <v>-18.976</v>
      </c>
      <c r="N235" s="20" t="n">
        <v>-16.78</v>
      </c>
      <c r="O235" s="20" t="n">
        <v>-2.492</v>
      </c>
      <c r="P235" s="20" t="n">
        <v>1.679</v>
      </c>
      <c r="Q235" s="20" t="n">
        <v>-1.272</v>
      </c>
      <c r="R235" s="20" t="n">
        <v>0.376</v>
      </c>
      <c r="S235" s="20" t="n">
        <v>2.472</v>
      </c>
      <c r="T235" s="20" t="n">
        <v>-227.199</v>
      </c>
      <c r="U235" s="20" t="n">
        <v>-206.483</v>
      </c>
      <c r="V235" s="20" t="n">
        <v>47.318</v>
      </c>
      <c r="W235" s="20" t="n">
        <v>29.124</v>
      </c>
      <c r="X235" s="20" t="n">
        <v>-18.976</v>
      </c>
    </row>
    <row r="236">
      <c r="A236" s="18" t="inlineStr">
        <is>
          <t>매입채무 증감</t>
        </is>
      </c>
      <c r="D236" s="20" t="n">
        <v>358.42</v>
      </c>
      <c r="F236" s="20" t="n">
        <v>-1134.428</v>
      </c>
      <c r="H236" s="20" t="n">
        <v>367.359</v>
      </c>
      <c r="J236" s="20" t="n">
        <v>-1010.752</v>
      </c>
      <c r="L236" s="20" t="n">
        <v>505.095</v>
      </c>
      <c r="N236" s="20" t="n">
        <v>-1413.223</v>
      </c>
      <c r="O236" s="20" t="n">
        <v>-97.19199999999999</v>
      </c>
      <c r="P236" s="20" t="n">
        <v>190.425</v>
      </c>
      <c r="Q236" s="20" t="n">
        <v>142.984</v>
      </c>
      <c r="R236" s="20" t="n">
        <v>192.156</v>
      </c>
      <c r="S236" s="20" t="n">
        <v>-49.748</v>
      </c>
      <c r="T236" s="20" t="n">
        <v>216.638</v>
      </c>
      <c r="U236" s="20" t="n">
        <v>149.418</v>
      </c>
      <c r="V236" s="20" t="n">
        <v>358.42</v>
      </c>
      <c r="W236" s="20" t="n">
        <v>367.359</v>
      </c>
      <c r="X236" s="20" t="n">
        <v>505.095</v>
      </c>
    </row>
    <row r="237">
      <c r="A237" s="18" t="inlineStr">
        <is>
          <t>미지급 소비세 증감</t>
        </is>
      </c>
      <c r="D237" s="20" t="n">
        <v>-36.069</v>
      </c>
      <c r="F237" s="20" t="n">
        <v>-112.685</v>
      </c>
      <c r="H237" s="20" t="n">
        <v>-92.65900000000001</v>
      </c>
      <c r="J237" s="20" t="n">
        <v>228.242</v>
      </c>
      <c r="L237" s="20" t="n">
        <v>762.39</v>
      </c>
      <c r="N237" s="20" t="n">
        <v>-782.75</v>
      </c>
      <c r="O237" s="20" t="n">
        <v>-15.11</v>
      </c>
      <c r="P237" s="20" t="n">
        <v>35.076</v>
      </c>
      <c r="Q237" s="20" t="n">
        <v>-12.883</v>
      </c>
      <c r="R237" s="20" t="n">
        <v>149.394</v>
      </c>
      <c r="S237" s="20" t="n">
        <v>-58.226</v>
      </c>
      <c r="T237" s="20" t="n">
        <v>-34.989</v>
      </c>
      <c r="U237" s="20" t="n">
        <v>108.318</v>
      </c>
      <c r="V237" s="20" t="n">
        <v>-36.069</v>
      </c>
      <c r="W237" s="20" t="n">
        <v>-92.65900000000001</v>
      </c>
      <c r="X237" s="20" t="n">
        <v>762.39</v>
      </c>
    </row>
    <row r="238">
      <c r="A238" s="18" t="inlineStr">
        <is>
          <t>상여충당금 증감</t>
        </is>
      </c>
      <c r="D238" s="20" t="n">
        <v>5.977</v>
      </c>
      <c r="F238" s="20" t="n">
        <v>18.027</v>
      </c>
      <c r="H238" s="20" t="n">
        <v>59.277</v>
      </c>
      <c r="J238" s="20" t="n">
        <v>-1.437</v>
      </c>
      <c r="L238" s="20" t="n">
        <v>29.751</v>
      </c>
      <c r="N238" s="20" t="n">
        <v>26.753</v>
      </c>
      <c r="O238" s="20" t="n">
        <v>6.234</v>
      </c>
      <c r="P238" s="20" t="n">
        <v>8.587</v>
      </c>
      <c r="Q238" s="20" t="n">
        <v>4.821</v>
      </c>
      <c r="R238" s="20" t="n">
        <v>28.867</v>
      </c>
      <c r="S238" s="20" t="n">
        <v>17.908</v>
      </c>
      <c r="T238" s="20" t="n">
        <v>43.716</v>
      </c>
      <c r="U238" s="20" t="n">
        <v>37.99</v>
      </c>
      <c r="V238" s="20" t="n">
        <v>5.977</v>
      </c>
      <c r="W238" s="20" t="n">
        <v>59.277</v>
      </c>
      <c r="X238" s="20" t="n">
        <v>29.751</v>
      </c>
    </row>
    <row r="239">
      <c r="A239" s="18" t="inlineStr">
        <is>
          <t>임원 퇴직위로 충당금 증감</t>
        </is>
      </c>
      <c r="O239" s="20" t="n">
        <v>-46.75</v>
      </c>
      <c r="P239" s="20" t="n">
        <v>19.559</v>
      </c>
    </row>
    <row r="240">
      <c r="A240" s="18" t="inlineStr">
        <is>
          <t>후생연금기금 해산손실 충당금 증감액(△는 감소)</t>
        </is>
      </c>
      <c r="O240" s="20" t="n">
        <v>-13.681</v>
      </c>
      <c r="P240" s="20" t="n">
        <v>0</v>
      </c>
    </row>
    <row r="241">
      <c r="A241" s="18" t="inlineStr">
        <is>
          <t>퇴직급여부채 증감</t>
        </is>
      </c>
      <c r="D241" s="20" t="n">
        <v>6.144</v>
      </c>
      <c r="F241" s="20" t="n">
        <v>7.203</v>
      </c>
      <c r="H241" s="20" t="n">
        <v>0.5580000000000001</v>
      </c>
      <c r="J241" s="20" t="n">
        <v>2.699</v>
      </c>
      <c r="L241" s="20" t="n">
        <v>11.473</v>
      </c>
      <c r="N241" s="20" t="n">
        <v>2.95</v>
      </c>
      <c r="O241" s="20" t="n">
        <v>5.51</v>
      </c>
      <c r="P241" s="20" t="n">
        <v>8.17</v>
      </c>
      <c r="Q241" s="20" t="n">
        <v>-8.034000000000001</v>
      </c>
      <c r="R241" s="20" t="n">
        <v>5.92</v>
      </c>
      <c r="S241" s="20" t="n">
        <v>19.326</v>
      </c>
      <c r="T241" s="20" t="n">
        <v>16.613</v>
      </c>
      <c r="U241" s="20" t="n">
        <v>6.43</v>
      </c>
      <c r="V241" s="20" t="n">
        <v>6.144</v>
      </c>
      <c r="W241" s="20" t="n">
        <v>0.5580000000000001</v>
      </c>
      <c r="X241" s="20" t="n">
        <v>11.473</v>
      </c>
    </row>
    <row r="242">
      <c r="A242" s="18" t="inlineStr">
        <is>
          <t>기타</t>
        </is>
      </c>
      <c r="D242" s="20" t="n">
        <v>1106.917</v>
      </c>
      <c r="F242" s="20" t="n">
        <v>38.216</v>
      </c>
      <c r="H242" s="20" t="n">
        <v>140.568</v>
      </c>
      <c r="J242" s="20" t="n">
        <v>-710.207</v>
      </c>
      <c r="L242" s="20" t="n">
        <v>-452.123</v>
      </c>
      <c r="N242" s="20" t="n">
        <v>-389.407</v>
      </c>
      <c r="O242" s="20" t="n">
        <v>73.042</v>
      </c>
      <c r="P242" s="20" t="n">
        <v>73.075</v>
      </c>
      <c r="Q242" s="20" t="n">
        <v>123.511</v>
      </c>
      <c r="R242" s="20" t="n">
        <v>-224.556</v>
      </c>
      <c r="S242" s="20" t="n">
        <v>-183.518</v>
      </c>
      <c r="T242" s="20" t="n">
        <v>-48.443</v>
      </c>
      <c r="U242" s="20" t="n">
        <v>-517.022</v>
      </c>
      <c r="V242" s="20" t="n">
        <v>1106.917</v>
      </c>
      <c r="W242" s="20" t="n">
        <v>140.568</v>
      </c>
      <c r="X242" s="20" t="n">
        <v>-452.123</v>
      </c>
    </row>
    <row r="243">
      <c r="A243" s="18" t="inlineStr">
        <is>
          <t>소계</t>
        </is>
      </c>
      <c r="D243" s="20" t="n">
        <v>3918.679</v>
      </c>
      <c r="F243" s="20" t="n">
        <v>1553.806</v>
      </c>
      <c r="H243" s="20" t="n">
        <v>3331.557</v>
      </c>
      <c r="J243" s="20" t="n">
        <v>1644.383</v>
      </c>
      <c r="L243" s="20" t="n">
        <v>6316.778</v>
      </c>
      <c r="N243" s="20" t="n">
        <v>1495.324</v>
      </c>
      <c r="O243" s="20" t="n">
        <v>1024.995</v>
      </c>
      <c r="P243" s="20" t="n">
        <v>1117.936</v>
      </c>
      <c r="Q243" s="20" t="n">
        <v>1295.875</v>
      </c>
      <c r="R243" s="20" t="n">
        <v>1468.513</v>
      </c>
      <c r="S243" s="20" t="n">
        <v>917.711</v>
      </c>
      <c r="T243" s="20" t="n">
        <v>1902.638</v>
      </c>
      <c r="U243" s="20" t="n">
        <v>1367.542</v>
      </c>
      <c r="V243" s="20" t="n">
        <v>3918.679</v>
      </c>
      <c r="W243" s="20" t="n">
        <v>3331.557</v>
      </c>
      <c r="X243" s="20" t="n">
        <v>6316.778</v>
      </c>
    </row>
    <row r="244">
      <c r="A244" s="18" t="inlineStr">
        <is>
          <t>이자·배당금 수취</t>
        </is>
      </c>
      <c r="D244" s="20" t="n">
        <v>24.88</v>
      </c>
      <c r="F244" s="20" t="n">
        <v>20.784</v>
      </c>
      <c r="H244" s="20" t="n">
        <v>27.822</v>
      </c>
      <c r="J244" s="20" t="n">
        <v>28.558</v>
      </c>
      <c r="L244" s="20" t="n">
        <v>37.035</v>
      </c>
      <c r="N244" s="20" t="n">
        <v>32.042</v>
      </c>
      <c r="O244" s="20" t="n">
        <v>4.764</v>
      </c>
      <c r="P244" s="20" t="n">
        <v>5.458</v>
      </c>
      <c r="Q244" s="20" t="n">
        <v>5.906</v>
      </c>
      <c r="R244" s="20" t="n">
        <v>9.712</v>
      </c>
      <c r="S244" s="20" t="n">
        <v>7.149</v>
      </c>
      <c r="T244" s="20" t="n">
        <v>8.09</v>
      </c>
      <c r="U244" s="20" t="n">
        <v>16.3</v>
      </c>
      <c r="V244" s="20" t="n">
        <v>24.88</v>
      </c>
      <c r="W244" s="20" t="n">
        <v>27.822</v>
      </c>
      <c r="X244" s="20" t="n">
        <v>37.035</v>
      </c>
    </row>
    <row r="245">
      <c r="A245" s="18" t="inlineStr">
        <is>
          <t>이자 지급</t>
        </is>
      </c>
      <c r="D245" s="20" t="n">
        <v>-14.014</v>
      </c>
      <c r="F245" s="20" t="n">
        <v>-13.599</v>
      </c>
      <c r="H245" s="20" t="n">
        <v>-36.092</v>
      </c>
      <c r="J245" s="20" t="n">
        <v>-31.619</v>
      </c>
      <c r="L245" s="20" t="n">
        <v>-70.53700000000001</v>
      </c>
      <c r="N245" s="20" t="n">
        <v>-48.47</v>
      </c>
      <c r="O245" s="20" t="n">
        <v>-11.94</v>
      </c>
      <c r="P245" s="20" t="n">
        <v>-13.485</v>
      </c>
      <c r="Q245" s="20" t="n">
        <v>-12.297</v>
      </c>
      <c r="R245" s="20" t="n">
        <v>-10.778</v>
      </c>
      <c r="S245" s="20" t="n">
        <v>-9.352</v>
      </c>
      <c r="T245" s="20" t="n">
        <v>-8.971</v>
      </c>
      <c r="U245" s="20" t="n">
        <v>-11.388</v>
      </c>
      <c r="V245" s="20" t="n">
        <v>-14.014</v>
      </c>
      <c r="W245" s="20" t="n">
        <v>-36.092</v>
      </c>
      <c r="X245" s="20" t="n">
        <v>-70.53700000000001</v>
      </c>
    </row>
    <row r="246">
      <c r="A246" s="18" t="inlineStr">
        <is>
          <t>법인세 납부</t>
        </is>
      </c>
      <c r="D246" s="20" t="n">
        <v>-941.42</v>
      </c>
      <c r="F246" s="20" t="n">
        <v>-500.243</v>
      </c>
      <c r="H246" s="20" t="n">
        <v>-991.655</v>
      </c>
      <c r="J246" s="20" t="n">
        <v>-720.713</v>
      </c>
      <c r="L246" s="20" t="n">
        <v>-1315.969</v>
      </c>
      <c r="N246" s="20" t="n">
        <v>-1020.308</v>
      </c>
      <c r="O246" s="20" t="n">
        <v>-293.241</v>
      </c>
      <c r="P246" s="20" t="n">
        <v>-251.924</v>
      </c>
      <c r="Q246" s="20" t="n">
        <v>-377.674</v>
      </c>
      <c r="R246" s="20" t="n">
        <v>-171.087</v>
      </c>
      <c r="S246" s="20" t="n">
        <v>-557.7910000000001</v>
      </c>
      <c r="T246" s="20" t="n">
        <v>-473.861</v>
      </c>
      <c r="U246" s="20" t="n">
        <v>-742.53</v>
      </c>
      <c r="V246" s="20" t="n">
        <v>-941.42</v>
      </c>
      <c r="W246" s="20" t="n">
        <v>-991.655</v>
      </c>
      <c r="X246" s="20" t="n">
        <v>-1315.969</v>
      </c>
    </row>
    <row r="247">
      <c r="A247" s="18" t="inlineStr">
        <is>
          <t>법인세 환급</t>
        </is>
      </c>
      <c r="D247" s="20" t="n">
        <v>23.212</v>
      </c>
      <c r="F247" s="20" t="n">
        <v>2.79</v>
      </c>
      <c r="H247" s="20" t="n">
        <v>2.79</v>
      </c>
      <c r="J247" s="20" t="n">
        <v>1.312</v>
      </c>
      <c r="L247" s="20" t="n">
        <v>1.312</v>
      </c>
      <c r="N247" s="20" t="n">
        <v>159.927</v>
      </c>
      <c r="P247" s="20" t="n">
        <v>0</v>
      </c>
      <c r="Q247" s="20" t="n">
        <v>9.552</v>
      </c>
      <c r="R247" s="20" t="n">
        <v>17.076</v>
      </c>
      <c r="S247" s="20" t="n">
        <v>0</v>
      </c>
      <c r="T247" s="20" t="n">
        <v>1.41</v>
      </c>
      <c r="U247" s="20" t="n">
        <v>0.461</v>
      </c>
      <c r="V247" s="20" t="n">
        <v>23.212</v>
      </c>
      <c r="W247" s="20" t="n">
        <v>2.79</v>
      </c>
      <c r="X247" s="20" t="n">
        <v>1.312</v>
      </c>
    </row>
    <row r="248">
      <c r="A248" s="18" t="inlineStr">
        <is>
          <t>재해손실 지급</t>
        </is>
      </c>
      <c r="P248" s="20" t="n">
        <v>0</v>
      </c>
      <c r="Q248" s="20" t="n">
        <v>-31.607</v>
      </c>
      <c r="R248" s="20" t="n">
        <v>-27.85</v>
      </c>
      <c r="S248" s="20" t="n">
        <v>0</v>
      </c>
    </row>
    <row r="249">
      <c r="A249" s="18" t="inlineStr">
        <is>
          <t>보험금 수취</t>
        </is>
      </c>
      <c r="P249" s="20" t="n">
        <v>0</v>
      </c>
      <c r="Q249" s="20" t="n">
        <v>65.791</v>
      </c>
      <c r="R249" s="20" t="n">
        <v>9.025</v>
      </c>
      <c r="S249" s="20" t="n">
        <v>0</v>
      </c>
      <c r="T249" s="20" t="n">
        <v>3.163</v>
      </c>
      <c r="U249" s="20" t="n">
        <v>0</v>
      </c>
    </row>
    <row r="250">
      <c r="A250" s="18" t="inlineStr">
        <is>
          <t>보조금 수취</t>
        </is>
      </c>
      <c r="D250" s="20" t="n">
        <v>15.519</v>
      </c>
      <c r="F250" s="20" t="n">
        <v>8.221</v>
      </c>
      <c r="H250" s="20" t="n">
        <v>33.429</v>
      </c>
      <c r="J250" s="20" t="n">
        <v>10.751</v>
      </c>
      <c r="L250" s="20" t="n">
        <v>20.768</v>
      </c>
      <c r="N250" s="20" t="n">
        <v>7.71</v>
      </c>
      <c r="R250" s="20" t="n">
        <v>3.318</v>
      </c>
      <c r="S250" s="20" t="n">
        <v>213.381</v>
      </c>
      <c r="T250" s="20" t="n">
        <v>127.509</v>
      </c>
      <c r="U250" s="20" t="n">
        <v>34.665</v>
      </c>
      <c r="V250" s="20" t="n">
        <v>15.519</v>
      </c>
      <c r="W250" s="20" t="n">
        <v>33.429</v>
      </c>
      <c r="X250" s="20" t="n">
        <v>20.768</v>
      </c>
    </row>
    <row r="251">
      <c r="A251" s="18" t="inlineStr">
        <is>
          <t>사업구조 개혁비용 지급액</t>
        </is>
      </c>
      <c r="R251" s="20" t="n">
        <v>0</v>
      </c>
      <c r="S251" s="20" t="n">
        <v>-62.133</v>
      </c>
      <c r="T251" s="20" t="n">
        <v>-75.59999999999999</v>
      </c>
      <c r="U251" s="20" t="n">
        <v>0</v>
      </c>
    </row>
    <row r="252">
      <c r="A252" s="9" t="inlineStr">
        <is>
          <t>영업활동 현금흐름</t>
        </is>
      </c>
      <c r="D252" s="12" t="n">
        <v>3026.857</v>
      </c>
      <c r="F252" s="12" t="n">
        <v>1071.759</v>
      </c>
      <c r="H252" s="12" t="n">
        <v>2367.852</v>
      </c>
      <c r="J252" s="12" t="n">
        <v>932.673</v>
      </c>
      <c r="L252" s="12" t="n">
        <v>4989.387</v>
      </c>
      <c r="N252" s="12" t="n">
        <v>626.225</v>
      </c>
      <c r="O252" s="12" t="n">
        <v>724.577</v>
      </c>
      <c r="P252" s="12" t="n">
        <v>857.986</v>
      </c>
      <c r="Q252" s="12" t="n">
        <v>955.545</v>
      </c>
      <c r="R252" s="12" t="n">
        <v>1297.929</v>
      </c>
      <c r="S252" s="12" t="n">
        <v>508.965</v>
      </c>
      <c r="T252" s="12" t="n">
        <v>1484.379</v>
      </c>
      <c r="U252" s="12" t="n">
        <v>665.051</v>
      </c>
      <c r="V252" s="12" t="n">
        <v>3026.857</v>
      </c>
      <c r="W252" s="12" t="n">
        <v>2367.852</v>
      </c>
      <c r="X252" s="12" t="n">
        <v>4989.387</v>
      </c>
    </row>
    <row r="253">
      <c r="A253" s="18" t="inlineStr">
        <is>
          <t>정기예금 증감</t>
        </is>
      </c>
      <c r="S253" s="20" t="n">
        <v>0</v>
      </c>
      <c r="T253" s="20" t="n">
        <v>17.272</v>
      </c>
    </row>
    <row r="254">
      <c r="A254" s="18" t="inlineStr">
        <is>
          <t>정기예금 인출</t>
        </is>
      </c>
      <c r="Q254" s="20" t="n">
        <v>50.598</v>
      </c>
      <c r="R254" s="20" t="n">
        <v>74.998</v>
      </c>
      <c r="S254" s="20" t="n">
        <v>0</v>
      </c>
    </row>
    <row r="255">
      <c r="A255" s="18" t="inlineStr">
        <is>
          <t>정기예금 순증감</t>
        </is>
      </c>
      <c r="D255" s="20" t="n">
        <v>0</v>
      </c>
      <c r="F255" s="20" t="n">
        <v>0</v>
      </c>
      <c r="H255" s="20" t="n">
        <v>1.696</v>
      </c>
      <c r="J255" s="20" t="n">
        <v>28.856</v>
      </c>
      <c r="L255" s="20" t="n">
        <v>77.136</v>
      </c>
      <c r="N255" s="20" t="n">
        <v>0</v>
      </c>
      <c r="T255" s="20" t="n">
        <v>17.272</v>
      </c>
      <c r="U255" s="20" t="n">
        <v>64.001</v>
      </c>
      <c r="V255" s="20" t="n">
        <v>0</v>
      </c>
      <c r="W255" s="20" t="n">
        <v>1.696</v>
      </c>
      <c r="X255" s="20" t="n">
        <v>77.136</v>
      </c>
    </row>
    <row r="256">
      <c r="A256" s="18" t="inlineStr">
        <is>
          <t>투자유가증권 취득</t>
        </is>
      </c>
      <c r="D256" s="20" t="n">
        <v>-99.557</v>
      </c>
      <c r="F256" s="20" t="n">
        <v>-7.207</v>
      </c>
      <c r="H256" s="20" t="n">
        <v>-11.316</v>
      </c>
      <c r="J256" s="20" t="n">
        <v>-10.022</v>
      </c>
      <c r="L256" s="20" t="n">
        <v>-14.275</v>
      </c>
      <c r="N256" s="20" t="n">
        <v>-11.496</v>
      </c>
      <c r="O256" s="20" t="n">
        <v>-3.013</v>
      </c>
      <c r="P256" s="20" t="n">
        <v>-8.24</v>
      </c>
      <c r="Q256" s="20" t="n">
        <v>-216.295</v>
      </c>
      <c r="R256" s="20" t="n">
        <v>-2.729</v>
      </c>
      <c r="S256" s="20" t="n">
        <v>-2.377</v>
      </c>
      <c r="T256" s="20" t="n">
        <v>-2.472</v>
      </c>
      <c r="U256" s="20" t="n">
        <v>-111.818</v>
      </c>
      <c r="V256" s="20" t="n">
        <v>-99.557</v>
      </c>
      <c r="W256" s="20" t="n">
        <v>-11.316</v>
      </c>
      <c r="X256" s="20" t="n">
        <v>-14.275</v>
      </c>
    </row>
    <row r="257">
      <c r="A257" s="18" t="inlineStr">
        <is>
          <t>관계회사 주식 취득</t>
        </is>
      </c>
      <c r="O257" s="20" t="n">
        <v>-3</v>
      </c>
      <c r="P257" s="20" t="n">
        <v>0</v>
      </c>
    </row>
    <row r="258">
      <c r="A258" s="18" t="inlineStr">
        <is>
          <t>투자유가증권 매각</t>
        </is>
      </c>
      <c r="D258" s="20" t="n">
        <v>4.62</v>
      </c>
      <c r="O258" s="20" t="n">
        <v>0</v>
      </c>
      <c r="P258" s="20" t="n">
        <v>8</v>
      </c>
      <c r="Q258" s="20" t="n">
        <v>2.701</v>
      </c>
      <c r="R258" s="20" t="n">
        <v>197.299</v>
      </c>
      <c r="S258" s="20" t="n">
        <v>0</v>
      </c>
      <c r="T258" s="20" t="n">
        <v>5.05</v>
      </c>
      <c r="U258" s="20" t="n">
        <v>0</v>
      </c>
      <c r="V258" s="20" t="n">
        <v>4.62</v>
      </c>
    </row>
    <row r="259">
      <c r="A259" s="18" t="inlineStr">
        <is>
          <t>보증금 납입</t>
        </is>
      </c>
      <c r="D259" s="20" t="n">
        <v>-433.536</v>
      </c>
      <c r="F259" s="20" t="n">
        <v>-275.402</v>
      </c>
      <c r="H259" s="20" t="n">
        <v>-477.246</v>
      </c>
      <c r="J259" s="20" t="n">
        <v>-7.157</v>
      </c>
      <c r="L259" s="20" t="n">
        <v>-31.797</v>
      </c>
      <c r="N259" s="20" t="n">
        <v>-123.652</v>
      </c>
      <c r="Q259" s="20" t="n">
        <v>-98.489</v>
      </c>
      <c r="R259" s="20" t="n">
        <v>-236.979</v>
      </c>
      <c r="S259" s="20" t="n">
        <v>-264.118</v>
      </c>
      <c r="T259" s="20" t="n">
        <v>-126.544</v>
      </c>
      <c r="U259" s="20" t="n">
        <v>-586.275</v>
      </c>
      <c r="V259" s="20" t="n">
        <v>-433.536</v>
      </c>
      <c r="W259" s="20" t="n">
        <v>-477.246</v>
      </c>
      <c r="X259" s="20" t="n">
        <v>-31.797</v>
      </c>
    </row>
    <row r="260">
      <c r="A260" s="18" t="inlineStr">
        <is>
          <t>보증금 회수</t>
        </is>
      </c>
      <c r="D260" s="20" t="n">
        <v>91.036</v>
      </c>
      <c r="F260" s="20" t="n">
        <v>2.531</v>
      </c>
      <c r="H260" s="20" t="n">
        <v>127.417</v>
      </c>
      <c r="J260" s="20" t="n">
        <v>2.69</v>
      </c>
      <c r="L260" s="20" t="n">
        <v>62.47</v>
      </c>
      <c r="N260" s="20" t="n">
        <v>0.957</v>
      </c>
      <c r="Q260" s="20" t="n">
        <v>24.667</v>
      </c>
      <c r="R260" s="20" t="n">
        <v>11.425</v>
      </c>
      <c r="S260" s="20" t="n">
        <v>20.284</v>
      </c>
      <c r="T260" s="20" t="n">
        <v>8.669</v>
      </c>
      <c r="U260" s="20" t="n">
        <v>36.555</v>
      </c>
      <c r="V260" s="20" t="n">
        <v>91.036</v>
      </c>
      <c r="W260" s="20" t="n">
        <v>127.417</v>
      </c>
      <c r="X260" s="20" t="n">
        <v>62.47</v>
      </c>
    </row>
    <row r="261">
      <c r="A261" s="18" t="inlineStr">
        <is>
          <t>연결범위 변경 자회사 주식 취득(수입)</t>
        </is>
      </c>
      <c r="Q261" s="20" t="n">
        <v>0</v>
      </c>
      <c r="R261" s="20" t="n">
        <v>64.128</v>
      </c>
      <c r="S261" s="20" t="n">
        <v>0</v>
      </c>
    </row>
    <row r="262">
      <c r="A262" s="18" t="inlineStr">
        <is>
          <t>유형자산 취득(설비투자)</t>
        </is>
      </c>
      <c r="D262" s="20" t="n">
        <v>-2863.391</v>
      </c>
      <c r="F262" s="20" t="n">
        <v>-2315.508</v>
      </c>
      <c r="H262" s="20" t="n">
        <v>-3565.022</v>
      </c>
      <c r="J262" s="20" t="n">
        <v>-303.626</v>
      </c>
      <c r="L262" s="20" t="n">
        <v>-608.081</v>
      </c>
      <c r="N262" s="20" t="n">
        <v>-3103.301</v>
      </c>
      <c r="O262" s="20" t="n">
        <v>-370.879</v>
      </c>
      <c r="P262" s="20" t="n">
        <v>-193.348</v>
      </c>
      <c r="Q262" s="20" t="n">
        <v>-392.461</v>
      </c>
      <c r="R262" s="20" t="n">
        <v>-329.788</v>
      </c>
      <c r="S262" s="20" t="n">
        <v>-241.851</v>
      </c>
      <c r="T262" s="20" t="n">
        <v>-609.446</v>
      </c>
      <c r="U262" s="20" t="n">
        <v>-336.804</v>
      </c>
      <c r="V262" s="20" t="n">
        <v>-2863.391</v>
      </c>
      <c r="W262" s="20" t="n">
        <v>-3565.022</v>
      </c>
      <c r="X262" s="20" t="n">
        <v>-608.081</v>
      </c>
    </row>
    <row r="263">
      <c r="A263" s="18" t="inlineStr">
        <is>
          <t>유형자산 매각</t>
        </is>
      </c>
      <c r="D263" s="20" t="n">
        <v>12.847</v>
      </c>
      <c r="F263" s="20" t="n">
        <v>7.146</v>
      </c>
      <c r="H263" s="20" t="n">
        <v>14.662</v>
      </c>
      <c r="J263" s="20" t="n">
        <v>9.368</v>
      </c>
      <c r="L263" s="20" t="n">
        <v>13.704</v>
      </c>
      <c r="N263" s="20" t="n">
        <v>23.203</v>
      </c>
      <c r="O263" s="20" t="n">
        <v>260.41</v>
      </c>
      <c r="P263" s="20" t="n">
        <v>0</v>
      </c>
      <c r="Q263" s="20" t="n">
        <v>93.821</v>
      </c>
      <c r="R263" s="20" t="n">
        <v>7.565</v>
      </c>
      <c r="S263" s="20" t="n">
        <v>40.734</v>
      </c>
      <c r="T263" s="20" t="n">
        <v>12.341</v>
      </c>
      <c r="U263" s="20" t="n">
        <v>7.167</v>
      </c>
      <c r="V263" s="20" t="n">
        <v>12.847</v>
      </c>
      <c r="W263" s="20" t="n">
        <v>14.662</v>
      </c>
      <c r="X263" s="20" t="n">
        <v>13.704</v>
      </c>
    </row>
    <row r="264">
      <c r="A264" s="18" t="inlineStr">
        <is>
          <t>무형자산 취득</t>
        </is>
      </c>
      <c r="D264" s="20" t="n">
        <v>-11.151</v>
      </c>
      <c r="F264" s="20" t="n">
        <v>-20.136</v>
      </c>
      <c r="H264" s="20" t="n">
        <v>-21.866</v>
      </c>
      <c r="J264" s="20" t="n">
        <v>-10.878</v>
      </c>
      <c r="L264" s="20" t="n">
        <v>-41.783</v>
      </c>
      <c r="N264" s="20" t="n">
        <v>-14.397</v>
      </c>
      <c r="O264" s="20" t="n">
        <v>-43.698</v>
      </c>
      <c r="P264" s="20" t="n">
        <v>-44.388</v>
      </c>
      <c r="Q264" s="20" t="n">
        <v>-84.449</v>
      </c>
      <c r="R264" s="20" t="n">
        <v>-36.205</v>
      </c>
      <c r="S264" s="20" t="n">
        <v>-73.557</v>
      </c>
      <c r="T264" s="20" t="n">
        <v>-70.00700000000001</v>
      </c>
      <c r="U264" s="20" t="n">
        <v>-84.65600000000001</v>
      </c>
      <c r="V264" s="20" t="n">
        <v>-11.151</v>
      </c>
      <c r="W264" s="20" t="n">
        <v>-21.866</v>
      </c>
      <c r="X264" s="20" t="n">
        <v>-41.783</v>
      </c>
    </row>
    <row r="265">
      <c r="A265" s="18" t="inlineStr">
        <is>
          <t>단기대여 지출</t>
        </is>
      </c>
      <c r="O265" s="20" t="n">
        <v>0</v>
      </c>
      <c r="P265" s="20" t="n">
        <v>-95</v>
      </c>
      <c r="Q265" s="20" t="n">
        <v>0</v>
      </c>
    </row>
    <row r="266">
      <c r="A266" s="18" t="inlineStr">
        <is>
          <t>단기대여금 회수 수입</t>
        </is>
      </c>
      <c r="O266" s="20" t="n">
        <v>0</v>
      </c>
      <c r="P266" s="20" t="n">
        <v>95</v>
      </c>
      <c r="Q266" s="20" t="n">
        <v>0</v>
      </c>
    </row>
    <row r="267">
      <c r="A267" s="18" t="inlineStr">
        <is>
          <t>자산복구부채 이행 지출</t>
        </is>
      </c>
      <c r="F267" s="20" t="n">
        <v>0</v>
      </c>
      <c r="H267" s="20" t="n">
        <v>-42.26</v>
      </c>
      <c r="J267" s="20" t="n">
        <v>-52.666</v>
      </c>
      <c r="L267" s="20" t="n">
        <v>-52.666</v>
      </c>
      <c r="N267" s="20" t="n">
        <v>0</v>
      </c>
      <c r="W267" s="20" t="n">
        <v>-42.26</v>
      </c>
      <c r="X267" s="20" t="n">
        <v>-52.666</v>
      </c>
    </row>
    <row r="268">
      <c r="A268" s="18" t="inlineStr">
        <is>
          <t>연결범위 변경 자회사 주식 취득</t>
        </is>
      </c>
      <c r="D268" s="20" t="n">
        <v>0</v>
      </c>
      <c r="F268" s="20" t="n">
        <v>-638.54</v>
      </c>
      <c r="H268" s="20" t="n">
        <v>-638.54</v>
      </c>
      <c r="J268" s="20" t="n">
        <v>-135.191</v>
      </c>
      <c r="L268" s="20" t="n">
        <v>-135.191</v>
      </c>
      <c r="N268" s="20" t="n">
        <v>0</v>
      </c>
      <c r="O268" s="20" t="n">
        <v>0</v>
      </c>
      <c r="P268" s="20" t="n">
        <v>-343.413</v>
      </c>
      <c r="Q268" s="20" t="n">
        <v>0</v>
      </c>
      <c r="S268" s="20" t="n">
        <v>0</v>
      </c>
      <c r="T268" s="20" t="n">
        <v>-287.218</v>
      </c>
      <c r="U268" s="20" t="n">
        <v>-321.213</v>
      </c>
      <c r="V268" s="20" t="n">
        <v>0</v>
      </c>
      <c r="W268" s="20" t="n">
        <v>-638.54</v>
      </c>
      <c r="X268" s="20" t="n">
        <v>-135.191</v>
      </c>
    </row>
    <row r="269">
      <c r="A269" s="18" t="inlineStr">
        <is>
          <t>기타</t>
        </is>
      </c>
      <c r="D269" s="20" t="n">
        <v>28.423</v>
      </c>
      <c r="F269" s="20" t="n">
        <v>-1.458</v>
      </c>
      <c r="H269" s="20" t="n">
        <v>79.301</v>
      </c>
      <c r="J269" s="20" t="n">
        <v>64.586</v>
      </c>
      <c r="L269" s="20" t="n">
        <v>61.584</v>
      </c>
      <c r="N269" s="20" t="n">
        <v>144.098</v>
      </c>
      <c r="O269" s="20" t="n">
        <v>-27.092</v>
      </c>
      <c r="P269" s="20" t="n">
        <v>-50.384</v>
      </c>
      <c r="Q269" s="20" t="n">
        <v>-13.618</v>
      </c>
      <c r="R269" s="20" t="n">
        <v>-9.746</v>
      </c>
      <c r="S269" s="20" t="n">
        <v>-13.53</v>
      </c>
      <c r="T269" s="20" t="n">
        <v>50.888</v>
      </c>
      <c r="U269" s="20" t="n">
        <v>-2.097</v>
      </c>
      <c r="V269" s="20" t="n">
        <v>28.423</v>
      </c>
      <c r="W269" s="20" t="n">
        <v>79.301</v>
      </c>
      <c r="X269" s="20" t="n">
        <v>61.584</v>
      </c>
    </row>
    <row r="270">
      <c r="A270" s="9" t="inlineStr">
        <is>
          <t>투자활동 현금흐름</t>
        </is>
      </c>
      <c r="D270" s="12" t="n">
        <v>-3270.71</v>
      </c>
      <c r="F270" s="12" t="n">
        <v>-3248.575</v>
      </c>
      <c r="H270" s="12" t="n">
        <v>-4533.174</v>
      </c>
      <c r="J270" s="12" t="n">
        <v>-414.04</v>
      </c>
      <c r="L270" s="12" t="n">
        <v>-668.899</v>
      </c>
      <c r="N270" s="12" t="n">
        <v>-3084.588</v>
      </c>
      <c r="O270" s="12" t="n">
        <v>-187.272</v>
      </c>
      <c r="P270" s="12" t="n">
        <v>-631.776</v>
      </c>
      <c r="Q270" s="12" t="n">
        <v>-633.524</v>
      </c>
      <c r="R270" s="12" t="n">
        <v>-260.032</v>
      </c>
      <c r="S270" s="12" t="n">
        <v>-534.415</v>
      </c>
      <c r="T270" s="12" t="n">
        <v>-1001.467</v>
      </c>
      <c r="U270" s="12" t="n">
        <v>-1335.14</v>
      </c>
      <c r="V270" s="12" t="n">
        <v>-3270.71</v>
      </c>
      <c r="W270" s="12" t="n">
        <v>-4533.174</v>
      </c>
      <c r="X270" s="12" t="n">
        <v>-668.899</v>
      </c>
    </row>
    <row r="271">
      <c r="A271" s="18" t="inlineStr">
        <is>
          <t>단기차입금 순증감</t>
        </is>
      </c>
      <c r="D271" s="20" t="n">
        <v>400</v>
      </c>
      <c r="F271" s="20" t="n">
        <v>600</v>
      </c>
      <c r="H271" s="20" t="n">
        <v>2285</v>
      </c>
      <c r="J271" s="20" t="n">
        <v>800</v>
      </c>
      <c r="L271" s="20" t="n">
        <v>800</v>
      </c>
      <c r="N271" s="20" t="n">
        <v>800</v>
      </c>
      <c r="O271" s="20" t="n">
        <v>-160</v>
      </c>
      <c r="P271" s="20" t="n">
        <v>-200</v>
      </c>
      <c r="Q271" s="20" t="n">
        <v>130</v>
      </c>
      <c r="R271" s="20" t="n">
        <v>-150</v>
      </c>
      <c r="S271" s="20" t="n">
        <v>180</v>
      </c>
      <c r="T271" s="20" t="n">
        <v>150</v>
      </c>
      <c r="U271" s="20" t="n">
        <v>600</v>
      </c>
      <c r="V271" s="20" t="n">
        <v>400</v>
      </c>
      <c r="W271" s="20" t="n">
        <v>2285</v>
      </c>
      <c r="X271" s="20" t="n">
        <v>800</v>
      </c>
    </row>
    <row r="272">
      <c r="A272" s="18" t="inlineStr">
        <is>
          <t>장기차입</t>
        </is>
      </c>
      <c r="D272" s="20" t="n">
        <v>1600</v>
      </c>
      <c r="F272" s="20" t="n">
        <v>1600</v>
      </c>
      <c r="H272" s="20" t="n">
        <v>2120</v>
      </c>
      <c r="J272" s="20" t="n">
        <v>0</v>
      </c>
      <c r="L272" s="20" t="n">
        <v>1000</v>
      </c>
      <c r="O272" s="20" t="n">
        <v>458.837</v>
      </c>
      <c r="P272" s="20" t="n">
        <v>1300</v>
      </c>
      <c r="Q272" s="20" t="n">
        <v>200</v>
      </c>
      <c r="R272" s="20" t="n">
        <v>400</v>
      </c>
      <c r="S272" s="20" t="n">
        <v>566</v>
      </c>
      <c r="T272" s="20" t="n">
        <v>600</v>
      </c>
      <c r="U272" s="20" t="n">
        <v>1000</v>
      </c>
      <c r="V272" s="20" t="n">
        <v>1600</v>
      </c>
      <c r="W272" s="20" t="n">
        <v>2120</v>
      </c>
      <c r="X272" s="20" t="n">
        <v>1000</v>
      </c>
    </row>
    <row r="273">
      <c r="A273" s="18" t="inlineStr">
        <is>
          <t>장기차입금 상환</t>
        </is>
      </c>
      <c r="D273" s="20" t="n">
        <v>-552.948</v>
      </c>
      <c r="F273" s="20" t="n">
        <v>-346.967</v>
      </c>
      <c r="H273" s="20" t="n">
        <v>-773.048</v>
      </c>
      <c r="J273" s="20" t="n">
        <v>-451.07</v>
      </c>
      <c r="L273" s="20" t="n">
        <v>-923.073</v>
      </c>
      <c r="N273" s="20" t="n">
        <v>-489.564</v>
      </c>
      <c r="O273" s="20" t="n">
        <v>-516.79</v>
      </c>
      <c r="P273" s="20" t="n">
        <v>-626.274</v>
      </c>
      <c r="Q273" s="20" t="n">
        <v>-559.271</v>
      </c>
      <c r="R273" s="20" t="n">
        <v>-430.814</v>
      </c>
      <c r="S273" s="20" t="n">
        <v>-589.787</v>
      </c>
      <c r="T273" s="20" t="n">
        <v>-603.758</v>
      </c>
      <c r="U273" s="20" t="n">
        <v>-464.044</v>
      </c>
      <c r="V273" s="20" t="n">
        <v>-552.948</v>
      </c>
      <c r="W273" s="20" t="n">
        <v>-773.048</v>
      </c>
      <c r="X273" s="20" t="n">
        <v>-923.073</v>
      </c>
    </row>
    <row r="274">
      <c r="A274" s="18" t="inlineStr">
        <is>
          <t>자기주식 취득</t>
        </is>
      </c>
      <c r="H274" s="20" t="n">
        <v>-246.2</v>
      </c>
      <c r="L274" s="20" t="n">
        <v>0</v>
      </c>
      <c r="P274" s="20" t="n">
        <v>0</v>
      </c>
      <c r="Q274" s="20" t="n">
        <v>-166.956</v>
      </c>
      <c r="R274" s="20" t="n">
        <v>0</v>
      </c>
      <c r="W274" s="20" t="n">
        <v>-246.2</v>
      </c>
      <c r="X274" s="20" t="n">
        <v>0</v>
      </c>
    </row>
    <row r="275">
      <c r="A275" s="18" t="inlineStr">
        <is>
          <t>리스부채 상환</t>
        </is>
      </c>
      <c r="D275" s="20" t="n">
        <v>-235.358</v>
      </c>
      <c r="F275" s="20" t="n">
        <v>-80.57899999999999</v>
      </c>
      <c r="H275" s="20" t="n">
        <v>-161.542</v>
      </c>
      <c r="J275" s="20" t="n">
        <v>-80.797</v>
      </c>
      <c r="L275" s="20" t="n">
        <v>-158.559</v>
      </c>
      <c r="N275" s="20" t="n">
        <v>-75.736</v>
      </c>
      <c r="O275" s="20" t="n">
        <v>-2.24</v>
      </c>
      <c r="P275" s="20" t="n">
        <v>-14.002</v>
      </c>
      <c r="Q275" s="20" t="n">
        <v>-56.459</v>
      </c>
      <c r="R275" s="20" t="n">
        <v>-60.456</v>
      </c>
      <c r="S275" s="20" t="n">
        <v>-24.929</v>
      </c>
      <c r="T275" s="20" t="n">
        <v>-20.651</v>
      </c>
      <c r="U275" s="20" t="n">
        <v>-82.38</v>
      </c>
      <c r="V275" s="20" t="n">
        <v>-235.358</v>
      </c>
      <c r="W275" s="20" t="n">
        <v>-161.542</v>
      </c>
      <c r="X275" s="20" t="n">
        <v>-158.559</v>
      </c>
    </row>
    <row r="276">
      <c r="A276" s="18" t="inlineStr">
        <is>
          <t>주식 발행</t>
        </is>
      </c>
      <c r="O276" s="20" t="n">
        <v>0</v>
      </c>
    </row>
    <row r="277">
      <c r="A277" s="18" t="inlineStr">
        <is>
          <t>배당금 지급</t>
        </is>
      </c>
      <c r="D277" s="20" t="n">
        <v>-393.125</v>
      </c>
      <c r="F277" s="20" t="n">
        <v>-473.714</v>
      </c>
      <c r="H277" s="20" t="n">
        <v>-473.75</v>
      </c>
      <c r="J277" s="20" t="n">
        <v>-546.319</v>
      </c>
      <c r="L277" s="20" t="n">
        <v>-546.331</v>
      </c>
      <c r="N277" s="20" t="n">
        <v>-782.177</v>
      </c>
      <c r="O277" s="20" t="n">
        <v>-111.231</v>
      </c>
      <c r="P277" s="20" t="n">
        <v>-111.081</v>
      </c>
      <c r="Q277" s="20" t="n">
        <v>-156.897</v>
      </c>
      <c r="R277" s="20" t="n">
        <v>-179.243</v>
      </c>
      <c r="S277" s="20" t="n">
        <v>-232.456</v>
      </c>
      <c r="T277" s="20" t="n">
        <v>-233.248</v>
      </c>
      <c r="U277" s="20" t="n">
        <v>-338.959</v>
      </c>
      <c r="V277" s="20" t="n">
        <v>-393.125</v>
      </c>
      <c r="W277" s="20" t="n">
        <v>-473.75</v>
      </c>
      <c r="X277" s="20" t="n">
        <v>-546.331</v>
      </c>
    </row>
    <row r="278">
      <c r="A278" s="18" t="inlineStr">
        <is>
          <t>기타</t>
        </is>
      </c>
      <c r="S278" s="20" t="n">
        <v>0</v>
      </c>
      <c r="T278" s="20" t="n">
        <v>-0.062</v>
      </c>
      <c r="U278" s="20" t="n">
        <v>0</v>
      </c>
    </row>
    <row r="279">
      <c r="A279" s="9" t="inlineStr">
        <is>
          <t>재무활동 현금흐름</t>
        </is>
      </c>
      <c r="D279" s="12" t="n">
        <v>818.567</v>
      </c>
      <c r="F279" s="12" t="n">
        <v>1298.739</v>
      </c>
      <c r="H279" s="12" t="n">
        <v>2750.458</v>
      </c>
      <c r="J279" s="12" t="n">
        <v>-278.186</v>
      </c>
      <c r="L279" s="12" t="n">
        <v>172.036</v>
      </c>
      <c r="N279" s="12" t="n">
        <v>-547.478</v>
      </c>
      <c r="O279" s="12" t="n">
        <v>-331.425</v>
      </c>
      <c r="P279" s="12" t="n">
        <v>348.641</v>
      </c>
      <c r="Q279" s="12" t="n">
        <v>-609.5839999999999</v>
      </c>
      <c r="R279" s="12" t="n">
        <v>-420.513</v>
      </c>
      <c r="S279" s="12" t="n">
        <v>-101.172</v>
      </c>
      <c r="T279" s="12" t="n">
        <v>-107.72</v>
      </c>
      <c r="U279" s="12" t="n">
        <v>714.616</v>
      </c>
      <c r="V279" s="12" t="n">
        <v>818.567</v>
      </c>
      <c r="W279" s="12" t="n">
        <v>2750.458</v>
      </c>
      <c r="X279" s="12" t="n">
        <v>172.036</v>
      </c>
    </row>
    <row r="280">
      <c r="A280" s="18" t="inlineStr">
        <is>
          <t>현금성자산 증감</t>
        </is>
      </c>
      <c r="D280" s="20" t="n">
        <v>574.7140000000001</v>
      </c>
      <c r="F280" s="20" t="n">
        <v>-878.075</v>
      </c>
      <c r="H280" s="20" t="n">
        <v>585.136</v>
      </c>
      <c r="J280" s="20" t="n">
        <v>240.446</v>
      </c>
      <c r="L280" s="20" t="n">
        <v>4492.524</v>
      </c>
      <c r="N280" s="20" t="n">
        <v>-3005.841</v>
      </c>
      <c r="O280" s="20" t="n">
        <v>205.879</v>
      </c>
      <c r="P280" s="20" t="n">
        <v>574.851</v>
      </c>
      <c r="Q280" s="20" t="n">
        <v>-287.564</v>
      </c>
      <c r="R280" s="20" t="n">
        <v>617.3819999999999</v>
      </c>
      <c r="S280" s="20" t="n">
        <v>-126.622</v>
      </c>
      <c r="T280" s="20" t="n">
        <v>375.191</v>
      </c>
      <c r="U280" s="20" t="n">
        <v>44.526</v>
      </c>
      <c r="V280" s="20" t="n">
        <v>574.7140000000001</v>
      </c>
      <c r="W280" s="20" t="n">
        <v>585.136</v>
      </c>
      <c r="X280" s="20" t="n">
        <v>4492.524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히가시홀딩스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14072.764</v>
      </c>
      <c r="D5" s="12" t="n">
        <v>16385.392</v>
      </c>
      <c r="E5" s="12" t="n">
        <v>18901.1</v>
      </c>
      <c r="F5" s="12" t="n">
        <v>15806.33</v>
      </c>
      <c r="G5" s="12" t="n">
        <v>14833.787</v>
      </c>
      <c r="H5" s="11" t="n">
        <v>9147.353999999999</v>
      </c>
      <c r="I5" s="12" t="n">
        <v>10927.89</v>
      </c>
      <c r="J5" s="12" t="n">
        <v>11737.584</v>
      </c>
      <c r="K5" s="12" t="n">
        <v>14017.562</v>
      </c>
      <c r="L5" s="12" t="n">
        <v>18901.1</v>
      </c>
    </row>
    <row r="6">
      <c r="A6" s="18" t="inlineStr">
        <is>
          <t>현금및현금성자산</t>
        </is>
      </c>
      <c r="B6" s="10" t="n"/>
      <c r="C6" s="19" t="n">
        <v>4936.321</v>
      </c>
      <c r="D6" s="20" t="n">
        <v>5677.554</v>
      </c>
      <c r="E6" s="20" t="n">
        <v>9140.119000000001</v>
      </c>
      <c r="F6" s="20" t="n">
        <v>7218.422</v>
      </c>
      <c r="G6" s="20" t="n">
        <v>6134.278</v>
      </c>
      <c r="H6" s="19" t="n">
        <v>3507.219</v>
      </c>
      <c r="I6" s="20" t="n">
        <v>3487.744</v>
      </c>
      <c r="J6" s="20" t="n">
        <v>4062.459</v>
      </c>
      <c r="K6" s="20" t="n">
        <v>4679.456</v>
      </c>
      <c r="L6" s="20" t="n">
        <v>9140.119000000001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411.473</v>
      </c>
      <c r="D9" s="20" t="n">
        <v>348.717</v>
      </c>
      <c r="E9" s="20" t="n">
        <v>393.032</v>
      </c>
      <c r="F9" s="20" t="n">
        <v>377.589</v>
      </c>
      <c r="G9" s="20" t="n">
        <v>395.518</v>
      </c>
      <c r="H9" s="19" t="n">
        <v>241.298</v>
      </c>
      <c r="I9" s="20" t="n">
        <v>447.781</v>
      </c>
      <c r="J9" s="20" t="n">
        <v>400.462</v>
      </c>
      <c r="K9" s="20" t="n">
        <v>371.339</v>
      </c>
      <c r="L9" s="20" t="n">
        <v>393.032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17709.541</v>
      </c>
      <c r="D11" s="12" t="n">
        <v>17555.98</v>
      </c>
      <c r="E11" s="12" t="n">
        <v>17715.812</v>
      </c>
      <c r="F11" s="12" t="n">
        <v>20712.144</v>
      </c>
      <c r="G11" s="12" t="n">
        <v>20499.543</v>
      </c>
      <c r="H11" s="11" t="n">
        <v>8993.066999999999</v>
      </c>
      <c r="I11" s="12" t="n">
        <v>10298.602</v>
      </c>
      <c r="J11" s="12" t="n">
        <v>13797.728</v>
      </c>
      <c r="K11" s="12" t="n">
        <v>17579.417</v>
      </c>
      <c r="L11" s="12" t="n">
        <v>17715.812</v>
      </c>
    </row>
    <row r="12">
      <c r="A12" s="18" t="inlineStr">
        <is>
          <t>유형자산</t>
        </is>
      </c>
      <c r="B12" s="10" t="n"/>
      <c r="C12" s="19" t="n">
        <v>11401.856</v>
      </c>
      <c r="D12" s="20" t="n">
        <v>11232.295</v>
      </c>
      <c r="E12" s="20" t="n">
        <v>11091.211</v>
      </c>
      <c r="F12" s="20" t="n">
        <v>13799.504</v>
      </c>
      <c r="G12" s="20" t="n">
        <v>13535.431</v>
      </c>
      <c r="H12" s="19" t="n">
        <v>6159.24</v>
      </c>
      <c r="I12" s="20" t="n">
        <v>6113.666</v>
      </c>
      <c r="J12" s="20" t="n">
        <v>9132.194</v>
      </c>
      <c r="K12" s="20" t="n">
        <v>11597.998</v>
      </c>
      <c r="L12" s="20" t="n">
        <v>11091.211</v>
      </c>
    </row>
    <row r="13">
      <c r="A13" s="18" t="inlineStr">
        <is>
          <t>무형자산</t>
        </is>
      </c>
      <c r="B13" s="10" t="n"/>
      <c r="C13" s="19" t="n">
        <v>1180.002</v>
      </c>
      <c r="D13" s="20" t="n">
        <v>1129.332</v>
      </c>
      <c r="E13" s="20" t="n">
        <v>1072.291</v>
      </c>
      <c r="F13" s="20" t="n">
        <v>1021.784</v>
      </c>
      <c r="G13" s="20" t="n">
        <v>1079.895</v>
      </c>
      <c r="H13" s="19" t="n">
        <v>440.254</v>
      </c>
      <c r="I13" s="20" t="n">
        <v>763.995</v>
      </c>
      <c r="J13" s="20" t="n">
        <v>603.47</v>
      </c>
      <c r="K13" s="20" t="n">
        <v>1132.489</v>
      </c>
      <c r="L13" s="20" t="n">
        <v>1072.291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31782.305</v>
      </c>
      <c r="D16" s="12" t="n">
        <v>33941.372</v>
      </c>
      <c r="E16" s="12" t="n">
        <v>36616.912</v>
      </c>
      <c r="F16" s="12" t="n">
        <v>36518.474</v>
      </c>
      <c r="G16" s="12" t="n">
        <v>35333.331</v>
      </c>
      <c r="H16" s="11" t="n">
        <v>18140.421</v>
      </c>
      <c r="I16" s="12" t="n">
        <v>21226.492</v>
      </c>
      <c r="J16" s="12" t="n">
        <v>25535.312</v>
      </c>
      <c r="K16" s="12" t="n">
        <v>31596.98</v>
      </c>
      <c r="L16" s="12" t="n">
        <v>36616.912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11794.123</v>
      </c>
      <c r="D18" s="12" t="n">
        <v>12503.923</v>
      </c>
      <c r="E18" s="12" t="n">
        <v>15595.753</v>
      </c>
      <c r="F18" s="12" t="n">
        <v>15544.681</v>
      </c>
      <c r="G18" s="12" t="n">
        <v>13971.269</v>
      </c>
      <c r="H18" s="11" t="n">
        <v>5980.594</v>
      </c>
      <c r="I18" s="12" t="n">
        <v>7474.904</v>
      </c>
      <c r="J18" s="12" t="n">
        <v>8517.049999999999</v>
      </c>
      <c r="K18" s="12" t="n">
        <v>12320.278</v>
      </c>
      <c r="L18" s="12" t="n">
        <v>15595.753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5130</v>
      </c>
      <c r="D20" s="20" t="n">
        <v>5130</v>
      </c>
      <c r="E20" s="20" t="n">
        <v>5130</v>
      </c>
      <c r="F20" s="20" t="n">
        <v>5130</v>
      </c>
      <c r="G20" s="20" t="n">
        <v>5930</v>
      </c>
      <c r="H20" s="19" t="n">
        <v>1030</v>
      </c>
      <c r="I20" s="20" t="n">
        <v>1630</v>
      </c>
      <c r="J20" s="20" t="n">
        <v>2030</v>
      </c>
      <c r="K20" s="20" t="n">
        <v>4330</v>
      </c>
      <c r="L20" s="20" t="n">
        <v>5130</v>
      </c>
    </row>
    <row r="21">
      <c r="A21" s="18" t="inlineStr">
        <is>
          <t>유동성장기부채</t>
        </is>
      </c>
      <c r="B21" s="10" t="n"/>
      <c r="C21" s="19" t="n">
        <v>805.818</v>
      </c>
      <c r="D21" s="20" t="n">
        <v>979.054</v>
      </c>
      <c r="E21" s="20" t="n">
        <v>1957.472</v>
      </c>
      <c r="F21" s="20" t="n">
        <v>1944.224</v>
      </c>
      <c r="G21" s="20" t="n">
        <v>1930.936</v>
      </c>
      <c r="H21" s="19" t="n">
        <v>464.044</v>
      </c>
      <c r="I21" s="20" t="n">
        <v>370.462</v>
      </c>
      <c r="J21" s="20" t="n">
        <v>499.052</v>
      </c>
      <c r="K21" s="20" t="n">
        <v>886.2910000000001</v>
      </c>
      <c r="L21" s="20" t="n">
        <v>1957.472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5561.715</v>
      </c>
      <c r="D23" s="12" t="n">
        <v>6087.552</v>
      </c>
      <c r="E23" s="12" t="n">
        <v>4907.307</v>
      </c>
      <c r="F23" s="12" t="n">
        <v>4650.701</v>
      </c>
      <c r="G23" s="12" t="n">
        <v>4292.856</v>
      </c>
      <c r="H23" s="11" t="n">
        <v>2296.366</v>
      </c>
      <c r="I23" s="12" t="n">
        <v>2880.604</v>
      </c>
      <c r="J23" s="12" t="n">
        <v>4706.374</v>
      </c>
      <c r="K23" s="12" t="n">
        <v>5766.827</v>
      </c>
      <c r="L23" s="12" t="n">
        <v>4907.307</v>
      </c>
    </row>
    <row r="24">
      <c r="A24" s="18" t="inlineStr">
        <is>
          <t>장기차입금</t>
        </is>
      </c>
      <c r="B24" s="10" t="n"/>
      <c r="C24" s="19" t="n">
        <v>3307.189</v>
      </c>
      <c r="D24" s="20" t="n">
        <v>3911.808</v>
      </c>
      <c r="E24" s="20" t="n">
        <v>2683.532</v>
      </c>
      <c r="F24" s="20" t="n">
        <v>2449.59</v>
      </c>
      <c r="G24" s="20" t="n">
        <v>2220.504</v>
      </c>
      <c r="H24" s="19" t="n">
        <v>1115.817</v>
      </c>
      <c r="I24" s="20" t="n">
        <v>1745.355</v>
      </c>
      <c r="J24" s="20" t="n">
        <v>2663.817</v>
      </c>
      <c r="K24" s="20" t="n">
        <v>3672.517</v>
      </c>
      <c r="L24" s="20" t="n">
        <v>2683.532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17355.839</v>
      </c>
      <c r="D27" s="12" t="n">
        <v>18591.475</v>
      </c>
      <c r="E27" s="12" t="n">
        <v>20503.06</v>
      </c>
      <c r="F27" s="12" t="n">
        <v>20195.383</v>
      </c>
      <c r="G27" s="12" t="n">
        <v>18264.126</v>
      </c>
      <c r="H27" s="11" t="n">
        <v>8276.960999999999</v>
      </c>
      <c r="I27" s="12" t="n">
        <v>10355.508</v>
      </c>
      <c r="J27" s="12" t="n">
        <v>13223.425</v>
      </c>
      <c r="K27" s="12" t="n">
        <v>18087.105</v>
      </c>
      <c r="L27" s="12" t="n">
        <v>20503.06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14426.466</v>
      </c>
      <c r="D31" s="12" t="n">
        <v>15349.897</v>
      </c>
      <c r="E31" s="12" t="n">
        <v>16113.852</v>
      </c>
      <c r="F31" s="12" t="n">
        <v>16323.09</v>
      </c>
      <c r="G31" s="12" t="n">
        <v>17069.204</v>
      </c>
      <c r="H31" s="11" t="n">
        <v>9863.459999999999</v>
      </c>
      <c r="I31" s="12" t="n">
        <v>10870.984</v>
      </c>
      <c r="J31" s="12" t="n">
        <v>12311.887</v>
      </c>
      <c r="K31" s="12" t="n">
        <v>13509.874</v>
      </c>
      <c r="L31" s="12" t="n">
        <v>16113.852</v>
      </c>
    </row>
    <row r="32">
      <c r="A32" s="18" t="inlineStr">
        <is>
          <t>자본금</t>
        </is>
      </c>
      <c r="B32" s="10" t="n"/>
      <c r="C32" s="19" t="n">
        <v>1001.996</v>
      </c>
      <c r="D32" s="20" t="n">
        <v>1001.996</v>
      </c>
      <c r="E32" s="20" t="n">
        <v>1001.996</v>
      </c>
      <c r="F32" s="20" t="n">
        <v>1001.996</v>
      </c>
      <c r="G32" s="20" t="n">
        <v>1001.996</v>
      </c>
      <c r="H32" s="19" t="n">
        <v>1001.996</v>
      </c>
      <c r="I32" s="20" t="n">
        <v>1001.996</v>
      </c>
      <c r="J32" s="20" t="n">
        <v>1001.996</v>
      </c>
      <c r="K32" s="20" t="n">
        <v>1001.996</v>
      </c>
      <c r="L32" s="20" t="n">
        <v>1001.996</v>
      </c>
    </row>
    <row r="33">
      <c r="A33" s="18" t="inlineStr">
        <is>
          <t>이익잉여금</t>
        </is>
      </c>
      <c r="B33" s="10" t="n"/>
      <c r="C33" s="19" t="n">
        <v>12858.928</v>
      </c>
      <c r="D33" s="20" t="n">
        <v>13693.402</v>
      </c>
      <c r="E33" s="20" t="n">
        <v>14238.013</v>
      </c>
      <c r="F33" s="20" t="n">
        <v>14081.786</v>
      </c>
      <c r="G33" s="20" t="n">
        <v>14833.75</v>
      </c>
      <c r="H33" s="19" t="n">
        <v>8808.787</v>
      </c>
      <c r="I33" s="20" t="n">
        <v>9737.839</v>
      </c>
      <c r="J33" s="20" t="n">
        <v>10850.916</v>
      </c>
      <c r="K33" s="20" t="n">
        <v>12182.494</v>
      </c>
      <c r="L33" s="20" t="n">
        <v>14238.013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14426.466</v>
      </c>
      <c r="D35" s="12" t="n">
        <v>15349.897</v>
      </c>
      <c r="E35" s="12" t="n">
        <v>16113.852</v>
      </c>
      <c r="F35" s="12" t="n">
        <v>16323.09</v>
      </c>
      <c r="G35" s="12" t="n">
        <v>17069.204</v>
      </c>
      <c r="H35" s="11" t="n">
        <v>9863.459999999999</v>
      </c>
      <c r="I35" s="12" t="n">
        <v>10870.984</v>
      </c>
      <c r="J35" s="12" t="n">
        <v>12311.887</v>
      </c>
      <c r="K35" s="12" t="n">
        <v>13509.874</v>
      </c>
      <c r="L35" s="12" t="n">
        <v>16113.852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2228.766</v>
      </c>
      <c r="D37" s="12" t="n"/>
      <c r="E37" s="12" t="n">
        <v>4989.387</v>
      </c>
      <c r="F37" s="12" t="n"/>
      <c r="G37" s="12" t="n">
        <v>4682.939</v>
      </c>
      <c r="H37" s="11" t="n">
        <v>1484.379</v>
      </c>
      <c r="I37" s="12" t="n">
        <v>665.051</v>
      </c>
      <c r="J37" s="12" t="n">
        <v>3026.857</v>
      </c>
      <c r="K37" s="12" t="n">
        <v>2367.852</v>
      </c>
      <c r="L37" s="12" t="n">
        <v>4989.387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1565.748</v>
      </c>
      <c r="D38" s="20" t="n"/>
      <c r="E38" s="20" t="n">
        <v>649.864</v>
      </c>
      <c r="F38" s="20" t="n"/>
      <c r="G38" s="20" t="n">
        <v>3453.058</v>
      </c>
      <c r="H38" s="19" t="n">
        <v>679.453</v>
      </c>
      <c r="I38" s="20" t="n">
        <v>421.46</v>
      </c>
      <c r="J38" s="20" t="n">
        <v>2874.542</v>
      </c>
      <c r="K38" s="20" t="n">
        <v>3586.888</v>
      </c>
      <c r="L38" s="20" t="n">
        <v>649.864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546.355</v>
      </c>
      <c r="D40" s="20" t="n"/>
      <c r="E40" s="20" t="n">
        <v>546.331</v>
      </c>
      <c r="F40" s="20" t="n"/>
      <c r="G40" s="20" t="n">
        <v>782.189</v>
      </c>
      <c r="H40" s="19" t="n">
        <v>233.248</v>
      </c>
      <c r="I40" s="20" t="n">
        <v>338.959</v>
      </c>
      <c r="J40" s="20" t="n">
        <v>393.125</v>
      </c>
      <c r="K40" s="20" t="n">
        <v>473.75</v>
      </c>
      <c r="L40" s="20" t="n">
        <v>546.331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4936.321</v>
      </c>
      <c r="D71" s="20" t="n">
        <v>5677.554</v>
      </c>
      <c r="E71" s="20" t="n">
        <v>9140.119000000001</v>
      </c>
      <c r="F71" s="20" t="n">
        <v>7218.422</v>
      </c>
      <c r="G71" s="20" t="n">
        <v>6134.278</v>
      </c>
      <c r="H71" s="20" t="n">
        <v>3507.219</v>
      </c>
      <c r="I71" s="20" t="n">
        <v>3487.744</v>
      </c>
      <c r="J71" s="20" t="n">
        <v>4062.459</v>
      </c>
      <c r="K71" s="20" t="n">
        <v>4679.456</v>
      </c>
      <c r="L71" s="20" t="n">
        <v>9140.119000000001</v>
      </c>
    </row>
    <row r="72">
      <c r="A72" s="18" t="inlineStr">
        <is>
          <t>받을어음</t>
        </is>
      </c>
      <c r="C72" s="20" t="n">
        <v>455.858</v>
      </c>
      <c r="D72" s="20" t="n">
        <v>377.629</v>
      </c>
      <c r="E72" s="20" t="n">
        <v>273.677</v>
      </c>
      <c r="F72" s="20" t="n">
        <v>250.064</v>
      </c>
      <c r="G72" s="20" t="n">
        <v>134.424</v>
      </c>
      <c r="H72" s="20" t="n">
        <v>269.755</v>
      </c>
      <c r="I72" s="20" t="n">
        <v>359.544</v>
      </c>
      <c r="J72" s="20" t="n">
        <v>410.609</v>
      </c>
      <c r="K72" s="20" t="n">
        <v>431.841</v>
      </c>
      <c r="L72" s="20" t="n">
        <v>273.677</v>
      </c>
    </row>
    <row r="73">
      <c r="A73" s="18" t="inlineStr">
        <is>
          <t>영업미수금</t>
        </is>
      </c>
      <c r="H73" s="20" t="n">
        <v>4773.101</v>
      </c>
    </row>
    <row r="74">
      <c r="A74" s="18" t="inlineStr">
        <is>
          <t>영업 미수금 및 계약자산</t>
        </is>
      </c>
      <c r="C74" s="20" t="n">
        <v>7076.509</v>
      </c>
      <c r="D74" s="20" t="n">
        <v>8698.621999999999</v>
      </c>
      <c r="E74" s="20" t="n">
        <v>7955.293</v>
      </c>
      <c r="F74" s="20" t="n">
        <v>6716.814</v>
      </c>
      <c r="G74" s="20" t="n">
        <v>7042.371</v>
      </c>
      <c r="H74" s="20" t="n">
        <v>4773.101</v>
      </c>
      <c r="I74" s="20" t="n">
        <v>5658.689</v>
      </c>
      <c r="J74" s="20" t="n">
        <v>6316.94</v>
      </c>
      <c r="K74" s="20" t="n">
        <v>7645.97</v>
      </c>
      <c r="L74" s="20" t="n">
        <v>7955.293</v>
      </c>
    </row>
    <row r="75">
      <c r="A75" s="18" t="inlineStr">
        <is>
          <t>상품</t>
        </is>
      </c>
      <c r="C75" s="20" t="n">
        <v>411.473</v>
      </c>
      <c r="D75" s="20" t="n">
        <v>348.717</v>
      </c>
      <c r="E75" s="20" t="n">
        <v>376.538</v>
      </c>
      <c r="F75" s="20" t="n">
        <v>377.589</v>
      </c>
      <c r="G75" s="20" t="n">
        <v>395.518</v>
      </c>
      <c r="H75" s="20" t="n">
        <v>232.006</v>
      </c>
      <c r="I75" s="20" t="n">
        <v>433.964</v>
      </c>
      <c r="J75" s="20" t="n">
        <v>388.027</v>
      </c>
      <c r="K75" s="20" t="n">
        <v>357.354</v>
      </c>
      <c r="L75" s="20" t="n">
        <v>376.538</v>
      </c>
    </row>
    <row r="76">
      <c r="A76" s="18" t="inlineStr">
        <is>
          <t>저장품</t>
        </is>
      </c>
      <c r="E76" s="20" t="n">
        <v>16.494</v>
      </c>
      <c r="H76" s="20" t="n">
        <v>9.292</v>
      </c>
      <c r="I76" s="20" t="n">
        <v>13.817</v>
      </c>
      <c r="J76" s="20" t="n">
        <v>12.435</v>
      </c>
      <c r="K76" s="20" t="n">
        <v>13.985</v>
      </c>
      <c r="L76" s="20" t="n">
        <v>16.494</v>
      </c>
    </row>
    <row r="77">
      <c r="A77" s="18" t="inlineStr">
        <is>
          <t>선급비용</t>
        </is>
      </c>
      <c r="E77" s="20" t="n">
        <v>785.766</v>
      </c>
      <c r="H77" s="20" t="n">
        <v>322.661</v>
      </c>
      <c r="I77" s="20" t="n">
        <v>479.697</v>
      </c>
      <c r="J77" s="20" t="n">
        <v>536.639</v>
      </c>
      <c r="K77" s="20" t="n">
        <v>702.054</v>
      </c>
      <c r="L77" s="20" t="n">
        <v>785.766</v>
      </c>
    </row>
    <row r="78">
      <c r="A78" s="18" t="inlineStr">
        <is>
          <t>미수금</t>
        </is>
      </c>
      <c r="E78" s="20" t="n">
        <v>29.325</v>
      </c>
      <c r="H78" s="20" t="n">
        <v>11.715</v>
      </c>
      <c r="I78" s="20" t="n">
        <v>63.681</v>
      </c>
      <c r="J78" s="20" t="n">
        <v>10.938</v>
      </c>
      <c r="K78" s="20" t="n">
        <v>24.018</v>
      </c>
      <c r="L78" s="20" t="n">
        <v>29.325</v>
      </c>
    </row>
    <row r="79">
      <c r="A79" s="18" t="inlineStr">
        <is>
          <t>기타</t>
        </is>
      </c>
      <c r="C79" s="20" t="n">
        <v>1201.817</v>
      </c>
      <c r="D79" s="20" t="n">
        <v>1292.708</v>
      </c>
      <c r="E79" s="20" t="n">
        <v>1164.791</v>
      </c>
      <c r="F79" s="20" t="n">
        <v>1252.141</v>
      </c>
      <c r="G79" s="20" t="n">
        <v>1133.663</v>
      </c>
      <c r="H79" s="20" t="n">
        <v>35.927</v>
      </c>
      <c r="I79" s="20" t="n">
        <v>447.242</v>
      </c>
      <c r="J79" s="20" t="n">
        <v>567.302</v>
      </c>
      <c r="K79" s="20" t="n">
        <v>173.134</v>
      </c>
      <c r="L79" s="20" t="n">
        <v>1164.791</v>
      </c>
    </row>
    <row r="80">
      <c r="A80" s="18" t="inlineStr">
        <is>
          <t>대손충당금</t>
        </is>
      </c>
      <c r="C80" s="20" t="n">
        <v>-9.215</v>
      </c>
      <c r="D80" s="20" t="n">
        <v>-9.84</v>
      </c>
      <c r="E80" s="20" t="n">
        <v>-9.32</v>
      </c>
      <c r="F80" s="20" t="n">
        <v>-8.701000000000001</v>
      </c>
      <c r="G80" s="20" t="n">
        <v>-6.469</v>
      </c>
      <c r="H80" s="20" t="n">
        <v>-14.325</v>
      </c>
      <c r="I80" s="20" t="n">
        <v>-16.491</v>
      </c>
      <c r="J80" s="20" t="n">
        <v>-7.754</v>
      </c>
      <c r="K80" s="20" t="n">
        <v>-10.251</v>
      </c>
      <c r="L80" s="20" t="n">
        <v>-9.32</v>
      </c>
    </row>
    <row r="81">
      <c r="A81" s="9" t="inlineStr">
        <is>
          <t>유동자산 합계</t>
        </is>
      </c>
      <c r="C81" s="12" t="n">
        <v>14072.764</v>
      </c>
      <c r="D81" s="12" t="n">
        <v>16385.392</v>
      </c>
      <c r="E81" s="12" t="n">
        <v>18901.1</v>
      </c>
      <c r="F81" s="12" t="n">
        <v>15806.33</v>
      </c>
      <c r="G81" s="12" t="n">
        <v>14833.787</v>
      </c>
      <c r="H81" s="12" t="n">
        <v>9147.353999999999</v>
      </c>
      <c r="I81" s="12" t="n">
        <v>10927.89</v>
      </c>
      <c r="J81" s="12" t="n">
        <v>11737.584</v>
      </c>
      <c r="K81" s="12" t="n">
        <v>14017.562</v>
      </c>
      <c r="L81" s="12" t="n">
        <v>18901.1</v>
      </c>
    </row>
    <row r="82">
      <c r="A82" s="18" t="inlineStr">
        <is>
          <t>건물</t>
        </is>
      </c>
      <c r="E82" s="20" t="n">
        <v>10712.895</v>
      </c>
      <c r="H82" s="20" t="n">
        <v>6672.855</v>
      </c>
      <c r="I82" s="20" t="n">
        <v>6727.227</v>
      </c>
      <c r="J82" s="20" t="n">
        <v>7103.817</v>
      </c>
      <c r="K82" s="20" t="n">
        <v>10808.372</v>
      </c>
      <c r="L82" s="20" t="n">
        <v>10712.895</v>
      </c>
    </row>
    <row r="83">
      <c r="A83" s="18" t="inlineStr">
        <is>
          <t>감가상각누계액</t>
        </is>
      </c>
      <c r="E83" s="20" t="n">
        <v>-5614.584</v>
      </c>
      <c r="H83" s="20" t="n">
        <v>-4720.603</v>
      </c>
      <c r="I83" s="20" t="n">
        <v>-4838.845</v>
      </c>
      <c r="J83" s="20" t="n">
        <v>-5008.765</v>
      </c>
      <c r="K83" s="20" t="n">
        <v>-5293.253</v>
      </c>
      <c r="L83" s="20" t="n">
        <v>-5614.584</v>
      </c>
    </row>
    <row r="84">
      <c r="A84" s="18" t="inlineStr">
        <is>
          <t>건물(순액)</t>
        </is>
      </c>
      <c r="E84" s="20" t="n">
        <v>5098.31</v>
      </c>
      <c r="H84" s="20" t="n">
        <v>1952.251</v>
      </c>
      <c r="I84" s="20" t="n">
        <v>1888.382</v>
      </c>
      <c r="J84" s="20" t="n">
        <v>2095.051</v>
      </c>
      <c r="K84" s="20" t="n">
        <v>5515.118</v>
      </c>
      <c r="L84" s="20" t="n">
        <v>5098.31</v>
      </c>
    </row>
    <row r="85">
      <c r="A85" s="18" t="inlineStr">
        <is>
          <t>구축물</t>
        </is>
      </c>
      <c r="E85" s="20" t="n">
        <v>1031.087</v>
      </c>
      <c r="H85" s="20" t="n">
        <v>679.244</v>
      </c>
      <c r="I85" s="20" t="n">
        <v>679.244</v>
      </c>
      <c r="J85" s="20" t="n">
        <v>685.941</v>
      </c>
      <c r="K85" s="20" t="n">
        <v>1039.594</v>
      </c>
      <c r="L85" s="20" t="n">
        <v>1031.087</v>
      </c>
    </row>
    <row r="86">
      <c r="A86" s="18" t="inlineStr">
        <is>
          <t>감가상각누계액</t>
        </is>
      </c>
      <c r="E86" s="20" t="n">
        <v>-670.518</v>
      </c>
      <c r="H86" s="20" t="n">
        <v>-619.788</v>
      </c>
      <c r="I86" s="20" t="n">
        <v>-630.128</v>
      </c>
      <c r="J86" s="20" t="n">
        <v>-636.67</v>
      </c>
      <c r="K86" s="20" t="n">
        <v>-645.222</v>
      </c>
      <c r="L86" s="20" t="n">
        <v>-670.518</v>
      </c>
    </row>
    <row r="87">
      <c r="A87" s="18" t="inlineStr">
        <is>
          <t>구축물(순액)</t>
        </is>
      </c>
      <c r="E87" s="20" t="n">
        <v>360.568</v>
      </c>
      <c r="H87" s="20" t="n">
        <v>59.456</v>
      </c>
      <c r="I87" s="20" t="n">
        <v>49.116</v>
      </c>
      <c r="J87" s="20" t="n">
        <v>49.271</v>
      </c>
      <c r="K87" s="20" t="n">
        <v>394.372</v>
      </c>
      <c r="L87" s="20" t="n">
        <v>360.568</v>
      </c>
    </row>
    <row r="88">
      <c r="A88" s="18" t="inlineStr">
        <is>
          <t>기계장치</t>
        </is>
      </c>
      <c r="E88" s="20" t="n">
        <v>1424.627</v>
      </c>
      <c r="H88" s="20" t="n">
        <v>489.575</v>
      </c>
      <c r="I88" s="20" t="n">
        <v>407.451</v>
      </c>
      <c r="J88" s="20" t="n">
        <v>1346.759</v>
      </c>
      <c r="K88" s="20" t="n">
        <v>1408.301</v>
      </c>
      <c r="L88" s="20" t="n">
        <v>1424.627</v>
      </c>
    </row>
    <row r="89">
      <c r="A89" s="18" t="inlineStr">
        <is>
          <t>감가상각누계액</t>
        </is>
      </c>
      <c r="E89" s="20" t="n">
        <v>-777.567</v>
      </c>
      <c r="H89" s="20" t="n">
        <v>-409.655</v>
      </c>
      <c r="I89" s="20" t="n">
        <v>-333.7</v>
      </c>
      <c r="J89" s="20" t="n">
        <v>-498.753</v>
      </c>
      <c r="K89" s="20" t="n">
        <v>-620.0890000000001</v>
      </c>
      <c r="L89" s="20" t="n">
        <v>-777.567</v>
      </c>
    </row>
    <row r="90">
      <c r="A90" s="18" t="inlineStr">
        <is>
          <t>기계장치(순액)</t>
        </is>
      </c>
      <c r="E90" s="20" t="n">
        <v>647.059</v>
      </c>
      <c r="H90" s="20" t="n">
        <v>79.92</v>
      </c>
      <c r="I90" s="20" t="n">
        <v>73.751</v>
      </c>
      <c r="J90" s="20" t="n">
        <v>848.005</v>
      </c>
      <c r="K90" s="20" t="n">
        <v>788.211</v>
      </c>
      <c r="L90" s="20" t="n">
        <v>647.059</v>
      </c>
    </row>
    <row r="91">
      <c r="A91" s="18" t="inlineStr">
        <is>
          <t>차량운반구</t>
        </is>
      </c>
      <c r="E91" s="20" t="n">
        <v>2835.922</v>
      </c>
      <c r="H91" s="20" t="n">
        <v>1779.121</v>
      </c>
      <c r="I91" s="20" t="n">
        <v>1948.456</v>
      </c>
      <c r="J91" s="20" t="n">
        <v>2210.732</v>
      </c>
      <c r="K91" s="20" t="n">
        <v>2543.777</v>
      </c>
      <c r="L91" s="20" t="n">
        <v>2835.922</v>
      </c>
    </row>
    <row r="92">
      <c r="A92" s="18" t="inlineStr">
        <is>
          <t>감가상각누계액</t>
        </is>
      </c>
      <c r="E92" s="20" t="n">
        <v>-2129.464</v>
      </c>
      <c r="H92" s="20" t="n">
        <v>-1141.508</v>
      </c>
      <c r="I92" s="20" t="n">
        <v>-1294.951</v>
      </c>
      <c r="J92" s="20" t="n">
        <v>-1530.005</v>
      </c>
      <c r="K92" s="20" t="n">
        <v>-1839.092</v>
      </c>
      <c r="L92" s="20" t="n">
        <v>-2129.464</v>
      </c>
    </row>
    <row r="93">
      <c r="A93" s="18" t="inlineStr">
        <is>
          <t>차량운반구(순액)</t>
        </is>
      </c>
      <c r="E93" s="20" t="n">
        <v>706.457</v>
      </c>
      <c r="H93" s="20" t="n">
        <v>637.612</v>
      </c>
      <c r="I93" s="20" t="n">
        <v>653.504</v>
      </c>
      <c r="J93" s="20" t="n">
        <v>680.726</v>
      </c>
      <c r="K93" s="20" t="n">
        <v>704.684</v>
      </c>
      <c r="L93" s="20" t="n">
        <v>706.457</v>
      </c>
    </row>
    <row r="94">
      <c r="A94" s="18" t="inlineStr">
        <is>
          <t>공구·기구·비품</t>
        </is>
      </c>
      <c r="E94" s="20" t="n">
        <v>612.549</v>
      </c>
      <c r="H94" s="20" t="n">
        <v>425.738</v>
      </c>
      <c r="I94" s="20" t="n">
        <v>434.943</v>
      </c>
      <c r="J94" s="20" t="n">
        <v>489.76</v>
      </c>
      <c r="K94" s="20" t="n">
        <v>633.756</v>
      </c>
      <c r="L94" s="20" t="n">
        <v>612.549</v>
      </c>
    </row>
    <row r="95">
      <c r="A95" s="18" t="inlineStr">
        <is>
          <t>감가상각누계액</t>
        </is>
      </c>
      <c r="E95" s="20" t="n">
        <v>-440.108</v>
      </c>
      <c r="H95" s="20" t="n">
        <v>-326.911</v>
      </c>
      <c r="I95" s="20" t="n">
        <v>-318.949</v>
      </c>
      <c r="J95" s="20" t="n">
        <v>-359.862</v>
      </c>
      <c r="K95" s="20" t="n">
        <v>-412.834</v>
      </c>
      <c r="L95" s="20" t="n">
        <v>-440.108</v>
      </c>
    </row>
    <row r="96">
      <c r="A96" s="18" t="inlineStr">
        <is>
          <t>공구·기구·비품(순액)</t>
        </is>
      </c>
      <c r="E96" s="20" t="n">
        <v>172.441</v>
      </c>
      <c r="H96" s="20" t="n">
        <v>98.827</v>
      </c>
      <c r="I96" s="20" t="n">
        <v>115.993</v>
      </c>
      <c r="J96" s="20" t="n">
        <v>129.897</v>
      </c>
      <c r="K96" s="20" t="n">
        <v>220.921</v>
      </c>
      <c r="L96" s="20" t="n">
        <v>172.441</v>
      </c>
    </row>
    <row r="97">
      <c r="A97" s="18" t="inlineStr">
        <is>
          <t>건물·구축물(순액)</t>
        </is>
      </c>
      <c r="C97" s="20" t="n">
        <v>5728.633</v>
      </c>
      <c r="D97" s="20" t="n">
        <v>5610.449</v>
      </c>
      <c r="E97" s="20" t="n">
        <v>5458.878</v>
      </c>
      <c r="F97" s="20" t="n">
        <v>5949.69</v>
      </c>
      <c r="G97" s="20" t="n">
        <v>6071.991</v>
      </c>
      <c r="H97" s="20" t="n">
        <v>2011.708</v>
      </c>
      <c r="I97" s="20" t="n">
        <v>1937.498</v>
      </c>
      <c r="J97" s="20" t="n">
        <v>2144.322</v>
      </c>
      <c r="K97" s="20" t="n">
        <v>5909.49</v>
      </c>
      <c r="L97" s="20" t="n">
        <v>5458.878</v>
      </c>
    </row>
    <row r="98">
      <c r="A98" s="18" t="inlineStr">
        <is>
          <t>기계장치·운반구(순액)</t>
        </is>
      </c>
      <c r="C98" s="20" t="n">
        <v>1463.675</v>
      </c>
      <c r="D98" s="20" t="n">
        <v>1432.297</v>
      </c>
      <c r="E98" s="20" t="n">
        <v>1353.516</v>
      </c>
      <c r="F98" s="20" t="n">
        <v>1371.908</v>
      </c>
      <c r="G98" s="20" t="n">
        <v>3210.854</v>
      </c>
      <c r="H98" s="20" t="n">
        <v>717.532</v>
      </c>
      <c r="I98" s="20" t="n">
        <v>727.255</v>
      </c>
      <c r="J98" s="20" t="n">
        <v>1528.732</v>
      </c>
      <c r="K98" s="20" t="n">
        <v>1492.896</v>
      </c>
      <c r="L98" s="20" t="n">
        <v>1353.516</v>
      </c>
    </row>
    <row r="99">
      <c r="A99" s="18" t="inlineStr">
        <is>
          <t>토지</t>
        </is>
      </c>
      <c r="C99" s="20" t="n">
        <v>3974.564</v>
      </c>
      <c r="D99" s="20" t="n">
        <v>3974.564</v>
      </c>
      <c r="E99" s="20" t="n">
        <v>3974.564</v>
      </c>
      <c r="F99" s="20" t="n">
        <v>3974.564</v>
      </c>
      <c r="G99" s="20" t="n">
        <v>3974.564</v>
      </c>
      <c r="H99" s="20" t="n">
        <v>3298.517</v>
      </c>
      <c r="I99" s="20" t="n">
        <v>3298.517</v>
      </c>
      <c r="J99" s="20" t="n">
        <v>3944.721</v>
      </c>
      <c r="K99" s="20" t="n">
        <v>3974.564</v>
      </c>
      <c r="L99" s="20" t="n">
        <v>3974.564</v>
      </c>
    </row>
    <row r="100">
      <c r="A100" s="18" t="inlineStr">
        <is>
          <t>건설중인자산</t>
        </is>
      </c>
      <c r="E100" s="20" t="n">
        <v>131.809</v>
      </c>
      <c r="H100" s="20" t="n">
        <v>32.655</v>
      </c>
      <c r="I100" s="20" t="n">
        <v>34.4</v>
      </c>
      <c r="J100" s="20" t="n">
        <v>1384.519</v>
      </c>
      <c r="K100" s="20" t="n">
        <v>0.124</v>
      </c>
      <c r="L100" s="20" t="n">
        <v>131.809</v>
      </c>
    </row>
    <row r="101">
      <c r="A101" s="18" t="inlineStr">
        <is>
          <t>기타(순액)</t>
        </is>
      </c>
      <c r="C101" s="20" t="n">
        <v>234.984</v>
      </c>
      <c r="D101" s="20" t="n">
        <v>214.984</v>
      </c>
      <c r="E101" s="20" t="n">
        <v>304.251</v>
      </c>
      <c r="F101" s="20" t="n">
        <v>2503.341</v>
      </c>
      <c r="G101" s="20" t="n">
        <v>278.02</v>
      </c>
      <c r="H101" s="20" t="n">
        <v>131.482</v>
      </c>
      <c r="I101" s="20" t="n">
        <v>150.394</v>
      </c>
      <c r="J101" s="20" t="n">
        <v>1514.417</v>
      </c>
      <c r="K101" s="20" t="n">
        <v>221.046</v>
      </c>
      <c r="L101" s="20" t="n">
        <v>304.251</v>
      </c>
    </row>
    <row r="102">
      <c r="A102" s="18" t="inlineStr">
        <is>
          <t>유형자산 합계</t>
        </is>
      </c>
      <c r="C102" s="20" t="n">
        <v>11401.856</v>
      </c>
      <c r="D102" s="20" t="n">
        <v>11232.295</v>
      </c>
      <c r="E102" s="20" t="n">
        <v>11091.211</v>
      </c>
      <c r="F102" s="20" t="n">
        <v>13799.504</v>
      </c>
      <c r="G102" s="20" t="n">
        <v>13535.431</v>
      </c>
      <c r="H102" s="20" t="n">
        <v>6159.24</v>
      </c>
      <c r="I102" s="20" t="n">
        <v>6113.666</v>
      </c>
      <c r="J102" s="20" t="n">
        <v>9132.194</v>
      </c>
      <c r="K102" s="20" t="n">
        <v>11597.998</v>
      </c>
      <c r="L102" s="20" t="n">
        <v>11091.211</v>
      </c>
    </row>
    <row r="103">
      <c r="A103" s="18" t="inlineStr">
        <is>
          <t>차지권</t>
        </is>
      </c>
      <c r="E103" s="20" t="n">
        <v>21.066</v>
      </c>
      <c r="H103" s="20" t="n">
        <v>21.066</v>
      </c>
      <c r="I103" s="20" t="n">
        <v>21.066</v>
      </c>
      <c r="J103" s="20" t="n">
        <v>21.066</v>
      </c>
      <c r="K103" s="20" t="n">
        <v>21.066</v>
      </c>
      <c r="L103" s="20" t="n">
        <v>21.066</v>
      </c>
    </row>
    <row r="104">
      <c r="A104" s="18" t="inlineStr">
        <is>
          <t>소프트웨어</t>
        </is>
      </c>
      <c r="E104" s="20" t="n">
        <v>98.40000000000001</v>
      </c>
      <c r="H104" s="20" t="n">
        <v>206.607</v>
      </c>
      <c r="I104" s="20" t="n">
        <v>180.841</v>
      </c>
      <c r="J104" s="20" t="n">
        <v>139.956</v>
      </c>
      <c r="K104" s="20" t="n">
        <v>98.678</v>
      </c>
      <c r="L104" s="20" t="n">
        <v>98.40000000000001</v>
      </c>
    </row>
    <row r="105">
      <c r="A105" s="18" t="inlineStr">
        <is>
          <t>영업권</t>
        </is>
      </c>
      <c r="C105" s="20" t="n">
        <v>1042.138</v>
      </c>
      <c r="D105" s="20" t="n">
        <v>986.754</v>
      </c>
      <c r="E105" s="20" t="n">
        <v>931.369</v>
      </c>
      <c r="F105" s="20" t="n">
        <v>875.984</v>
      </c>
      <c r="G105" s="20" t="n">
        <v>820.599</v>
      </c>
      <c r="H105" s="20" t="n">
        <v>191.482</v>
      </c>
      <c r="I105" s="20" t="n">
        <v>540.908</v>
      </c>
      <c r="J105" s="20" t="n">
        <v>421.341</v>
      </c>
      <c r="K105" s="20" t="n">
        <v>991.199</v>
      </c>
      <c r="L105" s="20" t="n">
        <v>931.369</v>
      </c>
    </row>
    <row r="106">
      <c r="A106" s="18" t="inlineStr">
        <is>
          <t>기타</t>
        </is>
      </c>
      <c r="C106" s="20" t="n">
        <v>137.863</v>
      </c>
      <c r="D106" s="20" t="n">
        <v>142.578</v>
      </c>
      <c r="E106" s="20" t="n">
        <v>140.922</v>
      </c>
      <c r="F106" s="20" t="n">
        <v>145.8</v>
      </c>
      <c r="G106" s="20" t="n">
        <v>259.296</v>
      </c>
      <c r="H106" s="20" t="n">
        <v>21.099</v>
      </c>
      <c r="I106" s="20" t="n">
        <v>21.178</v>
      </c>
      <c r="J106" s="20" t="n">
        <v>182.128</v>
      </c>
      <c r="K106" s="20" t="n">
        <v>21.545</v>
      </c>
      <c r="L106" s="20" t="n">
        <v>140.922</v>
      </c>
    </row>
    <row r="107">
      <c r="A107" s="18" t="inlineStr">
        <is>
          <t>무형자산 합계</t>
        </is>
      </c>
      <c r="C107" s="20" t="n">
        <v>1180.002</v>
      </c>
      <c r="D107" s="20" t="n">
        <v>1129.332</v>
      </c>
      <c r="E107" s="20" t="n">
        <v>1072.291</v>
      </c>
      <c r="F107" s="20" t="n">
        <v>1021.784</v>
      </c>
      <c r="G107" s="20" t="n">
        <v>1079.895</v>
      </c>
      <c r="H107" s="20" t="n">
        <v>440.254</v>
      </c>
      <c r="I107" s="20" t="n">
        <v>763.995</v>
      </c>
      <c r="J107" s="20" t="n">
        <v>603.47</v>
      </c>
      <c r="K107" s="20" t="n">
        <v>1132.489</v>
      </c>
      <c r="L107" s="20" t="n">
        <v>1072.291</v>
      </c>
    </row>
    <row r="108">
      <c r="A108" s="18" t="inlineStr">
        <is>
          <t>투자유가증권</t>
        </is>
      </c>
      <c r="C108" s="20" t="n">
        <v>1565.483</v>
      </c>
      <c r="D108" s="20" t="n">
        <v>1699.626</v>
      </c>
      <c r="E108" s="20" t="n">
        <v>1923.252</v>
      </c>
      <c r="F108" s="20" t="n">
        <v>2460.881</v>
      </c>
      <c r="G108" s="20" t="n">
        <v>2316.713</v>
      </c>
      <c r="H108" s="20" t="n">
        <v>552.9690000000001</v>
      </c>
      <c r="I108" s="20" t="n">
        <v>713.884</v>
      </c>
      <c r="J108" s="20" t="n">
        <v>1211.873</v>
      </c>
      <c r="K108" s="20" t="n">
        <v>1307.229</v>
      </c>
      <c r="L108" s="20" t="n">
        <v>1923.252</v>
      </c>
    </row>
    <row r="109">
      <c r="A109" s="18" t="inlineStr">
        <is>
          <t>관계회사 주식</t>
        </is>
      </c>
      <c r="H109" s="20" t="n">
        <v>1216.989</v>
      </c>
      <c r="I109" s="20" t="n">
        <v>1992.818</v>
      </c>
    </row>
    <row r="110">
      <c r="A110" s="18" t="inlineStr">
        <is>
          <t>출자금</t>
        </is>
      </c>
      <c r="E110" s="20" t="n">
        <v>17.575</v>
      </c>
      <c r="H110" s="20" t="n">
        <v>18.182</v>
      </c>
      <c r="I110" s="20" t="n">
        <v>18.13</v>
      </c>
      <c r="J110" s="20" t="n">
        <v>18.143</v>
      </c>
      <c r="K110" s="20" t="n">
        <v>17.585</v>
      </c>
      <c r="L110" s="20" t="n">
        <v>17.575</v>
      </c>
    </row>
    <row r="111">
      <c r="A111" s="18" t="inlineStr">
        <is>
          <t>파산갱생채권 등</t>
        </is>
      </c>
      <c r="E111" s="20" t="n">
        <v>50.486</v>
      </c>
      <c r="H111" s="20" t="n">
        <v>42.433</v>
      </c>
      <c r="I111" s="20" t="n">
        <v>41.999</v>
      </c>
      <c r="J111" s="20" t="n">
        <v>38.488</v>
      </c>
      <c r="K111" s="20" t="n">
        <v>37.413</v>
      </c>
      <c r="L111" s="20" t="n">
        <v>50.486</v>
      </c>
    </row>
    <row r="112">
      <c r="A112" s="18" t="inlineStr">
        <is>
          <t>장기선급비용</t>
        </is>
      </c>
      <c r="E112" s="20" t="n">
        <v>52.548</v>
      </c>
      <c r="H112" s="20" t="n">
        <v>56.295</v>
      </c>
      <c r="I112" s="20" t="n">
        <v>34.855</v>
      </c>
      <c r="J112" s="20" t="n">
        <v>23.655</v>
      </c>
      <c r="K112" s="20" t="n">
        <v>21.163</v>
      </c>
      <c r="L112" s="20" t="n">
        <v>52.548</v>
      </c>
    </row>
    <row r="113">
      <c r="A113" s="18" t="inlineStr">
        <is>
          <t>이연법인세자산</t>
        </is>
      </c>
      <c r="E113" s="20" t="n">
        <v>670.825</v>
      </c>
      <c r="H113" s="20" t="n">
        <v>234.183</v>
      </c>
      <c r="I113" s="20" t="n">
        <v>329.913</v>
      </c>
      <c r="J113" s="20" t="n">
        <v>361.499</v>
      </c>
      <c r="K113" s="20" t="n">
        <v>645.2380000000001</v>
      </c>
      <c r="L113" s="20" t="n">
        <v>670.825</v>
      </c>
    </row>
    <row r="114">
      <c r="A114" s="18" t="inlineStr">
        <is>
          <t>보증금</t>
        </is>
      </c>
      <c r="C114" s="20" t="n">
        <v>2675.755</v>
      </c>
      <c r="D114" s="20" t="n">
        <v>2623.594</v>
      </c>
      <c r="E114" s="20" t="n">
        <v>2640.114</v>
      </c>
      <c r="F114" s="20" t="n">
        <v>2644.705</v>
      </c>
      <c r="G114" s="20" t="n">
        <v>2762.645</v>
      </c>
      <c r="H114" s="20" t="n">
        <v>1409.61</v>
      </c>
      <c r="I114" s="20" t="n">
        <v>2167.012</v>
      </c>
      <c r="J114" s="20" t="n">
        <v>2307.494</v>
      </c>
      <c r="K114" s="20" t="n">
        <v>2666.904</v>
      </c>
      <c r="L114" s="20" t="n">
        <v>2640.114</v>
      </c>
    </row>
    <row r="115">
      <c r="A115" s="18" t="inlineStr">
        <is>
          <t>선급연금비용</t>
        </is>
      </c>
      <c r="H115" s="20" t="n">
        <v>26.118</v>
      </c>
      <c r="I115" s="20" t="n">
        <v>17.952</v>
      </c>
    </row>
    <row r="116">
      <c r="A116" s="18" t="inlineStr">
        <is>
          <t>퇴직급여자산</t>
        </is>
      </c>
      <c r="E116" s="20" t="n">
        <v>89.086</v>
      </c>
      <c r="F116" s="20" t="n">
        <v>89.352</v>
      </c>
      <c r="G116" s="20" t="n">
        <v>90.255</v>
      </c>
      <c r="H116" s="20" t="n">
        <v>0</v>
      </c>
      <c r="I116" s="20" t="n">
        <v>0.977</v>
      </c>
      <c r="J116" s="20" t="n">
        <v>0</v>
      </c>
      <c r="K116" s="20" t="n">
        <v>0</v>
      </c>
      <c r="L116" s="20" t="n">
        <v>89.086</v>
      </c>
    </row>
    <row r="117">
      <c r="A117" s="18" t="inlineStr">
        <is>
          <t>기타</t>
        </is>
      </c>
      <c r="C117" s="20" t="n">
        <v>928.885</v>
      </c>
      <c r="D117" s="20" t="n">
        <v>913.575</v>
      </c>
      <c r="E117" s="20" t="n">
        <v>955.372</v>
      </c>
      <c r="F117" s="20" t="n">
        <v>751.073</v>
      </c>
      <c r="G117" s="20" t="n">
        <v>769.609</v>
      </c>
      <c r="H117" s="20" t="n">
        <v>127.209</v>
      </c>
      <c r="I117" s="20" t="n">
        <v>161.482</v>
      </c>
      <c r="J117" s="20" t="n">
        <v>586.159</v>
      </c>
      <c r="K117" s="20" t="n">
        <v>195.838</v>
      </c>
      <c r="L117" s="20" t="n">
        <v>955.372</v>
      </c>
    </row>
    <row r="118">
      <c r="A118" s="18" t="inlineStr">
        <is>
          <t>대손충당금</t>
        </is>
      </c>
      <c r="C118" s="20" t="n">
        <v>-42.443</v>
      </c>
      <c r="D118" s="20" t="n">
        <v>-42.443</v>
      </c>
      <c r="E118" s="20" t="n">
        <v>-55.516</v>
      </c>
      <c r="F118" s="20" t="n">
        <v>-55.156</v>
      </c>
      <c r="G118" s="20" t="n">
        <v>-55.006</v>
      </c>
      <c r="H118" s="20" t="n">
        <v>-47.313</v>
      </c>
      <c r="I118" s="20" t="n">
        <v>-47.313</v>
      </c>
      <c r="J118" s="20" t="n">
        <v>-43.463</v>
      </c>
      <c r="K118" s="20" t="n">
        <v>-42.443</v>
      </c>
      <c r="L118" s="20" t="n">
        <v>-55.516</v>
      </c>
    </row>
    <row r="119">
      <c r="A119" s="18" t="inlineStr">
        <is>
          <t>투자 및 기타자산 합계</t>
        </is>
      </c>
      <c r="C119" s="20" t="n">
        <v>5127.681</v>
      </c>
      <c r="D119" s="20" t="n">
        <v>5194.352</v>
      </c>
      <c r="E119" s="20" t="n">
        <v>5552.309</v>
      </c>
      <c r="F119" s="20" t="n">
        <v>5890.855</v>
      </c>
      <c r="G119" s="20" t="n">
        <v>5884.216</v>
      </c>
      <c r="H119" s="20" t="n">
        <v>2393.571</v>
      </c>
      <c r="I119" s="20" t="n">
        <v>3420.94</v>
      </c>
      <c r="J119" s="20" t="n">
        <v>4062.063</v>
      </c>
      <c r="K119" s="20" t="n">
        <v>4848.929</v>
      </c>
      <c r="L119" s="20" t="n">
        <v>5552.309</v>
      </c>
    </row>
    <row r="120">
      <c r="A120" s="9" t="inlineStr">
        <is>
          <t>비유동자산 합계</t>
        </is>
      </c>
      <c r="C120" s="12" t="n">
        <v>17709.541</v>
      </c>
      <c r="D120" s="12" t="n">
        <v>17555.98</v>
      </c>
      <c r="E120" s="12" t="n">
        <v>17715.812</v>
      </c>
      <c r="F120" s="12" t="n">
        <v>20712.144</v>
      </c>
      <c r="G120" s="12" t="n">
        <v>20499.543</v>
      </c>
      <c r="H120" s="12" t="n">
        <v>8993.066999999999</v>
      </c>
      <c r="I120" s="12" t="n">
        <v>10298.602</v>
      </c>
      <c r="J120" s="12" t="n">
        <v>13797.728</v>
      </c>
      <c r="K120" s="12" t="n">
        <v>17579.417</v>
      </c>
      <c r="L120" s="12" t="n">
        <v>17715.812</v>
      </c>
    </row>
    <row r="121">
      <c r="A121" s="9" t="inlineStr">
        <is>
          <t>자산 합계</t>
        </is>
      </c>
      <c r="C121" s="12" t="n">
        <v>31782.305</v>
      </c>
      <c r="D121" s="12" t="n">
        <v>33941.372</v>
      </c>
      <c r="E121" s="12" t="n">
        <v>36616.912</v>
      </c>
      <c r="F121" s="12" t="n">
        <v>36518.474</v>
      </c>
      <c r="G121" s="12" t="n">
        <v>35333.331</v>
      </c>
      <c r="H121" s="12" t="n">
        <v>18140.421</v>
      </c>
      <c r="I121" s="12" t="n">
        <v>21226.492</v>
      </c>
      <c r="J121" s="12" t="n">
        <v>25535.312</v>
      </c>
      <c r="K121" s="12" t="n">
        <v>31596.98</v>
      </c>
      <c r="L121" s="12" t="n">
        <v>36616.912</v>
      </c>
    </row>
    <row r="122">
      <c r="A122" s="18" t="inlineStr">
        <is>
          <t>영업미지급금</t>
        </is>
      </c>
      <c r="C122" s="20" t="n">
        <v>2635.289</v>
      </c>
      <c r="D122" s="20" t="n">
        <v>2861.761</v>
      </c>
      <c r="E122" s="20" t="n">
        <v>4151.137</v>
      </c>
      <c r="F122" s="20" t="n">
        <v>2992.331</v>
      </c>
      <c r="G122" s="20" t="n">
        <v>2737.914</v>
      </c>
      <c r="H122" s="20" t="n">
        <v>2736.231</v>
      </c>
      <c r="I122" s="20" t="n">
        <v>2893.326</v>
      </c>
      <c r="J122" s="20" t="n">
        <v>3251.747</v>
      </c>
      <c r="K122" s="20" t="n">
        <v>3630.052</v>
      </c>
      <c r="L122" s="20" t="n">
        <v>4151.137</v>
      </c>
    </row>
    <row r="123">
      <c r="A123" s="18" t="inlineStr">
        <is>
          <t>단기차입금</t>
        </is>
      </c>
      <c r="C123" s="20" t="n">
        <v>5130</v>
      </c>
      <c r="D123" s="20" t="n">
        <v>5130</v>
      </c>
      <c r="E123" s="20" t="n">
        <v>5130</v>
      </c>
      <c r="F123" s="20" t="n">
        <v>5130</v>
      </c>
      <c r="G123" s="20" t="n">
        <v>5930</v>
      </c>
      <c r="H123" s="20" t="n">
        <v>1030</v>
      </c>
      <c r="I123" s="20" t="n">
        <v>1630</v>
      </c>
      <c r="J123" s="20" t="n">
        <v>2030</v>
      </c>
      <c r="K123" s="20" t="n">
        <v>4330</v>
      </c>
      <c r="L123" s="20" t="n">
        <v>5130</v>
      </c>
    </row>
    <row r="124">
      <c r="A124" s="18" t="inlineStr">
        <is>
          <t>1년 내 상환 장기차입금</t>
        </is>
      </c>
      <c r="C124" s="20" t="n">
        <v>805.818</v>
      </c>
      <c r="D124" s="20" t="n">
        <v>979.054</v>
      </c>
      <c r="E124" s="20" t="n">
        <v>1957.472</v>
      </c>
      <c r="F124" s="20" t="n">
        <v>1944.224</v>
      </c>
      <c r="G124" s="20" t="n">
        <v>1930.936</v>
      </c>
      <c r="H124" s="20" t="n">
        <v>464.044</v>
      </c>
      <c r="I124" s="20" t="n">
        <v>370.462</v>
      </c>
      <c r="J124" s="20" t="n">
        <v>499.052</v>
      </c>
      <c r="K124" s="20" t="n">
        <v>886.2910000000001</v>
      </c>
      <c r="L124" s="20" t="n">
        <v>1957.472</v>
      </c>
    </row>
    <row r="125">
      <c r="A125" s="18" t="inlineStr">
        <is>
          <t>리스부채</t>
        </is>
      </c>
      <c r="E125" s="20" t="n">
        <v>155.13</v>
      </c>
      <c r="H125" s="20" t="n">
        <v>56.101</v>
      </c>
      <c r="I125" s="20" t="n">
        <v>63.991</v>
      </c>
      <c r="J125" s="20" t="n">
        <v>161.769</v>
      </c>
      <c r="K125" s="20" t="n">
        <v>160.989</v>
      </c>
      <c r="L125" s="20" t="n">
        <v>155.13</v>
      </c>
    </row>
    <row r="126">
      <c r="A126" s="18" t="inlineStr">
        <is>
          <t>미지급금</t>
        </is>
      </c>
      <c r="E126" s="20" t="n">
        <v>861.014</v>
      </c>
      <c r="H126" s="20" t="n">
        <v>428.339</v>
      </c>
      <c r="I126" s="20" t="n">
        <v>827.953</v>
      </c>
      <c r="J126" s="20" t="n">
        <v>738.4450000000001</v>
      </c>
      <c r="K126" s="20" t="n">
        <v>1136.873</v>
      </c>
      <c r="L126" s="20" t="n">
        <v>861.014</v>
      </c>
    </row>
    <row r="127">
      <c r="A127" s="18" t="inlineStr">
        <is>
          <t>미지급비용</t>
        </is>
      </c>
      <c r="E127" s="20" t="n">
        <v>399.352</v>
      </c>
      <c r="H127" s="20" t="n">
        <v>176.506</v>
      </c>
      <c r="I127" s="20" t="n">
        <v>311.042</v>
      </c>
      <c r="J127" s="20" t="n">
        <v>274.319</v>
      </c>
      <c r="K127" s="20" t="n">
        <v>354.712</v>
      </c>
      <c r="L127" s="20" t="n">
        <v>399.352</v>
      </c>
    </row>
    <row r="128">
      <c r="A128" s="18" t="inlineStr">
        <is>
          <t>미지급법인세</t>
        </is>
      </c>
      <c r="C128" s="20" t="n">
        <v>752.616</v>
      </c>
      <c r="D128" s="20" t="n">
        <v>790.899</v>
      </c>
      <c r="E128" s="20" t="n">
        <v>1056.345</v>
      </c>
      <c r="F128" s="20" t="n">
        <v>490.078</v>
      </c>
      <c r="G128" s="20" t="n">
        <v>896.739</v>
      </c>
      <c r="H128" s="20" t="n">
        <v>405.866</v>
      </c>
      <c r="I128" s="20" t="n">
        <v>511.774</v>
      </c>
      <c r="J128" s="20" t="n">
        <v>533.103</v>
      </c>
      <c r="K128" s="20" t="n">
        <v>760.251</v>
      </c>
      <c r="L128" s="20" t="n">
        <v>1056.345</v>
      </c>
    </row>
    <row r="129">
      <c r="A129" s="18" t="inlineStr">
        <is>
          <t>미지급 소비세</t>
        </is>
      </c>
      <c r="E129" s="20" t="n">
        <v>977.7380000000001</v>
      </c>
      <c r="H129" s="20" t="n">
        <v>174.226</v>
      </c>
      <c r="I129" s="20" t="n">
        <v>299.336</v>
      </c>
      <c r="J129" s="20" t="n">
        <v>263.267</v>
      </c>
      <c r="K129" s="20" t="n">
        <v>207.814</v>
      </c>
      <c r="L129" s="20" t="n">
        <v>977.7380000000001</v>
      </c>
    </row>
    <row r="130">
      <c r="A130" s="18" t="inlineStr">
        <is>
          <t>선수금</t>
        </is>
      </c>
      <c r="E130" s="20" t="n">
        <v>243.238</v>
      </c>
      <c r="H130" s="20" t="n">
        <v>108.521</v>
      </c>
      <c r="I130" s="20" t="n">
        <v>108.95</v>
      </c>
      <c r="J130" s="20" t="n">
        <v>208.253</v>
      </c>
      <c r="K130" s="20" t="n">
        <v>239.609</v>
      </c>
      <c r="L130" s="20" t="n">
        <v>243.238</v>
      </c>
    </row>
    <row r="131">
      <c r="A131" s="18" t="inlineStr">
        <is>
          <t>예수금</t>
        </is>
      </c>
      <c r="E131" s="20" t="n">
        <v>163.587</v>
      </c>
      <c r="H131" s="20" t="n">
        <v>87.545</v>
      </c>
      <c r="I131" s="20" t="n">
        <v>96.297</v>
      </c>
      <c r="J131" s="20" t="n">
        <v>196.293</v>
      </c>
      <c r="K131" s="20" t="n">
        <v>169.307</v>
      </c>
      <c r="L131" s="20" t="n">
        <v>163.587</v>
      </c>
    </row>
    <row r="132">
      <c r="A132" s="18" t="inlineStr">
        <is>
          <t>상여충당금</t>
        </is>
      </c>
      <c r="C132" s="20" t="n">
        <v>423.805</v>
      </c>
      <c r="D132" s="20" t="n">
        <v>317.68</v>
      </c>
      <c r="E132" s="20" t="n">
        <v>454.994</v>
      </c>
      <c r="F132" s="20" t="n">
        <v>345.288</v>
      </c>
      <c r="G132" s="20" t="n">
        <v>481.748</v>
      </c>
      <c r="H132" s="20" t="n">
        <v>288.371</v>
      </c>
      <c r="I132" s="20" t="n">
        <v>353.32</v>
      </c>
      <c r="J132" s="20" t="n">
        <v>359.297</v>
      </c>
      <c r="K132" s="20" t="n">
        <v>418.574</v>
      </c>
      <c r="L132" s="20" t="n">
        <v>454.994</v>
      </c>
    </row>
    <row r="133">
      <c r="A133" s="18" t="inlineStr">
        <is>
          <t>리스자산 손상 계정</t>
        </is>
      </c>
      <c r="H133" s="20" t="n">
        <v>24.84</v>
      </c>
      <c r="I133" s="20" t="n">
        <v>8.448</v>
      </c>
      <c r="J133" s="20" t="n">
        <v>1.5</v>
      </c>
    </row>
    <row r="134">
      <c r="A134" s="18" t="inlineStr">
        <is>
          <t>자산복구부채</t>
        </is>
      </c>
      <c r="C134" s="20" t="n">
        <v>25.502</v>
      </c>
      <c r="D134" s="20" t="n">
        <v>25.508</v>
      </c>
      <c r="E134" s="20" t="n">
        <v>45.198</v>
      </c>
      <c r="F134" s="20" t="n">
        <v>45.258</v>
      </c>
      <c r="G134" s="20" t="n">
        <v>59.219</v>
      </c>
      <c r="K134" s="20" t="n">
        <v>25.49</v>
      </c>
      <c r="L134" s="20" t="n">
        <v>45.198</v>
      </c>
    </row>
    <row r="135">
      <c r="A135" s="18" t="inlineStr">
        <is>
          <t>기타</t>
        </is>
      </c>
      <c r="C135" s="20" t="n">
        <v>2021.091</v>
      </c>
      <c r="D135" s="20" t="n">
        <v>2399.018</v>
      </c>
      <c r="E135" s="20" t="n">
        <v>2800.605</v>
      </c>
      <c r="F135" s="20" t="n">
        <v>4597.5</v>
      </c>
      <c r="G135" s="20" t="n">
        <v>1934.711</v>
      </c>
      <c r="H135" s="20" t="n">
        <v>1056.08</v>
      </c>
      <c r="I135" s="20" t="n">
        <v>1716.02</v>
      </c>
      <c r="J135" s="20" t="n">
        <v>1843.85</v>
      </c>
      <c r="K135" s="20" t="n">
        <v>0.31</v>
      </c>
      <c r="L135" s="20" t="n">
        <v>2800.605</v>
      </c>
    </row>
    <row r="136">
      <c r="A136" s="9" t="inlineStr">
        <is>
          <t>유동부채 합계</t>
        </is>
      </c>
      <c r="C136" s="12" t="n">
        <v>11794.123</v>
      </c>
      <c r="D136" s="12" t="n">
        <v>12503.923</v>
      </c>
      <c r="E136" s="12" t="n">
        <v>15595.753</v>
      </c>
      <c r="F136" s="12" t="n">
        <v>15544.681</v>
      </c>
      <c r="G136" s="12" t="n">
        <v>13971.269</v>
      </c>
      <c r="H136" s="12" t="n">
        <v>5980.594</v>
      </c>
      <c r="I136" s="12" t="n">
        <v>7474.904</v>
      </c>
      <c r="J136" s="12" t="n">
        <v>8517.049999999999</v>
      </c>
      <c r="K136" s="12" t="n">
        <v>12320.278</v>
      </c>
      <c r="L136" s="12" t="n">
        <v>15595.753</v>
      </c>
    </row>
    <row r="137">
      <c r="A137" s="18" t="inlineStr">
        <is>
          <t>장기차입금</t>
        </is>
      </c>
      <c r="C137" s="20" t="n">
        <v>3307.189</v>
      </c>
      <c r="D137" s="20" t="n">
        <v>3911.808</v>
      </c>
      <c r="E137" s="20" t="n">
        <v>2683.532</v>
      </c>
      <c r="F137" s="20" t="n">
        <v>2449.59</v>
      </c>
      <c r="G137" s="20" t="n">
        <v>2220.504</v>
      </c>
      <c r="H137" s="20" t="n">
        <v>1115.817</v>
      </c>
      <c r="I137" s="20" t="n">
        <v>1745.355</v>
      </c>
      <c r="J137" s="20" t="n">
        <v>2663.817</v>
      </c>
      <c r="K137" s="20" t="n">
        <v>3672.517</v>
      </c>
      <c r="L137" s="20" t="n">
        <v>2683.532</v>
      </c>
    </row>
    <row r="138">
      <c r="A138" s="18" t="inlineStr">
        <is>
          <t>리스부채</t>
        </is>
      </c>
      <c r="E138" s="20" t="n">
        <v>277.265</v>
      </c>
      <c r="H138" s="20" t="n">
        <v>83.72</v>
      </c>
      <c r="I138" s="20" t="n">
        <v>168.377</v>
      </c>
      <c r="J138" s="20" t="n">
        <v>573.321</v>
      </c>
      <c r="K138" s="20" t="n">
        <v>416.653</v>
      </c>
      <c r="L138" s="20" t="n">
        <v>277.265</v>
      </c>
    </row>
    <row r="139">
      <c r="A139" s="18" t="inlineStr">
        <is>
          <t>이연법인세부채</t>
        </is>
      </c>
      <c r="E139" s="20" t="n">
        <v>419.239</v>
      </c>
      <c r="H139" s="20" t="n">
        <v>25.426</v>
      </c>
      <c r="I139" s="20" t="n">
        <v>41.417</v>
      </c>
      <c r="J139" s="20" t="n">
        <v>72.77500000000001</v>
      </c>
      <c r="K139" s="20" t="n">
        <v>148.22</v>
      </c>
      <c r="L139" s="20" t="n">
        <v>419.239</v>
      </c>
    </row>
    <row r="140">
      <c r="A140" s="18" t="inlineStr">
        <is>
          <t>장기 예수금</t>
        </is>
      </c>
      <c r="E140" s="20" t="n">
        <v>294.629</v>
      </c>
      <c r="H140" s="20" t="n">
        <v>211.614</v>
      </c>
      <c r="I140" s="20" t="n">
        <v>180.413</v>
      </c>
      <c r="J140" s="20" t="n">
        <v>178.541</v>
      </c>
      <c r="K140" s="20" t="n">
        <v>288.594</v>
      </c>
      <c r="L140" s="20" t="n">
        <v>294.629</v>
      </c>
    </row>
    <row r="141">
      <c r="A141" s="18" t="inlineStr">
        <is>
          <t>퇴직급여부채</t>
        </is>
      </c>
      <c r="C141" s="20" t="n">
        <v>182.926</v>
      </c>
      <c r="D141" s="20" t="n">
        <v>185.579</v>
      </c>
      <c r="E141" s="20" t="n">
        <v>165.131</v>
      </c>
      <c r="F141" s="20" t="n">
        <v>167.98</v>
      </c>
      <c r="G141" s="20" t="n">
        <v>171.738</v>
      </c>
      <c r="H141" s="20" t="n">
        <v>137.823</v>
      </c>
      <c r="I141" s="20" t="n">
        <v>145.229</v>
      </c>
      <c r="J141" s="20" t="n">
        <v>152.731</v>
      </c>
      <c r="K141" s="20" t="n">
        <v>146.286</v>
      </c>
      <c r="L141" s="20" t="n">
        <v>165.131</v>
      </c>
    </row>
    <row r="142">
      <c r="A142" s="18" t="inlineStr">
        <is>
          <t>장기미지급금</t>
        </is>
      </c>
      <c r="E142" s="20" t="n">
        <v>449.859</v>
      </c>
      <c r="H142" s="20" t="n">
        <v>368.34</v>
      </c>
      <c r="I142" s="20" t="n">
        <v>307.382</v>
      </c>
      <c r="J142" s="20" t="n">
        <v>490.217</v>
      </c>
      <c r="K142" s="20" t="n">
        <v>500.122</v>
      </c>
      <c r="L142" s="20" t="n">
        <v>449.859</v>
      </c>
    </row>
    <row r="143">
      <c r="A143" s="18" t="inlineStr">
        <is>
          <t>장기선수금</t>
        </is>
      </c>
      <c r="E143" s="20" t="n">
        <v>199.398</v>
      </c>
      <c r="H143" s="20" t="n">
        <v>72.41800000000001</v>
      </c>
      <c r="I143" s="20" t="n">
        <v>84.71899999999999</v>
      </c>
      <c r="J143" s="20" t="n">
        <v>244.624</v>
      </c>
      <c r="K143" s="20" t="n">
        <v>214.839</v>
      </c>
      <c r="L143" s="20" t="n">
        <v>199.398</v>
      </c>
    </row>
    <row r="144">
      <c r="A144" s="18" t="inlineStr">
        <is>
          <t>장기 리스자산 손상 계정</t>
        </is>
      </c>
      <c r="H144" s="20" t="n">
        <v>9.948</v>
      </c>
      <c r="I144" s="20" t="n">
        <v>1.5</v>
      </c>
      <c r="J144" s="20" t="n">
        <v>0</v>
      </c>
    </row>
    <row r="145">
      <c r="A145" s="18" t="inlineStr">
        <is>
          <t>자산복구부채</t>
        </is>
      </c>
      <c r="C145" s="20" t="n">
        <v>416.898</v>
      </c>
      <c r="D145" s="20" t="n">
        <v>417.574</v>
      </c>
      <c r="E145" s="20" t="n">
        <v>418.251</v>
      </c>
      <c r="F145" s="20" t="n">
        <v>418.93</v>
      </c>
      <c r="G145" s="20" t="n">
        <v>419.092</v>
      </c>
      <c r="H145" s="20" t="n">
        <v>271.256</v>
      </c>
      <c r="I145" s="20" t="n">
        <v>206.208</v>
      </c>
      <c r="J145" s="20" t="n">
        <v>330.343</v>
      </c>
      <c r="K145" s="20" t="n">
        <v>379.593</v>
      </c>
      <c r="L145" s="20" t="n">
        <v>418.251</v>
      </c>
    </row>
    <row r="146">
      <c r="A146" s="18" t="inlineStr">
        <is>
          <t>기타</t>
        </is>
      </c>
      <c r="C146" s="20" t="n">
        <v>1654.701</v>
      </c>
      <c r="D146" s="20" t="n">
        <v>1572.59</v>
      </c>
      <c r="E146" s="20" t="n">
        <v>1640.392</v>
      </c>
      <c r="F146" s="20" t="n">
        <v>1614.2</v>
      </c>
      <c r="G146" s="20" t="n">
        <v>1481.521</v>
      </c>
      <c r="H146" s="20" t="n">
        <v>771.4690000000001</v>
      </c>
      <c r="I146" s="20" t="n">
        <v>783.811</v>
      </c>
      <c r="J146" s="20" t="n">
        <v>1559.481</v>
      </c>
      <c r="K146" s="20" t="n">
        <v>1568.43</v>
      </c>
      <c r="L146" s="20" t="n">
        <v>1640.392</v>
      </c>
    </row>
    <row r="147">
      <c r="A147" s="9" t="inlineStr">
        <is>
          <t>비유동부채 합계</t>
        </is>
      </c>
      <c r="C147" s="12" t="n">
        <v>5561.715</v>
      </c>
      <c r="D147" s="12" t="n">
        <v>6087.552</v>
      </c>
      <c r="E147" s="12" t="n">
        <v>4907.307</v>
      </c>
      <c r="F147" s="12" t="n">
        <v>4650.701</v>
      </c>
      <c r="G147" s="12" t="n">
        <v>4292.856</v>
      </c>
      <c r="H147" s="12" t="n">
        <v>2296.366</v>
      </c>
      <c r="I147" s="12" t="n">
        <v>2880.604</v>
      </c>
      <c r="J147" s="12" t="n">
        <v>4706.374</v>
      </c>
      <c r="K147" s="12" t="n">
        <v>5766.827</v>
      </c>
      <c r="L147" s="12" t="n">
        <v>4907.307</v>
      </c>
    </row>
    <row r="148">
      <c r="A148" s="9" t="inlineStr">
        <is>
          <t>부채 합계</t>
        </is>
      </c>
      <c r="C148" s="12" t="n">
        <v>17355.839</v>
      </c>
      <c r="D148" s="12" t="n">
        <v>18591.475</v>
      </c>
      <c r="E148" s="12" t="n">
        <v>20503.06</v>
      </c>
      <c r="F148" s="12" t="n">
        <v>20195.383</v>
      </c>
      <c r="G148" s="12" t="n">
        <v>18264.126</v>
      </c>
      <c r="H148" s="12" t="n">
        <v>8276.960999999999</v>
      </c>
      <c r="I148" s="12" t="n">
        <v>10355.508</v>
      </c>
      <c r="J148" s="12" t="n">
        <v>13223.425</v>
      </c>
      <c r="K148" s="12" t="n">
        <v>18087.105</v>
      </c>
      <c r="L148" s="12" t="n">
        <v>20503.06</v>
      </c>
    </row>
    <row r="149">
      <c r="A149" s="18" t="inlineStr">
        <is>
          <t>자본금</t>
        </is>
      </c>
      <c r="C149" s="20" t="n">
        <v>1001.996</v>
      </c>
      <c r="D149" s="20" t="n">
        <v>1001.996</v>
      </c>
      <c r="E149" s="20" t="n">
        <v>1001.996</v>
      </c>
      <c r="F149" s="20" t="n">
        <v>1001.996</v>
      </c>
      <c r="G149" s="20" t="n">
        <v>1001.996</v>
      </c>
      <c r="H149" s="20" t="n">
        <v>1001.996</v>
      </c>
      <c r="I149" s="20" t="n">
        <v>1001.996</v>
      </c>
      <c r="J149" s="20" t="n">
        <v>1001.996</v>
      </c>
      <c r="K149" s="20" t="n">
        <v>1001.996</v>
      </c>
      <c r="L149" s="20" t="n">
        <v>1001.996</v>
      </c>
    </row>
    <row r="150">
      <c r="A150" s="18" t="inlineStr">
        <is>
          <t>자본준비금</t>
        </is>
      </c>
      <c r="H150" s="20" t="n">
        <v>95.95</v>
      </c>
      <c r="I150" s="20" t="n">
        <v>95.95</v>
      </c>
    </row>
    <row r="151">
      <c r="A151" s="18" t="inlineStr">
        <is>
          <t>기타자본잉여금</t>
        </is>
      </c>
      <c r="H151" s="20" t="n">
        <v>11.307</v>
      </c>
      <c r="I151" s="20" t="n">
        <v>19.839</v>
      </c>
    </row>
    <row r="152">
      <c r="A152" s="18" t="inlineStr">
        <is>
          <t>자본잉여금</t>
        </is>
      </c>
      <c r="C152" s="20" t="n">
        <v>198.93</v>
      </c>
      <c r="D152" s="20" t="n">
        <v>198.93</v>
      </c>
      <c r="E152" s="20" t="n">
        <v>198.93</v>
      </c>
      <c r="F152" s="20" t="n">
        <v>198.93</v>
      </c>
      <c r="G152" s="20" t="n">
        <v>236.706</v>
      </c>
      <c r="H152" s="20" t="n">
        <v>107.257</v>
      </c>
      <c r="I152" s="20" t="n">
        <v>115.789</v>
      </c>
      <c r="J152" s="20" t="n">
        <v>140.422</v>
      </c>
      <c r="K152" s="20" t="n">
        <v>177.259</v>
      </c>
      <c r="L152" s="20" t="n">
        <v>198.93</v>
      </c>
    </row>
    <row r="153">
      <c r="A153" s="18" t="inlineStr">
        <is>
          <t>이익준비금</t>
        </is>
      </c>
      <c r="H153" s="20" t="n">
        <v>154.549</v>
      </c>
      <c r="I153" s="20" t="n">
        <v>154.549</v>
      </c>
    </row>
    <row r="154">
      <c r="A154" s="18" t="inlineStr">
        <is>
          <t>압축 적립금</t>
        </is>
      </c>
      <c r="H154" s="20" t="n">
        <v>59.285</v>
      </c>
      <c r="I154" s="20" t="n">
        <v>56.123</v>
      </c>
    </row>
    <row r="155">
      <c r="A155" s="18" t="inlineStr">
        <is>
          <t>별도적립금</t>
        </is>
      </c>
      <c r="H155" s="20" t="n">
        <v>5720</v>
      </c>
      <c r="I155" s="20" t="n">
        <v>5820</v>
      </c>
    </row>
    <row r="156">
      <c r="A156" s="18" t="inlineStr">
        <is>
          <t>이월이익잉여금</t>
        </is>
      </c>
      <c r="H156" s="20" t="n">
        <v>2180.088</v>
      </c>
      <c r="I156" s="20" t="n">
        <v>2569.485</v>
      </c>
    </row>
    <row r="157">
      <c r="A157" s="18" t="inlineStr">
        <is>
          <t>이익잉여금</t>
        </is>
      </c>
      <c r="C157" s="20" t="n">
        <v>12858.928</v>
      </c>
      <c r="D157" s="20" t="n">
        <v>13693.402</v>
      </c>
      <c r="E157" s="20" t="n">
        <v>14238.013</v>
      </c>
      <c r="F157" s="20" t="n">
        <v>14081.786</v>
      </c>
      <c r="G157" s="20" t="n">
        <v>14833.75</v>
      </c>
      <c r="H157" s="20" t="n">
        <v>8808.787</v>
      </c>
      <c r="I157" s="20" t="n">
        <v>9737.839</v>
      </c>
      <c r="J157" s="20" t="n">
        <v>10850.916</v>
      </c>
      <c r="K157" s="20" t="n">
        <v>12182.494</v>
      </c>
      <c r="L157" s="20" t="n">
        <v>14238.013</v>
      </c>
    </row>
    <row r="158">
      <c r="A158" s="18" t="inlineStr">
        <is>
          <t>자기주식</t>
        </is>
      </c>
      <c r="C158" s="20" t="n">
        <v>-210.335</v>
      </c>
      <c r="D158" s="20" t="n">
        <v>-210.335</v>
      </c>
      <c r="E158" s="20" t="n">
        <v>-210.335</v>
      </c>
      <c r="F158" s="20" t="n">
        <v>-210.335</v>
      </c>
      <c r="G158" s="20" t="n">
        <v>-150.136</v>
      </c>
      <c r="H158" s="20" t="n">
        <v>-101.786</v>
      </c>
      <c r="I158" s="20" t="n">
        <v>-70.13500000000001</v>
      </c>
      <c r="J158" s="20" t="n">
        <v>-43.931</v>
      </c>
      <c r="K158" s="20" t="n">
        <v>-264.859</v>
      </c>
      <c r="L158" s="20" t="n">
        <v>-210.335</v>
      </c>
    </row>
    <row r="159">
      <c r="A159" s="9" t="inlineStr">
        <is>
          <t>주주자본 합계</t>
        </is>
      </c>
      <c r="C159" s="12" t="n">
        <v>13849.52</v>
      </c>
      <c r="D159" s="12" t="n">
        <v>14683.993</v>
      </c>
      <c r="E159" s="12" t="n">
        <v>15228.604</v>
      </c>
      <c r="F159" s="12" t="n">
        <v>15072.377</v>
      </c>
      <c r="G159" s="12" t="n">
        <v>15922.317</v>
      </c>
      <c r="H159" s="12" t="n">
        <v>9816.254000000001</v>
      </c>
      <c r="I159" s="12" t="n">
        <v>10785.489</v>
      </c>
      <c r="J159" s="12" t="n">
        <v>11949.403</v>
      </c>
      <c r="K159" s="12" t="n">
        <v>13096.89</v>
      </c>
      <c r="L159" s="12" t="n">
        <v>15228.604</v>
      </c>
    </row>
    <row r="160">
      <c r="A160" s="18" t="inlineStr">
        <is>
          <t>기타유가증권 평가차액</t>
        </is>
      </c>
      <c r="C160" s="20" t="n">
        <v>597.84</v>
      </c>
      <c r="D160" s="20" t="n">
        <v>685.865</v>
      </c>
      <c r="E160" s="20" t="n">
        <v>826.917</v>
      </c>
      <c r="F160" s="20" t="n">
        <v>1193.234</v>
      </c>
      <c r="G160" s="20" t="n">
        <v>1090.261</v>
      </c>
      <c r="H160" s="20" t="n">
        <v>78.122</v>
      </c>
      <c r="I160" s="20" t="n">
        <v>111.792</v>
      </c>
      <c r="J160" s="20" t="n">
        <v>390.403</v>
      </c>
      <c r="K160" s="20" t="n">
        <v>435.743</v>
      </c>
      <c r="L160" s="20" t="n">
        <v>826.917</v>
      </c>
    </row>
    <row r="161">
      <c r="A161" s="18" t="inlineStr">
        <is>
          <t>퇴직급여 조정누계액</t>
        </is>
      </c>
      <c r="C161" s="20" t="n">
        <v>-20.894</v>
      </c>
      <c r="D161" s="20" t="n">
        <v>-19.961</v>
      </c>
      <c r="E161" s="20" t="n">
        <v>58.33</v>
      </c>
      <c r="F161" s="20" t="n">
        <v>57.478</v>
      </c>
      <c r="G161" s="20" t="n">
        <v>56.626</v>
      </c>
      <c r="H161" s="20" t="n">
        <v>-30.916</v>
      </c>
      <c r="I161" s="20" t="n">
        <v>-26.298</v>
      </c>
      <c r="J161" s="20" t="n">
        <v>-27.919</v>
      </c>
      <c r="K161" s="20" t="n">
        <v>-22.759</v>
      </c>
      <c r="L161" s="20" t="n">
        <v>58.33</v>
      </c>
    </row>
    <row r="162">
      <c r="A162" s="18" t="inlineStr">
        <is>
          <t>기타포괄손익누계액 합계</t>
        </is>
      </c>
      <c r="C162" s="20" t="n">
        <v>576.946</v>
      </c>
      <c r="D162" s="20" t="n">
        <v>665.903</v>
      </c>
      <c r="E162" s="20" t="n">
        <v>885.247</v>
      </c>
      <c r="F162" s="20" t="n">
        <v>1250.712</v>
      </c>
      <c r="G162" s="20" t="n">
        <v>1146.887</v>
      </c>
      <c r="H162" s="20" t="n">
        <v>47.205</v>
      </c>
      <c r="I162" s="20" t="n">
        <v>85.494</v>
      </c>
      <c r="J162" s="20" t="n">
        <v>362.484</v>
      </c>
      <c r="K162" s="20" t="n">
        <v>412.984</v>
      </c>
      <c r="L162" s="20" t="n">
        <v>885.247</v>
      </c>
    </row>
    <row r="163">
      <c r="A163" s="9" t="inlineStr">
        <is>
          <t>순자산 합계</t>
        </is>
      </c>
      <c r="C163" s="12" t="n">
        <v>14426.466</v>
      </c>
      <c r="D163" s="12" t="n">
        <v>15349.897</v>
      </c>
      <c r="E163" s="12" t="n">
        <v>16113.852</v>
      </c>
      <c r="F163" s="12" t="n">
        <v>16323.09</v>
      </c>
      <c r="G163" s="12" t="n">
        <v>17069.204</v>
      </c>
      <c r="H163" s="12" t="n">
        <v>9863.459999999999</v>
      </c>
      <c r="I163" s="12" t="n">
        <v>10870.984</v>
      </c>
      <c r="J163" s="12" t="n">
        <v>12311.887</v>
      </c>
      <c r="K163" s="12" t="n">
        <v>13509.874</v>
      </c>
      <c r="L163" s="12" t="n">
        <v>16113.852</v>
      </c>
    </row>
    <row r="164">
      <c r="A164" s="9" t="inlineStr">
        <is>
          <t>부채·순자산 합계</t>
        </is>
      </c>
      <c r="C164" s="12" t="n">
        <v>31782.305</v>
      </c>
      <c r="D164" s="12" t="n">
        <v>33941.372</v>
      </c>
      <c r="E164" s="12" t="n">
        <v>36616.912</v>
      </c>
      <c r="F164" s="12" t="n">
        <v>36518.474</v>
      </c>
      <c r="G164" s="12" t="n">
        <v>35333.331</v>
      </c>
      <c r="H164" s="12" t="n">
        <v>18140.421</v>
      </c>
      <c r="I164" s="12" t="n">
        <v>21226.492</v>
      </c>
      <c r="J164" s="12" t="n">
        <v>25535.312</v>
      </c>
      <c r="K164" s="12" t="n">
        <v>31596.98</v>
      </c>
      <c r="L164" s="12" t="n">
        <v>36616.912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히가시홀딩스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2Q standalone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148.5</v>
      </c>
      <c r="G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29.3</v>
      </c>
    </row>
    <row r="8">
      <c r="A8" s="54" t="inlineStr">
        <is>
          <t>sga</t>
        </is>
      </c>
      <c r="B8" s="55" t="n">
        <v>18.7</v>
      </c>
    </row>
    <row r="9">
      <c r="A9" s="54" t="inlineStr">
        <is>
          <t>영업이익</t>
        </is>
      </c>
      <c r="B9" s="55" t="n">
        <v>10.6</v>
      </c>
    </row>
    <row r="10">
      <c r="A10" s="54" t="inlineStr">
        <is>
          <t>pbt</t>
        </is>
      </c>
      <c r="B10" s="55" t="n">
        <v>11.4</v>
      </c>
    </row>
    <row r="11">
      <c r="A11" s="54" t="inlineStr">
        <is>
          <t>순이익</t>
        </is>
      </c>
      <c r="B11" s="55" t="n">
        <v>7.5</v>
      </c>
    </row>
    <row r="12">
      <c r="A12" s="54" t="inlineStr">
        <is>
          <t>ly 매출</t>
        </is>
      </c>
      <c r="B12" s="55" t="n">
        <v>138.4</v>
      </c>
    </row>
    <row r="13">
      <c r="A13" s="54" t="inlineStr">
        <is>
          <t>ly 영업이익</t>
        </is>
      </c>
      <c r="B13" s="55" t="n">
        <v>10.5</v>
      </c>
    </row>
    <row r="14">
      <c r="A14" s="54" t="inlineStr">
        <is>
          <t>ly 순이익</t>
        </is>
      </c>
      <c r="B14" s="55" t="n">
        <v>7.2</v>
      </c>
    </row>
    <row r="16">
      <c r="A16" s="52" t="inlineStr">
        <is>
          <t>this results · 상반기 cum</t>
        </is>
      </c>
      <c r="B16" s="52" t="n"/>
      <c r="C16" s="52" t="n"/>
      <c r="D16" s="52" t="n"/>
      <c r="E16" s="52" t="n"/>
      <c r="F16" s="52" t="n"/>
      <c r="G16" s="52" t="n"/>
    </row>
    <row r="17">
      <c r="A17" s="53" t="inlineStr">
        <is>
          <t>항목</t>
        </is>
      </c>
      <c r="B17" s="53" t="inlineStr">
        <is>
          <t>값</t>
        </is>
      </c>
      <c r="G17" s="53" t="inlineStr">
        <is>
          <t>출처</t>
        </is>
      </c>
    </row>
    <row r="18">
      <c r="A18" s="54" t="inlineStr">
        <is>
          <t>매출</t>
        </is>
      </c>
      <c r="B18" s="55" t="n">
        <v>300.47</v>
      </c>
      <c r="G18" s="56" t="inlineStr">
        <is>
          <t>2단계 보고서 자료(회사 설명회 자료·공시)</t>
        </is>
      </c>
    </row>
    <row r="19">
      <c r="A19" s="54" t="inlineStr">
        <is>
          <t>매출 YoY</t>
        </is>
      </c>
      <c r="B19" s="55" t="n">
        <v>12.1</v>
      </c>
    </row>
    <row r="20">
      <c r="A20" s="54" t="inlineStr">
        <is>
          <t>영업이익</t>
        </is>
      </c>
      <c r="B20" s="55" t="n">
        <v>20.47</v>
      </c>
    </row>
    <row r="21">
      <c r="A21" s="54" t="inlineStr">
        <is>
          <t>영업이익 YoY</t>
        </is>
      </c>
      <c r="B21" s="55" t="n">
        <v>10.1</v>
      </c>
    </row>
    <row r="22">
      <c r="A22" s="54" t="inlineStr">
        <is>
          <t>ordinary</t>
        </is>
      </c>
      <c r="B22" s="55" t="n">
        <v>22.28</v>
      </c>
    </row>
    <row r="23">
      <c r="A23" s="54" t="inlineStr">
        <is>
          <t>ordinary YoY</t>
        </is>
      </c>
      <c r="B23" s="55" t="n">
        <v>15.5</v>
      </c>
    </row>
    <row r="24">
      <c r="A24" s="54" t="inlineStr">
        <is>
          <t>순이익</t>
        </is>
      </c>
      <c r="B24" s="55" t="n">
        <v>13.8</v>
      </c>
    </row>
    <row r="25">
      <c r="A25" s="54" t="inlineStr">
        <is>
          <t>순이익 YoY</t>
        </is>
      </c>
      <c r="B25" s="55" t="n">
        <v>12.8</v>
      </c>
    </row>
    <row r="26">
      <c r="A26" s="54" t="inlineStr">
        <is>
          <t>EPS</t>
        </is>
      </c>
      <c r="B26" s="55" t="n">
        <v>105.36</v>
      </c>
    </row>
    <row r="28">
      <c r="A28" s="52" t="inlineStr">
        <is>
          <t>this results · 상반기 pl</t>
        </is>
      </c>
      <c r="B28" s="52" t="n"/>
      <c r="C28" s="52" t="n"/>
      <c r="D28" s="52" t="n"/>
      <c r="E28" s="52" t="n"/>
      <c r="F28" s="52" t="n"/>
      <c r="G28" s="52" t="n"/>
    </row>
    <row r="29">
      <c r="A29" s="53" t="inlineStr">
        <is>
          <t>항목</t>
        </is>
      </c>
      <c r="B29" s="53" t="inlineStr">
        <is>
          <t>값</t>
        </is>
      </c>
      <c r="G29" s="53" t="inlineStr">
        <is>
          <t>출처</t>
        </is>
      </c>
    </row>
    <row r="30">
      <c r="A30" s="54" t="inlineStr">
        <is>
          <t>매출</t>
        </is>
      </c>
      <c r="B30" s="55" t="n">
        <v>300.47</v>
      </c>
      <c r="G30" s="56" t="inlineStr">
        <is>
          <t>2단계 보고서 자료(회사 설명회 자료·공시)</t>
        </is>
      </c>
    </row>
    <row r="31">
      <c r="A31" s="54" t="inlineStr">
        <is>
          <t>cogs</t>
        </is>
      </c>
      <c r="B31" s="55" t="n">
        <v>242.32</v>
      </c>
    </row>
    <row r="32">
      <c r="A32" s="54" t="inlineStr">
        <is>
          <t>gp</t>
        </is>
      </c>
      <c r="B32" s="55" t="n">
        <v>58.14</v>
      </c>
    </row>
    <row r="33">
      <c r="A33" s="54" t="inlineStr">
        <is>
          <t>sga</t>
        </is>
      </c>
      <c r="B33" s="55" t="n">
        <v>37.67</v>
      </c>
    </row>
    <row r="34">
      <c r="A34" s="54" t="inlineStr">
        <is>
          <t>영업이익</t>
        </is>
      </c>
      <c r="B34" s="55" t="n">
        <v>20.47</v>
      </c>
    </row>
    <row r="35">
      <c r="A35" s="54" t="inlineStr">
        <is>
          <t>ordinary</t>
        </is>
      </c>
      <c r="B35" s="55" t="n">
        <v>22.28</v>
      </c>
    </row>
    <row r="36">
      <c r="A36" s="54" t="inlineStr">
        <is>
          <t>pbt</t>
        </is>
      </c>
      <c r="B36" s="55" t="n">
        <v>22.22</v>
      </c>
    </row>
    <row r="37">
      <c r="A37" s="54" t="inlineStr">
        <is>
          <t>tax</t>
        </is>
      </c>
      <c r="B37" s="55" t="n">
        <v>8.42</v>
      </c>
    </row>
    <row r="38">
      <c r="A38" s="54" t="inlineStr">
        <is>
          <t>순이익</t>
        </is>
      </c>
      <c r="B38" s="55" t="n">
        <v>13.8</v>
      </c>
    </row>
    <row r="40">
      <c r="A40" s="52" t="inlineStr">
        <is>
          <t>this results · cf 상반기</t>
        </is>
      </c>
      <c r="B40" s="52" t="n"/>
      <c r="C40" s="52" t="n"/>
      <c r="D40" s="52" t="n"/>
      <c r="E40" s="52" t="n"/>
      <c r="F40" s="52" t="n"/>
      <c r="G40" s="52" t="n"/>
    </row>
    <row r="41">
      <c r="A41" s="53" t="inlineStr">
        <is>
          <t>항목</t>
        </is>
      </c>
      <c r="B41" s="53" t="inlineStr">
        <is>
          <t>값</t>
        </is>
      </c>
      <c r="G41" s="53" t="inlineStr">
        <is>
          <t>출처</t>
        </is>
      </c>
    </row>
    <row r="42">
      <c r="A42" s="54" t="inlineStr">
        <is>
          <t>영업CF</t>
        </is>
      </c>
      <c r="B42" s="55" t="n">
        <v>6.26</v>
      </c>
      <c r="G42" s="56" t="inlineStr">
        <is>
          <t>2단계 보고서 자료(회사 설명회 자료·공시)</t>
        </is>
      </c>
    </row>
    <row r="43">
      <c r="A43" s="54" t="inlineStr">
        <is>
          <t>설비투자</t>
        </is>
      </c>
      <c r="B43" s="55" t="n">
        <v>-31.03</v>
      </c>
    </row>
    <row r="44">
      <c r="A44" s="54" t="inlineStr">
        <is>
          <t>배당</t>
        </is>
      </c>
      <c r="B44" s="55" t="n">
        <v>-7.82</v>
      </c>
    </row>
    <row r="45">
      <c r="A45" s="54" t="inlineStr">
        <is>
          <t>ly_영업CF</t>
        </is>
      </c>
      <c r="B45" s="55" t="n">
        <v>9.33</v>
      </c>
    </row>
    <row r="46">
      <c r="A46" s="54" t="inlineStr">
        <is>
          <t>ly_설비투자</t>
        </is>
      </c>
      <c r="B46" s="55" t="n">
        <v>-3.04</v>
      </c>
    </row>
    <row r="48">
      <c r="A48" s="52" t="inlineStr">
        <is>
          <t>this results · shares</t>
        </is>
      </c>
      <c r="B48" s="52" t="n"/>
      <c r="C48" s="52" t="n"/>
      <c r="D48" s="52" t="n"/>
      <c r="E48" s="52" t="n"/>
      <c r="F48" s="52" t="n"/>
      <c r="G48" s="52" t="n"/>
    </row>
    <row r="49">
      <c r="A49" s="53" t="inlineStr">
        <is>
          <t>항목</t>
        </is>
      </c>
      <c r="B49" s="53" t="inlineStr">
        <is>
          <t>값</t>
        </is>
      </c>
      <c r="G49" s="53" t="inlineStr">
        <is>
          <t>출처</t>
        </is>
      </c>
    </row>
    <row r="50">
      <c r="A50" s="54" t="inlineStr">
        <is>
          <t>issued</t>
        </is>
      </c>
      <c r="B50" s="57" t="n">
        <v>13264000</v>
      </c>
      <c r="G50" s="56" t="inlineStr">
        <is>
          <t>2단계 보고서 자료(회사 설명회 자료·공시)</t>
        </is>
      </c>
    </row>
    <row r="51">
      <c r="A51" s="54" t="inlineStr">
        <is>
          <t>treasury</t>
        </is>
      </c>
      <c r="B51" s="57" t="n">
        <v>134925</v>
      </c>
    </row>
    <row r="52">
      <c r="A52" s="54" t="inlineStr">
        <is>
          <t>avg 상반기</t>
        </is>
      </c>
      <c r="B52" s="57" t="n">
        <v>13100695</v>
      </c>
    </row>
    <row r="54">
      <c r="A54" s="52" t="inlineStr">
        <is>
          <t>quarterly EPS</t>
        </is>
      </c>
      <c r="B54" s="52" t="n"/>
      <c r="C54" s="52" t="n"/>
      <c r="D54" s="52" t="n"/>
      <c r="E54" s="52" t="n"/>
      <c r="F54" s="52" t="n"/>
      <c r="G54" s="52" t="n"/>
    </row>
    <row r="55">
      <c r="A55" s="53" t="inlineStr">
        <is>
          <t>항목</t>
        </is>
      </c>
      <c r="B55" s="53" t="inlineStr">
        <is>
          <t>값</t>
        </is>
      </c>
      <c r="G55" s="53" t="inlineStr">
        <is>
          <t>출처</t>
        </is>
      </c>
    </row>
    <row r="56">
      <c r="A56" s="54" t="inlineStr">
        <is>
          <t>2023.2Q</t>
        </is>
      </c>
      <c r="B56" s="55" t="n">
        <v>22.21</v>
      </c>
      <c r="G56" s="56" t="inlineStr">
        <is>
          <t>2단계 보고서 자료(회사 설명회 자료·공시)</t>
        </is>
      </c>
    </row>
    <row r="57">
      <c r="A57" s="54" t="inlineStr">
        <is>
          <t>2023.3Q</t>
        </is>
      </c>
      <c r="B57" s="55" t="n">
        <v>28.86</v>
      </c>
    </row>
    <row r="58">
      <c r="A58" s="54" t="inlineStr">
        <is>
          <t>2023.4Q</t>
        </is>
      </c>
      <c r="B58" s="55" t="n">
        <v>21.15</v>
      </c>
    </row>
    <row r="59">
      <c r="A59" s="54" t="inlineStr">
        <is>
          <t>2024.1Q</t>
        </is>
      </c>
      <c r="B59" s="55" t="n">
        <v>28.23</v>
      </c>
    </row>
    <row r="60">
      <c r="A60" s="54" t="inlineStr">
        <is>
          <t>2024.2Q</t>
        </is>
      </c>
      <c r="B60" s="55" t="n">
        <v>28.25</v>
      </c>
    </row>
    <row r="61">
      <c r="A61" s="54" t="inlineStr">
        <is>
          <t>2024.3Q</t>
        </is>
      </c>
      <c r="B61" s="55" t="n">
        <v>29.21</v>
      </c>
    </row>
    <row r="62">
      <c r="A62" s="54" t="inlineStr">
        <is>
          <t>2024.4Q</t>
        </is>
      </c>
      <c r="B62" s="55" t="n">
        <v>28.8</v>
      </c>
    </row>
    <row r="63">
      <c r="A63" s="54" t="inlineStr">
        <is>
          <t>2025.1Q</t>
        </is>
      </c>
      <c r="B63" s="55" t="n">
        <v>22.96</v>
      </c>
    </row>
    <row r="64">
      <c r="A64" s="54" t="inlineStr">
        <is>
          <t>2025.2Q</t>
        </is>
      </c>
      <c r="B64" s="55" t="n">
        <v>29.28</v>
      </c>
    </row>
    <row r="65">
      <c r="A65" s="54" t="inlineStr">
        <is>
          <t>2025.3Q</t>
        </is>
      </c>
      <c r="B65" s="55" t="n">
        <v>45.89</v>
      </c>
    </row>
    <row r="66">
      <c r="A66" s="54" t="inlineStr">
        <is>
          <t>2026.1Q</t>
        </is>
      </c>
      <c r="B66" s="55" t="n">
        <v>38.91</v>
      </c>
    </row>
    <row r="67">
      <c r="A67" s="54" t="inlineStr">
        <is>
          <t>2026.2Q</t>
        </is>
      </c>
      <c r="B67" s="55" t="n">
        <v>54.85</v>
      </c>
    </row>
    <row r="68">
      <c r="A68" s="54" t="inlineStr">
        <is>
          <t>2026.3Q</t>
        </is>
      </c>
      <c r="B68" s="55" t="n">
        <v>63.85</v>
      </c>
    </row>
    <row r="69">
      <c r="A69" s="54" t="inlineStr">
        <is>
          <t>2026.4Q</t>
        </is>
      </c>
      <c r="B69" s="55" t="n">
        <v>41.64</v>
      </c>
    </row>
    <row r="70">
      <c r="A70" s="54" t="inlineStr">
        <is>
          <t>2027.1Q</t>
        </is>
      </c>
      <c r="B70" s="55" t="n">
        <v>48.05</v>
      </c>
    </row>
    <row r="71">
      <c r="A71" s="54" t="inlineStr">
        <is>
          <t>2027.2Q</t>
        </is>
      </c>
      <c r="B71" s="55" t="n">
        <v>57.31</v>
      </c>
    </row>
    <row r="73">
      <c r="A73" s="52" t="inlineStr">
        <is>
          <t>bs annual</t>
        </is>
      </c>
      <c r="B73" s="52" t="n"/>
      <c r="C73" s="52" t="n"/>
      <c r="D73" s="52" t="n"/>
      <c r="E73" s="52" t="n"/>
      <c r="F73" s="52" t="n"/>
      <c r="G73" s="52" t="n"/>
    </row>
    <row r="74">
      <c r="A74" s="53" t="inlineStr">
        <is>
          <t>항목</t>
        </is>
      </c>
      <c r="B74" s="53" t="inlineStr">
        <is>
          <t>2022</t>
        </is>
      </c>
      <c r="C74" s="53" t="inlineStr">
        <is>
          <t>2023</t>
        </is>
      </c>
      <c r="D74" s="53" t="inlineStr">
        <is>
          <t>2024</t>
        </is>
      </c>
      <c r="E74" s="53" t="inlineStr">
        <is>
          <t>2025</t>
        </is>
      </c>
      <c r="F74" s="53" t="inlineStr">
        <is>
          <t>2026</t>
        </is>
      </c>
      <c r="G74" s="53" t="inlineStr">
        <is>
          <t>출처</t>
        </is>
      </c>
    </row>
    <row r="75">
      <c r="A75" s="54" t="inlineStr">
        <is>
          <t>labels</t>
        </is>
      </c>
      <c r="B75" s="57" t="n">
        <v>2022</v>
      </c>
      <c r="C75" s="57" t="n">
        <v>2023</v>
      </c>
      <c r="D75" s="57" t="n">
        <v>2024</v>
      </c>
      <c r="E75" s="57" t="n">
        <v>2025</v>
      </c>
      <c r="F75" s="57" t="n">
        <v>2026</v>
      </c>
      <c r="G75" s="56" t="inlineStr">
        <is>
          <t>2단계 보고서 자료(회사 설명회 자료·공시)</t>
        </is>
      </c>
    </row>
    <row r="76">
      <c r="A76" s="54" t="inlineStr">
        <is>
          <t>current assets</t>
        </is>
      </c>
      <c r="B76" s="55" t="n">
        <v>91.5</v>
      </c>
      <c r="C76" s="55" t="n">
        <v>109.3</v>
      </c>
      <c r="D76" s="55" t="n">
        <v>117.4</v>
      </c>
      <c r="E76" s="55" t="n">
        <v>140.2</v>
      </c>
      <c r="F76" s="55" t="n">
        <v>189</v>
      </c>
    </row>
    <row r="77">
      <c r="A77" s="54" t="inlineStr">
        <is>
          <t>cash</t>
        </is>
      </c>
      <c r="B77" s="55" t="n">
        <v>35.1</v>
      </c>
      <c r="C77" s="55" t="n">
        <v>34.9</v>
      </c>
      <c r="D77" s="55" t="n">
        <v>40.6</v>
      </c>
      <c r="E77" s="55" t="n">
        <v>46.8</v>
      </c>
      <c r="F77" s="55" t="n">
        <v>91.40000000000001</v>
      </c>
    </row>
    <row r="78">
      <c r="A78" s="54" t="inlineStr">
        <is>
          <t>st fin</t>
        </is>
      </c>
      <c r="B78" s="58" t="n"/>
      <c r="C78" s="58" t="n"/>
      <c r="D78" s="58" t="n"/>
      <c r="E78" s="58" t="n"/>
      <c r="F78" s="58" t="n"/>
    </row>
    <row r="79">
      <c r="A79" s="54" t="inlineStr">
        <is>
          <t>receivables</t>
        </is>
      </c>
      <c r="B79" s="58" t="n"/>
      <c r="C79" s="58" t="n"/>
      <c r="D79" s="58" t="n"/>
      <c r="E79" s="58" t="n"/>
      <c r="F79" s="58" t="n"/>
    </row>
    <row r="80">
      <c r="A80" s="54" t="inlineStr">
        <is>
          <t>inventory</t>
        </is>
      </c>
      <c r="B80" s="55" t="n">
        <v>2.4</v>
      </c>
      <c r="C80" s="55" t="n">
        <v>4.5</v>
      </c>
      <c r="D80" s="55" t="n">
        <v>4</v>
      </c>
      <c r="E80" s="55" t="n">
        <v>3.7</v>
      </c>
      <c r="F80" s="55" t="n">
        <v>3.9</v>
      </c>
    </row>
    <row r="81">
      <c r="A81" s="54" t="inlineStr">
        <is>
          <t>noncurrent assets</t>
        </is>
      </c>
      <c r="B81" s="55" t="n">
        <v>89.90000000000001</v>
      </c>
      <c r="C81" s="55" t="n">
        <v>103</v>
      </c>
      <c r="D81" s="55" t="n">
        <v>138</v>
      </c>
      <c r="E81" s="55" t="n">
        <v>175.8</v>
      </c>
      <c r="F81" s="55" t="n">
        <v>177.2</v>
      </c>
    </row>
    <row r="82">
      <c r="A82" s="54" t="inlineStr">
        <is>
          <t>ppe</t>
        </is>
      </c>
      <c r="B82" s="55" t="n">
        <v>61.6</v>
      </c>
      <c r="C82" s="55" t="n">
        <v>61.1</v>
      </c>
      <c r="D82" s="55" t="n">
        <v>91.3</v>
      </c>
      <c r="E82" s="55" t="n">
        <v>116</v>
      </c>
      <c r="F82" s="55" t="n">
        <v>110.9</v>
      </c>
    </row>
    <row r="83">
      <c r="A83" s="54" t="inlineStr">
        <is>
          <t>intangibles</t>
        </is>
      </c>
      <c r="B83" s="55" t="n">
        <v>4.4</v>
      </c>
      <c r="C83" s="55" t="n">
        <v>7.6</v>
      </c>
      <c r="D83" s="55" t="n">
        <v>6</v>
      </c>
      <c r="E83" s="55" t="n">
        <v>11.3</v>
      </c>
      <c r="F83" s="55" t="n">
        <v>10.7</v>
      </c>
    </row>
    <row r="84">
      <c r="A84" s="54" t="inlineStr">
        <is>
          <t>inv property</t>
        </is>
      </c>
      <c r="B84" s="58" t="n"/>
      <c r="C84" s="58" t="n"/>
      <c r="D84" s="58" t="n"/>
      <c r="E84" s="58" t="n"/>
      <c r="F84" s="58" t="n"/>
    </row>
    <row r="85">
      <c r="A85" s="54" t="inlineStr">
        <is>
          <t>합계 assets</t>
        </is>
      </c>
      <c r="B85" s="55" t="n">
        <v>181.4</v>
      </c>
      <c r="C85" s="55" t="n">
        <v>212.3</v>
      </c>
      <c r="D85" s="55" t="n">
        <v>255.4</v>
      </c>
      <c r="E85" s="55" t="n">
        <v>316</v>
      </c>
      <c r="F85" s="55" t="n">
        <v>366.2</v>
      </c>
    </row>
    <row r="86">
      <c r="A86" s="54" t="inlineStr">
        <is>
          <t>current liab</t>
        </is>
      </c>
      <c r="B86" s="55" t="n">
        <v>59.8</v>
      </c>
      <c r="C86" s="55" t="n">
        <v>74.7</v>
      </c>
      <c r="D86" s="55" t="n">
        <v>85.2</v>
      </c>
      <c r="E86" s="55" t="n">
        <v>123.2</v>
      </c>
      <c r="F86" s="55" t="n">
        <v>156</v>
      </c>
    </row>
    <row r="87">
      <c r="A87" s="54" t="inlineStr">
        <is>
          <t>payables</t>
        </is>
      </c>
      <c r="B87" s="58" t="n"/>
      <c r="C87" s="58" t="n"/>
      <c r="D87" s="58" t="n"/>
      <c r="E87" s="58" t="n"/>
      <c r="F87" s="58" t="n"/>
    </row>
    <row r="88">
      <c r="A88" s="54" t="inlineStr">
        <is>
          <t>st debt</t>
        </is>
      </c>
      <c r="B88" s="55" t="n">
        <v>10.3</v>
      </c>
      <c r="C88" s="55" t="n">
        <v>16.3</v>
      </c>
      <c r="D88" s="55" t="n">
        <v>20.3</v>
      </c>
      <c r="E88" s="55" t="n">
        <v>43.3</v>
      </c>
      <c r="F88" s="55" t="n">
        <v>51.3</v>
      </c>
    </row>
    <row r="89">
      <c r="A89" s="54" t="inlineStr">
        <is>
          <t>noncurrent liab</t>
        </is>
      </c>
      <c r="B89" s="55" t="n">
        <v>23</v>
      </c>
      <c r="C89" s="55" t="n">
        <v>28.8</v>
      </c>
      <c r="D89" s="55" t="n">
        <v>47.1</v>
      </c>
      <c r="E89" s="55" t="n">
        <v>57.7</v>
      </c>
      <c r="F89" s="55" t="n">
        <v>49.1</v>
      </c>
    </row>
    <row r="90">
      <c r="A90" s="54" t="inlineStr">
        <is>
          <t>lt debt</t>
        </is>
      </c>
      <c r="B90" s="55" t="n">
        <v>11.2</v>
      </c>
      <c r="C90" s="55" t="n">
        <v>17.5</v>
      </c>
      <c r="D90" s="55" t="n">
        <v>26.6</v>
      </c>
      <c r="E90" s="55" t="n">
        <v>36.7</v>
      </c>
      <c r="F90" s="55" t="n">
        <v>26.8</v>
      </c>
    </row>
    <row r="91">
      <c r="A91" s="54" t="inlineStr">
        <is>
          <t>bonds</t>
        </is>
      </c>
      <c r="B91" s="58" t="n"/>
      <c r="C91" s="58" t="n"/>
      <c r="D91" s="58" t="n"/>
      <c r="E91" s="58" t="n"/>
      <c r="F91" s="58" t="n"/>
    </row>
    <row r="92">
      <c r="A92" s="54" t="inlineStr">
        <is>
          <t>합계 liab</t>
        </is>
      </c>
      <c r="B92" s="55" t="n">
        <v>82.8</v>
      </c>
      <c r="C92" s="55" t="n">
        <v>103.6</v>
      </c>
      <c r="D92" s="55" t="n">
        <v>132.2</v>
      </c>
      <c r="E92" s="55" t="n">
        <v>180.9</v>
      </c>
      <c r="F92" s="55" t="n">
        <v>205</v>
      </c>
    </row>
    <row r="93">
      <c r="A93" s="54" t="inlineStr">
        <is>
          <t>capital stock</t>
        </is>
      </c>
      <c r="B93" s="55" t="n">
        <v>10</v>
      </c>
      <c r="C93" s="55" t="n">
        <v>10</v>
      </c>
      <c r="D93" s="55" t="n">
        <v>10</v>
      </c>
      <c r="E93" s="55" t="n">
        <v>10</v>
      </c>
      <c r="F93" s="55" t="n">
        <v>10</v>
      </c>
    </row>
    <row r="94">
      <c r="A94" s="54" t="inlineStr">
        <is>
          <t>retained</t>
        </is>
      </c>
      <c r="B94" s="55" t="n">
        <v>88.09999999999999</v>
      </c>
      <c r="C94" s="55" t="n">
        <v>97.40000000000001</v>
      </c>
      <c r="D94" s="55" t="n">
        <v>108.5</v>
      </c>
      <c r="E94" s="55" t="n">
        <v>121.8</v>
      </c>
      <c r="F94" s="55" t="n">
        <v>142.4</v>
      </c>
    </row>
    <row r="95">
      <c r="A95" s="54" t="inlineStr">
        <is>
          <t>nci</t>
        </is>
      </c>
      <c r="B95" s="58" t="n"/>
      <c r="C95" s="58" t="n"/>
      <c r="D95" s="58" t="n"/>
      <c r="E95" s="58" t="n"/>
      <c r="F95" s="58" t="n"/>
    </row>
    <row r="96">
      <c r="A96" s="54" t="inlineStr">
        <is>
          <t>합계 equity</t>
        </is>
      </c>
      <c r="B96" s="55" t="n">
        <v>98.59999999999999</v>
      </c>
      <c r="C96" s="55" t="n">
        <v>108.7</v>
      </c>
      <c r="D96" s="55" t="n">
        <v>123.1</v>
      </c>
      <c r="E96" s="55" t="n">
        <v>135.1</v>
      </c>
      <c r="F96" s="55" t="n">
        <v>161.1</v>
      </c>
    </row>
    <row r="97">
      <c r="A97" s="54" t="inlineStr">
        <is>
          <t>current ltd</t>
        </is>
      </c>
      <c r="B97" s="55" t="n">
        <v>4.6</v>
      </c>
      <c r="C97" s="55" t="n">
        <v>3.7</v>
      </c>
      <c r="D97" s="55" t="n">
        <v>5</v>
      </c>
      <c r="E97" s="55" t="n">
        <v>8.9</v>
      </c>
      <c r="F97" s="55" t="n">
        <v>19.6</v>
      </c>
    </row>
    <row r="98">
      <c r="A98" s="54" t="inlineStr">
        <is>
          <t>equity owner</t>
        </is>
      </c>
      <c r="B98" s="55" t="n">
        <v>98.59999999999999</v>
      </c>
      <c r="C98" s="55" t="n">
        <v>108.7</v>
      </c>
      <c r="D98" s="55" t="n">
        <v>123.1</v>
      </c>
      <c r="E98" s="55" t="n">
        <v>135.1</v>
      </c>
      <c r="F98" s="55" t="n">
        <v>161.1</v>
      </c>
    </row>
    <row r="100">
      <c r="A100" s="52" t="inlineStr">
        <is>
          <t>cf annual</t>
        </is>
      </c>
      <c r="B100" s="52" t="n"/>
      <c r="C100" s="52" t="n"/>
      <c r="D100" s="52" t="n"/>
      <c r="E100" s="52" t="n"/>
      <c r="F100" s="52" t="n"/>
      <c r="G100" s="52" t="n"/>
    </row>
    <row r="101">
      <c r="A101" s="53" t="inlineStr">
        <is>
          <t>항목</t>
        </is>
      </c>
      <c r="B101" s="53" t="inlineStr">
        <is>
          <t>2022</t>
        </is>
      </c>
      <c r="C101" s="53" t="inlineStr">
        <is>
          <t>2023</t>
        </is>
      </c>
      <c r="D101" s="53" t="inlineStr">
        <is>
          <t>2024</t>
        </is>
      </c>
      <c r="E101" s="53" t="inlineStr">
        <is>
          <t>2025</t>
        </is>
      </c>
      <c r="F101" s="53" t="inlineStr">
        <is>
          <t>2026</t>
        </is>
      </c>
      <c r="G101" s="53" t="inlineStr">
        <is>
          <t>출처</t>
        </is>
      </c>
    </row>
    <row r="102">
      <c r="A102" s="54" t="inlineStr">
        <is>
          <t>labels</t>
        </is>
      </c>
      <c r="B102" s="57" t="n">
        <v>2022</v>
      </c>
      <c r="C102" s="57" t="n">
        <v>2023</v>
      </c>
      <c r="D102" s="57" t="n">
        <v>2024</v>
      </c>
      <c r="E102" s="57" t="n">
        <v>2025</v>
      </c>
      <c r="F102" s="57" t="n">
        <v>2026</v>
      </c>
      <c r="G102" s="56" t="inlineStr">
        <is>
          <t>2단계 보고서 자료(회사 설명회 자료·공시)</t>
        </is>
      </c>
    </row>
    <row r="103">
      <c r="A103" s="54" t="inlineStr">
        <is>
          <t>ocf</t>
        </is>
      </c>
      <c r="B103" s="55" t="n">
        <v>14.8</v>
      </c>
      <c r="C103" s="55" t="n">
        <v>6.7</v>
      </c>
      <c r="D103" s="55" t="n">
        <v>30.3</v>
      </c>
      <c r="E103" s="55" t="n">
        <v>23.7</v>
      </c>
      <c r="F103" s="55" t="n">
        <v>49.9</v>
      </c>
    </row>
    <row r="104">
      <c r="A104" s="54" t="inlineStr">
        <is>
          <t>설비투자</t>
        </is>
      </c>
      <c r="B104" s="55" t="n">
        <v>6.8</v>
      </c>
      <c r="C104" s="55" t="n">
        <v>4.2</v>
      </c>
      <c r="D104" s="55" t="n">
        <v>28.7</v>
      </c>
      <c r="E104" s="55" t="n">
        <v>35.9</v>
      </c>
      <c r="F104" s="55" t="n">
        <v>6.5</v>
      </c>
    </row>
    <row r="105">
      <c r="A105" s="54" t="inlineStr">
        <is>
          <t>dividends</t>
        </is>
      </c>
      <c r="B105" s="55" t="n">
        <v>2.3</v>
      </c>
      <c r="C105" s="55" t="n">
        <v>3.4</v>
      </c>
      <c r="D105" s="55" t="n">
        <v>3.9</v>
      </c>
      <c r="E105" s="55" t="n">
        <v>4.7</v>
      </c>
      <c r="F105" s="55" t="n">
        <v>5.5</v>
      </c>
    </row>
    <row r="107">
      <c r="A107" s="52" t="inlineStr">
        <is>
          <t>dividends</t>
        </is>
      </c>
      <c r="B107" s="52" t="n"/>
      <c r="C107" s="52" t="n"/>
      <c r="D107" s="52" t="n"/>
      <c r="E107" s="52" t="n"/>
      <c r="F107" s="52" t="n"/>
      <c r="G107" s="52" t="n"/>
    </row>
    <row r="108">
      <c r="A108" s="53" t="inlineStr">
        <is>
          <t>항목</t>
        </is>
      </c>
      <c r="B108" s="53" t="inlineStr">
        <is>
          <t>값</t>
        </is>
      </c>
      <c r="G108" s="53" t="inlineStr">
        <is>
          <t>출처</t>
        </is>
      </c>
    </row>
    <row r="109">
      <c r="A109" s="54" t="inlineStr">
        <is>
          <t>FY2023</t>
        </is>
      </c>
      <c r="B109" s="57" t="n">
        <v>30</v>
      </c>
      <c r="G109" s="56" t="inlineStr">
        <is>
          <t>FY2025 실제 DPS는 확인 필요(26.5.8 증배 공시 있음)</t>
        </is>
      </c>
    </row>
    <row r="110">
      <c r="A110" s="54" t="inlineStr">
        <is>
          <t>FY2024</t>
        </is>
      </c>
      <c r="B110" s="57" t="n">
        <v>36</v>
      </c>
    </row>
    <row r="111">
      <c r="A111" s="54" t="inlineStr">
        <is>
          <t>FY2025 가이던스</t>
        </is>
      </c>
      <c r="B111" s="57" t="n">
        <v>38</v>
      </c>
    </row>
    <row r="112">
      <c r="A112" s="54" t="inlineStr">
        <is>
          <t>FY2026</t>
        </is>
      </c>
      <c r="B112" s="57" t="n">
        <v>60</v>
      </c>
    </row>
    <row r="113">
      <c r="A113" s="54" t="inlineStr">
        <is>
          <t>FY2027 가이던스</t>
        </is>
      </c>
      <c r="B113" s="57" t="n">
        <v>62</v>
      </c>
    </row>
    <row r="115">
      <c r="A115" s="52" t="inlineStr">
        <is>
          <t>비교 기업 · fc EPS latest</t>
        </is>
      </c>
      <c r="B115" s="52" t="n"/>
      <c r="C115" s="52" t="n"/>
      <c r="D115" s="52" t="n"/>
      <c r="E115" s="52" t="n"/>
      <c r="F115" s="52" t="n"/>
      <c r="G115" s="52" t="n"/>
    </row>
    <row r="116">
      <c r="A116" s="53" t="inlineStr">
        <is>
          <t>항목</t>
        </is>
      </c>
      <c r="B116" s="53" t="inlineStr">
        <is>
          <t>값</t>
        </is>
      </c>
      <c r="G116" s="53" t="inlineStr">
        <is>
          <t>출처</t>
        </is>
      </c>
    </row>
    <row r="117">
      <c r="A117" s="54" t="inlineStr">
        <is>
          <t>9029</t>
        </is>
      </c>
      <c r="B117" s="55" t="n">
        <v>206.16</v>
      </c>
      <c r="G117" s="56" t="inlineStr">
        <is>
          <t>모두 3월 결산. 분기 단독(누계 차분). 다음 발표: 하마쿄렉스 10/30, 마루와·마루젠 11/9, 센코 11/12 — 경쟁사 2027.2Q는 아직 미발표.</t>
        </is>
      </c>
    </row>
    <row r="118">
      <c r="A118" s="54" t="inlineStr">
        <is>
          <t>9037</t>
        </is>
      </c>
      <c r="B118" s="55" t="n">
        <v>145.91</v>
      </c>
    </row>
    <row r="119">
      <c r="A119" s="54" t="inlineStr">
        <is>
          <t>9069</t>
        </is>
      </c>
      <c r="B119" s="55" t="n">
        <v>139.69</v>
      </c>
    </row>
    <row r="120">
      <c r="A120" s="54" t="inlineStr">
        <is>
          <t>9090</t>
        </is>
      </c>
      <c r="B120" s="55" t="n">
        <v>61.63</v>
      </c>
    </row>
    <row r="121">
      <c r="A121" s="54" t="inlineStr">
        <is>
          <t>9068</t>
        </is>
      </c>
      <c r="B121" s="55" t="n">
        <v>337.16</v>
      </c>
    </row>
    <row r="123">
      <c r="A123" s="52" t="inlineStr">
        <is>
          <t>reactions</t>
        </is>
      </c>
      <c r="B123" s="52" t="n"/>
      <c r="C123" s="52" t="n"/>
      <c r="D123" s="52" t="n"/>
      <c r="E123" s="52" t="n"/>
      <c r="F123" s="52" t="n"/>
      <c r="G123" s="52" t="n"/>
    </row>
    <row r="124">
      <c r="A124" s="53" t="inlineStr">
        <is>
          <t>항목</t>
        </is>
      </c>
      <c r="B124" s="53" t="inlineStr">
        <is>
          <t>기준일</t>
        </is>
      </c>
      <c r="C124" s="53" t="inlineStr">
        <is>
          <t>다음날</t>
        </is>
      </c>
      <c r="D124" s="53" t="inlineStr">
        <is>
          <t>등락%</t>
        </is>
      </c>
      <c r="G124" s="53" t="inlineStr">
        <is>
          <t>출처</t>
        </is>
      </c>
    </row>
    <row r="125">
      <c r="A125" s="54" t="inlineStr">
        <is>
          <t>2025-01-24</t>
        </is>
      </c>
      <c r="B125" s="58" t="inlineStr">
        <is>
          <t>2025-01-24</t>
        </is>
      </c>
      <c r="C125" s="58" t="inlineStr">
        <is>
          <t>2025-01-27</t>
        </is>
      </c>
      <c r="D125" s="55" t="n">
        <v>17</v>
      </c>
      <c r="G125" s="56" t="inlineStr">
        <is>
          <t>2단계 보고서 자료(회사 설명회 자료·공시)</t>
        </is>
      </c>
    </row>
    <row r="126">
      <c r="A126" s="54" t="inlineStr">
        <is>
          <t>2025-07-25</t>
        </is>
      </c>
      <c r="B126" s="58" t="inlineStr">
        <is>
          <t>2025-07-25</t>
        </is>
      </c>
      <c r="C126" s="58" t="inlineStr">
        <is>
          <t>2025-07-28</t>
        </is>
      </c>
      <c r="D126" s="55" t="n">
        <v>0.8</v>
      </c>
    </row>
    <row r="127">
      <c r="A127" s="54" t="inlineStr">
        <is>
          <t>2025-10-24</t>
        </is>
      </c>
      <c r="B127" s="58" t="inlineStr">
        <is>
          <t>2025-10-24</t>
        </is>
      </c>
      <c r="C127" s="58" t="inlineStr">
        <is>
          <t>2025-10-27</t>
        </is>
      </c>
      <c r="D127" s="55" t="n">
        <v>10.3</v>
      </c>
    </row>
    <row r="128">
      <c r="A128" s="54" t="inlineStr">
        <is>
          <t>2026-01-23</t>
        </is>
      </c>
      <c r="B128" s="58" t="inlineStr">
        <is>
          <t>2026-01-23</t>
        </is>
      </c>
      <c r="C128" s="58" t="inlineStr">
        <is>
          <t>2026-01-26</t>
        </is>
      </c>
      <c r="D128" s="55" t="n">
        <v>4.7</v>
      </c>
    </row>
    <row r="129">
      <c r="A129" s="54" t="inlineStr">
        <is>
          <t>2026-05-08</t>
        </is>
      </c>
      <c r="B129" s="58" t="inlineStr">
        <is>
          <t>2026-05-08</t>
        </is>
      </c>
      <c r="C129" s="58" t="inlineStr">
        <is>
          <t>2026-05-11</t>
        </is>
      </c>
      <c r="D129" s="55" t="n">
        <v>17.6</v>
      </c>
    </row>
    <row r="130">
      <c r="A130" s="54" t="inlineStr">
        <is>
          <t>2026-07-24</t>
        </is>
      </c>
      <c r="B130" s="58" t="inlineStr">
        <is>
          <t>2026-07-24</t>
        </is>
      </c>
      <c r="C130" s="58" t="inlineStr">
        <is>
          <t>2026-07-27</t>
        </is>
      </c>
      <c r="D130" s="55" t="n">
        <v>4</v>
      </c>
    </row>
    <row r="131">
      <c r="A131" s="54" t="inlineStr">
        <is>
          <t>2026-10-23</t>
        </is>
      </c>
      <c r="B131" s="58" t="inlineStr">
        <is>
          <t>2026-10-23</t>
        </is>
      </c>
      <c r="C131" s="58" t="inlineStr">
        <is>
          <t>2026-10-26</t>
        </is>
      </c>
      <c r="D131" s="55" t="n">
        <v>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2026-10-23</t>
        </is>
      </c>
      <c r="B4" t="inlineStr">
        <is>
          <t>2027년 3월 결산기 ２분기 결산단신</t>
        </is>
      </c>
      <c r="C4" t="inlineStr">
        <is>
          <t>https://www2.jpx.co.jp/disc/90290/140120261022554549.pdf</t>
        </is>
      </c>
    </row>
    <row r="5">
      <c r="A5" t="inlineStr">
        <is>
          <t>2026-07-24</t>
        </is>
      </c>
      <c r="B5" t="inlineStr">
        <is>
          <t>2027년 3월 결산기 １분기 결산단신</t>
        </is>
      </c>
      <c r="C5" t="inlineStr">
        <is>
          <t>https://www2.jpx.co.jp/disc/90290/140120260723598215.pdf</t>
        </is>
      </c>
    </row>
    <row r="6">
      <c r="A6" t="inlineStr">
        <is>
          <t>2026-05-08</t>
        </is>
      </c>
      <c r="B6" t="inlineStr">
        <is>
          <t>2026년 3월 결산기 연간 결산단신</t>
        </is>
      </c>
      <c r="C6" t="inlineStr">
        <is>
          <t>https://www2.jpx.co.jp/disc/90290/140120260507517792.pdf</t>
        </is>
      </c>
    </row>
    <row r="7">
      <c r="A7" t="inlineStr">
        <is>
          <t>2026-01-23</t>
        </is>
      </c>
      <c r="B7" t="inlineStr">
        <is>
          <t>2026년 3월 결산기 ３분기 결산단신</t>
        </is>
      </c>
      <c r="C7" t="inlineStr">
        <is>
          <t>https://www2.jpx.co.jp/disc/90290/140120260122536859.pdf</t>
        </is>
      </c>
    </row>
    <row r="8">
      <c r="A8" t="inlineStr">
        <is>
          <t>2025-10-24</t>
        </is>
      </c>
      <c r="B8" t="inlineStr">
        <is>
          <t>2026년 3월 결산기 ２분기 결산단신</t>
        </is>
      </c>
      <c r="C8" t="inlineStr">
        <is>
          <t>https://www2.jpx.co.jp/disc/90290/140120251023577851.pdf</t>
        </is>
      </c>
    </row>
    <row r="9">
      <c r="A9" t="inlineStr">
        <is>
          <t>2025-07-25</t>
        </is>
      </c>
      <c r="B9" t="inlineStr">
        <is>
          <t>2026년 3월 결산기 １분기 결산단신</t>
        </is>
      </c>
      <c r="C9" t="inlineStr">
        <is>
          <t>https://www2.jpx.co.jp/disc/90290/140120250724519583.pdf</t>
        </is>
      </c>
    </row>
    <row r="10">
      <c r="A10" t="inlineStr">
        <is>
          <t>2025-01-24</t>
        </is>
      </c>
      <c r="B10" t="inlineStr">
        <is>
          <t>2025년 3월 결산기 ３분기 결산단신</t>
        </is>
      </c>
      <c r="C10" t="inlineStr">
        <is>
          <t>https://www2.jpx.co.jp/disc/90290/140120250123554340.pdf</t>
        </is>
      </c>
    </row>
    <row r="11">
      <c r="A11" t="inlineStr">
        <is>
          <t>2024-10-25</t>
        </is>
      </c>
      <c r="B11" t="inlineStr">
        <is>
          <t>2025년 3월 결산기 ２분기 결산단신</t>
        </is>
      </c>
      <c r="C11" t="inlineStr">
        <is>
          <t>https://www2.jpx.co.jp/disc/90290/140120241024502127.pdf</t>
        </is>
      </c>
    </row>
    <row r="12">
      <c r="A12" t="inlineStr">
        <is>
          <t>2024-07-26</t>
        </is>
      </c>
      <c r="B12" t="inlineStr">
        <is>
          <t>2025년 3월 결산기 １분기 결산단신</t>
        </is>
      </c>
      <c r="C12" t="inlineStr">
        <is>
          <t>https://www2.jpx.co.jp/disc/90290/140120240725554530.pdf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https://www2.jpx.co.jp/disc/90290/140120240509585906.pdf</t>
        </is>
      </c>
    </row>
    <row r="14">
      <c r="A14" t="inlineStr">
        <is>
          <t>2024-01-26</t>
        </is>
      </c>
      <c r="B14" t="inlineStr">
        <is>
          <t>2024년 3월 결산기 ３분기 결산단신</t>
        </is>
      </c>
      <c r="C14" t="inlineStr">
        <is>
          <t>https://www2.jpx.co.jp/disc/90290/140120240125519032.pdf</t>
        </is>
      </c>
    </row>
    <row r="15">
      <c r="A15" t="inlineStr">
        <is>
          <t>2023-10-27</t>
        </is>
      </c>
      <c r="B15" t="inlineStr">
        <is>
          <t>2024년 3월 결산기 ２분기 결산단신</t>
        </is>
      </c>
      <c r="C15" t="inlineStr">
        <is>
          <t>https://www2.jpx.co.jp/disc/90290/140120231026572185.pdf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https://www2.jpx.co.jp/disc/90290/140120230726527577.pdf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https://www2.jpx.co.jp/disc/90290/140120230511566131.pdf</t>
        </is>
      </c>
    </row>
    <row r="18">
      <c r="A18" t="inlineStr">
        <is>
          <t>2023-01-27</t>
        </is>
      </c>
      <c r="B18" t="inlineStr">
        <is>
          <t>2023년 3월 결산기 ３분기 결산단신</t>
        </is>
      </c>
      <c r="C18" t="inlineStr">
        <is>
          <t>https://www2.jpx.co.jp/disc/90290/140120230126594000.pdf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https://www2.jpx.co.jp/disc/90290/140120221027550476.pdf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https://www2.jpx.co.jp/disc/90290/140120220510536671.pdf</t>
        </is>
      </c>
    </row>
    <row r="21">
      <c r="A21" t="inlineStr">
        <is>
          <t>2021-05-12</t>
        </is>
      </c>
      <c r="B21" t="inlineStr">
        <is>
          <t>2021년 3월 결산기 연간 결산단신</t>
        </is>
      </c>
      <c r="C21" t="inlineStr">
        <is>
          <t>https://www2.jpx.co.jp/disc/90290/140120210511411945.pdf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https://www2.jpx.co.jp/disc/90290/140120200508407580.pdf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https://www2.jpx.co.jp/disc/90290/140120190508417797.pdf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https://www2.jpx.co.jp/disc/90290/140120180504427441.pdf</t>
        </is>
      </c>
    </row>
    <row r="25">
      <c r="A25" t="inlineStr">
        <is>
          <t>2017-05-12</t>
        </is>
      </c>
      <c r="B25" t="inlineStr">
        <is>
          <t>연간 결산단신</t>
        </is>
      </c>
      <c r="C25" t="inlineStr">
        <is>
          <t>https://www2.jpx.co.jp/disc/90290/140120170511467085.pdf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2026-10-28T08:43:32Z</dcterms:created>
  <dcterms:modified xmlns:dcterms="http://purl.org/dc/terms/" xmlns:xsi="http://www.w3.org/2001/XMLSchema-instance" xsi:type="dcterms:W3CDTF">2026-10-28T08:43:32Z</dcterms:modified>
</cp:coreProperties>
</file>