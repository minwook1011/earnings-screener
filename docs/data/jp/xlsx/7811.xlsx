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손익계산서" sheetId="1" state="visible" r:id="rId1"/>
    <sheet xmlns:r="http://schemas.openxmlformats.org/officeDocument/2006/relationships" name="포괄손익" sheetId="2" state="visible" r:id="rId2"/>
    <sheet xmlns:r="http://schemas.openxmlformats.org/officeDocument/2006/relationships" name="재무상태표" sheetId="3" state="visible" r:id="rId3"/>
    <sheet xmlns:r="http://schemas.openxmlformats.org/officeDocument/2006/relationships" name="현금흐름표" sheetId="4" state="visible" r:id="rId4"/>
    <sheet xmlns:r="http://schemas.openxmlformats.org/officeDocument/2006/relationships" name="섹터 데이터" sheetId="5" state="visible" r:id="rId5"/>
    <sheet xmlns:r="http://schemas.openxmlformats.org/officeDocument/2006/relationships" name="출처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\(#,##0.0\);&quot;-&quot;"/>
    <numFmt numFmtId="165" formatCode="0.0%;\-0.0%;&quot;-&quot;"/>
  </numFmts>
  <fonts count="9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color rgb="FFFF0000"/>
      <sz val="9"/>
    </font>
    <font>
      <name val="맑은 고딕"/>
      <color rgb="FF808080"/>
      <sz val="9"/>
    </font>
    <font>
      <name val="맑은 고딕"/>
      <b val="1"/>
      <sz val="10"/>
    </font>
    <font>
      <name val="맑은 고딕"/>
      <b val="1"/>
      <sz val="11"/>
    </font>
    <font>
      <name val="맑은 고딕"/>
      <color rgb="FF808080"/>
      <sz val="11"/>
    </font>
    <font>
      <name val="맑은 고딕"/>
      <sz val="11"/>
    </font>
    <font>
      <name val="맑은 고딕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808080"/>
      </patternFill>
    </fill>
  </fills>
  <borders count="2">
    <border>
      <left/>
      <right/>
      <top/>
      <bottom/>
      <diagonal/>
    </border>
    <border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0" borderId="0" pivotButton="0" quotePrefix="0" xfId="0"/>
    <xf numFmtId="3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나카모토팩스 손익계산서</t>
        </is>
      </c>
    </row>
    <row r="2">
      <c r="A2" s="2" t="inlineStr">
        <is>
          <t>결산기 기준(27.2Q = 2027년 결산기 2분기) · 2월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5" t="inlineStr">
        <is>
          <t>매출액</t>
        </is>
      </c>
      <c r="C4" s="6" t="n">
        <v>102.5302</v>
      </c>
      <c r="D4" s="6" t="n">
        <v>99.97239999999999</v>
      </c>
      <c r="E4" s="6" t="n">
        <v>108.8239</v>
      </c>
      <c r="F4" s="6" t="n">
        <v>109.4123</v>
      </c>
      <c r="G4" s="6" t="n">
        <v>111.3712</v>
      </c>
      <c r="H4" s="6" t="n">
        <v>101.6814</v>
      </c>
      <c r="I4" s="6" t="n">
        <v>110.467</v>
      </c>
      <c r="J4" s="6" t="n">
        <v>112.324</v>
      </c>
      <c r="K4" s="6" t="n">
        <v>114.7852</v>
      </c>
      <c r="L4" s="6" t="n">
        <v>106.0467</v>
      </c>
      <c r="M4" s="6" t="n">
        <v>116.1936</v>
      </c>
      <c r="N4" s="6" t="n">
        <v>127.5708</v>
      </c>
      <c r="O4" s="6" t="n">
        <v>124.5053</v>
      </c>
      <c r="P4" s="6" t="n">
        <v>123.0522</v>
      </c>
      <c r="Q4" s="6" t="n">
        <v>123.2868</v>
      </c>
      <c r="R4" s="6" t="n">
        <v>126.5793</v>
      </c>
      <c r="S4" s="6" t="n">
        <v>126.4826</v>
      </c>
      <c r="T4" s="6" t="n">
        <v>120.0108</v>
      </c>
      <c r="U4" s="6" t="n">
        <v>127.6752</v>
      </c>
      <c r="V4" s="6" t="n">
        <v>153.0054</v>
      </c>
      <c r="W4" s="6" t="n">
        <v>339.4282</v>
      </c>
      <c r="X4" s="6" t="n">
        <v>341.0026</v>
      </c>
      <c r="Y4" s="6" t="n">
        <v>360.336</v>
      </c>
      <c r="Z4" s="6" t="n">
        <v>404.8513</v>
      </c>
      <c r="AA4" s="6" t="n">
        <v>431.2888</v>
      </c>
      <c r="AB4" s="6" t="n">
        <v>443.6228</v>
      </c>
      <c r="AC4" s="6" t="n">
        <v>491.3218</v>
      </c>
      <c r="AD4" s="6" t="n">
        <v>496.3595</v>
      </c>
      <c r="AE4" s="7" t="inlineStr">
        <is>
          <t>결산단신 XBRL(거래소 공시, TDnet·JPX 보관소). 쓴 문서: 2026-10-13, 2026-07-10, 2026-04-10, 2026-01-14 외 26건 — '출처' 시트에 전부</t>
        </is>
      </c>
    </row>
    <row r="5">
      <c r="A5" s="8" t="inlineStr">
        <is>
          <t>YoY</t>
        </is>
      </c>
      <c r="G5" s="9">
        <f>IF(OR(G4="",C4=""),"",IFERROR(G4/C4-1,""))</f>
        <v/>
      </c>
      <c r="H5" s="9">
        <f>IF(OR(H4="",D4=""),"",IFERROR(H4/D4-1,""))</f>
        <v/>
      </c>
      <c r="I5" s="9">
        <f>IF(OR(I4="",E4=""),"",IFERROR(I4/E4-1,""))</f>
        <v/>
      </c>
      <c r="J5" s="9">
        <f>IF(OR(J4="",F4=""),"",IFERROR(J4/F4-1,""))</f>
        <v/>
      </c>
      <c r="K5" s="9">
        <f>IF(OR(K4="",G4=""),"",IFERROR(K4/G4-1,""))</f>
        <v/>
      </c>
      <c r="L5" s="9">
        <f>IF(OR(L4="",H4=""),"",IFERROR(L4/H4-1,""))</f>
        <v/>
      </c>
      <c r="M5" s="9">
        <f>IF(OR(M4="",I4=""),"",IFERROR(M4/I4-1,""))</f>
        <v/>
      </c>
      <c r="N5" s="9">
        <f>IF(OR(N4="",J4=""),"",IFERROR(N4/J4-1,""))</f>
        <v/>
      </c>
      <c r="O5" s="9">
        <f>IF(OR(O4="",K4=""),"",IFERROR(O4/K4-1,""))</f>
        <v/>
      </c>
      <c r="P5" s="9">
        <f>IF(OR(P4="",L4=""),"",IFERROR(P4/L4-1,""))</f>
        <v/>
      </c>
      <c r="Q5" s="9">
        <f>IF(OR(Q4="",M4=""),"",IFERROR(Q4/M4-1,""))</f>
        <v/>
      </c>
      <c r="R5" s="9">
        <f>IF(OR(R4="",N4=""),"",IFERROR(R4/N4-1,""))</f>
        <v/>
      </c>
      <c r="S5" s="9">
        <f>IF(OR(S4="",O4=""),"",IFERROR(S4/O4-1,""))</f>
        <v/>
      </c>
      <c r="T5" s="9">
        <f>IF(OR(T4="",P4=""),"",IFERROR(T4/P4-1,""))</f>
        <v/>
      </c>
      <c r="U5" s="9">
        <f>IF(OR(U4="",Q4=""),"",IFERROR(U4/Q4-1,""))</f>
        <v/>
      </c>
      <c r="V5" s="9">
        <f>IF(OR(V4="",R4=""),"",IFERROR(V4/R4-1,""))</f>
        <v/>
      </c>
      <c r="X5" s="9">
        <f>IF(OR(X4="",W4=""),"",IFERROR(X4/W4-1,""))</f>
        <v/>
      </c>
      <c r="Y5" s="9">
        <f>IF(OR(Y4="",X4=""),"",IFERROR(Y4/X4-1,""))</f>
        <v/>
      </c>
      <c r="Z5" s="9">
        <f>IF(OR(Z4="",Y4=""),"",IFERROR(Z4/Y4-1,""))</f>
        <v/>
      </c>
      <c r="AA5" s="9">
        <f>IF(OR(AA4="",Z4=""),"",IFERROR(AA4/Z4-1,""))</f>
        <v/>
      </c>
      <c r="AB5" s="9">
        <f>IF(OR(AB4="",AA4=""),"",IFERROR(AB4/AA4-1,""))</f>
        <v/>
      </c>
      <c r="AC5" s="9">
        <f>IF(OR(AC4="",AB4=""),"",IFERROR(AC4/AB4-1,""))</f>
        <v/>
      </c>
      <c r="AD5" s="9">
        <f>IF(OR(AD4="",AC4=""),"",IFERROR(AD4/AC4-1,""))</f>
        <v/>
      </c>
    </row>
    <row r="6">
      <c r="A6" s="5" t="inlineStr">
        <is>
          <t>매출원가</t>
        </is>
      </c>
      <c r="C6" s="6" t="n">
        <v>84.1461</v>
      </c>
      <c r="D6" s="6" t="n">
        <v>85.4258</v>
      </c>
      <c r="E6" s="6" t="n">
        <v>91.4396</v>
      </c>
      <c r="F6" s="6" t="n">
        <v>92.8201</v>
      </c>
      <c r="G6" s="6" t="n">
        <v>94.142</v>
      </c>
      <c r="H6" s="6" t="n">
        <v>88.05929999999999</v>
      </c>
      <c r="I6" s="6" t="n">
        <v>93.7002</v>
      </c>
      <c r="J6" s="6" t="n">
        <v>95.6474</v>
      </c>
      <c r="K6" s="6" t="n">
        <v>96.9829</v>
      </c>
      <c r="L6" s="6" t="n">
        <v>90.7971</v>
      </c>
      <c r="M6" s="6" t="n">
        <v>97.2919</v>
      </c>
      <c r="N6" s="6" t="n">
        <v>103.1737</v>
      </c>
      <c r="O6" s="6" t="n">
        <v>102.176</v>
      </c>
      <c r="P6" s="6" t="n">
        <v>102.6388</v>
      </c>
      <c r="Q6" s="6" t="n">
        <v>100.8349</v>
      </c>
      <c r="R6" s="6" t="n">
        <v>102.3927</v>
      </c>
      <c r="S6" s="6" t="n">
        <v>103.1793</v>
      </c>
      <c r="T6" s="6" t="n">
        <v>98.57299999999999</v>
      </c>
      <c r="U6" s="6" t="n">
        <v>104.2043</v>
      </c>
      <c r="V6" s="6" t="n">
        <v>120.6788</v>
      </c>
      <c r="W6" s="6" t="n">
        <v>286.5502</v>
      </c>
      <c r="X6" s="6" t="n">
        <v>288.5029</v>
      </c>
      <c r="Y6" s="6" t="n">
        <v>303.3761</v>
      </c>
      <c r="Z6" s="6" t="n">
        <v>335.9528</v>
      </c>
      <c r="AA6" s="6" t="n">
        <v>366.461</v>
      </c>
      <c r="AB6" s="6" t="n">
        <v>377.1276</v>
      </c>
      <c r="AC6" s="6" t="n">
        <v>405.2804</v>
      </c>
      <c r="AD6" s="6" t="n">
        <v>404.9799</v>
      </c>
    </row>
    <row r="7">
      <c r="A7" s="5" t="inlineStr">
        <is>
          <t>매출총이익</t>
        </is>
      </c>
      <c r="C7" s="6" t="n">
        <v>18.3841</v>
      </c>
      <c r="D7" s="6" t="n">
        <v>14.5466</v>
      </c>
      <c r="E7" s="6" t="n">
        <v>17.3844</v>
      </c>
      <c r="F7" s="6" t="n">
        <v>16.5921</v>
      </c>
      <c r="G7" s="6" t="n">
        <v>17.2292</v>
      </c>
      <c r="H7" s="6" t="n">
        <v>13.6221</v>
      </c>
      <c r="I7" s="6" t="n">
        <v>16.7668</v>
      </c>
      <c r="J7" s="6" t="n">
        <v>16.6765</v>
      </c>
      <c r="K7" s="6" t="n">
        <v>17.8023</v>
      </c>
      <c r="L7" s="6" t="n">
        <v>15.2496</v>
      </c>
      <c r="M7" s="6" t="n">
        <v>18.9016</v>
      </c>
      <c r="N7" s="6" t="n">
        <v>24.397</v>
      </c>
      <c r="O7" s="6" t="n">
        <v>22.3293</v>
      </c>
      <c r="P7" s="6" t="n">
        <v>20.4135</v>
      </c>
      <c r="Q7" s="6" t="n">
        <v>22.452</v>
      </c>
      <c r="R7" s="6" t="n">
        <v>24.1866</v>
      </c>
      <c r="S7" s="6" t="n">
        <v>23.3033</v>
      </c>
      <c r="T7" s="6" t="n">
        <v>21.4378</v>
      </c>
      <c r="U7" s="6" t="n">
        <v>23.4709</v>
      </c>
      <c r="V7" s="6" t="n">
        <v>32.3266</v>
      </c>
      <c r="W7" s="6" t="n">
        <v>52.878</v>
      </c>
      <c r="X7" s="6" t="n">
        <v>52.4997</v>
      </c>
      <c r="Y7" s="6" t="n">
        <v>56.9598</v>
      </c>
      <c r="Z7" s="6" t="n">
        <v>68.8986</v>
      </c>
      <c r="AA7" s="6" t="n">
        <v>64.8278</v>
      </c>
      <c r="AB7" s="6" t="n">
        <v>66.4952</v>
      </c>
      <c r="AC7" s="6" t="n">
        <v>86.0414</v>
      </c>
      <c r="AD7" s="6" t="n">
        <v>91.3796</v>
      </c>
    </row>
    <row r="8">
      <c r="A8" s="8" t="inlineStr">
        <is>
          <t>매출총이익률</t>
        </is>
      </c>
      <c r="C8" s="9">
        <f>IF(OR(C7="",C4=""),"",IFERROR(C7/C4,""))</f>
        <v/>
      </c>
      <c r="D8" s="9">
        <f>IF(OR(D7="",D4=""),"",IFERROR(D7/D4,""))</f>
        <v/>
      </c>
      <c r="E8" s="9">
        <f>IF(OR(E7="",E4=""),"",IFERROR(E7/E4,""))</f>
        <v/>
      </c>
      <c r="F8" s="9">
        <f>IF(OR(F7="",F4=""),"",IFERROR(F7/F4,""))</f>
        <v/>
      </c>
      <c r="G8" s="9">
        <f>IF(OR(G7="",G4=""),"",IFERROR(G7/G4,""))</f>
        <v/>
      </c>
      <c r="H8" s="9">
        <f>IF(OR(H7="",H4=""),"",IFERROR(H7/H4,""))</f>
        <v/>
      </c>
      <c r="I8" s="9">
        <f>IF(OR(I7="",I4=""),"",IFERROR(I7/I4,""))</f>
        <v/>
      </c>
      <c r="J8" s="9">
        <f>IF(OR(J7="",J4=""),"",IFERROR(J7/J4,""))</f>
        <v/>
      </c>
      <c r="K8" s="9">
        <f>IF(OR(K7="",K4=""),"",IFERROR(K7/K4,""))</f>
        <v/>
      </c>
      <c r="L8" s="9">
        <f>IF(OR(L7="",L4=""),"",IFERROR(L7/L4,""))</f>
        <v/>
      </c>
      <c r="M8" s="9">
        <f>IF(OR(M7="",M4=""),"",IFERROR(M7/M4,""))</f>
        <v/>
      </c>
      <c r="N8" s="9">
        <f>IF(OR(N7="",N4=""),"",IFERROR(N7/N4,""))</f>
        <v/>
      </c>
      <c r="O8" s="9">
        <f>IF(OR(O7="",O4=""),"",IFERROR(O7/O4,""))</f>
        <v/>
      </c>
      <c r="P8" s="9">
        <f>IF(OR(P7="",P4=""),"",IFERROR(P7/P4,""))</f>
        <v/>
      </c>
      <c r="Q8" s="9">
        <f>IF(OR(Q7="",Q4=""),"",IFERROR(Q7/Q4,""))</f>
        <v/>
      </c>
      <c r="R8" s="9">
        <f>IF(OR(R7="",R4=""),"",IFERROR(R7/R4,""))</f>
        <v/>
      </c>
      <c r="S8" s="9">
        <f>IF(OR(S7="",S4=""),"",IFERROR(S7/S4,""))</f>
        <v/>
      </c>
      <c r="T8" s="9">
        <f>IF(OR(T7="",T4=""),"",IFERROR(T7/T4,""))</f>
        <v/>
      </c>
      <c r="U8" s="9">
        <f>IF(OR(U7="",U4=""),"",IFERROR(U7/U4,""))</f>
        <v/>
      </c>
      <c r="V8" s="9">
        <f>IF(OR(V7="",V4=""),"",IFERROR(V7/V4,""))</f>
        <v/>
      </c>
      <c r="W8" s="9">
        <f>IF(OR(W7="",W4=""),"",IFERROR(W7/W4,""))</f>
        <v/>
      </c>
      <c r="X8" s="9">
        <f>IF(OR(X7="",X4=""),"",IFERROR(X7/X4,""))</f>
        <v/>
      </c>
      <c r="Y8" s="9">
        <f>IF(OR(Y7="",Y4=""),"",IFERROR(Y7/Y4,""))</f>
        <v/>
      </c>
      <c r="Z8" s="9">
        <f>IF(OR(Z7="",Z4=""),"",IFERROR(Z7/Z4,""))</f>
        <v/>
      </c>
      <c r="AA8" s="9">
        <f>IF(OR(AA7="",AA4=""),"",IFERROR(AA7/AA4,""))</f>
        <v/>
      </c>
      <c r="AB8" s="9">
        <f>IF(OR(AB7="",AB4=""),"",IFERROR(AB7/AB4,""))</f>
        <v/>
      </c>
      <c r="AC8" s="9">
        <f>IF(OR(AC7="",AC4=""),"",IFERROR(AC7/AC4,""))</f>
        <v/>
      </c>
      <c r="AD8" s="9">
        <f>IF(OR(AD7="",AD4=""),"",IFERROR(AD7/AD4,""))</f>
        <v/>
      </c>
    </row>
    <row r="9">
      <c r="A9" s="10" t="inlineStr">
        <is>
          <t>판매비와 관리비</t>
        </is>
      </c>
      <c r="C9" s="11" t="n">
        <v>11.6121</v>
      </c>
      <c r="D9" s="11" t="n">
        <v>11.8015</v>
      </c>
      <c r="E9" s="11" t="n">
        <v>11.3457</v>
      </c>
      <c r="F9" s="11" t="n">
        <v>11.7129</v>
      </c>
      <c r="G9" s="11" t="n">
        <v>11.5439</v>
      </c>
      <c r="H9" s="11" t="n">
        <v>11.2996</v>
      </c>
      <c r="I9" s="11" t="n">
        <v>11.6198</v>
      </c>
      <c r="J9" s="11" t="n">
        <v>11.619</v>
      </c>
      <c r="K9" s="11" t="n">
        <v>12.0229</v>
      </c>
      <c r="L9" s="11" t="n">
        <v>13.0822</v>
      </c>
      <c r="M9" s="11" t="n">
        <v>13.4006</v>
      </c>
      <c r="N9" s="11" t="n">
        <v>14.2885</v>
      </c>
      <c r="O9" s="11" t="n">
        <v>14.3045</v>
      </c>
      <c r="P9" s="11" t="n">
        <v>15.3372</v>
      </c>
      <c r="Q9" s="11" t="n">
        <v>14.9475</v>
      </c>
      <c r="R9" s="11" t="n">
        <v>15.5794</v>
      </c>
      <c r="S9" s="11" t="n">
        <v>15.734</v>
      </c>
      <c r="T9" s="11" t="n">
        <v>15.5045</v>
      </c>
      <c r="U9" s="11" t="n">
        <v>15.4711</v>
      </c>
      <c r="V9" s="11" t="n">
        <v>15.7776</v>
      </c>
      <c r="W9" s="11" t="n">
        <v>36.4216</v>
      </c>
      <c r="X9" s="11" t="n">
        <v>37.1633</v>
      </c>
      <c r="Y9" s="11" t="n">
        <v>39.8</v>
      </c>
      <c r="Z9" s="11" t="n">
        <v>45.574</v>
      </c>
      <c r="AA9" s="11" t="n">
        <v>45.9021</v>
      </c>
      <c r="AB9" s="11" t="n">
        <v>48.3439</v>
      </c>
      <c r="AC9" s="11" t="n">
        <v>57.3309</v>
      </c>
      <c r="AD9" s="11" t="n">
        <v>61.7654</v>
      </c>
    </row>
    <row r="10">
      <c r="A10" s="5" t="inlineStr">
        <is>
          <t>영업이익</t>
        </is>
      </c>
      <c r="C10" s="6" t="n">
        <v>6.7721</v>
      </c>
      <c r="D10" s="6" t="n">
        <v>2.7451</v>
      </c>
      <c r="E10" s="6" t="n">
        <v>6.0386</v>
      </c>
      <c r="F10" s="6" t="n">
        <v>4.8792</v>
      </c>
      <c r="G10" s="6" t="n">
        <v>5.6853</v>
      </c>
      <c r="H10" s="6" t="n">
        <v>2.3226</v>
      </c>
      <c r="I10" s="6" t="n">
        <v>5.147</v>
      </c>
      <c r="J10" s="6" t="n">
        <v>5.0576</v>
      </c>
      <c r="K10" s="6" t="n">
        <v>5.7794</v>
      </c>
      <c r="L10" s="6" t="n">
        <v>2.1674</v>
      </c>
      <c r="M10" s="6" t="n">
        <v>5.501</v>
      </c>
      <c r="N10" s="6" t="n">
        <v>10.1085</v>
      </c>
      <c r="O10" s="6" t="n">
        <v>8.024800000000001</v>
      </c>
      <c r="P10" s="6" t="n">
        <v>5.0762</v>
      </c>
      <c r="Q10" s="6" t="n">
        <v>7.5045</v>
      </c>
      <c r="R10" s="6" t="n">
        <v>8.607200000000001</v>
      </c>
      <c r="S10" s="6" t="n">
        <v>7.5692</v>
      </c>
      <c r="T10" s="6" t="n">
        <v>5.9333</v>
      </c>
      <c r="U10" s="6" t="n">
        <v>7.9998</v>
      </c>
      <c r="V10" s="6" t="n">
        <v>16.549</v>
      </c>
      <c r="W10" s="6" t="n">
        <v>16.4564</v>
      </c>
      <c r="X10" s="6" t="n">
        <v>15.3363</v>
      </c>
      <c r="Y10" s="6" t="n">
        <v>17.1598</v>
      </c>
      <c r="Z10" s="6" t="n">
        <v>23.3246</v>
      </c>
      <c r="AA10" s="6" t="n">
        <v>18.9257</v>
      </c>
      <c r="AB10" s="6" t="n">
        <v>18.1513</v>
      </c>
      <c r="AC10" s="6" t="n">
        <v>28.7105</v>
      </c>
      <c r="AD10" s="6" t="n">
        <v>29.6142</v>
      </c>
    </row>
    <row r="11">
      <c r="A11" s="8" t="inlineStr">
        <is>
          <t>영업이익률</t>
        </is>
      </c>
      <c r="C11" s="9">
        <f>IF(OR(C10="",C4=""),"",IFERROR(C10/C4,""))</f>
        <v/>
      </c>
      <c r="D11" s="9">
        <f>IF(OR(D10="",D4=""),"",IFERROR(D10/D4,""))</f>
        <v/>
      </c>
      <c r="E11" s="9">
        <f>IF(OR(E10="",E4=""),"",IFERROR(E10/E4,""))</f>
        <v/>
      </c>
      <c r="F11" s="9">
        <f>IF(OR(F10="",F4=""),"",IFERROR(F10/F4,""))</f>
        <v/>
      </c>
      <c r="G11" s="9">
        <f>IF(OR(G10="",G4=""),"",IFERROR(G10/G4,""))</f>
        <v/>
      </c>
      <c r="H11" s="9">
        <f>IF(OR(H10="",H4=""),"",IFERROR(H10/H4,""))</f>
        <v/>
      </c>
      <c r="I11" s="9">
        <f>IF(OR(I10="",I4=""),"",IFERROR(I10/I4,""))</f>
        <v/>
      </c>
      <c r="J11" s="9">
        <f>IF(OR(J10="",J4=""),"",IFERROR(J10/J4,""))</f>
        <v/>
      </c>
      <c r="K11" s="9">
        <f>IF(OR(K10="",K4=""),"",IFERROR(K10/K4,""))</f>
        <v/>
      </c>
      <c r="L11" s="9">
        <f>IF(OR(L10="",L4=""),"",IFERROR(L10/L4,""))</f>
        <v/>
      </c>
      <c r="M11" s="9">
        <f>IF(OR(M10="",M4=""),"",IFERROR(M10/M4,""))</f>
        <v/>
      </c>
      <c r="N11" s="9">
        <f>IF(OR(N10="",N4=""),"",IFERROR(N10/N4,""))</f>
        <v/>
      </c>
      <c r="O11" s="9">
        <f>IF(OR(O10="",O4=""),"",IFERROR(O10/O4,""))</f>
        <v/>
      </c>
      <c r="P11" s="9">
        <f>IF(OR(P10="",P4=""),"",IFERROR(P10/P4,""))</f>
        <v/>
      </c>
      <c r="Q11" s="9">
        <f>IF(OR(Q10="",Q4=""),"",IFERROR(Q10/Q4,""))</f>
        <v/>
      </c>
      <c r="R11" s="9">
        <f>IF(OR(R10="",R4=""),"",IFERROR(R10/R4,""))</f>
        <v/>
      </c>
      <c r="S11" s="9">
        <f>IF(OR(S10="",S4=""),"",IFERROR(S10/S4,""))</f>
        <v/>
      </c>
      <c r="T11" s="9">
        <f>IF(OR(T10="",T4=""),"",IFERROR(T10/T4,""))</f>
        <v/>
      </c>
      <c r="U11" s="9">
        <f>IF(OR(U10="",U4=""),"",IFERROR(U10/U4,""))</f>
        <v/>
      </c>
      <c r="V11" s="9">
        <f>IF(OR(V10="",V4=""),"",IFERROR(V10/V4,""))</f>
        <v/>
      </c>
      <c r="W11" s="9">
        <f>IF(OR(W10="",W4=""),"",IFERROR(W10/W4,""))</f>
        <v/>
      </c>
      <c r="X11" s="9">
        <f>IF(OR(X10="",X4=""),"",IFERROR(X10/X4,""))</f>
        <v/>
      </c>
      <c r="Y11" s="9">
        <f>IF(OR(Y10="",Y4=""),"",IFERROR(Y10/Y4,""))</f>
        <v/>
      </c>
      <c r="Z11" s="9">
        <f>IF(OR(Z10="",Z4=""),"",IFERROR(Z10/Z4,""))</f>
        <v/>
      </c>
      <c r="AA11" s="9">
        <f>IF(OR(AA10="",AA4=""),"",IFERROR(AA10/AA4,""))</f>
        <v/>
      </c>
      <c r="AB11" s="9">
        <f>IF(OR(AB10="",AB4=""),"",IFERROR(AB10/AB4,""))</f>
        <v/>
      </c>
      <c r="AC11" s="9">
        <f>IF(OR(AC10="",AC4=""),"",IFERROR(AC10/AC4,""))</f>
        <v/>
      </c>
      <c r="AD11" s="9">
        <f>IF(OR(AD10="",AD4=""),"",IFERROR(AD10/AD4,""))</f>
        <v/>
      </c>
    </row>
    <row r="12">
      <c r="A12" s="8" t="inlineStr">
        <is>
          <t>YoY</t>
        </is>
      </c>
      <c r="G12" s="9">
        <f>IF(OR(G10="",C10=""),"",IFERROR(G10/C10-1,""))</f>
        <v/>
      </c>
      <c r="H12" s="9">
        <f>IF(OR(H10="",D10=""),"",IFERROR(H10/D10-1,""))</f>
        <v/>
      </c>
      <c r="I12" s="9">
        <f>IF(OR(I10="",E10=""),"",IFERROR(I10/E10-1,""))</f>
        <v/>
      </c>
      <c r="J12" s="9">
        <f>IF(OR(J10="",F10=""),"",IFERROR(J10/F10-1,""))</f>
        <v/>
      </c>
      <c r="K12" s="9">
        <f>IF(OR(K10="",G10=""),"",IFERROR(K10/G10-1,""))</f>
        <v/>
      </c>
      <c r="L12" s="9">
        <f>IF(OR(L10="",H10=""),"",IFERROR(L10/H10-1,""))</f>
        <v/>
      </c>
      <c r="M12" s="9">
        <f>IF(OR(M10="",I10=""),"",IFERROR(M10/I10-1,""))</f>
        <v/>
      </c>
      <c r="N12" s="9">
        <f>IF(OR(N10="",J10=""),"",IFERROR(N10/J10-1,""))</f>
        <v/>
      </c>
      <c r="O12" s="9">
        <f>IF(OR(O10="",K10=""),"",IFERROR(O10/K10-1,""))</f>
        <v/>
      </c>
      <c r="P12" s="9">
        <f>IF(OR(P10="",L10=""),"",IFERROR(P10/L10-1,""))</f>
        <v/>
      </c>
      <c r="Q12" s="9">
        <f>IF(OR(Q10="",M10=""),"",IFERROR(Q10/M10-1,""))</f>
        <v/>
      </c>
      <c r="R12" s="9">
        <f>IF(OR(R10="",N10=""),"",IFERROR(R10/N10-1,""))</f>
        <v/>
      </c>
      <c r="S12" s="9">
        <f>IF(OR(S10="",O10=""),"",IFERROR(S10/O10-1,""))</f>
        <v/>
      </c>
      <c r="T12" s="9">
        <f>IF(OR(T10="",P10=""),"",IFERROR(T10/P10-1,""))</f>
        <v/>
      </c>
      <c r="U12" s="9">
        <f>IF(OR(U10="",Q10=""),"",IFERROR(U10/Q10-1,""))</f>
        <v/>
      </c>
      <c r="V12" s="9">
        <f>IF(OR(V10="",R10=""),"",IFERROR(V10/R10-1,""))</f>
        <v/>
      </c>
      <c r="X12" s="9">
        <f>IF(OR(X10="",W10=""),"",IFERROR(X10/W10-1,""))</f>
        <v/>
      </c>
      <c r="Y12" s="9">
        <f>IF(OR(Y10="",X10=""),"",IFERROR(Y10/X10-1,""))</f>
        <v/>
      </c>
      <c r="Z12" s="9">
        <f>IF(OR(Z10="",Y10=""),"",IFERROR(Z10/Y10-1,""))</f>
        <v/>
      </c>
      <c r="AA12" s="9">
        <f>IF(OR(AA10="",Z10=""),"",IFERROR(AA10/Z10-1,""))</f>
        <v/>
      </c>
      <c r="AB12" s="9">
        <f>IF(OR(AB10="",AA10=""),"",IFERROR(AB10/AA10-1,""))</f>
        <v/>
      </c>
      <c r="AC12" s="9">
        <f>IF(OR(AC10="",AB10=""),"",IFERROR(AC10/AB10-1,""))</f>
        <v/>
      </c>
      <c r="AD12" s="9">
        <f>IF(OR(AD10="",AC10=""),"",IFERROR(AD10/AC10-1,""))</f>
        <v/>
      </c>
    </row>
    <row r="13">
      <c r="A13" s="10" t="inlineStr">
        <is>
          <t>이자수익</t>
        </is>
      </c>
      <c r="C13" s="11" t="n">
        <v>0.0163</v>
      </c>
      <c r="D13" s="11" t="n">
        <v>0.0144</v>
      </c>
      <c r="E13" s="11" t="n">
        <v>0.033</v>
      </c>
      <c r="F13" s="11" t="n">
        <v>0.0189</v>
      </c>
      <c r="G13" s="11" t="n">
        <v>0.0183</v>
      </c>
      <c r="H13" s="11" t="n">
        <v>0.0142</v>
      </c>
      <c r="I13" s="11" t="n">
        <v>0.037</v>
      </c>
      <c r="J13" s="11" t="n">
        <v>0.023</v>
      </c>
      <c r="K13" s="11" t="n">
        <v>0.0306</v>
      </c>
      <c r="L13" s="11" t="n">
        <v>0.0221</v>
      </c>
      <c r="M13" s="11" t="n">
        <v>0.0398</v>
      </c>
      <c r="N13" s="11" t="n">
        <v>0.0158</v>
      </c>
      <c r="O13" s="11" t="n">
        <v>0.0243</v>
      </c>
      <c r="P13" s="11" t="n">
        <v>0.048</v>
      </c>
      <c r="Q13" s="11" t="n">
        <v>0.0401</v>
      </c>
      <c r="R13" s="11" t="n">
        <v>0.0169</v>
      </c>
      <c r="S13" s="11" t="n">
        <v>0.0285</v>
      </c>
      <c r="T13" s="11" t="n">
        <v>0.0245</v>
      </c>
      <c r="U13" s="11" t="n">
        <v>0.0384</v>
      </c>
      <c r="V13" s="11" t="n">
        <v>0.0184</v>
      </c>
      <c r="W13" s="11" t="n">
        <v>0.0193</v>
      </c>
      <c r="X13" s="11" t="n">
        <v>0.0249</v>
      </c>
      <c r="Y13" s="11" t="n">
        <v>0.0342</v>
      </c>
      <c r="Z13" s="11" t="n">
        <v>0.0579</v>
      </c>
      <c r="AA13" s="11" t="n">
        <v>0.0844</v>
      </c>
      <c r="AB13" s="11" t="n">
        <v>0.1127</v>
      </c>
      <c r="AC13" s="11" t="n">
        <v>0.128</v>
      </c>
      <c r="AD13" s="11" t="n">
        <v>0.11</v>
      </c>
    </row>
    <row r="14">
      <c r="A14" s="10" t="inlineStr">
        <is>
          <t>배당금수익</t>
        </is>
      </c>
      <c r="C14" s="11" t="n">
        <v>0.0031</v>
      </c>
      <c r="D14" s="11" t="n">
        <v>0.0725</v>
      </c>
      <c r="E14" s="11" t="n">
        <v>0.0063</v>
      </c>
      <c r="F14" s="11" t="n">
        <v>0.1221</v>
      </c>
      <c r="G14" s="11" t="n">
        <v>0.0038</v>
      </c>
      <c r="H14" s="11" t="n">
        <v>0.082</v>
      </c>
      <c r="I14" s="11" t="n">
        <v>0.0034</v>
      </c>
      <c r="J14" s="11" t="n">
        <v>0.1092</v>
      </c>
      <c r="K14" s="11" t="n">
        <v>0.0001</v>
      </c>
      <c r="L14" s="11" t="n">
        <v>0.07820000000000001</v>
      </c>
      <c r="M14" s="11" t="n">
        <v>0.0037</v>
      </c>
      <c r="N14" s="11" t="n">
        <v>0.1593</v>
      </c>
      <c r="O14" s="11" t="n">
        <v>0.0004</v>
      </c>
      <c r="P14" s="11" t="n">
        <v>0.1145</v>
      </c>
      <c r="Q14" s="11" t="n">
        <v>0.0039</v>
      </c>
      <c r="R14" s="11" t="n">
        <v>0.1536</v>
      </c>
      <c r="S14" s="11" t="n">
        <v>0.0059</v>
      </c>
      <c r="T14" s="11" t="n">
        <v>0.0977</v>
      </c>
      <c r="U14" s="11" t="n">
        <v>0.0042</v>
      </c>
      <c r="V14" s="11" t="n">
        <v>0.1627</v>
      </c>
      <c r="W14" s="11" t="n">
        <v>0.1222</v>
      </c>
      <c r="X14" s="11" t="n">
        <v>0.1621</v>
      </c>
      <c r="Y14" s="11" t="n">
        <v>0.1586</v>
      </c>
      <c r="Z14" s="11" t="n">
        <v>0.1699</v>
      </c>
      <c r="AA14" s="11" t="n">
        <v>0.2141</v>
      </c>
      <c r="AB14" s="11" t="n">
        <v>0.1909</v>
      </c>
      <c r="AC14" s="11" t="n">
        <v>0.2778</v>
      </c>
      <c r="AD14" s="11" t="n">
        <v>0.2612</v>
      </c>
    </row>
    <row r="15">
      <c r="A15" s="10" t="inlineStr">
        <is>
          <t>지분법이익</t>
        </is>
      </c>
      <c r="C15" s="11" t="n">
        <v>0</v>
      </c>
      <c r="D15" s="11" t="n">
        <v>0</v>
      </c>
      <c r="L15" s="11" t="n">
        <v>-0.3992</v>
      </c>
      <c r="P15" s="11" t="n">
        <v>0</v>
      </c>
      <c r="W15" s="11" t="n">
        <v>0.089</v>
      </c>
      <c r="X15" s="11" t="n">
        <v>0.0866</v>
      </c>
      <c r="Y15" s="11" t="n">
        <v>0.0237</v>
      </c>
      <c r="Z15" s="11" t="n">
        <v>0</v>
      </c>
      <c r="AA15" s="11" t="n">
        <v>0</v>
      </c>
      <c r="AB15" s="11" t="n">
        <v>3.4737</v>
      </c>
      <c r="AC15" s="11" t="n">
        <v>0</v>
      </c>
    </row>
    <row r="16">
      <c r="A16" s="10" t="inlineStr">
        <is>
          <t>임대료 수익</t>
        </is>
      </c>
      <c r="C16" s="11" t="n">
        <v>0.0814</v>
      </c>
      <c r="D16" s="11" t="n">
        <v>0.08649999999999999</v>
      </c>
      <c r="E16" s="11" t="n">
        <v>0.0834</v>
      </c>
      <c r="F16" s="11" t="n">
        <v>0.08939999999999999</v>
      </c>
      <c r="G16" s="11" t="n">
        <v>0.08749999999999999</v>
      </c>
      <c r="H16" s="11" t="n">
        <v>0.0848</v>
      </c>
      <c r="I16" s="11" t="n">
        <v>0.06859999999999999</v>
      </c>
      <c r="J16" s="11" t="n">
        <v>0.0659</v>
      </c>
      <c r="K16" s="11" t="n">
        <v>0.0583</v>
      </c>
      <c r="L16" s="11" t="n">
        <v>0.0589</v>
      </c>
      <c r="M16" s="11" t="n">
        <v>0.0565</v>
      </c>
      <c r="N16" s="11" t="n">
        <v>0.0571</v>
      </c>
      <c r="O16" s="11" t="n">
        <v>0.0561</v>
      </c>
      <c r="P16" s="11" t="n">
        <v>0.0599</v>
      </c>
      <c r="Q16" s="11" t="n">
        <v>0.0569</v>
      </c>
      <c r="R16" s="11" t="n">
        <v>0.057</v>
      </c>
      <c r="S16" s="11" t="n">
        <v>0.054</v>
      </c>
      <c r="T16" s="11" t="n">
        <v>0.053</v>
      </c>
      <c r="U16" s="11" t="n">
        <v>0.0549</v>
      </c>
      <c r="V16" s="11" t="n">
        <v>0.0542</v>
      </c>
      <c r="W16" s="11" t="n">
        <v>0.3072</v>
      </c>
      <c r="X16" s="11" t="n">
        <v>0.2799</v>
      </c>
      <c r="Y16" s="11" t="n">
        <v>0.2936</v>
      </c>
      <c r="Z16" s="11" t="n">
        <v>0.3355</v>
      </c>
      <c r="AA16" s="11" t="n">
        <v>0.3451</v>
      </c>
      <c r="AB16" s="11" t="n">
        <v>0.2517</v>
      </c>
      <c r="AC16" s="11" t="n">
        <v>0.2296</v>
      </c>
      <c r="AD16" s="11" t="n">
        <v>0.2208</v>
      </c>
    </row>
    <row r="17">
      <c r="A17" s="10" t="inlineStr">
        <is>
          <t>보험배당금</t>
        </is>
      </c>
      <c r="E17" s="11" t="n">
        <v>0.0332</v>
      </c>
      <c r="I17" s="11" t="n">
        <v>0.0248</v>
      </c>
    </row>
    <row r="18">
      <c r="A18" s="10" t="inlineStr">
        <is>
          <t>보험금 수익</t>
        </is>
      </c>
      <c r="W18" s="11" t="n">
        <v>0.0881</v>
      </c>
      <c r="X18" s="11" t="n">
        <v>0.06900000000000001</v>
      </c>
      <c r="Y18" s="11" t="n">
        <v>0.106</v>
      </c>
      <c r="Z18" s="11" t="n">
        <v>0.145</v>
      </c>
      <c r="AA18" s="11" t="n">
        <v>0.1151</v>
      </c>
      <c r="AB18" s="11" t="n">
        <v>0.1909</v>
      </c>
      <c r="AC18" s="11" t="n">
        <v>0.3172</v>
      </c>
      <c r="AD18" s="11" t="n">
        <v>0.0115</v>
      </c>
    </row>
    <row r="19">
      <c r="A19" s="10" t="inlineStr">
        <is>
          <t>외환차익</t>
        </is>
      </c>
      <c r="C19" s="11" t="n">
        <v>0.2175</v>
      </c>
      <c r="D19" s="11" t="n">
        <v>0.4418</v>
      </c>
      <c r="E19" s="11" t="n">
        <v>0.9611</v>
      </c>
      <c r="F19" s="11" t="n">
        <v>1.1993</v>
      </c>
      <c r="G19" s="11" t="n">
        <v>0.4645</v>
      </c>
      <c r="H19" s="11" t="n">
        <v>-0.7616000000000001</v>
      </c>
      <c r="I19" s="11" t="n">
        <v>0</v>
      </c>
      <c r="J19" s="11" t="n">
        <v>1.0042</v>
      </c>
      <c r="K19" s="11" t="n">
        <v>0.1727</v>
      </c>
      <c r="L19" s="11" t="n">
        <v>-0.4859</v>
      </c>
      <c r="M19" s="11" t="n">
        <v>0.5393</v>
      </c>
      <c r="N19" s="11" t="n">
        <v>0.5938</v>
      </c>
      <c r="O19" s="11" t="n">
        <v>-1.133</v>
      </c>
      <c r="P19" s="11" t="n">
        <v>0.8090000000000001</v>
      </c>
      <c r="Q19" s="11" t="n">
        <v>0</v>
      </c>
      <c r="R19" s="11" t="n">
        <v>0</v>
      </c>
      <c r="U19" s="11" t="n">
        <v>0.1138</v>
      </c>
      <c r="V19" s="11" t="n">
        <v>-0.0256</v>
      </c>
      <c r="Y19" s="11" t="n">
        <v>0</v>
      </c>
      <c r="Z19" s="11" t="n">
        <v>1.4605</v>
      </c>
      <c r="AA19" s="11" t="n">
        <v>1.8633</v>
      </c>
      <c r="AB19" s="11" t="n">
        <v>0.6909999999999999</v>
      </c>
      <c r="AC19" s="11" t="n">
        <v>0.8090000000000001</v>
      </c>
      <c r="AD19" s="11" t="n">
        <v>0</v>
      </c>
    </row>
    <row r="20">
      <c r="A20" s="10" t="inlineStr">
        <is>
          <t>기타</t>
        </is>
      </c>
      <c r="C20" s="11" t="n">
        <v>0.3304</v>
      </c>
      <c r="D20" s="11" t="n">
        <v>0.1907</v>
      </c>
      <c r="E20" s="11" t="n">
        <v>0.5827</v>
      </c>
      <c r="F20" s="11" t="n">
        <v>0.5157</v>
      </c>
      <c r="G20" s="11" t="n">
        <v>0.2528</v>
      </c>
      <c r="H20" s="11" t="n">
        <v>0.3278</v>
      </c>
      <c r="I20" s="11" t="n">
        <v>0.36</v>
      </c>
      <c r="J20" s="11" t="n">
        <v>0.7292999999999999</v>
      </c>
      <c r="K20" s="11" t="n">
        <v>0.3715</v>
      </c>
      <c r="L20" s="11" t="n">
        <v>0.3624</v>
      </c>
      <c r="M20" s="11" t="n">
        <v>0.4852</v>
      </c>
      <c r="N20" s="11" t="n">
        <v>0.4497</v>
      </c>
      <c r="O20" s="11" t="n">
        <v>0.589</v>
      </c>
      <c r="P20" s="11" t="n">
        <v>0.2147</v>
      </c>
      <c r="Q20" s="11" t="n">
        <v>0.3889</v>
      </c>
      <c r="R20" s="11" t="n">
        <v>0.5725</v>
      </c>
      <c r="S20" s="11" t="n">
        <v>0.3728</v>
      </c>
      <c r="T20" s="11" t="n">
        <v>0.6765</v>
      </c>
      <c r="U20" s="11" t="n">
        <v>0.4185</v>
      </c>
      <c r="V20" s="11" t="n">
        <v>0.3858</v>
      </c>
      <c r="W20" s="11" t="n">
        <v>1.1514</v>
      </c>
      <c r="X20" s="11" t="n">
        <v>1.4093</v>
      </c>
      <c r="Y20" s="11" t="n">
        <v>1.1654</v>
      </c>
      <c r="Z20" s="11" t="n">
        <v>1.5252</v>
      </c>
      <c r="AA20" s="11" t="n">
        <v>1.6789</v>
      </c>
      <c r="AB20" s="11" t="n">
        <v>1.8232</v>
      </c>
      <c r="AC20" s="11" t="n">
        <v>1.7386</v>
      </c>
      <c r="AD20" s="11" t="n">
        <v>2.0106</v>
      </c>
    </row>
    <row r="21">
      <c r="A21" s="5" t="inlineStr">
        <is>
          <t>영업외수익 합계</t>
        </is>
      </c>
      <c r="C21" s="6" t="n">
        <v>0.6488</v>
      </c>
      <c r="D21" s="6" t="n">
        <v>0.9508</v>
      </c>
      <c r="E21" s="6" t="n">
        <v>1.6997</v>
      </c>
      <c r="F21" s="6" t="n">
        <v>1.9121</v>
      </c>
      <c r="G21" s="6" t="n">
        <v>0.8269</v>
      </c>
      <c r="H21" s="6" t="n">
        <v>-0.1377</v>
      </c>
      <c r="I21" s="6" t="n">
        <v>0.469</v>
      </c>
      <c r="J21" s="6" t="n">
        <v>1.9316</v>
      </c>
      <c r="K21" s="6" t="n">
        <v>4.5061</v>
      </c>
      <c r="L21" s="6" t="n">
        <v>-0.1726</v>
      </c>
      <c r="M21" s="6" t="n">
        <v>1.1245</v>
      </c>
      <c r="N21" s="6" t="n">
        <v>1.2757</v>
      </c>
      <c r="O21" s="6" t="n">
        <v>-0.4633</v>
      </c>
      <c r="P21" s="6" t="n">
        <v>1.5634</v>
      </c>
      <c r="Q21" s="6" t="n">
        <v>0.4899</v>
      </c>
      <c r="R21" s="6" t="n">
        <v>0.8</v>
      </c>
      <c r="S21" s="6" t="n">
        <v>0.4612</v>
      </c>
      <c r="T21" s="6" t="n">
        <v>0.8632</v>
      </c>
      <c r="U21" s="6" t="n">
        <v>0.6298</v>
      </c>
      <c r="V21" s="6" t="n">
        <v>0.5954</v>
      </c>
      <c r="W21" s="6" t="n">
        <v>1.7773</v>
      </c>
      <c r="X21" s="6" t="n">
        <v>2.0318</v>
      </c>
      <c r="Y21" s="6" t="n">
        <v>1.7815</v>
      </c>
      <c r="Z21" s="6" t="n">
        <v>3.6941</v>
      </c>
      <c r="AA21" s="6" t="n">
        <v>4.3009</v>
      </c>
      <c r="AB21" s="6" t="n">
        <v>6.7342</v>
      </c>
      <c r="AC21" s="6" t="n">
        <v>3.5002</v>
      </c>
      <c r="AD21" s="6" t="n">
        <v>2.6141</v>
      </c>
    </row>
    <row r="22">
      <c r="A22" s="10" t="inlineStr">
        <is>
          <t>이자비용</t>
        </is>
      </c>
      <c r="C22" s="11" t="n">
        <v>0.165</v>
      </c>
      <c r="D22" s="11" t="n">
        <v>0.2075</v>
      </c>
      <c r="E22" s="11" t="n">
        <v>0.1874</v>
      </c>
      <c r="F22" s="11" t="n">
        <v>0.1991</v>
      </c>
      <c r="G22" s="11" t="n">
        <v>0.1508</v>
      </c>
      <c r="H22" s="11" t="n">
        <v>0.1209</v>
      </c>
      <c r="I22" s="11" t="n">
        <v>0.1419</v>
      </c>
      <c r="J22" s="11" t="n">
        <v>0.1515</v>
      </c>
      <c r="K22" s="11" t="n">
        <v>0.1613</v>
      </c>
      <c r="L22" s="11" t="n">
        <v>0.1466</v>
      </c>
      <c r="M22" s="11" t="n">
        <v>0.1751</v>
      </c>
      <c r="N22" s="11" t="n">
        <v>0.1637</v>
      </c>
      <c r="O22" s="11" t="n">
        <v>0.1991</v>
      </c>
      <c r="P22" s="11" t="n">
        <v>0.1839</v>
      </c>
      <c r="Q22" s="11" t="n">
        <v>0.181</v>
      </c>
      <c r="R22" s="11" t="n">
        <v>0.1749</v>
      </c>
      <c r="S22" s="11" t="n">
        <v>0.1908</v>
      </c>
      <c r="T22" s="11" t="n">
        <v>0.2032</v>
      </c>
      <c r="U22" s="11" t="n">
        <v>0.2293</v>
      </c>
      <c r="V22" s="11" t="n">
        <v>0.2575</v>
      </c>
      <c r="W22" s="11" t="n">
        <v>0.6677</v>
      </c>
      <c r="X22" s="11" t="n">
        <v>0.7711</v>
      </c>
      <c r="Y22" s="11" t="n">
        <v>0.7059</v>
      </c>
      <c r="Z22" s="11" t="n">
        <v>0.6744</v>
      </c>
      <c r="AA22" s="11" t="n">
        <v>0.6582</v>
      </c>
      <c r="AB22" s="11" t="n">
        <v>0.6014</v>
      </c>
      <c r="AC22" s="11" t="n">
        <v>0.7218</v>
      </c>
      <c r="AD22" s="11" t="n">
        <v>0.7498</v>
      </c>
    </row>
    <row r="23">
      <c r="A23" s="10" t="inlineStr">
        <is>
          <t>지분법손실</t>
        </is>
      </c>
      <c r="G23" s="11" t="n">
        <v>0</v>
      </c>
      <c r="I23" s="11" t="n">
        <v>0</v>
      </c>
      <c r="J23" s="11" t="n">
        <v>0.0287</v>
      </c>
      <c r="K23" s="11" t="n">
        <v>-0.0287</v>
      </c>
      <c r="L23" s="11" t="n">
        <v>0</v>
      </c>
      <c r="M23" s="11" t="n">
        <v>0.0638</v>
      </c>
      <c r="N23" s="11" t="n">
        <v>0.0302</v>
      </c>
      <c r="O23" s="11" t="n">
        <v>0.0982</v>
      </c>
      <c r="P23" s="11" t="n">
        <v>0.08169999999999999</v>
      </c>
      <c r="Q23" s="11" t="n">
        <v>0.1944</v>
      </c>
      <c r="R23" s="11" t="n">
        <v>0.0394</v>
      </c>
      <c r="S23" s="11" t="n">
        <v>-0.0118</v>
      </c>
      <c r="T23" s="11" t="n">
        <v>-0.0482</v>
      </c>
      <c r="U23" s="11" t="n">
        <v>0.0599</v>
      </c>
      <c r="V23" s="11" t="n">
        <v>-0.0253</v>
      </c>
      <c r="AB23" s="11" t="n">
        <v>0</v>
      </c>
      <c r="AC23" s="11" t="n">
        <v>0.2738</v>
      </c>
      <c r="AD23" s="11" t="n">
        <v>0.1739</v>
      </c>
    </row>
    <row r="24">
      <c r="A24" s="10" t="inlineStr">
        <is>
          <t>외환차손</t>
        </is>
      </c>
      <c r="C24" s="11" t="n">
        <v>0</v>
      </c>
      <c r="D24" s="11" t="n">
        <v>0</v>
      </c>
      <c r="E24" s="11" t="n">
        <v>0</v>
      </c>
      <c r="I24" s="11" t="n">
        <v>0.1165</v>
      </c>
      <c r="M24" s="11" t="n">
        <v>0</v>
      </c>
      <c r="N24" s="11" t="n">
        <v>0</v>
      </c>
      <c r="O24" s="11" t="n">
        <v>0.0747</v>
      </c>
      <c r="P24" s="11" t="n">
        <v>-0.0747</v>
      </c>
      <c r="Q24" s="11" t="n">
        <v>0.5959</v>
      </c>
      <c r="R24" s="11" t="n">
        <v>0.4093</v>
      </c>
      <c r="S24" s="11" t="n">
        <v>-0.2319</v>
      </c>
      <c r="T24" s="11" t="n">
        <v>-0.3745</v>
      </c>
      <c r="U24" s="11" t="n">
        <v>0</v>
      </c>
      <c r="V24" s="11" t="n">
        <v>0</v>
      </c>
      <c r="W24" s="11" t="n">
        <v>0.4525</v>
      </c>
      <c r="X24" s="11" t="n">
        <v>0.2321</v>
      </c>
      <c r="Y24" s="11" t="n">
        <v>0.3643</v>
      </c>
      <c r="Z24" s="11" t="n">
        <v>0</v>
      </c>
      <c r="AC24" s="11" t="n">
        <v>0</v>
      </c>
      <c r="AD24" s="11" t="n">
        <v>0.3988</v>
      </c>
    </row>
    <row r="25">
      <c r="A25" s="10" t="inlineStr">
        <is>
          <t>관계회사 정리손실</t>
        </is>
      </c>
      <c r="I25" s="11" t="n">
        <v>0</v>
      </c>
      <c r="M25" s="11" t="n">
        <v>0.956</v>
      </c>
      <c r="Q25" s="11" t="n">
        <v>0</v>
      </c>
    </row>
    <row r="26">
      <c r="A26" s="10" t="inlineStr">
        <is>
          <t>유휴자산 감가상각비</t>
        </is>
      </c>
      <c r="H26" s="11" t="n">
        <v>0</v>
      </c>
      <c r="L26" s="11" t="n">
        <v>0.2986</v>
      </c>
      <c r="P26" s="11" t="n">
        <v>0.0019</v>
      </c>
      <c r="AA26" s="11" t="n">
        <v>0</v>
      </c>
      <c r="AB26" s="11" t="n">
        <v>0.5989</v>
      </c>
      <c r="AC26" s="11" t="n">
        <v>0.0075</v>
      </c>
      <c r="AD26" s="11" t="n">
        <v>0.0069</v>
      </c>
    </row>
    <row r="27">
      <c r="A27" s="10" t="inlineStr">
        <is>
          <t>관계회사 정리손실</t>
        </is>
      </c>
      <c r="AB27" s="11" t="n">
        <v>0</v>
      </c>
      <c r="AC27" s="11" t="n">
        <v>1.5382</v>
      </c>
      <c r="AD27" s="11" t="n">
        <v>0</v>
      </c>
    </row>
    <row r="28">
      <c r="A28" s="10" t="inlineStr">
        <is>
          <t>기타</t>
        </is>
      </c>
      <c r="C28" s="11" t="n">
        <v>0.1401</v>
      </c>
      <c r="D28" s="11" t="n">
        <v>0.09</v>
      </c>
      <c r="E28" s="11" t="n">
        <v>0.0781</v>
      </c>
      <c r="F28" s="11" t="n">
        <v>0.1357</v>
      </c>
      <c r="G28" s="11" t="n">
        <v>0.0897</v>
      </c>
      <c r="H28" s="11" t="n">
        <v>0.2039</v>
      </c>
      <c r="I28" s="11" t="n">
        <v>0.06</v>
      </c>
      <c r="J28" s="11" t="n">
        <v>0.08409999999999999</v>
      </c>
      <c r="K28" s="11" t="n">
        <v>0.1282</v>
      </c>
      <c r="L28" s="11" t="n">
        <v>-0.0029</v>
      </c>
      <c r="M28" s="11" t="n">
        <v>0.1305</v>
      </c>
      <c r="N28" s="11" t="n">
        <v>0.0525</v>
      </c>
      <c r="O28" s="11" t="n">
        <v>0.056</v>
      </c>
      <c r="P28" s="11" t="n">
        <v>0.3469</v>
      </c>
      <c r="Q28" s="11" t="n">
        <v>0.06</v>
      </c>
      <c r="R28" s="11" t="n">
        <v>0.06909999999999999</v>
      </c>
      <c r="S28" s="11" t="n">
        <v>0.0742</v>
      </c>
      <c r="T28" s="11" t="n">
        <v>0.151</v>
      </c>
      <c r="U28" s="11" t="n">
        <v>0.1391</v>
      </c>
      <c r="V28" s="11" t="n">
        <v>0.1168</v>
      </c>
      <c r="W28" s="11" t="n">
        <v>0.2706</v>
      </c>
      <c r="X28" s="11" t="n">
        <v>0.2761</v>
      </c>
      <c r="Y28" s="11" t="n">
        <v>0.3677</v>
      </c>
      <c r="Z28" s="11" t="n">
        <v>0.4873</v>
      </c>
      <c r="AA28" s="11" t="n">
        <v>0.5074</v>
      </c>
      <c r="AB28" s="11" t="n">
        <v>0.2694</v>
      </c>
      <c r="AC28" s="11" t="n">
        <v>0.5859</v>
      </c>
      <c r="AD28" s="11" t="n">
        <v>0.3543</v>
      </c>
    </row>
    <row r="29">
      <c r="A29" s="10" t="inlineStr">
        <is>
          <t>영업외비용 합계</t>
        </is>
      </c>
      <c r="C29" s="11" t="n">
        <v>0.3051</v>
      </c>
      <c r="D29" s="11" t="n">
        <v>0.2975</v>
      </c>
      <c r="E29" s="11" t="n">
        <v>0.2655</v>
      </c>
      <c r="F29" s="11" t="n">
        <v>0.3348</v>
      </c>
      <c r="G29" s="11" t="n">
        <v>0.2406</v>
      </c>
      <c r="H29" s="11" t="n">
        <v>0.3248</v>
      </c>
      <c r="I29" s="11" t="n">
        <v>0.3184</v>
      </c>
      <c r="J29" s="11" t="n">
        <v>0.1479</v>
      </c>
      <c r="K29" s="11" t="n">
        <v>0.5611</v>
      </c>
      <c r="L29" s="11" t="n">
        <v>0.4424</v>
      </c>
      <c r="M29" s="11" t="n">
        <v>1.3254</v>
      </c>
      <c r="N29" s="11" t="n">
        <v>0.4286</v>
      </c>
      <c r="O29" s="11" t="n">
        <v>0.428</v>
      </c>
      <c r="P29" s="11" t="n">
        <v>0.9454</v>
      </c>
      <c r="Q29" s="11" t="n">
        <v>1.0313</v>
      </c>
      <c r="R29" s="11" t="n">
        <v>0.6928</v>
      </c>
      <c r="S29" s="11" t="n">
        <v>0.0212</v>
      </c>
      <c r="T29" s="11" t="n">
        <v>-0.0616</v>
      </c>
      <c r="U29" s="11" t="n">
        <v>0.4284</v>
      </c>
      <c r="V29" s="11" t="n">
        <v>0.3489</v>
      </c>
      <c r="W29" s="11" t="n">
        <v>1.3909</v>
      </c>
      <c r="X29" s="11" t="n">
        <v>1.2792</v>
      </c>
      <c r="Y29" s="11" t="n">
        <v>1.438</v>
      </c>
      <c r="Z29" s="11" t="n">
        <v>1.1616</v>
      </c>
      <c r="AA29" s="11" t="n">
        <v>1.1656</v>
      </c>
      <c r="AB29" s="11" t="n">
        <v>1.4697</v>
      </c>
      <c r="AC29" s="11" t="n">
        <v>3.1274</v>
      </c>
      <c r="AD29" s="11" t="n">
        <v>1.6837</v>
      </c>
    </row>
    <row r="30">
      <c r="A30" s="5" t="inlineStr">
        <is>
          <t>경상이익</t>
        </is>
      </c>
      <c r="C30" s="6" t="n">
        <v>7.1157</v>
      </c>
      <c r="D30" s="6" t="n">
        <v>3.3983</v>
      </c>
      <c r="E30" s="6" t="n">
        <v>7.4728</v>
      </c>
      <c r="F30" s="6" t="n">
        <v>6.4566</v>
      </c>
      <c r="G30" s="6" t="n">
        <v>6.2716</v>
      </c>
      <c r="H30" s="6" t="n">
        <v>1.86</v>
      </c>
      <c r="I30" s="6" t="n">
        <v>5.2976</v>
      </c>
      <c r="J30" s="6" t="n">
        <v>6.8413</v>
      </c>
      <c r="K30" s="6" t="n">
        <v>9.724399999999999</v>
      </c>
      <c r="L30" s="6" t="n">
        <v>1.5525</v>
      </c>
      <c r="M30" s="6" t="n">
        <v>5.3001</v>
      </c>
      <c r="N30" s="6" t="n">
        <v>10.9556</v>
      </c>
      <c r="O30" s="6" t="n">
        <v>7.1335</v>
      </c>
      <c r="P30" s="6" t="n">
        <v>5.6942</v>
      </c>
      <c r="Q30" s="6" t="n">
        <v>6.963</v>
      </c>
      <c r="R30" s="6" t="n">
        <v>8.7143</v>
      </c>
      <c r="S30" s="6" t="n">
        <v>8.0092</v>
      </c>
      <c r="T30" s="6" t="n">
        <v>6.8581</v>
      </c>
      <c r="U30" s="6" t="n">
        <v>8.2013</v>
      </c>
      <c r="V30" s="6" t="n">
        <v>16.7955</v>
      </c>
      <c r="W30" s="6" t="n">
        <v>16.8429</v>
      </c>
      <c r="X30" s="6" t="n">
        <v>16.089</v>
      </c>
      <c r="Y30" s="6" t="n">
        <v>17.5034</v>
      </c>
      <c r="Z30" s="6" t="n">
        <v>25.8571</v>
      </c>
      <c r="AA30" s="6" t="n">
        <v>22.0611</v>
      </c>
      <c r="AB30" s="6" t="n">
        <v>23.4157</v>
      </c>
      <c r="AC30" s="6" t="n">
        <v>29.0834</v>
      </c>
      <c r="AD30" s="6" t="n">
        <v>30.5446</v>
      </c>
    </row>
    <row r="31">
      <c r="A31" s="8" t="inlineStr">
        <is>
          <t>경상이익률</t>
        </is>
      </c>
      <c r="C31" s="9">
        <f>IF(OR(C30="",C4=""),"",IFERROR(C30/C4,""))</f>
        <v/>
      </c>
      <c r="D31" s="9">
        <f>IF(OR(D30="",D4=""),"",IFERROR(D30/D4,""))</f>
        <v/>
      </c>
      <c r="E31" s="9">
        <f>IF(OR(E30="",E4=""),"",IFERROR(E30/E4,""))</f>
        <v/>
      </c>
      <c r="F31" s="9">
        <f>IF(OR(F30="",F4=""),"",IFERROR(F30/F4,""))</f>
        <v/>
      </c>
      <c r="G31" s="9">
        <f>IF(OR(G30="",G4=""),"",IFERROR(G30/G4,""))</f>
        <v/>
      </c>
      <c r="H31" s="9">
        <f>IF(OR(H30="",H4=""),"",IFERROR(H30/H4,""))</f>
        <v/>
      </c>
      <c r="I31" s="9">
        <f>IF(OR(I30="",I4=""),"",IFERROR(I30/I4,""))</f>
        <v/>
      </c>
      <c r="J31" s="9">
        <f>IF(OR(J30="",J4=""),"",IFERROR(J30/J4,""))</f>
        <v/>
      </c>
      <c r="K31" s="9">
        <f>IF(OR(K30="",K4=""),"",IFERROR(K30/K4,""))</f>
        <v/>
      </c>
      <c r="L31" s="9">
        <f>IF(OR(L30="",L4=""),"",IFERROR(L30/L4,""))</f>
        <v/>
      </c>
      <c r="M31" s="9">
        <f>IF(OR(M30="",M4=""),"",IFERROR(M30/M4,""))</f>
        <v/>
      </c>
      <c r="N31" s="9">
        <f>IF(OR(N30="",N4=""),"",IFERROR(N30/N4,""))</f>
        <v/>
      </c>
      <c r="O31" s="9">
        <f>IF(OR(O30="",O4=""),"",IFERROR(O30/O4,""))</f>
        <v/>
      </c>
      <c r="P31" s="9">
        <f>IF(OR(P30="",P4=""),"",IFERROR(P30/P4,""))</f>
        <v/>
      </c>
      <c r="Q31" s="9">
        <f>IF(OR(Q30="",Q4=""),"",IFERROR(Q30/Q4,""))</f>
        <v/>
      </c>
      <c r="R31" s="9">
        <f>IF(OR(R30="",R4=""),"",IFERROR(R30/R4,""))</f>
        <v/>
      </c>
      <c r="S31" s="9">
        <f>IF(OR(S30="",S4=""),"",IFERROR(S30/S4,""))</f>
        <v/>
      </c>
      <c r="T31" s="9">
        <f>IF(OR(T30="",T4=""),"",IFERROR(T30/T4,""))</f>
        <v/>
      </c>
      <c r="U31" s="9">
        <f>IF(OR(U30="",U4=""),"",IFERROR(U30/U4,""))</f>
        <v/>
      </c>
      <c r="V31" s="9">
        <f>IF(OR(V30="",V4=""),"",IFERROR(V30/V4,""))</f>
        <v/>
      </c>
      <c r="W31" s="9">
        <f>IF(OR(W30="",W4=""),"",IFERROR(W30/W4,""))</f>
        <v/>
      </c>
      <c r="X31" s="9">
        <f>IF(OR(X30="",X4=""),"",IFERROR(X30/X4,""))</f>
        <v/>
      </c>
      <c r="Y31" s="9">
        <f>IF(OR(Y30="",Y4=""),"",IFERROR(Y30/Y4,""))</f>
        <v/>
      </c>
      <c r="Z31" s="9">
        <f>IF(OR(Z30="",Z4=""),"",IFERROR(Z30/Z4,""))</f>
        <v/>
      </c>
      <c r="AA31" s="9">
        <f>IF(OR(AA30="",AA4=""),"",IFERROR(AA30/AA4,""))</f>
        <v/>
      </c>
      <c r="AB31" s="9">
        <f>IF(OR(AB30="",AB4=""),"",IFERROR(AB30/AB4,""))</f>
        <v/>
      </c>
      <c r="AC31" s="9">
        <f>IF(OR(AC30="",AC4=""),"",IFERROR(AC30/AC4,""))</f>
        <v/>
      </c>
      <c r="AD31" s="9">
        <f>IF(OR(AD30="",AD4=""),"",IFERROR(AD30/AD4,""))</f>
        <v/>
      </c>
    </row>
    <row r="32">
      <c r="A32" s="10" t="inlineStr">
        <is>
          <t>고정자산 매각이익</t>
        </is>
      </c>
      <c r="C32" s="11" t="n">
        <v>0</v>
      </c>
      <c r="D32" s="11" t="n">
        <v>0.0116</v>
      </c>
      <c r="G32" s="11" t="n">
        <v>0.007</v>
      </c>
      <c r="H32" s="11" t="n">
        <v>-0.0441</v>
      </c>
      <c r="I32" s="11" t="n">
        <v>0</v>
      </c>
      <c r="J32" s="11" t="n">
        <v>0</v>
      </c>
      <c r="K32" s="11" t="n">
        <v>0.0015</v>
      </c>
      <c r="L32" s="11" t="n">
        <v>0.0086</v>
      </c>
      <c r="M32" s="11" t="n">
        <v>0.005</v>
      </c>
      <c r="N32" s="11" t="n">
        <v>0.0002</v>
      </c>
      <c r="O32" s="11" t="n">
        <v>0.0052</v>
      </c>
      <c r="P32" s="11" t="n">
        <v>0.0019</v>
      </c>
      <c r="Q32" s="11" t="n">
        <v>1.0487</v>
      </c>
      <c r="R32" s="11" t="n">
        <v>0</v>
      </c>
      <c r="S32" s="11" t="n">
        <v>0</v>
      </c>
      <c r="T32" s="11" t="n">
        <v>0.0887</v>
      </c>
      <c r="U32" s="11" t="n">
        <v>0</v>
      </c>
      <c r="V32" s="11" t="n">
        <v>0</v>
      </c>
      <c r="W32" s="11" t="n">
        <v>0.0465</v>
      </c>
      <c r="X32" s="11" t="n">
        <v>0</v>
      </c>
      <c r="Y32" s="11" t="n">
        <v>0.0045</v>
      </c>
      <c r="Z32" s="11" t="n">
        <v>0.0116</v>
      </c>
      <c r="AA32" s="11" t="n">
        <v>0.7045</v>
      </c>
      <c r="AB32" s="11" t="n">
        <v>0.0102</v>
      </c>
      <c r="AC32" s="11" t="n">
        <v>0.0122</v>
      </c>
      <c r="AD32" s="11" t="n">
        <v>1.1374</v>
      </c>
    </row>
    <row r="33">
      <c r="A33" s="10" t="inlineStr">
        <is>
          <t>부의 영업권 발생이익</t>
        </is>
      </c>
      <c r="C33" s="11" t="n">
        <v>0</v>
      </c>
      <c r="D33" s="11" t="n">
        <v>0</v>
      </c>
      <c r="G33" s="11" t="n">
        <v>0</v>
      </c>
      <c r="H33" s="11" t="n">
        <v>0</v>
      </c>
      <c r="K33" s="11" t="n">
        <v>0</v>
      </c>
      <c r="L33" s="11" t="n">
        <v>4.1049</v>
      </c>
      <c r="O33" s="11" t="n">
        <v>0</v>
      </c>
      <c r="P33" s="11" t="n">
        <v>0</v>
      </c>
      <c r="X33" s="11" t="n">
        <v>0</v>
      </c>
      <c r="Y33" s="11" t="n">
        <v>2.2798</v>
      </c>
      <c r="Z33" s="11" t="n">
        <v>0</v>
      </c>
      <c r="AA33" s="11" t="n">
        <v>0</v>
      </c>
      <c r="AB33" s="11" t="n">
        <v>4.6963</v>
      </c>
      <c r="AC33" s="11" t="n">
        <v>0</v>
      </c>
    </row>
    <row r="34">
      <c r="A34" s="10" t="inlineStr">
        <is>
          <t>투자유가증권 매각이익</t>
        </is>
      </c>
      <c r="M34" s="11" t="n">
        <v>0</v>
      </c>
      <c r="N34" s="11" t="n">
        <v>0</v>
      </c>
      <c r="O34" s="11" t="n">
        <v>0</v>
      </c>
      <c r="P34" s="11" t="n">
        <v>0</v>
      </c>
      <c r="Q34" s="11" t="n">
        <v>0.4494</v>
      </c>
      <c r="R34" s="11" t="n">
        <v>0</v>
      </c>
      <c r="S34" s="11" t="n">
        <v>0.0214</v>
      </c>
      <c r="T34" s="11" t="n">
        <v>0.3852</v>
      </c>
      <c r="U34" s="11" t="n">
        <v>0</v>
      </c>
      <c r="V34" s="11" t="n">
        <v>0</v>
      </c>
      <c r="W34" s="11" t="n">
        <v>0</v>
      </c>
      <c r="X34" s="11" t="n">
        <v>0.0296</v>
      </c>
      <c r="Y34" s="11" t="n">
        <v>0.0492</v>
      </c>
      <c r="Z34" s="11" t="n">
        <v>0.0109</v>
      </c>
      <c r="AA34" s="11" t="n">
        <v>0.1264</v>
      </c>
      <c r="AB34" s="11" t="n">
        <v>0</v>
      </c>
      <c r="AC34" s="11" t="n">
        <v>0</v>
      </c>
      <c r="AD34" s="11" t="n">
        <v>0.856</v>
      </c>
    </row>
    <row r="35">
      <c r="A35" s="10" t="inlineStr">
        <is>
          <t>관계회사 주식 매각이익</t>
        </is>
      </c>
      <c r="P35" s="11" t="n">
        <v>0</v>
      </c>
      <c r="T35" s="11" t="n">
        <v>0</v>
      </c>
      <c r="AC35" s="11" t="n">
        <v>0</v>
      </c>
      <c r="AD35" s="11" t="n">
        <v>1.3782</v>
      </c>
    </row>
    <row r="36">
      <c r="A36" s="10" t="inlineStr">
        <is>
          <t>특별이익 합계</t>
        </is>
      </c>
      <c r="C36" s="11" t="n">
        <v>0</v>
      </c>
      <c r="D36" s="11" t="n">
        <v>0.0226</v>
      </c>
      <c r="G36" s="11" t="n">
        <v>0.007</v>
      </c>
      <c r="H36" s="11" t="n">
        <v>0.0823</v>
      </c>
      <c r="I36" s="11" t="n">
        <v>0</v>
      </c>
      <c r="J36" s="11" t="n">
        <v>0.5914</v>
      </c>
      <c r="K36" s="11" t="n">
        <v>0.0015</v>
      </c>
      <c r="L36" s="11" t="n">
        <v>4.1135</v>
      </c>
      <c r="M36" s="11" t="n">
        <v>0.005</v>
      </c>
      <c r="N36" s="11" t="n">
        <v>0.0002</v>
      </c>
      <c r="O36" s="11" t="n">
        <v>0.0052</v>
      </c>
      <c r="P36" s="11" t="n">
        <v>0.0019</v>
      </c>
      <c r="Q36" s="11" t="n">
        <v>1.4982</v>
      </c>
      <c r="R36" s="11" t="n">
        <v>0</v>
      </c>
      <c r="S36" s="11" t="n">
        <v>1.3996</v>
      </c>
      <c r="T36" s="11" t="n">
        <v>0.4739</v>
      </c>
      <c r="U36" s="11" t="n">
        <v>0</v>
      </c>
      <c r="V36" s="11" t="n">
        <v>0</v>
      </c>
      <c r="W36" s="11" t="n">
        <v>0.0465</v>
      </c>
      <c r="X36" s="11" t="n">
        <v>0.0296</v>
      </c>
      <c r="Y36" s="11" t="n">
        <v>2.3335</v>
      </c>
      <c r="Z36" s="11" t="n">
        <v>0.0226</v>
      </c>
      <c r="AA36" s="11" t="n">
        <v>0.8309</v>
      </c>
      <c r="AB36" s="11" t="n">
        <v>4.7065</v>
      </c>
      <c r="AC36" s="11" t="n">
        <v>0.0122</v>
      </c>
      <c r="AD36" s="11" t="n">
        <v>3.3716</v>
      </c>
    </row>
    <row r="37">
      <c r="A37" s="10" t="inlineStr">
        <is>
          <t>고정자산 매각손실</t>
        </is>
      </c>
      <c r="D37" s="11" t="n">
        <v>0.0047</v>
      </c>
      <c r="W37" s="11" t="n">
        <v>0.0321</v>
      </c>
      <c r="X37" s="11" t="n">
        <v>0.001</v>
      </c>
      <c r="Y37" s="11" t="n">
        <v>0.001</v>
      </c>
      <c r="Z37" s="11" t="n">
        <v>0.0047</v>
      </c>
      <c r="AA37" s="11" t="n">
        <v>0</v>
      </c>
      <c r="AB37" s="11" t="n">
        <v>0.0123</v>
      </c>
      <c r="AC37" s="11" t="n">
        <v>0.1728</v>
      </c>
      <c r="AD37" s="11" t="n">
        <v>0</v>
      </c>
    </row>
    <row r="38">
      <c r="A38" s="10" t="inlineStr">
        <is>
          <t>고정자산 제각손실</t>
        </is>
      </c>
      <c r="C38" s="11" t="n">
        <v>0.0014</v>
      </c>
      <c r="D38" s="11" t="n">
        <v>0.3186</v>
      </c>
      <c r="E38" s="11" t="n">
        <v>0.0126</v>
      </c>
      <c r="F38" s="11" t="n">
        <v>0.0192</v>
      </c>
      <c r="G38" s="11" t="n">
        <v>0.4617</v>
      </c>
      <c r="H38" s="11" t="n">
        <v>0.3608</v>
      </c>
      <c r="I38" s="11" t="n">
        <v>0.0383</v>
      </c>
      <c r="J38" s="11" t="n">
        <v>0.643</v>
      </c>
      <c r="K38" s="11" t="n">
        <v>0.08740000000000001</v>
      </c>
      <c r="L38" s="11" t="n">
        <v>0.1368</v>
      </c>
      <c r="M38" s="11" t="n">
        <v>0.0133</v>
      </c>
      <c r="N38" s="11" t="n">
        <v>0.0021</v>
      </c>
      <c r="O38" s="11" t="n">
        <v>0.0927</v>
      </c>
      <c r="P38" s="11" t="n">
        <v>0.043</v>
      </c>
      <c r="Q38" s="11" t="n">
        <v>0</v>
      </c>
      <c r="R38" s="11" t="n">
        <v>0.0871</v>
      </c>
      <c r="S38" s="11" t="n">
        <v>0.0713</v>
      </c>
      <c r="T38" s="11" t="n">
        <v>0.0274</v>
      </c>
      <c r="W38" s="11" t="n">
        <v>0.0362</v>
      </c>
      <c r="X38" s="11" t="n">
        <v>0.2139</v>
      </c>
      <c r="Y38" s="11" t="n">
        <v>0.5204</v>
      </c>
      <c r="Z38" s="11" t="n">
        <v>0.3365</v>
      </c>
      <c r="AA38" s="11" t="n">
        <v>0.8542999999999999</v>
      </c>
      <c r="AB38" s="11" t="n">
        <v>0.9054</v>
      </c>
      <c r="AC38" s="11" t="n">
        <v>0.1511</v>
      </c>
      <c r="AD38" s="11" t="n">
        <v>0.1858</v>
      </c>
    </row>
    <row r="39">
      <c r="A39" s="10" t="inlineStr">
        <is>
          <t>손상차손</t>
        </is>
      </c>
      <c r="C39" s="11" t="n">
        <v>0.0137</v>
      </c>
      <c r="D39" s="11" t="n">
        <v>0.0057</v>
      </c>
      <c r="G39" s="11" t="n">
        <v>0</v>
      </c>
      <c r="H39" s="11" t="n">
        <v>0.6915</v>
      </c>
      <c r="W39" s="11" t="n">
        <v>0.0218</v>
      </c>
      <c r="X39" s="11" t="n">
        <v>0</v>
      </c>
      <c r="Y39" s="11" t="n">
        <v>0</v>
      </c>
      <c r="Z39" s="11" t="n">
        <v>0.3006</v>
      </c>
      <c r="AA39" s="11" t="n">
        <v>0.6915</v>
      </c>
      <c r="AB39" s="11" t="n">
        <v>6.2808</v>
      </c>
      <c r="AC39" s="11" t="n">
        <v>0</v>
      </c>
    </row>
    <row r="40">
      <c r="A40" s="10" t="inlineStr">
        <is>
          <t>투자유가증권 평가손실</t>
        </is>
      </c>
      <c r="E40" s="11" t="n">
        <v>0</v>
      </c>
      <c r="F40" s="11" t="n">
        <v>0</v>
      </c>
      <c r="G40" s="11" t="n">
        <v>0</v>
      </c>
      <c r="H40" s="11" t="n">
        <v>0</v>
      </c>
      <c r="I40" s="11" t="n">
        <v>0.4756</v>
      </c>
      <c r="J40" s="11" t="n">
        <v>0</v>
      </c>
      <c r="K40" s="11" t="n">
        <v>0</v>
      </c>
      <c r="L40" s="11" t="n">
        <v>0.0284</v>
      </c>
      <c r="M40" s="11" t="n">
        <v>0</v>
      </c>
      <c r="N40" s="11" t="n">
        <v>0</v>
      </c>
      <c r="O40" s="11" t="n">
        <v>0</v>
      </c>
      <c r="P40" s="11" t="n">
        <v>0</v>
      </c>
      <c r="W40" s="11" t="n">
        <v>0</v>
      </c>
      <c r="X40" s="11" t="n">
        <v>0.2487</v>
      </c>
      <c r="Y40" s="11" t="n">
        <v>0</v>
      </c>
      <c r="AA40" s="11" t="n">
        <v>0</v>
      </c>
      <c r="AB40" s="11" t="n">
        <v>0.504</v>
      </c>
      <c r="AC40" s="11" t="n">
        <v>0</v>
      </c>
    </row>
    <row r="41">
      <c r="A41" s="10" t="inlineStr">
        <is>
          <t>공장 이전비용</t>
        </is>
      </c>
      <c r="W41" s="11" t="n">
        <v>0.3788</v>
      </c>
      <c r="X41" s="11" t="n">
        <v>0</v>
      </c>
    </row>
    <row r="42">
      <c r="A42" s="10" t="inlineStr">
        <is>
          <t>투자유가증권 매각손실</t>
        </is>
      </c>
      <c r="M42" s="11" t="n">
        <v>0</v>
      </c>
      <c r="N42" s="11" t="n">
        <v>0</v>
      </c>
      <c r="O42" s="11" t="n">
        <v>0</v>
      </c>
      <c r="P42" s="11" t="n">
        <v>0</v>
      </c>
      <c r="Q42" s="11" t="n">
        <v>0.0034</v>
      </c>
      <c r="R42" s="11" t="n">
        <v>0</v>
      </c>
      <c r="S42" s="11" t="n">
        <v>0</v>
      </c>
      <c r="T42" s="11" t="n">
        <v>0</v>
      </c>
      <c r="U42" s="11" t="n">
        <v>0</v>
      </c>
      <c r="V42" s="11" t="n">
        <v>0</v>
      </c>
      <c r="AC42" s="11" t="n">
        <v>0</v>
      </c>
      <c r="AD42" s="11" t="n">
        <v>0.0034</v>
      </c>
    </row>
    <row r="43">
      <c r="A43" s="10" t="inlineStr">
        <is>
          <t>특별퇴직금</t>
        </is>
      </c>
      <c r="C43" s="11" t="n">
        <v>0.0611</v>
      </c>
      <c r="D43" s="11" t="n">
        <v>0.0639</v>
      </c>
      <c r="G43" s="11" t="n">
        <v>0</v>
      </c>
      <c r="H43" s="11" t="n">
        <v>0.2389</v>
      </c>
      <c r="I43" s="11" t="n">
        <v>0</v>
      </c>
      <c r="J43" s="11" t="n">
        <v>0</v>
      </c>
      <c r="K43" s="11" t="n">
        <v>0</v>
      </c>
      <c r="L43" s="11" t="n">
        <v>0</v>
      </c>
      <c r="M43" s="11" t="n">
        <v>0.2945</v>
      </c>
      <c r="N43" s="11" t="n">
        <v>0.0159</v>
      </c>
      <c r="O43" s="11" t="n">
        <v>-0.0274</v>
      </c>
      <c r="P43" s="11" t="n">
        <v>0.0174</v>
      </c>
      <c r="Q43" s="11" t="n">
        <v>0</v>
      </c>
      <c r="R43" s="11" t="n">
        <v>0</v>
      </c>
      <c r="S43" s="11" t="n">
        <v>0</v>
      </c>
      <c r="T43" s="11" t="n">
        <v>0</v>
      </c>
      <c r="Y43" s="11" t="n">
        <v>0</v>
      </c>
      <c r="Z43" s="11" t="n">
        <v>1.3489</v>
      </c>
      <c r="AA43" s="11" t="n">
        <v>0.2389</v>
      </c>
      <c r="AB43" s="11" t="n">
        <v>0</v>
      </c>
      <c r="AC43" s="11" t="n">
        <v>0.3004</v>
      </c>
      <c r="AD43" s="11" t="n">
        <v>0</v>
      </c>
    </row>
    <row r="44">
      <c r="A44" s="10" t="inlineStr">
        <is>
          <t>단계적 취득 차손</t>
        </is>
      </c>
      <c r="C44" s="11" t="n">
        <v>0</v>
      </c>
      <c r="D44" s="11" t="n">
        <v>0</v>
      </c>
      <c r="X44" s="11" t="n">
        <v>0</v>
      </c>
      <c r="Y44" s="11" t="n">
        <v>0.9921</v>
      </c>
      <c r="Z44" s="11" t="n">
        <v>0</v>
      </c>
      <c r="AA44" s="11" t="n">
        <v>0</v>
      </c>
      <c r="AB44" s="11" t="n">
        <v>2.0088</v>
      </c>
      <c r="AC44" s="11" t="n">
        <v>0</v>
      </c>
    </row>
    <row r="45">
      <c r="A45" s="10" t="inlineStr">
        <is>
          <t>관계회사 정리손실 충당금 전입</t>
        </is>
      </c>
      <c r="AA45" s="11" t="n">
        <v>0</v>
      </c>
      <c r="AB45" s="11" t="n">
        <v>1.8736</v>
      </c>
      <c r="AC45" s="11" t="n">
        <v>0</v>
      </c>
    </row>
    <row r="46">
      <c r="A46" s="10" t="inlineStr">
        <is>
          <t>특별손실 합계</t>
        </is>
      </c>
      <c r="C46" s="11" t="n">
        <v>0.0762</v>
      </c>
      <c r="D46" s="11" t="n">
        <v>0.393</v>
      </c>
      <c r="E46" s="11" t="n">
        <v>0.0126</v>
      </c>
      <c r="F46" s="11" t="n">
        <v>0.0192</v>
      </c>
      <c r="G46" s="11" t="n">
        <v>0.4617</v>
      </c>
      <c r="H46" s="11" t="n">
        <v>1.2912</v>
      </c>
      <c r="I46" s="11" t="n">
        <v>0.5139</v>
      </c>
      <c r="J46" s="11" t="n">
        <v>0.643</v>
      </c>
      <c r="K46" s="11" t="n">
        <v>0.08740000000000001</v>
      </c>
      <c r="L46" s="11" t="n">
        <v>10.3408</v>
      </c>
      <c r="M46" s="11" t="n">
        <v>0.3078</v>
      </c>
      <c r="N46" s="11" t="n">
        <v>0.0181</v>
      </c>
      <c r="O46" s="11" t="n">
        <v>0.0653</v>
      </c>
      <c r="P46" s="11" t="n">
        <v>0.2332</v>
      </c>
      <c r="Q46" s="11" t="n">
        <v>0.0034</v>
      </c>
      <c r="R46" s="11" t="n">
        <v>0.0871</v>
      </c>
      <c r="S46" s="11" t="n">
        <v>0.0713</v>
      </c>
      <c r="T46" s="11" t="n">
        <v>0.0274</v>
      </c>
      <c r="U46" s="11" t="n">
        <v>0</v>
      </c>
      <c r="V46" s="11" t="n">
        <v>0</v>
      </c>
      <c r="W46" s="11" t="n">
        <v>0.4691</v>
      </c>
      <c r="X46" s="11" t="n">
        <v>0.4637</v>
      </c>
      <c r="Y46" s="11" t="n">
        <v>1.5135</v>
      </c>
      <c r="Z46" s="11" t="n">
        <v>1.9907</v>
      </c>
      <c r="AA46" s="11" t="n">
        <v>1.7848</v>
      </c>
      <c r="AB46" s="11" t="n">
        <v>11.5851</v>
      </c>
      <c r="AC46" s="11" t="n">
        <v>0.6243</v>
      </c>
      <c r="AD46" s="11" t="n">
        <v>0.1892</v>
      </c>
    </row>
    <row r="47">
      <c r="A47" s="10" t="inlineStr">
        <is>
          <t>법인세차감전 순이익</t>
        </is>
      </c>
      <c r="C47" s="11" t="n">
        <v>7.0395</v>
      </c>
      <c r="D47" s="11" t="n">
        <v>3.0279</v>
      </c>
      <c r="E47" s="11" t="n">
        <v>7.4602</v>
      </c>
      <c r="F47" s="11" t="n">
        <v>7.1789</v>
      </c>
      <c r="G47" s="11" t="n">
        <v>5.8169</v>
      </c>
      <c r="H47" s="11" t="n">
        <v>0.6511</v>
      </c>
      <c r="I47" s="11" t="n">
        <v>4.7837</v>
      </c>
      <c r="J47" s="11" t="n">
        <v>6.7897</v>
      </c>
      <c r="K47" s="11" t="n">
        <v>9.638500000000001</v>
      </c>
      <c r="L47" s="11" t="n">
        <v>-4.6748</v>
      </c>
      <c r="M47" s="11" t="n">
        <v>4.9973</v>
      </c>
      <c r="N47" s="11" t="n">
        <v>10.9377</v>
      </c>
      <c r="O47" s="11" t="n">
        <v>7.0735</v>
      </c>
      <c r="P47" s="11" t="n">
        <v>5.4629</v>
      </c>
      <c r="Q47" s="11" t="n">
        <v>8.457800000000001</v>
      </c>
      <c r="R47" s="11" t="n">
        <v>8.6272</v>
      </c>
      <c r="S47" s="11" t="n">
        <v>9.3375</v>
      </c>
      <c r="T47" s="11" t="n">
        <v>7.3046</v>
      </c>
      <c r="U47" s="11" t="n">
        <v>8.2013</v>
      </c>
      <c r="V47" s="11" t="n">
        <v>16.7955</v>
      </c>
      <c r="W47" s="11" t="n">
        <v>16.4204</v>
      </c>
      <c r="X47" s="11" t="n">
        <v>15.6548</v>
      </c>
      <c r="Y47" s="11" t="n">
        <v>18.3234</v>
      </c>
      <c r="Z47" s="11" t="n">
        <v>23.8889</v>
      </c>
      <c r="AA47" s="11" t="n">
        <v>21.1072</v>
      </c>
      <c r="AB47" s="11" t="n">
        <v>16.5372</v>
      </c>
      <c r="AC47" s="11" t="n">
        <v>28.4713</v>
      </c>
      <c r="AD47" s="11" t="n">
        <v>33.727</v>
      </c>
    </row>
    <row r="48">
      <c r="A48" s="10" t="inlineStr">
        <is>
          <t>법인세·주민세·사업세</t>
        </is>
      </c>
      <c r="W48" s="11" t="n">
        <v>4.7193</v>
      </c>
      <c r="X48" s="11" t="n">
        <v>4.3824</v>
      </c>
      <c r="Y48" s="11" t="n">
        <v>4.2842</v>
      </c>
      <c r="Z48" s="11" t="n">
        <v>8.1075</v>
      </c>
      <c r="AA48" s="11" t="n">
        <v>7.0065</v>
      </c>
      <c r="AB48" s="11" t="n">
        <v>6.3726</v>
      </c>
      <c r="AC48" s="11" t="n">
        <v>8.9383</v>
      </c>
      <c r="AD48" s="11" t="n">
        <v>8.9208</v>
      </c>
    </row>
    <row r="49">
      <c r="A49" s="10" t="inlineStr">
        <is>
          <t>법인세 조정액</t>
        </is>
      </c>
      <c r="W49" s="11" t="n">
        <v>0.2452</v>
      </c>
      <c r="X49" s="11" t="n">
        <v>0.3169</v>
      </c>
      <c r="Y49" s="11" t="n">
        <v>0.1556</v>
      </c>
      <c r="Z49" s="11" t="n">
        <v>0.2132</v>
      </c>
      <c r="AA49" s="11" t="n">
        <v>0.199</v>
      </c>
      <c r="AB49" s="11" t="n">
        <v>-0.0644</v>
      </c>
      <c r="AC49" s="11" t="n">
        <v>-1.2264</v>
      </c>
      <c r="AD49" s="11" t="n">
        <v>2.0508</v>
      </c>
    </row>
    <row r="50">
      <c r="A50" s="10" t="inlineStr">
        <is>
          <t>법인세 등</t>
        </is>
      </c>
      <c r="C50" s="11" t="n">
        <v>2.3419</v>
      </c>
      <c r="D50" s="11" t="n">
        <v>1.3056</v>
      </c>
      <c r="E50" s="11" t="n">
        <v>2.7267</v>
      </c>
      <c r="F50" s="11" t="n">
        <v>2.1888</v>
      </c>
      <c r="G50" s="11" t="n">
        <v>1.7324</v>
      </c>
      <c r="H50" s="11" t="n">
        <v>0.5575</v>
      </c>
      <c r="I50" s="11" t="n">
        <v>1.8282</v>
      </c>
      <c r="J50" s="11" t="n">
        <v>2.0282</v>
      </c>
      <c r="K50" s="11" t="n">
        <v>1.69</v>
      </c>
      <c r="L50" s="11" t="n">
        <v>0.7619</v>
      </c>
      <c r="M50" s="11" t="n">
        <v>0.0168</v>
      </c>
      <c r="N50" s="11" t="n">
        <v>3.269</v>
      </c>
      <c r="O50" s="11" t="n">
        <v>3.0852</v>
      </c>
      <c r="P50" s="11" t="n">
        <v>1.3409</v>
      </c>
      <c r="Q50" s="11" t="n">
        <v>2.7983</v>
      </c>
      <c r="R50" s="11" t="n">
        <v>2.9975</v>
      </c>
      <c r="S50" s="11" t="n">
        <v>3.1622</v>
      </c>
      <c r="T50" s="11" t="n">
        <v>2.0137</v>
      </c>
      <c r="U50" s="11" t="n">
        <v>2.7142</v>
      </c>
      <c r="V50" s="11" t="n">
        <v>5.401</v>
      </c>
      <c r="W50" s="11" t="n">
        <v>4.9646</v>
      </c>
      <c r="X50" s="11" t="n">
        <v>4.6993</v>
      </c>
      <c r="Y50" s="11" t="n">
        <v>4.4398</v>
      </c>
      <c r="Z50" s="11" t="n">
        <v>8.3208</v>
      </c>
      <c r="AA50" s="11" t="n">
        <v>7.2054</v>
      </c>
      <c r="AB50" s="11" t="n">
        <v>6.3082</v>
      </c>
      <c r="AC50" s="11" t="n">
        <v>7.7119</v>
      </c>
      <c r="AD50" s="11" t="n">
        <v>10.9717</v>
      </c>
    </row>
    <row r="51">
      <c r="A51" s="5" t="inlineStr">
        <is>
          <t>순이익</t>
        </is>
      </c>
      <c r="C51" s="6" t="n">
        <v>4.6976</v>
      </c>
      <c r="D51" s="6" t="n">
        <v>1.7224</v>
      </c>
      <c r="E51" s="6" t="n">
        <v>4.7335</v>
      </c>
      <c r="F51" s="6" t="n">
        <v>4.9901</v>
      </c>
      <c r="G51" s="6" t="n">
        <v>4.0845</v>
      </c>
      <c r="H51" s="6" t="n">
        <v>0.0936</v>
      </c>
      <c r="I51" s="6" t="n">
        <v>2.9555</v>
      </c>
      <c r="J51" s="6" t="n">
        <v>4.7615</v>
      </c>
      <c r="K51" s="6" t="n">
        <v>7.9486</v>
      </c>
      <c r="L51" s="6" t="n">
        <v>-5.4366</v>
      </c>
      <c r="M51" s="6" t="n">
        <v>4.9805</v>
      </c>
      <c r="N51" s="6" t="n">
        <v>7.6687</v>
      </c>
      <c r="O51" s="6" t="n">
        <v>3.9883</v>
      </c>
      <c r="P51" s="6" t="n">
        <v>4.122</v>
      </c>
      <c r="Q51" s="6" t="n">
        <v>5.6595</v>
      </c>
      <c r="R51" s="6" t="n">
        <v>5.6297</v>
      </c>
      <c r="S51" s="6" t="n">
        <v>6.1753</v>
      </c>
      <c r="T51" s="6" t="n">
        <v>5.2908</v>
      </c>
      <c r="U51" s="6" t="n">
        <v>5.487</v>
      </c>
      <c r="V51" s="6" t="n">
        <v>11.3945</v>
      </c>
      <c r="W51" s="6" t="n">
        <v>11.4558</v>
      </c>
      <c r="X51" s="6" t="n">
        <v>10.9555</v>
      </c>
      <c r="Y51" s="6" t="n">
        <v>13.8836</v>
      </c>
      <c r="Z51" s="6" t="n">
        <v>15.5681</v>
      </c>
      <c r="AA51" s="6" t="n">
        <v>13.9017</v>
      </c>
      <c r="AB51" s="6" t="n">
        <v>10.229</v>
      </c>
      <c r="AC51" s="6" t="n">
        <v>20.7594</v>
      </c>
      <c r="AD51" s="6" t="n">
        <v>22.7554</v>
      </c>
    </row>
    <row r="52">
      <c r="A52" s="5" t="inlineStr">
        <is>
          <t>비지배주주 순이익</t>
        </is>
      </c>
      <c r="C52" s="6" t="n">
        <v>0.2736</v>
      </c>
      <c r="D52" s="6" t="n">
        <v>0.0224</v>
      </c>
      <c r="E52" s="6" t="n">
        <v>0.09429999999999999</v>
      </c>
      <c r="F52" s="6" t="n">
        <v>0.473</v>
      </c>
      <c r="G52" s="6" t="n">
        <v>0.4015</v>
      </c>
      <c r="H52" s="6" t="n">
        <v>0.0808</v>
      </c>
      <c r="I52" s="6" t="n">
        <v>0.2334</v>
      </c>
      <c r="J52" s="6" t="n">
        <v>0.6288</v>
      </c>
      <c r="K52" s="6" t="n">
        <v>0.4205</v>
      </c>
      <c r="L52" s="6" t="n">
        <v>-1.6297</v>
      </c>
      <c r="M52" s="6" t="n">
        <v>-0.3361</v>
      </c>
      <c r="N52" s="6" t="n">
        <v>0.5085</v>
      </c>
      <c r="O52" s="6" t="n">
        <v>0.2138</v>
      </c>
      <c r="P52" s="6" t="n">
        <v>0.2718</v>
      </c>
      <c r="Q52" s="6" t="n">
        <v>0.1161</v>
      </c>
      <c r="R52" s="6" t="n">
        <v>0.5736</v>
      </c>
      <c r="S52" s="6" t="n">
        <v>0.1001</v>
      </c>
      <c r="T52" s="6" t="n">
        <v>0.2072</v>
      </c>
      <c r="U52" s="6" t="n">
        <v>0.06510000000000001</v>
      </c>
      <c r="V52" s="6" t="n">
        <v>0.4057</v>
      </c>
      <c r="W52" s="6" t="n">
        <v>-0.1097</v>
      </c>
      <c r="X52" s="6" t="n">
        <v>0.0992</v>
      </c>
      <c r="Y52" s="6" t="n">
        <v>0.7274</v>
      </c>
      <c r="Z52" s="6" t="n">
        <v>0.8632</v>
      </c>
      <c r="AA52" s="6" t="n">
        <v>1.0496</v>
      </c>
      <c r="AB52" s="6" t="n">
        <v>-0.347</v>
      </c>
      <c r="AC52" s="6" t="n">
        <v>0.6581</v>
      </c>
      <c r="AD52" s="6" t="n">
        <v>0.997</v>
      </c>
    </row>
    <row r="53">
      <c r="A53" s="5" t="inlineStr">
        <is>
          <t>지배주주 순이익</t>
        </is>
      </c>
      <c r="C53" s="6" t="n">
        <v>4.424</v>
      </c>
      <c r="D53" s="6" t="n">
        <v>1.6999</v>
      </c>
      <c r="E53" s="6" t="n">
        <v>4.6392</v>
      </c>
      <c r="F53" s="6" t="n">
        <v>4.5171</v>
      </c>
      <c r="G53" s="6" t="n">
        <v>3.683</v>
      </c>
      <c r="H53" s="6" t="n">
        <v>0.0129</v>
      </c>
      <c r="I53" s="6" t="n">
        <v>2.7222</v>
      </c>
      <c r="J53" s="6" t="n">
        <v>4.1327</v>
      </c>
      <c r="K53" s="6" t="n">
        <v>7.5281</v>
      </c>
      <c r="L53" s="6" t="n">
        <v>-3.8069</v>
      </c>
      <c r="M53" s="6" t="n">
        <v>5.3166</v>
      </c>
      <c r="N53" s="6" t="n">
        <v>7.1601</v>
      </c>
      <c r="O53" s="6" t="n">
        <v>3.7745</v>
      </c>
      <c r="P53" s="6" t="n">
        <v>3.8501</v>
      </c>
      <c r="Q53" s="6" t="n">
        <v>5.5434</v>
      </c>
      <c r="R53" s="6" t="n">
        <v>5.0561</v>
      </c>
      <c r="S53" s="6" t="n">
        <v>6.0751</v>
      </c>
      <c r="T53" s="6" t="n">
        <v>5.0836</v>
      </c>
      <c r="U53" s="6" t="n">
        <v>5.4219</v>
      </c>
      <c r="V53" s="6" t="n">
        <v>10.9888</v>
      </c>
      <c r="W53" s="6" t="n">
        <v>11.5655</v>
      </c>
      <c r="X53" s="6" t="n">
        <v>10.8564</v>
      </c>
      <c r="Y53" s="6" t="n">
        <v>13.1562</v>
      </c>
      <c r="Z53" s="6" t="n">
        <v>14.7049</v>
      </c>
      <c r="AA53" s="6" t="n">
        <v>12.8521</v>
      </c>
      <c r="AB53" s="6" t="n">
        <v>10.576</v>
      </c>
      <c r="AC53" s="6" t="n">
        <v>20.1013</v>
      </c>
      <c r="AD53" s="6" t="n">
        <v>21.7583</v>
      </c>
    </row>
    <row r="54">
      <c r="A54" s="8" t="inlineStr">
        <is>
          <t>순이익률</t>
        </is>
      </c>
      <c r="C54" s="9">
        <f>IF(OR(C53="",C4=""),"",IFERROR(C53/C4,""))</f>
        <v/>
      </c>
      <c r="D54" s="9">
        <f>IF(OR(D53="",D4=""),"",IFERROR(D53/D4,""))</f>
        <v/>
      </c>
      <c r="E54" s="9">
        <f>IF(OR(E53="",E4=""),"",IFERROR(E53/E4,""))</f>
        <v/>
      </c>
      <c r="F54" s="9">
        <f>IF(OR(F53="",F4=""),"",IFERROR(F53/F4,""))</f>
        <v/>
      </c>
      <c r="G54" s="9">
        <f>IF(OR(G53="",G4=""),"",IFERROR(G53/G4,""))</f>
        <v/>
      </c>
      <c r="H54" s="9">
        <f>IF(OR(H53="",H4=""),"",IFERROR(H53/H4,""))</f>
        <v/>
      </c>
      <c r="I54" s="9">
        <f>IF(OR(I53="",I4=""),"",IFERROR(I53/I4,""))</f>
        <v/>
      </c>
      <c r="J54" s="9">
        <f>IF(OR(J53="",J4=""),"",IFERROR(J53/J4,""))</f>
        <v/>
      </c>
      <c r="K54" s="9">
        <f>IF(OR(K53="",K4=""),"",IFERROR(K53/K4,""))</f>
        <v/>
      </c>
      <c r="L54" s="9">
        <f>IF(OR(L53="",L4=""),"",IFERROR(L53/L4,""))</f>
        <v/>
      </c>
      <c r="M54" s="9">
        <f>IF(OR(M53="",M4=""),"",IFERROR(M53/M4,""))</f>
        <v/>
      </c>
      <c r="N54" s="9">
        <f>IF(OR(N53="",N4=""),"",IFERROR(N53/N4,""))</f>
        <v/>
      </c>
      <c r="O54" s="9">
        <f>IF(OR(O53="",O4=""),"",IFERROR(O53/O4,""))</f>
        <v/>
      </c>
      <c r="P54" s="9">
        <f>IF(OR(P53="",P4=""),"",IFERROR(P53/P4,""))</f>
        <v/>
      </c>
      <c r="Q54" s="9">
        <f>IF(OR(Q53="",Q4=""),"",IFERROR(Q53/Q4,""))</f>
        <v/>
      </c>
      <c r="R54" s="9">
        <f>IF(OR(R53="",R4=""),"",IFERROR(R53/R4,""))</f>
        <v/>
      </c>
      <c r="S54" s="9">
        <f>IF(OR(S53="",S4=""),"",IFERROR(S53/S4,""))</f>
        <v/>
      </c>
      <c r="T54" s="9">
        <f>IF(OR(T53="",T4=""),"",IFERROR(T53/T4,""))</f>
        <v/>
      </c>
      <c r="U54" s="9">
        <f>IF(OR(U53="",U4=""),"",IFERROR(U53/U4,""))</f>
        <v/>
      </c>
      <c r="V54" s="9">
        <f>IF(OR(V53="",V4=""),"",IFERROR(V53/V4,""))</f>
        <v/>
      </c>
      <c r="W54" s="9">
        <f>IF(OR(W53="",W4=""),"",IFERROR(W53/W4,""))</f>
        <v/>
      </c>
      <c r="X54" s="9">
        <f>IF(OR(X53="",X4=""),"",IFERROR(X53/X4,""))</f>
        <v/>
      </c>
      <c r="Y54" s="9">
        <f>IF(OR(Y53="",Y4=""),"",IFERROR(Y53/Y4,""))</f>
        <v/>
      </c>
      <c r="Z54" s="9">
        <f>IF(OR(Z53="",Z4=""),"",IFERROR(Z53/Z4,""))</f>
        <v/>
      </c>
      <c r="AA54" s="9">
        <f>IF(OR(AA53="",AA4=""),"",IFERROR(AA53/AA4,""))</f>
        <v/>
      </c>
      <c r="AB54" s="9">
        <f>IF(OR(AB53="",AB4=""),"",IFERROR(AB53/AB4,""))</f>
        <v/>
      </c>
      <c r="AC54" s="9">
        <f>IF(OR(AC53="",AC4=""),"",IFERROR(AC53/AC4,""))</f>
        <v/>
      </c>
      <c r="AD54" s="9">
        <f>IF(OR(AD53="",AD4=""),"",IFERROR(AD53/AD4,""))</f>
        <v/>
      </c>
    </row>
    <row r="55">
      <c r="A55" s="8" t="inlineStr">
        <is>
          <t>YoY</t>
        </is>
      </c>
      <c r="G55" s="9">
        <f>IF(OR(G53="",C53=""),"",IFERROR(G53/C53-1,""))</f>
        <v/>
      </c>
      <c r="H55" s="9">
        <f>IF(OR(H53="",D53=""),"",IFERROR(H53/D53-1,""))</f>
        <v/>
      </c>
      <c r="I55" s="9">
        <f>IF(OR(I53="",E53=""),"",IFERROR(I53/E53-1,""))</f>
        <v/>
      </c>
      <c r="J55" s="9">
        <f>IF(OR(J53="",F53=""),"",IFERROR(J53/F53-1,""))</f>
        <v/>
      </c>
      <c r="K55" s="9">
        <f>IF(OR(K53="",G53=""),"",IFERROR(K53/G53-1,""))</f>
        <v/>
      </c>
      <c r="L55" s="9">
        <f>IF(OR(L53="",H53=""),"",IFERROR(L53/H53-1,""))</f>
        <v/>
      </c>
      <c r="M55" s="9">
        <f>IF(OR(M53="",I53=""),"",IFERROR(M53/I53-1,""))</f>
        <v/>
      </c>
      <c r="N55" s="9">
        <f>IF(OR(N53="",J53=""),"",IFERROR(N53/J53-1,""))</f>
        <v/>
      </c>
      <c r="O55" s="9">
        <f>IF(OR(O53="",K53=""),"",IFERROR(O53/K53-1,""))</f>
        <v/>
      </c>
      <c r="P55" s="9">
        <f>IF(OR(P53="",L53=""),"",IFERROR(P53/L53-1,""))</f>
        <v/>
      </c>
      <c r="Q55" s="9">
        <f>IF(OR(Q53="",M53=""),"",IFERROR(Q53/M53-1,""))</f>
        <v/>
      </c>
      <c r="R55" s="9">
        <f>IF(OR(R53="",N53=""),"",IFERROR(R53/N53-1,""))</f>
        <v/>
      </c>
      <c r="S55" s="9">
        <f>IF(OR(S53="",O53=""),"",IFERROR(S53/O53-1,""))</f>
        <v/>
      </c>
      <c r="T55" s="9">
        <f>IF(OR(T53="",P53=""),"",IFERROR(T53/P53-1,""))</f>
        <v/>
      </c>
      <c r="U55" s="9">
        <f>IF(OR(U53="",Q53=""),"",IFERROR(U53/Q53-1,""))</f>
        <v/>
      </c>
      <c r="V55" s="9">
        <f>IF(OR(V53="",R53=""),"",IFERROR(V53/R53-1,""))</f>
        <v/>
      </c>
      <c r="X55" s="9">
        <f>IF(OR(X53="",W53=""),"",IFERROR(X53/W53-1,""))</f>
        <v/>
      </c>
      <c r="Y55" s="9">
        <f>IF(OR(Y53="",X53=""),"",IFERROR(Y53/X53-1,""))</f>
        <v/>
      </c>
      <c r="Z55" s="9">
        <f>IF(OR(Z53="",Y53=""),"",IFERROR(Z53/Y53-1,""))</f>
        <v/>
      </c>
      <c r="AA55" s="9">
        <f>IF(OR(AA53="",Z53=""),"",IFERROR(AA53/Z53-1,""))</f>
        <v/>
      </c>
      <c r="AB55" s="9">
        <f>IF(OR(AB53="",AA53=""),"",IFERROR(AB53/AA53-1,""))</f>
        <v/>
      </c>
      <c r="AC55" s="9">
        <f>IF(OR(AC53="",AB53=""),"",IFERROR(AC53/AB53-1,""))</f>
        <v/>
      </c>
      <c r="AD55" s="9">
        <f>IF(OR(AD53="",AC53=""),"",IFERROR(AD53/AC53-1,""))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나카모토팩스 포괄손익</t>
        </is>
      </c>
    </row>
    <row r="2">
      <c r="A2" s="2" t="inlineStr">
        <is>
          <t>결산기 기준(27.2Q = 2027년 결산기 2분기) · 2월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5" t="inlineStr">
        <is>
          <t>순이익</t>
        </is>
      </c>
      <c r="C4" s="6" t="n">
        <v>4.6976</v>
      </c>
      <c r="D4" s="6" t="n">
        <v>1.7224</v>
      </c>
      <c r="E4" s="6" t="n">
        <v>4.7335</v>
      </c>
      <c r="F4" s="6" t="n">
        <v>4.9901</v>
      </c>
      <c r="G4" s="6" t="n">
        <v>4.0845</v>
      </c>
      <c r="H4" s="6" t="n">
        <v>0.0936</v>
      </c>
      <c r="I4" s="6" t="n">
        <v>2.9555</v>
      </c>
      <c r="J4" s="6" t="n">
        <v>4.7615</v>
      </c>
      <c r="K4" s="6" t="n">
        <v>7.9486</v>
      </c>
      <c r="L4" s="6" t="n">
        <v>-5.4366</v>
      </c>
      <c r="M4" s="6" t="n">
        <v>4.9805</v>
      </c>
      <c r="N4" s="6" t="n">
        <v>7.6687</v>
      </c>
      <c r="O4" s="6" t="n">
        <v>3.9883</v>
      </c>
      <c r="P4" s="6" t="n">
        <v>4.122</v>
      </c>
      <c r="Q4" s="6" t="n">
        <v>5.6595</v>
      </c>
      <c r="R4" s="6" t="n">
        <v>5.6297</v>
      </c>
      <c r="S4" s="6" t="n">
        <v>6.1753</v>
      </c>
      <c r="T4" s="6" t="n">
        <v>5.2908</v>
      </c>
      <c r="U4" s="6" t="n">
        <v>5.487</v>
      </c>
      <c r="V4" s="6" t="n">
        <v>11.3945</v>
      </c>
      <c r="W4" s="6" t="n">
        <v>11.4558</v>
      </c>
      <c r="X4" s="6" t="n">
        <v>10.9555</v>
      </c>
      <c r="Y4" s="6" t="n">
        <v>13.8836</v>
      </c>
      <c r="Z4" s="6" t="n">
        <v>15.5681</v>
      </c>
      <c r="AA4" s="6" t="n">
        <v>13.9017</v>
      </c>
      <c r="AB4" s="6" t="n">
        <v>10.229</v>
      </c>
      <c r="AC4" s="6" t="n">
        <v>20.7594</v>
      </c>
      <c r="AD4" s="6" t="n">
        <v>22.7554</v>
      </c>
      <c r="AE4" s="7" t="inlineStr">
        <is>
          <t>결산단신 XBRL(거래소 공시, TDnet·JPX 보관소). 쓴 문서: 2026-10-13, 2026-07-10, 2026-04-10, 2026-01-14 외 26건 — '출처' 시트에 전부</t>
        </is>
      </c>
    </row>
    <row r="5">
      <c r="A5" s="10" t="inlineStr">
        <is>
          <t>기타유가증권 평가차액</t>
        </is>
      </c>
      <c r="C5" s="11" t="n">
        <v>-0.42</v>
      </c>
      <c r="D5" s="11" t="n">
        <v>0.1609</v>
      </c>
      <c r="E5" s="11" t="n">
        <v>-0.445</v>
      </c>
      <c r="F5" s="11" t="n">
        <v>0.1658</v>
      </c>
      <c r="G5" s="11" t="n">
        <v>0.0136</v>
      </c>
      <c r="H5" s="11" t="n">
        <v>-0.0861</v>
      </c>
      <c r="I5" s="11" t="n">
        <v>0.3804</v>
      </c>
      <c r="J5" s="11" t="n">
        <v>0.6988</v>
      </c>
      <c r="K5" s="11" t="n">
        <v>-0.1777</v>
      </c>
      <c r="L5" s="11" t="n">
        <v>0.3712</v>
      </c>
      <c r="M5" s="11" t="n">
        <v>0.4514</v>
      </c>
      <c r="N5" s="11" t="n">
        <v>0.09</v>
      </c>
      <c r="O5" s="11" t="n">
        <v>-0.0219</v>
      </c>
      <c r="P5" s="11" t="n">
        <v>0.1805</v>
      </c>
      <c r="Q5" s="11" t="n">
        <v>-0.2223</v>
      </c>
      <c r="R5" s="11" t="n">
        <v>0.2551</v>
      </c>
      <c r="S5" s="11" t="n">
        <v>0.2801</v>
      </c>
      <c r="T5" s="11" t="n">
        <v>0.673</v>
      </c>
      <c r="U5" s="11" t="n">
        <v>-0.9726</v>
      </c>
      <c r="V5" s="11" t="n">
        <v>0.9323</v>
      </c>
      <c r="W5" s="11" t="n">
        <v>-0.8115</v>
      </c>
      <c r="X5" s="11" t="n">
        <v>-0.6311</v>
      </c>
      <c r="Y5" s="11" t="n">
        <v>0.409</v>
      </c>
      <c r="Z5" s="11" t="n">
        <v>-0.1376</v>
      </c>
      <c r="AA5" s="11" t="n">
        <v>-0.3518</v>
      </c>
      <c r="AB5" s="11" t="n">
        <v>1.2727</v>
      </c>
      <c r="AC5" s="11" t="n">
        <v>0.6999</v>
      </c>
      <c r="AD5" s="11" t="n">
        <v>0.9859</v>
      </c>
    </row>
    <row r="6">
      <c r="A6" s="10" t="inlineStr">
        <is>
          <t>이연헤지손익</t>
        </is>
      </c>
      <c r="C6" s="11" t="n">
        <v>-0.0269</v>
      </c>
      <c r="D6" s="11" t="n">
        <v>-0.0133</v>
      </c>
      <c r="E6" s="11" t="n">
        <v>0.008699999999999999</v>
      </c>
      <c r="F6" s="11" t="n">
        <v>0.0496</v>
      </c>
      <c r="G6" s="11" t="n">
        <v>0.2271</v>
      </c>
      <c r="H6" s="11" t="n">
        <v>-0.189</v>
      </c>
      <c r="I6" s="11" t="n">
        <v>-0.0916</v>
      </c>
      <c r="J6" s="11" t="n">
        <v>0.1101</v>
      </c>
      <c r="K6" s="11" t="n">
        <v>0.171</v>
      </c>
      <c r="L6" s="11" t="n">
        <v>-0.0594</v>
      </c>
      <c r="M6" s="11" t="n">
        <v>-0.0069</v>
      </c>
      <c r="N6" s="11" t="n">
        <v>-0.0148</v>
      </c>
      <c r="O6" s="11" t="n">
        <v>-0.2725</v>
      </c>
      <c r="P6" s="11" t="n">
        <v>0.1106</v>
      </c>
      <c r="Q6" s="11" t="n">
        <v>-0.0561</v>
      </c>
      <c r="R6" s="11" t="n">
        <v>-0.0728</v>
      </c>
      <c r="S6" s="11" t="n">
        <v>0.0979</v>
      </c>
      <c r="T6" s="11" t="n">
        <v>0.1793</v>
      </c>
      <c r="U6" s="11" t="n">
        <v>-0.0329</v>
      </c>
      <c r="V6" s="11" t="n">
        <v>-0.0249</v>
      </c>
      <c r="W6" s="11" t="n">
        <v>-0.015</v>
      </c>
      <c r="X6" s="11" t="n">
        <v>0.0103</v>
      </c>
      <c r="Y6" s="11" t="n">
        <v>-0.0798</v>
      </c>
      <c r="Z6" s="11" t="n">
        <v>0.045</v>
      </c>
      <c r="AA6" s="11" t="n">
        <v>0.0964</v>
      </c>
      <c r="AB6" s="11" t="n">
        <v>0.1301</v>
      </c>
      <c r="AC6" s="11" t="n">
        <v>-0.1837</v>
      </c>
      <c r="AD6" s="11" t="n">
        <v>0.1482</v>
      </c>
    </row>
    <row r="7">
      <c r="A7" s="10" t="inlineStr">
        <is>
          <t>해외사업환산조정</t>
        </is>
      </c>
      <c r="C7" s="11" t="n">
        <v>0.3286</v>
      </c>
      <c r="D7" s="11" t="n">
        <v>1.2669</v>
      </c>
      <c r="E7" s="11" t="n">
        <v>2.063</v>
      </c>
      <c r="F7" s="11" t="n">
        <v>2.2047</v>
      </c>
      <c r="G7" s="11" t="n">
        <v>0.1855</v>
      </c>
      <c r="H7" s="11" t="n">
        <v>-2.2214</v>
      </c>
      <c r="I7" s="11" t="n">
        <v>0.3988</v>
      </c>
      <c r="J7" s="11" t="n">
        <v>1.3776</v>
      </c>
      <c r="K7" s="11" t="n">
        <v>1.0647</v>
      </c>
      <c r="L7" s="11" t="n">
        <v>-1.9932</v>
      </c>
      <c r="M7" s="11" t="n">
        <v>2.2767</v>
      </c>
      <c r="N7" s="11" t="n">
        <v>1.9809</v>
      </c>
      <c r="O7" s="11" t="n">
        <v>-3.5214</v>
      </c>
      <c r="P7" s="11" t="n">
        <v>2.2254</v>
      </c>
      <c r="Q7" s="11" t="n">
        <v>-1.789</v>
      </c>
      <c r="R7" s="11" t="n">
        <v>-1.0368</v>
      </c>
      <c r="S7" s="11" t="n">
        <v>2.4186</v>
      </c>
      <c r="T7" s="11" t="n">
        <v>2.0834</v>
      </c>
      <c r="U7" s="11" t="n">
        <v>1.1229</v>
      </c>
      <c r="V7" s="11" t="n">
        <v>0.9669</v>
      </c>
      <c r="W7" s="11" t="n">
        <v>-1.1805</v>
      </c>
      <c r="X7" s="11" t="n">
        <v>-0.6742</v>
      </c>
      <c r="Y7" s="11" t="n">
        <v>0.036</v>
      </c>
      <c r="Z7" s="11" t="n">
        <v>3.8177</v>
      </c>
      <c r="AA7" s="11" t="n">
        <v>2.2318</v>
      </c>
      <c r="AB7" s="11" t="n">
        <v>0.848</v>
      </c>
      <c r="AC7" s="11" t="n">
        <v>2.9616</v>
      </c>
      <c r="AD7" s="11" t="n">
        <v>1.6763</v>
      </c>
    </row>
    <row r="8">
      <c r="A8" s="10" t="inlineStr">
        <is>
          <t>퇴직급여 조정액</t>
        </is>
      </c>
      <c r="C8" s="11" t="n">
        <v>-0.0167</v>
      </c>
      <c r="D8" s="11" t="n">
        <v>0.1786</v>
      </c>
      <c r="E8" s="11" t="n">
        <v>-0.036</v>
      </c>
      <c r="F8" s="11" t="n">
        <v>-0.036</v>
      </c>
      <c r="G8" s="11" t="n">
        <v>-0.036</v>
      </c>
      <c r="H8" s="11" t="n">
        <v>-0.2082</v>
      </c>
      <c r="I8" s="11" t="n">
        <v>-0.0183</v>
      </c>
      <c r="J8" s="11" t="n">
        <v>-0.0183</v>
      </c>
      <c r="K8" s="11" t="n">
        <v>-0.0183</v>
      </c>
      <c r="L8" s="11" t="n">
        <v>0.9484</v>
      </c>
      <c r="M8" s="11" t="n">
        <v>-0.0231</v>
      </c>
      <c r="N8" s="11" t="n">
        <v>-0.0231</v>
      </c>
      <c r="O8" s="11" t="n">
        <v>-0.0231</v>
      </c>
      <c r="P8" s="11" t="n">
        <v>-0.2222</v>
      </c>
      <c r="Q8" s="11" t="n">
        <v>-0.1998</v>
      </c>
      <c r="R8" s="11" t="n">
        <v>0.0029</v>
      </c>
      <c r="S8" s="11" t="n">
        <v>0.0029</v>
      </c>
      <c r="T8" s="11" t="n">
        <v>2.6158</v>
      </c>
      <c r="U8" s="11" t="n">
        <v>-0.0755</v>
      </c>
      <c r="V8" s="11" t="n">
        <v>-0.0755</v>
      </c>
      <c r="W8" s="11" t="n">
        <v>-0.1895</v>
      </c>
      <c r="X8" s="11" t="n">
        <v>-0.6827</v>
      </c>
      <c r="Y8" s="11" t="n">
        <v>0.158</v>
      </c>
      <c r="Z8" s="11" t="n">
        <v>0.1286</v>
      </c>
      <c r="AA8" s="11" t="n">
        <v>-0.3162</v>
      </c>
      <c r="AB8" s="11" t="n">
        <v>0.8935</v>
      </c>
      <c r="AC8" s="11" t="n">
        <v>-0.2915</v>
      </c>
      <c r="AD8" s="11" t="n">
        <v>2.4218</v>
      </c>
    </row>
    <row r="9">
      <c r="A9" s="10" t="inlineStr">
        <is>
          <t>지분법 적용회사 지분 해당액</t>
        </is>
      </c>
      <c r="C9" s="11" t="n">
        <v>0</v>
      </c>
      <c r="D9" s="11" t="n">
        <v>0</v>
      </c>
      <c r="W9" s="11" t="n">
        <v>-0.0112</v>
      </c>
      <c r="X9" s="11" t="n">
        <v>0.0049</v>
      </c>
      <c r="Y9" s="11" t="n">
        <v>-0.0238</v>
      </c>
      <c r="Z9" s="11" t="n">
        <v>0</v>
      </c>
    </row>
    <row r="10">
      <c r="A10" s="10" t="inlineStr">
        <is>
          <t>기타포괄손익 합계</t>
        </is>
      </c>
      <c r="C10" s="11" t="n">
        <v>-0.135</v>
      </c>
      <c r="D10" s="11" t="n">
        <v>1.5931</v>
      </c>
      <c r="E10" s="11" t="n">
        <v>1.5907</v>
      </c>
      <c r="F10" s="11" t="n">
        <v>2.3841</v>
      </c>
      <c r="G10" s="11" t="n">
        <v>0.3902</v>
      </c>
      <c r="H10" s="11" t="n">
        <v>-2.7048</v>
      </c>
      <c r="I10" s="11" t="n">
        <v>0.6693</v>
      </c>
      <c r="J10" s="11" t="n">
        <v>2.1682</v>
      </c>
      <c r="K10" s="11" t="n">
        <v>1.0397</v>
      </c>
      <c r="L10" s="11" t="n">
        <v>-0.7329</v>
      </c>
      <c r="M10" s="11" t="n">
        <v>2.6979</v>
      </c>
      <c r="N10" s="11" t="n">
        <v>2.033</v>
      </c>
      <c r="O10" s="11" t="n">
        <v>-3.8389</v>
      </c>
      <c r="P10" s="11" t="n">
        <v>2.2943</v>
      </c>
      <c r="Q10" s="11" t="n">
        <v>-2.2673</v>
      </c>
      <c r="R10" s="11" t="n">
        <v>-0.8516</v>
      </c>
      <c r="S10" s="11" t="n">
        <v>2.7995</v>
      </c>
      <c r="T10" s="11" t="n">
        <v>5.5516</v>
      </c>
      <c r="U10" s="11" t="n">
        <v>0.0419</v>
      </c>
      <c r="V10" s="11" t="n">
        <v>1.7987</v>
      </c>
      <c r="W10" s="11" t="n">
        <v>-2.2079</v>
      </c>
      <c r="X10" s="11" t="n">
        <v>-1.9728</v>
      </c>
      <c r="Y10" s="11" t="n">
        <v>0.4995</v>
      </c>
      <c r="Z10" s="11" t="n">
        <v>3.8537</v>
      </c>
      <c r="AA10" s="11" t="n">
        <v>1.6602</v>
      </c>
      <c r="AB10" s="11" t="n">
        <v>3.1443</v>
      </c>
      <c r="AC10" s="11" t="n">
        <v>3.1863</v>
      </c>
      <c r="AD10" s="11" t="n">
        <v>5.2322</v>
      </c>
    </row>
    <row r="11">
      <c r="A11" s="10" t="inlineStr">
        <is>
          <t>포괄이익</t>
        </is>
      </c>
      <c r="C11" s="11" t="n">
        <v>4.5626</v>
      </c>
      <c r="D11" s="11" t="n">
        <v>3.3155</v>
      </c>
      <c r="E11" s="11" t="n">
        <v>6.3242</v>
      </c>
      <c r="F11" s="11" t="n">
        <v>7.3742</v>
      </c>
      <c r="G11" s="11" t="n">
        <v>4.4747</v>
      </c>
      <c r="H11" s="11" t="n">
        <v>-2.6111</v>
      </c>
      <c r="I11" s="11" t="n">
        <v>3.6248</v>
      </c>
      <c r="J11" s="11" t="n">
        <v>6.9297</v>
      </c>
      <c r="K11" s="11" t="n">
        <v>8.988300000000001</v>
      </c>
      <c r="L11" s="11" t="n">
        <v>-6.1696</v>
      </c>
      <c r="M11" s="11" t="n">
        <v>7.6784</v>
      </c>
      <c r="N11" s="11" t="n">
        <v>9.701599999999999</v>
      </c>
      <c r="O11" s="11" t="n">
        <v>0.1494</v>
      </c>
      <c r="P11" s="11" t="n">
        <v>6.4163</v>
      </c>
      <c r="Q11" s="11" t="n">
        <v>3.3923</v>
      </c>
      <c r="R11" s="11" t="n">
        <v>4.7781</v>
      </c>
      <c r="S11" s="11" t="n">
        <v>8.9747</v>
      </c>
      <c r="T11" s="11" t="n">
        <v>10.8424</v>
      </c>
      <c r="U11" s="11" t="n">
        <v>5.5289</v>
      </c>
      <c r="V11" s="11" t="n">
        <v>13.1932</v>
      </c>
      <c r="W11" s="11" t="n">
        <v>9.2479</v>
      </c>
      <c r="X11" s="11" t="n">
        <v>8.982799999999999</v>
      </c>
      <c r="Y11" s="11" t="n">
        <v>14.3831</v>
      </c>
      <c r="Z11" s="11" t="n">
        <v>19.4218</v>
      </c>
      <c r="AA11" s="11" t="n">
        <v>15.5619</v>
      </c>
      <c r="AB11" s="11" t="n">
        <v>13.3733</v>
      </c>
      <c r="AC11" s="11" t="n">
        <v>23.9457</v>
      </c>
      <c r="AD11" s="11" t="n">
        <v>27.9876</v>
      </c>
    </row>
    <row r="12">
      <c r="A12" s="10" t="inlineStr">
        <is>
          <t>지배주주 포괄이익</t>
        </is>
      </c>
      <c r="C12" s="11" t="n">
        <v>4.2717</v>
      </c>
      <c r="D12" s="11" t="n">
        <v>3.1294</v>
      </c>
      <c r="E12" s="11" t="n">
        <v>5.9858</v>
      </c>
      <c r="F12" s="11" t="n">
        <v>6.7133</v>
      </c>
      <c r="G12" s="11" t="n">
        <v>3.9755</v>
      </c>
      <c r="H12" s="11" t="n">
        <v>-2.4249</v>
      </c>
      <c r="I12" s="11" t="n">
        <v>3.395</v>
      </c>
      <c r="J12" s="11" t="n">
        <v>6.1543</v>
      </c>
      <c r="K12" s="11" t="n">
        <v>8.3752</v>
      </c>
      <c r="L12" s="11" t="n">
        <v>-4.4065</v>
      </c>
      <c r="M12" s="11" t="n">
        <v>7.8122</v>
      </c>
      <c r="N12" s="11" t="n">
        <v>9.023899999999999</v>
      </c>
      <c r="O12" s="11" t="n">
        <v>0.3676</v>
      </c>
      <c r="P12" s="11" t="n">
        <v>5.8955</v>
      </c>
      <c r="Q12" s="11" t="n">
        <v>3.4174</v>
      </c>
      <c r="R12" s="11" t="n">
        <v>4.3331</v>
      </c>
      <c r="S12" s="11" t="n">
        <v>8.468</v>
      </c>
      <c r="T12" s="11" t="n">
        <v>10.5185</v>
      </c>
      <c r="U12" s="11" t="n">
        <v>5.4607</v>
      </c>
      <c r="V12" s="11" t="n">
        <v>12.7832</v>
      </c>
      <c r="W12" s="11" t="n">
        <v>9.5808</v>
      </c>
      <c r="X12" s="11" t="n">
        <v>8.991199999999999</v>
      </c>
      <c r="Y12" s="11" t="n">
        <v>13.6218</v>
      </c>
      <c r="Z12" s="11" t="n">
        <v>18.0443</v>
      </c>
      <c r="AA12" s="11" t="n">
        <v>14.2497</v>
      </c>
      <c r="AB12" s="11" t="n">
        <v>13.5181</v>
      </c>
      <c r="AC12" s="11" t="n">
        <v>23.0992</v>
      </c>
      <c r="AD12" s="11" t="n">
        <v>26.737</v>
      </c>
    </row>
    <row r="13">
      <c r="A13" s="10" t="inlineStr">
        <is>
          <t>비지배주주 포괄이익</t>
        </is>
      </c>
      <c r="C13" s="11" t="n">
        <v>0.2909</v>
      </c>
      <c r="D13" s="11" t="n">
        <v>0.186</v>
      </c>
      <c r="E13" s="11" t="n">
        <v>0.3384</v>
      </c>
      <c r="F13" s="11" t="n">
        <v>0.6609</v>
      </c>
      <c r="G13" s="11" t="n">
        <v>0.4992</v>
      </c>
      <c r="H13" s="11" t="n">
        <v>-0.1863</v>
      </c>
      <c r="I13" s="11" t="n">
        <v>0.2298</v>
      </c>
      <c r="J13" s="11" t="n">
        <v>0.7753</v>
      </c>
      <c r="K13" s="11" t="n">
        <v>0.613</v>
      </c>
      <c r="L13" s="11" t="n">
        <v>-1.763</v>
      </c>
      <c r="M13" s="11" t="n">
        <v>-0.1338</v>
      </c>
      <c r="N13" s="11" t="n">
        <v>0.6777</v>
      </c>
      <c r="O13" s="11" t="n">
        <v>-0.2182</v>
      </c>
      <c r="P13" s="11" t="n">
        <v>0.5208</v>
      </c>
      <c r="Q13" s="11" t="n">
        <v>-0.0251</v>
      </c>
      <c r="R13" s="11" t="n">
        <v>0.445</v>
      </c>
      <c r="S13" s="11" t="n">
        <v>0.5068</v>
      </c>
      <c r="T13" s="11" t="n">
        <v>0.324</v>
      </c>
      <c r="U13" s="11" t="n">
        <v>0.0682</v>
      </c>
      <c r="V13" s="11" t="n">
        <v>0.41</v>
      </c>
      <c r="W13" s="11" t="n">
        <v>-0.3329</v>
      </c>
      <c r="X13" s="11" t="n">
        <v>-0.008399999999999999</v>
      </c>
      <c r="Y13" s="11" t="n">
        <v>0.7613</v>
      </c>
      <c r="Z13" s="11" t="n">
        <v>1.3776</v>
      </c>
      <c r="AA13" s="11" t="n">
        <v>1.3122</v>
      </c>
      <c r="AB13" s="11" t="n">
        <v>-0.1448</v>
      </c>
      <c r="AC13" s="11" t="n">
        <v>0.8466</v>
      </c>
      <c r="AD13" s="11" t="n">
        <v>1.2507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6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나카모토팩스 재무상태표</t>
        </is>
      </c>
    </row>
    <row r="2">
      <c r="A2" s="2" t="inlineStr">
        <is>
          <t>결산기 기준(27.2Q = 2027년 결산기 2분기) · 2월 결산 · 연결 · 분기 말 잔액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10" t="inlineStr">
        <is>
          <t>현금 및 예금</t>
        </is>
      </c>
      <c r="C4" s="11" t="n">
        <v>48.7876</v>
      </c>
      <c r="D4" s="11" t="n">
        <v>48.8177</v>
      </c>
      <c r="E4" s="11" t="n">
        <v>47.4114</v>
      </c>
      <c r="F4" s="11" t="n">
        <v>44.3806</v>
      </c>
      <c r="G4" s="11" t="n">
        <v>41.3844</v>
      </c>
      <c r="H4" s="11" t="n">
        <v>51.031</v>
      </c>
      <c r="I4" s="11" t="n">
        <v>49.3781</v>
      </c>
      <c r="J4" s="11" t="n">
        <v>52.989</v>
      </c>
      <c r="K4" s="11" t="n">
        <v>63.7482</v>
      </c>
      <c r="L4" s="11" t="n">
        <v>75.32989999999999</v>
      </c>
      <c r="M4" s="11" t="n">
        <v>80.66370000000001</v>
      </c>
      <c r="N4" s="11" t="n">
        <v>72.4988</v>
      </c>
      <c r="O4" s="11" t="n">
        <v>76.17019999999999</v>
      </c>
      <c r="P4" s="11" t="n">
        <v>76.4234</v>
      </c>
      <c r="Q4" s="11" t="n">
        <v>75.4251</v>
      </c>
      <c r="R4" s="11" t="n">
        <v>73.2332</v>
      </c>
      <c r="S4" s="11" t="n">
        <v>75.3777</v>
      </c>
      <c r="T4" s="11" t="n">
        <v>76.5729</v>
      </c>
      <c r="U4" s="11" t="n">
        <v>71.0248</v>
      </c>
      <c r="V4" s="11" t="n">
        <v>85.277</v>
      </c>
      <c r="W4" s="11" t="n">
        <v>30.3148</v>
      </c>
      <c r="X4" s="11" t="n">
        <v>25.5864</v>
      </c>
      <c r="Y4" s="11" t="n">
        <v>37.2339</v>
      </c>
      <c r="Z4" s="11" t="n">
        <v>48.8177</v>
      </c>
      <c r="AA4" s="11" t="n">
        <v>51.031</v>
      </c>
      <c r="AB4" s="11" t="n">
        <v>75.32989999999999</v>
      </c>
      <c r="AC4" s="11" t="n">
        <v>76.4234</v>
      </c>
      <c r="AD4" s="11" t="n">
        <v>76.5729</v>
      </c>
      <c r="AE4" s="7" t="inlineStr">
        <is>
          <t>결산단신 XBRL(거래소 공시, TDnet·JPX 보관소). 쓴 문서: 2026-10-13, 2026-07-10, 2026-04-10, 2026-01-14 외 26건 — '출처' 시트에 전부</t>
        </is>
      </c>
    </row>
    <row r="5">
      <c r="A5" s="10" t="inlineStr">
        <is>
          <t>받을어음·매출채권</t>
        </is>
      </c>
      <c r="C5" s="11" t="n">
        <v>78.79340000000001</v>
      </c>
      <c r="D5" s="11" t="n">
        <v>74.45480000000001</v>
      </c>
      <c r="E5" s="11" t="n">
        <v>0</v>
      </c>
      <c r="F5" s="11" t="n">
        <v>0</v>
      </c>
      <c r="G5" s="11" t="n">
        <v>0</v>
      </c>
      <c r="H5" s="11" t="n">
        <v>0</v>
      </c>
      <c r="W5" s="11" t="n">
        <v>69.37990000000001</v>
      </c>
      <c r="X5" s="11" t="n">
        <v>74.59399999999999</v>
      </c>
      <c r="Y5" s="11" t="n">
        <v>79.6396</v>
      </c>
      <c r="Z5" s="11" t="n">
        <v>74.45480000000001</v>
      </c>
      <c r="AA5" s="11" t="n">
        <v>0</v>
      </c>
    </row>
    <row r="6">
      <c r="A6" s="10" t="inlineStr">
        <is>
          <t>받을어음·매출채권·계약자산</t>
        </is>
      </c>
      <c r="D6" s="11" t="n">
        <v>0</v>
      </c>
      <c r="E6" s="11" t="n">
        <v>82.6756</v>
      </c>
      <c r="F6" s="11" t="n">
        <v>85.00749999999999</v>
      </c>
      <c r="G6" s="11" t="n">
        <v>85.91759999999999</v>
      </c>
      <c r="H6" s="11" t="n">
        <v>77.6756</v>
      </c>
      <c r="I6" s="11" t="n">
        <v>77.67440000000001</v>
      </c>
      <c r="J6" s="11" t="n">
        <v>78.6339</v>
      </c>
      <c r="K6" s="11" t="n">
        <v>83.4175</v>
      </c>
      <c r="L6" s="11" t="n">
        <v>83.5455</v>
      </c>
      <c r="M6" s="11" t="n">
        <v>84.0444</v>
      </c>
      <c r="N6" s="11" t="n">
        <v>95.2315</v>
      </c>
      <c r="O6" s="11" t="n">
        <v>98.10250000000001</v>
      </c>
      <c r="P6" s="11" t="n">
        <v>89.1704</v>
      </c>
      <c r="Q6" s="11" t="n">
        <v>86.9473</v>
      </c>
      <c r="R6" s="11" t="n">
        <v>86.9272</v>
      </c>
      <c r="S6" s="11" t="n">
        <v>85.324</v>
      </c>
      <c r="T6" s="11" t="n">
        <v>85.93899999999999</v>
      </c>
      <c r="U6" s="11" t="n">
        <v>83.85639999999999</v>
      </c>
      <c r="V6" s="11" t="n">
        <v>92.1812</v>
      </c>
      <c r="Z6" s="11" t="n">
        <v>0</v>
      </c>
      <c r="AA6" s="11" t="n">
        <v>77.6756</v>
      </c>
      <c r="AB6" s="11" t="n">
        <v>83.5455</v>
      </c>
      <c r="AC6" s="11" t="n">
        <v>89.1704</v>
      </c>
      <c r="AD6" s="11" t="n">
        <v>85.93899999999999</v>
      </c>
    </row>
    <row r="7">
      <c r="A7" s="10" t="inlineStr">
        <is>
          <t>전자기록채권</t>
        </is>
      </c>
      <c r="C7" s="11" t="n">
        <v>19.595</v>
      </c>
      <c r="D7" s="11" t="n">
        <v>19.3807</v>
      </c>
      <c r="E7" s="11" t="n">
        <v>20.1989</v>
      </c>
      <c r="F7" s="11" t="n">
        <v>21.8104</v>
      </c>
      <c r="G7" s="11" t="n">
        <v>23.0702</v>
      </c>
      <c r="H7" s="11" t="n">
        <v>22.3994</v>
      </c>
      <c r="I7" s="11" t="n">
        <v>22.2784</v>
      </c>
      <c r="J7" s="11" t="n">
        <v>22.8735</v>
      </c>
      <c r="K7" s="11" t="n">
        <v>23.5476</v>
      </c>
      <c r="L7" s="11" t="n">
        <v>25.9829</v>
      </c>
      <c r="M7" s="11" t="n">
        <v>26.8814</v>
      </c>
      <c r="N7" s="11" t="n">
        <v>31.2804</v>
      </c>
      <c r="O7" s="11" t="n">
        <v>31.7701</v>
      </c>
      <c r="P7" s="11" t="n">
        <v>29.8995</v>
      </c>
      <c r="Q7" s="11" t="n">
        <v>30.4765</v>
      </c>
      <c r="R7" s="11" t="n">
        <v>36.4467</v>
      </c>
      <c r="S7" s="11" t="n">
        <v>37.2508</v>
      </c>
      <c r="T7" s="11" t="n">
        <v>35.4238</v>
      </c>
      <c r="U7" s="11" t="n">
        <v>38.4234</v>
      </c>
      <c r="V7" s="11" t="n">
        <v>40.7501</v>
      </c>
      <c r="W7" s="11" t="n">
        <v>9.8713</v>
      </c>
      <c r="X7" s="11" t="n">
        <v>13.5728</v>
      </c>
      <c r="Y7" s="11" t="n">
        <v>16.9235</v>
      </c>
      <c r="Z7" s="11" t="n">
        <v>19.3807</v>
      </c>
      <c r="AA7" s="11" t="n">
        <v>22.3994</v>
      </c>
      <c r="AB7" s="11" t="n">
        <v>25.9829</v>
      </c>
      <c r="AC7" s="11" t="n">
        <v>29.8995</v>
      </c>
      <c r="AD7" s="11" t="n">
        <v>35.4238</v>
      </c>
    </row>
    <row r="8">
      <c r="A8" s="10" t="inlineStr">
        <is>
          <t>상품·제품</t>
        </is>
      </c>
      <c r="C8" s="11" t="n">
        <v>25.3866</v>
      </c>
      <c r="D8" s="11" t="n">
        <v>25.9245</v>
      </c>
      <c r="E8" s="11" t="n">
        <v>27.3332</v>
      </c>
      <c r="F8" s="11" t="n">
        <v>27.9836</v>
      </c>
      <c r="G8" s="11" t="n">
        <v>30.2987</v>
      </c>
      <c r="H8" s="11" t="n">
        <v>28.314</v>
      </c>
      <c r="I8" s="11" t="n">
        <v>29.8499</v>
      </c>
      <c r="J8" s="11" t="n">
        <v>28.6798</v>
      </c>
      <c r="K8" s="11" t="n">
        <v>27.4649</v>
      </c>
      <c r="L8" s="11" t="n">
        <v>28.9526</v>
      </c>
      <c r="M8" s="11" t="n">
        <v>29.9347</v>
      </c>
      <c r="N8" s="11" t="n">
        <v>29.3511</v>
      </c>
      <c r="O8" s="11" t="n">
        <v>31.3582</v>
      </c>
      <c r="P8" s="11" t="n">
        <v>32.6632</v>
      </c>
      <c r="Q8" s="11" t="n">
        <v>33.119</v>
      </c>
      <c r="R8" s="11" t="n">
        <v>33.5406</v>
      </c>
      <c r="S8" s="11" t="n">
        <v>32.8561</v>
      </c>
      <c r="T8" s="11" t="n">
        <v>32.2623</v>
      </c>
      <c r="U8" s="11" t="n">
        <v>33.5115</v>
      </c>
      <c r="V8" s="11" t="n">
        <v>34.8635</v>
      </c>
      <c r="W8" s="11" t="n">
        <v>17.5357</v>
      </c>
      <c r="X8" s="11" t="n">
        <v>17.5658</v>
      </c>
      <c r="Y8" s="11" t="n">
        <v>19.9823</v>
      </c>
      <c r="Z8" s="11" t="n">
        <v>25.9245</v>
      </c>
      <c r="AA8" s="11" t="n">
        <v>28.314</v>
      </c>
      <c r="AB8" s="11" t="n">
        <v>28.9526</v>
      </c>
      <c r="AC8" s="11" t="n">
        <v>32.6632</v>
      </c>
      <c r="AD8" s="11" t="n">
        <v>32.2623</v>
      </c>
    </row>
    <row r="9">
      <c r="A9" s="10" t="inlineStr">
        <is>
          <t>재공품</t>
        </is>
      </c>
      <c r="C9" s="11" t="n">
        <v>5.0379</v>
      </c>
      <c r="D9" s="11" t="n">
        <v>5.913</v>
      </c>
      <c r="E9" s="11" t="n">
        <v>4.3488</v>
      </c>
      <c r="F9" s="11" t="n">
        <v>4.5165</v>
      </c>
      <c r="G9" s="11" t="n">
        <v>4.6824</v>
      </c>
      <c r="H9" s="11" t="n">
        <v>3.7067</v>
      </c>
      <c r="I9" s="11" t="n">
        <v>4.3285</v>
      </c>
      <c r="J9" s="11" t="n">
        <v>4.0498</v>
      </c>
      <c r="K9" s="11" t="n">
        <v>3.6413</v>
      </c>
      <c r="L9" s="11" t="n">
        <v>3.4866</v>
      </c>
      <c r="M9" s="11" t="n">
        <v>4.0561</v>
      </c>
      <c r="N9" s="11" t="n">
        <v>3.8239</v>
      </c>
      <c r="O9" s="11" t="n">
        <v>3.9848</v>
      </c>
      <c r="P9" s="11" t="n">
        <v>4.2868</v>
      </c>
      <c r="Q9" s="11" t="n">
        <v>4.5436</v>
      </c>
      <c r="R9" s="11" t="n">
        <v>4.1514</v>
      </c>
      <c r="S9" s="11" t="n">
        <v>4.2321</v>
      </c>
      <c r="T9" s="11" t="n">
        <v>4.3954</v>
      </c>
      <c r="U9" s="11" t="n">
        <v>5.6896</v>
      </c>
      <c r="V9" s="11" t="n">
        <v>5.6082</v>
      </c>
      <c r="W9" s="11" t="n">
        <v>3.1746</v>
      </c>
      <c r="X9" s="11" t="n">
        <v>3.5754</v>
      </c>
      <c r="Y9" s="11" t="n">
        <v>3.6722</v>
      </c>
      <c r="Z9" s="11" t="n">
        <v>5.913</v>
      </c>
      <c r="AA9" s="11" t="n">
        <v>3.7067</v>
      </c>
      <c r="AB9" s="11" t="n">
        <v>3.4866</v>
      </c>
      <c r="AC9" s="11" t="n">
        <v>4.2868</v>
      </c>
      <c r="AD9" s="11" t="n">
        <v>4.3954</v>
      </c>
    </row>
    <row r="10">
      <c r="A10" s="10" t="inlineStr">
        <is>
          <t>원재료·저장품</t>
        </is>
      </c>
      <c r="C10" s="11" t="n">
        <v>10.1112</v>
      </c>
      <c r="D10" s="11" t="n">
        <v>11.0909</v>
      </c>
      <c r="E10" s="11" t="n">
        <v>12.985</v>
      </c>
      <c r="F10" s="11" t="n">
        <v>14.7542</v>
      </c>
      <c r="G10" s="11" t="n">
        <v>14.6988</v>
      </c>
      <c r="H10" s="11" t="n">
        <v>13.3562</v>
      </c>
      <c r="I10" s="11" t="n">
        <v>12.082</v>
      </c>
      <c r="J10" s="11" t="n">
        <v>10.1512</v>
      </c>
      <c r="K10" s="11" t="n">
        <v>10.1379</v>
      </c>
      <c r="L10" s="11" t="n">
        <v>10.3058</v>
      </c>
      <c r="M10" s="11" t="n">
        <v>10.4992</v>
      </c>
      <c r="N10" s="11" t="n">
        <v>10.4695</v>
      </c>
      <c r="O10" s="11" t="n">
        <v>11.2458</v>
      </c>
      <c r="P10" s="11" t="n">
        <v>10.7729</v>
      </c>
      <c r="Q10" s="11" t="n">
        <v>11.1399</v>
      </c>
      <c r="R10" s="11" t="n">
        <v>10.2607</v>
      </c>
      <c r="S10" s="11" t="n">
        <v>10.8987</v>
      </c>
      <c r="T10" s="11" t="n">
        <v>10.6133</v>
      </c>
      <c r="U10" s="11" t="n">
        <v>13.7116</v>
      </c>
      <c r="V10" s="11" t="n">
        <v>14.7348</v>
      </c>
      <c r="W10" s="11" t="n">
        <v>6.0274</v>
      </c>
      <c r="X10" s="11" t="n">
        <v>6.0537</v>
      </c>
      <c r="Y10" s="11" t="n">
        <v>8.395899999999999</v>
      </c>
      <c r="Z10" s="11" t="n">
        <v>11.0909</v>
      </c>
      <c r="AA10" s="11" t="n">
        <v>13.3562</v>
      </c>
      <c r="AB10" s="11" t="n">
        <v>10.3058</v>
      </c>
      <c r="AC10" s="11" t="n">
        <v>10.7729</v>
      </c>
      <c r="AD10" s="11" t="n">
        <v>10.6133</v>
      </c>
    </row>
    <row r="11">
      <c r="A11" s="10" t="inlineStr">
        <is>
          <t>단기대여금</t>
        </is>
      </c>
      <c r="P11" s="11" t="n">
        <v>0</v>
      </c>
      <c r="S11" s="11" t="n">
        <v>3.1486</v>
      </c>
      <c r="T11" s="11" t="n">
        <v>3.1486</v>
      </c>
      <c r="U11" s="11" t="n">
        <v>3.1486</v>
      </c>
      <c r="V11" s="11" t="n">
        <v>3.1486</v>
      </c>
      <c r="AC11" s="11" t="n">
        <v>0</v>
      </c>
      <c r="AD11" s="11" t="n">
        <v>3.1486</v>
      </c>
    </row>
    <row r="12">
      <c r="A12" s="10" t="inlineStr">
        <is>
          <t>기타</t>
        </is>
      </c>
      <c r="C12" s="11" t="n">
        <v>2.2973</v>
      </c>
      <c r="D12" s="11" t="n">
        <v>2.4949</v>
      </c>
      <c r="E12" s="11" t="n">
        <v>2.1757</v>
      </c>
      <c r="F12" s="11" t="n">
        <v>3.1752</v>
      </c>
      <c r="G12" s="11" t="n">
        <v>3.1243</v>
      </c>
      <c r="H12" s="11" t="n">
        <v>2.3832</v>
      </c>
      <c r="I12" s="11" t="n">
        <v>2.4941</v>
      </c>
      <c r="J12" s="11" t="n">
        <v>3.9708</v>
      </c>
      <c r="K12" s="11" t="n">
        <v>3.3781</v>
      </c>
      <c r="L12" s="11" t="n">
        <v>3.8495</v>
      </c>
      <c r="M12" s="11" t="n">
        <v>4.9689</v>
      </c>
      <c r="N12" s="11" t="n">
        <v>5.5001</v>
      </c>
      <c r="O12" s="11" t="n">
        <v>3.6521</v>
      </c>
      <c r="P12" s="11" t="n">
        <v>3.9835</v>
      </c>
      <c r="Q12" s="11" t="n">
        <v>4.4117</v>
      </c>
      <c r="R12" s="11" t="n">
        <v>4.4428</v>
      </c>
      <c r="S12" s="11" t="n">
        <v>2.8449</v>
      </c>
      <c r="T12" s="11" t="n">
        <v>6.1606</v>
      </c>
      <c r="U12" s="11" t="n">
        <v>3.574</v>
      </c>
      <c r="V12" s="11" t="n">
        <v>3.4909</v>
      </c>
      <c r="W12" s="11" t="n">
        <v>1.5329</v>
      </c>
      <c r="X12" s="11" t="n">
        <v>2.9888</v>
      </c>
      <c r="Y12" s="11" t="n">
        <v>2.4444</v>
      </c>
      <c r="Z12" s="11" t="n">
        <v>2.4949</v>
      </c>
      <c r="AA12" s="11" t="n">
        <v>2.3832</v>
      </c>
      <c r="AB12" s="11" t="n">
        <v>3.8495</v>
      </c>
      <c r="AC12" s="11" t="n">
        <v>3.9835</v>
      </c>
      <c r="AD12" s="11" t="n">
        <v>6.1606</v>
      </c>
    </row>
    <row r="13">
      <c r="A13" s="10" t="inlineStr">
        <is>
          <t>대손충당금</t>
        </is>
      </c>
      <c r="C13" s="11" t="n">
        <v>-0.0567</v>
      </c>
      <c r="D13" s="11" t="n">
        <v>-0.0615</v>
      </c>
      <c r="E13" s="11" t="n">
        <v>-0.0551</v>
      </c>
      <c r="F13" s="11" t="n">
        <v>-0.0573</v>
      </c>
      <c r="G13" s="11" t="n">
        <v>-0.06</v>
      </c>
      <c r="H13" s="11" t="n">
        <v>-0.06569999999999999</v>
      </c>
      <c r="I13" s="11" t="n">
        <v>-0.0574</v>
      </c>
      <c r="J13" s="11" t="n">
        <v>-0.0509</v>
      </c>
      <c r="K13" s="11" t="n">
        <v>-0.051</v>
      </c>
      <c r="L13" s="11" t="n">
        <v>-0.0531</v>
      </c>
      <c r="M13" s="11" t="n">
        <v>-0.0454</v>
      </c>
      <c r="N13" s="11" t="n">
        <v>-0.0508</v>
      </c>
      <c r="O13" s="11" t="n">
        <v>-0.0536</v>
      </c>
      <c r="P13" s="11" t="n">
        <v>-0.0562</v>
      </c>
      <c r="Q13" s="11" t="n">
        <v>-0.046</v>
      </c>
      <c r="R13" s="11" t="n">
        <v>-0.0534</v>
      </c>
      <c r="S13" s="11" t="n">
        <v>-2.1072</v>
      </c>
      <c r="T13" s="11" t="n">
        <v>-2.1104</v>
      </c>
      <c r="U13" s="11" t="n">
        <v>-2.1067</v>
      </c>
      <c r="V13" s="11" t="n">
        <v>-2.1119</v>
      </c>
      <c r="W13" s="11" t="n">
        <v>-0.0447</v>
      </c>
      <c r="X13" s="11" t="n">
        <v>-0.0454</v>
      </c>
      <c r="Y13" s="11" t="n">
        <v>-0.0556</v>
      </c>
      <c r="Z13" s="11" t="n">
        <v>-0.0615</v>
      </c>
      <c r="AA13" s="11" t="n">
        <v>-0.06569999999999999</v>
      </c>
      <c r="AB13" s="11" t="n">
        <v>-0.0531</v>
      </c>
      <c r="AC13" s="11" t="n">
        <v>-0.0562</v>
      </c>
      <c r="AD13" s="11" t="n">
        <v>-2.1104</v>
      </c>
    </row>
    <row r="14">
      <c r="A14" s="10" t="inlineStr">
        <is>
          <t>유동자산 합계</t>
        </is>
      </c>
      <c r="C14" s="11" t="n">
        <v>189.9525</v>
      </c>
      <c r="D14" s="11" t="n">
        <v>188.015</v>
      </c>
      <c r="E14" s="11" t="n">
        <v>197.0736</v>
      </c>
      <c r="F14" s="11" t="n">
        <v>201.5708</v>
      </c>
      <c r="G14" s="11" t="n">
        <v>203.1163</v>
      </c>
      <c r="H14" s="11" t="n">
        <v>198.8005</v>
      </c>
      <c r="I14" s="11" t="n">
        <v>198.0281</v>
      </c>
      <c r="J14" s="11" t="n">
        <v>201.2972</v>
      </c>
      <c r="K14" s="11" t="n">
        <v>215.2846</v>
      </c>
      <c r="L14" s="11" t="n">
        <v>231.3997</v>
      </c>
      <c r="M14" s="11" t="n">
        <v>241.0031</v>
      </c>
      <c r="N14" s="11" t="n">
        <v>248.1045</v>
      </c>
      <c r="O14" s="11" t="n">
        <v>256.2303</v>
      </c>
      <c r="P14" s="11" t="n">
        <v>247.1436</v>
      </c>
      <c r="Q14" s="11" t="n">
        <v>246.0172</v>
      </c>
      <c r="R14" s="11" t="n">
        <v>248.9492</v>
      </c>
      <c r="S14" s="11" t="n">
        <v>249.8257</v>
      </c>
      <c r="T14" s="11" t="n">
        <v>252.4055</v>
      </c>
      <c r="U14" s="11" t="n">
        <v>250.8333</v>
      </c>
      <c r="V14" s="11" t="n">
        <v>277.9423</v>
      </c>
      <c r="W14" s="11" t="n">
        <v>137.7919</v>
      </c>
      <c r="X14" s="11" t="n">
        <v>143.8916</v>
      </c>
      <c r="Y14" s="11" t="n">
        <v>168.2363</v>
      </c>
      <c r="Z14" s="11" t="n">
        <v>188.015</v>
      </c>
      <c r="AA14" s="11" t="n">
        <v>198.8005</v>
      </c>
      <c r="AB14" s="11" t="n">
        <v>231.3997</v>
      </c>
      <c r="AC14" s="11" t="n">
        <v>247.1436</v>
      </c>
      <c r="AD14" s="11" t="n">
        <v>252.4055</v>
      </c>
    </row>
    <row r="15">
      <c r="A15" s="10" t="inlineStr">
        <is>
          <t>건물·구축물(순액)</t>
        </is>
      </c>
      <c r="C15" s="11" t="n">
        <v>63.2733</v>
      </c>
      <c r="D15" s="11" t="n">
        <v>64.22499999999999</v>
      </c>
      <c r="E15" s="11" t="n">
        <v>65.70480000000001</v>
      </c>
      <c r="F15" s="11" t="n">
        <v>64.4825</v>
      </c>
      <c r="G15" s="11" t="n">
        <v>63.7848</v>
      </c>
      <c r="H15" s="11" t="n">
        <v>61.3921</v>
      </c>
      <c r="I15" s="11" t="n">
        <v>61.965</v>
      </c>
      <c r="J15" s="11" t="n">
        <v>63.4695</v>
      </c>
      <c r="K15" s="11" t="n">
        <v>63.2219</v>
      </c>
      <c r="L15" s="11" t="n">
        <v>62.4085</v>
      </c>
      <c r="M15" s="11" t="n">
        <v>62.1194</v>
      </c>
      <c r="N15" s="11" t="n">
        <v>62.0546</v>
      </c>
      <c r="O15" s="11" t="n">
        <v>60.2825</v>
      </c>
      <c r="P15" s="11" t="n">
        <v>59.9905</v>
      </c>
      <c r="Q15" s="11" t="n">
        <v>63.3212</v>
      </c>
      <c r="R15" s="11" t="n">
        <v>61.8205</v>
      </c>
      <c r="S15" s="11" t="n">
        <v>60.9683</v>
      </c>
      <c r="T15" s="11" t="n">
        <v>61.3476</v>
      </c>
      <c r="U15" s="11" t="n">
        <v>60.6624</v>
      </c>
      <c r="V15" s="11" t="n">
        <v>59.9555</v>
      </c>
      <c r="W15" s="11" t="n">
        <v>53.0276</v>
      </c>
      <c r="X15" s="11" t="n">
        <v>54.8581</v>
      </c>
      <c r="Y15" s="11" t="n">
        <v>59.3202</v>
      </c>
      <c r="Z15" s="11" t="n">
        <v>64.22499999999999</v>
      </c>
      <c r="AA15" s="11" t="n">
        <v>61.3921</v>
      </c>
      <c r="AB15" s="11" t="n">
        <v>62.4085</v>
      </c>
      <c r="AC15" s="11" t="n">
        <v>59.9905</v>
      </c>
      <c r="AD15" s="11" t="n">
        <v>61.3476</v>
      </c>
    </row>
    <row r="16">
      <c r="A16" s="10" t="inlineStr">
        <is>
          <t>기계장치·운반구(순액)</t>
        </is>
      </c>
      <c r="C16" s="11" t="n">
        <v>27.5061</v>
      </c>
      <c r="D16" s="11" t="n">
        <v>26.3398</v>
      </c>
      <c r="E16" s="11" t="n">
        <v>25.9358</v>
      </c>
      <c r="F16" s="11" t="n">
        <v>26.2522</v>
      </c>
      <c r="G16" s="11" t="n">
        <v>26.2818</v>
      </c>
      <c r="H16" s="11" t="n">
        <v>25.0978</v>
      </c>
      <c r="I16" s="11" t="n">
        <v>24.751</v>
      </c>
      <c r="J16" s="11" t="n">
        <v>25.7438</v>
      </c>
      <c r="K16" s="11" t="n">
        <v>25.3708</v>
      </c>
      <c r="L16" s="11" t="n">
        <v>23.9208</v>
      </c>
      <c r="M16" s="11" t="n">
        <v>24.2028</v>
      </c>
      <c r="N16" s="11" t="n">
        <v>24.6298</v>
      </c>
      <c r="O16" s="11" t="n">
        <v>23.4315</v>
      </c>
      <c r="P16" s="11" t="n">
        <v>22.9997</v>
      </c>
      <c r="Q16" s="11" t="n">
        <v>22.129</v>
      </c>
      <c r="R16" s="11" t="n">
        <v>21.3695</v>
      </c>
      <c r="S16" s="11" t="n">
        <v>21.048</v>
      </c>
      <c r="T16" s="11" t="n">
        <v>18.3534</v>
      </c>
      <c r="U16" s="11" t="n">
        <v>18.9814</v>
      </c>
      <c r="V16" s="11" t="n">
        <v>18.7394</v>
      </c>
      <c r="W16" s="11" t="n">
        <v>19.6126</v>
      </c>
      <c r="X16" s="11" t="n">
        <v>20.1933</v>
      </c>
      <c r="Y16" s="11" t="n">
        <v>29.6311</v>
      </c>
      <c r="Z16" s="11" t="n">
        <v>26.3398</v>
      </c>
      <c r="AA16" s="11" t="n">
        <v>25.0978</v>
      </c>
      <c r="AB16" s="11" t="n">
        <v>23.9208</v>
      </c>
      <c r="AC16" s="11" t="n">
        <v>22.9997</v>
      </c>
      <c r="AD16" s="11" t="n">
        <v>18.3534</v>
      </c>
    </row>
    <row r="17">
      <c r="A17" s="10" t="inlineStr">
        <is>
          <t>토지</t>
        </is>
      </c>
      <c r="C17" s="11" t="n">
        <v>31.4039</v>
      </c>
      <c r="D17" s="11" t="n">
        <v>31.3836</v>
      </c>
      <c r="E17" s="11" t="n">
        <v>31.3836</v>
      </c>
      <c r="F17" s="11" t="n">
        <v>31.3836</v>
      </c>
      <c r="G17" s="11" t="n">
        <v>31.3836</v>
      </c>
      <c r="H17" s="11" t="n">
        <v>31.3836</v>
      </c>
      <c r="I17" s="11" t="n">
        <v>31.3836</v>
      </c>
      <c r="J17" s="11" t="n">
        <v>32.1555</v>
      </c>
      <c r="K17" s="11" t="n">
        <v>32.1555</v>
      </c>
      <c r="L17" s="11" t="n">
        <v>37.2915</v>
      </c>
      <c r="M17" s="11" t="n">
        <v>37.2915</v>
      </c>
      <c r="N17" s="11" t="n">
        <v>37.2915</v>
      </c>
      <c r="O17" s="11" t="n">
        <v>38.0884</v>
      </c>
      <c r="P17" s="11" t="n">
        <v>38.0884</v>
      </c>
      <c r="Q17" s="11" t="n">
        <v>40.2726</v>
      </c>
      <c r="R17" s="11" t="n">
        <v>40.2726</v>
      </c>
      <c r="S17" s="11" t="n">
        <v>40.2726</v>
      </c>
      <c r="T17" s="11" t="n">
        <v>40.4392</v>
      </c>
      <c r="U17" s="11" t="n">
        <v>40.4392</v>
      </c>
      <c r="V17" s="11" t="n">
        <v>40.4392</v>
      </c>
      <c r="W17" s="11" t="n">
        <v>29.2821</v>
      </c>
      <c r="X17" s="11" t="n">
        <v>29.2821</v>
      </c>
      <c r="Y17" s="11" t="n">
        <v>31.4039</v>
      </c>
      <c r="Z17" s="11" t="n">
        <v>31.3836</v>
      </c>
      <c r="AA17" s="11" t="n">
        <v>31.3836</v>
      </c>
      <c r="AB17" s="11" t="n">
        <v>37.2915</v>
      </c>
      <c r="AC17" s="11" t="n">
        <v>38.0884</v>
      </c>
      <c r="AD17" s="11" t="n">
        <v>40.4392</v>
      </c>
    </row>
    <row r="18">
      <c r="A18" s="10" t="inlineStr">
        <is>
          <t>리스자산(순액)</t>
        </is>
      </c>
      <c r="D18" s="11" t="n">
        <v>4.4181</v>
      </c>
      <c r="H18" s="11" t="n">
        <v>3.9512</v>
      </c>
      <c r="L18" s="11" t="n">
        <v>2.6447</v>
      </c>
      <c r="P18" s="11" t="n">
        <v>2.5115</v>
      </c>
      <c r="T18" s="11" t="n">
        <v>1.7472</v>
      </c>
      <c r="W18" s="11" t="n">
        <v>0.248</v>
      </c>
      <c r="X18" s="11" t="n">
        <v>4.3936</v>
      </c>
      <c r="Y18" s="11" t="n">
        <v>3.8766</v>
      </c>
      <c r="Z18" s="11" t="n">
        <v>4.4181</v>
      </c>
      <c r="AA18" s="11" t="n">
        <v>3.9512</v>
      </c>
      <c r="AB18" s="11" t="n">
        <v>2.6447</v>
      </c>
      <c r="AC18" s="11" t="n">
        <v>2.5115</v>
      </c>
      <c r="AD18" s="11" t="n">
        <v>1.7472</v>
      </c>
    </row>
    <row r="19">
      <c r="A19" s="10" t="inlineStr">
        <is>
          <t>건설중인자산</t>
        </is>
      </c>
      <c r="D19" s="11" t="n">
        <v>2.5943</v>
      </c>
      <c r="H19" s="11" t="n">
        <v>4.2264</v>
      </c>
      <c r="L19" s="11" t="n">
        <v>1.4535</v>
      </c>
      <c r="P19" s="11" t="n">
        <v>1.0867</v>
      </c>
      <c r="T19" s="11" t="n">
        <v>1.5649</v>
      </c>
      <c r="W19" s="11" t="n">
        <v>9.999599999999999</v>
      </c>
      <c r="X19" s="11" t="n">
        <v>3.0203</v>
      </c>
      <c r="Y19" s="11" t="n">
        <v>3.0884</v>
      </c>
      <c r="Z19" s="11" t="n">
        <v>2.5943</v>
      </c>
      <c r="AA19" s="11" t="n">
        <v>4.2264</v>
      </c>
      <c r="AB19" s="11" t="n">
        <v>1.4535</v>
      </c>
      <c r="AC19" s="11" t="n">
        <v>1.0867</v>
      </c>
      <c r="AD19" s="11" t="n">
        <v>1.5649</v>
      </c>
    </row>
    <row r="20">
      <c r="A20" s="10" t="inlineStr">
        <is>
          <t>기타(순액)</t>
        </is>
      </c>
      <c r="C20" s="11" t="n">
        <v>8.4695</v>
      </c>
      <c r="D20" s="11" t="n">
        <v>2.5154</v>
      </c>
      <c r="E20" s="11" t="n">
        <v>10.1474</v>
      </c>
      <c r="F20" s="11" t="n">
        <v>9.4221</v>
      </c>
      <c r="G20" s="11" t="n">
        <v>9.6829</v>
      </c>
      <c r="H20" s="11" t="n">
        <v>2.2506</v>
      </c>
      <c r="I20" s="11" t="n">
        <v>9.611599999999999</v>
      </c>
      <c r="J20" s="11" t="n">
        <v>7.9361</v>
      </c>
      <c r="K20" s="11" t="n">
        <v>7.3122</v>
      </c>
      <c r="L20" s="11" t="n">
        <v>2.1564</v>
      </c>
      <c r="M20" s="11" t="n">
        <v>5.9549</v>
      </c>
      <c r="N20" s="11" t="n">
        <v>6.2322</v>
      </c>
      <c r="O20" s="11" t="n">
        <v>5.73</v>
      </c>
      <c r="P20" s="11" t="n">
        <v>2.6306</v>
      </c>
      <c r="Q20" s="11" t="n">
        <v>5.3643</v>
      </c>
      <c r="R20" s="11" t="n">
        <v>5.1864</v>
      </c>
      <c r="S20" s="11" t="n">
        <v>5.0534</v>
      </c>
      <c r="T20" s="11" t="n">
        <v>6.0399</v>
      </c>
      <c r="U20" s="11" t="n">
        <v>11.2077</v>
      </c>
      <c r="V20" s="11" t="n">
        <v>12.7306</v>
      </c>
      <c r="W20" s="11" t="n">
        <v>2.0352</v>
      </c>
      <c r="X20" s="11" t="n">
        <v>2.1931</v>
      </c>
      <c r="Y20" s="11" t="n">
        <v>2.4726</v>
      </c>
      <c r="Z20" s="11" t="n">
        <v>2.5154</v>
      </c>
      <c r="AA20" s="11" t="n">
        <v>2.2506</v>
      </c>
      <c r="AB20" s="11" t="n">
        <v>2.1564</v>
      </c>
      <c r="AC20" s="11" t="n">
        <v>2.6306</v>
      </c>
      <c r="AD20" s="11" t="n">
        <v>6.0399</v>
      </c>
    </row>
    <row r="21">
      <c r="A21" s="10" t="inlineStr">
        <is>
          <t>유형자산 합계</t>
        </is>
      </c>
      <c r="C21" s="11" t="n">
        <v>130.6527</v>
      </c>
      <c r="D21" s="11" t="n">
        <v>131.4762</v>
      </c>
      <c r="E21" s="11" t="n">
        <v>133.1717</v>
      </c>
      <c r="F21" s="11" t="n">
        <v>131.5405</v>
      </c>
      <c r="G21" s="11" t="n">
        <v>131.1331</v>
      </c>
      <c r="H21" s="11" t="n">
        <v>128.3017</v>
      </c>
      <c r="I21" s="11" t="n">
        <v>127.7112</v>
      </c>
      <c r="J21" s="11" t="n">
        <v>129.305</v>
      </c>
      <c r="K21" s="11" t="n">
        <v>128.0605</v>
      </c>
      <c r="L21" s="11" t="n">
        <v>129.8755</v>
      </c>
      <c r="M21" s="11" t="n">
        <v>129.5687</v>
      </c>
      <c r="N21" s="11" t="n">
        <v>130.2082</v>
      </c>
      <c r="O21" s="11" t="n">
        <v>127.5323</v>
      </c>
      <c r="P21" s="11" t="n">
        <v>127.3074</v>
      </c>
      <c r="Q21" s="11" t="n">
        <v>131.0871</v>
      </c>
      <c r="R21" s="11" t="n">
        <v>128.649</v>
      </c>
      <c r="S21" s="11" t="n">
        <v>127.3424</v>
      </c>
      <c r="T21" s="11" t="n">
        <v>126.1801</v>
      </c>
      <c r="U21" s="11" t="n">
        <v>131.2906</v>
      </c>
      <c r="V21" s="11" t="n">
        <v>131.8647</v>
      </c>
      <c r="W21" s="11" t="n">
        <v>114.2051</v>
      </c>
      <c r="X21" s="11" t="n">
        <v>113.9406</v>
      </c>
      <c r="Y21" s="11" t="n">
        <v>129.7928</v>
      </c>
      <c r="Z21" s="11" t="n">
        <v>131.4762</v>
      </c>
      <c r="AA21" s="11" t="n">
        <v>128.3017</v>
      </c>
      <c r="AB21" s="11" t="n">
        <v>129.8755</v>
      </c>
      <c r="AC21" s="11" t="n">
        <v>127.3074</v>
      </c>
      <c r="AD21" s="11" t="n">
        <v>126.1801</v>
      </c>
    </row>
    <row r="22">
      <c r="A22" s="10" t="inlineStr">
        <is>
          <t>기타</t>
        </is>
      </c>
      <c r="D22" s="11" t="n">
        <v>3.7807</v>
      </c>
      <c r="H22" s="11" t="n">
        <v>3.6951</v>
      </c>
      <c r="L22" s="11" t="n">
        <v>4.8773</v>
      </c>
      <c r="P22" s="11" t="n">
        <v>4.2824</v>
      </c>
      <c r="T22" s="11" t="n">
        <v>3.4407</v>
      </c>
      <c r="W22" s="11" t="n">
        <v>3.4561</v>
      </c>
      <c r="X22" s="11" t="n">
        <v>3.3909</v>
      </c>
      <c r="Y22" s="11" t="n">
        <v>3.6685</v>
      </c>
      <c r="Z22" s="11" t="n">
        <v>3.7807</v>
      </c>
      <c r="AA22" s="11" t="n">
        <v>3.6951</v>
      </c>
      <c r="AB22" s="11" t="n">
        <v>4.8773</v>
      </c>
      <c r="AC22" s="11" t="n">
        <v>4.2824</v>
      </c>
      <c r="AD22" s="11" t="n">
        <v>3.4407</v>
      </c>
    </row>
    <row r="23">
      <c r="A23" s="10" t="inlineStr">
        <is>
          <t>무형자산</t>
        </is>
      </c>
      <c r="C23" s="11" t="n">
        <v>3.7893</v>
      </c>
      <c r="D23" s="11" t="n">
        <v>3.7807</v>
      </c>
      <c r="E23" s="11" t="n">
        <v>3.7644</v>
      </c>
      <c r="F23" s="11" t="n">
        <v>3.6714</v>
      </c>
      <c r="G23" s="11" t="n">
        <v>3.6707</v>
      </c>
      <c r="H23" s="11" t="n">
        <v>3.6951</v>
      </c>
      <c r="I23" s="11" t="n">
        <v>4.9854</v>
      </c>
      <c r="J23" s="11" t="n">
        <v>4.9778</v>
      </c>
      <c r="K23" s="11" t="n">
        <v>5.0005</v>
      </c>
      <c r="L23" s="11" t="n">
        <v>4.8773</v>
      </c>
      <c r="M23" s="11" t="n">
        <v>4.6256</v>
      </c>
      <c r="N23" s="11" t="n">
        <v>4.5991</v>
      </c>
      <c r="O23" s="11" t="n">
        <v>4.3526</v>
      </c>
      <c r="P23" s="11" t="n">
        <v>4.2824</v>
      </c>
      <c r="Q23" s="11" t="n">
        <v>4.0286</v>
      </c>
      <c r="R23" s="11" t="n">
        <v>3.7867</v>
      </c>
      <c r="S23" s="11" t="n">
        <v>3.58</v>
      </c>
      <c r="T23" s="11" t="n">
        <v>3.4407</v>
      </c>
      <c r="U23" s="11" t="n">
        <v>3.3166</v>
      </c>
      <c r="V23" s="11" t="n">
        <v>3.2252</v>
      </c>
      <c r="W23" s="11" t="n">
        <v>3.4561</v>
      </c>
      <c r="X23" s="11" t="n">
        <v>3.3909</v>
      </c>
      <c r="Y23" s="11" t="n">
        <v>3.6685</v>
      </c>
      <c r="Z23" s="11" t="n">
        <v>3.7807</v>
      </c>
      <c r="AA23" s="11" t="n">
        <v>3.6951</v>
      </c>
      <c r="AB23" s="11" t="n">
        <v>4.8773</v>
      </c>
      <c r="AC23" s="11" t="n">
        <v>4.2824</v>
      </c>
      <c r="AD23" s="11" t="n">
        <v>3.4407</v>
      </c>
    </row>
    <row r="24">
      <c r="A24" s="10" t="inlineStr">
        <is>
          <t>투자유가증권</t>
        </is>
      </c>
      <c r="D24" s="11" t="n">
        <v>7.6044</v>
      </c>
      <c r="H24" s="11" t="n">
        <v>6.6824</v>
      </c>
      <c r="L24" s="11" t="n">
        <v>9.9816</v>
      </c>
      <c r="P24" s="11" t="n">
        <v>11.1123</v>
      </c>
      <c r="T24" s="11" t="n">
        <v>11.541</v>
      </c>
      <c r="W24" s="11" t="n">
        <v>8.5458</v>
      </c>
      <c r="X24" s="11" t="n">
        <v>8.831099999999999</v>
      </c>
      <c r="Y24" s="11" t="n">
        <v>7.623</v>
      </c>
      <c r="Z24" s="11" t="n">
        <v>7.6044</v>
      </c>
      <c r="AA24" s="11" t="n">
        <v>6.6824</v>
      </c>
      <c r="AB24" s="11" t="n">
        <v>9.9816</v>
      </c>
      <c r="AC24" s="11" t="n">
        <v>11.1123</v>
      </c>
      <c r="AD24" s="11" t="n">
        <v>11.541</v>
      </c>
    </row>
    <row r="25">
      <c r="A25" s="10" t="inlineStr">
        <is>
          <t>장기대여금</t>
        </is>
      </c>
      <c r="D25" s="11" t="n">
        <v>0.1272</v>
      </c>
      <c r="H25" s="11" t="n">
        <v>0.1078</v>
      </c>
      <c r="L25" s="11" t="n">
        <v>0.0905</v>
      </c>
      <c r="P25" s="11" t="n">
        <v>0.0764</v>
      </c>
      <c r="T25" s="11" t="n">
        <v>0.0693</v>
      </c>
      <c r="W25" s="11" t="n">
        <v>0.1383</v>
      </c>
      <c r="X25" s="11" t="n">
        <v>0.1119</v>
      </c>
      <c r="Y25" s="11" t="n">
        <v>0.0901</v>
      </c>
      <c r="Z25" s="11" t="n">
        <v>0.1272</v>
      </c>
      <c r="AA25" s="11" t="n">
        <v>0.1078</v>
      </c>
      <c r="AB25" s="11" t="n">
        <v>0.0905</v>
      </c>
      <c r="AC25" s="11" t="n">
        <v>0.0764</v>
      </c>
      <c r="AD25" s="11" t="n">
        <v>0.0693</v>
      </c>
    </row>
    <row r="26">
      <c r="A26" s="10" t="inlineStr">
        <is>
          <t>이연법인세자산</t>
        </is>
      </c>
      <c r="W26" s="11" t="n">
        <v>1.7847</v>
      </c>
      <c r="X26" s="11" t="n">
        <v>2.0837</v>
      </c>
    </row>
    <row r="27">
      <c r="A27" s="10" t="inlineStr">
        <is>
          <t>퇴직급여자산</t>
        </is>
      </c>
      <c r="H27" s="11" t="n">
        <v>0</v>
      </c>
      <c r="L27" s="11" t="n">
        <v>0.9949</v>
      </c>
      <c r="P27" s="11" t="n">
        <v>1.1702</v>
      </c>
      <c r="T27" s="11" t="n">
        <v>5.1287</v>
      </c>
      <c r="AA27" s="11" t="n">
        <v>0</v>
      </c>
      <c r="AB27" s="11" t="n">
        <v>0.9949</v>
      </c>
      <c r="AC27" s="11" t="n">
        <v>1.1702</v>
      </c>
      <c r="AD27" s="11" t="n">
        <v>5.1287</v>
      </c>
    </row>
    <row r="28">
      <c r="A28" s="10" t="inlineStr">
        <is>
          <t>이연법인세자산</t>
        </is>
      </c>
      <c r="D28" s="11" t="n">
        <v>2.2268</v>
      </c>
      <c r="H28" s="11" t="n">
        <v>2.2468</v>
      </c>
      <c r="L28" s="11" t="n">
        <v>1.4616</v>
      </c>
      <c r="P28" s="11" t="n">
        <v>2.6546</v>
      </c>
      <c r="T28" s="11" t="n">
        <v>0.6291</v>
      </c>
      <c r="X28" s="11" t="n">
        <v>2.0837</v>
      </c>
      <c r="Y28" s="11" t="n">
        <v>2.3495</v>
      </c>
      <c r="Z28" s="11" t="n">
        <v>2.2268</v>
      </c>
      <c r="AA28" s="11" t="n">
        <v>2.2468</v>
      </c>
      <c r="AB28" s="11" t="n">
        <v>1.4616</v>
      </c>
      <c r="AC28" s="11" t="n">
        <v>2.6546</v>
      </c>
      <c r="AD28" s="11" t="n">
        <v>0.6291</v>
      </c>
    </row>
    <row r="29">
      <c r="A29" s="10" t="inlineStr">
        <is>
          <t>기타</t>
        </is>
      </c>
      <c r="C29" s="11" t="n">
        <v>16.3769</v>
      </c>
      <c r="D29" s="11" t="n">
        <v>6.3841</v>
      </c>
      <c r="E29" s="11" t="n">
        <v>15.9011</v>
      </c>
      <c r="F29" s="11" t="n">
        <v>16.0636</v>
      </c>
      <c r="G29" s="11" t="n">
        <v>16.027</v>
      </c>
      <c r="H29" s="11" t="n">
        <v>6.2269</v>
      </c>
      <c r="I29" s="11" t="n">
        <v>16.8172</v>
      </c>
      <c r="J29" s="11" t="n">
        <v>17.69</v>
      </c>
      <c r="K29" s="11" t="n">
        <v>26.4223</v>
      </c>
      <c r="L29" s="11" t="n">
        <v>6.4312</v>
      </c>
      <c r="M29" s="11" t="n">
        <v>21.4351</v>
      </c>
      <c r="N29" s="11" t="n">
        <v>21.5359</v>
      </c>
      <c r="O29" s="11" t="n">
        <v>21.4128</v>
      </c>
      <c r="P29" s="11" t="n">
        <v>6.2708</v>
      </c>
      <c r="Q29" s="11" t="n">
        <v>20.243</v>
      </c>
      <c r="R29" s="11" t="n">
        <v>20.5207</v>
      </c>
      <c r="S29" s="11" t="n">
        <v>20.8661</v>
      </c>
      <c r="T29" s="11" t="n">
        <v>23.4898</v>
      </c>
      <c r="U29" s="11" t="n">
        <v>23.2465</v>
      </c>
      <c r="V29" s="11" t="n">
        <v>25.017</v>
      </c>
      <c r="W29" s="11" t="n">
        <v>3.6361</v>
      </c>
      <c r="X29" s="11" t="n">
        <v>3.7021</v>
      </c>
      <c r="Y29" s="11" t="n">
        <v>6.3596</v>
      </c>
      <c r="Z29" s="11" t="n">
        <v>6.3841</v>
      </c>
      <c r="AA29" s="11" t="n">
        <v>6.2269</v>
      </c>
      <c r="AB29" s="11" t="n">
        <v>6.4312</v>
      </c>
      <c r="AC29" s="11" t="n">
        <v>6.2708</v>
      </c>
      <c r="AD29" s="11" t="n">
        <v>23.4898</v>
      </c>
    </row>
    <row r="30">
      <c r="A30" s="10" t="inlineStr">
        <is>
          <t>대손충당금</t>
        </is>
      </c>
      <c r="C30" s="11" t="n">
        <v>-0.2715</v>
      </c>
      <c r="D30" s="11" t="n">
        <v>-0.2725</v>
      </c>
      <c r="E30" s="11" t="n">
        <v>-0.2725</v>
      </c>
      <c r="F30" s="11" t="n">
        <v>-0.2725</v>
      </c>
      <c r="G30" s="11" t="n">
        <v>-0.2725</v>
      </c>
      <c r="H30" s="11" t="n">
        <v>-0.2725</v>
      </c>
      <c r="I30" s="11" t="n">
        <v>-0.2725</v>
      </c>
      <c r="J30" s="11" t="n">
        <v>-0.2725</v>
      </c>
      <c r="K30" s="11" t="n">
        <v>-0.2725</v>
      </c>
      <c r="L30" s="11" t="n">
        <v>-0.2727</v>
      </c>
      <c r="M30" s="11" t="n">
        <v>-0.2727</v>
      </c>
      <c r="N30" s="11" t="n">
        <v>-0.2727</v>
      </c>
      <c r="O30" s="11" t="n">
        <v>-0.2727</v>
      </c>
      <c r="P30" s="11" t="n">
        <v>-0.2727</v>
      </c>
      <c r="Q30" s="11" t="n">
        <v>-0.2736</v>
      </c>
      <c r="R30" s="11" t="n">
        <v>-0.2845</v>
      </c>
      <c r="S30" s="11" t="n">
        <v>-0.2845</v>
      </c>
      <c r="T30" s="11" t="n">
        <v>-0.2845</v>
      </c>
      <c r="U30" s="11" t="n">
        <v>-0.2845</v>
      </c>
      <c r="V30" s="11" t="n">
        <v>-0.2834</v>
      </c>
      <c r="W30" s="11" t="n">
        <v>-0.271</v>
      </c>
      <c r="X30" s="11" t="n">
        <v>-0.2715</v>
      </c>
      <c r="Y30" s="11" t="n">
        <v>-0.2715</v>
      </c>
      <c r="Z30" s="11" t="n">
        <v>-0.2725</v>
      </c>
      <c r="AA30" s="11" t="n">
        <v>-0.2725</v>
      </c>
      <c r="AB30" s="11" t="n">
        <v>-0.2727</v>
      </c>
      <c r="AC30" s="11" t="n">
        <v>-0.2727</v>
      </c>
      <c r="AD30" s="11" t="n">
        <v>-0.2845</v>
      </c>
    </row>
    <row r="31">
      <c r="A31" s="10" t="inlineStr">
        <is>
          <t>투자 및 기타자산 합계</t>
        </is>
      </c>
      <c r="C31" s="11" t="n">
        <v>16.1054</v>
      </c>
      <c r="D31" s="11" t="n">
        <v>16.0701</v>
      </c>
      <c r="E31" s="11" t="n">
        <v>15.6286</v>
      </c>
      <c r="F31" s="11" t="n">
        <v>15.7911</v>
      </c>
      <c r="G31" s="11" t="n">
        <v>15.7546</v>
      </c>
      <c r="H31" s="11" t="n">
        <v>14.9914</v>
      </c>
      <c r="I31" s="11" t="n">
        <v>16.5448</v>
      </c>
      <c r="J31" s="11" t="n">
        <v>17.4176</v>
      </c>
      <c r="K31" s="11" t="n">
        <v>26.1499</v>
      </c>
      <c r="L31" s="11" t="n">
        <v>18.6872</v>
      </c>
      <c r="M31" s="11" t="n">
        <v>21.1625</v>
      </c>
      <c r="N31" s="11" t="n">
        <v>21.2633</v>
      </c>
      <c r="O31" s="11" t="n">
        <v>21.1402</v>
      </c>
      <c r="P31" s="11" t="n">
        <v>21.0115</v>
      </c>
      <c r="Q31" s="11" t="n">
        <v>19.9694</v>
      </c>
      <c r="R31" s="11" t="n">
        <v>20.2362</v>
      </c>
      <c r="S31" s="11" t="n">
        <v>20.5816</v>
      </c>
      <c r="T31" s="11" t="n">
        <v>23.2053</v>
      </c>
      <c r="U31" s="11" t="n">
        <v>22.9619</v>
      </c>
      <c r="V31" s="11" t="n">
        <v>24.7336</v>
      </c>
      <c r="W31" s="11" t="n">
        <v>13.834</v>
      </c>
      <c r="X31" s="11" t="n">
        <v>14.4574</v>
      </c>
      <c r="Y31" s="11" t="n">
        <v>16.1507</v>
      </c>
      <c r="Z31" s="11" t="n">
        <v>16.0701</v>
      </c>
      <c r="AA31" s="11" t="n">
        <v>14.9914</v>
      </c>
      <c r="AB31" s="11" t="n">
        <v>18.6872</v>
      </c>
      <c r="AC31" s="11" t="n">
        <v>21.0115</v>
      </c>
      <c r="AD31" s="11" t="n">
        <v>23.2053</v>
      </c>
    </row>
    <row r="32">
      <c r="A32" s="10" t="inlineStr">
        <is>
          <t>비유동자산 합계</t>
        </is>
      </c>
      <c r="C32" s="11" t="n">
        <v>150.5474</v>
      </c>
      <c r="D32" s="11" t="n">
        <v>151.327</v>
      </c>
      <c r="E32" s="11" t="n">
        <v>152.5647</v>
      </c>
      <c r="F32" s="11" t="n">
        <v>151.0031</v>
      </c>
      <c r="G32" s="11" t="n">
        <v>150.5583</v>
      </c>
      <c r="H32" s="11" t="n">
        <v>146.9883</v>
      </c>
      <c r="I32" s="11" t="n">
        <v>149.2414</v>
      </c>
      <c r="J32" s="11" t="n">
        <v>151.7004</v>
      </c>
      <c r="K32" s="11" t="n">
        <v>159.2109</v>
      </c>
      <c r="L32" s="11" t="n">
        <v>153.4399</v>
      </c>
      <c r="M32" s="11" t="n">
        <v>155.3567</v>
      </c>
      <c r="N32" s="11" t="n">
        <v>156.0707</v>
      </c>
      <c r="O32" s="11" t="n">
        <v>153.0251</v>
      </c>
      <c r="P32" s="11" t="n">
        <v>152.6014</v>
      </c>
      <c r="Q32" s="11" t="n">
        <v>155.0851</v>
      </c>
      <c r="R32" s="11" t="n">
        <v>152.6719</v>
      </c>
      <c r="S32" s="11" t="n">
        <v>151.5039</v>
      </c>
      <c r="T32" s="11" t="n">
        <v>152.8261</v>
      </c>
      <c r="U32" s="11" t="n">
        <v>157.5691</v>
      </c>
      <c r="V32" s="11" t="n">
        <v>159.8235</v>
      </c>
      <c r="W32" s="11" t="n">
        <v>131.4952</v>
      </c>
      <c r="X32" s="11" t="n">
        <v>131.7889</v>
      </c>
      <c r="Y32" s="11" t="n">
        <v>149.612</v>
      </c>
      <c r="Z32" s="11" t="n">
        <v>151.327</v>
      </c>
      <c r="AA32" s="11" t="n">
        <v>146.9883</v>
      </c>
      <c r="AB32" s="11" t="n">
        <v>153.4399</v>
      </c>
      <c r="AC32" s="11" t="n">
        <v>152.6014</v>
      </c>
      <c r="AD32" s="11" t="n">
        <v>152.8261</v>
      </c>
    </row>
    <row r="33">
      <c r="A33" s="10" t="inlineStr">
        <is>
          <t>자산 합계</t>
        </is>
      </c>
      <c r="C33" s="11" t="n">
        <v>340.4999</v>
      </c>
      <c r="D33" s="11" t="n">
        <v>339.3419</v>
      </c>
      <c r="E33" s="11" t="n">
        <v>349.6383</v>
      </c>
      <c r="F33" s="11" t="n">
        <v>352.5739</v>
      </c>
      <c r="G33" s="11" t="n">
        <v>353.6746</v>
      </c>
      <c r="H33" s="11" t="n">
        <v>345.7887</v>
      </c>
      <c r="I33" s="11" t="n">
        <v>347.2695</v>
      </c>
      <c r="J33" s="11" t="n">
        <v>352.9975</v>
      </c>
      <c r="K33" s="11" t="n">
        <v>374.4955</v>
      </c>
      <c r="L33" s="11" t="n">
        <v>384.8396</v>
      </c>
      <c r="M33" s="11" t="n">
        <v>396.3598</v>
      </c>
      <c r="N33" s="11" t="n">
        <v>404.1752</v>
      </c>
      <c r="O33" s="11" t="n">
        <v>409.2554</v>
      </c>
      <c r="P33" s="11" t="n">
        <v>399.745</v>
      </c>
      <c r="Q33" s="11" t="n">
        <v>401.1023</v>
      </c>
      <c r="R33" s="11" t="n">
        <v>401.6211</v>
      </c>
      <c r="S33" s="11" t="n">
        <v>401.3296</v>
      </c>
      <c r="T33" s="11" t="n">
        <v>405.2316</v>
      </c>
      <c r="U33" s="11" t="n">
        <v>408.4025</v>
      </c>
      <c r="V33" s="11" t="n">
        <v>437.7658</v>
      </c>
      <c r="W33" s="11" t="n">
        <v>269.2871</v>
      </c>
      <c r="X33" s="11" t="n">
        <v>275.6804</v>
      </c>
      <c r="Y33" s="11" t="n">
        <v>317.8483</v>
      </c>
      <c r="Z33" s="11" t="n">
        <v>339.3419</v>
      </c>
      <c r="AA33" s="11" t="n">
        <v>345.7887</v>
      </c>
      <c r="AB33" s="11" t="n">
        <v>384.8396</v>
      </c>
      <c r="AC33" s="11" t="n">
        <v>399.745</v>
      </c>
      <c r="AD33" s="11" t="n">
        <v>405.2316</v>
      </c>
    </row>
    <row r="34">
      <c r="A34" s="10" t="inlineStr">
        <is>
          <t>지급어음·매입채무</t>
        </is>
      </c>
      <c r="C34" s="11" t="n">
        <v>45.6476</v>
      </c>
      <c r="D34" s="11" t="n">
        <v>42.3756</v>
      </c>
      <c r="E34" s="11" t="n">
        <v>44.2852</v>
      </c>
      <c r="F34" s="11" t="n">
        <v>45.6732</v>
      </c>
      <c r="G34" s="11" t="n">
        <v>47.5481</v>
      </c>
      <c r="H34" s="11" t="n">
        <v>41.6092</v>
      </c>
      <c r="I34" s="11" t="n">
        <v>40.662</v>
      </c>
      <c r="J34" s="11" t="n">
        <v>41.2417</v>
      </c>
      <c r="K34" s="11" t="n">
        <v>45.6143</v>
      </c>
      <c r="L34" s="11" t="n">
        <v>48.0673</v>
      </c>
      <c r="M34" s="11" t="n">
        <v>48.8134</v>
      </c>
      <c r="N34" s="11" t="n">
        <v>49.0596</v>
      </c>
      <c r="O34" s="11" t="n">
        <v>52.078</v>
      </c>
      <c r="P34" s="11" t="n">
        <v>48.422</v>
      </c>
      <c r="Q34" s="11" t="n">
        <v>46.2682</v>
      </c>
      <c r="R34" s="11" t="n">
        <v>44.0722</v>
      </c>
      <c r="S34" s="11" t="n">
        <v>44.1261</v>
      </c>
      <c r="T34" s="11" t="n">
        <v>40.7083</v>
      </c>
      <c r="U34" s="11" t="n">
        <v>45.5796</v>
      </c>
      <c r="V34" s="11" t="n">
        <v>46.3495</v>
      </c>
      <c r="W34" s="11" t="n">
        <v>28.2212</v>
      </c>
      <c r="X34" s="11" t="n">
        <v>28.7195</v>
      </c>
      <c r="Y34" s="11" t="n">
        <v>36.5784</v>
      </c>
      <c r="Z34" s="11" t="n">
        <v>42.3756</v>
      </c>
      <c r="AA34" s="11" t="n">
        <v>41.6092</v>
      </c>
      <c r="AB34" s="11" t="n">
        <v>48.0673</v>
      </c>
      <c r="AC34" s="11" t="n">
        <v>48.422</v>
      </c>
      <c r="AD34" s="11" t="n">
        <v>40.7083</v>
      </c>
    </row>
    <row r="35">
      <c r="A35" s="10" t="inlineStr">
        <is>
          <t>전자기록채무</t>
        </is>
      </c>
      <c r="C35" s="11" t="n">
        <v>36.0964</v>
      </c>
      <c r="D35" s="11" t="n">
        <v>37.4329</v>
      </c>
      <c r="E35" s="11" t="n">
        <v>39.3059</v>
      </c>
      <c r="F35" s="11" t="n">
        <v>41.0669</v>
      </c>
      <c r="G35" s="11" t="n">
        <v>41.8849</v>
      </c>
      <c r="H35" s="11" t="n">
        <v>39.2533</v>
      </c>
      <c r="I35" s="11" t="n">
        <v>38.9401</v>
      </c>
      <c r="J35" s="11" t="n">
        <v>39.8008</v>
      </c>
      <c r="K35" s="11" t="n">
        <v>39.0017</v>
      </c>
      <c r="L35" s="11" t="n">
        <v>42.691</v>
      </c>
      <c r="M35" s="11" t="n">
        <v>43.2515</v>
      </c>
      <c r="N35" s="11" t="n">
        <v>45.9806</v>
      </c>
      <c r="O35" s="11" t="n">
        <v>48.359</v>
      </c>
      <c r="P35" s="11" t="n">
        <v>40.3817</v>
      </c>
      <c r="Q35" s="11" t="n">
        <v>41.2585</v>
      </c>
      <c r="R35" s="11" t="n">
        <v>42.4563</v>
      </c>
      <c r="S35" s="11" t="n">
        <v>43.3443</v>
      </c>
      <c r="T35" s="11" t="n">
        <v>40.2705</v>
      </c>
      <c r="U35" s="11" t="n">
        <v>31.5955</v>
      </c>
      <c r="V35" s="11" t="n">
        <v>36.389</v>
      </c>
      <c r="W35" s="11" t="n">
        <v>37.1725</v>
      </c>
      <c r="X35" s="11" t="n">
        <v>36.2512</v>
      </c>
      <c r="Y35" s="11" t="n">
        <v>36.2288</v>
      </c>
      <c r="Z35" s="11" t="n">
        <v>37.4329</v>
      </c>
      <c r="AA35" s="11" t="n">
        <v>39.2533</v>
      </c>
      <c r="AB35" s="11" t="n">
        <v>42.691</v>
      </c>
      <c r="AC35" s="11" t="n">
        <v>40.3817</v>
      </c>
      <c r="AD35" s="11" t="n">
        <v>40.2705</v>
      </c>
    </row>
    <row r="36">
      <c r="A36" s="10" t="inlineStr">
        <is>
          <t>단기차입금</t>
        </is>
      </c>
      <c r="C36" s="11" t="n">
        <v>49.3274</v>
      </c>
      <c r="D36" s="11" t="n">
        <v>50.0592</v>
      </c>
      <c r="E36" s="11" t="n">
        <v>51.3526</v>
      </c>
      <c r="F36" s="11" t="n">
        <v>46.8811</v>
      </c>
      <c r="G36" s="11" t="n">
        <v>46.8694</v>
      </c>
      <c r="H36" s="11" t="n">
        <v>53.1269</v>
      </c>
      <c r="I36" s="11" t="n">
        <v>51.9268</v>
      </c>
      <c r="J36" s="11" t="n">
        <v>52.0521</v>
      </c>
      <c r="K36" s="11" t="n">
        <v>66.32210000000001</v>
      </c>
      <c r="L36" s="11" t="n">
        <v>49.1325</v>
      </c>
      <c r="M36" s="11" t="n">
        <v>49.3944</v>
      </c>
      <c r="N36" s="11" t="n">
        <v>45.09</v>
      </c>
      <c r="O36" s="11" t="n">
        <v>45.09</v>
      </c>
      <c r="P36" s="11" t="n">
        <v>42.09</v>
      </c>
      <c r="Q36" s="11" t="n">
        <v>42.09</v>
      </c>
      <c r="R36" s="11" t="n">
        <v>42.09</v>
      </c>
      <c r="S36" s="11" t="n">
        <v>36.09</v>
      </c>
      <c r="T36" s="11" t="n">
        <v>36.09</v>
      </c>
      <c r="U36" s="11" t="n">
        <v>41.09</v>
      </c>
      <c r="V36" s="11" t="n">
        <v>49</v>
      </c>
      <c r="W36" s="11" t="n">
        <v>36.7824</v>
      </c>
      <c r="X36" s="11" t="n">
        <v>37.1136</v>
      </c>
      <c r="Y36" s="11" t="n">
        <v>48.2601</v>
      </c>
      <c r="Z36" s="11" t="n">
        <v>50.0592</v>
      </c>
      <c r="AA36" s="11" t="n">
        <v>53.1269</v>
      </c>
      <c r="AB36" s="11" t="n">
        <v>49.1325</v>
      </c>
      <c r="AC36" s="11" t="n">
        <v>42.09</v>
      </c>
      <c r="AD36" s="11" t="n">
        <v>36.09</v>
      </c>
    </row>
    <row r="37">
      <c r="A37" s="10" t="inlineStr">
        <is>
          <t>1년 내 상환 장기차입금</t>
        </is>
      </c>
      <c r="C37" s="11" t="n">
        <v>6.9913</v>
      </c>
      <c r="D37" s="11" t="n">
        <v>6.7739</v>
      </c>
      <c r="E37" s="11" t="n">
        <v>7.0541</v>
      </c>
      <c r="F37" s="11" t="n">
        <v>6.8101</v>
      </c>
      <c r="G37" s="11" t="n">
        <v>6.9895</v>
      </c>
      <c r="H37" s="11" t="n">
        <v>6.7332</v>
      </c>
      <c r="I37" s="11" t="n">
        <v>7.1278</v>
      </c>
      <c r="J37" s="11" t="n">
        <v>6.8812</v>
      </c>
      <c r="K37" s="11" t="n">
        <v>7.3491</v>
      </c>
      <c r="L37" s="11" t="n">
        <v>8.5008</v>
      </c>
      <c r="M37" s="11" t="n">
        <v>9.104100000000001</v>
      </c>
      <c r="N37" s="11" t="n">
        <v>8.7262</v>
      </c>
      <c r="O37" s="11" t="n">
        <v>9.1113</v>
      </c>
      <c r="P37" s="11" t="n">
        <v>8.808400000000001</v>
      </c>
      <c r="Q37" s="11" t="n">
        <v>9.385999999999999</v>
      </c>
      <c r="R37" s="11" t="n">
        <v>9.1241</v>
      </c>
      <c r="S37" s="11" t="n">
        <v>9.7235</v>
      </c>
      <c r="T37" s="11" t="n">
        <v>9.4511</v>
      </c>
      <c r="U37" s="11" t="n">
        <v>10.0355</v>
      </c>
      <c r="V37" s="11" t="n">
        <v>9.7631</v>
      </c>
      <c r="W37" s="11" t="n">
        <v>7.6401</v>
      </c>
      <c r="X37" s="11" t="n">
        <v>7.7746</v>
      </c>
      <c r="Y37" s="11" t="n">
        <v>10.3883</v>
      </c>
      <c r="Z37" s="11" t="n">
        <v>6.7739</v>
      </c>
      <c r="AA37" s="11" t="n">
        <v>6.7332</v>
      </c>
      <c r="AB37" s="11" t="n">
        <v>8.5008</v>
      </c>
      <c r="AC37" s="11" t="n">
        <v>8.808400000000001</v>
      </c>
      <c r="AD37" s="11" t="n">
        <v>9.4511</v>
      </c>
    </row>
    <row r="38">
      <c r="A38" s="10" t="inlineStr">
        <is>
          <t>리스부채</t>
        </is>
      </c>
      <c r="D38" s="11" t="n">
        <v>0.8653</v>
      </c>
      <c r="H38" s="11" t="n">
        <v>0.8625</v>
      </c>
      <c r="L38" s="11" t="n">
        <v>2.3092</v>
      </c>
      <c r="P38" s="11" t="n">
        <v>0.7909</v>
      </c>
      <c r="T38" s="11" t="n">
        <v>1.4357</v>
      </c>
      <c r="W38" s="11" t="n">
        <v>0.0948</v>
      </c>
      <c r="X38" s="11" t="n">
        <v>0.6615</v>
      </c>
      <c r="Y38" s="11" t="n">
        <v>0.6544</v>
      </c>
      <c r="Z38" s="11" t="n">
        <v>0.8653</v>
      </c>
      <c r="AA38" s="11" t="n">
        <v>0.8625</v>
      </c>
      <c r="AB38" s="11" t="n">
        <v>2.3092</v>
      </c>
      <c r="AC38" s="11" t="n">
        <v>0.7909</v>
      </c>
      <c r="AD38" s="11" t="n">
        <v>1.4357</v>
      </c>
    </row>
    <row r="39">
      <c r="A39" s="10" t="inlineStr">
        <is>
          <t>미지급법인세</t>
        </is>
      </c>
      <c r="C39" s="11" t="n">
        <v>4.8692</v>
      </c>
      <c r="D39" s="11" t="n">
        <v>5.8864</v>
      </c>
      <c r="E39" s="11" t="n">
        <v>2.9684</v>
      </c>
      <c r="F39" s="11" t="n">
        <v>5.3165</v>
      </c>
      <c r="G39" s="11" t="n">
        <v>3.1045</v>
      </c>
      <c r="H39" s="11" t="n">
        <v>3.4924</v>
      </c>
      <c r="I39" s="11" t="n">
        <v>2.1033</v>
      </c>
      <c r="J39" s="11" t="n">
        <v>4.0066</v>
      </c>
      <c r="K39" s="11" t="n">
        <v>2.0134</v>
      </c>
      <c r="L39" s="11" t="n">
        <v>2.8385</v>
      </c>
      <c r="M39" s="11" t="n">
        <v>2.034</v>
      </c>
      <c r="N39" s="11" t="n">
        <v>4.7628</v>
      </c>
      <c r="O39" s="11" t="n">
        <v>4.2301</v>
      </c>
      <c r="P39" s="11" t="n">
        <v>4.5347</v>
      </c>
      <c r="Q39" s="11" t="n">
        <v>3.0778</v>
      </c>
      <c r="R39" s="11" t="n">
        <v>5.8018</v>
      </c>
      <c r="S39" s="11" t="n">
        <v>4.3476</v>
      </c>
      <c r="T39" s="11" t="n">
        <v>4.581</v>
      </c>
      <c r="U39" s="11" t="n">
        <v>2.8596</v>
      </c>
      <c r="V39" s="11" t="n">
        <v>8.228</v>
      </c>
      <c r="W39" s="11" t="n">
        <v>3.1912</v>
      </c>
      <c r="X39" s="11" t="n">
        <v>2.0798</v>
      </c>
      <c r="Y39" s="11" t="n">
        <v>2.5075</v>
      </c>
      <c r="Z39" s="11" t="n">
        <v>5.8864</v>
      </c>
      <c r="AA39" s="11" t="n">
        <v>3.4924</v>
      </c>
      <c r="AB39" s="11" t="n">
        <v>2.8385</v>
      </c>
      <c r="AC39" s="11" t="n">
        <v>4.5347</v>
      </c>
      <c r="AD39" s="11" t="n">
        <v>4.581</v>
      </c>
    </row>
    <row r="40">
      <c r="A40" s="10" t="inlineStr">
        <is>
          <t>상여충당금</t>
        </is>
      </c>
      <c r="C40" s="11" t="n">
        <v>3.7887</v>
      </c>
      <c r="D40" s="11" t="n">
        <v>2.2198</v>
      </c>
      <c r="E40" s="11" t="n">
        <v>3.497</v>
      </c>
      <c r="F40" s="11" t="n">
        <v>2.9518</v>
      </c>
      <c r="G40" s="11" t="n">
        <v>3.7812</v>
      </c>
      <c r="H40" s="11" t="n">
        <v>2.0433</v>
      </c>
      <c r="I40" s="11" t="n">
        <v>3.1869</v>
      </c>
      <c r="J40" s="11" t="n">
        <v>2.6334</v>
      </c>
      <c r="K40" s="11" t="n">
        <v>3.6673</v>
      </c>
      <c r="L40" s="11" t="n">
        <v>2.4415</v>
      </c>
      <c r="M40" s="11" t="n">
        <v>3.872</v>
      </c>
      <c r="N40" s="11" t="n">
        <v>3.1084</v>
      </c>
      <c r="O40" s="11" t="n">
        <v>4.1769</v>
      </c>
      <c r="P40" s="11" t="n">
        <v>2.5202</v>
      </c>
      <c r="Q40" s="11" t="n">
        <v>4.1751</v>
      </c>
      <c r="R40" s="11" t="n">
        <v>3.3349</v>
      </c>
      <c r="S40" s="11" t="n">
        <v>4.5303</v>
      </c>
      <c r="T40" s="11" t="n">
        <v>2.7441</v>
      </c>
      <c r="U40" s="11" t="n">
        <v>4.4504</v>
      </c>
      <c r="V40" s="11" t="n">
        <v>3.4735</v>
      </c>
      <c r="W40" s="11" t="n">
        <v>2.0142</v>
      </c>
      <c r="X40" s="11" t="n">
        <v>2.146</v>
      </c>
      <c r="Y40" s="11" t="n">
        <v>2.2297</v>
      </c>
      <c r="Z40" s="11" t="n">
        <v>2.2198</v>
      </c>
      <c r="AA40" s="11" t="n">
        <v>2.0433</v>
      </c>
      <c r="AB40" s="11" t="n">
        <v>2.4415</v>
      </c>
      <c r="AC40" s="11" t="n">
        <v>2.5202</v>
      </c>
      <c r="AD40" s="11" t="n">
        <v>2.7441</v>
      </c>
    </row>
    <row r="41">
      <c r="A41" s="10" t="inlineStr">
        <is>
          <t>임원 상여충당금</t>
        </is>
      </c>
      <c r="P41" s="11" t="n">
        <v>0</v>
      </c>
      <c r="Q41" s="11" t="n">
        <v>0.0312</v>
      </c>
      <c r="R41" s="11" t="n">
        <v>0.0625</v>
      </c>
      <c r="S41" s="11" t="n">
        <v>0.09370000000000001</v>
      </c>
      <c r="T41" s="11" t="n">
        <v>0</v>
      </c>
      <c r="U41" s="11" t="n">
        <v>0.0312</v>
      </c>
      <c r="V41" s="11" t="n">
        <v>0.06</v>
      </c>
      <c r="AC41" s="11" t="n">
        <v>0</v>
      </c>
      <c r="AD41" s="11" t="n">
        <v>0</v>
      </c>
    </row>
    <row r="42">
      <c r="A42" s="10" t="inlineStr">
        <is>
          <t>주식보상 충당금</t>
        </is>
      </c>
      <c r="P42" s="11" t="n">
        <v>0</v>
      </c>
      <c r="R42" s="11" t="n">
        <v>0.0479</v>
      </c>
      <c r="S42" s="11" t="n">
        <v>0.09569999999999999</v>
      </c>
      <c r="T42" s="11" t="n">
        <v>0.158</v>
      </c>
      <c r="U42" s="11" t="n">
        <v>0.2224</v>
      </c>
      <c r="V42" s="11" t="n">
        <v>0.0421</v>
      </c>
      <c r="AC42" s="11" t="n">
        <v>0</v>
      </c>
      <c r="AD42" s="11" t="n">
        <v>0.158</v>
      </c>
    </row>
    <row r="43">
      <c r="A43" s="10" t="inlineStr">
        <is>
          <t>관계회사 정리손실 충당금</t>
        </is>
      </c>
      <c r="H43" s="11" t="n">
        <v>0</v>
      </c>
      <c r="L43" s="11" t="n">
        <v>1.8736</v>
      </c>
      <c r="M43" s="11" t="n">
        <v>1.8736</v>
      </c>
      <c r="N43" s="11" t="n">
        <v>2.0558</v>
      </c>
      <c r="O43" s="11" t="n">
        <v>2.0558</v>
      </c>
      <c r="P43" s="11" t="n">
        <v>2.0558</v>
      </c>
      <c r="Q43" s="11" t="n">
        <v>2.0558</v>
      </c>
      <c r="R43" s="11" t="n">
        <v>2.0558</v>
      </c>
      <c r="S43" s="11" t="n">
        <v>0</v>
      </c>
      <c r="T43" s="11" t="n">
        <v>0</v>
      </c>
      <c r="AA43" s="11" t="n">
        <v>0</v>
      </c>
      <c r="AB43" s="11" t="n">
        <v>1.8736</v>
      </c>
      <c r="AC43" s="11" t="n">
        <v>2.0558</v>
      </c>
      <c r="AD43" s="11" t="n">
        <v>0</v>
      </c>
    </row>
    <row r="44">
      <c r="A44" s="10" t="inlineStr">
        <is>
          <t>기타</t>
        </is>
      </c>
      <c r="C44" s="11" t="n">
        <v>13.3304</v>
      </c>
      <c r="D44" s="11" t="n">
        <v>11.1354</v>
      </c>
      <c r="E44" s="11" t="n">
        <v>13.5288</v>
      </c>
      <c r="F44" s="11" t="n">
        <v>10.6239</v>
      </c>
      <c r="G44" s="11" t="n">
        <v>9.5343</v>
      </c>
      <c r="H44" s="11" t="n">
        <v>9.0448</v>
      </c>
      <c r="I44" s="11" t="n">
        <v>12.477</v>
      </c>
      <c r="J44" s="11" t="n">
        <v>11.2186</v>
      </c>
      <c r="K44" s="11" t="n">
        <v>12.3045</v>
      </c>
      <c r="L44" s="11" t="n">
        <v>10.6953</v>
      </c>
      <c r="M44" s="11" t="n">
        <v>12.964</v>
      </c>
      <c r="N44" s="11" t="n">
        <v>12.4159</v>
      </c>
      <c r="O44" s="11" t="n">
        <v>10.7789</v>
      </c>
      <c r="P44" s="11" t="n">
        <v>12.6037</v>
      </c>
      <c r="Q44" s="11" t="n">
        <v>13.2331</v>
      </c>
      <c r="R44" s="11" t="n">
        <v>12.5138</v>
      </c>
      <c r="S44" s="11" t="n">
        <v>12.8218</v>
      </c>
      <c r="T44" s="11" t="n">
        <v>15.3404</v>
      </c>
      <c r="U44" s="11" t="n">
        <v>13.2693</v>
      </c>
      <c r="V44" s="11" t="n">
        <v>12.6289</v>
      </c>
      <c r="W44" s="11" t="n">
        <v>6.9451</v>
      </c>
      <c r="X44" s="11" t="n">
        <v>6.723</v>
      </c>
      <c r="Y44" s="11" t="n">
        <v>12.9119</v>
      </c>
      <c r="Z44" s="11" t="n">
        <v>11.1354</v>
      </c>
      <c r="AA44" s="11" t="n">
        <v>9.0448</v>
      </c>
      <c r="AB44" s="11" t="n">
        <v>10.6953</v>
      </c>
      <c r="AC44" s="11" t="n">
        <v>12.6037</v>
      </c>
      <c r="AD44" s="11" t="n">
        <v>15.3404</v>
      </c>
    </row>
    <row r="45">
      <c r="A45" s="10" t="inlineStr">
        <is>
          <t>유동부채 합계</t>
        </is>
      </c>
      <c r="C45" s="11" t="n">
        <v>160.051</v>
      </c>
      <c r="D45" s="11" t="n">
        <v>156.7485</v>
      </c>
      <c r="E45" s="11" t="n">
        <v>161.9918</v>
      </c>
      <c r="F45" s="11" t="n">
        <v>159.3236</v>
      </c>
      <c r="G45" s="11" t="n">
        <v>159.712</v>
      </c>
      <c r="H45" s="11" t="n">
        <v>156.1657</v>
      </c>
      <c r="I45" s="11" t="n">
        <v>156.424</v>
      </c>
      <c r="J45" s="11" t="n">
        <v>157.8345</v>
      </c>
      <c r="K45" s="11" t="n">
        <v>176.2725</v>
      </c>
      <c r="L45" s="11" t="n">
        <v>168.5499</v>
      </c>
      <c r="M45" s="11" t="n">
        <v>171.3072</v>
      </c>
      <c r="N45" s="11" t="n">
        <v>171.1993</v>
      </c>
      <c r="O45" s="11" t="n">
        <v>175.8799</v>
      </c>
      <c r="P45" s="11" t="n">
        <v>162.2073</v>
      </c>
      <c r="Q45" s="11" t="n">
        <v>161.5759</v>
      </c>
      <c r="R45" s="11" t="n">
        <v>161.5594</v>
      </c>
      <c r="S45" s="11" t="n">
        <v>155.1732</v>
      </c>
      <c r="T45" s="11" t="n">
        <v>149.3434</v>
      </c>
      <c r="U45" s="11" t="n">
        <v>149.1335</v>
      </c>
      <c r="V45" s="11" t="n">
        <v>165.9341</v>
      </c>
      <c r="W45" s="11" t="n">
        <v>122.0615</v>
      </c>
      <c r="X45" s="11" t="n">
        <v>121.4691</v>
      </c>
      <c r="Y45" s="11" t="n">
        <v>149.759</v>
      </c>
      <c r="Z45" s="11" t="n">
        <v>156.7485</v>
      </c>
      <c r="AA45" s="11" t="n">
        <v>156.1657</v>
      </c>
      <c r="AB45" s="11" t="n">
        <v>168.5499</v>
      </c>
      <c r="AC45" s="11" t="n">
        <v>162.2073</v>
      </c>
      <c r="AD45" s="11" t="n">
        <v>149.3434</v>
      </c>
    </row>
    <row r="46">
      <c r="A46" s="10" t="inlineStr">
        <is>
          <t>장기차입금</t>
        </is>
      </c>
      <c r="C46" s="11" t="n">
        <v>20.0528</v>
      </c>
      <c r="D46" s="11" t="n">
        <v>18.4518</v>
      </c>
      <c r="E46" s="11" t="n">
        <v>20.3066</v>
      </c>
      <c r="F46" s="11" t="n">
        <v>18.6785</v>
      </c>
      <c r="G46" s="11" t="n">
        <v>19.6651</v>
      </c>
      <c r="H46" s="11" t="n">
        <v>18.0246</v>
      </c>
      <c r="I46" s="11" t="n">
        <v>20.286</v>
      </c>
      <c r="J46" s="11" t="n">
        <v>18.6333</v>
      </c>
      <c r="K46" s="11" t="n">
        <v>21.2701</v>
      </c>
      <c r="L46" s="11" t="n">
        <v>27.1582</v>
      </c>
      <c r="M46" s="11" t="n">
        <v>30.2615</v>
      </c>
      <c r="N46" s="11" t="n">
        <v>28.263</v>
      </c>
      <c r="O46" s="11" t="n">
        <v>31.3232</v>
      </c>
      <c r="P46" s="11" t="n">
        <v>29.2068</v>
      </c>
      <c r="Q46" s="11" t="n">
        <v>32.183</v>
      </c>
      <c r="R46" s="11" t="n">
        <v>29.4948</v>
      </c>
      <c r="S46" s="11" t="n">
        <v>32.3848</v>
      </c>
      <c r="T46" s="11" t="n">
        <v>30.1121</v>
      </c>
      <c r="U46" s="11" t="n">
        <v>32.9334</v>
      </c>
      <c r="V46" s="11" t="n">
        <v>30.5893</v>
      </c>
      <c r="W46" s="11" t="n">
        <v>23.4941</v>
      </c>
      <c r="X46" s="11" t="n">
        <v>22.0032</v>
      </c>
      <c r="Y46" s="11" t="n">
        <v>18.1836</v>
      </c>
      <c r="Z46" s="11" t="n">
        <v>18.4518</v>
      </c>
      <c r="AA46" s="11" t="n">
        <v>18.0246</v>
      </c>
      <c r="AB46" s="11" t="n">
        <v>27.1582</v>
      </c>
      <c r="AC46" s="11" t="n">
        <v>29.2068</v>
      </c>
      <c r="AD46" s="11" t="n">
        <v>30.1121</v>
      </c>
    </row>
    <row r="47">
      <c r="A47" s="10" t="inlineStr">
        <is>
          <t>리스부채</t>
        </is>
      </c>
      <c r="D47" s="11" t="n">
        <v>3.7449</v>
      </c>
      <c r="H47" s="11" t="n">
        <v>3.1545</v>
      </c>
      <c r="L47" s="11" t="n">
        <v>0.9887</v>
      </c>
      <c r="P47" s="11" t="n">
        <v>1.8573</v>
      </c>
      <c r="T47" s="11" t="n">
        <v>0.3981</v>
      </c>
      <c r="W47" s="11" t="n">
        <v>0.1805</v>
      </c>
      <c r="X47" s="11" t="n">
        <v>3.9763</v>
      </c>
      <c r="Y47" s="11" t="n">
        <v>3.4156</v>
      </c>
      <c r="Z47" s="11" t="n">
        <v>3.7449</v>
      </c>
      <c r="AA47" s="11" t="n">
        <v>3.1545</v>
      </c>
      <c r="AB47" s="11" t="n">
        <v>0.9887</v>
      </c>
      <c r="AC47" s="11" t="n">
        <v>1.8573</v>
      </c>
      <c r="AD47" s="11" t="n">
        <v>0.3981</v>
      </c>
    </row>
    <row r="48">
      <c r="A48" s="10" t="inlineStr">
        <is>
          <t>이연법인세부채</t>
        </is>
      </c>
      <c r="W48" s="11" t="n">
        <v>0.2065</v>
      </c>
      <c r="X48" s="11" t="n">
        <v>0.271</v>
      </c>
    </row>
    <row r="49">
      <c r="A49" s="10" t="inlineStr">
        <is>
          <t>이연법인세부채</t>
        </is>
      </c>
      <c r="D49" s="11" t="n">
        <v>0.4286</v>
      </c>
      <c r="H49" s="11" t="n">
        <v>0.4768</v>
      </c>
      <c r="L49" s="11" t="n">
        <v>0.5522</v>
      </c>
      <c r="P49" s="11" t="n">
        <v>0.7867</v>
      </c>
      <c r="T49" s="11" t="n">
        <v>1.8785</v>
      </c>
      <c r="X49" s="11" t="n">
        <v>0.271</v>
      </c>
      <c r="Y49" s="11" t="n">
        <v>0.3177</v>
      </c>
      <c r="Z49" s="11" t="n">
        <v>0.4286</v>
      </c>
      <c r="AA49" s="11" t="n">
        <v>0.4768</v>
      </c>
      <c r="AB49" s="11" t="n">
        <v>0.5522</v>
      </c>
      <c r="AC49" s="11" t="n">
        <v>0.7867</v>
      </c>
      <c r="AD49" s="11" t="n">
        <v>1.8785</v>
      </c>
    </row>
    <row r="50">
      <c r="A50" s="10" t="inlineStr">
        <is>
          <t>주식보상 충당금</t>
        </is>
      </c>
      <c r="P50" s="11" t="n">
        <v>0</v>
      </c>
      <c r="R50" s="11" t="n">
        <v>0.0205</v>
      </c>
      <c r="S50" s="11" t="n">
        <v>0.041</v>
      </c>
      <c r="T50" s="11" t="n">
        <v>0.0677</v>
      </c>
      <c r="U50" s="11" t="n">
        <v>0.0786</v>
      </c>
      <c r="V50" s="11" t="n">
        <v>0.09660000000000001</v>
      </c>
      <c r="AC50" s="11" t="n">
        <v>0</v>
      </c>
      <c r="AD50" s="11" t="n">
        <v>0.0677</v>
      </c>
    </row>
    <row r="51">
      <c r="A51" s="10" t="inlineStr">
        <is>
          <t>퇴직급여부채</t>
        </is>
      </c>
      <c r="C51" s="11" t="n">
        <v>2.1053</v>
      </c>
      <c r="D51" s="11" t="n">
        <v>1.7115</v>
      </c>
      <c r="E51" s="11" t="n">
        <v>1.6795</v>
      </c>
      <c r="F51" s="11" t="n">
        <v>1.6747</v>
      </c>
      <c r="G51" s="11" t="n">
        <v>1.6475</v>
      </c>
      <c r="H51" s="11" t="n">
        <v>1.8668</v>
      </c>
      <c r="I51" s="11" t="n">
        <v>1.7978</v>
      </c>
      <c r="J51" s="11" t="n">
        <v>1.6764</v>
      </c>
      <c r="K51" s="11" t="n">
        <v>1.5171</v>
      </c>
      <c r="L51" s="11" t="n">
        <v>1.0739</v>
      </c>
      <c r="M51" s="11" t="n">
        <v>1.0597</v>
      </c>
      <c r="N51" s="11" t="n">
        <v>1.0853</v>
      </c>
      <c r="O51" s="11" t="n">
        <v>1.1001</v>
      </c>
      <c r="P51" s="11" t="n">
        <v>1.0678</v>
      </c>
      <c r="Q51" s="11" t="n">
        <v>1.0882</v>
      </c>
      <c r="R51" s="11" t="n">
        <v>1.1237</v>
      </c>
      <c r="S51" s="11" t="n">
        <v>0.9695</v>
      </c>
      <c r="T51" s="11" t="n">
        <v>0.9371</v>
      </c>
      <c r="U51" s="11" t="n">
        <v>0.9537</v>
      </c>
      <c r="V51" s="11" t="n">
        <v>0.9912</v>
      </c>
      <c r="W51" s="11" t="n">
        <v>1.4927</v>
      </c>
      <c r="X51" s="11" t="n">
        <v>1.7661</v>
      </c>
      <c r="Y51" s="11" t="n">
        <v>2.3017</v>
      </c>
      <c r="Z51" s="11" t="n">
        <v>1.7115</v>
      </c>
      <c r="AA51" s="11" t="n">
        <v>1.8668</v>
      </c>
      <c r="AB51" s="11" t="n">
        <v>1.0739</v>
      </c>
      <c r="AC51" s="11" t="n">
        <v>1.0678</v>
      </c>
      <c r="AD51" s="11" t="n">
        <v>0.9371</v>
      </c>
    </row>
    <row r="52">
      <c r="A52" s="10" t="inlineStr">
        <is>
          <t>기타</t>
        </is>
      </c>
      <c r="C52" s="11" t="n">
        <v>4.7394</v>
      </c>
      <c r="D52" s="11" t="n">
        <v>1.4912</v>
      </c>
      <c r="E52" s="11" t="n">
        <v>5.6565</v>
      </c>
      <c r="F52" s="11" t="n">
        <v>5.5191</v>
      </c>
      <c r="G52" s="11" t="n">
        <v>5.3287</v>
      </c>
      <c r="H52" s="11" t="n">
        <v>1.4084</v>
      </c>
      <c r="I52" s="11" t="n">
        <v>3.0628</v>
      </c>
      <c r="J52" s="11" t="n">
        <v>3.0178</v>
      </c>
      <c r="K52" s="11" t="n">
        <v>3.0803</v>
      </c>
      <c r="L52" s="11" t="n">
        <v>1.549</v>
      </c>
      <c r="M52" s="11" t="n">
        <v>3.9161</v>
      </c>
      <c r="N52" s="11" t="n">
        <v>4.1142</v>
      </c>
      <c r="O52" s="11" t="n">
        <v>4.1463</v>
      </c>
      <c r="P52" s="11" t="n">
        <v>1.4841</v>
      </c>
      <c r="Q52" s="11" t="n">
        <v>2.818</v>
      </c>
      <c r="R52" s="11" t="n">
        <v>2.6035</v>
      </c>
      <c r="S52" s="11" t="n">
        <v>2.579</v>
      </c>
      <c r="T52" s="11" t="n">
        <v>3.8357</v>
      </c>
      <c r="U52" s="11" t="n">
        <v>2.2026</v>
      </c>
      <c r="V52" s="11" t="n">
        <v>3.6516</v>
      </c>
      <c r="W52" s="11" t="n">
        <v>2.0103</v>
      </c>
      <c r="X52" s="11" t="n">
        <v>1.9959</v>
      </c>
      <c r="Y52" s="11" t="n">
        <v>1.6494</v>
      </c>
      <c r="Z52" s="11" t="n">
        <v>1.4912</v>
      </c>
      <c r="AA52" s="11" t="n">
        <v>1.4084</v>
      </c>
      <c r="AB52" s="11" t="n">
        <v>1.549</v>
      </c>
      <c r="AC52" s="11" t="n">
        <v>1.4841</v>
      </c>
      <c r="AD52" s="11" t="n">
        <v>3.8357</v>
      </c>
    </row>
    <row r="53">
      <c r="A53" s="10" t="inlineStr">
        <is>
          <t>비유동부채 합계</t>
        </is>
      </c>
      <c r="C53" s="11" t="n">
        <v>26.8975</v>
      </c>
      <c r="D53" s="11" t="n">
        <v>25.828</v>
      </c>
      <c r="E53" s="11" t="n">
        <v>27.6426</v>
      </c>
      <c r="F53" s="11" t="n">
        <v>25.8723</v>
      </c>
      <c r="G53" s="11" t="n">
        <v>26.6413</v>
      </c>
      <c r="H53" s="11" t="n">
        <v>24.9311</v>
      </c>
      <c r="I53" s="11" t="n">
        <v>25.1466</v>
      </c>
      <c r="J53" s="11" t="n">
        <v>23.3275</v>
      </c>
      <c r="K53" s="11" t="n">
        <v>25.8675</v>
      </c>
      <c r="L53" s="11" t="n">
        <v>31.322</v>
      </c>
      <c r="M53" s="11" t="n">
        <v>35.2373</v>
      </c>
      <c r="N53" s="11" t="n">
        <v>33.4624</v>
      </c>
      <c r="O53" s="11" t="n">
        <v>36.5697</v>
      </c>
      <c r="P53" s="11" t="n">
        <v>34.4027</v>
      </c>
      <c r="Q53" s="11" t="n">
        <v>36.0892</v>
      </c>
      <c r="R53" s="11" t="n">
        <v>33.2425</v>
      </c>
      <c r="S53" s="11" t="n">
        <v>35.9744</v>
      </c>
      <c r="T53" s="11" t="n">
        <v>34.9526</v>
      </c>
      <c r="U53" s="11" t="n">
        <v>36.1682</v>
      </c>
      <c r="V53" s="11" t="n">
        <v>35.3287</v>
      </c>
      <c r="W53" s="11" t="n">
        <v>27.3843</v>
      </c>
      <c r="X53" s="11" t="n">
        <v>30.0125</v>
      </c>
      <c r="Y53" s="11" t="n">
        <v>25.8682</v>
      </c>
      <c r="Z53" s="11" t="n">
        <v>25.828</v>
      </c>
      <c r="AA53" s="11" t="n">
        <v>24.9311</v>
      </c>
      <c r="AB53" s="11" t="n">
        <v>31.322</v>
      </c>
      <c r="AC53" s="11" t="n">
        <v>34.4027</v>
      </c>
      <c r="AD53" s="11" t="n">
        <v>34.9526</v>
      </c>
    </row>
    <row r="54">
      <c r="A54" s="10" t="inlineStr">
        <is>
          <t>부채 합계</t>
        </is>
      </c>
      <c r="C54" s="11" t="n">
        <v>186.9485</v>
      </c>
      <c r="D54" s="11" t="n">
        <v>182.5765</v>
      </c>
      <c r="E54" s="11" t="n">
        <v>189.6344</v>
      </c>
      <c r="F54" s="11" t="n">
        <v>185.1959</v>
      </c>
      <c r="G54" s="11" t="n">
        <v>186.3534</v>
      </c>
      <c r="H54" s="11" t="n">
        <v>181.0967</v>
      </c>
      <c r="I54" s="11" t="n">
        <v>181.5707</v>
      </c>
      <c r="J54" s="11" t="n">
        <v>181.162</v>
      </c>
      <c r="K54" s="11" t="n">
        <v>202.1401</v>
      </c>
      <c r="L54" s="11" t="n">
        <v>199.8719</v>
      </c>
      <c r="M54" s="11" t="n">
        <v>206.5445</v>
      </c>
      <c r="N54" s="11" t="n">
        <v>204.6617</v>
      </c>
      <c r="O54" s="11" t="n">
        <v>212.4496</v>
      </c>
      <c r="P54" s="11" t="n">
        <v>196.61</v>
      </c>
      <c r="Q54" s="11" t="n">
        <v>197.6651</v>
      </c>
      <c r="R54" s="11" t="n">
        <v>194.8019</v>
      </c>
      <c r="S54" s="11" t="n">
        <v>191.1476</v>
      </c>
      <c r="T54" s="11" t="n">
        <v>184.2961</v>
      </c>
      <c r="U54" s="11" t="n">
        <v>185.3018</v>
      </c>
      <c r="V54" s="11" t="n">
        <v>201.2628</v>
      </c>
      <c r="W54" s="11" t="n">
        <v>149.4458</v>
      </c>
      <c r="X54" s="11" t="n">
        <v>151.4816</v>
      </c>
      <c r="Y54" s="11" t="n">
        <v>175.6272</v>
      </c>
      <c r="Z54" s="11" t="n">
        <v>182.5765</v>
      </c>
      <c r="AA54" s="11" t="n">
        <v>181.0967</v>
      </c>
      <c r="AB54" s="11" t="n">
        <v>199.8719</v>
      </c>
      <c r="AC54" s="11" t="n">
        <v>196.61</v>
      </c>
      <c r="AD54" s="11" t="n">
        <v>184.2961</v>
      </c>
    </row>
    <row r="55">
      <c r="A55" s="10" t="inlineStr">
        <is>
          <t>자본금</t>
        </is>
      </c>
      <c r="C55" s="11" t="n">
        <v>10.5747</v>
      </c>
      <c r="D55" s="11" t="n">
        <v>10.5747</v>
      </c>
      <c r="E55" s="11" t="n">
        <v>10.5747</v>
      </c>
      <c r="F55" s="11" t="n">
        <v>10.5747</v>
      </c>
      <c r="G55" s="11" t="n">
        <v>10.5747</v>
      </c>
      <c r="H55" s="11" t="n">
        <v>10.5747</v>
      </c>
      <c r="I55" s="11" t="n">
        <v>10.5747</v>
      </c>
      <c r="J55" s="11" t="n">
        <v>10.5747</v>
      </c>
      <c r="K55" s="11" t="n">
        <v>10.5747</v>
      </c>
      <c r="L55" s="11" t="n">
        <v>10.5747</v>
      </c>
      <c r="M55" s="11" t="n">
        <v>10.5747</v>
      </c>
      <c r="N55" s="11" t="n">
        <v>10.5747</v>
      </c>
      <c r="O55" s="11" t="n">
        <v>10.5747</v>
      </c>
      <c r="P55" s="11" t="n">
        <v>10.5747</v>
      </c>
      <c r="Q55" s="11" t="n">
        <v>10.5747</v>
      </c>
      <c r="R55" s="11" t="n">
        <v>10.5747</v>
      </c>
      <c r="S55" s="11" t="n">
        <v>10.5747</v>
      </c>
      <c r="T55" s="11" t="n">
        <v>10.5747</v>
      </c>
      <c r="U55" s="11" t="n">
        <v>10.5747</v>
      </c>
      <c r="V55" s="11" t="n">
        <v>10.5747</v>
      </c>
      <c r="W55" s="11" t="n">
        <v>10.5747</v>
      </c>
      <c r="X55" s="11" t="n">
        <v>10.5747</v>
      </c>
      <c r="Y55" s="11" t="n">
        <v>10.5747</v>
      </c>
      <c r="Z55" s="11" t="n">
        <v>10.5747</v>
      </c>
      <c r="AA55" s="11" t="n">
        <v>10.5747</v>
      </c>
      <c r="AB55" s="11" t="n">
        <v>10.5747</v>
      </c>
      <c r="AC55" s="11" t="n">
        <v>10.5747</v>
      </c>
      <c r="AD55" s="11" t="n">
        <v>10.5747</v>
      </c>
    </row>
    <row r="56">
      <c r="A56" s="10" t="inlineStr">
        <is>
          <t>자본잉여금</t>
        </is>
      </c>
      <c r="C56" s="11" t="n">
        <v>11.5841</v>
      </c>
      <c r="D56" s="11" t="n">
        <v>11.664</v>
      </c>
      <c r="E56" s="11" t="n">
        <v>12.4668</v>
      </c>
      <c r="F56" s="11" t="n">
        <v>12.4668</v>
      </c>
      <c r="G56" s="11" t="n">
        <v>12.9635</v>
      </c>
      <c r="H56" s="11" t="n">
        <v>13.0818</v>
      </c>
      <c r="I56" s="11" t="n">
        <v>13.0818</v>
      </c>
      <c r="J56" s="11" t="n">
        <v>13.2933</v>
      </c>
      <c r="K56" s="11" t="n">
        <v>13.2933</v>
      </c>
      <c r="L56" s="11" t="n">
        <v>26.2993</v>
      </c>
      <c r="M56" s="11" t="n">
        <v>26.2993</v>
      </c>
      <c r="N56" s="11" t="n">
        <v>26.2993</v>
      </c>
      <c r="O56" s="11" t="n">
        <v>26.2993</v>
      </c>
      <c r="P56" s="11" t="n">
        <v>26.2993</v>
      </c>
      <c r="Q56" s="11" t="n">
        <v>26.2993</v>
      </c>
      <c r="R56" s="11" t="n">
        <v>26.2993</v>
      </c>
      <c r="S56" s="11" t="n">
        <v>26.2993</v>
      </c>
      <c r="T56" s="11" t="n">
        <v>26.2993</v>
      </c>
      <c r="U56" s="11" t="n">
        <v>26.2993</v>
      </c>
      <c r="V56" s="11" t="n">
        <v>26.2993</v>
      </c>
      <c r="W56" s="11" t="n">
        <v>11.5841</v>
      </c>
      <c r="X56" s="11" t="n">
        <v>11.5841</v>
      </c>
      <c r="Y56" s="11" t="n">
        <v>11.5841</v>
      </c>
      <c r="Z56" s="11" t="n">
        <v>11.664</v>
      </c>
      <c r="AA56" s="11" t="n">
        <v>13.0818</v>
      </c>
      <c r="AB56" s="11" t="n">
        <v>26.2993</v>
      </c>
      <c r="AC56" s="11" t="n">
        <v>26.2993</v>
      </c>
      <c r="AD56" s="11" t="n">
        <v>26.2993</v>
      </c>
    </row>
    <row r="57">
      <c r="A57" s="10" t="inlineStr">
        <is>
          <t>이익잉여금</t>
        </is>
      </c>
      <c r="C57" s="11" t="n">
        <v>111.8693</v>
      </c>
      <c r="D57" s="11" t="n">
        <v>113.5693</v>
      </c>
      <c r="E57" s="11" t="n">
        <v>115.7712</v>
      </c>
      <c r="F57" s="11" t="n">
        <v>120.2883</v>
      </c>
      <c r="G57" s="11" t="n">
        <v>121.4379</v>
      </c>
      <c r="H57" s="11" t="n">
        <v>121.4508</v>
      </c>
      <c r="I57" s="11" t="n">
        <v>121.6396</v>
      </c>
      <c r="J57" s="11" t="n">
        <v>125.7723</v>
      </c>
      <c r="K57" s="11" t="n">
        <v>124.832</v>
      </c>
      <c r="L57" s="11" t="n">
        <v>126.96</v>
      </c>
      <c r="M57" s="11" t="n">
        <v>129.5116</v>
      </c>
      <c r="N57" s="11" t="n">
        <v>136.6717</v>
      </c>
      <c r="O57" s="11" t="n">
        <v>137.5923</v>
      </c>
      <c r="P57" s="11" t="n">
        <v>141.4424</v>
      </c>
      <c r="Q57" s="11" t="n">
        <v>143.9536</v>
      </c>
      <c r="R57" s="11" t="n">
        <v>149.0097</v>
      </c>
      <c r="S57" s="11" t="n">
        <v>152.0527</v>
      </c>
      <c r="T57" s="11" t="n">
        <v>157.1363</v>
      </c>
      <c r="U57" s="11" t="n">
        <v>159.2585</v>
      </c>
      <c r="V57" s="11" t="n">
        <v>170.2472</v>
      </c>
      <c r="W57" s="11" t="n">
        <v>88.7855</v>
      </c>
      <c r="X57" s="11" t="n">
        <v>95.02460000000001</v>
      </c>
      <c r="Y57" s="11" t="n">
        <v>103.6042</v>
      </c>
      <c r="Z57" s="11" t="n">
        <v>113.5693</v>
      </c>
      <c r="AA57" s="11" t="n">
        <v>121.4508</v>
      </c>
      <c r="AB57" s="11" t="n">
        <v>126.96</v>
      </c>
      <c r="AC57" s="11" t="n">
        <v>141.4424</v>
      </c>
      <c r="AD57" s="11" t="n">
        <v>157.1363</v>
      </c>
    </row>
    <row r="58">
      <c r="A58" s="10" t="inlineStr">
        <is>
          <t>자기주식</t>
        </is>
      </c>
      <c r="C58" s="11" t="n">
        <v>-0.011</v>
      </c>
      <c r="D58" s="11" t="n">
        <v>-0.011</v>
      </c>
      <c r="E58" s="11" t="n">
        <v>-0.011</v>
      </c>
      <c r="F58" s="11" t="n">
        <v>-0.011</v>
      </c>
      <c r="G58" s="11" t="n">
        <v>-0.011</v>
      </c>
      <c r="H58" s="11" t="n">
        <v>-0.011</v>
      </c>
      <c r="I58" s="11" t="n">
        <v>-0.011</v>
      </c>
      <c r="J58" s="11" t="n">
        <v>-0.011</v>
      </c>
      <c r="K58" s="11" t="n">
        <v>-0.011</v>
      </c>
      <c r="L58" s="11" t="n">
        <v>-0.0145</v>
      </c>
      <c r="M58" s="11" t="n">
        <v>-0.0275</v>
      </c>
      <c r="N58" s="11" t="n">
        <v>-0.031</v>
      </c>
      <c r="O58" s="11" t="n">
        <v>-0.0341</v>
      </c>
      <c r="P58" s="11" t="n">
        <v>-0.0347</v>
      </c>
      <c r="Q58" s="11" t="n">
        <v>-0.0349</v>
      </c>
      <c r="R58" s="11" t="n">
        <v>-1.4309</v>
      </c>
      <c r="S58" s="11" t="n">
        <v>-1.4309</v>
      </c>
      <c r="T58" s="11" t="n">
        <v>-1.4309</v>
      </c>
      <c r="U58" s="11" t="n">
        <v>-1.4309</v>
      </c>
      <c r="V58" s="11" t="n">
        <v>-1.2218</v>
      </c>
      <c r="W58" s="11" t="n">
        <v>-0.0097</v>
      </c>
      <c r="X58" s="11" t="n">
        <v>-0.0104</v>
      </c>
      <c r="Y58" s="11" t="n">
        <v>-0.011</v>
      </c>
      <c r="Z58" s="11" t="n">
        <v>-0.011</v>
      </c>
      <c r="AA58" s="11" t="n">
        <v>-0.011</v>
      </c>
      <c r="AB58" s="11" t="n">
        <v>-0.0145</v>
      </c>
      <c r="AC58" s="11" t="n">
        <v>-0.0347</v>
      </c>
      <c r="AD58" s="11" t="n">
        <v>-1.4309</v>
      </c>
    </row>
    <row r="59">
      <c r="A59" s="10" t="inlineStr">
        <is>
          <t>주주자본 합계</t>
        </is>
      </c>
      <c r="C59" s="11" t="n">
        <v>134.0171</v>
      </c>
      <c r="D59" s="11" t="n">
        <v>135.797</v>
      </c>
      <c r="E59" s="11" t="n">
        <v>138.8017</v>
      </c>
      <c r="F59" s="11" t="n">
        <v>143.3188</v>
      </c>
      <c r="G59" s="11" t="n">
        <v>144.9651</v>
      </c>
      <c r="H59" s="11" t="n">
        <v>145.0963</v>
      </c>
      <c r="I59" s="11" t="n">
        <v>145.285</v>
      </c>
      <c r="J59" s="11" t="n">
        <v>149.6293</v>
      </c>
      <c r="K59" s="11" t="n">
        <v>148.689</v>
      </c>
      <c r="L59" s="11" t="n">
        <v>163.8195</v>
      </c>
      <c r="M59" s="11" t="n">
        <v>166.3581</v>
      </c>
      <c r="N59" s="11" t="n">
        <v>173.5147</v>
      </c>
      <c r="O59" s="11" t="n">
        <v>174.4321</v>
      </c>
      <c r="P59" s="11" t="n">
        <v>178.2818</v>
      </c>
      <c r="Q59" s="11" t="n">
        <v>180.7928</v>
      </c>
      <c r="R59" s="11" t="n">
        <v>184.4528</v>
      </c>
      <c r="S59" s="11" t="n">
        <v>187.4957</v>
      </c>
      <c r="T59" s="11" t="n">
        <v>192.5794</v>
      </c>
      <c r="U59" s="11" t="n">
        <v>194.7015</v>
      </c>
      <c r="V59" s="11" t="n">
        <v>205.8994</v>
      </c>
      <c r="W59" s="11" t="n">
        <v>110.9346</v>
      </c>
      <c r="X59" s="11" t="n">
        <v>117.1729</v>
      </c>
      <c r="Y59" s="11" t="n">
        <v>125.752</v>
      </c>
      <c r="Z59" s="11" t="n">
        <v>135.797</v>
      </c>
      <c r="AA59" s="11" t="n">
        <v>145.0963</v>
      </c>
      <c r="AB59" s="11" t="n">
        <v>163.8195</v>
      </c>
      <c r="AC59" s="11" t="n">
        <v>178.2818</v>
      </c>
      <c r="AD59" s="11" t="n">
        <v>192.5794</v>
      </c>
    </row>
    <row r="60">
      <c r="A60" s="10" t="inlineStr">
        <is>
          <t>기타유가증권 평가차액</t>
        </is>
      </c>
      <c r="C60" s="11" t="n">
        <v>1.0994</v>
      </c>
      <c r="D60" s="11" t="n">
        <v>1.2658</v>
      </c>
      <c r="E60" s="11" t="n">
        <v>0.8324</v>
      </c>
      <c r="F60" s="11" t="n">
        <v>0.9948</v>
      </c>
      <c r="G60" s="11" t="n">
        <v>1.0136</v>
      </c>
      <c r="H60" s="11" t="n">
        <v>0.9295</v>
      </c>
      <c r="I60" s="11" t="n">
        <v>1.3036</v>
      </c>
      <c r="J60" s="11" t="n">
        <v>1.997</v>
      </c>
      <c r="K60" s="11" t="n">
        <v>1.809</v>
      </c>
      <c r="L60" s="11" t="n">
        <v>2.1798</v>
      </c>
      <c r="M60" s="11" t="n">
        <v>2.6135</v>
      </c>
      <c r="N60" s="11" t="n">
        <v>2.6934</v>
      </c>
      <c r="O60" s="11" t="n">
        <v>2.6839</v>
      </c>
      <c r="P60" s="11" t="n">
        <v>2.8494</v>
      </c>
      <c r="Q60" s="11" t="n">
        <v>2.6074</v>
      </c>
      <c r="R60" s="11" t="n">
        <v>2.8827</v>
      </c>
      <c r="S60" s="11" t="n">
        <v>3.1116</v>
      </c>
      <c r="T60" s="11" t="n">
        <v>3.8018</v>
      </c>
      <c r="U60" s="11" t="n">
        <v>2.8382</v>
      </c>
      <c r="V60" s="11" t="n">
        <v>3.7788</v>
      </c>
      <c r="W60" s="11" t="n">
        <v>1.6513</v>
      </c>
      <c r="X60" s="11" t="n">
        <v>1.0252</v>
      </c>
      <c r="Y60" s="11" t="n">
        <v>1.3948</v>
      </c>
      <c r="Z60" s="11" t="n">
        <v>1.2658</v>
      </c>
      <c r="AA60" s="11" t="n">
        <v>0.9295</v>
      </c>
      <c r="AB60" s="11" t="n">
        <v>2.1798</v>
      </c>
      <c r="AC60" s="11" t="n">
        <v>2.8494</v>
      </c>
      <c r="AD60" s="11" t="n">
        <v>3.8018</v>
      </c>
    </row>
    <row r="61">
      <c r="A61" s="10" t="inlineStr">
        <is>
          <t>이연헤지손익</t>
        </is>
      </c>
      <c r="C61" s="11" t="n">
        <v>0.0059</v>
      </c>
      <c r="D61" s="11" t="n">
        <v>-0.0009</v>
      </c>
      <c r="E61" s="11" t="n">
        <v>0.0035</v>
      </c>
      <c r="F61" s="11" t="n">
        <v>0.0289</v>
      </c>
      <c r="G61" s="11" t="n">
        <v>0.1447</v>
      </c>
      <c r="H61" s="11" t="n">
        <v>0.0483</v>
      </c>
      <c r="I61" s="11" t="n">
        <v>0.0015</v>
      </c>
      <c r="J61" s="11" t="n">
        <v>0.0577</v>
      </c>
      <c r="K61" s="11" t="n">
        <v>0.1449</v>
      </c>
      <c r="L61" s="11" t="n">
        <v>0.1146</v>
      </c>
      <c r="M61" s="11" t="n">
        <v>0.1111</v>
      </c>
      <c r="N61" s="11" t="n">
        <v>0.1035</v>
      </c>
      <c r="O61" s="11" t="n">
        <v>-0.0355</v>
      </c>
      <c r="P61" s="11" t="n">
        <v>0.0209</v>
      </c>
      <c r="Q61" s="11" t="n">
        <v>-0.0077</v>
      </c>
      <c r="R61" s="11" t="n">
        <v>-0.0448</v>
      </c>
      <c r="S61" s="11" t="n">
        <v>0.0051</v>
      </c>
      <c r="T61" s="11" t="n">
        <v>0.0965</v>
      </c>
      <c r="U61" s="11" t="n">
        <v>0.0798</v>
      </c>
      <c r="V61" s="11" t="n">
        <v>0.067</v>
      </c>
      <c r="W61" s="11" t="n">
        <v>0.0227</v>
      </c>
      <c r="X61" s="11" t="n">
        <v>0.0331</v>
      </c>
      <c r="Y61" s="11" t="n">
        <v>-0.0238</v>
      </c>
      <c r="Z61" s="11" t="n">
        <v>-0.0009</v>
      </c>
      <c r="AA61" s="11" t="n">
        <v>0.0483</v>
      </c>
      <c r="AB61" s="11" t="n">
        <v>0.1146</v>
      </c>
      <c r="AC61" s="11" t="n">
        <v>0.0209</v>
      </c>
      <c r="AD61" s="11" t="n">
        <v>0.0965</v>
      </c>
    </row>
    <row r="62">
      <c r="A62" s="10" t="inlineStr">
        <is>
          <t>해외사업환산조정</t>
        </is>
      </c>
      <c r="C62" s="11" t="n">
        <v>4.9835</v>
      </c>
      <c r="D62" s="11" t="n">
        <v>6.0747</v>
      </c>
      <c r="E62" s="11" t="n">
        <v>7.8863</v>
      </c>
      <c r="F62" s="11" t="n">
        <v>9.9307</v>
      </c>
      <c r="G62" s="11" t="n">
        <v>10.1246</v>
      </c>
      <c r="H62" s="11" t="n">
        <v>8.0756</v>
      </c>
      <c r="I62" s="11" t="n">
        <v>8.439399999999999</v>
      </c>
      <c r="J62" s="11" t="n">
        <v>9.729799999999999</v>
      </c>
      <c r="K62" s="11" t="n">
        <v>10.6961</v>
      </c>
      <c r="L62" s="11" t="n">
        <v>8.807600000000001</v>
      </c>
      <c r="M62" s="11" t="n">
        <v>10.8963</v>
      </c>
      <c r="N62" s="11" t="n">
        <v>12.7108</v>
      </c>
      <c r="O62" s="11" t="n">
        <v>9.4754</v>
      </c>
      <c r="P62" s="11" t="n">
        <v>11.521</v>
      </c>
      <c r="Q62" s="11" t="n">
        <v>9.865399999999999</v>
      </c>
      <c r="R62" s="11" t="n">
        <v>8.901400000000001</v>
      </c>
      <c r="S62" s="11" t="n">
        <v>8.871700000000001</v>
      </c>
      <c r="T62" s="11" t="n">
        <v>10.9091</v>
      </c>
      <c r="U62" s="11" t="n">
        <v>12.0037</v>
      </c>
      <c r="V62" s="11" t="n">
        <v>12.9458</v>
      </c>
      <c r="W62" s="11" t="n">
        <v>3.3297</v>
      </c>
      <c r="X62" s="11" t="n">
        <v>2.7631</v>
      </c>
      <c r="Y62" s="11" t="n">
        <v>2.7579</v>
      </c>
      <c r="Z62" s="11" t="n">
        <v>6.0747</v>
      </c>
      <c r="AA62" s="11" t="n">
        <v>8.0756</v>
      </c>
      <c r="AB62" s="11" t="n">
        <v>8.807600000000001</v>
      </c>
      <c r="AC62" s="11" t="n">
        <v>11.521</v>
      </c>
      <c r="AD62" s="11" t="n">
        <v>10.9091</v>
      </c>
    </row>
    <row r="63">
      <c r="A63" s="10" t="inlineStr">
        <is>
          <t>퇴직급여 조정누계액</t>
        </is>
      </c>
      <c r="C63" s="11" t="n">
        <v>0.0092</v>
      </c>
      <c r="D63" s="11" t="n">
        <v>0.1878</v>
      </c>
      <c r="E63" s="11" t="n">
        <v>0.1519</v>
      </c>
      <c r="F63" s="11" t="n">
        <v>0.1159</v>
      </c>
      <c r="G63" s="11" t="n">
        <v>0.0799</v>
      </c>
      <c r="H63" s="11" t="n">
        <v>-0.1283</v>
      </c>
      <c r="I63" s="11" t="n">
        <v>-0.1466</v>
      </c>
      <c r="J63" s="11" t="n">
        <v>-0.165</v>
      </c>
      <c r="K63" s="11" t="n">
        <v>-0.1832</v>
      </c>
      <c r="L63" s="11" t="n">
        <v>0.7651</v>
      </c>
      <c r="M63" s="11" t="n">
        <v>0.742</v>
      </c>
      <c r="N63" s="11" t="n">
        <v>0.7189</v>
      </c>
      <c r="O63" s="11" t="n">
        <v>0.6958</v>
      </c>
      <c r="P63" s="11" t="n">
        <v>0.4736</v>
      </c>
      <c r="Q63" s="11" t="n">
        <v>0.2738</v>
      </c>
      <c r="R63" s="11" t="n">
        <v>0.2767</v>
      </c>
      <c r="S63" s="11" t="n">
        <v>0.2796</v>
      </c>
      <c r="T63" s="11" t="n">
        <v>2.8954</v>
      </c>
      <c r="U63" s="11" t="n">
        <v>2.8199</v>
      </c>
      <c r="V63" s="11" t="n">
        <v>2.7444</v>
      </c>
      <c r="W63" s="11" t="n">
        <v>0.5839</v>
      </c>
      <c r="X63" s="11" t="n">
        <v>-0.0988</v>
      </c>
      <c r="Y63" s="11" t="n">
        <v>0.0592</v>
      </c>
      <c r="Z63" s="11" t="n">
        <v>0.1878</v>
      </c>
      <c r="AA63" s="11" t="n">
        <v>-0.1283</v>
      </c>
      <c r="AB63" s="11" t="n">
        <v>0.7651</v>
      </c>
      <c r="AC63" s="11" t="n">
        <v>0.4736</v>
      </c>
      <c r="AD63" s="11" t="n">
        <v>2.8954</v>
      </c>
    </row>
    <row r="64">
      <c r="A64" s="10" t="inlineStr">
        <is>
          <t>기타포괄손익누계액 합계</t>
        </is>
      </c>
      <c r="C64" s="11" t="n">
        <v>6.098</v>
      </c>
      <c r="D64" s="11" t="n">
        <v>7.5275</v>
      </c>
      <c r="E64" s="11" t="n">
        <v>8.8741</v>
      </c>
      <c r="F64" s="11" t="n">
        <v>11.0703</v>
      </c>
      <c r="G64" s="11" t="n">
        <v>11.3627</v>
      </c>
      <c r="H64" s="11" t="n">
        <v>8.925000000000001</v>
      </c>
      <c r="I64" s="11" t="n">
        <v>9.597899999999999</v>
      </c>
      <c r="J64" s="11" t="n">
        <v>11.6196</v>
      </c>
      <c r="K64" s="11" t="n">
        <v>12.4667</v>
      </c>
      <c r="L64" s="11" t="n">
        <v>11.8671</v>
      </c>
      <c r="M64" s="11" t="n">
        <v>14.3628</v>
      </c>
      <c r="N64" s="11" t="n">
        <v>16.2266</v>
      </c>
      <c r="O64" s="11" t="n">
        <v>12.8197</v>
      </c>
      <c r="P64" s="11" t="n">
        <v>14.865</v>
      </c>
      <c r="Q64" s="11" t="n">
        <v>12.739</v>
      </c>
      <c r="R64" s="11" t="n">
        <v>12.016</v>
      </c>
      <c r="S64" s="11" t="n">
        <v>12.268</v>
      </c>
      <c r="T64" s="11" t="n">
        <v>17.7028</v>
      </c>
      <c r="U64" s="11" t="n">
        <v>17.7416</v>
      </c>
      <c r="V64" s="11" t="n">
        <v>19.536</v>
      </c>
      <c r="W64" s="11" t="n">
        <v>5.5877</v>
      </c>
      <c r="X64" s="11" t="n">
        <v>3.7225</v>
      </c>
      <c r="Y64" s="11" t="n">
        <v>4.1881</v>
      </c>
      <c r="Z64" s="11" t="n">
        <v>7.5275</v>
      </c>
      <c r="AA64" s="11" t="n">
        <v>8.925000000000001</v>
      </c>
      <c r="AB64" s="11" t="n">
        <v>11.8671</v>
      </c>
      <c r="AC64" s="11" t="n">
        <v>14.865</v>
      </c>
      <c r="AD64" s="11" t="n">
        <v>17.7028</v>
      </c>
    </row>
    <row r="65">
      <c r="A65" s="10" t="inlineStr">
        <is>
          <t>비지배지분</t>
        </is>
      </c>
      <c r="C65" s="11" t="n">
        <v>13.4363</v>
      </c>
      <c r="D65" s="11" t="n">
        <v>13.441</v>
      </c>
      <c r="E65" s="11" t="n">
        <v>12.328</v>
      </c>
      <c r="F65" s="11" t="n">
        <v>12.989</v>
      </c>
      <c r="G65" s="11" t="n">
        <v>10.9933</v>
      </c>
      <c r="H65" s="11" t="n">
        <v>10.6707</v>
      </c>
      <c r="I65" s="11" t="n">
        <v>10.8159</v>
      </c>
      <c r="J65" s="11" t="n">
        <v>10.5867</v>
      </c>
      <c r="K65" s="11" t="n">
        <v>11.1998</v>
      </c>
      <c r="L65" s="11" t="n">
        <v>9.281000000000001</v>
      </c>
      <c r="M65" s="11" t="n">
        <v>9.0944</v>
      </c>
      <c r="N65" s="11" t="n">
        <v>9.7722</v>
      </c>
      <c r="O65" s="11" t="n">
        <v>9.554</v>
      </c>
      <c r="P65" s="11" t="n">
        <v>9.988200000000001</v>
      </c>
      <c r="Q65" s="11" t="n">
        <v>9.9055</v>
      </c>
      <c r="R65" s="11" t="n">
        <v>10.3505</v>
      </c>
      <c r="S65" s="11" t="n">
        <v>10.4184</v>
      </c>
      <c r="T65" s="11" t="n">
        <v>10.6533</v>
      </c>
      <c r="U65" s="11" t="n">
        <v>10.6576</v>
      </c>
      <c r="V65" s="11" t="n">
        <v>11.0676</v>
      </c>
      <c r="W65" s="11" t="n">
        <v>3.319</v>
      </c>
      <c r="X65" s="11" t="n">
        <v>3.3034</v>
      </c>
      <c r="Y65" s="11" t="n">
        <v>12.281</v>
      </c>
      <c r="Z65" s="11" t="n">
        <v>13.441</v>
      </c>
      <c r="AA65" s="11" t="n">
        <v>10.6707</v>
      </c>
      <c r="AB65" s="11" t="n">
        <v>9.281000000000001</v>
      </c>
      <c r="AC65" s="11" t="n">
        <v>9.988200000000001</v>
      </c>
      <c r="AD65" s="11" t="n">
        <v>10.6533</v>
      </c>
    </row>
    <row r="66">
      <c r="A66" s="10" t="inlineStr">
        <is>
          <t>순자산 합계</t>
        </is>
      </c>
      <c r="C66" s="11" t="n">
        <v>153.5514</v>
      </c>
      <c r="D66" s="11" t="n">
        <v>156.7654</v>
      </c>
      <c r="E66" s="11" t="n">
        <v>160.0038</v>
      </c>
      <c r="F66" s="11" t="n">
        <v>167.378</v>
      </c>
      <c r="G66" s="11" t="n">
        <v>167.3212</v>
      </c>
      <c r="H66" s="11" t="n">
        <v>164.692</v>
      </c>
      <c r="I66" s="11" t="n">
        <v>165.6988</v>
      </c>
      <c r="J66" s="11" t="n">
        <v>171.8356</v>
      </c>
      <c r="K66" s="11" t="n">
        <v>172.3554</v>
      </c>
      <c r="L66" s="11" t="n">
        <v>184.9677</v>
      </c>
      <c r="M66" s="11" t="n">
        <v>189.8153</v>
      </c>
      <c r="N66" s="11" t="n">
        <v>199.5135</v>
      </c>
      <c r="O66" s="11" t="n">
        <v>196.8058</v>
      </c>
      <c r="P66" s="11" t="n">
        <v>203.135</v>
      </c>
      <c r="Q66" s="11" t="n">
        <v>203.4372</v>
      </c>
      <c r="R66" s="11" t="n">
        <v>206.8193</v>
      </c>
      <c r="S66" s="11" t="n">
        <v>210.1821</v>
      </c>
      <c r="T66" s="11" t="n">
        <v>220.9355</v>
      </c>
      <c r="U66" s="11" t="n">
        <v>223.1007</v>
      </c>
      <c r="V66" s="11" t="n">
        <v>236.503</v>
      </c>
      <c r="W66" s="11" t="n">
        <v>119.8413</v>
      </c>
      <c r="X66" s="11" t="n">
        <v>124.1988</v>
      </c>
      <c r="Y66" s="11" t="n">
        <v>142.2212</v>
      </c>
      <c r="Z66" s="11" t="n">
        <v>156.7654</v>
      </c>
      <c r="AA66" s="11" t="n">
        <v>164.692</v>
      </c>
      <c r="AB66" s="11" t="n">
        <v>184.9677</v>
      </c>
      <c r="AC66" s="11" t="n">
        <v>203.135</v>
      </c>
      <c r="AD66" s="11" t="n">
        <v>220.9355</v>
      </c>
    </row>
    <row r="67">
      <c r="A67" s="10" t="inlineStr">
        <is>
          <t>부채·순자산 합계</t>
        </is>
      </c>
      <c r="C67" s="11" t="n">
        <v>340.4999</v>
      </c>
      <c r="D67" s="11" t="n">
        <v>339.3419</v>
      </c>
      <c r="E67" s="11" t="n">
        <v>349.6383</v>
      </c>
      <c r="F67" s="11" t="n">
        <v>352.5739</v>
      </c>
      <c r="G67" s="11" t="n">
        <v>353.6746</v>
      </c>
      <c r="H67" s="11" t="n">
        <v>345.7887</v>
      </c>
      <c r="I67" s="11" t="n">
        <v>347.2695</v>
      </c>
      <c r="J67" s="11" t="n">
        <v>352.9975</v>
      </c>
      <c r="K67" s="11" t="n">
        <v>374.4955</v>
      </c>
      <c r="L67" s="11" t="n">
        <v>384.8396</v>
      </c>
      <c r="M67" s="11" t="n">
        <v>396.3598</v>
      </c>
      <c r="N67" s="11" t="n">
        <v>404.1752</v>
      </c>
      <c r="O67" s="11" t="n">
        <v>409.2554</v>
      </c>
      <c r="P67" s="11" t="n">
        <v>399.745</v>
      </c>
      <c r="Q67" s="11" t="n">
        <v>401.1023</v>
      </c>
      <c r="R67" s="11" t="n">
        <v>401.6211</v>
      </c>
      <c r="S67" s="11" t="n">
        <v>401.3296</v>
      </c>
      <c r="T67" s="11" t="n">
        <v>405.2316</v>
      </c>
      <c r="U67" s="11" t="n">
        <v>408.4025</v>
      </c>
      <c r="V67" s="11" t="n">
        <v>437.7658</v>
      </c>
      <c r="W67" s="11" t="n">
        <v>269.2871</v>
      </c>
      <c r="X67" s="11" t="n">
        <v>275.6804</v>
      </c>
      <c r="Y67" s="11" t="n">
        <v>317.8483</v>
      </c>
      <c r="Z67" s="11" t="n">
        <v>339.3419</v>
      </c>
      <c r="AA67" s="11" t="n">
        <v>345.7887</v>
      </c>
      <c r="AB67" s="11" t="n">
        <v>384.8396</v>
      </c>
      <c r="AC67" s="11" t="n">
        <v>399.745</v>
      </c>
      <c r="AD67" s="11" t="n">
        <v>405.2316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71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나카모토팩스 현금흐름표</t>
        </is>
      </c>
    </row>
    <row r="2">
      <c r="A2" s="2" t="inlineStr">
        <is>
          <t>결산기 기준(27.2Q = 2027년 결산기 2분기) · 2월 결산 · 연결 · 누계(그 분기까지)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10" t="inlineStr">
        <is>
          <t>법인세차감전 순이익</t>
        </is>
      </c>
      <c r="D4" s="11" t="n">
        <v>23.8889</v>
      </c>
      <c r="F4" s="11" t="n">
        <v>14.6391</v>
      </c>
      <c r="H4" s="11" t="n">
        <v>21.1072</v>
      </c>
      <c r="J4" s="11" t="n">
        <v>11.5734</v>
      </c>
      <c r="L4" s="11" t="n">
        <v>16.5372</v>
      </c>
      <c r="N4" s="11" t="n">
        <v>15.9349</v>
      </c>
      <c r="P4" s="11" t="n">
        <v>28.4713</v>
      </c>
      <c r="R4" s="11" t="n">
        <v>17.085</v>
      </c>
      <c r="T4" s="11" t="n">
        <v>33.727</v>
      </c>
      <c r="V4" s="11" t="n">
        <v>24.9968</v>
      </c>
      <c r="W4" s="11" t="n">
        <v>16.4204</v>
      </c>
      <c r="X4" s="11" t="n">
        <v>15.6548</v>
      </c>
      <c r="Y4" s="11" t="n">
        <v>18.3234</v>
      </c>
      <c r="Z4" s="11" t="n">
        <v>23.8889</v>
      </c>
      <c r="AA4" s="11" t="n">
        <v>21.1072</v>
      </c>
      <c r="AB4" s="11" t="n">
        <v>16.5372</v>
      </c>
      <c r="AC4" s="11" t="n">
        <v>28.4713</v>
      </c>
      <c r="AD4" s="11" t="n">
        <v>33.727</v>
      </c>
      <c r="AE4" s="7" t="inlineStr">
        <is>
          <t>결산단신 XBRL(거래소 공시, TDnet·JPX 보관소). 쓴 문서: 2026-10-13, 2026-07-10, 2026-04-10, 2026-01-14 외 26건 — '출처' 시트에 전부</t>
        </is>
      </c>
    </row>
    <row r="5">
      <c r="A5" s="10" t="inlineStr">
        <is>
          <t>감가상각비</t>
        </is>
      </c>
      <c r="D5" s="11" t="n">
        <v>13.1249</v>
      </c>
      <c r="F5" s="11" t="n">
        <v>6.4303</v>
      </c>
      <c r="H5" s="11" t="n">
        <v>13.0675</v>
      </c>
      <c r="J5" s="11" t="n">
        <v>6.2577</v>
      </c>
      <c r="L5" s="11" t="n">
        <v>12.9394</v>
      </c>
      <c r="N5" s="11" t="n">
        <v>6.223</v>
      </c>
      <c r="P5" s="11" t="n">
        <v>12.8883</v>
      </c>
      <c r="R5" s="11" t="n">
        <v>6.0282</v>
      </c>
      <c r="T5" s="11" t="n">
        <v>12.5973</v>
      </c>
      <c r="V5" s="11" t="n">
        <v>6.32</v>
      </c>
      <c r="W5" s="11" t="n">
        <v>8.721299999999999</v>
      </c>
      <c r="X5" s="11" t="n">
        <v>10.031</v>
      </c>
      <c r="Y5" s="11" t="n">
        <v>10.5314</v>
      </c>
      <c r="Z5" s="11" t="n">
        <v>13.1249</v>
      </c>
      <c r="AA5" s="11" t="n">
        <v>13.0675</v>
      </c>
      <c r="AB5" s="11" t="n">
        <v>12.9394</v>
      </c>
      <c r="AC5" s="11" t="n">
        <v>12.8883</v>
      </c>
      <c r="AD5" s="11" t="n">
        <v>12.5973</v>
      </c>
    </row>
    <row r="6">
      <c r="A6" s="10" t="inlineStr">
        <is>
          <t>영업권 상각</t>
        </is>
      </c>
      <c r="D6" s="11" t="n">
        <v>0.2864</v>
      </c>
      <c r="F6" s="11" t="n">
        <v>0.1432</v>
      </c>
      <c r="H6" s="11" t="n">
        <v>0.2864</v>
      </c>
      <c r="J6" s="11" t="n">
        <v>0.1432</v>
      </c>
      <c r="L6" s="11" t="n">
        <v>0.2625</v>
      </c>
      <c r="N6" s="11" t="n">
        <v>0</v>
      </c>
      <c r="P6" s="11" t="n">
        <v>0</v>
      </c>
      <c r="W6" s="11" t="n">
        <v>0.0239</v>
      </c>
      <c r="X6" s="11" t="n">
        <v>0.2864</v>
      </c>
      <c r="Y6" s="11" t="n">
        <v>0.2864</v>
      </c>
      <c r="Z6" s="11" t="n">
        <v>0.2864</v>
      </c>
      <c r="AA6" s="11" t="n">
        <v>0.2864</v>
      </c>
      <c r="AB6" s="11" t="n">
        <v>0.2625</v>
      </c>
      <c r="AC6" s="11" t="n">
        <v>0</v>
      </c>
    </row>
    <row r="7">
      <c r="A7" s="10" t="inlineStr">
        <is>
          <t>손상차손</t>
        </is>
      </c>
      <c r="D7" s="11" t="n">
        <v>0.3006</v>
      </c>
      <c r="F7" s="11" t="n">
        <v>0</v>
      </c>
      <c r="H7" s="11" t="n">
        <v>0.6915</v>
      </c>
      <c r="L7" s="11" t="n">
        <v>6.2808</v>
      </c>
      <c r="P7" s="11" t="n">
        <v>0</v>
      </c>
      <c r="W7" s="11" t="n">
        <v>0.0218</v>
      </c>
      <c r="X7" s="11" t="n">
        <v>0</v>
      </c>
      <c r="Y7" s="11" t="n">
        <v>0</v>
      </c>
      <c r="Z7" s="11" t="n">
        <v>0.3006</v>
      </c>
      <c r="AA7" s="11" t="n">
        <v>0.6915</v>
      </c>
      <c r="AB7" s="11" t="n">
        <v>6.2808</v>
      </c>
      <c r="AC7" s="11" t="n">
        <v>0</v>
      </c>
    </row>
    <row r="8">
      <c r="A8" s="10" t="inlineStr">
        <is>
          <t>관계회사 정리손실</t>
        </is>
      </c>
      <c r="J8" s="11" t="n">
        <v>0</v>
      </c>
      <c r="L8" s="11" t="n">
        <v>0</v>
      </c>
      <c r="N8" s="11" t="n">
        <v>1.1381</v>
      </c>
      <c r="P8" s="11" t="n">
        <v>1.356</v>
      </c>
      <c r="R8" s="11" t="n">
        <v>0</v>
      </c>
      <c r="T8" s="11" t="n">
        <v>0</v>
      </c>
      <c r="AB8" s="11" t="n">
        <v>0</v>
      </c>
      <c r="AC8" s="11" t="n">
        <v>1.356</v>
      </c>
      <c r="AD8" s="11" t="n">
        <v>0</v>
      </c>
    </row>
    <row r="9">
      <c r="A9" s="10" t="inlineStr">
        <is>
          <t>부의 영업권 발생이익</t>
        </is>
      </c>
      <c r="D9" s="11" t="n">
        <v>0</v>
      </c>
      <c r="F9" s="11" t="n">
        <v>0</v>
      </c>
      <c r="H9" s="11" t="n">
        <v>0</v>
      </c>
      <c r="J9" s="11" t="n">
        <v>-0.5914</v>
      </c>
      <c r="L9" s="11" t="n">
        <v>-4.6963</v>
      </c>
      <c r="N9" s="11" t="n">
        <v>0</v>
      </c>
      <c r="P9" s="11" t="n">
        <v>0</v>
      </c>
      <c r="X9" s="11" t="n">
        <v>0</v>
      </c>
      <c r="Y9" s="11" t="n">
        <v>-2.2798</v>
      </c>
      <c r="Z9" s="11" t="n">
        <v>0</v>
      </c>
      <c r="AA9" s="11" t="n">
        <v>0</v>
      </c>
      <c r="AB9" s="11" t="n">
        <v>-4.6963</v>
      </c>
      <c r="AC9" s="11" t="n">
        <v>0</v>
      </c>
    </row>
    <row r="10">
      <c r="A10" s="10" t="inlineStr">
        <is>
          <t>단계적 취득 차손익</t>
        </is>
      </c>
      <c r="D10" s="11" t="n">
        <v>0</v>
      </c>
      <c r="H10" s="11" t="n">
        <v>0</v>
      </c>
      <c r="L10" s="11" t="n">
        <v>2.0088</v>
      </c>
      <c r="P10" s="11" t="n">
        <v>0</v>
      </c>
      <c r="X10" s="11" t="n">
        <v>0</v>
      </c>
      <c r="Y10" s="11" t="n">
        <v>0.9921</v>
      </c>
      <c r="Z10" s="11" t="n">
        <v>0</v>
      </c>
      <c r="AA10" s="11" t="n">
        <v>0</v>
      </c>
      <c r="AB10" s="11" t="n">
        <v>2.0088</v>
      </c>
      <c r="AC10" s="11" t="n">
        <v>0</v>
      </c>
    </row>
    <row r="11">
      <c r="A11" s="10" t="inlineStr">
        <is>
          <t>지분법손익</t>
        </is>
      </c>
      <c r="D11" s="11" t="n">
        <v>0</v>
      </c>
      <c r="F11" s="11" t="n">
        <v>0</v>
      </c>
      <c r="H11" s="11" t="n">
        <v>0</v>
      </c>
      <c r="J11" s="11" t="n">
        <v>0.0287</v>
      </c>
      <c r="L11" s="11" t="n">
        <v>-3.4737</v>
      </c>
      <c r="N11" s="11" t="n">
        <v>0.094</v>
      </c>
      <c r="P11" s="11" t="n">
        <v>0.2738</v>
      </c>
      <c r="R11" s="11" t="n">
        <v>0.2338</v>
      </c>
      <c r="T11" s="11" t="n">
        <v>0.1739</v>
      </c>
      <c r="V11" s="11" t="n">
        <v>0.0346</v>
      </c>
      <c r="W11" s="11" t="n">
        <v>-0.089</v>
      </c>
      <c r="X11" s="11" t="n">
        <v>-0.0866</v>
      </c>
      <c r="Y11" s="11" t="n">
        <v>-0.0237</v>
      </c>
      <c r="Z11" s="11" t="n">
        <v>0</v>
      </c>
      <c r="AA11" s="11" t="n">
        <v>0</v>
      </c>
      <c r="AB11" s="11" t="n">
        <v>-3.4737</v>
      </c>
      <c r="AC11" s="11" t="n">
        <v>0.2738</v>
      </c>
      <c r="AD11" s="11" t="n">
        <v>0.1739</v>
      </c>
    </row>
    <row r="12">
      <c r="A12" s="10" t="inlineStr">
        <is>
          <t>대손충당금 증감</t>
        </is>
      </c>
      <c r="D12" s="11" t="n">
        <v>0.0069</v>
      </c>
      <c r="F12" s="11" t="n">
        <v>-0.0043</v>
      </c>
      <c r="H12" s="11" t="n">
        <v>0.0042</v>
      </c>
      <c r="J12" s="11" t="n">
        <v>-0.0148</v>
      </c>
      <c r="L12" s="11" t="n">
        <v>-0.0149</v>
      </c>
      <c r="N12" s="11" t="n">
        <v>-0.0041</v>
      </c>
      <c r="P12" s="11" t="n">
        <v>0.0018</v>
      </c>
      <c r="R12" s="11" t="n">
        <v>0.0101</v>
      </c>
      <c r="T12" s="11" t="n">
        <v>0.0251</v>
      </c>
      <c r="V12" s="11" t="n">
        <v>0.0003</v>
      </c>
      <c r="W12" s="11" t="n">
        <v>-0.0121</v>
      </c>
      <c r="X12" s="11" t="n">
        <v>0.0014</v>
      </c>
      <c r="Y12" s="11" t="n">
        <v>-0.0361</v>
      </c>
      <c r="Z12" s="11" t="n">
        <v>0.0069</v>
      </c>
      <c r="AA12" s="11" t="n">
        <v>0.0042</v>
      </c>
      <c r="AB12" s="11" t="n">
        <v>-0.0149</v>
      </c>
      <c r="AC12" s="11" t="n">
        <v>0.0018</v>
      </c>
      <c r="AD12" s="11" t="n">
        <v>0.0251</v>
      </c>
    </row>
    <row r="13">
      <c r="A13" s="10" t="inlineStr">
        <is>
          <t>상여충당금 증감</t>
        </is>
      </c>
      <c r="D13" s="11" t="n">
        <v>-0.009900000000000001</v>
      </c>
      <c r="F13" s="11" t="n">
        <v>0.7321</v>
      </c>
      <c r="H13" s="11" t="n">
        <v>-0.1764</v>
      </c>
      <c r="J13" s="11" t="n">
        <v>0.59</v>
      </c>
      <c r="L13" s="11" t="n">
        <v>0.1874</v>
      </c>
      <c r="N13" s="11" t="n">
        <v>0.656</v>
      </c>
      <c r="P13" s="11" t="n">
        <v>0.07099999999999999</v>
      </c>
      <c r="R13" s="11" t="n">
        <v>0.8217</v>
      </c>
      <c r="T13" s="11" t="n">
        <v>0.2425</v>
      </c>
      <c r="V13" s="11" t="n">
        <v>0.7218</v>
      </c>
      <c r="W13" s="11" t="n">
        <v>0.1261</v>
      </c>
      <c r="X13" s="11" t="n">
        <v>0.1339</v>
      </c>
      <c r="Y13" s="11" t="n">
        <v>-0.3006</v>
      </c>
      <c r="Z13" s="11" t="n">
        <v>-0.009900000000000001</v>
      </c>
      <c r="AA13" s="11" t="n">
        <v>-0.1764</v>
      </c>
      <c r="AB13" s="11" t="n">
        <v>0.1874</v>
      </c>
      <c r="AC13" s="11" t="n">
        <v>0.07099999999999999</v>
      </c>
      <c r="AD13" s="11" t="n">
        <v>0.2425</v>
      </c>
    </row>
    <row r="14">
      <c r="A14" s="10" t="inlineStr">
        <is>
          <t>임원 상여충당금 증감</t>
        </is>
      </c>
      <c r="N14" s="11" t="n">
        <v>0</v>
      </c>
      <c r="R14" s="11" t="n">
        <v>0.0625</v>
      </c>
      <c r="V14" s="11" t="n">
        <v>0.06</v>
      </c>
    </row>
    <row r="15">
      <c r="A15" s="10" t="inlineStr">
        <is>
          <t>주식보상 충당금 증감</t>
        </is>
      </c>
      <c r="N15" s="11" t="n">
        <v>0</v>
      </c>
      <c r="P15" s="11" t="n">
        <v>0</v>
      </c>
      <c r="R15" s="11" t="n">
        <v>0.0684</v>
      </c>
      <c r="T15" s="11" t="n">
        <v>0.2257</v>
      </c>
      <c r="V15" s="11" t="n">
        <v>0.1236</v>
      </c>
      <c r="AC15" s="11" t="n">
        <v>0</v>
      </c>
      <c r="AD15" s="11" t="n">
        <v>0.2257</v>
      </c>
    </row>
    <row r="16">
      <c r="A16" s="10" t="inlineStr">
        <is>
          <t>퇴직급여 자산·부채 증감</t>
        </is>
      </c>
      <c r="H16" s="11" t="n">
        <v>-0.3003</v>
      </c>
      <c r="L16" s="11" t="n">
        <v>-0.5111</v>
      </c>
      <c r="P16" s="11" t="n">
        <v>-0.6014</v>
      </c>
      <c r="T16" s="11" t="n">
        <v>-0.5447</v>
      </c>
      <c r="AA16" s="11" t="n">
        <v>-0.3003</v>
      </c>
      <c r="AB16" s="11" t="n">
        <v>-0.5111</v>
      </c>
      <c r="AC16" s="11" t="n">
        <v>-0.6014</v>
      </c>
      <c r="AD16" s="11" t="n">
        <v>-0.5447</v>
      </c>
    </row>
    <row r="17">
      <c r="A17" s="10" t="inlineStr">
        <is>
          <t>관계회사 정리손실 충당금 증감</t>
        </is>
      </c>
      <c r="H17" s="11" t="n">
        <v>0</v>
      </c>
      <c r="L17" s="11" t="n">
        <v>1.8736</v>
      </c>
      <c r="P17" s="11" t="n">
        <v>0.1822</v>
      </c>
      <c r="T17" s="11" t="n">
        <v>0</v>
      </c>
      <c r="AA17" s="11" t="n">
        <v>0</v>
      </c>
      <c r="AB17" s="11" t="n">
        <v>1.8736</v>
      </c>
      <c r="AC17" s="11" t="n">
        <v>0.1822</v>
      </c>
      <c r="AD17" s="11" t="n">
        <v>0</v>
      </c>
    </row>
    <row r="18">
      <c r="A18" s="10" t="inlineStr">
        <is>
          <t>퇴직급여부채 증감</t>
        </is>
      </c>
      <c r="D18" s="11" t="n">
        <v>-0.4049</v>
      </c>
      <c r="F18" s="11" t="n">
        <v>-0.1405</v>
      </c>
      <c r="H18" s="11" t="n">
        <v>-0.3003</v>
      </c>
      <c r="J18" s="11" t="n">
        <v>-0.2432</v>
      </c>
      <c r="N18" s="11" t="n">
        <v>-0.2783</v>
      </c>
      <c r="R18" s="11" t="n">
        <v>-0.1415</v>
      </c>
      <c r="V18" s="11" t="n">
        <v>-0.51</v>
      </c>
      <c r="W18" s="11" t="n">
        <v>-0.5073</v>
      </c>
      <c r="X18" s="11" t="n">
        <v>-0.7104</v>
      </c>
      <c r="Y18" s="11" t="n">
        <v>-0.4554</v>
      </c>
      <c r="Z18" s="11" t="n">
        <v>-0.4049</v>
      </c>
      <c r="AA18" s="11" t="n">
        <v>-0.3003</v>
      </c>
    </row>
    <row r="19">
      <c r="A19" s="10" t="inlineStr">
        <is>
          <t>이자·배당금 수익</t>
        </is>
      </c>
      <c r="D19" s="11" t="n">
        <v>-0.2278</v>
      </c>
      <c r="F19" s="11" t="n">
        <v>-0.1802</v>
      </c>
      <c r="H19" s="11" t="n">
        <v>-0.2985</v>
      </c>
      <c r="J19" s="11" t="n">
        <v>-0.1726</v>
      </c>
      <c r="L19" s="11" t="n">
        <v>-0.3036</v>
      </c>
      <c r="N19" s="11" t="n">
        <v>-0.2186</v>
      </c>
      <c r="P19" s="11" t="n">
        <v>-0.4058</v>
      </c>
      <c r="R19" s="11" t="n">
        <v>-0.2146</v>
      </c>
      <c r="T19" s="11" t="n">
        <v>-0.3712</v>
      </c>
      <c r="V19" s="11" t="n">
        <v>-0.2236</v>
      </c>
      <c r="W19" s="11" t="n">
        <v>-0.1416</v>
      </c>
      <c r="X19" s="11" t="n">
        <v>-0.187</v>
      </c>
      <c r="Y19" s="11" t="n">
        <v>-0.1928</v>
      </c>
      <c r="Z19" s="11" t="n">
        <v>-0.2278</v>
      </c>
      <c r="AA19" s="11" t="n">
        <v>-0.2985</v>
      </c>
      <c r="AB19" s="11" t="n">
        <v>-0.3036</v>
      </c>
      <c r="AC19" s="11" t="n">
        <v>-0.4058</v>
      </c>
      <c r="AD19" s="11" t="n">
        <v>-0.3712</v>
      </c>
    </row>
    <row r="20">
      <c r="A20" s="10" t="inlineStr">
        <is>
          <t>이자비용</t>
        </is>
      </c>
      <c r="D20" s="11" t="n">
        <v>0.6744</v>
      </c>
      <c r="F20" s="11" t="n">
        <v>0.3864</v>
      </c>
      <c r="H20" s="11" t="n">
        <v>0.6582</v>
      </c>
      <c r="J20" s="11" t="n">
        <v>0.2935</v>
      </c>
      <c r="L20" s="11" t="n">
        <v>0.6014</v>
      </c>
      <c r="N20" s="11" t="n">
        <v>0.3388</v>
      </c>
      <c r="P20" s="11" t="n">
        <v>0.7218</v>
      </c>
      <c r="R20" s="11" t="n">
        <v>0.3559</v>
      </c>
      <c r="T20" s="11" t="n">
        <v>0.7498</v>
      </c>
      <c r="V20" s="11" t="n">
        <v>0.4868</v>
      </c>
      <c r="W20" s="11" t="n">
        <v>0.6677</v>
      </c>
      <c r="X20" s="11" t="n">
        <v>0.7711</v>
      </c>
      <c r="Y20" s="11" t="n">
        <v>0.7059</v>
      </c>
      <c r="Z20" s="11" t="n">
        <v>0.6744</v>
      </c>
      <c r="AA20" s="11" t="n">
        <v>0.6582</v>
      </c>
      <c r="AB20" s="11" t="n">
        <v>0.6014</v>
      </c>
      <c r="AC20" s="11" t="n">
        <v>0.7218</v>
      </c>
      <c r="AD20" s="11" t="n">
        <v>0.7498</v>
      </c>
    </row>
    <row r="21">
      <c r="A21" s="10" t="inlineStr">
        <is>
          <t>외환차손익</t>
        </is>
      </c>
      <c r="D21" s="11" t="n">
        <v>-1.3809</v>
      </c>
      <c r="F21" s="11" t="n">
        <v>-1.6646</v>
      </c>
      <c r="H21" s="11" t="n">
        <v>-1.2246</v>
      </c>
      <c r="J21" s="11" t="n">
        <v>-0.9734</v>
      </c>
      <c r="L21" s="11" t="n">
        <v>-0.5604</v>
      </c>
      <c r="N21" s="11" t="n">
        <v>-0.9441000000000001</v>
      </c>
      <c r="P21" s="11" t="n">
        <v>-0.7347</v>
      </c>
      <c r="R21" s="11" t="n">
        <v>1.0854</v>
      </c>
      <c r="T21" s="11" t="n">
        <v>0.4034</v>
      </c>
      <c r="V21" s="11" t="n">
        <v>-0.1929</v>
      </c>
      <c r="W21" s="11" t="n">
        <v>0.4772</v>
      </c>
      <c r="X21" s="11" t="n">
        <v>0.25</v>
      </c>
      <c r="Y21" s="11" t="n">
        <v>0.0009</v>
      </c>
      <c r="Z21" s="11" t="n">
        <v>-1.3809</v>
      </c>
      <c r="AA21" s="11" t="n">
        <v>-1.2246</v>
      </c>
      <c r="AB21" s="11" t="n">
        <v>-0.5604</v>
      </c>
      <c r="AC21" s="11" t="n">
        <v>-0.7347</v>
      </c>
      <c r="AD21" s="11" t="n">
        <v>0.4034</v>
      </c>
    </row>
    <row r="22">
      <c r="A22" s="10" t="inlineStr">
        <is>
          <t>투자유가증권 평가손익</t>
        </is>
      </c>
      <c r="F22" s="11" t="n">
        <v>0</v>
      </c>
      <c r="H22" s="11" t="n">
        <v>0</v>
      </c>
      <c r="J22" s="11" t="n">
        <v>0.4756</v>
      </c>
      <c r="L22" s="11" t="n">
        <v>0.504</v>
      </c>
      <c r="N22" s="11" t="n">
        <v>0</v>
      </c>
      <c r="P22" s="11" t="n">
        <v>0</v>
      </c>
      <c r="W22" s="11" t="n">
        <v>0</v>
      </c>
      <c r="X22" s="11" t="n">
        <v>0.2487</v>
      </c>
      <c r="Y22" s="11" t="n">
        <v>0</v>
      </c>
      <c r="AA22" s="11" t="n">
        <v>0</v>
      </c>
      <c r="AB22" s="11" t="n">
        <v>0.504</v>
      </c>
      <c r="AC22" s="11" t="n">
        <v>0</v>
      </c>
    </row>
    <row r="23">
      <c r="A23" s="10" t="inlineStr">
        <is>
          <t>투자유가증권 매각손익</t>
        </is>
      </c>
      <c r="D23" s="11" t="n">
        <v>-0.0109</v>
      </c>
      <c r="H23" s="11" t="n">
        <v>-0.1264</v>
      </c>
      <c r="L23" s="11" t="n">
        <v>0</v>
      </c>
      <c r="N23" s="11" t="n">
        <v>0</v>
      </c>
      <c r="P23" s="11" t="n">
        <v>0</v>
      </c>
      <c r="R23" s="11" t="n">
        <v>-0.446</v>
      </c>
      <c r="T23" s="11" t="n">
        <v>-0.8527</v>
      </c>
      <c r="V23" s="11" t="n">
        <v>0</v>
      </c>
      <c r="W23" s="11" t="n">
        <v>0</v>
      </c>
      <c r="X23" s="11" t="n">
        <v>-0.0296</v>
      </c>
      <c r="Y23" s="11" t="n">
        <v>-0.0492</v>
      </c>
      <c r="Z23" s="11" t="n">
        <v>-0.0109</v>
      </c>
      <c r="AA23" s="11" t="n">
        <v>-0.1264</v>
      </c>
      <c r="AB23" s="11" t="n">
        <v>0</v>
      </c>
      <c r="AC23" s="11" t="n">
        <v>0</v>
      </c>
      <c r="AD23" s="11" t="n">
        <v>-0.8527</v>
      </c>
    </row>
    <row r="24">
      <c r="A24" s="10" t="inlineStr">
        <is>
          <t>관계회사 주식 매각손익</t>
        </is>
      </c>
      <c r="P24" s="11" t="n">
        <v>0</v>
      </c>
      <c r="T24" s="11" t="n">
        <v>-1.3782</v>
      </c>
      <c r="AC24" s="11" t="n">
        <v>0</v>
      </c>
      <c r="AD24" s="11" t="n">
        <v>-1.3782</v>
      </c>
    </row>
    <row r="25">
      <c r="A25" s="10" t="inlineStr">
        <is>
          <t>고정자산 제각손실</t>
        </is>
      </c>
      <c r="D25" s="11" t="n">
        <v>0.3365</v>
      </c>
      <c r="F25" s="11" t="n">
        <v>0.0318</v>
      </c>
      <c r="H25" s="11" t="n">
        <v>0.8542999999999999</v>
      </c>
      <c r="J25" s="11" t="n">
        <v>0.6813</v>
      </c>
      <c r="L25" s="11" t="n">
        <v>0.9054</v>
      </c>
      <c r="N25" s="11" t="n">
        <v>0.0155</v>
      </c>
      <c r="P25" s="11" t="n">
        <v>0.1511</v>
      </c>
      <c r="R25" s="11" t="n">
        <v>0.1066</v>
      </c>
      <c r="T25" s="11" t="n">
        <v>0.235</v>
      </c>
      <c r="V25" s="11" t="n">
        <v>0.0697</v>
      </c>
      <c r="W25" s="11" t="n">
        <v>0.0362</v>
      </c>
      <c r="X25" s="11" t="n">
        <v>0.2139</v>
      </c>
      <c r="Y25" s="11" t="n">
        <v>0.5204</v>
      </c>
      <c r="Z25" s="11" t="n">
        <v>0.3365</v>
      </c>
      <c r="AA25" s="11" t="n">
        <v>0.8542999999999999</v>
      </c>
      <c r="AB25" s="11" t="n">
        <v>0.9054</v>
      </c>
      <c r="AC25" s="11" t="n">
        <v>0.1511</v>
      </c>
      <c r="AD25" s="11" t="n">
        <v>0.235</v>
      </c>
    </row>
    <row r="26">
      <c r="A26" s="10" t="inlineStr">
        <is>
          <t>고정자산 매각손익</t>
        </is>
      </c>
      <c r="D26" s="11" t="n">
        <v>-0.0069</v>
      </c>
      <c r="F26" s="11" t="n">
        <v>-0.7416</v>
      </c>
      <c r="H26" s="11" t="n">
        <v>-0.7045</v>
      </c>
      <c r="J26" s="11" t="n">
        <v>0</v>
      </c>
      <c r="L26" s="11" t="n">
        <v>0.0021</v>
      </c>
      <c r="N26" s="11" t="n">
        <v>-0.0051</v>
      </c>
      <c r="P26" s="11" t="n">
        <v>0.1606</v>
      </c>
      <c r="R26" s="11" t="n">
        <v>-1.0496</v>
      </c>
      <c r="T26" s="11" t="n">
        <v>-1.1383</v>
      </c>
      <c r="V26" s="11" t="n">
        <v>-0.001</v>
      </c>
      <c r="W26" s="11" t="n">
        <v>-0.0144</v>
      </c>
      <c r="X26" s="11" t="n">
        <v>0.001</v>
      </c>
      <c r="Y26" s="11" t="n">
        <v>-0.0034</v>
      </c>
      <c r="Z26" s="11" t="n">
        <v>-0.0069</v>
      </c>
      <c r="AA26" s="11" t="n">
        <v>-0.7045</v>
      </c>
      <c r="AB26" s="11" t="n">
        <v>0.0021</v>
      </c>
      <c r="AC26" s="11" t="n">
        <v>0.1606</v>
      </c>
      <c r="AD26" s="11" t="n">
        <v>-1.1383</v>
      </c>
    </row>
    <row r="27">
      <c r="A27" s="10" t="inlineStr">
        <is>
          <t>공장 이전비용</t>
        </is>
      </c>
      <c r="W27" s="11" t="n">
        <v>0.3788</v>
      </c>
      <c r="X27" s="11" t="n">
        <v>0</v>
      </c>
    </row>
    <row r="28">
      <c r="A28" s="10" t="inlineStr">
        <is>
          <t>매출채권 증감</t>
        </is>
      </c>
      <c r="D28" s="11" t="n">
        <v>3.5291</v>
      </c>
      <c r="F28" s="11" t="n">
        <v>-9.488</v>
      </c>
      <c r="H28" s="11" t="n">
        <v>-3.241</v>
      </c>
      <c r="J28" s="11" t="n">
        <v>-1.1031</v>
      </c>
      <c r="L28" s="11" t="n">
        <v>-2.1397</v>
      </c>
      <c r="N28" s="11" t="n">
        <v>-16.2905</v>
      </c>
      <c r="P28" s="11" t="n">
        <v>-9.043200000000001</v>
      </c>
      <c r="R28" s="11" t="n">
        <v>-4.6966</v>
      </c>
      <c r="T28" s="11" t="n">
        <v>-3.595</v>
      </c>
      <c r="V28" s="11" t="n">
        <v>-11.3413</v>
      </c>
      <c r="W28" s="11" t="n">
        <v>-1.6837</v>
      </c>
      <c r="X28" s="11" t="n">
        <v>-9.081099999999999</v>
      </c>
      <c r="Y28" s="11" t="n">
        <v>-1.9461</v>
      </c>
      <c r="Z28" s="11" t="n">
        <v>3.5291</v>
      </c>
      <c r="AA28" s="11" t="n">
        <v>-3.241</v>
      </c>
      <c r="AB28" s="11" t="n">
        <v>-2.1397</v>
      </c>
      <c r="AC28" s="11" t="n">
        <v>-9.043200000000001</v>
      </c>
      <c r="AD28" s="11" t="n">
        <v>-3.595</v>
      </c>
    </row>
    <row r="29">
      <c r="A29" s="10" t="inlineStr">
        <is>
          <t>재고자산 증감</t>
        </is>
      </c>
      <c r="D29" s="11" t="n">
        <v>-9.9741</v>
      </c>
      <c r="F29" s="11" t="n">
        <v>-4.2353</v>
      </c>
      <c r="H29" s="11" t="n">
        <v>-3.5212</v>
      </c>
      <c r="J29" s="11" t="n">
        <v>3.1358</v>
      </c>
      <c r="L29" s="11" t="n">
        <v>5.6097</v>
      </c>
      <c r="N29" s="11" t="n">
        <v>0.2093</v>
      </c>
      <c r="P29" s="11" t="n">
        <v>-4.1631</v>
      </c>
      <c r="R29" s="11" t="n">
        <v>-1.12</v>
      </c>
      <c r="T29" s="11" t="n">
        <v>-0.6676</v>
      </c>
      <c r="V29" s="11" t="n">
        <v>-7.4631</v>
      </c>
      <c r="W29" s="11" t="n">
        <v>-1.9163</v>
      </c>
      <c r="X29" s="11" t="n">
        <v>-0.6405</v>
      </c>
      <c r="Y29" s="11" t="n">
        <v>-2.588</v>
      </c>
      <c r="Z29" s="11" t="n">
        <v>-9.9741</v>
      </c>
      <c r="AA29" s="11" t="n">
        <v>-3.5212</v>
      </c>
      <c r="AB29" s="11" t="n">
        <v>5.6097</v>
      </c>
      <c r="AC29" s="11" t="n">
        <v>-4.1631</v>
      </c>
      <c r="AD29" s="11" t="n">
        <v>-0.6676</v>
      </c>
    </row>
    <row r="30">
      <c r="A30" s="10" t="inlineStr">
        <is>
          <t>매입채무 증감</t>
        </is>
      </c>
      <c r="D30" s="11" t="n">
        <v>5.9085</v>
      </c>
      <c r="F30" s="11" t="n">
        <v>5.0424</v>
      </c>
      <c r="H30" s="11" t="n">
        <v>-0.5347</v>
      </c>
      <c r="J30" s="11" t="n">
        <v>0.1802</v>
      </c>
      <c r="L30" s="11" t="n">
        <v>5.7305</v>
      </c>
      <c r="N30" s="11" t="n">
        <v>5.5759</v>
      </c>
      <c r="P30" s="11" t="n">
        <v>0.0756</v>
      </c>
      <c r="R30" s="11" t="n">
        <v>-1.6589</v>
      </c>
      <c r="T30" s="11" t="n">
        <v>-6.8091</v>
      </c>
      <c r="V30" s="11" t="n">
        <v>1.9265</v>
      </c>
      <c r="W30" s="11" t="n">
        <v>2.6217</v>
      </c>
      <c r="X30" s="11" t="n">
        <v>-0.2912</v>
      </c>
      <c r="Y30" s="11" t="n">
        <v>3.0251</v>
      </c>
      <c r="Z30" s="11" t="n">
        <v>5.9085</v>
      </c>
      <c r="AA30" s="11" t="n">
        <v>-0.5347</v>
      </c>
      <c r="AB30" s="11" t="n">
        <v>5.7305</v>
      </c>
      <c r="AC30" s="11" t="n">
        <v>0.0756</v>
      </c>
      <c r="AD30" s="11" t="n">
        <v>-6.8091</v>
      </c>
    </row>
    <row r="31">
      <c r="A31" s="10" t="inlineStr">
        <is>
          <t>미지급 소비세 증감</t>
        </is>
      </c>
      <c r="D31" s="11" t="n">
        <v>1.5323</v>
      </c>
      <c r="F31" s="11" t="n">
        <v>-0.9103</v>
      </c>
      <c r="H31" s="11" t="n">
        <v>-1.2929</v>
      </c>
      <c r="J31" s="11" t="n">
        <v>0.3707</v>
      </c>
      <c r="L31" s="11" t="n">
        <v>-0.0177</v>
      </c>
      <c r="N31" s="11" t="n">
        <v>0.3577</v>
      </c>
      <c r="P31" s="11" t="n">
        <v>0.9454</v>
      </c>
      <c r="R31" s="11" t="n">
        <v>-0.2484</v>
      </c>
      <c r="T31" s="11" t="n">
        <v>0.2753</v>
      </c>
      <c r="V31" s="11" t="n">
        <v>-0.1519</v>
      </c>
      <c r="W31" s="11" t="n">
        <v>-0.303</v>
      </c>
      <c r="X31" s="11" t="n">
        <v>0.8114</v>
      </c>
      <c r="Y31" s="11" t="n">
        <v>-0.8376</v>
      </c>
      <c r="Z31" s="11" t="n">
        <v>1.5323</v>
      </c>
      <c r="AA31" s="11" t="n">
        <v>-1.2929</v>
      </c>
      <c r="AB31" s="11" t="n">
        <v>-0.0177</v>
      </c>
      <c r="AC31" s="11" t="n">
        <v>0.9454</v>
      </c>
      <c r="AD31" s="11" t="n">
        <v>0.2753</v>
      </c>
    </row>
    <row r="32">
      <c r="A32" s="10" t="inlineStr">
        <is>
          <t>기타</t>
        </is>
      </c>
      <c r="D32" s="11" t="n">
        <v>1.061</v>
      </c>
      <c r="F32" s="11" t="n">
        <v>-1.5296</v>
      </c>
      <c r="H32" s="11" t="n">
        <v>0.0514</v>
      </c>
      <c r="J32" s="11" t="n">
        <v>-2.0254</v>
      </c>
      <c r="L32" s="11" t="n">
        <v>0.1525</v>
      </c>
      <c r="N32" s="11" t="n">
        <v>-2.7775</v>
      </c>
      <c r="P32" s="11" t="n">
        <v>0.9032</v>
      </c>
      <c r="R32" s="11" t="n">
        <v>-2.254</v>
      </c>
      <c r="T32" s="11" t="n">
        <v>1.4186</v>
      </c>
      <c r="V32" s="11" t="n">
        <v>-1.9411</v>
      </c>
      <c r="W32" s="11" t="n">
        <v>0.1043</v>
      </c>
      <c r="X32" s="11" t="n">
        <v>-2.4091</v>
      </c>
      <c r="Y32" s="11" t="n">
        <v>3.0284</v>
      </c>
      <c r="Z32" s="11" t="n">
        <v>1.061</v>
      </c>
      <c r="AA32" s="11" t="n">
        <v>0.0514</v>
      </c>
      <c r="AB32" s="11" t="n">
        <v>0.1525</v>
      </c>
      <c r="AC32" s="11" t="n">
        <v>0.9032</v>
      </c>
      <c r="AD32" s="11" t="n">
        <v>1.4186</v>
      </c>
    </row>
    <row r="33">
      <c r="A33" s="10" t="inlineStr">
        <is>
          <t>소계</t>
        </is>
      </c>
      <c r="D33" s="11" t="n">
        <v>38.634</v>
      </c>
      <c r="F33" s="11" t="n">
        <v>8.510999999999999</v>
      </c>
      <c r="H33" s="11" t="n">
        <v>25.3002</v>
      </c>
      <c r="J33" s="11" t="n">
        <v>18.6062</v>
      </c>
      <c r="L33" s="11" t="n">
        <v>41.8779</v>
      </c>
      <c r="N33" s="11" t="n">
        <v>10.0249</v>
      </c>
      <c r="P33" s="11" t="n">
        <v>31.254</v>
      </c>
      <c r="R33" s="11" t="n">
        <v>14.0279</v>
      </c>
      <c r="T33" s="11" t="n">
        <v>34.717</v>
      </c>
      <c r="V33" s="11" t="n">
        <v>12.915</v>
      </c>
      <c r="W33" s="11" t="n">
        <v>24.9322</v>
      </c>
      <c r="X33" s="11" t="n">
        <v>14.9682</v>
      </c>
      <c r="Y33" s="11" t="n">
        <v>28.7012</v>
      </c>
      <c r="Z33" s="11" t="n">
        <v>38.634</v>
      </c>
      <c r="AA33" s="11" t="n">
        <v>25.3002</v>
      </c>
      <c r="AB33" s="11" t="n">
        <v>41.8779</v>
      </c>
      <c r="AC33" s="11" t="n">
        <v>31.254</v>
      </c>
      <c r="AD33" s="11" t="n">
        <v>34.717</v>
      </c>
    </row>
    <row r="34">
      <c r="A34" s="10" t="inlineStr">
        <is>
          <t>이자·배당금 수취</t>
        </is>
      </c>
      <c r="D34" s="11" t="n">
        <v>0.2139</v>
      </c>
      <c r="F34" s="11" t="n">
        <v>0.1813</v>
      </c>
      <c r="H34" s="11" t="n">
        <v>0.2975</v>
      </c>
      <c r="J34" s="11" t="n">
        <v>0.1657</v>
      </c>
      <c r="L34" s="11" t="n">
        <v>0.2949</v>
      </c>
      <c r="N34" s="11" t="n">
        <v>0.227</v>
      </c>
      <c r="P34" s="11" t="n">
        <v>0.4156</v>
      </c>
      <c r="R34" s="11" t="n">
        <v>0.2145</v>
      </c>
      <c r="T34" s="11" t="n">
        <v>0.343</v>
      </c>
      <c r="V34" s="11" t="n">
        <v>0.2141</v>
      </c>
      <c r="W34" s="11" t="n">
        <v>0.1598</v>
      </c>
      <c r="X34" s="11" t="n">
        <v>0.2052</v>
      </c>
      <c r="Y34" s="11" t="n">
        <v>0.2183</v>
      </c>
      <c r="Z34" s="11" t="n">
        <v>0.2139</v>
      </c>
      <c r="AA34" s="11" t="n">
        <v>0.2975</v>
      </c>
      <c r="AB34" s="11" t="n">
        <v>0.2949</v>
      </c>
      <c r="AC34" s="11" t="n">
        <v>0.4156</v>
      </c>
      <c r="AD34" s="11" t="n">
        <v>0.343</v>
      </c>
    </row>
    <row r="35">
      <c r="A35" s="10" t="inlineStr">
        <is>
          <t>이자 지급</t>
        </is>
      </c>
      <c r="D35" s="11" t="n">
        <v>-0.6456</v>
      </c>
      <c r="F35" s="11" t="n">
        <v>-0.3822</v>
      </c>
      <c r="H35" s="11" t="n">
        <v>-0.6762</v>
      </c>
      <c r="J35" s="11" t="n">
        <v>-0.2895</v>
      </c>
      <c r="L35" s="11" t="n">
        <v>-0.5936</v>
      </c>
      <c r="N35" s="11" t="n">
        <v>-0.3844</v>
      </c>
      <c r="P35" s="11" t="n">
        <v>-0.7773</v>
      </c>
      <c r="R35" s="11" t="n">
        <v>-0.359</v>
      </c>
      <c r="T35" s="11" t="n">
        <v>-0.7622</v>
      </c>
      <c r="V35" s="11" t="n">
        <v>-0.5177</v>
      </c>
      <c r="W35" s="11" t="n">
        <v>-0.6665</v>
      </c>
      <c r="X35" s="11" t="n">
        <v>-0.7695</v>
      </c>
      <c r="Y35" s="11" t="n">
        <v>-0.7033</v>
      </c>
      <c r="Z35" s="11" t="n">
        <v>-0.6456</v>
      </c>
      <c r="AA35" s="11" t="n">
        <v>-0.6762</v>
      </c>
      <c r="AB35" s="11" t="n">
        <v>-0.5936</v>
      </c>
      <c r="AC35" s="11" t="n">
        <v>-0.7773</v>
      </c>
      <c r="AD35" s="11" t="n">
        <v>-0.7622</v>
      </c>
    </row>
    <row r="36">
      <c r="A36" s="10" t="inlineStr">
        <is>
          <t>법인세 납부</t>
        </is>
      </c>
      <c r="D36" s="11" t="n">
        <v>-4.8006</v>
      </c>
      <c r="F36" s="11" t="n">
        <v>-5.5907</v>
      </c>
      <c r="H36" s="11" t="n">
        <v>-9.444000000000001</v>
      </c>
      <c r="J36" s="11" t="n">
        <v>-3.3317</v>
      </c>
      <c r="L36" s="11" t="n">
        <v>-6.9973</v>
      </c>
      <c r="N36" s="11" t="n">
        <v>-3.202</v>
      </c>
      <c r="P36" s="11" t="n">
        <v>-7.3525</v>
      </c>
      <c r="R36" s="11" t="n">
        <v>-4.3883</v>
      </c>
      <c r="T36" s="11" t="n">
        <v>-8.7683</v>
      </c>
      <c r="V36" s="11" t="n">
        <v>-4.3114</v>
      </c>
      <c r="W36" s="11" t="n">
        <v>-3.7518</v>
      </c>
      <c r="X36" s="11" t="n">
        <v>-5.4395</v>
      </c>
      <c r="Y36" s="11" t="n">
        <v>-3.8558</v>
      </c>
      <c r="Z36" s="11" t="n">
        <v>-4.8006</v>
      </c>
      <c r="AA36" s="11" t="n">
        <v>-9.444000000000001</v>
      </c>
      <c r="AB36" s="11" t="n">
        <v>-6.9973</v>
      </c>
      <c r="AC36" s="11" t="n">
        <v>-7.3525</v>
      </c>
      <c r="AD36" s="11" t="n">
        <v>-8.7683</v>
      </c>
    </row>
    <row r="37">
      <c r="A37" s="10" t="inlineStr">
        <is>
          <t>공장 이전비용 지급</t>
        </is>
      </c>
      <c r="W37" s="11" t="n">
        <v>-0.3788</v>
      </c>
      <c r="X37" s="11" t="n">
        <v>0</v>
      </c>
    </row>
    <row r="38">
      <c r="A38" s="10" t="inlineStr">
        <is>
          <t>영업활동 현금흐름</t>
        </is>
      </c>
      <c r="D38" s="11" t="n">
        <v>33.4017</v>
      </c>
      <c r="F38" s="11" t="n">
        <v>2.7193</v>
      </c>
      <c r="H38" s="11" t="n">
        <v>15.4775</v>
      </c>
      <c r="J38" s="11" t="n">
        <v>15.1507</v>
      </c>
      <c r="L38" s="11" t="n">
        <v>34.5819</v>
      </c>
      <c r="N38" s="11" t="n">
        <v>6.6656</v>
      </c>
      <c r="P38" s="11" t="n">
        <v>23.5398</v>
      </c>
      <c r="R38" s="11" t="n">
        <v>9.495100000000001</v>
      </c>
      <c r="T38" s="11" t="n">
        <v>25.5295</v>
      </c>
      <c r="V38" s="11" t="n">
        <v>8.300000000000001</v>
      </c>
      <c r="W38" s="11" t="n">
        <v>20.2948</v>
      </c>
      <c r="X38" s="11" t="n">
        <v>8.964399999999999</v>
      </c>
      <c r="Y38" s="11" t="n">
        <v>24.3605</v>
      </c>
      <c r="Z38" s="11" t="n">
        <v>33.4017</v>
      </c>
      <c r="AA38" s="11" t="n">
        <v>15.4775</v>
      </c>
      <c r="AB38" s="11" t="n">
        <v>34.5819</v>
      </c>
      <c r="AC38" s="11" t="n">
        <v>23.5398</v>
      </c>
      <c r="AD38" s="11" t="n">
        <v>25.5295</v>
      </c>
    </row>
    <row r="39">
      <c r="A39" s="10" t="inlineStr">
        <is>
          <t>유형자산 취득(설비투자)</t>
        </is>
      </c>
      <c r="D39" s="11" t="n">
        <v>-15.2245</v>
      </c>
      <c r="W39" s="11" t="n">
        <v>-21.1706</v>
      </c>
      <c r="X39" s="11" t="n">
        <v>-9.8287</v>
      </c>
      <c r="Y39" s="11" t="n">
        <v>-15.4116</v>
      </c>
      <c r="Z39" s="11" t="n">
        <v>-15.2245</v>
      </c>
    </row>
    <row r="40">
      <c r="A40" s="10" t="inlineStr">
        <is>
          <t>유형자산 매각</t>
        </is>
      </c>
      <c r="D40" s="11" t="n">
        <v>0.1384</v>
      </c>
      <c r="W40" s="11" t="n">
        <v>0.1583</v>
      </c>
      <c r="X40" s="11" t="n">
        <v>0.0029</v>
      </c>
      <c r="Y40" s="11" t="n">
        <v>0.008</v>
      </c>
      <c r="Z40" s="11" t="n">
        <v>0.1384</v>
      </c>
    </row>
    <row r="41">
      <c r="A41" s="10" t="inlineStr">
        <is>
          <t>유형자산 제각 지출</t>
        </is>
      </c>
      <c r="D41" s="11" t="n">
        <v>-0.048</v>
      </c>
      <c r="W41" s="11" t="n">
        <v>-0.0071</v>
      </c>
      <c r="X41" s="11" t="n">
        <v>-0.0776</v>
      </c>
      <c r="Y41" s="11" t="n">
        <v>-0.0529</v>
      </c>
      <c r="Z41" s="11" t="n">
        <v>-0.048</v>
      </c>
    </row>
    <row r="42">
      <c r="A42" s="10" t="inlineStr">
        <is>
          <t>무형자산 취득</t>
        </is>
      </c>
      <c r="D42" s="11" t="n">
        <v>-0.3695</v>
      </c>
      <c r="W42" s="11" t="n">
        <v>-0.7093</v>
      </c>
      <c r="X42" s="11" t="n">
        <v>-0.3908</v>
      </c>
      <c r="Y42" s="11" t="n">
        <v>-0.6758</v>
      </c>
      <c r="Z42" s="11" t="n">
        <v>-0.3695</v>
      </c>
    </row>
    <row r="43">
      <c r="A43" s="10" t="inlineStr">
        <is>
          <t>고정자산 취득</t>
        </is>
      </c>
      <c r="D43" s="11" t="n">
        <v>-15.594</v>
      </c>
      <c r="F43" s="11" t="n">
        <v>-5.2577</v>
      </c>
      <c r="H43" s="11" t="n">
        <v>-12.1396</v>
      </c>
      <c r="J43" s="11" t="n">
        <v>-8.1494</v>
      </c>
      <c r="L43" s="11" t="n">
        <v>-10.8555</v>
      </c>
      <c r="N43" s="11" t="n">
        <v>-5.1254</v>
      </c>
      <c r="P43" s="11" t="n">
        <v>-11.649</v>
      </c>
      <c r="R43" s="11" t="n">
        <v>-10.4233</v>
      </c>
      <c r="T43" s="11" t="n">
        <v>-13.8834</v>
      </c>
      <c r="V43" s="11" t="n">
        <v>-11.8195</v>
      </c>
      <c r="Z43" s="11" t="n">
        <v>-15.594</v>
      </c>
      <c r="AA43" s="11" t="n">
        <v>-12.1396</v>
      </c>
      <c r="AB43" s="11" t="n">
        <v>-10.8555</v>
      </c>
      <c r="AC43" s="11" t="n">
        <v>-11.649</v>
      </c>
      <c r="AD43" s="11" t="n">
        <v>-13.8834</v>
      </c>
    </row>
    <row r="44">
      <c r="A44" s="10" t="inlineStr">
        <is>
          <t>고정자산 매각</t>
        </is>
      </c>
      <c r="D44" s="11" t="n">
        <v>0.1384</v>
      </c>
      <c r="F44" s="11" t="n">
        <v>3.6378</v>
      </c>
      <c r="H44" s="11" t="n">
        <v>3.4224</v>
      </c>
      <c r="J44" s="11" t="n">
        <v>0</v>
      </c>
      <c r="L44" s="11" t="n">
        <v>0.0327</v>
      </c>
      <c r="N44" s="11" t="n">
        <v>0.1242</v>
      </c>
      <c r="P44" s="11" t="n">
        <v>0.1349</v>
      </c>
      <c r="R44" s="11" t="n">
        <v>2.2159</v>
      </c>
      <c r="T44" s="11" t="n">
        <v>2.1259</v>
      </c>
      <c r="V44" s="11" t="n">
        <v>2.7481</v>
      </c>
      <c r="Z44" s="11" t="n">
        <v>0.1384</v>
      </c>
      <c r="AA44" s="11" t="n">
        <v>3.4224</v>
      </c>
      <c r="AB44" s="11" t="n">
        <v>0.0327</v>
      </c>
      <c r="AC44" s="11" t="n">
        <v>0.1349</v>
      </c>
      <c r="AD44" s="11" t="n">
        <v>2.1259</v>
      </c>
    </row>
    <row r="45">
      <c r="A45" s="10" t="inlineStr">
        <is>
          <t>고정자산 제각 지출</t>
        </is>
      </c>
      <c r="D45" s="11" t="n">
        <v>-0.048</v>
      </c>
      <c r="F45" s="11" t="n">
        <v>-0.0054</v>
      </c>
      <c r="H45" s="11" t="n">
        <v>-0.0382</v>
      </c>
      <c r="J45" s="11" t="n">
        <v>-0.0693</v>
      </c>
      <c r="L45" s="11" t="n">
        <v>-0.1821</v>
      </c>
      <c r="N45" s="11" t="n">
        <v>-0.0007</v>
      </c>
      <c r="P45" s="11" t="n">
        <v>-0.007</v>
      </c>
      <c r="R45" s="11" t="n">
        <v>-0.0054</v>
      </c>
      <c r="T45" s="11" t="n">
        <v>-0.1237</v>
      </c>
      <c r="V45" s="11" t="n">
        <v>-0.0076</v>
      </c>
      <c r="Z45" s="11" t="n">
        <v>-0.048</v>
      </c>
      <c r="AA45" s="11" t="n">
        <v>-0.0382</v>
      </c>
      <c r="AB45" s="11" t="n">
        <v>-0.1821</v>
      </c>
      <c r="AC45" s="11" t="n">
        <v>-0.007</v>
      </c>
      <c r="AD45" s="11" t="n">
        <v>-0.1237</v>
      </c>
    </row>
    <row r="46">
      <c r="A46" s="10" t="inlineStr">
        <is>
          <t>투자유가증권 취득</t>
        </is>
      </c>
      <c r="D46" s="11" t="n">
        <v>-0.1858</v>
      </c>
      <c r="F46" s="11" t="n">
        <v>-0.1178</v>
      </c>
      <c r="H46" s="11" t="n">
        <v>-0.2094</v>
      </c>
      <c r="J46" s="11" t="n">
        <v>-1.6279</v>
      </c>
      <c r="L46" s="11" t="n">
        <v>-12.8277</v>
      </c>
      <c r="N46" s="11" t="n">
        <v>-0.1296</v>
      </c>
      <c r="P46" s="11" t="n">
        <v>-0.2314</v>
      </c>
      <c r="R46" s="11" t="n">
        <v>-0.1409</v>
      </c>
      <c r="T46" s="11" t="n">
        <v>-0.2387</v>
      </c>
      <c r="V46" s="11" t="n">
        <v>-1.1454</v>
      </c>
      <c r="W46" s="11" t="n">
        <v>-0.1605</v>
      </c>
      <c r="X46" s="11" t="n">
        <v>-1.3653</v>
      </c>
      <c r="Y46" s="11" t="n">
        <v>-0.1784</v>
      </c>
      <c r="Z46" s="11" t="n">
        <v>-0.1858</v>
      </c>
      <c r="AA46" s="11" t="n">
        <v>-0.2094</v>
      </c>
      <c r="AB46" s="11" t="n">
        <v>-12.8277</v>
      </c>
      <c r="AC46" s="11" t="n">
        <v>-0.2314</v>
      </c>
      <c r="AD46" s="11" t="n">
        <v>-0.2387</v>
      </c>
    </row>
    <row r="47">
      <c r="A47" s="10" t="inlineStr">
        <is>
          <t>투자유가증권 매각</t>
        </is>
      </c>
      <c r="D47" s="11" t="n">
        <v>0.026</v>
      </c>
      <c r="H47" s="11" t="n">
        <v>0.7357</v>
      </c>
      <c r="L47" s="11" t="n">
        <v>0</v>
      </c>
      <c r="N47" s="11" t="n">
        <v>0</v>
      </c>
      <c r="P47" s="11" t="n">
        <v>0</v>
      </c>
      <c r="R47" s="11" t="n">
        <v>1.1264</v>
      </c>
      <c r="T47" s="11" t="n">
        <v>1.1664</v>
      </c>
      <c r="V47" s="11" t="n">
        <v>0.8173</v>
      </c>
      <c r="W47" s="11" t="n">
        <v>0</v>
      </c>
      <c r="X47" s="11" t="n">
        <v>0.0448</v>
      </c>
      <c r="Y47" s="11" t="n">
        <v>0.0577</v>
      </c>
      <c r="Z47" s="11" t="n">
        <v>0.026</v>
      </c>
      <c r="AA47" s="11" t="n">
        <v>0.7357</v>
      </c>
      <c r="AB47" s="11" t="n">
        <v>0</v>
      </c>
      <c r="AC47" s="11" t="n">
        <v>0</v>
      </c>
      <c r="AD47" s="11" t="n">
        <v>1.1664</v>
      </c>
    </row>
    <row r="48">
      <c r="A48" s="10" t="inlineStr">
        <is>
          <t>사업양수 지출</t>
        </is>
      </c>
      <c r="W48" s="11" t="n">
        <v>-1.45</v>
      </c>
      <c r="X48" s="11" t="n">
        <v>0</v>
      </c>
    </row>
    <row r="49">
      <c r="A49" s="10" t="inlineStr">
        <is>
          <t>대여</t>
        </is>
      </c>
      <c r="D49" s="11" t="n">
        <v>-0.06</v>
      </c>
      <c r="F49" s="11" t="n">
        <v>0</v>
      </c>
      <c r="H49" s="11" t="n">
        <v>0</v>
      </c>
      <c r="N49" s="11" t="n">
        <v>0</v>
      </c>
      <c r="P49" s="11" t="n">
        <v>0</v>
      </c>
      <c r="R49" s="11" t="n">
        <v>-0.02</v>
      </c>
      <c r="T49" s="11" t="n">
        <v>-0.02</v>
      </c>
      <c r="V49" s="11" t="n">
        <v>0</v>
      </c>
      <c r="W49" s="11" t="n">
        <v>-0.03</v>
      </c>
      <c r="X49" s="11" t="n">
        <v>0</v>
      </c>
      <c r="Y49" s="11" t="n">
        <v>0</v>
      </c>
      <c r="Z49" s="11" t="n">
        <v>-0.06</v>
      </c>
      <c r="AA49" s="11" t="n">
        <v>0</v>
      </c>
      <c r="AC49" s="11" t="n">
        <v>0</v>
      </c>
      <c r="AD49" s="11" t="n">
        <v>-0.02</v>
      </c>
    </row>
    <row r="50">
      <c r="A50" s="10" t="inlineStr">
        <is>
          <t>대여금 회수</t>
        </is>
      </c>
      <c r="D50" s="11" t="n">
        <v>0.023</v>
      </c>
      <c r="F50" s="11" t="n">
        <v>0.009599999999999999</v>
      </c>
      <c r="H50" s="11" t="n">
        <v>0.0193</v>
      </c>
      <c r="J50" s="11" t="n">
        <v>0.009599999999999999</v>
      </c>
      <c r="L50" s="11" t="n">
        <v>0.0174</v>
      </c>
      <c r="N50" s="11" t="n">
        <v>0.007</v>
      </c>
      <c r="P50" s="11" t="n">
        <v>0.0141</v>
      </c>
      <c r="R50" s="11" t="n">
        <v>0.0211</v>
      </c>
      <c r="T50" s="11" t="n">
        <v>0.0271</v>
      </c>
      <c r="V50" s="11" t="n">
        <v>0.006</v>
      </c>
      <c r="W50" s="11" t="n">
        <v>0.0257</v>
      </c>
      <c r="X50" s="11" t="n">
        <v>0.0263</v>
      </c>
      <c r="Y50" s="11" t="n">
        <v>0.0218</v>
      </c>
      <c r="Z50" s="11" t="n">
        <v>0.023</v>
      </c>
      <c r="AA50" s="11" t="n">
        <v>0.0193</v>
      </c>
      <c r="AB50" s="11" t="n">
        <v>0.0174</v>
      </c>
      <c r="AC50" s="11" t="n">
        <v>0.0141</v>
      </c>
      <c r="AD50" s="11" t="n">
        <v>0.0271</v>
      </c>
    </row>
    <row r="51">
      <c r="A51" s="10" t="inlineStr">
        <is>
          <t>정기예금 인출</t>
        </is>
      </c>
      <c r="D51" s="11" t="n">
        <v>0</v>
      </c>
      <c r="F51" s="11" t="n">
        <v>0.1175</v>
      </c>
      <c r="H51" s="11" t="n">
        <v>0.1407</v>
      </c>
      <c r="J51" s="11" t="n">
        <v>0</v>
      </c>
      <c r="L51" s="11" t="n">
        <v>0</v>
      </c>
      <c r="Z51" s="11" t="n">
        <v>0</v>
      </c>
      <c r="AA51" s="11" t="n">
        <v>0.1407</v>
      </c>
      <c r="AB51" s="11" t="n">
        <v>0</v>
      </c>
    </row>
    <row r="52">
      <c r="A52" s="10" t="inlineStr">
        <is>
          <t>정기예금 예입</t>
        </is>
      </c>
      <c r="D52" s="11" t="n">
        <v>-0.7338</v>
      </c>
      <c r="F52" s="11" t="n">
        <v>0</v>
      </c>
      <c r="H52" s="11" t="n">
        <v>0</v>
      </c>
      <c r="R52" s="11" t="n">
        <v>0</v>
      </c>
      <c r="V52" s="11" t="n">
        <v>-0.1657</v>
      </c>
      <c r="Y52" s="11" t="n">
        <v>0</v>
      </c>
      <c r="Z52" s="11" t="n">
        <v>-0.7338</v>
      </c>
      <c r="AA52" s="11" t="n">
        <v>0</v>
      </c>
    </row>
    <row r="53">
      <c r="A53" s="10" t="inlineStr">
        <is>
          <t>보증금 납입</t>
        </is>
      </c>
      <c r="D53" s="11" t="n">
        <v>-0.0109</v>
      </c>
      <c r="F53" s="11" t="n">
        <v>-0.0066</v>
      </c>
      <c r="H53" s="11" t="n">
        <v>-0.0765</v>
      </c>
      <c r="J53" s="11" t="n">
        <v>-0.0071</v>
      </c>
      <c r="L53" s="11" t="n">
        <v>-0.008</v>
      </c>
      <c r="N53" s="11" t="n">
        <v>-0.0023</v>
      </c>
      <c r="P53" s="11" t="n">
        <v>-0.0083</v>
      </c>
      <c r="R53" s="11" t="n">
        <v>-0.0045</v>
      </c>
      <c r="T53" s="11" t="n">
        <v>-0.0239</v>
      </c>
      <c r="V53" s="11" t="n">
        <v>-0.0119</v>
      </c>
      <c r="W53" s="11" t="n">
        <v>-0.0076</v>
      </c>
      <c r="X53" s="11" t="n">
        <v>-0.0405</v>
      </c>
      <c r="Y53" s="11" t="n">
        <v>-0.0471</v>
      </c>
      <c r="Z53" s="11" t="n">
        <v>-0.0109</v>
      </c>
      <c r="AA53" s="11" t="n">
        <v>-0.0765</v>
      </c>
      <c r="AB53" s="11" t="n">
        <v>-0.008</v>
      </c>
      <c r="AC53" s="11" t="n">
        <v>-0.0083</v>
      </c>
      <c r="AD53" s="11" t="n">
        <v>-0.0239</v>
      </c>
    </row>
    <row r="54">
      <c r="A54" s="10" t="inlineStr">
        <is>
          <t>보증금 회수</t>
        </is>
      </c>
      <c r="D54" s="11" t="n">
        <v>0.0548</v>
      </c>
      <c r="F54" s="11" t="n">
        <v>0.0238</v>
      </c>
      <c r="H54" s="11" t="n">
        <v>0.0277</v>
      </c>
      <c r="J54" s="11" t="n">
        <v>0.0046</v>
      </c>
      <c r="L54" s="11" t="n">
        <v>0.0118</v>
      </c>
      <c r="N54" s="11" t="n">
        <v>0.0366</v>
      </c>
      <c r="P54" s="11" t="n">
        <v>0.06569999999999999</v>
      </c>
      <c r="R54" s="11" t="n">
        <v>0.0217</v>
      </c>
      <c r="T54" s="11" t="n">
        <v>0.0219</v>
      </c>
      <c r="V54" s="11" t="n">
        <v>0.0065</v>
      </c>
      <c r="W54" s="11" t="n">
        <v>0.0057</v>
      </c>
      <c r="X54" s="11" t="n">
        <v>0.0037</v>
      </c>
      <c r="Y54" s="11" t="n">
        <v>0.0083</v>
      </c>
      <c r="Z54" s="11" t="n">
        <v>0.0548</v>
      </c>
      <c r="AA54" s="11" t="n">
        <v>0.0277</v>
      </c>
      <c r="AB54" s="11" t="n">
        <v>0.0118</v>
      </c>
      <c r="AC54" s="11" t="n">
        <v>0.06569999999999999</v>
      </c>
      <c r="AD54" s="11" t="n">
        <v>0.0219</v>
      </c>
    </row>
    <row r="55">
      <c r="A55" s="10" t="inlineStr">
        <is>
          <t>연결범위 변경 자회사 주식 취득(수입)</t>
        </is>
      </c>
      <c r="D55" s="11" t="n">
        <v>0</v>
      </c>
      <c r="X55" s="11" t="n">
        <v>0</v>
      </c>
      <c r="Y55" s="11" t="n">
        <v>0.726</v>
      </c>
      <c r="Z55" s="11" t="n">
        <v>0</v>
      </c>
    </row>
    <row r="56">
      <c r="A56" s="10" t="inlineStr">
        <is>
          <t>연결범위 변경 자회사 주식 매각(지출)</t>
        </is>
      </c>
      <c r="P56" s="11" t="n">
        <v>0</v>
      </c>
      <c r="T56" s="11" t="n">
        <v>-1.8133</v>
      </c>
      <c r="AC56" s="11" t="n">
        <v>0</v>
      </c>
      <c r="AD56" s="11" t="n">
        <v>-1.8133</v>
      </c>
    </row>
    <row r="57">
      <c r="A57" s="10" t="inlineStr">
        <is>
          <t>기타</t>
        </is>
      </c>
      <c r="D57" s="11" t="n">
        <v>0.1013</v>
      </c>
      <c r="F57" s="11" t="n">
        <v>0.3966</v>
      </c>
      <c r="H57" s="11" t="n">
        <v>0.3607</v>
      </c>
      <c r="J57" s="11" t="n">
        <v>0.0019</v>
      </c>
      <c r="L57" s="11" t="n">
        <v>-1.5193</v>
      </c>
      <c r="N57" s="11" t="n">
        <v>0.0047</v>
      </c>
      <c r="P57" s="11" t="n">
        <v>0.1154</v>
      </c>
      <c r="R57" s="11" t="n">
        <v>-0.0008</v>
      </c>
      <c r="T57" s="11" t="n">
        <v>0.0336</v>
      </c>
      <c r="V57" s="11" t="n">
        <v>-0.0091</v>
      </c>
      <c r="W57" s="11" t="n">
        <v>-0.1379</v>
      </c>
      <c r="X57" s="11" t="n">
        <v>-0.0382</v>
      </c>
      <c r="Y57" s="11" t="n">
        <v>-1.7379</v>
      </c>
      <c r="Z57" s="11" t="n">
        <v>0.1013</v>
      </c>
      <c r="AA57" s="11" t="n">
        <v>0.3607</v>
      </c>
      <c r="AB57" s="11" t="n">
        <v>-1.5193</v>
      </c>
      <c r="AC57" s="11" t="n">
        <v>0.1154</v>
      </c>
      <c r="AD57" s="11" t="n">
        <v>0.0336</v>
      </c>
    </row>
    <row r="58">
      <c r="A58" s="10" t="inlineStr">
        <is>
          <t>투자활동 현금흐름</t>
        </is>
      </c>
      <c r="D58" s="11" t="n">
        <v>-16.2891</v>
      </c>
      <c r="F58" s="11" t="n">
        <v>-1.2022</v>
      </c>
      <c r="H58" s="11" t="n">
        <v>-7.7572</v>
      </c>
      <c r="J58" s="11" t="n">
        <v>-9.8377</v>
      </c>
      <c r="L58" s="11" t="n">
        <v>-25.3309</v>
      </c>
      <c r="N58" s="11" t="n">
        <v>-5.0855</v>
      </c>
      <c r="P58" s="11" t="n">
        <v>-11.5655</v>
      </c>
      <c r="R58" s="11" t="n">
        <v>-7.2099</v>
      </c>
      <c r="T58" s="11" t="n">
        <v>-12.7281</v>
      </c>
      <c r="V58" s="11" t="n">
        <v>-9.5814</v>
      </c>
      <c r="W58" s="11" t="n">
        <v>-23.4833</v>
      </c>
      <c r="X58" s="11" t="n">
        <v>-11.6634</v>
      </c>
      <c r="Y58" s="11" t="n">
        <v>-17.2818</v>
      </c>
      <c r="Z58" s="11" t="n">
        <v>-16.2891</v>
      </c>
      <c r="AA58" s="11" t="n">
        <v>-7.7572</v>
      </c>
      <c r="AB58" s="11" t="n">
        <v>-25.3309</v>
      </c>
      <c r="AC58" s="11" t="n">
        <v>-11.5655</v>
      </c>
      <c r="AD58" s="11" t="n">
        <v>-12.7281</v>
      </c>
    </row>
    <row r="59">
      <c r="A59" s="10" t="inlineStr">
        <is>
          <t>단기차입금 순증감</t>
        </is>
      </c>
      <c r="D59" s="11" t="n">
        <v>0.9986</v>
      </c>
      <c r="F59" s="11" t="n">
        <v>-4.298</v>
      </c>
      <c r="H59" s="11" t="n">
        <v>2.4665</v>
      </c>
      <c r="J59" s="11" t="n">
        <v>-1.25</v>
      </c>
      <c r="L59" s="11" t="n">
        <v>-4.25</v>
      </c>
      <c r="N59" s="11" t="n">
        <v>-4.5373</v>
      </c>
      <c r="P59" s="11" t="n">
        <v>-7.3906</v>
      </c>
      <c r="R59" s="11" t="n">
        <v>0</v>
      </c>
      <c r="T59" s="11" t="n">
        <v>-6</v>
      </c>
      <c r="V59" s="11" t="n">
        <v>12.91</v>
      </c>
      <c r="W59" s="11" t="n">
        <v>2.7954</v>
      </c>
      <c r="X59" s="11" t="n">
        <v>0.5251</v>
      </c>
      <c r="Y59" s="11" t="n">
        <v>11.2395</v>
      </c>
      <c r="Z59" s="11" t="n">
        <v>0.9986</v>
      </c>
      <c r="AA59" s="11" t="n">
        <v>2.4665</v>
      </c>
      <c r="AB59" s="11" t="n">
        <v>-4.25</v>
      </c>
      <c r="AC59" s="11" t="n">
        <v>-7.3906</v>
      </c>
      <c r="AD59" s="11" t="n">
        <v>-6</v>
      </c>
    </row>
    <row r="60">
      <c r="A60" s="10" t="inlineStr">
        <is>
          <t>장기차입</t>
        </is>
      </c>
      <c r="D60" s="11" t="n">
        <v>7.2929</v>
      </c>
      <c r="F60" s="11" t="n">
        <v>4</v>
      </c>
      <c r="H60" s="11" t="n">
        <v>7</v>
      </c>
      <c r="J60" s="11" t="n">
        <v>4.5</v>
      </c>
      <c r="L60" s="11" t="n">
        <v>18.628</v>
      </c>
      <c r="N60" s="11" t="n">
        <v>6</v>
      </c>
      <c r="P60" s="11" t="n">
        <v>12</v>
      </c>
      <c r="R60" s="11" t="n">
        <v>6</v>
      </c>
      <c r="T60" s="11" t="n">
        <v>12</v>
      </c>
      <c r="V60" s="11" t="n">
        <v>6</v>
      </c>
      <c r="W60" s="11" t="n">
        <v>8.300000000000001</v>
      </c>
      <c r="X60" s="11" t="n">
        <v>7</v>
      </c>
      <c r="Y60" s="11" t="n">
        <v>7.29</v>
      </c>
      <c r="Z60" s="11" t="n">
        <v>7.2929</v>
      </c>
      <c r="AA60" s="11" t="n">
        <v>7</v>
      </c>
      <c r="AB60" s="11" t="n">
        <v>18.628</v>
      </c>
      <c r="AC60" s="11" t="n">
        <v>12</v>
      </c>
      <c r="AD60" s="11" t="n">
        <v>12</v>
      </c>
    </row>
    <row r="61">
      <c r="A61" s="10" t="inlineStr">
        <is>
          <t>장기차입금 상환</t>
        </is>
      </c>
      <c r="D61" s="11" t="n">
        <v>-10.6392</v>
      </c>
      <c r="F61" s="11" t="n">
        <v>-3.7682</v>
      </c>
      <c r="H61" s="11" t="n">
        <v>-7.4822</v>
      </c>
      <c r="J61" s="11" t="n">
        <v>-3.7502</v>
      </c>
      <c r="L61" s="11" t="n">
        <v>-7.7333</v>
      </c>
      <c r="N61" s="11" t="n">
        <v>-4.6764</v>
      </c>
      <c r="P61" s="11" t="n">
        <v>-9.6485</v>
      </c>
      <c r="R61" s="11" t="n">
        <v>-5.3962</v>
      </c>
      <c r="T61" s="11" t="n">
        <v>-10.4519</v>
      </c>
      <c r="V61" s="11" t="n">
        <v>-5.2108</v>
      </c>
      <c r="W61" s="11" t="n">
        <v>-8.619300000000001</v>
      </c>
      <c r="X61" s="11" t="n">
        <v>-8.356400000000001</v>
      </c>
      <c r="Y61" s="11" t="n">
        <v>-8.495900000000001</v>
      </c>
      <c r="Z61" s="11" t="n">
        <v>-10.6392</v>
      </c>
      <c r="AA61" s="11" t="n">
        <v>-7.4822</v>
      </c>
      <c r="AB61" s="11" t="n">
        <v>-7.7333</v>
      </c>
      <c r="AC61" s="11" t="n">
        <v>-9.6485</v>
      </c>
      <c r="AD61" s="11" t="n">
        <v>-10.4519</v>
      </c>
    </row>
    <row r="62">
      <c r="A62" s="10" t="inlineStr">
        <is>
          <t>리스부채 상환</t>
        </is>
      </c>
      <c r="D62" s="11" t="n">
        <v>-0.6147</v>
      </c>
      <c r="F62" s="11" t="n">
        <v>-0.4564</v>
      </c>
      <c r="H62" s="11" t="n">
        <v>-0.9552</v>
      </c>
      <c r="J62" s="11" t="n">
        <v>-0.4437</v>
      </c>
      <c r="L62" s="11" t="n">
        <v>-0.8727</v>
      </c>
      <c r="N62" s="11" t="n">
        <v>-0.3284</v>
      </c>
      <c r="P62" s="11" t="n">
        <v>-1.5843</v>
      </c>
      <c r="R62" s="11" t="n">
        <v>-0.3576</v>
      </c>
      <c r="T62" s="11" t="n">
        <v>-0.7155</v>
      </c>
      <c r="V62" s="11" t="n">
        <v>-1.3139</v>
      </c>
      <c r="W62" s="11" t="n">
        <v>-0.1072</v>
      </c>
      <c r="X62" s="11" t="n">
        <v>-0.4056</v>
      </c>
      <c r="Y62" s="11" t="n">
        <v>-0.6752</v>
      </c>
      <c r="Z62" s="11" t="n">
        <v>-0.6147</v>
      </c>
      <c r="AA62" s="11" t="n">
        <v>-0.9552</v>
      </c>
      <c r="AB62" s="11" t="n">
        <v>-0.8727</v>
      </c>
      <c r="AC62" s="11" t="n">
        <v>-1.5843</v>
      </c>
      <c r="AD62" s="11" t="n">
        <v>-0.7155</v>
      </c>
    </row>
    <row r="63">
      <c r="A63" s="10" t="inlineStr">
        <is>
          <t>세일앤리스백 수입</t>
        </is>
      </c>
      <c r="W63" s="11" t="n">
        <v>0</v>
      </c>
      <c r="X63" s="11" t="n">
        <v>4.0479</v>
      </c>
      <c r="Y63" s="11" t="n">
        <v>0</v>
      </c>
    </row>
    <row r="64">
      <c r="A64" s="10" t="inlineStr">
        <is>
          <t>자기주식 취득</t>
        </is>
      </c>
      <c r="D64" s="11" t="n">
        <v>0</v>
      </c>
      <c r="H64" s="11" t="n">
        <v>0</v>
      </c>
      <c r="J64" s="11" t="n">
        <v>0</v>
      </c>
      <c r="L64" s="11" t="n">
        <v>-0.0035</v>
      </c>
      <c r="N64" s="11" t="n">
        <v>-0.0165</v>
      </c>
      <c r="P64" s="11" t="n">
        <v>-0.0201</v>
      </c>
      <c r="R64" s="11" t="n">
        <v>-1.3963</v>
      </c>
      <c r="T64" s="11" t="n">
        <v>-1.3963</v>
      </c>
      <c r="V64" s="11" t="n">
        <v>-0.0016</v>
      </c>
      <c r="W64" s="11" t="n">
        <v>-0.0013</v>
      </c>
      <c r="X64" s="11" t="n">
        <v>-0.0007</v>
      </c>
      <c r="Y64" s="11" t="n">
        <v>-0.0005999999999999999</v>
      </c>
      <c r="Z64" s="11" t="n">
        <v>0</v>
      </c>
      <c r="AA64" s="11" t="n">
        <v>0</v>
      </c>
      <c r="AB64" s="11" t="n">
        <v>-0.0035</v>
      </c>
      <c r="AC64" s="11" t="n">
        <v>-0.0201</v>
      </c>
      <c r="AD64" s="11" t="n">
        <v>-1.3963</v>
      </c>
    </row>
    <row r="65">
      <c r="A65" s="10" t="inlineStr">
        <is>
          <t>배당금 지급</t>
        </is>
      </c>
      <c r="D65" s="11" t="n">
        <v>-4.7285</v>
      </c>
      <c r="F65" s="11" t="n">
        <v>-2.7028</v>
      </c>
      <c r="H65" s="11" t="n">
        <v>-5.2398</v>
      </c>
      <c r="J65" s="11" t="n">
        <v>-2.5324</v>
      </c>
      <c r="L65" s="11" t="n">
        <v>-5.064</v>
      </c>
      <c r="N65" s="11" t="n">
        <v>-2.7645</v>
      </c>
      <c r="P65" s="11" t="n">
        <v>-5.6183</v>
      </c>
      <c r="R65" s="11" t="n">
        <v>-3.0301</v>
      </c>
      <c r="T65" s="11" t="n">
        <v>-6.0609</v>
      </c>
      <c r="V65" s="11" t="n">
        <v>-3.2987</v>
      </c>
      <c r="W65" s="11" t="n">
        <v>-4.4946</v>
      </c>
      <c r="X65" s="11" t="n">
        <v>-4.6171</v>
      </c>
      <c r="Y65" s="11" t="n">
        <v>-4.5744</v>
      </c>
      <c r="Z65" s="11" t="n">
        <v>-4.7285</v>
      </c>
      <c r="AA65" s="11" t="n">
        <v>-5.2398</v>
      </c>
      <c r="AB65" s="11" t="n">
        <v>-5.064</v>
      </c>
      <c r="AC65" s="11" t="n">
        <v>-5.6183</v>
      </c>
      <c r="AD65" s="11" t="n">
        <v>-6.0609</v>
      </c>
    </row>
    <row r="66">
      <c r="A66" s="10" t="inlineStr">
        <is>
          <t>비지배주주 배당금 지급</t>
        </is>
      </c>
      <c r="D66" s="11" t="n">
        <v>-0.063</v>
      </c>
      <c r="F66" s="11" t="n">
        <v>-0.11</v>
      </c>
      <c r="H66" s="11" t="n">
        <v>-0.127</v>
      </c>
      <c r="J66" s="11" t="n">
        <v>-0.08459999999999999</v>
      </c>
      <c r="L66" s="11" t="n">
        <v>-0.2403</v>
      </c>
      <c r="N66" s="11" t="n">
        <v>-0.0544</v>
      </c>
      <c r="P66" s="11" t="n">
        <v>-0.1419</v>
      </c>
      <c r="R66" s="11" t="n">
        <v>-0.0576</v>
      </c>
      <c r="T66" s="11" t="n">
        <v>-0.1467</v>
      </c>
      <c r="V66" s="11" t="n">
        <v>-0.064</v>
      </c>
      <c r="W66" s="11" t="n">
        <v>-0.009599999999999999</v>
      </c>
      <c r="X66" s="11" t="n">
        <v>-0.0072</v>
      </c>
      <c r="Y66" s="11" t="n">
        <v>-0.0072</v>
      </c>
      <c r="Z66" s="11" t="n">
        <v>-0.063</v>
      </c>
      <c r="AA66" s="11" t="n">
        <v>-0.127</v>
      </c>
      <c r="AB66" s="11" t="n">
        <v>-0.2403</v>
      </c>
      <c r="AC66" s="11" t="n">
        <v>-0.1419</v>
      </c>
      <c r="AD66" s="11" t="n">
        <v>-0.1467</v>
      </c>
    </row>
    <row r="67">
      <c r="A67" s="10" t="inlineStr">
        <is>
          <t>연결범위 변경 없는 자회사 주식 취득</t>
        </is>
      </c>
      <c r="D67" s="11" t="n">
        <v>-0.0747</v>
      </c>
      <c r="F67" s="11" t="n">
        <v>-0.5</v>
      </c>
      <c r="H67" s="11" t="n">
        <v>-2.5012</v>
      </c>
      <c r="J67" s="11" t="n">
        <v>-0.791</v>
      </c>
      <c r="L67" s="11" t="n">
        <v>-0.791</v>
      </c>
      <c r="N67" s="11" t="n">
        <v>0</v>
      </c>
      <c r="P67" s="11" t="n">
        <v>0</v>
      </c>
      <c r="Y67" s="11" t="n">
        <v>0</v>
      </c>
      <c r="Z67" s="11" t="n">
        <v>-0.0747</v>
      </c>
      <c r="AA67" s="11" t="n">
        <v>-2.5012</v>
      </c>
      <c r="AB67" s="11" t="n">
        <v>-0.791</v>
      </c>
      <c r="AC67" s="11" t="n">
        <v>0</v>
      </c>
    </row>
    <row r="68">
      <c r="A68" s="10" t="inlineStr">
        <is>
          <t>재무활동 현금흐름</t>
        </is>
      </c>
      <c r="D68" s="11" t="n">
        <v>-7.8285</v>
      </c>
      <c r="F68" s="11" t="n">
        <v>-7.8354</v>
      </c>
      <c r="H68" s="11" t="n">
        <v>-6.8388</v>
      </c>
      <c r="J68" s="11" t="n">
        <v>-4.3519</v>
      </c>
      <c r="L68" s="11" t="n">
        <v>-0.3269</v>
      </c>
      <c r="N68" s="11" t="n">
        <v>-6.3775</v>
      </c>
      <c r="P68" s="11" t="n">
        <v>-12.4037</v>
      </c>
      <c r="R68" s="11" t="n">
        <v>-4.2379</v>
      </c>
      <c r="T68" s="11" t="n">
        <v>-12.7712</v>
      </c>
      <c r="V68" s="11" t="n">
        <v>9.021000000000001</v>
      </c>
      <c r="W68" s="11" t="n">
        <v>-2.1366</v>
      </c>
      <c r="X68" s="11" t="n">
        <v>-1.8139</v>
      </c>
      <c r="Y68" s="11" t="n">
        <v>4.7762</v>
      </c>
      <c r="Z68" s="11" t="n">
        <v>-7.8285</v>
      </c>
      <c r="AA68" s="11" t="n">
        <v>-6.8388</v>
      </c>
      <c r="AB68" s="11" t="n">
        <v>-0.3269</v>
      </c>
      <c r="AC68" s="11" t="n">
        <v>-12.4037</v>
      </c>
      <c r="AD68" s="11" t="n">
        <v>-12.7712</v>
      </c>
    </row>
    <row r="69">
      <c r="A69" s="10" t="inlineStr">
        <is>
          <t>현금성자산 환산차이</t>
        </is>
      </c>
      <c r="D69" s="11" t="n">
        <v>1.5659</v>
      </c>
      <c r="F69" s="11" t="n">
        <v>1.8805</v>
      </c>
      <c r="H69" s="11" t="n">
        <v>1.3901</v>
      </c>
      <c r="J69" s="11" t="n">
        <v>0.9350000000000001</v>
      </c>
      <c r="L69" s="11" t="n">
        <v>0.6923</v>
      </c>
      <c r="N69" s="11" t="n">
        <v>1.904</v>
      </c>
      <c r="P69" s="11" t="n">
        <v>1.4834</v>
      </c>
      <c r="R69" s="11" t="n">
        <v>-1.1624</v>
      </c>
      <c r="T69" s="11" t="n">
        <v>0.1445</v>
      </c>
      <c r="V69" s="11" t="n">
        <v>0.7773</v>
      </c>
      <c r="W69" s="11" t="n">
        <v>-0.3717</v>
      </c>
      <c r="X69" s="11" t="n">
        <v>-0.2155</v>
      </c>
      <c r="Y69" s="11" t="n">
        <v>-0.2075</v>
      </c>
      <c r="Z69" s="11" t="n">
        <v>1.5659</v>
      </c>
      <c r="AA69" s="11" t="n">
        <v>1.3901</v>
      </c>
      <c r="AB69" s="11" t="n">
        <v>0.6923</v>
      </c>
      <c r="AC69" s="11" t="n">
        <v>1.4834</v>
      </c>
      <c r="AD69" s="11" t="n">
        <v>0.1445</v>
      </c>
    </row>
    <row r="70">
      <c r="A70" s="10" t="inlineStr">
        <is>
          <t>현금성자산 증감</t>
        </is>
      </c>
      <c r="D70" s="11" t="n">
        <v>10.8499</v>
      </c>
      <c r="F70" s="11" t="n">
        <v>-4.4377</v>
      </c>
      <c r="H70" s="11" t="n">
        <v>2.2716</v>
      </c>
      <c r="J70" s="11" t="n">
        <v>1.8961</v>
      </c>
      <c r="L70" s="11" t="n">
        <v>9.616400000000001</v>
      </c>
      <c r="N70" s="11" t="n">
        <v>-2.8934</v>
      </c>
      <c r="P70" s="11" t="n">
        <v>1.0539</v>
      </c>
      <c r="R70" s="11" t="n">
        <v>-3.1151</v>
      </c>
      <c r="T70" s="11" t="n">
        <v>0.1747</v>
      </c>
      <c r="V70" s="11" t="n">
        <v>8.5169</v>
      </c>
      <c r="W70" s="11" t="n">
        <v>-5.6968</v>
      </c>
      <c r="X70" s="11" t="n">
        <v>-4.7283</v>
      </c>
      <c r="Y70" s="11" t="n">
        <v>11.6474</v>
      </c>
      <c r="Z70" s="11" t="n">
        <v>10.8499</v>
      </c>
      <c r="AA70" s="11" t="n">
        <v>2.2716</v>
      </c>
      <c r="AB70" s="11" t="n">
        <v>9.616400000000001</v>
      </c>
      <c r="AC70" s="11" t="n">
        <v>1.0539</v>
      </c>
      <c r="AD70" s="11" t="n">
        <v>0.1747</v>
      </c>
    </row>
    <row r="71">
      <c r="A71" s="10" t="inlineStr">
        <is>
          <t>주식교환 현금성자산 증가</t>
        </is>
      </c>
      <c r="H71" s="11" t="n">
        <v>0</v>
      </c>
      <c r="L71" s="11" t="n">
        <v>14.6574</v>
      </c>
      <c r="P71" s="11" t="n">
        <v>0</v>
      </c>
      <c r="AA71" s="11" t="n">
        <v>0</v>
      </c>
      <c r="AB71" s="11" t="n">
        <v>14.6574</v>
      </c>
      <c r="AC71" s="1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44" customWidth="1" min="9" max="9"/>
  </cols>
  <sheetData>
    <row r="1">
      <c r="A1" s="1" t="inlineStr">
        <is>
          <t>나카모토팩스 섹터·사업 데이터</t>
        </is>
      </c>
    </row>
    <row r="2">
      <c r="A2" s="2" t="inlineStr">
        <is>
          <t>2단계 보고서를 만들 때 모은 자료 · 월차 · 출처는 맨 오른쪽</t>
        </is>
      </c>
    </row>
    <row r="4">
      <c r="A4" s="12" t="inlineStr">
        <is>
          <t>PER stats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</row>
    <row r="5">
      <c r="A5" s="13" t="inlineStr">
        <is>
          <t>항목</t>
        </is>
      </c>
      <c r="B5" s="13" t="inlineStr">
        <is>
          <t>값</t>
        </is>
      </c>
      <c r="I5" s="13" t="inlineStr">
        <is>
          <t>출처</t>
        </is>
      </c>
    </row>
    <row r="6">
      <c r="A6" s="14" t="inlineStr">
        <is>
          <t>min</t>
        </is>
      </c>
      <c r="B6" s="11" t="n">
        <v>7.1</v>
      </c>
      <c r="I6" s="3" t="inlineStr">
        <is>
          <t>2단계 보고서 자료(회사 설명회 자료·공시)</t>
        </is>
      </c>
    </row>
    <row r="7">
      <c r="A7" s="14" t="inlineStr">
        <is>
          <t>max</t>
        </is>
      </c>
      <c r="B7" s="11" t="n">
        <v>12.05</v>
      </c>
    </row>
    <row r="8">
      <c r="A8" s="14" t="inlineStr">
        <is>
          <t>avg</t>
        </is>
      </c>
      <c r="B8" s="11" t="n">
        <v>8.720000000000001</v>
      </c>
    </row>
    <row r="9">
      <c r="A9" s="14" t="inlineStr">
        <is>
          <t>cur</t>
        </is>
      </c>
      <c r="B9" s="11" t="n">
        <v>8.369999999999999</v>
      </c>
    </row>
    <row r="10">
      <c r="A10" s="14" t="inlineStr">
        <is>
          <t>pos %</t>
        </is>
      </c>
      <c r="B10" s="11" t="n">
        <v>25.7</v>
      </c>
    </row>
    <row r="12">
      <c r="A12" s="12" t="inlineStr">
        <is>
          <t>가이던스 · initial</t>
        </is>
      </c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3" t="inlineStr">
        <is>
          <t>항목</t>
        </is>
      </c>
      <c r="B13" s="13" t="inlineStr">
        <is>
          <t>값</t>
        </is>
      </c>
      <c r="I13" s="13" t="inlineStr">
        <is>
          <t>출처</t>
        </is>
      </c>
    </row>
    <row r="14">
      <c r="A14" s="14" t="inlineStr">
        <is>
          <t>매출</t>
        </is>
      </c>
      <c r="B14" s="15" t="n">
        <v>520</v>
      </c>
      <c r="I14" s="3" t="inlineStr">
        <is>
          <t>2단계 보고서 자료(회사 설명회 자료·공시)</t>
        </is>
      </c>
    </row>
    <row r="15">
      <c r="A15" s="14" t="inlineStr">
        <is>
          <t>영업이익</t>
        </is>
      </c>
      <c r="B15" s="11" t="n">
        <v>32.65</v>
      </c>
    </row>
    <row r="16">
      <c r="A16" s="14" t="inlineStr">
        <is>
          <t>순이익</t>
        </is>
      </c>
      <c r="B16" s="11" t="n">
        <v>21.83</v>
      </c>
    </row>
    <row r="17">
      <c r="A17" s="14" t="inlineStr">
        <is>
          <t>EPS</t>
        </is>
      </c>
      <c r="B17" s="11" t="n">
        <v>246.49</v>
      </c>
    </row>
    <row r="19">
      <c r="A19" s="12" t="inlineStr">
        <is>
          <t>가이던스 · revised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3" t="inlineStr">
        <is>
          <t>항목</t>
        </is>
      </c>
      <c r="B20" s="13" t="inlineStr">
        <is>
          <t>값</t>
        </is>
      </c>
      <c r="I20" s="13" t="inlineStr">
        <is>
          <t>출처</t>
        </is>
      </c>
    </row>
    <row r="21">
      <c r="A21" s="14" t="inlineStr">
        <is>
          <t>매출</t>
        </is>
      </c>
      <c r="B21" s="15" t="n">
        <v>550</v>
      </c>
      <c r="I21" s="3" t="inlineStr">
        <is>
          <t>2단계 보고서 자료(회사 설명회 자료·공시)</t>
        </is>
      </c>
    </row>
    <row r="22">
      <c r="A22" s="14" t="inlineStr">
        <is>
          <t>영업이익</t>
        </is>
      </c>
      <c r="B22" s="11" t="n">
        <v>38.74</v>
      </c>
    </row>
    <row r="23">
      <c r="A23" s="14" t="inlineStr">
        <is>
          <t>순이익</t>
        </is>
      </c>
      <c r="B23" s="11" t="n">
        <v>25.66</v>
      </c>
    </row>
    <row r="24">
      <c r="A24" s="14" t="inlineStr">
        <is>
          <t>EPS</t>
        </is>
      </c>
      <c r="B24" s="11" t="n">
        <v>289.75</v>
      </c>
    </row>
    <row r="26">
      <c r="A26" s="12" t="inlineStr">
        <is>
          <t>가이던스 · 상반기 initial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</row>
    <row r="27">
      <c r="A27" s="13" t="inlineStr">
        <is>
          <t>항목</t>
        </is>
      </c>
      <c r="B27" s="13" t="inlineStr">
        <is>
          <t>값</t>
        </is>
      </c>
      <c r="I27" s="13" t="inlineStr">
        <is>
          <t>출처</t>
        </is>
      </c>
    </row>
    <row r="28">
      <c r="A28" s="14" t="inlineStr">
        <is>
          <t>매출</t>
        </is>
      </c>
      <c r="B28" s="15" t="n">
        <v>255</v>
      </c>
      <c r="I28" s="3" t="inlineStr">
        <is>
          <t>2단계 보고서 자료(회사 설명회 자료·공시)</t>
        </is>
      </c>
    </row>
    <row r="29">
      <c r="A29" s="14" t="inlineStr">
        <is>
          <t>영업이익</t>
        </is>
      </c>
      <c r="B29" s="11" t="n">
        <v>15.48</v>
      </c>
    </row>
    <row r="31">
      <c r="A31" s="12" t="inlineStr">
        <is>
          <t>가이던스 · 상반기 revised</t>
        </is>
      </c>
      <c r="B31" s="12" t="n"/>
      <c r="C31" s="12" t="n"/>
      <c r="D31" s="12" t="n"/>
      <c r="E31" s="12" t="n"/>
      <c r="F31" s="12" t="n"/>
      <c r="G31" s="12" t="n"/>
      <c r="H31" s="12" t="n"/>
      <c r="I31" s="12" t="n"/>
    </row>
    <row r="32">
      <c r="A32" s="13" t="inlineStr">
        <is>
          <t>항목</t>
        </is>
      </c>
      <c r="B32" s="13" t="inlineStr">
        <is>
          <t>값</t>
        </is>
      </c>
      <c r="I32" s="13" t="inlineStr">
        <is>
          <t>출처</t>
        </is>
      </c>
    </row>
    <row r="33">
      <c r="A33" s="14" t="inlineStr">
        <is>
          <t>매출</t>
        </is>
      </c>
      <c r="B33" s="15" t="n">
        <v>280</v>
      </c>
      <c r="I33" s="3" t="inlineStr">
        <is>
          <t>2단계 보고서 자료(회사 설명회 자료·공시)</t>
        </is>
      </c>
    </row>
    <row r="34">
      <c r="A34" s="14" t="inlineStr">
        <is>
          <t>영업이익</t>
        </is>
      </c>
      <c r="B34" s="11" t="n">
        <v>24</v>
      </c>
    </row>
    <row r="36">
      <c r="A36" s="12" t="inlineStr">
        <is>
          <t>가이던스 · 상반기 실적</t>
        </is>
      </c>
      <c r="B36" s="12" t="n"/>
      <c r="C36" s="12" t="n"/>
      <c r="D36" s="12" t="n"/>
      <c r="E36" s="12" t="n"/>
      <c r="F36" s="12" t="n"/>
      <c r="G36" s="12" t="n"/>
      <c r="H36" s="12" t="n"/>
      <c r="I36" s="12" t="n"/>
    </row>
    <row r="37">
      <c r="A37" s="13" t="inlineStr">
        <is>
          <t>항목</t>
        </is>
      </c>
      <c r="B37" s="13" t="inlineStr">
        <is>
          <t>값</t>
        </is>
      </c>
      <c r="I37" s="13" t="inlineStr">
        <is>
          <t>출처</t>
        </is>
      </c>
    </row>
    <row r="38">
      <c r="A38" s="14" t="inlineStr">
        <is>
          <t>매출</t>
        </is>
      </c>
      <c r="B38" s="11" t="n">
        <v>280.68</v>
      </c>
      <c r="I38" s="3" t="inlineStr">
        <is>
          <t>2단계 보고서 자료(회사 설명회 자료·공시)</t>
        </is>
      </c>
    </row>
    <row r="39">
      <c r="A39" s="14" t="inlineStr">
        <is>
          <t>영업이익</t>
        </is>
      </c>
      <c r="B39" s="11" t="n">
        <v>24.54</v>
      </c>
    </row>
    <row r="40">
      <c r="A40" s="14" t="inlineStr">
        <is>
          <t>순이익</t>
        </is>
      </c>
      <c r="B40" s="11" t="n">
        <v>16.41</v>
      </c>
    </row>
    <row r="42">
      <c r="A42" s="12" t="inlineStr">
        <is>
          <t>가이던스 · 하반기 implied</t>
        </is>
      </c>
      <c r="B42" s="12" t="n"/>
      <c r="C42" s="12" t="n"/>
      <c r="D42" s="12" t="n"/>
      <c r="E42" s="12" t="n"/>
      <c r="F42" s="12" t="n"/>
      <c r="G42" s="12" t="n"/>
      <c r="H42" s="12" t="n"/>
      <c r="I42" s="12" t="n"/>
    </row>
    <row r="43">
      <c r="A43" s="13" t="inlineStr">
        <is>
          <t>항목</t>
        </is>
      </c>
      <c r="B43" s="13" t="inlineStr">
        <is>
          <t>값</t>
        </is>
      </c>
      <c r="I43" s="13" t="inlineStr">
        <is>
          <t>출처</t>
        </is>
      </c>
    </row>
    <row r="44">
      <c r="A44" s="14" t="inlineStr">
        <is>
          <t>매출</t>
        </is>
      </c>
      <c r="B44" s="11" t="n">
        <v>269.32</v>
      </c>
      <c r="I44" s="3" t="inlineStr">
        <is>
          <t>2단계 보고서 자료(회사 설명회 자료·공시)</t>
        </is>
      </c>
    </row>
    <row r="45">
      <c r="A45" s="14" t="inlineStr">
        <is>
          <t>영업이익</t>
        </is>
      </c>
      <c r="B45" s="11" t="n">
        <v>14.2</v>
      </c>
    </row>
    <row r="46">
      <c r="A46" s="14" t="inlineStr">
        <is>
          <t>순이익</t>
        </is>
      </c>
      <c r="B46" s="11" t="n">
        <v>9.25</v>
      </c>
    </row>
    <row r="48">
      <c r="A48" s="12" t="inlineStr">
        <is>
          <t>가이던스 · 하반기 prior</t>
        </is>
      </c>
      <c r="B48" s="12" t="n"/>
      <c r="C48" s="12" t="n"/>
      <c r="D48" s="12" t="n"/>
      <c r="E48" s="12" t="n"/>
      <c r="F48" s="12" t="n"/>
      <c r="G48" s="12" t="n"/>
      <c r="H48" s="12" t="n"/>
      <c r="I48" s="12" t="n"/>
    </row>
    <row r="49">
      <c r="A49" s="13" t="inlineStr">
        <is>
          <t>항목</t>
        </is>
      </c>
      <c r="B49" s="13" t="inlineStr">
        <is>
          <t>값</t>
        </is>
      </c>
      <c r="I49" s="13" t="inlineStr">
        <is>
          <t>출처</t>
        </is>
      </c>
    </row>
    <row r="50">
      <c r="A50" s="14" t="inlineStr">
        <is>
          <t>매출</t>
        </is>
      </c>
      <c r="B50" s="11" t="n">
        <v>246.49</v>
      </c>
      <c r="I50" s="3" t="inlineStr">
        <is>
          <t>2단계 보고서 자료(회사 설명회 자료·공시)</t>
        </is>
      </c>
    </row>
    <row r="51">
      <c r="A51" s="14" t="inlineStr">
        <is>
          <t>영업이익</t>
        </is>
      </c>
      <c r="B51" s="11" t="n">
        <v>13.5</v>
      </c>
    </row>
    <row r="52">
      <c r="A52" s="14" t="inlineStr">
        <is>
          <t>순이익</t>
        </is>
      </c>
      <c r="B52" s="11" t="n">
        <v>11.16</v>
      </c>
    </row>
    <row r="54">
      <c r="A54" s="12" t="inlineStr">
        <is>
          <t>컨센서스</t>
        </is>
      </c>
      <c r="B54" s="12" t="n"/>
      <c r="C54" s="12" t="n"/>
      <c r="D54" s="12" t="n"/>
      <c r="E54" s="12" t="n"/>
      <c r="F54" s="12" t="n"/>
      <c r="G54" s="12" t="n"/>
      <c r="H54" s="12" t="n"/>
      <c r="I54" s="12" t="n"/>
    </row>
    <row r="55">
      <c r="A55" s="13" t="inlineStr">
        <is>
          <t>항목</t>
        </is>
      </c>
      <c r="B55" s="13" t="inlineStr">
        <is>
          <t>값</t>
        </is>
      </c>
      <c r="I55" s="13" t="inlineStr">
        <is>
          <t>출처</t>
        </is>
      </c>
    </row>
    <row r="56">
      <c r="A56" s="14" t="inlineStr">
        <is>
          <t>fy27 매출</t>
        </is>
      </c>
      <c r="B56" s="15" t="n">
        <v>515</v>
      </c>
      <c r="I56" s="3" t="inlineStr">
        <is>
          <t>야후 1명, 상향 전 추정</t>
        </is>
      </c>
    </row>
    <row r="57">
      <c r="A57" s="14" t="inlineStr">
        <is>
          <t>fy27 EPS</t>
        </is>
      </c>
      <c r="B57" s="11" t="n">
        <v>248.6</v>
      </c>
    </row>
    <row r="58">
      <c r="A58" s="14" t="inlineStr">
        <is>
          <t>fy28 매출</t>
        </is>
      </c>
      <c r="B58" s="15" t="n">
        <v>544</v>
      </c>
    </row>
    <row r="59">
      <c r="A59" s="14" t="inlineStr">
        <is>
          <t>fy28 EPS</t>
        </is>
      </c>
      <c r="B59" s="11" t="n">
        <v>299.5</v>
      </c>
    </row>
    <row r="60">
      <c r="A60" s="14" t="inlineStr">
        <is>
          <t>3Q 매출</t>
        </is>
      </c>
      <c r="B60" s="15" t="n">
        <v>130</v>
      </c>
    </row>
    <row r="61">
      <c r="A61" s="14" t="inlineStr">
        <is>
          <t>4Q 매출</t>
        </is>
      </c>
      <c r="B61" s="15" t="n">
        <v>125</v>
      </c>
    </row>
    <row r="63">
      <c r="A63" s="12" t="inlineStr">
        <is>
          <t>quarters</t>
        </is>
      </c>
      <c r="B63" s="12" t="n"/>
      <c r="C63" s="12" t="n"/>
      <c r="D63" s="12" t="n"/>
      <c r="E63" s="12" t="n"/>
      <c r="F63" s="12" t="n"/>
      <c r="G63" s="12" t="n"/>
      <c r="H63" s="12" t="n"/>
      <c r="I63" s="12" t="n"/>
    </row>
    <row r="64">
      <c r="A64" s="13" t="inlineStr">
        <is>
          <t>항목</t>
        </is>
      </c>
      <c r="B64" s="13" t="inlineStr">
        <is>
          <t>label</t>
        </is>
      </c>
      <c r="C64" s="13" t="inlineStr">
        <is>
          <t>매출</t>
        </is>
      </c>
      <c r="D64" s="13" t="inlineStr">
        <is>
          <t>영업이익</t>
        </is>
      </c>
      <c r="E64" s="13" t="inlineStr">
        <is>
          <t>순이익</t>
        </is>
      </c>
      <c r="F64" s="13" t="inlineStr">
        <is>
          <t>EPS</t>
        </is>
      </c>
      <c r="G64" s="13" t="inlineStr">
        <is>
          <t>gp</t>
        </is>
      </c>
      <c r="H64" s="13" t="inlineStr">
        <is>
          <t>영업이익률</t>
        </is>
      </c>
      <c r="I64" s="13" t="inlineStr">
        <is>
          <t>출처</t>
        </is>
      </c>
    </row>
    <row r="65">
      <c r="A65" s="14" t="inlineStr">
        <is>
          <t>FY24-1Q</t>
        </is>
      </c>
      <c r="B65" s="16" t="inlineStr">
        <is>
          <t>23.3~5</t>
        </is>
      </c>
      <c r="C65" s="11" t="n">
        <v>110.46</v>
      </c>
      <c r="D65" s="11" t="n">
        <v>5.14</v>
      </c>
      <c r="E65" s="11" t="n">
        <v>2.72</v>
      </c>
      <c r="F65" s="11" t="n">
        <v>33.31</v>
      </c>
      <c r="G65" s="16" t="n"/>
      <c r="H65" s="11" t="n">
        <v>4.7</v>
      </c>
      <c r="I65" s="3" t="inlineStr">
        <is>
          <t>2단계 보고서 자료(회사 설명회 자료·공시)</t>
        </is>
      </c>
    </row>
    <row r="66">
      <c r="A66" s="14" t="inlineStr">
        <is>
          <t>FY24-2Q</t>
        </is>
      </c>
      <c r="B66" s="16" t="inlineStr">
        <is>
          <t>23.6~8</t>
        </is>
      </c>
      <c r="C66" s="11" t="n">
        <v>112.33</v>
      </c>
      <c r="D66" s="11" t="n">
        <v>5.06</v>
      </c>
      <c r="E66" s="11" t="n">
        <v>4.13</v>
      </c>
      <c r="F66" s="11" t="n">
        <v>50.57</v>
      </c>
      <c r="G66" s="16" t="n"/>
      <c r="H66" s="11" t="n">
        <v>4.5</v>
      </c>
    </row>
    <row r="67">
      <c r="A67" s="14" t="inlineStr">
        <is>
          <t>FY24-3Q</t>
        </is>
      </c>
      <c r="B67" s="16" t="inlineStr">
        <is>
          <t>23.9~11</t>
        </is>
      </c>
      <c r="C67" s="11" t="n">
        <v>114.78</v>
      </c>
      <c r="D67" s="11" t="n">
        <v>5.78</v>
      </c>
      <c r="E67" s="11" t="n">
        <v>7.53</v>
      </c>
      <c r="F67" s="11" t="n">
        <v>92.12</v>
      </c>
      <c r="G67" s="16" t="n"/>
      <c r="H67" s="11" t="n">
        <v>5</v>
      </c>
    </row>
    <row r="68">
      <c r="A68" s="14" t="inlineStr">
        <is>
          <t>FY24-4Q</t>
        </is>
      </c>
      <c r="B68" s="16" t="inlineStr">
        <is>
          <t>23.12~24.2</t>
        </is>
      </c>
      <c r="C68" s="11" t="n">
        <v>106.05</v>
      </c>
      <c r="D68" s="11" t="n">
        <v>2.17</v>
      </c>
      <c r="E68" s="11" t="n">
        <v>-3.81</v>
      </c>
      <c r="F68" s="11" t="n">
        <v>-47.52</v>
      </c>
      <c r="G68" s="16" t="n"/>
      <c r="H68" s="11" t="n">
        <v>2</v>
      </c>
    </row>
    <row r="69">
      <c r="A69" s="14" t="inlineStr">
        <is>
          <t>FY25-1Q</t>
        </is>
      </c>
      <c r="B69" s="16" t="inlineStr">
        <is>
          <t>24.3~5</t>
        </is>
      </c>
      <c r="C69" s="11" t="n">
        <v>116.19</v>
      </c>
      <c r="D69" s="11" t="n">
        <v>5.5</v>
      </c>
      <c r="E69" s="11" t="n">
        <v>5.31</v>
      </c>
      <c r="F69" s="11" t="n">
        <v>59.61</v>
      </c>
      <c r="G69" s="11" t="n">
        <v>18.9</v>
      </c>
      <c r="H69" s="11" t="n">
        <v>4.7</v>
      </c>
    </row>
    <row r="70">
      <c r="A70" s="14" t="inlineStr">
        <is>
          <t>FY25-2Q</t>
        </is>
      </c>
      <c r="B70" s="16" t="inlineStr">
        <is>
          <t>24.6~8</t>
        </is>
      </c>
      <c r="C70" s="11" t="n">
        <v>127.57</v>
      </c>
      <c r="D70" s="11" t="n">
        <v>10.1</v>
      </c>
      <c r="E70" s="11" t="n">
        <v>7.16</v>
      </c>
      <c r="F70" s="11" t="n">
        <v>80.28</v>
      </c>
      <c r="G70" s="11" t="n">
        <v>24.4</v>
      </c>
      <c r="H70" s="11" t="n">
        <v>7.9</v>
      </c>
    </row>
    <row r="71">
      <c r="A71" s="14" t="inlineStr">
        <is>
          <t>FY25-3Q</t>
        </is>
      </c>
      <c r="B71" s="16" t="inlineStr">
        <is>
          <t>24.9~11</t>
        </is>
      </c>
      <c r="C71" s="11" t="n">
        <v>124.5</v>
      </c>
      <c r="D71" s="11" t="n">
        <v>8.029999999999999</v>
      </c>
      <c r="E71" s="11" t="n">
        <v>3.78</v>
      </c>
      <c r="F71" s="11" t="n">
        <v>42.33</v>
      </c>
      <c r="G71" s="11" t="n">
        <v>22.33</v>
      </c>
      <c r="H71" s="11" t="n">
        <v>6.4</v>
      </c>
    </row>
    <row r="72">
      <c r="A72" s="14" t="inlineStr">
        <is>
          <t>FY25-4Q</t>
        </is>
      </c>
      <c r="B72" s="16" t="inlineStr">
        <is>
          <t>24.12~25.2</t>
        </is>
      </c>
      <c r="C72" s="11" t="n">
        <v>123.06</v>
      </c>
      <c r="D72" s="11" t="n">
        <v>5.08</v>
      </c>
      <c r="E72" s="11" t="n">
        <v>3.85</v>
      </c>
      <c r="F72" s="11" t="n">
        <v>43.17</v>
      </c>
      <c r="G72" s="11" t="n">
        <v>20.41</v>
      </c>
      <c r="H72" s="11" t="n">
        <v>4.1</v>
      </c>
    </row>
    <row r="73">
      <c r="A73" s="14" t="inlineStr">
        <is>
          <t>FY26-1Q</t>
        </is>
      </c>
      <c r="B73" s="16" t="inlineStr">
        <is>
          <t>25.3~5</t>
        </is>
      </c>
      <c r="C73" s="11" t="n">
        <v>123.28</v>
      </c>
      <c r="D73" s="11" t="n">
        <v>7.5</v>
      </c>
      <c r="E73" s="11" t="n">
        <v>5.54</v>
      </c>
      <c r="F73" s="11" t="n">
        <v>62.16</v>
      </c>
      <c r="G73" s="11" t="n">
        <v>22.45</v>
      </c>
      <c r="H73" s="11" t="n">
        <v>6.1</v>
      </c>
    </row>
    <row r="74">
      <c r="A74" s="14" t="inlineStr">
        <is>
          <t>FY26-2Q</t>
        </is>
      </c>
      <c r="B74" s="16" t="inlineStr">
        <is>
          <t>25.6~8</t>
        </is>
      </c>
      <c r="C74" s="11" t="n">
        <v>126.58</v>
      </c>
      <c r="D74" s="11" t="n">
        <v>8.609999999999999</v>
      </c>
      <c r="E74" s="11" t="n">
        <v>5.05</v>
      </c>
      <c r="F74" s="11" t="n">
        <v>56.84</v>
      </c>
      <c r="G74" s="11" t="n">
        <v>24.19</v>
      </c>
      <c r="H74" s="11" t="n">
        <v>6.8</v>
      </c>
    </row>
    <row r="75">
      <c r="A75" s="14" t="inlineStr">
        <is>
          <t>FY26-3Q</t>
        </is>
      </c>
      <c r="B75" s="16" t="inlineStr">
        <is>
          <t>25.9~11</t>
        </is>
      </c>
      <c r="C75" s="11" t="n">
        <v>126.48</v>
      </c>
      <c r="D75" s="11" t="n">
        <v>7.57</v>
      </c>
      <c r="E75" s="11" t="n">
        <v>6.08</v>
      </c>
      <c r="F75" s="11" t="n">
        <v>68.61</v>
      </c>
      <c r="G75" s="11" t="n">
        <v>23.3</v>
      </c>
      <c r="H75" s="11" t="n">
        <v>6</v>
      </c>
    </row>
    <row r="76">
      <c r="A76" s="14" t="inlineStr">
        <is>
          <t>FY26-4Q</t>
        </is>
      </c>
      <c r="B76" s="16" t="inlineStr">
        <is>
          <t>25.12~26.2</t>
        </is>
      </c>
      <c r="C76" s="11" t="n">
        <v>120.01</v>
      </c>
      <c r="D76" s="11" t="n">
        <v>5.93</v>
      </c>
      <c r="E76" s="11" t="n">
        <v>5.08</v>
      </c>
      <c r="F76" s="11" t="n">
        <v>57.46</v>
      </c>
      <c r="G76" s="11" t="n">
        <v>21.44</v>
      </c>
      <c r="H76" s="11" t="n">
        <v>4.9</v>
      </c>
    </row>
    <row r="77">
      <c r="A77" s="14" t="inlineStr">
        <is>
          <t>FY27-1Q</t>
        </is>
      </c>
      <c r="B77" s="16" t="inlineStr">
        <is>
          <t>26.3~5</t>
        </is>
      </c>
      <c r="C77" s="11" t="n">
        <v>127.67</v>
      </c>
      <c r="D77" s="11" t="n">
        <v>7.99</v>
      </c>
      <c r="E77" s="11" t="n">
        <v>5.42</v>
      </c>
      <c r="F77" s="11" t="n">
        <v>61.27</v>
      </c>
      <c r="G77" s="11" t="n">
        <v>23.47</v>
      </c>
      <c r="H77" s="11" t="n">
        <v>6.3</v>
      </c>
    </row>
    <row r="78">
      <c r="A78" s="14" t="inlineStr">
        <is>
          <t>FY27-2Q</t>
        </is>
      </c>
      <c r="B78" s="16" t="inlineStr">
        <is>
          <t>26.6~8</t>
        </is>
      </c>
      <c r="C78" s="11" t="n">
        <v>153.01</v>
      </c>
      <c r="D78" s="11" t="n">
        <v>16.55</v>
      </c>
      <c r="E78" s="11" t="n">
        <v>10.99</v>
      </c>
      <c r="F78" s="11" t="n">
        <v>124.11</v>
      </c>
      <c r="G78" s="11" t="n">
        <v>32.33</v>
      </c>
      <c r="H78" s="11" t="n">
        <v>10.8</v>
      </c>
    </row>
    <row r="80">
      <c r="A80" s="12" t="inlineStr">
        <is>
          <t>PER band</t>
        </is>
      </c>
      <c r="B80" s="12" t="n"/>
      <c r="C80" s="12" t="n"/>
      <c r="D80" s="12" t="n"/>
      <c r="E80" s="12" t="n"/>
      <c r="F80" s="12" t="n"/>
      <c r="G80" s="12" t="n"/>
      <c r="H80" s="12" t="n"/>
      <c r="I80" s="12" t="n"/>
    </row>
    <row r="81">
      <c r="A81" s="13" t="inlineStr">
        <is>
          <t>항목</t>
        </is>
      </c>
      <c r="B81" s="13" t="inlineStr">
        <is>
          <t>px</t>
        </is>
      </c>
      <c r="C81" s="13" t="inlineStr">
        <is>
          <t>EPS</t>
        </is>
      </c>
      <c r="D81" s="13" t="inlineStr">
        <is>
          <t>PER</t>
        </is>
      </c>
      <c r="I81" s="13" t="inlineStr">
        <is>
          <t>출처</t>
        </is>
      </c>
    </row>
    <row r="82">
      <c r="A82" s="14" t="inlineStr">
        <is>
          <t>2021-11</t>
        </is>
      </c>
      <c r="B82" s="11" t="n">
        <v>1316.3</v>
      </c>
      <c r="C82" s="11" t="n">
        <v>160.99</v>
      </c>
      <c r="D82" s="11" t="n">
        <v>8.18</v>
      </c>
      <c r="I82" s="3" t="inlineStr">
        <is>
          <t>2단계 보고서 자료(회사 설명회 자료·공시)</t>
        </is>
      </c>
    </row>
    <row r="83">
      <c r="A83" s="14" t="inlineStr">
        <is>
          <t>2021-12</t>
        </is>
      </c>
      <c r="B83" s="11" t="n">
        <v>1441.8</v>
      </c>
      <c r="C83" s="11" t="n">
        <v>160.99</v>
      </c>
      <c r="D83" s="11" t="n">
        <v>8.960000000000001</v>
      </c>
    </row>
    <row r="84">
      <c r="A84" s="14" t="inlineStr">
        <is>
          <t>2022-01</t>
        </is>
      </c>
      <c r="B84" s="11" t="n">
        <v>1412.9</v>
      </c>
      <c r="C84" s="11" t="n">
        <v>160.99</v>
      </c>
      <c r="D84" s="11" t="n">
        <v>8.779999999999999</v>
      </c>
    </row>
    <row r="85">
      <c r="A85" s="14" t="inlineStr">
        <is>
          <t>2022-02</t>
        </is>
      </c>
      <c r="B85" s="11" t="n">
        <v>1378.6</v>
      </c>
      <c r="C85" s="11" t="n">
        <v>160.99</v>
      </c>
      <c r="D85" s="11" t="n">
        <v>8.56</v>
      </c>
    </row>
    <row r="86">
      <c r="A86" s="14" t="inlineStr">
        <is>
          <t>2022-03</t>
        </is>
      </c>
      <c r="B86" s="11" t="n">
        <v>1334.8</v>
      </c>
      <c r="C86" s="11" t="n">
        <v>160.99</v>
      </c>
      <c r="D86" s="11" t="n">
        <v>8.289999999999999</v>
      </c>
    </row>
    <row r="87">
      <c r="A87" s="14" t="inlineStr">
        <is>
          <t>2022-04</t>
        </is>
      </c>
      <c r="B87" s="11" t="n">
        <v>1288.5</v>
      </c>
      <c r="C87" s="11" t="n">
        <v>179.94</v>
      </c>
      <c r="D87" s="11" t="n">
        <v>7.16</v>
      </c>
    </row>
    <row r="88">
      <c r="A88" s="14" t="inlineStr">
        <is>
          <t>2022-05</t>
        </is>
      </c>
      <c r="B88" s="11" t="n">
        <v>1359.3</v>
      </c>
      <c r="C88" s="11" t="n">
        <v>179.94</v>
      </c>
      <c r="D88" s="11" t="n">
        <v>7.55</v>
      </c>
    </row>
    <row r="89">
      <c r="A89" s="14" t="inlineStr">
        <is>
          <t>2022-06</t>
        </is>
      </c>
      <c r="B89" s="11" t="n">
        <v>1380.3</v>
      </c>
      <c r="C89" s="11" t="n">
        <v>179.94</v>
      </c>
      <c r="D89" s="11" t="n">
        <v>7.67</v>
      </c>
    </row>
    <row r="90">
      <c r="A90" s="14" t="inlineStr">
        <is>
          <t>2022-07</t>
        </is>
      </c>
      <c r="B90" s="11" t="n">
        <v>1366.8</v>
      </c>
      <c r="C90" s="11" t="n">
        <v>179.94</v>
      </c>
      <c r="D90" s="11" t="n">
        <v>7.6</v>
      </c>
    </row>
    <row r="91">
      <c r="A91" s="14" t="inlineStr">
        <is>
          <t>2022-08</t>
        </is>
      </c>
      <c r="B91" s="11" t="n">
        <v>1358.7</v>
      </c>
      <c r="C91" s="11" t="n">
        <v>179.94</v>
      </c>
      <c r="D91" s="11" t="n">
        <v>7.55</v>
      </c>
    </row>
    <row r="92">
      <c r="A92" s="14" t="inlineStr">
        <is>
          <t>2022-09</t>
        </is>
      </c>
      <c r="B92" s="11" t="n">
        <v>1326.1</v>
      </c>
      <c r="C92" s="11" t="n">
        <v>179.94</v>
      </c>
      <c r="D92" s="11" t="n">
        <v>7.37</v>
      </c>
    </row>
    <row r="93">
      <c r="A93" s="14" t="inlineStr">
        <is>
          <t>2022-10</t>
        </is>
      </c>
      <c r="B93" s="11" t="n">
        <v>1278</v>
      </c>
      <c r="C93" s="11" t="n">
        <v>179.94</v>
      </c>
      <c r="D93" s="11" t="n">
        <v>7.1</v>
      </c>
    </row>
    <row r="94">
      <c r="A94" s="14" t="inlineStr">
        <is>
          <t>2022-11</t>
        </is>
      </c>
      <c r="B94" s="11" t="n">
        <v>1345.8</v>
      </c>
      <c r="C94" s="11" t="n">
        <v>179.94</v>
      </c>
      <c r="D94" s="11" t="n">
        <v>7.48</v>
      </c>
    </row>
    <row r="95">
      <c r="A95" s="14" t="inlineStr">
        <is>
          <t>2022-12</t>
        </is>
      </c>
      <c r="B95" s="11" t="n">
        <v>1366.5</v>
      </c>
      <c r="C95" s="11" t="n">
        <v>179.94</v>
      </c>
      <c r="D95" s="11" t="n">
        <v>7.59</v>
      </c>
    </row>
    <row r="96">
      <c r="A96" s="14" t="inlineStr">
        <is>
          <t>2023-01</t>
        </is>
      </c>
      <c r="B96" s="11" t="n">
        <v>1363</v>
      </c>
      <c r="C96" s="11" t="n">
        <v>179.94</v>
      </c>
      <c r="D96" s="11" t="n">
        <v>7.57</v>
      </c>
    </row>
    <row r="97">
      <c r="A97" s="14" t="inlineStr">
        <is>
          <t>2023-02</t>
        </is>
      </c>
      <c r="B97" s="11" t="n">
        <v>1384</v>
      </c>
      <c r="C97" s="11" t="n">
        <v>179.94</v>
      </c>
      <c r="D97" s="11" t="n">
        <v>7.69</v>
      </c>
    </row>
    <row r="98">
      <c r="A98" s="14" t="inlineStr">
        <is>
          <t>2023-03</t>
        </is>
      </c>
      <c r="B98" s="11" t="n">
        <v>1377</v>
      </c>
      <c r="C98" s="11" t="n">
        <v>179.94</v>
      </c>
      <c r="D98" s="11" t="n">
        <v>7.65</v>
      </c>
    </row>
    <row r="99">
      <c r="A99" s="14" t="inlineStr">
        <is>
          <t>2023-04</t>
        </is>
      </c>
      <c r="B99" s="11" t="n">
        <v>1384</v>
      </c>
      <c r="C99" s="11" t="n">
        <v>157.27</v>
      </c>
      <c r="D99" s="11" t="n">
        <v>8.800000000000001</v>
      </c>
    </row>
    <row r="100">
      <c r="A100" s="14" t="inlineStr">
        <is>
          <t>2023-05</t>
        </is>
      </c>
      <c r="B100" s="11" t="n">
        <v>1405.9</v>
      </c>
      <c r="C100" s="11" t="n">
        <v>157.27</v>
      </c>
      <c r="D100" s="11" t="n">
        <v>8.94</v>
      </c>
    </row>
    <row r="101">
      <c r="A101" s="14" t="inlineStr">
        <is>
          <t>2023-06</t>
        </is>
      </c>
      <c r="B101" s="11" t="n">
        <v>1464.5</v>
      </c>
      <c r="C101" s="11" t="n">
        <v>157.27</v>
      </c>
      <c r="D101" s="11" t="n">
        <v>9.31</v>
      </c>
    </row>
    <row r="102">
      <c r="A102" s="14" t="inlineStr">
        <is>
          <t>2023-07</t>
        </is>
      </c>
      <c r="B102" s="11" t="n">
        <v>1433.9</v>
      </c>
      <c r="C102" s="11" t="n">
        <v>157.27</v>
      </c>
      <c r="D102" s="11" t="n">
        <v>9.119999999999999</v>
      </c>
    </row>
    <row r="103">
      <c r="A103" s="14" t="inlineStr">
        <is>
          <t>2023-08</t>
        </is>
      </c>
      <c r="B103" s="11" t="n">
        <v>1471.3</v>
      </c>
      <c r="C103" s="11" t="n">
        <v>157.27</v>
      </c>
      <c r="D103" s="11" t="n">
        <v>9.359999999999999</v>
      </c>
    </row>
    <row r="104">
      <c r="A104" s="14" t="inlineStr">
        <is>
          <t>2023-09</t>
        </is>
      </c>
      <c r="B104" s="11" t="n">
        <v>1479.3</v>
      </c>
      <c r="C104" s="11" t="n">
        <v>157.27</v>
      </c>
      <c r="D104" s="11" t="n">
        <v>9.41</v>
      </c>
    </row>
    <row r="105">
      <c r="A105" s="14" t="inlineStr">
        <is>
          <t>2023-10</t>
        </is>
      </c>
      <c r="B105" s="11" t="n">
        <v>1448.1</v>
      </c>
      <c r="C105" s="11" t="n">
        <v>157.27</v>
      </c>
      <c r="D105" s="11" t="n">
        <v>9.210000000000001</v>
      </c>
    </row>
    <row r="106">
      <c r="A106" s="14" t="inlineStr">
        <is>
          <t>2023-11</t>
        </is>
      </c>
      <c r="B106" s="11" t="n">
        <v>1457.9</v>
      </c>
      <c r="C106" s="11" t="n">
        <v>157.27</v>
      </c>
      <c r="D106" s="11" t="n">
        <v>9.27</v>
      </c>
    </row>
    <row r="107">
      <c r="A107" s="14" t="inlineStr">
        <is>
          <t>2023-12</t>
        </is>
      </c>
      <c r="B107" s="11" t="n">
        <v>1482.9</v>
      </c>
      <c r="C107" s="11" t="n">
        <v>157.27</v>
      </c>
      <c r="D107" s="11" t="n">
        <v>9.43</v>
      </c>
    </row>
    <row r="108">
      <c r="A108" s="14" t="inlineStr">
        <is>
          <t>2024-01</t>
        </is>
      </c>
      <c r="B108" s="11" t="n">
        <v>1567.6</v>
      </c>
      <c r="C108" s="11" t="n">
        <v>157.27</v>
      </c>
      <c r="D108" s="11" t="n">
        <v>9.970000000000001</v>
      </c>
    </row>
    <row r="109">
      <c r="A109" s="14" t="inlineStr">
        <is>
          <t>2024-02</t>
        </is>
      </c>
      <c r="B109" s="11" t="n">
        <v>1515.3</v>
      </c>
      <c r="C109" s="11" t="n">
        <v>157.27</v>
      </c>
      <c r="D109" s="11" t="n">
        <v>9.640000000000001</v>
      </c>
    </row>
    <row r="110">
      <c r="A110" s="14" t="inlineStr">
        <is>
          <t>2024-03</t>
        </is>
      </c>
      <c r="B110" s="11" t="n">
        <v>1499</v>
      </c>
      <c r="C110" s="11" t="n">
        <v>157.27</v>
      </c>
      <c r="D110" s="11" t="n">
        <v>9.529999999999999</v>
      </c>
    </row>
    <row r="111">
      <c r="A111" s="14" t="inlineStr">
        <is>
          <t>2024-04</t>
        </is>
      </c>
      <c r="B111" s="11" t="n">
        <v>1514.4</v>
      </c>
      <c r="C111" s="11" t="n">
        <v>128.48</v>
      </c>
      <c r="D111" s="11" t="n">
        <v>11.79</v>
      </c>
    </row>
    <row r="112">
      <c r="A112" s="14" t="inlineStr">
        <is>
          <t>2024-05</t>
        </is>
      </c>
      <c r="B112" s="11" t="n">
        <v>1465.3</v>
      </c>
      <c r="C112" s="11" t="n">
        <v>128.48</v>
      </c>
      <c r="D112" s="11" t="n">
        <v>11.4</v>
      </c>
    </row>
    <row r="113">
      <c r="A113" s="14" t="inlineStr">
        <is>
          <t>2024-06</t>
        </is>
      </c>
      <c r="B113" s="11" t="n">
        <v>1499.9</v>
      </c>
      <c r="C113" s="11" t="n">
        <v>128.48</v>
      </c>
      <c r="D113" s="11" t="n">
        <v>11.67</v>
      </c>
    </row>
    <row r="114">
      <c r="A114" s="14" t="inlineStr">
        <is>
          <t>2024-07</t>
        </is>
      </c>
      <c r="B114" s="11" t="n">
        <v>1511.7</v>
      </c>
      <c r="C114" s="11" t="n">
        <v>154.78</v>
      </c>
      <c r="D114" s="11" t="n">
        <v>9.77</v>
      </c>
    </row>
    <row r="115">
      <c r="A115" s="14" t="inlineStr">
        <is>
          <t>2024-08</t>
        </is>
      </c>
      <c r="B115" s="11" t="n">
        <v>1491.9</v>
      </c>
      <c r="C115" s="11" t="n">
        <v>154.78</v>
      </c>
      <c r="D115" s="11" t="n">
        <v>9.640000000000001</v>
      </c>
    </row>
    <row r="116">
      <c r="A116" s="14" t="inlineStr">
        <is>
          <t>2024-09</t>
        </is>
      </c>
      <c r="B116" s="11" t="n">
        <v>1480.8</v>
      </c>
      <c r="C116" s="11" t="n">
        <v>154.78</v>
      </c>
      <c r="D116" s="11" t="n">
        <v>9.57</v>
      </c>
    </row>
    <row r="117">
      <c r="A117" s="14" t="inlineStr">
        <is>
          <t>2024-10</t>
        </is>
      </c>
      <c r="B117" s="11" t="n">
        <v>1543.8</v>
      </c>
      <c r="C117" s="11" t="n">
        <v>184.49</v>
      </c>
      <c r="D117" s="11" t="n">
        <v>8.369999999999999</v>
      </c>
    </row>
    <row r="118">
      <c r="A118" s="14" t="inlineStr">
        <is>
          <t>2024-11</t>
        </is>
      </c>
      <c r="B118" s="11" t="n">
        <v>1558.6</v>
      </c>
      <c r="C118" s="11" t="n">
        <v>184.49</v>
      </c>
      <c r="D118" s="11" t="n">
        <v>8.449999999999999</v>
      </c>
    </row>
    <row r="119">
      <c r="A119" s="14" t="inlineStr">
        <is>
          <t>2024-12</t>
        </is>
      </c>
      <c r="B119" s="11" t="n">
        <v>1620.7</v>
      </c>
      <c r="C119" s="11" t="n">
        <v>184.49</v>
      </c>
      <c r="D119" s="11" t="n">
        <v>8.779999999999999</v>
      </c>
    </row>
    <row r="120">
      <c r="A120" s="14" t="inlineStr">
        <is>
          <t>2025-01</t>
        </is>
      </c>
      <c r="B120" s="11" t="n">
        <v>1623.5</v>
      </c>
      <c r="C120" s="11" t="n">
        <v>134.7</v>
      </c>
      <c r="D120" s="11" t="n">
        <v>12.05</v>
      </c>
    </row>
    <row r="121">
      <c r="A121" s="14" t="inlineStr">
        <is>
          <t>2025-02</t>
        </is>
      </c>
      <c r="B121" s="11" t="n">
        <v>1601.4</v>
      </c>
      <c r="C121" s="11" t="n">
        <v>134.7</v>
      </c>
      <c r="D121" s="11" t="n">
        <v>11.89</v>
      </c>
    </row>
    <row r="122">
      <c r="A122" s="14" t="inlineStr">
        <is>
          <t>2025-03</t>
        </is>
      </c>
      <c r="B122" s="11" t="n">
        <v>1613.6</v>
      </c>
      <c r="C122" s="11" t="n">
        <v>134.7</v>
      </c>
      <c r="D122" s="11" t="n">
        <v>11.98</v>
      </c>
    </row>
    <row r="123">
      <c r="A123" s="14" t="inlineStr">
        <is>
          <t>2025-04</t>
        </is>
      </c>
      <c r="B123" s="11" t="n">
        <v>1607</v>
      </c>
      <c r="C123" s="11" t="n">
        <v>225.39</v>
      </c>
      <c r="D123" s="11" t="n">
        <v>7.13</v>
      </c>
    </row>
    <row r="124">
      <c r="A124" s="14" t="inlineStr">
        <is>
          <t>2025-05</t>
        </is>
      </c>
      <c r="B124" s="11" t="n">
        <v>1632.5</v>
      </c>
      <c r="C124" s="11" t="n">
        <v>225.39</v>
      </c>
      <c r="D124" s="11" t="n">
        <v>7.24</v>
      </c>
    </row>
    <row r="125">
      <c r="A125" s="14" t="inlineStr">
        <is>
          <t>2025-06</t>
        </is>
      </c>
      <c r="B125" s="11" t="n">
        <v>1643.9</v>
      </c>
      <c r="C125" s="11" t="n">
        <v>225.39</v>
      </c>
      <c r="D125" s="11" t="n">
        <v>7.29</v>
      </c>
    </row>
    <row r="126">
      <c r="A126" s="14" t="inlineStr">
        <is>
          <t>2025-07</t>
        </is>
      </c>
      <c r="B126" s="11" t="n">
        <v>1888.7</v>
      </c>
      <c r="C126" s="11" t="n">
        <v>227.94</v>
      </c>
      <c r="D126" s="11" t="n">
        <v>8.289999999999999</v>
      </c>
    </row>
    <row r="127">
      <c r="A127" s="14" t="inlineStr">
        <is>
          <t>2025-08</t>
        </is>
      </c>
      <c r="B127" s="11" t="n">
        <v>1875.4</v>
      </c>
      <c r="C127" s="11" t="n">
        <v>227.94</v>
      </c>
      <c r="D127" s="11" t="n">
        <v>8.23</v>
      </c>
    </row>
    <row r="128">
      <c r="A128" s="14" t="inlineStr">
        <is>
          <t>2025-09</t>
        </is>
      </c>
      <c r="B128" s="11" t="n">
        <v>1850.4</v>
      </c>
      <c r="C128" s="11" t="n">
        <v>227.94</v>
      </c>
      <c r="D128" s="11" t="n">
        <v>8.119999999999999</v>
      </c>
    </row>
    <row r="129">
      <c r="A129" s="14" t="inlineStr">
        <is>
          <t>2025-10</t>
        </is>
      </c>
      <c r="B129" s="11" t="n">
        <v>1743.7</v>
      </c>
      <c r="C129" s="11" t="n">
        <v>204.5</v>
      </c>
      <c r="D129" s="11" t="n">
        <v>8.529999999999999</v>
      </c>
    </row>
    <row r="130">
      <c r="A130" s="14" t="inlineStr">
        <is>
          <t>2025-11</t>
        </is>
      </c>
      <c r="B130" s="11" t="n">
        <v>1739.8</v>
      </c>
      <c r="C130" s="11" t="n">
        <v>204.5</v>
      </c>
      <c r="D130" s="11" t="n">
        <v>8.51</v>
      </c>
    </row>
    <row r="131">
      <c r="A131" s="14" t="inlineStr">
        <is>
          <t>2025-12</t>
        </is>
      </c>
      <c r="B131" s="11" t="n">
        <v>1859</v>
      </c>
      <c r="C131" s="11" t="n">
        <v>204.5</v>
      </c>
      <c r="D131" s="11" t="n">
        <v>9.09</v>
      </c>
    </row>
    <row r="132">
      <c r="A132" s="14" t="inlineStr">
        <is>
          <t>2026-01</t>
        </is>
      </c>
      <c r="B132" s="11" t="n">
        <v>1907.1</v>
      </c>
      <c r="C132" s="11" t="n">
        <v>230.78</v>
      </c>
      <c r="D132" s="11" t="n">
        <v>8.26</v>
      </c>
    </row>
    <row r="133">
      <c r="A133" s="14" t="inlineStr">
        <is>
          <t>2026-02</t>
        </is>
      </c>
      <c r="B133" s="11" t="n">
        <v>1958.3</v>
      </c>
      <c r="C133" s="11" t="n">
        <v>230.78</v>
      </c>
      <c r="D133" s="11" t="n">
        <v>8.49</v>
      </c>
    </row>
    <row r="134">
      <c r="A134" s="14" t="inlineStr">
        <is>
          <t>2026-03</t>
        </is>
      </c>
      <c r="B134" s="11" t="n">
        <v>1753.6</v>
      </c>
      <c r="C134" s="11" t="n">
        <v>230.78</v>
      </c>
      <c r="D134" s="11" t="n">
        <v>7.6</v>
      </c>
    </row>
    <row r="135">
      <c r="A135" s="14" t="inlineStr">
        <is>
          <t>2026-04</t>
        </is>
      </c>
      <c r="B135" s="11" t="n">
        <v>1865.3</v>
      </c>
      <c r="C135" s="11" t="n">
        <v>245.07</v>
      </c>
      <c r="D135" s="11" t="n">
        <v>7.61</v>
      </c>
    </row>
    <row r="136">
      <c r="A136" s="14" t="inlineStr">
        <is>
          <t>2026-05</t>
        </is>
      </c>
      <c r="B136" s="11" t="n">
        <v>1874.1</v>
      </c>
      <c r="C136" s="11" t="n">
        <v>245.07</v>
      </c>
      <c r="D136" s="11" t="n">
        <v>7.65</v>
      </c>
    </row>
    <row r="137">
      <c r="A137" s="14" t="inlineStr">
        <is>
          <t>2026-06</t>
        </is>
      </c>
      <c r="B137" s="11" t="n">
        <v>1875</v>
      </c>
      <c r="C137" s="11" t="n">
        <v>245.07</v>
      </c>
      <c r="D137" s="11" t="n">
        <v>7.65</v>
      </c>
    </row>
    <row r="138">
      <c r="A138" s="14" t="inlineStr">
        <is>
          <t>2026-07</t>
        </is>
      </c>
      <c r="B138" s="11" t="n">
        <v>1856.4</v>
      </c>
      <c r="C138" s="11" t="n">
        <v>244.18</v>
      </c>
      <c r="D138" s="11" t="n">
        <v>7.6</v>
      </c>
    </row>
    <row r="139">
      <c r="A139" s="14" t="inlineStr">
        <is>
          <t>2026-08</t>
        </is>
      </c>
      <c r="B139" s="11" t="n">
        <v>1965</v>
      </c>
      <c r="C139" s="11" t="n">
        <v>244.18</v>
      </c>
      <c r="D139" s="11" t="n">
        <v>8.050000000000001</v>
      </c>
    </row>
    <row r="140">
      <c r="A140" s="14" t="inlineStr">
        <is>
          <t>2026-09</t>
        </is>
      </c>
      <c r="B140" s="11" t="n">
        <v>2297</v>
      </c>
      <c r="C140" s="11" t="n">
        <v>244.18</v>
      </c>
      <c r="D140" s="11" t="n">
        <v>9.41</v>
      </c>
    </row>
    <row r="141">
      <c r="A141" s="14" t="inlineStr">
        <is>
          <t>2026-10</t>
        </is>
      </c>
      <c r="B141" s="11" t="n">
        <v>2606</v>
      </c>
      <c r="C141" s="11" t="n">
        <v>311.45</v>
      </c>
      <c r="D141" s="11" t="n">
        <v>8.369999999999999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1" t="inlineStr">
        <is>
          <t>출처 · 쓴 결산단신</t>
        </is>
      </c>
    </row>
    <row r="3">
      <c r="A3" s="17" t="inlineStr">
        <is>
          <t>공시일</t>
        </is>
      </c>
      <c r="B3" s="17" t="inlineStr">
        <is>
          <t>문서</t>
        </is>
      </c>
      <c r="C3" s="17" t="inlineStr">
        <is>
          <t>PDF</t>
        </is>
      </c>
    </row>
    <row r="4">
      <c r="A4" t="inlineStr">
        <is>
          <t>2026-10-13</t>
        </is>
      </c>
      <c r="B4" t="inlineStr">
        <is>
          <t>2027년 2월 결산기 ２분기 결산단신</t>
        </is>
      </c>
      <c r="C4" t="inlineStr">
        <is>
          <t>https://www2.jpx.co.jp/disc/78110/140120261009548752.pdf</t>
        </is>
      </c>
    </row>
    <row r="5">
      <c r="A5" t="inlineStr">
        <is>
          <t>2026-07-10</t>
        </is>
      </c>
      <c r="B5" t="inlineStr">
        <is>
          <t>2027년 2월 결산기 １분기 결산단신</t>
        </is>
      </c>
      <c r="C5" t="inlineStr">
        <is>
          <t>https://www2.jpx.co.jp/disc/78110/140120260709590279.pdf</t>
        </is>
      </c>
    </row>
    <row r="6">
      <c r="A6" t="inlineStr">
        <is>
          <t>2026-04-10</t>
        </is>
      </c>
      <c r="B6" t="inlineStr">
        <is>
          <t>2026년 2월 결산기 연간 결산단신</t>
        </is>
      </c>
      <c r="C6" t="inlineStr">
        <is>
          <t>https://www2.jpx.co.jp/disc/78110/140120260410501683.pdf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https://www2.jpx.co.jp/disc/78110/140120260114533240.pdf</t>
        </is>
      </c>
    </row>
    <row r="8">
      <c r="A8" t="inlineStr">
        <is>
          <t>2025-10-10</t>
        </is>
      </c>
      <c r="B8" t="inlineStr">
        <is>
          <t>2026년 2월 결산기 ２분기 결산단신</t>
        </is>
      </c>
      <c r="C8" t="inlineStr">
        <is>
          <t>https://www2.jpx.co.jp/disc/78110/140120251010571506.pdf</t>
        </is>
      </c>
    </row>
    <row r="9">
      <c r="A9" t="inlineStr">
        <is>
          <t>2025-07-11</t>
        </is>
      </c>
      <c r="B9" t="inlineStr">
        <is>
          <t>2026년 2월 결산기 １분기 결산단신</t>
        </is>
      </c>
      <c r="C9" t="inlineStr">
        <is>
          <t>https://www2.jpx.co.jp/disc/78110/140120250711512526.pdf</t>
        </is>
      </c>
    </row>
    <row r="10">
      <c r="A10" t="inlineStr">
        <is>
          <t>2025-04-10</t>
        </is>
      </c>
      <c r="B10" t="inlineStr">
        <is>
          <t>2025년 2월 결산기 연간 결산단신</t>
        </is>
      </c>
      <c r="C10" t="inlineStr">
        <is>
          <t>https://www2.jpx.co.jp/disc/78110/140120250410512234.pdf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https://www2.jpx.co.jp/disc/78110/140120250114550385.pdf</t>
        </is>
      </c>
    </row>
    <row r="12">
      <c r="A12" t="inlineStr">
        <is>
          <t>2024-10-08</t>
        </is>
      </c>
      <c r="B12" t="inlineStr">
        <is>
          <t>2025년 2월 결산기 ２분기 결산단신</t>
        </is>
      </c>
      <c r="C12" t="inlineStr">
        <is>
          <t>https://www2.jpx.co.jp/disc/78110/140120241008595004.pdf</t>
        </is>
      </c>
    </row>
    <row r="13">
      <c r="A13" t="inlineStr">
        <is>
          <t>2024-07-08</t>
        </is>
      </c>
      <c r="B13" t="inlineStr">
        <is>
          <t>2025년 2월 결산기 １분기 결산단신</t>
        </is>
      </c>
      <c r="C13" t="inlineStr">
        <is>
          <t>https://www2.jpx.co.jp/disc/78110/140120240708545502.pdf</t>
        </is>
      </c>
    </row>
    <row r="14">
      <c r="A14" t="inlineStr">
        <is>
          <t>2024-04-08</t>
        </is>
      </c>
      <c r="B14" t="inlineStr">
        <is>
          <t>2024년 2월 결산기 연간 결산단신</t>
        </is>
      </c>
      <c r="C14" t="inlineStr">
        <is>
          <t>https://www2.jpx.co.jp/disc/78110/140120240408567234.pdf</t>
        </is>
      </c>
    </row>
    <row r="15">
      <c r="A15" t="inlineStr">
        <is>
          <t>2024-01-15</t>
        </is>
      </c>
      <c r="B15" t="inlineStr">
        <is>
          <t>2024년 2월 결산기 ３분기 결산단신</t>
        </is>
      </c>
      <c r="C15" t="inlineStr">
        <is>
          <t>https://www2.jpx.co.jp/disc/78110/140120240115514875.pdf</t>
        </is>
      </c>
    </row>
    <row r="16">
      <c r="A16" t="inlineStr">
        <is>
          <t>2023-10-10</t>
        </is>
      </c>
      <c r="B16" t="inlineStr">
        <is>
          <t>2024년 2월 결산기 ２분기 결산단신</t>
        </is>
      </c>
      <c r="C16" t="inlineStr">
        <is>
          <t>https://www2.jpx.co.jp/disc/78110/140120231010564333.pdf</t>
        </is>
      </c>
    </row>
    <row r="17">
      <c r="A17" t="inlineStr">
        <is>
          <t>2023-07-10</t>
        </is>
      </c>
      <c r="B17" t="inlineStr">
        <is>
          <t>2024년 2월 결산기 １분기 결산단신</t>
        </is>
      </c>
      <c r="C17" t="inlineStr">
        <is>
          <t>https://www2.jpx.co.jp/disc/78110/140120230710519546.pdf</t>
        </is>
      </c>
    </row>
    <row r="18">
      <c r="A18" t="inlineStr">
        <is>
          <t>2023-04-10</t>
        </is>
      </c>
      <c r="B18" t="inlineStr">
        <is>
          <t>2023년 2월 결산기 연간 결산단신</t>
        </is>
      </c>
      <c r="C18" t="inlineStr">
        <is>
          <t>https://www2.jpx.co.jp/disc/78110/140120230410544696.pdf</t>
        </is>
      </c>
    </row>
    <row r="19">
      <c r="A19" t="inlineStr">
        <is>
          <t>2023-01-12</t>
        </is>
      </c>
      <c r="B19" t="inlineStr">
        <is>
          <t>2023년 2월 결산기 ３분기 결산단신</t>
        </is>
      </c>
      <c r="C19" t="inlineStr">
        <is>
          <t>https://www2.jpx.co.jp/disc/78110/140120230112588111.pdf</t>
        </is>
      </c>
    </row>
    <row r="20">
      <c r="A20" t="inlineStr">
        <is>
          <t>2022-10-11</t>
        </is>
      </c>
      <c r="B20" t="inlineStr">
        <is>
          <t>2023년 2월 결산기 ２분기 결산단신</t>
        </is>
      </c>
      <c r="C20" t="inlineStr">
        <is>
          <t>https://www2.jpx.co.jp/disc/78110/140120221007541871.pdf</t>
        </is>
      </c>
    </row>
    <row r="21">
      <c r="A21" t="inlineStr">
        <is>
          <t>2022-07-11</t>
        </is>
      </c>
      <c r="B21" t="inlineStr">
        <is>
          <t>2023년 2월 결산기 １분기 결산단신</t>
        </is>
      </c>
      <c r="C21" t="inlineStr">
        <is>
          <t>https://www2.jpx.co.jp/disc/78110/140120220708596970.pdf</t>
        </is>
      </c>
    </row>
    <row r="22">
      <c r="A22" t="inlineStr">
        <is>
          <t>2022-04-08</t>
        </is>
      </c>
      <c r="B22" t="inlineStr">
        <is>
          <t>2022년 2월 결산기 연간 결산단신</t>
        </is>
      </c>
      <c r="C22" t="inlineStr">
        <is>
          <t>https://www2.jpx.co.jp/disc/78110/140120220408519298.pdf</t>
        </is>
      </c>
    </row>
    <row r="23">
      <c r="A23" t="inlineStr">
        <is>
          <t>2022-01-12</t>
        </is>
      </c>
      <c r="B23" t="inlineStr">
        <is>
          <t>2022년 2월 결산기 ３분기 결산단신</t>
        </is>
      </c>
      <c r="C23" t="inlineStr">
        <is>
          <t>https://www2.jpx.co.jp/disc/78110/140120220112566461.pdf</t>
        </is>
      </c>
    </row>
    <row r="24">
      <c r="A24" t="inlineStr">
        <is>
          <t>2021-10-08</t>
        </is>
      </c>
      <c r="B24" t="inlineStr">
        <is>
          <t>2022년 2월 결산기 ２분기 결산단신</t>
        </is>
      </c>
      <c r="C24" t="inlineStr">
        <is>
          <t>https://www2.jpx.co.jp/disc/78110/140120211008408451.pdf</t>
        </is>
      </c>
    </row>
    <row r="25">
      <c r="A25" t="inlineStr">
        <is>
          <t>2021-07-08</t>
        </is>
      </c>
      <c r="B25" t="inlineStr">
        <is>
          <t>2022년 2월 결산기 １분기 결산단신</t>
        </is>
      </c>
      <c r="C25" t="inlineStr">
        <is>
          <t>https://www2.jpx.co.jp/disc/78110/140120210708463592.pdf</t>
        </is>
      </c>
    </row>
    <row r="26">
      <c r="A26" t="inlineStr">
        <is>
          <t>2021-04-08</t>
        </is>
      </c>
      <c r="B26" t="inlineStr">
        <is>
          <t>2021년 2월 결산기 연간 결산단신</t>
        </is>
      </c>
      <c r="C26" t="inlineStr">
        <is>
          <t>https://www2.jpx.co.jp/disc/78110/140120210408491324.pdf</t>
        </is>
      </c>
    </row>
    <row r="27">
      <c r="A27" t="inlineStr">
        <is>
          <t>2021-01-12</t>
        </is>
      </c>
      <c r="B27" t="inlineStr">
        <is>
          <t>2021년 2월 결산기 ３분기 결산단신</t>
        </is>
      </c>
      <c r="C27" t="inlineStr">
        <is>
          <t>https://www2.jpx.co.jp/disc/78110/140120210112443058.pdf</t>
        </is>
      </c>
    </row>
    <row r="28">
      <c r="A28" t="inlineStr">
        <is>
          <t>2020-10-12</t>
        </is>
      </c>
      <c r="B28" t="inlineStr">
        <is>
          <t>2021년 2월 결산기 ２분기 결산단신</t>
        </is>
      </c>
      <c r="C28" t="inlineStr">
        <is>
          <t>https://www2.jpx.co.jp/disc/78110/140120201012402390.pdf</t>
        </is>
      </c>
    </row>
    <row r="29">
      <c r="A29" t="inlineStr">
        <is>
          <t>2020-07-13</t>
        </is>
      </c>
      <c r="B29" t="inlineStr">
        <is>
          <t>2021년 2월 결산기 １분기 결산단신</t>
        </is>
      </c>
      <c r="C29" t="inlineStr">
        <is>
          <t>https://www2.jpx.co.jp/disc/78110/140120200713461146.pdf</t>
        </is>
      </c>
    </row>
    <row r="30">
      <c r="A30" t="inlineStr">
        <is>
          <t>2020-04-13</t>
        </is>
      </c>
      <c r="B30" t="inlineStr">
        <is>
          <t>2020년 2월 결산기 연간 결산단신</t>
        </is>
      </c>
      <c r="C30" t="inlineStr">
        <is>
          <t>https://www2.jpx.co.jp/disc/78110/140120200413493087.pdf</t>
        </is>
      </c>
    </row>
    <row r="31">
      <c r="A31" t="inlineStr">
        <is>
          <t>2020-01-14</t>
        </is>
      </c>
      <c r="B31" t="inlineStr">
        <is>
          <t>2020년 2월 결산기 ３분기 결산단신</t>
        </is>
      </c>
      <c r="C31" t="inlineStr">
        <is>
          <t>https://www2.jpx.co.jp/disc/78110/140120200114446482.pdf</t>
        </is>
      </c>
    </row>
    <row r="32">
      <c r="A32" t="inlineStr">
        <is>
          <t>2019-10-15</t>
        </is>
      </c>
      <c r="B32" t="inlineStr">
        <is>
          <t>2020년 2월 결산기 ２분기 결산단신</t>
        </is>
      </c>
      <c r="C32" t="inlineStr">
        <is>
          <t>https://www2.jpx.co.jp/disc/78110/140120191015408126.pdf</t>
        </is>
      </c>
    </row>
    <row r="33">
      <c r="A33" t="inlineStr">
        <is>
          <t>2019-07-12</t>
        </is>
      </c>
      <c r="B33" t="inlineStr">
        <is>
          <t>2020년 2월 결산기 １분기 결산단신</t>
        </is>
      </c>
      <c r="C33" t="inlineStr">
        <is>
          <t>https://www2.jpx.co.jp/disc/78110/140120190712471253.pdf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2026-10-25T06:59:29Z</dcterms:created>
  <dcterms:modified xmlns:dcterms="http://purl.org/dc/terms/" xmlns:xsi="http://www.w3.org/2001/XMLSchema-instance" xsi:type="dcterms:W3CDTF">2026-10-25T06:59:29Z</dcterms:modified>
</cp:coreProperties>
</file>