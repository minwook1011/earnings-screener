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9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나카모토팩스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2월 결산 · 일본 기준 · 2027.2Q = 2027년 2월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11478.518</v>
      </c>
      <c r="D4" s="12" t="n">
        <v>10604.668</v>
      </c>
      <c r="E4" s="12" t="n">
        <v>11619.357</v>
      </c>
      <c r="F4" s="12" t="n">
        <v>12757.075</v>
      </c>
      <c r="G4" s="12" t="n">
        <v>12450.532</v>
      </c>
      <c r="H4" s="12" t="n">
        <v>12305.221</v>
      </c>
      <c r="I4" s="12" t="n">
        <v>12328.684</v>
      </c>
      <c r="J4" s="12" t="n">
        <v>12657.925</v>
      </c>
      <c r="K4" s="12" t="n">
        <v>12648.256</v>
      </c>
      <c r="L4" s="12" t="n">
        <v>12001.081</v>
      </c>
      <c r="M4" s="12" t="n">
        <v>12767.519</v>
      </c>
      <c r="N4" s="12" t="n">
        <v>15300.54</v>
      </c>
      <c r="O4" s="11" t="n">
        <v>31482.105</v>
      </c>
      <c r="P4" s="12" t="n">
        <v>32981.135</v>
      </c>
      <c r="Q4" s="12" t="n">
        <v>33942.822</v>
      </c>
      <c r="R4" s="12" t="n">
        <v>34100.257</v>
      </c>
      <c r="S4" s="12" t="n">
        <v>36033.596</v>
      </c>
      <c r="T4" s="12" t="n">
        <v>40485.133</v>
      </c>
      <c r="U4" s="12" t="n">
        <v>43128.879</v>
      </c>
      <c r="V4" s="12" t="n">
        <v>44362.283</v>
      </c>
      <c r="W4" s="12" t="n">
        <v>49132.185</v>
      </c>
      <c r="X4" s="12" t="n">
        <v>49635.946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9698.290000000001</v>
      </c>
      <c r="D11" s="22" t="n">
        <v>9079.708000000001</v>
      </c>
      <c r="E11" s="22" t="n">
        <v>9729.195</v>
      </c>
      <c r="F11" s="22" t="n">
        <v>10317.374</v>
      </c>
      <c r="G11" s="22" t="n">
        <v>10217.6</v>
      </c>
      <c r="H11" s="22" t="n">
        <v>10263.876</v>
      </c>
      <c r="I11" s="22" t="n">
        <v>10083.487</v>
      </c>
      <c r="J11" s="22" t="n">
        <v>10239.268</v>
      </c>
      <c r="K11" s="22" t="n">
        <v>10317.929</v>
      </c>
      <c r="L11" s="22" t="n">
        <v>9857.304</v>
      </c>
      <c r="M11" s="22" t="n">
        <v>10420.428</v>
      </c>
      <c r="N11" s="22" t="n">
        <v>12067.881</v>
      </c>
      <c r="O11" s="21" t="n">
        <v>26810.711</v>
      </c>
      <c r="P11" s="22" t="n">
        <v>28076.249</v>
      </c>
      <c r="Q11" s="22" t="n">
        <v>28655.018</v>
      </c>
      <c r="R11" s="22" t="n">
        <v>28850.291</v>
      </c>
      <c r="S11" s="22" t="n">
        <v>30337.612</v>
      </c>
      <c r="T11" s="22" t="n">
        <v>33595.278</v>
      </c>
      <c r="U11" s="22" t="n">
        <v>36646.098</v>
      </c>
      <c r="V11" s="22" t="n">
        <v>37712.762</v>
      </c>
      <c r="W11" s="22" t="n">
        <v>40528.045</v>
      </c>
      <c r="X11" s="22" t="n">
        <v>40497.988</v>
      </c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>
        <v>1202.292</v>
      </c>
      <c r="D15" s="22" t="n">
        <v>1308.219</v>
      </c>
      <c r="E15" s="22" t="n">
        <v>1340.064</v>
      </c>
      <c r="F15" s="22" t="n">
        <v>1428.849</v>
      </c>
      <c r="G15" s="22" t="n">
        <v>1430.451</v>
      </c>
      <c r="H15" s="22" t="n">
        <v>1533.725</v>
      </c>
      <c r="I15" s="22" t="n">
        <v>1494.75</v>
      </c>
      <c r="J15" s="22" t="n">
        <v>1557.936</v>
      </c>
      <c r="K15" s="22" t="n">
        <v>1573.404</v>
      </c>
      <c r="L15" s="22" t="n">
        <v>1550.45</v>
      </c>
      <c r="M15" s="22" t="n">
        <v>1547.107</v>
      </c>
      <c r="N15" s="22" t="n">
        <v>1577.757</v>
      </c>
      <c r="O15" s="21" t="n">
        <v>3360.31</v>
      </c>
      <c r="P15" s="22" t="n">
        <v>3573.018</v>
      </c>
      <c r="Q15" s="22" t="n">
        <v>3642.158</v>
      </c>
      <c r="R15" s="22" t="n">
        <v>3716.331</v>
      </c>
      <c r="S15" s="22" t="n">
        <v>3980.002</v>
      </c>
      <c r="T15" s="22" t="n">
        <v>4557.396</v>
      </c>
      <c r="U15" s="22" t="n">
        <v>4590.207</v>
      </c>
      <c r="V15" s="22" t="n">
        <v>4834.389</v>
      </c>
      <c r="W15" s="22" t="n">
        <v>5733.089</v>
      </c>
      <c r="X15" s="22" t="n">
        <v>6176.54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577.936</v>
      </c>
      <c r="D16" s="12" t="n">
        <v>216.742</v>
      </c>
      <c r="E16" s="12" t="n">
        <v>550.098</v>
      </c>
      <c r="F16" s="12" t="n">
        <v>1010.85</v>
      </c>
      <c r="G16" s="12" t="n">
        <v>802.482</v>
      </c>
      <c r="H16" s="12" t="n">
        <v>507.62</v>
      </c>
      <c r="I16" s="12" t="n">
        <v>750.446</v>
      </c>
      <c r="J16" s="12" t="n">
        <v>860.721</v>
      </c>
      <c r="K16" s="12" t="n">
        <v>756.924</v>
      </c>
      <c r="L16" s="12" t="n">
        <v>593.326</v>
      </c>
      <c r="M16" s="12" t="n">
        <v>799.9829999999999</v>
      </c>
      <c r="N16" s="12" t="n">
        <v>1654.902</v>
      </c>
      <c r="O16" s="11" t="n">
        <v>1311.083</v>
      </c>
      <c r="P16" s="12" t="n">
        <v>1331.866</v>
      </c>
      <c r="Q16" s="12" t="n">
        <v>1645.644</v>
      </c>
      <c r="R16" s="12" t="n">
        <v>1533.634</v>
      </c>
      <c r="S16" s="12" t="n">
        <v>1715.981</v>
      </c>
      <c r="T16" s="12" t="n">
        <v>2332.458</v>
      </c>
      <c r="U16" s="12" t="n">
        <v>1892.573</v>
      </c>
      <c r="V16" s="12" t="n">
        <v>1815.132</v>
      </c>
      <c r="W16" s="12" t="n">
        <v>2871.05</v>
      </c>
      <c r="X16" s="12" t="n">
        <v>2961.417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>
        <v>0.154</v>
      </c>
      <c r="D32" s="22" t="n">
        <v>411.352</v>
      </c>
      <c r="E32" s="22" t="n">
        <v>0.497</v>
      </c>
      <c r="F32" s="22" t="n">
        <v>0.017</v>
      </c>
      <c r="G32" s="22" t="n">
        <v>0.524</v>
      </c>
      <c r="H32" s="22" t="n">
        <v>0.186</v>
      </c>
      <c r="I32" s="22" t="n">
        <v>149.817</v>
      </c>
      <c r="J32" s="22" t="n">
        <v>0</v>
      </c>
      <c r="K32" s="22" t="n">
        <v>139.962</v>
      </c>
      <c r="L32" s="22" t="n">
        <v>47.386</v>
      </c>
      <c r="M32" s="22" t="n">
        <v>0</v>
      </c>
      <c r="N32" s="22" t="n">
        <v>0</v>
      </c>
      <c r="O32" s="21" t="n">
        <v>25.765</v>
      </c>
      <c r="P32" s="22" t="n">
        <v>20.631</v>
      </c>
      <c r="Q32" s="22" t="n">
        <v>4.653</v>
      </c>
      <c r="R32" s="22" t="n">
        <v>2.963</v>
      </c>
      <c r="S32" s="22" t="n">
        <v>233.355</v>
      </c>
      <c r="T32" s="22" t="n">
        <v>2.256</v>
      </c>
      <c r="U32" s="22" t="n">
        <v>83.087</v>
      </c>
      <c r="V32" s="22" t="n">
        <v>470.646</v>
      </c>
      <c r="W32" s="22" t="n">
        <v>1.224</v>
      </c>
      <c r="X32" s="22" t="n">
        <v>337.165</v>
      </c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>
        <v>8.741</v>
      </c>
      <c r="D34" s="22" t="n">
        <v>1034.077</v>
      </c>
      <c r="E34" s="22" t="n">
        <v>30.778</v>
      </c>
      <c r="F34" s="22" t="n">
        <v>1.807</v>
      </c>
      <c r="G34" s="22" t="n">
        <v>6.526</v>
      </c>
      <c r="H34" s="22" t="n">
        <v>23.32</v>
      </c>
      <c r="I34" s="22" t="n">
        <v>0.338</v>
      </c>
      <c r="J34" s="22" t="n">
        <v>8.711</v>
      </c>
      <c r="K34" s="22" t="n">
        <v>7.133</v>
      </c>
      <c r="L34" s="22" t="n">
        <v>2.738</v>
      </c>
      <c r="M34" s="22" t="n">
        <v>0</v>
      </c>
      <c r="N34" s="22" t="n">
        <v>0</v>
      </c>
      <c r="O34" s="21" t="n">
        <v>66.03100000000001</v>
      </c>
      <c r="P34" s="22" t="n">
        <v>54.621</v>
      </c>
      <c r="Q34" s="22" t="n">
        <v>46.907</v>
      </c>
      <c r="R34" s="22" t="n">
        <v>46.374</v>
      </c>
      <c r="S34" s="22" t="n">
        <v>151.353</v>
      </c>
      <c r="T34" s="22" t="n">
        <v>199.071</v>
      </c>
      <c r="U34" s="22" t="n">
        <v>178.475</v>
      </c>
      <c r="V34" s="22" t="n">
        <v>1158.505</v>
      </c>
      <c r="W34" s="22" t="n">
        <v>62.431</v>
      </c>
      <c r="X34" s="22" t="n">
        <v>18.92</v>
      </c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450.614</v>
      </c>
      <c r="D36" s="22" t="n">
        <v>-17.259</v>
      </c>
      <c r="E36" s="22" t="n">
        <v>112.447</v>
      </c>
      <c r="F36" s="22" t="n">
        <v>127.567</v>
      </c>
      <c r="G36" s="22" t="n">
        <v>-46.327</v>
      </c>
      <c r="H36" s="22" t="n">
        <v>156.338</v>
      </c>
      <c r="I36" s="22" t="n">
        <v>48.986</v>
      </c>
      <c r="J36" s="22" t="n">
        <v>79.995</v>
      </c>
      <c r="K36" s="22" t="n">
        <v>46.117</v>
      </c>
      <c r="L36" s="22" t="n">
        <v>86.31699999999999</v>
      </c>
      <c r="M36" s="22" t="n">
        <v>62.98</v>
      </c>
      <c r="N36" s="22" t="n">
        <v>59.543</v>
      </c>
      <c r="O36" s="21" t="n">
        <v>237.23</v>
      </c>
      <c r="P36" s="22" t="n">
        <v>261.156</v>
      </c>
      <c r="Q36" s="22" t="n">
        <v>177.734</v>
      </c>
      <c r="R36" s="22" t="n">
        <v>203.183</v>
      </c>
      <c r="S36" s="22" t="n">
        <v>178.154</v>
      </c>
      <c r="T36" s="22" t="n">
        <v>369.413</v>
      </c>
      <c r="U36" s="22" t="n">
        <v>430.092</v>
      </c>
      <c r="V36" s="22" t="n">
        <v>673.417</v>
      </c>
      <c r="W36" s="22" t="n">
        <v>350.025</v>
      </c>
      <c r="X36" s="22" t="n">
        <v>261.415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>
        <v>56.112</v>
      </c>
      <c r="D38" s="22" t="n">
        <v>44.235</v>
      </c>
      <c r="E38" s="22" t="n">
        <v>132.536</v>
      </c>
      <c r="F38" s="22" t="n">
        <v>42.862</v>
      </c>
      <c r="G38" s="22" t="n">
        <v>42.802</v>
      </c>
      <c r="H38" s="22" t="n">
        <v>94.53700000000001</v>
      </c>
      <c r="I38" s="22" t="n">
        <v>103.131</v>
      </c>
      <c r="J38" s="22" t="n">
        <v>69.28400000000001</v>
      </c>
      <c r="K38" s="22" t="n">
        <v>2.121</v>
      </c>
      <c r="L38" s="22" t="n">
        <v>-6.163</v>
      </c>
      <c r="M38" s="22" t="n">
        <v>42.837</v>
      </c>
      <c r="N38" s="22" t="n">
        <v>34.892</v>
      </c>
      <c r="O38" s="21" t="n">
        <v>180.143</v>
      </c>
      <c r="P38" s="22" t="n">
        <v>106.209</v>
      </c>
      <c r="Q38" s="22" t="n">
        <v>139.087</v>
      </c>
      <c r="R38" s="22" t="n">
        <v>127.921</v>
      </c>
      <c r="S38" s="22" t="n">
        <v>143.797</v>
      </c>
      <c r="T38" s="22" t="n">
        <v>116.164</v>
      </c>
      <c r="U38" s="22" t="n">
        <v>116.56</v>
      </c>
      <c r="V38" s="22" t="n">
        <v>146.974</v>
      </c>
      <c r="W38" s="22" t="n">
        <v>312.737</v>
      </c>
      <c r="X38" s="22" t="n">
        <v>168.373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963.851</v>
      </c>
      <c r="D40" s="12" t="n">
        <v>-467.478</v>
      </c>
      <c r="E40" s="12" t="n">
        <v>499.728</v>
      </c>
      <c r="F40" s="12" t="n">
        <v>1093.766</v>
      </c>
      <c r="G40" s="12" t="n">
        <v>707.351</v>
      </c>
      <c r="H40" s="12" t="n">
        <v>546.287</v>
      </c>
      <c r="I40" s="12" t="n">
        <v>845.78</v>
      </c>
      <c r="J40" s="12" t="n">
        <v>862.72</v>
      </c>
      <c r="K40" s="12" t="n">
        <v>933.749</v>
      </c>
      <c r="L40" s="12" t="n">
        <v>730.456</v>
      </c>
      <c r="M40" s="12" t="n">
        <v>820.126</v>
      </c>
      <c r="N40" s="12" t="n">
        <v>1679.554</v>
      </c>
      <c r="O40" s="11" t="n">
        <v>1327.904</v>
      </c>
      <c r="P40" s="12" t="n">
        <v>1452.823</v>
      </c>
      <c r="Q40" s="12" t="n">
        <v>1642.038</v>
      </c>
      <c r="R40" s="12" t="n">
        <v>1565.485</v>
      </c>
      <c r="S40" s="12" t="n">
        <v>1832.34</v>
      </c>
      <c r="T40" s="12" t="n">
        <v>2388.891</v>
      </c>
      <c r="U40" s="12" t="n">
        <v>2110.717</v>
      </c>
      <c r="V40" s="12" t="n">
        <v>1653.715</v>
      </c>
      <c r="W40" s="12" t="n">
        <v>2847.132</v>
      </c>
      <c r="X40" s="12" t="n">
        <v>3372.705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168.995</v>
      </c>
      <c r="D41" s="22" t="n">
        <v>76.18600000000001</v>
      </c>
      <c r="E41" s="22" t="n">
        <v>1.679</v>
      </c>
      <c r="F41" s="22" t="n">
        <v>326.901</v>
      </c>
      <c r="G41" s="22" t="n">
        <v>308.52</v>
      </c>
      <c r="H41" s="22" t="n">
        <v>134.09</v>
      </c>
      <c r="I41" s="22" t="n">
        <v>279.826</v>
      </c>
      <c r="J41" s="22" t="n">
        <v>299.75</v>
      </c>
      <c r="K41" s="22" t="n">
        <v>316.219</v>
      </c>
      <c r="L41" s="22" t="n">
        <v>201.371</v>
      </c>
      <c r="M41" s="22" t="n">
        <v>271.422</v>
      </c>
      <c r="N41" s="22" t="n">
        <v>540.102</v>
      </c>
      <c r="O41" s="21" t="n">
        <v>478.375</v>
      </c>
      <c r="P41" s="22" t="n">
        <v>432.285</v>
      </c>
      <c r="Q41" s="22" t="n">
        <v>496.456</v>
      </c>
      <c r="R41" s="22" t="n">
        <v>469.931</v>
      </c>
      <c r="S41" s="22" t="n">
        <v>443.982</v>
      </c>
      <c r="T41" s="22" t="n">
        <v>832.076</v>
      </c>
      <c r="U41" s="22" t="n">
        <v>720.543</v>
      </c>
      <c r="V41" s="22" t="n">
        <v>630.817</v>
      </c>
      <c r="W41" s="22" t="n">
        <v>771.1900000000001</v>
      </c>
      <c r="X41" s="22" t="n">
        <v>1097.166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794.857</v>
      </c>
      <c r="D43" s="12" t="n">
        <v>-543.664</v>
      </c>
      <c r="E43" s="12" t="n">
        <v>498.048</v>
      </c>
      <c r="F43" s="12" t="n">
        <v>766.865</v>
      </c>
      <c r="G43" s="12" t="n">
        <v>398.831</v>
      </c>
      <c r="H43" s="12" t="n">
        <v>412.197</v>
      </c>
      <c r="I43" s="12" t="n">
        <v>565.953</v>
      </c>
      <c r="J43" s="12" t="n">
        <v>562.97</v>
      </c>
      <c r="K43" s="12" t="n">
        <v>617.53</v>
      </c>
      <c r="L43" s="12" t="n">
        <v>529.085</v>
      </c>
      <c r="M43" s="12" t="n">
        <v>548.704</v>
      </c>
      <c r="N43" s="12" t="n">
        <v>1139.451</v>
      </c>
      <c r="O43" s="11" t="n">
        <v>849.529</v>
      </c>
      <c r="P43" s="12" t="n">
        <v>1020.538</v>
      </c>
      <c r="Q43" s="12" t="n">
        <v>1145.582</v>
      </c>
      <c r="R43" s="12" t="n">
        <v>1095.553</v>
      </c>
      <c r="S43" s="12" t="n">
        <v>1388.357</v>
      </c>
      <c r="T43" s="12" t="n">
        <v>1556.814</v>
      </c>
      <c r="U43" s="12" t="n">
        <v>1390.173</v>
      </c>
      <c r="V43" s="12" t="n">
        <v>1022.898</v>
      </c>
      <c r="W43" s="12" t="n">
        <v>2075.941</v>
      </c>
      <c r="X43" s="12" t="n">
        <v>2275.538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752.808</v>
      </c>
      <c r="D44" s="12" t="n">
        <v>-380.694</v>
      </c>
      <c r="E44" s="12" t="n">
        <v>531.6559999999999</v>
      </c>
      <c r="F44" s="12" t="n">
        <v>716.0119999999999</v>
      </c>
      <c r="G44" s="12" t="n">
        <v>377.45</v>
      </c>
      <c r="H44" s="12" t="n">
        <v>385.012</v>
      </c>
      <c r="I44" s="12" t="n">
        <v>554.343</v>
      </c>
      <c r="J44" s="12" t="n">
        <v>505.612</v>
      </c>
      <c r="K44" s="12" t="n">
        <v>607.515</v>
      </c>
      <c r="L44" s="12" t="n">
        <v>508.364</v>
      </c>
      <c r="M44" s="12" t="n">
        <v>542.1900000000001</v>
      </c>
      <c r="N44" s="12" t="n">
        <v>1098.877</v>
      </c>
      <c r="O44" s="11" t="n">
        <v>821.699</v>
      </c>
      <c r="P44" s="12" t="n">
        <v>981.748</v>
      </c>
      <c r="Q44" s="12" t="n">
        <v>1156.552</v>
      </c>
      <c r="R44" s="12" t="n">
        <v>1085.637</v>
      </c>
      <c r="S44" s="12" t="n">
        <v>1315.618</v>
      </c>
      <c r="T44" s="12" t="n">
        <v>1470.493</v>
      </c>
      <c r="U44" s="12" t="n">
        <v>1285.214</v>
      </c>
      <c r="V44" s="12" t="n">
        <v>1057.6</v>
      </c>
      <c r="W44" s="12" t="n">
        <v>2010.13</v>
      </c>
      <c r="X44" s="12" t="n">
        <v>2175.834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(2026.10.23)</t>
        </is>
      </c>
      <c r="B47" s="29" t="n">
        <v>2655</v>
      </c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>
        <v>8920791</v>
      </c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 2026.10.23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2024.3Q</t>
        </is>
      </c>
      <c r="D77" s="5" t="inlineStr">
        <is>
          <t>2024.4Q</t>
        </is>
      </c>
      <c r="E77" s="5" t="inlineStr">
        <is>
          <t>2025.1Q</t>
        </is>
      </c>
      <c r="F77" s="5" t="inlineStr">
        <is>
          <t>2025.2Q</t>
        </is>
      </c>
      <c r="G77" s="5" t="inlineStr">
        <is>
          <t>2025.3Q</t>
        </is>
      </c>
      <c r="H77" s="5" t="inlineStr">
        <is>
          <t>2025.4Q</t>
        </is>
      </c>
      <c r="I77" s="5" t="inlineStr">
        <is>
          <t>2026.1Q</t>
        </is>
      </c>
      <c r="J77" s="5" t="inlineStr">
        <is>
          <t>2026.2Q</t>
        </is>
      </c>
      <c r="K77" s="5" t="inlineStr">
        <is>
          <t>2026.3Q</t>
        </is>
      </c>
      <c r="L77" s="5" t="inlineStr">
        <is>
          <t>2026.4Q</t>
        </is>
      </c>
      <c r="M77" s="5" t="inlineStr">
        <is>
          <t>2027.1Q</t>
        </is>
      </c>
      <c r="N77" s="5" t="inlineStr">
        <is>
          <t>2027.2Q</t>
        </is>
      </c>
      <c r="O77" s="5" t="inlineStr">
        <is>
          <t>2017</t>
        </is>
      </c>
      <c r="P77" s="5" t="inlineStr">
        <is>
          <t>2018</t>
        </is>
      </c>
      <c r="Q77" s="5" t="inlineStr">
        <is>
          <t>2019</t>
        </is>
      </c>
      <c r="R77" s="5" t="inlineStr">
        <is>
          <t>2020</t>
        </is>
      </c>
      <c r="S77" s="5" t="inlineStr">
        <is>
          <t>2021</t>
        </is>
      </c>
      <c r="T77" s="5" t="inlineStr">
        <is>
          <t>2022</t>
        </is>
      </c>
      <c r="U77" s="5" t="inlineStr">
        <is>
          <t>2023</t>
        </is>
      </c>
      <c r="V77" s="5" t="inlineStr">
        <is>
          <t>2024</t>
        </is>
      </c>
      <c r="W77" s="5" t="inlineStr">
        <is>
          <t>2025</t>
        </is>
      </c>
      <c r="X77" s="5" t="inlineStr">
        <is>
          <t>2026</t>
        </is>
      </c>
      <c r="Y77" s="5" t="inlineStr">
        <is>
          <t>2027(MW)</t>
        </is>
      </c>
      <c r="Z77" s="5" t="inlineStr">
        <is>
          <t>2028(MW)</t>
        </is>
      </c>
      <c r="AA77" s="5" t="inlineStr">
        <is>
          <t>2029(MW)</t>
        </is>
      </c>
      <c r="AB77" s="5" t="inlineStr">
        <is>
          <t>2030(MW)</t>
        </is>
      </c>
      <c r="AC77" s="5" t="inlineStr">
        <is>
          <t>2031(MW)</t>
        </is>
      </c>
    </row>
    <row r="78">
      <c r="A78" s="9" t="inlineStr">
        <is>
          <t>매출액</t>
        </is>
      </c>
      <c r="C78" s="12" t="n">
        <v>11478.518</v>
      </c>
      <c r="D78" s="12" t="n">
        <v>10604.668</v>
      </c>
      <c r="E78" s="12" t="n">
        <v>11619.357</v>
      </c>
      <c r="F78" s="12" t="n">
        <v>12757.075</v>
      </c>
      <c r="G78" s="12" t="n">
        <v>12450.532</v>
      </c>
      <c r="H78" s="12" t="n">
        <v>12305.221</v>
      </c>
      <c r="I78" s="12" t="n">
        <v>12328.684</v>
      </c>
      <c r="J78" s="12" t="n">
        <v>12657.925</v>
      </c>
      <c r="K78" s="12" t="n">
        <v>12648.256</v>
      </c>
      <c r="L78" s="12" t="n">
        <v>12001.081</v>
      </c>
      <c r="M78" s="12" t="n">
        <v>12767.519</v>
      </c>
      <c r="N78" s="12" t="n">
        <v>15300.54</v>
      </c>
      <c r="T78" s="12" t="n">
        <v>9997.239</v>
      </c>
      <c r="U78" s="12" t="n">
        <v>10168.143</v>
      </c>
      <c r="V78" s="12" t="n">
        <v>10604.668</v>
      </c>
      <c r="W78" s="12" t="n">
        <v>12305.221</v>
      </c>
      <c r="X78" s="12" t="n">
        <v>12001.081</v>
      </c>
    </row>
    <row r="79">
      <c r="A79" s="20" t="inlineStr">
        <is>
          <t>매출원가</t>
        </is>
      </c>
      <c r="C79" s="22" t="n">
        <v>9698.290000000001</v>
      </c>
      <c r="D79" s="22" t="n">
        <v>9079.708000000001</v>
      </c>
      <c r="E79" s="22" t="n">
        <v>9729.195</v>
      </c>
      <c r="F79" s="22" t="n">
        <v>10317.374</v>
      </c>
      <c r="G79" s="22" t="n">
        <v>10217.6</v>
      </c>
      <c r="H79" s="22" t="n">
        <v>10263.876</v>
      </c>
      <c r="I79" s="22" t="n">
        <v>10083.487</v>
      </c>
      <c r="J79" s="22" t="n">
        <v>10239.268</v>
      </c>
      <c r="K79" s="22" t="n">
        <v>10317.929</v>
      </c>
      <c r="L79" s="22" t="n">
        <v>9857.304</v>
      </c>
      <c r="M79" s="22" t="n">
        <v>10420.428</v>
      </c>
      <c r="N79" s="22" t="n">
        <v>12067.881</v>
      </c>
      <c r="T79" s="22" t="n">
        <v>8542.578</v>
      </c>
      <c r="U79" s="22" t="n">
        <v>8805.93</v>
      </c>
      <c r="V79" s="22" t="n">
        <v>9079.708000000001</v>
      </c>
      <c r="W79" s="22" t="n">
        <v>10263.876</v>
      </c>
      <c r="X79" s="22" t="n">
        <v>9857.304</v>
      </c>
    </row>
    <row r="80">
      <c r="A80" s="9" t="inlineStr">
        <is>
          <t>매출총이익</t>
        </is>
      </c>
      <c r="C80" s="12" t="n">
        <v>1780.228</v>
      </c>
      <c r="D80" s="12" t="n">
        <v>1524.96</v>
      </c>
      <c r="E80" s="12" t="n">
        <v>1890.162</v>
      </c>
      <c r="F80" s="12" t="n">
        <v>2439.7</v>
      </c>
      <c r="G80" s="12" t="n">
        <v>2232.932</v>
      </c>
      <c r="H80" s="12" t="n">
        <v>2041.346</v>
      </c>
      <c r="I80" s="12" t="n">
        <v>2245.196</v>
      </c>
      <c r="J80" s="12" t="n">
        <v>2418.657</v>
      </c>
      <c r="K80" s="12" t="n">
        <v>2330.328</v>
      </c>
      <c r="L80" s="12" t="n">
        <v>2143.777</v>
      </c>
      <c r="M80" s="12" t="n">
        <v>2347.091</v>
      </c>
      <c r="N80" s="12" t="n">
        <v>3232.658</v>
      </c>
      <c r="T80" s="12" t="n">
        <v>1454.662</v>
      </c>
      <c r="U80" s="12" t="n">
        <v>1362.214</v>
      </c>
      <c r="V80" s="12" t="n">
        <v>1524.96</v>
      </c>
      <c r="W80" s="12" t="n">
        <v>2041.346</v>
      </c>
      <c r="X80" s="12" t="n">
        <v>2143.777</v>
      </c>
    </row>
    <row r="81">
      <c r="A81" s="20" t="inlineStr">
        <is>
          <t>판매비와 관리비</t>
        </is>
      </c>
      <c r="C81" s="22" t="n">
        <v>1202.292</v>
      </c>
      <c r="D81" s="22" t="n">
        <v>1308.219</v>
      </c>
      <c r="E81" s="22" t="n">
        <v>1340.064</v>
      </c>
      <c r="F81" s="22" t="n">
        <v>1428.849</v>
      </c>
      <c r="G81" s="22" t="n">
        <v>1430.451</v>
      </c>
      <c r="H81" s="22" t="n">
        <v>1533.725</v>
      </c>
      <c r="I81" s="22" t="n">
        <v>1494.75</v>
      </c>
      <c r="J81" s="22" t="n">
        <v>1557.936</v>
      </c>
      <c r="K81" s="22" t="n">
        <v>1573.404</v>
      </c>
      <c r="L81" s="22" t="n">
        <v>1550.45</v>
      </c>
      <c r="M81" s="22" t="n">
        <v>1547.107</v>
      </c>
      <c r="N81" s="22" t="n">
        <v>1577.757</v>
      </c>
      <c r="T81" s="22" t="n">
        <v>1180.153</v>
      </c>
      <c r="U81" s="22" t="n">
        <v>1129.957</v>
      </c>
      <c r="V81" s="22" t="n">
        <v>1308.219</v>
      </c>
      <c r="W81" s="22" t="n">
        <v>1533.725</v>
      </c>
      <c r="X81" s="22" t="n">
        <v>1550.45</v>
      </c>
    </row>
    <row r="82">
      <c r="A82" s="9" t="inlineStr">
        <is>
          <t>영업이익</t>
        </is>
      </c>
      <c r="C82" s="12" t="n">
        <v>577.936</v>
      </c>
      <c r="D82" s="12" t="n">
        <v>216.742</v>
      </c>
      <c r="E82" s="12" t="n">
        <v>550.098</v>
      </c>
      <c r="F82" s="12" t="n">
        <v>1010.85</v>
      </c>
      <c r="G82" s="12" t="n">
        <v>802.482</v>
      </c>
      <c r="H82" s="12" t="n">
        <v>507.62</v>
      </c>
      <c r="I82" s="12" t="n">
        <v>750.446</v>
      </c>
      <c r="J82" s="12" t="n">
        <v>860.721</v>
      </c>
      <c r="K82" s="12" t="n">
        <v>756.924</v>
      </c>
      <c r="L82" s="12" t="n">
        <v>593.326</v>
      </c>
      <c r="M82" s="12" t="n">
        <v>799.9829999999999</v>
      </c>
      <c r="N82" s="12" t="n">
        <v>1654.902</v>
      </c>
      <c r="T82" s="12" t="n">
        <v>274.508</v>
      </c>
      <c r="U82" s="12" t="n">
        <v>232.256</v>
      </c>
      <c r="V82" s="12" t="n">
        <v>216.742</v>
      </c>
      <c r="W82" s="12" t="n">
        <v>507.62</v>
      </c>
      <c r="X82" s="12" t="n">
        <v>593.326</v>
      </c>
    </row>
    <row r="83">
      <c r="A83" s="20" t="inlineStr">
        <is>
          <t>이자수익</t>
        </is>
      </c>
      <c r="C83" s="22" t="n">
        <v>3.057</v>
      </c>
      <c r="D83" s="22" t="n">
        <v>2.213</v>
      </c>
      <c r="E83" s="22" t="n">
        <v>3.983</v>
      </c>
      <c r="F83" s="22" t="n">
        <v>1.582</v>
      </c>
      <c r="G83" s="22" t="n">
        <v>2.433</v>
      </c>
      <c r="H83" s="22" t="n">
        <v>4.801</v>
      </c>
      <c r="I83" s="22" t="n">
        <v>4.015</v>
      </c>
      <c r="J83" s="22" t="n">
        <v>1.69</v>
      </c>
      <c r="K83" s="22" t="n">
        <v>2.849</v>
      </c>
      <c r="L83" s="22" t="n">
        <v>2.446</v>
      </c>
      <c r="M83" s="22" t="n">
        <v>3.842</v>
      </c>
      <c r="N83" s="22" t="n">
        <v>1.836</v>
      </c>
      <c r="T83" s="22" t="n">
        <v>1.437</v>
      </c>
      <c r="U83" s="22" t="n">
        <v>1.422</v>
      </c>
      <c r="V83" s="22" t="n">
        <v>2.213</v>
      </c>
      <c r="W83" s="22" t="n">
        <v>4.801</v>
      </c>
      <c r="X83" s="22" t="n">
        <v>2.446</v>
      </c>
    </row>
    <row r="84">
      <c r="A84" s="20" t="inlineStr">
        <is>
          <t>배당금수익</t>
        </is>
      </c>
      <c r="C84" s="22" t="n">
        <v>0.008999999999999999</v>
      </c>
      <c r="D84" s="22" t="n">
        <v>7.822</v>
      </c>
      <c r="E84" s="22" t="n">
        <v>0.37</v>
      </c>
      <c r="F84" s="22" t="n">
        <v>15.925</v>
      </c>
      <c r="G84" s="22" t="n">
        <v>0.036</v>
      </c>
      <c r="H84" s="22" t="n">
        <v>11.446</v>
      </c>
      <c r="I84" s="22" t="n">
        <v>0.391</v>
      </c>
      <c r="J84" s="22" t="n">
        <v>15.363</v>
      </c>
      <c r="K84" s="22" t="n">
        <v>0.591</v>
      </c>
      <c r="L84" s="22" t="n">
        <v>9.773999999999999</v>
      </c>
      <c r="M84" s="22" t="n">
        <v>0.42</v>
      </c>
      <c r="N84" s="22" t="n">
        <v>16.266</v>
      </c>
      <c r="T84" s="22" t="n">
        <v>7.245</v>
      </c>
      <c r="U84" s="22" t="n">
        <v>8.196</v>
      </c>
      <c r="V84" s="22" t="n">
        <v>7.822</v>
      </c>
      <c r="W84" s="22" t="n">
        <v>11.446</v>
      </c>
      <c r="X84" s="22" t="n">
        <v>9.773999999999999</v>
      </c>
    </row>
    <row r="85">
      <c r="A85" s="20" t="inlineStr">
        <is>
          <t>지분법이익</t>
        </is>
      </c>
      <c r="D85" s="22" t="n">
        <v>-39.925</v>
      </c>
      <c r="H85" s="22" t="n">
        <v>0</v>
      </c>
      <c r="V85" s="22" t="n">
        <v>-39.925</v>
      </c>
      <c r="W85" s="22" t="n">
        <v>0</v>
      </c>
    </row>
    <row r="86">
      <c r="A86" s="20" t="inlineStr">
        <is>
          <t>임대료 수익</t>
        </is>
      </c>
      <c r="C86" s="22" t="n">
        <v>5.831</v>
      </c>
      <c r="D86" s="22" t="n">
        <v>5.89</v>
      </c>
      <c r="E86" s="22" t="n">
        <v>5.65</v>
      </c>
      <c r="F86" s="22" t="n">
        <v>5.709</v>
      </c>
      <c r="G86" s="22" t="n">
        <v>5.61</v>
      </c>
      <c r="H86" s="22" t="n">
        <v>5.991</v>
      </c>
      <c r="I86" s="22" t="n">
        <v>5.686</v>
      </c>
      <c r="J86" s="22" t="n">
        <v>5.698</v>
      </c>
      <c r="K86" s="22" t="n">
        <v>5.402</v>
      </c>
      <c r="L86" s="22" t="n">
        <v>5.297</v>
      </c>
      <c r="M86" s="22" t="n">
        <v>5.487</v>
      </c>
      <c r="N86" s="22" t="n">
        <v>5.421</v>
      </c>
      <c r="T86" s="22" t="n">
        <v>8.647</v>
      </c>
      <c r="U86" s="22" t="n">
        <v>8.476000000000001</v>
      </c>
      <c r="V86" s="22" t="n">
        <v>5.89</v>
      </c>
      <c r="W86" s="22" t="n">
        <v>5.991</v>
      </c>
      <c r="X86" s="22" t="n">
        <v>5.297</v>
      </c>
    </row>
    <row r="87">
      <c r="A87" s="20" t="inlineStr">
        <is>
          <t>외환차익</t>
        </is>
      </c>
      <c r="C87" s="22" t="n">
        <v>17.273</v>
      </c>
      <c r="D87" s="22" t="n">
        <v>-48.592</v>
      </c>
      <c r="E87" s="22" t="n">
        <v>53.925</v>
      </c>
      <c r="F87" s="22" t="n">
        <v>59.376</v>
      </c>
      <c r="G87" s="22" t="n">
        <v>-113.301</v>
      </c>
      <c r="H87" s="22" t="n">
        <v>80.90300000000001</v>
      </c>
      <c r="I87" s="22" t="n">
        <v>0</v>
      </c>
      <c r="J87" s="22" t="n">
        <v>0</v>
      </c>
      <c r="M87" s="22" t="n">
        <v>11.377</v>
      </c>
      <c r="N87" s="22" t="n">
        <v>-2.557</v>
      </c>
      <c r="T87" s="22" t="n">
        <v>44.178</v>
      </c>
      <c r="U87" s="22" t="n">
        <v>-76.15600000000001</v>
      </c>
      <c r="V87" s="22" t="n">
        <v>-48.592</v>
      </c>
      <c r="W87" s="22" t="n">
        <v>80.90300000000001</v>
      </c>
    </row>
    <row r="88">
      <c r="A88" s="20" t="inlineStr">
        <is>
          <t>기타</t>
        </is>
      </c>
      <c r="C88" s="22" t="n">
        <v>37.151</v>
      </c>
      <c r="D88" s="22" t="n">
        <v>36.241</v>
      </c>
      <c r="E88" s="22" t="n">
        <v>48.517</v>
      </c>
      <c r="F88" s="22" t="n">
        <v>44.974</v>
      </c>
      <c r="G88" s="22" t="n">
        <v>58.896</v>
      </c>
      <c r="H88" s="22" t="n">
        <v>21.475</v>
      </c>
      <c r="I88" s="22" t="n">
        <v>38.891</v>
      </c>
      <c r="J88" s="22" t="n">
        <v>57.245</v>
      </c>
      <c r="K88" s="22" t="n">
        <v>37.275</v>
      </c>
      <c r="L88" s="22" t="n">
        <v>67.648</v>
      </c>
      <c r="M88" s="22" t="n">
        <v>41.852</v>
      </c>
      <c r="N88" s="22" t="n">
        <v>38.576</v>
      </c>
      <c r="T88" s="22" t="n">
        <v>19.066</v>
      </c>
      <c r="U88" s="22" t="n">
        <v>32.776</v>
      </c>
      <c r="V88" s="22" t="n">
        <v>36.241</v>
      </c>
      <c r="W88" s="22" t="n">
        <v>21.475</v>
      </c>
      <c r="X88" s="22" t="n">
        <v>67.648</v>
      </c>
    </row>
    <row r="89">
      <c r="A89" s="20" t="inlineStr">
        <is>
          <t>영업외수익 합계</t>
        </is>
      </c>
      <c r="C89" s="22" t="n">
        <v>450.614</v>
      </c>
      <c r="D89" s="22" t="n">
        <v>-17.259</v>
      </c>
      <c r="E89" s="22" t="n">
        <v>112.447</v>
      </c>
      <c r="F89" s="22" t="n">
        <v>127.567</v>
      </c>
      <c r="G89" s="22" t="n">
        <v>-46.327</v>
      </c>
      <c r="H89" s="22" t="n">
        <v>156.338</v>
      </c>
      <c r="I89" s="22" t="n">
        <v>48.986</v>
      </c>
      <c r="J89" s="22" t="n">
        <v>79.995</v>
      </c>
      <c r="K89" s="22" t="n">
        <v>46.117</v>
      </c>
      <c r="L89" s="22" t="n">
        <v>86.31699999999999</v>
      </c>
      <c r="M89" s="22" t="n">
        <v>62.98</v>
      </c>
      <c r="N89" s="22" t="n">
        <v>59.543</v>
      </c>
      <c r="T89" s="22" t="n">
        <v>95.07599999999999</v>
      </c>
      <c r="U89" s="22" t="n">
        <v>-13.774</v>
      </c>
      <c r="V89" s="22" t="n">
        <v>-17.259</v>
      </c>
      <c r="W89" s="22" t="n">
        <v>156.338</v>
      </c>
      <c r="X89" s="22" t="n">
        <v>86.31699999999999</v>
      </c>
    </row>
    <row r="90">
      <c r="A90" s="20" t="inlineStr">
        <is>
          <t>이자비용</t>
        </is>
      </c>
      <c r="C90" s="22" t="n">
        <v>16.132</v>
      </c>
      <c r="D90" s="22" t="n">
        <v>14.661</v>
      </c>
      <c r="E90" s="22" t="n">
        <v>17.507</v>
      </c>
      <c r="F90" s="22" t="n">
        <v>16.374</v>
      </c>
      <c r="G90" s="22" t="n">
        <v>19.913</v>
      </c>
      <c r="H90" s="22" t="n">
        <v>18.388</v>
      </c>
      <c r="I90" s="22" t="n">
        <v>18.096</v>
      </c>
      <c r="J90" s="22" t="n">
        <v>17.493</v>
      </c>
      <c r="K90" s="22" t="n">
        <v>19.075</v>
      </c>
      <c r="L90" s="22" t="n">
        <v>20.317</v>
      </c>
      <c r="M90" s="22" t="n">
        <v>22.934</v>
      </c>
      <c r="N90" s="22" t="n">
        <v>25.745</v>
      </c>
      <c r="T90" s="22" t="n">
        <v>20.747</v>
      </c>
      <c r="U90" s="22" t="n">
        <v>12.09</v>
      </c>
      <c r="V90" s="22" t="n">
        <v>14.661</v>
      </c>
      <c r="W90" s="22" t="n">
        <v>18.388</v>
      </c>
      <c r="X90" s="22" t="n">
        <v>20.317</v>
      </c>
    </row>
    <row r="91">
      <c r="A91" s="20" t="inlineStr">
        <is>
          <t>지분법손실</t>
        </is>
      </c>
      <c r="C91" s="22" t="n">
        <v>-2.869</v>
      </c>
      <c r="D91" s="22" t="n">
        <v>0</v>
      </c>
      <c r="E91" s="22" t="n">
        <v>6.382</v>
      </c>
      <c r="F91" s="22" t="n">
        <v>3.016</v>
      </c>
      <c r="G91" s="22" t="n">
        <v>9.82</v>
      </c>
      <c r="H91" s="22" t="n">
        <v>8.167</v>
      </c>
      <c r="I91" s="22" t="n">
        <v>19.436</v>
      </c>
      <c r="J91" s="22" t="n">
        <v>3.945</v>
      </c>
      <c r="K91" s="22" t="n">
        <v>-1.176</v>
      </c>
      <c r="L91" s="22" t="n">
        <v>-4.817</v>
      </c>
      <c r="M91" s="22" t="n">
        <v>5.992</v>
      </c>
      <c r="N91" s="22" t="n">
        <v>-2.531</v>
      </c>
      <c r="V91" s="22" t="n">
        <v>0</v>
      </c>
      <c r="W91" s="22" t="n">
        <v>8.167</v>
      </c>
      <c r="X91" s="22" t="n">
        <v>-4.817</v>
      </c>
    </row>
    <row r="92">
      <c r="A92" s="20" t="inlineStr">
        <is>
          <t>외환차손</t>
        </is>
      </c>
      <c r="E92" s="22" t="n">
        <v>0</v>
      </c>
      <c r="F92" s="22" t="n">
        <v>0</v>
      </c>
      <c r="G92" s="22" t="n">
        <v>7.468</v>
      </c>
      <c r="H92" s="22" t="n">
        <v>-7.468</v>
      </c>
      <c r="I92" s="22" t="n">
        <v>59.592</v>
      </c>
      <c r="J92" s="22" t="n">
        <v>40.932</v>
      </c>
      <c r="K92" s="22" t="n">
        <v>-23.195</v>
      </c>
      <c r="L92" s="22" t="n">
        <v>-37.449</v>
      </c>
      <c r="M92" s="22" t="n">
        <v>0</v>
      </c>
      <c r="N92" s="22" t="n">
        <v>0</v>
      </c>
      <c r="W92" s="22" t="n">
        <v>-7.468</v>
      </c>
      <c r="X92" s="22" t="n">
        <v>-37.449</v>
      </c>
    </row>
    <row r="93">
      <c r="A93" s="20" t="inlineStr">
        <is>
          <t>유휴자산 감가상각비</t>
        </is>
      </c>
      <c r="D93" s="22" t="n">
        <v>29.862</v>
      </c>
      <c r="H93" s="22" t="n">
        <v>0.189</v>
      </c>
      <c r="U93" s="22" t="n">
        <v>0</v>
      </c>
      <c r="V93" s="22" t="n">
        <v>29.862</v>
      </c>
      <c r="W93" s="22" t="n">
        <v>0.189</v>
      </c>
    </row>
    <row r="94">
      <c r="A94" s="20" t="inlineStr">
        <is>
          <t>관계회사 정리손실</t>
        </is>
      </c>
      <c r="C94" s="22" t="n">
        <v>0</v>
      </c>
      <c r="D94" s="22" t="n">
        <v>0</v>
      </c>
      <c r="E94" s="22" t="n">
        <v>95.596</v>
      </c>
      <c r="F94" s="22" t="n">
        <v>18.218</v>
      </c>
      <c r="G94" s="22" t="n">
        <v>0</v>
      </c>
      <c r="H94" s="22" t="n">
        <v>40.009</v>
      </c>
      <c r="I94" s="22" t="n">
        <v>0</v>
      </c>
      <c r="J94" s="22" t="n">
        <v>0</v>
      </c>
      <c r="K94" s="22" t="n">
        <v>0</v>
      </c>
      <c r="L94" s="22" t="n">
        <v>0</v>
      </c>
      <c r="V94" s="22" t="n">
        <v>0</v>
      </c>
      <c r="W94" s="22" t="n">
        <v>40.009</v>
      </c>
      <c r="X94" s="22" t="n">
        <v>0</v>
      </c>
    </row>
    <row r="95">
      <c r="A95" s="20" t="inlineStr">
        <is>
          <t>기타</t>
        </is>
      </c>
      <c r="C95" s="22" t="n">
        <v>12.817</v>
      </c>
      <c r="D95" s="22" t="n">
        <v>-0.288</v>
      </c>
      <c r="E95" s="22" t="n">
        <v>13.05</v>
      </c>
      <c r="F95" s="22" t="n">
        <v>5.253</v>
      </c>
      <c r="G95" s="22" t="n">
        <v>5.6</v>
      </c>
      <c r="H95" s="22" t="n">
        <v>34.691</v>
      </c>
      <c r="I95" s="22" t="n">
        <v>6.005</v>
      </c>
      <c r="J95" s="22" t="n">
        <v>6.913</v>
      </c>
      <c r="K95" s="22" t="n">
        <v>7.418</v>
      </c>
      <c r="L95" s="22" t="n">
        <v>15.096</v>
      </c>
      <c r="M95" s="22" t="n">
        <v>13.91</v>
      </c>
      <c r="N95" s="22" t="n">
        <v>11.677</v>
      </c>
      <c r="T95" s="22" t="n">
        <v>9.003</v>
      </c>
      <c r="U95" s="22" t="n">
        <v>20.39</v>
      </c>
      <c r="V95" s="22" t="n">
        <v>-0.288</v>
      </c>
      <c r="W95" s="22" t="n">
        <v>34.691</v>
      </c>
      <c r="X95" s="22" t="n">
        <v>15.096</v>
      </c>
    </row>
    <row r="96">
      <c r="A96" s="20" t="inlineStr">
        <is>
          <t>영업외비용 합계</t>
        </is>
      </c>
      <c r="C96" s="22" t="n">
        <v>56.112</v>
      </c>
      <c r="D96" s="22" t="n">
        <v>44.235</v>
      </c>
      <c r="E96" s="22" t="n">
        <v>132.536</v>
      </c>
      <c r="F96" s="22" t="n">
        <v>42.862</v>
      </c>
      <c r="G96" s="22" t="n">
        <v>42.802</v>
      </c>
      <c r="H96" s="22" t="n">
        <v>94.53700000000001</v>
      </c>
      <c r="I96" s="22" t="n">
        <v>103.131</v>
      </c>
      <c r="J96" s="22" t="n">
        <v>69.28400000000001</v>
      </c>
      <c r="K96" s="22" t="n">
        <v>2.121</v>
      </c>
      <c r="L96" s="22" t="n">
        <v>-6.163</v>
      </c>
      <c r="M96" s="22" t="n">
        <v>42.837</v>
      </c>
      <c r="N96" s="22" t="n">
        <v>34.892</v>
      </c>
      <c r="T96" s="22" t="n">
        <v>29.75</v>
      </c>
      <c r="U96" s="22" t="n">
        <v>32.48</v>
      </c>
      <c r="V96" s="22" t="n">
        <v>44.235</v>
      </c>
      <c r="W96" s="22" t="n">
        <v>94.53700000000001</v>
      </c>
      <c r="X96" s="22" t="n">
        <v>-6.163</v>
      </c>
    </row>
    <row r="97">
      <c r="A97" s="9" t="inlineStr">
        <is>
          <t>경상이익</t>
        </is>
      </c>
      <c r="C97" s="12" t="n">
        <v>972.437</v>
      </c>
      <c r="D97" s="12" t="n">
        <v>155.249</v>
      </c>
      <c r="E97" s="12" t="n">
        <v>530.009</v>
      </c>
      <c r="F97" s="12" t="n">
        <v>1095.556</v>
      </c>
      <c r="G97" s="12" t="n">
        <v>713.352</v>
      </c>
      <c r="H97" s="12" t="n">
        <v>569.421</v>
      </c>
      <c r="I97" s="12" t="n">
        <v>696.301</v>
      </c>
      <c r="J97" s="12" t="n">
        <v>871.431</v>
      </c>
      <c r="K97" s="12" t="n">
        <v>800.921</v>
      </c>
      <c r="L97" s="12" t="n">
        <v>685.807</v>
      </c>
      <c r="M97" s="12" t="n">
        <v>820.126</v>
      </c>
      <c r="N97" s="12" t="n">
        <v>1679.554</v>
      </c>
      <c r="T97" s="12" t="n">
        <v>339.833</v>
      </c>
      <c r="U97" s="12" t="n">
        <v>186.003</v>
      </c>
      <c r="V97" s="12" t="n">
        <v>155.249</v>
      </c>
      <c r="W97" s="12" t="n">
        <v>569.421</v>
      </c>
      <c r="X97" s="12" t="n">
        <v>685.807</v>
      </c>
    </row>
    <row r="98">
      <c r="A98" s="20" t="inlineStr">
        <is>
          <t>고정자산 매각이익</t>
        </is>
      </c>
      <c r="C98" s="22" t="n">
        <v>0.154</v>
      </c>
      <c r="D98" s="22" t="n">
        <v>0.863</v>
      </c>
      <c r="E98" s="22" t="n">
        <v>0.497</v>
      </c>
      <c r="F98" s="22" t="n">
        <v>0.017</v>
      </c>
      <c r="G98" s="22" t="n">
        <v>0.524</v>
      </c>
      <c r="H98" s="22" t="n">
        <v>0.186</v>
      </c>
      <c r="I98" s="22" t="n">
        <v>104.874</v>
      </c>
      <c r="J98" s="22" t="n">
        <v>0</v>
      </c>
      <c r="K98" s="22" t="n">
        <v>0</v>
      </c>
      <c r="L98" s="22" t="n">
        <v>8.865</v>
      </c>
      <c r="M98" s="22" t="n">
        <v>0</v>
      </c>
      <c r="N98" s="22" t="n">
        <v>0</v>
      </c>
      <c r="T98" s="22" t="n">
        <v>1.16</v>
      </c>
      <c r="U98" s="22" t="n">
        <v>-4.406</v>
      </c>
      <c r="V98" s="22" t="n">
        <v>0.863</v>
      </c>
      <c r="W98" s="22" t="n">
        <v>0.186</v>
      </c>
      <c r="X98" s="22" t="n">
        <v>8.865</v>
      </c>
    </row>
    <row r="99">
      <c r="A99" s="20" t="inlineStr">
        <is>
          <t>부의 영업권 발생이익</t>
        </is>
      </c>
      <c r="C99" s="22" t="n">
        <v>0</v>
      </c>
      <c r="D99" s="22" t="n">
        <v>410.489</v>
      </c>
      <c r="G99" s="22" t="n">
        <v>0</v>
      </c>
      <c r="H99" s="22" t="n">
        <v>0</v>
      </c>
      <c r="U99" s="22" t="n">
        <v>0</v>
      </c>
      <c r="V99" s="22" t="n">
        <v>410.489</v>
      </c>
      <c r="W99" s="22" t="n">
        <v>0</v>
      </c>
    </row>
    <row r="100">
      <c r="A100" s="20" t="inlineStr">
        <is>
          <t>투자유가증권 매각이익</t>
        </is>
      </c>
      <c r="E100" s="22" t="n">
        <v>0</v>
      </c>
      <c r="F100" s="22" t="n">
        <v>0</v>
      </c>
      <c r="G100" s="22" t="n">
        <v>0</v>
      </c>
      <c r="H100" s="22" t="n">
        <v>0</v>
      </c>
      <c r="I100" s="22" t="n">
        <v>44.943</v>
      </c>
      <c r="J100" s="22" t="n">
        <v>0</v>
      </c>
      <c r="K100" s="22" t="n">
        <v>2.141</v>
      </c>
      <c r="L100" s="22" t="n">
        <v>38.521</v>
      </c>
      <c r="M100" s="22" t="n">
        <v>0</v>
      </c>
      <c r="N100" s="22" t="n">
        <v>0</v>
      </c>
      <c r="W100" s="22" t="n">
        <v>0</v>
      </c>
      <c r="X100" s="22" t="n">
        <v>38.521</v>
      </c>
    </row>
    <row r="101">
      <c r="A101" s="20" t="inlineStr">
        <is>
          <t>관계회사 주식 매각이익</t>
        </is>
      </c>
      <c r="H101" s="22" t="n">
        <v>0</v>
      </c>
      <c r="L101" s="22" t="n">
        <v>0</v>
      </c>
      <c r="W101" s="22" t="n">
        <v>0</v>
      </c>
      <c r="X101" s="22" t="n">
        <v>0</v>
      </c>
    </row>
    <row r="102">
      <c r="A102" s="20" t="inlineStr">
        <is>
          <t>특별이익 합계</t>
        </is>
      </c>
      <c r="C102" s="22" t="n">
        <v>0.154</v>
      </c>
      <c r="D102" s="22" t="n">
        <v>411.352</v>
      </c>
      <c r="E102" s="22" t="n">
        <v>0.497</v>
      </c>
      <c r="F102" s="22" t="n">
        <v>0.017</v>
      </c>
      <c r="G102" s="22" t="n">
        <v>0.524</v>
      </c>
      <c r="H102" s="22" t="n">
        <v>0.186</v>
      </c>
      <c r="I102" s="22" t="n">
        <v>149.817</v>
      </c>
      <c r="J102" s="22" t="n">
        <v>0</v>
      </c>
      <c r="K102" s="22" t="n">
        <v>139.962</v>
      </c>
      <c r="L102" s="22" t="n">
        <v>47.386</v>
      </c>
      <c r="M102" s="22" t="n">
        <v>0</v>
      </c>
      <c r="N102" s="22" t="n">
        <v>0</v>
      </c>
      <c r="T102" s="22" t="n">
        <v>2.256</v>
      </c>
      <c r="U102" s="22" t="n">
        <v>8.234</v>
      </c>
      <c r="V102" s="22" t="n">
        <v>411.352</v>
      </c>
      <c r="W102" s="22" t="n">
        <v>0.186</v>
      </c>
      <c r="X102" s="22" t="n">
        <v>47.386</v>
      </c>
    </row>
    <row r="103">
      <c r="A103" s="20" t="inlineStr">
        <is>
          <t>고정자산 제각손실</t>
        </is>
      </c>
      <c r="C103" s="22" t="n">
        <v>8.741</v>
      </c>
      <c r="D103" s="22" t="n">
        <v>13.675</v>
      </c>
      <c r="E103" s="22" t="n">
        <v>1.331</v>
      </c>
      <c r="F103" s="22" t="n">
        <v>0.214</v>
      </c>
      <c r="G103" s="22" t="n">
        <v>9.27</v>
      </c>
      <c r="H103" s="22" t="n">
        <v>4.296</v>
      </c>
      <c r="I103" s="22" t="n">
        <v>0</v>
      </c>
      <c r="J103" s="22" t="n">
        <v>8.711</v>
      </c>
      <c r="K103" s="22" t="n">
        <v>7.132</v>
      </c>
      <c r="L103" s="22" t="n">
        <v>2.738</v>
      </c>
      <c r="T103" s="22" t="n">
        <v>31.858</v>
      </c>
      <c r="U103" s="22" t="n">
        <v>36.082</v>
      </c>
      <c r="V103" s="22" t="n">
        <v>13.675</v>
      </c>
      <c r="W103" s="22" t="n">
        <v>4.296</v>
      </c>
      <c r="X103" s="22" t="n">
        <v>2.738</v>
      </c>
    </row>
    <row r="104">
      <c r="A104" s="20" t="inlineStr">
        <is>
          <t>손상차손</t>
        </is>
      </c>
      <c r="T104" s="22" t="n">
        <v>0.569</v>
      </c>
      <c r="U104" s="22" t="n">
        <v>69.14700000000001</v>
      </c>
    </row>
    <row r="105">
      <c r="A105" s="20" t="inlineStr">
        <is>
          <t>투자유가증권 평가손실</t>
        </is>
      </c>
      <c r="C105" s="22" t="n">
        <v>0</v>
      </c>
      <c r="D105" s="22" t="n">
        <v>2.844</v>
      </c>
      <c r="E105" s="22" t="n">
        <v>0</v>
      </c>
      <c r="F105" s="22" t="n">
        <v>0</v>
      </c>
      <c r="G105" s="22" t="n">
        <v>0</v>
      </c>
      <c r="H105" s="22" t="n">
        <v>0</v>
      </c>
      <c r="U105" s="22" t="n">
        <v>0</v>
      </c>
      <c r="V105" s="22" t="n">
        <v>2.844</v>
      </c>
      <c r="W105" s="22" t="n">
        <v>0</v>
      </c>
    </row>
    <row r="106">
      <c r="A106" s="20" t="inlineStr">
        <is>
          <t>투자유가증권 매각손실</t>
        </is>
      </c>
      <c r="E106" s="22" t="n">
        <v>0</v>
      </c>
      <c r="F106" s="22" t="n">
        <v>0</v>
      </c>
      <c r="G106" s="22" t="n">
        <v>0</v>
      </c>
      <c r="H106" s="22" t="n">
        <v>0</v>
      </c>
      <c r="I106" s="22" t="n">
        <v>0.338</v>
      </c>
      <c r="J106" s="22" t="n">
        <v>0</v>
      </c>
      <c r="K106" s="22" t="n">
        <v>0</v>
      </c>
      <c r="L106" s="22" t="n">
        <v>0</v>
      </c>
      <c r="M106" s="22" t="n">
        <v>0</v>
      </c>
      <c r="N106" s="22" t="n">
        <v>0</v>
      </c>
      <c r="W106" s="22" t="n">
        <v>0</v>
      </c>
      <c r="X106" s="22" t="n">
        <v>0</v>
      </c>
    </row>
    <row r="107">
      <c r="A107" s="20" t="inlineStr">
        <is>
          <t>특별퇴직금</t>
        </is>
      </c>
      <c r="C107" s="22" t="n">
        <v>0</v>
      </c>
      <c r="D107" s="22" t="n">
        <v>0</v>
      </c>
      <c r="E107" s="22" t="n">
        <v>29.446</v>
      </c>
      <c r="F107" s="22" t="n">
        <v>1.593</v>
      </c>
      <c r="G107" s="22" t="n">
        <v>-2.744</v>
      </c>
      <c r="H107" s="22" t="n">
        <v>1.741</v>
      </c>
      <c r="I107" s="22" t="n">
        <v>0</v>
      </c>
      <c r="J107" s="22" t="n">
        <v>0</v>
      </c>
      <c r="K107" s="22" t="n">
        <v>0</v>
      </c>
      <c r="L107" s="22" t="n">
        <v>0</v>
      </c>
      <c r="T107" s="22" t="n">
        <v>6.393</v>
      </c>
      <c r="U107" s="22" t="n">
        <v>23.893</v>
      </c>
      <c r="V107" s="22" t="n">
        <v>0</v>
      </c>
      <c r="W107" s="22" t="n">
        <v>1.741</v>
      </c>
      <c r="X107" s="22" t="n">
        <v>0</v>
      </c>
    </row>
    <row r="108">
      <c r="A108" s="20" t="inlineStr">
        <is>
          <t>특별손실 합계</t>
        </is>
      </c>
      <c r="C108" s="22" t="n">
        <v>8.741</v>
      </c>
      <c r="D108" s="22" t="n">
        <v>1034.077</v>
      </c>
      <c r="E108" s="22" t="n">
        <v>30.778</v>
      </c>
      <c r="F108" s="22" t="n">
        <v>1.807</v>
      </c>
      <c r="G108" s="22" t="n">
        <v>6.526</v>
      </c>
      <c r="H108" s="22" t="n">
        <v>23.32</v>
      </c>
      <c r="I108" s="22" t="n">
        <v>0.338</v>
      </c>
      <c r="J108" s="22" t="n">
        <v>8.711</v>
      </c>
      <c r="K108" s="22" t="n">
        <v>7.133</v>
      </c>
      <c r="L108" s="22" t="n">
        <v>2.738</v>
      </c>
      <c r="M108" s="22" t="n">
        <v>0</v>
      </c>
      <c r="N108" s="22" t="n">
        <v>0</v>
      </c>
      <c r="T108" s="22" t="n">
        <v>39.296</v>
      </c>
      <c r="U108" s="22" t="n">
        <v>129.123</v>
      </c>
      <c r="V108" s="22" t="n">
        <v>1034.077</v>
      </c>
      <c r="W108" s="22" t="n">
        <v>23.32</v>
      </c>
      <c r="X108" s="22" t="n">
        <v>2.738</v>
      </c>
    </row>
    <row r="109">
      <c r="A109" s="9" t="inlineStr">
        <is>
          <t>법인세차감전 순이익</t>
        </is>
      </c>
      <c r="C109" s="12" t="n">
        <v>963.851</v>
      </c>
      <c r="D109" s="12" t="n">
        <v>-467.478</v>
      </c>
      <c r="E109" s="12" t="n">
        <v>499.728</v>
      </c>
      <c r="F109" s="12" t="n">
        <v>1093.766</v>
      </c>
      <c r="G109" s="12" t="n">
        <v>707.351</v>
      </c>
      <c r="H109" s="12" t="n">
        <v>546.287</v>
      </c>
      <c r="I109" s="12" t="n">
        <v>845.78</v>
      </c>
      <c r="J109" s="12" t="n">
        <v>862.72</v>
      </c>
      <c r="K109" s="12" t="n">
        <v>933.749</v>
      </c>
      <c r="L109" s="12" t="n">
        <v>730.456</v>
      </c>
      <c r="M109" s="12" t="n">
        <v>820.126</v>
      </c>
      <c r="N109" s="12" t="n">
        <v>1679.554</v>
      </c>
      <c r="T109" s="12" t="n">
        <v>302.793</v>
      </c>
      <c r="U109" s="12" t="n">
        <v>65.114</v>
      </c>
      <c r="V109" s="12" t="n">
        <v>-467.478</v>
      </c>
      <c r="W109" s="12" t="n">
        <v>546.287</v>
      </c>
      <c r="X109" s="12" t="n">
        <v>730.456</v>
      </c>
    </row>
    <row r="110">
      <c r="A110" s="20" t="inlineStr">
        <is>
          <t>법인세 등</t>
        </is>
      </c>
      <c r="C110" s="22" t="n">
        <v>168.995</v>
      </c>
      <c r="D110" s="22" t="n">
        <v>76.18600000000001</v>
      </c>
      <c r="E110" s="22" t="n">
        <v>1.679</v>
      </c>
      <c r="F110" s="22" t="n">
        <v>326.901</v>
      </c>
      <c r="G110" s="22" t="n">
        <v>308.52</v>
      </c>
      <c r="H110" s="22" t="n">
        <v>134.09</v>
      </c>
      <c r="I110" s="22" t="n">
        <v>279.826</v>
      </c>
      <c r="J110" s="22" t="n">
        <v>299.75</v>
      </c>
      <c r="K110" s="22" t="n">
        <v>316.219</v>
      </c>
      <c r="L110" s="22" t="n">
        <v>201.371</v>
      </c>
      <c r="M110" s="22" t="n">
        <v>271.422</v>
      </c>
      <c r="N110" s="22" t="n">
        <v>540.102</v>
      </c>
      <c r="T110" s="22" t="n">
        <v>130.558</v>
      </c>
      <c r="U110" s="22" t="n">
        <v>55.749</v>
      </c>
      <c r="V110" s="22" t="n">
        <v>76.18600000000001</v>
      </c>
      <c r="W110" s="22" t="n">
        <v>134.09</v>
      </c>
      <c r="X110" s="22" t="n">
        <v>201.371</v>
      </c>
    </row>
    <row r="111">
      <c r="A111" s="9" t="inlineStr">
        <is>
          <t>순이익</t>
        </is>
      </c>
      <c r="C111" s="12" t="n">
        <v>794.857</v>
      </c>
      <c r="D111" s="12" t="n">
        <v>-543.664</v>
      </c>
      <c r="E111" s="12" t="n">
        <v>498.048</v>
      </c>
      <c r="F111" s="12" t="n">
        <v>766.865</v>
      </c>
      <c r="G111" s="12" t="n">
        <v>398.831</v>
      </c>
      <c r="H111" s="12" t="n">
        <v>412.197</v>
      </c>
      <c r="I111" s="12" t="n">
        <v>565.953</v>
      </c>
      <c r="J111" s="12" t="n">
        <v>562.97</v>
      </c>
      <c r="K111" s="12" t="n">
        <v>617.53</v>
      </c>
      <c r="L111" s="12" t="n">
        <v>529.085</v>
      </c>
      <c r="M111" s="12" t="n">
        <v>548.704</v>
      </c>
      <c r="N111" s="12" t="n">
        <v>1139.451</v>
      </c>
      <c r="T111" s="12" t="n">
        <v>172.235</v>
      </c>
      <c r="U111" s="12" t="n">
        <v>9.364000000000001</v>
      </c>
      <c r="V111" s="12" t="n">
        <v>-543.664</v>
      </c>
      <c r="W111" s="12" t="n">
        <v>412.197</v>
      </c>
      <c r="X111" s="12" t="n">
        <v>529.085</v>
      </c>
    </row>
    <row r="112">
      <c r="A112" s="9" t="inlineStr">
        <is>
          <t>비지배주주 순이익</t>
        </is>
      </c>
      <c r="C112" s="12" t="n">
        <v>42.048</v>
      </c>
      <c r="D112" s="12" t="n">
        <v>-162.969</v>
      </c>
      <c r="E112" s="12" t="n">
        <v>-33.607</v>
      </c>
      <c r="F112" s="12" t="n">
        <v>50.852</v>
      </c>
      <c r="G112" s="12" t="n">
        <v>21.381</v>
      </c>
      <c r="H112" s="12" t="n">
        <v>27.184</v>
      </c>
      <c r="I112" s="12" t="n">
        <v>11.609</v>
      </c>
      <c r="J112" s="12" t="n">
        <v>57.359</v>
      </c>
      <c r="K112" s="12" t="n">
        <v>10.014</v>
      </c>
      <c r="L112" s="12" t="n">
        <v>20.722</v>
      </c>
      <c r="M112" s="12" t="n">
        <v>6.514</v>
      </c>
      <c r="N112" s="12" t="n">
        <v>40.573</v>
      </c>
      <c r="T112" s="12" t="n">
        <v>2.242</v>
      </c>
      <c r="U112" s="12" t="n">
        <v>8.077</v>
      </c>
      <c r="V112" s="12" t="n">
        <v>-162.969</v>
      </c>
      <c r="W112" s="12" t="n">
        <v>27.184</v>
      </c>
      <c r="X112" s="12" t="n">
        <v>20.722</v>
      </c>
    </row>
    <row r="113">
      <c r="A113" s="9" t="inlineStr">
        <is>
          <t>지배주주 순이익</t>
        </is>
      </c>
      <c r="C113" s="12" t="n">
        <v>752.808</v>
      </c>
      <c r="D113" s="12" t="n">
        <v>-380.694</v>
      </c>
      <c r="E113" s="12" t="n">
        <v>531.6559999999999</v>
      </c>
      <c r="F113" s="12" t="n">
        <v>716.0119999999999</v>
      </c>
      <c r="G113" s="12" t="n">
        <v>377.45</v>
      </c>
      <c r="H113" s="12" t="n">
        <v>385.012</v>
      </c>
      <c r="I113" s="12" t="n">
        <v>554.343</v>
      </c>
      <c r="J113" s="12" t="n">
        <v>505.612</v>
      </c>
      <c r="K113" s="12" t="n">
        <v>607.515</v>
      </c>
      <c r="L113" s="12" t="n">
        <v>508.364</v>
      </c>
      <c r="M113" s="12" t="n">
        <v>542.1900000000001</v>
      </c>
      <c r="N113" s="12" t="n">
        <v>1098.877</v>
      </c>
      <c r="T113" s="12" t="n">
        <v>169.993</v>
      </c>
      <c r="U113" s="12" t="n">
        <v>1.287</v>
      </c>
      <c r="V113" s="12" t="n">
        <v>-380.694</v>
      </c>
      <c r="W113" s="12" t="n">
        <v>385.012</v>
      </c>
      <c r="X113" s="12" t="n">
        <v>508.364</v>
      </c>
    </row>
    <row r="115">
      <c r="A115" s="18" t="inlineStr">
        <is>
          <t>포괄손익 · 전 항목</t>
        </is>
      </c>
      <c r="B115" s="44" t="inlineStr">
        <is>
          <t>분기 = 3개월 단독</t>
        </is>
      </c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</row>
    <row r="116">
      <c r="A116" s="5" t="inlineStr">
        <is>
          <t>항목</t>
        </is>
      </c>
      <c r="B116" s="5" t="inlineStr">
        <is>
          <t>참고</t>
        </is>
      </c>
      <c r="C116" s="5" t="inlineStr">
        <is>
          <t>2024.3Q</t>
        </is>
      </c>
      <c r="D116" s="5" t="inlineStr">
        <is>
          <t>2024.4Q</t>
        </is>
      </c>
      <c r="E116" s="5" t="inlineStr">
        <is>
          <t>2025.1Q</t>
        </is>
      </c>
      <c r="F116" s="5" t="inlineStr">
        <is>
          <t>2025.2Q</t>
        </is>
      </c>
      <c r="G116" s="5" t="inlineStr">
        <is>
          <t>2025.3Q</t>
        </is>
      </c>
      <c r="H116" s="5" t="inlineStr">
        <is>
          <t>2025.4Q</t>
        </is>
      </c>
      <c r="I116" s="5" t="inlineStr">
        <is>
          <t>2026.1Q</t>
        </is>
      </c>
      <c r="J116" s="5" t="inlineStr">
        <is>
          <t>2026.2Q</t>
        </is>
      </c>
      <c r="K116" s="5" t="inlineStr">
        <is>
          <t>2026.3Q</t>
        </is>
      </c>
      <c r="L116" s="5" t="inlineStr">
        <is>
          <t>2026.4Q</t>
        </is>
      </c>
      <c r="M116" s="5" t="inlineStr">
        <is>
          <t>2027.1Q</t>
        </is>
      </c>
      <c r="N116" s="5" t="inlineStr">
        <is>
          <t>2027.2Q</t>
        </is>
      </c>
      <c r="O116" s="5" t="inlineStr">
        <is>
          <t>2017</t>
        </is>
      </c>
      <c r="P116" s="5" t="inlineStr">
        <is>
          <t>2018</t>
        </is>
      </c>
      <c r="Q116" s="5" t="inlineStr">
        <is>
          <t>2019</t>
        </is>
      </c>
      <c r="R116" s="5" t="inlineStr">
        <is>
          <t>2020</t>
        </is>
      </c>
      <c r="S116" s="5" t="inlineStr">
        <is>
          <t>2021</t>
        </is>
      </c>
      <c r="T116" s="5" t="inlineStr">
        <is>
          <t>2022</t>
        </is>
      </c>
      <c r="U116" s="5" t="inlineStr">
        <is>
          <t>2023</t>
        </is>
      </c>
      <c r="V116" s="5" t="inlineStr">
        <is>
          <t>2024</t>
        </is>
      </c>
      <c r="W116" s="5" t="inlineStr">
        <is>
          <t>2025</t>
        </is>
      </c>
      <c r="X116" s="5" t="inlineStr">
        <is>
          <t>2026</t>
        </is>
      </c>
      <c r="Y116" s="5" t="inlineStr">
        <is>
          <t>2027(MW)</t>
        </is>
      </c>
      <c r="Z116" s="5" t="inlineStr">
        <is>
          <t>2028(MW)</t>
        </is>
      </c>
      <c r="AA116" s="5" t="inlineStr">
        <is>
          <t>2029(MW)</t>
        </is>
      </c>
      <c r="AB116" s="5" t="inlineStr">
        <is>
          <t>2030(MW)</t>
        </is>
      </c>
      <c r="AC116" s="5" t="inlineStr">
        <is>
          <t>2031(MW)</t>
        </is>
      </c>
    </row>
    <row r="117">
      <c r="A117" s="9" t="inlineStr">
        <is>
          <t>순이익</t>
        </is>
      </c>
      <c r="C117" s="12" t="n">
        <v>794.857</v>
      </c>
      <c r="D117" s="12" t="n">
        <v>-543.664</v>
      </c>
      <c r="E117" s="12" t="n">
        <v>498.048</v>
      </c>
      <c r="F117" s="12" t="n">
        <v>766.865</v>
      </c>
      <c r="G117" s="12" t="n">
        <v>398.831</v>
      </c>
      <c r="H117" s="12" t="n">
        <v>412.197</v>
      </c>
      <c r="I117" s="12" t="n">
        <v>565.953</v>
      </c>
      <c r="J117" s="12" t="n">
        <v>562.97</v>
      </c>
      <c r="K117" s="12" t="n">
        <v>617.53</v>
      </c>
      <c r="L117" s="12" t="n">
        <v>529.085</v>
      </c>
      <c r="M117" s="12" t="n">
        <v>548.704</v>
      </c>
      <c r="N117" s="12" t="n">
        <v>1139.451</v>
      </c>
      <c r="T117" s="12" t="n">
        <v>172.235</v>
      </c>
      <c r="U117" s="12" t="n">
        <v>9.364000000000001</v>
      </c>
      <c r="V117" s="12" t="n">
        <v>-543.664</v>
      </c>
      <c r="W117" s="12" t="n">
        <v>412.197</v>
      </c>
      <c r="X117" s="12" t="n">
        <v>529.085</v>
      </c>
    </row>
    <row r="118">
      <c r="A118" s="20" t="inlineStr">
        <is>
          <t>기타유가증권 평가차액</t>
        </is>
      </c>
      <c r="C118" s="22" t="n">
        <v>-17.767</v>
      </c>
      <c r="D118" s="22" t="n">
        <v>37.121</v>
      </c>
      <c r="E118" s="22" t="n">
        <v>45.137</v>
      </c>
      <c r="F118" s="22" t="n">
        <v>8.997999999999999</v>
      </c>
      <c r="G118" s="22" t="n">
        <v>-2.188</v>
      </c>
      <c r="H118" s="22" t="n">
        <v>18.048</v>
      </c>
      <c r="I118" s="22" t="n">
        <v>-22.23</v>
      </c>
      <c r="J118" s="22" t="n">
        <v>25.515</v>
      </c>
      <c r="K118" s="22" t="n">
        <v>28.009</v>
      </c>
      <c r="L118" s="22" t="n">
        <v>67.297</v>
      </c>
      <c r="M118" s="22" t="n">
        <v>-97.26000000000001</v>
      </c>
      <c r="N118" s="22" t="n">
        <v>93.23</v>
      </c>
      <c r="T118" s="22" t="n">
        <v>16.087</v>
      </c>
      <c r="U118" s="22" t="n">
        <v>-8.613</v>
      </c>
      <c r="V118" s="22" t="n">
        <v>37.121</v>
      </c>
      <c r="W118" s="22" t="n">
        <v>18.048</v>
      </c>
      <c r="X118" s="22" t="n">
        <v>67.297</v>
      </c>
    </row>
    <row r="119">
      <c r="A119" s="20" t="inlineStr">
        <is>
          <t>이연헤지손익</t>
        </is>
      </c>
      <c r="C119" s="22" t="n">
        <v>17.096</v>
      </c>
      <c r="D119" s="22" t="n">
        <v>-5.937</v>
      </c>
      <c r="E119" s="22" t="n">
        <v>-0.695</v>
      </c>
      <c r="F119" s="22" t="n">
        <v>-1.483</v>
      </c>
      <c r="G119" s="22" t="n">
        <v>-27.249</v>
      </c>
      <c r="H119" s="22" t="n">
        <v>11.062</v>
      </c>
      <c r="I119" s="22" t="n">
        <v>-5.615</v>
      </c>
      <c r="J119" s="22" t="n">
        <v>-7.282</v>
      </c>
      <c r="K119" s="22" t="n">
        <v>9.787000000000001</v>
      </c>
      <c r="L119" s="22" t="n">
        <v>17.932</v>
      </c>
      <c r="M119" s="22" t="n">
        <v>-3.292</v>
      </c>
      <c r="N119" s="22" t="n">
        <v>-2.493</v>
      </c>
      <c r="T119" s="22" t="n">
        <v>-1.326</v>
      </c>
      <c r="U119" s="22" t="n">
        <v>-18.901</v>
      </c>
      <c r="V119" s="22" t="n">
        <v>-5.937</v>
      </c>
      <c r="W119" s="22" t="n">
        <v>11.062</v>
      </c>
      <c r="X119" s="22" t="n">
        <v>17.932</v>
      </c>
    </row>
    <row r="120">
      <c r="A120" s="20" t="inlineStr">
        <is>
          <t>해외사업환산조정</t>
        </is>
      </c>
      <c r="C120" s="22" t="n">
        <v>106.474</v>
      </c>
      <c r="D120" s="22" t="n">
        <v>-199.316</v>
      </c>
      <c r="E120" s="22" t="n">
        <v>227.665</v>
      </c>
      <c r="F120" s="22" t="n">
        <v>198.095</v>
      </c>
      <c r="G120" s="22" t="n">
        <v>-352.141</v>
      </c>
      <c r="H120" s="22" t="n">
        <v>222.537</v>
      </c>
      <c r="I120" s="22" t="n">
        <v>-178.903</v>
      </c>
      <c r="J120" s="22" t="n">
        <v>-103.677</v>
      </c>
      <c r="K120" s="22" t="n">
        <v>241.863</v>
      </c>
      <c r="L120" s="22" t="n">
        <v>208.343</v>
      </c>
      <c r="M120" s="22" t="n">
        <v>112.292</v>
      </c>
      <c r="N120" s="22" t="n">
        <v>96.68600000000001</v>
      </c>
      <c r="T120" s="22" t="n">
        <v>126.686</v>
      </c>
      <c r="U120" s="22" t="n">
        <v>-222.144</v>
      </c>
      <c r="V120" s="22" t="n">
        <v>-199.316</v>
      </c>
      <c r="W120" s="22" t="n">
        <v>222.537</v>
      </c>
      <c r="X120" s="22" t="n">
        <v>208.343</v>
      </c>
    </row>
    <row r="121">
      <c r="A121" s="20" t="inlineStr">
        <is>
          <t>퇴직급여 조정액</t>
        </is>
      </c>
      <c r="C121" s="22" t="n">
        <v>-1.831</v>
      </c>
      <c r="D121" s="22" t="n">
        <v>94.83799999999999</v>
      </c>
      <c r="E121" s="22" t="n">
        <v>-2.312</v>
      </c>
      <c r="F121" s="22" t="n">
        <v>-2.312</v>
      </c>
      <c r="G121" s="22" t="n">
        <v>-2.312</v>
      </c>
      <c r="H121" s="22" t="n">
        <v>-22.218</v>
      </c>
      <c r="I121" s="22" t="n">
        <v>-19.975</v>
      </c>
      <c r="J121" s="22" t="n">
        <v>0.286</v>
      </c>
      <c r="K121" s="22" t="n">
        <v>0.287</v>
      </c>
      <c r="L121" s="22" t="n">
        <v>261.584</v>
      </c>
      <c r="M121" s="22" t="n">
        <v>-7.549</v>
      </c>
      <c r="N121" s="22" t="n">
        <v>-7.55</v>
      </c>
      <c r="T121" s="22" t="n">
        <v>17.862</v>
      </c>
      <c r="U121" s="22" t="n">
        <v>-20.82</v>
      </c>
      <c r="V121" s="22" t="n">
        <v>94.83799999999999</v>
      </c>
      <c r="W121" s="22" t="n">
        <v>-22.218</v>
      </c>
      <c r="X121" s="22" t="n">
        <v>261.584</v>
      </c>
    </row>
    <row r="122">
      <c r="A122" s="20" t="inlineStr">
        <is>
          <t>기타포괄손익 합계</t>
        </is>
      </c>
      <c r="C122" s="22" t="n">
        <v>103.972</v>
      </c>
      <c r="D122" s="22" t="n">
        <v>-73.292</v>
      </c>
      <c r="E122" s="22" t="n">
        <v>269.794</v>
      </c>
      <c r="F122" s="22" t="n">
        <v>203.298</v>
      </c>
      <c r="G122" s="22" t="n">
        <v>-383.891</v>
      </c>
      <c r="H122" s="22" t="n">
        <v>229.431</v>
      </c>
      <c r="I122" s="22" t="n">
        <v>-226.725</v>
      </c>
      <c r="J122" s="22" t="n">
        <v>-85.15600000000001</v>
      </c>
      <c r="K122" s="22" t="n">
        <v>279.945</v>
      </c>
      <c r="L122" s="22" t="n">
        <v>555.159</v>
      </c>
      <c r="M122" s="22" t="n">
        <v>4.19</v>
      </c>
      <c r="N122" s="22" t="n">
        <v>179.873</v>
      </c>
      <c r="T122" s="22" t="n">
        <v>159.311</v>
      </c>
      <c r="U122" s="22" t="n">
        <v>-270.479</v>
      </c>
      <c r="V122" s="22" t="n">
        <v>-73.292</v>
      </c>
      <c r="W122" s="22" t="n">
        <v>229.431</v>
      </c>
      <c r="X122" s="22" t="n">
        <v>555.159</v>
      </c>
    </row>
    <row r="123">
      <c r="A123" s="9" t="inlineStr">
        <is>
          <t>포괄이익</t>
        </is>
      </c>
      <c r="C123" s="12" t="n">
        <v>898.828</v>
      </c>
      <c r="D123" s="12" t="n">
        <v>-616.956</v>
      </c>
      <c r="E123" s="12" t="n">
        <v>767.843</v>
      </c>
      <c r="F123" s="12" t="n">
        <v>970.163</v>
      </c>
      <c r="G123" s="12" t="n">
        <v>14.94</v>
      </c>
      <c r="H123" s="12" t="n">
        <v>641.627</v>
      </c>
      <c r="I123" s="12" t="n">
        <v>339.228</v>
      </c>
      <c r="J123" s="12" t="n">
        <v>477.814</v>
      </c>
      <c r="K123" s="12" t="n">
        <v>897.474</v>
      </c>
      <c r="L123" s="12" t="n">
        <v>1084.245</v>
      </c>
      <c r="M123" s="12" t="n">
        <v>552.894</v>
      </c>
      <c r="N123" s="12" t="n">
        <v>1319.324</v>
      </c>
      <c r="T123" s="12" t="n">
        <v>331.546</v>
      </c>
      <c r="U123" s="12" t="n">
        <v>-261.115</v>
      </c>
      <c r="V123" s="12" t="n">
        <v>-616.956</v>
      </c>
      <c r="W123" s="12" t="n">
        <v>641.627</v>
      </c>
      <c r="X123" s="12" t="n">
        <v>1084.245</v>
      </c>
    </row>
    <row r="124">
      <c r="A124" s="9" t="inlineStr">
        <is>
          <t>지배주주 포괄이익</t>
        </is>
      </c>
      <c r="C124" s="12" t="n">
        <v>837.524</v>
      </c>
      <c r="D124" s="12" t="n">
        <v>-440.652</v>
      </c>
      <c r="E124" s="12" t="n">
        <v>781.224</v>
      </c>
      <c r="F124" s="12" t="n">
        <v>902.3869999999999</v>
      </c>
      <c r="G124" s="12" t="n">
        <v>36.76</v>
      </c>
      <c r="H124" s="12" t="n">
        <v>589.547</v>
      </c>
      <c r="I124" s="12" t="n">
        <v>341.74</v>
      </c>
      <c r="J124" s="12" t="n">
        <v>433.313</v>
      </c>
      <c r="K124" s="12" t="n">
        <v>846.796</v>
      </c>
      <c r="L124" s="12" t="n">
        <v>1051.847</v>
      </c>
      <c r="M124" s="12" t="n">
        <v>546.071</v>
      </c>
      <c r="N124" s="12" t="n">
        <v>1278.319</v>
      </c>
      <c r="T124" s="12" t="n">
        <v>312.943</v>
      </c>
      <c r="U124" s="12" t="n">
        <v>-242.485</v>
      </c>
      <c r="V124" s="12" t="n">
        <v>-440.652</v>
      </c>
      <c r="W124" s="12" t="n">
        <v>589.547</v>
      </c>
      <c r="X124" s="12" t="n">
        <v>1051.847</v>
      </c>
    </row>
    <row r="125">
      <c r="A125" s="9" t="inlineStr">
        <is>
          <t>비지배주주 포괄이익</t>
        </is>
      </c>
      <c r="C125" s="12" t="n">
        <v>61.303</v>
      </c>
      <c r="D125" s="12" t="n">
        <v>-176.303</v>
      </c>
      <c r="E125" s="12" t="n">
        <v>-13.381</v>
      </c>
      <c r="F125" s="12" t="n">
        <v>67.77500000000001</v>
      </c>
      <c r="G125" s="12" t="n">
        <v>-21.82</v>
      </c>
      <c r="H125" s="12" t="n">
        <v>52.081</v>
      </c>
      <c r="I125" s="12" t="n">
        <v>-2.512</v>
      </c>
      <c r="J125" s="12" t="n">
        <v>44.5</v>
      </c>
      <c r="K125" s="12" t="n">
        <v>50.679</v>
      </c>
      <c r="L125" s="12" t="n">
        <v>32.398</v>
      </c>
      <c r="M125" s="12" t="n">
        <v>6.823</v>
      </c>
      <c r="N125" s="12" t="n">
        <v>41.004</v>
      </c>
      <c r="T125" s="12" t="n">
        <v>18.603</v>
      </c>
      <c r="U125" s="12" t="n">
        <v>-18.63</v>
      </c>
      <c r="V125" s="12" t="n">
        <v>-176.303</v>
      </c>
      <c r="W125" s="12" t="n">
        <v>52.081</v>
      </c>
      <c r="X125" s="12" t="n">
        <v>32.398</v>
      </c>
    </row>
    <row r="127">
      <c r="A127" s="18" t="inlineStr">
        <is>
          <t>현금흐름표 · 전 항목</t>
        </is>
      </c>
      <c r="B127" s="44" t="inlineStr">
        <is>
          <t>분기 = 결산기 첫날부터 누계(공시 그대로)</t>
        </is>
      </c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</row>
    <row r="128">
      <c r="A128" s="5" t="inlineStr">
        <is>
          <t>항목</t>
        </is>
      </c>
      <c r="B128" s="5" t="inlineStr">
        <is>
          <t>참고</t>
        </is>
      </c>
      <c r="C128" s="5" t="inlineStr">
        <is>
          <t>2024.3Q</t>
        </is>
      </c>
      <c r="D128" s="5" t="inlineStr">
        <is>
          <t>2024.4Q</t>
        </is>
      </c>
      <c r="E128" s="5" t="inlineStr">
        <is>
          <t>2025.1Q</t>
        </is>
      </c>
      <c r="F128" s="5" t="inlineStr">
        <is>
          <t>2025.2Q</t>
        </is>
      </c>
      <c r="G128" s="5" t="inlineStr">
        <is>
          <t>2025.3Q</t>
        </is>
      </c>
      <c r="H128" s="5" t="inlineStr">
        <is>
          <t>2025.4Q</t>
        </is>
      </c>
      <c r="I128" s="5" t="inlineStr">
        <is>
          <t>2026.1Q</t>
        </is>
      </c>
      <c r="J128" s="5" t="inlineStr">
        <is>
          <t>2026.2Q</t>
        </is>
      </c>
      <c r="K128" s="5" t="inlineStr">
        <is>
          <t>2026.3Q</t>
        </is>
      </c>
      <c r="L128" s="5" t="inlineStr">
        <is>
          <t>2026.4Q</t>
        </is>
      </c>
      <c r="M128" s="5" t="inlineStr">
        <is>
          <t>2027.1Q</t>
        </is>
      </c>
      <c r="N128" s="5" t="inlineStr">
        <is>
          <t>2027.2Q</t>
        </is>
      </c>
      <c r="O128" s="5" t="inlineStr">
        <is>
          <t>2017</t>
        </is>
      </c>
      <c r="P128" s="5" t="inlineStr">
        <is>
          <t>2018</t>
        </is>
      </c>
      <c r="Q128" s="5" t="inlineStr">
        <is>
          <t>2019</t>
        </is>
      </c>
      <c r="R128" s="5" t="inlineStr">
        <is>
          <t>2020</t>
        </is>
      </c>
      <c r="S128" s="5" t="inlineStr">
        <is>
          <t>2021</t>
        </is>
      </c>
      <c r="T128" s="5" t="inlineStr">
        <is>
          <t>2022</t>
        </is>
      </c>
      <c r="U128" s="5" t="inlineStr">
        <is>
          <t>2023</t>
        </is>
      </c>
      <c r="V128" s="5" t="inlineStr">
        <is>
          <t>2024</t>
        </is>
      </c>
      <c r="W128" s="5" t="inlineStr">
        <is>
          <t>2025</t>
        </is>
      </c>
      <c r="X128" s="5" t="inlineStr">
        <is>
          <t>2026</t>
        </is>
      </c>
      <c r="Y128" s="5" t="inlineStr">
        <is>
          <t>2027(MW)</t>
        </is>
      </c>
      <c r="Z128" s="5" t="inlineStr">
        <is>
          <t>2028(MW)</t>
        </is>
      </c>
      <c r="AA128" s="5" t="inlineStr">
        <is>
          <t>2029(MW)</t>
        </is>
      </c>
      <c r="AB128" s="5" t="inlineStr">
        <is>
          <t>2030(MW)</t>
        </is>
      </c>
      <c r="AC128" s="5" t="inlineStr">
        <is>
          <t>2031(MW)</t>
        </is>
      </c>
    </row>
    <row r="129">
      <c r="A129" s="9" t="inlineStr">
        <is>
          <t>법인세차감전 순이익</t>
        </is>
      </c>
      <c r="D129" s="12" t="n">
        <v>1653.715</v>
      </c>
      <c r="F129" s="12" t="n">
        <v>1593.494</v>
      </c>
      <c r="H129" s="12" t="n">
        <v>2847.132</v>
      </c>
      <c r="J129" s="12" t="n">
        <v>1708.5</v>
      </c>
      <c r="L129" s="12" t="n">
        <v>3372.705</v>
      </c>
      <c r="N129" s="12" t="n">
        <v>2499.68</v>
      </c>
      <c r="O129" s="12" t="n">
        <v>1327.904</v>
      </c>
      <c r="P129" s="12" t="n">
        <v>1452.823</v>
      </c>
      <c r="Q129" s="12" t="n">
        <v>1642.038</v>
      </c>
      <c r="R129" s="12" t="n">
        <v>1565.485</v>
      </c>
      <c r="S129" s="12" t="n">
        <v>1832.34</v>
      </c>
      <c r="T129" s="12" t="n">
        <v>2388.891</v>
      </c>
      <c r="U129" s="12" t="n">
        <v>2110.717</v>
      </c>
      <c r="V129" s="12" t="n">
        <v>1653.715</v>
      </c>
      <c r="W129" s="12" t="n">
        <v>2847.132</v>
      </c>
      <c r="X129" s="12" t="n">
        <v>3372.705</v>
      </c>
    </row>
    <row r="130">
      <c r="A130" s="20" t="inlineStr">
        <is>
          <t>감가상각비</t>
        </is>
      </c>
      <c r="D130" s="22" t="n">
        <v>1293.937</v>
      </c>
      <c r="F130" s="22" t="n">
        <v>622.3</v>
      </c>
      <c r="H130" s="22" t="n">
        <v>1288.831</v>
      </c>
      <c r="J130" s="22" t="n">
        <v>602.824</v>
      </c>
      <c r="L130" s="22" t="n">
        <v>1259.732</v>
      </c>
      <c r="N130" s="22" t="n">
        <v>631.999</v>
      </c>
      <c r="O130" s="22" t="n">
        <v>884.231</v>
      </c>
      <c r="P130" s="22" t="n">
        <v>940.933</v>
      </c>
      <c r="Q130" s="22" t="n">
        <v>872.13</v>
      </c>
      <c r="R130" s="22" t="n">
        <v>1003.104</v>
      </c>
      <c r="S130" s="22" t="n">
        <v>1053.138</v>
      </c>
      <c r="T130" s="22" t="n">
        <v>1312.487</v>
      </c>
      <c r="U130" s="22" t="n">
        <v>1306.752</v>
      </c>
      <c r="V130" s="22" t="n">
        <v>1293.937</v>
      </c>
      <c r="W130" s="22" t="n">
        <v>1288.831</v>
      </c>
      <c r="X130" s="22" t="n">
        <v>1259.732</v>
      </c>
    </row>
    <row r="131">
      <c r="A131" s="20" t="inlineStr">
        <is>
          <t>영업권 상각</t>
        </is>
      </c>
      <c r="D131" s="22" t="n">
        <v>26.252</v>
      </c>
      <c r="F131" s="22" t="n">
        <v>0</v>
      </c>
      <c r="H131" s="22" t="n">
        <v>0</v>
      </c>
      <c r="P131" s="22" t="n">
        <v>0</v>
      </c>
      <c r="Q131" s="22" t="n">
        <v>2.386</v>
      </c>
      <c r="R131" s="22" t="n">
        <v>28.638</v>
      </c>
      <c r="S131" s="22" t="n">
        <v>28.638</v>
      </c>
      <c r="T131" s="22" t="n">
        <v>28.638</v>
      </c>
      <c r="U131" s="22" t="n">
        <v>28.638</v>
      </c>
      <c r="V131" s="22" t="n">
        <v>26.252</v>
      </c>
      <c r="W131" s="22" t="n">
        <v>0</v>
      </c>
    </row>
    <row r="132">
      <c r="A132" s="20" t="inlineStr">
        <is>
          <t>손상차손</t>
        </is>
      </c>
      <c r="D132" s="22" t="n">
        <v>628.082</v>
      </c>
      <c r="H132" s="22" t="n">
        <v>0</v>
      </c>
      <c r="O132" s="22" t="n">
        <v>0</v>
      </c>
      <c r="P132" s="22" t="n">
        <v>12.96</v>
      </c>
      <c r="Q132" s="22" t="n">
        <v>2.183</v>
      </c>
      <c r="R132" s="22" t="n">
        <v>0</v>
      </c>
      <c r="S132" s="22" t="n">
        <v>0</v>
      </c>
      <c r="T132" s="22" t="n">
        <v>30.059</v>
      </c>
      <c r="U132" s="22" t="n">
        <v>69.14700000000001</v>
      </c>
      <c r="V132" s="22" t="n">
        <v>628.082</v>
      </c>
      <c r="W132" s="22" t="n">
        <v>0</v>
      </c>
    </row>
    <row r="133">
      <c r="A133" s="20" t="inlineStr">
        <is>
          <t>관계회사 정리손실</t>
        </is>
      </c>
      <c r="D133" s="22" t="n">
        <v>0</v>
      </c>
      <c r="F133" s="22" t="n">
        <v>113.814</v>
      </c>
      <c r="H133" s="22" t="n">
        <v>135.604</v>
      </c>
      <c r="J133" s="22" t="n">
        <v>0</v>
      </c>
      <c r="L133" s="22" t="n">
        <v>0</v>
      </c>
      <c r="V133" s="22" t="n">
        <v>0</v>
      </c>
      <c r="W133" s="22" t="n">
        <v>135.604</v>
      </c>
      <c r="X133" s="22" t="n">
        <v>0</v>
      </c>
    </row>
    <row r="134">
      <c r="A134" s="20" t="inlineStr">
        <is>
          <t>부의 영업권 발생이익</t>
        </is>
      </c>
      <c r="D134" s="22" t="n">
        <v>-469.629</v>
      </c>
      <c r="F134" s="22" t="n">
        <v>0</v>
      </c>
      <c r="H134" s="22" t="n">
        <v>0</v>
      </c>
      <c r="R134" s="22" t="n">
        <v>0</v>
      </c>
      <c r="S134" s="22" t="n">
        <v>-227.983</v>
      </c>
      <c r="T134" s="22" t="n">
        <v>0</v>
      </c>
      <c r="U134" s="22" t="n">
        <v>0</v>
      </c>
      <c r="V134" s="22" t="n">
        <v>-469.629</v>
      </c>
      <c r="W134" s="22" t="n">
        <v>0</v>
      </c>
    </row>
    <row r="135">
      <c r="A135" s="20" t="inlineStr">
        <is>
          <t>단계적 취득 차손익</t>
        </is>
      </c>
      <c r="D135" s="22" t="n">
        <v>200.885</v>
      </c>
      <c r="H135" s="22" t="n">
        <v>0</v>
      </c>
      <c r="R135" s="22" t="n">
        <v>0</v>
      </c>
      <c r="S135" s="22" t="n">
        <v>99.206</v>
      </c>
      <c r="T135" s="22" t="n">
        <v>0</v>
      </c>
      <c r="U135" s="22" t="n">
        <v>0</v>
      </c>
      <c r="V135" s="22" t="n">
        <v>200.885</v>
      </c>
      <c r="W135" s="22" t="n">
        <v>0</v>
      </c>
    </row>
    <row r="136">
      <c r="A136" s="20" t="inlineStr">
        <is>
          <t>지분법손익</t>
        </is>
      </c>
      <c r="D136" s="22" t="n">
        <v>-347.368</v>
      </c>
      <c r="F136" s="22" t="n">
        <v>9.398</v>
      </c>
      <c r="H136" s="22" t="n">
        <v>27.385</v>
      </c>
      <c r="J136" s="22" t="n">
        <v>23.381</v>
      </c>
      <c r="L136" s="22" t="n">
        <v>17.388</v>
      </c>
      <c r="N136" s="22" t="n">
        <v>3.461</v>
      </c>
      <c r="O136" s="22" t="n">
        <v>-19.187</v>
      </c>
      <c r="P136" s="22" t="n">
        <v>-9.233000000000001</v>
      </c>
      <c r="Q136" s="22" t="n">
        <v>-8.897</v>
      </c>
      <c r="R136" s="22" t="n">
        <v>-8.663</v>
      </c>
      <c r="S136" s="22" t="n">
        <v>-2.373</v>
      </c>
      <c r="T136" s="22" t="n">
        <v>0</v>
      </c>
      <c r="U136" s="22" t="n">
        <v>0</v>
      </c>
      <c r="V136" s="22" t="n">
        <v>-347.368</v>
      </c>
      <c r="W136" s="22" t="n">
        <v>27.385</v>
      </c>
      <c r="X136" s="22" t="n">
        <v>17.388</v>
      </c>
    </row>
    <row r="137">
      <c r="A137" s="20" t="inlineStr">
        <is>
          <t>대손충당금 증감</t>
        </is>
      </c>
      <c r="D137" s="22" t="n">
        <v>-1.488</v>
      </c>
      <c r="F137" s="22" t="n">
        <v>-0.413</v>
      </c>
      <c r="H137" s="22" t="n">
        <v>0.176</v>
      </c>
      <c r="J137" s="22" t="n">
        <v>1.013</v>
      </c>
      <c r="L137" s="22" t="n">
        <v>2.506</v>
      </c>
      <c r="N137" s="22" t="n">
        <v>0.03</v>
      </c>
      <c r="O137" s="22" t="n">
        <v>-11.621</v>
      </c>
      <c r="P137" s="22" t="n">
        <v>0.123</v>
      </c>
      <c r="Q137" s="22" t="n">
        <v>-1.214</v>
      </c>
      <c r="R137" s="22" t="n">
        <v>0.145</v>
      </c>
      <c r="S137" s="22" t="n">
        <v>-3.606</v>
      </c>
      <c r="T137" s="22" t="n">
        <v>0.6929999999999999</v>
      </c>
      <c r="U137" s="22" t="n">
        <v>0.416</v>
      </c>
      <c r="V137" s="22" t="n">
        <v>-1.488</v>
      </c>
      <c r="W137" s="22" t="n">
        <v>0.176</v>
      </c>
      <c r="X137" s="22" t="n">
        <v>2.506</v>
      </c>
    </row>
    <row r="138">
      <c r="A138" s="20" t="inlineStr">
        <is>
          <t>상여충당금 증감</t>
        </is>
      </c>
      <c r="D138" s="22" t="n">
        <v>18.737</v>
      </c>
      <c r="F138" s="22" t="n">
        <v>65.59699999999999</v>
      </c>
      <c r="H138" s="22" t="n">
        <v>7.103</v>
      </c>
      <c r="J138" s="22" t="n">
        <v>82.166</v>
      </c>
      <c r="L138" s="22" t="n">
        <v>24.253</v>
      </c>
      <c r="N138" s="22" t="n">
        <v>72.175</v>
      </c>
      <c r="O138" s="22" t="n">
        <v>34.418</v>
      </c>
      <c r="P138" s="22" t="n">
        <v>4.149</v>
      </c>
      <c r="Q138" s="22" t="n">
        <v>12.611</v>
      </c>
      <c r="R138" s="22" t="n">
        <v>13.39</v>
      </c>
      <c r="S138" s="22" t="n">
        <v>-30.058</v>
      </c>
      <c r="T138" s="22" t="n">
        <v>-0.989</v>
      </c>
      <c r="U138" s="22" t="n">
        <v>-17.643</v>
      </c>
      <c r="V138" s="22" t="n">
        <v>18.737</v>
      </c>
      <c r="W138" s="22" t="n">
        <v>7.103</v>
      </c>
      <c r="X138" s="22" t="n">
        <v>24.253</v>
      </c>
    </row>
    <row r="139">
      <c r="A139" s="20" t="inlineStr">
        <is>
          <t>임원 상여충당금 증감</t>
        </is>
      </c>
      <c r="F139" s="22" t="n">
        <v>0</v>
      </c>
      <c r="J139" s="22" t="n">
        <v>6.249</v>
      </c>
      <c r="N139" s="22" t="n">
        <v>6</v>
      </c>
    </row>
    <row r="140">
      <c r="A140" s="20" t="inlineStr">
        <is>
          <t>주식보상 충당금 증감</t>
        </is>
      </c>
      <c r="F140" s="22" t="n">
        <v>0</v>
      </c>
      <c r="H140" s="22" t="n">
        <v>0</v>
      </c>
      <c r="J140" s="22" t="n">
        <v>6.838</v>
      </c>
      <c r="L140" s="22" t="n">
        <v>22.574</v>
      </c>
      <c r="N140" s="22" t="n">
        <v>12.361</v>
      </c>
      <c r="W140" s="22" t="n">
        <v>0</v>
      </c>
      <c r="X140" s="22" t="n">
        <v>22.574</v>
      </c>
    </row>
    <row r="141">
      <c r="A141" s="20" t="inlineStr">
        <is>
          <t>퇴직급여 자산·부채 증감</t>
        </is>
      </c>
      <c r="D141" s="22" t="n">
        <v>-51.114</v>
      </c>
      <c r="H141" s="22" t="n">
        <v>-60.141</v>
      </c>
      <c r="L141" s="22" t="n">
        <v>-54.475</v>
      </c>
      <c r="U141" s="22" t="n">
        <v>-30.03</v>
      </c>
      <c r="V141" s="22" t="n">
        <v>-51.114</v>
      </c>
      <c r="W141" s="22" t="n">
        <v>-60.141</v>
      </c>
      <c r="X141" s="22" t="n">
        <v>-54.475</v>
      </c>
    </row>
    <row r="142">
      <c r="A142" s="20" t="inlineStr">
        <is>
          <t>관계회사 정리손실 충당금 증감</t>
        </is>
      </c>
      <c r="D142" s="22" t="n">
        <v>187.359</v>
      </c>
      <c r="H142" s="22" t="n">
        <v>18.218</v>
      </c>
      <c r="L142" s="22" t="n">
        <v>0</v>
      </c>
      <c r="U142" s="22" t="n">
        <v>0</v>
      </c>
      <c r="V142" s="22" t="n">
        <v>187.359</v>
      </c>
      <c r="W142" s="22" t="n">
        <v>18.218</v>
      </c>
      <c r="X142" s="22" t="n">
        <v>0</v>
      </c>
    </row>
    <row r="143">
      <c r="A143" s="20" t="inlineStr">
        <is>
          <t>퇴직급여부채 증감</t>
        </is>
      </c>
      <c r="F143" s="22" t="n">
        <v>-27.834</v>
      </c>
      <c r="J143" s="22" t="n">
        <v>-14.152</v>
      </c>
      <c r="N143" s="22" t="n">
        <v>-51</v>
      </c>
      <c r="O143" s="22" t="n">
        <v>-26.586</v>
      </c>
      <c r="P143" s="22" t="n">
        <v>-34.65</v>
      </c>
      <c r="Q143" s="22" t="n">
        <v>-50.73</v>
      </c>
      <c r="R143" s="22" t="n">
        <v>-71.038</v>
      </c>
      <c r="S143" s="22" t="n">
        <v>-45.543</v>
      </c>
      <c r="T143" s="22" t="n">
        <v>-40.487</v>
      </c>
      <c r="U143" s="22" t="n">
        <v>-30.03</v>
      </c>
    </row>
    <row r="144">
      <c r="A144" s="20" t="inlineStr">
        <is>
          <t>이자·배당금 수익</t>
        </is>
      </c>
      <c r="D144" s="22" t="n">
        <v>-30.365</v>
      </c>
      <c r="F144" s="22" t="n">
        <v>-21.861</v>
      </c>
      <c r="H144" s="22" t="n">
        <v>-40.577</v>
      </c>
      <c r="J144" s="22" t="n">
        <v>-21.46</v>
      </c>
      <c r="L144" s="22" t="n">
        <v>-37.119</v>
      </c>
      <c r="N144" s="22" t="n">
        <v>-22.365</v>
      </c>
      <c r="O144" s="22" t="n">
        <v>-12.2</v>
      </c>
      <c r="P144" s="22" t="n">
        <v>-13.948</v>
      </c>
      <c r="Q144" s="22" t="n">
        <v>-14.157</v>
      </c>
      <c r="R144" s="22" t="n">
        <v>-18.698</v>
      </c>
      <c r="S144" s="22" t="n">
        <v>-19.276</v>
      </c>
      <c r="T144" s="22" t="n">
        <v>-22.783</v>
      </c>
      <c r="U144" s="22" t="n">
        <v>-29.848</v>
      </c>
      <c r="V144" s="22" t="n">
        <v>-30.365</v>
      </c>
      <c r="W144" s="22" t="n">
        <v>-40.577</v>
      </c>
      <c r="X144" s="22" t="n">
        <v>-37.119</v>
      </c>
    </row>
    <row r="145">
      <c r="A145" s="20" t="inlineStr">
        <is>
          <t>이자비용</t>
        </is>
      </c>
      <c r="D145" s="22" t="n">
        <v>60.141</v>
      </c>
      <c r="F145" s="22" t="n">
        <v>33.881</v>
      </c>
      <c r="H145" s="22" t="n">
        <v>72.182</v>
      </c>
      <c r="J145" s="22" t="n">
        <v>35.589</v>
      </c>
      <c r="L145" s="22" t="n">
        <v>74.98099999999999</v>
      </c>
      <c r="N145" s="22" t="n">
        <v>48.679</v>
      </c>
      <c r="O145" s="22" t="n">
        <v>64.657</v>
      </c>
      <c r="P145" s="22" t="n">
        <v>63.223</v>
      </c>
      <c r="Q145" s="22" t="n">
        <v>66.77200000000001</v>
      </c>
      <c r="R145" s="22" t="n">
        <v>77.105</v>
      </c>
      <c r="S145" s="22" t="n">
        <v>70.59099999999999</v>
      </c>
      <c r="T145" s="22" t="n">
        <v>67.437</v>
      </c>
      <c r="U145" s="22" t="n">
        <v>65.816</v>
      </c>
      <c r="V145" s="22" t="n">
        <v>60.141</v>
      </c>
      <c r="W145" s="22" t="n">
        <v>72.182</v>
      </c>
      <c r="X145" s="22" t="n">
        <v>74.98099999999999</v>
      </c>
    </row>
    <row r="146">
      <c r="A146" s="20" t="inlineStr">
        <is>
          <t>외환차손익</t>
        </is>
      </c>
      <c r="D146" s="22" t="n">
        <v>-56.037</v>
      </c>
      <c r="F146" s="22" t="n">
        <v>-94.414</v>
      </c>
      <c r="H146" s="22" t="n">
        <v>-73.474</v>
      </c>
      <c r="J146" s="22" t="n">
        <v>108.544</v>
      </c>
      <c r="L146" s="22" t="n">
        <v>40.344</v>
      </c>
      <c r="N146" s="22" t="n">
        <v>-19.294</v>
      </c>
      <c r="O146" s="22" t="n">
        <v>94.604</v>
      </c>
      <c r="P146" s="22" t="n">
        <v>-32.959</v>
      </c>
      <c r="Q146" s="22" t="n">
        <v>47.717</v>
      </c>
      <c r="R146" s="22" t="n">
        <v>25.001</v>
      </c>
      <c r="S146" s="22" t="n">
        <v>0.091</v>
      </c>
      <c r="T146" s="22" t="n">
        <v>-138.094</v>
      </c>
      <c r="U146" s="22" t="n">
        <v>-122.455</v>
      </c>
      <c r="V146" s="22" t="n">
        <v>-56.037</v>
      </c>
      <c r="W146" s="22" t="n">
        <v>-73.474</v>
      </c>
      <c r="X146" s="22" t="n">
        <v>40.344</v>
      </c>
    </row>
    <row r="147">
      <c r="A147" s="20" t="inlineStr">
        <is>
          <t>투자유가증권 평가손익</t>
        </is>
      </c>
      <c r="D147" s="22" t="n">
        <v>50.402</v>
      </c>
      <c r="F147" s="22" t="n">
        <v>0</v>
      </c>
      <c r="H147" s="22" t="n">
        <v>0</v>
      </c>
      <c r="O147" s="22" t="n">
        <v>1.449</v>
      </c>
      <c r="P147" s="22" t="n">
        <v>0</v>
      </c>
      <c r="Q147" s="22" t="n">
        <v>0</v>
      </c>
      <c r="R147" s="22" t="n">
        <v>24.874</v>
      </c>
      <c r="S147" s="22" t="n">
        <v>0</v>
      </c>
      <c r="U147" s="22" t="n">
        <v>0</v>
      </c>
      <c r="V147" s="22" t="n">
        <v>50.402</v>
      </c>
      <c r="W147" s="22" t="n">
        <v>0</v>
      </c>
    </row>
    <row r="148">
      <c r="A148" s="20" t="inlineStr">
        <is>
          <t>투자유가증권 매각손익</t>
        </is>
      </c>
      <c r="D148" s="22" t="n">
        <v>0</v>
      </c>
      <c r="F148" s="22" t="n">
        <v>0</v>
      </c>
      <c r="H148" s="22" t="n">
        <v>0</v>
      </c>
      <c r="J148" s="22" t="n">
        <v>-44.604</v>
      </c>
      <c r="L148" s="22" t="n">
        <v>-85.26600000000001</v>
      </c>
      <c r="N148" s="22" t="n">
        <v>0</v>
      </c>
      <c r="O148" s="22" t="n">
        <v>-25.765</v>
      </c>
      <c r="P148" s="22" t="n">
        <v>-0</v>
      </c>
      <c r="Q148" s="22" t="n">
        <v>0</v>
      </c>
      <c r="R148" s="22" t="n">
        <v>-2.963</v>
      </c>
      <c r="S148" s="22" t="n">
        <v>-4.921</v>
      </c>
      <c r="T148" s="22" t="n">
        <v>-1.095</v>
      </c>
      <c r="U148" s="22" t="n">
        <v>-12.64</v>
      </c>
      <c r="V148" s="22" t="n">
        <v>0</v>
      </c>
      <c r="W148" s="22" t="n">
        <v>0</v>
      </c>
      <c r="X148" s="22" t="n">
        <v>-85.26600000000001</v>
      </c>
    </row>
    <row r="149">
      <c r="A149" s="20" t="inlineStr">
        <is>
          <t>관계회사 주식 매각손익</t>
        </is>
      </c>
      <c r="H149" s="22" t="n">
        <v>0</v>
      </c>
      <c r="L149" s="22" t="n">
        <v>-137.82</v>
      </c>
      <c r="W149" s="22" t="n">
        <v>0</v>
      </c>
      <c r="X149" s="22" t="n">
        <v>-137.82</v>
      </c>
    </row>
    <row r="150">
      <c r="A150" s="20" t="inlineStr">
        <is>
          <t>고정자산 제각손실</t>
        </is>
      </c>
      <c r="D150" s="22" t="n">
        <v>90.545</v>
      </c>
      <c r="F150" s="22" t="n">
        <v>1.545</v>
      </c>
      <c r="H150" s="22" t="n">
        <v>15.111</v>
      </c>
      <c r="J150" s="22" t="n">
        <v>10.66</v>
      </c>
      <c r="L150" s="22" t="n">
        <v>23.504</v>
      </c>
      <c r="N150" s="22" t="n">
        <v>6.968</v>
      </c>
      <c r="O150" s="22" t="n">
        <v>44.376</v>
      </c>
      <c r="P150" s="22" t="n">
        <v>11.813</v>
      </c>
      <c r="Q150" s="22" t="n">
        <v>3.624</v>
      </c>
      <c r="R150" s="22" t="n">
        <v>21.394</v>
      </c>
      <c r="S150" s="22" t="n">
        <v>52.042</v>
      </c>
      <c r="T150" s="22" t="n">
        <v>33.647</v>
      </c>
      <c r="U150" s="22" t="n">
        <v>85.434</v>
      </c>
      <c r="V150" s="22" t="n">
        <v>90.545</v>
      </c>
      <c r="W150" s="22" t="n">
        <v>15.111</v>
      </c>
      <c r="X150" s="22" t="n">
        <v>23.504</v>
      </c>
    </row>
    <row r="151">
      <c r="A151" s="20" t="inlineStr">
        <is>
          <t>고정자산 매각손익</t>
        </is>
      </c>
      <c r="D151" s="22" t="n">
        <v>0.213</v>
      </c>
      <c r="F151" s="22" t="n">
        <v>-0.514</v>
      </c>
      <c r="H151" s="22" t="n">
        <v>16.058</v>
      </c>
      <c r="J151" s="22" t="n">
        <v>-104.964</v>
      </c>
      <c r="L151" s="22" t="n">
        <v>-113.829</v>
      </c>
      <c r="N151" s="22" t="n">
        <v>-0.1</v>
      </c>
      <c r="O151" s="22" t="n">
        <v>0.968</v>
      </c>
      <c r="P151" s="22" t="n">
        <v>5.233</v>
      </c>
      <c r="Q151" s="22" t="n">
        <v>-1.439</v>
      </c>
      <c r="R151" s="22" t="n">
        <v>0.105</v>
      </c>
      <c r="S151" s="22" t="n">
        <v>-0.345</v>
      </c>
      <c r="T151" s="22" t="n">
        <v>-0.6860000000000001</v>
      </c>
      <c r="U151" s="22" t="n">
        <v>-70.447</v>
      </c>
      <c r="V151" s="22" t="n">
        <v>0.213</v>
      </c>
      <c r="W151" s="22" t="n">
        <v>16.058</v>
      </c>
      <c r="X151" s="22" t="n">
        <v>-113.829</v>
      </c>
    </row>
    <row r="152">
      <c r="A152" s="20" t="inlineStr">
        <is>
          <t>지분변동손익</t>
        </is>
      </c>
      <c r="O152" s="22" t="n">
        <v>19.236</v>
      </c>
      <c r="P152" s="22" t="n">
        <v>0</v>
      </c>
    </row>
    <row r="153">
      <c r="A153" s="20" t="inlineStr">
        <is>
          <t>공장 이전비용</t>
        </is>
      </c>
      <c r="P153" s="22" t="n">
        <v>0</v>
      </c>
      <c r="Q153" s="22" t="n">
        <v>37.884</v>
      </c>
      <c r="R153" s="22" t="n">
        <v>0</v>
      </c>
    </row>
    <row r="154">
      <c r="A154" s="20" t="inlineStr">
        <is>
          <t>매출채권 증감</t>
        </is>
      </c>
      <c r="D154" s="22" t="n">
        <v>-213.971</v>
      </c>
      <c r="F154" s="22" t="n">
        <v>-1629.052</v>
      </c>
      <c r="H154" s="22" t="n">
        <v>-904.319</v>
      </c>
      <c r="J154" s="22" t="n">
        <v>-469.658</v>
      </c>
      <c r="L154" s="22" t="n">
        <v>-359.5</v>
      </c>
      <c r="N154" s="22" t="n">
        <v>-1134.131</v>
      </c>
      <c r="O154" s="22" t="n">
        <v>-346.191</v>
      </c>
      <c r="P154" s="22" t="n">
        <v>-270.433</v>
      </c>
      <c r="Q154" s="22" t="n">
        <v>-168.365</v>
      </c>
      <c r="R154" s="22" t="n">
        <v>-908.1130000000001</v>
      </c>
      <c r="S154" s="22" t="n">
        <v>-194.614</v>
      </c>
      <c r="T154" s="22" t="n">
        <v>352.913</v>
      </c>
      <c r="U154" s="22" t="n">
        <v>-324.103</v>
      </c>
      <c r="V154" s="22" t="n">
        <v>-213.971</v>
      </c>
      <c r="W154" s="22" t="n">
        <v>-904.319</v>
      </c>
      <c r="X154" s="22" t="n">
        <v>-359.5</v>
      </c>
    </row>
    <row r="155">
      <c r="A155" s="20" t="inlineStr">
        <is>
          <t>재고자산 증감</t>
        </is>
      </c>
      <c r="D155" s="22" t="n">
        <v>560.967</v>
      </c>
      <c r="F155" s="22" t="n">
        <v>20.934</v>
      </c>
      <c r="H155" s="22" t="n">
        <v>-416.31</v>
      </c>
      <c r="J155" s="22" t="n">
        <v>-112.001</v>
      </c>
      <c r="L155" s="22" t="n">
        <v>-66.758</v>
      </c>
      <c r="N155" s="22" t="n">
        <v>-746.309</v>
      </c>
      <c r="O155" s="22" t="n">
        <v>-333.921</v>
      </c>
      <c r="P155" s="22" t="n">
        <v>-135.562</v>
      </c>
      <c r="Q155" s="22" t="n">
        <v>-191.628</v>
      </c>
      <c r="R155" s="22" t="n">
        <v>-64.05</v>
      </c>
      <c r="S155" s="22" t="n">
        <v>-258.796</v>
      </c>
      <c r="T155" s="22" t="n">
        <v>-997.415</v>
      </c>
      <c r="U155" s="22" t="n">
        <v>-352.115</v>
      </c>
      <c r="V155" s="22" t="n">
        <v>560.967</v>
      </c>
      <c r="W155" s="22" t="n">
        <v>-416.31</v>
      </c>
      <c r="X155" s="22" t="n">
        <v>-66.758</v>
      </c>
    </row>
    <row r="156">
      <c r="A156" s="20" t="inlineStr">
        <is>
          <t>매입채무 증감</t>
        </is>
      </c>
      <c r="D156" s="22" t="n">
        <v>573.046</v>
      </c>
      <c r="F156" s="22" t="n">
        <v>557.5940000000001</v>
      </c>
      <c r="H156" s="22" t="n">
        <v>7.558</v>
      </c>
      <c r="J156" s="22" t="n">
        <v>-165.89</v>
      </c>
      <c r="L156" s="22" t="n">
        <v>-680.9109999999999</v>
      </c>
      <c r="N156" s="22" t="n">
        <v>192.647</v>
      </c>
      <c r="O156" s="22" t="n">
        <v>378.691</v>
      </c>
      <c r="P156" s="22" t="n">
        <v>-87.834</v>
      </c>
      <c r="Q156" s="22" t="n">
        <v>262.172</v>
      </c>
      <c r="R156" s="22" t="n">
        <v>-29.124</v>
      </c>
      <c r="S156" s="22" t="n">
        <v>302.513</v>
      </c>
      <c r="T156" s="22" t="n">
        <v>590.853</v>
      </c>
      <c r="U156" s="22" t="n">
        <v>-53.467</v>
      </c>
      <c r="V156" s="22" t="n">
        <v>573.046</v>
      </c>
      <c r="W156" s="22" t="n">
        <v>7.558</v>
      </c>
      <c r="X156" s="22" t="n">
        <v>-680.9109999999999</v>
      </c>
    </row>
    <row r="157">
      <c r="A157" s="20" t="inlineStr">
        <is>
          <t>미지급 소비세 증감</t>
        </is>
      </c>
      <c r="D157" s="22" t="n">
        <v>-1.77</v>
      </c>
      <c r="F157" s="22" t="n">
        <v>35.774</v>
      </c>
      <c r="H157" s="22" t="n">
        <v>94.541</v>
      </c>
      <c r="J157" s="22" t="n">
        <v>-24.842</v>
      </c>
      <c r="L157" s="22" t="n">
        <v>27.527</v>
      </c>
      <c r="N157" s="22" t="n">
        <v>-15.191</v>
      </c>
      <c r="O157" s="22" t="n">
        <v>61.869</v>
      </c>
      <c r="P157" s="22" t="n">
        <v>13.306</v>
      </c>
      <c r="Q157" s="22" t="n">
        <v>-30.301</v>
      </c>
      <c r="R157" s="22" t="n">
        <v>81.137</v>
      </c>
      <c r="S157" s="22" t="n">
        <v>-83.762</v>
      </c>
      <c r="T157" s="22" t="n">
        <v>153.23</v>
      </c>
      <c r="U157" s="22" t="n">
        <v>-129.286</v>
      </c>
      <c r="V157" s="22" t="n">
        <v>-1.77</v>
      </c>
      <c r="W157" s="22" t="n">
        <v>94.541</v>
      </c>
      <c r="X157" s="22" t="n">
        <v>27.527</v>
      </c>
    </row>
    <row r="158">
      <c r="A158" s="20" t="inlineStr">
        <is>
          <t>기타</t>
        </is>
      </c>
      <c r="D158" s="22" t="n">
        <v>15.245</v>
      </c>
      <c r="F158" s="22" t="n">
        <v>-277.75</v>
      </c>
      <c r="H158" s="22" t="n">
        <v>90.318</v>
      </c>
      <c r="J158" s="22" t="n">
        <v>-225.401</v>
      </c>
      <c r="L158" s="22" t="n">
        <v>141.863</v>
      </c>
      <c r="N158" s="22" t="n">
        <v>-194.11</v>
      </c>
      <c r="O158" s="22" t="n">
        <v>4.587</v>
      </c>
      <c r="P158" s="22" t="n">
        <v>92.98</v>
      </c>
      <c r="Q158" s="22" t="n">
        <v>10.431</v>
      </c>
      <c r="R158" s="22" t="n">
        <v>-240.909</v>
      </c>
      <c r="S158" s="22" t="n">
        <v>302.843</v>
      </c>
      <c r="T158" s="22" t="n">
        <v>106.095</v>
      </c>
      <c r="U158" s="22" t="n">
        <v>5.139</v>
      </c>
      <c r="V158" s="22" t="n">
        <v>15.245</v>
      </c>
      <c r="W158" s="22" t="n">
        <v>90.318</v>
      </c>
      <c r="X158" s="22" t="n">
        <v>141.863</v>
      </c>
    </row>
    <row r="159">
      <c r="A159" s="20" t="inlineStr">
        <is>
          <t>소계</t>
        </is>
      </c>
      <c r="D159" s="22" t="n">
        <v>4187.786</v>
      </c>
      <c r="F159" s="22" t="n">
        <v>1002.494</v>
      </c>
      <c r="H159" s="22" t="n">
        <v>3125.397</v>
      </c>
      <c r="J159" s="22" t="n">
        <v>1402.792</v>
      </c>
      <c r="L159" s="22" t="n">
        <v>3471.7</v>
      </c>
      <c r="N159" s="22" t="n">
        <v>1291.501</v>
      </c>
      <c r="O159" s="22" t="n">
        <v>2141.523</v>
      </c>
      <c r="P159" s="22" t="n">
        <v>2012.925</v>
      </c>
      <c r="Q159" s="22" t="n">
        <v>2493.218</v>
      </c>
      <c r="R159" s="22" t="n">
        <v>1496.821</v>
      </c>
      <c r="S159" s="22" t="n">
        <v>2870.124</v>
      </c>
      <c r="T159" s="22" t="n">
        <v>3863.396</v>
      </c>
      <c r="U159" s="22" t="n">
        <v>2530.023</v>
      </c>
      <c r="V159" s="22" t="n">
        <v>4187.786</v>
      </c>
      <c r="W159" s="22" t="n">
        <v>3125.397</v>
      </c>
      <c r="X159" s="22" t="n">
        <v>3471.7</v>
      </c>
    </row>
    <row r="160">
      <c r="A160" s="20" t="inlineStr">
        <is>
          <t>이자·배당금 수취</t>
        </is>
      </c>
      <c r="D160" s="22" t="n">
        <v>29.491</v>
      </c>
      <c r="F160" s="22" t="n">
        <v>22.703</v>
      </c>
      <c r="H160" s="22" t="n">
        <v>41.563</v>
      </c>
      <c r="J160" s="22" t="n">
        <v>21.446</v>
      </c>
      <c r="L160" s="22" t="n">
        <v>34.302</v>
      </c>
      <c r="N160" s="22" t="n">
        <v>21.411</v>
      </c>
      <c r="O160" s="22" t="n">
        <v>15.85</v>
      </c>
      <c r="P160" s="22" t="n">
        <v>15.773</v>
      </c>
      <c r="Q160" s="22" t="n">
        <v>15.982</v>
      </c>
      <c r="R160" s="22" t="n">
        <v>20.523</v>
      </c>
      <c r="S160" s="22" t="n">
        <v>21.831</v>
      </c>
      <c r="T160" s="22" t="n">
        <v>21.386</v>
      </c>
      <c r="U160" s="22" t="n">
        <v>29.748</v>
      </c>
      <c r="V160" s="22" t="n">
        <v>29.491</v>
      </c>
      <c r="W160" s="22" t="n">
        <v>41.563</v>
      </c>
      <c r="X160" s="22" t="n">
        <v>34.302</v>
      </c>
    </row>
    <row r="161">
      <c r="A161" s="20" t="inlineStr">
        <is>
          <t>이자 지급</t>
        </is>
      </c>
      <c r="D161" s="22" t="n">
        <v>-59.356</v>
      </c>
      <c r="F161" s="22" t="n">
        <v>-38.442</v>
      </c>
      <c r="H161" s="22" t="n">
        <v>-77.73</v>
      </c>
      <c r="J161" s="22" t="n">
        <v>-35.897</v>
      </c>
      <c r="L161" s="22" t="n">
        <v>-76.21899999999999</v>
      </c>
      <c r="N161" s="22" t="n">
        <v>-51.772</v>
      </c>
      <c r="O161" s="22" t="n">
        <v>-64.432</v>
      </c>
      <c r="P161" s="22" t="n">
        <v>-62.976</v>
      </c>
      <c r="Q161" s="22" t="n">
        <v>-66.654</v>
      </c>
      <c r="R161" s="22" t="n">
        <v>-76.946</v>
      </c>
      <c r="S161" s="22" t="n">
        <v>-70.33</v>
      </c>
      <c r="T161" s="22" t="n">
        <v>-64.557</v>
      </c>
      <c r="U161" s="22" t="n">
        <v>-67.621</v>
      </c>
      <c r="V161" s="22" t="n">
        <v>-59.356</v>
      </c>
      <c r="W161" s="22" t="n">
        <v>-77.73</v>
      </c>
      <c r="X161" s="22" t="n">
        <v>-76.21899999999999</v>
      </c>
    </row>
    <row r="162">
      <c r="A162" s="20" t="inlineStr">
        <is>
          <t>법인세 납부</t>
        </is>
      </c>
      <c r="D162" s="22" t="n">
        <v>-699.732</v>
      </c>
      <c r="F162" s="22" t="n">
        <v>-320.195</v>
      </c>
      <c r="H162" s="22" t="n">
        <v>-735.249</v>
      </c>
      <c r="J162" s="22" t="n">
        <v>-438.834</v>
      </c>
      <c r="L162" s="22" t="n">
        <v>-876.833</v>
      </c>
      <c r="N162" s="22" t="n">
        <v>-431.14</v>
      </c>
      <c r="O162" s="22" t="n">
        <v>-427.19</v>
      </c>
      <c r="P162" s="22" t="n">
        <v>-466.387</v>
      </c>
      <c r="Q162" s="22" t="n">
        <v>-375.179</v>
      </c>
      <c r="R162" s="22" t="n">
        <v>-543.952</v>
      </c>
      <c r="S162" s="22" t="n">
        <v>-385.576</v>
      </c>
      <c r="T162" s="22" t="n">
        <v>-480.055</v>
      </c>
      <c r="U162" s="22" t="n">
        <v>-944.399</v>
      </c>
      <c r="V162" s="22" t="n">
        <v>-699.732</v>
      </c>
      <c r="W162" s="22" t="n">
        <v>-735.249</v>
      </c>
      <c r="X162" s="22" t="n">
        <v>-876.833</v>
      </c>
    </row>
    <row r="163">
      <c r="A163" s="20" t="inlineStr">
        <is>
          <t>공장 이전비용 지급</t>
        </is>
      </c>
      <c r="P163" s="22" t="n">
        <v>0</v>
      </c>
      <c r="Q163" s="22" t="n">
        <v>-37.884</v>
      </c>
      <c r="R163" s="22" t="n">
        <v>0</v>
      </c>
    </row>
    <row r="164">
      <c r="A164" s="9" t="inlineStr">
        <is>
          <t>영업활동 현금흐름</t>
        </is>
      </c>
      <c r="D164" s="12" t="n">
        <v>3458.188</v>
      </c>
      <c r="F164" s="12" t="n">
        <v>666.559</v>
      </c>
      <c r="H164" s="12" t="n">
        <v>2353.98</v>
      </c>
      <c r="J164" s="12" t="n">
        <v>949.506</v>
      </c>
      <c r="L164" s="12" t="n">
        <v>2552.95</v>
      </c>
      <c r="N164" s="12" t="n">
        <v>829.999</v>
      </c>
      <c r="O164" s="12" t="n">
        <v>1665.75</v>
      </c>
      <c r="P164" s="12" t="n">
        <v>1499.334</v>
      </c>
      <c r="Q164" s="12" t="n">
        <v>2029.482</v>
      </c>
      <c r="R164" s="12" t="n">
        <v>896.4450000000001</v>
      </c>
      <c r="S164" s="12" t="n">
        <v>2436.048</v>
      </c>
      <c r="T164" s="12" t="n">
        <v>3340.17</v>
      </c>
      <c r="U164" s="12" t="n">
        <v>1547.75</v>
      </c>
      <c r="V164" s="12" t="n">
        <v>3458.188</v>
      </c>
      <c r="W164" s="12" t="n">
        <v>2353.98</v>
      </c>
      <c r="X164" s="12" t="n">
        <v>2552.95</v>
      </c>
    </row>
    <row r="165">
      <c r="A165" s="20" t="inlineStr">
        <is>
          <t>유형자산 취득(설비투자)</t>
        </is>
      </c>
      <c r="O165" s="22" t="n">
        <v>-957.101</v>
      </c>
      <c r="P165" s="22" t="n">
        <v>-1209.166</v>
      </c>
      <c r="Q165" s="22" t="n">
        <v>-2117.064</v>
      </c>
      <c r="R165" s="22" t="n">
        <v>-982.869</v>
      </c>
      <c r="S165" s="22" t="n">
        <v>-1541.162</v>
      </c>
      <c r="T165" s="22" t="n">
        <v>-1522.448</v>
      </c>
    </row>
    <row r="166">
      <c r="A166" s="20" t="inlineStr">
        <is>
          <t>유형자산 매각</t>
        </is>
      </c>
      <c r="O166" s="22" t="n">
        <v>1.362</v>
      </c>
      <c r="P166" s="22" t="n">
        <v>47.586</v>
      </c>
      <c r="Q166" s="22" t="n">
        <v>15.831</v>
      </c>
      <c r="R166" s="22" t="n">
        <v>0.293</v>
      </c>
      <c r="S166" s="22" t="n">
        <v>0.801</v>
      </c>
      <c r="T166" s="22" t="n">
        <v>13.835</v>
      </c>
    </row>
    <row r="167">
      <c r="A167" s="20" t="inlineStr">
        <is>
          <t>유형자산 제각 지출</t>
        </is>
      </c>
      <c r="O167" s="22" t="n">
        <v>-0.123</v>
      </c>
      <c r="P167" s="22" t="n">
        <v>-0.228</v>
      </c>
      <c r="Q167" s="22" t="n">
        <v>-0.708</v>
      </c>
      <c r="R167" s="22" t="n">
        <v>-7.759</v>
      </c>
      <c r="S167" s="22" t="n">
        <v>-5.291</v>
      </c>
      <c r="T167" s="22" t="n">
        <v>-4.799</v>
      </c>
    </row>
    <row r="168">
      <c r="A168" s="20" t="inlineStr">
        <is>
          <t>무형자산 취득</t>
        </is>
      </c>
      <c r="O168" s="22" t="n">
        <v>0</v>
      </c>
      <c r="P168" s="22" t="n">
        <v>-7.676</v>
      </c>
      <c r="Q168" s="22" t="n">
        <v>-70.928</v>
      </c>
      <c r="R168" s="22" t="n">
        <v>-39.08</v>
      </c>
      <c r="S168" s="22" t="n">
        <v>-67.57599999999999</v>
      </c>
      <c r="T168" s="22" t="n">
        <v>-36.952</v>
      </c>
    </row>
    <row r="169">
      <c r="A169" s="20" t="inlineStr">
        <is>
          <t>고정자산 취득</t>
        </is>
      </c>
      <c r="D169" s="22" t="n">
        <v>-1085.548</v>
      </c>
      <c r="F169" s="22" t="n">
        <v>-512.543</v>
      </c>
      <c r="H169" s="22" t="n">
        <v>-1164.897</v>
      </c>
      <c r="J169" s="22" t="n">
        <v>-1042.33</v>
      </c>
      <c r="L169" s="22" t="n">
        <v>-1388.341</v>
      </c>
      <c r="N169" s="22" t="n">
        <v>-1181.954</v>
      </c>
      <c r="T169" s="22" t="n">
        <v>-1559.401</v>
      </c>
      <c r="U169" s="22" t="n">
        <v>-1213.964</v>
      </c>
      <c r="V169" s="22" t="n">
        <v>-1085.548</v>
      </c>
      <c r="W169" s="22" t="n">
        <v>-1164.897</v>
      </c>
      <c r="X169" s="22" t="n">
        <v>-1388.341</v>
      </c>
    </row>
    <row r="170">
      <c r="A170" s="20" t="inlineStr">
        <is>
          <t>고정자산 매각</t>
        </is>
      </c>
      <c r="D170" s="22" t="n">
        <v>3.266</v>
      </c>
      <c r="F170" s="22" t="n">
        <v>12.419</v>
      </c>
      <c r="H170" s="22" t="n">
        <v>13.493</v>
      </c>
      <c r="J170" s="22" t="n">
        <v>221.588</v>
      </c>
      <c r="L170" s="22" t="n">
        <v>212.593</v>
      </c>
      <c r="N170" s="22" t="n">
        <v>274.814</v>
      </c>
      <c r="T170" s="22" t="n">
        <v>13.835</v>
      </c>
      <c r="U170" s="22" t="n">
        <v>342.244</v>
      </c>
      <c r="V170" s="22" t="n">
        <v>3.266</v>
      </c>
      <c r="W170" s="22" t="n">
        <v>13.493</v>
      </c>
      <c r="X170" s="22" t="n">
        <v>212.593</v>
      </c>
    </row>
    <row r="171">
      <c r="A171" s="20" t="inlineStr">
        <is>
          <t>고정자산 제각 지출</t>
        </is>
      </c>
      <c r="D171" s="22" t="n">
        <v>-18.212</v>
      </c>
      <c r="F171" s="22" t="n">
        <v>-0.073</v>
      </c>
      <c r="H171" s="22" t="n">
        <v>-0.7</v>
      </c>
      <c r="J171" s="22" t="n">
        <v>-0.545</v>
      </c>
      <c r="L171" s="22" t="n">
        <v>-12.368</v>
      </c>
      <c r="N171" s="22" t="n">
        <v>-0.758</v>
      </c>
      <c r="T171" s="22" t="n">
        <v>-4.799</v>
      </c>
      <c r="U171" s="22" t="n">
        <v>-3.821</v>
      </c>
      <c r="V171" s="22" t="n">
        <v>-18.212</v>
      </c>
      <c r="W171" s="22" t="n">
        <v>-0.7</v>
      </c>
      <c r="X171" s="22" t="n">
        <v>-12.368</v>
      </c>
    </row>
    <row r="172">
      <c r="A172" s="20" t="inlineStr">
        <is>
          <t>투자유가증권 취득</t>
        </is>
      </c>
      <c r="D172" s="22" t="n">
        <v>-1282.771</v>
      </c>
      <c r="F172" s="22" t="n">
        <v>-12.963</v>
      </c>
      <c r="H172" s="22" t="n">
        <v>-23.138</v>
      </c>
      <c r="J172" s="22" t="n">
        <v>-14.093</v>
      </c>
      <c r="L172" s="22" t="n">
        <v>-23.868</v>
      </c>
      <c r="N172" s="22" t="n">
        <v>-114.535</v>
      </c>
      <c r="O172" s="22" t="n">
        <v>-13.848</v>
      </c>
      <c r="P172" s="22" t="n">
        <v>-15.896</v>
      </c>
      <c r="Q172" s="22" t="n">
        <v>-16.055</v>
      </c>
      <c r="R172" s="22" t="n">
        <v>-136.528</v>
      </c>
      <c r="S172" s="22" t="n">
        <v>-17.844</v>
      </c>
      <c r="T172" s="22" t="n">
        <v>-18.583</v>
      </c>
      <c r="U172" s="22" t="n">
        <v>-20.94</v>
      </c>
      <c r="V172" s="22" t="n">
        <v>-1282.771</v>
      </c>
      <c r="W172" s="22" t="n">
        <v>-23.138</v>
      </c>
      <c r="X172" s="22" t="n">
        <v>-23.868</v>
      </c>
    </row>
    <row r="173">
      <c r="A173" s="20" t="inlineStr">
        <is>
          <t>투자유가증권 매각</t>
        </is>
      </c>
      <c r="D173" s="22" t="n">
        <v>0</v>
      </c>
      <c r="F173" s="22" t="n">
        <v>0</v>
      </c>
      <c r="H173" s="22" t="n">
        <v>0</v>
      </c>
      <c r="J173" s="22" t="n">
        <v>112.637</v>
      </c>
      <c r="L173" s="22" t="n">
        <v>116.637</v>
      </c>
      <c r="N173" s="22" t="n">
        <v>81.726</v>
      </c>
      <c r="O173" s="22" t="n">
        <v>57.497</v>
      </c>
      <c r="P173" s="22" t="n">
        <v>0</v>
      </c>
      <c r="Q173" s="22" t="n">
        <v>0</v>
      </c>
      <c r="R173" s="22" t="n">
        <v>4.481</v>
      </c>
      <c r="S173" s="22" t="n">
        <v>5.77</v>
      </c>
      <c r="T173" s="22" t="n">
        <v>2.595</v>
      </c>
      <c r="U173" s="22" t="n">
        <v>73.565</v>
      </c>
      <c r="V173" s="22" t="n">
        <v>0</v>
      </c>
      <c r="W173" s="22" t="n">
        <v>0</v>
      </c>
      <c r="X173" s="22" t="n">
        <v>116.637</v>
      </c>
    </row>
    <row r="174">
      <c r="A174" s="20" t="inlineStr">
        <is>
          <t>사업양수 지출</t>
        </is>
      </c>
      <c r="P174" s="22" t="n">
        <v>0</v>
      </c>
      <c r="Q174" s="22" t="n">
        <v>-145</v>
      </c>
      <c r="R174" s="22" t="n">
        <v>0</v>
      </c>
    </row>
    <row r="175">
      <c r="A175" s="20" t="inlineStr">
        <is>
          <t>대여</t>
        </is>
      </c>
      <c r="F175" s="22" t="n">
        <v>0</v>
      </c>
      <c r="H175" s="22" t="n">
        <v>0</v>
      </c>
      <c r="J175" s="22" t="n">
        <v>-2</v>
      </c>
      <c r="L175" s="22" t="n">
        <v>-2</v>
      </c>
      <c r="N175" s="22" t="n">
        <v>0</v>
      </c>
      <c r="O175" s="22" t="n">
        <v>-2</v>
      </c>
      <c r="P175" s="22" t="n">
        <v>0</v>
      </c>
      <c r="Q175" s="22" t="n">
        <v>-3</v>
      </c>
      <c r="R175" s="22" t="n">
        <v>0</v>
      </c>
      <c r="S175" s="22" t="n">
        <v>0</v>
      </c>
      <c r="T175" s="22" t="n">
        <v>-6</v>
      </c>
      <c r="U175" s="22" t="n">
        <v>0</v>
      </c>
      <c r="W175" s="22" t="n">
        <v>0</v>
      </c>
      <c r="X175" s="22" t="n">
        <v>-2</v>
      </c>
    </row>
    <row r="176">
      <c r="A176" s="20" t="inlineStr">
        <is>
          <t>대여금 회수</t>
        </is>
      </c>
      <c r="D176" s="22" t="n">
        <v>1.736</v>
      </c>
      <c r="F176" s="22" t="n">
        <v>0.702</v>
      </c>
      <c r="H176" s="22" t="n">
        <v>1.409</v>
      </c>
      <c r="J176" s="22" t="n">
        <v>2.115</v>
      </c>
      <c r="L176" s="22" t="n">
        <v>2.708</v>
      </c>
      <c r="N176" s="22" t="n">
        <v>0.596</v>
      </c>
      <c r="O176" s="22" t="n">
        <v>4.52</v>
      </c>
      <c r="P176" s="22" t="n">
        <v>2.653</v>
      </c>
      <c r="Q176" s="22" t="n">
        <v>2.566</v>
      </c>
      <c r="R176" s="22" t="n">
        <v>2.634</v>
      </c>
      <c r="S176" s="22" t="n">
        <v>2.181</v>
      </c>
      <c r="T176" s="22" t="n">
        <v>2.297</v>
      </c>
      <c r="U176" s="22" t="n">
        <v>1.933</v>
      </c>
      <c r="V176" s="22" t="n">
        <v>1.736</v>
      </c>
      <c r="W176" s="22" t="n">
        <v>1.409</v>
      </c>
      <c r="X176" s="22" t="n">
        <v>2.708</v>
      </c>
    </row>
    <row r="177">
      <c r="A177" s="20" t="inlineStr">
        <is>
          <t>정기예금 인출</t>
        </is>
      </c>
      <c r="D177" s="22" t="n">
        <v>0</v>
      </c>
      <c r="T177" s="22" t="n">
        <v>0</v>
      </c>
      <c r="U177" s="22" t="n">
        <v>14.075</v>
      </c>
      <c r="V177" s="22" t="n">
        <v>0</v>
      </c>
    </row>
    <row r="178">
      <c r="A178" s="20" t="inlineStr">
        <is>
          <t>정기예금 예입</t>
        </is>
      </c>
      <c r="J178" s="22" t="n">
        <v>0</v>
      </c>
      <c r="N178" s="22" t="n">
        <v>-16.572</v>
      </c>
      <c r="S178" s="22" t="n">
        <v>0</v>
      </c>
      <c r="T178" s="22" t="n">
        <v>-73.384</v>
      </c>
      <c r="U178" s="22" t="n">
        <v>0</v>
      </c>
    </row>
    <row r="179">
      <c r="A179" s="20" t="inlineStr">
        <is>
          <t>보증금 납입</t>
        </is>
      </c>
      <c r="D179" s="22" t="n">
        <v>-0.797</v>
      </c>
      <c r="F179" s="22" t="n">
        <v>-0.226</v>
      </c>
      <c r="H179" s="22" t="n">
        <v>-0.831</v>
      </c>
      <c r="J179" s="22" t="n">
        <v>-0.448</v>
      </c>
      <c r="L179" s="22" t="n">
        <v>-2.391</v>
      </c>
      <c r="N179" s="22" t="n">
        <v>-1.194</v>
      </c>
      <c r="O179" s="22" t="n">
        <v>-0.538</v>
      </c>
      <c r="P179" s="22" t="n">
        <v>-1.998</v>
      </c>
      <c r="Q179" s="22" t="n">
        <v>-0.756</v>
      </c>
      <c r="R179" s="22" t="n">
        <v>-4.052</v>
      </c>
      <c r="S179" s="22" t="n">
        <v>-4.708</v>
      </c>
      <c r="T179" s="22" t="n">
        <v>-1.086</v>
      </c>
      <c r="U179" s="22" t="n">
        <v>-7.647</v>
      </c>
      <c r="V179" s="22" t="n">
        <v>-0.797</v>
      </c>
      <c r="W179" s="22" t="n">
        <v>-0.831</v>
      </c>
      <c r="X179" s="22" t="n">
        <v>-2.391</v>
      </c>
    </row>
    <row r="180">
      <c r="A180" s="20" t="inlineStr">
        <is>
          <t>보증금 회수</t>
        </is>
      </c>
      <c r="D180" s="22" t="n">
        <v>1.178</v>
      </c>
      <c r="F180" s="22" t="n">
        <v>3.663</v>
      </c>
      <c r="H180" s="22" t="n">
        <v>6.566</v>
      </c>
      <c r="J180" s="22" t="n">
        <v>2.169</v>
      </c>
      <c r="L180" s="22" t="n">
        <v>2.186</v>
      </c>
      <c r="N180" s="22" t="n">
        <v>0.646</v>
      </c>
      <c r="O180" s="22" t="n">
        <v>2.525</v>
      </c>
      <c r="P180" s="22" t="n">
        <v>1.78</v>
      </c>
      <c r="Q180" s="22" t="n">
        <v>0.575</v>
      </c>
      <c r="R180" s="22" t="n">
        <v>0.365</v>
      </c>
      <c r="S180" s="22" t="n">
        <v>0.832</v>
      </c>
      <c r="T180" s="22" t="n">
        <v>5.479</v>
      </c>
      <c r="U180" s="22" t="n">
        <v>2.769</v>
      </c>
      <c r="V180" s="22" t="n">
        <v>1.178</v>
      </c>
      <c r="W180" s="22" t="n">
        <v>6.566</v>
      </c>
      <c r="X180" s="22" t="n">
        <v>2.186</v>
      </c>
    </row>
    <row r="181">
      <c r="A181" s="20" t="inlineStr">
        <is>
          <t>연결범위 변경 자회사 주식 취득(수입)</t>
        </is>
      </c>
      <c r="R181" s="22" t="n">
        <v>0</v>
      </c>
      <c r="S181" s="22" t="n">
        <v>72.605</v>
      </c>
      <c r="T181" s="22" t="n">
        <v>0</v>
      </c>
    </row>
    <row r="182">
      <c r="A182" s="20" t="inlineStr">
        <is>
          <t>연결범위 변경 자회사 주식 매각(지출)</t>
        </is>
      </c>
      <c r="H182" s="22" t="n">
        <v>0</v>
      </c>
      <c r="L182" s="22" t="n">
        <v>-181.328</v>
      </c>
      <c r="W182" s="22" t="n">
        <v>0</v>
      </c>
      <c r="X182" s="22" t="n">
        <v>-181.328</v>
      </c>
    </row>
    <row r="183">
      <c r="A183" s="20" t="inlineStr">
        <is>
          <t>기타</t>
        </is>
      </c>
      <c r="D183" s="22" t="n">
        <v>-151.935</v>
      </c>
      <c r="F183" s="22" t="n">
        <v>0.475</v>
      </c>
      <c r="H183" s="22" t="n">
        <v>11.542</v>
      </c>
      <c r="J183" s="22" t="n">
        <v>-0.081</v>
      </c>
      <c r="L183" s="22" t="n">
        <v>3.361</v>
      </c>
      <c r="N183" s="22" t="n">
        <v>-0.909</v>
      </c>
      <c r="O183" s="22" t="n">
        <v>-17.135</v>
      </c>
      <c r="P183" s="22" t="n">
        <v>-16.911</v>
      </c>
      <c r="Q183" s="22" t="n">
        <v>-13.791</v>
      </c>
      <c r="R183" s="22" t="n">
        <v>-3.822</v>
      </c>
      <c r="S183" s="22" t="n">
        <v>-173.787</v>
      </c>
      <c r="T183" s="22" t="n">
        <v>10.132</v>
      </c>
      <c r="U183" s="22" t="n">
        <v>36.069</v>
      </c>
      <c r="V183" s="22" t="n">
        <v>-151.935</v>
      </c>
      <c r="W183" s="22" t="n">
        <v>11.542</v>
      </c>
      <c r="X183" s="22" t="n">
        <v>3.361</v>
      </c>
    </row>
    <row r="184">
      <c r="A184" s="9" t="inlineStr">
        <is>
          <t>투자활동 현금흐름</t>
        </is>
      </c>
      <c r="D184" s="12" t="n">
        <v>-2533.085</v>
      </c>
      <c r="F184" s="12" t="n">
        <v>-508.546</v>
      </c>
      <c r="H184" s="12" t="n">
        <v>-1156.555</v>
      </c>
      <c r="J184" s="12" t="n">
        <v>-720.9880000000001</v>
      </c>
      <c r="L184" s="12" t="n">
        <v>-1272.81</v>
      </c>
      <c r="N184" s="12" t="n">
        <v>-958.141</v>
      </c>
      <c r="O184" s="12" t="n">
        <v>-924.841</v>
      </c>
      <c r="P184" s="12" t="n">
        <v>-1199.857</v>
      </c>
      <c r="Q184" s="12" t="n">
        <v>-2348.332</v>
      </c>
      <c r="R184" s="12" t="n">
        <v>-1166.339</v>
      </c>
      <c r="S184" s="12" t="n">
        <v>-1728.178</v>
      </c>
      <c r="T184" s="12" t="n">
        <v>-1628.915</v>
      </c>
      <c r="U184" s="12" t="n">
        <v>-775.717</v>
      </c>
      <c r="V184" s="12" t="n">
        <v>-2533.085</v>
      </c>
      <c r="W184" s="12" t="n">
        <v>-1156.555</v>
      </c>
      <c r="X184" s="12" t="n">
        <v>-1272.81</v>
      </c>
    </row>
    <row r="185">
      <c r="A185" s="20" t="inlineStr">
        <is>
          <t>단기차입금 순증감</t>
        </is>
      </c>
      <c r="D185" s="22" t="n">
        <v>-425</v>
      </c>
      <c r="F185" s="22" t="n">
        <v>-453.726</v>
      </c>
      <c r="H185" s="22" t="n">
        <v>-739.0549999999999</v>
      </c>
      <c r="J185" s="22" t="n">
        <v>0</v>
      </c>
      <c r="L185" s="22" t="n">
        <v>-600</v>
      </c>
      <c r="N185" s="22" t="n">
        <v>1291</v>
      </c>
      <c r="O185" s="22" t="n">
        <v>6.9</v>
      </c>
      <c r="P185" s="22" t="n">
        <v>116</v>
      </c>
      <c r="Q185" s="22" t="n">
        <v>279.543</v>
      </c>
      <c r="R185" s="22" t="n">
        <v>52.514</v>
      </c>
      <c r="S185" s="22" t="n">
        <v>1123.955</v>
      </c>
      <c r="T185" s="22" t="n">
        <v>99.861</v>
      </c>
      <c r="U185" s="22" t="n">
        <v>246.65</v>
      </c>
      <c r="V185" s="22" t="n">
        <v>-425</v>
      </c>
      <c r="W185" s="22" t="n">
        <v>-739.0549999999999</v>
      </c>
      <c r="X185" s="22" t="n">
        <v>-600</v>
      </c>
    </row>
    <row r="186">
      <c r="A186" s="20" t="inlineStr">
        <is>
          <t>장기차입</t>
        </is>
      </c>
      <c r="D186" s="22" t="n">
        <v>1862.8</v>
      </c>
      <c r="F186" s="22" t="n">
        <v>600</v>
      </c>
      <c r="H186" s="22" t="n">
        <v>1200</v>
      </c>
      <c r="J186" s="22" t="n">
        <v>600</v>
      </c>
      <c r="L186" s="22" t="n">
        <v>1200</v>
      </c>
      <c r="N186" s="22" t="n">
        <v>600</v>
      </c>
      <c r="O186" s="22" t="n">
        <v>867.12</v>
      </c>
      <c r="P186" s="22" t="n">
        <v>700</v>
      </c>
      <c r="Q186" s="22" t="n">
        <v>830</v>
      </c>
      <c r="R186" s="22" t="n">
        <v>700</v>
      </c>
      <c r="S186" s="22" t="n">
        <v>729</v>
      </c>
      <c r="T186" s="22" t="n">
        <v>729.294</v>
      </c>
      <c r="U186" s="22" t="n">
        <v>700</v>
      </c>
      <c r="V186" s="22" t="n">
        <v>1862.8</v>
      </c>
      <c r="W186" s="22" t="n">
        <v>1200</v>
      </c>
      <c r="X186" s="22" t="n">
        <v>1200</v>
      </c>
    </row>
    <row r="187">
      <c r="A187" s="20" t="inlineStr">
        <is>
          <t>장기차입금 상환</t>
        </is>
      </c>
      <c r="D187" s="22" t="n">
        <v>-773.3339999999999</v>
      </c>
      <c r="F187" s="22" t="n">
        <v>-467.644</v>
      </c>
      <c r="H187" s="22" t="n">
        <v>-964.847</v>
      </c>
      <c r="J187" s="22" t="n">
        <v>-539.6180000000001</v>
      </c>
      <c r="L187" s="22" t="n">
        <v>-1045.19</v>
      </c>
      <c r="N187" s="22" t="n">
        <v>-521.082</v>
      </c>
      <c r="O187" s="22" t="n">
        <v>-922.849</v>
      </c>
      <c r="P187" s="22" t="n">
        <v>-847.52</v>
      </c>
      <c r="Q187" s="22" t="n">
        <v>-861.931</v>
      </c>
      <c r="R187" s="22" t="n">
        <v>-835.641</v>
      </c>
      <c r="S187" s="22" t="n">
        <v>-849.592</v>
      </c>
      <c r="T187" s="22" t="n">
        <v>-1063.919</v>
      </c>
      <c r="U187" s="22" t="n">
        <v>-748.216</v>
      </c>
      <c r="V187" s="22" t="n">
        <v>-773.3339999999999</v>
      </c>
      <c r="W187" s="22" t="n">
        <v>-964.847</v>
      </c>
      <c r="X187" s="22" t="n">
        <v>-1045.19</v>
      </c>
    </row>
    <row r="188">
      <c r="A188" s="20" t="inlineStr">
        <is>
          <t>리스부채 상환</t>
        </is>
      </c>
      <c r="D188" s="22" t="n">
        <v>-87.273</v>
      </c>
      <c r="F188" s="22" t="n">
        <v>-32.844</v>
      </c>
      <c r="H188" s="22" t="n">
        <v>-158.432</v>
      </c>
      <c r="J188" s="22" t="n">
        <v>-35.762</v>
      </c>
      <c r="L188" s="22" t="n">
        <v>-71.54900000000001</v>
      </c>
      <c r="N188" s="22" t="n">
        <v>-131.386</v>
      </c>
      <c r="O188" s="22" t="n">
        <v>-15.574</v>
      </c>
      <c r="P188" s="22" t="n">
        <v>-11.158</v>
      </c>
      <c r="Q188" s="22" t="n">
        <v>-10.722</v>
      </c>
      <c r="R188" s="22" t="n">
        <v>-40.558</v>
      </c>
      <c r="S188" s="22" t="n">
        <v>-67.52</v>
      </c>
      <c r="T188" s="22" t="n">
        <v>-61.465</v>
      </c>
      <c r="U188" s="22" t="n">
        <v>-95.521</v>
      </c>
      <c r="V188" s="22" t="n">
        <v>-87.273</v>
      </c>
      <c r="W188" s="22" t="n">
        <v>-158.432</v>
      </c>
      <c r="X188" s="22" t="n">
        <v>-71.54900000000001</v>
      </c>
    </row>
    <row r="189">
      <c r="A189" s="20" t="inlineStr">
        <is>
          <t>주식 발행</t>
        </is>
      </c>
      <c r="O189" s="22" t="n">
        <v>976.436</v>
      </c>
      <c r="P189" s="22" t="n">
        <v>0</v>
      </c>
    </row>
    <row r="190">
      <c r="A190" s="20" t="inlineStr">
        <is>
          <t>세일앤리스백 수입</t>
        </is>
      </c>
      <c r="Q190" s="22" t="n">
        <v>0</v>
      </c>
      <c r="R190" s="22" t="n">
        <v>404.786</v>
      </c>
      <c r="S190" s="22" t="n">
        <v>0</v>
      </c>
    </row>
    <row r="191">
      <c r="A191" s="20" t="inlineStr">
        <is>
          <t>자기주식 취득</t>
        </is>
      </c>
      <c r="D191" s="22" t="n">
        <v>-0.35</v>
      </c>
      <c r="F191" s="22" t="n">
        <v>-1.648</v>
      </c>
      <c r="H191" s="22" t="n">
        <v>-2.014</v>
      </c>
      <c r="J191" s="22" t="n">
        <v>-139.627</v>
      </c>
      <c r="L191" s="22" t="n">
        <v>-139.627</v>
      </c>
      <c r="N191" s="22" t="n">
        <v>-0.162</v>
      </c>
      <c r="O191" s="22" t="n">
        <v>-0.195</v>
      </c>
      <c r="P191" s="22" t="n">
        <v>-0.345</v>
      </c>
      <c r="Q191" s="22" t="n">
        <v>-0.132</v>
      </c>
      <c r="R191" s="22" t="n">
        <v>-0.06900000000000001</v>
      </c>
      <c r="S191" s="22" t="n">
        <v>-0.061</v>
      </c>
      <c r="T191" s="22" t="n">
        <v>0</v>
      </c>
      <c r="U191" s="22" t="n">
        <v>0</v>
      </c>
      <c r="V191" s="22" t="n">
        <v>-0.35</v>
      </c>
      <c r="W191" s="22" t="n">
        <v>-2.014</v>
      </c>
      <c r="X191" s="22" t="n">
        <v>-139.627</v>
      </c>
    </row>
    <row r="192">
      <c r="A192" s="20" t="inlineStr">
        <is>
          <t>배당금 지급</t>
        </is>
      </c>
      <c r="D192" s="22" t="n">
        <v>-506.4</v>
      </c>
      <c r="F192" s="22" t="n">
        <v>-276.453</v>
      </c>
      <c r="H192" s="22" t="n">
        <v>-561.832</v>
      </c>
      <c r="J192" s="22" t="n">
        <v>-303.011</v>
      </c>
      <c r="L192" s="22" t="n">
        <v>-606.086</v>
      </c>
      <c r="N192" s="22" t="n">
        <v>-329.87</v>
      </c>
      <c r="O192" s="22" t="n">
        <v>-394.295</v>
      </c>
      <c r="P192" s="22" t="n">
        <v>-449</v>
      </c>
      <c r="Q192" s="22" t="n">
        <v>-449.462</v>
      </c>
      <c r="R192" s="22" t="n">
        <v>-461.707</v>
      </c>
      <c r="S192" s="22" t="n">
        <v>-457.44</v>
      </c>
      <c r="T192" s="22" t="n">
        <v>-472.849</v>
      </c>
      <c r="U192" s="22" t="n">
        <v>-523.977</v>
      </c>
      <c r="V192" s="22" t="n">
        <v>-506.4</v>
      </c>
      <c r="W192" s="22" t="n">
        <v>-561.832</v>
      </c>
      <c r="X192" s="22" t="n">
        <v>-606.086</v>
      </c>
    </row>
    <row r="193">
      <c r="A193" s="20" t="inlineStr">
        <is>
          <t>비지배주주 배당금 지급</t>
        </is>
      </c>
      <c r="D193" s="22" t="n">
        <v>-24.032</v>
      </c>
      <c r="F193" s="22" t="n">
        <v>-5.436</v>
      </c>
      <c r="H193" s="22" t="n">
        <v>-14.192</v>
      </c>
      <c r="J193" s="22" t="n">
        <v>-5.765</v>
      </c>
      <c r="L193" s="22" t="n">
        <v>-14.666</v>
      </c>
      <c r="N193" s="22" t="n">
        <v>-6.4</v>
      </c>
      <c r="P193" s="22" t="n">
        <v>0</v>
      </c>
      <c r="Q193" s="22" t="n">
        <v>-0.96</v>
      </c>
      <c r="R193" s="22" t="n">
        <v>-0.72</v>
      </c>
      <c r="S193" s="22" t="n">
        <v>-0.72</v>
      </c>
      <c r="T193" s="22" t="n">
        <v>-6.303</v>
      </c>
      <c r="U193" s="22" t="n">
        <v>-12.699</v>
      </c>
      <c r="V193" s="22" t="n">
        <v>-24.032</v>
      </c>
      <c r="W193" s="22" t="n">
        <v>-14.192</v>
      </c>
      <c r="X193" s="22" t="n">
        <v>-14.666</v>
      </c>
    </row>
    <row r="194">
      <c r="A194" s="20" t="inlineStr">
        <is>
          <t>연결범위 변경 없는 자회사 주식 취득</t>
        </is>
      </c>
      <c r="D194" s="22" t="n">
        <v>-79.09999999999999</v>
      </c>
      <c r="F194" s="22" t="n">
        <v>0</v>
      </c>
      <c r="H194" s="22" t="n">
        <v>0</v>
      </c>
      <c r="O194" s="22" t="n">
        <v>-10.898</v>
      </c>
      <c r="P194" s="22" t="n">
        <v>0</v>
      </c>
      <c r="S194" s="22" t="n">
        <v>0</v>
      </c>
      <c r="T194" s="22" t="n">
        <v>-7.467</v>
      </c>
      <c r="U194" s="22" t="n">
        <v>-250.116</v>
      </c>
      <c r="V194" s="22" t="n">
        <v>-79.09999999999999</v>
      </c>
      <c r="W194" s="22" t="n">
        <v>0</v>
      </c>
    </row>
    <row r="195">
      <c r="A195" s="9" t="inlineStr">
        <is>
          <t>재무활동 현금흐름</t>
        </is>
      </c>
      <c r="D195" s="12" t="n">
        <v>-32.691</v>
      </c>
      <c r="F195" s="12" t="n">
        <v>-637.754</v>
      </c>
      <c r="H195" s="12" t="n">
        <v>-1240.373</v>
      </c>
      <c r="J195" s="12" t="n">
        <v>-423.786</v>
      </c>
      <c r="L195" s="12" t="n">
        <v>-1277.12</v>
      </c>
      <c r="N195" s="12" t="n">
        <v>902.098</v>
      </c>
      <c r="O195" s="12" t="n">
        <v>506.644</v>
      </c>
      <c r="P195" s="12" t="n">
        <v>-492.025</v>
      </c>
      <c r="Q195" s="12" t="n">
        <v>-213.664</v>
      </c>
      <c r="R195" s="12" t="n">
        <v>-181.395</v>
      </c>
      <c r="S195" s="12" t="n">
        <v>477.62</v>
      </c>
      <c r="T195" s="12" t="n">
        <v>-782.85</v>
      </c>
      <c r="U195" s="12" t="n">
        <v>-683.88</v>
      </c>
      <c r="V195" s="12" t="n">
        <v>-32.691</v>
      </c>
      <c r="W195" s="12" t="n">
        <v>-1240.373</v>
      </c>
      <c r="X195" s="12" t="n">
        <v>-1277.12</v>
      </c>
    </row>
    <row r="196">
      <c r="A196" s="20" t="inlineStr">
        <is>
          <t>현금성자산 환산차이</t>
        </is>
      </c>
      <c r="D196" s="22" t="n">
        <v>69.23</v>
      </c>
      <c r="F196" s="22" t="n">
        <v>190.403</v>
      </c>
      <c r="H196" s="22" t="n">
        <v>148.337</v>
      </c>
      <c r="J196" s="22" t="n">
        <v>-116.239</v>
      </c>
      <c r="L196" s="22" t="n">
        <v>14.45</v>
      </c>
      <c r="N196" s="22" t="n">
        <v>77.733</v>
      </c>
      <c r="O196" s="22" t="n">
        <v>-65.753</v>
      </c>
      <c r="P196" s="22" t="n">
        <v>7.917</v>
      </c>
      <c r="Q196" s="22" t="n">
        <v>-37.169</v>
      </c>
      <c r="R196" s="22" t="n">
        <v>-21.545</v>
      </c>
      <c r="S196" s="22" t="n">
        <v>-20.746</v>
      </c>
      <c r="T196" s="22" t="n">
        <v>156.588</v>
      </c>
      <c r="U196" s="22" t="n">
        <v>139.007</v>
      </c>
      <c r="V196" s="22" t="n">
        <v>69.23</v>
      </c>
      <c r="W196" s="22" t="n">
        <v>148.337</v>
      </c>
      <c r="X196" s="22" t="n">
        <v>14.45</v>
      </c>
    </row>
    <row r="197">
      <c r="A197" s="20" t="inlineStr">
        <is>
          <t>현금성자산 증감</t>
        </is>
      </c>
      <c r="D197" s="22" t="n">
        <v>961.641</v>
      </c>
      <c r="F197" s="22" t="n">
        <v>-289.336</v>
      </c>
      <c r="H197" s="22" t="n">
        <v>105.389</v>
      </c>
      <c r="J197" s="22" t="n">
        <v>-311.507</v>
      </c>
      <c r="L197" s="22" t="n">
        <v>17.469</v>
      </c>
      <c r="N197" s="22" t="n">
        <v>851.6900000000001</v>
      </c>
      <c r="O197" s="22" t="n">
        <v>1181.8</v>
      </c>
      <c r="P197" s="22" t="n">
        <v>-184.63</v>
      </c>
      <c r="Q197" s="22" t="n">
        <v>-569.684</v>
      </c>
      <c r="R197" s="22" t="n">
        <v>-472.834</v>
      </c>
      <c r="S197" s="22" t="n">
        <v>1164.744</v>
      </c>
      <c r="T197" s="22" t="n">
        <v>1084.992</v>
      </c>
      <c r="U197" s="22" t="n">
        <v>227.16</v>
      </c>
      <c r="V197" s="22" t="n">
        <v>961.641</v>
      </c>
      <c r="W197" s="22" t="n">
        <v>105.389</v>
      </c>
      <c r="X197" s="22" t="n">
        <v>17.469</v>
      </c>
    </row>
    <row r="198">
      <c r="A198" s="20" t="inlineStr">
        <is>
          <t>주식교환 현금성자산 증가</t>
        </is>
      </c>
      <c r="D198" s="22" t="n">
        <v>1465.737</v>
      </c>
      <c r="H198" s="22" t="n">
        <v>0</v>
      </c>
      <c r="U198" s="22" t="n">
        <v>0</v>
      </c>
      <c r="V198" s="22" t="n">
        <v>1465.737</v>
      </c>
      <c r="W198" s="22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나카모토팩스 재무상태표</t>
        </is>
      </c>
    </row>
    <row r="2">
      <c r="A2" s="45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24894.921</v>
      </c>
      <c r="D5" s="12" t="n">
        <v>24982.57</v>
      </c>
      <c r="E5" s="12" t="n">
        <v>25240.547</v>
      </c>
      <c r="F5" s="12" t="n">
        <v>25083.334</v>
      </c>
      <c r="G5" s="12" t="n">
        <v>27794.234</v>
      </c>
      <c r="H5" s="11" t="n">
        <v>18801.496</v>
      </c>
      <c r="I5" s="12" t="n">
        <v>19880.046</v>
      </c>
      <c r="J5" s="12" t="n">
        <v>23139.967</v>
      </c>
      <c r="K5" s="12" t="n">
        <v>24714.356</v>
      </c>
      <c r="L5" s="12" t="n">
        <v>25240.547</v>
      </c>
    </row>
    <row r="6">
      <c r="A6" s="20" t="inlineStr">
        <is>
          <t>현금및현금성자산</t>
        </is>
      </c>
      <c r="B6" s="10" t="n"/>
      <c r="C6" s="21" t="n">
        <v>7323.318</v>
      </c>
      <c r="D6" s="22" t="n">
        <v>7537.769</v>
      </c>
      <c r="E6" s="22" t="n">
        <v>7657.287</v>
      </c>
      <c r="F6" s="22" t="n">
        <v>7102.476</v>
      </c>
      <c r="G6" s="22" t="n">
        <v>8527.697</v>
      </c>
      <c r="H6" s="21" t="n">
        <v>4881.766</v>
      </c>
      <c r="I6" s="22" t="n">
        <v>5103.102</v>
      </c>
      <c r="J6" s="22" t="n">
        <v>7532.988</v>
      </c>
      <c r="K6" s="22" t="n">
        <v>7642.338</v>
      </c>
      <c r="L6" s="22" t="n">
        <v>7657.287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8692.721</v>
      </c>
      <c r="D8" s="22" t="n">
        <v>8532.401</v>
      </c>
      <c r="E8" s="22" t="n">
        <v>8593.903</v>
      </c>
      <c r="F8" s="22" t="n">
        <v>8385.641</v>
      </c>
      <c r="G8" s="22" t="n">
        <v>9218.118</v>
      </c>
      <c r="H8" s="21" t="n">
        <v>0</v>
      </c>
      <c r="I8" s="22" t="n">
        <v>7767.557</v>
      </c>
      <c r="J8" s="22" t="n">
        <v>8354.549000000001</v>
      </c>
      <c r="K8" s="22" t="n">
        <v>8917.041999999999</v>
      </c>
      <c r="L8" s="22" t="n">
        <v>8593.903</v>
      </c>
    </row>
    <row r="9">
      <c r="A9" s="20" t="inlineStr">
        <is>
          <t>재고자산</t>
        </is>
      </c>
      <c r="B9" s="10" t="n"/>
      <c r="C9" s="21" t="n">
        <v>4795.273</v>
      </c>
      <c r="D9" s="22" t="n">
        <v>4798.686</v>
      </c>
      <c r="E9" s="22" t="n">
        <v>4727.098</v>
      </c>
      <c r="F9" s="22" t="n">
        <v>5291.28</v>
      </c>
      <c r="G9" s="22" t="n">
        <v>5520.645</v>
      </c>
      <c r="H9" s="21" t="n">
        <v>4292.837</v>
      </c>
      <c r="I9" s="22" t="n">
        <v>4537.692</v>
      </c>
      <c r="J9" s="22" t="n">
        <v>4274.505</v>
      </c>
      <c r="K9" s="22" t="n">
        <v>4772.288</v>
      </c>
      <c r="L9" s="22" t="n">
        <v>4727.098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15267.192</v>
      </c>
      <c r="D11" s="12" t="n">
        <v>15150.393</v>
      </c>
      <c r="E11" s="12" t="n">
        <v>15282.61</v>
      </c>
      <c r="F11" s="12" t="n">
        <v>15756.912</v>
      </c>
      <c r="G11" s="12" t="n">
        <v>15982.346</v>
      </c>
      <c r="H11" s="11" t="n">
        <v>15132.699</v>
      </c>
      <c r="I11" s="12" t="n">
        <v>14698.826</v>
      </c>
      <c r="J11" s="12" t="n">
        <v>15343.99</v>
      </c>
      <c r="K11" s="12" t="n">
        <v>15260.138</v>
      </c>
      <c r="L11" s="12" t="n">
        <v>15282.61</v>
      </c>
    </row>
    <row r="12">
      <c r="A12" s="20" t="inlineStr">
        <is>
          <t>유형자산</t>
        </is>
      </c>
      <c r="B12" s="10" t="n"/>
      <c r="C12" s="21" t="n">
        <v>12864.9</v>
      </c>
      <c r="D12" s="22" t="n">
        <v>12734.242</v>
      </c>
      <c r="E12" s="22" t="n">
        <v>12618.013</v>
      </c>
      <c r="F12" s="22" t="n">
        <v>13129.061</v>
      </c>
      <c r="G12" s="22" t="n">
        <v>13186.469</v>
      </c>
      <c r="H12" s="21" t="n">
        <v>13147.623</v>
      </c>
      <c r="I12" s="22" t="n">
        <v>12830.173</v>
      </c>
      <c r="J12" s="22" t="n">
        <v>12987.545</v>
      </c>
      <c r="K12" s="22" t="n">
        <v>12730.742</v>
      </c>
      <c r="L12" s="22" t="n">
        <v>12618.013</v>
      </c>
    </row>
    <row r="13">
      <c r="A13" s="20" t="inlineStr">
        <is>
          <t>무형자산</t>
        </is>
      </c>
      <c r="B13" s="10" t="n"/>
      <c r="C13" s="21" t="n">
        <v>378.672</v>
      </c>
      <c r="D13" s="22" t="n">
        <v>357.995</v>
      </c>
      <c r="E13" s="22" t="n">
        <v>344.067</v>
      </c>
      <c r="F13" s="22" t="n">
        <v>331.658</v>
      </c>
      <c r="G13" s="22" t="n">
        <v>322.519</v>
      </c>
      <c r="H13" s="21" t="n">
        <v>378.068</v>
      </c>
      <c r="I13" s="22" t="n">
        <v>369.514</v>
      </c>
      <c r="J13" s="22" t="n">
        <v>487.728</v>
      </c>
      <c r="K13" s="22" t="n">
        <v>428.245</v>
      </c>
      <c r="L13" s="22" t="n">
        <v>344.067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40162.113</v>
      </c>
      <c r="D16" s="12" t="n">
        <v>40132.964</v>
      </c>
      <c r="E16" s="12" t="n">
        <v>40523.157</v>
      </c>
      <c r="F16" s="12" t="n">
        <v>40840.247</v>
      </c>
      <c r="G16" s="12" t="n">
        <v>43776.581</v>
      </c>
      <c r="H16" s="11" t="n">
        <v>33934.195</v>
      </c>
      <c r="I16" s="12" t="n">
        <v>34578.872</v>
      </c>
      <c r="J16" s="12" t="n">
        <v>38483.958</v>
      </c>
      <c r="K16" s="12" t="n">
        <v>39974.495</v>
      </c>
      <c r="L16" s="12" t="n">
        <v>40523.157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16155.937</v>
      </c>
      <c r="D18" s="12" t="n">
        <v>15517.319</v>
      </c>
      <c r="E18" s="12" t="n">
        <v>14934.344</v>
      </c>
      <c r="F18" s="12" t="n">
        <v>14913.354</v>
      </c>
      <c r="G18" s="12" t="n">
        <v>16593.407</v>
      </c>
      <c r="H18" s="11" t="n">
        <v>15674.852</v>
      </c>
      <c r="I18" s="12" t="n">
        <v>15616.566</v>
      </c>
      <c r="J18" s="12" t="n">
        <v>16854.995</v>
      </c>
      <c r="K18" s="12" t="n">
        <v>16220.726</v>
      </c>
      <c r="L18" s="12" t="n">
        <v>14934.344</v>
      </c>
    </row>
    <row r="19">
      <c r="A19" s="20" t="inlineStr">
        <is>
          <t>매입채무</t>
        </is>
      </c>
      <c r="B19" s="10" t="n"/>
      <c r="C19" s="21" t="n">
        <v>4407.221</v>
      </c>
      <c r="D19" s="22" t="n">
        <v>4412.608</v>
      </c>
      <c r="E19" s="22" t="n">
        <v>4070.828</v>
      </c>
      <c r="F19" s="22" t="n">
        <v>4557.956</v>
      </c>
      <c r="G19" s="22" t="n">
        <v>4634.949</v>
      </c>
      <c r="H19" s="21" t="n">
        <v>4237.559</v>
      </c>
      <c r="I19" s="22" t="n">
        <v>4160.916</v>
      </c>
      <c r="J19" s="22" t="n">
        <v>4806.732</v>
      </c>
      <c r="K19" s="22" t="n">
        <v>4842.197</v>
      </c>
      <c r="L19" s="22" t="n">
        <v>4070.828</v>
      </c>
    </row>
    <row r="20">
      <c r="A20" s="20" t="inlineStr">
        <is>
          <t>단기차입금</t>
        </is>
      </c>
      <c r="B20" s="10" t="n"/>
      <c r="C20" s="21" t="n">
        <v>4209</v>
      </c>
      <c r="D20" s="22" t="n">
        <v>3609</v>
      </c>
      <c r="E20" s="22" t="n">
        <v>3609</v>
      </c>
      <c r="F20" s="22" t="n">
        <v>4109</v>
      </c>
      <c r="G20" s="22" t="n">
        <v>4900</v>
      </c>
      <c r="H20" s="21" t="n">
        <v>5005.923</v>
      </c>
      <c r="I20" s="22" t="n">
        <v>5312.693</v>
      </c>
      <c r="J20" s="22" t="n">
        <v>4913.254</v>
      </c>
      <c r="K20" s="22" t="n">
        <v>4209</v>
      </c>
      <c r="L20" s="22" t="n">
        <v>3609</v>
      </c>
    </row>
    <row r="21">
      <c r="A21" s="20" t="inlineStr">
        <is>
          <t>유동성장기부채</t>
        </is>
      </c>
      <c r="B21" s="10" t="n"/>
      <c r="C21" s="21" t="n">
        <v>912.414</v>
      </c>
      <c r="D21" s="22" t="n">
        <v>972.354</v>
      </c>
      <c r="E21" s="22" t="n">
        <v>945.114</v>
      </c>
      <c r="F21" s="22" t="n">
        <v>1003.554</v>
      </c>
      <c r="G21" s="22" t="n">
        <v>976.314</v>
      </c>
      <c r="H21" s="21" t="n">
        <v>677.386</v>
      </c>
      <c r="I21" s="22" t="n">
        <v>673.316</v>
      </c>
      <c r="J21" s="22" t="n">
        <v>850.082</v>
      </c>
      <c r="K21" s="22" t="n">
        <v>880.84</v>
      </c>
      <c r="L21" s="22" t="n">
        <v>945.114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3324.249</v>
      </c>
      <c r="D23" s="12" t="n">
        <v>3597.438</v>
      </c>
      <c r="E23" s="12" t="n">
        <v>3495.262</v>
      </c>
      <c r="F23" s="12" t="n">
        <v>3616.824</v>
      </c>
      <c r="G23" s="12" t="n">
        <v>3532.871</v>
      </c>
      <c r="H23" s="11" t="n">
        <v>2582.802</v>
      </c>
      <c r="I23" s="12" t="n">
        <v>2493.106</v>
      </c>
      <c r="J23" s="12" t="n">
        <v>3132.196</v>
      </c>
      <c r="K23" s="12" t="n">
        <v>3440.273</v>
      </c>
      <c r="L23" s="12" t="n">
        <v>3495.262</v>
      </c>
    </row>
    <row r="24">
      <c r="A24" s="20" t="inlineStr">
        <is>
          <t>장기차입금</t>
        </is>
      </c>
      <c r="B24" s="10" t="n"/>
      <c r="C24" s="21" t="n">
        <v>2949.485</v>
      </c>
      <c r="D24" s="22" t="n">
        <v>3238.484</v>
      </c>
      <c r="E24" s="22" t="n">
        <v>3011.213</v>
      </c>
      <c r="F24" s="22" t="n">
        <v>3293.342</v>
      </c>
      <c r="G24" s="22" t="n">
        <v>3058.931</v>
      </c>
      <c r="H24" s="21" t="n">
        <v>1845.177</v>
      </c>
      <c r="I24" s="22" t="n">
        <v>1802.455</v>
      </c>
      <c r="J24" s="22" t="n">
        <v>2715.818</v>
      </c>
      <c r="K24" s="22" t="n">
        <v>2920.677</v>
      </c>
      <c r="L24" s="22" t="n">
        <v>3011.213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19480.186</v>
      </c>
      <c r="D27" s="12" t="n">
        <v>19114.758</v>
      </c>
      <c r="E27" s="12" t="n">
        <v>18429.606</v>
      </c>
      <c r="F27" s="12" t="n">
        <v>18530.178</v>
      </c>
      <c r="G27" s="12" t="n">
        <v>20126.278</v>
      </c>
      <c r="H27" s="11" t="n">
        <v>18257.655</v>
      </c>
      <c r="I27" s="12" t="n">
        <v>18109.673</v>
      </c>
      <c r="J27" s="12" t="n">
        <v>19987.191</v>
      </c>
      <c r="K27" s="12" t="n">
        <v>19661</v>
      </c>
      <c r="L27" s="12" t="n">
        <v>18429.606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19646.881</v>
      </c>
      <c r="D31" s="12" t="n">
        <v>19976.37</v>
      </c>
      <c r="E31" s="12" t="n">
        <v>21028.218</v>
      </c>
      <c r="F31" s="12" t="n">
        <v>21244.313</v>
      </c>
      <c r="G31" s="12" t="n">
        <v>22543.542</v>
      </c>
      <c r="H31" s="11" t="n">
        <v>14332.445</v>
      </c>
      <c r="I31" s="12" t="n">
        <v>15402.131</v>
      </c>
      <c r="J31" s="12" t="n">
        <v>17568.664</v>
      </c>
      <c r="K31" s="12" t="n">
        <v>19314.678</v>
      </c>
      <c r="L31" s="12" t="n">
        <v>21028.218</v>
      </c>
    </row>
    <row r="32">
      <c r="A32" s="20" t="inlineStr">
        <is>
          <t>자본금</t>
        </is>
      </c>
      <c r="B32" s="10" t="n"/>
      <c r="C32" s="21" t="n">
        <v>1057.468</v>
      </c>
      <c r="D32" s="22" t="n">
        <v>1057.468</v>
      </c>
      <c r="E32" s="22" t="n">
        <v>1057.468</v>
      </c>
      <c r="F32" s="22" t="n">
        <v>1057.468</v>
      </c>
      <c r="G32" s="22" t="n">
        <v>1057.468</v>
      </c>
      <c r="H32" s="21" t="n">
        <v>1057.468</v>
      </c>
      <c r="I32" s="22" t="n">
        <v>1057.468</v>
      </c>
      <c r="J32" s="22" t="n">
        <v>1057.468</v>
      </c>
      <c r="K32" s="22" t="n">
        <v>1057.468</v>
      </c>
      <c r="L32" s="22" t="n">
        <v>1057.468</v>
      </c>
    </row>
    <row r="33">
      <c r="A33" s="20" t="inlineStr">
        <is>
          <t>이익잉여금</t>
        </is>
      </c>
      <c r="B33" s="10" t="n"/>
      <c r="C33" s="21" t="n">
        <v>14900.975</v>
      </c>
      <c r="D33" s="22" t="n">
        <v>15205.268</v>
      </c>
      <c r="E33" s="22" t="n">
        <v>15713.632</v>
      </c>
      <c r="F33" s="22" t="n">
        <v>15925.845</v>
      </c>
      <c r="G33" s="22" t="n">
        <v>17024.722</v>
      </c>
      <c r="H33" s="21" t="n">
        <v>11356.927</v>
      </c>
      <c r="I33" s="22" t="n">
        <v>12145.081</v>
      </c>
      <c r="J33" s="22" t="n">
        <v>12696.002</v>
      </c>
      <c r="K33" s="22" t="n">
        <v>14144.242</v>
      </c>
      <c r="L33" s="22" t="n">
        <v>15713.632</v>
      </c>
    </row>
    <row r="34">
      <c r="A34" s="20" t="inlineStr">
        <is>
          <t>비지배지분</t>
        </is>
      </c>
      <c r="B34" s="10" t="n"/>
      <c r="C34" s="21" t="n">
        <v>1035.046</v>
      </c>
      <c r="D34" s="22" t="n">
        <v>1041.835</v>
      </c>
      <c r="E34" s="22" t="n">
        <v>1065.333</v>
      </c>
      <c r="F34" s="22" t="n">
        <v>1065.756</v>
      </c>
      <c r="G34" s="22" t="n">
        <v>1106.761</v>
      </c>
      <c r="H34" s="21" t="n">
        <v>1344.095</v>
      </c>
      <c r="I34" s="22" t="n">
        <v>1067.068</v>
      </c>
      <c r="J34" s="22" t="n">
        <v>928.102</v>
      </c>
      <c r="K34" s="22" t="n">
        <v>998.817</v>
      </c>
      <c r="L34" s="22" t="n">
        <v>1065.333</v>
      </c>
    </row>
    <row r="35">
      <c r="A35" s="9" t="inlineStr">
        <is>
          <t>자본총계</t>
        </is>
      </c>
      <c r="B35" s="10" t="n"/>
      <c r="C35" s="11" t="n">
        <v>20681.927</v>
      </c>
      <c r="D35" s="12" t="n">
        <v>21018.205</v>
      </c>
      <c r="E35" s="12" t="n">
        <v>22093.551</v>
      </c>
      <c r="F35" s="12" t="n">
        <v>22310.069</v>
      </c>
      <c r="G35" s="12" t="n">
        <v>23650.303</v>
      </c>
      <c r="H35" s="11" t="n">
        <v>15676.54</v>
      </c>
      <c r="I35" s="12" t="n">
        <v>16469.199</v>
      </c>
      <c r="J35" s="12" t="n">
        <v>18496.766</v>
      </c>
      <c r="K35" s="12" t="n">
        <v>20313.495</v>
      </c>
      <c r="L35" s="12" t="n">
        <v>22093.551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>
        <v>2636.927</v>
      </c>
      <c r="D37" s="12" t="n"/>
      <c r="E37" s="12" t="n">
        <v>2552.95</v>
      </c>
      <c r="F37" s="12" t="n"/>
      <c r="G37" s="12" t="n">
        <v>2433.443</v>
      </c>
      <c r="H37" s="11" t="n">
        <v>3340.17</v>
      </c>
      <c r="I37" s="12" t="n">
        <v>1547.75</v>
      </c>
      <c r="J37" s="12" t="n">
        <v>3458.188</v>
      </c>
      <c r="K37" s="12" t="n">
        <v>2353.98</v>
      </c>
      <c r="L37" s="12" t="n">
        <v>2552.95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/>
      <c r="E38" s="22" t="n"/>
      <c r="F38" s="22" t="n"/>
      <c r="G38" s="22" t="n"/>
      <c r="H38" s="21" t="n">
        <v>1559.4</v>
      </c>
      <c r="I38" s="22" t="n"/>
      <c r="J38" s="22" t="n"/>
      <c r="K38" s="22" t="n"/>
      <c r="L38" s="22" t="n"/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>
        <v>588.39</v>
      </c>
      <c r="D40" s="22" t="n"/>
      <c r="E40" s="22" t="n">
        <v>606.086</v>
      </c>
      <c r="F40" s="22" t="n"/>
      <c r="G40" s="22" t="n">
        <v>632.9450000000001</v>
      </c>
      <c r="H40" s="21" t="n">
        <v>472.849</v>
      </c>
      <c r="I40" s="22" t="n">
        <v>523.977</v>
      </c>
      <c r="J40" s="22" t="n">
        <v>506.4</v>
      </c>
      <c r="K40" s="22" t="n">
        <v>561.832</v>
      </c>
      <c r="L40" s="22" t="n">
        <v>606.086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6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6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6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6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6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6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IFERROR(('연간'!T16)/('연간'!T38),"")</f>
        <v/>
      </c>
      <c r="I48" s="33">
        <f>IFERROR(('연간'!U16)/('연간'!U38),"")</f>
        <v/>
      </c>
      <c r="J48" s="33">
        <f>IFERROR(('연간'!V16)/('연간'!V38),"")</f>
        <v/>
      </c>
      <c r="K48" s="33">
        <f>IFERROR(('연간'!W16)/('연간'!W38),"")</f>
        <v/>
      </c>
      <c r="L48" s="33">
        <f>IFERROR(('연간'!X16)/('연간'!X38),"")</f>
        <v/>
      </c>
    </row>
    <row r="49">
      <c r="A49" s="46" t="inlineStr">
        <is>
          <t>차입금 상환연수</t>
        </is>
      </c>
      <c r="B49" s="10" t="inlineStr">
        <is>
          <t>4년↓ (버핏)</t>
        </is>
      </c>
      <c r="C49" s="47">
        <f>IFERROR(IF((IF(COUNT('연간'!G44:J44)&lt;4,"",SUM('연간'!G44:J44)))&lt;=0,"적자",C28/(IF(COUNT('연간'!G44:J44)&lt;4,"",SUM('연간'!G44:J44)))),"")</f>
        <v/>
      </c>
      <c r="D49" s="48">
        <f>IFERROR(IF((IF(COUNT('연간'!H44:K44)&lt;4,"",SUM('연간'!H44:K44)))&lt;=0,"적자",D28/(IF(COUNT('연간'!H44:K44)&lt;4,"",SUM('연간'!H44:K44)))),"")</f>
        <v/>
      </c>
      <c r="E49" s="48">
        <f>IFERROR(IF((IF(COUNT('연간'!I44:L44)&lt;4,"",SUM('연간'!I44:L44)))&lt;=0,"적자",E28/(IF(COUNT('연간'!I44:L44)&lt;4,"",SUM('연간'!I44:L44)))),"")</f>
        <v/>
      </c>
      <c r="F49" s="48">
        <f>IFERROR(IF((IF(COUNT('연간'!J44:M44)&lt;4,"",SUM('연간'!J44:M44)))&lt;=0,"적자",F28/(IF(COUNT('연간'!J44:M44)&lt;4,"",SUM('연간'!J44:M44)))),"")</f>
        <v/>
      </c>
      <c r="G49" s="48">
        <f>IFERROR(IF((IF(COUNT('연간'!K44:N44)&lt;4,"",SUM('연간'!K44:N44)))&lt;=0,"적자",G28/(IF(COUNT('연간'!K44:N44)&lt;4,"",SUM('연간'!K44:N44)))),"")</f>
        <v/>
      </c>
      <c r="H49" s="47">
        <f>IFERROR(IF(('연간'!T44)&lt;=0,"적자",H28/('연간'!T44)),"")</f>
        <v/>
      </c>
      <c r="I49" s="48">
        <f>IFERROR(IF(('연간'!U44)&lt;=0,"적자",I28/('연간'!U44)),"")</f>
        <v/>
      </c>
      <c r="J49" s="48">
        <f>IFERROR(IF(('연간'!V44)&lt;=0,"적자",J28/('연간'!V44)),"")</f>
        <v/>
      </c>
      <c r="K49" s="48">
        <f>IFERROR(IF(('연간'!W44)&lt;=0,"적자",K28/('연간'!W44)),"")</f>
        <v/>
      </c>
      <c r="L49" s="48">
        <f>IFERROR(IF(('연간'!X44)&lt;=0,"적자",L28/('연간'!X44)),"")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6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IFERROR(('연간'!T44)/H31,"")</f>
        <v/>
      </c>
      <c r="I51" s="38">
        <f>IFERROR(('연간'!U44)/I31,"")</f>
        <v/>
      </c>
      <c r="J51" s="38">
        <f>IFERROR(('연간'!V44)/J31,"")</f>
        <v/>
      </c>
      <c r="K51" s="38">
        <f>IFERROR(('연간'!W44)/K31,"")</f>
        <v/>
      </c>
      <c r="L51" s="38">
        <f>IFERROR(('연간'!X44)/L31,"")</f>
        <v/>
      </c>
    </row>
    <row r="52">
      <c r="A52" s="46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IFERROR(('연간'!T43)/H16,"")</f>
        <v/>
      </c>
      <c r="I52" s="38">
        <f>IFERROR(('연간'!U43)/I16,"")</f>
        <v/>
      </c>
      <c r="J52" s="38">
        <f>IFERROR(('연간'!V43)/J16,"")</f>
        <v/>
      </c>
      <c r="K52" s="38">
        <f>IFERROR(('연간'!W43)/K16,"")</f>
        <v/>
      </c>
      <c r="L52" s="38">
        <f>IFERROR(('연간'!X43)/L16,"")</f>
        <v/>
      </c>
    </row>
    <row r="53">
      <c r="A53" s="46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IFERROR(('연간'!T16)*(1-0.3)/(H35+H29),"")</f>
        <v/>
      </c>
      <c r="I53" s="38">
        <f>IFERROR(('연간'!U16)*(1-0.3)/(I35+I29),"")</f>
        <v/>
      </c>
      <c r="J53" s="38">
        <f>IFERROR(('연간'!V16)*(1-0.3)/(J35+J29),"")</f>
        <v/>
      </c>
      <c r="K53" s="38">
        <f>IFERROR(('연간'!W16)*(1-0.3)/(K35+K29),"")</f>
        <v/>
      </c>
      <c r="L53" s="38">
        <f>IFERROR(('연간'!X16)*(1-0.3)/(L35+L29),"")</f>
        <v/>
      </c>
    </row>
    <row r="54">
      <c r="A54" s="46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IFERROR(('연간'!T12)/('연간'!T4),"")</f>
        <v/>
      </c>
      <c r="I54" s="38">
        <f>IFERROR(('연간'!U12)/('연간'!U4),"")</f>
        <v/>
      </c>
      <c r="J54" s="38">
        <f>IFERROR(('연간'!V12)/('연간'!V4),"")</f>
        <v/>
      </c>
      <c r="K54" s="38">
        <f>IFERROR(('연간'!W12)/('연간'!W4),"")</f>
        <v/>
      </c>
      <c r="L54" s="38">
        <f>IFERROR(('연간'!X12)/('연간'!X4),"")</f>
        <v/>
      </c>
    </row>
    <row r="55">
      <c r="A55" s="46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IFERROR(('연간'!T16)/('연간'!T4),"")</f>
        <v/>
      </c>
      <c r="I55" s="38">
        <f>IFERROR(('연간'!U16)/('연간'!U4),"")</f>
        <v/>
      </c>
      <c r="J55" s="38">
        <f>IFERROR(('연간'!V16)/('연간'!V4),"")</f>
        <v/>
      </c>
      <c r="K55" s="38">
        <f>IFERROR(('연간'!W16)/('연간'!W4),"")</f>
        <v/>
      </c>
      <c r="L55" s="38">
        <f>IFERROR(('연간'!X16)/('연간'!X4),"")</f>
        <v/>
      </c>
    </row>
    <row r="56">
      <c r="A56" s="46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IFERROR(('연간'!T43)/('연간'!T4),"")</f>
        <v/>
      </c>
      <c r="I56" s="38">
        <f>IFERROR(('연간'!U43)/('연간'!U4),"")</f>
        <v/>
      </c>
      <c r="J56" s="38">
        <f>IFERROR(('연간'!V43)/('연간'!V4),"")</f>
        <v/>
      </c>
      <c r="K56" s="38">
        <f>IFERROR(('연간'!W43)/('연간'!W4),"")</f>
        <v/>
      </c>
      <c r="L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6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6" t="inlineStr">
        <is>
          <t>매출채권회전일수</t>
        </is>
      </c>
      <c r="B59" s="10" t="inlineStr">
        <is>
          <t>짧을수록↑</t>
        </is>
      </c>
      <c r="C59" s="49">
        <f>IFERROR(C8/(IF(COUNT('연간'!G4:J4)&lt;4,"",SUM('연간'!G4:J4)))*365,"")</f>
        <v/>
      </c>
      <c r="D59" s="50">
        <f>IFERROR(D8/(IF(COUNT('연간'!H4:K4)&lt;4,"",SUM('연간'!H4:K4)))*365,"")</f>
        <v/>
      </c>
      <c r="E59" s="50">
        <f>IFERROR(E8/(IF(COUNT('연간'!I4:L4)&lt;4,"",SUM('연간'!I4:L4)))*365,"")</f>
        <v/>
      </c>
      <c r="F59" s="50">
        <f>IFERROR(F8/(IF(COUNT('연간'!J4:M4)&lt;4,"",SUM('연간'!J4:M4)))*365,"")</f>
        <v/>
      </c>
      <c r="G59" s="50">
        <f>IFERROR(G8/(IF(COUNT('연간'!K4:N4)&lt;4,"",SUM('연간'!K4:N4)))*365,"")</f>
        <v/>
      </c>
      <c r="H59" s="49">
        <f>IFERROR(H8/('연간'!T4)*365,"")</f>
        <v/>
      </c>
      <c r="I59" s="50">
        <f>IFERROR(I8/('연간'!U4)*365,"")</f>
        <v/>
      </c>
      <c r="J59" s="50">
        <f>IFERROR(J8/('연간'!V4)*365,"")</f>
        <v/>
      </c>
      <c r="K59" s="50">
        <f>IFERROR(K8/('연간'!W4)*365,"")</f>
        <v/>
      </c>
      <c r="L59" s="50">
        <f>IFERROR(L8/('연간'!X4)*365,"")</f>
        <v/>
      </c>
    </row>
    <row r="60">
      <c r="A60" s="46" t="inlineStr">
        <is>
          <t>재고자산회전일수</t>
        </is>
      </c>
      <c r="B60" s="10" t="inlineStr">
        <is>
          <t>짧을수록↑</t>
        </is>
      </c>
      <c r="C60" s="49">
        <f>IFERROR(C9/(IF(COUNT('연간'!G11:J11)&lt;4,"",SUM('연간'!G11:J11)))*365,"")</f>
        <v/>
      </c>
      <c r="D60" s="50">
        <f>IFERROR(D9/(IF(COUNT('연간'!H11:K11)&lt;4,"",SUM('연간'!H11:K11)))*365,"")</f>
        <v/>
      </c>
      <c r="E60" s="50">
        <f>IFERROR(E9/(IF(COUNT('연간'!I11:L11)&lt;4,"",SUM('연간'!I11:L11)))*365,"")</f>
        <v/>
      </c>
      <c r="F60" s="50">
        <f>IFERROR(F9/(IF(COUNT('연간'!J11:M11)&lt;4,"",SUM('연간'!J11:M11)))*365,"")</f>
        <v/>
      </c>
      <c r="G60" s="50">
        <f>IFERROR(G9/(IF(COUNT('연간'!K11:N11)&lt;4,"",SUM('연간'!K11:N11)))*365,"")</f>
        <v/>
      </c>
      <c r="H60" s="49">
        <f>IFERROR(H9/('연간'!T11)*365,"")</f>
        <v/>
      </c>
      <c r="I60" s="50">
        <f>IFERROR(I9/('연간'!U11)*365,"")</f>
        <v/>
      </c>
      <c r="J60" s="50">
        <f>IFERROR(J9/('연간'!V11)*365,"")</f>
        <v/>
      </c>
      <c r="K60" s="50">
        <f>IFERROR(K9/('연간'!W11)*365,"")</f>
        <v/>
      </c>
      <c r="L60" s="50">
        <f>IFERROR(L9/('연간'!X11)*365,"")</f>
        <v/>
      </c>
    </row>
    <row r="61">
      <c r="A61" s="46" t="inlineStr">
        <is>
          <t>매입채무회전일수</t>
        </is>
      </c>
      <c r="B61" s="10" t="inlineStr">
        <is>
          <t>길수록 유리</t>
        </is>
      </c>
      <c r="C61" s="49">
        <f>IFERROR(C19/(IF(COUNT('연간'!G11:J11)&lt;4,"",SUM('연간'!G11:J11)))*365,"")</f>
        <v/>
      </c>
      <c r="D61" s="50">
        <f>IFERROR(D19/(IF(COUNT('연간'!H11:K11)&lt;4,"",SUM('연간'!H11:K11)))*365,"")</f>
        <v/>
      </c>
      <c r="E61" s="50">
        <f>IFERROR(E19/(IF(COUNT('연간'!I11:L11)&lt;4,"",SUM('연간'!I11:L11)))*365,"")</f>
        <v/>
      </c>
      <c r="F61" s="50">
        <f>IFERROR(F19/(IF(COUNT('연간'!J11:M11)&lt;4,"",SUM('연간'!J11:M11)))*365,"")</f>
        <v/>
      </c>
      <c r="G61" s="50">
        <f>IFERROR(G19/(IF(COUNT('연간'!K11:N11)&lt;4,"",SUM('연간'!K11:N11)))*365,"")</f>
        <v/>
      </c>
      <c r="H61" s="49">
        <f>IFERROR(H19/('연간'!T11)*365,"")</f>
        <v/>
      </c>
      <c r="I61" s="50">
        <f>IFERROR(I19/('연간'!U11)*365,"")</f>
        <v/>
      </c>
      <c r="J61" s="50">
        <f>IFERROR(J19/('연간'!V11)*365,"")</f>
        <v/>
      </c>
      <c r="K61" s="50">
        <f>IFERROR(K19/('연간'!W11)*365,"")</f>
        <v/>
      </c>
      <c r="L61" s="50">
        <f>IFERROR(L19/('연간'!X11)*365,"")</f>
        <v/>
      </c>
    </row>
    <row r="62">
      <c r="A62" s="46" t="inlineStr">
        <is>
          <t>현금전환주기 (CCC)</t>
        </is>
      </c>
      <c r="B62" s="10" t="inlineStr">
        <is>
          <t>짧을수록↑</t>
        </is>
      </c>
      <c r="C62" s="49">
        <f>IF(OR(C59="",C60="",C61=""),"",IFERROR(C59+C60-C61,""))</f>
        <v/>
      </c>
      <c r="D62" s="50">
        <f>IF(OR(D59="",D60="",D61=""),"",IFERROR(D59+D60-D61,""))</f>
        <v/>
      </c>
      <c r="E62" s="50">
        <f>IF(OR(E59="",E60="",E61=""),"",IFERROR(E59+E60-E61,""))</f>
        <v/>
      </c>
      <c r="F62" s="50">
        <f>IF(OR(F59="",F60="",F61=""),"",IFERROR(F59+F60-F61,""))</f>
        <v/>
      </c>
      <c r="G62" s="50">
        <f>IF(OR(G59="",G60="",G61=""),"",IFERROR(G59+G60-G61,""))</f>
        <v/>
      </c>
      <c r="H62" s="49">
        <f>IF(OR(H59="",H60="",H61=""),"",IFERROR(H59+H60-H61,""))</f>
        <v/>
      </c>
      <c r="I62" s="50">
        <f>IF(OR(I59="",I60="",I61=""),"",IFERROR(I59+I60-I61,""))</f>
        <v/>
      </c>
      <c r="J62" s="50">
        <f>IF(OR(J59="",J60="",J61=""),"",IFERROR(J59+J60-J61,""))</f>
        <v/>
      </c>
      <c r="K62" s="50">
        <f>IF(OR(K59="",K60="",K61=""),"",IFERROR(K59+K60-K61,""))</f>
        <v/>
      </c>
      <c r="L62" s="50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6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IF(H37="","",IFERROR(H37/('연간'!T43),""))</f>
        <v/>
      </c>
      <c r="I64" s="33">
        <f>IF(I37="","",IFERROR(I37/('연간'!U43),""))</f>
        <v/>
      </c>
      <c r="J64" s="33">
        <f>IF(J37="","",IFERROR(J37/('연간'!V43),""))</f>
        <v/>
      </c>
      <c r="K64" s="33">
        <f>IF(K37="","",IFERROR(K37/('연간'!W43),""))</f>
        <v/>
      </c>
      <c r="L64" s="33">
        <f>IF(L37="","",IFERROR(L37/('연간'!X43),""))</f>
        <v/>
      </c>
    </row>
    <row r="65">
      <c r="A65" s="46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6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6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IF(H40="","",IFERROR(H40/('연간'!T44),""))</f>
        <v/>
      </c>
      <c r="I67" s="38">
        <f>IF(I40="","",IFERROR(I40/('연간'!U44),""))</f>
        <v/>
      </c>
      <c r="J67" s="38">
        <f>IF(J40="","",IFERROR(J40/('연간'!V44),""))</f>
        <v/>
      </c>
      <c r="K67" s="38">
        <f>IF(K40="","",IFERROR(K40/('연간'!W44),""))</f>
        <v/>
      </c>
      <c r="L67" s="38">
        <f>IF(L40="","",IFERROR(L40/('연간'!X44),""))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7323.318</v>
      </c>
      <c r="D71" s="22" t="n">
        <v>7537.769</v>
      </c>
      <c r="E71" s="22" t="n">
        <v>7657.287</v>
      </c>
      <c r="F71" s="22" t="n">
        <v>7102.476</v>
      </c>
      <c r="G71" s="22" t="n">
        <v>8527.697</v>
      </c>
      <c r="H71" s="22" t="n">
        <v>4881.766</v>
      </c>
      <c r="I71" s="22" t="n">
        <v>5103.102</v>
      </c>
      <c r="J71" s="22" t="n">
        <v>7532.988</v>
      </c>
      <c r="K71" s="22" t="n">
        <v>7642.338</v>
      </c>
      <c r="L71" s="22" t="n">
        <v>7657.287</v>
      </c>
    </row>
    <row r="72">
      <c r="A72" s="20" t="inlineStr">
        <is>
          <t>받을어음·매출채권</t>
        </is>
      </c>
      <c r="H72" s="22" t="n">
        <v>7445.477</v>
      </c>
      <c r="I72" s="22" t="n">
        <v>0</v>
      </c>
    </row>
    <row r="73">
      <c r="A73" s="20" t="inlineStr">
        <is>
          <t>받을어음·매출채권·계약자산</t>
        </is>
      </c>
      <c r="C73" s="22" t="n">
        <v>8692.721</v>
      </c>
      <c r="D73" s="22" t="n">
        <v>8532.401</v>
      </c>
      <c r="E73" s="22" t="n">
        <v>8593.903</v>
      </c>
      <c r="F73" s="22" t="n">
        <v>8385.641</v>
      </c>
      <c r="G73" s="22" t="n">
        <v>9218.118</v>
      </c>
      <c r="H73" s="22" t="n">
        <v>0</v>
      </c>
      <c r="I73" s="22" t="n">
        <v>7767.557</v>
      </c>
      <c r="J73" s="22" t="n">
        <v>8354.549000000001</v>
      </c>
      <c r="K73" s="22" t="n">
        <v>8917.041999999999</v>
      </c>
      <c r="L73" s="22" t="n">
        <v>8593.903</v>
      </c>
    </row>
    <row r="74">
      <c r="A74" s="20" t="inlineStr">
        <is>
          <t>전자기록채권</t>
        </is>
      </c>
      <c r="C74" s="22" t="n">
        <v>3644.67</v>
      </c>
      <c r="D74" s="22" t="n">
        <v>3725.083</v>
      </c>
      <c r="E74" s="22" t="n">
        <v>3542.376</v>
      </c>
      <c r="F74" s="22" t="n">
        <v>3842.344</v>
      </c>
      <c r="G74" s="22" t="n">
        <v>4075.008</v>
      </c>
      <c r="H74" s="22" t="n">
        <v>1938.071</v>
      </c>
      <c r="I74" s="22" t="n">
        <v>2239.944</v>
      </c>
      <c r="J74" s="22" t="n">
        <v>2598.289</v>
      </c>
      <c r="K74" s="22" t="n">
        <v>2989.951</v>
      </c>
      <c r="L74" s="22" t="n">
        <v>3542.376</v>
      </c>
    </row>
    <row r="75">
      <c r="A75" s="20" t="inlineStr">
        <is>
          <t>상품·제품</t>
        </is>
      </c>
      <c r="C75" s="22" t="n">
        <v>3354.059</v>
      </c>
      <c r="D75" s="22" t="n">
        <v>3285.61</v>
      </c>
      <c r="E75" s="22" t="n">
        <v>3226.231</v>
      </c>
      <c r="F75" s="22" t="n">
        <v>3351.154</v>
      </c>
      <c r="G75" s="22" t="n">
        <v>3486.349</v>
      </c>
      <c r="H75" s="22" t="n">
        <v>2592.447</v>
      </c>
      <c r="I75" s="22" t="n">
        <v>2831.398</v>
      </c>
      <c r="J75" s="22" t="n">
        <v>2895.263</v>
      </c>
      <c r="K75" s="22" t="n">
        <v>3266.318</v>
      </c>
      <c r="L75" s="22" t="n">
        <v>3226.231</v>
      </c>
    </row>
    <row r="76">
      <c r="A76" s="20" t="inlineStr">
        <is>
          <t>재공품</t>
        </is>
      </c>
      <c r="C76" s="22" t="n">
        <v>415.143</v>
      </c>
      <c r="D76" s="22" t="n">
        <v>423.208</v>
      </c>
      <c r="E76" s="22" t="n">
        <v>439.541</v>
      </c>
      <c r="F76" s="22" t="n">
        <v>568.963</v>
      </c>
      <c r="G76" s="22" t="n">
        <v>560.816</v>
      </c>
      <c r="H76" s="22" t="n">
        <v>591.295</v>
      </c>
      <c r="I76" s="22" t="n">
        <v>370.671</v>
      </c>
      <c r="J76" s="22" t="n">
        <v>348.658</v>
      </c>
      <c r="K76" s="22" t="n">
        <v>428.676</v>
      </c>
      <c r="L76" s="22" t="n">
        <v>439.541</v>
      </c>
    </row>
    <row r="77">
      <c r="A77" s="20" t="inlineStr">
        <is>
          <t>원재료·저장품</t>
        </is>
      </c>
      <c r="C77" s="22" t="n">
        <v>1026.071</v>
      </c>
      <c r="D77" s="22" t="n">
        <v>1089.868</v>
      </c>
      <c r="E77" s="22" t="n">
        <v>1061.326</v>
      </c>
      <c r="F77" s="22" t="n">
        <v>1371.163</v>
      </c>
      <c r="G77" s="22" t="n">
        <v>1473.48</v>
      </c>
      <c r="H77" s="22" t="n">
        <v>1109.095</v>
      </c>
      <c r="I77" s="22" t="n">
        <v>1335.623</v>
      </c>
      <c r="J77" s="22" t="n">
        <v>1030.584</v>
      </c>
      <c r="K77" s="22" t="n">
        <v>1077.294</v>
      </c>
      <c r="L77" s="22" t="n">
        <v>1061.326</v>
      </c>
    </row>
    <row r="78">
      <c r="A78" s="20" t="inlineStr">
        <is>
          <t>단기대여금</t>
        </is>
      </c>
      <c r="D78" s="22" t="n">
        <v>314.862</v>
      </c>
      <c r="E78" s="22" t="n">
        <v>314.862</v>
      </c>
      <c r="F78" s="22" t="n">
        <v>314.862</v>
      </c>
      <c r="G78" s="22" t="n">
        <v>314.862</v>
      </c>
      <c r="K78" s="22" t="n">
        <v>0</v>
      </c>
      <c r="L78" s="22" t="n">
        <v>314.862</v>
      </c>
    </row>
    <row r="79">
      <c r="A79" s="20" t="inlineStr">
        <is>
          <t>기타</t>
        </is>
      </c>
      <c r="C79" s="22" t="n">
        <v>444.277</v>
      </c>
      <c r="D79" s="22" t="n">
        <v>284.49</v>
      </c>
      <c r="E79" s="22" t="n">
        <v>616.059</v>
      </c>
      <c r="F79" s="22" t="n">
        <v>357.399</v>
      </c>
      <c r="G79" s="22" t="n">
        <v>349.088</v>
      </c>
      <c r="H79" s="22" t="n">
        <v>249.493</v>
      </c>
      <c r="I79" s="22" t="n">
        <v>238.316</v>
      </c>
      <c r="J79" s="22" t="n">
        <v>384.945</v>
      </c>
      <c r="K79" s="22" t="n">
        <v>398.351</v>
      </c>
      <c r="L79" s="22" t="n">
        <v>616.059</v>
      </c>
    </row>
    <row r="80">
      <c r="A80" s="20" t="inlineStr">
        <is>
          <t>대손충당금</t>
        </is>
      </c>
      <c r="C80" s="22" t="n">
        <v>-5.342</v>
      </c>
      <c r="D80" s="22" t="n">
        <v>-210.724</v>
      </c>
      <c r="E80" s="22" t="n">
        <v>-211.041</v>
      </c>
      <c r="F80" s="22" t="n">
        <v>-210.671</v>
      </c>
      <c r="G80" s="22" t="n">
        <v>-211.187</v>
      </c>
      <c r="H80" s="22" t="n">
        <v>-6.151</v>
      </c>
      <c r="I80" s="22" t="n">
        <v>-6.567</v>
      </c>
      <c r="J80" s="22" t="n">
        <v>-5.313</v>
      </c>
      <c r="K80" s="22" t="n">
        <v>-5.616</v>
      </c>
      <c r="L80" s="22" t="n">
        <v>-211.041</v>
      </c>
    </row>
    <row r="81">
      <c r="A81" s="9" t="inlineStr">
        <is>
          <t>유동자산 합계</t>
        </is>
      </c>
      <c r="C81" s="12" t="n">
        <v>24894.921</v>
      </c>
      <c r="D81" s="12" t="n">
        <v>24982.57</v>
      </c>
      <c r="E81" s="12" t="n">
        <v>25240.547</v>
      </c>
      <c r="F81" s="12" t="n">
        <v>25083.334</v>
      </c>
      <c r="G81" s="12" t="n">
        <v>27794.234</v>
      </c>
      <c r="H81" s="12" t="n">
        <v>18801.496</v>
      </c>
      <c r="I81" s="12" t="n">
        <v>19880.046</v>
      </c>
      <c r="J81" s="12" t="n">
        <v>23139.967</v>
      </c>
      <c r="K81" s="12" t="n">
        <v>24714.356</v>
      </c>
      <c r="L81" s="12" t="n">
        <v>25240.547</v>
      </c>
    </row>
    <row r="82">
      <c r="A82" s="20" t="inlineStr">
        <is>
          <t>건물·구축물(순액)</t>
        </is>
      </c>
      <c r="C82" s="22" t="n">
        <v>6182.047</v>
      </c>
      <c r="D82" s="22" t="n">
        <v>6096.833</v>
      </c>
      <c r="E82" s="22" t="n">
        <v>6134.757</v>
      </c>
      <c r="F82" s="22" t="n">
        <v>6066.238</v>
      </c>
      <c r="G82" s="22" t="n">
        <v>5995.551</v>
      </c>
      <c r="H82" s="22" t="n">
        <v>6422.501</v>
      </c>
      <c r="I82" s="22" t="n">
        <v>6139.207</v>
      </c>
      <c r="J82" s="22" t="n">
        <v>6240.851</v>
      </c>
      <c r="K82" s="22" t="n">
        <v>5999.048</v>
      </c>
      <c r="L82" s="22" t="n">
        <v>6134.757</v>
      </c>
    </row>
    <row r="83">
      <c r="A83" s="20" t="inlineStr">
        <is>
          <t>기계장치·운반구(순액)</t>
        </is>
      </c>
      <c r="C83" s="22" t="n">
        <v>2136.949</v>
      </c>
      <c r="D83" s="22" t="n">
        <v>2104.802</v>
      </c>
      <c r="E83" s="22" t="n">
        <v>1835.343</v>
      </c>
      <c r="F83" s="22" t="n">
        <v>1898.138</v>
      </c>
      <c r="G83" s="22" t="n">
        <v>1873.939</v>
      </c>
      <c r="H83" s="22" t="n">
        <v>2633.976</v>
      </c>
      <c r="I83" s="22" t="n">
        <v>2509.777</v>
      </c>
      <c r="J83" s="22" t="n">
        <v>2392.079</v>
      </c>
      <c r="K83" s="22" t="n">
        <v>2299.975</v>
      </c>
      <c r="L83" s="22" t="n">
        <v>1835.343</v>
      </c>
    </row>
    <row r="84">
      <c r="A84" s="20" t="inlineStr">
        <is>
          <t>토지</t>
        </is>
      </c>
      <c r="C84" s="22" t="n">
        <v>4027.265</v>
      </c>
      <c r="D84" s="22" t="n">
        <v>4027.265</v>
      </c>
      <c r="E84" s="22" t="n">
        <v>4043.917</v>
      </c>
      <c r="F84" s="22" t="n">
        <v>4043.917</v>
      </c>
      <c r="G84" s="22" t="n">
        <v>4043.917</v>
      </c>
      <c r="H84" s="22" t="n">
        <v>3138.364</v>
      </c>
      <c r="I84" s="22" t="n">
        <v>3138.364</v>
      </c>
      <c r="J84" s="22" t="n">
        <v>3729.154</v>
      </c>
      <c r="K84" s="22" t="n">
        <v>3808.836</v>
      </c>
      <c r="L84" s="22" t="n">
        <v>4043.917</v>
      </c>
    </row>
    <row r="85">
      <c r="A85" s="20" t="inlineStr">
        <is>
          <t>리스자산(순액)</t>
        </is>
      </c>
      <c r="E85" s="22" t="n">
        <v>174.716</v>
      </c>
      <c r="H85" s="22" t="n">
        <v>441.813</v>
      </c>
      <c r="I85" s="22" t="n">
        <v>395.119</v>
      </c>
      <c r="J85" s="22" t="n">
        <v>264.472</v>
      </c>
      <c r="K85" s="22" t="n">
        <v>251.154</v>
      </c>
      <c r="L85" s="22" t="n">
        <v>174.716</v>
      </c>
    </row>
    <row r="86">
      <c r="A86" s="20" t="inlineStr">
        <is>
          <t>건설중인자산</t>
        </is>
      </c>
      <c r="E86" s="22" t="n">
        <v>156.493</v>
      </c>
      <c r="H86" s="22" t="n">
        <v>259.43</v>
      </c>
      <c r="I86" s="22" t="n">
        <v>422.642</v>
      </c>
      <c r="J86" s="22" t="n">
        <v>145.351</v>
      </c>
      <c r="K86" s="22" t="n">
        <v>108.669</v>
      </c>
      <c r="L86" s="22" t="n">
        <v>156.493</v>
      </c>
    </row>
    <row r="87">
      <c r="A87" s="20" t="inlineStr">
        <is>
          <t>기타(순액)</t>
        </is>
      </c>
      <c r="C87" s="22" t="n">
        <v>518.638</v>
      </c>
      <c r="D87" s="22" t="n">
        <v>505.34</v>
      </c>
      <c r="E87" s="22" t="n">
        <v>603.994</v>
      </c>
      <c r="F87" s="22" t="n">
        <v>1120.768</v>
      </c>
      <c r="G87" s="22" t="n">
        <v>1273.06</v>
      </c>
      <c r="H87" s="22" t="n">
        <v>251.536</v>
      </c>
      <c r="I87" s="22" t="n">
        <v>225.061</v>
      </c>
      <c r="J87" s="22" t="n">
        <v>215.635</v>
      </c>
      <c r="K87" s="22" t="n">
        <v>263.058</v>
      </c>
      <c r="L87" s="22" t="n">
        <v>603.994</v>
      </c>
    </row>
    <row r="88">
      <c r="A88" s="20" t="inlineStr">
        <is>
          <t>유형자산 합계</t>
        </is>
      </c>
      <c r="C88" s="22" t="n">
        <v>12864.9</v>
      </c>
      <c r="D88" s="22" t="n">
        <v>12734.242</v>
      </c>
      <c r="E88" s="22" t="n">
        <v>12618.013</v>
      </c>
      <c r="F88" s="22" t="n">
        <v>13129.061</v>
      </c>
      <c r="G88" s="22" t="n">
        <v>13186.469</v>
      </c>
      <c r="H88" s="22" t="n">
        <v>13147.623</v>
      </c>
      <c r="I88" s="22" t="n">
        <v>12830.173</v>
      </c>
      <c r="J88" s="22" t="n">
        <v>12987.545</v>
      </c>
      <c r="K88" s="22" t="n">
        <v>12730.742</v>
      </c>
      <c r="L88" s="22" t="n">
        <v>12618.013</v>
      </c>
    </row>
    <row r="89">
      <c r="A89" s="20" t="inlineStr">
        <is>
          <t>기타</t>
        </is>
      </c>
      <c r="E89" s="22" t="n">
        <v>344.067</v>
      </c>
      <c r="H89" s="22" t="n">
        <v>378.068</v>
      </c>
      <c r="I89" s="22" t="n">
        <v>369.514</v>
      </c>
      <c r="J89" s="22" t="n">
        <v>487.728</v>
      </c>
      <c r="K89" s="22" t="n">
        <v>428.245</v>
      </c>
      <c r="L89" s="22" t="n">
        <v>344.067</v>
      </c>
    </row>
    <row r="90">
      <c r="A90" s="20" t="inlineStr">
        <is>
          <t>무형자산</t>
        </is>
      </c>
      <c r="C90" s="22" t="n">
        <v>378.672</v>
      </c>
      <c r="D90" s="22" t="n">
        <v>357.995</v>
      </c>
      <c r="E90" s="22" t="n">
        <v>344.067</v>
      </c>
      <c r="F90" s="22" t="n">
        <v>331.658</v>
      </c>
      <c r="G90" s="22" t="n">
        <v>322.519</v>
      </c>
      <c r="H90" s="22" t="n">
        <v>378.068</v>
      </c>
      <c r="I90" s="22" t="n">
        <v>369.514</v>
      </c>
      <c r="J90" s="22" t="n">
        <v>487.728</v>
      </c>
      <c r="K90" s="22" t="n">
        <v>428.245</v>
      </c>
      <c r="L90" s="22" t="n">
        <v>344.067</v>
      </c>
    </row>
    <row r="91">
      <c r="A91" s="20" t="inlineStr">
        <is>
          <t>투자유가증권</t>
        </is>
      </c>
      <c r="E91" s="22" t="n">
        <v>1154.102</v>
      </c>
      <c r="H91" s="22" t="n">
        <v>760.444</v>
      </c>
      <c r="I91" s="22" t="n">
        <v>668.236</v>
      </c>
      <c r="J91" s="22" t="n">
        <v>998.155</v>
      </c>
      <c r="K91" s="22" t="n">
        <v>1111.226</v>
      </c>
      <c r="L91" s="22" t="n">
        <v>1154.102</v>
      </c>
    </row>
    <row r="92">
      <c r="A92" s="20" t="inlineStr">
        <is>
          <t>장기대여금</t>
        </is>
      </c>
      <c r="E92" s="22" t="n">
        <v>6.927</v>
      </c>
      <c r="H92" s="22" t="n">
        <v>12.715</v>
      </c>
      <c r="I92" s="22" t="n">
        <v>10.782</v>
      </c>
      <c r="J92" s="22" t="n">
        <v>9.045</v>
      </c>
      <c r="K92" s="22" t="n">
        <v>7.635</v>
      </c>
      <c r="L92" s="22" t="n">
        <v>6.927</v>
      </c>
    </row>
    <row r="93">
      <c r="A93" s="20" t="inlineStr">
        <is>
          <t>퇴직급여자산</t>
        </is>
      </c>
      <c r="E93" s="22" t="n">
        <v>512.865</v>
      </c>
      <c r="I93" s="22" t="n">
        <v>0</v>
      </c>
      <c r="J93" s="22" t="n">
        <v>99.494</v>
      </c>
      <c r="K93" s="22" t="n">
        <v>117.017</v>
      </c>
      <c r="L93" s="22" t="n">
        <v>512.865</v>
      </c>
    </row>
    <row r="94">
      <c r="A94" s="20" t="inlineStr">
        <is>
          <t>이연법인세자산</t>
        </is>
      </c>
      <c r="E94" s="22" t="n">
        <v>62.911</v>
      </c>
      <c r="H94" s="22" t="n">
        <v>222.683</v>
      </c>
      <c r="I94" s="22" t="n">
        <v>224.677</v>
      </c>
      <c r="J94" s="22" t="n">
        <v>146.163</v>
      </c>
      <c r="K94" s="22" t="n">
        <v>265.456</v>
      </c>
      <c r="L94" s="22" t="n">
        <v>62.911</v>
      </c>
    </row>
    <row r="95">
      <c r="A95" s="20" t="inlineStr">
        <is>
          <t>기타</t>
        </is>
      </c>
      <c r="C95" s="22" t="n">
        <v>2052.073</v>
      </c>
      <c r="D95" s="22" t="n">
        <v>2086.61</v>
      </c>
      <c r="E95" s="22" t="n">
        <v>2348.983</v>
      </c>
      <c r="F95" s="22" t="n">
        <v>2324.646</v>
      </c>
      <c r="G95" s="22" t="n">
        <v>2501.695</v>
      </c>
      <c r="H95" s="22" t="n">
        <v>638.41</v>
      </c>
      <c r="I95" s="22" t="n">
        <v>622.688</v>
      </c>
      <c r="J95" s="22" t="n">
        <v>643.123</v>
      </c>
      <c r="K95" s="22" t="n">
        <v>627.079</v>
      </c>
      <c r="L95" s="22" t="n">
        <v>2348.983</v>
      </c>
    </row>
    <row r="96">
      <c r="A96" s="20" t="inlineStr">
        <is>
          <t>대손충당금</t>
        </is>
      </c>
      <c r="C96" s="22" t="n">
        <v>-28.453</v>
      </c>
      <c r="D96" s="22" t="n">
        <v>-28.453</v>
      </c>
      <c r="E96" s="22" t="n">
        <v>-28.453</v>
      </c>
      <c r="F96" s="22" t="n">
        <v>-28.453</v>
      </c>
      <c r="G96" s="22" t="n">
        <v>-28.337</v>
      </c>
      <c r="H96" s="22" t="n">
        <v>-27.245</v>
      </c>
      <c r="I96" s="22" t="n">
        <v>-27.245</v>
      </c>
      <c r="J96" s="22" t="n">
        <v>-27.265</v>
      </c>
      <c r="K96" s="22" t="n">
        <v>-27.265</v>
      </c>
      <c r="L96" s="22" t="n">
        <v>-28.453</v>
      </c>
    </row>
    <row r="97">
      <c r="A97" s="20" t="inlineStr">
        <is>
          <t>투자 및 기타자산 합계</t>
        </is>
      </c>
      <c r="C97" s="22" t="n">
        <v>2023.619</v>
      </c>
      <c r="D97" s="22" t="n">
        <v>2058.156</v>
      </c>
      <c r="E97" s="22" t="n">
        <v>2320.529</v>
      </c>
      <c r="F97" s="22" t="n">
        <v>2296.192</v>
      </c>
      <c r="G97" s="22" t="n">
        <v>2473.357</v>
      </c>
      <c r="H97" s="22" t="n">
        <v>1607.007</v>
      </c>
      <c r="I97" s="22" t="n">
        <v>1499.138</v>
      </c>
      <c r="J97" s="22" t="n">
        <v>1868.716</v>
      </c>
      <c r="K97" s="22" t="n">
        <v>2101.15</v>
      </c>
      <c r="L97" s="22" t="n">
        <v>2320.529</v>
      </c>
    </row>
    <row r="98">
      <c r="A98" s="9" t="inlineStr">
        <is>
          <t>비유동자산 합계</t>
        </is>
      </c>
      <c r="C98" s="12" t="n">
        <v>15267.192</v>
      </c>
      <c r="D98" s="12" t="n">
        <v>15150.393</v>
      </c>
      <c r="E98" s="12" t="n">
        <v>15282.61</v>
      </c>
      <c r="F98" s="12" t="n">
        <v>15756.912</v>
      </c>
      <c r="G98" s="12" t="n">
        <v>15982.346</v>
      </c>
      <c r="H98" s="12" t="n">
        <v>15132.699</v>
      </c>
      <c r="I98" s="12" t="n">
        <v>14698.826</v>
      </c>
      <c r="J98" s="12" t="n">
        <v>15343.99</v>
      </c>
      <c r="K98" s="12" t="n">
        <v>15260.138</v>
      </c>
      <c r="L98" s="12" t="n">
        <v>15282.61</v>
      </c>
    </row>
    <row r="99">
      <c r="A99" s="9" t="inlineStr">
        <is>
          <t>자산 합계</t>
        </is>
      </c>
      <c r="C99" s="12" t="n">
        <v>40162.113</v>
      </c>
      <c r="D99" s="12" t="n">
        <v>40132.964</v>
      </c>
      <c r="E99" s="12" t="n">
        <v>40523.157</v>
      </c>
      <c r="F99" s="12" t="n">
        <v>40840.247</v>
      </c>
      <c r="G99" s="12" t="n">
        <v>43776.581</v>
      </c>
      <c r="H99" s="12" t="n">
        <v>33934.195</v>
      </c>
      <c r="I99" s="12" t="n">
        <v>34578.872</v>
      </c>
      <c r="J99" s="12" t="n">
        <v>38483.958</v>
      </c>
      <c r="K99" s="12" t="n">
        <v>39974.495</v>
      </c>
      <c r="L99" s="12" t="n">
        <v>40523.157</v>
      </c>
    </row>
    <row r="100">
      <c r="A100" s="20" t="inlineStr">
        <is>
          <t>지급어음·매입채무</t>
        </is>
      </c>
      <c r="C100" s="22" t="n">
        <v>4407.221</v>
      </c>
      <c r="D100" s="22" t="n">
        <v>4412.608</v>
      </c>
      <c r="E100" s="22" t="n">
        <v>4070.828</v>
      </c>
      <c r="F100" s="22" t="n">
        <v>4557.956</v>
      </c>
      <c r="G100" s="22" t="n">
        <v>4634.949</v>
      </c>
      <c r="H100" s="22" t="n">
        <v>4237.559</v>
      </c>
      <c r="I100" s="22" t="n">
        <v>4160.916</v>
      </c>
      <c r="J100" s="22" t="n">
        <v>4806.732</v>
      </c>
      <c r="K100" s="22" t="n">
        <v>4842.197</v>
      </c>
      <c r="L100" s="22" t="n">
        <v>4070.828</v>
      </c>
    </row>
    <row r="101">
      <c r="A101" s="20" t="inlineStr">
        <is>
          <t>전자기록채무</t>
        </is>
      </c>
      <c r="C101" s="22" t="n">
        <v>4245.627</v>
      </c>
      <c r="D101" s="22" t="n">
        <v>4334.434</v>
      </c>
      <c r="E101" s="22" t="n">
        <v>4027.052</v>
      </c>
      <c r="F101" s="22" t="n">
        <v>3159.553</v>
      </c>
      <c r="G101" s="22" t="n">
        <v>3638.895</v>
      </c>
      <c r="H101" s="22" t="n">
        <v>3743.291</v>
      </c>
      <c r="I101" s="22" t="n">
        <v>3925.329</v>
      </c>
      <c r="J101" s="22" t="n">
        <v>4269.105</v>
      </c>
      <c r="K101" s="22" t="n">
        <v>4038.169</v>
      </c>
      <c r="L101" s="22" t="n">
        <v>4027.052</v>
      </c>
    </row>
    <row r="102">
      <c r="A102" s="20" t="inlineStr">
        <is>
          <t>단기차입금</t>
        </is>
      </c>
      <c r="C102" s="22" t="n">
        <v>4209</v>
      </c>
      <c r="D102" s="22" t="n">
        <v>3609</v>
      </c>
      <c r="E102" s="22" t="n">
        <v>3609</v>
      </c>
      <c r="F102" s="22" t="n">
        <v>4109</v>
      </c>
      <c r="G102" s="22" t="n">
        <v>4900</v>
      </c>
      <c r="H102" s="22" t="n">
        <v>5005.923</v>
      </c>
      <c r="I102" s="22" t="n">
        <v>5312.693</v>
      </c>
      <c r="J102" s="22" t="n">
        <v>4913.254</v>
      </c>
      <c r="K102" s="22" t="n">
        <v>4209</v>
      </c>
      <c r="L102" s="22" t="n">
        <v>3609</v>
      </c>
    </row>
    <row r="103">
      <c r="A103" s="20" t="inlineStr">
        <is>
          <t>1년 내 상환 장기차입금</t>
        </is>
      </c>
      <c r="C103" s="22" t="n">
        <v>912.414</v>
      </c>
      <c r="D103" s="22" t="n">
        <v>972.354</v>
      </c>
      <c r="E103" s="22" t="n">
        <v>945.114</v>
      </c>
      <c r="F103" s="22" t="n">
        <v>1003.554</v>
      </c>
      <c r="G103" s="22" t="n">
        <v>976.314</v>
      </c>
      <c r="H103" s="22" t="n">
        <v>677.386</v>
      </c>
      <c r="I103" s="22" t="n">
        <v>673.316</v>
      </c>
      <c r="J103" s="22" t="n">
        <v>850.082</v>
      </c>
      <c r="K103" s="22" t="n">
        <v>880.84</v>
      </c>
      <c r="L103" s="22" t="n">
        <v>945.114</v>
      </c>
    </row>
    <row r="104">
      <c r="A104" s="20" t="inlineStr">
        <is>
          <t>리스부채</t>
        </is>
      </c>
      <c r="E104" s="22" t="n">
        <v>143.572</v>
      </c>
      <c r="H104" s="22" t="n">
        <v>86.533</v>
      </c>
      <c r="I104" s="22" t="n">
        <v>86.249</v>
      </c>
      <c r="J104" s="22" t="n">
        <v>230.924</v>
      </c>
      <c r="K104" s="22" t="n">
        <v>79.086</v>
      </c>
      <c r="L104" s="22" t="n">
        <v>143.572</v>
      </c>
    </row>
    <row r="105">
      <c r="A105" s="20" t="inlineStr">
        <is>
          <t>미지급법인세</t>
        </is>
      </c>
      <c r="C105" s="22" t="n">
        <v>580.184</v>
      </c>
      <c r="D105" s="22" t="n">
        <v>434.761</v>
      </c>
      <c r="E105" s="22" t="n">
        <v>458.104</v>
      </c>
      <c r="F105" s="22" t="n">
        <v>285.957</v>
      </c>
      <c r="G105" s="22" t="n">
        <v>822.8</v>
      </c>
      <c r="H105" s="22" t="n">
        <v>588.636</v>
      </c>
      <c r="I105" s="22" t="n">
        <v>349.242</v>
      </c>
      <c r="J105" s="22" t="n">
        <v>283.854</v>
      </c>
      <c r="K105" s="22" t="n">
        <v>453.466</v>
      </c>
      <c r="L105" s="22" t="n">
        <v>458.104</v>
      </c>
    </row>
    <row r="106">
      <c r="A106" s="20" t="inlineStr">
        <is>
          <t>상여충당금</t>
        </is>
      </c>
      <c r="C106" s="22" t="n">
        <v>333.492</v>
      </c>
      <c r="D106" s="22" t="n">
        <v>453.03</v>
      </c>
      <c r="E106" s="22" t="n">
        <v>274.405</v>
      </c>
      <c r="F106" s="22" t="n">
        <v>445.035</v>
      </c>
      <c r="G106" s="22" t="n">
        <v>347.353</v>
      </c>
      <c r="H106" s="22" t="n">
        <v>221.977</v>
      </c>
      <c r="I106" s="22" t="n">
        <v>204.334</v>
      </c>
      <c r="J106" s="22" t="n">
        <v>244.149</v>
      </c>
      <c r="K106" s="22" t="n">
        <v>252.022</v>
      </c>
      <c r="L106" s="22" t="n">
        <v>274.405</v>
      </c>
    </row>
    <row r="107">
      <c r="A107" s="20" t="inlineStr">
        <is>
          <t>임원 상여충당금</t>
        </is>
      </c>
      <c r="C107" s="22" t="n">
        <v>6.249</v>
      </c>
      <c r="D107" s="22" t="n">
        <v>9.374000000000001</v>
      </c>
      <c r="E107" s="22" t="n">
        <v>0</v>
      </c>
      <c r="F107" s="22" t="n">
        <v>3.124</v>
      </c>
      <c r="G107" s="22" t="n">
        <v>6</v>
      </c>
      <c r="K107" s="22" t="n">
        <v>0</v>
      </c>
      <c r="L107" s="22" t="n">
        <v>0</v>
      </c>
    </row>
    <row r="108">
      <c r="A108" s="20" t="inlineStr">
        <is>
          <t>주식보상 충당금</t>
        </is>
      </c>
      <c r="C108" s="22" t="n">
        <v>4.786</v>
      </c>
      <c r="D108" s="22" t="n">
        <v>9.573</v>
      </c>
      <c r="E108" s="22" t="n">
        <v>15.802</v>
      </c>
      <c r="F108" s="22" t="n">
        <v>22.242</v>
      </c>
      <c r="G108" s="22" t="n">
        <v>4.206</v>
      </c>
      <c r="K108" s="22" t="n">
        <v>0</v>
      </c>
      <c r="L108" s="22" t="n">
        <v>15.802</v>
      </c>
    </row>
    <row r="109">
      <c r="A109" s="20" t="inlineStr">
        <is>
          <t>관계회사 정리손실 충당금</t>
        </is>
      </c>
      <c r="C109" s="22" t="n">
        <v>205.577</v>
      </c>
      <c r="D109" s="22" t="n">
        <v>0</v>
      </c>
      <c r="E109" s="22" t="n">
        <v>0</v>
      </c>
      <c r="I109" s="22" t="n">
        <v>0</v>
      </c>
      <c r="J109" s="22" t="n">
        <v>187.359</v>
      </c>
      <c r="K109" s="22" t="n">
        <v>205.577</v>
      </c>
      <c r="L109" s="22" t="n">
        <v>0</v>
      </c>
    </row>
    <row r="110">
      <c r="A110" s="20" t="inlineStr">
        <is>
          <t>기타</t>
        </is>
      </c>
      <c r="C110" s="22" t="n">
        <v>1251.382</v>
      </c>
      <c r="D110" s="22" t="n">
        <v>1282.182</v>
      </c>
      <c r="E110" s="22" t="n">
        <v>1534.037</v>
      </c>
      <c r="F110" s="22" t="n">
        <v>1326.929</v>
      </c>
      <c r="G110" s="22" t="n">
        <v>1262.887</v>
      </c>
      <c r="H110" s="22" t="n">
        <v>1113.543</v>
      </c>
      <c r="I110" s="22" t="n">
        <v>904.484</v>
      </c>
      <c r="J110" s="22" t="n">
        <v>1069.532</v>
      </c>
      <c r="K110" s="22" t="n">
        <v>1260.367</v>
      </c>
      <c r="L110" s="22" t="n">
        <v>1534.037</v>
      </c>
    </row>
    <row r="111">
      <c r="A111" s="9" t="inlineStr">
        <is>
          <t>유동부채 합계</t>
        </is>
      </c>
      <c r="C111" s="12" t="n">
        <v>16155.937</v>
      </c>
      <c r="D111" s="12" t="n">
        <v>15517.319</v>
      </c>
      <c r="E111" s="12" t="n">
        <v>14934.344</v>
      </c>
      <c r="F111" s="12" t="n">
        <v>14913.354</v>
      </c>
      <c r="G111" s="12" t="n">
        <v>16593.407</v>
      </c>
      <c r="H111" s="12" t="n">
        <v>15674.852</v>
      </c>
      <c r="I111" s="12" t="n">
        <v>15616.566</v>
      </c>
      <c r="J111" s="12" t="n">
        <v>16854.995</v>
      </c>
      <c r="K111" s="12" t="n">
        <v>16220.726</v>
      </c>
      <c r="L111" s="12" t="n">
        <v>14934.344</v>
      </c>
    </row>
    <row r="112">
      <c r="A112" s="20" t="inlineStr">
        <is>
          <t>장기차입금</t>
        </is>
      </c>
      <c r="C112" s="22" t="n">
        <v>2949.485</v>
      </c>
      <c r="D112" s="22" t="n">
        <v>3238.484</v>
      </c>
      <c r="E112" s="22" t="n">
        <v>3011.213</v>
      </c>
      <c r="F112" s="22" t="n">
        <v>3293.342</v>
      </c>
      <c r="G112" s="22" t="n">
        <v>3058.931</v>
      </c>
      <c r="H112" s="22" t="n">
        <v>1845.177</v>
      </c>
      <c r="I112" s="22" t="n">
        <v>1802.455</v>
      </c>
      <c r="J112" s="22" t="n">
        <v>2715.818</v>
      </c>
      <c r="K112" s="22" t="n">
        <v>2920.677</v>
      </c>
      <c r="L112" s="22" t="n">
        <v>3011.213</v>
      </c>
    </row>
    <row r="113">
      <c r="A113" s="20" t="inlineStr">
        <is>
          <t>리스부채</t>
        </is>
      </c>
      <c r="E113" s="22" t="n">
        <v>39.809</v>
      </c>
      <c r="H113" s="22" t="n">
        <v>374.489</v>
      </c>
      <c r="I113" s="22" t="n">
        <v>315.446</v>
      </c>
      <c r="J113" s="22" t="n">
        <v>98.86799999999999</v>
      </c>
      <c r="K113" s="22" t="n">
        <v>185.733</v>
      </c>
      <c r="L113" s="22" t="n">
        <v>39.809</v>
      </c>
    </row>
    <row r="114">
      <c r="A114" s="20" t="inlineStr">
        <is>
          <t>이연법인세부채</t>
        </is>
      </c>
      <c r="E114" s="22" t="n">
        <v>187.847</v>
      </c>
      <c r="H114" s="22" t="n">
        <v>42.857</v>
      </c>
      <c r="I114" s="22" t="n">
        <v>47.684</v>
      </c>
      <c r="J114" s="22" t="n">
        <v>55.216</v>
      </c>
      <c r="K114" s="22" t="n">
        <v>78.666</v>
      </c>
      <c r="L114" s="22" t="n">
        <v>187.847</v>
      </c>
    </row>
    <row r="115">
      <c r="A115" s="20" t="inlineStr">
        <is>
          <t>주식보상 충당금</t>
        </is>
      </c>
      <c r="C115" s="22" t="n">
        <v>2.051</v>
      </c>
      <c r="D115" s="22" t="n">
        <v>4.103</v>
      </c>
      <c r="E115" s="22" t="n">
        <v>6.772</v>
      </c>
      <c r="F115" s="22" t="n">
        <v>7.857</v>
      </c>
      <c r="G115" s="22" t="n">
        <v>9.657</v>
      </c>
      <c r="K115" s="22" t="n">
        <v>0</v>
      </c>
      <c r="L115" s="22" t="n">
        <v>6.772</v>
      </c>
    </row>
    <row r="116">
      <c r="A116" s="20" t="inlineStr">
        <is>
          <t>퇴직급여부채</t>
        </is>
      </c>
      <c r="C116" s="22" t="n">
        <v>112.367</v>
      </c>
      <c r="D116" s="22" t="n">
        <v>96.95</v>
      </c>
      <c r="E116" s="22" t="n">
        <v>93.70699999999999</v>
      </c>
      <c r="F116" s="22" t="n">
        <v>95.369</v>
      </c>
      <c r="G116" s="22" t="n">
        <v>99.122</v>
      </c>
      <c r="H116" s="22" t="n">
        <v>171.153</v>
      </c>
      <c r="I116" s="22" t="n">
        <v>186.682</v>
      </c>
      <c r="J116" s="22" t="n">
        <v>107.39</v>
      </c>
      <c r="K116" s="22" t="n">
        <v>106.782</v>
      </c>
      <c r="L116" s="22" t="n">
        <v>93.70699999999999</v>
      </c>
    </row>
    <row r="117">
      <c r="A117" s="20" t="inlineStr">
        <is>
          <t>기타</t>
        </is>
      </c>
      <c r="C117" s="22" t="n">
        <v>260.345</v>
      </c>
      <c r="D117" s="22" t="n">
        <v>257.901</v>
      </c>
      <c r="E117" s="22" t="n">
        <v>383.569</v>
      </c>
      <c r="F117" s="22" t="n">
        <v>220.255</v>
      </c>
      <c r="G117" s="22" t="n">
        <v>365.16</v>
      </c>
      <c r="H117" s="22" t="n">
        <v>149.123</v>
      </c>
      <c r="I117" s="22" t="n">
        <v>140.837</v>
      </c>
      <c r="J117" s="22" t="n">
        <v>154.902</v>
      </c>
      <c r="K117" s="22" t="n">
        <v>148.413</v>
      </c>
      <c r="L117" s="22" t="n">
        <v>383.569</v>
      </c>
    </row>
    <row r="118">
      <c r="A118" s="9" t="inlineStr">
        <is>
          <t>비유동부채 합계</t>
        </is>
      </c>
      <c r="C118" s="12" t="n">
        <v>3324.249</v>
      </c>
      <c r="D118" s="12" t="n">
        <v>3597.438</v>
      </c>
      <c r="E118" s="12" t="n">
        <v>3495.262</v>
      </c>
      <c r="F118" s="12" t="n">
        <v>3616.824</v>
      </c>
      <c r="G118" s="12" t="n">
        <v>3532.871</v>
      </c>
      <c r="H118" s="12" t="n">
        <v>2582.802</v>
      </c>
      <c r="I118" s="12" t="n">
        <v>2493.106</v>
      </c>
      <c r="J118" s="12" t="n">
        <v>3132.196</v>
      </c>
      <c r="K118" s="12" t="n">
        <v>3440.273</v>
      </c>
      <c r="L118" s="12" t="n">
        <v>3495.262</v>
      </c>
    </row>
    <row r="119">
      <c r="A119" s="9" t="inlineStr">
        <is>
          <t>부채 합계</t>
        </is>
      </c>
      <c r="C119" s="12" t="n">
        <v>19480.186</v>
      </c>
      <c r="D119" s="12" t="n">
        <v>19114.758</v>
      </c>
      <c r="E119" s="12" t="n">
        <v>18429.606</v>
      </c>
      <c r="F119" s="12" t="n">
        <v>18530.178</v>
      </c>
      <c r="G119" s="12" t="n">
        <v>20126.278</v>
      </c>
      <c r="H119" s="12" t="n">
        <v>18257.655</v>
      </c>
      <c r="I119" s="12" t="n">
        <v>18109.673</v>
      </c>
      <c r="J119" s="12" t="n">
        <v>19987.191</v>
      </c>
      <c r="K119" s="12" t="n">
        <v>19661</v>
      </c>
      <c r="L119" s="12" t="n">
        <v>18429.606</v>
      </c>
    </row>
    <row r="120">
      <c r="A120" s="20" t="inlineStr">
        <is>
          <t>자본금</t>
        </is>
      </c>
      <c r="C120" s="22" t="n">
        <v>1057.468</v>
      </c>
      <c r="D120" s="22" t="n">
        <v>1057.468</v>
      </c>
      <c r="E120" s="22" t="n">
        <v>1057.468</v>
      </c>
      <c r="F120" s="22" t="n">
        <v>1057.468</v>
      </c>
      <c r="G120" s="22" t="n">
        <v>1057.468</v>
      </c>
      <c r="H120" s="22" t="n">
        <v>1057.468</v>
      </c>
      <c r="I120" s="22" t="n">
        <v>1057.468</v>
      </c>
      <c r="J120" s="22" t="n">
        <v>1057.468</v>
      </c>
      <c r="K120" s="22" t="n">
        <v>1057.468</v>
      </c>
      <c r="L120" s="22" t="n">
        <v>1057.468</v>
      </c>
    </row>
    <row r="121">
      <c r="A121" s="20" t="inlineStr">
        <is>
          <t>자본잉여금</t>
        </is>
      </c>
      <c r="C121" s="22" t="n">
        <v>2629.932</v>
      </c>
      <c r="D121" s="22" t="n">
        <v>2629.932</v>
      </c>
      <c r="E121" s="22" t="n">
        <v>2629.932</v>
      </c>
      <c r="F121" s="22" t="n">
        <v>2629.932</v>
      </c>
      <c r="G121" s="22" t="n">
        <v>2629.932</v>
      </c>
      <c r="H121" s="22" t="n">
        <v>1166.402</v>
      </c>
      <c r="I121" s="22" t="n">
        <v>1308.179</v>
      </c>
      <c r="J121" s="22" t="n">
        <v>2629.932</v>
      </c>
      <c r="K121" s="22" t="n">
        <v>2629.932</v>
      </c>
      <c r="L121" s="22" t="n">
        <v>2629.932</v>
      </c>
    </row>
    <row r="122">
      <c r="A122" s="20" t="inlineStr">
        <is>
          <t>이익잉여금</t>
        </is>
      </c>
      <c r="C122" s="22" t="n">
        <v>14900.975</v>
      </c>
      <c r="D122" s="22" t="n">
        <v>15205.268</v>
      </c>
      <c r="E122" s="22" t="n">
        <v>15713.632</v>
      </c>
      <c r="F122" s="22" t="n">
        <v>15925.845</v>
      </c>
      <c r="G122" s="22" t="n">
        <v>17024.722</v>
      </c>
      <c r="H122" s="22" t="n">
        <v>11356.927</v>
      </c>
      <c r="I122" s="22" t="n">
        <v>12145.081</v>
      </c>
      <c r="J122" s="22" t="n">
        <v>12696.002</v>
      </c>
      <c r="K122" s="22" t="n">
        <v>14144.242</v>
      </c>
      <c r="L122" s="22" t="n">
        <v>15713.632</v>
      </c>
    </row>
    <row r="123">
      <c r="A123" s="20" t="inlineStr">
        <is>
          <t>자기주식</t>
        </is>
      </c>
      <c r="C123" s="22" t="n">
        <v>-143.094</v>
      </c>
      <c r="D123" s="22" t="n">
        <v>-143.094</v>
      </c>
      <c r="E123" s="22" t="n">
        <v>-143.094</v>
      </c>
      <c r="F123" s="22" t="n">
        <v>-143.094</v>
      </c>
      <c r="G123" s="22" t="n">
        <v>-122.184</v>
      </c>
      <c r="H123" s="22" t="n">
        <v>-1.101</v>
      </c>
      <c r="I123" s="22" t="n">
        <v>-1.101</v>
      </c>
      <c r="J123" s="22" t="n">
        <v>-1.452</v>
      </c>
      <c r="K123" s="22" t="n">
        <v>-3.466</v>
      </c>
      <c r="L123" s="22" t="n">
        <v>-143.094</v>
      </c>
    </row>
    <row r="124">
      <c r="A124" s="9" t="inlineStr">
        <is>
          <t>주주자본 합계</t>
        </is>
      </c>
      <c r="C124" s="12" t="n">
        <v>18445.281</v>
      </c>
      <c r="D124" s="12" t="n">
        <v>18749.574</v>
      </c>
      <c r="E124" s="12" t="n">
        <v>19257.938</v>
      </c>
      <c r="F124" s="12" t="n">
        <v>19470.151</v>
      </c>
      <c r="G124" s="12" t="n">
        <v>20589.939</v>
      </c>
      <c r="H124" s="12" t="n">
        <v>13579.696</v>
      </c>
      <c r="I124" s="12" t="n">
        <v>14509.626</v>
      </c>
      <c r="J124" s="12" t="n">
        <v>16381.95</v>
      </c>
      <c r="K124" s="12" t="n">
        <v>17828.176</v>
      </c>
      <c r="L124" s="12" t="n">
        <v>19257.938</v>
      </c>
    </row>
    <row r="125">
      <c r="A125" s="20" t="inlineStr">
        <is>
          <t>기타유가증권 평가차액</t>
        </is>
      </c>
      <c r="C125" s="22" t="n">
        <v>288.271</v>
      </c>
      <c r="D125" s="22" t="n">
        <v>311.163</v>
      </c>
      <c r="E125" s="22" t="n">
        <v>380.175</v>
      </c>
      <c r="F125" s="22" t="n">
        <v>283.824</v>
      </c>
      <c r="G125" s="22" t="n">
        <v>377.878</v>
      </c>
      <c r="H125" s="22" t="n">
        <v>126.58</v>
      </c>
      <c r="I125" s="22" t="n">
        <v>92.953</v>
      </c>
      <c r="J125" s="22" t="n">
        <v>217.976</v>
      </c>
      <c r="K125" s="22" t="n">
        <v>284.942</v>
      </c>
      <c r="L125" s="22" t="n">
        <v>380.175</v>
      </c>
    </row>
    <row r="126">
      <c r="A126" s="20" t="inlineStr">
        <is>
          <t>이연헤지손익</t>
        </is>
      </c>
      <c r="C126" s="22" t="n">
        <v>-4.482</v>
      </c>
      <c r="D126" s="22" t="n">
        <v>0.508</v>
      </c>
      <c r="E126" s="22" t="n">
        <v>9.654</v>
      </c>
      <c r="F126" s="22" t="n">
        <v>7.976</v>
      </c>
      <c r="G126" s="22" t="n">
        <v>6.704</v>
      </c>
      <c r="H126" s="22" t="n">
        <v>-0.089</v>
      </c>
      <c r="I126" s="22" t="n">
        <v>4.826</v>
      </c>
      <c r="J126" s="22" t="n">
        <v>11.461</v>
      </c>
      <c r="K126" s="22" t="n">
        <v>2.095</v>
      </c>
      <c r="L126" s="22" t="n">
        <v>9.654</v>
      </c>
    </row>
    <row r="127">
      <c r="A127" s="20" t="inlineStr">
        <is>
          <t>해외사업환산조정</t>
        </is>
      </c>
      <c r="C127" s="22" t="n">
        <v>890.141</v>
      </c>
      <c r="D127" s="22" t="n">
        <v>887.168</v>
      </c>
      <c r="E127" s="22" t="n">
        <v>1090.907</v>
      </c>
      <c r="F127" s="22" t="n">
        <v>1200.367</v>
      </c>
      <c r="G127" s="22" t="n">
        <v>1294.577</v>
      </c>
      <c r="H127" s="22" t="n">
        <v>607.472</v>
      </c>
      <c r="I127" s="22" t="n">
        <v>807.556</v>
      </c>
      <c r="J127" s="22" t="n">
        <v>880.761</v>
      </c>
      <c r="K127" s="22" t="n">
        <v>1152.104</v>
      </c>
      <c r="L127" s="22" t="n">
        <v>1090.907</v>
      </c>
    </row>
    <row r="128">
      <c r="A128" s="20" t="inlineStr">
        <is>
          <t>퇴직급여 조정누계액</t>
        </is>
      </c>
      <c r="C128" s="22" t="n">
        <v>27.669</v>
      </c>
      <c r="D128" s="22" t="n">
        <v>27.955</v>
      </c>
      <c r="E128" s="22" t="n">
        <v>289.541</v>
      </c>
      <c r="F128" s="22" t="n">
        <v>281.991</v>
      </c>
      <c r="G128" s="22" t="n">
        <v>274.442</v>
      </c>
      <c r="H128" s="22" t="n">
        <v>18.785</v>
      </c>
      <c r="I128" s="22" t="n">
        <v>-12.833</v>
      </c>
      <c r="J128" s="22" t="n">
        <v>76.51300000000001</v>
      </c>
      <c r="K128" s="22" t="n">
        <v>47.358</v>
      </c>
      <c r="L128" s="22" t="n">
        <v>289.541</v>
      </c>
    </row>
    <row r="129">
      <c r="A129" s="20" t="inlineStr">
        <is>
          <t>기타포괄손익누계액 합계</t>
        </is>
      </c>
      <c r="C129" s="22" t="n">
        <v>1201.599</v>
      </c>
      <c r="D129" s="22" t="n">
        <v>1226.795</v>
      </c>
      <c r="E129" s="22" t="n">
        <v>1770.279</v>
      </c>
      <c r="F129" s="22" t="n">
        <v>1774.16</v>
      </c>
      <c r="G129" s="22" t="n">
        <v>1953.602</v>
      </c>
      <c r="H129" s="22" t="n">
        <v>752.748</v>
      </c>
      <c r="I129" s="22" t="n">
        <v>892.503</v>
      </c>
      <c r="J129" s="22" t="n">
        <v>1186.713</v>
      </c>
      <c r="K129" s="22" t="n">
        <v>1486.501</v>
      </c>
      <c r="L129" s="22" t="n">
        <v>1770.279</v>
      </c>
    </row>
    <row r="130">
      <c r="A130" s="20" t="inlineStr">
        <is>
          <t>비지배지분</t>
        </is>
      </c>
      <c r="C130" s="22" t="n">
        <v>1035.046</v>
      </c>
      <c r="D130" s="22" t="n">
        <v>1041.835</v>
      </c>
      <c r="E130" s="22" t="n">
        <v>1065.333</v>
      </c>
      <c r="F130" s="22" t="n">
        <v>1065.756</v>
      </c>
      <c r="G130" s="22" t="n">
        <v>1106.761</v>
      </c>
      <c r="H130" s="22" t="n">
        <v>1344.095</v>
      </c>
      <c r="I130" s="22" t="n">
        <v>1067.068</v>
      </c>
      <c r="J130" s="22" t="n">
        <v>928.102</v>
      </c>
      <c r="K130" s="22" t="n">
        <v>998.817</v>
      </c>
      <c r="L130" s="22" t="n">
        <v>1065.333</v>
      </c>
    </row>
    <row r="131">
      <c r="A131" s="9" t="inlineStr">
        <is>
          <t>순자산 합계</t>
        </is>
      </c>
      <c r="C131" s="12" t="n">
        <v>20681.927</v>
      </c>
      <c r="D131" s="12" t="n">
        <v>21018.205</v>
      </c>
      <c r="E131" s="12" t="n">
        <v>22093.551</v>
      </c>
      <c r="F131" s="12" t="n">
        <v>22310.069</v>
      </c>
      <c r="G131" s="12" t="n">
        <v>23650.303</v>
      </c>
      <c r="H131" s="12" t="n">
        <v>15676.54</v>
      </c>
      <c r="I131" s="12" t="n">
        <v>16469.199</v>
      </c>
      <c r="J131" s="12" t="n">
        <v>18496.766</v>
      </c>
      <c r="K131" s="12" t="n">
        <v>20313.495</v>
      </c>
      <c r="L131" s="12" t="n">
        <v>22093.551</v>
      </c>
    </row>
    <row r="132">
      <c r="A132" s="9" t="inlineStr">
        <is>
          <t>부채·순자산 합계</t>
        </is>
      </c>
      <c r="C132" s="12" t="n">
        <v>40162.113</v>
      </c>
      <c r="D132" s="12" t="n">
        <v>40132.964</v>
      </c>
      <c r="E132" s="12" t="n">
        <v>40523.157</v>
      </c>
      <c r="F132" s="12" t="n">
        <v>40840.247</v>
      </c>
      <c r="G132" s="12" t="n">
        <v>43776.581</v>
      </c>
      <c r="H132" s="12" t="n">
        <v>33934.195</v>
      </c>
      <c r="I132" s="12" t="n">
        <v>34578.872</v>
      </c>
      <c r="J132" s="12" t="n">
        <v>38483.958</v>
      </c>
      <c r="K132" s="12" t="n">
        <v>39974.495</v>
      </c>
      <c r="L132" s="12" t="n">
        <v>40523.157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44" customWidth="1" min="9" max="9"/>
  </cols>
  <sheetData>
    <row r="1">
      <c r="A1" s="51" t="inlineStr">
        <is>
          <t>나카모토팩스 섹터·사업 데이터</t>
        </is>
      </c>
    </row>
    <row r="2">
      <c r="A2" s="52" t="inlineStr">
        <is>
          <t>2단계 보고서를 만들 때 모은 자료 · 월차 · 출처는 맨 오른쪽</t>
        </is>
      </c>
    </row>
    <row r="4">
      <c r="A4" s="53" t="inlineStr">
        <is>
          <t>PER stats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</row>
    <row r="5">
      <c r="A5" s="54" t="inlineStr">
        <is>
          <t>항목</t>
        </is>
      </c>
      <c r="B5" s="54" t="inlineStr">
        <is>
          <t>값</t>
        </is>
      </c>
      <c r="I5" s="54" t="inlineStr">
        <is>
          <t>출처</t>
        </is>
      </c>
    </row>
    <row r="6">
      <c r="A6" s="55" t="inlineStr">
        <is>
          <t>min</t>
        </is>
      </c>
      <c r="B6" s="56" t="n">
        <v>7.1</v>
      </c>
      <c r="I6" s="57" t="inlineStr">
        <is>
          <t>2단계 보고서 자료(회사 설명회 자료·공시)</t>
        </is>
      </c>
    </row>
    <row r="7">
      <c r="A7" s="55" t="inlineStr">
        <is>
          <t>max</t>
        </is>
      </c>
      <c r="B7" s="56" t="n">
        <v>12.05</v>
      </c>
    </row>
    <row r="8">
      <c r="A8" s="55" t="inlineStr">
        <is>
          <t>avg</t>
        </is>
      </c>
      <c r="B8" s="56" t="n">
        <v>8.720000000000001</v>
      </c>
    </row>
    <row r="9">
      <c r="A9" s="55" t="inlineStr">
        <is>
          <t>cur</t>
        </is>
      </c>
      <c r="B9" s="56" t="n">
        <v>8.369999999999999</v>
      </c>
    </row>
    <row r="10">
      <c r="A10" s="55" t="inlineStr">
        <is>
          <t>pos %</t>
        </is>
      </c>
      <c r="B10" s="56" t="n">
        <v>25.7</v>
      </c>
    </row>
    <row r="12">
      <c r="A12" s="53" t="inlineStr">
        <is>
          <t>가이던스 · initial</t>
        </is>
      </c>
      <c r="B12" s="53" t="n"/>
      <c r="C12" s="53" t="n"/>
      <c r="D12" s="53" t="n"/>
      <c r="E12" s="53" t="n"/>
      <c r="F12" s="53" t="n"/>
      <c r="G12" s="53" t="n"/>
      <c r="H12" s="53" t="n"/>
      <c r="I12" s="53" t="n"/>
    </row>
    <row r="13">
      <c r="A13" s="54" t="inlineStr">
        <is>
          <t>항목</t>
        </is>
      </c>
      <c r="B13" s="54" t="inlineStr">
        <is>
          <t>값</t>
        </is>
      </c>
      <c r="I13" s="54" t="inlineStr">
        <is>
          <t>출처</t>
        </is>
      </c>
    </row>
    <row r="14">
      <c r="A14" s="55" t="inlineStr">
        <is>
          <t>매출</t>
        </is>
      </c>
      <c r="B14" s="58" t="n">
        <v>520</v>
      </c>
      <c r="I14" s="57" t="inlineStr">
        <is>
          <t>2단계 보고서 자료(회사 설명회 자료·공시)</t>
        </is>
      </c>
    </row>
    <row r="15">
      <c r="A15" s="55" t="inlineStr">
        <is>
          <t>영업이익</t>
        </is>
      </c>
      <c r="B15" s="56" t="n">
        <v>32.65</v>
      </c>
    </row>
    <row r="16">
      <c r="A16" s="55" t="inlineStr">
        <is>
          <t>순이익</t>
        </is>
      </c>
      <c r="B16" s="56" t="n">
        <v>21.83</v>
      </c>
    </row>
    <row r="17">
      <c r="A17" s="55" t="inlineStr">
        <is>
          <t>EPS</t>
        </is>
      </c>
      <c r="B17" s="56" t="n">
        <v>246.49</v>
      </c>
    </row>
    <row r="19">
      <c r="A19" s="53" t="inlineStr">
        <is>
          <t>가이던스 · revised</t>
        </is>
      </c>
      <c r="B19" s="53" t="n"/>
      <c r="C19" s="53" t="n"/>
      <c r="D19" s="53" t="n"/>
      <c r="E19" s="53" t="n"/>
      <c r="F19" s="53" t="n"/>
      <c r="G19" s="53" t="n"/>
      <c r="H19" s="53" t="n"/>
      <c r="I19" s="53" t="n"/>
    </row>
    <row r="20">
      <c r="A20" s="54" t="inlineStr">
        <is>
          <t>항목</t>
        </is>
      </c>
      <c r="B20" s="54" t="inlineStr">
        <is>
          <t>값</t>
        </is>
      </c>
      <c r="I20" s="54" t="inlineStr">
        <is>
          <t>출처</t>
        </is>
      </c>
    </row>
    <row r="21">
      <c r="A21" s="55" t="inlineStr">
        <is>
          <t>매출</t>
        </is>
      </c>
      <c r="B21" s="58" t="n">
        <v>550</v>
      </c>
      <c r="I21" s="57" t="inlineStr">
        <is>
          <t>2단계 보고서 자료(회사 설명회 자료·공시)</t>
        </is>
      </c>
    </row>
    <row r="22">
      <c r="A22" s="55" t="inlineStr">
        <is>
          <t>영업이익</t>
        </is>
      </c>
      <c r="B22" s="56" t="n">
        <v>38.74</v>
      </c>
    </row>
    <row r="23">
      <c r="A23" s="55" t="inlineStr">
        <is>
          <t>순이익</t>
        </is>
      </c>
      <c r="B23" s="56" t="n">
        <v>25.66</v>
      </c>
    </row>
    <row r="24">
      <c r="A24" s="55" t="inlineStr">
        <is>
          <t>EPS</t>
        </is>
      </c>
      <c r="B24" s="56" t="n">
        <v>289.75</v>
      </c>
    </row>
    <row r="26">
      <c r="A26" s="53" t="inlineStr">
        <is>
          <t>가이던스 · 상반기 initial</t>
        </is>
      </c>
      <c r="B26" s="53" t="n"/>
      <c r="C26" s="53" t="n"/>
      <c r="D26" s="53" t="n"/>
      <c r="E26" s="53" t="n"/>
      <c r="F26" s="53" t="n"/>
      <c r="G26" s="53" t="n"/>
      <c r="H26" s="53" t="n"/>
      <c r="I26" s="53" t="n"/>
    </row>
    <row r="27">
      <c r="A27" s="54" t="inlineStr">
        <is>
          <t>항목</t>
        </is>
      </c>
      <c r="B27" s="54" t="inlineStr">
        <is>
          <t>값</t>
        </is>
      </c>
      <c r="I27" s="54" t="inlineStr">
        <is>
          <t>출처</t>
        </is>
      </c>
    </row>
    <row r="28">
      <c r="A28" s="55" t="inlineStr">
        <is>
          <t>매출</t>
        </is>
      </c>
      <c r="B28" s="58" t="n">
        <v>255</v>
      </c>
      <c r="I28" s="57" t="inlineStr">
        <is>
          <t>2단계 보고서 자료(회사 설명회 자료·공시)</t>
        </is>
      </c>
    </row>
    <row r="29">
      <c r="A29" s="55" t="inlineStr">
        <is>
          <t>영업이익</t>
        </is>
      </c>
      <c r="B29" s="56" t="n">
        <v>15.48</v>
      </c>
    </row>
    <row r="31">
      <c r="A31" s="53" t="inlineStr">
        <is>
          <t>가이던스 · 상반기 revised</t>
        </is>
      </c>
      <c r="B31" s="53" t="n"/>
      <c r="C31" s="53" t="n"/>
      <c r="D31" s="53" t="n"/>
      <c r="E31" s="53" t="n"/>
      <c r="F31" s="53" t="n"/>
      <c r="G31" s="53" t="n"/>
      <c r="H31" s="53" t="n"/>
      <c r="I31" s="53" t="n"/>
    </row>
    <row r="32">
      <c r="A32" s="54" t="inlineStr">
        <is>
          <t>항목</t>
        </is>
      </c>
      <c r="B32" s="54" t="inlineStr">
        <is>
          <t>값</t>
        </is>
      </c>
      <c r="I32" s="54" t="inlineStr">
        <is>
          <t>출처</t>
        </is>
      </c>
    </row>
    <row r="33">
      <c r="A33" s="55" t="inlineStr">
        <is>
          <t>매출</t>
        </is>
      </c>
      <c r="B33" s="58" t="n">
        <v>280</v>
      </c>
      <c r="I33" s="57" t="inlineStr">
        <is>
          <t>2단계 보고서 자료(회사 설명회 자료·공시)</t>
        </is>
      </c>
    </row>
    <row r="34">
      <c r="A34" s="55" t="inlineStr">
        <is>
          <t>영업이익</t>
        </is>
      </c>
      <c r="B34" s="56" t="n">
        <v>24</v>
      </c>
    </row>
    <row r="36">
      <c r="A36" s="53" t="inlineStr">
        <is>
          <t>가이던스 · 상반기 실적</t>
        </is>
      </c>
      <c r="B36" s="53" t="n"/>
      <c r="C36" s="53" t="n"/>
      <c r="D36" s="53" t="n"/>
      <c r="E36" s="53" t="n"/>
      <c r="F36" s="53" t="n"/>
      <c r="G36" s="53" t="n"/>
      <c r="H36" s="53" t="n"/>
      <c r="I36" s="53" t="n"/>
    </row>
    <row r="37">
      <c r="A37" s="54" t="inlineStr">
        <is>
          <t>항목</t>
        </is>
      </c>
      <c r="B37" s="54" t="inlineStr">
        <is>
          <t>값</t>
        </is>
      </c>
      <c r="I37" s="54" t="inlineStr">
        <is>
          <t>출처</t>
        </is>
      </c>
    </row>
    <row r="38">
      <c r="A38" s="55" t="inlineStr">
        <is>
          <t>매출</t>
        </is>
      </c>
      <c r="B38" s="56" t="n">
        <v>280.68</v>
      </c>
      <c r="I38" s="57" t="inlineStr">
        <is>
          <t>2단계 보고서 자료(회사 설명회 자료·공시)</t>
        </is>
      </c>
    </row>
    <row r="39">
      <c r="A39" s="55" t="inlineStr">
        <is>
          <t>영업이익</t>
        </is>
      </c>
      <c r="B39" s="56" t="n">
        <v>24.54</v>
      </c>
    </row>
    <row r="40">
      <c r="A40" s="55" t="inlineStr">
        <is>
          <t>순이익</t>
        </is>
      </c>
      <c r="B40" s="56" t="n">
        <v>16.41</v>
      </c>
    </row>
    <row r="42">
      <c r="A42" s="53" t="inlineStr">
        <is>
          <t>가이던스 · 하반기 implied</t>
        </is>
      </c>
      <c r="B42" s="53" t="n"/>
      <c r="C42" s="53" t="n"/>
      <c r="D42" s="53" t="n"/>
      <c r="E42" s="53" t="n"/>
      <c r="F42" s="53" t="n"/>
      <c r="G42" s="53" t="n"/>
      <c r="H42" s="53" t="n"/>
      <c r="I42" s="53" t="n"/>
    </row>
    <row r="43">
      <c r="A43" s="54" t="inlineStr">
        <is>
          <t>항목</t>
        </is>
      </c>
      <c r="B43" s="54" t="inlineStr">
        <is>
          <t>값</t>
        </is>
      </c>
      <c r="I43" s="54" t="inlineStr">
        <is>
          <t>출처</t>
        </is>
      </c>
    </row>
    <row r="44">
      <c r="A44" s="55" t="inlineStr">
        <is>
          <t>매출</t>
        </is>
      </c>
      <c r="B44" s="56" t="n">
        <v>269.32</v>
      </c>
      <c r="I44" s="57" t="inlineStr">
        <is>
          <t>2단계 보고서 자료(회사 설명회 자료·공시)</t>
        </is>
      </c>
    </row>
    <row r="45">
      <c r="A45" s="55" t="inlineStr">
        <is>
          <t>영업이익</t>
        </is>
      </c>
      <c r="B45" s="56" t="n">
        <v>14.2</v>
      </c>
    </row>
    <row r="46">
      <c r="A46" s="55" t="inlineStr">
        <is>
          <t>순이익</t>
        </is>
      </c>
      <c r="B46" s="56" t="n">
        <v>9.25</v>
      </c>
    </row>
    <row r="48">
      <c r="A48" s="53" t="inlineStr">
        <is>
          <t>가이던스 · 하반기 prior</t>
        </is>
      </c>
      <c r="B48" s="53" t="n"/>
      <c r="C48" s="53" t="n"/>
      <c r="D48" s="53" t="n"/>
      <c r="E48" s="53" t="n"/>
      <c r="F48" s="53" t="n"/>
      <c r="G48" s="53" t="n"/>
      <c r="H48" s="53" t="n"/>
      <c r="I48" s="53" t="n"/>
    </row>
    <row r="49">
      <c r="A49" s="54" t="inlineStr">
        <is>
          <t>항목</t>
        </is>
      </c>
      <c r="B49" s="54" t="inlineStr">
        <is>
          <t>값</t>
        </is>
      </c>
      <c r="I49" s="54" t="inlineStr">
        <is>
          <t>출처</t>
        </is>
      </c>
    </row>
    <row r="50">
      <c r="A50" s="55" t="inlineStr">
        <is>
          <t>매출</t>
        </is>
      </c>
      <c r="B50" s="56" t="n">
        <v>246.49</v>
      </c>
      <c r="I50" s="57" t="inlineStr">
        <is>
          <t>2단계 보고서 자료(회사 설명회 자료·공시)</t>
        </is>
      </c>
    </row>
    <row r="51">
      <c r="A51" s="55" t="inlineStr">
        <is>
          <t>영업이익</t>
        </is>
      </c>
      <c r="B51" s="56" t="n">
        <v>13.5</v>
      </c>
    </row>
    <row r="52">
      <c r="A52" s="55" t="inlineStr">
        <is>
          <t>순이익</t>
        </is>
      </c>
      <c r="B52" s="56" t="n">
        <v>11.16</v>
      </c>
    </row>
    <row r="54">
      <c r="A54" s="53" t="inlineStr">
        <is>
          <t>컨센서스</t>
        </is>
      </c>
      <c r="B54" s="53" t="n"/>
      <c r="C54" s="53" t="n"/>
      <c r="D54" s="53" t="n"/>
      <c r="E54" s="53" t="n"/>
      <c r="F54" s="53" t="n"/>
      <c r="G54" s="53" t="n"/>
      <c r="H54" s="53" t="n"/>
      <c r="I54" s="53" t="n"/>
    </row>
    <row r="55">
      <c r="A55" s="54" t="inlineStr">
        <is>
          <t>항목</t>
        </is>
      </c>
      <c r="B55" s="54" t="inlineStr">
        <is>
          <t>값</t>
        </is>
      </c>
      <c r="I55" s="54" t="inlineStr">
        <is>
          <t>출처</t>
        </is>
      </c>
    </row>
    <row r="56">
      <c r="A56" s="55" t="inlineStr">
        <is>
          <t>fy27 매출</t>
        </is>
      </c>
      <c r="B56" s="58" t="n">
        <v>515</v>
      </c>
      <c r="I56" s="57" t="inlineStr">
        <is>
          <t>야후 1명, 상향 전 추정</t>
        </is>
      </c>
    </row>
    <row r="57">
      <c r="A57" s="55" t="inlineStr">
        <is>
          <t>fy27 EPS</t>
        </is>
      </c>
      <c r="B57" s="56" t="n">
        <v>248.6</v>
      </c>
    </row>
    <row r="58">
      <c r="A58" s="55" t="inlineStr">
        <is>
          <t>fy28 매출</t>
        </is>
      </c>
      <c r="B58" s="58" t="n">
        <v>544</v>
      </c>
    </row>
    <row r="59">
      <c r="A59" s="55" t="inlineStr">
        <is>
          <t>fy28 EPS</t>
        </is>
      </c>
      <c r="B59" s="56" t="n">
        <v>299.5</v>
      </c>
    </row>
    <row r="60">
      <c r="A60" s="55" t="inlineStr">
        <is>
          <t>3Q 매출</t>
        </is>
      </c>
      <c r="B60" s="58" t="n">
        <v>130</v>
      </c>
    </row>
    <row r="61">
      <c r="A61" s="55" t="inlineStr">
        <is>
          <t>4Q 매출</t>
        </is>
      </c>
      <c r="B61" s="58" t="n">
        <v>125</v>
      </c>
    </row>
    <row r="63">
      <c r="A63" s="53" t="inlineStr">
        <is>
          <t>quarters</t>
        </is>
      </c>
      <c r="B63" s="53" t="n"/>
      <c r="C63" s="53" t="n"/>
      <c r="D63" s="53" t="n"/>
      <c r="E63" s="53" t="n"/>
      <c r="F63" s="53" t="n"/>
      <c r="G63" s="53" t="n"/>
      <c r="H63" s="53" t="n"/>
      <c r="I63" s="53" t="n"/>
    </row>
    <row r="64">
      <c r="A64" s="54" t="inlineStr">
        <is>
          <t>항목</t>
        </is>
      </c>
      <c r="B64" s="54" t="inlineStr">
        <is>
          <t>label</t>
        </is>
      </c>
      <c r="C64" s="54" t="inlineStr">
        <is>
          <t>매출</t>
        </is>
      </c>
      <c r="D64" s="54" t="inlineStr">
        <is>
          <t>영업이익</t>
        </is>
      </c>
      <c r="E64" s="54" t="inlineStr">
        <is>
          <t>순이익</t>
        </is>
      </c>
      <c r="F64" s="54" t="inlineStr">
        <is>
          <t>EPS</t>
        </is>
      </c>
      <c r="G64" s="54" t="inlineStr">
        <is>
          <t>gp</t>
        </is>
      </c>
      <c r="H64" s="54" t="inlineStr">
        <is>
          <t>영업이익률</t>
        </is>
      </c>
      <c r="I64" s="54" t="inlineStr">
        <is>
          <t>출처</t>
        </is>
      </c>
    </row>
    <row r="65">
      <c r="A65" s="55" t="inlineStr">
        <is>
          <t>FY24-1Q</t>
        </is>
      </c>
      <c r="B65" s="59" t="inlineStr">
        <is>
          <t>23.3~5</t>
        </is>
      </c>
      <c r="C65" s="56" t="n">
        <v>110.46</v>
      </c>
      <c r="D65" s="56" t="n">
        <v>5.14</v>
      </c>
      <c r="E65" s="56" t="n">
        <v>2.72</v>
      </c>
      <c r="F65" s="56" t="n">
        <v>33.31</v>
      </c>
      <c r="G65" s="59" t="n"/>
      <c r="H65" s="56" t="n">
        <v>4.7</v>
      </c>
      <c r="I65" s="57" t="inlineStr">
        <is>
          <t>2단계 보고서 자료(회사 설명회 자료·공시)</t>
        </is>
      </c>
    </row>
    <row r="66">
      <c r="A66" s="55" t="inlineStr">
        <is>
          <t>FY24-2Q</t>
        </is>
      </c>
      <c r="B66" s="59" t="inlineStr">
        <is>
          <t>23.6~8</t>
        </is>
      </c>
      <c r="C66" s="56" t="n">
        <v>112.33</v>
      </c>
      <c r="D66" s="56" t="n">
        <v>5.06</v>
      </c>
      <c r="E66" s="56" t="n">
        <v>4.13</v>
      </c>
      <c r="F66" s="56" t="n">
        <v>50.57</v>
      </c>
      <c r="G66" s="59" t="n"/>
      <c r="H66" s="56" t="n">
        <v>4.5</v>
      </c>
    </row>
    <row r="67">
      <c r="A67" s="55" t="inlineStr">
        <is>
          <t>FY24-3Q</t>
        </is>
      </c>
      <c r="B67" s="59" t="inlineStr">
        <is>
          <t>23.9~11</t>
        </is>
      </c>
      <c r="C67" s="56" t="n">
        <v>114.78</v>
      </c>
      <c r="D67" s="56" t="n">
        <v>5.78</v>
      </c>
      <c r="E67" s="56" t="n">
        <v>7.53</v>
      </c>
      <c r="F67" s="56" t="n">
        <v>92.12</v>
      </c>
      <c r="G67" s="59" t="n"/>
      <c r="H67" s="56" t="n">
        <v>5</v>
      </c>
    </row>
    <row r="68">
      <c r="A68" s="55" t="inlineStr">
        <is>
          <t>FY24-4Q</t>
        </is>
      </c>
      <c r="B68" s="59" t="inlineStr">
        <is>
          <t>23.12~24.2</t>
        </is>
      </c>
      <c r="C68" s="56" t="n">
        <v>106.05</v>
      </c>
      <c r="D68" s="56" t="n">
        <v>2.17</v>
      </c>
      <c r="E68" s="56" t="n">
        <v>-3.81</v>
      </c>
      <c r="F68" s="56" t="n">
        <v>-47.52</v>
      </c>
      <c r="G68" s="59" t="n"/>
      <c r="H68" s="56" t="n">
        <v>2</v>
      </c>
    </row>
    <row r="69">
      <c r="A69" s="55" t="inlineStr">
        <is>
          <t>FY25-1Q</t>
        </is>
      </c>
      <c r="B69" s="59" t="inlineStr">
        <is>
          <t>24.3~5</t>
        </is>
      </c>
      <c r="C69" s="56" t="n">
        <v>116.19</v>
      </c>
      <c r="D69" s="56" t="n">
        <v>5.5</v>
      </c>
      <c r="E69" s="56" t="n">
        <v>5.31</v>
      </c>
      <c r="F69" s="56" t="n">
        <v>59.61</v>
      </c>
      <c r="G69" s="56" t="n">
        <v>18.9</v>
      </c>
      <c r="H69" s="56" t="n">
        <v>4.7</v>
      </c>
    </row>
    <row r="70">
      <c r="A70" s="55" t="inlineStr">
        <is>
          <t>FY25-2Q</t>
        </is>
      </c>
      <c r="B70" s="59" t="inlineStr">
        <is>
          <t>24.6~8</t>
        </is>
      </c>
      <c r="C70" s="56" t="n">
        <v>127.57</v>
      </c>
      <c r="D70" s="56" t="n">
        <v>10.1</v>
      </c>
      <c r="E70" s="56" t="n">
        <v>7.16</v>
      </c>
      <c r="F70" s="56" t="n">
        <v>80.28</v>
      </c>
      <c r="G70" s="56" t="n">
        <v>24.4</v>
      </c>
      <c r="H70" s="56" t="n">
        <v>7.9</v>
      </c>
    </row>
    <row r="71">
      <c r="A71" s="55" t="inlineStr">
        <is>
          <t>FY25-3Q</t>
        </is>
      </c>
      <c r="B71" s="59" t="inlineStr">
        <is>
          <t>24.9~11</t>
        </is>
      </c>
      <c r="C71" s="56" t="n">
        <v>124.5</v>
      </c>
      <c r="D71" s="56" t="n">
        <v>8.029999999999999</v>
      </c>
      <c r="E71" s="56" t="n">
        <v>3.78</v>
      </c>
      <c r="F71" s="56" t="n">
        <v>42.33</v>
      </c>
      <c r="G71" s="56" t="n">
        <v>22.33</v>
      </c>
      <c r="H71" s="56" t="n">
        <v>6.4</v>
      </c>
    </row>
    <row r="72">
      <c r="A72" s="55" t="inlineStr">
        <is>
          <t>FY25-4Q</t>
        </is>
      </c>
      <c r="B72" s="59" t="inlineStr">
        <is>
          <t>24.12~25.2</t>
        </is>
      </c>
      <c r="C72" s="56" t="n">
        <v>123.06</v>
      </c>
      <c r="D72" s="56" t="n">
        <v>5.08</v>
      </c>
      <c r="E72" s="56" t="n">
        <v>3.85</v>
      </c>
      <c r="F72" s="56" t="n">
        <v>43.17</v>
      </c>
      <c r="G72" s="56" t="n">
        <v>20.41</v>
      </c>
      <c r="H72" s="56" t="n">
        <v>4.1</v>
      </c>
    </row>
    <row r="73">
      <c r="A73" s="55" t="inlineStr">
        <is>
          <t>FY26-1Q</t>
        </is>
      </c>
      <c r="B73" s="59" t="inlineStr">
        <is>
          <t>25.3~5</t>
        </is>
      </c>
      <c r="C73" s="56" t="n">
        <v>123.28</v>
      </c>
      <c r="D73" s="56" t="n">
        <v>7.5</v>
      </c>
      <c r="E73" s="56" t="n">
        <v>5.54</v>
      </c>
      <c r="F73" s="56" t="n">
        <v>62.16</v>
      </c>
      <c r="G73" s="56" t="n">
        <v>22.45</v>
      </c>
      <c r="H73" s="56" t="n">
        <v>6.1</v>
      </c>
    </row>
    <row r="74">
      <c r="A74" s="55" t="inlineStr">
        <is>
          <t>FY26-2Q</t>
        </is>
      </c>
      <c r="B74" s="59" t="inlineStr">
        <is>
          <t>25.6~8</t>
        </is>
      </c>
      <c r="C74" s="56" t="n">
        <v>126.58</v>
      </c>
      <c r="D74" s="56" t="n">
        <v>8.609999999999999</v>
      </c>
      <c r="E74" s="56" t="n">
        <v>5.05</v>
      </c>
      <c r="F74" s="56" t="n">
        <v>56.84</v>
      </c>
      <c r="G74" s="56" t="n">
        <v>24.19</v>
      </c>
      <c r="H74" s="56" t="n">
        <v>6.8</v>
      </c>
    </row>
    <row r="75">
      <c r="A75" s="55" t="inlineStr">
        <is>
          <t>FY26-3Q</t>
        </is>
      </c>
      <c r="B75" s="59" t="inlineStr">
        <is>
          <t>25.9~11</t>
        </is>
      </c>
      <c r="C75" s="56" t="n">
        <v>126.48</v>
      </c>
      <c r="D75" s="56" t="n">
        <v>7.57</v>
      </c>
      <c r="E75" s="56" t="n">
        <v>6.08</v>
      </c>
      <c r="F75" s="56" t="n">
        <v>68.61</v>
      </c>
      <c r="G75" s="56" t="n">
        <v>23.3</v>
      </c>
      <c r="H75" s="56" t="n">
        <v>6</v>
      </c>
    </row>
    <row r="76">
      <c r="A76" s="55" t="inlineStr">
        <is>
          <t>FY26-4Q</t>
        </is>
      </c>
      <c r="B76" s="59" t="inlineStr">
        <is>
          <t>25.12~26.2</t>
        </is>
      </c>
      <c r="C76" s="56" t="n">
        <v>120.01</v>
      </c>
      <c r="D76" s="56" t="n">
        <v>5.93</v>
      </c>
      <c r="E76" s="56" t="n">
        <v>5.08</v>
      </c>
      <c r="F76" s="56" t="n">
        <v>57.46</v>
      </c>
      <c r="G76" s="56" t="n">
        <v>21.44</v>
      </c>
      <c r="H76" s="56" t="n">
        <v>4.9</v>
      </c>
    </row>
    <row r="77">
      <c r="A77" s="55" t="inlineStr">
        <is>
          <t>FY27-1Q</t>
        </is>
      </c>
      <c r="B77" s="59" t="inlineStr">
        <is>
          <t>26.3~5</t>
        </is>
      </c>
      <c r="C77" s="56" t="n">
        <v>127.67</v>
      </c>
      <c r="D77" s="56" t="n">
        <v>7.99</v>
      </c>
      <c r="E77" s="56" t="n">
        <v>5.42</v>
      </c>
      <c r="F77" s="56" t="n">
        <v>61.27</v>
      </c>
      <c r="G77" s="56" t="n">
        <v>23.47</v>
      </c>
      <c r="H77" s="56" t="n">
        <v>6.3</v>
      </c>
    </row>
    <row r="78">
      <c r="A78" s="55" t="inlineStr">
        <is>
          <t>FY27-2Q</t>
        </is>
      </c>
      <c r="B78" s="59" t="inlineStr">
        <is>
          <t>26.6~8</t>
        </is>
      </c>
      <c r="C78" s="56" t="n">
        <v>153.01</v>
      </c>
      <c r="D78" s="56" t="n">
        <v>16.55</v>
      </c>
      <c r="E78" s="56" t="n">
        <v>10.99</v>
      </c>
      <c r="F78" s="56" t="n">
        <v>124.11</v>
      </c>
      <c r="G78" s="56" t="n">
        <v>32.33</v>
      </c>
      <c r="H78" s="56" t="n">
        <v>10.8</v>
      </c>
    </row>
    <row r="80">
      <c r="A80" s="53" t="inlineStr">
        <is>
          <t>PER band</t>
        </is>
      </c>
      <c r="B80" s="53" t="n"/>
      <c r="C80" s="53" t="n"/>
      <c r="D80" s="53" t="n"/>
      <c r="E80" s="53" t="n"/>
      <c r="F80" s="53" t="n"/>
      <c r="G80" s="53" t="n"/>
      <c r="H80" s="53" t="n"/>
      <c r="I80" s="53" t="n"/>
    </row>
    <row r="81">
      <c r="A81" s="54" t="inlineStr">
        <is>
          <t>항목</t>
        </is>
      </c>
      <c r="B81" s="54" t="inlineStr">
        <is>
          <t>px</t>
        </is>
      </c>
      <c r="C81" s="54" t="inlineStr">
        <is>
          <t>EPS</t>
        </is>
      </c>
      <c r="D81" s="54" t="inlineStr">
        <is>
          <t>PER</t>
        </is>
      </c>
      <c r="I81" s="54" t="inlineStr">
        <is>
          <t>출처</t>
        </is>
      </c>
    </row>
    <row r="82">
      <c r="A82" s="55" t="inlineStr">
        <is>
          <t>2021-11</t>
        </is>
      </c>
      <c r="B82" s="56" t="n">
        <v>1316.3</v>
      </c>
      <c r="C82" s="56" t="n">
        <v>160.99</v>
      </c>
      <c r="D82" s="56" t="n">
        <v>8.18</v>
      </c>
      <c r="I82" s="57" t="inlineStr">
        <is>
          <t>2단계 보고서 자료(회사 설명회 자료·공시)</t>
        </is>
      </c>
    </row>
    <row r="83">
      <c r="A83" s="55" t="inlineStr">
        <is>
          <t>2021-12</t>
        </is>
      </c>
      <c r="B83" s="56" t="n">
        <v>1441.8</v>
      </c>
      <c r="C83" s="56" t="n">
        <v>160.99</v>
      </c>
      <c r="D83" s="56" t="n">
        <v>8.960000000000001</v>
      </c>
    </row>
    <row r="84">
      <c r="A84" s="55" t="inlineStr">
        <is>
          <t>2022-01</t>
        </is>
      </c>
      <c r="B84" s="56" t="n">
        <v>1412.9</v>
      </c>
      <c r="C84" s="56" t="n">
        <v>160.99</v>
      </c>
      <c r="D84" s="56" t="n">
        <v>8.779999999999999</v>
      </c>
    </row>
    <row r="85">
      <c r="A85" s="55" t="inlineStr">
        <is>
          <t>2022-02</t>
        </is>
      </c>
      <c r="B85" s="56" t="n">
        <v>1378.6</v>
      </c>
      <c r="C85" s="56" t="n">
        <v>160.99</v>
      </c>
      <c r="D85" s="56" t="n">
        <v>8.56</v>
      </c>
    </row>
    <row r="86">
      <c r="A86" s="55" t="inlineStr">
        <is>
          <t>2022-03</t>
        </is>
      </c>
      <c r="B86" s="56" t="n">
        <v>1334.8</v>
      </c>
      <c r="C86" s="56" t="n">
        <v>160.99</v>
      </c>
      <c r="D86" s="56" t="n">
        <v>8.289999999999999</v>
      </c>
    </row>
    <row r="87">
      <c r="A87" s="55" t="inlineStr">
        <is>
          <t>2022-04</t>
        </is>
      </c>
      <c r="B87" s="56" t="n">
        <v>1288.5</v>
      </c>
      <c r="C87" s="56" t="n">
        <v>179.94</v>
      </c>
      <c r="D87" s="56" t="n">
        <v>7.16</v>
      </c>
    </row>
    <row r="88">
      <c r="A88" s="55" t="inlineStr">
        <is>
          <t>2022-05</t>
        </is>
      </c>
      <c r="B88" s="56" t="n">
        <v>1359.3</v>
      </c>
      <c r="C88" s="56" t="n">
        <v>179.94</v>
      </c>
      <c r="D88" s="56" t="n">
        <v>7.55</v>
      </c>
    </row>
    <row r="89">
      <c r="A89" s="55" t="inlineStr">
        <is>
          <t>2022-06</t>
        </is>
      </c>
      <c r="B89" s="56" t="n">
        <v>1380.3</v>
      </c>
      <c r="C89" s="56" t="n">
        <v>179.94</v>
      </c>
      <c r="D89" s="56" t="n">
        <v>7.67</v>
      </c>
    </row>
    <row r="90">
      <c r="A90" s="55" t="inlineStr">
        <is>
          <t>2022-07</t>
        </is>
      </c>
      <c r="B90" s="56" t="n">
        <v>1366.8</v>
      </c>
      <c r="C90" s="56" t="n">
        <v>179.94</v>
      </c>
      <c r="D90" s="56" t="n">
        <v>7.6</v>
      </c>
    </row>
    <row r="91">
      <c r="A91" s="55" t="inlineStr">
        <is>
          <t>2022-08</t>
        </is>
      </c>
      <c r="B91" s="56" t="n">
        <v>1358.7</v>
      </c>
      <c r="C91" s="56" t="n">
        <v>179.94</v>
      </c>
      <c r="D91" s="56" t="n">
        <v>7.55</v>
      </c>
    </row>
    <row r="92">
      <c r="A92" s="55" t="inlineStr">
        <is>
          <t>2022-09</t>
        </is>
      </c>
      <c r="B92" s="56" t="n">
        <v>1326.1</v>
      </c>
      <c r="C92" s="56" t="n">
        <v>179.94</v>
      </c>
      <c r="D92" s="56" t="n">
        <v>7.37</v>
      </c>
    </row>
    <row r="93">
      <c r="A93" s="55" t="inlineStr">
        <is>
          <t>2022-10</t>
        </is>
      </c>
      <c r="B93" s="56" t="n">
        <v>1278</v>
      </c>
      <c r="C93" s="56" t="n">
        <v>179.94</v>
      </c>
      <c r="D93" s="56" t="n">
        <v>7.1</v>
      </c>
    </row>
    <row r="94">
      <c r="A94" s="55" t="inlineStr">
        <is>
          <t>2022-11</t>
        </is>
      </c>
      <c r="B94" s="56" t="n">
        <v>1345.8</v>
      </c>
      <c r="C94" s="56" t="n">
        <v>179.94</v>
      </c>
      <c r="D94" s="56" t="n">
        <v>7.48</v>
      </c>
    </row>
    <row r="95">
      <c r="A95" s="55" t="inlineStr">
        <is>
          <t>2022-12</t>
        </is>
      </c>
      <c r="B95" s="56" t="n">
        <v>1366.5</v>
      </c>
      <c r="C95" s="56" t="n">
        <v>179.94</v>
      </c>
      <c r="D95" s="56" t="n">
        <v>7.59</v>
      </c>
    </row>
    <row r="96">
      <c r="A96" s="55" t="inlineStr">
        <is>
          <t>2023-01</t>
        </is>
      </c>
      <c r="B96" s="56" t="n">
        <v>1363</v>
      </c>
      <c r="C96" s="56" t="n">
        <v>179.94</v>
      </c>
      <c r="D96" s="56" t="n">
        <v>7.57</v>
      </c>
    </row>
    <row r="97">
      <c r="A97" s="55" t="inlineStr">
        <is>
          <t>2023-02</t>
        </is>
      </c>
      <c r="B97" s="56" t="n">
        <v>1384</v>
      </c>
      <c r="C97" s="56" t="n">
        <v>179.94</v>
      </c>
      <c r="D97" s="56" t="n">
        <v>7.69</v>
      </c>
    </row>
    <row r="98">
      <c r="A98" s="55" t="inlineStr">
        <is>
          <t>2023-03</t>
        </is>
      </c>
      <c r="B98" s="56" t="n">
        <v>1377</v>
      </c>
      <c r="C98" s="56" t="n">
        <v>179.94</v>
      </c>
      <c r="D98" s="56" t="n">
        <v>7.65</v>
      </c>
    </row>
    <row r="99">
      <c r="A99" s="55" t="inlineStr">
        <is>
          <t>2023-04</t>
        </is>
      </c>
      <c r="B99" s="56" t="n">
        <v>1384</v>
      </c>
      <c r="C99" s="56" t="n">
        <v>157.27</v>
      </c>
      <c r="D99" s="56" t="n">
        <v>8.800000000000001</v>
      </c>
    </row>
    <row r="100">
      <c r="A100" s="55" t="inlineStr">
        <is>
          <t>2023-05</t>
        </is>
      </c>
      <c r="B100" s="56" t="n">
        <v>1405.9</v>
      </c>
      <c r="C100" s="56" t="n">
        <v>157.27</v>
      </c>
      <c r="D100" s="56" t="n">
        <v>8.94</v>
      </c>
    </row>
    <row r="101">
      <c r="A101" s="55" t="inlineStr">
        <is>
          <t>2023-06</t>
        </is>
      </c>
      <c r="B101" s="56" t="n">
        <v>1464.5</v>
      </c>
      <c r="C101" s="56" t="n">
        <v>157.27</v>
      </c>
      <c r="D101" s="56" t="n">
        <v>9.31</v>
      </c>
    </row>
    <row r="102">
      <c r="A102" s="55" t="inlineStr">
        <is>
          <t>2023-07</t>
        </is>
      </c>
      <c r="B102" s="56" t="n">
        <v>1433.9</v>
      </c>
      <c r="C102" s="56" t="n">
        <v>157.27</v>
      </c>
      <c r="D102" s="56" t="n">
        <v>9.119999999999999</v>
      </c>
    </row>
    <row r="103">
      <c r="A103" s="55" t="inlineStr">
        <is>
          <t>2023-08</t>
        </is>
      </c>
      <c r="B103" s="56" t="n">
        <v>1471.3</v>
      </c>
      <c r="C103" s="56" t="n">
        <v>157.27</v>
      </c>
      <c r="D103" s="56" t="n">
        <v>9.359999999999999</v>
      </c>
    </row>
    <row r="104">
      <c r="A104" s="55" t="inlineStr">
        <is>
          <t>2023-09</t>
        </is>
      </c>
      <c r="B104" s="56" t="n">
        <v>1479.3</v>
      </c>
      <c r="C104" s="56" t="n">
        <v>157.27</v>
      </c>
      <c r="D104" s="56" t="n">
        <v>9.41</v>
      </c>
    </row>
    <row r="105">
      <c r="A105" s="55" t="inlineStr">
        <is>
          <t>2023-10</t>
        </is>
      </c>
      <c r="B105" s="56" t="n">
        <v>1448.1</v>
      </c>
      <c r="C105" s="56" t="n">
        <v>157.27</v>
      </c>
      <c r="D105" s="56" t="n">
        <v>9.210000000000001</v>
      </c>
    </row>
    <row r="106">
      <c r="A106" s="55" t="inlineStr">
        <is>
          <t>2023-11</t>
        </is>
      </c>
      <c r="B106" s="56" t="n">
        <v>1457.9</v>
      </c>
      <c r="C106" s="56" t="n">
        <v>157.27</v>
      </c>
      <c r="D106" s="56" t="n">
        <v>9.27</v>
      </c>
    </row>
    <row r="107">
      <c r="A107" s="55" t="inlineStr">
        <is>
          <t>2023-12</t>
        </is>
      </c>
      <c r="B107" s="56" t="n">
        <v>1482.9</v>
      </c>
      <c r="C107" s="56" t="n">
        <v>157.27</v>
      </c>
      <c r="D107" s="56" t="n">
        <v>9.43</v>
      </c>
    </row>
    <row r="108">
      <c r="A108" s="55" t="inlineStr">
        <is>
          <t>2024-01</t>
        </is>
      </c>
      <c r="B108" s="56" t="n">
        <v>1567.6</v>
      </c>
      <c r="C108" s="56" t="n">
        <v>157.27</v>
      </c>
      <c r="D108" s="56" t="n">
        <v>9.970000000000001</v>
      </c>
    </row>
    <row r="109">
      <c r="A109" s="55" t="inlineStr">
        <is>
          <t>2024-02</t>
        </is>
      </c>
      <c r="B109" s="56" t="n">
        <v>1515.3</v>
      </c>
      <c r="C109" s="56" t="n">
        <v>157.27</v>
      </c>
      <c r="D109" s="56" t="n">
        <v>9.640000000000001</v>
      </c>
    </row>
    <row r="110">
      <c r="A110" s="55" t="inlineStr">
        <is>
          <t>2024-03</t>
        </is>
      </c>
      <c r="B110" s="56" t="n">
        <v>1499</v>
      </c>
      <c r="C110" s="56" t="n">
        <v>157.27</v>
      </c>
      <c r="D110" s="56" t="n">
        <v>9.529999999999999</v>
      </c>
    </row>
    <row r="111">
      <c r="A111" s="55" t="inlineStr">
        <is>
          <t>2024-04</t>
        </is>
      </c>
      <c r="B111" s="56" t="n">
        <v>1514.4</v>
      </c>
      <c r="C111" s="56" t="n">
        <v>128.48</v>
      </c>
      <c r="D111" s="56" t="n">
        <v>11.79</v>
      </c>
    </row>
    <row r="112">
      <c r="A112" s="55" t="inlineStr">
        <is>
          <t>2024-05</t>
        </is>
      </c>
      <c r="B112" s="56" t="n">
        <v>1465.3</v>
      </c>
      <c r="C112" s="56" t="n">
        <v>128.48</v>
      </c>
      <c r="D112" s="56" t="n">
        <v>11.4</v>
      </c>
    </row>
    <row r="113">
      <c r="A113" s="55" t="inlineStr">
        <is>
          <t>2024-06</t>
        </is>
      </c>
      <c r="B113" s="56" t="n">
        <v>1499.9</v>
      </c>
      <c r="C113" s="56" t="n">
        <v>128.48</v>
      </c>
      <c r="D113" s="56" t="n">
        <v>11.67</v>
      </c>
    </row>
    <row r="114">
      <c r="A114" s="55" t="inlineStr">
        <is>
          <t>2024-07</t>
        </is>
      </c>
      <c r="B114" s="56" t="n">
        <v>1511.7</v>
      </c>
      <c r="C114" s="56" t="n">
        <v>154.78</v>
      </c>
      <c r="D114" s="56" t="n">
        <v>9.77</v>
      </c>
    </row>
    <row r="115">
      <c r="A115" s="55" t="inlineStr">
        <is>
          <t>2024-08</t>
        </is>
      </c>
      <c r="B115" s="56" t="n">
        <v>1491.9</v>
      </c>
      <c r="C115" s="56" t="n">
        <v>154.78</v>
      </c>
      <c r="D115" s="56" t="n">
        <v>9.640000000000001</v>
      </c>
    </row>
    <row r="116">
      <c r="A116" s="55" t="inlineStr">
        <is>
          <t>2024-09</t>
        </is>
      </c>
      <c r="B116" s="56" t="n">
        <v>1480.8</v>
      </c>
      <c r="C116" s="56" t="n">
        <v>154.78</v>
      </c>
      <c r="D116" s="56" t="n">
        <v>9.57</v>
      </c>
    </row>
    <row r="117">
      <c r="A117" s="55" t="inlineStr">
        <is>
          <t>2024-10</t>
        </is>
      </c>
      <c r="B117" s="56" t="n">
        <v>1543.8</v>
      </c>
      <c r="C117" s="56" t="n">
        <v>184.49</v>
      </c>
      <c r="D117" s="56" t="n">
        <v>8.369999999999999</v>
      </c>
    </row>
    <row r="118">
      <c r="A118" s="55" t="inlineStr">
        <is>
          <t>2024-11</t>
        </is>
      </c>
      <c r="B118" s="56" t="n">
        <v>1558.6</v>
      </c>
      <c r="C118" s="56" t="n">
        <v>184.49</v>
      </c>
      <c r="D118" s="56" t="n">
        <v>8.449999999999999</v>
      </c>
    </row>
    <row r="119">
      <c r="A119" s="55" t="inlineStr">
        <is>
          <t>2024-12</t>
        </is>
      </c>
      <c r="B119" s="56" t="n">
        <v>1620.7</v>
      </c>
      <c r="C119" s="56" t="n">
        <v>184.49</v>
      </c>
      <c r="D119" s="56" t="n">
        <v>8.779999999999999</v>
      </c>
    </row>
    <row r="120">
      <c r="A120" s="55" t="inlineStr">
        <is>
          <t>2025-01</t>
        </is>
      </c>
      <c r="B120" s="56" t="n">
        <v>1623.5</v>
      </c>
      <c r="C120" s="56" t="n">
        <v>134.7</v>
      </c>
      <c r="D120" s="56" t="n">
        <v>12.05</v>
      </c>
    </row>
    <row r="121">
      <c r="A121" s="55" t="inlineStr">
        <is>
          <t>2025-02</t>
        </is>
      </c>
      <c r="B121" s="56" t="n">
        <v>1601.4</v>
      </c>
      <c r="C121" s="56" t="n">
        <v>134.7</v>
      </c>
      <c r="D121" s="56" t="n">
        <v>11.89</v>
      </c>
    </row>
    <row r="122">
      <c r="A122" s="55" t="inlineStr">
        <is>
          <t>2025-03</t>
        </is>
      </c>
      <c r="B122" s="56" t="n">
        <v>1613.6</v>
      </c>
      <c r="C122" s="56" t="n">
        <v>134.7</v>
      </c>
      <c r="D122" s="56" t="n">
        <v>11.98</v>
      </c>
    </row>
    <row r="123">
      <c r="A123" s="55" t="inlineStr">
        <is>
          <t>2025-04</t>
        </is>
      </c>
      <c r="B123" s="56" t="n">
        <v>1607</v>
      </c>
      <c r="C123" s="56" t="n">
        <v>225.39</v>
      </c>
      <c r="D123" s="56" t="n">
        <v>7.13</v>
      </c>
    </row>
    <row r="124">
      <c r="A124" s="55" t="inlineStr">
        <is>
          <t>2025-05</t>
        </is>
      </c>
      <c r="B124" s="56" t="n">
        <v>1632.5</v>
      </c>
      <c r="C124" s="56" t="n">
        <v>225.39</v>
      </c>
      <c r="D124" s="56" t="n">
        <v>7.24</v>
      </c>
    </row>
    <row r="125">
      <c r="A125" s="55" t="inlineStr">
        <is>
          <t>2025-06</t>
        </is>
      </c>
      <c r="B125" s="56" t="n">
        <v>1643.9</v>
      </c>
      <c r="C125" s="56" t="n">
        <v>225.39</v>
      </c>
      <c r="D125" s="56" t="n">
        <v>7.29</v>
      </c>
    </row>
    <row r="126">
      <c r="A126" s="55" t="inlineStr">
        <is>
          <t>2025-07</t>
        </is>
      </c>
      <c r="B126" s="56" t="n">
        <v>1888.7</v>
      </c>
      <c r="C126" s="56" t="n">
        <v>227.94</v>
      </c>
      <c r="D126" s="56" t="n">
        <v>8.289999999999999</v>
      </c>
    </row>
    <row r="127">
      <c r="A127" s="55" t="inlineStr">
        <is>
          <t>2025-08</t>
        </is>
      </c>
      <c r="B127" s="56" t="n">
        <v>1875.4</v>
      </c>
      <c r="C127" s="56" t="n">
        <v>227.94</v>
      </c>
      <c r="D127" s="56" t="n">
        <v>8.23</v>
      </c>
    </row>
    <row r="128">
      <c r="A128" s="55" t="inlineStr">
        <is>
          <t>2025-09</t>
        </is>
      </c>
      <c r="B128" s="56" t="n">
        <v>1850.4</v>
      </c>
      <c r="C128" s="56" t="n">
        <v>227.94</v>
      </c>
      <c r="D128" s="56" t="n">
        <v>8.119999999999999</v>
      </c>
    </row>
    <row r="129">
      <c r="A129" s="55" t="inlineStr">
        <is>
          <t>2025-10</t>
        </is>
      </c>
      <c r="B129" s="56" t="n">
        <v>1743.7</v>
      </c>
      <c r="C129" s="56" t="n">
        <v>204.5</v>
      </c>
      <c r="D129" s="56" t="n">
        <v>8.529999999999999</v>
      </c>
    </row>
    <row r="130">
      <c r="A130" s="55" t="inlineStr">
        <is>
          <t>2025-11</t>
        </is>
      </c>
      <c r="B130" s="56" t="n">
        <v>1739.8</v>
      </c>
      <c r="C130" s="56" t="n">
        <v>204.5</v>
      </c>
      <c r="D130" s="56" t="n">
        <v>8.51</v>
      </c>
    </row>
    <row r="131">
      <c r="A131" s="55" t="inlineStr">
        <is>
          <t>2025-12</t>
        </is>
      </c>
      <c r="B131" s="56" t="n">
        <v>1859</v>
      </c>
      <c r="C131" s="56" t="n">
        <v>204.5</v>
      </c>
      <c r="D131" s="56" t="n">
        <v>9.09</v>
      </c>
    </row>
    <row r="132">
      <c r="A132" s="55" t="inlineStr">
        <is>
          <t>2026-01</t>
        </is>
      </c>
      <c r="B132" s="56" t="n">
        <v>1907.1</v>
      </c>
      <c r="C132" s="56" t="n">
        <v>230.78</v>
      </c>
      <c r="D132" s="56" t="n">
        <v>8.26</v>
      </c>
    </row>
    <row r="133">
      <c r="A133" s="55" t="inlineStr">
        <is>
          <t>2026-02</t>
        </is>
      </c>
      <c r="B133" s="56" t="n">
        <v>1958.3</v>
      </c>
      <c r="C133" s="56" t="n">
        <v>230.78</v>
      </c>
      <c r="D133" s="56" t="n">
        <v>8.49</v>
      </c>
    </row>
    <row r="134">
      <c r="A134" s="55" t="inlineStr">
        <is>
          <t>2026-03</t>
        </is>
      </c>
      <c r="B134" s="56" t="n">
        <v>1753.6</v>
      </c>
      <c r="C134" s="56" t="n">
        <v>230.78</v>
      </c>
      <c r="D134" s="56" t="n">
        <v>7.6</v>
      </c>
    </row>
    <row r="135">
      <c r="A135" s="55" t="inlineStr">
        <is>
          <t>2026-04</t>
        </is>
      </c>
      <c r="B135" s="56" t="n">
        <v>1865.3</v>
      </c>
      <c r="C135" s="56" t="n">
        <v>245.07</v>
      </c>
      <c r="D135" s="56" t="n">
        <v>7.61</v>
      </c>
    </row>
    <row r="136">
      <c r="A136" s="55" t="inlineStr">
        <is>
          <t>2026-05</t>
        </is>
      </c>
      <c r="B136" s="56" t="n">
        <v>1874.1</v>
      </c>
      <c r="C136" s="56" t="n">
        <v>245.07</v>
      </c>
      <c r="D136" s="56" t="n">
        <v>7.65</v>
      </c>
    </row>
    <row r="137">
      <c r="A137" s="55" t="inlineStr">
        <is>
          <t>2026-06</t>
        </is>
      </c>
      <c r="B137" s="56" t="n">
        <v>1875</v>
      </c>
      <c r="C137" s="56" t="n">
        <v>245.07</v>
      </c>
      <c r="D137" s="56" t="n">
        <v>7.65</v>
      </c>
    </row>
    <row r="138">
      <c r="A138" s="55" t="inlineStr">
        <is>
          <t>2026-07</t>
        </is>
      </c>
      <c r="B138" s="56" t="n">
        <v>1856.4</v>
      </c>
      <c r="C138" s="56" t="n">
        <v>244.18</v>
      </c>
      <c r="D138" s="56" t="n">
        <v>7.6</v>
      </c>
    </row>
    <row r="139">
      <c r="A139" s="55" t="inlineStr">
        <is>
          <t>2026-08</t>
        </is>
      </c>
      <c r="B139" s="56" t="n">
        <v>1965</v>
      </c>
      <c r="C139" s="56" t="n">
        <v>244.18</v>
      </c>
      <c r="D139" s="56" t="n">
        <v>8.050000000000001</v>
      </c>
    </row>
    <row r="140">
      <c r="A140" s="55" t="inlineStr">
        <is>
          <t>2026-09</t>
        </is>
      </c>
      <c r="B140" s="56" t="n">
        <v>2297</v>
      </c>
      <c r="C140" s="56" t="n">
        <v>244.18</v>
      </c>
      <c r="D140" s="56" t="n">
        <v>9.41</v>
      </c>
    </row>
    <row r="141">
      <c r="A141" s="55" t="inlineStr">
        <is>
          <t>2026-10</t>
        </is>
      </c>
      <c r="B141" s="56" t="n">
        <v>2606</v>
      </c>
      <c r="C141" s="56" t="n">
        <v>311.45</v>
      </c>
      <c r="D141" s="56" t="n">
        <v>8.369999999999999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1" t="inlineStr">
        <is>
          <t>출처 · 쓴 결산단신</t>
        </is>
      </c>
    </row>
    <row r="3">
      <c r="A3" s="60" t="inlineStr">
        <is>
          <t>공시일</t>
        </is>
      </c>
      <c r="B3" s="60" t="inlineStr">
        <is>
          <t>문서</t>
        </is>
      </c>
      <c r="C3" s="60" t="inlineStr">
        <is>
          <t>PDF</t>
        </is>
      </c>
    </row>
    <row r="4">
      <c r="A4" t="inlineStr">
        <is>
          <t>2026-10-13</t>
        </is>
      </c>
      <c r="B4" t="inlineStr">
        <is>
          <t>2027년 2월 결산기 ２분기 결산단신</t>
        </is>
      </c>
      <c r="C4" t="inlineStr">
        <is>
          <t>https://www2.jpx.co.jp/disc/78110/140120261009548752.pdf</t>
        </is>
      </c>
    </row>
    <row r="5">
      <c r="A5" t="inlineStr">
        <is>
          <t>2026-07-10</t>
        </is>
      </c>
      <c r="B5" t="inlineStr">
        <is>
          <t>2027년 2월 결산기 １분기 결산단신</t>
        </is>
      </c>
      <c r="C5" t="inlineStr">
        <is>
          <t>https://www2.jpx.co.jp/disc/78110/140120260709590279.pdf</t>
        </is>
      </c>
    </row>
    <row r="6">
      <c r="A6" t="inlineStr">
        <is>
          <t>2026-04-10</t>
        </is>
      </c>
      <c r="B6" t="inlineStr">
        <is>
          <t>2026년 2월 결산기 연간 결산단신</t>
        </is>
      </c>
      <c r="C6" t="inlineStr">
        <is>
          <t>https://www2.jpx.co.jp/disc/78110/140120260410501683.pdf</t>
        </is>
      </c>
    </row>
    <row r="7">
      <c r="A7" t="inlineStr">
        <is>
          <t>2026-01-14</t>
        </is>
      </c>
      <c r="B7" t="inlineStr">
        <is>
          <t>2026년 2월 결산기 ３분기 결산단신</t>
        </is>
      </c>
      <c r="C7" t="inlineStr">
        <is>
          <t>https://www2.jpx.co.jp/disc/78110/140120260114533240.pdf</t>
        </is>
      </c>
    </row>
    <row r="8">
      <c r="A8" t="inlineStr">
        <is>
          <t>2025-10-10</t>
        </is>
      </c>
      <c r="B8" t="inlineStr">
        <is>
          <t>2026년 2월 결산기 ２분기 결산단신</t>
        </is>
      </c>
      <c r="C8" t="inlineStr">
        <is>
          <t>https://www2.jpx.co.jp/disc/78110/140120251010571506.pdf</t>
        </is>
      </c>
    </row>
    <row r="9">
      <c r="A9" t="inlineStr">
        <is>
          <t>2025-07-11</t>
        </is>
      </c>
      <c r="B9" t="inlineStr">
        <is>
          <t>2026년 2월 결산기 １분기 결산단신</t>
        </is>
      </c>
      <c r="C9" t="inlineStr">
        <is>
          <t>https://www2.jpx.co.jp/disc/78110/140120250711512526.pdf</t>
        </is>
      </c>
    </row>
    <row r="10">
      <c r="A10" t="inlineStr">
        <is>
          <t>2025-04-10</t>
        </is>
      </c>
      <c r="B10" t="inlineStr">
        <is>
          <t>2025년 2월 결산기 연간 결산단신</t>
        </is>
      </c>
      <c r="C10" t="inlineStr">
        <is>
          <t>https://www2.jpx.co.jp/disc/78110/140120250410512234.pdf</t>
        </is>
      </c>
    </row>
    <row r="11">
      <c r="A11" t="inlineStr">
        <is>
          <t>2025-01-14</t>
        </is>
      </c>
      <c r="B11" t="inlineStr">
        <is>
          <t>2025년 2월 결산기 ３분기 결산단신</t>
        </is>
      </c>
      <c r="C11" t="inlineStr">
        <is>
          <t>https://www2.jpx.co.jp/disc/78110/140120250114550385.pdf</t>
        </is>
      </c>
    </row>
    <row r="12">
      <c r="A12" t="inlineStr">
        <is>
          <t>2024-10-08</t>
        </is>
      </c>
      <c r="B12" t="inlineStr">
        <is>
          <t>2025년 2월 결산기 ２분기 결산단신</t>
        </is>
      </c>
      <c r="C12" t="inlineStr">
        <is>
          <t>https://www2.jpx.co.jp/disc/78110/140120241008595004.pdf</t>
        </is>
      </c>
    </row>
    <row r="13">
      <c r="A13" t="inlineStr">
        <is>
          <t>2024-07-08</t>
        </is>
      </c>
      <c r="B13" t="inlineStr">
        <is>
          <t>2025년 2월 결산기 １분기 결산단신</t>
        </is>
      </c>
      <c r="C13" t="inlineStr">
        <is>
          <t>https://www2.jpx.co.jp/disc/78110/140120240708545502.pdf</t>
        </is>
      </c>
    </row>
    <row r="14">
      <c r="A14" t="inlineStr">
        <is>
          <t>2024-04-08</t>
        </is>
      </c>
      <c r="B14" t="inlineStr">
        <is>
          <t>2024년 2월 결산기 연간 결산단신</t>
        </is>
      </c>
      <c r="C14" t="inlineStr">
        <is>
          <t>https://www2.jpx.co.jp/disc/78110/140120240408567234.pdf</t>
        </is>
      </c>
    </row>
    <row r="15">
      <c r="A15" t="inlineStr">
        <is>
          <t>2024-01-15</t>
        </is>
      </c>
      <c r="B15" t="inlineStr">
        <is>
          <t>2024년 2월 결산기 ３분기 결산단신</t>
        </is>
      </c>
      <c r="C15" t="inlineStr">
        <is>
          <t>https://www2.jpx.co.jp/disc/78110/140120240115514875.pdf</t>
        </is>
      </c>
    </row>
    <row r="16">
      <c r="A16" t="inlineStr">
        <is>
          <t>2023-10-10</t>
        </is>
      </c>
      <c r="B16" t="inlineStr">
        <is>
          <t>2024년 2월 결산기 ２분기 결산단신</t>
        </is>
      </c>
      <c r="C16" t="inlineStr">
        <is>
          <t>https://www2.jpx.co.jp/disc/78110/140120231010564333.pdf</t>
        </is>
      </c>
    </row>
    <row r="17">
      <c r="A17" t="inlineStr">
        <is>
          <t>2023-07-10</t>
        </is>
      </c>
      <c r="B17" t="inlineStr">
        <is>
          <t>2024년 2월 결산기 １분기 결산단신</t>
        </is>
      </c>
      <c r="C17" t="inlineStr">
        <is>
          <t>https://www2.jpx.co.jp/disc/78110/140120230710519546.pdf</t>
        </is>
      </c>
    </row>
    <row r="18">
      <c r="A18" t="inlineStr">
        <is>
          <t>2023-04-10</t>
        </is>
      </c>
      <c r="B18" t="inlineStr">
        <is>
          <t>2023년 2월 결산기 연간 결산단신</t>
        </is>
      </c>
      <c r="C18" t="inlineStr">
        <is>
          <t>https://www2.jpx.co.jp/disc/78110/140120230410544696.pdf</t>
        </is>
      </c>
    </row>
    <row r="19">
      <c r="A19" t="inlineStr">
        <is>
          <t>2023-01-12</t>
        </is>
      </c>
      <c r="B19" t="inlineStr">
        <is>
          <t>2023년 2월 결산기 ３분기 결산단신</t>
        </is>
      </c>
      <c r="C19" t="inlineStr">
        <is>
          <t>https://www2.jpx.co.jp/disc/78110/140120230112588111.pdf</t>
        </is>
      </c>
    </row>
    <row r="20">
      <c r="A20" t="inlineStr">
        <is>
          <t>2022-04-08</t>
        </is>
      </c>
      <c r="B20" t="inlineStr">
        <is>
          <t>2022년 2월 결산기 연간 결산단신</t>
        </is>
      </c>
      <c r="C20" t="inlineStr">
        <is>
          <t>https://www2.jpx.co.jp/disc/78110/140120220408519298.pdf</t>
        </is>
      </c>
    </row>
    <row r="21">
      <c r="A21" t="inlineStr">
        <is>
          <t>2021-04-08</t>
        </is>
      </c>
      <c r="B21" t="inlineStr">
        <is>
          <t>2021년 2월 결산기 연간 결산단신</t>
        </is>
      </c>
      <c r="C21" t="inlineStr">
        <is>
          <t>https://www2.jpx.co.jp/disc/78110/140120210408491324.pdf</t>
        </is>
      </c>
    </row>
    <row r="22">
      <c r="A22" t="inlineStr">
        <is>
          <t>2020-04-13</t>
        </is>
      </c>
      <c r="B22" t="inlineStr">
        <is>
          <t>2020년 2월 결산기 연간 결산단신</t>
        </is>
      </c>
      <c r="C22" t="inlineStr">
        <is>
          <t>https://www2.jpx.co.jp/disc/78110/140120200413493087.pdf</t>
        </is>
      </c>
    </row>
    <row r="23">
      <c r="A23" t="inlineStr">
        <is>
          <t>2019-04-12</t>
        </is>
      </c>
      <c r="B23" t="inlineStr">
        <is>
          <t>2019년 2월 결산기 연간 결산단신</t>
        </is>
      </c>
      <c r="C23" t="inlineStr">
        <is>
          <t>https://www2.jpx.co.jp/disc/78110/140120190412403986.pdf</t>
        </is>
      </c>
    </row>
    <row r="24">
      <c r="A24" t="inlineStr">
        <is>
          <t>2018-04-13</t>
        </is>
      </c>
      <c r="B24" t="inlineStr">
        <is>
          <t>연간 결산단신</t>
        </is>
      </c>
      <c r="C24" t="inlineStr">
        <is>
          <t>https://www2.jpx.co.jp/disc/78110/140120180413411074.pdf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2026-10-25T07:48:15Z</dcterms:created>
  <dcterms:modified xmlns:dcterms="http://purl.org/dc/terms/" xmlns:xsi="http://www.w3.org/2001/XMLSchema-instance" xsi:type="dcterms:W3CDTF">2026-10-25T07:48:16Z</dcterms:modified>
</cp:coreProperties>
</file>