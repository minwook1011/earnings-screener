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6473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476550</v>
      </c>
      <c r="D4" s="12" t="n">
        <v>489596</v>
      </c>
      <c r="E4" s="12" t="n">
        <v>479677</v>
      </c>
      <c r="F4" s="12" t="n">
        <v>464057</v>
      </c>
      <c r="G4" s="12" t="n">
        <v>454422</v>
      </c>
      <c r="H4" s="12" t="n">
        <v>466587</v>
      </c>
      <c r="I4" s="12" t="n">
        <v>499331</v>
      </c>
      <c r="J4" s="12" t="n">
        <v>454794</v>
      </c>
      <c r="K4" s="12" t="n">
        <v>475381</v>
      </c>
      <c r="L4" s="12" t="n">
        <v>473149</v>
      </c>
      <c r="M4" s="12" t="n">
        <v>521626</v>
      </c>
      <c r="N4" s="12" t="n">
        <v>491973</v>
      </c>
      <c r="O4" s="11" t="n"/>
      <c r="P4" s="12" t="n">
        <v>647101</v>
      </c>
      <c r="Q4" s="12" t="n">
        <v>1520886</v>
      </c>
      <c r="R4" s="12" t="n">
        <v>1418896</v>
      </c>
      <c r="S4" s="12" t="n">
        <v>1246286</v>
      </c>
      <c r="T4" s="12" t="n">
        <v>1428426</v>
      </c>
      <c r="U4" s="12" t="n">
        <v>1678146</v>
      </c>
      <c r="V4" s="12" t="n">
        <v>1891504</v>
      </c>
      <c r="W4" s="12" t="n">
        <v>1884397</v>
      </c>
      <c r="X4" s="12" t="n">
        <v>1924950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MobilitiesReportableSegmentMember</t>
        </is>
      </c>
      <c r="B7" s="10" t="n"/>
      <c r="C7" s="19" t="n">
        <v>336647</v>
      </c>
      <c r="D7" s="20" t="n">
        <v>352800</v>
      </c>
      <c r="E7" s="20" t="n">
        <v>341808</v>
      </c>
      <c r="F7" s="20" t="n">
        <v>331207</v>
      </c>
      <c r="G7" s="20" t="n">
        <v>316356</v>
      </c>
      <c r="H7" s="20" t="n">
        <v>331311</v>
      </c>
      <c r="I7" s="20" t="n">
        <v>354276</v>
      </c>
      <c r="J7" s="20" t="n">
        <v>323882</v>
      </c>
      <c r="K7" s="20" t="n">
        <v>334864</v>
      </c>
      <c r="L7" s="20" t="n">
        <v>337605</v>
      </c>
      <c r="M7" s="20" t="n">
        <v>370654</v>
      </c>
      <c r="N7" s="20" t="n">
        <v>355287</v>
      </c>
      <c r="O7" s="19" t="n"/>
      <c r="P7" s="20" t="n"/>
      <c r="Q7" s="20" t="n"/>
      <c r="R7" s="20" t="n"/>
      <c r="S7" s="20" t="n"/>
      <c r="T7" s="20" t="n"/>
      <c r="U7" s="20" t="n"/>
      <c r="V7" s="20" t="n">
        <v>1344438</v>
      </c>
      <c r="W7" s="20" t="n">
        <v>1333150</v>
      </c>
      <c r="X7" s="20" t="n">
        <v>1367005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IndustrialMachineAndBearingReportableSegmentMember</t>
        </is>
      </c>
      <c r="B10" s="10" t="n"/>
      <c r="C10" s="19" t="n"/>
      <c r="D10" s="20" t="n">
        <v>89063</v>
      </c>
      <c r="E10" s="20" t="n">
        <v>88018</v>
      </c>
      <c r="F10" s="20" t="n"/>
      <c r="G10" s="20" t="n"/>
      <c r="H10" s="20" t="n">
        <v>86730</v>
      </c>
      <c r="I10" s="20" t="n">
        <v>89620</v>
      </c>
      <c r="J10" s="20" t="n"/>
      <c r="K10" s="20" t="n"/>
      <c r="L10" s="20" t="n">
        <v>84375</v>
      </c>
      <c r="M10" s="20" t="n">
        <v>90558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358077</v>
      </c>
      <c r="W10" s="20" t="n">
        <v>352268</v>
      </c>
      <c r="X10" s="20" t="n">
        <v>347067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BearingReportableSegmentMember</t>
        </is>
      </c>
      <c r="B13" s="10" t="n"/>
      <c r="C13" s="19" t="n"/>
      <c r="D13" s="20" t="n"/>
      <c r="E13" s="20" t="n"/>
      <c r="F13" s="20" t="n">
        <v>88626</v>
      </c>
      <c r="G13" s="20" t="n"/>
      <c r="H13" s="20" t="n"/>
      <c r="I13" s="20" t="n"/>
      <c r="J13" s="20" t="n">
        <v>86107</v>
      </c>
      <c r="K13" s="20" t="n"/>
      <c r="L13" s="20" t="n"/>
      <c r="M13" s="20" t="n"/>
      <c r="N13" s="20" t="n">
        <v>88169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MachineToolsReportableSegmentMember</t>
        </is>
      </c>
      <c r="B16" s="10" t="n"/>
      <c r="C16" s="19" t="n">
        <v>48695</v>
      </c>
      <c r="D16" s="20" t="n">
        <v>47733</v>
      </c>
      <c r="E16" s="20" t="n">
        <v>49853</v>
      </c>
      <c r="F16" s="20" t="n">
        <v>44223</v>
      </c>
      <c r="G16" s="20" t="n">
        <v>50775</v>
      </c>
      <c r="H16" s="20" t="n">
        <v>48545</v>
      </c>
      <c r="I16" s="20" t="n">
        <v>55435</v>
      </c>
      <c r="J16" s="20" t="n">
        <v>44805</v>
      </c>
      <c r="K16" s="20" t="n">
        <v>54489</v>
      </c>
      <c r="L16" s="20" t="n">
        <v>51169</v>
      </c>
      <c r="M16" s="20" t="n">
        <v>60414</v>
      </c>
      <c r="N16" s="20" t="n">
        <v>48516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188989</v>
      </c>
      <c r="W16" s="20" t="n">
        <v>198978</v>
      </c>
      <c r="X16" s="20" t="n">
        <v>210877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464057</v>
      </c>
      <c r="G19" s="20" t="n"/>
      <c r="H19" s="20" t="n"/>
      <c r="I19" s="20" t="n"/>
      <c r="J19" s="20" t="n">
        <v>454794</v>
      </c>
      <c r="K19" s="20" t="n"/>
      <c r="L19" s="20" t="n"/>
      <c r="M19" s="20" t="n"/>
      <c r="N19" s="20" t="n">
        <v>491973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414286</v>
      </c>
      <c r="D23" s="20" t="n">
        <v>409005</v>
      </c>
      <c r="E23" s="20" t="n">
        <v>403328</v>
      </c>
      <c r="F23" s="20" t="n">
        <v>400301</v>
      </c>
      <c r="G23" s="20" t="n">
        <v>385516</v>
      </c>
      <c r="H23" s="20" t="n">
        <v>402528</v>
      </c>
      <c r="I23" s="20" t="n">
        <v>414761</v>
      </c>
      <c r="J23" s="20" t="n">
        <v>385681</v>
      </c>
      <c r="K23" s="20" t="n">
        <v>401895</v>
      </c>
      <c r="L23" s="20" t="n">
        <v>405505</v>
      </c>
      <c r="M23" s="20" t="n">
        <v>434833</v>
      </c>
      <c r="N23" s="20" t="n">
        <v>409447</v>
      </c>
      <c r="O23" s="19" t="n"/>
      <c r="P23" s="20" t="n">
        <v>567916</v>
      </c>
      <c r="Q23" s="20" t="n">
        <v>1272630</v>
      </c>
      <c r="R23" s="20" t="n">
        <v>1210688</v>
      </c>
      <c r="S23" s="20" t="n">
        <v>1074581</v>
      </c>
      <c r="T23" s="20" t="n">
        <v>1218547</v>
      </c>
      <c r="U23" s="20" t="n">
        <v>1423000</v>
      </c>
      <c r="V23" s="20" t="n">
        <v>1607576</v>
      </c>
      <c r="W23" s="20" t="n">
        <v>1603106</v>
      </c>
      <c r="X23" s="20" t="n">
        <v>1627914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44710</v>
      </c>
      <c r="D29" s="20" t="n">
        <v>57565</v>
      </c>
      <c r="E29" s="20" t="n">
        <v>58011</v>
      </c>
      <c r="F29" s="20" t="n">
        <v>55185</v>
      </c>
      <c r="G29" s="20" t="n">
        <v>51824</v>
      </c>
      <c r="H29" s="20" t="n">
        <v>54788</v>
      </c>
      <c r="I29" s="20" t="n">
        <v>54555</v>
      </c>
      <c r="J29" s="20" t="n">
        <v>55077</v>
      </c>
      <c r="K29" s="20" t="n">
        <v>54353</v>
      </c>
      <c r="L29" s="20" t="n">
        <v>53963</v>
      </c>
      <c r="M29" s="20" t="n">
        <v>57962</v>
      </c>
      <c r="N29" s="20" t="n">
        <v>59779</v>
      </c>
      <c r="O29" s="19" t="n"/>
      <c r="P29" s="20" t="n">
        <v>63328</v>
      </c>
      <c r="Q29" s="20" t="n">
        <v>176491</v>
      </c>
      <c r="R29" s="20" t="n">
        <v>170650</v>
      </c>
      <c r="S29" s="20" t="n">
        <v>155792</v>
      </c>
      <c r="T29" s="20" t="n">
        <v>167532</v>
      </c>
      <c r="U29" s="20" t="n">
        <v>192487</v>
      </c>
      <c r="V29" s="20" t="n">
        <v>211029</v>
      </c>
      <c r="W29" s="20" t="n">
        <v>216352</v>
      </c>
      <c r="X29" s="20" t="n">
        <v>221355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15769</v>
      </c>
      <c r="D31" s="12" t="n">
        <v>22737</v>
      </c>
      <c r="E31" s="12" t="n">
        <v>4836</v>
      </c>
      <c r="F31" s="12" t="n">
        <v>11144</v>
      </c>
      <c r="G31" s="12" t="n">
        <v>14396</v>
      </c>
      <c r="H31" s="12" t="n">
        <v>9466</v>
      </c>
      <c r="I31" s="12" t="n">
        <v>3446</v>
      </c>
      <c r="J31" s="12" t="n">
        <v>13526</v>
      </c>
      <c r="K31" s="12" t="n">
        <v>12528</v>
      </c>
      <c r="L31" s="12" t="n">
        <v>11748</v>
      </c>
      <c r="M31" s="12" t="n">
        <v>-12955</v>
      </c>
      <c r="N31" s="12" t="n">
        <v>22811</v>
      </c>
      <c r="O31" s="11" t="n"/>
      <c r="P31" s="12" t="n">
        <v>15856</v>
      </c>
      <c r="Q31" s="12" t="n">
        <v>63737</v>
      </c>
      <c r="R31" s="12" t="n">
        <v>16158</v>
      </c>
      <c r="S31" s="12" t="n">
        <v>12920</v>
      </c>
      <c r="T31" s="12" t="n">
        <v>36401</v>
      </c>
      <c r="U31" s="12" t="n">
        <v>49325</v>
      </c>
      <c r="V31" s="12" t="n">
        <v>62196</v>
      </c>
      <c r="W31" s="12" t="n">
        <v>38452</v>
      </c>
      <c r="X31" s="12" t="n">
        <v>24847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기타이익</t>
        </is>
      </c>
      <c r="B47" s="10" t="n"/>
      <c r="C47" s="19" t="n">
        <v>2562</v>
      </c>
      <c r="D47" s="20" t="n">
        <v>737</v>
      </c>
      <c r="E47" s="20" t="n">
        <v>1666</v>
      </c>
      <c r="F47" s="20" t="n">
        <v>4112</v>
      </c>
      <c r="G47" s="20" t="n">
        <v>876</v>
      </c>
      <c r="H47" s="20" t="n">
        <v>1233</v>
      </c>
      <c r="I47" s="20" t="n">
        <v>1775</v>
      </c>
      <c r="J47" s="20" t="n">
        <v>1594</v>
      </c>
      <c r="K47" s="20" t="n">
        <v>562</v>
      </c>
      <c r="L47" s="20" t="n">
        <v>957</v>
      </c>
      <c r="M47" s="20" t="n">
        <v>2836</v>
      </c>
      <c r="N47" s="20" t="n">
        <v>1398</v>
      </c>
      <c r="O47" s="19" t="n"/>
      <c r="P47" s="20" t="n">
        <v>4678</v>
      </c>
      <c r="Q47" s="20" t="n">
        <v>8449</v>
      </c>
      <c r="R47" s="20" t="n">
        <v>6865</v>
      </c>
      <c r="S47" s="20" t="n">
        <v>11815</v>
      </c>
      <c r="T47" s="20" t="n">
        <v>8939</v>
      </c>
      <c r="U47" s="20" t="n">
        <v>8291</v>
      </c>
      <c r="V47" s="20" t="n">
        <v>11437</v>
      </c>
      <c r="W47" s="20" t="n">
        <v>7996</v>
      </c>
      <c r="X47" s="20" t="n">
        <v>5949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기타손실</t>
        </is>
      </c>
      <c r="B49" s="10" t="n"/>
      <c r="C49" s="19" t="n">
        <v>4348</v>
      </c>
      <c r="D49" s="20" t="n">
        <v>1026</v>
      </c>
      <c r="E49" s="20" t="n">
        <v>15169</v>
      </c>
      <c r="F49" s="20" t="n">
        <v>1537</v>
      </c>
      <c r="G49" s="20" t="n">
        <v>3563</v>
      </c>
      <c r="H49" s="20" t="n">
        <v>1038</v>
      </c>
      <c r="I49" s="20" t="n">
        <v>28344</v>
      </c>
      <c r="J49" s="20" t="n">
        <v>2104</v>
      </c>
      <c r="K49" s="20" t="n">
        <v>7167</v>
      </c>
      <c r="L49" s="20" t="n">
        <v>2888</v>
      </c>
      <c r="M49" s="20" t="n">
        <v>44623</v>
      </c>
      <c r="N49" s="20" t="n">
        <v>1333</v>
      </c>
      <c r="O49" s="19" t="n"/>
      <c r="P49" s="20" t="n">
        <v>12274</v>
      </c>
      <c r="Q49" s="20" t="n">
        <v>16476</v>
      </c>
      <c r="R49" s="20" t="n">
        <v>28263</v>
      </c>
      <c r="S49" s="20" t="n">
        <v>14807</v>
      </c>
      <c r="T49" s="20" t="n">
        <v>14885</v>
      </c>
      <c r="U49" s="20" t="n">
        <v>21624</v>
      </c>
      <c r="V49" s="20" t="n">
        <v>22140</v>
      </c>
      <c r="W49" s="20" t="n">
        <v>34482</v>
      </c>
      <c r="X49" s="20" t="n">
        <v>56782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금융수익</t>
        </is>
      </c>
      <c r="B51" s="10" t="n"/>
      <c r="C51" s="19" t="n">
        <v>2961</v>
      </c>
      <c r="D51" s="20" t="n">
        <v>-2568</v>
      </c>
      <c r="E51" s="20" t="n">
        <v>8826</v>
      </c>
      <c r="F51" s="20" t="n">
        <v>10045</v>
      </c>
      <c r="G51" s="20" t="n">
        <v>-896</v>
      </c>
      <c r="H51" s="20" t="n">
        <v>-4442</v>
      </c>
      <c r="I51" s="20" t="n">
        <v>3840</v>
      </c>
      <c r="J51" s="20" t="n">
        <v>4160</v>
      </c>
      <c r="K51" s="20" t="n">
        <v>2316</v>
      </c>
      <c r="L51" s="20" t="n">
        <v>9300</v>
      </c>
      <c r="M51" s="20" t="n">
        <v>787</v>
      </c>
      <c r="N51" s="20" t="n">
        <v>2205</v>
      </c>
      <c r="O51" s="19" t="n"/>
      <c r="P51" s="20" t="n">
        <v>20111</v>
      </c>
      <c r="Q51" s="20" t="n">
        <v>5242</v>
      </c>
      <c r="R51" s="20" t="n">
        <v>3444</v>
      </c>
      <c r="S51" s="20" t="n">
        <v>5997</v>
      </c>
      <c r="T51" s="20" t="n">
        <v>10466</v>
      </c>
      <c r="U51" s="20" t="n">
        <v>10773</v>
      </c>
      <c r="V51" s="20" t="n">
        <v>19238</v>
      </c>
      <c r="W51" s="20" t="n">
        <v>8547</v>
      </c>
      <c r="X51" s="20" t="n">
        <v>16563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금융원가</t>
        </is>
      </c>
      <c r="B53" s="10" t="n"/>
      <c r="C53" s="19" t="n">
        <v>2359</v>
      </c>
      <c r="D53" s="20" t="n">
        <v>716</v>
      </c>
      <c r="E53" s="20" t="n">
        <v>2699</v>
      </c>
      <c r="F53" s="20" t="n">
        <v>4747</v>
      </c>
      <c r="G53" s="20" t="n">
        <v>10970</v>
      </c>
      <c r="H53" s="20" t="n">
        <v>-4392</v>
      </c>
      <c r="I53" s="20" t="n">
        <v>5814</v>
      </c>
      <c r="J53" s="20" t="n">
        <v>7311</v>
      </c>
      <c r="K53" s="20" t="n">
        <v>1616</v>
      </c>
      <c r="L53" s="20" t="n">
        <v>2635</v>
      </c>
      <c r="M53" s="20" t="n">
        <v>2991</v>
      </c>
      <c r="N53" s="20" t="n">
        <v>3410</v>
      </c>
      <c r="O53" s="19" t="n"/>
      <c r="P53" s="20" t="n">
        <v>2988</v>
      </c>
      <c r="Q53" s="20" t="n">
        <v>4811</v>
      </c>
      <c r="R53" s="20" t="n">
        <v>5987</v>
      </c>
      <c r="S53" s="20" t="n">
        <v>3828</v>
      </c>
      <c r="T53" s="20" t="n">
        <v>3419</v>
      </c>
      <c r="U53" s="20" t="n">
        <v>5090</v>
      </c>
      <c r="V53" s="20" t="n">
        <v>9754</v>
      </c>
      <c r="W53" s="20" t="n">
        <v>17139</v>
      </c>
      <c r="X53" s="20" t="n">
        <v>14553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16577</v>
      </c>
      <c r="D55" s="12" t="n">
        <v>19686</v>
      </c>
      <c r="E55" s="12" t="n">
        <v>11310</v>
      </c>
      <c r="F55" s="12" t="n">
        <v>16758</v>
      </c>
      <c r="G55" s="12" t="n">
        <v>2741</v>
      </c>
      <c r="H55" s="12" t="n">
        <v>9590</v>
      </c>
      <c r="I55" s="12" t="n">
        <v>1787</v>
      </c>
      <c r="J55" s="12" t="n">
        <v>10323</v>
      </c>
      <c r="K55" s="12" t="n">
        <v>13352</v>
      </c>
      <c r="L55" s="12" t="n">
        <v>18534</v>
      </c>
      <c r="M55" s="12" t="n">
        <v>-14832</v>
      </c>
      <c r="N55" s="12" t="n">
        <v>21560</v>
      </c>
      <c r="O55" s="11" t="n"/>
      <c r="P55" s="12" t="n">
        <v>25384</v>
      </c>
      <c r="Q55" s="12" t="n">
        <v>65261</v>
      </c>
      <c r="R55" s="12" t="n">
        <v>15073</v>
      </c>
      <c r="S55" s="12" t="n">
        <v>15352</v>
      </c>
      <c r="T55" s="12" t="n">
        <v>43934</v>
      </c>
      <c r="U55" s="12" t="n">
        <v>55889</v>
      </c>
      <c r="V55" s="12" t="n">
        <v>72513</v>
      </c>
      <c r="W55" s="12" t="n">
        <v>30876</v>
      </c>
      <c r="X55" s="12" t="n">
        <v>27377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7764</v>
      </c>
      <c r="D57" s="20" t="n">
        <v>5226</v>
      </c>
      <c r="E57" s="20" t="n">
        <v>6482</v>
      </c>
      <c r="F57" s="20" t="n">
        <v>5177</v>
      </c>
      <c r="G57" s="20" t="n">
        <v>6599</v>
      </c>
      <c r="H57" s="20" t="n">
        <v>5062</v>
      </c>
      <c r="I57" s="20" t="n">
        <v>-2507</v>
      </c>
      <c r="J57" s="20" t="n">
        <v>3359</v>
      </c>
      <c r="K57" s="20" t="n">
        <v>7034</v>
      </c>
      <c r="L57" s="20" t="n">
        <v>8699</v>
      </c>
      <c r="M57" s="20" t="n">
        <v>-6124</v>
      </c>
      <c r="N57" s="20" t="n">
        <v>7146</v>
      </c>
      <c r="O57" s="19" t="n"/>
      <c r="P57" s="20" t="n">
        <v>3367</v>
      </c>
      <c r="Q57" s="20" t="n">
        <v>33266</v>
      </c>
      <c r="R57" s="20" t="n">
        <v>16127</v>
      </c>
      <c r="S57" s="20" t="n">
        <v>12130</v>
      </c>
      <c r="T57" s="20" t="n">
        <v>20317</v>
      </c>
      <c r="U57" s="20" t="n">
        <v>18544</v>
      </c>
      <c r="V57" s="20" t="n">
        <v>28788</v>
      </c>
      <c r="W57" s="20" t="n">
        <v>14331</v>
      </c>
      <c r="X57" s="20" t="n">
        <v>12968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8813</v>
      </c>
      <c r="D59" s="12" t="n">
        <v>14460</v>
      </c>
      <c r="E59" s="12" t="n">
        <v>4827</v>
      </c>
      <c r="F59" s="12" t="n">
        <v>11581</v>
      </c>
      <c r="G59" s="12" t="n">
        <v>-3858</v>
      </c>
      <c r="H59" s="12" t="n">
        <v>4528</v>
      </c>
      <c r="I59" s="12" t="n">
        <v>4293</v>
      </c>
      <c r="J59" s="12" t="n">
        <v>6964</v>
      </c>
      <c r="K59" s="12" t="n">
        <v>6317</v>
      </c>
      <c r="L59" s="12" t="n">
        <v>9835</v>
      </c>
      <c r="M59" s="12" t="n">
        <v>-8707</v>
      </c>
      <c r="N59" s="12" t="n">
        <v>14413</v>
      </c>
      <c r="O59" s="11" t="n"/>
      <c r="P59" s="12" t="n">
        <v>22016</v>
      </c>
      <c r="Q59" s="12" t="n">
        <v>31995</v>
      </c>
      <c r="R59" s="12" t="n">
        <v>-1054</v>
      </c>
      <c r="S59" s="12" t="n">
        <v>3221</v>
      </c>
      <c r="T59" s="12" t="n">
        <v>23616</v>
      </c>
      <c r="U59" s="12" t="n">
        <v>37344</v>
      </c>
      <c r="V59" s="12" t="n">
        <v>43724</v>
      </c>
      <c r="W59" s="12" t="n">
        <v>16544</v>
      </c>
      <c r="X59" s="12" t="n">
        <v>14409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8131</v>
      </c>
      <c r="D61" s="12" t="n">
        <v>13297</v>
      </c>
      <c r="E61" s="12" t="n">
        <v>3846</v>
      </c>
      <c r="F61" s="12" t="n">
        <v>10813</v>
      </c>
      <c r="G61" s="12" t="n">
        <v>-4582</v>
      </c>
      <c r="H61" s="12" t="n">
        <v>3716</v>
      </c>
      <c r="I61" s="12" t="n">
        <v>3766</v>
      </c>
      <c r="J61" s="12" t="n">
        <v>6510</v>
      </c>
      <c r="K61" s="12" t="n">
        <v>5653</v>
      </c>
      <c r="L61" s="12" t="n">
        <v>9186</v>
      </c>
      <c r="M61" s="12" t="n">
        <v>-9375</v>
      </c>
      <c r="N61" s="12" t="n">
        <v>13833</v>
      </c>
      <c r="O61" s="11" t="n"/>
      <c r="P61" s="12" t="n">
        <v>49697</v>
      </c>
      <c r="Q61" s="12" t="n">
        <v>27248</v>
      </c>
      <c r="R61" s="12" t="n">
        <v>-3794</v>
      </c>
      <c r="S61" s="12" t="n">
        <v>800</v>
      </c>
      <c r="T61" s="12" t="n">
        <v>20682</v>
      </c>
      <c r="U61" s="12" t="n">
        <v>34276</v>
      </c>
      <c r="V61" s="12" t="n">
        <v>40257</v>
      </c>
      <c r="W61" s="12" t="n">
        <v>13713</v>
      </c>
      <c r="X61" s="12" t="n">
        <v>11974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2083.5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318608107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2024.2Q</t>
        </is>
      </c>
      <c r="D95" s="5" t="inlineStr">
        <is>
          <t>2024.3Q</t>
        </is>
      </c>
      <c r="E95" s="5" t="inlineStr">
        <is>
          <t>2024.4Q</t>
        </is>
      </c>
      <c r="F95" s="5" t="inlineStr">
        <is>
          <t>2025.1Q</t>
        </is>
      </c>
      <c r="G95" s="5" t="inlineStr">
        <is>
          <t>2025.2Q</t>
        </is>
      </c>
      <c r="H95" s="5" t="inlineStr">
        <is>
          <t>2025.3Q</t>
        </is>
      </c>
      <c r="I95" s="5" t="inlineStr">
        <is>
          <t>2025.4Q</t>
        </is>
      </c>
      <c r="J95" s="5" t="inlineStr">
        <is>
          <t>2026.1Q</t>
        </is>
      </c>
      <c r="K95" s="5" t="inlineStr">
        <is>
          <t>2026.2Q</t>
        </is>
      </c>
      <c r="L95" s="5" t="inlineStr">
        <is>
          <t>2026.3Q</t>
        </is>
      </c>
      <c r="M95" s="5" t="inlineStr">
        <is>
          <t>2026.4Q</t>
        </is>
      </c>
      <c r="N95" s="5" t="inlineStr">
        <is>
          <t>2027.1Q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매출수익</t>
        </is>
      </c>
      <c r="C96" s="12" t="n">
        <v>476550</v>
      </c>
      <c r="D96" s="12" t="n">
        <v>489596</v>
      </c>
      <c r="E96" s="12" t="n">
        <v>479677</v>
      </c>
      <c r="F96" s="12" t="n">
        <v>464057</v>
      </c>
      <c r="G96" s="12" t="n">
        <v>454422</v>
      </c>
      <c r="H96" s="12" t="n">
        <v>466587</v>
      </c>
      <c r="I96" s="12" t="n">
        <v>499331</v>
      </c>
      <c r="J96" s="12" t="n">
        <v>454794</v>
      </c>
      <c r="K96" s="12" t="n">
        <v>475381</v>
      </c>
      <c r="L96" s="12" t="n">
        <v>473149</v>
      </c>
      <c r="M96" s="12" t="n">
        <v>521626</v>
      </c>
      <c r="N96" s="12" t="n">
        <v>491973</v>
      </c>
      <c r="T96" s="12" t="n">
        <v>406445</v>
      </c>
      <c r="U96" s="12" t="n">
        <v>453237</v>
      </c>
      <c r="V96" s="12" t="n">
        <v>479677</v>
      </c>
      <c r="W96" s="12" t="n">
        <v>499331</v>
      </c>
      <c r="X96" s="12" t="n">
        <v>521626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414286</v>
      </c>
      <c r="D98" s="20" t="n">
        <v>409005</v>
      </c>
      <c r="E98" s="20" t="n">
        <v>403328</v>
      </c>
      <c r="F98" s="20" t="n">
        <v>400301</v>
      </c>
      <c r="G98" s="20" t="n">
        <v>385516</v>
      </c>
      <c r="H98" s="20" t="n">
        <v>402528</v>
      </c>
      <c r="I98" s="20" t="n">
        <v>414761</v>
      </c>
      <c r="J98" s="20" t="n">
        <v>385681</v>
      </c>
      <c r="K98" s="20" t="n">
        <v>401895</v>
      </c>
      <c r="L98" s="20" t="n">
        <v>405505</v>
      </c>
      <c r="M98" s="20" t="n">
        <v>434833</v>
      </c>
      <c r="N98" s="20" t="n">
        <v>409447</v>
      </c>
      <c r="T98" s="20" t="n">
        <v>345773</v>
      </c>
      <c r="U98" s="20" t="n">
        <v>372685</v>
      </c>
      <c r="V98" s="20" t="n">
        <v>403328</v>
      </c>
      <c r="W98" s="20" t="n">
        <v>414761</v>
      </c>
      <c r="X98" s="20" t="n">
        <v>434833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62263</v>
      </c>
      <c r="D100" s="12" t="n">
        <v>80591</v>
      </c>
      <c r="E100" s="12" t="n">
        <v>76349</v>
      </c>
      <c r="F100" s="12" t="n">
        <v>63755</v>
      </c>
      <c r="G100" s="12" t="n">
        <v>68907</v>
      </c>
      <c r="H100" s="12" t="n">
        <v>64059</v>
      </c>
      <c r="I100" s="12" t="n">
        <v>84570</v>
      </c>
      <c r="J100" s="12" t="n">
        <v>69113</v>
      </c>
      <c r="K100" s="12" t="n">
        <v>73486</v>
      </c>
      <c r="L100" s="12" t="n">
        <v>67643</v>
      </c>
      <c r="M100" s="12" t="n">
        <v>86793</v>
      </c>
      <c r="N100" s="12" t="n">
        <v>82525</v>
      </c>
      <c r="T100" s="12" t="n">
        <v>60672</v>
      </c>
      <c r="U100" s="12" t="n">
        <v>80552</v>
      </c>
      <c r="V100" s="12" t="n">
        <v>76349</v>
      </c>
      <c r="W100" s="12" t="n">
        <v>84570</v>
      </c>
      <c r="X100" s="12" t="n">
        <v>86793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44710</v>
      </c>
      <c r="D102" s="20" t="n">
        <v>57565</v>
      </c>
      <c r="E102" s="20" t="n">
        <v>58011</v>
      </c>
      <c r="F102" s="20" t="n">
        <v>55185</v>
      </c>
      <c r="G102" s="20" t="n">
        <v>51824</v>
      </c>
      <c r="H102" s="20" t="n">
        <v>54788</v>
      </c>
      <c r="I102" s="20" t="n">
        <v>54555</v>
      </c>
      <c r="J102" s="20" t="n">
        <v>55077</v>
      </c>
      <c r="K102" s="20" t="n">
        <v>54353</v>
      </c>
      <c r="L102" s="20" t="n">
        <v>53963</v>
      </c>
      <c r="M102" s="20" t="n">
        <v>57962</v>
      </c>
      <c r="N102" s="20" t="n">
        <v>59779</v>
      </c>
      <c r="T102" s="20" t="n">
        <v>43588</v>
      </c>
      <c r="U102" s="20" t="n">
        <v>49994</v>
      </c>
      <c r="V102" s="20" t="n">
        <v>58011</v>
      </c>
      <c r="W102" s="20" t="n">
        <v>54555</v>
      </c>
      <c r="X102" s="20" t="n">
        <v>57962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18" t="inlineStr">
        <is>
          <t>Business Profit</t>
        </is>
      </c>
      <c r="C104" s="20" t="n">
        <v>17554</v>
      </c>
      <c r="D104" s="20" t="n">
        <v>23025</v>
      </c>
      <c r="E104" s="20" t="n">
        <v>18339</v>
      </c>
      <c r="F104" s="20" t="n">
        <v>8570</v>
      </c>
      <c r="G104" s="20" t="n">
        <v>17082</v>
      </c>
      <c r="H104" s="20" t="n">
        <v>9272</v>
      </c>
      <c r="I104" s="20" t="n">
        <v>30014</v>
      </c>
      <c r="T104" s="20" t="n">
        <v>17084</v>
      </c>
      <c r="U104" s="20" t="n">
        <v>30558</v>
      </c>
      <c r="V104" s="20" t="n">
        <v>18339</v>
      </c>
      <c r="W104" s="20" t="n">
        <v>30014</v>
      </c>
    </row>
    <row r="105">
      <c r="A105" s="18" t="inlineStr">
        <is>
          <t>기타수익</t>
        </is>
      </c>
      <c r="C105" s="20" t="n">
        <v>2562</v>
      </c>
      <c r="D105" s="20" t="n">
        <v>737</v>
      </c>
      <c r="E105" s="20" t="n">
        <v>1666</v>
      </c>
      <c r="F105" s="20" t="n">
        <v>4112</v>
      </c>
      <c r="G105" s="20" t="n">
        <v>876</v>
      </c>
      <c r="H105" s="20" t="n">
        <v>1233</v>
      </c>
      <c r="I105" s="20" t="n">
        <v>1775</v>
      </c>
      <c r="J105" s="20" t="n">
        <v>1594</v>
      </c>
      <c r="K105" s="20" t="n">
        <v>562</v>
      </c>
      <c r="L105" s="20" t="n">
        <v>957</v>
      </c>
      <c r="M105" s="20" t="n">
        <v>2836</v>
      </c>
      <c r="N105" s="20" t="n">
        <v>1398</v>
      </c>
      <c r="T105" s="20" t="n">
        <v>3857</v>
      </c>
      <c r="U105" s="20" t="n">
        <v>3865</v>
      </c>
      <c r="V105" s="20" t="n">
        <v>1666</v>
      </c>
      <c r="W105" s="20" t="n">
        <v>1775</v>
      </c>
      <c r="X105" s="20" t="n">
        <v>2836</v>
      </c>
    </row>
    <row r="106">
      <c r="A106" s="18" t="inlineStr">
        <is>
          <t>기타비용</t>
        </is>
      </c>
      <c r="C106" s="20" t="n">
        <v>4348</v>
      </c>
      <c r="D106" s="20" t="n">
        <v>1026</v>
      </c>
      <c r="E106" s="20" t="n">
        <v>15169</v>
      </c>
      <c r="F106" s="20" t="n">
        <v>1537</v>
      </c>
      <c r="G106" s="20" t="n">
        <v>3563</v>
      </c>
      <c r="H106" s="20" t="n">
        <v>1038</v>
      </c>
      <c r="I106" s="20" t="n">
        <v>28344</v>
      </c>
      <c r="J106" s="20" t="n">
        <v>2104</v>
      </c>
      <c r="K106" s="20" t="n">
        <v>7167</v>
      </c>
      <c r="L106" s="20" t="n">
        <v>2888</v>
      </c>
      <c r="M106" s="20" t="n">
        <v>44623</v>
      </c>
      <c r="N106" s="20" t="n">
        <v>1333</v>
      </c>
      <c r="T106" s="20" t="n">
        <v>7737</v>
      </c>
      <c r="U106" s="20" t="n">
        <v>18214</v>
      </c>
      <c r="V106" s="20" t="n">
        <v>15169</v>
      </c>
      <c r="W106" s="20" t="n">
        <v>28344</v>
      </c>
      <c r="X106" s="20" t="n">
        <v>44623</v>
      </c>
    </row>
    <row r="107">
      <c r="A107" s="18" t="inlineStr">
        <is>
          <t>영업이익</t>
        </is>
      </c>
      <c r="C107" s="20" t="n">
        <v>15769</v>
      </c>
      <c r="D107" s="20" t="n">
        <v>22737</v>
      </c>
      <c r="E107" s="20" t="n">
        <v>4836</v>
      </c>
      <c r="F107" s="20" t="n">
        <v>11144</v>
      </c>
      <c r="G107" s="20" t="n">
        <v>14396</v>
      </c>
      <c r="H107" s="20" t="n">
        <v>9466</v>
      </c>
      <c r="I107" s="20" t="n">
        <v>3446</v>
      </c>
      <c r="J107" s="20" t="n">
        <v>13526</v>
      </c>
      <c r="K107" s="20" t="n">
        <v>12528</v>
      </c>
      <c r="L107" s="20" t="n">
        <v>11748</v>
      </c>
      <c r="M107" s="20" t="n">
        <v>-12955</v>
      </c>
      <c r="N107" s="20" t="n">
        <v>22811</v>
      </c>
      <c r="T107" s="20" t="n">
        <v>13206</v>
      </c>
      <c r="U107" s="20" t="n">
        <v>16209</v>
      </c>
      <c r="V107" s="20" t="n">
        <v>4836</v>
      </c>
      <c r="W107" s="20" t="n">
        <v>3446</v>
      </c>
      <c r="X107" s="20" t="n">
        <v>-12955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IF(OR(C107="",C96=""),"",IF(C96&lt;=0,"",IFERROR(C107/C96,"")))</f>
        <v/>
      </c>
      <c r="D108" s="15">
        <f>IF(OR(D107="",D96=""),"",IF(D96&lt;=0,"",IFERROR(D107/D96,"")))</f>
        <v/>
      </c>
      <c r="E108" s="15">
        <f>IF(OR(E107="",E96=""),"",IF(E96&lt;=0,"",IFERROR(E107/E96,"")))</f>
        <v/>
      </c>
      <c r="F108" s="15">
        <f>IF(OR(F107="",F96=""),"",IF(F96&lt;=0,"",IFERROR(F107/F96,"")))</f>
        <v/>
      </c>
      <c r="G108" s="15">
        <f>IF(OR(G107="",G96=""),"",IF(G96&lt;=0,"",IFERROR(G107/G96,"")))</f>
        <v/>
      </c>
      <c r="H108" s="15">
        <f>IF(OR(H107="",H96=""),"",IF(H96&lt;=0,"",IFERROR(H107/H96,"")))</f>
        <v/>
      </c>
      <c r="I108" s="15">
        <f>IF(OR(I107="",I96=""),"",IF(I96&lt;=0,"",IFERROR(I107/I96,"")))</f>
        <v/>
      </c>
      <c r="J108" s="15">
        <f>IF(OR(J107="",J96=""),"",IF(J96&lt;=0,"",IFERROR(J107/J96,"")))</f>
        <v/>
      </c>
      <c r="K108" s="15">
        <f>IF(OR(K107="",K96=""),"",IF(K96&lt;=0,"",IFERROR(K107/K96,"")))</f>
        <v/>
      </c>
      <c r="L108" s="15">
        <f>IF(OR(L107="",L96=""),"",IF(L96&lt;=0,"",IFERROR(L107/L96,"")))</f>
        <v/>
      </c>
      <c r="M108" s="15">
        <f>IF(OR(M107="",M96=""),"",IF(M96&lt;=0,"",IFERROR(M107/M96,"")))</f>
        <v/>
      </c>
      <c r="N108" s="15">
        <f>IF(OR(N107="",N96=""),"",IF(N96&lt;=0,"",IFERROR(N107/N96,"")))</f>
        <v/>
      </c>
      <c r="T108" s="15">
        <f>IF(OR(T107="",T96=""),"",IF(T96&lt;=0,"",IFERROR(T107/T96,"")))</f>
        <v/>
      </c>
      <c r="U108" s="15">
        <f>IF(OR(U107="",U96=""),"",IF(U96&lt;=0,"",IFERROR(U107/U96,"")))</f>
        <v/>
      </c>
      <c r="V108" s="15">
        <f>IF(OR(V107="",V96=""),"",IF(V96&lt;=0,"",IFERROR(V107/V96,"")))</f>
        <v/>
      </c>
      <c r="W108" s="15">
        <f>IF(OR(W107="",W96=""),"",IF(W96&lt;=0,"",IFERROR(W107/W96,"")))</f>
        <v/>
      </c>
      <c r="X108" s="15">
        <f>IF(OR(X107="",X96=""),"",IF(X96&lt;=0,"",IFERROR(X107/X96,"")))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T109" s="15">
        <f>IF(OR(T107="",S107=""),"",IF(S107&lt;=0,"",IFERROR(T107/S107-1,"")))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금융수익</t>
        </is>
      </c>
      <c r="C110" s="20" t="n">
        <v>2961</v>
      </c>
      <c r="D110" s="20" t="n">
        <v>-2568</v>
      </c>
      <c r="E110" s="20" t="n">
        <v>8826</v>
      </c>
      <c r="F110" s="20" t="n">
        <v>10045</v>
      </c>
      <c r="G110" s="20" t="n">
        <v>-896</v>
      </c>
      <c r="H110" s="20" t="n">
        <v>-4442</v>
      </c>
      <c r="I110" s="20" t="n">
        <v>3840</v>
      </c>
      <c r="J110" s="20" t="n">
        <v>4160</v>
      </c>
      <c r="K110" s="20" t="n">
        <v>2316</v>
      </c>
      <c r="L110" s="20" t="n">
        <v>9300</v>
      </c>
      <c r="M110" s="20" t="n">
        <v>787</v>
      </c>
      <c r="N110" s="20" t="n">
        <v>2205</v>
      </c>
      <c r="T110" s="20" t="n">
        <v>3541</v>
      </c>
      <c r="U110" s="20" t="n">
        <v>3745</v>
      </c>
      <c r="V110" s="20" t="n">
        <v>8826</v>
      </c>
      <c r="W110" s="20" t="n">
        <v>3840</v>
      </c>
      <c r="X110" s="20" t="n">
        <v>787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18" t="inlineStr">
        <is>
          <t>금융비용</t>
        </is>
      </c>
      <c r="C112" s="20" t="n">
        <v>2359</v>
      </c>
      <c r="D112" s="20" t="n">
        <v>716</v>
      </c>
      <c r="E112" s="20" t="n">
        <v>2699</v>
      </c>
      <c r="F112" s="20" t="n">
        <v>4747</v>
      </c>
      <c r="G112" s="20" t="n">
        <v>10970</v>
      </c>
      <c r="H112" s="20" t="n">
        <v>-4392</v>
      </c>
      <c r="I112" s="20" t="n">
        <v>5814</v>
      </c>
      <c r="J112" s="20" t="n">
        <v>7311</v>
      </c>
      <c r="K112" s="20" t="n">
        <v>1616</v>
      </c>
      <c r="L112" s="20" t="n">
        <v>2635</v>
      </c>
      <c r="M112" s="20" t="n">
        <v>2991</v>
      </c>
      <c r="N112" s="20" t="n">
        <v>3410</v>
      </c>
      <c r="T112" s="20" t="n">
        <v>759</v>
      </c>
      <c r="U112" s="20" t="n">
        <v>1104</v>
      </c>
      <c r="V112" s="20" t="n">
        <v>2699</v>
      </c>
      <c r="W112" s="20" t="n">
        <v>5814</v>
      </c>
      <c r="X112" s="20" t="n">
        <v>2991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지분법손실</t>
        </is>
      </c>
      <c r="C114" s="20" t="n">
        <v>207</v>
      </c>
      <c r="D114" s="20" t="n">
        <v>234</v>
      </c>
      <c r="E114" s="20" t="n">
        <v>346</v>
      </c>
      <c r="F114" s="20" t="n">
        <v>316</v>
      </c>
      <c r="G114" s="20" t="n">
        <v>211</v>
      </c>
      <c r="H114" s="20" t="n">
        <v>174</v>
      </c>
      <c r="I114" s="20" t="n">
        <v>315</v>
      </c>
      <c r="J114" s="20" t="n">
        <v>-51</v>
      </c>
      <c r="K114" s="20" t="n">
        <v>122</v>
      </c>
      <c r="L114" s="20" t="n">
        <v>121</v>
      </c>
      <c r="M114" s="20" t="n">
        <v>327</v>
      </c>
      <c r="N114" s="20" t="n">
        <v>-45</v>
      </c>
      <c r="T114" s="20" t="n">
        <v>191</v>
      </c>
      <c r="U114" s="20" t="n">
        <v>295</v>
      </c>
      <c r="V114" s="20" t="n">
        <v>346</v>
      </c>
      <c r="W114" s="20" t="n">
        <v>315</v>
      </c>
      <c r="X114" s="20" t="n">
        <v>327</v>
      </c>
    </row>
    <row r="115">
      <c r="A115" s="9" t="inlineStr">
        <is>
          <t>법인세비용차감전 중간이익</t>
        </is>
      </c>
      <c r="C115" s="12" t="n">
        <v>16577</v>
      </c>
      <c r="D115" s="12" t="n">
        <v>19686</v>
      </c>
      <c r="E115" s="12" t="n">
        <v>11310</v>
      </c>
      <c r="F115" s="12" t="n">
        <v>16758</v>
      </c>
      <c r="G115" s="12" t="n">
        <v>2741</v>
      </c>
      <c r="H115" s="12" t="n">
        <v>9590</v>
      </c>
      <c r="I115" s="12" t="n">
        <v>1787</v>
      </c>
      <c r="J115" s="12" t="n">
        <v>10323</v>
      </c>
      <c r="K115" s="12" t="n">
        <v>13352</v>
      </c>
      <c r="L115" s="12" t="n">
        <v>18534</v>
      </c>
      <c r="M115" s="12" t="n">
        <v>-14832</v>
      </c>
      <c r="N115" s="12" t="n">
        <v>21560</v>
      </c>
      <c r="T115" s="12" t="n">
        <v>16179</v>
      </c>
      <c r="U115" s="12" t="n">
        <v>19146</v>
      </c>
      <c r="V115" s="12" t="n">
        <v>11310</v>
      </c>
      <c r="W115" s="12" t="n">
        <v>1787</v>
      </c>
      <c r="X115" s="12" t="n">
        <v>-14832</v>
      </c>
    </row>
    <row r="116">
      <c r="A116" s="18" t="inlineStr">
        <is>
          <t>법인소득세 비용</t>
        </is>
      </c>
      <c r="C116" s="20" t="n">
        <v>7764</v>
      </c>
      <c r="D116" s="20" t="n">
        <v>5226</v>
      </c>
      <c r="E116" s="20" t="n">
        <v>6482</v>
      </c>
      <c r="F116" s="20" t="n">
        <v>5177</v>
      </c>
      <c r="G116" s="20" t="n">
        <v>6599</v>
      </c>
      <c r="H116" s="20" t="n">
        <v>5062</v>
      </c>
      <c r="I116" s="20" t="n">
        <v>-2507</v>
      </c>
      <c r="J116" s="20" t="n">
        <v>3359</v>
      </c>
      <c r="K116" s="20" t="n">
        <v>7034</v>
      </c>
      <c r="L116" s="20" t="n">
        <v>8699</v>
      </c>
      <c r="M116" s="20" t="n">
        <v>-6124</v>
      </c>
      <c r="N116" s="20" t="n">
        <v>7146</v>
      </c>
      <c r="T116" s="20" t="n">
        <v>5001</v>
      </c>
      <c r="U116" s="20" t="n">
        <v>2638</v>
      </c>
      <c r="V116" s="20" t="n">
        <v>6482</v>
      </c>
      <c r="W116" s="20" t="n">
        <v>-2507</v>
      </c>
      <c r="X116" s="20" t="n">
        <v>-6124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중간이익</t>
        </is>
      </c>
      <c r="C118" s="12" t="n">
        <v>8813</v>
      </c>
      <c r="D118" s="12" t="n">
        <v>14460</v>
      </c>
      <c r="E118" s="12" t="n">
        <v>4827</v>
      </c>
      <c r="F118" s="12" t="n">
        <v>11581</v>
      </c>
      <c r="G118" s="12" t="n">
        <v>-3858</v>
      </c>
      <c r="H118" s="12" t="n">
        <v>4528</v>
      </c>
      <c r="I118" s="12" t="n">
        <v>4293</v>
      </c>
      <c r="J118" s="12" t="n">
        <v>6964</v>
      </c>
      <c r="K118" s="12" t="n">
        <v>6317</v>
      </c>
      <c r="L118" s="12" t="n">
        <v>9835</v>
      </c>
      <c r="M118" s="12" t="n">
        <v>-8707</v>
      </c>
      <c r="N118" s="12" t="n">
        <v>14413</v>
      </c>
      <c r="T118" s="12" t="n">
        <v>11177</v>
      </c>
      <c r="U118" s="12" t="n">
        <v>16508</v>
      </c>
      <c r="V118" s="12" t="n">
        <v>4827</v>
      </c>
      <c r="W118" s="12" t="n">
        <v>4293</v>
      </c>
      <c r="X118" s="12" t="n">
        <v>-8707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9" t="inlineStr">
        <is>
          <t>지배기업 소유주</t>
        </is>
      </c>
      <c r="C120" s="12" t="n">
        <v>8131</v>
      </c>
      <c r="D120" s="12" t="n">
        <v>13297</v>
      </c>
      <c r="E120" s="12" t="n">
        <v>3846</v>
      </c>
      <c r="F120" s="12" t="n">
        <v>10813</v>
      </c>
      <c r="G120" s="12" t="n">
        <v>-4582</v>
      </c>
      <c r="H120" s="12" t="n">
        <v>3716</v>
      </c>
      <c r="I120" s="12" t="n">
        <v>3766</v>
      </c>
      <c r="J120" s="12" t="n">
        <v>6510</v>
      </c>
      <c r="K120" s="12" t="n">
        <v>5653</v>
      </c>
      <c r="L120" s="12" t="n">
        <v>9186</v>
      </c>
      <c r="M120" s="12" t="n">
        <v>-9375</v>
      </c>
      <c r="N120" s="12" t="n">
        <v>13833</v>
      </c>
      <c r="T120" s="12" t="n">
        <v>10551</v>
      </c>
      <c r="U120" s="12" t="n">
        <v>15944</v>
      </c>
      <c r="V120" s="12" t="n">
        <v>3846</v>
      </c>
      <c r="W120" s="12" t="n">
        <v>3766</v>
      </c>
      <c r="X120" s="12" t="n">
        <v>-9375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K121" s="15">
        <f>IF(OR(K120="",G120=""),"",IF(G120&lt;=0,"",IFERROR(K120/G120-1,"")))</f>
        <v/>
      </c>
      <c r="L121" s="15">
        <f>IF(OR(L120="",H120=""),"",IF(H120&lt;=0,"",IFERROR(L120/H120-1,"")))</f>
        <v/>
      </c>
      <c r="M121" s="15">
        <f>IF(OR(M120="",I120=""),"",IF(I120&lt;=0,"",IFERROR(M120/I120-1,"")))</f>
        <v/>
      </c>
      <c r="N121" s="15">
        <f>IF(OR(N120="",J120=""),"",IF(J120&lt;=0,"",IFERROR(N120/J120-1,"")))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  <c r="X121" s="15">
        <f>IF(OR(X120="",W120=""),"",IF(W120&lt;=0,"",IFERROR(X120/W120-1,"")))</f>
        <v/>
      </c>
    </row>
    <row r="122">
      <c r="A122" s="9" t="inlineStr">
        <is>
          <t>비지배지분</t>
        </is>
      </c>
      <c r="C122" s="12" t="n">
        <v>683</v>
      </c>
      <c r="D122" s="12" t="n">
        <v>1163</v>
      </c>
      <c r="E122" s="12" t="n">
        <v>981</v>
      </c>
      <c r="F122" s="12" t="n">
        <v>767</v>
      </c>
      <c r="G122" s="12" t="n">
        <v>725</v>
      </c>
      <c r="H122" s="12" t="n">
        <v>811</v>
      </c>
      <c r="I122" s="12" t="n">
        <v>528</v>
      </c>
      <c r="J122" s="12" t="n">
        <v>453</v>
      </c>
      <c r="K122" s="12" t="n">
        <v>665</v>
      </c>
      <c r="L122" s="12" t="n">
        <v>648</v>
      </c>
      <c r="M122" s="12" t="n">
        <v>668</v>
      </c>
      <c r="N122" s="12" t="n">
        <v>580</v>
      </c>
      <c r="T122" s="12" t="n">
        <v>626</v>
      </c>
      <c r="U122" s="12" t="n">
        <v>564</v>
      </c>
      <c r="V122" s="12" t="n">
        <v>981</v>
      </c>
      <c r="W122" s="12" t="n">
        <v>528</v>
      </c>
      <c r="X122" s="12" t="n">
        <v>668</v>
      </c>
    </row>
    <row r="123">
      <c r="A123" s="18" t="inlineStr">
        <is>
          <t>Basic Earnings Loss Per Share</t>
        </is>
      </c>
      <c r="C123" s="20" t="n">
        <v>2.37e-05</v>
      </c>
      <c r="D123" s="20" t="n">
        <v>3.877e-05</v>
      </c>
      <c r="E123" s="20" t="n">
        <v>1.121000000000001e-05</v>
      </c>
      <c r="F123" s="20" t="n">
        <v>3.153e-05</v>
      </c>
      <c r="G123" s="20" t="n">
        <v>-1.336e-05</v>
      </c>
      <c r="H123" s="20" t="n">
        <v>1.083e-05</v>
      </c>
      <c r="I123" s="20" t="n">
        <v>1.136e-05</v>
      </c>
      <c r="J123" s="20" t="n">
        <v>2.045e-05</v>
      </c>
      <c r="K123" s="20" t="n">
        <v>1.776e-05</v>
      </c>
      <c r="L123" s="20" t="n">
        <v>2.885999999999999e-05</v>
      </c>
      <c r="M123" s="20" t="n">
        <v>-2.944999999999999e-05</v>
      </c>
      <c r="N123" s="20" t="n">
        <v>4.345000000000001e-05</v>
      </c>
      <c r="T123" s="20" t="n">
        <v>3.077000000000001e-05</v>
      </c>
      <c r="U123" s="20" t="n">
        <v>4.649e-05</v>
      </c>
      <c r="V123" s="20" t="n">
        <v>1.121000000000001e-05</v>
      </c>
      <c r="W123" s="20" t="n">
        <v>1.136e-05</v>
      </c>
      <c r="X123" s="20" t="n">
        <v>-2.944999999999999e-05</v>
      </c>
    </row>
    <row r="124">
      <c r="A124" s="18" t="inlineStr">
        <is>
          <t>Diluted Earnings Loss Per Share</t>
        </is>
      </c>
      <c r="C124" s="20" t="n">
        <v>2.369e-05</v>
      </c>
      <c r="D124" s="20" t="n">
        <v>3.875e-05</v>
      </c>
      <c r="E124" s="20" t="n">
        <v>1.120999999999999e-05</v>
      </c>
      <c r="F124" s="20" t="n">
        <v>3.151e-05</v>
      </c>
      <c r="G124" s="20" t="n">
        <v>-1.335e-05</v>
      </c>
      <c r="H124" s="20" t="n">
        <v>1.083e-05</v>
      </c>
      <c r="I124" s="20" t="n">
        <v>1.135e-05</v>
      </c>
      <c r="J124" s="20" t="n">
        <v>2.044e-05</v>
      </c>
      <c r="K124" s="20" t="n">
        <v>1.775e-05</v>
      </c>
      <c r="L124" s="20" t="n">
        <v>2.885000000000001e-05</v>
      </c>
      <c r="M124" s="20" t="n">
        <v>-2.944000000000001e-05</v>
      </c>
      <c r="N124" s="20" t="n">
        <v>4.343e-05</v>
      </c>
      <c r="T124" s="20" t="n">
        <v>3.075e-05</v>
      </c>
      <c r="U124" s="20" t="n">
        <v>4.647000000000001e-05</v>
      </c>
      <c r="V124" s="20" t="n">
        <v>1.120999999999999e-05</v>
      </c>
      <c r="W124" s="20" t="n">
        <v>1.135e-05</v>
      </c>
      <c r="X124" s="20" t="n">
        <v>-2.944000000000001e-05</v>
      </c>
    </row>
    <row r="126">
      <c r="A126" s="16" t="inlineStr">
        <is>
          <t>포괄손익 · 전 항목</t>
        </is>
      </c>
      <c r="B126" s="42" t="inlineStr">
        <is>
          <t>분기 = 3개월 단독</t>
        </is>
      </c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중간이익</t>
        </is>
      </c>
      <c r="C128" s="12" t="n">
        <v>8813</v>
      </c>
      <c r="D128" s="12" t="n">
        <v>14460</v>
      </c>
      <c r="E128" s="12" t="n">
        <v>4827</v>
      </c>
      <c r="F128" s="12" t="n">
        <v>11581</v>
      </c>
      <c r="G128" s="12" t="n">
        <v>-3858</v>
      </c>
      <c r="H128" s="12" t="n">
        <v>4528</v>
      </c>
      <c r="I128" s="12" t="n">
        <v>4293</v>
      </c>
      <c r="J128" s="12" t="n">
        <v>6964</v>
      </c>
      <c r="K128" s="12" t="n">
        <v>6317</v>
      </c>
      <c r="L128" s="12" t="n">
        <v>9835</v>
      </c>
      <c r="M128" s="12" t="n">
        <v>-8707</v>
      </c>
      <c r="N128" s="12" t="n">
        <v>14413</v>
      </c>
      <c r="T128" s="12" t="n">
        <v>11177</v>
      </c>
      <c r="U128" s="12" t="n">
        <v>16508</v>
      </c>
      <c r="V128" s="12" t="n">
        <v>4827</v>
      </c>
      <c r="W128" s="12" t="n">
        <v>4293</v>
      </c>
      <c r="X128" s="12" t="n">
        <v>-8707</v>
      </c>
    </row>
    <row r="129">
      <c r="A129" s="18" t="inlineStr">
        <is>
          <t>Net Fair Value Gain On Equity Instruments Designated As FVTOCINet Of Tax Items That Will Not Be Reclassified To Profit Or Loss OCI</t>
        </is>
      </c>
      <c r="C129" s="20" t="n">
        <v>8012</v>
      </c>
      <c r="D129" s="20" t="n">
        <v>-1925</v>
      </c>
      <c r="E129" s="20" t="n">
        <v>22686</v>
      </c>
      <c r="F129" s="20" t="n">
        <v>16201</v>
      </c>
      <c r="G129" s="20" t="n">
        <v>-13119</v>
      </c>
      <c r="H129" s="20" t="n">
        <v>8910</v>
      </c>
      <c r="I129" s="20" t="n">
        <v>-8337</v>
      </c>
      <c r="J129" s="20" t="n">
        <v>-9506</v>
      </c>
      <c r="K129" s="20" t="n">
        <v>5845</v>
      </c>
      <c r="L129" s="20" t="n">
        <v>8015</v>
      </c>
      <c r="M129" s="20" t="n">
        <v>7867</v>
      </c>
      <c r="N129" s="20" t="n">
        <v>6433</v>
      </c>
      <c r="T129" s="20" t="n">
        <v>-762</v>
      </c>
      <c r="U129" s="20" t="n">
        <v>2634</v>
      </c>
      <c r="V129" s="20" t="n">
        <v>22686</v>
      </c>
      <c r="W129" s="20" t="n">
        <v>-8337</v>
      </c>
      <c r="X129" s="20" t="n">
        <v>7867</v>
      </c>
    </row>
    <row r="130">
      <c r="A130" s="18" t="inlineStr">
        <is>
          <t>Remeasurement Of Retirement Benefit Plans Items That Will Not Be Reclassified To Profit Or Loss OCI</t>
        </is>
      </c>
      <c r="C130" s="20" t="n">
        <v>168</v>
      </c>
      <c r="D130" s="20" t="n">
        <v>75</v>
      </c>
      <c r="E130" s="20" t="n">
        <v>23450</v>
      </c>
      <c r="F130" s="20" t="n">
        <v>441</v>
      </c>
      <c r="G130" s="20" t="n">
        <v>695</v>
      </c>
      <c r="H130" s="20" t="n">
        <v>-65</v>
      </c>
      <c r="I130" s="20" t="n">
        <v>-13418</v>
      </c>
      <c r="J130" s="20" t="n">
        <v>-61</v>
      </c>
      <c r="K130" s="20" t="n">
        <v>252</v>
      </c>
      <c r="L130" s="20" t="n">
        <v>96</v>
      </c>
      <c r="M130" s="20" t="n">
        <v>8399</v>
      </c>
      <c r="N130" s="20" t="n">
        <v>601</v>
      </c>
      <c r="T130" s="20" t="n">
        <v>9263</v>
      </c>
      <c r="U130" s="20" t="n">
        <v>4622</v>
      </c>
      <c r="V130" s="20" t="n">
        <v>23450</v>
      </c>
      <c r="W130" s="20" t="n">
        <v>-13418</v>
      </c>
      <c r="X130" s="20" t="n">
        <v>8399</v>
      </c>
    </row>
    <row r="131">
      <c r="A131" s="18" t="inlineStr">
        <is>
          <t>Share Of Other Comprehensive Income Of Investments Accounted For Using Equity Method Net Of Tax Items That Will Not Be Reclassified To Profit Or Loss OCI</t>
        </is>
      </c>
      <c r="C131" s="20" t="n">
        <v>33</v>
      </c>
      <c r="D131" s="20" t="n">
        <v>23</v>
      </c>
      <c r="E131" s="20" t="n">
        <v>62</v>
      </c>
      <c r="F131" s="20" t="n">
        <v>3</v>
      </c>
      <c r="G131" s="20" t="n">
        <v>-5</v>
      </c>
      <c r="H131" s="20" t="n">
        <v>2</v>
      </c>
      <c r="I131" s="20" t="n">
        <v>33</v>
      </c>
      <c r="J131" s="20" t="n">
        <v>0</v>
      </c>
      <c r="K131" s="20" t="n">
        <v>63</v>
      </c>
      <c r="L131" s="20" t="n">
        <v>-18</v>
      </c>
      <c r="M131" s="20" t="n">
        <v>35</v>
      </c>
      <c r="N131" s="20" t="n">
        <v>-17</v>
      </c>
      <c r="T131" s="20" t="n">
        <v>-47</v>
      </c>
      <c r="U131" s="20" t="n">
        <v>-276</v>
      </c>
      <c r="V131" s="20" t="n">
        <v>62</v>
      </c>
      <c r="W131" s="20" t="n">
        <v>33</v>
      </c>
      <c r="X131" s="20" t="n">
        <v>35</v>
      </c>
    </row>
    <row r="132">
      <c r="A132" s="18" t="inlineStr">
        <is>
          <t>당기손익으로 재분류되지 않는 항목 합계</t>
        </is>
      </c>
      <c r="C132" s="20" t="n">
        <v>8213</v>
      </c>
      <c r="D132" s="20" t="n">
        <v>-1828</v>
      </c>
      <c r="E132" s="20" t="n">
        <v>46199</v>
      </c>
      <c r="F132" s="20" t="n">
        <v>16646</v>
      </c>
      <c r="G132" s="20" t="n">
        <v>-12430</v>
      </c>
      <c r="H132" s="20" t="n">
        <v>8847</v>
      </c>
      <c r="I132" s="20" t="n">
        <v>-21722</v>
      </c>
      <c r="J132" s="20" t="n">
        <v>-9566</v>
      </c>
      <c r="K132" s="20" t="n">
        <v>6160</v>
      </c>
      <c r="L132" s="20" t="n">
        <v>8093</v>
      </c>
      <c r="M132" s="20" t="n">
        <v>16302</v>
      </c>
      <c r="N132" s="20" t="n">
        <v>7018</v>
      </c>
      <c r="T132" s="20" t="n">
        <v>8452</v>
      </c>
      <c r="U132" s="20" t="n">
        <v>6978</v>
      </c>
      <c r="V132" s="20" t="n">
        <v>46199</v>
      </c>
      <c r="W132" s="20" t="n">
        <v>-21722</v>
      </c>
      <c r="X132" s="20" t="n">
        <v>16302</v>
      </c>
    </row>
    <row r="133">
      <c r="A133" s="18" t="inlineStr">
        <is>
          <t>Exchange Differences On Translation Of Foreign Operations Net Of Tax Items That May Be Reclassified To Profit Or Loss OCI</t>
        </is>
      </c>
      <c r="C133" s="20" t="n">
        <v>5101</v>
      </c>
      <c r="D133" s="20" t="n">
        <v>-10982</v>
      </c>
      <c r="E133" s="20" t="n">
        <v>17060</v>
      </c>
      <c r="F133" s="20" t="n">
        <v>20363</v>
      </c>
      <c r="G133" s="20" t="n">
        <v>-30179</v>
      </c>
      <c r="H133" s="20" t="n">
        <v>23149</v>
      </c>
      <c r="I133" s="20" t="n">
        <v>-19148</v>
      </c>
      <c r="J133" s="20" t="n">
        <v>-5154</v>
      </c>
      <c r="K133" s="20" t="n">
        <v>8365</v>
      </c>
      <c r="L133" s="20" t="n">
        <v>22022</v>
      </c>
      <c r="M133" s="20" t="n">
        <v>5335</v>
      </c>
      <c r="N133" s="20" t="n">
        <v>7758</v>
      </c>
      <c r="T133" s="20" t="n">
        <v>24257</v>
      </c>
      <c r="U133" s="20" t="n">
        <v>6051</v>
      </c>
      <c r="V133" s="20" t="n">
        <v>17060</v>
      </c>
      <c r="W133" s="20" t="n">
        <v>-19148</v>
      </c>
      <c r="X133" s="20" t="n">
        <v>5335</v>
      </c>
    </row>
    <row r="134">
      <c r="A134" s="18" t="inlineStr">
        <is>
          <t>Share Of Other Comprehensive Income Of Investments Accounted For Using Equity Method Net Of Tax Items That May Be Reclassified To Profit Or Loss OCI</t>
        </is>
      </c>
      <c r="C134" s="20" t="n">
        <v>404</v>
      </c>
      <c r="D134" s="20" t="n">
        <v>48</v>
      </c>
      <c r="E134" s="20" t="n">
        <v>-37</v>
      </c>
      <c r="F134" s="20" t="n">
        <v>455</v>
      </c>
      <c r="G134" s="20" t="n">
        <v>253</v>
      </c>
      <c r="H134" s="20" t="n">
        <v>-531</v>
      </c>
      <c r="I134" s="20" t="n">
        <v>459</v>
      </c>
      <c r="J134" s="20" t="n">
        <v>-465</v>
      </c>
      <c r="K134" s="20" t="n">
        <v>327</v>
      </c>
      <c r="L134" s="20" t="n">
        <v>198</v>
      </c>
      <c r="M134" s="20" t="n">
        <v>607</v>
      </c>
      <c r="N134" s="20" t="n">
        <v>176</v>
      </c>
      <c r="T134" s="20" t="n">
        <v>397</v>
      </c>
      <c r="U134" s="20" t="n">
        <v>-458</v>
      </c>
      <c r="V134" s="20" t="n">
        <v>-37</v>
      </c>
      <c r="W134" s="20" t="n">
        <v>459</v>
      </c>
      <c r="X134" s="20" t="n">
        <v>607</v>
      </c>
    </row>
    <row r="135">
      <c r="A135" s="18" t="inlineStr">
        <is>
          <t>당기손익으로 재분류될 수 있는 항목 합계</t>
        </is>
      </c>
      <c r="C135" s="20" t="n">
        <v>5505</v>
      </c>
      <c r="D135" s="20" t="n">
        <v>-10934</v>
      </c>
      <c r="E135" s="20" t="n">
        <v>17023</v>
      </c>
      <c r="F135" s="20" t="n">
        <v>20819</v>
      </c>
      <c r="G135" s="20" t="n">
        <v>-29926</v>
      </c>
      <c r="H135" s="20" t="n">
        <v>22617</v>
      </c>
      <c r="I135" s="20" t="n">
        <v>-18688</v>
      </c>
      <c r="J135" s="20" t="n">
        <v>-5620</v>
      </c>
      <c r="K135" s="20" t="n">
        <v>8692</v>
      </c>
      <c r="L135" s="20" t="n">
        <v>22222</v>
      </c>
      <c r="M135" s="20" t="n">
        <v>5941</v>
      </c>
      <c r="N135" s="20" t="n">
        <v>7934</v>
      </c>
      <c r="T135" s="20" t="n">
        <v>24653</v>
      </c>
      <c r="U135" s="20" t="n">
        <v>5593</v>
      </c>
      <c r="V135" s="20" t="n">
        <v>17023</v>
      </c>
      <c r="W135" s="20" t="n">
        <v>-18688</v>
      </c>
      <c r="X135" s="20" t="n">
        <v>5941</v>
      </c>
    </row>
    <row r="136">
      <c r="A136" s="18" t="inlineStr">
        <is>
          <t>기타포괄손익 합계</t>
        </is>
      </c>
      <c r="C136" s="20" t="n">
        <v>13717</v>
      </c>
      <c r="D136" s="20" t="n">
        <v>-12761</v>
      </c>
      <c r="E136" s="20" t="n">
        <v>63222</v>
      </c>
      <c r="F136" s="20" t="n">
        <v>37465</v>
      </c>
      <c r="G136" s="20" t="n">
        <v>-42356</v>
      </c>
      <c r="H136" s="20" t="n">
        <v>31465</v>
      </c>
      <c r="I136" s="20" t="n">
        <v>-40411</v>
      </c>
      <c r="J136" s="20" t="n">
        <v>-15187</v>
      </c>
      <c r="K136" s="20" t="n">
        <v>14853</v>
      </c>
      <c r="L136" s="20" t="n">
        <v>30316</v>
      </c>
      <c r="M136" s="20" t="n">
        <v>22242</v>
      </c>
      <c r="N136" s="20" t="n">
        <v>14952</v>
      </c>
      <c r="T136" s="20" t="n">
        <v>33106</v>
      </c>
      <c r="U136" s="20" t="n">
        <v>12573</v>
      </c>
      <c r="V136" s="20" t="n">
        <v>63222</v>
      </c>
      <c r="W136" s="20" t="n">
        <v>-40411</v>
      </c>
      <c r="X136" s="20" t="n">
        <v>22242</v>
      </c>
    </row>
    <row r="137">
      <c r="A137" s="9" t="inlineStr">
        <is>
          <t>포괄이익</t>
        </is>
      </c>
      <c r="C137" s="12" t="n">
        <v>22531</v>
      </c>
      <c r="D137" s="12" t="n">
        <v>1699</v>
      </c>
      <c r="E137" s="12" t="n">
        <v>68049</v>
      </c>
      <c r="F137" s="12" t="n">
        <v>49046</v>
      </c>
      <c r="G137" s="12" t="n">
        <v>-46214</v>
      </c>
      <c r="H137" s="12" t="n">
        <v>35993</v>
      </c>
      <c r="I137" s="12" t="n">
        <v>-36119</v>
      </c>
      <c r="J137" s="12" t="n">
        <v>-8222</v>
      </c>
      <c r="K137" s="12" t="n">
        <v>21169</v>
      </c>
      <c r="L137" s="12" t="n">
        <v>40151</v>
      </c>
      <c r="M137" s="12" t="n">
        <v>13535</v>
      </c>
      <c r="N137" s="12" t="n">
        <v>29366</v>
      </c>
      <c r="T137" s="12" t="n">
        <v>44284</v>
      </c>
      <c r="U137" s="12" t="n">
        <v>29081</v>
      </c>
      <c r="V137" s="12" t="n">
        <v>68049</v>
      </c>
      <c r="W137" s="12" t="n">
        <v>-36119</v>
      </c>
      <c r="X137" s="12" t="n">
        <v>13535</v>
      </c>
    </row>
    <row r="138">
      <c r="A138" s="9" t="inlineStr">
        <is>
          <t>지배기업 소유주</t>
        </is>
      </c>
      <c r="C138" s="12" t="n">
        <v>21303</v>
      </c>
      <c r="D138" s="12" t="n">
        <v>1368</v>
      </c>
      <c r="E138" s="12" t="n">
        <v>65844</v>
      </c>
      <c r="F138" s="12" t="n">
        <v>46661</v>
      </c>
      <c r="G138" s="12" t="n">
        <v>-44655</v>
      </c>
      <c r="H138" s="12" t="n">
        <v>33429</v>
      </c>
      <c r="I138" s="12" t="n">
        <v>-35190</v>
      </c>
      <c r="J138" s="12" t="n">
        <v>-8169</v>
      </c>
      <c r="K138" s="12" t="n">
        <v>20004</v>
      </c>
      <c r="L138" s="12" t="n">
        <v>37931</v>
      </c>
      <c r="M138" s="12" t="n">
        <v>12638</v>
      </c>
      <c r="N138" s="12" t="n">
        <v>28147</v>
      </c>
      <c r="T138" s="12" t="n">
        <v>41806</v>
      </c>
      <c r="U138" s="12" t="n">
        <v>27899</v>
      </c>
      <c r="V138" s="12" t="n">
        <v>65844</v>
      </c>
      <c r="W138" s="12" t="n">
        <v>-35190</v>
      </c>
      <c r="X138" s="12" t="n">
        <v>12638</v>
      </c>
    </row>
    <row r="139">
      <c r="A139" s="9" t="inlineStr">
        <is>
          <t>비지배지분</t>
        </is>
      </c>
      <c r="C139" s="12" t="n">
        <v>1228</v>
      </c>
      <c r="D139" s="12" t="n">
        <v>331</v>
      </c>
      <c r="E139" s="12" t="n">
        <v>2206</v>
      </c>
      <c r="F139" s="12" t="n">
        <v>2384</v>
      </c>
      <c r="G139" s="12" t="n">
        <v>-1558</v>
      </c>
      <c r="H139" s="12" t="n">
        <v>2563</v>
      </c>
      <c r="I139" s="12" t="n">
        <v>-928</v>
      </c>
      <c r="J139" s="12" t="n">
        <v>-52</v>
      </c>
      <c r="K139" s="12" t="n">
        <v>1164</v>
      </c>
      <c r="L139" s="12" t="n">
        <v>2220</v>
      </c>
      <c r="M139" s="12" t="n">
        <v>897</v>
      </c>
      <c r="N139" s="12" t="n">
        <v>1218</v>
      </c>
      <c r="T139" s="12" t="n">
        <v>2478</v>
      </c>
      <c r="U139" s="12" t="n">
        <v>1181</v>
      </c>
      <c r="V139" s="12" t="n">
        <v>2206</v>
      </c>
      <c r="W139" s="12" t="n">
        <v>-928</v>
      </c>
      <c r="X139" s="12" t="n">
        <v>897</v>
      </c>
    </row>
    <row r="141">
      <c r="A141" s="16" t="inlineStr">
        <is>
          <t>부문 · 전 항목</t>
        </is>
      </c>
      <c r="B141" s="42" t="inlineStr">
        <is>
          <t>부문 · 항목</t>
        </is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2024.2Q</t>
        </is>
      </c>
      <c r="D142" s="5" t="inlineStr">
        <is>
          <t>2024.3Q</t>
        </is>
      </c>
      <c r="E142" s="5" t="inlineStr">
        <is>
          <t>2024.4Q</t>
        </is>
      </c>
      <c r="F142" s="5" t="inlineStr">
        <is>
          <t>2025.1Q</t>
        </is>
      </c>
      <c r="G142" s="5" t="inlineStr">
        <is>
          <t>2025.2Q</t>
        </is>
      </c>
      <c r="H142" s="5" t="inlineStr">
        <is>
          <t>2025.3Q</t>
        </is>
      </c>
      <c r="I142" s="5" t="inlineStr">
        <is>
          <t>2025.4Q</t>
        </is>
      </c>
      <c r="J142" s="5" t="inlineStr">
        <is>
          <t>2026.1Q</t>
        </is>
      </c>
      <c r="K142" s="5" t="inlineStr">
        <is>
          <t>2026.2Q</t>
        </is>
      </c>
      <c r="L142" s="5" t="inlineStr">
        <is>
          <t>2026.3Q</t>
        </is>
      </c>
      <c r="M142" s="5" t="inlineStr">
        <is>
          <t>2026.4Q</t>
        </is>
      </c>
      <c r="N142" s="5" t="inlineStr">
        <is>
          <t>2027.1Q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18" t="inlineStr">
        <is>
          <t>MobilitiesReportableSegmentMember · Revenue From External Customers</t>
        </is>
      </c>
      <c r="C143" s="20" t="n">
        <v>336647</v>
      </c>
      <c r="D143" s="20" t="n">
        <v>352800</v>
      </c>
      <c r="E143" s="20" t="n">
        <v>341808</v>
      </c>
      <c r="F143" s="20" t="n">
        <v>331207</v>
      </c>
      <c r="G143" s="20" t="n">
        <v>316356</v>
      </c>
      <c r="H143" s="20" t="n">
        <v>331311</v>
      </c>
      <c r="I143" s="20" t="n">
        <v>354276</v>
      </c>
      <c r="J143" s="20" t="n">
        <v>323882</v>
      </c>
      <c r="K143" s="20" t="n">
        <v>334864</v>
      </c>
      <c r="L143" s="20" t="n">
        <v>337605</v>
      </c>
      <c r="M143" s="20" t="n">
        <v>370654</v>
      </c>
      <c r="N143" s="20" t="n">
        <v>355287</v>
      </c>
      <c r="V143" s="20" t="n">
        <v>341808</v>
      </c>
      <c r="W143" s="20" t="n">
        <v>354276</v>
      </c>
      <c r="X143" s="20" t="n">
        <v>370654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IndustrialMachineAndBearingReportableSegmentMember · Revenue From External Customers</t>
        </is>
      </c>
      <c r="D145" s="20" t="n">
        <v>89063</v>
      </c>
      <c r="E145" s="20" t="n">
        <v>88018</v>
      </c>
      <c r="H145" s="20" t="n">
        <v>86730</v>
      </c>
      <c r="I145" s="20" t="n">
        <v>89620</v>
      </c>
      <c r="L145" s="20" t="n">
        <v>84375</v>
      </c>
      <c r="M145" s="20" t="n">
        <v>90558</v>
      </c>
      <c r="V145" s="20" t="n">
        <v>88018</v>
      </c>
      <c r="W145" s="20" t="n">
        <v>89620</v>
      </c>
      <c r="X145" s="20" t="n">
        <v>90558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BearingReportableSegmentMember · Revenue From External Customers</t>
        </is>
      </c>
      <c r="F147" s="20" t="n">
        <v>88626</v>
      </c>
      <c r="J147" s="20" t="n">
        <v>86107</v>
      </c>
      <c r="N147" s="20" t="n">
        <v>88169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J148" s="15">
        <f>IF(OR(J147="",F147=""),"",IF(F147&lt;=0,"",IFERROR(J147/F147-1,"")))</f>
        <v/>
      </c>
      <c r="N148" s="15">
        <f>IF(OR(N147="",J147=""),"",IF(J147&lt;=0,"",IFERROR(N147/J147-1,"")))</f>
        <v/>
      </c>
    </row>
    <row r="149">
      <c r="A149" s="18" t="inlineStr">
        <is>
          <t>MachineToolsReportableSegmentMember · Revenue From External Customers</t>
        </is>
      </c>
      <c r="C149" s="20" t="n">
        <v>48695</v>
      </c>
      <c r="D149" s="20" t="n">
        <v>47733</v>
      </c>
      <c r="E149" s="20" t="n">
        <v>49853</v>
      </c>
      <c r="F149" s="20" t="n">
        <v>44223</v>
      </c>
      <c r="G149" s="20" t="n">
        <v>50775</v>
      </c>
      <c r="H149" s="20" t="n">
        <v>48545</v>
      </c>
      <c r="I149" s="20" t="n">
        <v>55435</v>
      </c>
      <c r="J149" s="20" t="n">
        <v>44805</v>
      </c>
      <c r="K149" s="20" t="n">
        <v>54489</v>
      </c>
      <c r="L149" s="20" t="n">
        <v>51169</v>
      </c>
      <c r="M149" s="20" t="n">
        <v>60414</v>
      </c>
      <c r="N149" s="20" t="n">
        <v>48516</v>
      </c>
      <c r="V149" s="20" t="n">
        <v>49853</v>
      </c>
      <c r="W149" s="20" t="n">
        <v>55435</v>
      </c>
      <c r="X149" s="20" t="n">
        <v>60414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보고부문 합계 · Revenue From External Customers</t>
        </is>
      </c>
      <c r="C151" s="20" t="n">
        <v>476550</v>
      </c>
      <c r="D151" s="20" t="n">
        <v>489596</v>
      </c>
      <c r="E151" s="20" t="n">
        <v>479677</v>
      </c>
      <c r="F151" s="20" t="n">
        <v>464057</v>
      </c>
      <c r="G151" s="20" t="n">
        <v>454422</v>
      </c>
      <c r="H151" s="20" t="n">
        <v>466587</v>
      </c>
      <c r="I151" s="20" t="n">
        <v>499331</v>
      </c>
      <c r="J151" s="20" t="n">
        <v>454794</v>
      </c>
      <c r="K151" s="20" t="n">
        <v>475381</v>
      </c>
      <c r="L151" s="20" t="n">
        <v>473149</v>
      </c>
      <c r="M151" s="20" t="n">
        <v>521626</v>
      </c>
      <c r="N151" s="20" t="n">
        <v>491973</v>
      </c>
      <c r="V151" s="20" t="n">
        <v>479677</v>
      </c>
      <c r="W151" s="20" t="n">
        <v>499331</v>
      </c>
      <c r="X151" s="20" t="n">
        <v>521626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조정액 · Revenue From External Customers</t>
        </is>
      </c>
      <c r="C153" s="20" t="n">
        <v>0</v>
      </c>
      <c r="D153" s="20" t="n">
        <v>0</v>
      </c>
      <c r="E153" s="20" t="n">
        <v>0</v>
      </c>
      <c r="F153" s="20" t="n">
        <v>0</v>
      </c>
      <c r="G153" s="20" t="n">
        <v>0</v>
      </c>
      <c r="H153" s="20" t="n">
        <v>0</v>
      </c>
      <c r="I153" s="20" t="n">
        <v>0</v>
      </c>
      <c r="J153" s="20" t="n">
        <v>0</v>
      </c>
      <c r="K153" s="20" t="n">
        <v>0</v>
      </c>
      <c r="L153" s="20" t="n">
        <v>0</v>
      </c>
      <c r="M153" s="20" t="n">
        <v>0</v>
      </c>
      <c r="N153" s="20" t="n">
        <v>0</v>
      </c>
      <c r="V153" s="20" t="n">
        <v>0</v>
      </c>
      <c r="W153" s="20" t="n">
        <v>0</v>
      </c>
      <c r="X153" s="20" t="n">
        <v>0</v>
      </c>
    </row>
    <row r="154">
      <c r="A154" s="9" t="inlineStr">
        <is>
          <t>Revenue From External Customers</t>
        </is>
      </c>
      <c r="C154" s="12" t="n">
        <v>476550</v>
      </c>
      <c r="D154" s="12" t="n">
        <v>489596</v>
      </c>
      <c r="E154" s="12" t="n">
        <v>479677</v>
      </c>
      <c r="F154" s="12" t="n">
        <v>464057</v>
      </c>
      <c r="G154" s="12" t="n">
        <v>454422</v>
      </c>
      <c r="H154" s="12" t="n">
        <v>466587</v>
      </c>
      <c r="I154" s="12" t="n">
        <v>499331</v>
      </c>
      <c r="V154" s="12" t="n">
        <v>479677</v>
      </c>
      <c r="W154" s="12" t="n">
        <v>499331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</row>
    <row r="156">
      <c r="A156" s="18" t="inlineStr">
        <is>
          <t>EntityTotalMember · Revenue From External Customers</t>
        </is>
      </c>
      <c r="F156" s="20" t="n">
        <v>464057</v>
      </c>
      <c r="J156" s="20" t="n">
        <v>454794</v>
      </c>
      <c r="N156" s="20" t="n">
        <v>491973</v>
      </c>
    </row>
    <row r="157">
      <c r="A157" s="18" t="inlineStr">
        <is>
          <t>MobilitiesReportableSegmentMember · Intersegment Revenue</t>
        </is>
      </c>
      <c r="C157" s="20" t="n">
        <v>482</v>
      </c>
      <c r="D157" s="20" t="n">
        <v>838</v>
      </c>
      <c r="E157" s="20" t="n">
        <v>1017</v>
      </c>
      <c r="F157" s="20" t="n">
        <v>893</v>
      </c>
      <c r="G157" s="20" t="n">
        <v>1030</v>
      </c>
      <c r="H157" s="20" t="n">
        <v>490</v>
      </c>
      <c r="I157" s="20" t="n">
        <v>470</v>
      </c>
      <c r="J157" s="20" t="n">
        <v>702</v>
      </c>
      <c r="K157" s="20" t="n">
        <v>637</v>
      </c>
      <c r="L157" s="20" t="n">
        <v>692</v>
      </c>
      <c r="M157" s="20" t="n">
        <v>647</v>
      </c>
      <c r="N157" s="20" t="n">
        <v>652</v>
      </c>
      <c r="V157" s="20" t="n">
        <v>1017</v>
      </c>
      <c r="W157" s="20" t="n">
        <v>470</v>
      </c>
      <c r="X157" s="20" t="n">
        <v>647</v>
      </c>
    </row>
    <row r="158">
      <c r="A158" s="18" t="inlineStr">
        <is>
          <t>IndustrialMachineAndBearingReportableSegmentMember · Intersegment Revenue</t>
        </is>
      </c>
      <c r="D158" s="20" t="n">
        <v>5098</v>
      </c>
      <c r="E158" s="20" t="n">
        <v>4534</v>
      </c>
      <c r="H158" s="20" t="n">
        <v>4385</v>
      </c>
      <c r="I158" s="20" t="n">
        <v>6749</v>
      </c>
      <c r="L158" s="20" t="n">
        <v>5011</v>
      </c>
      <c r="M158" s="20" t="n">
        <v>6011</v>
      </c>
      <c r="V158" s="20" t="n">
        <v>4534</v>
      </c>
      <c r="W158" s="20" t="n">
        <v>6749</v>
      </c>
      <c r="X158" s="20" t="n">
        <v>6011</v>
      </c>
    </row>
    <row r="159">
      <c r="A159" s="18" t="inlineStr">
        <is>
          <t>BearingReportableSegmentMember · Intersegment Revenue</t>
        </is>
      </c>
      <c r="F159" s="20" t="n">
        <v>4769</v>
      </c>
      <c r="J159" s="20" t="n">
        <v>4951</v>
      </c>
      <c r="N159" s="20" t="n">
        <v>5118</v>
      </c>
    </row>
    <row r="160">
      <c r="A160" s="18" t="inlineStr">
        <is>
          <t>MachineToolsReportableSegmentMember · Intersegment Revenue</t>
        </is>
      </c>
      <c r="C160" s="20" t="n">
        <v>5669</v>
      </c>
      <c r="D160" s="20" t="n">
        <v>5864</v>
      </c>
      <c r="E160" s="20" t="n">
        <v>6248</v>
      </c>
      <c r="F160" s="20" t="n">
        <v>5855</v>
      </c>
      <c r="G160" s="20" t="n">
        <v>6786</v>
      </c>
      <c r="H160" s="20" t="n">
        <v>6679</v>
      </c>
      <c r="I160" s="20" t="n">
        <v>6269</v>
      </c>
      <c r="J160" s="20" t="n">
        <v>5745</v>
      </c>
      <c r="K160" s="20" t="n">
        <v>5517</v>
      </c>
      <c r="L160" s="20" t="n">
        <v>5703</v>
      </c>
      <c r="M160" s="20" t="n">
        <v>8294</v>
      </c>
      <c r="N160" s="20" t="n">
        <v>5968</v>
      </c>
      <c r="V160" s="20" t="n">
        <v>6248</v>
      </c>
      <c r="W160" s="20" t="n">
        <v>6269</v>
      </c>
      <c r="X160" s="20" t="n">
        <v>8294</v>
      </c>
    </row>
    <row r="161">
      <c r="A161" s="18" t="inlineStr">
        <is>
          <t>보고부문 합계 · Intersegment Revenue</t>
        </is>
      </c>
      <c r="C161" s="20" t="n">
        <v>11633</v>
      </c>
      <c r="D161" s="20" t="n">
        <v>11799</v>
      </c>
      <c r="E161" s="20" t="n">
        <v>11800</v>
      </c>
      <c r="F161" s="20" t="n">
        <v>11518</v>
      </c>
      <c r="G161" s="20" t="n">
        <v>12339</v>
      </c>
      <c r="H161" s="20" t="n">
        <v>11554</v>
      </c>
      <c r="I161" s="20" t="n">
        <v>13488</v>
      </c>
      <c r="J161" s="20" t="n">
        <v>11399</v>
      </c>
      <c r="K161" s="20" t="n">
        <v>10975</v>
      </c>
      <c r="L161" s="20" t="n">
        <v>11405</v>
      </c>
      <c r="M161" s="20" t="n">
        <v>14952</v>
      </c>
      <c r="N161" s="20" t="n">
        <v>11739</v>
      </c>
      <c r="V161" s="20" t="n">
        <v>11800</v>
      </c>
      <c r="W161" s="20" t="n">
        <v>13488</v>
      </c>
      <c r="X161" s="20" t="n">
        <v>14952</v>
      </c>
    </row>
    <row r="162">
      <c r="A162" s="18" t="inlineStr">
        <is>
          <t>조정액 · Intersegment Revenue</t>
        </is>
      </c>
      <c r="C162" s="20" t="n">
        <v>-11633</v>
      </c>
      <c r="D162" s="20" t="n">
        <v>-11799</v>
      </c>
      <c r="E162" s="20" t="n">
        <v>-11800</v>
      </c>
      <c r="F162" s="20" t="n">
        <v>-11518</v>
      </c>
      <c r="G162" s="20" t="n">
        <v>-12339</v>
      </c>
      <c r="H162" s="20" t="n">
        <v>-11554</v>
      </c>
      <c r="I162" s="20" t="n">
        <v>-13488</v>
      </c>
      <c r="J162" s="20" t="n">
        <v>-11399</v>
      </c>
      <c r="K162" s="20" t="n">
        <v>-10975</v>
      </c>
      <c r="L162" s="20" t="n">
        <v>-11405</v>
      </c>
      <c r="M162" s="20" t="n">
        <v>-14952</v>
      </c>
      <c r="N162" s="20" t="n">
        <v>-11739</v>
      </c>
      <c r="V162" s="20" t="n">
        <v>-11800</v>
      </c>
      <c r="W162" s="20" t="n">
        <v>-13488</v>
      </c>
      <c r="X162" s="20" t="n">
        <v>-14952</v>
      </c>
    </row>
    <row r="163">
      <c r="A163" s="18" t="inlineStr">
        <is>
          <t>Intersegment Revenue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V163" s="20" t="n">
        <v>0</v>
      </c>
      <c r="W163" s="20" t="n">
        <v>0</v>
      </c>
    </row>
    <row r="164">
      <c r="A164" s="18" t="inlineStr">
        <is>
          <t>EntityTotalMember · Intersegment Revenue</t>
        </is>
      </c>
      <c r="F164" s="20" t="n">
        <v>0</v>
      </c>
      <c r="J164" s="20" t="n">
        <v>0</v>
      </c>
      <c r="N164" s="20" t="n">
        <v>0</v>
      </c>
    </row>
    <row r="165">
      <c r="A165" s="18" t="inlineStr">
        <is>
          <t>MobilitiesReportableSegmentMember · 계</t>
        </is>
      </c>
      <c r="C165" s="20" t="n">
        <v>337130</v>
      </c>
      <c r="D165" s="20" t="n">
        <v>353638</v>
      </c>
      <c r="E165" s="20" t="n">
        <v>342825</v>
      </c>
      <c r="F165" s="20" t="n">
        <v>332101</v>
      </c>
      <c r="G165" s="20" t="n">
        <v>317385</v>
      </c>
      <c r="H165" s="20" t="n">
        <v>331801</v>
      </c>
      <c r="I165" s="20" t="n">
        <v>354747</v>
      </c>
      <c r="J165" s="20" t="n">
        <v>324584</v>
      </c>
      <c r="K165" s="20" t="n">
        <v>335502</v>
      </c>
      <c r="L165" s="20" t="n">
        <v>338296</v>
      </c>
      <c r="M165" s="20" t="n">
        <v>371301</v>
      </c>
      <c r="N165" s="20" t="n">
        <v>355939</v>
      </c>
      <c r="V165" s="20" t="n">
        <v>342825</v>
      </c>
      <c r="W165" s="20" t="n">
        <v>354747</v>
      </c>
      <c r="X165" s="20" t="n">
        <v>371301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IndustrialMachineAndBearingReportableSegmentMember · 계</t>
        </is>
      </c>
      <c r="D167" s="20" t="n">
        <v>94160</v>
      </c>
      <c r="E167" s="20" t="n">
        <v>92552</v>
      </c>
      <c r="H167" s="20" t="n">
        <v>91115</v>
      </c>
      <c r="I167" s="20" t="n">
        <v>96368</v>
      </c>
      <c r="L167" s="20" t="n">
        <v>89386</v>
      </c>
      <c r="M167" s="20" t="n">
        <v>96569</v>
      </c>
      <c r="V167" s="20" t="n">
        <v>92552</v>
      </c>
      <c r="W167" s="20" t="n">
        <v>96368</v>
      </c>
      <c r="X167" s="20" t="n">
        <v>96569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BearingReportableSegmentMember · 계</t>
        </is>
      </c>
      <c r="F169" s="20" t="n">
        <v>93395</v>
      </c>
      <c r="J169" s="20" t="n">
        <v>91059</v>
      </c>
      <c r="N169" s="20" t="n">
        <v>93288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J170" s="15">
        <f>IF(OR(J169="",F169=""),"",IF(F169&lt;=0,"",IFERROR(J169/F169-1,"")))</f>
        <v/>
      </c>
      <c r="N170" s="15">
        <f>IF(OR(N169="",J169=""),"",IF(J169&lt;=0,"",IFERROR(N169/J169-1,"")))</f>
        <v/>
      </c>
    </row>
    <row r="171">
      <c r="A171" s="18" t="inlineStr">
        <is>
          <t>MachineToolsReportableSegmentMember · 계</t>
        </is>
      </c>
      <c r="C171" s="20" t="n">
        <v>54364</v>
      </c>
      <c r="D171" s="20" t="n">
        <v>53597</v>
      </c>
      <c r="E171" s="20" t="n">
        <v>56101</v>
      </c>
      <c r="F171" s="20" t="n">
        <v>50078</v>
      </c>
      <c r="G171" s="20" t="n">
        <v>57561</v>
      </c>
      <c r="H171" s="20" t="n">
        <v>55225</v>
      </c>
      <c r="I171" s="20" t="n">
        <v>61703</v>
      </c>
      <c r="J171" s="20" t="n">
        <v>50550</v>
      </c>
      <c r="K171" s="20" t="n">
        <v>60007</v>
      </c>
      <c r="L171" s="20" t="n">
        <v>56871</v>
      </c>
      <c r="M171" s="20" t="n">
        <v>68708</v>
      </c>
      <c r="N171" s="20" t="n">
        <v>54485</v>
      </c>
      <c r="V171" s="20" t="n">
        <v>56101</v>
      </c>
      <c r="W171" s="20" t="n">
        <v>61703</v>
      </c>
      <c r="X171" s="20" t="n">
        <v>68708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보고부문 합계 · 계</t>
        </is>
      </c>
      <c r="C173" s="20" t="n">
        <v>488183</v>
      </c>
      <c r="D173" s="20" t="n">
        <v>501395</v>
      </c>
      <c r="E173" s="20" t="n">
        <v>491477</v>
      </c>
      <c r="F173" s="20" t="n">
        <v>475576</v>
      </c>
      <c r="G173" s="20" t="n">
        <v>466761</v>
      </c>
      <c r="H173" s="20" t="n">
        <v>478141</v>
      </c>
      <c r="I173" s="20" t="n">
        <v>512819</v>
      </c>
      <c r="J173" s="20" t="n">
        <v>466194</v>
      </c>
      <c r="K173" s="20" t="n">
        <v>486356</v>
      </c>
      <c r="L173" s="20" t="n">
        <v>484553</v>
      </c>
      <c r="M173" s="20" t="n">
        <v>536579</v>
      </c>
      <c r="N173" s="20" t="n">
        <v>503712</v>
      </c>
      <c r="V173" s="20" t="n">
        <v>491477</v>
      </c>
      <c r="W173" s="20" t="n">
        <v>512819</v>
      </c>
      <c r="X173" s="20" t="n">
        <v>536579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조정액 · 계</t>
        </is>
      </c>
      <c r="C175" s="20" t="n">
        <v>-11633</v>
      </c>
      <c r="D175" s="20" t="n">
        <v>-11799</v>
      </c>
      <c r="E175" s="20" t="n">
        <v>-11800</v>
      </c>
      <c r="F175" s="20" t="n">
        <v>-11518</v>
      </c>
      <c r="G175" s="20" t="n">
        <v>-12339</v>
      </c>
      <c r="H175" s="20" t="n">
        <v>-11554</v>
      </c>
      <c r="I175" s="20" t="n">
        <v>-13488</v>
      </c>
      <c r="J175" s="20" t="n">
        <v>-11399</v>
      </c>
      <c r="K175" s="20" t="n">
        <v>-10975</v>
      </c>
      <c r="L175" s="20" t="n">
        <v>-11405</v>
      </c>
      <c r="M175" s="20" t="n">
        <v>-14952</v>
      </c>
      <c r="N175" s="20" t="n">
        <v>-11739</v>
      </c>
      <c r="V175" s="20" t="n">
        <v>-11800</v>
      </c>
      <c r="W175" s="20" t="n">
        <v>-13488</v>
      </c>
      <c r="X175" s="20" t="n">
        <v>-14952</v>
      </c>
    </row>
    <row r="176">
      <c r="A176" s="9" t="inlineStr">
        <is>
          <t>계</t>
        </is>
      </c>
      <c r="C176" s="12" t="n">
        <v>476550</v>
      </c>
      <c r="D176" s="12" t="n">
        <v>489596</v>
      </c>
      <c r="E176" s="12" t="n">
        <v>479677</v>
      </c>
      <c r="F176" s="12" t="n">
        <v>464057</v>
      </c>
      <c r="G176" s="12" t="n">
        <v>454422</v>
      </c>
      <c r="H176" s="12" t="n">
        <v>466587</v>
      </c>
      <c r="I176" s="12" t="n">
        <v>499331</v>
      </c>
      <c r="V176" s="12" t="n">
        <v>479677</v>
      </c>
      <c r="W176" s="12" t="n">
        <v>499331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</row>
    <row r="178">
      <c r="A178" s="18" t="inlineStr">
        <is>
          <t>EntityTotalMember · 계</t>
        </is>
      </c>
      <c r="F178" s="20" t="n">
        <v>464057</v>
      </c>
      <c r="J178" s="20" t="n">
        <v>454794</v>
      </c>
      <c r="N178" s="20" t="n">
        <v>491973</v>
      </c>
    </row>
    <row r="179">
      <c r="A179" s="18" t="inlineStr">
        <is>
          <t>MobilitiesReportableSegmentMember · Segment Profit Loss</t>
        </is>
      </c>
      <c r="C179" s="20" t="n">
        <v>9762</v>
      </c>
      <c r="D179" s="20" t="n">
        <v>16455</v>
      </c>
      <c r="E179" s="20" t="n">
        <v>11019</v>
      </c>
      <c r="F179" s="20" t="n">
        <v>5075</v>
      </c>
      <c r="G179" s="20" t="n">
        <v>7179</v>
      </c>
      <c r="H179" s="20" t="n">
        <v>4072</v>
      </c>
      <c r="I179" s="20" t="n">
        <v>22018</v>
      </c>
      <c r="J179" s="20" t="n">
        <v>6106</v>
      </c>
      <c r="K179" s="20" t="n">
        <v>10327</v>
      </c>
      <c r="L179" s="20" t="n">
        <v>8231</v>
      </c>
      <c r="M179" s="20" t="n">
        <v>22053</v>
      </c>
      <c r="N179" s="20" t="n">
        <v>15762</v>
      </c>
      <c r="V179" s="20" t="n">
        <v>11019</v>
      </c>
      <c r="W179" s="20" t="n">
        <v>22018</v>
      </c>
      <c r="X179" s="20" t="n">
        <v>22053</v>
      </c>
    </row>
    <row r="180">
      <c r="A180" s="43" t="inlineStr">
        <is>
          <t>OPM</t>
        </is>
      </c>
      <c r="B180" s="3" t="inlineStr">
        <is>
          <t>영업이익 ÷ 매출</t>
        </is>
      </c>
      <c r="C180" s="15">
        <f>IF(OR(C179="",C165=""),"",IF(C165&lt;=0,"",IFERROR(C179/C165,"")))</f>
        <v/>
      </c>
      <c r="D180" s="15">
        <f>IF(OR(D179="",D165=""),"",IF(D165&lt;=0,"",IFERROR(D179/D165,"")))</f>
        <v/>
      </c>
      <c r="E180" s="15">
        <f>IF(OR(E179="",E165=""),"",IF(E165&lt;=0,"",IFERROR(E179/E165,"")))</f>
        <v/>
      </c>
      <c r="F180" s="15">
        <f>IF(OR(F179="",F165=""),"",IF(F165&lt;=0,"",IFERROR(F179/F165,"")))</f>
        <v/>
      </c>
      <c r="G180" s="15">
        <f>IF(OR(G179="",G165=""),"",IF(G165&lt;=0,"",IFERROR(G179/G165,"")))</f>
        <v/>
      </c>
      <c r="H180" s="15">
        <f>IF(OR(H179="",H165=""),"",IF(H165&lt;=0,"",IFERROR(H179/H165,"")))</f>
        <v/>
      </c>
      <c r="I180" s="15">
        <f>IF(OR(I179="",I165=""),"",IF(I165&lt;=0,"",IFERROR(I179/I165,"")))</f>
        <v/>
      </c>
      <c r="J180" s="15">
        <f>IF(OR(J179="",J165=""),"",IF(J165&lt;=0,"",IFERROR(J179/J165,"")))</f>
        <v/>
      </c>
      <c r="K180" s="15">
        <f>IF(OR(K179="",K165=""),"",IF(K165&lt;=0,"",IFERROR(K179/K165,"")))</f>
        <v/>
      </c>
      <c r="L180" s="15">
        <f>IF(OR(L179="",L165=""),"",IF(L165&lt;=0,"",IFERROR(L179/L165,"")))</f>
        <v/>
      </c>
      <c r="M180" s="15">
        <f>IF(OR(M179="",M165=""),"",IF(M165&lt;=0,"",IFERROR(M179/M165,"")))</f>
        <v/>
      </c>
      <c r="N180" s="15">
        <f>IF(OR(N179="",N165=""),"",IF(N165&lt;=0,"",IFERROR(N179/N165,"")))</f>
        <v/>
      </c>
      <c r="V180" s="15">
        <f>IF(OR(V179="",V165=""),"",IF(V165&lt;=0,"",IFERROR(V179/V165,"")))</f>
        <v/>
      </c>
      <c r="W180" s="15">
        <f>IF(OR(W179="",W165=""),"",IF(W165&lt;=0,"",IFERROR(W179/W165,"")))</f>
        <v/>
      </c>
      <c r="X180" s="15">
        <f>IF(OR(X179="",X165=""),"",IF(X165&lt;=0,"",IFERROR(X179/X165,"")))</f>
        <v/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IF(OR(G179="",C179=""),"",IF(C179&lt;=0,"",IFERROR(G179/C179-1,"")))</f>
        <v/>
      </c>
      <c r="H181" s="15">
        <f>IF(OR(H179="",D179=""),"",IF(D179&lt;=0,"",IFERROR(H179/D179-1,"")))</f>
        <v/>
      </c>
      <c r="I181" s="15">
        <f>IF(OR(I179="",E179=""),"",IF(E179&lt;=0,"",IFERROR(I179/E179-1,"")))</f>
        <v/>
      </c>
      <c r="J181" s="15">
        <f>IF(OR(J179="",F179=""),"",IF(F179&lt;=0,"",IFERROR(J179/F179-1,"")))</f>
        <v/>
      </c>
      <c r="K181" s="15">
        <f>IF(OR(K179="",G179=""),"",IF(G179&lt;=0,"",IFERROR(K179/G179-1,"")))</f>
        <v/>
      </c>
      <c r="L181" s="15">
        <f>IF(OR(L179="",H179=""),"",IF(H179&lt;=0,"",IFERROR(L179/H179-1,"")))</f>
        <v/>
      </c>
      <c r="M181" s="15">
        <f>IF(OR(M179="",I179=""),"",IF(I179&lt;=0,"",IFERROR(M179/I179-1,"")))</f>
        <v/>
      </c>
      <c r="N181" s="15">
        <f>IF(OR(N179="",J179=""),"",IF(J179&lt;=0,"",IFERROR(N179/J179-1,"")))</f>
        <v/>
      </c>
      <c r="V181" s="15">
        <f>IF(OR(V179="",U179=""),"",IF(U179&lt;=0,"",IFERROR(V179/U179-1,"")))</f>
        <v/>
      </c>
      <c r="W181" s="15">
        <f>IF(OR(W179="",V179=""),"",IF(V179&lt;=0,"",IFERROR(W179/V179-1,"")))</f>
        <v/>
      </c>
      <c r="X181" s="15">
        <f>IF(OR(X179="",W179=""),"",IF(W179&lt;=0,"",IFERROR(X179/W179-1,"")))</f>
        <v/>
      </c>
    </row>
    <row r="182">
      <c r="A182" s="18" t="inlineStr">
        <is>
          <t>IndustrialMachineAndBearingReportableSegmentMember · Segment Profit Loss</t>
        </is>
      </c>
      <c r="D182" s="20" t="n">
        <v>2018</v>
      </c>
      <c r="E182" s="20" t="n">
        <v>3047</v>
      </c>
      <c r="H182" s="20" t="n">
        <v>1029</v>
      </c>
      <c r="I182" s="20" t="n">
        <v>2591</v>
      </c>
      <c r="L182" s="20" t="n">
        <v>2008</v>
      </c>
      <c r="M182" s="20" t="n">
        <v>1562</v>
      </c>
      <c r="V182" s="20" t="n">
        <v>3047</v>
      </c>
      <c r="W182" s="20" t="n">
        <v>2591</v>
      </c>
      <c r="X182" s="20" t="n">
        <v>1562</v>
      </c>
    </row>
    <row r="183">
      <c r="A183" s="43" t="inlineStr">
        <is>
          <t>OPM</t>
        </is>
      </c>
      <c r="B183" s="3" t="inlineStr">
        <is>
          <t>영업이익 ÷ 매출</t>
        </is>
      </c>
      <c r="D183" s="15">
        <f>IF(OR(D182="",D167=""),"",IF(D167&lt;=0,"",IFERROR(D182/D167,"")))</f>
        <v/>
      </c>
      <c r="E183" s="15">
        <f>IF(OR(E182="",E167=""),"",IF(E167&lt;=0,"",IFERROR(E182/E167,"")))</f>
        <v/>
      </c>
      <c r="H183" s="15">
        <f>IF(OR(H182="",H167=""),"",IF(H167&lt;=0,"",IFERROR(H182/H167,"")))</f>
        <v/>
      </c>
      <c r="I183" s="15">
        <f>IF(OR(I182="",I167=""),"",IF(I167&lt;=0,"",IFERROR(I182/I167,"")))</f>
        <v/>
      </c>
      <c r="L183" s="15">
        <f>IF(OR(L182="",L167=""),"",IF(L167&lt;=0,"",IFERROR(L182/L167,"")))</f>
        <v/>
      </c>
      <c r="M183" s="15">
        <f>IF(OR(M182="",M167=""),"",IF(M167&lt;=0,"",IFERROR(M182/M167,"")))</f>
        <v/>
      </c>
      <c r="V183" s="15">
        <f>IF(OR(V182="",V167=""),"",IF(V167&lt;=0,"",IFERROR(V182/V167,"")))</f>
        <v/>
      </c>
      <c r="W183" s="15">
        <f>IF(OR(W182="",W167=""),"",IF(W167&lt;=0,"",IFERROR(W182/W167,"")))</f>
        <v/>
      </c>
      <c r="X183" s="15">
        <f>IF(OR(X182="",X167=""),"",IF(X167&lt;=0,"",IFERROR(X182/X167,"")))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BearingReportableSegmentMember · Segment Profit Loss</t>
        </is>
      </c>
      <c r="F185" s="20" t="n">
        <v>1197</v>
      </c>
      <c r="J185" s="20" t="n">
        <v>4140</v>
      </c>
      <c r="N185" s="20" t="n">
        <v>3678</v>
      </c>
    </row>
    <row r="186">
      <c r="A186" s="43" t="inlineStr">
        <is>
          <t>OPM</t>
        </is>
      </c>
      <c r="B186" s="3" t="inlineStr">
        <is>
          <t>영업이익 ÷ 매출</t>
        </is>
      </c>
      <c r="F186" s="15">
        <f>IF(OR(F185="",F169=""),"",IF(F169&lt;=0,"",IFERROR(F185/F169,"")))</f>
        <v/>
      </c>
      <c r="J186" s="15">
        <f>IF(OR(J185="",J169=""),"",IF(J169&lt;=0,"",IFERROR(J185/J169,"")))</f>
        <v/>
      </c>
      <c r="N186" s="15">
        <f>IF(OR(N185="",N169=""),"",IF(N169&lt;=0,"",IFERROR(N185/N169,"")))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J187" s="15">
        <f>IF(OR(J185="",F185=""),"",IF(F185&lt;=0,"",IFERROR(J185/F185-1,"")))</f>
        <v/>
      </c>
      <c r="N187" s="15">
        <f>IF(OR(N185="",J185=""),"",IF(J185&lt;=0,"",IFERROR(N185/J185-1,"")))</f>
        <v/>
      </c>
    </row>
    <row r="188">
      <c r="A188" s="18" t="inlineStr">
        <is>
          <t>MachineToolsReportableSegmentMember · Segment Profit Loss</t>
        </is>
      </c>
      <c r="C188" s="20" t="n">
        <v>3582</v>
      </c>
      <c r="D188" s="20" t="n">
        <v>4348</v>
      </c>
      <c r="E188" s="20" t="n">
        <v>4049</v>
      </c>
      <c r="F188" s="20" t="n">
        <v>2105</v>
      </c>
      <c r="G188" s="20" t="n">
        <v>5881</v>
      </c>
      <c r="H188" s="20" t="n">
        <v>4073</v>
      </c>
      <c r="I188" s="20" t="n">
        <v>5351</v>
      </c>
      <c r="J188" s="20" t="n">
        <v>3879</v>
      </c>
      <c r="K188" s="20" t="n">
        <v>5059</v>
      </c>
      <c r="L188" s="20" t="n">
        <v>3418</v>
      </c>
      <c r="M188" s="20" t="n">
        <v>5084</v>
      </c>
      <c r="N188" s="20" t="n">
        <v>3299</v>
      </c>
      <c r="V188" s="20" t="n">
        <v>4049</v>
      </c>
      <c r="W188" s="20" t="n">
        <v>5351</v>
      </c>
      <c r="X188" s="20" t="n">
        <v>5084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IF(OR(C188="",C171=""),"",IF(C171&lt;=0,"",IFERROR(C188/C171,"")))</f>
        <v/>
      </c>
      <c r="D189" s="15">
        <f>IF(OR(D188="",D171=""),"",IF(D171&lt;=0,"",IFERROR(D188/D171,"")))</f>
        <v/>
      </c>
      <c r="E189" s="15">
        <f>IF(OR(E188="",E171=""),"",IF(E171&lt;=0,"",IFERROR(E188/E171,"")))</f>
        <v/>
      </c>
      <c r="F189" s="15">
        <f>IF(OR(F188="",F171=""),"",IF(F171&lt;=0,"",IFERROR(F188/F171,"")))</f>
        <v/>
      </c>
      <c r="G189" s="15">
        <f>IF(OR(G188="",G171=""),"",IF(G171&lt;=0,"",IFERROR(G188/G171,"")))</f>
        <v/>
      </c>
      <c r="H189" s="15">
        <f>IF(OR(H188="",H171=""),"",IF(H171&lt;=0,"",IFERROR(H188/H171,"")))</f>
        <v/>
      </c>
      <c r="I189" s="15">
        <f>IF(OR(I188="",I171=""),"",IF(I171&lt;=0,"",IFERROR(I188/I171,"")))</f>
        <v/>
      </c>
      <c r="J189" s="15">
        <f>IF(OR(J188="",J171=""),"",IF(J171&lt;=0,"",IFERROR(J188/J171,"")))</f>
        <v/>
      </c>
      <c r="K189" s="15">
        <f>IF(OR(K188="",K171=""),"",IF(K171&lt;=0,"",IFERROR(K188/K171,"")))</f>
        <v/>
      </c>
      <c r="L189" s="15">
        <f>IF(OR(L188="",L171=""),"",IF(L171&lt;=0,"",IFERROR(L188/L171,"")))</f>
        <v/>
      </c>
      <c r="M189" s="15">
        <f>IF(OR(M188="",M171=""),"",IF(M171&lt;=0,"",IFERROR(M188/M171,"")))</f>
        <v/>
      </c>
      <c r="N189" s="15">
        <f>IF(OR(N188="",N171=""),"",IF(N171&lt;=0,"",IFERROR(N188/N171,"")))</f>
        <v/>
      </c>
      <c r="V189" s="15">
        <f>IF(OR(V188="",V171=""),"",IF(V171&lt;=0,"",IFERROR(V188/V171,"")))</f>
        <v/>
      </c>
      <c r="W189" s="15">
        <f>IF(OR(W188="",W171=""),"",IF(W171&lt;=0,"",IFERROR(W188/W171,"")))</f>
        <v/>
      </c>
      <c r="X189" s="15">
        <f>IF(OR(X188="",X171=""),"",IF(X171&lt;=0,"",IFERROR(X188/X171,"")))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보고부문 합계 · Segment Profit Loss</t>
        </is>
      </c>
      <c r="C191" s="20" t="n">
        <v>17701</v>
      </c>
      <c r="D191" s="20" t="n">
        <v>22820</v>
      </c>
      <c r="E191" s="20" t="n">
        <v>18115</v>
      </c>
      <c r="F191" s="20" t="n">
        <v>8379</v>
      </c>
      <c r="G191" s="20" t="n">
        <v>16890</v>
      </c>
      <c r="H191" s="20" t="n">
        <v>9174</v>
      </c>
      <c r="I191" s="20" t="n">
        <v>29961</v>
      </c>
      <c r="J191" s="20" t="n">
        <v>14126</v>
      </c>
      <c r="K191" s="20" t="n">
        <v>18886</v>
      </c>
      <c r="L191" s="20" t="n">
        <v>13657</v>
      </c>
      <c r="M191" s="20" t="n">
        <v>28700</v>
      </c>
      <c r="N191" s="20" t="n">
        <v>22740</v>
      </c>
      <c r="V191" s="20" t="n">
        <v>18115</v>
      </c>
      <c r="W191" s="20" t="n">
        <v>29961</v>
      </c>
      <c r="X191" s="20" t="n">
        <v>28700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IF(OR(C191="",C173=""),"",IF(C173&lt;=0,"",IFERROR(C191/C173,"")))</f>
        <v/>
      </c>
      <c r="D192" s="15">
        <f>IF(OR(D191="",D173=""),"",IF(D173&lt;=0,"",IFERROR(D191/D173,"")))</f>
        <v/>
      </c>
      <c r="E192" s="15">
        <f>IF(OR(E191="",E173=""),"",IF(E173&lt;=0,"",IFERROR(E191/E173,"")))</f>
        <v/>
      </c>
      <c r="F192" s="15">
        <f>IF(OR(F191="",F173=""),"",IF(F173&lt;=0,"",IFERROR(F191/F173,"")))</f>
        <v/>
      </c>
      <c r="G192" s="15">
        <f>IF(OR(G191="",G173=""),"",IF(G173&lt;=0,"",IFERROR(G191/G173,"")))</f>
        <v/>
      </c>
      <c r="H192" s="15">
        <f>IF(OR(H191="",H173=""),"",IF(H173&lt;=0,"",IFERROR(H191/H173,"")))</f>
        <v/>
      </c>
      <c r="I192" s="15">
        <f>IF(OR(I191="",I173=""),"",IF(I173&lt;=0,"",IFERROR(I191/I173,"")))</f>
        <v/>
      </c>
      <c r="J192" s="15">
        <f>IF(OR(J191="",J173=""),"",IF(J173&lt;=0,"",IFERROR(J191/J173,"")))</f>
        <v/>
      </c>
      <c r="K192" s="15">
        <f>IF(OR(K191="",K173=""),"",IF(K173&lt;=0,"",IFERROR(K191/K173,"")))</f>
        <v/>
      </c>
      <c r="L192" s="15">
        <f>IF(OR(L191="",L173=""),"",IF(L173&lt;=0,"",IFERROR(L191/L173,"")))</f>
        <v/>
      </c>
      <c r="M192" s="15">
        <f>IF(OR(M191="",M173=""),"",IF(M173&lt;=0,"",IFERROR(M191/M173,"")))</f>
        <v/>
      </c>
      <c r="N192" s="15">
        <f>IF(OR(N191="",N173=""),"",IF(N173&lt;=0,"",IFERROR(N191/N173,"")))</f>
        <v/>
      </c>
      <c r="V192" s="15">
        <f>IF(OR(V191="",V173=""),"",IF(V173&lt;=0,"",IFERROR(V191/V173,"")))</f>
        <v/>
      </c>
      <c r="W192" s="15">
        <f>IF(OR(W191="",W173=""),"",IF(W173&lt;=0,"",IFERROR(W191/W173,"")))</f>
        <v/>
      </c>
      <c r="X192" s="15">
        <f>IF(OR(X191="",X173=""),"",IF(X173&lt;=0,"",IFERROR(X191/X173,"")))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조정액 · Segment Profit Loss</t>
        </is>
      </c>
      <c r="C194" s="20" t="n">
        <v>-147</v>
      </c>
      <c r="D194" s="20" t="n">
        <v>205</v>
      </c>
      <c r="E194" s="20" t="n">
        <v>225</v>
      </c>
      <c r="F194" s="20" t="n">
        <v>190</v>
      </c>
      <c r="G194" s="20" t="n">
        <v>192</v>
      </c>
      <c r="H194" s="20" t="n">
        <v>98</v>
      </c>
      <c r="I194" s="20" t="n">
        <v>54</v>
      </c>
      <c r="J194" s="20" t="n">
        <v>-90</v>
      </c>
      <c r="K194" s="20" t="n">
        <v>245</v>
      </c>
      <c r="L194" s="20" t="n">
        <v>23</v>
      </c>
      <c r="M194" s="20" t="n">
        <v>132</v>
      </c>
      <c r="N194" s="20" t="n">
        <v>6</v>
      </c>
      <c r="V194" s="20" t="n">
        <v>225</v>
      </c>
      <c r="W194" s="20" t="n">
        <v>54</v>
      </c>
      <c r="X194" s="20" t="n">
        <v>132</v>
      </c>
    </row>
    <row r="195">
      <c r="A195" s="18" t="inlineStr">
        <is>
          <t>Segment Profit Loss</t>
        </is>
      </c>
      <c r="C195" s="20" t="n">
        <v>17554</v>
      </c>
      <c r="D195" s="20" t="n">
        <v>23025</v>
      </c>
      <c r="E195" s="20" t="n">
        <v>18339</v>
      </c>
      <c r="F195" s="20" t="n">
        <v>8570</v>
      </c>
      <c r="G195" s="20" t="n">
        <v>17082</v>
      </c>
      <c r="H195" s="20" t="n">
        <v>9272</v>
      </c>
      <c r="I195" s="20" t="n">
        <v>30014</v>
      </c>
      <c r="V195" s="20" t="n">
        <v>18339</v>
      </c>
      <c r="W195" s="20" t="n">
        <v>30014</v>
      </c>
    </row>
    <row r="196">
      <c r="A196" s="18" t="inlineStr">
        <is>
          <t>기타수익</t>
        </is>
      </c>
      <c r="C196" s="20" t="n">
        <v>2562</v>
      </c>
      <c r="D196" s="20" t="n">
        <v>737</v>
      </c>
      <c r="E196" s="20" t="n">
        <v>1666</v>
      </c>
      <c r="F196" s="20" t="n">
        <v>4112</v>
      </c>
      <c r="G196" s="20" t="n">
        <v>876</v>
      </c>
      <c r="H196" s="20" t="n">
        <v>1233</v>
      </c>
      <c r="I196" s="20" t="n">
        <v>1775</v>
      </c>
      <c r="V196" s="20" t="n">
        <v>1666</v>
      </c>
      <c r="W196" s="20" t="n">
        <v>1775</v>
      </c>
    </row>
    <row r="197">
      <c r="A197" s="18" t="inlineStr">
        <is>
          <t>기타비용</t>
        </is>
      </c>
      <c r="C197" s="20" t="n">
        <v>4348</v>
      </c>
      <c r="D197" s="20" t="n">
        <v>1026</v>
      </c>
      <c r="E197" s="20" t="n">
        <v>15169</v>
      </c>
      <c r="F197" s="20" t="n">
        <v>1537</v>
      </c>
      <c r="G197" s="20" t="n">
        <v>3563</v>
      </c>
      <c r="H197" s="20" t="n">
        <v>1038</v>
      </c>
      <c r="I197" s="20" t="n">
        <v>28344</v>
      </c>
      <c r="V197" s="20" t="n">
        <v>15169</v>
      </c>
      <c r="W197" s="20" t="n">
        <v>28344</v>
      </c>
    </row>
    <row r="198">
      <c r="A198" s="18" t="inlineStr">
        <is>
          <t>영업이익</t>
        </is>
      </c>
      <c r="C198" s="20" t="n">
        <v>15769</v>
      </c>
      <c r="D198" s="20" t="n">
        <v>22737</v>
      </c>
      <c r="E198" s="20" t="n">
        <v>4836</v>
      </c>
      <c r="F198" s="20" t="n">
        <v>11144</v>
      </c>
      <c r="G198" s="20" t="n">
        <v>14396</v>
      </c>
      <c r="H198" s="20" t="n">
        <v>9466</v>
      </c>
      <c r="I198" s="20" t="n">
        <v>3446</v>
      </c>
      <c r="V198" s="20" t="n">
        <v>4836</v>
      </c>
      <c r="W198" s="20" t="n">
        <v>3446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IF(OR(C198="",C154=""),"",IF(C154&lt;=0,"",IFERROR(C198/C154,"")))</f>
        <v/>
      </c>
      <c r="D199" s="15">
        <f>IF(OR(D198="",D154=""),"",IF(D154&lt;=0,"",IFERROR(D198/D154,"")))</f>
        <v/>
      </c>
      <c r="E199" s="15">
        <f>IF(OR(E198="",E154=""),"",IF(E154&lt;=0,"",IFERROR(E198/E154,"")))</f>
        <v/>
      </c>
      <c r="F199" s="15">
        <f>IF(OR(F198="",F154=""),"",IF(F154&lt;=0,"",IFERROR(F198/F154,"")))</f>
        <v/>
      </c>
      <c r="G199" s="15">
        <f>IF(OR(G198="",G154=""),"",IF(G154&lt;=0,"",IFERROR(G198/G154,"")))</f>
        <v/>
      </c>
      <c r="H199" s="15">
        <f>IF(OR(H198="",H154=""),"",IF(H154&lt;=0,"",IFERROR(H198/H154,"")))</f>
        <v/>
      </c>
      <c r="I199" s="15">
        <f>IF(OR(I198="",I154=""),"",IF(I154&lt;=0,"",IFERROR(I198/I154,"")))</f>
        <v/>
      </c>
      <c r="V199" s="15">
        <f>IF(OR(V198="",V154=""),"",IF(V154&lt;=0,"",IFERROR(V198/V154,"")))</f>
        <v/>
      </c>
      <c r="W199" s="15">
        <f>IF(OR(W198="",W154=""),"",IF(W154&lt;=0,"",IFERROR(W198/W154,"")))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</row>
    <row r="201">
      <c r="A201" s="18" t="inlineStr">
        <is>
          <t>금융수익</t>
        </is>
      </c>
      <c r="C201" s="20" t="n">
        <v>2961</v>
      </c>
      <c r="D201" s="20" t="n">
        <v>-2568</v>
      </c>
      <c r="E201" s="20" t="n">
        <v>8826</v>
      </c>
      <c r="F201" s="20" t="n">
        <v>10045</v>
      </c>
      <c r="G201" s="20" t="n">
        <v>-896</v>
      </c>
      <c r="H201" s="20" t="n">
        <v>-4442</v>
      </c>
      <c r="I201" s="20" t="n">
        <v>3840</v>
      </c>
      <c r="V201" s="20" t="n">
        <v>8826</v>
      </c>
      <c r="W201" s="20" t="n">
        <v>3840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IF(OR(G201="",C201=""),"",IF(G201*C201&lt;=0,"",IFERROR(G201/C201-1,"")))</f>
        <v/>
      </c>
      <c r="H202" s="15">
        <f>IF(OR(H201="",D201=""),"",IF(H201*D201&lt;=0,"",IFERROR(H201/D201-1,"")))</f>
        <v/>
      </c>
      <c r="I202" s="15">
        <f>IF(OR(I201="",E201=""),"",IF(I201*E201&lt;=0,"",IFERROR(I201/E201-1,"")))</f>
        <v/>
      </c>
      <c r="V202" s="15">
        <f>IF(OR(V201="",U201=""),"",IF(V201*U201&lt;=0,"",IFERROR(V201/U201-1,"")))</f>
        <v/>
      </c>
      <c r="W202" s="15">
        <f>IF(OR(W201="",V201=""),"",IF(W201*V201&lt;=0,"",IFERROR(W201/V201-1,"")))</f>
        <v/>
      </c>
    </row>
    <row r="203">
      <c r="A203" s="18" t="inlineStr">
        <is>
          <t>금융비용</t>
        </is>
      </c>
      <c r="C203" s="20" t="n">
        <v>2359</v>
      </c>
      <c r="D203" s="20" t="n">
        <v>716</v>
      </c>
      <c r="E203" s="20" t="n">
        <v>2699</v>
      </c>
      <c r="F203" s="20" t="n">
        <v>4747</v>
      </c>
      <c r="G203" s="20" t="n">
        <v>10970</v>
      </c>
      <c r="H203" s="20" t="n">
        <v>-4392</v>
      </c>
      <c r="I203" s="20" t="n">
        <v>5814</v>
      </c>
      <c r="V203" s="20" t="n">
        <v>2699</v>
      </c>
      <c r="W203" s="20" t="n">
        <v>5814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IF(OR(G203="",C203=""),"",IF(G203*C203&lt;=0,"",IFERROR(G203/C203-1,"")))</f>
        <v/>
      </c>
      <c r="H204" s="15">
        <f>IF(OR(H203="",D203=""),"",IF(H203*D203&lt;=0,"",IFERROR(H203/D203-1,"")))</f>
        <v/>
      </c>
      <c r="I204" s="15">
        <f>IF(OR(I203="",E203=""),"",IF(I203*E203&lt;=0,"",IFERROR(I203/E203-1,"")))</f>
        <v/>
      </c>
      <c r="V204" s="15">
        <f>IF(OR(V203="",U203=""),"",IF(V203*U203&lt;=0,"",IFERROR(V203/U203-1,"")))</f>
        <v/>
      </c>
      <c r="W204" s="15">
        <f>IF(OR(W203="",V203=""),"",IF(W203*V203&lt;=0,"",IFERROR(W203/V203-1,"")))</f>
        <v/>
      </c>
    </row>
    <row r="205">
      <c r="A205" s="18" t="inlineStr">
        <is>
          <t>지분법이익</t>
        </is>
      </c>
      <c r="C205" s="20" t="n">
        <v>207</v>
      </c>
      <c r="D205" s="20" t="n">
        <v>234</v>
      </c>
      <c r="E205" s="20" t="n">
        <v>346</v>
      </c>
      <c r="F205" s="20" t="n">
        <v>316</v>
      </c>
      <c r="G205" s="20" t="n">
        <v>211</v>
      </c>
      <c r="H205" s="20" t="n">
        <v>174</v>
      </c>
      <c r="I205" s="20" t="n">
        <v>315</v>
      </c>
      <c r="V205" s="20" t="n">
        <v>346</v>
      </c>
      <c r="W205" s="20" t="n">
        <v>315</v>
      </c>
    </row>
    <row r="206">
      <c r="A206" s="9" t="inlineStr">
        <is>
          <t>법인세차감전 이익</t>
        </is>
      </c>
      <c r="C206" s="12" t="n">
        <v>16577</v>
      </c>
      <c r="D206" s="12" t="n">
        <v>19686</v>
      </c>
      <c r="E206" s="12" t="n">
        <v>11310</v>
      </c>
      <c r="F206" s="12" t="n">
        <v>16758</v>
      </c>
      <c r="G206" s="12" t="n">
        <v>2741</v>
      </c>
      <c r="H206" s="12" t="n">
        <v>9590</v>
      </c>
      <c r="I206" s="12" t="n">
        <v>1787</v>
      </c>
      <c r="V206" s="12" t="n">
        <v>11310</v>
      </c>
      <c r="W206" s="12" t="n">
        <v>1787</v>
      </c>
    </row>
    <row r="207">
      <c r="A207" s="18" t="inlineStr">
        <is>
          <t>EntityTotalMember · Segment Profit Loss</t>
        </is>
      </c>
      <c r="F207" s="20" t="n">
        <v>8570</v>
      </c>
      <c r="J207" s="20" t="n">
        <v>14036</v>
      </c>
      <c r="N207" s="20" t="n">
        <v>22746</v>
      </c>
    </row>
    <row r="208">
      <c r="A208" s="18" t="inlineStr">
        <is>
          <t>EntityTotalMember · 기타수익</t>
        </is>
      </c>
      <c r="F208" s="20" t="n">
        <v>4112</v>
      </c>
      <c r="J208" s="20" t="n">
        <v>1594</v>
      </c>
      <c r="N208" s="20" t="n">
        <v>1398</v>
      </c>
    </row>
    <row r="209">
      <c r="A209" s="18" t="inlineStr">
        <is>
          <t>EntityTotalMember · 기타비용</t>
        </is>
      </c>
      <c r="F209" s="20" t="n">
        <v>1537</v>
      </c>
      <c r="J209" s="20" t="n">
        <v>2104</v>
      </c>
      <c r="N209" s="20" t="n">
        <v>1333</v>
      </c>
    </row>
    <row r="210">
      <c r="A210" s="18" t="inlineStr">
        <is>
          <t>EntityTotalMember · 영업이익</t>
        </is>
      </c>
      <c r="F210" s="20" t="n">
        <v>11144</v>
      </c>
      <c r="J210" s="20" t="n">
        <v>13526</v>
      </c>
      <c r="N210" s="20" t="n">
        <v>22811</v>
      </c>
    </row>
    <row r="211">
      <c r="A211" s="18" t="inlineStr">
        <is>
          <t>EntityTotalMember · 금융수익</t>
        </is>
      </c>
      <c r="F211" s="20" t="n">
        <v>10045</v>
      </c>
      <c r="J211" s="20" t="n">
        <v>4160</v>
      </c>
      <c r="N211" s="20" t="n">
        <v>2205</v>
      </c>
    </row>
    <row r="212">
      <c r="A212" s="18" t="inlineStr">
        <is>
          <t>EntityTotalMember · 금융비용</t>
        </is>
      </c>
      <c r="F212" s="20" t="n">
        <v>4747</v>
      </c>
      <c r="J212" s="20" t="n">
        <v>7311</v>
      </c>
      <c r="N212" s="20" t="n">
        <v>3410</v>
      </c>
    </row>
    <row r="213">
      <c r="A213" s="18" t="inlineStr">
        <is>
          <t>EntityTotalMember · Share Of Profit Loss Of Investments Accounted For Using Equity Method</t>
        </is>
      </c>
      <c r="F213" s="20" t="n">
        <v>316</v>
      </c>
      <c r="J213" s="20" t="n">
        <v>-51</v>
      </c>
      <c r="N213" s="20" t="n">
        <v>-45</v>
      </c>
    </row>
    <row r="214">
      <c r="A214" s="18" t="inlineStr">
        <is>
          <t>EntityTotalMember · 법인세비용차감전 중간이익</t>
        </is>
      </c>
      <c r="F214" s="20" t="n">
        <v>16758</v>
      </c>
      <c r="J214" s="20" t="n">
        <v>10323</v>
      </c>
      <c r="N214" s="20" t="n">
        <v>21560</v>
      </c>
    </row>
    <row r="216">
      <c r="A216" s="16" t="inlineStr">
        <is>
          <t>현금흐름표 · 전 항목</t>
        </is>
      </c>
      <c r="B216" s="42" t="inlineStr">
        <is>
          <t>분기 = 결산기 첫날부터 누계(공시 그대로)</t>
        </is>
      </c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</row>
    <row r="217">
      <c r="A217" s="5" t="inlineStr">
        <is>
          <t>항목</t>
        </is>
      </c>
      <c r="B217" s="5" t="inlineStr">
        <is>
          <t>참고</t>
        </is>
      </c>
      <c r="C217" s="5" t="inlineStr">
        <is>
          <t>2024.2Q</t>
        </is>
      </c>
      <c r="D217" s="5" t="inlineStr">
        <is>
          <t>2024.3Q</t>
        </is>
      </c>
      <c r="E217" s="5" t="inlineStr">
        <is>
          <t>2024.4Q</t>
        </is>
      </c>
      <c r="F217" s="5" t="inlineStr">
        <is>
          <t>2025.1Q</t>
        </is>
      </c>
      <c r="G217" s="5" t="inlineStr">
        <is>
          <t>2025.2Q</t>
        </is>
      </c>
      <c r="H217" s="5" t="inlineStr">
        <is>
          <t>2025.3Q</t>
        </is>
      </c>
      <c r="I217" s="5" t="inlineStr">
        <is>
          <t>2025.4Q</t>
        </is>
      </c>
      <c r="J217" s="5" t="inlineStr">
        <is>
          <t>2026.1Q</t>
        </is>
      </c>
      <c r="K217" s="5" t="inlineStr">
        <is>
          <t>2026.2Q</t>
        </is>
      </c>
      <c r="L217" s="5" t="inlineStr">
        <is>
          <t>2026.3Q</t>
        </is>
      </c>
      <c r="M217" s="5" t="inlineStr">
        <is>
          <t>2026.4Q</t>
        </is>
      </c>
      <c r="N217" s="5" t="inlineStr">
        <is>
          <t>2027.1Q</t>
        </is>
      </c>
      <c r="O217" s="5" t="inlineStr">
        <is>
          <t>2017</t>
        </is>
      </c>
      <c r="P217" s="5" t="inlineStr">
        <is>
          <t>2018</t>
        </is>
      </c>
      <c r="Q217" s="5" t="inlineStr">
        <is>
          <t>2019</t>
        </is>
      </c>
      <c r="R217" s="5" t="inlineStr">
        <is>
          <t>2020</t>
        </is>
      </c>
      <c r="S217" s="5" t="inlineStr">
        <is>
          <t>2021</t>
        </is>
      </c>
      <c r="T217" s="5" t="inlineStr">
        <is>
          <t>2022</t>
        </is>
      </c>
      <c r="U217" s="5" t="inlineStr">
        <is>
          <t>2023</t>
        </is>
      </c>
      <c r="V217" s="5" t="inlineStr">
        <is>
          <t>2024</t>
        </is>
      </c>
      <c r="W217" s="5" t="inlineStr">
        <is>
          <t>2025</t>
        </is>
      </c>
      <c r="X217" s="5" t="inlineStr">
        <is>
          <t>2026</t>
        </is>
      </c>
      <c r="Y217" s="5" t="inlineStr">
        <is>
          <t>2027(MW)</t>
        </is>
      </c>
      <c r="Z217" s="5" t="inlineStr">
        <is>
          <t>2028(MW)</t>
        </is>
      </c>
      <c r="AA217" s="5" t="inlineStr">
        <is>
          <t>2029(MW)</t>
        </is>
      </c>
      <c r="AB217" s="5" t="inlineStr">
        <is>
          <t>2030(MW)</t>
        </is>
      </c>
      <c r="AC217" s="5" t="inlineStr">
        <is>
          <t>2031(MW)</t>
        </is>
      </c>
    </row>
    <row r="218">
      <c r="A218" s="9" t="inlineStr">
        <is>
          <t>법인세비용차감전 중간이익</t>
        </is>
      </c>
      <c r="C218" s="12" t="n">
        <v>41517</v>
      </c>
      <c r="D218" s="12" t="n">
        <v>61203</v>
      </c>
      <c r="E218" s="12" t="n">
        <v>72513</v>
      </c>
      <c r="F218" s="12" t="n">
        <v>16758</v>
      </c>
      <c r="G218" s="12" t="n">
        <v>19499</v>
      </c>
      <c r="H218" s="12" t="n">
        <v>29089</v>
      </c>
      <c r="I218" s="12" t="n">
        <v>30876</v>
      </c>
      <c r="J218" s="12" t="n">
        <v>10323</v>
      </c>
      <c r="K218" s="12" t="n">
        <v>23675</v>
      </c>
      <c r="L218" s="12" t="n">
        <v>42209</v>
      </c>
      <c r="M218" s="12" t="n">
        <v>27377</v>
      </c>
      <c r="N218" s="12" t="n">
        <v>21560</v>
      </c>
      <c r="Q218" s="12" t="n">
        <v>65261</v>
      </c>
      <c r="R218" s="12" t="n">
        <v>15073</v>
      </c>
      <c r="S218" s="12" t="n">
        <v>15352</v>
      </c>
      <c r="T218" s="12" t="n">
        <v>43934</v>
      </c>
      <c r="U218" s="12" t="n">
        <v>55889</v>
      </c>
      <c r="V218" s="12" t="n">
        <v>72513</v>
      </c>
      <c r="W218" s="12" t="n">
        <v>30876</v>
      </c>
      <c r="X218" s="12" t="n">
        <v>27377</v>
      </c>
    </row>
    <row r="219">
      <c r="A219" s="18" t="inlineStr">
        <is>
          <t>감가상각비 및 상각비</t>
        </is>
      </c>
      <c r="C219" s="20" t="n">
        <v>35061</v>
      </c>
      <c r="D219" s="20" t="n">
        <v>53252</v>
      </c>
      <c r="E219" s="20" t="n">
        <v>72350</v>
      </c>
      <c r="F219" s="20" t="n">
        <v>17785</v>
      </c>
      <c r="G219" s="20" t="n">
        <v>35379</v>
      </c>
      <c r="H219" s="20" t="n">
        <v>53307</v>
      </c>
      <c r="I219" s="20" t="n">
        <v>71794</v>
      </c>
      <c r="J219" s="20" t="n">
        <v>16721</v>
      </c>
      <c r="K219" s="20" t="n">
        <v>34127</v>
      </c>
      <c r="L219" s="20" t="n">
        <v>52473</v>
      </c>
      <c r="M219" s="20" t="n">
        <v>71186</v>
      </c>
      <c r="N219" s="20" t="n">
        <v>17638</v>
      </c>
      <c r="Q219" s="20" t="n">
        <v>64318</v>
      </c>
      <c r="R219" s="20" t="n">
        <v>64629</v>
      </c>
      <c r="S219" s="20" t="n">
        <v>63056</v>
      </c>
      <c r="T219" s="20" t="n">
        <v>66990</v>
      </c>
      <c r="U219" s="20" t="n">
        <v>69493</v>
      </c>
      <c r="V219" s="20" t="n">
        <v>72350</v>
      </c>
      <c r="W219" s="20" t="n">
        <v>71794</v>
      </c>
      <c r="X219" s="20" t="n">
        <v>71186</v>
      </c>
    </row>
    <row r="220">
      <c r="A220" s="18" t="inlineStr">
        <is>
          <t>손상차손</t>
        </is>
      </c>
      <c r="C220" s="20" t="n">
        <v>811</v>
      </c>
      <c r="D220" s="20" t="n">
        <v>890</v>
      </c>
      <c r="E220" s="20" t="n">
        <v>10337</v>
      </c>
      <c r="F220" s="20" t="n">
        <v>792</v>
      </c>
      <c r="G220" s="20" t="n">
        <v>2364</v>
      </c>
      <c r="H220" s="20" t="n">
        <v>2885</v>
      </c>
      <c r="I220" s="20" t="n">
        <v>14327</v>
      </c>
      <c r="J220" s="20" t="n">
        <v>231</v>
      </c>
      <c r="K220" s="20" t="n">
        <v>438</v>
      </c>
      <c r="L220" s="20" t="n">
        <v>2128</v>
      </c>
      <c r="M220" s="20" t="n">
        <v>7142</v>
      </c>
      <c r="N220" s="20" t="n">
        <v>19</v>
      </c>
      <c r="Q220" s="20" t="n">
        <v>6061</v>
      </c>
      <c r="R220" s="20" t="n">
        <v>15725</v>
      </c>
      <c r="S220" s="20" t="n">
        <v>428</v>
      </c>
      <c r="T220" s="20" t="n">
        <v>3540</v>
      </c>
      <c r="U220" s="20" t="n">
        <v>3403</v>
      </c>
      <c r="V220" s="20" t="n">
        <v>10337</v>
      </c>
      <c r="W220" s="20" t="n">
        <v>14327</v>
      </c>
      <c r="X220" s="20" t="n">
        <v>7142</v>
      </c>
    </row>
    <row r="221">
      <c r="A221" s="18" t="inlineStr">
        <is>
          <t>Finance Income And Finance Costs Ope CF</t>
        </is>
      </c>
      <c r="C221" s="20" t="n">
        <v>724</v>
      </c>
      <c r="D221" s="20" t="n">
        <v>-3</v>
      </c>
      <c r="E221" s="20" t="n">
        <v>469</v>
      </c>
      <c r="F221" s="20" t="n">
        <v>-639</v>
      </c>
      <c r="G221" s="20" t="n">
        <v>163</v>
      </c>
      <c r="H221" s="20" t="n">
        <v>47</v>
      </c>
      <c r="I221" s="20" t="n">
        <v>440</v>
      </c>
      <c r="J221" s="20" t="n">
        <v>-380</v>
      </c>
      <c r="K221" s="20" t="n">
        <v>563</v>
      </c>
      <c r="L221" s="20" t="n">
        <v>452</v>
      </c>
      <c r="M221" s="20" t="n">
        <v>1167</v>
      </c>
      <c r="N221" s="20" t="n">
        <v>-483</v>
      </c>
      <c r="Q221" s="20" t="n">
        <v>117</v>
      </c>
      <c r="R221" s="20" t="n">
        <v>-35</v>
      </c>
      <c r="S221" s="20" t="n">
        <v>529</v>
      </c>
      <c r="T221" s="20" t="n">
        <v>-740</v>
      </c>
      <c r="U221" s="20" t="n">
        <v>800</v>
      </c>
      <c r="V221" s="20" t="n">
        <v>469</v>
      </c>
      <c r="W221" s="20" t="n">
        <v>440</v>
      </c>
      <c r="X221" s="20" t="n">
        <v>1167</v>
      </c>
    </row>
    <row r="222">
      <c r="A222" s="18" t="inlineStr">
        <is>
          <t>Share Of Loss Profit Of Investments Accounted For Using Equity Method Ope CF</t>
        </is>
      </c>
      <c r="C222" s="20" t="n">
        <v>-253</v>
      </c>
      <c r="D222" s="20" t="n">
        <v>-487</v>
      </c>
      <c r="E222" s="20" t="n">
        <v>-833</v>
      </c>
      <c r="F222" s="20" t="n">
        <v>-316</v>
      </c>
      <c r="G222" s="20" t="n">
        <v>-527</v>
      </c>
      <c r="H222" s="20" t="n">
        <v>-701</v>
      </c>
      <c r="I222" s="20" t="n">
        <v>-1016</v>
      </c>
      <c r="J222" s="20" t="n">
        <v>51</v>
      </c>
      <c r="K222" s="20" t="n">
        <v>-71</v>
      </c>
      <c r="L222" s="20" t="n">
        <v>-192</v>
      </c>
      <c r="M222" s="20" t="n">
        <v>-519</v>
      </c>
      <c r="N222" s="20" t="n">
        <v>45</v>
      </c>
      <c r="Q222" s="20" t="n">
        <v>-1093</v>
      </c>
      <c r="R222" s="20" t="n">
        <v>-1457</v>
      </c>
      <c r="S222" s="20" t="n">
        <v>-263</v>
      </c>
      <c r="T222" s="20" t="n">
        <v>-486</v>
      </c>
      <c r="U222" s="20" t="n">
        <v>-880</v>
      </c>
      <c r="V222" s="20" t="n">
        <v>-833</v>
      </c>
      <c r="W222" s="20" t="n">
        <v>-1016</v>
      </c>
      <c r="X222" s="20" t="n">
        <v>-519</v>
      </c>
    </row>
    <row r="223">
      <c r="A223" s="18" t="inlineStr">
        <is>
          <t>Increase Decrease In Provisions Ope CF</t>
        </is>
      </c>
      <c r="C223" s="20" t="n">
        <v>-4804</v>
      </c>
      <c r="D223" s="20" t="n">
        <v>-5225</v>
      </c>
      <c r="E223" s="20" t="n">
        <v>-10478</v>
      </c>
      <c r="F223" s="20" t="n">
        <v>-46</v>
      </c>
      <c r="G223" s="20" t="n">
        <v>-208</v>
      </c>
      <c r="H223" s="20" t="n">
        <v>-278</v>
      </c>
      <c r="I223" s="20" t="n">
        <v>6815</v>
      </c>
      <c r="J223" s="20" t="n">
        <v>207</v>
      </c>
      <c r="K223" s="20" t="n">
        <v>-1962</v>
      </c>
      <c r="L223" s="20" t="n">
        <v>-4225</v>
      </c>
      <c r="M223" s="20" t="n">
        <v>-3120</v>
      </c>
      <c r="N223" s="20" t="n">
        <v>2138</v>
      </c>
      <c r="Q223" s="20" t="n">
        <v>-1847</v>
      </c>
      <c r="R223" s="20" t="n">
        <v>-908</v>
      </c>
      <c r="S223" s="20" t="n">
        <v>-1165</v>
      </c>
      <c r="T223" s="20" t="n">
        <v>619</v>
      </c>
      <c r="U223" s="20" t="n">
        <v>11536</v>
      </c>
      <c r="V223" s="20" t="n">
        <v>-10478</v>
      </c>
      <c r="W223" s="20" t="n">
        <v>6815</v>
      </c>
      <c r="X223" s="20" t="n">
        <v>-3120</v>
      </c>
    </row>
    <row r="224">
      <c r="A224" s="18" t="inlineStr">
        <is>
          <t>퇴직급여부채 증감액</t>
        </is>
      </c>
      <c r="C224" s="20" t="n">
        <v>482</v>
      </c>
      <c r="D224" s="20" t="n">
        <v>962</v>
      </c>
      <c r="E224" s="20" t="n">
        <v>-1225</v>
      </c>
      <c r="F224" s="20" t="n">
        <v>-459</v>
      </c>
      <c r="G224" s="20" t="n">
        <v>-343</v>
      </c>
      <c r="H224" s="20" t="n">
        <v>706</v>
      </c>
      <c r="I224" s="20" t="n">
        <v>-6840</v>
      </c>
      <c r="J224" s="20" t="n">
        <v>-102</v>
      </c>
      <c r="K224" s="20" t="n">
        <v>243</v>
      </c>
      <c r="L224" s="20" t="n">
        <v>482</v>
      </c>
      <c r="M224" s="20" t="n">
        <v>-4593</v>
      </c>
      <c r="N224" s="20" t="n">
        <v>514</v>
      </c>
      <c r="Q224" s="20" t="n">
        <v>1004</v>
      </c>
      <c r="R224" s="20" t="n">
        <v>6866</v>
      </c>
      <c r="S224" s="20" t="n">
        <v>-183</v>
      </c>
      <c r="T224" s="20" t="n">
        <v>-5192</v>
      </c>
      <c r="U224" s="20" t="n">
        <v>-5454</v>
      </c>
      <c r="V224" s="20" t="n">
        <v>-1225</v>
      </c>
      <c r="W224" s="20" t="n">
        <v>-6840</v>
      </c>
      <c r="X224" s="20" t="n">
        <v>-4593</v>
      </c>
    </row>
    <row r="225">
      <c r="A225" s="18" t="inlineStr">
        <is>
          <t>Decrease Increase In Retirement Benefit Asset Ope CF</t>
        </is>
      </c>
      <c r="C225" s="20" t="n">
        <v>128</v>
      </c>
      <c r="D225" s="20" t="n">
        <v>134</v>
      </c>
      <c r="E225" s="20" t="n">
        <v>-30944</v>
      </c>
      <c r="F225" s="20" t="n">
        <v>-226</v>
      </c>
      <c r="G225" s="20" t="n">
        <v>-93</v>
      </c>
      <c r="H225" s="20" t="n">
        <v>-321</v>
      </c>
      <c r="I225" s="20" t="n">
        <v>22719</v>
      </c>
      <c r="J225" s="20" t="n">
        <v>-309</v>
      </c>
      <c r="K225" s="20" t="n">
        <v>-197</v>
      </c>
      <c r="L225" s="20" t="n">
        <v>-358</v>
      </c>
      <c r="M225" s="20" t="n">
        <v>-6477</v>
      </c>
      <c r="N225" s="20" t="n">
        <v>-762</v>
      </c>
      <c r="Q225" s="20" t="n">
        <v>-248</v>
      </c>
      <c r="R225" s="20" t="n">
        <v>-7134</v>
      </c>
      <c r="S225" s="20" t="n">
        <v>-11557</v>
      </c>
      <c r="T225" s="20" t="n">
        <v>-10622</v>
      </c>
      <c r="U225" s="20" t="n">
        <v>-204</v>
      </c>
      <c r="V225" s="20" t="n">
        <v>-30944</v>
      </c>
      <c r="W225" s="20" t="n">
        <v>22719</v>
      </c>
      <c r="X225" s="20" t="n">
        <v>-6477</v>
      </c>
    </row>
    <row r="226">
      <c r="A226" s="18" t="inlineStr">
        <is>
          <t>재고자산 증감액</t>
        </is>
      </c>
      <c r="C226" s="20" t="n">
        <v>4032</v>
      </c>
      <c r="D226" s="20" t="n">
        <v>-2778</v>
      </c>
      <c r="E226" s="20" t="n">
        <v>-1207</v>
      </c>
      <c r="F226" s="20" t="n">
        <v>-4574</v>
      </c>
      <c r="G226" s="20" t="n">
        <v>-13181</v>
      </c>
      <c r="H226" s="20" t="n">
        <v>-12492</v>
      </c>
      <c r="I226" s="20" t="n">
        <v>-1375</v>
      </c>
      <c r="J226" s="20" t="n">
        <v>1126</v>
      </c>
      <c r="K226" s="20" t="n">
        <v>3028</v>
      </c>
      <c r="L226" s="20" t="n">
        <v>-2062</v>
      </c>
      <c r="M226" s="20" t="n">
        <v>12613</v>
      </c>
      <c r="N226" s="20" t="n">
        <v>-6164</v>
      </c>
      <c r="Q226" s="20" t="n">
        <v>-8757</v>
      </c>
      <c r="R226" s="20" t="n">
        <v>-10652</v>
      </c>
      <c r="S226" s="20" t="n">
        <v>14598</v>
      </c>
      <c r="T226" s="20" t="n">
        <v>-32556</v>
      </c>
      <c r="U226" s="20" t="n">
        <v>-8733</v>
      </c>
      <c r="V226" s="20" t="n">
        <v>-1207</v>
      </c>
      <c r="W226" s="20" t="n">
        <v>-1375</v>
      </c>
      <c r="X226" s="20" t="n">
        <v>12613</v>
      </c>
    </row>
    <row r="227">
      <c r="A227" s="18" t="inlineStr">
        <is>
          <t>영업채권 및 기타채권 증감액</t>
        </is>
      </c>
      <c r="C227" s="20" t="n">
        <v>9197</v>
      </c>
      <c r="D227" s="20" t="n">
        <v>24871</v>
      </c>
      <c r="E227" s="20" t="n">
        <v>11239</v>
      </c>
      <c r="F227" s="20" t="n">
        <v>12905</v>
      </c>
      <c r="G227" s="20" t="n">
        <v>9925</v>
      </c>
      <c r="H227" s="20" t="n">
        <v>16217</v>
      </c>
      <c r="I227" s="20" t="n">
        <v>-10230</v>
      </c>
      <c r="J227" s="20" t="n">
        <v>17637</v>
      </c>
      <c r="K227" s="20" t="n">
        <v>15012</v>
      </c>
      <c r="L227" s="20" t="n">
        <v>42755</v>
      </c>
      <c r="M227" s="20" t="n">
        <v>14649</v>
      </c>
      <c r="N227" s="20" t="n">
        <v>20480</v>
      </c>
      <c r="Q227" s="20" t="n">
        <v>-962</v>
      </c>
      <c r="R227" s="20" t="n">
        <v>43624</v>
      </c>
      <c r="S227" s="20" t="n">
        <v>-10741</v>
      </c>
      <c r="T227" s="20" t="n">
        <v>-13071</v>
      </c>
      <c r="U227" s="20" t="n">
        <v>-21437</v>
      </c>
      <c r="V227" s="20" t="n">
        <v>11239</v>
      </c>
      <c r="W227" s="20" t="n">
        <v>-10230</v>
      </c>
      <c r="X227" s="20" t="n">
        <v>14649</v>
      </c>
    </row>
    <row r="228">
      <c r="A228" s="18" t="inlineStr">
        <is>
          <t>영업채무 및 기타채무 증감액</t>
        </is>
      </c>
      <c r="C228" s="20" t="n">
        <v>20204</v>
      </c>
      <c r="D228" s="20" t="n">
        <v>19193</v>
      </c>
      <c r="E228" s="20" t="n">
        <v>23399</v>
      </c>
      <c r="F228" s="20" t="n">
        <v>-4192</v>
      </c>
      <c r="G228" s="20" t="n">
        <v>-34693</v>
      </c>
      <c r="H228" s="20" t="n">
        <v>-16036</v>
      </c>
      <c r="I228" s="20" t="n">
        <v>-11257</v>
      </c>
      <c r="J228" s="20" t="n">
        <v>-6191</v>
      </c>
      <c r="K228" s="20" t="n">
        <v>-14853</v>
      </c>
      <c r="L228" s="20" t="n">
        <v>-22083</v>
      </c>
      <c r="M228" s="20" t="n">
        <v>-2679</v>
      </c>
      <c r="N228" s="20" t="n">
        <v>-630</v>
      </c>
      <c r="Q228" s="20" t="n">
        <v>7479</v>
      </c>
      <c r="R228" s="20" t="n">
        <v>-53476</v>
      </c>
      <c r="S228" s="20" t="n">
        <v>13230</v>
      </c>
      <c r="T228" s="20" t="n">
        <v>20413</v>
      </c>
      <c r="U228" s="20" t="n">
        <v>14788</v>
      </c>
      <c r="V228" s="20" t="n">
        <v>23399</v>
      </c>
      <c r="W228" s="20" t="n">
        <v>-11257</v>
      </c>
      <c r="X228" s="20" t="n">
        <v>-2679</v>
      </c>
    </row>
    <row r="229">
      <c r="A229" s="18" t="inlineStr">
        <is>
          <t>기타</t>
        </is>
      </c>
      <c r="C229" s="20" t="n">
        <v>-6918</v>
      </c>
      <c r="D229" s="20" t="n">
        <v>-5072</v>
      </c>
      <c r="E229" s="20" t="n">
        <v>29972</v>
      </c>
      <c r="F229" s="20" t="n">
        <v>-7488</v>
      </c>
      <c r="G229" s="20" t="n">
        <v>-1143</v>
      </c>
      <c r="H229" s="20" t="n">
        <v>624</v>
      </c>
      <c r="I229" s="20" t="n">
        <v>-16886</v>
      </c>
      <c r="J229" s="20" t="n">
        <v>5467</v>
      </c>
      <c r="K229" s="20" t="n">
        <v>-1276</v>
      </c>
      <c r="L229" s="20" t="n">
        <v>-8161</v>
      </c>
      <c r="M229" s="20" t="n">
        <v>20273</v>
      </c>
      <c r="N229" s="20" t="n">
        <v>-2374</v>
      </c>
      <c r="Q229" s="20" t="n">
        <v>-1910</v>
      </c>
      <c r="R229" s="20" t="n">
        <v>9281</v>
      </c>
      <c r="S229" s="20" t="n">
        <v>17768</v>
      </c>
      <c r="T229" s="20" t="n">
        <v>11089</v>
      </c>
      <c r="U229" s="20" t="n">
        <v>-1606</v>
      </c>
      <c r="V229" s="20" t="n">
        <v>29972</v>
      </c>
      <c r="W229" s="20" t="n">
        <v>-16886</v>
      </c>
      <c r="X229" s="20" t="n">
        <v>20273</v>
      </c>
    </row>
    <row r="230">
      <c r="A230" s="18" t="inlineStr">
        <is>
          <t>소계</t>
        </is>
      </c>
      <c r="C230" s="20" t="n">
        <v>100185</v>
      </c>
      <c r="D230" s="20" t="n">
        <v>146942</v>
      </c>
      <c r="E230" s="20" t="n">
        <v>175594</v>
      </c>
      <c r="F230" s="20" t="n">
        <v>30298</v>
      </c>
      <c r="G230" s="20" t="n">
        <v>17140</v>
      </c>
      <c r="H230" s="20" t="n">
        <v>73047</v>
      </c>
      <c r="I230" s="20" t="n">
        <v>99366</v>
      </c>
      <c r="J230" s="20" t="n">
        <v>44782</v>
      </c>
      <c r="K230" s="20" t="n">
        <v>58726</v>
      </c>
      <c r="L230" s="20" t="n">
        <v>103417</v>
      </c>
      <c r="M230" s="20" t="n">
        <v>137021</v>
      </c>
      <c r="N230" s="20" t="n">
        <v>51983</v>
      </c>
      <c r="Q230" s="20" t="n">
        <v>129421</v>
      </c>
      <c r="R230" s="20" t="n">
        <v>81536</v>
      </c>
      <c r="S230" s="20" t="n">
        <v>101051</v>
      </c>
      <c r="T230" s="20" t="n">
        <v>83918</v>
      </c>
      <c r="U230" s="20" t="n">
        <v>117594</v>
      </c>
      <c r="V230" s="20" t="n">
        <v>175594</v>
      </c>
      <c r="W230" s="20" t="n">
        <v>99366</v>
      </c>
      <c r="X230" s="20" t="n">
        <v>137021</v>
      </c>
    </row>
    <row r="231">
      <c r="A231" s="18" t="inlineStr">
        <is>
          <t>이자 수취</t>
        </is>
      </c>
      <c r="C231" s="20" t="n">
        <v>1335</v>
      </c>
      <c r="D231" s="20" t="n">
        <v>2191</v>
      </c>
      <c r="E231" s="20" t="n">
        <v>3320</v>
      </c>
      <c r="F231" s="20" t="n">
        <v>473</v>
      </c>
      <c r="G231" s="20" t="n">
        <v>969</v>
      </c>
      <c r="H231" s="20" t="n">
        <v>1581</v>
      </c>
      <c r="I231" s="20" t="n">
        <v>2524</v>
      </c>
      <c r="J231" s="20" t="n">
        <v>351</v>
      </c>
      <c r="K231" s="20" t="n">
        <v>998</v>
      </c>
      <c r="L231" s="20" t="n">
        <v>1591</v>
      </c>
      <c r="M231" s="20" t="n">
        <v>2179</v>
      </c>
      <c r="N231" s="20" t="n">
        <v>584</v>
      </c>
      <c r="Q231" s="20" t="n">
        <v>1598</v>
      </c>
      <c r="R231" s="20" t="n">
        <v>1469</v>
      </c>
      <c r="S231" s="20" t="n">
        <v>1024</v>
      </c>
      <c r="T231" s="20" t="n">
        <v>1361</v>
      </c>
      <c r="U231" s="20" t="n">
        <v>1786</v>
      </c>
      <c r="V231" s="20" t="n">
        <v>3320</v>
      </c>
      <c r="W231" s="20" t="n">
        <v>2524</v>
      </c>
      <c r="X231" s="20" t="n">
        <v>2179</v>
      </c>
    </row>
    <row r="232">
      <c r="A232" s="18" t="inlineStr">
        <is>
          <t>배당금 수취액</t>
        </is>
      </c>
      <c r="C232" s="20" t="n">
        <v>1165</v>
      </c>
      <c r="D232" s="20" t="n">
        <v>2183</v>
      </c>
      <c r="E232" s="20" t="n">
        <v>2180</v>
      </c>
      <c r="F232" s="20" t="n">
        <v>1333</v>
      </c>
      <c r="G232" s="20" t="n">
        <v>1398</v>
      </c>
      <c r="H232" s="20" t="n">
        <v>2457</v>
      </c>
      <c r="I232" s="20" t="n">
        <v>2473</v>
      </c>
      <c r="J232" s="20" t="n">
        <v>1280</v>
      </c>
      <c r="K232" s="20" t="n">
        <v>1385</v>
      </c>
      <c r="L232" s="20" t="n">
        <v>2252</v>
      </c>
      <c r="M232" s="20" t="n">
        <v>2274</v>
      </c>
      <c r="N232" s="20" t="n">
        <v>1041</v>
      </c>
      <c r="Q232" s="20" t="n">
        <v>1949</v>
      </c>
      <c r="R232" s="20" t="n">
        <v>1954</v>
      </c>
      <c r="S232" s="20" t="n">
        <v>1790</v>
      </c>
      <c r="T232" s="20" t="n">
        <v>2288</v>
      </c>
      <c r="U232" s="20" t="n">
        <v>1995</v>
      </c>
      <c r="V232" s="20" t="n">
        <v>2180</v>
      </c>
      <c r="W232" s="20" t="n">
        <v>2473</v>
      </c>
      <c r="X232" s="20" t="n">
        <v>2274</v>
      </c>
    </row>
    <row r="233">
      <c r="A233" s="18" t="inlineStr">
        <is>
          <t>이자 지급</t>
        </is>
      </c>
      <c r="C233" s="20" t="n">
        <v>-3771</v>
      </c>
      <c r="D233" s="20" t="n">
        <v>-5011</v>
      </c>
      <c r="E233" s="20" t="n">
        <v>-6698</v>
      </c>
      <c r="F233" s="20" t="n">
        <v>-1224</v>
      </c>
      <c r="G233" s="20" t="n">
        <v>-2515</v>
      </c>
      <c r="H233" s="20" t="n">
        <v>-3959</v>
      </c>
      <c r="I233" s="20" t="n">
        <v>-5095</v>
      </c>
      <c r="J233" s="20" t="n">
        <v>-1424</v>
      </c>
      <c r="K233" s="20" t="n">
        <v>-3169</v>
      </c>
      <c r="L233" s="20" t="n">
        <v>-4721</v>
      </c>
      <c r="M233" s="20" t="n">
        <v>-5297</v>
      </c>
      <c r="N233" s="20" t="n">
        <v>-1224</v>
      </c>
      <c r="Q233" s="20" t="n">
        <v>-3616</v>
      </c>
      <c r="R233" s="20" t="n">
        <v>-3442</v>
      </c>
      <c r="S233" s="20" t="n">
        <v>-3328</v>
      </c>
      <c r="T233" s="20" t="n">
        <v>-2907</v>
      </c>
      <c r="U233" s="20" t="n">
        <v>-3997</v>
      </c>
      <c r="V233" s="20" t="n">
        <v>-6698</v>
      </c>
      <c r="W233" s="20" t="n">
        <v>-5095</v>
      </c>
      <c r="X233" s="20" t="n">
        <v>-5297</v>
      </c>
    </row>
    <row r="234">
      <c r="A234" s="18" t="inlineStr">
        <is>
          <t>법인소득세 지급액</t>
        </is>
      </c>
      <c r="C234" s="20" t="n">
        <v>-9753</v>
      </c>
      <c r="D234" s="20" t="n">
        <v>-16501</v>
      </c>
      <c r="E234" s="20" t="n">
        <v>-19934</v>
      </c>
      <c r="F234" s="20" t="n">
        <v>-4702</v>
      </c>
      <c r="G234" s="20" t="n">
        <v>-7752</v>
      </c>
      <c r="H234" s="20" t="n">
        <v>-14403</v>
      </c>
      <c r="I234" s="20" t="n">
        <v>-19029</v>
      </c>
      <c r="J234" s="20" t="n">
        <v>-8984</v>
      </c>
      <c r="K234" s="20" t="n">
        <v>-15063</v>
      </c>
      <c r="L234" s="20" t="n">
        <v>-22700</v>
      </c>
      <c r="M234" s="20" t="n">
        <v>-27683</v>
      </c>
      <c r="N234" s="20" t="n">
        <v>-9068</v>
      </c>
      <c r="Q234" s="20" t="n">
        <v>-25206</v>
      </c>
      <c r="R234" s="20" t="n">
        <v>-19205</v>
      </c>
      <c r="S234" s="20" t="n">
        <v>-8781</v>
      </c>
      <c r="T234" s="20" t="n">
        <v>-17622</v>
      </c>
      <c r="U234" s="20" t="n">
        <v>-39099</v>
      </c>
      <c r="V234" s="20" t="n">
        <v>-19934</v>
      </c>
      <c r="W234" s="20" t="n">
        <v>-19029</v>
      </c>
      <c r="X234" s="20" t="n">
        <v>-27683</v>
      </c>
    </row>
    <row r="235">
      <c r="A235" s="9" t="inlineStr">
        <is>
          <t>영업활동 현금흐름</t>
        </is>
      </c>
      <c r="C235" s="12" t="n">
        <v>89161</v>
      </c>
      <c r="D235" s="12" t="n">
        <v>129804</v>
      </c>
      <c r="E235" s="12" t="n">
        <v>154461</v>
      </c>
      <c r="F235" s="12" t="n">
        <v>26179</v>
      </c>
      <c r="G235" s="12" t="n">
        <v>9240</v>
      </c>
      <c r="H235" s="12" t="n">
        <v>58723</v>
      </c>
      <c r="I235" s="12" t="n">
        <v>80238</v>
      </c>
      <c r="J235" s="12" t="n">
        <v>36004</v>
      </c>
      <c r="K235" s="12" t="n">
        <v>42877</v>
      </c>
      <c r="L235" s="12" t="n">
        <v>79839</v>
      </c>
      <c r="M235" s="12" t="n">
        <v>108495</v>
      </c>
      <c r="N235" s="12" t="n">
        <v>43316</v>
      </c>
      <c r="Q235" s="12" t="n">
        <v>104147</v>
      </c>
      <c r="R235" s="12" t="n">
        <v>62312</v>
      </c>
      <c r="S235" s="12" t="n">
        <v>91757</v>
      </c>
      <c r="T235" s="12" t="n">
        <v>67039</v>
      </c>
      <c r="U235" s="12" t="n">
        <v>78279</v>
      </c>
      <c r="V235" s="12" t="n">
        <v>154461</v>
      </c>
      <c r="W235" s="12" t="n">
        <v>80238</v>
      </c>
      <c r="X235" s="12" t="n">
        <v>108495</v>
      </c>
    </row>
    <row r="236">
      <c r="A236" s="18" t="inlineStr">
        <is>
          <t>유형자산 취득(설비투자)</t>
        </is>
      </c>
      <c r="C236" s="20" t="n">
        <v>-28216</v>
      </c>
      <c r="D236" s="20" t="n">
        <v>-43280</v>
      </c>
      <c r="E236" s="20" t="n">
        <v>-58746</v>
      </c>
      <c r="F236" s="20" t="n">
        <v>-18797</v>
      </c>
      <c r="G236" s="20" t="n">
        <v>-36752</v>
      </c>
      <c r="H236" s="20" t="n">
        <v>-58457</v>
      </c>
      <c r="I236" s="20" t="n">
        <v>-88298</v>
      </c>
      <c r="J236" s="20" t="n">
        <v>-23795</v>
      </c>
      <c r="K236" s="20" t="n">
        <v>-41302</v>
      </c>
      <c r="L236" s="20" t="n">
        <v>-59118</v>
      </c>
      <c r="M236" s="20" t="n">
        <v>-89491</v>
      </c>
      <c r="N236" s="20" t="n">
        <v>-15379</v>
      </c>
      <c r="Q236" s="20" t="n">
        <v>-71172</v>
      </c>
      <c r="R236" s="20" t="n">
        <v>-79867</v>
      </c>
      <c r="S236" s="20" t="n">
        <v>-55248</v>
      </c>
      <c r="T236" s="20" t="n">
        <v>-42684</v>
      </c>
      <c r="U236" s="20" t="n">
        <v>-55783</v>
      </c>
      <c r="V236" s="20" t="n">
        <v>-58746</v>
      </c>
      <c r="W236" s="20" t="n">
        <v>-88298</v>
      </c>
      <c r="X236" s="20" t="n">
        <v>-89491</v>
      </c>
    </row>
    <row r="237">
      <c r="A237" s="18" t="inlineStr">
        <is>
          <t>유형자산 매각</t>
        </is>
      </c>
      <c r="C237" s="20" t="n">
        <v>855</v>
      </c>
      <c r="D237" s="20" t="n">
        <v>1327</v>
      </c>
      <c r="E237" s="20" t="n">
        <v>4440</v>
      </c>
      <c r="F237" s="20" t="n">
        <v>2508</v>
      </c>
      <c r="G237" s="20" t="n">
        <v>2503</v>
      </c>
      <c r="H237" s="20" t="n">
        <v>2797</v>
      </c>
      <c r="I237" s="20" t="n">
        <v>5239</v>
      </c>
      <c r="J237" s="20" t="n">
        <v>135</v>
      </c>
      <c r="K237" s="20" t="n">
        <v>402</v>
      </c>
      <c r="L237" s="20" t="n">
        <v>1532</v>
      </c>
      <c r="M237" s="20" t="n">
        <v>4278</v>
      </c>
      <c r="N237" s="20" t="n">
        <v>206</v>
      </c>
      <c r="Q237" s="20" t="n">
        <v>2186</v>
      </c>
      <c r="R237" s="20" t="n">
        <v>1574</v>
      </c>
      <c r="S237" s="20" t="n">
        <v>1887</v>
      </c>
      <c r="T237" s="20" t="n">
        <v>1383</v>
      </c>
      <c r="U237" s="20" t="n">
        <v>4348</v>
      </c>
      <c r="V237" s="20" t="n">
        <v>4440</v>
      </c>
      <c r="W237" s="20" t="n">
        <v>5239</v>
      </c>
      <c r="X237" s="20" t="n">
        <v>4278</v>
      </c>
    </row>
    <row r="238">
      <c r="A238" s="18" t="inlineStr">
        <is>
          <t>무형자산 취득 지출</t>
        </is>
      </c>
      <c r="C238" s="20" t="n">
        <v>-20446</v>
      </c>
      <c r="D238" s="20" t="n">
        <v>-21538</v>
      </c>
      <c r="E238" s="20" t="n">
        <v>-22702</v>
      </c>
      <c r="F238" s="20" t="n">
        <v>-599</v>
      </c>
      <c r="G238" s="20" t="n">
        <v>-1303</v>
      </c>
      <c r="H238" s="20" t="n">
        <v>-2067</v>
      </c>
      <c r="I238" s="20" t="n">
        <v>-3221</v>
      </c>
      <c r="U238" s="20" t="n">
        <v>-2875</v>
      </c>
      <c r="V238" s="20" t="n">
        <v>-22702</v>
      </c>
      <c r="W238" s="20" t="n">
        <v>-3221</v>
      </c>
    </row>
    <row r="239">
      <c r="A239" s="18" t="inlineStr">
        <is>
          <t>투자유가증권 취득</t>
        </is>
      </c>
      <c r="C239" s="20" t="n">
        <v>-336</v>
      </c>
      <c r="D239" s="20" t="n">
        <v>-343</v>
      </c>
      <c r="E239" s="20" t="n">
        <v>-468</v>
      </c>
      <c r="F239" s="20" t="n">
        <v>-0</v>
      </c>
      <c r="G239" s="20" t="n">
        <v>-147</v>
      </c>
      <c r="H239" s="20" t="n">
        <v>-147</v>
      </c>
      <c r="I239" s="20" t="n">
        <v>-303</v>
      </c>
      <c r="J239" s="20" t="n">
        <v>-0</v>
      </c>
      <c r="K239" s="20" t="n">
        <v>-0</v>
      </c>
      <c r="L239" s="20" t="n">
        <v>-1</v>
      </c>
      <c r="M239" s="20" t="n">
        <v>-7</v>
      </c>
      <c r="N239" s="20" t="n">
        <v>-292</v>
      </c>
      <c r="Q239" s="20" t="n">
        <v>-762</v>
      </c>
      <c r="R239" s="20" t="n">
        <v>-892</v>
      </c>
      <c r="S239" s="20" t="n">
        <v>-383</v>
      </c>
      <c r="T239" s="20" t="n">
        <v>-82</v>
      </c>
      <c r="U239" s="20" t="n">
        <v>-388</v>
      </c>
      <c r="V239" s="20" t="n">
        <v>-468</v>
      </c>
      <c r="W239" s="20" t="n">
        <v>-303</v>
      </c>
      <c r="X239" s="20" t="n">
        <v>-7</v>
      </c>
    </row>
    <row r="240">
      <c r="A240" s="18" t="inlineStr">
        <is>
          <t>투자유가증권 매각</t>
        </is>
      </c>
      <c r="C240" s="20" t="n">
        <v>721</v>
      </c>
      <c r="D240" s="20" t="n">
        <v>3063</v>
      </c>
      <c r="E240" s="20" t="n">
        <v>6807</v>
      </c>
      <c r="F240" s="20" t="n">
        <v>7286</v>
      </c>
      <c r="G240" s="20" t="n">
        <v>7419</v>
      </c>
      <c r="H240" s="20" t="n">
        <v>7470</v>
      </c>
      <c r="I240" s="20" t="n">
        <v>11196</v>
      </c>
      <c r="J240" s="20" t="n">
        <v>1431</v>
      </c>
      <c r="K240" s="20" t="n">
        <v>1608</v>
      </c>
      <c r="L240" s="20" t="n">
        <v>1768</v>
      </c>
      <c r="M240" s="20" t="n">
        <v>44026</v>
      </c>
      <c r="N240" s="20" t="n">
        <v>491</v>
      </c>
      <c r="Q240" s="20" t="n">
        <v>1495</v>
      </c>
      <c r="R240" s="20" t="n">
        <v>1274</v>
      </c>
      <c r="S240" s="20" t="n">
        <v>3463</v>
      </c>
      <c r="T240" s="20" t="n">
        <v>24161</v>
      </c>
      <c r="U240" s="20" t="n">
        <v>2003</v>
      </c>
      <c r="V240" s="20" t="n">
        <v>6807</v>
      </c>
      <c r="W240" s="20" t="n">
        <v>11196</v>
      </c>
      <c r="X240" s="20" t="n">
        <v>44026</v>
      </c>
    </row>
    <row r="241">
      <c r="A241" s="18" t="inlineStr">
        <is>
          <t>연결범위 변경을 수반하는 자회사 주식 취득에 따른 지출</t>
        </is>
      </c>
      <c r="Q241" s="20" t="n">
        <v>0</v>
      </c>
      <c r="R241" s="20" t="n">
        <v>-9373</v>
      </c>
      <c r="S241" s="20" t="n">
        <v>0</v>
      </c>
    </row>
    <row r="242">
      <c r="A242" s="18" t="inlineStr">
        <is>
          <t>Income For Sales Of Shares Of Subsidiaries Resulting In Change In Scope Of Consolidation Inv CF</t>
        </is>
      </c>
      <c r="E242" s="20" t="n">
        <v>0</v>
      </c>
      <c r="S242" s="20" t="n">
        <v>0</v>
      </c>
      <c r="T242" s="20" t="n">
        <v>6</v>
      </c>
      <c r="U242" s="20" t="n">
        <v>65</v>
      </c>
      <c r="V242" s="20" t="n">
        <v>0</v>
      </c>
    </row>
    <row r="243">
      <c r="A243" s="18" t="inlineStr">
        <is>
          <t>기타</t>
        </is>
      </c>
      <c r="C243" s="20" t="n">
        <v>252</v>
      </c>
      <c r="D243" s="20" t="n">
        <v>-103</v>
      </c>
      <c r="E243" s="20" t="n">
        <v>-682</v>
      </c>
      <c r="F243" s="20" t="n">
        <v>-859</v>
      </c>
      <c r="G243" s="20" t="n">
        <v>-619</v>
      </c>
      <c r="H243" s="20" t="n">
        <v>-634</v>
      </c>
      <c r="I243" s="20" t="n">
        <v>-3770</v>
      </c>
      <c r="J243" s="20" t="n">
        <v>-343</v>
      </c>
      <c r="K243" s="20" t="n">
        <v>-1137</v>
      </c>
      <c r="L243" s="20" t="n">
        <v>-1538</v>
      </c>
      <c r="M243" s="20" t="n">
        <v>-11510</v>
      </c>
      <c r="N243" s="20" t="n">
        <v>7998</v>
      </c>
      <c r="Q243" s="20" t="n">
        <v>-6953</v>
      </c>
      <c r="R243" s="20" t="n">
        <v>-4486</v>
      </c>
      <c r="S243" s="20" t="n">
        <v>-2235</v>
      </c>
      <c r="T243" s="20" t="n">
        <v>-8050</v>
      </c>
      <c r="U243" s="20" t="n">
        <v>519</v>
      </c>
      <c r="V243" s="20" t="n">
        <v>-682</v>
      </c>
      <c r="W243" s="20" t="n">
        <v>-3770</v>
      </c>
      <c r="X243" s="20" t="n">
        <v>-11510</v>
      </c>
    </row>
    <row r="244">
      <c r="A244" s="9" t="inlineStr">
        <is>
          <t>투자활동 현금흐름</t>
        </is>
      </c>
      <c r="C244" s="12" t="n">
        <v>-47169</v>
      </c>
      <c r="D244" s="12" t="n">
        <v>-60874</v>
      </c>
      <c r="E244" s="12" t="n">
        <v>-71352</v>
      </c>
      <c r="F244" s="12" t="n">
        <v>-9862</v>
      </c>
      <c r="G244" s="12" t="n">
        <v>-27596</v>
      </c>
      <c r="H244" s="12" t="n">
        <v>-48971</v>
      </c>
      <c r="I244" s="12" t="n">
        <v>-75936</v>
      </c>
      <c r="J244" s="12" t="n">
        <v>-22572</v>
      </c>
      <c r="K244" s="12" t="n">
        <v>-40429</v>
      </c>
      <c r="L244" s="12" t="n">
        <v>-57357</v>
      </c>
      <c r="M244" s="12" t="n">
        <v>-52704</v>
      </c>
      <c r="N244" s="12" t="n">
        <v>-6974</v>
      </c>
      <c r="Q244" s="12" t="n">
        <v>-75207</v>
      </c>
      <c r="R244" s="12" t="n">
        <v>-91771</v>
      </c>
      <c r="S244" s="12" t="n">
        <v>-52515</v>
      </c>
      <c r="T244" s="12" t="n">
        <v>-25265</v>
      </c>
      <c r="U244" s="12" t="n">
        <v>-52109</v>
      </c>
      <c r="V244" s="12" t="n">
        <v>-71352</v>
      </c>
      <c r="W244" s="12" t="n">
        <v>-75936</v>
      </c>
      <c r="X244" s="12" t="n">
        <v>-52704</v>
      </c>
    </row>
    <row r="245">
      <c r="A245" s="18" t="inlineStr">
        <is>
          <t>단기차입금 순증감액</t>
        </is>
      </c>
      <c r="C245" s="20" t="n">
        <v>-7679</v>
      </c>
      <c r="D245" s="20" t="n">
        <v>-15385</v>
      </c>
      <c r="E245" s="20" t="n">
        <v>-18184</v>
      </c>
      <c r="F245" s="20" t="n">
        <v>2711</v>
      </c>
      <c r="G245" s="20" t="n">
        <v>12782</v>
      </c>
      <c r="H245" s="20" t="n">
        <v>1868</v>
      </c>
      <c r="I245" s="20" t="n">
        <v>-1249</v>
      </c>
      <c r="J245" s="20" t="n">
        <v>4179</v>
      </c>
      <c r="K245" s="20" t="n">
        <v>18226</v>
      </c>
      <c r="L245" s="20" t="n">
        <v>7228</v>
      </c>
      <c r="M245" s="20" t="n">
        <v>2763</v>
      </c>
      <c r="N245" s="20" t="n">
        <v>2592</v>
      </c>
      <c r="Q245" s="20" t="n">
        <v>14114</v>
      </c>
      <c r="R245" s="20" t="n">
        <v>16618</v>
      </c>
      <c r="S245" s="20" t="n">
        <v>-28696</v>
      </c>
      <c r="T245" s="20" t="n">
        <v>-3311</v>
      </c>
      <c r="U245" s="20" t="n">
        <v>-6671</v>
      </c>
      <c r="V245" s="20" t="n">
        <v>-18184</v>
      </c>
      <c r="W245" s="20" t="n">
        <v>-1249</v>
      </c>
      <c r="X245" s="20" t="n">
        <v>2763</v>
      </c>
    </row>
    <row r="246">
      <c r="A246" s="18" t="inlineStr">
        <is>
          <t>장기차입</t>
        </is>
      </c>
      <c r="C246" s="20" t="n">
        <v>24</v>
      </c>
      <c r="D246" s="20" t="n">
        <v>598</v>
      </c>
      <c r="E246" s="20" t="n">
        <v>1063</v>
      </c>
      <c r="F246" s="20" t="n">
        <v>0</v>
      </c>
      <c r="G246" s="20" t="n">
        <v>0</v>
      </c>
      <c r="H246" s="20" t="n">
        <v>896</v>
      </c>
      <c r="I246" s="20" t="n">
        <v>35274</v>
      </c>
      <c r="J246" s="20" t="n">
        <v>11020</v>
      </c>
      <c r="K246" s="20" t="n">
        <v>11700</v>
      </c>
      <c r="L246" s="20" t="n">
        <v>12451</v>
      </c>
      <c r="M246" s="20" t="n">
        <v>13268</v>
      </c>
      <c r="N246" s="20" t="n">
        <v>1360</v>
      </c>
      <c r="Q246" s="20" t="n">
        <v>19965</v>
      </c>
      <c r="R246" s="20" t="n">
        <v>39110</v>
      </c>
      <c r="S246" s="20" t="n">
        <v>11443</v>
      </c>
      <c r="T246" s="20" t="n">
        <v>134777</v>
      </c>
      <c r="U246" s="20" t="n">
        <v>84501</v>
      </c>
      <c r="V246" s="20" t="n">
        <v>1063</v>
      </c>
      <c r="W246" s="20" t="n">
        <v>35274</v>
      </c>
      <c r="X246" s="20" t="n">
        <v>13268</v>
      </c>
    </row>
    <row r="247">
      <c r="A247" s="18" t="inlineStr">
        <is>
          <t>장기차입금 상환</t>
        </is>
      </c>
      <c r="C247" s="20" t="n">
        <v>-5199</v>
      </c>
      <c r="D247" s="20" t="n">
        <v>-5335</v>
      </c>
      <c r="E247" s="20" t="n">
        <v>-15845</v>
      </c>
      <c r="F247" s="20" t="n">
        <v>-15121</v>
      </c>
      <c r="G247" s="20" t="n">
        <v>-19060</v>
      </c>
      <c r="H247" s="20" t="n">
        <v>-30281</v>
      </c>
      <c r="I247" s="20" t="n">
        <v>-44925</v>
      </c>
      <c r="J247" s="20" t="n">
        <v>-191</v>
      </c>
      <c r="K247" s="20" t="n">
        <v>-14411</v>
      </c>
      <c r="L247" s="20" t="n">
        <v>-16252</v>
      </c>
      <c r="M247" s="20" t="n">
        <v>-39564</v>
      </c>
      <c r="N247" s="20" t="n">
        <v>-217</v>
      </c>
      <c r="Q247" s="20" t="n">
        <v>-35264</v>
      </c>
      <c r="R247" s="20" t="n">
        <v>-11754</v>
      </c>
      <c r="S247" s="20" t="n">
        <v>-28915</v>
      </c>
      <c r="T247" s="20" t="n">
        <v>-143624</v>
      </c>
      <c r="U247" s="20" t="n">
        <v>-90399</v>
      </c>
      <c r="V247" s="20" t="n">
        <v>-15845</v>
      </c>
      <c r="W247" s="20" t="n">
        <v>-44925</v>
      </c>
      <c r="X247" s="20" t="n">
        <v>-39564</v>
      </c>
    </row>
    <row r="248">
      <c r="A248" s="18" t="inlineStr">
        <is>
          <t>사채 발행</t>
        </is>
      </c>
      <c r="C248" s="20" t="n">
        <v>20000</v>
      </c>
      <c r="D248" s="20" t="n">
        <v>20000</v>
      </c>
      <c r="E248" s="20" t="n">
        <v>20000</v>
      </c>
      <c r="G248" s="20" t="n">
        <v>0</v>
      </c>
      <c r="H248" s="20" t="n">
        <v>20000</v>
      </c>
      <c r="I248" s="20" t="n">
        <v>20000</v>
      </c>
      <c r="L248" s="20" t="n">
        <v>0</v>
      </c>
      <c r="M248" s="20" t="n">
        <v>0</v>
      </c>
      <c r="Q248" s="20" t="n">
        <v>0</v>
      </c>
      <c r="R248" s="20" t="n">
        <v>20000</v>
      </c>
      <c r="S248" s="20" t="n">
        <v>0</v>
      </c>
      <c r="U248" s="20" t="n">
        <v>0</v>
      </c>
      <c r="V248" s="20" t="n">
        <v>20000</v>
      </c>
      <c r="W248" s="20" t="n">
        <v>20000</v>
      </c>
      <c r="X248" s="20" t="n">
        <v>0</v>
      </c>
    </row>
    <row r="249">
      <c r="A249" s="18" t="inlineStr">
        <is>
          <t>사채 상환</t>
        </is>
      </c>
      <c r="D249" s="20" t="n">
        <v>-10000</v>
      </c>
      <c r="E249" s="20" t="n">
        <v>-10000</v>
      </c>
      <c r="H249" s="20" t="n">
        <v>0</v>
      </c>
      <c r="I249" s="20" t="n">
        <v>-10000</v>
      </c>
      <c r="M249" s="20" t="n">
        <v>0</v>
      </c>
      <c r="Q249" s="20" t="n">
        <v>0</v>
      </c>
      <c r="R249" s="20" t="n">
        <v>-10000</v>
      </c>
      <c r="S249" s="20" t="n">
        <v>0</v>
      </c>
      <c r="T249" s="20" t="n">
        <v>-20000</v>
      </c>
      <c r="U249" s="20" t="n">
        <v>0</v>
      </c>
      <c r="V249" s="20" t="n">
        <v>-10000</v>
      </c>
      <c r="W249" s="20" t="n">
        <v>-10000</v>
      </c>
      <c r="X249" s="20" t="n">
        <v>0</v>
      </c>
    </row>
    <row r="250">
      <c r="A250" s="18" t="inlineStr">
        <is>
          <t>Dividends Paid To Owners Of Parent Fin CF</t>
        </is>
      </c>
      <c r="C250" s="20" t="n">
        <v>-6517</v>
      </c>
      <c r="D250" s="20" t="n">
        <v>-12005</v>
      </c>
      <c r="E250" s="20" t="n">
        <v>-12005</v>
      </c>
      <c r="F250" s="20" t="n">
        <v>-6860</v>
      </c>
      <c r="G250" s="20" t="n">
        <v>-6860</v>
      </c>
      <c r="H250" s="20" t="n">
        <v>-15436</v>
      </c>
      <c r="I250" s="20" t="n">
        <v>-15436</v>
      </c>
      <c r="J250" s="20" t="n">
        <v>-7958</v>
      </c>
      <c r="K250" s="20" t="n">
        <v>-7958</v>
      </c>
      <c r="L250" s="20" t="n">
        <v>-17510</v>
      </c>
      <c r="M250" s="20" t="n">
        <v>-17510</v>
      </c>
      <c r="N250" s="20" t="n">
        <v>-9551</v>
      </c>
      <c r="Q250" s="20" t="n">
        <v>-15092</v>
      </c>
      <c r="R250" s="20" t="n">
        <v>-15092</v>
      </c>
      <c r="S250" s="20" t="n">
        <v>-8232</v>
      </c>
      <c r="T250" s="20" t="n">
        <v>-5488</v>
      </c>
      <c r="U250" s="20" t="n">
        <v>-7203</v>
      </c>
      <c r="V250" s="20" t="n">
        <v>-12005</v>
      </c>
      <c r="W250" s="20" t="n">
        <v>-15436</v>
      </c>
      <c r="X250" s="20" t="n">
        <v>-17510</v>
      </c>
    </row>
    <row r="251">
      <c r="A251" s="18" t="inlineStr">
        <is>
          <t>비지배지분 배당금 지급액</t>
        </is>
      </c>
      <c r="C251" s="20" t="n">
        <v>-3146</v>
      </c>
      <c r="D251" s="20" t="n">
        <v>-3238</v>
      </c>
      <c r="E251" s="20" t="n">
        <v>-3450</v>
      </c>
      <c r="F251" s="20" t="n">
        <v>-660</v>
      </c>
      <c r="G251" s="20" t="n">
        <v>-2523</v>
      </c>
      <c r="H251" s="20" t="n">
        <v>-2601</v>
      </c>
      <c r="I251" s="20" t="n">
        <v>-3822</v>
      </c>
      <c r="J251" s="20" t="n">
        <v>-642</v>
      </c>
      <c r="K251" s="20" t="n">
        <v>-2603</v>
      </c>
      <c r="L251" s="20" t="n">
        <v>-2990</v>
      </c>
      <c r="M251" s="20" t="n">
        <v>-2990</v>
      </c>
      <c r="N251" s="20" t="n">
        <v>-193</v>
      </c>
      <c r="Q251" s="20" t="n">
        <v>-4065</v>
      </c>
      <c r="R251" s="20" t="n">
        <v>-2865</v>
      </c>
      <c r="S251" s="20" t="n">
        <v>-2039</v>
      </c>
      <c r="T251" s="20" t="n">
        <v>-2149</v>
      </c>
      <c r="U251" s="20" t="n">
        <v>-7458</v>
      </c>
      <c r="V251" s="20" t="n">
        <v>-3450</v>
      </c>
      <c r="W251" s="20" t="n">
        <v>-3822</v>
      </c>
      <c r="X251" s="20" t="n">
        <v>-2990</v>
      </c>
    </row>
    <row r="252">
      <c r="A252" s="18" t="inlineStr">
        <is>
          <t>자기주식 취득</t>
        </is>
      </c>
      <c r="E252" s="20" t="n">
        <v>-4</v>
      </c>
      <c r="I252" s="20" t="n">
        <v>-28839</v>
      </c>
      <c r="M252" s="20" t="n">
        <v>-2</v>
      </c>
      <c r="V252" s="20" t="n">
        <v>-4</v>
      </c>
      <c r="W252" s="20" t="n">
        <v>-28839</v>
      </c>
      <c r="X252" s="20" t="n">
        <v>-2</v>
      </c>
    </row>
    <row r="253">
      <c r="A253" s="18" t="inlineStr">
        <is>
          <t>Payments For Acquisition Of Subsidiaries Not Resulting In Change In Scope Of Consolidation Fin CF</t>
        </is>
      </c>
      <c r="C253" s="20" t="n">
        <v>-4912</v>
      </c>
      <c r="D253" s="20" t="n">
        <v>-5838</v>
      </c>
      <c r="E253" s="20" t="n">
        <v>-6103</v>
      </c>
      <c r="F253" s="20" t="n">
        <v>0</v>
      </c>
      <c r="G253" s="20" t="n">
        <v>0</v>
      </c>
      <c r="H253" s="20" t="n">
        <v>0</v>
      </c>
      <c r="I253" s="20" t="n">
        <v>0</v>
      </c>
      <c r="J253" s="20" t="n">
        <v>-2</v>
      </c>
      <c r="K253" s="20" t="n">
        <v>-2</v>
      </c>
      <c r="L253" s="20" t="n">
        <v>-2</v>
      </c>
      <c r="M253" s="20" t="n">
        <v>-2</v>
      </c>
      <c r="N253" s="20" t="n">
        <v>0</v>
      </c>
      <c r="Q253" s="20" t="n">
        <v>-5592</v>
      </c>
      <c r="R253" s="20" t="n">
        <v>-1157</v>
      </c>
      <c r="S253" s="20" t="n">
        <v>-54</v>
      </c>
      <c r="T253" s="20" t="n">
        <v>-1590</v>
      </c>
      <c r="U253" s="20" t="n">
        <v>-21</v>
      </c>
      <c r="V253" s="20" t="n">
        <v>-6103</v>
      </c>
      <c r="W253" s="20" t="n">
        <v>0</v>
      </c>
      <c r="X253" s="20" t="n">
        <v>-2</v>
      </c>
    </row>
    <row r="254">
      <c r="A254" s="18" t="inlineStr">
        <is>
          <t>Proceeds From Sale Of Shares Of Subsidiaries Not Resulting In Change In Scope Of Consolidation Fin CF</t>
        </is>
      </c>
      <c r="E254" s="20" t="n">
        <v>0</v>
      </c>
      <c r="T254" s="20" t="n">
        <v>0</v>
      </c>
      <c r="U254" s="20" t="n">
        <v>322</v>
      </c>
      <c r="V254" s="20" t="n">
        <v>0</v>
      </c>
    </row>
    <row r="255">
      <c r="A255" s="18" t="inlineStr">
        <is>
          <t>세일앤리스백 수입</t>
        </is>
      </c>
      <c r="E255" s="20" t="n">
        <v>0</v>
      </c>
      <c r="R255" s="20" t="n">
        <v>0</v>
      </c>
      <c r="S255" s="20" t="n">
        <v>955</v>
      </c>
      <c r="T255" s="20" t="n">
        <v>0</v>
      </c>
      <c r="U255" s="20" t="n">
        <v>112</v>
      </c>
      <c r="V255" s="20" t="n">
        <v>0</v>
      </c>
    </row>
    <row r="256">
      <c r="A256" s="18" t="inlineStr">
        <is>
          <t>기타</t>
        </is>
      </c>
      <c r="C256" s="20" t="n">
        <v>-1395</v>
      </c>
      <c r="D256" s="20" t="n">
        <v>-1962</v>
      </c>
      <c r="E256" s="20" t="n">
        <v>-2693</v>
      </c>
      <c r="F256" s="20" t="n">
        <v>-713</v>
      </c>
      <c r="G256" s="20" t="n">
        <v>-1455</v>
      </c>
      <c r="H256" s="20" t="n">
        <v>-2199</v>
      </c>
      <c r="I256" s="20" t="n">
        <v>-3077</v>
      </c>
      <c r="J256" s="20" t="n">
        <v>-624</v>
      </c>
      <c r="K256" s="20" t="n">
        <v>-1284</v>
      </c>
      <c r="L256" s="20" t="n">
        <v>-2058</v>
      </c>
      <c r="M256" s="20" t="n">
        <v>-2938</v>
      </c>
      <c r="N256" s="20" t="n">
        <v>-832</v>
      </c>
      <c r="Q256" s="20" t="n">
        <v>-1426</v>
      </c>
      <c r="R256" s="20" t="n">
        <v>-619</v>
      </c>
      <c r="S256" s="20" t="n">
        <v>-2418</v>
      </c>
      <c r="T256" s="20" t="n">
        <v>-2143</v>
      </c>
      <c r="U256" s="20" t="n">
        <v>-1888</v>
      </c>
      <c r="V256" s="20" t="n">
        <v>-2693</v>
      </c>
      <c r="W256" s="20" t="n">
        <v>-3077</v>
      </c>
      <c r="X256" s="20" t="n">
        <v>-2938</v>
      </c>
    </row>
    <row r="257">
      <c r="A257" s="9" t="inlineStr">
        <is>
          <t>재무활동 현금흐름</t>
        </is>
      </c>
      <c r="C257" s="12" t="n">
        <v>-8825</v>
      </c>
      <c r="D257" s="12" t="n">
        <v>-33166</v>
      </c>
      <c r="E257" s="12" t="n">
        <v>-47224</v>
      </c>
      <c r="F257" s="12" t="n">
        <v>-20644</v>
      </c>
      <c r="G257" s="12" t="n">
        <v>-17117</v>
      </c>
      <c r="H257" s="12" t="n">
        <v>-27754</v>
      </c>
      <c r="I257" s="12" t="n">
        <v>-52076</v>
      </c>
      <c r="J257" s="12" t="n">
        <v>5780</v>
      </c>
      <c r="K257" s="12" t="n">
        <v>3665</v>
      </c>
      <c r="L257" s="12" t="n">
        <v>-19134</v>
      </c>
      <c r="M257" s="12" t="n">
        <v>-46977</v>
      </c>
      <c r="N257" s="12" t="n">
        <v>-6841</v>
      </c>
      <c r="Q257" s="12" t="n">
        <v>-27361</v>
      </c>
      <c r="R257" s="12" t="n">
        <v>34239</v>
      </c>
      <c r="S257" s="12" t="n">
        <v>-57957</v>
      </c>
      <c r="T257" s="12" t="n">
        <v>-43531</v>
      </c>
      <c r="U257" s="12" t="n">
        <v>-28707</v>
      </c>
      <c r="V257" s="12" t="n">
        <v>-47224</v>
      </c>
      <c r="W257" s="12" t="n">
        <v>-52076</v>
      </c>
      <c r="X257" s="12" t="n">
        <v>-46977</v>
      </c>
    </row>
    <row r="258">
      <c r="A258" s="18" t="inlineStr">
        <is>
          <t>현금성자산 환산차이</t>
        </is>
      </c>
      <c r="C258" s="20" t="n">
        <v>5889</v>
      </c>
      <c r="D258" s="20" t="n">
        <v>3628</v>
      </c>
      <c r="E258" s="20" t="n">
        <v>7283</v>
      </c>
      <c r="F258" s="20" t="n">
        <v>4976</v>
      </c>
      <c r="G258" s="20" t="n">
        <v>-606</v>
      </c>
      <c r="H258" s="20" t="n">
        <v>4540</v>
      </c>
      <c r="I258" s="20" t="n">
        <v>-183</v>
      </c>
      <c r="J258" s="20" t="n">
        <v>-12</v>
      </c>
      <c r="K258" s="20" t="n">
        <v>2164</v>
      </c>
      <c r="L258" s="20" t="n">
        <v>8054</v>
      </c>
      <c r="M258" s="20" t="n">
        <v>9676</v>
      </c>
      <c r="N258" s="20" t="n">
        <v>1420</v>
      </c>
      <c r="Q258" s="20" t="n">
        <v>-1815</v>
      </c>
      <c r="R258" s="20" t="n">
        <v>-2655</v>
      </c>
      <c r="S258" s="20" t="n">
        <v>2530</v>
      </c>
      <c r="T258" s="20" t="n">
        <v>7588</v>
      </c>
      <c r="U258" s="20" t="n">
        <v>2134</v>
      </c>
      <c r="V258" s="20" t="n">
        <v>7283</v>
      </c>
      <c r="W258" s="20" t="n">
        <v>-183</v>
      </c>
      <c r="X258" s="20" t="n">
        <v>9676</v>
      </c>
    </row>
    <row r="259">
      <c r="A259" s="18" t="inlineStr">
        <is>
          <t>Net Increase Decrease In Cash And Cash Equivalents</t>
        </is>
      </c>
      <c r="C259" s="20" t="n">
        <v>39055</v>
      </c>
      <c r="D259" s="20" t="n">
        <v>39391</v>
      </c>
      <c r="E259" s="20" t="n">
        <v>43168</v>
      </c>
      <c r="F259" s="20" t="n">
        <v>649</v>
      </c>
      <c r="G259" s="20" t="n">
        <v>-36079</v>
      </c>
      <c r="H259" s="20" t="n">
        <v>-13461</v>
      </c>
      <c r="I259" s="20" t="n">
        <v>-47958</v>
      </c>
      <c r="J259" s="20" t="n">
        <v>19200</v>
      </c>
      <c r="K259" s="20" t="n">
        <v>8278</v>
      </c>
      <c r="L259" s="20" t="n">
        <v>11401</v>
      </c>
      <c r="M259" s="20" t="n">
        <v>18489</v>
      </c>
      <c r="N259" s="20" t="n">
        <v>30920</v>
      </c>
      <c r="Q259" s="20" t="n">
        <v>-236</v>
      </c>
      <c r="R259" s="20" t="n">
        <v>2125</v>
      </c>
      <c r="S259" s="20" t="n">
        <v>-16186</v>
      </c>
      <c r="T259" s="20" t="n">
        <v>5830</v>
      </c>
      <c r="U259" s="20" t="n">
        <v>-403</v>
      </c>
      <c r="V259" s="20" t="n">
        <v>43168</v>
      </c>
      <c r="W259" s="20" t="n">
        <v>-47958</v>
      </c>
      <c r="X259" s="20" t="n">
        <v>18489</v>
      </c>
    </row>
    <row r="260">
      <c r="A260" s="18" t="inlineStr">
        <is>
          <t>신규 연결 현금성자산 증가</t>
        </is>
      </c>
      <c r="Q260" s="20" t="n">
        <v>60</v>
      </c>
      <c r="R260" s="20" t="n">
        <v>255</v>
      </c>
      <c r="S260" s="20" t="n">
        <v>0</v>
      </c>
      <c r="T260" s="20" t="n">
        <v>1</v>
      </c>
      <c r="U260" s="20" t="n">
        <v>0</v>
      </c>
    </row>
    <row r="261">
      <c r="A261" s="18" t="inlineStr">
        <is>
          <t>연결 제외 현금성자산 감소</t>
        </is>
      </c>
      <c r="R261" s="20" t="n">
        <v>0</v>
      </c>
      <c r="S261" s="20" t="n">
        <v>-20</v>
      </c>
      <c r="T261" s="20" t="n">
        <v>-222</v>
      </c>
      <c r="U261" s="20" t="n">
        <v>0</v>
      </c>
    </row>
    <row r="262">
      <c r="A262" s="9" t="inlineStr">
        <is>
          <t>법인세차감전 순이익</t>
        </is>
      </c>
      <c r="P262" s="12" t="n">
        <v>82842</v>
      </c>
      <c r="Q262" s="12" t="n">
        <v>61034</v>
      </c>
      <c r="R262" s="12" t="n">
        <v>10655</v>
      </c>
    </row>
    <row r="263">
      <c r="A263" s="18" t="inlineStr">
        <is>
          <t>감가상각비</t>
        </is>
      </c>
      <c r="P263" s="20" t="n">
        <v>60414</v>
      </c>
      <c r="Q263" s="20" t="n">
        <v>66901</v>
      </c>
      <c r="R263" s="20" t="n">
        <v>65921</v>
      </c>
    </row>
    <row r="264">
      <c r="A264" s="18" t="inlineStr">
        <is>
          <t>손상차손</t>
        </is>
      </c>
      <c r="P264" s="20" t="n">
        <v>1769</v>
      </c>
      <c r="Q264" s="20" t="n">
        <v>6061</v>
      </c>
      <c r="R264" s="20" t="n">
        <v>15725</v>
      </c>
    </row>
    <row r="265">
      <c r="A265" s="18" t="inlineStr">
        <is>
          <t>부의 영업권 발생이익</t>
        </is>
      </c>
      <c r="Q265" s="20" t="n">
        <v>0</v>
      </c>
      <c r="R265" s="20" t="n">
        <v>-513</v>
      </c>
    </row>
    <row r="266">
      <c r="A266" s="18" t="inlineStr">
        <is>
          <t>영업권 상각</t>
        </is>
      </c>
      <c r="P266" s="20" t="n">
        <v>345</v>
      </c>
      <c r="Q266" s="20" t="n">
        <v>662</v>
      </c>
      <c r="R266" s="20" t="n">
        <v>669</v>
      </c>
    </row>
    <row r="267">
      <c r="A267" s="18" t="inlineStr">
        <is>
          <t>대손충당금 증감</t>
        </is>
      </c>
      <c r="P267" s="20" t="n">
        <v>-448</v>
      </c>
      <c r="Q267" s="20" t="n">
        <v>197</v>
      </c>
      <c r="R267" s="20" t="n">
        <v>746</v>
      </c>
    </row>
    <row r="268">
      <c r="A268" s="18" t="inlineStr">
        <is>
          <t>퇴직급여부채 증감</t>
        </is>
      </c>
      <c r="P268" s="20" t="n">
        <v>-1039</v>
      </c>
      <c r="Q268" s="20" t="n">
        <v>-4351</v>
      </c>
      <c r="R268" s="20" t="n">
        <v>1870</v>
      </c>
    </row>
    <row r="269">
      <c r="A269" s="18" t="inlineStr">
        <is>
          <t>퇴직급여자산 증감</t>
        </is>
      </c>
      <c r="P269" s="20" t="n">
        <v>-179</v>
      </c>
      <c r="Q269" s="20" t="n">
        <v>-253</v>
      </c>
      <c r="R269" s="20" t="n">
        <v>-2815</v>
      </c>
    </row>
    <row r="270">
      <c r="A270" s="18" t="inlineStr">
        <is>
          <t>임원 퇴직위로 충당금 증감</t>
        </is>
      </c>
      <c r="P270" s="20" t="n">
        <v>78</v>
      </c>
      <c r="Q270" s="20" t="n">
        <v>30</v>
      </c>
      <c r="R270" s="20" t="n">
        <v>111</v>
      </c>
    </row>
    <row r="271">
      <c r="A271" s="18" t="inlineStr">
        <is>
          <t>이자·배당금 수익</t>
        </is>
      </c>
      <c r="P271" s="20" t="n">
        <v>-2944</v>
      </c>
      <c r="Q271" s="20" t="n">
        <v>-3530</v>
      </c>
      <c r="R271" s="20" t="n">
        <v>-3440</v>
      </c>
    </row>
    <row r="272">
      <c r="A272" s="18" t="inlineStr">
        <is>
          <t>투자유가증권 매각손익</t>
        </is>
      </c>
      <c r="P272" s="20" t="n">
        <v>-98</v>
      </c>
      <c r="Q272" s="20" t="n">
        <v>-80</v>
      </c>
      <c r="R272" s="20" t="n">
        <v>-449</v>
      </c>
    </row>
    <row r="273">
      <c r="A273" s="18" t="inlineStr">
        <is>
          <t>투자유가증권 평가손익</t>
        </is>
      </c>
      <c r="P273" s="20" t="n">
        <v>0</v>
      </c>
      <c r="Q273" s="20" t="n">
        <v>1</v>
      </c>
      <c r="R273" s="20" t="n">
        <v>292</v>
      </c>
    </row>
    <row r="274">
      <c r="A274" s="18" t="inlineStr">
        <is>
          <t>이자비용</t>
        </is>
      </c>
      <c r="P274" s="20" t="n">
        <v>2855</v>
      </c>
      <c r="Q274" s="20" t="n">
        <v>3723</v>
      </c>
      <c r="R274" s="20" t="n">
        <v>3397</v>
      </c>
    </row>
    <row r="275">
      <c r="A275" s="18" t="inlineStr">
        <is>
          <t>지분법손익</t>
        </is>
      </c>
      <c r="P275" s="20" t="n">
        <v>-672</v>
      </c>
      <c r="Q275" s="20" t="n">
        <v>-1104</v>
      </c>
      <c r="R275" s="20" t="n">
        <v>-1554</v>
      </c>
    </row>
    <row r="276">
      <c r="A276" s="18" t="inlineStr">
        <is>
          <t>유형자산 매각손익</t>
        </is>
      </c>
      <c r="P276" s="20" t="n">
        <v>-435</v>
      </c>
      <c r="Q276" s="20" t="n">
        <v>-1264</v>
      </c>
      <c r="R276" s="20" t="n">
        <v>-330</v>
      </c>
    </row>
    <row r="277">
      <c r="A277" s="18" t="inlineStr">
        <is>
          <t>유형자산 제각손실</t>
        </is>
      </c>
      <c r="P277" s="20" t="n">
        <v>774</v>
      </c>
      <c r="Q277" s="20" t="n">
        <v>1350</v>
      </c>
      <c r="R277" s="20" t="n">
        <v>1418</v>
      </c>
    </row>
    <row r="278">
      <c r="A278" s="18" t="inlineStr">
        <is>
          <t>단계적 취득 차손익</t>
        </is>
      </c>
      <c r="P278" s="20" t="n">
        <v>-9708</v>
      </c>
      <c r="Q278" s="20" t="n">
        <v>0</v>
      </c>
    </row>
    <row r="279">
      <c r="A279" s="18" t="inlineStr">
        <is>
          <t>매출채권 증감</t>
        </is>
      </c>
      <c r="P279" s="20" t="n">
        <v>-9693</v>
      </c>
      <c r="Q279" s="20" t="n">
        <v>3957</v>
      </c>
      <c r="R279" s="20" t="n">
        <v>42010</v>
      </c>
    </row>
    <row r="280">
      <c r="A280" s="18" t="inlineStr">
        <is>
          <t>재고자산 증감</t>
        </is>
      </c>
      <c r="P280" s="20" t="n">
        <v>-7590</v>
      </c>
      <c r="Q280" s="20" t="n">
        <v>-9231</v>
      </c>
      <c r="R280" s="20" t="n">
        <v>-11219</v>
      </c>
    </row>
    <row r="281">
      <c r="A281" s="18" t="inlineStr">
        <is>
          <t>매입채무 증감</t>
        </is>
      </c>
      <c r="P281" s="20" t="n">
        <v>1843</v>
      </c>
      <c r="Q281" s="20" t="n">
        <v>6645</v>
      </c>
      <c r="R281" s="20" t="n">
        <v>-46843</v>
      </c>
    </row>
    <row r="282">
      <c r="A282" s="18" t="inlineStr">
        <is>
          <t>미지급비용 증감</t>
        </is>
      </c>
      <c r="P282" s="20" t="n">
        <v>3972</v>
      </c>
      <c r="Q282" s="20" t="n">
        <v>1286</v>
      </c>
      <c r="R282" s="20" t="n">
        <v>-942</v>
      </c>
    </row>
    <row r="283">
      <c r="A283" s="18" t="inlineStr">
        <is>
          <t>기타</t>
        </is>
      </c>
      <c r="P283" s="20" t="n">
        <v>-1208</v>
      </c>
      <c r="Q283" s="20" t="n">
        <v>-3745</v>
      </c>
      <c r="R283" s="20" t="n">
        <v>6122</v>
      </c>
    </row>
    <row r="284">
      <c r="A284" s="18" t="inlineStr">
        <is>
          <t>소계</t>
        </is>
      </c>
      <c r="P284" s="20" t="n">
        <v>120877</v>
      </c>
      <c r="Q284" s="20" t="n">
        <v>128292</v>
      </c>
      <c r="R284" s="20" t="n">
        <v>80834</v>
      </c>
    </row>
    <row r="285">
      <c r="A285" s="18" t="inlineStr">
        <is>
          <t>이자·배당금 수취</t>
        </is>
      </c>
      <c r="P285" s="20" t="n">
        <v>2932</v>
      </c>
      <c r="Q285" s="20" t="n">
        <v>3547</v>
      </c>
      <c r="R285" s="20" t="n">
        <v>3422</v>
      </c>
    </row>
    <row r="286">
      <c r="A286" s="18" t="inlineStr">
        <is>
          <t>이자 지급</t>
        </is>
      </c>
      <c r="P286" s="20" t="n">
        <v>-2998</v>
      </c>
      <c r="Q286" s="20" t="n">
        <v>-3611</v>
      </c>
      <c r="R286" s="20" t="n">
        <v>-3432</v>
      </c>
    </row>
    <row r="287">
      <c r="A287" s="18" t="inlineStr">
        <is>
          <t>법인세 납부·환급</t>
        </is>
      </c>
      <c r="P287" s="20" t="n">
        <v>-20777</v>
      </c>
      <c r="Q287" s="20" t="n">
        <v>-25206</v>
      </c>
      <c r="R287" s="20" t="n">
        <v>-19205</v>
      </c>
    </row>
    <row r="288">
      <c r="A288" s="9" t="inlineStr">
        <is>
          <t>영업활동 현금흐름</t>
        </is>
      </c>
      <c r="P288" s="12" t="n">
        <v>100033</v>
      </c>
      <c r="Q288" s="12" t="n">
        <v>103022</v>
      </c>
      <c r="R288" s="12" t="n">
        <v>61618</v>
      </c>
    </row>
    <row r="289">
      <c r="A289" s="18" t="inlineStr">
        <is>
          <t>정기예금 예입</t>
        </is>
      </c>
      <c r="P289" s="20" t="n">
        <v>-1606</v>
      </c>
      <c r="Q289" s="20" t="n">
        <v>-3571</v>
      </c>
      <c r="R289" s="20" t="n">
        <v>-4644</v>
      </c>
    </row>
    <row r="290">
      <c r="A290" s="18" t="inlineStr">
        <is>
          <t>정기예금 인출</t>
        </is>
      </c>
      <c r="P290" s="20" t="n">
        <v>1701</v>
      </c>
      <c r="Q290" s="20" t="n">
        <v>2969</v>
      </c>
      <c r="R290" s="20" t="n">
        <v>4257</v>
      </c>
    </row>
    <row r="291">
      <c r="A291" s="18" t="inlineStr">
        <is>
          <t>유형자산 취득(설비투자)</t>
        </is>
      </c>
      <c r="P291" s="20" t="n">
        <v>-73048</v>
      </c>
      <c r="Q291" s="20" t="n">
        <v>-71161</v>
      </c>
      <c r="R291" s="20" t="n">
        <v>-79867</v>
      </c>
    </row>
    <row r="292">
      <c r="A292" s="18" t="inlineStr">
        <is>
          <t>유형자산 매각</t>
        </is>
      </c>
      <c r="P292" s="20" t="n">
        <v>899</v>
      </c>
      <c r="Q292" s="20" t="n">
        <v>2498</v>
      </c>
      <c r="R292" s="20" t="n">
        <v>1574</v>
      </c>
    </row>
    <row r="293">
      <c r="A293" s="18" t="inlineStr">
        <is>
          <t>투자유가증권 취득</t>
        </is>
      </c>
      <c r="P293" s="20" t="n">
        <v>-202</v>
      </c>
      <c r="Q293" s="20" t="n">
        <v>-762</v>
      </c>
      <c r="R293" s="20" t="n">
        <v>-892</v>
      </c>
    </row>
    <row r="294">
      <c r="A294" s="18" t="inlineStr">
        <is>
          <t>투자유가증권 매각</t>
        </is>
      </c>
      <c r="P294" s="20" t="n">
        <v>5</v>
      </c>
      <c r="Q294" s="20" t="n">
        <v>225</v>
      </c>
      <c r="R294" s="20" t="n">
        <v>1274</v>
      </c>
    </row>
    <row r="295">
      <c r="A295" s="18" t="inlineStr">
        <is>
          <t>Proceeds From Sales Of Investments In Capital Inv CF</t>
        </is>
      </c>
      <c r="P295" s="20" t="n">
        <v>0</v>
      </c>
      <c r="Q295" s="20" t="n">
        <v>1269</v>
      </c>
      <c r="R295" s="20" t="n">
        <v>0</v>
      </c>
    </row>
    <row r="296">
      <c r="A296" s="18" t="inlineStr">
        <is>
          <t>연결범위 변경 자회사 주식 취득</t>
        </is>
      </c>
      <c r="P296" s="20" t="n">
        <v>-22862</v>
      </c>
      <c r="Q296" s="20" t="n">
        <v>0</v>
      </c>
      <c r="R296" s="20" t="n">
        <v>-9373</v>
      </c>
    </row>
    <row r="297">
      <c r="A297" s="18" t="inlineStr">
        <is>
          <t>대여</t>
        </is>
      </c>
      <c r="P297" s="20" t="n">
        <v>-136</v>
      </c>
      <c r="Q297" s="20" t="n">
        <v>-283</v>
      </c>
      <c r="R297" s="20" t="n">
        <v>-292</v>
      </c>
    </row>
    <row r="298">
      <c r="A298" s="18" t="inlineStr">
        <is>
          <t>대여금 회수</t>
        </is>
      </c>
      <c r="P298" s="20" t="n">
        <v>342</v>
      </c>
      <c r="Q298" s="20" t="n">
        <v>344</v>
      </c>
      <c r="R298" s="20" t="n">
        <v>306</v>
      </c>
    </row>
    <row r="299">
      <c r="A299" s="18" t="inlineStr">
        <is>
          <t>기타</t>
        </is>
      </c>
      <c r="P299" s="20" t="n">
        <v>-4141</v>
      </c>
      <c r="Q299" s="20" t="n">
        <v>-6852</v>
      </c>
      <c r="R299" s="20" t="n">
        <v>-4088</v>
      </c>
    </row>
    <row r="300">
      <c r="A300" s="9" t="inlineStr">
        <is>
          <t>투자활동 현금흐름</t>
        </is>
      </c>
      <c r="P300" s="12" t="n">
        <v>-99049</v>
      </c>
      <c r="Q300" s="12" t="n">
        <v>-75324</v>
      </c>
      <c r="R300" s="12" t="n">
        <v>-91746</v>
      </c>
    </row>
    <row r="301">
      <c r="A301" s="18" t="inlineStr">
        <is>
          <t>단기차입금 순증감</t>
        </is>
      </c>
      <c r="P301" s="20" t="n">
        <v>4171</v>
      </c>
      <c r="Q301" s="20" t="n">
        <v>14114</v>
      </c>
      <c r="R301" s="20" t="n">
        <v>16618</v>
      </c>
    </row>
    <row r="302">
      <c r="A302" s="18" t="inlineStr">
        <is>
          <t>장기차입</t>
        </is>
      </c>
      <c r="P302" s="20" t="n">
        <v>91358</v>
      </c>
      <c r="Q302" s="20" t="n">
        <v>19915</v>
      </c>
      <c r="R302" s="20" t="n">
        <v>39110</v>
      </c>
    </row>
    <row r="303">
      <c r="A303" s="18" t="inlineStr">
        <is>
          <t>장기차입금 상환</t>
        </is>
      </c>
      <c r="P303" s="20" t="n">
        <v>-38559</v>
      </c>
      <c r="Q303" s="20" t="n">
        <v>-35263</v>
      </c>
      <c r="R303" s="20" t="n">
        <v>-11758</v>
      </c>
    </row>
    <row r="304">
      <c r="A304" s="18" t="inlineStr">
        <is>
          <t>사채 발행</t>
        </is>
      </c>
      <c r="P304" s="20" t="n">
        <v>20000</v>
      </c>
      <c r="Q304" s="20" t="n">
        <v>0</v>
      </c>
      <c r="R304" s="20" t="n">
        <v>20000</v>
      </c>
    </row>
    <row r="305">
      <c r="A305" s="18" t="inlineStr">
        <is>
          <t>사채 상환</t>
        </is>
      </c>
      <c r="Q305" s="20" t="n">
        <v>0</v>
      </c>
      <c r="R305" s="20" t="n">
        <v>-10000</v>
      </c>
    </row>
    <row r="306">
      <c r="A306" s="18" t="inlineStr">
        <is>
          <t>금융리스부채 상환</t>
        </is>
      </c>
      <c r="P306" s="20" t="n">
        <v>-522</v>
      </c>
      <c r="Q306" s="20" t="n">
        <v>-605</v>
      </c>
      <c r="R306" s="20" t="n">
        <v>-541</v>
      </c>
    </row>
    <row r="307">
      <c r="A307" s="18" t="inlineStr">
        <is>
          <t>배당금 지급</t>
        </is>
      </c>
      <c r="P307" s="20" t="n">
        <v>-14406</v>
      </c>
      <c r="Q307" s="20" t="n">
        <v>-15092</v>
      </c>
      <c r="R307" s="20" t="n">
        <v>-15092</v>
      </c>
    </row>
    <row r="308">
      <c r="A308" s="18" t="inlineStr">
        <is>
          <t>비지배주주 배당금 지급</t>
        </is>
      </c>
      <c r="P308" s="20" t="n">
        <v>-1754</v>
      </c>
      <c r="Q308" s="20" t="n">
        <v>-4065</v>
      </c>
      <c r="R308" s="20" t="n">
        <v>-2865</v>
      </c>
    </row>
    <row r="309">
      <c r="A309" s="18" t="inlineStr">
        <is>
          <t>연결범위 변경 없는 자회사 주식 취득</t>
        </is>
      </c>
      <c r="P309" s="20" t="n">
        <v>0</v>
      </c>
      <c r="Q309" s="20" t="n">
        <v>-5592</v>
      </c>
      <c r="R309" s="20" t="n">
        <v>-1157</v>
      </c>
    </row>
    <row r="310">
      <c r="A310" s="18" t="inlineStr">
        <is>
          <t>Net Decrease Increase In Treasury Stock Fin CF</t>
        </is>
      </c>
      <c r="P310" s="20" t="n">
        <v>-4</v>
      </c>
      <c r="Q310" s="20" t="n">
        <v>-3</v>
      </c>
      <c r="R310" s="20" t="n">
        <v>-2</v>
      </c>
    </row>
    <row r="311">
      <c r="A311" s="9" t="inlineStr">
        <is>
          <t>재무활동 현금흐름</t>
        </is>
      </c>
      <c r="P311" s="12" t="n">
        <v>60282</v>
      </c>
      <c r="Q311" s="12" t="n">
        <v>-26592</v>
      </c>
      <c r="R311" s="12" t="n">
        <v>34309</v>
      </c>
    </row>
    <row r="312">
      <c r="A312" s="18" t="inlineStr">
        <is>
          <t>현금성자산 환산차이</t>
        </is>
      </c>
      <c r="P312" s="20" t="n">
        <v>629</v>
      </c>
      <c r="Q312" s="20" t="n">
        <v>-1341</v>
      </c>
      <c r="R312" s="20" t="n">
        <v>-2057</v>
      </c>
    </row>
    <row r="313">
      <c r="A313" s="18" t="inlineStr">
        <is>
          <t>현금성자산 증감</t>
        </is>
      </c>
      <c r="P313" s="20" t="n">
        <v>61896</v>
      </c>
      <c r="Q313" s="20" t="n">
        <v>-236</v>
      </c>
      <c r="R313" s="20" t="n">
        <v>2125</v>
      </c>
    </row>
    <row r="314">
      <c r="A314" s="18" t="inlineStr">
        <is>
          <t>신규 연결 현금성자산 증가</t>
        </is>
      </c>
      <c r="P314" s="20" t="n">
        <v>543</v>
      </c>
      <c r="Q314" s="20" t="n">
        <v>60</v>
      </c>
      <c r="R314" s="20" t="n">
        <v>255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6473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764723</v>
      </c>
      <c r="D5" s="12" t="n">
        <v>751234</v>
      </c>
      <c r="E5" s="12" t="n">
        <v>757521</v>
      </c>
      <c r="F5" s="12" t="n">
        <v>799218</v>
      </c>
      <c r="G5" s="12" t="n">
        <v>822080</v>
      </c>
      <c r="H5" s="11" t="n">
        <v>685497</v>
      </c>
      <c r="I5" s="12" t="n">
        <v>735299</v>
      </c>
      <c r="J5" s="12" t="n">
        <v>805476</v>
      </c>
      <c r="K5" s="12" t="n">
        <v>762843</v>
      </c>
      <c r="L5" s="12" t="n">
        <v>799218</v>
      </c>
    </row>
    <row r="6">
      <c r="A6" s="18" t="inlineStr">
        <is>
          <t>현금및현금성자산</t>
        </is>
      </c>
      <c r="B6" s="10" t="n"/>
      <c r="C6" s="19" t="n">
        <v>138261</v>
      </c>
      <c r="D6" s="20" t="n">
        <v>127338</v>
      </c>
      <c r="E6" s="20" t="n">
        <v>130462</v>
      </c>
      <c r="F6" s="20" t="n">
        <v>137550</v>
      </c>
      <c r="G6" s="20" t="n">
        <v>168471</v>
      </c>
      <c r="H6" s="19" t="n">
        <v>124254</v>
      </c>
      <c r="I6" s="20" t="n">
        <v>123850</v>
      </c>
      <c r="J6" s="20" t="n">
        <v>167019</v>
      </c>
      <c r="K6" s="20" t="n">
        <v>119060</v>
      </c>
      <c r="L6" s="20" t="n">
        <v>137550</v>
      </c>
    </row>
    <row r="7">
      <c r="A7" s="18" t="inlineStr">
        <is>
          <t>단기금융상품</t>
        </is>
      </c>
      <c r="B7" s="10" t="n"/>
      <c r="C7" s="19" t="n">
        <v>567</v>
      </c>
      <c r="D7" s="20" t="n">
        <v>515</v>
      </c>
      <c r="E7" s="20" t="n">
        <v>3234</v>
      </c>
      <c r="F7" s="20" t="n">
        <v>12994</v>
      </c>
      <c r="G7" s="20" t="n">
        <v>10666</v>
      </c>
      <c r="H7" s="19" t="n">
        <v>5099</v>
      </c>
      <c r="I7" s="20" t="n">
        <v>3548</v>
      </c>
      <c r="J7" s="20" t="n">
        <v>2914</v>
      </c>
      <c r="K7" s="20" t="n">
        <v>993</v>
      </c>
      <c r="L7" s="20" t="n">
        <v>12994</v>
      </c>
    </row>
    <row r="8">
      <c r="A8" s="18" t="inlineStr">
        <is>
          <t>매출채권</t>
        </is>
      </c>
      <c r="B8" s="10" t="n"/>
      <c r="C8" s="19" t="n">
        <v>351322</v>
      </c>
      <c r="D8" s="20" t="n">
        <v>359847</v>
      </c>
      <c r="E8" s="20" t="n">
        <v>343231</v>
      </c>
      <c r="F8" s="20" t="n">
        <v>349546</v>
      </c>
      <c r="G8" s="20" t="n">
        <v>332347</v>
      </c>
      <c r="H8" s="19" t="n">
        <v>319084</v>
      </c>
      <c r="I8" s="20" t="n">
        <v>350366</v>
      </c>
      <c r="J8" s="20" t="n">
        <v>360180</v>
      </c>
      <c r="K8" s="20" t="n">
        <v>368216</v>
      </c>
      <c r="L8" s="20" t="n">
        <v>349546</v>
      </c>
    </row>
    <row r="9">
      <c r="A9" s="18" t="inlineStr">
        <is>
          <t>재고자산</t>
        </is>
      </c>
      <c r="B9" s="10" t="n"/>
      <c r="C9" s="19" t="n">
        <v>256256</v>
      </c>
      <c r="D9" s="20" t="n">
        <v>259401</v>
      </c>
      <c r="E9" s="20" t="n">
        <v>274791</v>
      </c>
      <c r="F9" s="20" t="n">
        <v>244409</v>
      </c>
      <c r="G9" s="20" t="n">
        <v>253328</v>
      </c>
      <c r="H9" s="19" t="n">
        <v>229074</v>
      </c>
      <c r="I9" s="20" t="n">
        <v>247587</v>
      </c>
      <c r="J9" s="20" t="n">
        <v>267057</v>
      </c>
      <c r="K9" s="20" t="n">
        <v>257771</v>
      </c>
      <c r="L9" s="20" t="n">
        <v>244409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777026</v>
      </c>
      <c r="D11" s="12" t="n">
        <v>798610</v>
      </c>
      <c r="E11" s="12" t="n">
        <v>829291</v>
      </c>
      <c r="F11" s="12" t="n">
        <v>778477</v>
      </c>
      <c r="G11" s="12" t="n">
        <v>782117</v>
      </c>
      <c r="H11" s="11" t="n">
        <v>700965</v>
      </c>
      <c r="I11" s="12" t="n">
        <v>706055</v>
      </c>
      <c r="J11" s="12" t="n">
        <v>823038</v>
      </c>
      <c r="K11" s="12" t="n">
        <v>802548</v>
      </c>
      <c r="L11" s="12" t="n">
        <v>778477</v>
      </c>
    </row>
    <row r="12">
      <c r="A12" s="18" t="inlineStr">
        <is>
          <t>유형자산</t>
        </is>
      </c>
      <c r="B12" s="10" t="n"/>
      <c r="C12" s="19" t="n">
        <v>475904</v>
      </c>
      <c r="D12" s="20" t="n">
        <v>486841</v>
      </c>
      <c r="E12" s="20" t="n">
        <v>504876</v>
      </c>
      <c r="F12" s="20" t="n">
        <v>498102</v>
      </c>
      <c r="G12" s="20" t="n">
        <v>496239</v>
      </c>
      <c r="H12" s="19" t="n">
        <v>460012</v>
      </c>
      <c r="I12" s="20" t="n">
        <v>466972</v>
      </c>
      <c r="J12" s="20" t="n">
        <v>476426</v>
      </c>
      <c r="K12" s="20" t="n">
        <v>480570</v>
      </c>
      <c r="L12" s="20" t="n">
        <v>498102</v>
      </c>
    </row>
    <row r="13">
      <c r="A13" s="18" t="inlineStr">
        <is>
          <t>무형자산</t>
        </is>
      </c>
      <c r="B13" s="10" t="n"/>
      <c r="C13" s="19" t="n"/>
      <c r="D13" s="20" t="n"/>
      <c r="E13" s="20" t="n"/>
      <c r="F13" s="20" t="n"/>
      <c r="G13" s="20" t="n"/>
      <c r="H13" s="19" t="n"/>
      <c r="I13" s="20" t="n"/>
      <c r="J13" s="20" t="n"/>
      <c r="K13" s="20" t="n"/>
      <c r="L13" s="20" t="n"/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1541750</v>
      </c>
      <c r="D16" s="12" t="n">
        <v>1549844</v>
      </c>
      <c r="E16" s="12" t="n">
        <v>1586812</v>
      </c>
      <c r="F16" s="12" t="n">
        <v>1577696</v>
      </c>
      <c r="G16" s="12" t="n">
        <v>1604198</v>
      </c>
      <c r="H16" s="11" t="n">
        <v>1386463</v>
      </c>
      <c r="I16" s="12" t="n">
        <v>1441355</v>
      </c>
      <c r="J16" s="12" t="n">
        <v>1628514</v>
      </c>
      <c r="K16" s="12" t="n">
        <v>1565391</v>
      </c>
      <c r="L16" s="12" t="n">
        <v>1577696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473544</v>
      </c>
      <c r="D18" s="12" t="n">
        <v>456536</v>
      </c>
      <c r="E18" s="12" t="n">
        <v>490523</v>
      </c>
      <c r="F18" s="12" t="n">
        <v>507028</v>
      </c>
      <c r="G18" s="12" t="n">
        <v>507425</v>
      </c>
      <c r="H18" s="11" t="n">
        <v>434779</v>
      </c>
      <c r="I18" s="12" t="n">
        <v>427755</v>
      </c>
      <c r="J18" s="12" t="n">
        <v>482220</v>
      </c>
      <c r="K18" s="12" t="n">
        <v>482250</v>
      </c>
      <c r="L18" s="12" t="n">
        <v>507028</v>
      </c>
    </row>
    <row r="19">
      <c r="A19" s="18" t="inlineStr">
        <is>
          <t>매입채무</t>
        </is>
      </c>
      <c r="B19" s="10" t="n"/>
      <c r="C19" s="19" t="n">
        <v>364482</v>
      </c>
      <c r="D19" s="20" t="n">
        <v>363597</v>
      </c>
      <c r="E19" s="20" t="n">
        <v>367974</v>
      </c>
      <c r="F19" s="20" t="n">
        <v>351855</v>
      </c>
      <c r="G19" s="20" t="n">
        <v>348396</v>
      </c>
      <c r="H19" s="19" t="n">
        <v>317672</v>
      </c>
      <c r="I19" s="20" t="n">
        <v>346599</v>
      </c>
      <c r="J19" s="20" t="n">
        <v>388909</v>
      </c>
      <c r="K19" s="20" t="n">
        <v>379649</v>
      </c>
      <c r="L19" s="20" t="n">
        <v>351855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307406</v>
      </c>
      <c r="D23" s="12" t="n">
        <v>311952</v>
      </c>
      <c r="E23" s="12" t="n">
        <v>284709</v>
      </c>
      <c r="F23" s="12" t="n">
        <v>245437</v>
      </c>
      <c r="G23" s="12" t="n">
        <v>251347</v>
      </c>
      <c r="H23" s="11" t="n">
        <v>291268</v>
      </c>
      <c r="I23" s="12" t="n">
        <v>312864</v>
      </c>
      <c r="J23" s="12" t="n">
        <v>323522</v>
      </c>
      <c r="K23" s="12" t="n">
        <v>305672</v>
      </c>
      <c r="L23" s="12" t="n">
        <v>245437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>
        <v>196194</v>
      </c>
      <c r="D25" s="20" t="n">
        <v>192647</v>
      </c>
      <c r="E25" s="20" t="n">
        <v>151396</v>
      </c>
      <c r="F25" s="20" t="n">
        <v>146404</v>
      </c>
      <c r="G25" s="20" t="n">
        <v>147476</v>
      </c>
      <c r="H25" s="19" t="n">
        <v>176012</v>
      </c>
      <c r="I25" s="20" t="n">
        <v>207640</v>
      </c>
      <c r="J25" s="20" t="n">
        <v>180820</v>
      </c>
      <c r="K25" s="20" t="n">
        <v>186123</v>
      </c>
      <c r="L25" s="20" t="n">
        <v>146404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780951</v>
      </c>
      <c r="D27" s="12" t="n">
        <v>768489</v>
      </c>
      <c r="E27" s="12" t="n">
        <v>775233</v>
      </c>
      <c r="F27" s="12" t="n">
        <v>752465</v>
      </c>
      <c r="G27" s="12" t="n">
        <v>758772</v>
      </c>
      <c r="H27" s="11" t="n">
        <v>726048</v>
      </c>
      <c r="I27" s="12" t="n">
        <v>740619</v>
      </c>
      <c r="J27" s="12" t="n">
        <v>805743</v>
      </c>
      <c r="K27" s="12" t="n">
        <v>787922</v>
      </c>
      <c r="L27" s="12" t="n">
        <v>752465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729069</v>
      </c>
      <c r="D31" s="12" t="n">
        <v>749072</v>
      </c>
      <c r="E31" s="12" t="n">
        <v>777452</v>
      </c>
      <c r="F31" s="12" t="n">
        <v>790206</v>
      </c>
      <c r="G31" s="12" t="n">
        <v>809376</v>
      </c>
      <c r="H31" s="11" t="n">
        <v>624012</v>
      </c>
      <c r="I31" s="12" t="n">
        <v>667234</v>
      </c>
      <c r="J31" s="12" t="n">
        <v>788984</v>
      </c>
      <c r="K31" s="12" t="n">
        <v>745044</v>
      </c>
      <c r="L31" s="12" t="n">
        <v>790206</v>
      </c>
    </row>
    <row r="32">
      <c r="A32" s="18" t="inlineStr">
        <is>
          <t>자본금</t>
        </is>
      </c>
      <c r="B32" s="10" t="n"/>
      <c r="C32" s="19" t="n">
        <v>45591</v>
      </c>
      <c r="D32" s="20" t="n">
        <v>45591</v>
      </c>
      <c r="E32" s="20" t="n">
        <v>45591</v>
      </c>
      <c r="F32" s="20" t="n">
        <v>45591</v>
      </c>
      <c r="G32" s="20" t="n">
        <v>45591</v>
      </c>
      <c r="H32" s="19" t="n">
        <v>45591</v>
      </c>
      <c r="I32" s="20" t="n">
        <v>45591</v>
      </c>
      <c r="J32" s="20" t="n">
        <v>45591</v>
      </c>
      <c r="K32" s="20" t="n">
        <v>45591</v>
      </c>
      <c r="L32" s="20" t="n">
        <v>45591</v>
      </c>
    </row>
    <row r="33">
      <c r="A33" s="18" t="inlineStr">
        <is>
          <t>이익잉여금</t>
        </is>
      </c>
      <c r="B33" s="10" t="n"/>
      <c r="C33" s="19" t="n">
        <v>519984</v>
      </c>
      <c r="D33" s="20" t="n">
        <v>531798</v>
      </c>
      <c r="E33" s="20" t="n">
        <v>539533</v>
      </c>
      <c r="F33" s="20" t="n">
        <v>546587</v>
      </c>
      <c r="G33" s="20" t="n">
        <v>558436</v>
      </c>
      <c r="H33" s="19" t="n">
        <v>443960</v>
      </c>
      <c r="I33" s="20" t="n">
        <v>475777</v>
      </c>
      <c r="J33" s="20" t="n">
        <v>568463</v>
      </c>
      <c r="K33" s="20" t="n">
        <v>530733</v>
      </c>
      <c r="L33" s="20" t="n">
        <v>546587</v>
      </c>
    </row>
    <row r="34">
      <c r="A34" s="18" t="inlineStr">
        <is>
          <t>비지배지분</t>
        </is>
      </c>
      <c r="B34" s="10" t="n"/>
      <c r="C34" s="19" t="n">
        <v>31729</v>
      </c>
      <c r="D34" s="20" t="n">
        <v>32282</v>
      </c>
      <c r="E34" s="20" t="n">
        <v>34127</v>
      </c>
      <c r="F34" s="20" t="n">
        <v>35024</v>
      </c>
      <c r="G34" s="20" t="n">
        <v>36049</v>
      </c>
      <c r="H34" s="19" t="n">
        <v>36402</v>
      </c>
      <c r="I34" s="20" t="n">
        <v>33501</v>
      </c>
      <c r="J34" s="20" t="n">
        <v>33786</v>
      </c>
      <c r="K34" s="20" t="n">
        <v>32425</v>
      </c>
      <c r="L34" s="20" t="n">
        <v>35024</v>
      </c>
    </row>
    <row r="35">
      <c r="A35" s="9" t="inlineStr">
        <is>
          <t>자본총계</t>
        </is>
      </c>
      <c r="B35" s="10" t="n"/>
      <c r="C35" s="11" t="n">
        <v>760798</v>
      </c>
      <c r="D35" s="12" t="n">
        <v>781355</v>
      </c>
      <c r="E35" s="12" t="n">
        <v>811579</v>
      </c>
      <c r="F35" s="12" t="n">
        <v>825230</v>
      </c>
      <c r="G35" s="12" t="n">
        <v>845426</v>
      </c>
      <c r="H35" s="11" t="n">
        <v>660415</v>
      </c>
      <c r="I35" s="12" t="n">
        <v>700735</v>
      </c>
      <c r="J35" s="12" t="n">
        <v>822770</v>
      </c>
      <c r="K35" s="12" t="n">
        <v>777469</v>
      </c>
      <c r="L35" s="12" t="n">
        <v>825230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90063</v>
      </c>
      <c r="D37" s="12" t="n">
        <v>113875</v>
      </c>
      <c r="E37" s="12" t="n">
        <v>101354</v>
      </c>
      <c r="F37" s="12" t="n">
        <v>108495</v>
      </c>
      <c r="G37" s="12" t="n">
        <v>115807</v>
      </c>
      <c r="H37" s="11" t="n">
        <v>67039</v>
      </c>
      <c r="I37" s="12" t="n">
        <v>78279</v>
      </c>
      <c r="J37" s="12" t="n">
        <v>154461</v>
      </c>
      <c r="K37" s="12" t="n">
        <v>80238</v>
      </c>
      <c r="L37" s="12" t="n">
        <v>108495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93296</v>
      </c>
      <c r="D38" s="20" t="n">
        <v>92848</v>
      </c>
      <c r="E38" s="20" t="n">
        <v>88959</v>
      </c>
      <c r="F38" s="20" t="n">
        <v>89491</v>
      </c>
      <c r="G38" s="20" t="n">
        <v>81075</v>
      </c>
      <c r="H38" s="19" t="n">
        <v>42684</v>
      </c>
      <c r="I38" s="20" t="n">
        <v>58658</v>
      </c>
      <c r="J38" s="20" t="n">
        <v>81448</v>
      </c>
      <c r="K38" s="20" t="n">
        <v>91519</v>
      </c>
      <c r="L38" s="20" t="n">
        <v>89491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16534</v>
      </c>
      <c r="D40" s="20" t="n">
        <v>16534</v>
      </c>
      <c r="E40" s="20" t="n">
        <v>17510</v>
      </c>
      <c r="F40" s="20" t="n">
        <v>17510</v>
      </c>
      <c r="G40" s="20" t="n">
        <v>19103</v>
      </c>
      <c r="H40" s="19" t="n">
        <v>5488</v>
      </c>
      <c r="I40" s="20" t="n">
        <v>7203</v>
      </c>
      <c r="J40" s="20" t="n">
        <v>12005</v>
      </c>
      <c r="K40" s="20" t="n">
        <v>15436</v>
      </c>
      <c r="L40" s="20" t="n">
        <v>17510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138261</v>
      </c>
      <c r="D71" s="20" t="n">
        <v>127338</v>
      </c>
      <c r="E71" s="20" t="n">
        <v>130462</v>
      </c>
      <c r="F71" s="20" t="n">
        <v>137550</v>
      </c>
      <c r="G71" s="20" t="n">
        <v>168471</v>
      </c>
      <c r="H71" s="20" t="n">
        <v>124254</v>
      </c>
      <c r="I71" s="20" t="n">
        <v>123850</v>
      </c>
      <c r="J71" s="20" t="n">
        <v>167019</v>
      </c>
      <c r="K71" s="20" t="n">
        <v>119060</v>
      </c>
      <c r="L71" s="20" t="n">
        <v>137550</v>
      </c>
    </row>
    <row r="72">
      <c r="A72" s="18" t="inlineStr">
        <is>
          <t>영업채권 및 기타채권</t>
        </is>
      </c>
      <c r="C72" s="20" t="n">
        <v>351322</v>
      </c>
      <c r="D72" s="20" t="n">
        <v>359847</v>
      </c>
      <c r="E72" s="20" t="n">
        <v>343231</v>
      </c>
      <c r="F72" s="20" t="n">
        <v>349546</v>
      </c>
      <c r="G72" s="20" t="n">
        <v>332347</v>
      </c>
      <c r="H72" s="20" t="n">
        <v>319084</v>
      </c>
      <c r="I72" s="20" t="n">
        <v>350366</v>
      </c>
      <c r="J72" s="20" t="n">
        <v>360180</v>
      </c>
      <c r="K72" s="20" t="n">
        <v>368216</v>
      </c>
      <c r="L72" s="20" t="n">
        <v>349546</v>
      </c>
    </row>
    <row r="73">
      <c r="A73" s="18" t="inlineStr">
        <is>
          <t>재고자산</t>
        </is>
      </c>
      <c r="C73" s="20" t="n">
        <v>256256</v>
      </c>
      <c r="D73" s="20" t="n">
        <v>259401</v>
      </c>
      <c r="E73" s="20" t="n">
        <v>274791</v>
      </c>
      <c r="F73" s="20" t="n">
        <v>244409</v>
      </c>
      <c r="G73" s="20" t="n">
        <v>253328</v>
      </c>
      <c r="H73" s="20" t="n">
        <v>229074</v>
      </c>
      <c r="I73" s="20" t="n">
        <v>247587</v>
      </c>
      <c r="J73" s="20" t="n">
        <v>267057</v>
      </c>
      <c r="K73" s="20" t="n">
        <v>257771</v>
      </c>
      <c r="L73" s="20" t="n">
        <v>244409</v>
      </c>
    </row>
    <row r="74">
      <c r="A74" s="18" t="inlineStr">
        <is>
          <t>기타금융자산</t>
        </is>
      </c>
      <c r="C74" s="20" t="n">
        <v>567</v>
      </c>
      <c r="D74" s="20" t="n">
        <v>515</v>
      </c>
      <c r="E74" s="20" t="n">
        <v>3234</v>
      </c>
      <c r="F74" s="20" t="n">
        <v>12994</v>
      </c>
      <c r="G74" s="20" t="n">
        <v>10666</v>
      </c>
      <c r="H74" s="20" t="n">
        <v>5099</v>
      </c>
      <c r="I74" s="20" t="n">
        <v>3548</v>
      </c>
      <c r="J74" s="20" t="n">
        <v>2914</v>
      </c>
      <c r="K74" s="20" t="n">
        <v>993</v>
      </c>
      <c r="L74" s="20" t="n">
        <v>12994</v>
      </c>
    </row>
    <row r="75">
      <c r="A75" s="18" t="inlineStr">
        <is>
          <t>미수법인세</t>
        </is>
      </c>
      <c r="C75" s="20" t="n">
        <v>1394</v>
      </c>
      <c r="D75" s="20" t="n">
        <v>1036</v>
      </c>
      <c r="E75" s="20" t="n">
        <v>3188</v>
      </c>
      <c r="F75" s="20" t="n">
        <v>1227</v>
      </c>
      <c r="G75" s="20" t="n">
        <v>1403</v>
      </c>
      <c r="H75" s="20" t="n">
        <v>943</v>
      </c>
      <c r="I75" s="20" t="n">
        <v>4960</v>
      </c>
      <c r="J75" s="20" t="n">
        <v>4954</v>
      </c>
      <c r="K75" s="20" t="n">
        <v>1810</v>
      </c>
      <c r="L75" s="20" t="n">
        <v>1227</v>
      </c>
    </row>
    <row r="76">
      <c r="A76" s="18" t="inlineStr">
        <is>
          <t>기타유동자산</t>
        </is>
      </c>
      <c r="C76" s="20" t="n">
        <v>2776</v>
      </c>
      <c r="D76" s="20" t="n">
        <v>3094</v>
      </c>
      <c r="E76" s="20" t="n">
        <v>2612</v>
      </c>
      <c r="F76" s="20" t="n">
        <v>1104</v>
      </c>
      <c r="G76" s="20" t="n">
        <v>1657</v>
      </c>
      <c r="H76" s="20" t="n">
        <v>4522</v>
      </c>
      <c r="I76" s="20" t="n">
        <v>4986</v>
      </c>
      <c r="J76" s="20" t="n">
        <v>3350</v>
      </c>
      <c r="K76" s="20" t="n">
        <v>2430</v>
      </c>
      <c r="L76" s="20" t="n">
        <v>1104</v>
      </c>
    </row>
    <row r="77">
      <c r="A77" s="9" t="inlineStr">
        <is>
          <t>소계</t>
        </is>
      </c>
      <c r="C77" s="12" t="n">
        <v>750578</v>
      </c>
      <c r="D77" s="12" t="n">
        <v>751234</v>
      </c>
      <c r="E77" s="12" t="n">
        <v>757521</v>
      </c>
      <c r="F77" s="12" t="n">
        <v>746832</v>
      </c>
      <c r="G77" s="12" t="n">
        <v>767873</v>
      </c>
      <c r="H77" s="12" t="n">
        <v>682979</v>
      </c>
      <c r="I77" s="12" t="n">
        <v>735299</v>
      </c>
      <c r="J77" s="12" t="n">
        <v>805476</v>
      </c>
      <c r="K77" s="12" t="n">
        <v>750283</v>
      </c>
      <c r="L77" s="12" t="n">
        <v>746832</v>
      </c>
    </row>
    <row r="78">
      <c r="A78" s="18" t="inlineStr">
        <is>
          <t>매각예정 자산</t>
        </is>
      </c>
      <c r="C78" s="20" t="n">
        <v>14145</v>
      </c>
      <c r="D78" s="20" t="n">
        <v>0</v>
      </c>
      <c r="E78" s="20" t="n">
        <v>0</v>
      </c>
      <c r="F78" s="20" t="n">
        <v>52385</v>
      </c>
      <c r="G78" s="20" t="n">
        <v>54207</v>
      </c>
      <c r="H78" s="20" t="n">
        <v>2518</v>
      </c>
      <c r="I78" s="20" t="n">
        <v>0</v>
      </c>
      <c r="J78" s="20" t="n">
        <v>0</v>
      </c>
      <c r="K78" s="20" t="n">
        <v>12559</v>
      </c>
      <c r="L78" s="20" t="n">
        <v>52385</v>
      </c>
    </row>
    <row r="79">
      <c r="A79" s="9" t="inlineStr">
        <is>
          <t>유동자산 합계</t>
        </is>
      </c>
      <c r="C79" s="12" t="n">
        <v>764723</v>
      </c>
      <c r="D79" s="12" t="n">
        <v>751234</v>
      </c>
      <c r="E79" s="12" t="n">
        <v>757521</v>
      </c>
      <c r="F79" s="12" t="n">
        <v>799218</v>
      </c>
      <c r="G79" s="12" t="n">
        <v>822080</v>
      </c>
      <c r="H79" s="12" t="n">
        <v>685497</v>
      </c>
      <c r="I79" s="12" t="n">
        <v>735299</v>
      </c>
      <c r="J79" s="12" t="n">
        <v>805476</v>
      </c>
      <c r="K79" s="12" t="n">
        <v>762843</v>
      </c>
      <c r="L79" s="12" t="n">
        <v>799218</v>
      </c>
    </row>
    <row r="80">
      <c r="A80" s="18" t="inlineStr">
        <is>
          <t>유형자산</t>
        </is>
      </c>
      <c r="C80" s="20" t="n">
        <v>475904</v>
      </c>
      <c r="D80" s="20" t="n">
        <v>486841</v>
      </c>
      <c r="E80" s="20" t="n">
        <v>504876</v>
      </c>
      <c r="F80" s="20" t="n">
        <v>498102</v>
      </c>
      <c r="G80" s="20" t="n">
        <v>496239</v>
      </c>
      <c r="H80" s="20" t="n">
        <v>460012</v>
      </c>
      <c r="I80" s="20" t="n">
        <v>466972</v>
      </c>
      <c r="J80" s="20" t="n">
        <v>476426</v>
      </c>
      <c r="K80" s="20" t="n">
        <v>480570</v>
      </c>
      <c r="L80" s="20" t="n">
        <v>498102</v>
      </c>
    </row>
    <row r="81">
      <c r="A81" s="18" t="inlineStr">
        <is>
          <t>영업권 및 무형자산</t>
        </is>
      </c>
      <c r="C81" s="20" t="n">
        <v>44675</v>
      </c>
      <c r="D81" s="20" t="n">
        <v>43992</v>
      </c>
      <c r="E81" s="20" t="n">
        <v>43564</v>
      </c>
      <c r="F81" s="20" t="n">
        <v>35223</v>
      </c>
      <c r="G81" s="20" t="n">
        <v>35287</v>
      </c>
      <c r="H81" s="20" t="n">
        <v>34590</v>
      </c>
      <c r="I81" s="20" t="n">
        <v>32323</v>
      </c>
      <c r="J81" s="20" t="n">
        <v>49967</v>
      </c>
      <c r="K81" s="20" t="n">
        <v>45462</v>
      </c>
      <c r="L81" s="20" t="n">
        <v>35223</v>
      </c>
    </row>
    <row r="82">
      <c r="A82" s="18" t="inlineStr">
        <is>
          <t>기타금융자산</t>
        </is>
      </c>
      <c r="C82" s="20" t="n">
        <v>169446</v>
      </c>
      <c r="D82" s="20" t="n">
        <v>179102</v>
      </c>
      <c r="E82" s="20" t="n">
        <v>192174</v>
      </c>
      <c r="F82" s="20" t="n">
        <v>148299</v>
      </c>
      <c r="G82" s="20" t="n">
        <v>156201</v>
      </c>
      <c r="H82" s="20" t="n">
        <v>139771</v>
      </c>
      <c r="I82" s="20" t="n">
        <v>139163</v>
      </c>
      <c r="J82" s="20" t="n">
        <v>192529</v>
      </c>
      <c r="K82" s="20" t="n">
        <v>190027</v>
      </c>
      <c r="L82" s="20" t="n">
        <v>148299</v>
      </c>
    </row>
    <row r="83">
      <c r="A83" s="18" t="inlineStr">
        <is>
          <t>지분법 투자</t>
        </is>
      </c>
      <c r="C83" s="20" t="n">
        <v>16835</v>
      </c>
      <c r="D83" s="20" t="n">
        <v>17161</v>
      </c>
      <c r="E83" s="20" t="n">
        <v>17426</v>
      </c>
      <c r="F83" s="20" t="n">
        <v>18366</v>
      </c>
      <c r="G83" s="20" t="n">
        <v>14665</v>
      </c>
      <c r="H83" s="20" t="n">
        <v>13091</v>
      </c>
      <c r="I83" s="20" t="n">
        <v>13964</v>
      </c>
      <c r="J83" s="20" t="n">
        <v>15718</v>
      </c>
      <c r="K83" s="20" t="n">
        <v>17302</v>
      </c>
      <c r="L83" s="20" t="n">
        <v>18366</v>
      </c>
    </row>
    <row r="84">
      <c r="A84" s="18" t="inlineStr">
        <is>
          <t>이연법인세자산</t>
        </is>
      </c>
      <c r="C84" s="20" t="n">
        <v>21907</v>
      </c>
      <c r="D84" s="20" t="n">
        <v>21810</v>
      </c>
      <c r="E84" s="20" t="n">
        <v>21499</v>
      </c>
      <c r="F84" s="20" t="n">
        <v>22377</v>
      </c>
      <c r="G84" s="20" t="n">
        <v>22937</v>
      </c>
      <c r="H84" s="20" t="n">
        <v>17414</v>
      </c>
      <c r="I84" s="20" t="n">
        <v>17630</v>
      </c>
      <c r="J84" s="20" t="n">
        <v>18605</v>
      </c>
      <c r="K84" s="20" t="n">
        <v>21228</v>
      </c>
      <c r="L84" s="20" t="n">
        <v>22377</v>
      </c>
    </row>
    <row r="85">
      <c r="A85" s="18" t="inlineStr">
        <is>
          <t>기타비유동자산</t>
        </is>
      </c>
      <c r="C85" s="20" t="n">
        <v>48255</v>
      </c>
      <c r="D85" s="20" t="n">
        <v>49699</v>
      </c>
      <c r="E85" s="20" t="n">
        <v>49750</v>
      </c>
      <c r="F85" s="20" t="n">
        <v>56108</v>
      </c>
      <c r="G85" s="20" t="n">
        <v>56787</v>
      </c>
      <c r="H85" s="20" t="n">
        <v>36085</v>
      </c>
      <c r="I85" s="20" t="n">
        <v>36000</v>
      </c>
      <c r="J85" s="20" t="n">
        <v>69789</v>
      </c>
      <c r="K85" s="20" t="n">
        <v>47956</v>
      </c>
      <c r="L85" s="20" t="n">
        <v>56108</v>
      </c>
    </row>
    <row r="86">
      <c r="A86" s="18" t="inlineStr">
        <is>
          <t>비유동자산 합계</t>
        </is>
      </c>
      <c r="C86" s="20" t="n">
        <v>777026</v>
      </c>
      <c r="D86" s="20" t="n">
        <v>798610</v>
      </c>
      <c r="E86" s="20" t="n">
        <v>829291</v>
      </c>
      <c r="F86" s="20" t="n">
        <v>778477</v>
      </c>
      <c r="G86" s="20" t="n">
        <v>782117</v>
      </c>
      <c r="H86" s="20" t="n">
        <v>700965</v>
      </c>
      <c r="I86" s="20" t="n">
        <v>706055</v>
      </c>
      <c r="J86" s="20" t="n">
        <v>823038</v>
      </c>
      <c r="K86" s="20" t="n">
        <v>802548</v>
      </c>
      <c r="L86" s="20" t="n">
        <v>778477</v>
      </c>
    </row>
    <row r="87">
      <c r="A87" s="18" t="inlineStr">
        <is>
          <t>자산 합계</t>
        </is>
      </c>
      <c r="C87" s="20" t="n">
        <v>1541750</v>
      </c>
      <c r="D87" s="20" t="n">
        <v>1549844</v>
      </c>
      <c r="E87" s="20" t="n">
        <v>1586812</v>
      </c>
      <c r="F87" s="20" t="n">
        <v>1577696</v>
      </c>
      <c r="G87" s="20" t="n">
        <v>1604198</v>
      </c>
      <c r="H87" s="20" t="n">
        <v>1386463</v>
      </c>
      <c r="I87" s="20" t="n">
        <v>1441355</v>
      </c>
      <c r="J87" s="20" t="n">
        <v>1628514</v>
      </c>
      <c r="K87" s="20" t="n">
        <v>1565391</v>
      </c>
      <c r="L87" s="20" t="n">
        <v>1577696</v>
      </c>
    </row>
    <row r="88">
      <c r="A88" s="18" t="inlineStr">
        <is>
          <t>영업채무 및 기타채무</t>
        </is>
      </c>
      <c r="C88" s="20" t="n">
        <v>364482</v>
      </c>
      <c r="D88" s="20" t="n">
        <v>363597</v>
      </c>
      <c r="E88" s="20" t="n">
        <v>367974</v>
      </c>
      <c r="F88" s="20" t="n">
        <v>351855</v>
      </c>
      <c r="G88" s="20" t="n">
        <v>348396</v>
      </c>
      <c r="H88" s="20" t="n">
        <v>317672</v>
      </c>
      <c r="I88" s="20" t="n">
        <v>346599</v>
      </c>
      <c r="J88" s="20" t="n">
        <v>388909</v>
      </c>
      <c r="K88" s="20" t="n">
        <v>379649</v>
      </c>
      <c r="L88" s="20" t="n">
        <v>351855</v>
      </c>
    </row>
    <row r="89">
      <c r="A89" s="18" t="inlineStr">
        <is>
          <t>사채 및 차입금</t>
        </is>
      </c>
      <c r="C89" s="20" t="n">
        <v>58912</v>
      </c>
      <c r="D89" s="20" t="n">
        <v>61406</v>
      </c>
      <c r="E89" s="20" t="n">
        <v>92504</v>
      </c>
      <c r="F89" s="20" t="n">
        <v>70718</v>
      </c>
      <c r="G89" s="20" t="n">
        <v>74066</v>
      </c>
      <c r="H89" s="20" t="n">
        <v>85749</v>
      </c>
      <c r="I89" s="20" t="n">
        <v>47529</v>
      </c>
      <c r="J89" s="20" t="n">
        <v>61127</v>
      </c>
      <c r="K89" s="20" t="n">
        <v>54351</v>
      </c>
      <c r="L89" s="20" t="n">
        <v>70718</v>
      </c>
    </row>
    <row r="90">
      <c r="A90" s="18" t="inlineStr">
        <is>
          <t>기타금융부채</t>
        </is>
      </c>
      <c r="C90" s="20" t="n">
        <v>4968</v>
      </c>
      <c r="D90" s="20" t="n">
        <v>4344</v>
      </c>
      <c r="E90" s="20" t="n">
        <v>6025</v>
      </c>
      <c r="F90" s="20" t="n">
        <v>5002</v>
      </c>
      <c r="G90" s="20" t="n">
        <v>5133</v>
      </c>
      <c r="H90" s="20" t="n">
        <v>3128</v>
      </c>
      <c r="I90" s="20" t="n">
        <v>3584</v>
      </c>
      <c r="J90" s="20" t="n">
        <v>3661</v>
      </c>
      <c r="K90" s="20" t="n">
        <v>3219</v>
      </c>
      <c r="L90" s="20" t="n">
        <v>5002</v>
      </c>
    </row>
    <row r="91">
      <c r="A91" s="18" t="inlineStr">
        <is>
          <t>미지급법인세</t>
        </is>
      </c>
      <c r="C91" s="20" t="n">
        <v>7115</v>
      </c>
      <c r="D91" s="20" t="n">
        <v>4668</v>
      </c>
      <c r="E91" s="20" t="n">
        <v>2822</v>
      </c>
      <c r="F91" s="20" t="n">
        <v>10910</v>
      </c>
      <c r="G91" s="20" t="n">
        <v>10333</v>
      </c>
      <c r="H91" s="20" t="n">
        <v>13375</v>
      </c>
      <c r="I91" s="20" t="n">
        <v>3993</v>
      </c>
      <c r="J91" s="20" t="n">
        <v>6501</v>
      </c>
      <c r="K91" s="20" t="n">
        <v>9627</v>
      </c>
      <c r="L91" s="20" t="n">
        <v>10910</v>
      </c>
    </row>
    <row r="92">
      <c r="A92" s="18" t="inlineStr">
        <is>
          <t>충당금</t>
        </is>
      </c>
      <c r="C92" s="20" t="n">
        <v>16857</v>
      </c>
      <c r="D92" s="20" t="n">
        <v>15018</v>
      </c>
      <c r="E92" s="20" t="n">
        <v>13339</v>
      </c>
      <c r="F92" s="20" t="n">
        <v>12388</v>
      </c>
      <c r="G92" s="20" t="n">
        <v>12763</v>
      </c>
      <c r="H92" s="20" t="n">
        <v>6547</v>
      </c>
      <c r="I92" s="20" t="n">
        <v>18865</v>
      </c>
      <c r="J92" s="20" t="n">
        <v>9963</v>
      </c>
      <c r="K92" s="20" t="n">
        <v>16499</v>
      </c>
      <c r="L92" s="20" t="n">
        <v>12388</v>
      </c>
    </row>
    <row r="93">
      <c r="A93" s="18" t="inlineStr">
        <is>
          <t>기타유동부채</t>
        </is>
      </c>
      <c r="C93" s="20" t="n">
        <v>12233</v>
      </c>
      <c r="D93" s="20" t="n">
        <v>7501</v>
      </c>
      <c r="E93" s="20" t="n">
        <v>7856</v>
      </c>
      <c r="F93" s="20" t="n">
        <v>3766</v>
      </c>
      <c r="G93" s="20" t="n">
        <v>6263</v>
      </c>
      <c r="H93" s="20" t="n">
        <v>6258</v>
      </c>
      <c r="I93" s="20" t="n">
        <v>7182</v>
      </c>
      <c r="J93" s="20" t="n">
        <v>12057</v>
      </c>
      <c r="K93" s="20" t="n">
        <v>11405</v>
      </c>
      <c r="L93" s="20" t="n">
        <v>3766</v>
      </c>
    </row>
    <row r="94">
      <c r="A94" s="18" t="inlineStr">
        <is>
          <t>소계</t>
        </is>
      </c>
      <c r="C94" s="20" t="n">
        <v>464569</v>
      </c>
      <c r="D94" s="20" t="n">
        <v>456536</v>
      </c>
      <c r="E94" s="20" t="n">
        <v>490523</v>
      </c>
      <c r="F94" s="20" t="n">
        <v>454642</v>
      </c>
      <c r="G94" s="20" t="n">
        <v>456956</v>
      </c>
      <c r="H94" s="20" t="n">
        <v>432732</v>
      </c>
      <c r="I94" s="20" t="n">
        <v>427755</v>
      </c>
      <c r="J94" s="20" t="n">
        <v>482220</v>
      </c>
      <c r="K94" s="20" t="n">
        <v>474752</v>
      </c>
      <c r="L94" s="20" t="n">
        <v>454642</v>
      </c>
    </row>
    <row r="95">
      <c r="A95" s="18" t="inlineStr">
        <is>
          <t>매각예정 자산 직접 관련 부채</t>
        </is>
      </c>
      <c r="C95" s="20" t="n">
        <v>8974</v>
      </c>
      <c r="D95" s="20" t="n">
        <v>0</v>
      </c>
      <c r="E95" s="20" t="n">
        <v>0</v>
      </c>
      <c r="F95" s="20" t="n">
        <v>52385</v>
      </c>
      <c r="G95" s="20" t="n">
        <v>50468</v>
      </c>
      <c r="H95" s="20" t="n">
        <v>2047</v>
      </c>
      <c r="I95" s="20" t="n">
        <v>0</v>
      </c>
      <c r="J95" s="20" t="n">
        <v>0</v>
      </c>
      <c r="K95" s="20" t="n">
        <v>7497</v>
      </c>
      <c r="L95" s="20" t="n">
        <v>52385</v>
      </c>
    </row>
    <row r="96">
      <c r="A96" s="18" t="inlineStr">
        <is>
          <t>유동부채 합계</t>
        </is>
      </c>
      <c r="C96" s="20" t="n">
        <v>473544</v>
      </c>
      <c r="D96" s="20" t="n">
        <v>456536</v>
      </c>
      <c r="E96" s="20" t="n">
        <v>490523</v>
      </c>
      <c r="F96" s="20" t="n">
        <v>507028</v>
      </c>
      <c r="G96" s="20" t="n">
        <v>507425</v>
      </c>
      <c r="H96" s="20" t="n">
        <v>434779</v>
      </c>
      <c r="I96" s="20" t="n">
        <v>427755</v>
      </c>
      <c r="J96" s="20" t="n">
        <v>482220</v>
      </c>
      <c r="K96" s="20" t="n">
        <v>482250</v>
      </c>
      <c r="L96" s="20" t="n">
        <v>507028</v>
      </c>
    </row>
    <row r="97">
      <c r="A97" s="18" t="inlineStr">
        <is>
          <t>사채 및 차입금</t>
        </is>
      </c>
      <c r="C97" s="20" t="n">
        <v>196194</v>
      </c>
      <c r="D97" s="20" t="n">
        <v>192647</v>
      </c>
      <c r="E97" s="20" t="n">
        <v>151396</v>
      </c>
      <c r="F97" s="20" t="n">
        <v>146404</v>
      </c>
      <c r="G97" s="20" t="n">
        <v>147476</v>
      </c>
      <c r="H97" s="20" t="n">
        <v>176012</v>
      </c>
      <c r="I97" s="20" t="n">
        <v>207640</v>
      </c>
      <c r="J97" s="20" t="n">
        <v>180820</v>
      </c>
      <c r="K97" s="20" t="n">
        <v>186123</v>
      </c>
      <c r="L97" s="20" t="n">
        <v>146404</v>
      </c>
    </row>
    <row r="98">
      <c r="A98" s="18" t="inlineStr">
        <is>
          <t>기타금융부채</t>
        </is>
      </c>
      <c r="C98" s="20" t="n">
        <v>12372</v>
      </c>
      <c r="D98" s="20" t="n">
        <v>14803</v>
      </c>
      <c r="E98" s="20" t="n">
        <v>19713</v>
      </c>
      <c r="F98" s="20" t="n">
        <v>20026</v>
      </c>
      <c r="G98" s="20" t="n">
        <v>21289</v>
      </c>
      <c r="H98" s="20" t="n">
        <v>7657</v>
      </c>
      <c r="I98" s="20" t="n">
        <v>8308</v>
      </c>
      <c r="J98" s="20" t="n">
        <v>13184</v>
      </c>
      <c r="K98" s="20" t="n">
        <v>13635</v>
      </c>
      <c r="L98" s="20" t="n">
        <v>20026</v>
      </c>
    </row>
    <row r="99">
      <c r="A99" s="18" t="inlineStr">
        <is>
          <t>퇴직급여부채</t>
        </is>
      </c>
      <c r="C99" s="20" t="n">
        <v>61189</v>
      </c>
      <c r="D99" s="20" t="n">
        <v>62013</v>
      </c>
      <c r="E99" s="20" t="n">
        <v>63390</v>
      </c>
      <c r="F99" s="20" t="n">
        <v>54356</v>
      </c>
      <c r="G99" s="20" t="n">
        <v>54946</v>
      </c>
      <c r="H99" s="20" t="n">
        <v>75110</v>
      </c>
      <c r="I99" s="20" t="n">
        <v>70556</v>
      </c>
      <c r="J99" s="20" t="n">
        <v>71044</v>
      </c>
      <c r="K99" s="20" t="n">
        <v>60779</v>
      </c>
      <c r="L99" s="20" t="n">
        <v>54356</v>
      </c>
    </row>
    <row r="100">
      <c r="A100" s="18" t="inlineStr">
        <is>
          <t>충당금</t>
        </is>
      </c>
      <c r="C100" s="20" t="n">
        <v>89</v>
      </c>
      <c r="D100" s="20" t="n">
        <v>91</v>
      </c>
      <c r="E100" s="20" t="n">
        <v>93</v>
      </c>
      <c r="F100" s="20" t="n">
        <v>129</v>
      </c>
      <c r="G100" s="20" t="n">
        <v>2019</v>
      </c>
      <c r="H100" s="20" t="n">
        <v>228</v>
      </c>
      <c r="I100" s="20" t="n">
        <v>119</v>
      </c>
      <c r="J100" s="20" t="n">
        <v>159</v>
      </c>
      <c r="K100" s="20" t="n">
        <v>89</v>
      </c>
      <c r="L100" s="20" t="n">
        <v>129</v>
      </c>
    </row>
    <row r="101">
      <c r="A101" s="18" t="inlineStr">
        <is>
          <t>이연법인세부채</t>
        </is>
      </c>
      <c r="C101" s="20" t="n">
        <v>29349</v>
      </c>
      <c r="D101" s="20" t="n">
        <v>34117</v>
      </c>
      <c r="E101" s="20" t="n">
        <v>41660</v>
      </c>
      <c r="F101" s="20" t="n">
        <v>17050</v>
      </c>
      <c r="G101" s="20" t="n">
        <v>18279</v>
      </c>
      <c r="H101" s="20" t="n">
        <v>24432</v>
      </c>
      <c r="I101" s="20" t="n">
        <v>18410</v>
      </c>
      <c r="J101" s="20" t="n">
        <v>49691</v>
      </c>
      <c r="K101" s="20" t="n">
        <v>36493</v>
      </c>
      <c r="L101" s="20" t="n">
        <v>17050</v>
      </c>
    </row>
    <row r="102">
      <c r="A102" s="18" t="inlineStr">
        <is>
          <t>기타비유동부채</t>
        </is>
      </c>
      <c r="C102" s="20" t="n">
        <v>8211</v>
      </c>
      <c r="D102" s="20" t="n">
        <v>8279</v>
      </c>
      <c r="E102" s="20" t="n">
        <v>8455</v>
      </c>
      <c r="F102" s="20" t="n">
        <v>7469</v>
      </c>
      <c r="G102" s="20" t="n">
        <v>7336</v>
      </c>
      <c r="H102" s="20" t="n">
        <v>7827</v>
      </c>
      <c r="I102" s="20" t="n">
        <v>7827</v>
      </c>
      <c r="J102" s="20" t="n">
        <v>8621</v>
      </c>
      <c r="K102" s="20" t="n">
        <v>8550</v>
      </c>
      <c r="L102" s="20" t="n">
        <v>7469</v>
      </c>
    </row>
    <row r="103">
      <c r="A103" s="18" t="inlineStr">
        <is>
          <t>비유동부채 합계</t>
        </is>
      </c>
      <c r="C103" s="20" t="n">
        <v>307406</v>
      </c>
      <c r="D103" s="20" t="n">
        <v>311952</v>
      </c>
      <c r="E103" s="20" t="n">
        <v>284709</v>
      </c>
      <c r="F103" s="20" t="n">
        <v>245437</v>
      </c>
      <c r="G103" s="20" t="n">
        <v>251347</v>
      </c>
      <c r="H103" s="20" t="n">
        <v>291268</v>
      </c>
      <c r="I103" s="20" t="n">
        <v>312864</v>
      </c>
      <c r="J103" s="20" t="n">
        <v>323522</v>
      </c>
      <c r="K103" s="20" t="n">
        <v>305672</v>
      </c>
      <c r="L103" s="20" t="n">
        <v>245437</v>
      </c>
    </row>
    <row r="104">
      <c r="A104" s="18" t="inlineStr">
        <is>
          <t>부채 합계</t>
        </is>
      </c>
      <c r="C104" s="20" t="n">
        <v>780951</v>
      </c>
      <c r="D104" s="20" t="n">
        <v>768489</v>
      </c>
      <c r="E104" s="20" t="n">
        <v>775233</v>
      </c>
      <c r="F104" s="20" t="n">
        <v>752465</v>
      </c>
      <c r="G104" s="20" t="n">
        <v>758772</v>
      </c>
      <c r="H104" s="20" t="n">
        <v>726048</v>
      </c>
      <c r="I104" s="20" t="n">
        <v>740619</v>
      </c>
      <c r="J104" s="20" t="n">
        <v>805743</v>
      </c>
      <c r="K104" s="20" t="n">
        <v>787922</v>
      </c>
      <c r="L104" s="20" t="n">
        <v>752465</v>
      </c>
    </row>
    <row r="105">
      <c r="A105" s="18" t="inlineStr">
        <is>
          <t>자본금</t>
        </is>
      </c>
      <c r="C105" s="20" t="n">
        <v>45591</v>
      </c>
      <c r="D105" s="20" t="n">
        <v>45591</v>
      </c>
      <c r="E105" s="20" t="n">
        <v>45591</v>
      </c>
      <c r="F105" s="20" t="n">
        <v>45591</v>
      </c>
      <c r="G105" s="20" t="n">
        <v>45591</v>
      </c>
      <c r="H105" s="20" t="n">
        <v>45591</v>
      </c>
      <c r="I105" s="20" t="n">
        <v>45591</v>
      </c>
      <c r="J105" s="20" t="n">
        <v>45591</v>
      </c>
      <c r="K105" s="20" t="n">
        <v>45591</v>
      </c>
      <c r="L105" s="20" t="n">
        <v>45591</v>
      </c>
    </row>
    <row r="106">
      <c r="A106" s="18" t="inlineStr">
        <is>
          <t>자본잉여금</t>
        </is>
      </c>
      <c r="C106" s="20" t="n">
        <v>101056</v>
      </c>
      <c r="D106" s="20" t="n">
        <v>101056</v>
      </c>
      <c r="E106" s="20" t="n">
        <v>101056</v>
      </c>
      <c r="F106" s="20" t="n">
        <v>101056</v>
      </c>
      <c r="G106" s="20" t="n">
        <v>101067</v>
      </c>
      <c r="H106" s="20" t="n">
        <v>107638</v>
      </c>
      <c r="I106" s="20" t="n">
        <v>107103</v>
      </c>
      <c r="J106" s="20" t="n">
        <v>102534</v>
      </c>
      <c r="K106" s="20" t="n">
        <v>101058</v>
      </c>
      <c r="L106" s="20" t="n">
        <v>101056</v>
      </c>
    </row>
    <row r="107">
      <c r="A107" s="18" t="inlineStr">
        <is>
          <t>자기주식</t>
        </is>
      </c>
      <c r="C107" s="20" t="n">
        <v>-314</v>
      </c>
      <c r="D107" s="20" t="n">
        <v>-315</v>
      </c>
      <c r="E107" s="20" t="n">
        <v>-315</v>
      </c>
      <c r="F107" s="20" t="n">
        <v>-316</v>
      </c>
      <c r="G107" s="20" t="n">
        <v>-303</v>
      </c>
      <c r="H107" s="20" t="n">
        <v>-430</v>
      </c>
      <c r="I107" s="20" t="n">
        <v>-416</v>
      </c>
      <c r="J107" s="20" t="n">
        <v>-396</v>
      </c>
      <c r="K107" s="20" t="n">
        <v>-330</v>
      </c>
      <c r="L107" s="20" t="n">
        <v>-316</v>
      </c>
    </row>
    <row r="108">
      <c r="A108" s="18" t="inlineStr">
        <is>
          <t>기타자본구성요소</t>
        </is>
      </c>
      <c r="C108" s="20" t="n">
        <v>62751</v>
      </c>
      <c r="D108" s="20" t="n">
        <v>70941</v>
      </c>
      <c r="E108" s="20" t="n">
        <v>91586</v>
      </c>
      <c r="F108" s="20" t="n">
        <v>97287</v>
      </c>
      <c r="G108" s="20" t="n">
        <v>104584</v>
      </c>
      <c r="H108" s="20" t="n">
        <v>27253</v>
      </c>
      <c r="I108" s="20" t="n">
        <v>39177</v>
      </c>
      <c r="J108" s="20" t="n">
        <v>72791</v>
      </c>
      <c r="K108" s="20" t="n">
        <v>67991</v>
      </c>
      <c r="L108" s="20" t="n">
        <v>97287</v>
      </c>
    </row>
    <row r="109">
      <c r="A109" s="18" t="inlineStr">
        <is>
          <t>이익잉여금</t>
        </is>
      </c>
      <c r="C109" s="20" t="n">
        <v>519984</v>
      </c>
      <c r="D109" s="20" t="n">
        <v>531798</v>
      </c>
      <c r="E109" s="20" t="n">
        <v>539533</v>
      </c>
      <c r="F109" s="20" t="n">
        <v>546587</v>
      </c>
      <c r="G109" s="20" t="n">
        <v>558436</v>
      </c>
      <c r="H109" s="20" t="n">
        <v>443960</v>
      </c>
      <c r="I109" s="20" t="n">
        <v>475777</v>
      </c>
      <c r="J109" s="20" t="n">
        <v>568463</v>
      </c>
      <c r="K109" s="20" t="n">
        <v>530733</v>
      </c>
      <c r="L109" s="20" t="n">
        <v>546587</v>
      </c>
    </row>
    <row r="110">
      <c r="A110" s="18" t="inlineStr">
        <is>
          <t>지배기업 소유주 귀속 지분 합계</t>
        </is>
      </c>
      <c r="C110" s="20" t="n">
        <v>729069</v>
      </c>
      <c r="D110" s="20" t="n">
        <v>749072</v>
      </c>
      <c r="E110" s="20" t="n">
        <v>777452</v>
      </c>
      <c r="F110" s="20" t="n">
        <v>790206</v>
      </c>
      <c r="G110" s="20" t="n">
        <v>809376</v>
      </c>
      <c r="H110" s="20" t="n">
        <v>624012</v>
      </c>
      <c r="I110" s="20" t="n">
        <v>667234</v>
      </c>
      <c r="J110" s="20" t="n">
        <v>788984</v>
      </c>
      <c r="K110" s="20" t="n">
        <v>745044</v>
      </c>
      <c r="L110" s="20" t="n">
        <v>790206</v>
      </c>
    </row>
    <row r="111">
      <c r="A111" s="18" t="inlineStr">
        <is>
          <t>비지배지분</t>
        </is>
      </c>
      <c r="C111" s="20" t="n">
        <v>31729</v>
      </c>
      <c r="D111" s="20" t="n">
        <v>32282</v>
      </c>
      <c r="E111" s="20" t="n">
        <v>34127</v>
      </c>
      <c r="F111" s="20" t="n">
        <v>35024</v>
      </c>
      <c r="G111" s="20" t="n">
        <v>36049</v>
      </c>
      <c r="H111" s="20" t="n">
        <v>36402</v>
      </c>
      <c r="I111" s="20" t="n">
        <v>33501</v>
      </c>
      <c r="J111" s="20" t="n">
        <v>33786</v>
      </c>
      <c r="K111" s="20" t="n">
        <v>32425</v>
      </c>
      <c r="L111" s="20" t="n">
        <v>35024</v>
      </c>
    </row>
    <row r="112">
      <c r="A112" s="18" t="inlineStr">
        <is>
          <t>자본 합계</t>
        </is>
      </c>
      <c r="C112" s="20" t="n">
        <v>760798</v>
      </c>
      <c r="D112" s="20" t="n">
        <v>781355</v>
      </c>
      <c r="E112" s="20" t="n">
        <v>811579</v>
      </c>
      <c r="F112" s="20" t="n">
        <v>825230</v>
      </c>
      <c r="G112" s="20" t="n">
        <v>845426</v>
      </c>
      <c r="H112" s="20" t="n">
        <v>660415</v>
      </c>
      <c r="I112" s="20" t="n">
        <v>700735</v>
      </c>
      <c r="J112" s="20" t="n">
        <v>822770</v>
      </c>
      <c r="K112" s="20" t="n">
        <v>777469</v>
      </c>
      <c r="L112" s="20" t="n">
        <v>825230</v>
      </c>
    </row>
    <row r="113">
      <c r="A113" s="18" t="inlineStr">
        <is>
          <t>부채및자본 합계</t>
        </is>
      </c>
      <c r="C113" s="20" t="n">
        <v>1541750</v>
      </c>
      <c r="D113" s="20" t="n">
        <v>1549844</v>
      </c>
      <c r="E113" s="20" t="n">
        <v>1586812</v>
      </c>
      <c r="F113" s="20" t="n">
        <v>1577696</v>
      </c>
      <c r="G113" s="20" t="n">
        <v>1604198</v>
      </c>
      <c r="H113" s="20" t="n">
        <v>1386463</v>
      </c>
      <c r="I113" s="20" t="n">
        <v>1441355</v>
      </c>
      <c r="J113" s="20" t="n">
        <v>1628514</v>
      </c>
      <c r="K113" s="20" t="n">
        <v>1565391</v>
      </c>
      <c r="L113" s="20" t="n">
        <v>1577696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1분기 결산단신</t>
        </is>
      </c>
      <c r="C4" t="inlineStr">
        <is>
          <t>https://www2.jpx.co.jp/disc/64730/140120260730503676.pdf</t>
        </is>
      </c>
    </row>
    <row r="5">
      <c r="A5" t="inlineStr">
        <is>
          <t>2026-04-28</t>
        </is>
      </c>
      <c r="B5" t="inlineStr">
        <is>
          <t>2026년 3월 결산기 연간 결산단신</t>
        </is>
      </c>
      <c r="C5" t="inlineStr">
        <is>
          <t>https://www2.jpx.co.jp/disc/64730/140120260427512118.pdf</t>
        </is>
      </c>
    </row>
    <row r="6">
      <c r="A6" t="inlineStr">
        <is>
          <t>2026-02-03</t>
        </is>
      </c>
      <c r="B6" t="inlineStr">
        <is>
          <t>2026년 3월 결산기 3분기 결산단신</t>
        </is>
      </c>
      <c r="C6" t="inlineStr">
        <is>
          <t>https://www2.jpx.co.jp/disc/64730/140120260202545040.pdf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https://www2.jpx.co.jp/disc/64730/140120251030582298.pdf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https://www2.jpx.co.jp/disc/64730/140120250730524278.pdf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https://www2.jpx.co.jp/disc/64730/140120250424523179.pdf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https://www2.jpx.co.jp/disc/64730/140120250130558698.pdf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https://www2.jpx.co.jp/disc/64730/140120241030506040.pdf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https://www2.jpx.co.jp/disc/64730/140120240730557910.pdf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https://www2.jpx.co.jp/disc/64730/140120240425577351.pdf</t>
        </is>
      </c>
    </row>
    <row r="14">
      <c r="A14" t="inlineStr">
        <is>
          <t>2024-02-02</t>
        </is>
      </c>
      <c r="B14" t="inlineStr">
        <is>
          <t>2024년 3월 결산기 3분기 결산단신</t>
        </is>
      </c>
      <c r="C14" t="inlineStr">
        <is>
          <t>https://www2.jpx.co.jp/disc/64730/140120240130521942.pdf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https://www2.jpx.co.jp/disc/64730/140120231018568435.pdf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https://www2.jpx.co.jp/disc/64730/140120230727527888.pdf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https://www2.jpx.co.jp/disc/64730/140120230426553796.pdf</t>
        </is>
      </c>
    </row>
    <row r="18">
      <c r="A18" t="inlineStr">
        <is>
          <t>2023-02-03</t>
        </is>
      </c>
      <c r="B18" t="inlineStr">
        <is>
          <t>2023년 3월 결산기 3분기 결산단신</t>
        </is>
      </c>
      <c r="C18" t="inlineStr">
        <is>
          <t>https://www2.jpx.co.jp/disc/64730/140120230201598422.pdf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https://www2.jpx.co.jp/disc/64730/140120221026549414.pdf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https://www2.jpx.co.jp/disc/64730/140120220426527651.pdf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https://www2.jpx.co.jp/disc/64730/140120210427401785.pdf</t>
        </is>
      </c>
    </row>
    <row r="22">
      <c r="A22" t="inlineStr">
        <is>
          <t>2020-06-25</t>
        </is>
      </c>
      <c r="B22" t="inlineStr">
        <is>
          <t>2020년 3월 결산기 연간 결산단신</t>
        </is>
      </c>
      <c r="C22" t="inlineStr">
        <is>
          <t>https://www2.jpx.co.jp/disc/64730/140120200623449767.pdf</t>
        </is>
      </c>
    </row>
    <row r="23">
      <c r="A23" t="inlineStr">
        <is>
          <t>2020-04-30</t>
        </is>
      </c>
      <c r="B23" t="inlineStr">
        <is>
          <t>2020년 3월 결산기 연간 결산단신</t>
        </is>
      </c>
      <c r="C23" t="inlineStr">
        <is>
          <t>https://www2.jpx.co.jp/disc/64730/140120200430402290.pdf</t>
        </is>
      </c>
    </row>
    <row r="24">
      <c r="A24" t="inlineStr">
        <is>
          <t>2019-04-26</t>
        </is>
      </c>
      <c r="B24" t="inlineStr">
        <is>
          <t>2019년 3월 결산기 연간 결산단신</t>
        </is>
      </c>
      <c r="C24" t="inlineStr">
        <is>
          <t>https://www2.jpx.co.jp/disc/64730/140120190425412062.pdf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2026-10-28T07:04:18Z</dcterms:created>
  <dcterms:modified xmlns:dcterms="http://purl.org/dc/terms/" xmlns:xsi="http://www.w3.org/2001/XMLSchema-instance" xsi:type="dcterms:W3CDTF">2026-10-28T07:04:19Z</dcterms:modified>
</cp:coreProperties>
</file>