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크래프티아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114450</v>
      </c>
      <c r="D4" s="12" t="n">
        <v>153990</v>
      </c>
      <c r="E4" s="12" t="n">
        <v>107205</v>
      </c>
      <c r="F4" s="12" t="n">
        <v>112098</v>
      </c>
      <c r="G4" s="12" t="n">
        <v>109771</v>
      </c>
      <c r="H4" s="12" t="n">
        <v>144880</v>
      </c>
      <c r="I4" s="12" t="n">
        <v>100568</v>
      </c>
      <c r="J4" s="12" t="n">
        <v>107157</v>
      </c>
      <c r="K4" s="12" t="n">
        <v>111528</v>
      </c>
      <c r="L4" s="12" t="n">
        <v>156870</v>
      </c>
      <c r="M4" s="12" t="n">
        <v>98696</v>
      </c>
      <c r="N4" s="12" t="n">
        <v>119848</v>
      </c>
      <c r="O4" s="11" t="n">
        <v>309796</v>
      </c>
      <c r="P4" s="12" t="n">
        <v>326138</v>
      </c>
      <c r="Q4" s="12" t="n">
        <v>408143</v>
      </c>
      <c r="R4" s="12" t="n">
        <v>428939</v>
      </c>
      <c r="S4" s="12" t="n">
        <v>391901</v>
      </c>
      <c r="T4" s="12" t="n">
        <v>376563</v>
      </c>
      <c r="U4" s="12" t="n">
        <v>395783</v>
      </c>
      <c r="V4" s="12" t="n">
        <v>469057</v>
      </c>
      <c r="W4" s="12" t="n">
        <v>473954</v>
      </c>
      <c r="X4" s="12" t="n">
        <v>476123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EquipmentInstallationReportableSegmentsMember</t>
        </is>
      </c>
      <c r="B7" s="10" t="n"/>
      <c r="C7" s="19" t="n"/>
      <c r="D7" s="20" t="n">
        <v>148651</v>
      </c>
      <c r="E7" s="20" t="n">
        <v>102703</v>
      </c>
      <c r="F7" s="20" t="n"/>
      <c r="G7" s="20" t="n"/>
      <c r="H7" s="20" t="n">
        <v>138981</v>
      </c>
      <c r="I7" s="20" t="n">
        <v>96578</v>
      </c>
      <c r="J7" s="20" t="n"/>
      <c r="K7" s="20" t="n"/>
      <c r="L7" s="20" t="n">
        <v>151505</v>
      </c>
      <c r="M7" s="20" t="n">
        <v>94358</v>
      </c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452623</v>
      </c>
      <c r="W7" s="20" t="n">
        <v>454373</v>
      </c>
      <c r="X7" s="20" t="n">
        <v>457524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기타</t>
        </is>
      </c>
      <c r="B10" s="10" t="n"/>
      <c r="C10" s="19" t="n"/>
      <c r="D10" s="20" t="n">
        <v>5338</v>
      </c>
      <c r="E10" s="20" t="n">
        <v>4501</v>
      </c>
      <c r="F10" s="20" t="n"/>
      <c r="G10" s="20" t="n"/>
      <c r="H10" s="20" t="n">
        <v>5898</v>
      </c>
      <c r="I10" s="20" t="n">
        <v>3990</v>
      </c>
      <c r="J10" s="20" t="n"/>
      <c r="K10" s="20" t="n"/>
      <c r="L10" s="20" t="n">
        <v>5364</v>
      </c>
      <c r="M10" s="20" t="n">
        <v>4337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16433</v>
      </c>
      <c r="W10" s="20" t="n">
        <v>19580</v>
      </c>
      <c r="X10" s="20" t="n">
        <v>18598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EntityTotalMember</t>
        </is>
      </c>
      <c r="B13" s="10" t="n"/>
      <c r="C13" s="19" t="n"/>
      <c r="D13" s="20" t="n"/>
      <c r="E13" s="20" t="n">
        <v>107205</v>
      </c>
      <c r="F13" s="20" t="n"/>
      <c r="G13" s="20" t="n"/>
      <c r="H13" s="20" t="n"/>
      <c r="I13" s="20" t="n">
        <v>100568</v>
      </c>
      <c r="J13" s="20" t="n"/>
      <c r="K13" s="20" t="n"/>
      <c r="L13" s="20" t="n"/>
      <c r="M13" s="20" t="n">
        <v>98696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98446</v>
      </c>
      <c r="D17" s="20" t="n">
        <v>132221</v>
      </c>
      <c r="E17" s="20" t="n">
        <v>89719</v>
      </c>
      <c r="F17" s="20" t="n">
        <v>96933</v>
      </c>
      <c r="G17" s="20" t="n">
        <v>91400</v>
      </c>
      <c r="H17" s="20" t="n">
        <v>125201</v>
      </c>
      <c r="I17" s="20" t="n">
        <v>81339</v>
      </c>
      <c r="J17" s="20" t="n">
        <v>87559</v>
      </c>
      <c r="K17" s="20" t="n">
        <v>89904</v>
      </c>
      <c r="L17" s="20" t="n">
        <v>130247</v>
      </c>
      <c r="M17" s="20" t="n">
        <v>79447</v>
      </c>
      <c r="N17" s="20" t="n">
        <v>93539</v>
      </c>
      <c r="O17" s="19" t="n">
        <v>266018</v>
      </c>
      <c r="P17" s="20" t="n">
        <v>279498</v>
      </c>
      <c r="Q17" s="20" t="n">
        <v>347582</v>
      </c>
      <c r="R17" s="20" t="n">
        <v>368845</v>
      </c>
      <c r="S17" s="20" t="n">
        <v>335269</v>
      </c>
      <c r="T17" s="20" t="n">
        <v>319201</v>
      </c>
      <c r="U17" s="20" t="n">
        <v>337894</v>
      </c>
      <c r="V17" s="20" t="n">
        <v>404424</v>
      </c>
      <c r="W17" s="20" t="n">
        <v>403253</v>
      </c>
      <c r="X17" s="20" t="n">
        <v>389049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6472</v>
      </c>
      <c r="D23" s="20" t="n">
        <v>6976</v>
      </c>
      <c r="E23" s="20" t="n">
        <v>7222</v>
      </c>
      <c r="F23" s="20" t="n">
        <v>7174</v>
      </c>
      <c r="G23" s="20" t="n">
        <v>7155</v>
      </c>
      <c r="H23" s="20" t="n">
        <v>7762</v>
      </c>
      <c r="I23" s="20" t="n">
        <v>8130</v>
      </c>
      <c r="J23" s="20" t="n">
        <v>7891</v>
      </c>
      <c r="K23" s="20" t="n">
        <v>7986</v>
      </c>
      <c r="L23" s="20" t="n">
        <v>8466</v>
      </c>
      <c r="M23" s="20" t="n">
        <v>8517</v>
      </c>
      <c r="N23" s="20" t="n">
        <v>8387</v>
      </c>
      <c r="O23" s="19" t="n">
        <v>16215</v>
      </c>
      <c r="P23" s="20" t="n">
        <v>16195</v>
      </c>
      <c r="Q23" s="20" t="n">
        <v>23813</v>
      </c>
      <c r="R23" s="20" t="n">
        <v>24071</v>
      </c>
      <c r="S23" s="20" t="n">
        <v>23633</v>
      </c>
      <c r="T23" s="20" t="n">
        <v>24224</v>
      </c>
      <c r="U23" s="20" t="n">
        <v>25806</v>
      </c>
      <c r="V23" s="20" t="n">
        <v>26615</v>
      </c>
      <c r="W23" s="20" t="n">
        <v>29313</v>
      </c>
      <c r="X23" s="20" t="n">
        <v>32473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9533</v>
      </c>
      <c r="D25" s="12" t="n">
        <v>14791</v>
      </c>
      <c r="E25" s="12" t="n">
        <v>10263</v>
      </c>
      <c r="F25" s="12" t="n">
        <v>7991</v>
      </c>
      <c r="G25" s="12" t="n">
        <v>11216</v>
      </c>
      <c r="H25" s="12" t="n">
        <v>11918</v>
      </c>
      <c r="I25" s="12" t="n">
        <v>11098</v>
      </c>
      <c r="J25" s="12" t="n">
        <v>11706</v>
      </c>
      <c r="K25" s="12" t="n">
        <v>13640</v>
      </c>
      <c r="L25" s="12" t="n">
        <v>18156</v>
      </c>
      <c r="M25" s="12" t="n">
        <v>10731</v>
      </c>
      <c r="N25" s="12" t="n">
        <v>17921</v>
      </c>
      <c r="O25" s="11" t="n">
        <v>27562</v>
      </c>
      <c r="P25" s="12" t="n">
        <v>30445</v>
      </c>
      <c r="Q25" s="12" t="n">
        <v>36747</v>
      </c>
      <c r="R25" s="12" t="n">
        <v>36022</v>
      </c>
      <c r="S25" s="12" t="n">
        <v>32998</v>
      </c>
      <c r="T25" s="12" t="n">
        <v>33137</v>
      </c>
      <c r="U25" s="12" t="n">
        <v>32083</v>
      </c>
      <c r="V25" s="12" t="n">
        <v>38016</v>
      </c>
      <c r="W25" s="12" t="n">
        <v>41388</v>
      </c>
      <c r="X25" s="12" t="n">
        <v>54600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>
        <v>715</v>
      </c>
      <c r="P32" s="20" t="n">
        <v>757</v>
      </c>
      <c r="Q32" s="20" t="n">
        <v>721</v>
      </c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14</v>
      </c>
      <c r="D41" s="20" t="n">
        <v>2493</v>
      </c>
      <c r="E41" s="20" t="n">
        <v>292</v>
      </c>
      <c r="F41" s="20" t="n">
        <v>115</v>
      </c>
      <c r="G41" s="20" t="n">
        <v>329</v>
      </c>
      <c r="H41" s="20" t="n">
        <v>406</v>
      </c>
      <c r="I41" s="20" t="n">
        <v>33</v>
      </c>
      <c r="J41" s="20" t="n">
        <v>54</v>
      </c>
      <c r="K41" s="20" t="n">
        <v>970</v>
      </c>
      <c r="L41" s="20" t="n">
        <v>3</v>
      </c>
      <c r="M41" s="20" t="n">
        <v>308</v>
      </c>
      <c r="N41" s="20" t="n">
        <v>27</v>
      </c>
      <c r="O41" s="19" t="n">
        <v>72</v>
      </c>
      <c r="P41" s="20" t="n">
        <v>723</v>
      </c>
      <c r="Q41" s="20" t="n">
        <v>104</v>
      </c>
      <c r="R41" s="20" t="n">
        <v>247</v>
      </c>
      <c r="S41" s="20" t="n">
        <v>1350</v>
      </c>
      <c r="T41" s="20" t="n">
        <v>816</v>
      </c>
      <c r="U41" s="20" t="n">
        <v>4558</v>
      </c>
      <c r="V41" s="20" t="n">
        <v>2706</v>
      </c>
      <c r="W41" s="20" t="n">
        <v>1142</v>
      </c>
      <c r="X41" s="20" t="n">
        <v>1060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208</v>
      </c>
      <c r="D43" s="20" t="n">
        <v>3174</v>
      </c>
      <c r="E43" s="20" t="n">
        <v>5</v>
      </c>
      <c r="F43" s="20" t="n">
        <v>157</v>
      </c>
      <c r="G43" s="20" t="n">
        <v>494</v>
      </c>
      <c r="H43" s="20" t="n">
        <v>627</v>
      </c>
      <c r="I43" s="20" t="n">
        <v>15</v>
      </c>
      <c r="J43" s="20" t="n">
        <v>1383</v>
      </c>
      <c r="K43" s="20" t="n">
        <v>145</v>
      </c>
      <c r="L43" s="20" t="n">
        <v>545</v>
      </c>
      <c r="M43" s="20" t="n">
        <v>124</v>
      </c>
      <c r="N43" s="20" t="n">
        <v>476</v>
      </c>
      <c r="O43" s="19" t="n">
        <v>214</v>
      </c>
      <c r="P43" s="20" t="n">
        <v>362</v>
      </c>
      <c r="Q43" s="20" t="n">
        <v>768</v>
      </c>
      <c r="R43" s="20" t="n">
        <v>467</v>
      </c>
      <c r="S43" s="20" t="n">
        <v>472</v>
      </c>
      <c r="T43" s="20" t="n">
        <v>811</v>
      </c>
      <c r="U43" s="20" t="n">
        <v>1227</v>
      </c>
      <c r="V43" s="20" t="n">
        <v>3910</v>
      </c>
      <c r="W43" s="20" t="n">
        <v>1283</v>
      </c>
      <c r="X43" s="20" t="n">
        <v>2088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1110</v>
      </c>
      <c r="D45" s="20" t="n">
        <v>1618</v>
      </c>
      <c r="E45" s="20" t="n">
        <v>1124</v>
      </c>
      <c r="F45" s="20" t="n">
        <v>1100</v>
      </c>
      <c r="G45" s="20" t="n">
        <v>1028</v>
      </c>
      <c r="H45" s="20" t="n">
        <v>1103</v>
      </c>
      <c r="I45" s="20" t="n">
        <v>817</v>
      </c>
      <c r="J45" s="20" t="n">
        <v>928</v>
      </c>
      <c r="K45" s="20" t="n">
        <v>1508</v>
      </c>
      <c r="L45" s="20" t="n">
        <v>1566</v>
      </c>
      <c r="M45" s="20" t="n">
        <v>1725</v>
      </c>
      <c r="N45" s="20" t="n">
        <v>1545</v>
      </c>
      <c r="O45" s="19" t="n">
        <v>2583</v>
      </c>
      <c r="P45" s="20" t="n">
        <v>3738</v>
      </c>
      <c r="Q45" s="20" t="n">
        <v>3921</v>
      </c>
      <c r="R45" s="20" t="n">
        <v>3426</v>
      </c>
      <c r="S45" s="20" t="n">
        <v>3760</v>
      </c>
      <c r="T45" s="20" t="n">
        <v>4326</v>
      </c>
      <c r="U45" s="20" t="n">
        <v>4130</v>
      </c>
      <c r="V45" s="20" t="n">
        <v>5080</v>
      </c>
      <c r="W45" s="20" t="n">
        <v>4355</v>
      </c>
      <c r="X45" s="20" t="n">
        <v>4819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137</v>
      </c>
      <c r="D47" s="20" t="n">
        <v>318</v>
      </c>
      <c r="E47" s="20" t="n">
        <v>240</v>
      </c>
      <c r="F47" s="20" t="n">
        <v>342</v>
      </c>
      <c r="G47" s="20" t="n">
        <v>396</v>
      </c>
      <c r="H47" s="20" t="n">
        <v>331</v>
      </c>
      <c r="I47" s="20" t="n">
        <v>178</v>
      </c>
      <c r="J47" s="20" t="n">
        <v>193</v>
      </c>
      <c r="K47" s="20" t="n">
        <v>243</v>
      </c>
      <c r="L47" s="20" t="n">
        <v>649</v>
      </c>
      <c r="M47" s="20" t="n">
        <v>244</v>
      </c>
      <c r="N47" s="20" t="n">
        <v>366</v>
      </c>
      <c r="O47" s="19" t="n">
        <v>522</v>
      </c>
      <c r="P47" s="20" t="n">
        <v>665</v>
      </c>
      <c r="Q47" s="20" t="n">
        <v>744</v>
      </c>
      <c r="R47" s="20" t="n">
        <v>804</v>
      </c>
      <c r="S47" s="20" t="n">
        <v>853</v>
      </c>
      <c r="T47" s="20" t="n">
        <v>635</v>
      </c>
      <c r="U47" s="20" t="n">
        <v>750</v>
      </c>
      <c r="V47" s="20" t="n">
        <v>734</v>
      </c>
      <c r="W47" s="20" t="n">
        <v>1309</v>
      </c>
      <c r="X47" s="20" t="n">
        <v>1263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10311</v>
      </c>
      <c r="D49" s="12" t="n">
        <v>15410</v>
      </c>
      <c r="E49" s="12" t="n">
        <v>11434</v>
      </c>
      <c r="F49" s="12" t="n">
        <v>8706</v>
      </c>
      <c r="G49" s="12" t="n">
        <v>11684</v>
      </c>
      <c r="H49" s="12" t="n">
        <v>12469</v>
      </c>
      <c r="I49" s="12" t="n">
        <v>11755</v>
      </c>
      <c r="J49" s="12" t="n">
        <v>11112</v>
      </c>
      <c r="K49" s="12" t="n">
        <v>15730</v>
      </c>
      <c r="L49" s="12" t="n">
        <v>18532</v>
      </c>
      <c r="M49" s="12" t="n">
        <v>12396</v>
      </c>
      <c r="N49" s="12" t="n">
        <v>18651</v>
      </c>
      <c r="O49" s="11" t="n">
        <v>29481</v>
      </c>
      <c r="P49" s="12" t="n">
        <v>33878</v>
      </c>
      <c r="Q49" s="12" t="n">
        <v>39260</v>
      </c>
      <c r="R49" s="12" t="n">
        <v>38423</v>
      </c>
      <c r="S49" s="12" t="n">
        <v>36784</v>
      </c>
      <c r="T49" s="12" t="n">
        <v>36833</v>
      </c>
      <c r="U49" s="12" t="n">
        <v>38793</v>
      </c>
      <c r="V49" s="12" t="n">
        <v>41158</v>
      </c>
      <c r="W49" s="12" t="n">
        <v>44293</v>
      </c>
      <c r="X49" s="12" t="n">
        <v>57129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3370</v>
      </c>
      <c r="D51" s="20" t="n">
        <v>4312</v>
      </c>
      <c r="E51" s="20" t="n">
        <v>3653</v>
      </c>
      <c r="F51" s="20" t="n">
        <v>3279</v>
      </c>
      <c r="G51" s="20" t="n">
        <v>3980</v>
      </c>
      <c r="H51" s="20" t="n">
        <v>4325</v>
      </c>
      <c r="I51" s="20" t="n">
        <v>4003</v>
      </c>
      <c r="J51" s="20" t="n">
        <v>3856</v>
      </c>
      <c r="K51" s="20" t="n">
        <v>5100</v>
      </c>
      <c r="L51" s="20" t="n">
        <v>3867</v>
      </c>
      <c r="M51" s="20" t="n">
        <v>3949</v>
      </c>
      <c r="N51" s="20" t="n">
        <v>5793</v>
      </c>
      <c r="O51" s="19" t="n">
        <v>8665</v>
      </c>
      <c r="P51" s="20" t="n">
        <v>10017</v>
      </c>
      <c r="Q51" s="20" t="n">
        <v>12570</v>
      </c>
      <c r="R51" s="20" t="n">
        <v>12100</v>
      </c>
      <c r="S51" s="20" t="n">
        <v>11596</v>
      </c>
      <c r="T51" s="20" t="n">
        <v>10493</v>
      </c>
      <c r="U51" s="20" t="n">
        <v>12355</v>
      </c>
      <c r="V51" s="20" t="n">
        <v>12917</v>
      </c>
      <c r="W51" s="20" t="n">
        <v>15237</v>
      </c>
      <c r="X51" s="20" t="n">
        <v>16826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6942</v>
      </c>
      <c r="D53" s="12" t="n">
        <v>11097</v>
      </c>
      <c r="E53" s="12" t="n">
        <v>7780</v>
      </c>
      <c r="F53" s="12" t="n">
        <v>5427</v>
      </c>
      <c r="G53" s="12" t="n">
        <v>7705</v>
      </c>
      <c r="H53" s="12" t="n">
        <v>8144</v>
      </c>
      <c r="I53" s="12" t="n">
        <v>7752</v>
      </c>
      <c r="J53" s="12" t="n">
        <v>7255</v>
      </c>
      <c r="K53" s="12" t="n">
        <v>10631</v>
      </c>
      <c r="L53" s="12" t="n">
        <v>14664</v>
      </c>
      <c r="M53" s="12" t="n">
        <v>8447</v>
      </c>
      <c r="N53" s="12" t="n">
        <v>12858</v>
      </c>
      <c r="O53" s="11" t="n">
        <v>20815</v>
      </c>
      <c r="P53" s="12" t="n">
        <v>23861</v>
      </c>
      <c r="Q53" s="12" t="n">
        <v>26689</v>
      </c>
      <c r="R53" s="12" t="n">
        <v>26322</v>
      </c>
      <c r="S53" s="12" t="n">
        <v>25188</v>
      </c>
      <c r="T53" s="12" t="n">
        <v>26339</v>
      </c>
      <c r="U53" s="12" t="n">
        <v>26437</v>
      </c>
      <c r="V53" s="12" t="n">
        <v>28240</v>
      </c>
      <c r="W53" s="12" t="n">
        <v>29056</v>
      </c>
      <c r="X53" s="12" t="n">
        <v>40302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6890</v>
      </c>
      <c r="D55" s="12" t="n">
        <v>10967</v>
      </c>
      <c r="E55" s="12" t="n">
        <v>7758</v>
      </c>
      <c r="F55" s="12" t="n">
        <v>5410</v>
      </c>
      <c r="G55" s="12" t="n">
        <v>7657</v>
      </c>
      <c r="H55" s="12" t="n">
        <v>8058</v>
      </c>
      <c r="I55" s="12" t="n">
        <v>7719</v>
      </c>
      <c r="J55" s="12" t="n">
        <v>7218</v>
      </c>
      <c r="K55" s="12" t="n">
        <v>10527</v>
      </c>
      <c r="L55" s="12" t="n">
        <v>14589</v>
      </c>
      <c r="M55" s="12" t="n">
        <v>8415</v>
      </c>
      <c r="N55" s="12" t="n">
        <v>12929</v>
      </c>
      <c r="O55" s="11" t="n">
        <v>22297</v>
      </c>
      <c r="P55" s="12" t="n">
        <v>25296</v>
      </c>
      <c r="Q55" s="12" t="n">
        <v>26691</v>
      </c>
      <c r="R55" s="12" t="n">
        <v>26245</v>
      </c>
      <c r="S55" s="12" t="n">
        <v>25042</v>
      </c>
      <c r="T55" s="12" t="n">
        <v>26216</v>
      </c>
      <c r="U55" s="12" t="n">
        <v>26349</v>
      </c>
      <c r="V55" s="12" t="n">
        <v>28017</v>
      </c>
      <c r="W55" s="12" t="n">
        <v>28883</v>
      </c>
      <c r="X55" s="12" t="n">
        <v>40053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완성공사 매출</t>
        </is>
      </c>
      <c r="C90" s="12" t="n">
        <v>110637</v>
      </c>
      <c r="D90" s="12" t="n">
        <v>148651</v>
      </c>
      <c r="E90" s="12" t="n">
        <v>102703</v>
      </c>
      <c r="F90" s="12" t="n">
        <v>107035</v>
      </c>
      <c r="G90" s="12" t="n">
        <v>105654</v>
      </c>
      <c r="H90" s="12" t="n">
        <v>138981</v>
      </c>
      <c r="I90" s="12" t="n">
        <v>96578</v>
      </c>
      <c r="J90" s="12" t="n">
        <v>102285</v>
      </c>
      <c r="K90" s="12" t="n">
        <v>107156</v>
      </c>
      <c r="L90" s="12" t="n">
        <v>151505</v>
      </c>
      <c r="M90" s="12" t="n">
        <v>94358</v>
      </c>
      <c r="N90" s="12" t="n">
        <v>114453</v>
      </c>
      <c r="T90" s="12" t="n">
        <v>131577</v>
      </c>
      <c r="U90" s="12" t="n">
        <v>140265</v>
      </c>
      <c r="V90" s="12" t="n">
        <v>148651</v>
      </c>
      <c r="W90" s="12" t="n">
        <v>138981</v>
      </c>
      <c r="X90" s="12" t="n">
        <v>151505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기타 사업 매출</t>
        </is>
      </c>
      <c r="C92" s="20" t="n">
        <v>3813</v>
      </c>
      <c r="D92" s="20" t="n">
        <v>5338</v>
      </c>
      <c r="E92" s="20" t="n">
        <v>4501</v>
      </c>
      <c r="F92" s="20" t="n">
        <v>5064</v>
      </c>
      <c r="G92" s="20" t="n">
        <v>4117</v>
      </c>
      <c r="H92" s="20" t="n">
        <v>5898</v>
      </c>
      <c r="I92" s="20" t="n">
        <v>3990</v>
      </c>
      <c r="J92" s="20" t="n">
        <v>4872</v>
      </c>
      <c r="K92" s="20" t="n">
        <v>4372</v>
      </c>
      <c r="L92" s="20" t="n">
        <v>5364</v>
      </c>
      <c r="M92" s="20" t="n">
        <v>4337</v>
      </c>
      <c r="N92" s="20" t="n">
        <v>5396</v>
      </c>
      <c r="T92" s="20" t="n">
        <v>3704</v>
      </c>
      <c r="U92" s="20" t="n">
        <v>4264</v>
      </c>
      <c r="V92" s="20" t="n">
        <v>5338</v>
      </c>
      <c r="W92" s="20" t="n">
        <v>5898</v>
      </c>
      <c r="X92" s="20" t="n">
        <v>5364</v>
      </c>
    </row>
    <row r="93">
      <c r="A93" s="9" t="inlineStr">
        <is>
          <t>매출 합계</t>
        </is>
      </c>
      <c r="C93" s="12" t="n">
        <v>114450</v>
      </c>
      <c r="D93" s="12" t="n">
        <v>153990</v>
      </c>
      <c r="E93" s="12" t="n">
        <v>107205</v>
      </c>
      <c r="F93" s="12" t="n">
        <v>112098</v>
      </c>
      <c r="G93" s="12" t="n">
        <v>109771</v>
      </c>
      <c r="H93" s="12" t="n">
        <v>144880</v>
      </c>
      <c r="I93" s="12" t="n">
        <v>100568</v>
      </c>
      <c r="J93" s="12" t="n">
        <v>107157</v>
      </c>
      <c r="K93" s="12" t="n">
        <v>111528</v>
      </c>
      <c r="L93" s="12" t="n">
        <v>156870</v>
      </c>
      <c r="M93" s="12" t="n">
        <v>98696</v>
      </c>
      <c r="N93" s="12" t="n">
        <v>119848</v>
      </c>
      <c r="T93" s="12" t="n">
        <v>135280</v>
      </c>
      <c r="U93" s="12" t="n">
        <v>144528</v>
      </c>
      <c r="V93" s="12" t="n">
        <v>153990</v>
      </c>
      <c r="W93" s="12" t="n">
        <v>144880</v>
      </c>
      <c r="X93" s="12" t="n">
        <v>156870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완성공사 원가</t>
        </is>
      </c>
      <c r="C95" s="20" t="n">
        <v>95688</v>
      </c>
      <c r="D95" s="20" t="n">
        <v>128108</v>
      </c>
      <c r="E95" s="20" t="n">
        <v>86350</v>
      </c>
      <c r="F95" s="20" t="n">
        <v>93385</v>
      </c>
      <c r="G95" s="20" t="n">
        <v>88566</v>
      </c>
      <c r="H95" s="20" t="n">
        <v>120334</v>
      </c>
      <c r="I95" s="20" t="n">
        <v>78567</v>
      </c>
      <c r="J95" s="20" t="n">
        <v>84094</v>
      </c>
      <c r="K95" s="20" t="n">
        <v>86716</v>
      </c>
      <c r="L95" s="20" t="n">
        <v>126026</v>
      </c>
      <c r="M95" s="20" t="n">
        <v>76320</v>
      </c>
      <c r="N95" s="20" t="n">
        <v>89209</v>
      </c>
      <c r="T95" s="20" t="n">
        <v>109810</v>
      </c>
      <c r="U95" s="20" t="n">
        <v>118440</v>
      </c>
      <c r="V95" s="20" t="n">
        <v>128108</v>
      </c>
      <c r="W95" s="20" t="n">
        <v>120334</v>
      </c>
      <c r="X95" s="20" t="n">
        <v>126026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18" t="inlineStr">
        <is>
          <t>기타 사업 매출원가</t>
        </is>
      </c>
      <c r="C97" s="20" t="n">
        <v>2758</v>
      </c>
      <c r="D97" s="20" t="n">
        <v>4112</v>
      </c>
      <c r="E97" s="20" t="n">
        <v>3369</v>
      </c>
      <c r="F97" s="20" t="n">
        <v>3547</v>
      </c>
      <c r="G97" s="20" t="n">
        <v>2834</v>
      </c>
      <c r="H97" s="20" t="n">
        <v>4867</v>
      </c>
      <c r="I97" s="20" t="n">
        <v>2772</v>
      </c>
      <c r="J97" s="20" t="n">
        <v>3464</v>
      </c>
      <c r="K97" s="20" t="n">
        <v>3188</v>
      </c>
      <c r="L97" s="20" t="n">
        <v>4221</v>
      </c>
      <c r="M97" s="20" t="n">
        <v>3127</v>
      </c>
      <c r="N97" s="20" t="n">
        <v>4330</v>
      </c>
      <c r="T97" s="20" t="n">
        <v>2672</v>
      </c>
      <c r="U97" s="20" t="n">
        <v>3217</v>
      </c>
      <c r="V97" s="20" t="n">
        <v>4112</v>
      </c>
      <c r="W97" s="20" t="n">
        <v>4867</v>
      </c>
      <c r="X97" s="20" t="n">
        <v>4221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IF(OR(G97="",C97=""),"",IF(G97*C97&lt;=0,"",IFERROR(G97/C97-1,"")))</f>
        <v/>
      </c>
      <c r="H98" s="15">
        <f>IF(OR(H97="",D97=""),"",IF(H97*D97&lt;=0,"",IFERROR(H97/D97-1,"")))</f>
        <v/>
      </c>
      <c r="I98" s="15">
        <f>IF(OR(I97="",E97=""),"",IF(I97*E97&lt;=0,"",IFERROR(I97/E97-1,"")))</f>
        <v/>
      </c>
      <c r="J98" s="15">
        <f>IF(OR(J97="",F97=""),"",IF(J97*F97&lt;=0,"",IFERROR(J97/F97-1,"")))</f>
        <v/>
      </c>
      <c r="K98" s="15">
        <f>IF(OR(K97="",G97=""),"",IF(K97*G97&lt;=0,"",IFERROR(K97/G97-1,"")))</f>
        <v/>
      </c>
      <c r="L98" s="15">
        <f>IF(OR(L97="",H97=""),"",IF(L97*H97&lt;=0,"",IFERROR(L97/H97-1,"")))</f>
        <v/>
      </c>
      <c r="M98" s="15">
        <f>IF(OR(M97="",I97=""),"",IF(M97*I97&lt;=0,"",IFERROR(M97/I97-1,"")))</f>
        <v/>
      </c>
      <c r="N98" s="15">
        <f>IF(OR(N97="",J97=""),"",IF(N97*J97&lt;=0,"",IFERROR(N97/J97-1,"")))</f>
        <v/>
      </c>
      <c r="T98" s="15">
        <f>IF(OR(T97="",S97=""),"",IF(T97*S97&lt;=0,"",IFERROR(T97/S97-1,"")))</f>
        <v/>
      </c>
      <c r="U98" s="15">
        <f>IF(OR(U97="",T97=""),"",IF(U97*T97&lt;=0,"",IFERROR(U97/T97-1,"")))</f>
        <v/>
      </c>
      <c r="V98" s="15">
        <f>IF(OR(V97="",U97=""),"",IF(V97*U97&lt;=0,"",IFERROR(V97/U97-1,"")))</f>
        <v/>
      </c>
      <c r="W98" s="15">
        <f>IF(OR(W97="",V97=""),"",IF(W97*V97&lt;=0,"",IFERROR(W97/V97-1,"")))</f>
        <v/>
      </c>
      <c r="X98" s="15">
        <f>IF(OR(X97="",W97=""),"",IF(X97*W97&lt;=0,"",IFERROR(X97/W97-1,"")))</f>
        <v/>
      </c>
    </row>
    <row r="99">
      <c r="A99" s="18" t="inlineStr">
        <is>
          <t>매출원가 합계</t>
        </is>
      </c>
      <c r="C99" s="20" t="n">
        <v>98446</v>
      </c>
      <c r="D99" s="20" t="n">
        <v>132221</v>
      </c>
      <c r="E99" s="20" t="n">
        <v>89719</v>
      </c>
      <c r="F99" s="20" t="n">
        <v>96933</v>
      </c>
      <c r="G99" s="20" t="n">
        <v>91400</v>
      </c>
      <c r="H99" s="20" t="n">
        <v>125201</v>
      </c>
      <c r="I99" s="20" t="n">
        <v>81339</v>
      </c>
      <c r="J99" s="20" t="n">
        <v>87559</v>
      </c>
      <c r="K99" s="20" t="n">
        <v>89904</v>
      </c>
      <c r="L99" s="20" t="n">
        <v>130247</v>
      </c>
      <c r="M99" s="20" t="n">
        <v>79447</v>
      </c>
      <c r="N99" s="20" t="n">
        <v>93539</v>
      </c>
      <c r="T99" s="20" t="n">
        <v>112482</v>
      </c>
      <c r="U99" s="20" t="n">
        <v>121657</v>
      </c>
      <c r="V99" s="20" t="n">
        <v>132221</v>
      </c>
      <c r="W99" s="20" t="n">
        <v>125201</v>
      </c>
      <c r="X99" s="20" t="n">
        <v>130247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완성공사 총이익</t>
        </is>
      </c>
      <c r="C101" s="12" t="n">
        <v>14949</v>
      </c>
      <c r="D101" s="12" t="n">
        <v>20542</v>
      </c>
      <c r="E101" s="12" t="n">
        <v>16353</v>
      </c>
      <c r="F101" s="12" t="n">
        <v>13649</v>
      </c>
      <c r="G101" s="12" t="n">
        <v>17088</v>
      </c>
      <c r="H101" s="12" t="n">
        <v>18648</v>
      </c>
      <c r="I101" s="12" t="n">
        <v>18010</v>
      </c>
      <c r="J101" s="12" t="n">
        <v>18191</v>
      </c>
      <c r="K101" s="12" t="n">
        <v>20440</v>
      </c>
      <c r="L101" s="12" t="n">
        <v>25479</v>
      </c>
      <c r="M101" s="12" t="n">
        <v>18038</v>
      </c>
      <c r="N101" s="12" t="n">
        <v>25243</v>
      </c>
      <c r="T101" s="12" t="n">
        <v>21766</v>
      </c>
      <c r="U101" s="12" t="n">
        <v>21824</v>
      </c>
      <c r="V101" s="12" t="n">
        <v>20542</v>
      </c>
      <c r="W101" s="12" t="n">
        <v>18648</v>
      </c>
      <c r="X101" s="12" t="n">
        <v>25479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IF(OR(G101="",C101=""),"",IF(C101&lt;=0,"",IFERROR(G101/C101-1,"")))</f>
        <v/>
      </c>
      <c r="H102" s="15">
        <f>IF(OR(H101="",D101=""),"",IF(D101&lt;=0,"",IFERROR(H101/D101-1,"")))</f>
        <v/>
      </c>
      <c r="I102" s="15">
        <f>IF(OR(I101="",E101=""),"",IF(E101&lt;=0,"",IFERROR(I101/E101-1,"")))</f>
        <v/>
      </c>
      <c r="J102" s="15">
        <f>IF(OR(J101="",F101=""),"",IF(F101&lt;=0,"",IFERROR(J101/F101-1,"")))</f>
        <v/>
      </c>
      <c r="K102" s="15">
        <f>IF(OR(K101="",G101=""),"",IF(G101&lt;=0,"",IFERROR(K101/G101-1,"")))</f>
        <v/>
      </c>
      <c r="L102" s="15">
        <f>IF(OR(L101="",H101=""),"",IF(H101&lt;=0,"",IFERROR(L101/H101-1,"")))</f>
        <v/>
      </c>
      <c r="M102" s="15">
        <f>IF(OR(M101="",I101=""),"",IF(I101&lt;=0,"",IFERROR(M101/I101-1,"")))</f>
        <v/>
      </c>
      <c r="N102" s="15">
        <f>IF(OR(N101="",J101=""),"",IF(J101&lt;=0,"",IFERROR(N101/J101-1,"")))</f>
        <v/>
      </c>
      <c r="T102" s="15">
        <f>IF(OR(T101="",S101=""),"",IF(S101&lt;=0,"",IFERROR(T101/S101-1,"")))</f>
        <v/>
      </c>
      <c r="U102" s="15">
        <f>IF(OR(U101="",T101=""),"",IF(T101&lt;=0,"",IFERROR(U101/T101-1,"")))</f>
        <v/>
      </c>
      <c r="V102" s="15">
        <f>IF(OR(V101="",U101=""),"",IF(U101&lt;=0,"",IFERROR(V101/U101-1,"")))</f>
        <v/>
      </c>
      <c r="W102" s="15">
        <f>IF(OR(W101="",V101=""),"",IF(V101&lt;=0,"",IFERROR(W101/V101-1,"")))</f>
        <v/>
      </c>
      <c r="X102" s="15">
        <f>IF(OR(X101="",W101=""),"",IF(W101&lt;=0,"",IFERROR(X101/W101-1,"")))</f>
        <v/>
      </c>
    </row>
    <row r="103">
      <c r="A103" s="9" t="inlineStr">
        <is>
          <t>기타 사업 총이익</t>
        </is>
      </c>
      <c r="C103" s="12" t="n">
        <v>1056</v>
      </c>
      <c r="D103" s="12" t="n">
        <v>1226</v>
      </c>
      <c r="E103" s="12" t="n">
        <v>1132</v>
      </c>
      <c r="F103" s="12" t="n">
        <v>1516</v>
      </c>
      <c r="G103" s="12" t="n">
        <v>1283</v>
      </c>
      <c r="H103" s="12" t="n">
        <v>1032</v>
      </c>
      <c r="I103" s="12" t="n">
        <v>1218</v>
      </c>
      <c r="J103" s="12" t="n">
        <v>1407</v>
      </c>
      <c r="K103" s="12" t="n">
        <v>1184</v>
      </c>
      <c r="L103" s="12" t="n">
        <v>1144</v>
      </c>
      <c r="M103" s="12" t="n">
        <v>1210</v>
      </c>
      <c r="N103" s="12" t="n">
        <v>1066</v>
      </c>
      <c r="T103" s="12" t="n">
        <v>1031</v>
      </c>
      <c r="U103" s="12" t="n">
        <v>1046</v>
      </c>
      <c r="V103" s="12" t="n">
        <v>1226</v>
      </c>
      <c r="W103" s="12" t="n">
        <v>1032</v>
      </c>
      <c r="X103" s="12" t="n">
        <v>1144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T104" s="15">
        <f>IF(OR(T103="",S103=""),"",IF(S103&lt;=0,"",IFERROR(T103/S103-1,"")))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9" t="inlineStr">
        <is>
          <t>매출총이익 합계</t>
        </is>
      </c>
      <c r="C105" s="12" t="n">
        <v>16004</v>
      </c>
      <c r="D105" s="12" t="n">
        <v>21768</v>
      </c>
      <c r="E105" s="12" t="n">
        <v>17486</v>
      </c>
      <c r="F105" s="12" t="n">
        <v>15165</v>
      </c>
      <c r="G105" s="12" t="n">
        <v>18371</v>
      </c>
      <c r="H105" s="12" t="n">
        <v>19679</v>
      </c>
      <c r="I105" s="12" t="n">
        <v>19229</v>
      </c>
      <c r="J105" s="12" t="n">
        <v>19597</v>
      </c>
      <c r="K105" s="12" t="n">
        <v>21625</v>
      </c>
      <c r="L105" s="12" t="n">
        <v>26623</v>
      </c>
      <c r="M105" s="12" t="n">
        <v>19249</v>
      </c>
      <c r="N105" s="12" t="n">
        <v>26308</v>
      </c>
      <c r="T105" s="12" t="n">
        <v>22798</v>
      </c>
      <c r="U105" s="12" t="n">
        <v>22871</v>
      </c>
      <c r="V105" s="12" t="n">
        <v>21768</v>
      </c>
      <c r="W105" s="12" t="n">
        <v>19679</v>
      </c>
      <c r="X105" s="12" t="n">
        <v>26623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IF(OR(G105="",C105=""),"",IF(C105&lt;=0,"",IFERROR(G105/C105-1,"")))</f>
        <v/>
      </c>
      <c r="H106" s="15">
        <f>IF(OR(H105="",D105=""),"",IF(D105&lt;=0,"",IFERROR(H105/D105-1,"")))</f>
        <v/>
      </c>
      <c r="I106" s="15">
        <f>IF(OR(I105="",E105=""),"",IF(E105&lt;=0,"",IFERROR(I105/E105-1,"")))</f>
        <v/>
      </c>
      <c r="J106" s="15">
        <f>IF(OR(J105="",F105=""),"",IF(F105&lt;=0,"",IFERROR(J105/F105-1,"")))</f>
        <v/>
      </c>
      <c r="K106" s="15">
        <f>IF(OR(K105="",G105=""),"",IF(G105&lt;=0,"",IFERROR(K105/G105-1,"")))</f>
        <v/>
      </c>
      <c r="L106" s="15">
        <f>IF(OR(L105="",H105=""),"",IF(H105&lt;=0,"",IFERROR(L105/H105-1,"")))</f>
        <v/>
      </c>
      <c r="M106" s="15">
        <f>IF(OR(M105="",I105=""),"",IF(I105&lt;=0,"",IFERROR(M105/I105-1,"")))</f>
        <v/>
      </c>
      <c r="N106" s="15">
        <f>IF(OR(N105="",J105=""),"",IF(J105&lt;=0,"",IFERROR(N105/J105-1,"")))</f>
        <v/>
      </c>
      <c r="T106" s="15">
        <f>IF(OR(T105="",S105=""),"",IF(S105&lt;=0,"",IFERROR(T105/S105-1,"")))</f>
        <v/>
      </c>
      <c r="U106" s="15">
        <f>IF(OR(U105="",T105=""),"",IF(T105&lt;=0,"",IFERROR(U105/T105-1,"")))</f>
        <v/>
      </c>
      <c r="V106" s="15">
        <f>IF(OR(V105="",U105=""),"",IF(U105&lt;=0,"",IFERROR(V105/U105-1,"")))</f>
        <v/>
      </c>
      <c r="W106" s="15">
        <f>IF(OR(W105="",V105=""),"",IF(V105&lt;=0,"",IFERROR(W105/V105-1,"")))</f>
        <v/>
      </c>
      <c r="X106" s="15">
        <f>IF(OR(X105="",W105=""),"",IF(W105&lt;=0,"",IFERROR(X105/W105-1,"")))</f>
        <v/>
      </c>
    </row>
    <row r="107">
      <c r="A107" s="18" t="inlineStr">
        <is>
          <t>판매비와 관리비</t>
        </is>
      </c>
      <c r="C107" s="20" t="n">
        <v>6472</v>
      </c>
      <c r="D107" s="20" t="n">
        <v>6976</v>
      </c>
      <c r="E107" s="20" t="n">
        <v>7222</v>
      </c>
      <c r="F107" s="20" t="n">
        <v>7174</v>
      </c>
      <c r="G107" s="20" t="n">
        <v>7155</v>
      </c>
      <c r="H107" s="20" t="n">
        <v>7762</v>
      </c>
      <c r="I107" s="20" t="n">
        <v>8130</v>
      </c>
      <c r="J107" s="20" t="n">
        <v>7891</v>
      </c>
      <c r="K107" s="20" t="n">
        <v>7986</v>
      </c>
      <c r="L107" s="20" t="n">
        <v>8466</v>
      </c>
      <c r="M107" s="20" t="n">
        <v>8517</v>
      </c>
      <c r="N107" s="20" t="n">
        <v>8387</v>
      </c>
      <c r="T107" s="20" t="n">
        <v>6355</v>
      </c>
      <c r="U107" s="20" t="n">
        <v>6400</v>
      </c>
      <c r="V107" s="20" t="n">
        <v>6976</v>
      </c>
      <c r="W107" s="20" t="n">
        <v>7762</v>
      </c>
      <c r="X107" s="20" t="n">
        <v>8466</v>
      </c>
    </row>
    <row r="108">
      <c r="A108" s="43" t="inlineStr">
        <is>
          <t>YoY</t>
        </is>
      </c>
      <c r="B108" s="3" t="inlineStr">
        <is>
          <t>전년 같은 분기·전년 대비</t>
        </is>
      </c>
      <c r="G108" s="15">
        <f>IF(OR(G107="",C107=""),"",IF(G107*C107&lt;=0,"",IFERROR(G107/C107-1,"")))</f>
        <v/>
      </c>
      <c r="H108" s="15">
        <f>IF(OR(H107="",D107=""),"",IF(H107*D107&lt;=0,"",IFERROR(H107/D107-1,"")))</f>
        <v/>
      </c>
      <c r="I108" s="15">
        <f>IF(OR(I107="",E107=""),"",IF(I107*E107&lt;=0,"",IFERROR(I107/E107-1,"")))</f>
        <v/>
      </c>
      <c r="J108" s="15">
        <f>IF(OR(J107="",F107=""),"",IF(J107*F107&lt;=0,"",IFERROR(J107/F107-1,"")))</f>
        <v/>
      </c>
      <c r="K108" s="15">
        <f>IF(OR(K107="",G107=""),"",IF(K107*G107&lt;=0,"",IFERROR(K107/G107-1,"")))</f>
        <v/>
      </c>
      <c r="L108" s="15">
        <f>IF(OR(L107="",H107=""),"",IF(L107*H107&lt;=0,"",IFERROR(L107/H107-1,"")))</f>
        <v/>
      </c>
      <c r="M108" s="15">
        <f>IF(OR(M107="",I107=""),"",IF(M107*I107&lt;=0,"",IFERROR(M107/I107-1,"")))</f>
        <v/>
      </c>
      <c r="N108" s="15">
        <f>IF(OR(N107="",J107=""),"",IF(N107*J107&lt;=0,"",IFERROR(N107/J107-1,"")))</f>
        <v/>
      </c>
      <c r="T108" s="15">
        <f>IF(OR(T107="",S107=""),"",IF(T107*S107&lt;=0,"",IFERROR(T107/S107-1,"")))</f>
        <v/>
      </c>
      <c r="U108" s="15">
        <f>IF(OR(U107="",T107=""),"",IF(U107*T107&lt;=0,"",IFERROR(U107/T107-1,"")))</f>
        <v/>
      </c>
      <c r="V108" s="15">
        <f>IF(OR(V107="",U107=""),"",IF(V107*U107&lt;=0,"",IFERROR(V107/U107-1,"")))</f>
        <v/>
      </c>
      <c r="W108" s="15">
        <f>IF(OR(W107="",V107=""),"",IF(W107*V107&lt;=0,"",IFERROR(W107/V107-1,"")))</f>
        <v/>
      </c>
      <c r="X108" s="15">
        <f>IF(OR(X107="",W107=""),"",IF(X107*W107&lt;=0,"",IFERROR(X107/W107-1,"")))</f>
        <v/>
      </c>
    </row>
    <row r="109">
      <c r="A109" s="9" t="inlineStr">
        <is>
          <t>영업이익</t>
        </is>
      </c>
      <c r="C109" s="12" t="n">
        <v>9533</v>
      </c>
      <c r="D109" s="12" t="n">
        <v>14791</v>
      </c>
      <c r="E109" s="12" t="n">
        <v>10263</v>
      </c>
      <c r="F109" s="12" t="n">
        <v>7991</v>
      </c>
      <c r="G109" s="12" t="n">
        <v>11216</v>
      </c>
      <c r="H109" s="12" t="n">
        <v>11918</v>
      </c>
      <c r="I109" s="12" t="n">
        <v>11098</v>
      </c>
      <c r="J109" s="12" t="n">
        <v>11706</v>
      </c>
      <c r="K109" s="12" t="n">
        <v>13640</v>
      </c>
      <c r="L109" s="12" t="n">
        <v>18156</v>
      </c>
      <c r="M109" s="12" t="n">
        <v>10731</v>
      </c>
      <c r="N109" s="12" t="n">
        <v>17921</v>
      </c>
      <c r="T109" s="12" t="n">
        <v>16443</v>
      </c>
      <c r="U109" s="12" t="n">
        <v>16471</v>
      </c>
      <c r="V109" s="12" t="n">
        <v>14791</v>
      </c>
      <c r="W109" s="12" t="n">
        <v>11918</v>
      </c>
      <c r="X109" s="12" t="n">
        <v>18156</v>
      </c>
    </row>
    <row r="110">
      <c r="A110" s="43" t="inlineStr">
        <is>
          <t>OPM</t>
        </is>
      </c>
      <c r="B110" s="3" t="inlineStr">
        <is>
          <t>영업이익 ÷ 매출</t>
        </is>
      </c>
      <c r="C110" s="15">
        <f>IF(OR(C109="",C90=""),"",IF(C90&lt;=0,"",IFERROR(C109/C90,"")))</f>
        <v/>
      </c>
      <c r="D110" s="15">
        <f>IF(OR(D109="",D90=""),"",IF(D90&lt;=0,"",IFERROR(D109/D90,"")))</f>
        <v/>
      </c>
      <c r="E110" s="15">
        <f>IF(OR(E109="",E90=""),"",IF(E90&lt;=0,"",IFERROR(E109/E90,"")))</f>
        <v/>
      </c>
      <c r="F110" s="15">
        <f>IF(OR(F109="",F90=""),"",IF(F90&lt;=0,"",IFERROR(F109/F90,"")))</f>
        <v/>
      </c>
      <c r="G110" s="15">
        <f>IF(OR(G109="",G90=""),"",IF(G90&lt;=0,"",IFERROR(G109/G90,"")))</f>
        <v/>
      </c>
      <c r="H110" s="15">
        <f>IF(OR(H109="",H90=""),"",IF(H90&lt;=0,"",IFERROR(H109/H90,"")))</f>
        <v/>
      </c>
      <c r="I110" s="15">
        <f>IF(OR(I109="",I90=""),"",IF(I90&lt;=0,"",IFERROR(I109/I90,"")))</f>
        <v/>
      </c>
      <c r="J110" s="15">
        <f>IF(OR(J109="",J90=""),"",IF(J90&lt;=0,"",IFERROR(J109/J90,"")))</f>
        <v/>
      </c>
      <c r="K110" s="15">
        <f>IF(OR(K109="",K90=""),"",IF(K90&lt;=0,"",IFERROR(K109/K90,"")))</f>
        <v/>
      </c>
      <c r="L110" s="15">
        <f>IF(OR(L109="",L90=""),"",IF(L90&lt;=0,"",IFERROR(L109/L90,"")))</f>
        <v/>
      </c>
      <c r="M110" s="15">
        <f>IF(OR(M109="",M90=""),"",IF(M90&lt;=0,"",IFERROR(M109/M90,"")))</f>
        <v/>
      </c>
      <c r="N110" s="15">
        <f>IF(OR(N109="",N90=""),"",IF(N90&lt;=0,"",IFERROR(N109/N90,"")))</f>
        <v/>
      </c>
      <c r="T110" s="15">
        <f>IF(OR(T109="",T90=""),"",IF(T90&lt;=0,"",IFERROR(T109/T90,"")))</f>
        <v/>
      </c>
      <c r="U110" s="15">
        <f>IF(OR(U109="",U90=""),"",IF(U90&lt;=0,"",IFERROR(U109/U90,"")))</f>
        <v/>
      </c>
      <c r="V110" s="15">
        <f>IF(OR(V109="",V90=""),"",IF(V90&lt;=0,"",IFERROR(V109/V90,"")))</f>
        <v/>
      </c>
      <c r="W110" s="15">
        <f>IF(OR(W109="",W90=""),"",IF(W90&lt;=0,"",IFERROR(W109/W90,"")))</f>
        <v/>
      </c>
      <c r="X110" s="15">
        <f>IF(OR(X109="",X90=""),"",IF(X90&lt;=0,"",IFERROR(X109/X90,"")))</f>
        <v/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IF(OR(G109="",C109=""),"",IF(C109&lt;=0,"",IFERROR(G109/C109-1,"")))</f>
        <v/>
      </c>
      <c r="H111" s="15">
        <f>IF(OR(H109="",D109=""),"",IF(D109&lt;=0,"",IFERROR(H109/D109-1,"")))</f>
        <v/>
      </c>
      <c r="I111" s="15">
        <f>IF(OR(I109="",E109=""),"",IF(E109&lt;=0,"",IFERROR(I109/E109-1,"")))</f>
        <v/>
      </c>
      <c r="J111" s="15">
        <f>IF(OR(J109="",F109=""),"",IF(F109&lt;=0,"",IFERROR(J109/F109-1,"")))</f>
        <v/>
      </c>
      <c r="K111" s="15">
        <f>IF(OR(K109="",G109=""),"",IF(G109&lt;=0,"",IFERROR(K109/G109-1,"")))</f>
        <v/>
      </c>
      <c r="L111" s="15">
        <f>IF(OR(L109="",H109=""),"",IF(H109&lt;=0,"",IFERROR(L109/H109-1,"")))</f>
        <v/>
      </c>
      <c r="M111" s="15">
        <f>IF(OR(M109="",I109=""),"",IF(I109&lt;=0,"",IFERROR(M109/I109-1,"")))</f>
        <v/>
      </c>
      <c r="N111" s="15">
        <f>IF(OR(N109="",J109=""),"",IF(J109&lt;=0,"",IFERROR(N109/J109-1,"")))</f>
        <v/>
      </c>
      <c r="T111" s="15">
        <f>IF(OR(T109="",S109=""),"",IF(S109&lt;=0,"",IFERROR(T109/S109-1,"")))</f>
        <v/>
      </c>
      <c r="U111" s="15">
        <f>IF(OR(U109="",T109=""),"",IF(T109&lt;=0,"",IFERROR(U109/T109-1,"")))</f>
        <v/>
      </c>
      <c r="V111" s="15">
        <f>IF(OR(V109="",U109=""),"",IF(U109&lt;=0,"",IFERROR(V109/U109-1,"")))</f>
        <v/>
      </c>
      <c r="W111" s="15">
        <f>IF(OR(W109="",V109=""),"",IF(V109&lt;=0,"",IFERROR(W109/V109-1,"")))</f>
        <v/>
      </c>
      <c r="X111" s="15">
        <f>IF(OR(X109="",W109=""),"",IF(W109&lt;=0,"",IFERROR(X109/W109-1,"")))</f>
        <v/>
      </c>
    </row>
    <row r="112">
      <c r="A112" s="18" t="inlineStr">
        <is>
          <t>이자수익</t>
        </is>
      </c>
      <c r="C112" s="20" t="n">
        <v>35</v>
      </c>
      <c r="D112" s="20" t="n">
        <v>112</v>
      </c>
      <c r="E112" s="20" t="n">
        <v>32</v>
      </c>
      <c r="F112" s="20" t="n">
        <v>40</v>
      </c>
      <c r="G112" s="20" t="n">
        <v>36</v>
      </c>
      <c r="H112" s="20" t="n">
        <v>54</v>
      </c>
      <c r="I112" s="20" t="n">
        <v>13</v>
      </c>
      <c r="J112" s="20" t="n">
        <v>62</v>
      </c>
      <c r="K112" s="20" t="n">
        <v>9</v>
      </c>
      <c r="L112" s="20" t="n">
        <v>48</v>
      </c>
      <c r="M112" s="20" t="n">
        <v>12</v>
      </c>
      <c r="N112" s="20" t="n">
        <v>72</v>
      </c>
      <c r="T112" s="20" t="n">
        <v>9</v>
      </c>
      <c r="U112" s="20" t="n">
        <v>26</v>
      </c>
      <c r="V112" s="20" t="n">
        <v>112</v>
      </c>
      <c r="W112" s="20" t="n">
        <v>54</v>
      </c>
      <c r="X112" s="20" t="n">
        <v>48</v>
      </c>
    </row>
    <row r="113">
      <c r="A113" s="18" t="inlineStr">
        <is>
          <t>배당금수익</t>
        </is>
      </c>
      <c r="C113" s="20" t="n">
        <v>237</v>
      </c>
      <c r="D113" s="20" t="n">
        <v>38</v>
      </c>
      <c r="E113" s="20" t="n">
        <v>774</v>
      </c>
      <c r="F113" s="20" t="n">
        <v>74</v>
      </c>
      <c r="G113" s="20" t="n">
        <v>350</v>
      </c>
      <c r="H113" s="20" t="n">
        <v>41</v>
      </c>
      <c r="I113" s="20" t="n">
        <v>563</v>
      </c>
      <c r="J113" s="20" t="n">
        <v>81</v>
      </c>
      <c r="K113" s="20" t="n">
        <v>416</v>
      </c>
      <c r="L113" s="20" t="n">
        <v>43</v>
      </c>
      <c r="M113" s="20" t="n">
        <v>997</v>
      </c>
      <c r="N113" s="20" t="n">
        <v>98</v>
      </c>
      <c r="T113" s="20" t="n">
        <v>33</v>
      </c>
      <c r="U113" s="20" t="n">
        <v>27</v>
      </c>
      <c r="V113" s="20" t="n">
        <v>38</v>
      </c>
      <c r="W113" s="20" t="n">
        <v>41</v>
      </c>
      <c r="X113" s="20" t="n">
        <v>43</v>
      </c>
    </row>
    <row r="114">
      <c r="A114" s="18" t="inlineStr">
        <is>
          <t>지분법이익</t>
        </is>
      </c>
      <c r="C114" s="20" t="n">
        <v>78</v>
      </c>
      <c r="D114" s="20" t="n">
        <v>836</v>
      </c>
      <c r="E114" s="20" t="n">
        <v>0</v>
      </c>
      <c r="F114" s="20" t="n">
        <v>0</v>
      </c>
      <c r="G114" s="20" t="n">
        <v>0</v>
      </c>
      <c r="H114" s="20" t="n">
        <v>493</v>
      </c>
      <c r="I114" s="20" t="n">
        <v>29</v>
      </c>
      <c r="J114" s="20" t="n">
        <v>-29</v>
      </c>
      <c r="M114" s="20" t="n">
        <v>172</v>
      </c>
      <c r="N114" s="20" t="n">
        <v>59</v>
      </c>
      <c r="T114" s="20" t="n">
        <v>601</v>
      </c>
      <c r="U114" s="20" t="n">
        <v>101</v>
      </c>
      <c r="V114" s="20" t="n">
        <v>836</v>
      </c>
      <c r="W114" s="20" t="n">
        <v>493</v>
      </c>
    </row>
    <row r="115">
      <c r="A115" s="18" t="inlineStr">
        <is>
          <t>투자사업조합 운용 이익</t>
        </is>
      </c>
      <c r="C115" s="20" t="n">
        <v>496</v>
      </c>
      <c r="D115" s="20" t="n">
        <v>408</v>
      </c>
      <c r="E115" s="20" t="n">
        <v>40</v>
      </c>
      <c r="F115" s="20" t="n">
        <v>610</v>
      </c>
      <c r="G115" s="20" t="n">
        <v>445</v>
      </c>
      <c r="H115" s="20" t="n">
        <v>368</v>
      </c>
      <c r="I115" s="20" t="n">
        <v>3</v>
      </c>
      <c r="J115" s="20" t="n">
        <v>521</v>
      </c>
      <c r="K115" s="20" t="n">
        <v>557</v>
      </c>
      <c r="L115" s="20" t="n">
        <v>638</v>
      </c>
      <c r="M115" s="20" t="n">
        <v>184</v>
      </c>
      <c r="N115" s="20" t="n">
        <v>1051</v>
      </c>
      <c r="T115" s="20" t="n">
        <v>298</v>
      </c>
      <c r="U115" s="20" t="n">
        <v>490</v>
      </c>
      <c r="V115" s="20" t="n">
        <v>408</v>
      </c>
      <c r="W115" s="20" t="n">
        <v>368</v>
      </c>
      <c r="X115" s="20" t="n">
        <v>638</v>
      </c>
    </row>
    <row r="116">
      <c r="A116" s="18" t="inlineStr">
        <is>
          <t>임대료 수익</t>
        </is>
      </c>
      <c r="C116" s="20" t="n">
        <v>74</v>
      </c>
      <c r="D116" s="20" t="n">
        <v>90</v>
      </c>
      <c r="E116" s="20" t="n">
        <v>90</v>
      </c>
      <c r="F116" s="20" t="n">
        <v>79</v>
      </c>
      <c r="G116" s="20" t="n">
        <v>78</v>
      </c>
      <c r="H116" s="20" t="n">
        <v>88</v>
      </c>
      <c r="I116" s="20" t="n">
        <v>88</v>
      </c>
      <c r="J116" s="20" t="n">
        <v>79</v>
      </c>
      <c r="K116" s="20" t="n">
        <v>85</v>
      </c>
      <c r="L116" s="20" t="n">
        <v>86</v>
      </c>
      <c r="M116" s="20" t="n">
        <v>84</v>
      </c>
      <c r="N116" s="20" t="n">
        <v>84</v>
      </c>
      <c r="T116" s="20" t="n">
        <v>76</v>
      </c>
      <c r="U116" s="20" t="n">
        <v>77</v>
      </c>
      <c r="V116" s="20" t="n">
        <v>90</v>
      </c>
      <c r="W116" s="20" t="n">
        <v>88</v>
      </c>
      <c r="X116" s="20" t="n">
        <v>86</v>
      </c>
    </row>
    <row r="117">
      <c r="A117" s="18" t="inlineStr">
        <is>
          <t>기타</t>
        </is>
      </c>
      <c r="C117" s="20" t="n">
        <v>190</v>
      </c>
      <c r="D117" s="20" t="n">
        <v>134</v>
      </c>
      <c r="E117" s="20" t="n">
        <v>186</v>
      </c>
      <c r="F117" s="20" t="n">
        <v>297</v>
      </c>
      <c r="G117" s="20" t="n">
        <v>119</v>
      </c>
      <c r="H117" s="20" t="n">
        <v>59</v>
      </c>
      <c r="I117" s="20" t="n">
        <v>118</v>
      </c>
      <c r="J117" s="20" t="n">
        <v>215</v>
      </c>
      <c r="K117" s="20" t="n">
        <v>440</v>
      </c>
      <c r="L117" s="20" t="n">
        <v>257</v>
      </c>
      <c r="M117" s="20" t="n">
        <v>274</v>
      </c>
      <c r="N117" s="20" t="n">
        <v>181</v>
      </c>
      <c r="T117" s="20" t="n">
        <v>238</v>
      </c>
      <c r="U117" s="20" t="n">
        <v>246</v>
      </c>
      <c r="V117" s="20" t="n">
        <v>134</v>
      </c>
      <c r="W117" s="20" t="n">
        <v>59</v>
      </c>
      <c r="X117" s="20" t="n">
        <v>257</v>
      </c>
    </row>
    <row r="118">
      <c r="A118" s="18" t="inlineStr">
        <is>
          <t>영업외수익 합계</t>
        </is>
      </c>
      <c r="C118" s="20" t="n">
        <v>1110</v>
      </c>
      <c r="D118" s="20" t="n">
        <v>1618</v>
      </c>
      <c r="E118" s="20" t="n">
        <v>1124</v>
      </c>
      <c r="F118" s="20" t="n">
        <v>1100</v>
      </c>
      <c r="G118" s="20" t="n">
        <v>1028</v>
      </c>
      <c r="H118" s="20" t="n">
        <v>1103</v>
      </c>
      <c r="I118" s="20" t="n">
        <v>817</v>
      </c>
      <c r="J118" s="20" t="n">
        <v>928</v>
      </c>
      <c r="K118" s="20" t="n">
        <v>1508</v>
      </c>
      <c r="L118" s="20" t="n">
        <v>1566</v>
      </c>
      <c r="M118" s="20" t="n">
        <v>1725</v>
      </c>
      <c r="N118" s="20" t="n">
        <v>1545</v>
      </c>
      <c r="T118" s="20" t="n">
        <v>1254</v>
      </c>
      <c r="U118" s="20" t="n">
        <v>969</v>
      </c>
      <c r="V118" s="20" t="n">
        <v>1618</v>
      </c>
      <c r="W118" s="20" t="n">
        <v>1103</v>
      </c>
      <c r="X118" s="20" t="n">
        <v>1566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IF(OR(G118="",C118=""),"",IF(G118*C118&lt;=0,"",IFERROR(G118/C118-1,"")))</f>
        <v/>
      </c>
      <c r="H119" s="15">
        <f>IF(OR(H118="",D118=""),"",IF(H118*D118&lt;=0,"",IFERROR(H118/D118-1,"")))</f>
        <v/>
      </c>
      <c r="I119" s="15">
        <f>IF(OR(I118="",E118=""),"",IF(I118*E118&lt;=0,"",IFERROR(I118/E118-1,"")))</f>
        <v/>
      </c>
      <c r="J119" s="15">
        <f>IF(OR(J118="",F118=""),"",IF(J118*F118&lt;=0,"",IFERROR(J118/F118-1,"")))</f>
        <v/>
      </c>
      <c r="K119" s="15">
        <f>IF(OR(K118="",G118=""),"",IF(K118*G118&lt;=0,"",IFERROR(K118/G118-1,"")))</f>
        <v/>
      </c>
      <c r="L119" s="15">
        <f>IF(OR(L118="",H118=""),"",IF(L118*H118&lt;=0,"",IFERROR(L118/H118-1,"")))</f>
        <v/>
      </c>
      <c r="M119" s="15">
        <f>IF(OR(M118="",I118=""),"",IF(M118*I118&lt;=0,"",IFERROR(M118/I118-1,"")))</f>
        <v/>
      </c>
      <c r="N119" s="15">
        <f>IF(OR(N118="",J118=""),"",IF(N118*J118&lt;=0,"",IFERROR(N118/J118-1,"")))</f>
        <v/>
      </c>
      <c r="T119" s="15">
        <f>IF(OR(T118="",S118=""),"",IF(T118*S118&lt;=0,"",IFERROR(T118/S118-1,"")))</f>
        <v/>
      </c>
      <c r="U119" s="15">
        <f>IF(OR(U118="",T118=""),"",IF(U118*T118&lt;=0,"",IFERROR(U118/T118-1,"")))</f>
        <v/>
      </c>
      <c r="V119" s="15">
        <f>IF(OR(V118="",U118=""),"",IF(V118*U118&lt;=0,"",IFERROR(V118/U118-1,"")))</f>
        <v/>
      </c>
      <c r="W119" s="15">
        <f>IF(OR(W118="",V118=""),"",IF(W118*V118&lt;=0,"",IFERROR(W118/V118-1,"")))</f>
        <v/>
      </c>
      <c r="X119" s="15">
        <f>IF(OR(X118="",W118=""),"",IF(X118*W118&lt;=0,"",IFERROR(X118/W118-1,"")))</f>
        <v/>
      </c>
    </row>
    <row r="120">
      <c r="A120" s="18" t="inlineStr">
        <is>
          <t>이자비용</t>
        </is>
      </c>
      <c r="C120" s="20" t="n">
        <v>107</v>
      </c>
      <c r="D120" s="20" t="n">
        <v>130</v>
      </c>
      <c r="E120" s="20" t="n">
        <v>114</v>
      </c>
      <c r="F120" s="20" t="n">
        <v>142</v>
      </c>
      <c r="G120" s="20" t="n">
        <v>123</v>
      </c>
      <c r="H120" s="20" t="n">
        <v>136</v>
      </c>
      <c r="I120" s="20" t="n">
        <v>134</v>
      </c>
      <c r="J120" s="20" t="n">
        <v>156</v>
      </c>
      <c r="K120" s="20" t="n">
        <v>144</v>
      </c>
      <c r="L120" s="20" t="n">
        <v>215</v>
      </c>
      <c r="M120" s="20" t="n">
        <v>162</v>
      </c>
      <c r="N120" s="20" t="n">
        <v>243</v>
      </c>
      <c r="T120" s="20" t="n">
        <v>101</v>
      </c>
      <c r="U120" s="20" t="n">
        <v>125</v>
      </c>
      <c r="V120" s="20" t="n">
        <v>130</v>
      </c>
      <c r="W120" s="20" t="n">
        <v>136</v>
      </c>
      <c r="X120" s="20" t="n">
        <v>215</v>
      </c>
    </row>
    <row r="121">
      <c r="A121" s="18" t="inlineStr">
        <is>
          <t>지분법손실</t>
        </is>
      </c>
      <c r="C121" s="20" t="n">
        <v>0</v>
      </c>
      <c r="E121" s="20" t="n">
        <v>54</v>
      </c>
      <c r="F121" s="20" t="n">
        <v>133</v>
      </c>
      <c r="G121" s="20" t="n">
        <v>39</v>
      </c>
      <c r="I121" s="20" t="n">
        <v>0</v>
      </c>
      <c r="J121" s="20" t="n">
        <v>10</v>
      </c>
      <c r="K121" s="20" t="n">
        <v>68</v>
      </c>
    </row>
    <row r="122">
      <c r="A122" s="18" t="inlineStr">
        <is>
          <t>특별 퇴직금</t>
        </is>
      </c>
      <c r="C122" s="20" t="n">
        <v>12</v>
      </c>
      <c r="D122" s="20" t="n">
        <v>34</v>
      </c>
      <c r="E122" s="20" t="n">
        <v>65</v>
      </c>
      <c r="F122" s="20" t="n">
        <v>12</v>
      </c>
      <c r="G122" s="20" t="n">
        <v>10</v>
      </c>
      <c r="H122" s="20" t="n">
        <v>32</v>
      </c>
      <c r="I122" s="20" t="n">
        <v>21</v>
      </c>
      <c r="J122" s="20" t="n">
        <v>8</v>
      </c>
      <c r="K122" s="20" t="n">
        <v>20</v>
      </c>
      <c r="L122" s="20" t="n">
        <v>62</v>
      </c>
      <c r="M122" s="20" t="n">
        <v>34</v>
      </c>
      <c r="N122" s="20" t="n">
        <v>10</v>
      </c>
      <c r="T122" s="20" t="n">
        <v>58</v>
      </c>
      <c r="U122" s="20" t="n">
        <v>28</v>
      </c>
      <c r="V122" s="20" t="n">
        <v>34</v>
      </c>
      <c r="W122" s="20" t="n">
        <v>32</v>
      </c>
      <c r="X122" s="20" t="n">
        <v>62</v>
      </c>
    </row>
    <row r="123">
      <c r="A123" s="18" t="inlineStr">
        <is>
          <t>관계회사 대손충당금 전입액</t>
        </is>
      </c>
      <c r="C123" s="20" t="n">
        <v>0</v>
      </c>
      <c r="D123" s="20" t="n">
        <v>14</v>
      </c>
      <c r="H123" s="20" t="n">
        <v>110</v>
      </c>
      <c r="L123" s="20" t="n">
        <v>0</v>
      </c>
      <c r="T123" s="20" t="n">
        <v>35</v>
      </c>
      <c r="U123" s="20" t="n">
        <v>0</v>
      </c>
      <c r="V123" s="20" t="n">
        <v>14</v>
      </c>
      <c r="W123" s="20" t="n">
        <v>110</v>
      </c>
      <c r="X123" s="20" t="n">
        <v>0</v>
      </c>
    </row>
    <row r="124">
      <c r="A124" s="18" t="inlineStr">
        <is>
          <t>화해금</t>
        </is>
      </c>
      <c r="C124" s="20" t="n">
        <v>0</v>
      </c>
      <c r="D124" s="20" t="n">
        <v>0</v>
      </c>
      <c r="T124" s="20" t="n">
        <v>0</v>
      </c>
      <c r="U124" s="20" t="n">
        <v>0</v>
      </c>
      <c r="V124" s="20" t="n">
        <v>0</v>
      </c>
    </row>
    <row r="125">
      <c r="A125" s="18" t="inlineStr">
        <is>
          <t>기타</t>
        </is>
      </c>
      <c r="C125" s="20" t="n">
        <v>19</v>
      </c>
      <c r="D125" s="20" t="n">
        <v>34</v>
      </c>
      <c r="E125" s="20" t="n">
        <v>6</v>
      </c>
      <c r="F125" s="20" t="n">
        <v>55</v>
      </c>
      <c r="G125" s="20" t="n">
        <v>173</v>
      </c>
      <c r="H125" s="20" t="n">
        <v>38</v>
      </c>
      <c r="I125" s="20" t="n">
        <v>22</v>
      </c>
      <c r="J125" s="20" t="n">
        <v>19</v>
      </c>
      <c r="K125" s="20" t="n">
        <v>10</v>
      </c>
      <c r="L125" s="20" t="n">
        <v>113</v>
      </c>
      <c r="M125" s="20" t="n">
        <v>47</v>
      </c>
      <c r="N125" s="20" t="n">
        <v>113</v>
      </c>
      <c r="T125" s="20" t="n">
        <v>-46</v>
      </c>
      <c r="U125" s="20" t="n">
        <v>81</v>
      </c>
      <c r="V125" s="20" t="n">
        <v>34</v>
      </c>
      <c r="W125" s="20" t="n">
        <v>38</v>
      </c>
      <c r="X125" s="20" t="n">
        <v>113</v>
      </c>
    </row>
    <row r="126">
      <c r="A126" s="18" t="inlineStr">
        <is>
          <t>영업외비용 합계</t>
        </is>
      </c>
      <c r="C126" s="20" t="n">
        <v>137</v>
      </c>
      <c r="D126" s="20" t="n">
        <v>318</v>
      </c>
      <c r="E126" s="20" t="n">
        <v>240</v>
      </c>
      <c r="F126" s="20" t="n">
        <v>342</v>
      </c>
      <c r="G126" s="20" t="n">
        <v>396</v>
      </c>
      <c r="H126" s="20" t="n">
        <v>331</v>
      </c>
      <c r="I126" s="20" t="n">
        <v>178</v>
      </c>
      <c r="J126" s="20" t="n">
        <v>193</v>
      </c>
      <c r="K126" s="20" t="n">
        <v>243</v>
      </c>
      <c r="L126" s="20" t="n">
        <v>649</v>
      </c>
      <c r="M126" s="20" t="n">
        <v>244</v>
      </c>
      <c r="N126" s="20" t="n">
        <v>366</v>
      </c>
      <c r="T126" s="20" t="n">
        <v>224</v>
      </c>
      <c r="U126" s="20" t="n">
        <v>234</v>
      </c>
      <c r="V126" s="20" t="n">
        <v>318</v>
      </c>
      <c r="W126" s="20" t="n">
        <v>331</v>
      </c>
      <c r="X126" s="20" t="n">
        <v>649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IF(OR(G126="",C126=""),"",IF(G126*C126&lt;=0,"",IFERROR(G126/C126-1,"")))</f>
        <v/>
      </c>
      <c r="H127" s="15">
        <f>IF(OR(H126="",D126=""),"",IF(H126*D126&lt;=0,"",IFERROR(H126/D126-1,"")))</f>
        <v/>
      </c>
      <c r="I127" s="15">
        <f>IF(OR(I126="",E126=""),"",IF(I126*E126&lt;=0,"",IFERROR(I126/E126-1,"")))</f>
        <v/>
      </c>
      <c r="J127" s="15">
        <f>IF(OR(J126="",F126=""),"",IF(J126*F126&lt;=0,"",IFERROR(J126/F126-1,"")))</f>
        <v/>
      </c>
      <c r="K127" s="15">
        <f>IF(OR(K126="",G126=""),"",IF(K126*G126&lt;=0,"",IFERROR(K126/G126-1,"")))</f>
        <v/>
      </c>
      <c r="L127" s="15">
        <f>IF(OR(L126="",H126=""),"",IF(L126*H126&lt;=0,"",IFERROR(L126/H126-1,"")))</f>
        <v/>
      </c>
      <c r="M127" s="15">
        <f>IF(OR(M126="",I126=""),"",IF(M126*I126&lt;=0,"",IFERROR(M126/I126-1,"")))</f>
        <v/>
      </c>
      <c r="N127" s="15">
        <f>IF(OR(N126="",J126=""),"",IF(N126*J126&lt;=0,"",IFERROR(N126/J126-1,"")))</f>
        <v/>
      </c>
      <c r="T127" s="15">
        <f>IF(OR(T126="",S126=""),"",IF(T126*S126&lt;=0,"",IFERROR(T126/S126-1,"")))</f>
        <v/>
      </c>
      <c r="U127" s="15">
        <f>IF(OR(U126="",T126=""),"",IF(U126*T126&lt;=0,"",IFERROR(U126/T126-1,"")))</f>
        <v/>
      </c>
      <c r="V127" s="15">
        <f>IF(OR(V126="",U126=""),"",IF(V126*U126&lt;=0,"",IFERROR(V126/U126-1,"")))</f>
        <v/>
      </c>
      <c r="W127" s="15">
        <f>IF(OR(W126="",V126=""),"",IF(W126*V126&lt;=0,"",IFERROR(W126/V126-1,"")))</f>
        <v/>
      </c>
      <c r="X127" s="15">
        <f>IF(OR(X126="",W126=""),"",IF(X126*W126&lt;=0,"",IFERROR(X126/W126-1,"")))</f>
        <v/>
      </c>
    </row>
    <row r="128">
      <c r="A128" s="9" t="inlineStr">
        <is>
          <t>경상이익</t>
        </is>
      </c>
      <c r="C128" s="12" t="n">
        <v>10505</v>
      </c>
      <c r="D128" s="12" t="n">
        <v>16091</v>
      </c>
      <c r="E128" s="12" t="n">
        <v>11147</v>
      </c>
      <c r="F128" s="12" t="n">
        <v>8749</v>
      </c>
      <c r="G128" s="12" t="n">
        <v>11848</v>
      </c>
      <c r="H128" s="12" t="n">
        <v>12690</v>
      </c>
      <c r="I128" s="12" t="n">
        <v>11737</v>
      </c>
      <c r="J128" s="12" t="n">
        <v>12441</v>
      </c>
      <c r="K128" s="12" t="n">
        <v>14905</v>
      </c>
      <c r="L128" s="12" t="n">
        <v>19074</v>
      </c>
      <c r="M128" s="12" t="n">
        <v>12212</v>
      </c>
      <c r="N128" s="12" t="n">
        <v>19100</v>
      </c>
      <c r="T128" s="12" t="n">
        <v>17474</v>
      </c>
      <c r="U128" s="12" t="n">
        <v>17205</v>
      </c>
      <c r="V128" s="12" t="n">
        <v>16091</v>
      </c>
      <c r="W128" s="12" t="n">
        <v>12690</v>
      </c>
      <c r="X128" s="12" t="n">
        <v>19074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18" t="inlineStr">
        <is>
          <t>고정자산 매각이익</t>
        </is>
      </c>
      <c r="C130" s="20" t="n">
        <v>2</v>
      </c>
      <c r="D130" s="20" t="n">
        <v>3</v>
      </c>
      <c r="E130" s="20" t="n">
        <v>37</v>
      </c>
      <c r="F130" s="20" t="n">
        <v>113</v>
      </c>
      <c r="G130" s="20" t="n">
        <v>18</v>
      </c>
      <c r="H130" s="20" t="n">
        <v>13</v>
      </c>
      <c r="I130" s="20" t="n">
        <v>4</v>
      </c>
      <c r="J130" s="20" t="n">
        <v>11</v>
      </c>
      <c r="K130" s="20" t="n">
        <v>2</v>
      </c>
      <c r="L130" s="20" t="n">
        <v>2</v>
      </c>
      <c r="M130" s="20" t="n">
        <v>124</v>
      </c>
      <c r="N130" s="20" t="n">
        <v>27</v>
      </c>
      <c r="T130" s="20" t="n">
        <v>0</v>
      </c>
      <c r="U130" s="20" t="n">
        <v>133</v>
      </c>
      <c r="V130" s="20" t="n">
        <v>3</v>
      </c>
      <c r="W130" s="20" t="n">
        <v>13</v>
      </c>
      <c r="X130" s="20" t="n">
        <v>2</v>
      </c>
    </row>
    <row r="131">
      <c r="A131" s="18" t="inlineStr">
        <is>
          <t>투자유가증권 매각이익</t>
        </is>
      </c>
      <c r="C131" s="20" t="n">
        <v>12</v>
      </c>
      <c r="D131" s="20" t="n">
        <v>2490</v>
      </c>
      <c r="E131" s="20" t="n">
        <v>255</v>
      </c>
      <c r="F131" s="20" t="n">
        <v>1</v>
      </c>
      <c r="G131" s="20" t="n">
        <v>1</v>
      </c>
      <c r="H131" s="20" t="n">
        <v>207</v>
      </c>
      <c r="I131" s="20" t="n">
        <v>29</v>
      </c>
      <c r="J131" s="20" t="n">
        <v>42</v>
      </c>
      <c r="K131" s="20" t="n">
        <v>968</v>
      </c>
      <c r="L131" s="20" t="n">
        <v>2</v>
      </c>
      <c r="M131" s="20" t="n">
        <v>184</v>
      </c>
      <c r="N131" s="20" t="n">
        <v>0</v>
      </c>
      <c r="T131" s="20" t="n">
        <v>29</v>
      </c>
      <c r="U131" s="20" t="n">
        <v>0</v>
      </c>
      <c r="V131" s="20" t="n">
        <v>2490</v>
      </c>
      <c r="W131" s="20" t="n">
        <v>207</v>
      </c>
      <c r="X131" s="20" t="n">
        <v>2</v>
      </c>
    </row>
    <row r="132">
      <c r="A132" s="18" t="inlineStr">
        <is>
          <t>관계회사 사업손실충당금 환입액</t>
        </is>
      </c>
      <c r="D132" s="20" t="n">
        <v>0</v>
      </c>
      <c r="H132" s="20" t="n">
        <v>187</v>
      </c>
      <c r="L132" s="20" t="n">
        <v>0</v>
      </c>
      <c r="V132" s="20" t="n">
        <v>0</v>
      </c>
      <c r="W132" s="20" t="n">
        <v>187</v>
      </c>
      <c r="X132" s="20" t="n">
        <v>0</v>
      </c>
    </row>
    <row r="133">
      <c r="A133" s="18" t="inlineStr">
        <is>
          <t>특별이익 합계</t>
        </is>
      </c>
      <c r="C133" s="20" t="n">
        <v>14</v>
      </c>
      <c r="D133" s="20" t="n">
        <v>2493</v>
      </c>
      <c r="E133" s="20" t="n">
        <v>292</v>
      </c>
      <c r="F133" s="20" t="n">
        <v>115</v>
      </c>
      <c r="G133" s="20" t="n">
        <v>329</v>
      </c>
      <c r="H133" s="20" t="n">
        <v>406</v>
      </c>
      <c r="I133" s="20" t="n">
        <v>33</v>
      </c>
      <c r="J133" s="20" t="n">
        <v>54</v>
      </c>
      <c r="K133" s="20" t="n">
        <v>970</v>
      </c>
      <c r="L133" s="20" t="n">
        <v>3</v>
      </c>
      <c r="M133" s="20" t="n">
        <v>308</v>
      </c>
      <c r="N133" s="20" t="n">
        <v>27</v>
      </c>
      <c r="T133" s="20" t="n">
        <v>29</v>
      </c>
      <c r="U133" s="20" t="n">
        <v>134</v>
      </c>
      <c r="V133" s="20" t="n">
        <v>2493</v>
      </c>
      <c r="W133" s="20" t="n">
        <v>406</v>
      </c>
      <c r="X133" s="20" t="n">
        <v>3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M134" s="15">
        <f>IF(OR(M133="",I133=""),"",IF(M133*I133&lt;=0,"",IFERROR(M133/I133-1,"")))</f>
        <v/>
      </c>
      <c r="N134" s="15">
        <f>IF(OR(N133="",J133=""),"",IF(N133*J133&lt;=0,"",IFERROR(N133/J133-1,"")))</f>
        <v/>
      </c>
      <c r="T134" s="15">
        <f>IF(OR(T133="",S133=""),"",IF(T133*S133&lt;=0,"",IFERROR(T133/S133-1,"")))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  <c r="X134" s="15">
        <f>IF(OR(X133="",W133=""),"",IF(X133*W133&lt;=0,"",IFERROR(X133/W133-1,"")))</f>
        <v/>
      </c>
    </row>
    <row r="135">
      <c r="A135" s="18" t="inlineStr">
        <is>
          <t>손상차손</t>
        </is>
      </c>
      <c r="C135" s="20" t="n">
        <v>0</v>
      </c>
      <c r="D135" s="20" t="n">
        <v>598</v>
      </c>
      <c r="G135" s="20" t="n">
        <v>0</v>
      </c>
      <c r="H135" s="20" t="n">
        <v>277</v>
      </c>
      <c r="K135" s="20" t="n">
        <v>0</v>
      </c>
      <c r="L135" s="20" t="n">
        <v>0</v>
      </c>
      <c r="U135" s="20" t="n">
        <v>326</v>
      </c>
      <c r="V135" s="20" t="n">
        <v>598</v>
      </c>
      <c r="W135" s="20" t="n">
        <v>277</v>
      </c>
      <c r="X135" s="20" t="n">
        <v>0</v>
      </c>
    </row>
    <row r="136">
      <c r="A136" s="18" t="inlineStr">
        <is>
          <t>자회사 청산 손실</t>
        </is>
      </c>
      <c r="D136" s="20" t="n">
        <v>0</v>
      </c>
      <c r="T136" s="20" t="n">
        <v>0</v>
      </c>
      <c r="U136" s="20" t="n">
        <v>0</v>
      </c>
      <c r="V136" s="20" t="n">
        <v>0</v>
      </c>
    </row>
    <row r="137">
      <c r="A137" s="18" t="inlineStr">
        <is>
          <t>고정자산 처분손실</t>
        </is>
      </c>
      <c r="C137" s="20" t="n">
        <v>213</v>
      </c>
      <c r="D137" s="20" t="n">
        <v>36</v>
      </c>
      <c r="E137" s="20" t="n">
        <v>5</v>
      </c>
      <c r="F137" s="20" t="n">
        <v>157</v>
      </c>
      <c r="G137" s="20" t="n">
        <v>35</v>
      </c>
      <c r="H137" s="20" t="n">
        <v>71</v>
      </c>
      <c r="I137" s="20" t="n">
        <v>15</v>
      </c>
      <c r="J137" s="20" t="n">
        <v>60</v>
      </c>
      <c r="K137" s="20" t="n">
        <v>145</v>
      </c>
      <c r="L137" s="20" t="n">
        <v>155</v>
      </c>
      <c r="M137" s="20" t="n">
        <v>124</v>
      </c>
      <c r="N137" s="20" t="n">
        <v>24</v>
      </c>
      <c r="T137" s="20" t="n">
        <v>174</v>
      </c>
      <c r="U137" s="20" t="n">
        <v>2</v>
      </c>
      <c r="V137" s="20" t="n">
        <v>36</v>
      </c>
      <c r="W137" s="20" t="n">
        <v>71</v>
      </c>
      <c r="X137" s="20" t="n">
        <v>155</v>
      </c>
    </row>
    <row r="138">
      <c r="A138" s="18" t="inlineStr">
        <is>
          <t>투자유가증권 매각손실</t>
        </is>
      </c>
      <c r="C138" s="20" t="n">
        <v>0</v>
      </c>
      <c r="D138" s="20" t="n">
        <v>0</v>
      </c>
      <c r="E138" s="20" t="n">
        <v>0</v>
      </c>
      <c r="F138" s="20" t="n">
        <v>0</v>
      </c>
      <c r="G138" s="20" t="n">
        <v>458</v>
      </c>
      <c r="H138" s="20" t="n">
        <v>69</v>
      </c>
      <c r="K138" s="20" t="n">
        <v>0</v>
      </c>
      <c r="L138" s="20" t="n">
        <v>0</v>
      </c>
      <c r="T138" s="20" t="n">
        <v>35</v>
      </c>
      <c r="U138" s="20" t="n">
        <v>0</v>
      </c>
      <c r="V138" s="20" t="n">
        <v>0</v>
      </c>
      <c r="W138" s="20" t="n">
        <v>69</v>
      </c>
      <c r="X138" s="20" t="n">
        <v>0</v>
      </c>
    </row>
    <row r="139">
      <c r="A139" s="18" t="inlineStr">
        <is>
          <t>투자유가증권 평가손실</t>
        </is>
      </c>
      <c r="C139" s="20" t="n">
        <v>-5</v>
      </c>
      <c r="D139" s="20" t="n">
        <v>280</v>
      </c>
      <c r="E139" s="20" t="n">
        <v>0</v>
      </c>
      <c r="F139" s="20" t="n">
        <v>0</v>
      </c>
      <c r="G139" s="20" t="n">
        <v>0</v>
      </c>
      <c r="H139" s="20" t="n">
        <v>0</v>
      </c>
      <c r="I139" s="20" t="n">
        <v>0</v>
      </c>
      <c r="J139" s="20" t="n">
        <v>594</v>
      </c>
      <c r="K139" s="20" t="n">
        <v>0</v>
      </c>
      <c r="L139" s="20" t="n">
        <v>391</v>
      </c>
      <c r="M139" s="20" t="n">
        <v>0</v>
      </c>
      <c r="N139" s="20" t="n">
        <v>0</v>
      </c>
      <c r="T139" s="20" t="n">
        <v>420</v>
      </c>
      <c r="U139" s="20" t="n">
        <v>550</v>
      </c>
      <c r="V139" s="20" t="n">
        <v>280</v>
      </c>
      <c r="W139" s="20" t="n">
        <v>0</v>
      </c>
      <c r="X139" s="20" t="n">
        <v>391</v>
      </c>
    </row>
    <row r="140">
      <c r="A140" s="18" t="inlineStr">
        <is>
          <t>특별손실 합계</t>
        </is>
      </c>
      <c r="C140" s="20" t="n">
        <v>208</v>
      </c>
      <c r="D140" s="20" t="n">
        <v>3174</v>
      </c>
      <c r="E140" s="20" t="n">
        <v>5</v>
      </c>
      <c r="F140" s="20" t="n">
        <v>157</v>
      </c>
      <c r="G140" s="20" t="n">
        <v>494</v>
      </c>
      <c r="H140" s="20" t="n">
        <v>627</v>
      </c>
      <c r="I140" s="20" t="n">
        <v>15</v>
      </c>
      <c r="J140" s="20" t="n">
        <v>1383</v>
      </c>
      <c r="K140" s="20" t="n">
        <v>145</v>
      </c>
      <c r="L140" s="20" t="n">
        <v>545</v>
      </c>
      <c r="M140" s="20" t="n">
        <v>124</v>
      </c>
      <c r="N140" s="20" t="n">
        <v>476</v>
      </c>
      <c r="T140" s="20" t="n">
        <v>627</v>
      </c>
      <c r="U140" s="20" t="n">
        <v>878</v>
      </c>
      <c r="V140" s="20" t="n">
        <v>3174</v>
      </c>
      <c r="W140" s="20" t="n">
        <v>627</v>
      </c>
      <c r="X140" s="20" t="n">
        <v>545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IF(OR(G140="",C140=""),"",IF(G140*C140&lt;=0,"",IFERROR(G140/C140-1,"")))</f>
        <v/>
      </c>
      <c r="H141" s="15">
        <f>IF(OR(H140="",D140=""),"",IF(H140*D140&lt;=0,"",IFERROR(H140/D140-1,"")))</f>
        <v/>
      </c>
      <c r="I141" s="15">
        <f>IF(OR(I140="",E140=""),"",IF(I140*E140&lt;=0,"",IFERROR(I140/E140-1,"")))</f>
        <v/>
      </c>
      <c r="J141" s="15">
        <f>IF(OR(J140="",F140=""),"",IF(J140*F140&lt;=0,"",IFERROR(J140/F140-1,"")))</f>
        <v/>
      </c>
      <c r="K141" s="15">
        <f>IF(OR(K140="",G140=""),"",IF(K140*G140&lt;=0,"",IFERROR(K140/G140-1,"")))</f>
        <v/>
      </c>
      <c r="L141" s="15">
        <f>IF(OR(L140="",H140=""),"",IF(L140*H140&lt;=0,"",IFERROR(L140/H140-1,"")))</f>
        <v/>
      </c>
      <c r="M141" s="15">
        <f>IF(OR(M140="",I140=""),"",IF(M140*I140&lt;=0,"",IFERROR(M140/I140-1,"")))</f>
        <v/>
      </c>
      <c r="N141" s="15">
        <f>IF(OR(N140="",J140=""),"",IF(N140*J140&lt;=0,"",IFERROR(N140/J140-1,"")))</f>
        <v/>
      </c>
      <c r="T141" s="15">
        <f>IF(OR(T140="",S140=""),"",IF(T140*S140&lt;=0,"",IFERROR(T140/S140-1,"")))</f>
        <v/>
      </c>
      <c r="U141" s="15">
        <f>IF(OR(U140="",T140=""),"",IF(U140*T140&lt;=0,"",IFERROR(U140/T140-1,"")))</f>
        <v/>
      </c>
      <c r="V141" s="15">
        <f>IF(OR(V140="",U140=""),"",IF(V140*U140&lt;=0,"",IFERROR(V140/U140-1,"")))</f>
        <v/>
      </c>
      <c r="W141" s="15">
        <f>IF(OR(W140="",V140=""),"",IF(W140*V140&lt;=0,"",IFERROR(W140/V140-1,"")))</f>
        <v/>
      </c>
      <c r="X141" s="15">
        <f>IF(OR(X140="",W140=""),"",IF(X140*W140&lt;=0,"",IFERROR(X140/W140-1,"")))</f>
        <v/>
      </c>
    </row>
    <row r="142">
      <c r="A142" s="9" t="inlineStr">
        <is>
          <t>법인세차감전 순이익</t>
        </is>
      </c>
      <c r="C142" s="12" t="n">
        <v>10311</v>
      </c>
      <c r="D142" s="12" t="n">
        <v>15410</v>
      </c>
      <c r="E142" s="12" t="n">
        <v>11434</v>
      </c>
      <c r="F142" s="12" t="n">
        <v>8706</v>
      </c>
      <c r="G142" s="12" t="n">
        <v>11684</v>
      </c>
      <c r="H142" s="12" t="n">
        <v>12469</v>
      </c>
      <c r="I142" s="12" t="n">
        <v>11755</v>
      </c>
      <c r="J142" s="12" t="n">
        <v>11112</v>
      </c>
      <c r="K142" s="12" t="n">
        <v>15730</v>
      </c>
      <c r="L142" s="12" t="n">
        <v>18532</v>
      </c>
      <c r="M142" s="12" t="n">
        <v>12396</v>
      </c>
      <c r="N142" s="12" t="n">
        <v>18651</v>
      </c>
      <c r="T142" s="12" t="n">
        <v>16876</v>
      </c>
      <c r="U142" s="12" t="n">
        <v>16460</v>
      </c>
      <c r="V142" s="12" t="n">
        <v>15410</v>
      </c>
      <c r="W142" s="12" t="n">
        <v>12469</v>
      </c>
      <c r="X142" s="12" t="n">
        <v>18532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T143" s="15">
        <f>IF(OR(T142="",S142=""),"",IF(S142&lt;=0,"",IFERROR(T142/S142-1,"")))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법인세 등</t>
        </is>
      </c>
      <c r="C144" s="20" t="n">
        <v>3370</v>
      </c>
      <c r="D144" s="20" t="n">
        <v>4312</v>
      </c>
      <c r="E144" s="20" t="n">
        <v>3653</v>
      </c>
      <c r="F144" s="20" t="n">
        <v>3279</v>
      </c>
      <c r="G144" s="20" t="n">
        <v>3980</v>
      </c>
      <c r="H144" s="20" t="n">
        <v>4325</v>
      </c>
      <c r="I144" s="20" t="n">
        <v>4003</v>
      </c>
      <c r="J144" s="20" t="n">
        <v>3856</v>
      </c>
      <c r="K144" s="20" t="n">
        <v>5100</v>
      </c>
      <c r="L144" s="20" t="n">
        <v>3867</v>
      </c>
      <c r="M144" s="20" t="n">
        <v>3949</v>
      </c>
      <c r="N144" s="20" t="n">
        <v>5793</v>
      </c>
      <c r="T144" s="20" t="n">
        <v>4352</v>
      </c>
      <c r="U144" s="20" t="n">
        <v>4851</v>
      </c>
      <c r="V144" s="20" t="n">
        <v>4312</v>
      </c>
      <c r="W144" s="20" t="n">
        <v>4325</v>
      </c>
      <c r="X144" s="20" t="n">
        <v>3867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IF(OR(G144="",C144=""),"",IF(G144*C144&lt;=0,"",IFERROR(G144/C144-1,"")))</f>
        <v/>
      </c>
      <c r="H145" s="15">
        <f>IF(OR(H144="",D144=""),"",IF(H144*D144&lt;=0,"",IFERROR(H144/D144-1,"")))</f>
        <v/>
      </c>
      <c r="I145" s="15">
        <f>IF(OR(I144="",E144=""),"",IF(I144*E144&lt;=0,"",IFERROR(I144/E144-1,"")))</f>
        <v/>
      </c>
      <c r="J145" s="15">
        <f>IF(OR(J144="",F144=""),"",IF(J144*F144&lt;=0,"",IFERROR(J144/F144-1,"")))</f>
        <v/>
      </c>
      <c r="K145" s="15">
        <f>IF(OR(K144="",G144=""),"",IF(K144*G144&lt;=0,"",IFERROR(K144/G144-1,"")))</f>
        <v/>
      </c>
      <c r="L145" s="15">
        <f>IF(OR(L144="",H144=""),"",IF(L144*H144&lt;=0,"",IFERROR(L144/H144-1,"")))</f>
        <v/>
      </c>
      <c r="M145" s="15">
        <f>IF(OR(M144="",I144=""),"",IF(M144*I144&lt;=0,"",IFERROR(M144/I144-1,"")))</f>
        <v/>
      </c>
      <c r="N145" s="15">
        <f>IF(OR(N144="",J144=""),"",IF(N144*J144&lt;=0,"",IFERROR(N144/J144-1,"")))</f>
        <v/>
      </c>
      <c r="T145" s="15">
        <f>IF(OR(T144="",S144=""),"",IF(T144*S144&lt;=0,"",IFERROR(T144/S144-1,"")))</f>
        <v/>
      </c>
      <c r="U145" s="15">
        <f>IF(OR(U144="",T144=""),"",IF(U144*T144&lt;=0,"",IFERROR(U144/T144-1,"")))</f>
        <v/>
      </c>
      <c r="V145" s="15">
        <f>IF(OR(V144="",U144=""),"",IF(V144*U144&lt;=0,"",IFERROR(V144/U144-1,"")))</f>
        <v/>
      </c>
      <c r="W145" s="15">
        <f>IF(OR(W144="",V144=""),"",IF(W144*V144&lt;=0,"",IFERROR(W144/V144-1,"")))</f>
        <v/>
      </c>
      <c r="X145" s="15">
        <f>IF(OR(X144="",W144=""),"",IF(X144*W144&lt;=0,"",IFERROR(X144/W144-1,"")))</f>
        <v/>
      </c>
    </row>
    <row r="146">
      <c r="A146" s="9" t="inlineStr">
        <is>
          <t>순이익</t>
        </is>
      </c>
      <c r="C146" s="12" t="n">
        <v>6942</v>
      </c>
      <c r="D146" s="12" t="n">
        <v>11097</v>
      </c>
      <c r="E146" s="12" t="n">
        <v>7780</v>
      </c>
      <c r="F146" s="12" t="n">
        <v>5427</v>
      </c>
      <c r="G146" s="12" t="n">
        <v>7705</v>
      </c>
      <c r="H146" s="12" t="n">
        <v>8144</v>
      </c>
      <c r="I146" s="12" t="n">
        <v>7752</v>
      </c>
      <c r="J146" s="12" t="n">
        <v>7255</v>
      </c>
      <c r="K146" s="12" t="n">
        <v>10631</v>
      </c>
      <c r="L146" s="12" t="n">
        <v>14664</v>
      </c>
      <c r="M146" s="12" t="n">
        <v>8447</v>
      </c>
      <c r="N146" s="12" t="n">
        <v>12858</v>
      </c>
      <c r="T146" s="12" t="n">
        <v>12523</v>
      </c>
      <c r="U146" s="12" t="n">
        <v>11608</v>
      </c>
      <c r="V146" s="12" t="n">
        <v>11097</v>
      </c>
      <c r="W146" s="12" t="n">
        <v>8144</v>
      </c>
      <c r="X146" s="12" t="n">
        <v>14664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T147" s="15">
        <f>IF(OR(T146="",S146=""),"",IF(S146&lt;=0,"",IFERROR(T146/S146-1,"")))</f>
        <v/>
      </c>
      <c r="U147" s="15">
        <f>IF(OR(U146="",T146=""),"",IF(T146&lt;=0,"",IFERROR(U146/T146-1,"")))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9" t="inlineStr">
        <is>
          <t>비지배주주 순손익</t>
        </is>
      </c>
      <c r="C148" s="12" t="n">
        <v>51</v>
      </c>
      <c r="D148" s="12" t="n">
        <v>131</v>
      </c>
      <c r="E148" s="12" t="n">
        <v>22</v>
      </c>
      <c r="F148" s="12" t="n">
        <v>17</v>
      </c>
      <c r="G148" s="12" t="n">
        <v>47</v>
      </c>
      <c r="H148" s="12" t="n">
        <v>86</v>
      </c>
      <c r="I148" s="12" t="n">
        <v>33</v>
      </c>
      <c r="J148" s="12" t="n">
        <v>36</v>
      </c>
      <c r="K148" s="12" t="n">
        <v>104</v>
      </c>
      <c r="L148" s="12" t="n">
        <v>76</v>
      </c>
      <c r="M148" s="12" t="n">
        <v>31</v>
      </c>
      <c r="N148" s="12" t="n">
        <v>-70</v>
      </c>
      <c r="T148" s="12" t="n">
        <v>80</v>
      </c>
      <c r="U148" s="12" t="n">
        <v>103</v>
      </c>
      <c r="V148" s="12" t="n">
        <v>131</v>
      </c>
      <c r="W148" s="12" t="n">
        <v>86</v>
      </c>
      <c r="X148" s="12" t="n">
        <v>76</v>
      </c>
    </row>
    <row r="149">
      <c r="A149" s="9" t="inlineStr">
        <is>
          <t>지배주주 순이익</t>
        </is>
      </c>
      <c r="C149" s="12" t="n">
        <v>6890</v>
      </c>
      <c r="D149" s="12" t="n">
        <v>10967</v>
      </c>
      <c r="E149" s="12" t="n">
        <v>7758</v>
      </c>
      <c r="F149" s="12" t="n">
        <v>5410</v>
      </c>
      <c r="G149" s="12" t="n">
        <v>7657</v>
      </c>
      <c r="H149" s="12" t="n">
        <v>8058</v>
      </c>
      <c r="I149" s="12" t="n">
        <v>7719</v>
      </c>
      <c r="J149" s="12" t="n">
        <v>7218</v>
      </c>
      <c r="K149" s="12" t="n">
        <v>10527</v>
      </c>
      <c r="L149" s="12" t="n">
        <v>14589</v>
      </c>
      <c r="M149" s="12" t="n">
        <v>8415</v>
      </c>
      <c r="N149" s="12" t="n">
        <v>12929</v>
      </c>
      <c r="T149" s="12" t="n">
        <v>12443</v>
      </c>
      <c r="U149" s="12" t="n">
        <v>11505</v>
      </c>
      <c r="V149" s="12" t="n">
        <v>10967</v>
      </c>
      <c r="W149" s="12" t="n">
        <v>8058</v>
      </c>
      <c r="X149" s="12" t="n">
        <v>14589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T150" s="15">
        <f>IF(OR(T149="",S149=""),"",IF(S149&lt;=0,"",IFERROR(T149/S149-1,"")))</f>
        <v/>
      </c>
      <c r="U150" s="15">
        <f>IF(OR(U149="",T149=""),"",IF(T149&lt;=0,"",IFERROR(U149/T149-1,"")))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2">
      <c r="A152" s="16" t="inlineStr">
        <is>
          <t>포괄손익 · 전 항목</t>
        </is>
      </c>
      <c r="B152" s="42" t="inlineStr">
        <is>
          <t>분기 = 3개월 단독</t>
        </is>
      </c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</row>
    <row r="153">
      <c r="A153" s="5" t="inlineStr">
        <is>
          <t>항목</t>
        </is>
      </c>
      <c r="B153" s="5" t="inlineStr">
        <is>
          <t>참고</t>
        </is>
      </c>
      <c r="C153" s="5" t="inlineStr">
        <is>
          <t>2024.3Q</t>
        </is>
      </c>
      <c r="D153" s="5" t="inlineStr">
        <is>
          <t>2024.4Q</t>
        </is>
      </c>
      <c r="E153" s="5" t="inlineStr">
        <is>
          <t>2025.1Q</t>
        </is>
      </c>
      <c r="F153" s="5" t="inlineStr">
        <is>
          <t>2025.2Q</t>
        </is>
      </c>
      <c r="G153" s="5" t="inlineStr">
        <is>
          <t>2025.3Q</t>
        </is>
      </c>
      <c r="H153" s="5" t="inlineStr">
        <is>
          <t>2025.4Q</t>
        </is>
      </c>
      <c r="I153" s="5" t="inlineStr">
        <is>
          <t>2026.1Q</t>
        </is>
      </c>
      <c r="J153" s="5" t="inlineStr">
        <is>
          <t>2026.2Q</t>
        </is>
      </c>
      <c r="K153" s="5" t="inlineStr">
        <is>
          <t>2026.3Q</t>
        </is>
      </c>
      <c r="L153" s="5" t="inlineStr">
        <is>
          <t>2026.4Q</t>
        </is>
      </c>
      <c r="M153" s="5" t="inlineStr">
        <is>
          <t>2027.1Q</t>
        </is>
      </c>
      <c r="N153" s="5" t="inlineStr">
        <is>
          <t>2027.2Q</t>
        </is>
      </c>
      <c r="O153" s="5" t="inlineStr">
        <is>
          <t>2017</t>
        </is>
      </c>
      <c r="P153" s="5" t="inlineStr">
        <is>
          <t>2018</t>
        </is>
      </c>
      <c r="Q153" s="5" t="inlineStr">
        <is>
          <t>2019</t>
        </is>
      </c>
      <c r="R153" s="5" t="inlineStr">
        <is>
          <t>2020</t>
        </is>
      </c>
      <c r="S153" s="5" t="inlineStr">
        <is>
          <t>2021</t>
        </is>
      </c>
      <c r="T153" s="5" t="inlineStr">
        <is>
          <t>2022</t>
        </is>
      </c>
      <c r="U153" s="5" t="inlineStr">
        <is>
          <t>2023</t>
        </is>
      </c>
      <c r="V153" s="5" t="inlineStr">
        <is>
          <t>2024</t>
        </is>
      </c>
      <c r="W153" s="5" t="inlineStr">
        <is>
          <t>2025</t>
        </is>
      </c>
      <c r="X153" s="5" t="inlineStr">
        <is>
          <t>2026</t>
        </is>
      </c>
      <c r="Y153" s="5" t="inlineStr">
        <is>
          <t>2027(MW)</t>
        </is>
      </c>
      <c r="Z153" s="5" t="inlineStr">
        <is>
          <t>2028(MW)</t>
        </is>
      </c>
      <c r="AA153" s="5" t="inlineStr">
        <is>
          <t>2029(MW)</t>
        </is>
      </c>
      <c r="AB153" s="5" t="inlineStr">
        <is>
          <t>2030(MW)</t>
        </is>
      </c>
      <c r="AC153" s="5" t="inlineStr">
        <is>
          <t>2031(MW)</t>
        </is>
      </c>
    </row>
    <row r="154">
      <c r="A154" s="9" t="inlineStr">
        <is>
          <t>순이익</t>
        </is>
      </c>
      <c r="C154" s="12" t="n">
        <v>6942</v>
      </c>
      <c r="D154" s="12" t="n">
        <v>11097</v>
      </c>
      <c r="E154" s="12" t="n">
        <v>7780</v>
      </c>
      <c r="F154" s="12" t="n">
        <v>5427</v>
      </c>
      <c r="G154" s="12" t="n">
        <v>7705</v>
      </c>
      <c r="H154" s="12" t="n">
        <v>8144</v>
      </c>
      <c r="I154" s="12" t="n">
        <v>7752</v>
      </c>
      <c r="J154" s="12" t="n">
        <v>7255</v>
      </c>
      <c r="K154" s="12" t="n">
        <v>10631</v>
      </c>
      <c r="L154" s="12" t="n">
        <v>14664</v>
      </c>
      <c r="M154" s="12" t="n">
        <v>8447</v>
      </c>
      <c r="N154" s="12" t="n">
        <v>12858</v>
      </c>
      <c r="T154" s="12" t="n">
        <v>12523</v>
      </c>
      <c r="U154" s="12" t="n">
        <v>11608</v>
      </c>
      <c r="V154" s="12" t="n">
        <v>11097</v>
      </c>
      <c r="W154" s="12" t="n">
        <v>8144</v>
      </c>
      <c r="X154" s="12" t="n">
        <v>14664</v>
      </c>
    </row>
    <row r="155">
      <c r="A155" s="18" t="inlineStr">
        <is>
          <t>기타유가증권 평가차액</t>
        </is>
      </c>
      <c r="C155" s="20" t="n">
        <v>-212</v>
      </c>
      <c r="D155" s="20" t="n">
        <v>2521</v>
      </c>
      <c r="E155" s="20" t="n">
        <v>-254</v>
      </c>
      <c r="F155" s="20" t="n">
        <v>-288</v>
      </c>
      <c r="G155" s="20" t="n">
        <v>501</v>
      </c>
      <c r="H155" s="20" t="n">
        <v>-236</v>
      </c>
      <c r="I155" s="20" t="n">
        <v>565</v>
      </c>
      <c r="J155" s="20" t="n">
        <v>2364</v>
      </c>
      <c r="K155" s="20" t="n">
        <v>1933</v>
      </c>
      <c r="L155" s="20" t="n">
        <v>1986</v>
      </c>
      <c r="M155" s="20" t="n">
        <v>769</v>
      </c>
      <c r="N155" s="20" t="n">
        <v>1898</v>
      </c>
      <c r="T155" s="20" t="n">
        <v>332</v>
      </c>
      <c r="U155" s="20" t="n">
        <v>-50</v>
      </c>
      <c r="V155" s="20" t="n">
        <v>2521</v>
      </c>
      <c r="W155" s="20" t="n">
        <v>-236</v>
      </c>
      <c r="X155" s="20" t="n">
        <v>1986</v>
      </c>
    </row>
    <row r="156">
      <c r="A156" s="18" t="inlineStr">
        <is>
          <t>이연헤지손익</t>
        </is>
      </c>
      <c r="H156" s="20" t="n">
        <v>0</v>
      </c>
      <c r="I156" s="20" t="n">
        <v>0</v>
      </c>
      <c r="J156" s="20" t="n">
        <v>0</v>
      </c>
      <c r="K156" s="20" t="n">
        <v>133</v>
      </c>
      <c r="L156" s="20" t="n">
        <v>82</v>
      </c>
      <c r="M156" s="20" t="n">
        <v>65</v>
      </c>
      <c r="N156" s="20" t="n">
        <v>78</v>
      </c>
      <c r="W156" s="20" t="n">
        <v>0</v>
      </c>
      <c r="X156" s="20" t="n">
        <v>82</v>
      </c>
    </row>
    <row r="157">
      <c r="A157" s="18" t="inlineStr">
        <is>
          <t>해외사업환산조정</t>
        </is>
      </c>
      <c r="C157" s="20" t="n">
        <v>45</v>
      </c>
      <c r="D157" s="20" t="n">
        <v>-68</v>
      </c>
      <c r="E157" s="20" t="n">
        <v>114</v>
      </c>
      <c r="F157" s="20" t="n">
        <v>216</v>
      </c>
      <c r="G157" s="20" t="n">
        <v>-386</v>
      </c>
      <c r="H157" s="20" t="n">
        <v>274</v>
      </c>
      <c r="I157" s="20" t="n">
        <v>-31</v>
      </c>
      <c r="J157" s="20" t="n">
        <v>119</v>
      </c>
      <c r="K157" s="20" t="n">
        <v>-171</v>
      </c>
      <c r="L157" s="20" t="n">
        <v>-51</v>
      </c>
      <c r="M157" s="20" t="n">
        <v>-77</v>
      </c>
      <c r="N157" s="20" t="n">
        <v>73</v>
      </c>
      <c r="T157" s="20" t="n">
        <v>-46</v>
      </c>
      <c r="U157" s="20" t="n">
        <v>-198</v>
      </c>
      <c r="V157" s="20" t="n">
        <v>-68</v>
      </c>
      <c r="W157" s="20" t="n">
        <v>274</v>
      </c>
      <c r="X157" s="20" t="n">
        <v>-51</v>
      </c>
    </row>
    <row r="158">
      <c r="A158" s="18" t="inlineStr">
        <is>
          <t>퇴직급여 조정액</t>
        </is>
      </c>
      <c r="C158" s="20" t="n">
        <v>112</v>
      </c>
      <c r="D158" s="20" t="n">
        <v>2495</v>
      </c>
      <c r="E158" s="20" t="n">
        <v>28</v>
      </c>
      <c r="F158" s="20" t="n">
        <v>29</v>
      </c>
      <c r="G158" s="20" t="n">
        <v>29</v>
      </c>
      <c r="H158" s="20" t="n">
        <v>1129</v>
      </c>
      <c r="I158" s="20" t="n">
        <v>12</v>
      </c>
      <c r="J158" s="20" t="n">
        <v>12</v>
      </c>
      <c r="K158" s="20" t="n">
        <v>12</v>
      </c>
      <c r="L158" s="20" t="n">
        <v>2414</v>
      </c>
      <c r="M158" s="20" t="n">
        <v>-35</v>
      </c>
      <c r="N158" s="20" t="n">
        <v>-36</v>
      </c>
      <c r="T158" s="20" t="n">
        <v>1616</v>
      </c>
      <c r="U158" s="20" t="n">
        <v>760</v>
      </c>
      <c r="V158" s="20" t="n">
        <v>2495</v>
      </c>
      <c r="W158" s="20" t="n">
        <v>1129</v>
      </c>
      <c r="X158" s="20" t="n">
        <v>2414</v>
      </c>
    </row>
    <row r="159">
      <c r="A159" s="18" t="inlineStr">
        <is>
          <t>지분법 적용회사 지분 해당액</t>
        </is>
      </c>
      <c r="C159" s="20" t="n">
        <v>-75</v>
      </c>
      <c r="D159" s="20" t="n">
        <v>42</v>
      </c>
      <c r="E159" s="20" t="n">
        <v>78</v>
      </c>
      <c r="F159" s="20" t="n">
        <v>-95</v>
      </c>
      <c r="G159" s="20" t="n">
        <v>95</v>
      </c>
      <c r="H159" s="20" t="n">
        <v>102</v>
      </c>
      <c r="I159" s="20" t="n">
        <v>-12</v>
      </c>
      <c r="J159" s="20" t="n">
        <v>105</v>
      </c>
      <c r="K159" s="20" t="n">
        <v>136</v>
      </c>
      <c r="L159" s="20" t="n">
        <v>87</v>
      </c>
      <c r="M159" s="20" t="n">
        <v>58</v>
      </c>
      <c r="N159" s="20" t="n">
        <v>102</v>
      </c>
      <c r="T159" s="20" t="n">
        <v>196</v>
      </c>
      <c r="U159" s="20" t="n">
        <v>-136</v>
      </c>
      <c r="V159" s="20" t="n">
        <v>42</v>
      </c>
      <c r="W159" s="20" t="n">
        <v>102</v>
      </c>
      <c r="X159" s="20" t="n">
        <v>87</v>
      </c>
    </row>
    <row r="160">
      <c r="A160" s="18" t="inlineStr">
        <is>
          <t>기타포괄손익 합계</t>
        </is>
      </c>
      <c r="C160" s="20" t="n">
        <v>-130</v>
      </c>
      <c r="D160" s="20" t="n">
        <v>4992</v>
      </c>
      <c r="E160" s="20" t="n">
        <v>-32</v>
      </c>
      <c r="F160" s="20" t="n">
        <v>-140</v>
      </c>
      <c r="G160" s="20" t="n">
        <v>238</v>
      </c>
      <c r="H160" s="20" t="n">
        <v>1270</v>
      </c>
      <c r="I160" s="20" t="n">
        <v>534</v>
      </c>
      <c r="J160" s="20" t="n">
        <v>2601</v>
      </c>
      <c r="K160" s="20" t="n">
        <v>2044</v>
      </c>
      <c r="L160" s="20" t="n">
        <v>4516</v>
      </c>
      <c r="M160" s="20" t="n">
        <v>779</v>
      </c>
      <c r="N160" s="20" t="n">
        <v>2116</v>
      </c>
      <c r="T160" s="20" t="n">
        <v>2098</v>
      </c>
      <c r="U160" s="20" t="n">
        <v>375</v>
      </c>
      <c r="V160" s="20" t="n">
        <v>4992</v>
      </c>
      <c r="W160" s="20" t="n">
        <v>1270</v>
      </c>
      <c r="X160" s="20" t="n">
        <v>4516</v>
      </c>
    </row>
    <row r="161">
      <c r="A161" s="9" t="inlineStr">
        <is>
          <t>포괄이익</t>
        </is>
      </c>
      <c r="C161" s="12" t="n">
        <v>6812</v>
      </c>
      <c r="D161" s="12" t="n">
        <v>16089</v>
      </c>
      <c r="E161" s="12" t="n">
        <v>7748</v>
      </c>
      <c r="F161" s="12" t="n">
        <v>5287</v>
      </c>
      <c r="G161" s="12" t="n">
        <v>7944</v>
      </c>
      <c r="H161" s="12" t="n">
        <v>9413</v>
      </c>
      <c r="I161" s="12" t="n">
        <v>8286</v>
      </c>
      <c r="J161" s="12" t="n">
        <v>9857</v>
      </c>
      <c r="K161" s="12" t="n">
        <v>12674</v>
      </c>
      <c r="L161" s="12" t="n">
        <v>19181</v>
      </c>
      <c r="M161" s="12" t="n">
        <v>9226</v>
      </c>
      <c r="N161" s="12" t="n">
        <v>14975</v>
      </c>
      <c r="T161" s="12" t="n">
        <v>14621</v>
      </c>
      <c r="U161" s="12" t="n">
        <v>11984</v>
      </c>
      <c r="V161" s="12" t="n">
        <v>16089</v>
      </c>
      <c r="W161" s="12" t="n">
        <v>9413</v>
      </c>
      <c r="X161" s="12" t="n">
        <v>19181</v>
      </c>
    </row>
    <row r="162">
      <c r="A162" s="9" t="inlineStr">
        <is>
          <t>지배주주 포괄이익</t>
        </is>
      </c>
      <c r="C162" s="12" t="n">
        <v>6751</v>
      </c>
      <c r="D162" s="12" t="n">
        <v>15965</v>
      </c>
      <c r="E162" s="12" t="n">
        <v>7705</v>
      </c>
      <c r="F162" s="12" t="n">
        <v>5245</v>
      </c>
      <c r="G162" s="12" t="n">
        <v>7925</v>
      </c>
      <c r="H162" s="12" t="n">
        <v>9328</v>
      </c>
      <c r="I162" s="12" t="n">
        <v>8253</v>
      </c>
      <c r="J162" s="12" t="n">
        <v>9819</v>
      </c>
      <c r="K162" s="12" t="n">
        <v>12496</v>
      </c>
      <c r="L162" s="12" t="n">
        <v>19059</v>
      </c>
      <c r="M162" s="12" t="n">
        <v>9158</v>
      </c>
      <c r="N162" s="12" t="n">
        <v>14999</v>
      </c>
      <c r="T162" s="12" t="n">
        <v>14531</v>
      </c>
      <c r="U162" s="12" t="n">
        <v>11890</v>
      </c>
      <c r="V162" s="12" t="n">
        <v>15965</v>
      </c>
      <c r="W162" s="12" t="n">
        <v>9328</v>
      </c>
      <c r="X162" s="12" t="n">
        <v>19059</v>
      </c>
    </row>
    <row r="163">
      <c r="A163" s="9" t="inlineStr">
        <is>
          <t>비지배주주 포괄이익</t>
        </is>
      </c>
      <c r="C163" s="12" t="n">
        <v>61</v>
      </c>
      <c r="D163" s="12" t="n">
        <v>123</v>
      </c>
      <c r="E163" s="12" t="n">
        <v>42</v>
      </c>
      <c r="F163" s="12" t="n">
        <v>43</v>
      </c>
      <c r="G163" s="12" t="n">
        <v>18</v>
      </c>
      <c r="H163" s="12" t="n">
        <v>86</v>
      </c>
      <c r="I163" s="12" t="n">
        <v>33</v>
      </c>
      <c r="J163" s="12" t="n">
        <v>37</v>
      </c>
      <c r="K163" s="12" t="n">
        <v>179</v>
      </c>
      <c r="L163" s="12" t="n">
        <v>121</v>
      </c>
      <c r="M163" s="12" t="n">
        <v>68</v>
      </c>
      <c r="N163" s="12" t="n">
        <v>-25</v>
      </c>
      <c r="T163" s="12" t="n">
        <v>91</v>
      </c>
      <c r="U163" s="12" t="n">
        <v>95</v>
      </c>
      <c r="V163" s="12" t="n">
        <v>123</v>
      </c>
      <c r="W163" s="12" t="n">
        <v>86</v>
      </c>
      <c r="X163" s="12" t="n">
        <v>121</v>
      </c>
    </row>
    <row r="165">
      <c r="A165" s="16" t="inlineStr">
        <is>
          <t>부문 · 전 항목</t>
        </is>
      </c>
      <c r="B165" s="42" t="inlineStr">
        <is>
          <t>부문 · 항목</t>
        </is>
      </c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</row>
    <row r="166">
      <c r="A166" s="5" t="inlineStr">
        <is>
          <t>항목</t>
        </is>
      </c>
      <c r="B166" s="5" t="inlineStr">
        <is>
          <t>참고</t>
        </is>
      </c>
      <c r="C166" s="5" t="inlineStr">
        <is>
          <t>2024.3Q</t>
        </is>
      </c>
      <c r="D166" s="5" t="inlineStr">
        <is>
          <t>2024.4Q</t>
        </is>
      </c>
      <c r="E166" s="5" t="inlineStr">
        <is>
          <t>2025.1Q</t>
        </is>
      </c>
      <c r="F166" s="5" t="inlineStr">
        <is>
          <t>2025.2Q</t>
        </is>
      </c>
      <c r="G166" s="5" t="inlineStr">
        <is>
          <t>2025.3Q</t>
        </is>
      </c>
      <c r="H166" s="5" t="inlineStr">
        <is>
          <t>2025.4Q</t>
        </is>
      </c>
      <c r="I166" s="5" t="inlineStr">
        <is>
          <t>2026.1Q</t>
        </is>
      </c>
      <c r="J166" s="5" t="inlineStr">
        <is>
          <t>2026.2Q</t>
        </is>
      </c>
      <c r="K166" s="5" t="inlineStr">
        <is>
          <t>2026.3Q</t>
        </is>
      </c>
      <c r="L166" s="5" t="inlineStr">
        <is>
          <t>2026.4Q</t>
        </is>
      </c>
      <c r="M166" s="5" t="inlineStr">
        <is>
          <t>2027.1Q</t>
        </is>
      </c>
      <c r="N166" s="5" t="inlineStr">
        <is>
          <t>2027.2Q</t>
        </is>
      </c>
      <c r="O166" s="5" t="inlineStr">
        <is>
          <t>2017</t>
        </is>
      </c>
      <c r="P166" s="5" t="inlineStr">
        <is>
          <t>2018</t>
        </is>
      </c>
      <c r="Q166" s="5" t="inlineStr">
        <is>
          <t>2019</t>
        </is>
      </c>
      <c r="R166" s="5" t="inlineStr">
        <is>
          <t>2020</t>
        </is>
      </c>
      <c r="S166" s="5" t="inlineStr">
        <is>
          <t>2021</t>
        </is>
      </c>
      <c r="T166" s="5" t="inlineStr">
        <is>
          <t>2022</t>
        </is>
      </c>
      <c r="U166" s="5" t="inlineStr">
        <is>
          <t>2023</t>
        </is>
      </c>
      <c r="V166" s="5" t="inlineStr">
        <is>
          <t>2024</t>
        </is>
      </c>
      <c r="W166" s="5" t="inlineStr">
        <is>
          <t>2025</t>
        </is>
      </c>
      <c r="X166" s="5" t="inlineStr">
        <is>
          <t>2026</t>
        </is>
      </c>
      <c r="Y166" s="5" t="inlineStr">
        <is>
          <t>2027(MW)</t>
        </is>
      </c>
      <c r="Z166" s="5" t="inlineStr">
        <is>
          <t>2028(MW)</t>
        </is>
      </c>
      <c r="AA166" s="5" t="inlineStr">
        <is>
          <t>2029(MW)</t>
        </is>
      </c>
      <c r="AB166" s="5" t="inlineStr">
        <is>
          <t>2030(MW)</t>
        </is>
      </c>
      <c r="AC166" s="5" t="inlineStr">
        <is>
          <t>2031(MW)</t>
        </is>
      </c>
    </row>
    <row r="167">
      <c r="A167" s="18" t="inlineStr">
        <is>
          <t>EquipmentInstallationReportableSegmentsMember · 외부 고객 매출</t>
        </is>
      </c>
      <c r="D167" s="20" t="n">
        <v>148651</v>
      </c>
      <c r="E167" s="20" t="n">
        <v>102703</v>
      </c>
      <c r="H167" s="20" t="n">
        <v>138981</v>
      </c>
      <c r="I167" s="20" t="n">
        <v>96578</v>
      </c>
      <c r="L167" s="20" t="n">
        <v>151505</v>
      </c>
      <c r="M167" s="20" t="n">
        <v>94358</v>
      </c>
      <c r="V167" s="20" t="n">
        <v>148651</v>
      </c>
      <c r="W167" s="20" t="n">
        <v>138981</v>
      </c>
      <c r="X167" s="20" t="n">
        <v>151505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기타 · 외부 고객 매출</t>
        </is>
      </c>
      <c r="D169" s="20" t="n">
        <v>5338</v>
      </c>
      <c r="E169" s="20" t="n">
        <v>4501</v>
      </c>
      <c r="H169" s="20" t="n">
        <v>5898</v>
      </c>
      <c r="I169" s="20" t="n">
        <v>3990</v>
      </c>
      <c r="L169" s="20" t="n">
        <v>5364</v>
      </c>
      <c r="M169" s="20" t="n">
        <v>4337</v>
      </c>
      <c r="V169" s="20" t="n">
        <v>5338</v>
      </c>
      <c r="W169" s="20" t="n">
        <v>5898</v>
      </c>
      <c r="X169" s="20" t="n">
        <v>5364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합계 · 외부 고객 매출</t>
        </is>
      </c>
      <c r="D171" s="20" t="n">
        <v>153990</v>
      </c>
      <c r="E171" s="20" t="n">
        <v>107205</v>
      </c>
      <c r="H171" s="20" t="n">
        <v>144880</v>
      </c>
      <c r="I171" s="20" t="n">
        <v>100568</v>
      </c>
      <c r="L171" s="20" t="n">
        <v>156870</v>
      </c>
      <c r="M171" s="20" t="n">
        <v>98696</v>
      </c>
      <c r="V171" s="20" t="n">
        <v>153990</v>
      </c>
      <c r="W171" s="20" t="n">
        <v>144880</v>
      </c>
      <c r="X171" s="20" t="n">
        <v>156870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조정액 · 외부 고객 매출</t>
        </is>
      </c>
      <c r="D173" s="20" t="n">
        <v>0</v>
      </c>
      <c r="E173" s="20" t="n">
        <v>0</v>
      </c>
      <c r="H173" s="20" t="n">
        <v>0</v>
      </c>
      <c r="I173" s="20" t="n">
        <v>0</v>
      </c>
      <c r="L173" s="20" t="n">
        <v>0</v>
      </c>
      <c r="M173" s="20" t="n">
        <v>0</v>
      </c>
      <c r="V173" s="20" t="n">
        <v>0</v>
      </c>
      <c r="W173" s="20" t="n">
        <v>0</v>
      </c>
      <c r="X173" s="20" t="n">
        <v>0</v>
      </c>
    </row>
    <row r="174">
      <c r="A174" s="9" t="inlineStr">
        <is>
          <t>외부 고객 매출</t>
        </is>
      </c>
      <c r="D174" s="12" t="n">
        <v>153990</v>
      </c>
      <c r="E174" s="12" t="n">
        <v>107205</v>
      </c>
      <c r="H174" s="12" t="n">
        <v>144880</v>
      </c>
      <c r="V174" s="12" t="n">
        <v>153990</v>
      </c>
      <c r="W174" s="12" t="n">
        <v>144880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H175" s="15">
        <f>IF(OR(H174="",D174=""),"",IF(D174&lt;=0,"",IFERROR(H174/D174-1,"")))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</row>
    <row r="176">
      <c r="A176" s="18" t="inlineStr">
        <is>
          <t>EntityTotalMember · 외부 고객 매출</t>
        </is>
      </c>
      <c r="E176" s="20" t="n">
        <v>107205</v>
      </c>
      <c r="I176" s="20" t="n">
        <v>100568</v>
      </c>
      <c r="M176" s="20" t="n">
        <v>98696</v>
      </c>
    </row>
    <row r="177">
      <c r="A177" s="18" t="inlineStr">
        <is>
          <t>EquipmentInstallationReportableSegmentsMember · 부문 간 내부매출·대체</t>
        </is>
      </c>
      <c r="D177" s="20" t="n">
        <v>326</v>
      </c>
      <c r="E177" s="20" t="n">
        <v>218</v>
      </c>
      <c r="H177" s="20" t="n">
        <v>357</v>
      </c>
      <c r="I177" s="20" t="n">
        <v>58</v>
      </c>
      <c r="L177" s="20" t="n">
        <v>477</v>
      </c>
      <c r="M177" s="20" t="n">
        <v>75</v>
      </c>
      <c r="V177" s="20" t="n">
        <v>326</v>
      </c>
      <c r="W177" s="20" t="n">
        <v>357</v>
      </c>
      <c r="X177" s="20" t="n">
        <v>477</v>
      </c>
    </row>
    <row r="178">
      <c r="A178" s="18" t="inlineStr">
        <is>
          <t>기타 · 부문 간 내부매출·대체</t>
        </is>
      </c>
      <c r="D178" s="20" t="n">
        <v>1929</v>
      </c>
      <c r="E178" s="20" t="n">
        <v>1007</v>
      </c>
      <c r="H178" s="20" t="n">
        <v>2939</v>
      </c>
      <c r="I178" s="20" t="n">
        <v>963</v>
      </c>
      <c r="L178" s="20" t="n">
        <v>2358</v>
      </c>
      <c r="M178" s="20" t="n">
        <v>1221</v>
      </c>
      <c r="V178" s="20" t="n">
        <v>1929</v>
      </c>
      <c r="W178" s="20" t="n">
        <v>2939</v>
      </c>
      <c r="X178" s="20" t="n">
        <v>2358</v>
      </c>
    </row>
    <row r="179">
      <c r="A179" s="18" t="inlineStr">
        <is>
          <t>합계 · 부문 간 내부매출·대체</t>
        </is>
      </c>
      <c r="D179" s="20" t="n">
        <v>2254</v>
      </c>
      <c r="E179" s="20" t="n">
        <v>1226</v>
      </c>
      <c r="H179" s="20" t="n">
        <v>3296</v>
      </c>
      <c r="I179" s="20" t="n">
        <v>1021</v>
      </c>
      <c r="L179" s="20" t="n">
        <v>2836</v>
      </c>
      <c r="M179" s="20" t="n">
        <v>1296</v>
      </c>
      <c r="V179" s="20" t="n">
        <v>2254</v>
      </c>
      <c r="W179" s="20" t="n">
        <v>3296</v>
      </c>
      <c r="X179" s="20" t="n">
        <v>2836</v>
      </c>
    </row>
    <row r="180">
      <c r="A180" s="18" t="inlineStr">
        <is>
          <t>조정액 · 부문 간 내부매출·대체</t>
        </is>
      </c>
      <c r="D180" s="20" t="n">
        <v>-2254</v>
      </c>
      <c r="E180" s="20" t="n">
        <v>-1226</v>
      </c>
      <c r="H180" s="20" t="n">
        <v>-3296</v>
      </c>
      <c r="I180" s="20" t="n">
        <v>-1021</v>
      </c>
      <c r="L180" s="20" t="n">
        <v>-2836</v>
      </c>
      <c r="M180" s="20" t="n">
        <v>-1296</v>
      </c>
      <c r="V180" s="20" t="n">
        <v>-2254</v>
      </c>
      <c r="W180" s="20" t="n">
        <v>-3296</v>
      </c>
      <c r="X180" s="20" t="n">
        <v>-2836</v>
      </c>
    </row>
    <row r="181">
      <c r="A181" s="18" t="inlineStr">
        <is>
          <t>부문 간 내부매출·대체</t>
        </is>
      </c>
      <c r="D181" s="20" t="n">
        <v>0</v>
      </c>
      <c r="E181" s="20" t="n">
        <v>0</v>
      </c>
      <c r="H181" s="20" t="n">
        <v>0</v>
      </c>
      <c r="V181" s="20" t="n">
        <v>0</v>
      </c>
      <c r="W181" s="20" t="n">
        <v>0</v>
      </c>
    </row>
    <row r="182">
      <c r="A182" s="18" t="inlineStr">
        <is>
          <t>EntityTotalMember · 부문 간 내부매출·대체</t>
        </is>
      </c>
      <c r="E182" s="20" t="n">
        <v>0</v>
      </c>
      <c r="I182" s="20" t="n">
        <v>0</v>
      </c>
      <c r="M182" s="20" t="n">
        <v>0</v>
      </c>
    </row>
    <row r="183">
      <c r="A183" s="18" t="inlineStr">
        <is>
          <t>EquipmentInstallationReportableSegmentsMember · 계</t>
        </is>
      </c>
      <c r="D183" s="20" t="n">
        <v>148976</v>
      </c>
      <c r="E183" s="20" t="n">
        <v>102922</v>
      </c>
      <c r="H183" s="20" t="n">
        <v>139338</v>
      </c>
      <c r="I183" s="20" t="n">
        <v>96636</v>
      </c>
      <c r="L183" s="20" t="n">
        <v>151983</v>
      </c>
      <c r="M183" s="20" t="n">
        <v>94433</v>
      </c>
      <c r="V183" s="20" t="n">
        <v>148976</v>
      </c>
      <c r="W183" s="20" t="n">
        <v>139338</v>
      </c>
      <c r="X183" s="20" t="n">
        <v>151983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기타 · 계</t>
        </is>
      </c>
      <c r="D185" s="20" t="n">
        <v>7267</v>
      </c>
      <c r="E185" s="20" t="n">
        <v>5509</v>
      </c>
      <c r="H185" s="20" t="n">
        <v>8838</v>
      </c>
      <c r="I185" s="20" t="n">
        <v>4954</v>
      </c>
      <c r="L185" s="20" t="n">
        <v>7723</v>
      </c>
      <c r="M185" s="20" t="n">
        <v>5559</v>
      </c>
      <c r="V185" s="20" t="n">
        <v>7267</v>
      </c>
      <c r="W185" s="20" t="n">
        <v>8838</v>
      </c>
      <c r="X185" s="20" t="n">
        <v>7723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합계 · 계</t>
        </is>
      </c>
      <c r="D187" s="20" t="n">
        <v>156243</v>
      </c>
      <c r="E187" s="20" t="n">
        <v>108432</v>
      </c>
      <c r="H187" s="20" t="n">
        <v>148176</v>
      </c>
      <c r="I187" s="20" t="n">
        <v>101590</v>
      </c>
      <c r="L187" s="20" t="n">
        <v>159706</v>
      </c>
      <c r="M187" s="20" t="n">
        <v>99992</v>
      </c>
      <c r="V187" s="20" t="n">
        <v>156243</v>
      </c>
      <c r="W187" s="20" t="n">
        <v>148176</v>
      </c>
      <c r="X187" s="20" t="n">
        <v>159706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조정액 · 계</t>
        </is>
      </c>
      <c r="D189" s="20" t="n">
        <v>-2254</v>
      </c>
      <c r="E189" s="20" t="n">
        <v>-1226</v>
      </c>
      <c r="H189" s="20" t="n">
        <v>-3296</v>
      </c>
      <c r="I189" s="20" t="n">
        <v>-1021</v>
      </c>
      <c r="L189" s="20" t="n">
        <v>-2836</v>
      </c>
      <c r="M189" s="20" t="n">
        <v>-1296</v>
      </c>
      <c r="V189" s="20" t="n">
        <v>-2254</v>
      </c>
      <c r="W189" s="20" t="n">
        <v>-3296</v>
      </c>
      <c r="X189" s="20" t="n">
        <v>-2836</v>
      </c>
    </row>
    <row r="190">
      <c r="A190" s="9" t="inlineStr">
        <is>
          <t>계</t>
        </is>
      </c>
      <c r="D190" s="12" t="n">
        <v>153990</v>
      </c>
      <c r="E190" s="12" t="n">
        <v>107205</v>
      </c>
      <c r="H190" s="12" t="n">
        <v>144880</v>
      </c>
      <c r="V190" s="12" t="n">
        <v>153990</v>
      </c>
      <c r="W190" s="12" t="n">
        <v>144880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H191" s="15">
        <f>IF(OR(H190="",D190=""),"",IF(D190&lt;=0,"",IFERROR(H190/D190-1,"")))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</row>
    <row r="192">
      <c r="A192" s="18" t="inlineStr">
        <is>
          <t>EntityTotalMember · 계</t>
        </is>
      </c>
      <c r="E192" s="20" t="n">
        <v>107205</v>
      </c>
      <c r="I192" s="20" t="n">
        <v>100568</v>
      </c>
      <c r="M192" s="20" t="n">
        <v>98696</v>
      </c>
    </row>
    <row r="193">
      <c r="A193" s="18" t="inlineStr">
        <is>
          <t>EquipmentInstallationReportableSegmentsMember · 부문 이익</t>
        </is>
      </c>
      <c r="D193" s="20" t="n">
        <v>13846</v>
      </c>
      <c r="E193" s="20" t="n">
        <v>9551</v>
      </c>
      <c r="H193" s="20" t="n">
        <v>11290</v>
      </c>
      <c r="I193" s="20" t="n">
        <v>10244</v>
      </c>
      <c r="L193" s="20" t="n">
        <v>17440</v>
      </c>
      <c r="M193" s="20" t="n">
        <v>9953</v>
      </c>
      <c r="V193" s="20" t="n">
        <v>13846</v>
      </c>
      <c r="W193" s="20" t="n">
        <v>11290</v>
      </c>
      <c r="X193" s="20" t="n">
        <v>17440</v>
      </c>
    </row>
    <row r="194">
      <c r="A194" s="43" t="inlineStr">
        <is>
          <t>OPM</t>
        </is>
      </c>
      <c r="B194" s="3" t="inlineStr">
        <is>
          <t>영업이익 ÷ 매출</t>
        </is>
      </c>
      <c r="D194" s="15">
        <f>IF(OR(D193="",D183=""),"",IF(D183&lt;=0,"",IFERROR(D193/D183,"")))</f>
        <v/>
      </c>
      <c r="E194" s="15">
        <f>IF(OR(E193="",E183=""),"",IF(E183&lt;=0,"",IFERROR(E193/E183,"")))</f>
        <v/>
      </c>
      <c r="H194" s="15">
        <f>IF(OR(H193="",H183=""),"",IF(H183&lt;=0,"",IFERROR(H193/H183,"")))</f>
        <v/>
      </c>
      <c r="I194" s="15">
        <f>IF(OR(I193="",I183=""),"",IF(I183&lt;=0,"",IFERROR(I193/I183,"")))</f>
        <v/>
      </c>
      <c r="L194" s="15">
        <f>IF(OR(L193="",L183=""),"",IF(L183&lt;=0,"",IFERROR(L193/L183,"")))</f>
        <v/>
      </c>
      <c r="M194" s="15">
        <f>IF(OR(M193="",M183=""),"",IF(M183&lt;=0,"",IFERROR(M193/M183,"")))</f>
        <v/>
      </c>
      <c r="V194" s="15">
        <f>IF(OR(V193="",V183=""),"",IF(V183&lt;=0,"",IFERROR(V193/V183,"")))</f>
        <v/>
      </c>
      <c r="W194" s="15">
        <f>IF(OR(W193="",W183=""),"",IF(W183&lt;=0,"",IFERROR(W193/W183,"")))</f>
        <v/>
      </c>
      <c r="X194" s="15">
        <f>IF(OR(X193="",X183=""),"",IF(X183&lt;=0,"",IFERROR(X193/X183,"")))</f>
        <v/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H195" s="15">
        <f>IF(OR(H193="",D193=""),"",IF(D193&lt;=0,"",IFERROR(H193/D193-1,"")))</f>
        <v/>
      </c>
      <c r="I195" s="15">
        <f>IF(OR(I193="",E193=""),"",IF(E193&lt;=0,"",IFERROR(I193/E193-1,"")))</f>
        <v/>
      </c>
      <c r="L195" s="15">
        <f>IF(OR(L193="",H193=""),"",IF(H193&lt;=0,"",IFERROR(L193/H193-1,"")))</f>
        <v/>
      </c>
      <c r="M195" s="15">
        <f>IF(OR(M193="",I193=""),"",IF(I193&lt;=0,"",IFERROR(M193/I193-1,"")))</f>
        <v/>
      </c>
      <c r="V195" s="15">
        <f>IF(OR(V193="",U193=""),"",IF(U193&lt;=0,"",IFERROR(V193/U193-1,"")))</f>
        <v/>
      </c>
      <c r="W195" s="15">
        <f>IF(OR(W193="",V193=""),"",IF(V193&lt;=0,"",IFERROR(W193/V193-1,"")))</f>
        <v/>
      </c>
      <c r="X195" s="15">
        <f>IF(OR(X193="",W193=""),"",IF(W193&lt;=0,"",IFERROR(X193/W193-1,"")))</f>
        <v/>
      </c>
    </row>
    <row r="196">
      <c r="A196" s="18" t="inlineStr">
        <is>
          <t>기타 · 부문 이익</t>
        </is>
      </c>
      <c r="D196" s="20" t="n">
        <v>1050</v>
      </c>
      <c r="E196" s="20" t="n">
        <v>630</v>
      </c>
      <c r="H196" s="20" t="n">
        <v>387</v>
      </c>
      <c r="I196" s="20" t="n">
        <v>677</v>
      </c>
      <c r="L196" s="20" t="n">
        <v>800</v>
      </c>
      <c r="M196" s="20" t="n">
        <v>741</v>
      </c>
      <c r="V196" s="20" t="n">
        <v>1050</v>
      </c>
      <c r="W196" s="20" t="n">
        <v>387</v>
      </c>
      <c r="X196" s="20" t="n">
        <v>800</v>
      </c>
    </row>
    <row r="197">
      <c r="A197" s="43" t="inlineStr">
        <is>
          <t>OPM</t>
        </is>
      </c>
      <c r="B197" s="3" t="inlineStr">
        <is>
          <t>영업이익 ÷ 매출</t>
        </is>
      </c>
      <c r="D197" s="15">
        <f>IF(OR(D196="",D185=""),"",IF(D185&lt;=0,"",IFERROR(D196/D185,"")))</f>
        <v/>
      </c>
      <c r="E197" s="15">
        <f>IF(OR(E196="",E185=""),"",IF(E185&lt;=0,"",IFERROR(E196/E185,"")))</f>
        <v/>
      </c>
      <c r="H197" s="15">
        <f>IF(OR(H196="",H185=""),"",IF(H185&lt;=0,"",IFERROR(H196/H185,"")))</f>
        <v/>
      </c>
      <c r="I197" s="15">
        <f>IF(OR(I196="",I185=""),"",IF(I185&lt;=0,"",IFERROR(I196/I185,"")))</f>
        <v/>
      </c>
      <c r="L197" s="15">
        <f>IF(OR(L196="",L185=""),"",IF(L185&lt;=0,"",IFERROR(L196/L185,"")))</f>
        <v/>
      </c>
      <c r="M197" s="15">
        <f>IF(OR(M196="",M185=""),"",IF(M185&lt;=0,"",IFERROR(M196/M185,"")))</f>
        <v/>
      </c>
      <c r="V197" s="15">
        <f>IF(OR(V196="",V185=""),"",IF(V185&lt;=0,"",IFERROR(V196/V185,"")))</f>
        <v/>
      </c>
      <c r="W197" s="15">
        <f>IF(OR(W196="",W185=""),"",IF(W185&lt;=0,"",IFERROR(W196/W185,"")))</f>
        <v/>
      </c>
      <c r="X197" s="15">
        <f>IF(OR(X196="",X185=""),"",IF(X185&lt;=0,"",IFERROR(X196/X185,"")))</f>
        <v/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H198" s="15">
        <f>IF(OR(H196="",D196=""),"",IF(D196&lt;=0,"",IFERROR(H196/D196-1,"")))</f>
        <v/>
      </c>
      <c r="I198" s="15">
        <f>IF(OR(I196="",E196=""),"",IF(E196&lt;=0,"",IFERROR(I196/E196-1,"")))</f>
        <v/>
      </c>
      <c r="L198" s="15">
        <f>IF(OR(L196="",H196=""),"",IF(H196&lt;=0,"",IFERROR(L196/H196-1,"")))</f>
        <v/>
      </c>
      <c r="M198" s="15">
        <f>IF(OR(M196="",I196=""),"",IF(I196&lt;=0,"",IFERROR(M196/I196-1,"")))</f>
        <v/>
      </c>
      <c r="V198" s="15">
        <f>IF(OR(V196="",U196=""),"",IF(U196&lt;=0,"",IFERROR(V196/U196-1,"")))</f>
        <v/>
      </c>
      <c r="W198" s="15">
        <f>IF(OR(W196="",V196=""),"",IF(V196&lt;=0,"",IFERROR(W196/V196-1,"")))</f>
        <v/>
      </c>
      <c r="X198" s="15">
        <f>IF(OR(X196="",W196=""),"",IF(W196&lt;=0,"",IFERROR(X196/W196-1,"")))</f>
        <v/>
      </c>
    </row>
    <row r="199">
      <c r="A199" s="18" t="inlineStr">
        <is>
          <t>합계 · 부문 이익</t>
        </is>
      </c>
      <c r="D199" s="20" t="n">
        <v>14895</v>
      </c>
      <c r="E199" s="20" t="n">
        <v>10181</v>
      </c>
      <c r="H199" s="20" t="n">
        <v>11676</v>
      </c>
      <c r="I199" s="20" t="n">
        <v>10922</v>
      </c>
      <c r="L199" s="20" t="n">
        <v>18240</v>
      </c>
      <c r="M199" s="20" t="n">
        <v>10695</v>
      </c>
      <c r="V199" s="20" t="n">
        <v>14895</v>
      </c>
      <c r="W199" s="20" t="n">
        <v>11676</v>
      </c>
      <c r="X199" s="20" t="n">
        <v>18240</v>
      </c>
    </row>
    <row r="200">
      <c r="A200" s="43" t="inlineStr">
        <is>
          <t>OPM</t>
        </is>
      </c>
      <c r="B200" s="3" t="inlineStr">
        <is>
          <t>영업이익 ÷ 매출</t>
        </is>
      </c>
      <c r="D200" s="15">
        <f>IF(OR(D199="",D187=""),"",IF(D187&lt;=0,"",IFERROR(D199/D187,"")))</f>
        <v/>
      </c>
      <c r="E200" s="15">
        <f>IF(OR(E199="",E187=""),"",IF(E187&lt;=0,"",IFERROR(E199/E187,"")))</f>
        <v/>
      </c>
      <c r="H200" s="15">
        <f>IF(OR(H199="",H187=""),"",IF(H187&lt;=0,"",IFERROR(H199/H187,"")))</f>
        <v/>
      </c>
      <c r="I200" s="15">
        <f>IF(OR(I199="",I187=""),"",IF(I187&lt;=0,"",IFERROR(I199/I187,"")))</f>
        <v/>
      </c>
      <c r="L200" s="15">
        <f>IF(OR(L199="",L187=""),"",IF(L187&lt;=0,"",IFERROR(L199/L187,"")))</f>
        <v/>
      </c>
      <c r="M200" s="15">
        <f>IF(OR(M199="",M187=""),"",IF(M187&lt;=0,"",IFERROR(M199/M187,"")))</f>
        <v/>
      </c>
      <c r="V200" s="15">
        <f>IF(OR(V199="",V187=""),"",IF(V187&lt;=0,"",IFERROR(V199/V187,"")))</f>
        <v/>
      </c>
      <c r="W200" s="15">
        <f>IF(OR(W199="",W187=""),"",IF(W187&lt;=0,"",IFERROR(W199/W187,"")))</f>
        <v/>
      </c>
      <c r="X200" s="15">
        <f>IF(OR(X199="",X187=""),"",IF(X187&lt;=0,"",IFERROR(X199/X187,"")))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L201" s="15">
        <f>IF(OR(L199="",H199=""),"",IF(H199&lt;=0,"",IFERROR(L199/H199-1,"")))</f>
        <v/>
      </c>
      <c r="M201" s="15">
        <f>IF(OR(M199="",I199=""),"",IF(I199&lt;=0,"",IFERROR(M199/I199-1,"")))</f>
        <v/>
      </c>
      <c r="V201" s="15">
        <f>IF(OR(V199="",U199=""),"",IF(U199&lt;=0,"",IFERROR(V199/U199-1,"")))</f>
        <v/>
      </c>
      <c r="W201" s="15">
        <f>IF(OR(W199="",V199=""),"",IF(V199&lt;=0,"",IFERROR(W199/V199-1,"")))</f>
        <v/>
      </c>
      <c r="X201" s="15">
        <f>IF(OR(X199="",W199=""),"",IF(W199&lt;=0,"",IFERROR(X199/W199-1,"")))</f>
        <v/>
      </c>
    </row>
    <row r="202">
      <c r="A202" s="18" t="inlineStr">
        <is>
          <t>조정액 · 부문 이익</t>
        </is>
      </c>
      <c r="D202" s="20" t="n">
        <v>-103</v>
      </c>
      <c r="E202" s="20" t="n">
        <v>81</v>
      </c>
      <c r="H202" s="20" t="n">
        <v>241</v>
      </c>
      <c r="I202" s="20" t="n">
        <v>176</v>
      </c>
      <c r="L202" s="20" t="n">
        <v>-83</v>
      </c>
      <c r="M202" s="20" t="n">
        <v>36</v>
      </c>
      <c r="V202" s="20" t="n">
        <v>-103</v>
      </c>
      <c r="W202" s="20" t="n">
        <v>241</v>
      </c>
      <c r="X202" s="20" t="n">
        <v>-83</v>
      </c>
    </row>
    <row r="203">
      <c r="A203" s="9" t="inlineStr">
        <is>
          <t>부문 이익</t>
        </is>
      </c>
      <c r="D203" s="12" t="n">
        <v>14791</v>
      </c>
      <c r="E203" s="12" t="n">
        <v>10263</v>
      </c>
      <c r="H203" s="12" t="n">
        <v>11918</v>
      </c>
      <c r="V203" s="12" t="n">
        <v>14791</v>
      </c>
      <c r="W203" s="12" t="n">
        <v>11918</v>
      </c>
    </row>
    <row r="204">
      <c r="A204" s="43" t="inlineStr">
        <is>
          <t>OPM</t>
        </is>
      </c>
      <c r="B204" s="3" t="inlineStr">
        <is>
          <t>영업이익 ÷ 매출</t>
        </is>
      </c>
      <c r="D204" s="15">
        <f>IF(OR(D203="",D174=""),"",IF(D174&lt;=0,"",IFERROR(D203/D174,"")))</f>
        <v/>
      </c>
      <c r="E204" s="15">
        <f>IF(OR(E203="",E174=""),"",IF(E174&lt;=0,"",IFERROR(E203/E174,"")))</f>
        <v/>
      </c>
      <c r="H204" s="15">
        <f>IF(OR(H203="",H174=""),"",IF(H174&lt;=0,"",IFERROR(H203/H174,"")))</f>
        <v/>
      </c>
      <c r="V204" s="15">
        <f>IF(OR(V203="",V174=""),"",IF(V174&lt;=0,"",IFERROR(V203/V174,"")))</f>
        <v/>
      </c>
      <c r="W204" s="15">
        <f>IF(OR(W203="",W174=""),"",IF(W174&lt;=0,"",IFERROR(W203/W174,"")))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H205" s="15">
        <f>IF(OR(H203="",D203=""),"",IF(D203&lt;=0,"",IFERROR(H203/D203-1,"")))</f>
        <v/>
      </c>
      <c r="V205" s="15">
        <f>IF(OR(V203="",U203=""),"",IF(U203&lt;=0,"",IFERROR(V203/U203-1,"")))</f>
        <v/>
      </c>
      <c r="W205" s="15">
        <f>IF(OR(W203="",V203=""),"",IF(V203&lt;=0,"",IFERROR(W203/V203-1,"")))</f>
        <v/>
      </c>
    </row>
    <row r="206">
      <c r="A206" s="18" t="inlineStr">
        <is>
          <t>EntityTotalMember · 부문 이익</t>
        </is>
      </c>
      <c r="E206" s="20" t="n">
        <v>10263</v>
      </c>
      <c r="I206" s="20" t="n">
        <v>11098</v>
      </c>
      <c r="M206" s="20" t="n">
        <v>10731</v>
      </c>
    </row>
    <row r="208">
      <c r="A208" s="16" t="inlineStr">
        <is>
          <t>현금흐름표 · 전 항목</t>
        </is>
      </c>
      <c r="B208" s="42" t="inlineStr">
        <is>
          <t>분기 = 결산기 첫날부터 누계(공시 그대로)</t>
        </is>
      </c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</row>
    <row r="209">
      <c r="A209" s="5" t="inlineStr">
        <is>
          <t>항목</t>
        </is>
      </c>
      <c r="B209" s="5" t="inlineStr">
        <is>
          <t>참고</t>
        </is>
      </c>
      <c r="C209" s="5" t="inlineStr">
        <is>
          <t>2024.3Q</t>
        </is>
      </c>
      <c r="D209" s="5" t="inlineStr">
        <is>
          <t>2024.4Q</t>
        </is>
      </c>
      <c r="E209" s="5" t="inlineStr">
        <is>
          <t>2025.1Q</t>
        </is>
      </c>
      <c r="F209" s="5" t="inlineStr">
        <is>
          <t>2025.2Q</t>
        </is>
      </c>
      <c r="G209" s="5" t="inlineStr">
        <is>
          <t>2025.3Q</t>
        </is>
      </c>
      <c r="H209" s="5" t="inlineStr">
        <is>
          <t>2025.4Q</t>
        </is>
      </c>
      <c r="I209" s="5" t="inlineStr">
        <is>
          <t>2026.1Q</t>
        </is>
      </c>
      <c r="J209" s="5" t="inlineStr">
        <is>
          <t>2026.2Q</t>
        </is>
      </c>
      <c r="K209" s="5" t="inlineStr">
        <is>
          <t>2026.3Q</t>
        </is>
      </c>
      <c r="L209" s="5" t="inlineStr">
        <is>
          <t>2026.4Q</t>
        </is>
      </c>
      <c r="M209" s="5" t="inlineStr">
        <is>
          <t>2027.1Q</t>
        </is>
      </c>
      <c r="N209" s="5" t="inlineStr">
        <is>
          <t>2027.2Q</t>
        </is>
      </c>
      <c r="O209" s="5" t="inlineStr">
        <is>
          <t>2017</t>
        </is>
      </c>
      <c r="P209" s="5" t="inlineStr">
        <is>
          <t>2018</t>
        </is>
      </c>
      <c r="Q209" s="5" t="inlineStr">
        <is>
          <t>2019</t>
        </is>
      </c>
      <c r="R209" s="5" t="inlineStr">
        <is>
          <t>2020</t>
        </is>
      </c>
      <c r="S209" s="5" t="inlineStr">
        <is>
          <t>2021</t>
        </is>
      </c>
      <c r="T209" s="5" t="inlineStr">
        <is>
          <t>2022</t>
        </is>
      </c>
      <c r="U209" s="5" t="inlineStr">
        <is>
          <t>2023</t>
        </is>
      </c>
      <c r="V209" s="5" t="inlineStr">
        <is>
          <t>2024</t>
        </is>
      </c>
      <c r="W209" s="5" t="inlineStr">
        <is>
          <t>2025</t>
        </is>
      </c>
      <c r="X209" s="5" t="inlineStr">
        <is>
          <t>2026</t>
        </is>
      </c>
      <c r="Y209" s="5" t="inlineStr">
        <is>
          <t>2027(MW)</t>
        </is>
      </c>
      <c r="Z209" s="5" t="inlineStr">
        <is>
          <t>2028(MW)</t>
        </is>
      </c>
      <c r="AA209" s="5" t="inlineStr">
        <is>
          <t>2029(MW)</t>
        </is>
      </c>
      <c r="AB209" s="5" t="inlineStr">
        <is>
          <t>2030(MW)</t>
        </is>
      </c>
      <c r="AC209" s="5" t="inlineStr">
        <is>
          <t>2031(MW)</t>
        </is>
      </c>
    </row>
    <row r="210">
      <c r="A210" s="9" t="inlineStr">
        <is>
          <t>법인세차감전 순이익</t>
        </is>
      </c>
      <c r="D210" s="12" t="n">
        <v>41158</v>
      </c>
      <c r="H210" s="12" t="n">
        <v>44293</v>
      </c>
      <c r="L210" s="12" t="n">
        <v>57129</v>
      </c>
      <c r="O210" s="12" t="n">
        <v>31995</v>
      </c>
      <c r="P210" s="12" t="n">
        <v>37148</v>
      </c>
      <c r="Q210" s="12" t="n">
        <v>39260</v>
      </c>
      <c r="R210" s="12" t="n">
        <v>38423</v>
      </c>
      <c r="S210" s="12" t="n">
        <v>36784</v>
      </c>
      <c r="T210" s="12" t="n">
        <v>36833</v>
      </c>
      <c r="U210" s="12" t="n">
        <v>38793</v>
      </c>
      <c r="V210" s="12" t="n">
        <v>41158</v>
      </c>
      <c r="W210" s="12" t="n">
        <v>44293</v>
      </c>
      <c r="X210" s="12" t="n">
        <v>57129</v>
      </c>
    </row>
    <row r="211">
      <c r="A211" s="18" t="inlineStr">
        <is>
          <t>감가상각비</t>
        </is>
      </c>
      <c r="D211" s="20" t="n">
        <v>6016</v>
      </c>
      <c r="H211" s="20" t="n">
        <v>6454</v>
      </c>
      <c r="L211" s="20" t="n">
        <v>6922</v>
      </c>
      <c r="O211" s="20" t="n">
        <v>5449</v>
      </c>
      <c r="P211" s="20" t="n">
        <v>5512</v>
      </c>
      <c r="Q211" s="20" t="n">
        <v>6074</v>
      </c>
      <c r="R211" s="20" t="n">
        <v>5961</v>
      </c>
      <c r="S211" s="20" t="n">
        <v>5739</v>
      </c>
      <c r="T211" s="20" t="n">
        <v>5791</v>
      </c>
      <c r="U211" s="20" t="n">
        <v>6018</v>
      </c>
      <c r="V211" s="20" t="n">
        <v>6016</v>
      </c>
      <c r="W211" s="20" t="n">
        <v>6454</v>
      </c>
      <c r="X211" s="20" t="n">
        <v>6922</v>
      </c>
    </row>
    <row r="212">
      <c r="A212" s="18" t="inlineStr">
        <is>
          <t>손상차손</t>
        </is>
      </c>
      <c r="D212" s="20" t="n">
        <v>856</v>
      </c>
      <c r="H212" s="20" t="n">
        <v>277</v>
      </c>
      <c r="L212" s="20" t="n">
        <v>728</v>
      </c>
      <c r="O212" s="20" t="n">
        <v>0</v>
      </c>
      <c r="P212" s="20" t="n">
        <v>831</v>
      </c>
      <c r="Q212" s="20" t="n">
        <v>0</v>
      </c>
      <c r="T212" s="20" t="n">
        <v>0</v>
      </c>
      <c r="U212" s="20" t="n">
        <v>326</v>
      </c>
      <c r="V212" s="20" t="n">
        <v>856</v>
      </c>
      <c r="W212" s="20" t="n">
        <v>277</v>
      </c>
      <c r="X212" s="20" t="n">
        <v>728</v>
      </c>
    </row>
    <row r="213">
      <c r="A213" s="18" t="inlineStr">
        <is>
          <t>대손충당금 증감</t>
        </is>
      </c>
      <c r="D213" s="20" t="n">
        <v>15</v>
      </c>
      <c r="H213" s="20" t="n">
        <v>361</v>
      </c>
      <c r="L213" s="20" t="n">
        <v>450</v>
      </c>
      <c r="O213" s="20" t="n">
        <v>142</v>
      </c>
      <c r="P213" s="20" t="n">
        <v>107</v>
      </c>
      <c r="Q213" s="20" t="n">
        <v>575</v>
      </c>
      <c r="R213" s="20" t="n">
        <v>-13</v>
      </c>
      <c r="S213" s="20" t="n">
        <v>233</v>
      </c>
      <c r="T213" s="20" t="n">
        <v>-152</v>
      </c>
      <c r="U213" s="20" t="n">
        <v>-24</v>
      </c>
      <c r="V213" s="20" t="n">
        <v>15</v>
      </c>
      <c r="W213" s="20" t="n">
        <v>361</v>
      </c>
      <c r="X213" s="20" t="n">
        <v>450</v>
      </c>
    </row>
    <row r="214">
      <c r="A214" s="18" t="inlineStr">
        <is>
          <t>퇴직급여자산 증감</t>
        </is>
      </c>
      <c r="D214" s="20" t="n">
        <v>-536</v>
      </c>
      <c r="H214" s="20" t="n">
        <v>-3853</v>
      </c>
      <c r="L214" s="20" t="n">
        <v>-6156</v>
      </c>
      <c r="S214" s="20" t="n">
        <v>0</v>
      </c>
      <c r="T214" s="20" t="n">
        <v>-2860</v>
      </c>
      <c r="U214" s="20" t="n">
        <v>-3064</v>
      </c>
      <c r="V214" s="20" t="n">
        <v>-536</v>
      </c>
      <c r="W214" s="20" t="n">
        <v>-3853</v>
      </c>
      <c r="X214" s="20" t="n">
        <v>-6156</v>
      </c>
    </row>
    <row r="215">
      <c r="A215" s="18" t="inlineStr">
        <is>
          <t>퇴직급여부채·임원퇴직위로충당금 증감액(△는 감소)</t>
        </is>
      </c>
      <c r="D215" s="20" t="n">
        <v>-330</v>
      </c>
      <c r="H215" s="20" t="n">
        <v>1637</v>
      </c>
      <c r="L215" s="20" t="n">
        <v>3411</v>
      </c>
      <c r="O215" s="20" t="n">
        <v>-2448</v>
      </c>
      <c r="P215" s="20" t="n">
        <v>-3634</v>
      </c>
      <c r="Q215" s="20" t="n">
        <v>-3295</v>
      </c>
      <c r="R215" s="20" t="n">
        <v>-3319</v>
      </c>
      <c r="S215" s="20" t="n">
        <v>-3343</v>
      </c>
      <c r="T215" s="20" t="n">
        <v>-907</v>
      </c>
      <c r="U215" s="20" t="n">
        <v>1544</v>
      </c>
      <c r="V215" s="20" t="n">
        <v>-330</v>
      </c>
      <c r="W215" s="20" t="n">
        <v>1637</v>
      </c>
      <c r="X215" s="20" t="n">
        <v>3411</v>
      </c>
    </row>
    <row r="216">
      <c r="A216" s="18" t="inlineStr">
        <is>
          <t>공사손실충당금 증감(△는 감소)</t>
        </is>
      </c>
      <c r="D216" s="20" t="n">
        <v>240</v>
      </c>
      <c r="H216" s="20" t="n">
        <v>2493</v>
      </c>
      <c r="L216" s="20" t="n">
        <v>1900</v>
      </c>
      <c r="O216" s="20" t="n">
        <v>154</v>
      </c>
      <c r="P216" s="20" t="n">
        <v>-214</v>
      </c>
      <c r="Q216" s="20" t="n">
        <v>0</v>
      </c>
      <c r="R216" s="20" t="n">
        <v>12</v>
      </c>
      <c r="S216" s="20" t="n">
        <v>48</v>
      </c>
      <c r="T216" s="20" t="n">
        <v>123</v>
      </c>
      <c r="U216" s="20" t="n">
        <v>-170</v>
      </c>
      <c r="V216" s="20" t="n">
        <v>240</v>
      </c>
      <c r="W216" s="20" t="n">
        <v>2493</v>
      </c>
      <c r="X216" s="20" t="n">
        <v>1900</v>
      </c>
    </row>
    <row r="217">
      <c r="A217" s="18" t="inlineStr">
        <is>
          <t>시설이용권 평가손실</t>
        </is>
      </c>
      <c r="O217" s="20" t="n">
        <v>0</v>
      </c>
      <c r="P217" s="20" t="n">
        <v>1</v>
      </c>
      <c r="Q217" s="20" t="n">
        <v>13</v>
      </c>
      <c r="R217" s="20" t="n">
        <v>0</v>
      </c>
    </row>
    <row r="218">
      <c r="A218" s="18" t="inlineStr">
        <is>
          <t>관계회사 사업손실충당금 증감액(△는 감소)</t>
        </is>
      </c>
      <c r="D218" s="20" t="n">
        <v>2260</v>
      </c>
      <c r="H218" s="20" t="n">
        <v>-2095</v>
      </c>
      <c r="L218" s="20" t="n">
        <v>0</v>
      </c>
      <c r="U218" s="20" t="n">
        <v>0</v>
      </c>
      <c r="V218" s="20" t="n">
        <v>2260</v>
      </c>
      <c r="W218" s="20" t="n">
        <v>-2095</v>
      </c>
      <c r="X218" s="20" t="n">
        <v>0</v>
      </c>
    </row>
    <row r="219">
      <c r="A219" s="18" t="inlineStr">
        <is>
          <t>투자사업조합 운용 손익(△는 이익)</t>
        </is>
      </c>
      <c r="D219" s="20" t="n">
        <v>-1392</v>
      </c>
      <c r="H219" s="20" t="n">
        <v>-1463</v>
      </c>
      <c r="L219" s="20" t="n">
        <v>-1719</v>
      </c>
      <c r="O219" s="20" t="n">
        <v>-188</v>
      </c>
      <c r="P219" s="20" t="n">
        <v>-641</v>
      </c>
      <c r="Q219" s="20" t="n">
        <v>-976</v>
      </c>
      <c r="R219" s="20" t="n">
        <v>-1117</v>
      </c>
      <c r="S219" s="20" t="n">
        <v>-1054</v>
      </c>
      <c r="T219" s="20" t="n">
        <v>-910</v>
      </c>
      <c r="U219" s="20" t="n">
        <v>-1427</v>
      </c>
      <c r="V219" s="20" t="n">
        <v>-1392</v>
      </c>
      <c r="W219" s="20" t="n">
        <v>-1463</v>
      </c>
      <c r="X219" s="20" t="n">
        <v>-1719</v>
      </c>
    </row>
    <row r="220">
      <c r="A220" s="18" t="inlineStr">
        <is>
          <t>이자·배당금 수익</t>
        </is>
      </c>
      <c r="D220" s="20" t="n">
        <v>-1653</v>
      </c>
      <c r="H220" s="20" t="n">
        <v>-1401</v>
      </c>
      <c r="L220" s="20" t="n">
        <v>-1235</v>
      </c>
      <c r="O220" s="20" t="n">
        <v>-864</v>
      </c>
      <c r="P220" s="20" t="n">
        <v>-648</v>
      </c>
      <c r="Q220" s="20" t="n">
        <v>-626</v>
      </c>
      <c r="R220" s="20" t="n">
        <v>-729</v>
      </c>
      <c r="S220" s="20" t="n">
        <v>-814</v>
      </c>
      <c r="T220" s="20" t="n">
        <v>-796</v>
      </c>
      <c r="U220" s="20" t="n">
        <v>-780</v>
      </c>
      <c r="V220" s="20" t="n">
        <v>-1653</v>
      </c>
      <c r="W220" s="20" t="n">
        <v>-1401</v>
      </c>
      <c r="X220" s="20" t="n">
        <v>-1235</v>
      </c>
    </row>
    <row r="221">
      <c r="A221" s="18" t="inlineStr">
        <is>
          <t>이자비용</t>
        </is>
      </c>
      <c r="D221" s="20" t="n">
        <v>466</v>
      </c>
      <c r="H221" s="20" t="n">
        <v>515</v>
      </c>
      <c r="L221" s="20" t="n">
        <v>649</v>
      </c>
      <c r="O221" s="20" t="n">
        <v>397</v>
      </c>
      <c r="P221" s="20" t="n">
        <v>411</v>
      </c>
      <c r="Q221" s="20" t="n">
        <v>372</v>
      </c>
      <c r="R221" s="20" t="n">
        <v>385</v>
      </c>
      <c r="S221" s="20" t="n">
        <v>411</v>
      </c>
      <c r="T221" s="20" t="n">
        <v>387</v>
      </c>
      <c r="U221" s="20" t="n">
        <v>424</v>
      </c>
      <c r="V221" s="20" t="n">
        <v>466</v>
      </c>
      <c r="W221" s="20" t="n">
        <v>515</v>
      </c>
      <c r="X221" s="20" t="n">
        <v>649</v>
      </c>
    </row>
    <row r="222">
      <c r="A222" s="18" t="inlineStr">
        <is>
          <t>외환차손익</t>
        </is>
      </c>
      <c r="D222" s="20" t="n">
        <v>-89</v>
      </c>
      <c r="H222" s="20" t="n">
        <v>-114</v>
      </c>
      <c r="L222" s="20" t="n">
        <v>-440</v>
      </c>
      <c r="O222" s="20" t="n">
        <v>40</v>
      </c>
      <c r="P222" s="20" t="n">
        <v>-35</v>
      </c>
      <c r="Q222" s="20" t="n">
        <v>22</v>
      </c>
      <c r="R222" s="20" t="n">
        <v>46</v>
      </c>
      <c r="S222" s="20" t="n">
        <v>-60</v>
      </c>
      <c r="T222" s="20" t="n">
        <v>-126</v>
      </c>
      <c r="U222" s="20" t="n">
        <v>-168</v>
      </c>
      <c r="V222" s="20" t="n">
        <v>-89</v>
      </c>
      <c r="W222" s="20" t="n">
        <v>-114</v>
      </c>
      <c r="X222" s="20" t="n">
        <v>-440</v>
      </c>
    </row>
    <row r="223">
      <c r="A223" s="18" t="inlineStr">
        <is>
          <t>지분법손익</t>
        </is>
      </c>
      <c r="D223" s="20" t="n">
        <v>-675</v>
      </c>
      <c r="H223" s="20" t="n">
        <v>-138</v>
      </c>
      <c r="L223" s="20" t="n">
        <v>943</v>
      </c>
      <c r="O223" s="20" t="n">
        <v>-6</v>
      </c>
      <c r="P223" s="20" t="n">
        <v>-310</v>
      </c>
      <c r="Q223" s="20" t="n">
        <v>-541</v>
      </c>
      <c r="R223" s="20" t="n">
        <v>-306</v>
      </c>
      <c r="S223" s="20" t="n">
        <v>-431</v>
      </c>
      <c r="T223" s="20" t="n">
        <v>-1201</v>
      </c>
      <c r="U223" s="20" t="n">
        <v>-414</v>
      </c>
      <c r="V223" s="20" t="n">
        <v>-675</v>
      </c>
      <c r="W223" s="20" t="n">
        <v>-138</v>
      </c>
      <c r="X223" s="20" t="n">
        <v>943</v>
      </c>
    </row>
    <row r="224">
      <c r="A224" s="18" t="inlineStr">
        <is>
          <t>유형자산 매각손익</t>
        </is>
      </c>
      <c r="D224" s="20" t="n">
        <v>-39</v>
      </c>
      <c r="H224" s="20" t="n">
        <v>-112</v>
      </c>
      <c r="L224" s="20" t="n">
        <v>0</v>
      </c>
      <c r="O224" s="20" t="n">
        <v>-46</v>
      </c>
      <c r="P224" s="20" t="n">
        <v>-509</v>
      </c>
      <c r="Q224" s="20" t="n">
        <v>-63</v>
      </c>
      <c r="R224" s="20" t="n">
        <v>25</v>
      </c>
      <c r="S224" s="20" t="n">
        <v>-29</v>
      </c>
      <c r="T224" s="20" t="n">
        <v>-4</v>
      </c>
      <c r="U224" s="20" t="n">
        <v>-310</v>
      </c>
      <c r="V224" s="20" t="n">
        <v>-39</v>
      </c>
      <c r="W224" s="20" t="n">
        <v>-112</v>
      </c>
      <c r="X224" s="20" t="n">
        <v>0</v>
      </c>
    </row>
    <row r="225">
      <c r="A225" s="18" t="inlineStr">
        <is>
          <t>유형자산 제각손실</t>
        </is>
      </c>
      <c r="D225" s="20" t="n">
        <v>365</v>
      </c>
      <c r="H225" s="20" t="n">
        <v>198</v>
      </c>
      <c r="L225" s="20" t="n">
        <v>330</v>
      </c>
      <c r="O225" s="20" t="n">
        <v>88</v>
      </c>
      <c r="P225" s="20" t="n">
        <v>318</v>
      </c>
      <c r="Q225" s="20" t="n">
        <v>553</v>
      </c>
      <c r="R225" s="20" t="n">
        <v>140</v>
      </c>
      <c r="S225" s="20" t="n">
        <v>157</v>
      </c>
      <c r="T225" s="20" t="n">
        <v>282</v>
      </c>
      <c r="U225" s="20" t="n">
        <v>208</v>
      </c>
      <c r="V225" s="20" t="n">
        <v>365</v>
      </c>
      <c r="W225" s="20" t="n">
        <v>198</v>
      </c>
      <c r="X225" s="20" t="n">
        <v>330</v>
      </c>
    </row>
    <row r="226">
      <c r="A226" s="18" t="inlineStr">
        <is>
          <t>유가증권·투자유가증권 평가손익(△는 이익)</t>
        </is>
      </c>
      <c r="D226" s="20" t="n">
        <v>422</v>
      </c>
      <c r="H226" s="20" t="n">
        <v>0</v>
      </c>
      <c r="L226" s="20" t="n">
        <v>985</v>
      </c>
      <c r="O226" s="20" t="n">
        <v>96</v>
      </c>
      <c r="P226" s="20" t="n">
        <v>7</v>
      </c>
      <c r="Q226" s="20" t="n">
        <v>185</v>
      </c>
      <c r="R226" s="20" t="n">
        <v>294</v>
      </c>
      <c r="S226" s="20" t="n">
        <v>133</v>
      </c>
      <c r="T226" s="20" t="n">
        <v>489</v>
      </c>
      <c r="U226" s="20" t="n">
        <v>602</v>
      </c>
      <c r="V226" s="20" t="n">
        <v>422</v>
      </c>
      <c r="W226" s="20" t="n">
        <v>0</v>
      </c>
      <c r="X226" s="20" t="n">
        <v>985</v>
      </c>
    </row>
    <row r="227">
      <c r="A227" s="18" t="inlineStr">
        <is>
          <t>유가증권·투자유가증권 매각손익(△는 이익)</t>
        </is>
      </c>
      <c r="D227" s="20" t="n">
        <v>-2667</v>
      </c>
      <c r="H227" s="20" t="n">
        <v>63</v>
      </c>
      <c r="L227" s="20" t="n">
        <v>-1041</v>
      </c>
      <c r="O227" s="20" t="n">
        <v>-37</v>
      </c>
      <c r="P227" s="20" t="n">
        <v>-263</v>
      </c>
      <c r="Q227" s="20" t="n">
        <v>-24</v>
      </c>
      <c r="R227" s="20" t="n">
        <v>-240</v>
      </c>
      <c r="S227" s="20" t="n">
        <v>-1228</v>
      </c>
      <c r="T227" s="20" t="n">
        <v>-775</v>
      </c>
      <c r="U227" s="20" t="n">
        <v>-4247</v>
      </c>
      <c r="V227" s="20" t="n">
        <v>-2667</v>
      </c>
      <c r="W227" s="20" t="n">
        <v>63</v>
      </c>
      <c r="X227" s="20" t="n">
        <v>-1041</v>
      </c>
    </row>
    <row r="228">
      <c r="A228" s="18" t="inlineStr">
        <is>
          <t>자회사 주식 매각손익</t>
        </is>
      </c>
      <c r="O228" s="20" t="n">
        <v>42</v>
      </c>
      <c r="P228" s="20" t="n">
        <v>0</v>
      </c>
    </row>
    <row r="229">
      <c r="A229" s="18" t="inlineStr">
        <is>
          <t>부의 영업권 발생이익</t>
        </is>
      </c>
      <c r="O229" s="20" t="n">
        <v>0</v>
      </c>
      <c r="P229" s="20" t="n">
        <v>-183</v>
      </c>
      <c r="Q229" s="20" t="n">
        <v>0</v>
      </c>
    </row>
    <row r="230">
      <c r="A230" s="18" t="inlineStr">
        <is>
          <t>관계회사 청산손익</t>
        </is>
      </c>
      <c r="O230" s="20" t="n">
        <v>0</v>
      </c>
      <c r="P230" s="20" t="n">
        <v>-0</v>
      </c>
      <c r="Q230" s="20" t="n">
        <v>0</v>
      </c>
    </row>
    <row r="231">
      <c r="A231" s="18" t="inlineStr">
        <is>
          <t>매출채권 증감</t>
        </is>
      </c>
      <c r="O231" s="20" t="n">
        <v>-15156</v>
      </c>
      <c r="P231" s="20" t="n">
        <v>-17939</v>
      </c>
      <c r="Q231" s="20" t="n">
        <v>-23007</v>
      </c>
      <c r="R231" s="20" t="n">
        <v>11011</v>
      </c>
      <c r="S231" s="20" t="n">
        <v>8915</v>
      </c>
      <c r="T231" s="20" t="n">
        <v>-4786</v>
      </c>
    </row>
    <row r="232">
      <c r="A232" s="18" t="inlineStr">
        <is>
          <t>매출채권·계약자산 증감</t>
        </is>
      </c>
      <c r="T232" s="20" t="n">
        <v>-4786</v>
      </c>
      <c r="U232" s="20" t="n">
        <v>-11791</v>
      </c>
    </row>
    <row r="233">
      <c r="A233" s="18" t="inlineStr">
        <is>
          <t>매출채권·계약자산 증감</t>
        </is>
      </c>
      <c r="D233" s="20" t="n">
        <v>-15594</v>
      </c>
      <c r="H233" s="20" t="n">
        <v>2530</v>
      </c>
      <c r="L233" s="20" t="n">
        <v>-13559</v>
      </c>
      <c r="U233" s="20" t="n">
        <v>-11791</v>
      </c>
      <c r="V233" s="20" t="n">
        <v>-15594</v>
      </c>
      <c r="W233" s="20" t="n">
        <v>2530</v>
      </c>
      <c r="X233" s="20" t="n">
        <v>-13559</v>
      </c>
    </row>
    <row r="234">
      <c r="A234" s="18" t="inlineStr">
        <is>
          <t>미성공사 지출금 증감액</t>
        </is>
      </c>
      <c r="D234" s="20" t="n">
        <v>-2476</v>
      </c>
      <c r="H234" s="20" t="n">
        <v>909</v>
      </c>
      <c r="L234" s="20" t="n">
        <v>635</v>
      </c>
      <c r="O234" s="20" t="n">
        <v>-304</v>
      </c>
      <c r="P234" s="20" t="n">
        <v>76</v>
      </c>
      <c r="Q234" s="20" t="n">
        <v>1585</v>
      </c>
      <c r="R234" s="20" t="n">
        <v>-2302</v>
      </c>
      <c r="S234" s="20" t="n">
        <v>1374</v>
      </c>
      <c r="T234" s="20" t="n">
        <v>585</v>
      </c>
      <c r="U234" s="20" t="n">
        <v>-1689</v>
      </c>
      <c r="V234" s="20" t="n">
        <v>-2476</v>
      </c>
      <c r="W234" s="20" t="n">
        <v>909</v>
      </c>
      <c r="X234" s="20" t="n">
        <v>635</v>
      </c>
    </row>
    <row r="235">
      <c r="A235" s="18" t="inlineStr">
        <is>
          <t>재고자산 증감</t>
        </is>
      </c>
      <c r="D235" s="20" t="n">
        <v>-1403</v>
      </c>
      <c r="H235" s="20" t="n">
        <v>-3711</v>
      </c>
      <c r="L235" s="20" t="n">
        <v>-573</v>
      </c>
      <c r="O235" s="20" t="n">
        <v>-3539</v>
      </c>
      <c r="P235" s="20" t="n">
        <v>-1500</v>
      </c>
      <c r="Q235" s="20" t="n">
        <v>3597</v>
      </c>
      <c r="R235" s="20" t="n">
        <v>71</v>
      </c>
      <c r="S235" s="20" t="n">
        <v>-12964</v>
      </c>
      <c r="T235" s="20" t="n">
        <v>-8266</v>
      </c>
      <c r="U235" s="20" t="n">
        <v>-8545</v>
      </c>
      <c r="V235" s="20" t="n">
        <v>-1403</v>
      </c>
      <c r="W235" s="20" t="n">
        <v>-3711</v>
      </c>
      <c r="X235" s="20" t="n">
        <v>-573</v>
      </c>
    </row>
    <row r="236">
      <c r="A236" s="18" t="inlineStr">
        <is>
          <t>매입채무 증감</t>
        </is>
      </c>
      <c r="D236" s="20" t="n">
        <v>20767</v>
      </c>
      <c r="H236" s="20" t="n">
        <v>-29510</v>
      </c>
      <c r="L236" s="20" t="n">
        <v>-16756</v>
      </c>
      <c r="O236" s="20" t="n">
        <v>12147</v>
      </c>
      <c r="P236" s="20" t="n">
        <v>15598</v>
      </c>
      <c r="Q236" s="20" t="n">
        <v>10751</v>
      </c>
      <c r="R236" s="20" t="n">
        <v>-7981</v>
      </c>
      <c r="S236" s="20" t="n">
        <v>-14206</v>
      </c>
      <c r="T236" s="20" t="n">
        <v>153</v>
      </c>
      <c r="U236" s="20" t="n">
        <v>9552</v>
      </c>
      <c r="V236" s="20" t="n">
        <v>20767</v>
      </c>
      <c r="W236" s="20" t="n">
        <v>-29510</v>
      </c>
      <c r="X236" s="20" t="n">
        <v>-16756</v>
      </c>
    </row>
    <row r="237">
      <c r="A237" s="18" t="inlineStr">
        <is>
          <t>미성공사 선수금 증감(△는 감소)</t>
        </is>
      </c>
      <c r="D237" s="20" t="n">
        <v>-5251</v>
      </c>
      <c r="H237" s="20" t="n">
        <v>7215</v>
      </c>
      <c r="L237" s="20" t="n">
        <v>-2452</v>
      </c>
      <c r="O237" s="20" t="n">
        <v>-254</v>
      </c>
      <c r="P237" s="20" t="n">
        <v>-3098</v>
      </c>
      <c r="Q237" s="20" t="n">
        <v>6073</v>
      </c>
      <c r="R237" s="20" t="n">
        <v>10678</v>
      </c>
      <c r="S237" s="20" t="n">
        <v>-8043</v>
      </c>
      <c r="T237" s="20" t="n">
        <v>-3923</v>
      </c>
      <c r="U237" s="20" t="n">
        <v>15076</v>
      </c>
      <c r="V237" s="20" t="n">
        <v>-5251</v>
      </c>
      <c r="W237" s="20" t="n">
        <v>7215</v>
      </c>
      <c r="X237" s="20" t="n">
        <v>-2452</v>
      </c>
    </row>
    <row r="238">
      <c r="A238" s="18" t="inlineStr">
        <is>
          <t>장기미지급금 증감</t>
        </is>
      </c>
      <c r="D238" s="20" t="n">
        <v>-35</v>
      </c>
      <c r="H238" s="20" t="n">
        <v>-39</v>
      </c>
      <c r="L238" s="20" t="n">
        <v>35</v>
      </c>
      <c r="O238" s="20" t="n">
        <v>10</v>
      </c>
      <c r="P238" s="20" t="n">
        <v>9</v>
      </c>
      <c r="Q238" s="20" t="n">
        <v>20</v>
      </c>
      <c r="R238" s="20" t="n">
        <v>26</v>
      </c>
      <c r="S238" s="20" t="n">
        <v>-11</v>
      </c>
      <c r="T238" s="20" t="n">
        <v>-2</v>
      </c>
      <c r="U238" s="20" t="n">
        <v>87</v>
      </c>
      <c r="V238" s="20" t="n">
        <v>-35</v>
      </c>
      <c r="W238" s="20" t="n">
        <v>-39</v>
      </c>
      <c r="X238" s="20" t="n">
        <v>35</v>
      </c>
    </row>
    <row r="239">
      <c r="A239" s="18" t="inlineStr">
        <is>
          <t>미지급·미수 소비세 등 증감액</t>
        </is>
      </c>
      <c r="D239" s="20" t="n">
        <v>10223</v>
      </c>
      <c r="H239" s="20" t="n">
        <v>-1414</v>
      </c>
      <c r="L239" s="20" t="n">
        <v>-2399</v>
      </c>
      <c r="O239" s="20" t="n">
        <v>-5281</v>
      </c>
      <c r="P239" s="20" t="n">
        <v>3594</v>
      </c>
      <c r="Q239" s="20" t="n">
        <v>-1896</v>
      </c>
      <c r="R239" s="20" t="n">
        <v>1566</v>
      </c>
      <c r="S239" s="20" t="n">
        <v>4020</v>
      </c>
      <c r="T239" s="20" t="n">
        <v>-6036</v>
      </c>
      <c r="U239" s="20" t="n">
        <v>-4090</v>
      </c>
      <c r="V239" s="20" t="n">
        <v>10223</v>
      </c>
      <c r="W239" s="20" t="n">
        <v>-1414</v>
      </c>
      <c r="X239" s="20" t="n">
        <v>-2399</v>
      </c>
    </row>
    <row r="240">
      <c r="A240" s="18" t="inlineStr">
        <is>
          <t>기타</t>
        </is>
      </c>
      <c r="D240" s="20" t="n">
        <v>3264</v>
      </c>
      <c r="H240" s="20" t="n">
        <v>3104</v>
      </c>
      <c r="L240" s="20" t="n">
        <v>-730</v>
      </c>
      <c r="O240" s="20" t="n">
        <v>1677</v>
      </c>
      <c r="P240" s="20" t="n">
        <v>5711</v>
      </c>
      <c r="Q240" s="20" t="n">
        <v>-2866</v>
      </c>
      <c r="R240" s="20" t="n">
        <v>-976</v>
      </c>
      <c r="S240" s="20" t="n">
        <v>3706</v>
      </c>
      <c r="T240" s="20" t="n">
        <v>2298</v>
      </c>
      <c r="U240" s="20" t="n">
        <v>-6386</v>
      </c>
      <c r="V240" s="20" t="n">
        <v>3264</v>
      </c>
      <c r="W240" s="20" t="n">
        <v>3104</v>
      </c>
      <c r="X240" s="20" t="n">
        <v>-730</v>
      </c>
    </row>
    <row r="241">
      <c r="A241" s="18" t="inlineStr">
        <is>
          <t>소계</t>
        </is>
      </c>
      <c r="D241" s="20" t="n">
        <v>53913</v>
      </c>
      <c r="H241" s="20" t="n">
        <v>26200</v>
      </c>
      <c r="L241" s="20" t="n">
        <v>27058</v>
      </c>
      <c r="O241" s="20" t="n">
        <v>24112</v>
      </c>
      <c r="P241" s="20" t="n">
        <v>40349</v>
      </c>
      <c r="Q241" s="20" t="n">
        <v>35786</v>
      </c>
      <c r="R241" s="20" t="n">
        <v>51657</v>
      </c>
      <c r="S241" s="20" t="n">
        <v>19335</v>
      </c>
      <c r="T241" s="20" t="n">
        <v>16193</v>
      </c>
      <c r="U241" s="20" t="n">
        <v>29522</v>
      </c>
      <c r="V241" s="20" t="n">
        <v>53913</v>
      </c>
      <c r="W241" s="20" t="n">
        <v>26200</v>
      </c>
      <c r="X241" s="20" t="n">
        <v>27058</v>
      </c>
    </row>
    <row r="242">
      <c r="A242" s="18" t="inlineStr">
        <is>
          <t>이자·배당금 수취</t>
        </is>
      </c>
      <c r="D242" s="20" t="n">
        <v>1626</v>
      </c>
      <c r="H242" s="20" t="n">
        <v>1327</v>
      </c>
      <c r="L242" s="20" t="n">
        <v>1150</v>
      </c>
      <c r="O242" s="20" t="n">
        <v>864</v>
      </c>
      <c r="P242" s="20" t="n">
        <v>629</v>
      </c>
      <c r="Q242" s="20" t="n">
        <v>604</v>
      </c>
      <c r="R242" s="20" t="n">
        <v>762</v>
      </c>
      <c r="S242" s="20" t="n">
        <v>793</v>
      </c>
      <c r="T242" s="20" t="n">
        <v>796</v>
      </c>
      <c r="U242" s="20" t="n">
        <v>763</v>
      </c>
      <c r="V242" s="20" t="n">
        <v>1626</v>
      </c>
      <c r="W242" s="20" t="n">
        <v>1327</v>
      </c>
      <c r="X242" s="20" t="n">
        <v>1150</v>
      </c>
    </row>
    <row r="243">
      <c r="A243" s="18" t="inlineStr">
        <is>
          <t>이자 지급</t>
        </is>
      </c>
      <c r="D243" s="20" t="n">
        <v>-466</v>
      </c>
      <c r="H243" s="20" t="n">
        <v>-515</v>
      </c>
      <c r="L243" s="20" t="n">
        <v>-649</v>
      </c>
      <c r="O243" s="20" t="n">
        <v>-397</v>
      </c>
      <c r="P243" s="20" t="n">
        <v>-398</v>
      </c>
      <c r="Q243" s="20" t="n">
        <v>-384</v>
      </c>
      <c r="R243" s="20" t="n">
        <v>-385</v>
      </c>
      <c r="S243" s="20" t="n">
        <v>-411</v>
      </c>
      <c r="T243" s="20" t="n">
        <v>-387</v>
      </c>
      <c r="U243" s="20" t="n">
        <v>-424</v>
      </c>
      <c r="V243" s="20" t="n">
        <v>-466</v>
      </c>
      <c r="W243" s="20" t="n">
        <v>-515</v>
      </c>
      <c r="X243" s="20" t="n">
        <v>-649</v>
      </c>
    </row>
    <row r="244">
      <c r="A244" s="18" t="inlineStr">
        <is>
          <t>법인세 납부</t>
        </is>
      </c>
      <c r="D244" s="20" t="n">
        <v>-11103</v>
      </c>
      <c r="H244" s="20" t="n">
        <v>-18355</v>
      </c>
      <c r="L244" s="20" t="n">
        <v>-15226</v>
      </c>
      <c r="O244" s="20" t="n">
        <v>-10392</v>
      </c>
      <c r="P244" s="20" t="n">
        <v>-10562</v>
      </c>
      <c r="Q244" s="20" t="n">
        <v>-9952</v>
      </c>
      <c r="R244" s="20" t="n">
        <v>-13812</v>
      </c>
      <c r="S244" s="20" t="n">
        <v>-10533</v>
      </c>
      <c r="T244" s="20" t="n">
        <v>-11350</v>
      </c>
      <c r="U244" s="20" t="n">
        <v>-12474</v>
      </c>
      <c r="V244" s="20" t="n">
        <v>-11103</v>
      </c>
      <c r="W244" s="20" t="n">
        <v>-18355</v>
      </c>
      <c r="X244" s="20" t="n">
        <v>-15226</v>
      </c>
    </row>
    <row r="245">
      <c r="A245" s="9" t="inlineStr">
        <is>
          <t>영업활동 현금흐름</t>
        </is>
      </c>
      <c r="D245" s="12" t="n">
        <v>43969</v>
      </c>
      <c r="H245" s="12" t="n">
        <v>8656</v>
      </c>
      <c r="L245" s="12" t="n">
        <v>12332</v>
      </c>
      <c r="O245" s="12" t="n">
        <v>14187</v>
      </c>
      <c r="P245" s="12" t="n">
        <v>30016</v>
      </c>
      <c r="Q245" s="12" t="n">
        <v>26054</v>
      </c>
      <c r="R245" s="12" t="n">
        <v>38222</v>
      </c>
      <c r="S245" s="12" t="n">
        <v>9184</v>
      </c>
      <c r="T245" s="12" t="n">
        <v>5252</v>
      </c>
      <c r="U245" s="12" t="n">
        <v>17386</v>
      </c>
      <c r="V245" s="12" t="n">
        <v>43969</v>
      </c>
      <c r="W245" s="12" t="n">
        <v>8656</v>
      </c>
      <c r="X245" s="12" t="n">
        <v>12332</v>
      </c>
    </row>
    <row r="246">
      <c r="A246" s="18" t="inlineStr">
        <is>
          <t>정기예금 예입</t>
        </is>
      </c>
      <c r="D246" s="20" t="n">
        <v>-7084</v>
      </c>
      <c r="H246" s="20" t="n">
        <v>-2884</v>
      </c>
      <c r="L246" s="20" t="n">
        <v>-1003</v>
      </c>
      <c r="O246" s="20" t="n">
        <v>-671</v>
      </c>
      <c r="P246" s="20" t="n">
        <v>-406</v>
      </c>
      <c r="Q246" s="20" t="n">
        <v>-644</v>
      </c>
      <c r="R246" s="20" t="n">
        <v>-1014</v>
      </c>
      <c r="S246" s="20" t="n">
        <v>-1137</v>
      </c>
      <c r="T246" s="20" t="n">
        <v>-1352</v>
      </c>
      <c r="U246" s="20" t="n">
        <v>-3738</v>
      </c>
      <c r="V246" s="20" t="n">
        <v>-7084</v>
      </c>
      <c r="W246" s="20" t="n">
        <v>-2884</v>
      </c>
      <c r="X246" s="20" t="n">
        <v>-1003</v>
      </c>
    </row>
    <row r="247">
      <c r="A247" s="18" t="inlineStr">
        <is>
          <t>정기예금 인출</t>
        </is>
      </c>
      <c r="D247" s="20" t="n">
        <v>7038</v>
      </c>
      <c r="H247" s="20" t="n">
        <v>5992</v>
      </c>
      <c r="L247" s="20" t="n">
        <v>886</v>
      </c>
      <c r="O247" s="20" t="n">
        <v>2680</v>
      </c>
      <c r="P247" s="20" t="n">
        <v>168</v>
      </c>
      <c r="Q247" s="20" t="n">
        <v>488</v>
      </c>
      <c r="R247" s="20" t="n">
        <v>954</v>
      </c>
      <c r="S247" s="20" t="n">
        <v>921</v>
      </c>
      <c r="T247" s="20" t="n">
        <v>1732</v>
      </c>
      <c r="U247" s="20" t="n">
        <v>1503</v>
      </c>
      <c r="V247" s="20" t="n">
        <v>7038</v>
      </c>
      <c r="W247" s="20" t="n">
        <v>5992</v>
      </c>
      <c r="X247" s="20" t="n">
        <v>886</v>
      </c>
    </row>
    <row r="248">
      <c r="A248" s="18" t="inlineStr">
        <is>
          <t>유형자산 취득(설비투자)</t>
        </is>
      </c>
      <c r="D248" s="20" t="n">
        <v>-1836</v>
      </c>
      <c r="H248" s="20" t="n">
        <v>-3791</v>
      </c>
      <c r="L248" s="20" t="n">
        <v>-4837</v>
      </c>
      <c r="O248" s="20" t="n">
        <v>-6381</v>
      </c>
      <c r="P248" s="20" t="n">
        <v>-4092</v>
      </c>
      <c r="Q248" s="20" t="n">
        <v>-2877</v>
      </c>
      <c r="R248" s="20" t="n">
        <v>-3998</v>
      </c>
      <c r="S248" s="20" t="n">
        <v>-2945</v>
      </c>
      <c r="T248" s="20" t="n">
        <v>-3931</v>
      </c>
      <c r="U248" s="20" t="n">
        <v>-2940</v>
      </c>
      <c r="V248" s="20" t="n">
        <v>-1836</v>
      </c>
      <c r="W248" s="20" t="n">
        <v>-3791</v>
      </c>
      <c r="X248" s="20" t="n">
        <v>-4837</v>
      </c>
    </row>
    <row r="249">
      <c r="A249" s="18" t="inlineStr">
        <is>
          <t>유형자산 매각</t>
        </is>
      </c>
      <c r="D249" s="20" t="n">
        <v>289</v>
      </c>
      <c r="H249" s="20" t="n">
        <v>512</v>
      </c>
      <c r="L249" s="20" t="n">
        <v>107</v>
      </c>
      <c r="O249" s="20" t="n">
        <v>145</v>
      </c>
      <c r="P249" s="20" t="n">
        <v>710</v>
      </c>
      <c r="Q249" s="20" t="n">
        <v>211</v>
      </c>
      <c r="R249" s="20" t="n">
        <v>279</v>
      </c>
      <c r="S249" s="20" t="n">
        <v>103</v>
      </c>
      <c r="T249" s="20" t="n">
        <v>169</v>
      </c>
      <c r="U249" s="20" t="n">
        <v>445</v>
      </c>
      <c r="V249" s="20" t="n">
        <v>289</v>
      </c>
      <c r="W249" s="20" t="n">
        <v>512</v>
      </c>
      <c r="X249" s="20" t="n">
        <v>107</v>
      </c>
    </row>
    <row r="250">
      <c r="A250" s="18" t="inlineStr">
        <is>
          <t>유형자산 제각 지출</t>
        </is>
      </c>
      <c r="D250" s="20" t="n">
        <v>-182</v>
      </c>
      <c r="H250" s="20" t="n">
        <v>-61</v>
      </c>
      <c r="L250" s="20" t="n">
        <v>-282</v>
      </c>
      <c r="P250" s="20" t="n">
        <v>-113</v>
      </c>
      <c r="Q250" s="20" t="n">
        <v>-501</v>
      </c>
      <c r="R250" s="20" t="n">
        <v>-78</v>
      </c>
      <c r="S250" s="20" t="n">
        <v>-4</v>
      </c>
      <c r="T250" s="20" t="n">
        <v>-210</v>
      </c>
      <c r="U250" s="20" t="n">
        <v>-126</v>
      </c>
      <c r="V250" s="20" t="n">
        <v>-182</v>
      </c>
      <c r="W250" s="20" t="n">
        <v>-61</v>
      </c>
      <c r="X250" s="20" t="n">
        <v>-282</v>
      </c>
    </row>
    <row r="251">
      <c r="A251" s="18" t="inlineStr">
        <is>
          <t>투자유가증권 취득</t>
        </is>
      </c>
      <c r="D251" s="20" t="n">
        <v>-2105</v>
      </c>
      <c r="H251" s="20" t="n">
        <v>-6164</v>
      </c>
      <c r="L251" s="20" t="n">
        <v>-10466</v>
      </c>
      <c r="O251" s="20" t="n">
        <v>-14059</v>
      </c>
      <c r="P251" s="20" t="n">
        <v>-3278</v>
      </c>
      <c r="Q251" s="20" t="n">
        <v>-9334</v>
      </c>
      <c r="R251" s="20" t="n">
        <v>-8649</v>
      </c>
      <c r="S251" s="20" t="n">
        <v>-6458</v>
      </c>
      <c r="T251" s="20" t="n">
        <v>-4817</v>
      </c>
      <c r="U251" s="20" t="n">
        <v>-3415</v>
      </c>
      <c r="V251" s="20" t="n">
        <v>-2105</v>
      </c>
      <c r="W251" s="20" t="n">
        <v>-6164</v>
      </c>
      <c r="X251" s="20" t="n">
        <v>-10466</v>
      </c>
    </row>
    <row r="252">
      <c r="A252" s="18" t="inlineStr">
        <is>
          <t>투자유가증권 매각</t>
        </is>
      </c>
      <c r="D252" s="20" t="n">
        <v>3354</v>
      </c>
      <c r="H252" s="20" t="n">
        <v>1533</v>
      </c>
      <c r="L252" s="20" t="n">
        <v>2375</v>
      </c>
      <c r="O252" s="20" t="n">
        <v>503</v>
      </c>
      <c r="P252" s="20" t="n">
        <v>3140</v>
      </c>
      <c r="Q252" s="20" t="n">
        <v>2405</v>
      </c>
      <c r="R252" s="20" t="n">
        <v>1076</v>
      </c>
      <c r="S252" s="20" t="n">
        <v>6534</v>
      </c>
      <c r="T252" s="20" t="n">
        <v>3992</v>
      </c>
      <c r="U252" s="20" t="n">
        <v>5754</v>
      </c>
      <c r="V252" s="20" t="n">
        <v>3354</v>
      </c>
      <c r="W252" s="20" t="n">
        <v>1533</v>
      </c>
      <c r="X252" s="20" t="n">
        <v>2375</v>
      </c>
    </row>
    <row r="253">
      <c r="A253" s="18" t="inlineStr">
        <is>
          <t>연결범위 변경 자회사 주식 취득</t>
        </is>
      </c>
      <c r="D253" s="20" t="n">
        <v>-361</v>
      </c>
      <c r="H253" s="20" t="n">
        <v>-504</v>
      </c>
      <c r="L253" s="20" t="n">
        <v>0</v>
      </c>
      <c r="O253" s="20" t="n">
        <v>0</v>
      </c>
      <c r="P253" s="20" t="n">
        <v>-168</v>
      </c>
      <c r="Q253" s="20" t="n">
        <v>0</v>
      </c>
      <c r="S253" s="20" t="n">
        <v>0</v>
      </c>
      <c r="T253" s="20" t="n">
        <v>-2871</v>
      </c>
      <c r="U253" s="20" t="n">
        <v>-97</v>
      </c>
      <c r="V253" s="20" t="n">
        <v>-361</v>
      </c>
      <c r="W253" s="20" t="n">
        <v>-504</v>
      </c>
      <c r="X253" s="20" t="n">
        <v>0</v>
      </c>
    </row>
    <row r="254">
      <c r="A254" s="18" t="inlineStr">
        <is>
          <t>연결범위 변경 자회사 주식 매각(지출)</t>
        </is>
      </c>
      <c r="R254" s="20" t="n">
        <v>0</v>
      </c>
      <c r="S254" s="20" t="n">
        <v>-47</v>
      </c>
      <c r="T254" s="20" t="n">
        <v>0</v>
      </c>
    </row>
    <row r="255">
      <c r="A255" s="18" t="inlineStr">
        <is>
          <t>장기대여</t>
        </is>
      </c>
      <c r="D255" s="20" t="n">
        <v>0</v>
      </c>
      <c r="O255" s="20" t="n">
        <v>-322</v>
      </c>
      <c r="P255" s="20" t="n">
        <v>-929</v>
      </c>
      <c r="Q255" s="20" t="n">
        <v>-289</v>
      </c>
      <c r="R255" s="20" t="n">
        <v>-381</v>
      </c>
      <c r="S255" s="20" t="n">
        <v>-167</v>
      </c>
      <c r="T255" s="20" t="n">
        <v>-127</v>
      </c>
      <c r="U255" s="20" t="n">
        <v>-34</v>
      </c>
      <c r="V255" s="20" t="n">
        <v>0</v>
      </c>
    </row>
    <row r="256">
      <c r="A256" s="18" t="inlineStr">
        <is>
          <t>연결범위 변경 자회사 주식 취득(수입)</t>
        </is>
      </c>
      <c r="H256" s="20" t="n">
        <v>0</v>
      </c>
      <c r="L256" s="20" t="n">
        <v>373</v>
      </c>
      <c r="O256" s="20" t="n">
        <v>21</v>
      </c>
      <c r="P256" s="20" t="n">
        <v>0</v>
      </c>
      <c r="W256" s="20" t="n">
        <v>0</v>
      </c>
      <c r="X256" s="20" t="n">
        <v>373</v>
      </c>
    </row>
    <row r="257">
      <c r="A257" s="18" t="inlineStr">
        <is>
          <t>장기대여금 회수</t>
        </is>
      </c>
      <c r="D257" s="20" t="n">
        <v>35</v>
      </c>
      <c r="H257" s="20" t="n">
        <v>74</v>
      </c>
      <c r="L257" s="20" t="n">
        <v>9</v>
      </c>
      <c r="O257" s="20" t="n">
        <v>345</v>
      </c>
      <c r="P257" s="20" t="n">
        <v>92</v>
      </c>
      <c r="Q257" s="20" t="n">
        <v>181</v>
      </c>
      <c r="R257" s="20" t="n">
        <v>222</v>
      </c>
      <c r="S257" s="20" t="n">
        <v>93</v>
      </c>
      <c r="T257" s="20" t="n">
        <v>153</v>
      </c>
      <c r="U257" s="20" t="n">
        <v>366</v>
      </c>
      <c r="V257" s="20" t="n">
        <v>35</v>
      </c>
      <c r="W257" s="20" t="n">
        <v>74</v>
      </c>
      <c r="X257" s="20" t="n">
        <v>9</v>
      </c>
    </row>
    <row r="258">
      <c r="A258" s="18" t="inlineStr">
        <is>
          <t>연결범위 변경 자회사 주식 매각</t>
        </is>
      </c>
      <c r="O258" s="20" t="n">
        <v>115</v>
      </c>
      <c r="P258" s="20" t="n">
        <v>0</v>
      </c>
    </row>
    <row r="259">
      <c r="A259" s="18" t="inlineStr">
        <is>
          <t>기타</t>
        </is>
      </c>
      <c r="D259" s="20" t="n">
        <v>-1462</v>
      </c>
      <c r="H259" s="20" t="n">
        <v>-3616</v>
      </c>
      <c r="L259" s="20" t="n">
        <v>-5306</v>
      </c>
      <c r="O259" s="20" t="n">
        <v>-328</v>
      </c>
      <c r="P259" s="20" t="n">
        <v>1046</v>
      </c>
      <c r="Q259" s="20" t="n">
        <v>-938</v>
      </c>
      <c r="R259" s="20" t="n">
        <v>-546</v>
      </c>
      <c r="S259" s="20" t="n">
        <v>-1124</v>
      </c>
      <c r="T259" s="20" t="n">
        <v>-273</v>
      </c>
      <c r="U259" s="20" t="n">
        <v>-831</v>
      </c>
      <c r="V259" s="20" t="n">
        <v>-1462</v>
      </c>
      <c r="W259" s="20" t="n">
        <v>-3616</v>
      </c>
      <c r="X259" s="20" t="n">
        <v>-5306</v>
      </c>
    </row>
    <row r="260">
      <c r="A260" s="9" t="inlineStr">
        <is>
          <t>투자활동 현금흐름</t>
        </is>
      </c>
      <c r="D260" s="12" t="n">
        <v>-2314</v>
      </c>
      <c r="H260" s="12" t="n">
        <v>-8910</v>
      </c>
      <c r="L260" s="12" t="n">
        <v>-18143</v>
      </c>
      <c r="O260" s="12" t="n">
        <v>-17951</v>
      </c>
      <c r="P260" s="12" t="n">
        <v>-3830</v>
      </c>
      <c r="Q260" s="12" t="n">
        <v>-11298</v>
      </c>
      <c r="R260" s="12" t="n">
        <v>-12136</v>
      </c>
      <c r="S260" s="12" t="n">
        <v>-4232</v>
      </c>
      <c r="T260" s="12" t="n">
        <v>-7536</v>
      </c>
      <c r="U260" s="12" t="n">
        <v>-3113</v>
      </c>
      <c r="V260" s="12" t="n">
        <v>-2314</v>
      </c>
      <c r="W260" s="12" t="n">
        <v>-8910</v>
      </c>
      <c r="X260" s="12" t="n">
        <v>-18143</v>
      </c>
    </row>
    <row r="261">
      <c r="A261" s="18" t="inlineStr">
        <is>
          <t>단기차입금 순증감</t>
        </is>
      </c>
      <c r="D261" s="20" t="n">
        <v>122</v>
      </c>
      <c r="H261" s="20" t="n">
        <v>-72</v>
      </c>
      <c r="L261" s="20" t="n">
        <v>-110</v>
      </c>
      <c r="O261" s="20" t="n">
        <v>14450</v>
      </c>
      <c r="P261" s="20" t="n">
        <v>-14872</v>
      </c>
      <c r="Q261" s="20" t="n">
        <v>-348</v>
      </c>
      <c r="R261" s="20" t="n">
        <v>3</v>
      </c>
      <c r="S261" s="20" t="n">
        <v>-5</v>
      </c>
      <c r="T261" s="20" t="n">
        <v>-34</v>
      </c>
      <c r="U261" s="20" t="n">
        <v>-18</v>
      </c>
      <c r="V261" s="20" t="n">
        <v>122</v>
      </c>
      <c r="W261" s="20" t="n">
        <v>-72</v>
      </c>
      <c r="X261" s="20" t="n">
        <v>-110</v>
      </c>
    </row>
    <row r="262">
      <c r="A262" s="18" t="inlineStr">
        <is>
          <t>장기차입</t>
        </is>
      </c>
      <c r="D262" s="20" t="n">
        <v>0</v>
      </c>
      <c r="H262" s="20" t="n">
        <v>14000</v>
      </c>
      <c r="L262" s="20" t="n">
        <v>0</v>
      </c>
      <c r="O262" s="20" t="n">
        <v>42</v>
      </c>
      <c r="P262" s="20" t="n">
        <v>6187</v>
      </c>
      <c r="Q262" s="20" t="n">
        <v>7496</v>
      </c>
      <c r="R262" s="20" t="n">
        <v>0</v>
      </c>
      <c r="S262" s="20" t="n">
        <v>55</v>
      </c>
      <c r="T262" s="20" t="n">
        <v>0</v>
      </c>
      <c r="U262" s="20" t="n">
        <v>27000</v>
      </c>
      <c r="V262" s="20" t="n">
        <v>0</v>
      </c>
      <c r="W262" s="20" t="n">
        <v>14000</v>
      </c>
      <c r="X262" s="20" t="n">
        <v>0</v>
      </c>
    </row>
    <row r="263">
      <c r="A263" s="18" t="inlineStr">
        <is>
          <t>장기차입금 상환</t>
        </is>
      </c>
      <c r="D263" s="20" t="n">
        <v>-1231</v>
      </c>
      <c r="H263" s="20" t="n">
        <v>-27599</v>
      </c>
      <c r="L263" s="20" t="n">
        <v>-975</v>
      </c>
      <c r="O263" s="20" t="n">
        <v>-2561</v>
      </c>
      <c r="P263" s="20" t="n">
        <v>-6549</v>
      </c>
      <c r="Q263" s="20" t="n">
        <v>-8040</v>
      </c>
      <c r="R263" s="20" t="n">
        <v>-1963</v>
      </c>
      <c r="S263" s="20" t="n">
        <v>-1769</v>
      </c>
      <c r="T263" s="20" t="n">
        <v>-1811</v>
      </c>
      <c r="U263" s="20" t="n">
        <v>-7057</v>
      </c>
      <c r="V263" s="20" t="n">
        <v>-1231</v>
      </c>
      <c r="W263" s="20" t="n">
        <v>-27599</v>
      </c>
      <c r="X263" s="20" t="n">
        <v>-975</v>
      </c>
    </row>
    <row r="264">
      <c r="A264" s="18" t="inlineStr">
        <is>
          <t>자기주식 취득</t>
        </is>
      </c>
      <c r="D264" s="20" t="n">
        <v>-482</v>
      </c>
      <c r="H264" s="20" t="n">
        <v>-3</v>
      </c>
      <c r="L264" s="20" t="n">
        <v>-3</v>
      </c>
      <c r="O264" s="20" t="n">
        <v>-4</v>
      </c>
      <c r="P264" s="20" t="n">
        <v>-7</v>
      </c>
      <c r="Q264" s="20" t="n">
        <v>-1</v>
      </c>
      <c r="R264" s="20" t="n">
        <v>-998</v>
      </c>
      <c r="S264" s="20" t="n">
        <v>-0</v>
      </c>
      <c r="T264" s="20" t="n">
        <v>-1</v>
      </c>
      <c r="U264" s="20" t="n">
        <v>-2</v>
      </c>
      <c r="V264" s="20" t="n">
        <v>-482</v>
      </c>
      <c r="W264" s="20" t="n">
        <v>-3</v>
      </c>
      <c r="X264" s="20" t="n">
        <v>-3</v>
      </c>
    </row>
    <row r="265">
      <c r="A265" s="18" t="inlineStr">
        <is>
          <t>자기주식 매각</t>
        </is>
      </c>
      <c r="D265" s="20" t="n">
        <v>0</v>
      </c>
      <c r="H265" s="20" t="n">
        <v>5</v>
      </c>
      <c r="L265" s="20" t="n">
        <v>8</v>
      </c>
      <c r="V265" s="20" t="n">
        <v>0</v>
      </c>
      <c r="W265" s="20" t="n">
        <v>5</v>
      </c>
      <c r="X265" s="20" t="n">
        <v>8</v>
      </c>
    </row>
    <row r="266">
      <c r="A266" s="18" t="inlineStr">
        <is>
          <t>배당금 지급</t>
        </is>
      </c>
      <c r="D266" s="20" t="n">
        <v>-8148</v>
      </c>
      <c r="H266" s="20" t="n">
        <v>-9204</v>
      </c>
      <c r="L266" s="20" t="n">
        <v>-11679</v>
      </c>
      <c r="O266" s="20" t="n">
        <v>-3732</v>
      </c>
      <c r="P266" s="20" t="n">
        <v>-5635</v>
      </c>
      <c r="Q266" s="20" t="n">
        <v>-7108</v>
      </c>
      <c r="R266" s="20" t="n">
        <v>-7099</v>
      </c>
      <c r="S266" s="20" t="n">
        <v>-7084</v>
      </c>
      <c r="T266" s="20" t="n">
        <v>-7086</v>
      </c>
      <c r="U266" s="20" t="n">
        <v>-7087</v>
      </c>
      <c r="V266" s="20" t="n">
        <v>-8148</v>
      </c>
      <c r="W266" s="20" t="n">
        <v>-9204</v>
      </c>
      <c r="X266" s="20" t="n">
        <v>-11679</v>
      </c>
    </row>
    <row r="267">
      <c r="A267" s="18" t="inlineStr">
        <is>
          <t>비지배주주 배당금 지급</t>
        </is>
      </c>
      <c r="D267" s="20" t="n">
        <v>-4</v>
      </c>
      <c r="H267" s="20" t="n">
        <v>-4</v>
      </c>
      <c r="L267" s="20" t="n">
        <v>-4</v>
      </c>
      <c r="O267" s="20" t="n">
        <v>-103</v>
      </c>
      <c r="P267" s="20" t="n">
        <v>-1</v>
      </c>
      <c r="Q267" s="20" t="n">
        <v>-6</v>
      </c>
      <c r="R267" s="20" t="n">
        <v>-4</v>
      </c>
      <c r="S267" s="20" t="n">
        <v>-4</v>
      </c>
      <c r="T267" s="20" t="n">
        <v>-2</v>
      </c>
      <c r="U267" s="20" t="n">
        <v>-2</v>
      </c>
      <c r="V267" s="20" t="n">
        <v>-4</v>
      </c>
      <c r="W267" s="20" t="n">
        <v>-4</v>
      </c>
      <c r="X267" s="20" t="n">
        <v>-4</v>
      </c>
    </row>
    <row r="268">
      <c r="A268" s="18" t="inlineStr">
        <is>
          <t>비지배주주 납입</t>
        </is>
      </c>
      <c r="H268" s="20" t="n">
        <v>0</v>
      </c>
      <c r="L268" s="20" t="n">
        <v>1</v>
      </c>
      <c r="Q268" s="20" t="n">
        <v>0</v>
      </c>
      <c r="R268" s="20" t="n">
        <v>8</v>
      </c>
      <c r="S268" s="20" t="n">
        <v>0</v>
      </c>
      <c r="W268" s="20" t="n">
        <v>0</v>
      </c>
      <c r="X268" s="20" t="n">
        <v>1</v>
      </c>
    </row>
    <row r="269">
      <c r="A269" s="18" t="inlineStr">
        <is>
          <t>비지배주주 환급</t>
        </is>
      </c>
      <c r="D269" s="20" t="n">
        <v>-22</v>
      </c>
      <c r="H269" s="20" t="n">
        <v>-20</v>
      </c>
      <c r="L269" s="20" t="n">
        <v>-20</v>
      </c>
      <c r="O269" s="20" t="n">
        <v>-22</v>
      </c>
      <c r="P269" s="20" t="n">
        <v>-20</v>
      </c>
      <c r="Q269" s="20" t="n">
        <v>-22</v>
      </c>
      <c r="R269" s="20" t="n">
        <v>-22</v>
      </c>
      <c r="S269" s="20" t="n">
        <v>-21</v>
      </c>
      <c r="T269" s="20" t="n">
        <v>-22</v>
      </c>
      <c r="U269" s="20" t="n">
        <v>-22</v>
      </c>
      <c r="V269" s="20" t="n">
        <v>-22</v>
      </c>
      <c r="W269" s="20" t="n">
        <v>-20</v>
      </c>
      <c r="X269" s="20" t="n">
        <v>-20</v>
      </c>
    </row>
    <row r="270">
      <c r="A270" s="18" t="inlineStr">
        <is>
          <t>연결범위 변동 없는 자회사 주식 매각 수입</t>
        </is>
      </c>
      <c r="D270" s="20" t="n">
        <v>0</v>
      </c>
      <c r="T270" s="20" t="n">
        <v>0</v>
      </c>
      <c r="U270" s="20" t="n">
        <v>60</v>
      </c>
      <c r="V270" s="20" t="n">
        <v>0</v>
      </c>
    </row>
    <row r="271">
      <c r="A271" s="18" t="inlineStr">
        <is>
          <t>연결범위 변경 없는 자회사 주식 취득</t>
        </is>
      </c>
      <c r="D271" s="20" t="n">
        <v>0</v>
      </c>
      <c r="H271" s="20" t="n">
        <v>-309</v>
      </c>
      <c r="L271" s="20" t="n">
        <v>0</v>
      </c>
      <c r="O271" s="20" t="n">
        <v>-29</v>
      </c>
      <c r="P271" s="20" t="n">
        <v>-1</v>
      </c>
      <c r="Q271" s="20" t="n">
        <v>-0</v>
      </c>
      <c r="R271" s="20" t="n">
        <v>-46</v>
      </c>
      <c r="S271" s="20" t="n">
        <v>-1</v>
      </c>
      <c r="T271" s="20" t="n">
        <v>0</v>
      </c>
      <c r="V271" s="20" t="n">
        <v>0</v>
      </c>
      <c r="W271" s="20" t="n">
        <v>-309</v>
      </c>
      <c r="X271" s="20" t="n">
        <v>0</v>
      </c>
    </row>
    <row r="272">
      <c r="A272" s="18" t="inlineStr">
        <is>
          <t>기타</t>
        </is>
      </c>
      <c r="D272" s="20" t="n">
        <v>-1265</v>
      </c>
      <c r="H272" s="20" t="n">
        <v>-1344</v>
      </c>
      <c r="L272" s="20" t="n">
        <v>-1524</v>
      </c>
      <c r="O272" s="20" t="n">
        <v>-839</v>
      </c>
      <c r="P272" s="20" t="n">
        <v>-881</v>
      </c>
      <c r="Q272" s="20" t="n">
        <v>-988</v>
      </c>
      <c r="R272" s="20" t="n">
        <v>-1125</v>
      </c>
      <c r="S272" s="20" t="n">
        <v>-1232</v>
      </c>
      <c r="T272" s="20" t="n">
        <v>-1233</v>
      </c>
      <c r="U272" s="20" t="n">
        <v>-1253</v>
      </c>
      <c r="V272" s="20" t="n">
        <v>-1265</v>
      </c>
      <c r="W272" s="20" t="n">
        <v>-1344</v>
      </c>
      <c r="X272" s="20" t="n">
        <v>-1524</v>
      </c>
    </row>
    <row r="273">
      <c r="A273" s="9" t="inlineStr">
        <is>
          <t>재무활동 현금흐름</t>
        </is>
      </c>
      <c r="D273" s="12" t="n">
        <v>-11032</v>
      </c>
      <c r="H273" s="12" t="n">
        <v>-24552</v>
      </c>
      <c r="L273" s="12" t="n">
        <v>-14307</v>
      </c>
      <c r="O273" s="12" t="n">
        <v>7200</v>
      </c>
      <c r="P273" s="12" t="n">
        <v>-21783</v>
      </c>
      <c r="Q273" s="12" t="n">
        <v>-9021</v>
      </c>
      <c r="R273" s="12" t="n">
        <v>-11250</v>
      </c>
      <c r="S273" s="12" t="n">
        <v>-10064</v>
      </c>
      <c r="T273" s="12" t="n">
        <v>-10191</v>
      </c>
      <c r="U273" s="12" t="n">
        <v>11615</v>
      </c>
      <c r="V273" s="12" t="n">
        <v>-11032</v>
      </c>
      <c r="W273" s="12" t="n">
        <v>-24552</v>
      </c>
      <c r="X273" s="12" t="n">
        <v>-14307</v>
      </c>
    </row>
    <row r="274">
      <c r="A274" s="18" t="inlineStr">
        <is>
          <t>현금성자산 환산차이</t>
        </is>
      </c>
      <c r="D274" s="20" t="n">
        <v>113</v>
      </c>
      <c r="H274" s="20" t="n">
        <v>326</v>
      </c>
      <c r="L274" s="20" t="n">
        <v>143</v>
      </c>
      <c r="O274" s="20" t="n">
        <v>-92</v>
      </c>
      <c r="P274" s="20" t="n">
        <v>84</v>
      </c>
      <c r="Q274" s="20" t="n">
        <v>-48</v>
      </c>
      <c r="R274" s="20" t="n">
        <v>-2</v>
      </c>
      <c r="S274" s="20" t="n">
        <v>-51</v>
      </c>
      <c r="T274" s="20" t="n">
        <v>301</v>
      </c>
      <c r="U274" s="20" t="n">
        <v>171</v>
      </c>
      <c r="V274" s="20" t="n">
        <v>113</v>
      </c>
      <c r="W274" s="20" t="n">
        <v>326</v>
      </c>
      <c r="X274" s="20" t="n">
        <v>143</v>
      </c>
    </row>
    <row r="275">
      <c r="A275" s="18" t="inlineStr">
        <is>
          <t>현금성자산 증감</t>
        </is>
      </c>
      <c r="D275" s="20" t="n">
        <v>30736</v>
      </c>
      <c r="H275" s="20" t="n">
        <v>-24479</v>
      </c>
      <c r="L275" s="20" t="n">
        <v>-19974</v>
      </c>
      <c r="O275" s="20" t="n">
        <v>3344</v>
      </c>
      <c r="P275" s="20" t="n">
        <v>4486</v>
      </c>
      <c r="Q275" s="20" t="n">
        <v>5686</v>
      </c>
      <c r="R275" s="20" t="n">
        <v>14833</v>
      </c>
      <c r="S275" s="20" t="n">
        <v>-5164</v>
      </c>
      <c r="T275" s="20" t="n">
        <v>-12175</v>
      </c>
      <c r="U275" s="20" t="n">
        <v>26060</v>
      </c>
      <c r="V275" s="20" t="n">
        <v>30736</v>
      </c>
      <c r="W275" s="20" t="n">
        <v>-24479</v>
      </c>
      <c r="X275" s="20" t="n">
        <v>-19974</v>
      </c>
    </row>
    <row r="276">
      <c r="A276" s="18" t="inlineStr">
        <is>
          <t>신규 연결 현금성자산 증가</t>
        </is>
      </c>
      <c r="H276" s="20" t="n">
        <v>0</v>
      </c>
      <c r="L276" s="20" t="n">
        <v>86</v>
      </c>
      <c r="S276" s="20" t="n">
        <v>0</v>
      </c>
      <c r="T276" s="20" t="n">
        <v>166</v>
      </c>
      <c r="U276" s="20" t="n">
        <v>0</v>
      </c>
      <c r="W276" s="20" t="n">
        <v>0</v>
      </c>
      <c r="X276" s="20" t="n">
        <v>86</v>
      </c>
    </row>
    <row r="277">
      <c r="A277" s="18" t="inlineStr">
        <is>
          <t>연결자회사 결산기 변경에 따른 기초 현금성자산 증감액(△는 감소)</t>
        </is>
      </c>
      <c r="D277" s="20" t="n">
        <v>0</v>
      </c>
      <c r="H277" s="20" t="n">
        <v>328</v>
      </c>
      <c r="L277" s="20" t="n">
        <v>0</v>
      </c>
      <c r="O277" s="20" t="n">
        <v>-56</v>
      </c>
      <c r="P277" s="20" t="n">
        <v>-9</v>
      </c>
      <c r="Q277" s="20" t="n">
        <v>1</v>
      </c>
      <c r="R277" s="20" t="n">
        <v>-61</v>
      </c>
      <c r="S277" s="20" t="n">
        <v>0</v>
      </c>
      <c r="V277" s="20" t="n">
        <v>0</v>
      </c>
      <c r="W277" s="20" t="n">
        <v>328</v>
      </c>
      <c r="X277" s="20" t="n">
        <v>0</v>
      </c>
    </row>
    <row r="278">
      <c r="A278" s="18" t="inlineStr">
        <is>
          <t>비연결 자회사 합병에 따른 현금성자산 증가</t>
        </is>
      </c>
      <c r="O278" s="20" t="n">
        <v>7</v>
      </c>
      <c r="P278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크래프티아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268025</v>
      </c>
      <c r="D5" s="12" t="n">
        <v>272063</v>
      </c>
      <c r="E5" s="12" t="n">
        <v>298303</v>
      </c>
      <c r="F5" s="12" t="n">
        <v>262021</v>
      </c>
      <c r="G5" s="12" t="n">
        <v>280780</v>
      </c>
      <c r="H5" s="11" t="n">
        <v>216979</v>
      </c>
      <c r="I5" s="12" t="n">
        <v>278220</v>
      </c>
      <c r="J5" s="12" t="n">
        <v>324418</v>
      </c>
      <c r="K5" s="12" t="n">
        <v>299268</v>
      </c>
      <c r="L5" s="12" t="n">
        <v>298303</v>
      </c>
    </row>
    <row r="6">
      <c r="A6" s="18" t="inlineStr">
        <is>
          <t>현금및현금성자산</t>
        </is>
      </c>
      <c r="B6" s="10" t="n"/>
      <c r="C6" s="19" t="n">
        <v>62022</v>
      </c>
      <c r="D6" s="20" t="n">
        <v>46956</v>
      </c>
      <c r="E6" s="20" t="n">
        <v>51939</v>
      </c>
      <c r="F6" s="20" t="n">
        <v>54141</v>
      </c>
      <c r="G6" s="20" t="n">
        <v>49578</v>
      </c>
      <c r="H6" s="19" t="n">
        <v>39021</v>
      </c>
      <c r="I6" s="20" t="n">
        <v>67534</v>
      </c>
      <c r="J6" s="20" t="n">
        <v>98548</v>
      </c>
      <c r="K6" s="20" t="n">
        <v>71693</v>
      </c>
      <c r="L6" s="20" t="n">
        <v>51939</v>
      </c>
    </row>
    <row r="7">
      <c r="A7" s="18" t="inlineStr">
        <is>
          <t>단기금융상품</t>
        </is>
      </c>
      <c r="B7" s="10" t="n"/>
      <c r="C7" s="19" t="n">
        <v>300</v>
      </c>
      <c r="D7" s="20" t="n">
        <v>300</v>
      </c>
      <c r="E7" s="20" t="n">
        <v>0</v>
      </c>
      <c r="F7" s="20" t="n">
        <v>166</v>
      </c>
      <c r="G7" s="20" t="n">
        <v>95</v>
      </c>
      <c r="H7" s="19" t="n">
        <v>987</v>
      </c>
      <c r="I7" s="20" t="n">
        <v>0</v>
      </c>
      <c r="J7" s="20" t="n">
        <v>0</v>
      </c>
      <c r="K7" s="20" t="n">
        <v>4</v>
      </c>
      <c r="L7" s="20" t="n">
        <v>0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771</v>
      </c>
      <c r="D9" s="20" t="n">
        <v>778</v>
      </c>
      <c r="E9" s="20" t="n">
        <v>656</v>
      </c>
      <c r="F9" s="20" t="n">
        <v>641</v>
      </c>
      <c r="G9" s="20" t="n">
        <v>844</v>
      </c>
      <c r="H9" s="19" t="n">
        <v>1107</v>
      </c>
      <c r="I9" s="20" t="n">
        <v>1203</v>
      </c>
      <c r="J9" s="20" t="n">
        <v>614</v>
      </c>
      <c r="K9" s="20" t="n">
        <v>864</v>
      </c>
      <c r="L9" s="20" t="n">
        <v>656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201867</v>
      </c>
      <c r="D11" s="12" t="n">
        <v>210921</v>
      </c>
      <c r="E11" s="12" t="n">
        <v>224965</v>
      </c>
      <c r="F11" s="12" t="n">
        <v>231131</v>
      </c>
      <c r="G11" s="12" t="n">
        <v>239701</v>
      </c>
      <c r="H11" s="11" t="n">
        <v>161416</v>
      </c>
      <c r="I11" s="12" t="n">
        <v>168189</v>
      </c>
      <c r="J11" s="12" t="n">
        <v>178865</v>
      </c>
      <c r="K11" s="12" t="n">
        <v>189203</v>
      </c>
      <c r="L11" s="12" t="n">
        <v>224965</v>
      </c>
    </row>
    <row r="12">
      <c r="A12" s="18" t="inlineStr">
        <is>
          <t>유형자산</t>
        </is>
      </c>
      <c r="B12" s="10" t="n"/>
      <c r="C12" s="19" t="n">
        <v>85058</v>
      </c>
      <c r="D12" s="20" t="n">
        <v>84245</v>
      </c>
      <c r="E12" s="20" t="n">
        <v>85259</v>
      </c>
      <c r="F12" s="20" t="n">
        <v>89335</v>
      </c>
      <c r="G12" s="20" t="n">
        <v>88093</v>
      </c>
      <c r="H12" s="19" t="n">
        <v>80844</v>
      </c>
      <c r="I12" s="20" t="n">
        <v>81745</v>
      </c>
      <c r="J12" s="20" t="n">
        <v>78667</v>
      </c>
      <c r="K12" s="20" t="n">
        <v>78575</v>
      </c>
      <c r="L12" s="20" t="n">
        <v>85259</v>
      </c>
    </row>
    <row r="13">
      <c r="A13" s="18" t="inlineStr">
        <is>
          <t>무형자산</t>
        </is>
      </c>
      <c r="B13" s="10" t="n"/>
      <c r="C13" s="19" t="n">
        <v>4790</v>
      </c>
      <c r="D13" s="20" t="n">
        <v>4816</v>
      </c>
      <c r="E13" s="20" t="n">
        <v>4851</v>
      </c>
      <c r="F13" s="20" t="n">
        <v>4800</v>
      </c>
      <c r="G13" s="20" t="n">
        <v>4693</v>
      </c>
      <c r="H13" s="19" t="n">
        <v>4368</v>
      </c>
      <c r="I13" s="20" t="n">
        <v>4278</v>
      </c>
      <c r="J13" s="20" t="n">
        <v>4390</v>
      </c>
      <c r="K13" s="20" t="n">
        <v>4455</v>
      </c>
      <c r="L13" s="20" t="n">
        <v>4851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469893</v>
      </c>
      <c r="D16" s="12" t="n">
        <v>482984</v>
      </c>
      <c r="E16" s="12" t="n">
        <v>523268</v>
      </c>
      <c r="F16" s="12" t="n">
        <v>493153</v>
      </c>
      <c r="G16" s="12" t="n">
        <v>520481</v>
      </c>
      <c r="H16" s="11" t="n">
        <v>378396</v>
      </c>
      <c r="I16" s="12" t="n">
        <v>446410</v>
      </c>
      <c r="J16" s="12" t="n">
        <v>503284</v>
      </c>
      <c r="K16" s="12" t="n">
        <v>488472</v>
      </c>
      <c r="L16" s="12" t="n">
        <v>523268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105635</v>
      </c>
      <c r="D18" s="12" t="n">
        <v>111679</v>
      </c>
      <c r="E18" s="12" t="n">
        <v>146706</v>
      </c>
      <c r="F18" s="12" t="n">
        <v>116571</v>
      </c>
      <c r="G18" s="12" t="n">
        <v>128711</v>
      </c>
      <c r="H18" s="11" t="n">
        <v>123446</v>
      </c>
      <c r="I18" s="12" t="n">
        <v>141691</v>
      </c>
      <c r="J18" s="12" t="n">
        <v>195527</v>
      </c>
      <c r="K18" s="12" t="n">
        <v>147529</v>
      </c>
      <c r="L18" s="12" t="n">
        <v>146706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2443</v>
      </c>
      <c r="D20" s="20" t="n">
        <v>2343</v>
      </c>
      <c r="E20" s="20" t="n">
        <v>16337</v>
      </c>
      <c r="F20" s="20" t="n">
        <v>16323</v>
      </c>
      <c r="G20" s="20" t="n">
        <v>16321</v>
      </c>
      <c r="H20" s="19" t="n">
        <v>6865</v>
      </c>
      <c r="I20" s="20" t="n">
        <v>2461</v>
      </c>
      <c r="J20" s="20" t="n">
        <v>28930</v>
      </c>
      <c r="K20" s="20" t="n">
        <v>1920</v>
      </c>
      <c r="L20" s="20" t="n">
        <v>16337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38078</v>
      </c>
      <c r="D23" s="12" t="n">
        <v>38835</v>
      </c>
      <c r="E23" s="12" t="n">
        <v>24917</v>
      </c>
      <c r="F23" s="12" t="n">
        <v>24918</v>
      </c>
      <c r="G23" s="12" t="n">
        <v>25190</v>
      </c>
      <c r="H23" s="11" t="n">
        <v>13754</v>
      </c>
      <c r="I23" s="12" t="n">
        <v>41702</v>
      </c>
      <c r="J23" s="12" t="n">
        <v>16630</v>
      </c>
      <c r="K23" s="12" t="n">
        <v>28789</v>
      </c>
      <c r="L23" s="12" t="n">
        <v>24917</v>
      </c>
    </row>
    <row r="24">
      <c r="A24" s="18" t="inlineStr">
        <is>
          <t>장기차입금</t>
        </is>
      </c>
      <c r="B24" s="10" t="n"/>
      <c r="C24" s="19" t="n">
        <v>23510</v>
      </c>
      <c r="D24" s="20" t="n">
        <v>23393</v>
      </c>
      <c r="E24" s="20" t="n">
        <v>8876</v>
      </c>
      <c r="F24" s="20" t="n">
        <v>8718</v>
      </c>
      <c r="G24" s="20" t="n">
        <v>8528</v>
      </c>
      <c r="H24" s="19" t="n">
        <v>3494</v>
      </c>
      <c r="I24" s="20" t="n">
        <v>30604</v>
      </c>
      <c r="J24" s="20" t="n">
        <v>3025</v>
      </c>
      <c r="K24" s="20" t="n">
        <v>16779</v>
      </c>
      <c r="L24" s="20" t="n">
        <v>8876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143713</v>
      </c>
      <c r="D27" s="12" t="n">
        <v>150515</v>
      </c>
      <c r="E27" s="12" t="n">
        <v>171624</v>
      </c>
      <c r="F27" s="12" t="n">
        <v>141490</v>
      </c>
      <c r="G27" s="12" t="n">
        <v>153902</v>
      </c>
      <c r="H27" s="11" t="n">
        <v>137201</v>
      </c>
      <c r="I27" s="12" t="n">
        <v>183393</v>
      </c>
      <c r="J27" s="12" t="n">
        <v>212158</v>
      </c>
      <c r="K27" s="12" t="n">
        <v>176319</v>
      </c>
      <c r="L27" s="12" t="n">
        <v>171624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322520</v>
      </c>
      <c r="D31" s="12" t="n">
        <v>328638</v>
      </c>
      <c r="E31" s="12" t="n">
        <v>347696</v>
      </c>
      <c r="F31" s="12" t="n">
        <v>347654</v>
      </c>
      <c r="G31" s="12" t="n">
        <v>362676</v>
      </c>
      <c r="H31" s="11" t="n">
        <v>239135</v>
      </c>
      <c r="I31" s="12" t="n">
        <v>260842</v>
      </c>
      <c r="J31" s="12" t="n">
        <v>288781</v>
      </c>
      <c r="K31" s="12" t="n">
        <v>310104</v>
      </c>
      <c r="L31" s="12" t="n">
        <v>347696</v>
      </c>
    </row>
    <row r="32">
      <c r="A32" s="18" t="inlineStr">
        <is>
          <t>자본금</t>
        </is>
      </c>
      <c r="B32" s="10" t="n"/>
      <c r="C32" s="19" t="n">
        <v>12561</v>
      </c>
      <c r="D32" s="20" t="n">
        <v>12561</v>
      </c>
      <c r="E32" s="20" t="n">
        <v>12561</v>
      </c>
      <c r="F32" s="20" t="n">
        <v>12561</v>
      </c>
      <c r="G32" s="20" t="n">
        <v>12561</v>
      </c>
      <c r="H32" s="19" t="n">
        <v>12561</v>
      </c>
      <c r="I32" s="20" t="n">
        <v>12561</v>
      </c>
      <c r="J32" s="20" t="n">
        <v>12561</v>
      </c>
      <c r="K32" s="20" t="n">
        <v>12561</v>
      </c>
      <c r="L32" s="20" t="n">
        <v>12561</v>
      </c>
    </row>
    <row r="33">
      <c r="A33" s="18" t="inlineStr">
        <is>
          <t>이익잉여금</t>
        </is>
      </c>
      <c r="B33" s="10" t="n"/>
      <c r="C33" s="19" t="n">
        <v>282923</v>
      </c>
      <c r="D33" s="20" t="n">
        <v>287072</v>
      </c>
      <c r="E33" s="20" t="n">
        <v>301661</v>
      </c>
      <c r="F33" s="20" t="n">
        <v>300865</v>
      </c>
      <c r="G33" s="20" t="n">
        <v>313794</v>
      </c>
      <c r="H33" s="19" t="n">
        <v>214655</v>
      </c>
      <c r="I33" s="20" t="n">
        <v>233918</v>
      </c>
      <c r="J33" s="20" t="n">
        <v>253824</v>
      </c>
      <c r="K33" s="20" t="n">
        <v>273660</v>
      </c>
      <c r="L33" s="20" t="n">
        <v>301661</v>
      </c>
    </row>
    <row r="34">
      <c r="A34" s="18" t="inlineStr">
        <is>
          <t>비지배지분</t>
        </is>
      </c>
      <c r="B34" s="10" t="n"/>
      <c r="C34" s="19" t="n">
        <v>3659</v>
      </c>
      <c r="D34" s="20" t="n">
        <v>3831</v>
      </c>
      <c r="E34" s="20" t="n">
        <v>3948</v>
      </c>
      <c r="F34" s="20" t="n">
        <v>4008</v>
      </c>
      <c r="G34" s="20" t="n">
        <v>3903</v>
      </c>
      <c r="H34" s="19" t="n">
        <v>2059</v>
      </c>
      <c r="I34" s="20" t="n">
        <v>2175</v>
      </c>
      <c r="J34" s="20" t="n">
        <v>2344</v>
      </c>
      <c r="K34" s="20" t="n">
        <v>2048</v>
      </c>
      <c r="L34" s="20" t="n">
        <v>3948</v>
      </c>
    </row>
    <row r="35">
      <c r="A35" s="9" t="inlineStr">
        <is>
          <t>자본총계</t>
        </is>
      </c>
      <c r="B35" s="10" t="n"/>
      <c r="C35" s="11" t="n">
        <v>326179</v>
      </c>
      <c r="D35" s="12" t="n">
        <v>332469</v>
      </c>
      <c r="E35" s="12" t="n">
        <v>351644</v>
      </c>
      <c r="F35" s="12" t="n">
        <v>351662</v>
      </c>
      <c r="G35" s="12" t="n">
        <v>366579</v>
      </c>
      <c r="H35" s="11" t="n">
        <v>241194</v>
      </c>
      <c r="I35" s="12" t="n">
        <v>263017</v>
      </c>
      <c r="J35" s="12" t="n">
        <v>291125</v>
      </c>
      <c r="K35" s="12" t="n">
        <v>312152</v>
      </c>
      <c r="L35" s="12" t="n">
        <v>351644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12332</v>
      </c>
      <c r="F37" s="12" t="n"/>
      <c r="G37" s="12" t="n"/>
      <c r="H37" s="11" t="n">
        <v>5252</v>
      </c>
      <c r="I37" s="12" t="n">
        <v>17386</v>
      </c>
      <c r="J37" s="12" t="n">
        <v>43969</v>
      </c>
      <c r="K37" s="12" t="n">
        <v>8656</v>
      </c>
      <c r="L37" s="12" t="n">
        <v>12332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4837</v>
      </c>
      <c r="F38" s="20" t="n"/>
      <c r="G38" s="20" t="n"/>
      <c r="H38" s="19" t="n">
        <v>3931</v>
      </c>
      <c r="I38" s="20" t="n">
        <v>2940</v>
      </c>
      <c r="J38" s="20" t="n">
        <v>1836</v>
      </c>
      <c r="K38" s="20" t="n">
        <v>3791</v>
      </c>
      <c r="L38" s="20" t="n">
        <v>4837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11679</v>
      </c>
      <c r="F40" s="20" t="n"/>
      <c r="G40" s="20" t="n"/>
      <c r="H40" s="19" t="n">
        <v>7086</v>
      </c>
      <c r="I40" s="20" t="n">
        <v>7087</v>
      </c>
      <c r="J40" s="20" t="n">
        <v>8148</v>
      </c>
      <c r="K40" s="20" t="n">
        <v>9204</v>
      </c>
      <c r="L40" s="20" t="n">
        <v>11679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현금예금</t>
        </is>
      </c>
      <c r="C71" s="20" t="n">
        <v>62022</v>
      </c>
      <c r="D71" s="20" t="n">
        <v>46956</v>
      </c>
      <c r="E71" s="20" t="n">
        <v>51939</v>
      </c>
      <c r="F71" s="20" t="n">
        <v>54141</v>
      </c>
      <c r="G71" s="20" t="n">
        <v>49578</v>
      </c>
      <c r="H71" s="20" t="n">
        <v>39021</v>
      </c>
      <c r="I71" s="20" t="n">
        <v>67534</v>
      </c>
      <c r="J71" s="20" t="n">
        <v>98548</v>
      </c>
      <c r="K71" s="20" t="n">
        <v>71693</v>
      </c>
      <c r="L71" s="20" t="n">
        <v>51939</v>
      </c>
    </row>
    <row r="72">
      <c r="A72" s="18" t="inlineStr">
        <is>
          <t>받을어음·완성공사 미수금 등</t>
        </is>
      </c>
      <c r="C72" s="20" t="n">
        <v>137709</v>
      </c>
      <c r="D72" s="20" t="n">
        <v>147737</v>
      </c>
      <c r="E72" s="20" t="n">
        <v>177386</v>
      </c>
      <c r="F72" s="20" t="n">
        <v>137282</v>
      </c>
      <c r="G72" s="20" t="n">
        <v>157561</v>
      </c>
      <c r="H72" s="20" t="n">
        <v>136676</v>
      </c>
      <c r="I72" s="20" t="n">
        <v>148902</v>
      </c>
      <c r="J72" s="20" t="n">
        <v>164887</v>
      </c>
      <c r="K72" s="20" t="n">
        <v>163446</v>
      </c>
      <c r="L72" s="20" t="n">
        <v>177386</v>
      </c>
    </row>
    <row r="73">
      <c r="A73" s="18" t="inlineStr">
        <is>
          <t>유가증권</t>
        </is>
      </c>
      <c r="C73" s="20" t="n">
        <v>300</v>
      </c>
      <c r="D73" s="20" t="n">
        <v>300</v>
      </c>
      <c r="E73" s="20" t="n">
        <v>0</v>
      </c>
      <c r="F73" s="20" t="n">
        <v>166</v>
      </c>
      <c r="G73" s="20" t="n">
        <v>95</v>
      </c>
      <c r="H73" s="20" t="n">
        <v>987</v>
      </c>
      <c r="I73" s="20" t="n">
        <v>0</v>
      </c>
      <c r="J73" s="20" t="n">
        <v>0</v>
      </c>
      <c r="K73" s="20" t="n">
        <v>4</v>
      </c>
      <c r="L73" s="20" t="n">
        <v>0</v>
      </c>
    </row>
    <row r="74">
      <c r="A74" s="18" t="inlineStr">
        <is>
          <t>미성공사 지출금</t>
        </is>
      </c>
      <c r="C74" s="20" t="n">
        <v>12505</v>
      </c>
      <c r="D74" s="20" t="n">
        <v>22666</v>
      </c>
      <c r="E74" s="20" t="n">
        <v>8153</v>
      </c>
      <c r="F74" s="20" t="n">
        <v>12101</v>
      </c>
      <c r="G74" s="20" t="n">
        <v>13562</v>
      </c>
      <c r="H74" s="20" t="n">
        <v>5592</v>
      </c>
      <c r="I74" s="20" t="n">
        <v>7428</v>
      </c>
      <c r="J74" s="20" t="n">
        <v>9949</v>
      </c>
      <c r="K74" s="20" t="n">
        <v>8789</v>
      </c>
      <c r="L74" s="20" t="n">
        <v>8153</v>
      </c>
    </row>
    <row r="75">
      <c r="A75" s="18" t="inlineStr">
        <is>
          <t>판매용 부동산</t>
        </is>
      </c>
      <c r="E75" s="20" t="n">
        <v>3049</v>
      </c>
      <c r="F75" s="20" t="n">
        <v>3004</v>
      </c>
      <c r="G75" s="20" t="n">
        <v>2983</v>
      </c>
      <c r="K75" s="20" t="n">
        <v>156</v>
      </c>
      <c r="L75" s="20" t="n">
        <v>3049</v>
      </c>
    </row>
    <row r="76">
      <c r="A76" s="18" t="inlineStr">
        <is>
          <t>부동산 사업 지출금</t>
        </is>
      </c>
      <c r="E76" s="20" t="n">
        <v>589</v>
      </c>
      <c r="F76" s="20" t="n">
        <v>2106</v>
      </c>
      <c r="G76" s="20" t="n">
        <v>2324</v>
      </c>
      <c r="K76" s="20" t="n">
        <v>199</v>
      </c>
      <c r="L76" s="20" t="n">
        <v>589</v>
      </c>
    </row>
    <row r="77">
      <c r="A77" s="18" t="inlineStr">
        <is>
          <t>상품</t>
        </is>
      </c>
      <c r="C77" s="20" t="n">
        <v>771</v>
      </c>
      <c r="D77" s="20" t="n">
        <v>778</v>
      </c>
      <c r="E77" s="20" t="n">
        <v>656</v>
      </c>
      <c r="F77" s="20" t="n">
        <v>641</v>
      </c>
      <c r="G77" s="20" t="n">
        <v>844</v>
      </c>
      <c r="H77" s="20" t="n">
        <v>1107</v>
      </c>
      <c r="I77" s="20" t="n">
        <v>1203</v>
      </c>
      <c r="J77" s="20" t="n">
        <v>614</v>
      </c>
      <c r="K77" s="20" t="n">
        <v>864</v>
      </c>
      <c r="L77" s="20" t="n">
        <v>656</v>
      </c>
    </row>
    <row r="78">
      <c r="A78" s="18" t="inlineStr">
        <is>
          <t>재료·저장품</t>
        </is>
      </c>
      <c r="C78" s="20" t="n">
        <v>36718</v>
      </c>
      <c r="D78" s="20" t="n">
        <v>37060</v>
      </c>
      <c r="E78" s="20" t="n">
        <v>36652</v>
      </c>
      <c r="F78" s="20" t="n">
        <v>36378</v>
      </c>
      <c r="G78" s="20" t="n">
        <v>35949</v>
      </c>
      <c r="H78" s="20" t="n">
        <v>22790</v>
      </c>
      <c r="I78" s="20" t="n">
        <v>31364</v>
      </c>
      <c r="J78" s="20" t="n">
        <v>33359</v>
      </c>
      <c r="K78" s="20" t="n">
        <v>36681</v>
      </c>
      <c r="L78" s="20" t="n">
        <v>36652</v>
      </c>
    </row>
    <row r="79">
      <c r="A79" s="18" t="inlineStr">
        <is>
          <t>기타</t>
        </is>
      </c>
      <c r="C79" s="20" t="n">
        <v>18290</v>
      </c>
      <c r="D79" s="20" t="n">
        <v>16859</v>
      </c>
      <c r="E79" s="20" t="n">
        <v>20482</v>
      </c>
      <c r="F79" s="20" t="n">
        <v>16798</v>
      </c>
      <c r="G79" s="20" t="n">
        <v>18480</v>
      </c>
      <c r="H79" s="20" t="n">
        <v>10838</v>
      </c>
      <c r="I79" s="20" t="n">
        <v>21790</v>
      </c>
      <c r="J79" s="20" t="n">
        <v>17059</v>
      </c>
      <c r="K79" s="20" t="n">
        <v>17675</v>
      </c>
      <c r="L79" s="20" t="n">
        <v>20482</v>
      </c>
    </row>
    <row r="80">
      <c r="A80" s="18" t="inlineStr">
        <is>
          <t>대손충당금</t>
        </is>
      </c>
      <c r="C80" s="20" t="n">
        <v>-293</v>
      </c>
      <c r="D80" s="20" t="n">
        <v>-296</v>
      </c>
      <c r="E80" s="20" t="n">
        <v>-605</v>
      </c>
      <c r="F80" s="20" t="n">
        <v>-600</v>
      </c>
      <c r="G80" s="20" t="n">
        <v>-600</v>
      </c>
      <c r="H80" s="20" t="n">
        <v>-34</v>
      </c>
      <c r="I80" s="20" t="n">
        <v>-3</v>
      </c>
      <c r="J80" s="20" t="n">
        <v>-0</v>
      </c>
      <c r="K80" s="20" t="n">
        <v>-240</v>
      </c>
      <c r="L80" s="20" t="n">
        <v>-605</v>
      </c>
    </row>
    <row r="81">
      <c r="A81" s="9" t="inlineStr">
        <is>
          <t>유동자산 합계</t>
        </is>
      </c>
      <c r="C81" s="12" t="n">
        <v>268025</v>
      </c>
      <c r="D81" s="12" t="n">
        <v>272063</v>
      </c>
      <c r="E81" s="12" t="n">
        <v>298303</v>
      </c>
      <c r="F81" s="12" t="n">
        <v>262021</v>
      </c>
      <c r="G81" s="12" t="n">
        <v>280780</v>
      </c>
      <c r="H81" s="12" t="n">
        <v>216979</v>
      </c>
      <c r="I81" s="12" t="n">
        <v>278220</v>
      </c>
      <c r="J81" s="12" t="n">
        <v>324418</v>
      </c>
      <c r="K81" s="12" t="n">
        <v>299268</v>
      </c>
      <c r="L81" s="12" t="n">
        <v>298303</v>
      </c>
    </row>
    <row r="82">
      <c r="A82" s="18" t="inlineStr">
        <is>
          <t>건물·구축물</t>
        </is>
      </c>
      <c r="E82" s="20" t="n">
        <v>79436</v>
      </c>
      <c r="H82" s="20" t="n">
        <v>73060</v>
      </c>
      <c r="I82" s="20" t="n">
        <v>76168</v>
      </c>
      <c r="J82" s="20" t="n">
        <v>75777</v>
      </c>
      <c r="K82" s="20" t="n">
        <v>76153</v>
      </c>
      <c r="L82" s="20" t="n">
        <v>79436</v>
      </c>
    </row>
    <row r="83">
      <c r="A83" s="18" t="inlineStr">
        <is>
          <t>기계·운반구·공구기구비품</t>
        </is>
      </c>
      <c r="E83" s="20" t="n">
        <v>53205</v>
      </c>
      <c r="H83" s="20" t="n">
        <v>41059</v>
      </c>
      <c r="I83" s="20" t="n">
        <v>45607</v>
      </c>
      <c r="J83" s="20" t="n">
        <v>45308</v>
      </c>
      <c r="K83" s="20" t="n">
        <v>46319</v>
      </c>
      <c r="L83" s="20" t="n">
        <v>53205</v>
      </c>
    </row>
    <row r="84">
      <c r="A84" s="18" t="inlineStr">
        <is>
          <t>건물·구축물(순액)</t>
        </is>
      </c>
      <c r="C84" s="20" t="n">
        <v>32160</v>
      </c>
      <c r="D84" s="20" t="n">
        <v>31977</v>
      </c>
      <c r="E84" s="20" t="n">
        <v>32707</v>
      </c>
      <c r="F84" s="20" t="n">
        <v>33016</v>
      </c>
      <c r="G84" s="20" t="n">
        <v>32583</v>
      </c>
      <c r="H84" s="20" t="n">
        <v>33048</v>
      </c>
      <c r="I84" s="20" t="n">
        <v>34222</v>
      </c>
      <c r="J84" s="20" t="n">
        <v>32266</v>
      </c>
      <c r="K84" s="20" t="n">
        <v>31454</v>
      </c>
      <c r="L84" s="20" t="n">
        <v>32707</v>
      </c>
    </row>
    <row r="85">
      <c r="A85" s="18" t="inlineStr">
        <is>
          <t>토지</t>
        </is>
      </c>
      <c r="C85" s="20" t="n">
        <v>30486</v>
      </c>
      <c r="D85" s="20" t="n">
        <v>30477</v>
      </c>
      <c r="E85" s="20" t="n">
        <v>31287</v>
      </c>
      <c r="F85" s="20" t="n">
        <v>31345</v>
      </c>
      <c r="G85" s="20" t="n">
        <v>31195</v>
      </c>
      <c r="H85" s="20" t="n">
        <v>29677</v>
      </c>
      <c r="I85" s="20" t="n">
        <v>29914</v>
      </c>
      <c r="J85" s="20" t="n">
        <v>30207</v>
      </c>
      <c r="K85" s="20" t="n">
        <v>30445</v>
      </c>
      <c r="L85" s="20" t="n">
        <v>31287</v>
      </c>
    </row>
    <row r="86">
      <c r="A86" s="18" t="inlineStr">
        <is>
          <t>리스자산</t>
        </is>
      </c>
      <c r="E86" s="20" t="n">
        <v>9896</v>
      </c>
      <c r="H86" s="20" t="n">
        <v>7628</v>
      </c>
      <c r="I86" s="20" t="n">
        <v>8087</v>
      </c>
      <c r="J86" s="20" t="n">
        <v>8084</v>
      </c>
      <c r="K86" s="20" t="n">
        <v>8462</v>
      </c>
      <c r="L86" s="20" t="n">
        <v>9896</v>
      </c>
    </row>
    <row r="87">
      <c r="A87" s="18" t="inlineStr">
        <is>
          <t>건설중인자산</t>
        </is>
      </c>
      <c r="E87" s="20" t="n">
        <v>1347</v>
      </c>
      <c r="H87" s="20" t="n">
        <v>1112</v>
      </c>
      <c r="I87" s="20" t="n">
        <v>382</v>
      </c>
      <c r="J87" s="20" t="n">
        <v>864</v>
      </c>
      <c r="K87" s="20" t="n">
        <v>1106</v>
      </c>
      <c r="L87" s="20" t="n">
        <v>1347</v>
      </c>
    </row>
    <row r="88">
      <c r="A88" s="18" t="inlineStr">
        <is>
          <t>감가상각누계액</t>
        </is>
      </c>
      <c r="E88" s="20" t="n">
        <v>-89912</v>
      </c>
      <c r="H88" s="20" t="n">
        <v>-71694</v>
      </c>
      <c r="I88" s="20" t="n">
        <v>-78415</v>
      </c>
      <c r="J88" s="20" t="n">
        <v>-81574</v>
      </c>
      <c r="K88" s="20" t="n">
        <v>-83912</v>
      </c>
      <c r="L88" s="20" t="n">
        <v>-89912</v>
      </c>
    </row>
    <row r="89">
      <c r="A89" s="18" t="inlineStr">
        <is>
          <t>기타(순액)</t>
        </is>
      </c>
      <c r="C89" s="20" t="n">
        <v>22411</v>
      </c>
      <c r="D89" s="20" t="n">
        <v>21791</v>
      </c>
      <c r="E89" s="20" t="n">
        <v>21264</v>
      </c>
      <c r="F89" s="20" t="n">
        <v>24972</v>
      </c>
      <c r="G89" s="20" t="n">
        <v>24314</v>
      </c>
      <c r="H89" s="20" t="n">
        <v>18118</v>
      </c>
      <c r="I89" s="20" t="n">
        <v>17608</v>
      </c>
      <c r="J89" s="20" t="n">
        <v>16193</v>
      </c>
      <c r="K89" s="20" t="n">
        <v>16676</v>
      </c>
      <c r="L89" s="20" t="n">
        <v>21264</v>
      </c>
    </row>
    <row r="90">
      <c r="A90" s="18" t="inlineStr">
        <is>
          <t>유형자산 합계</t>
        </is>
      </c>
      <c r="C90" s="20" t="n">
        <v>85058</v>
      </c>
      <c r="D90" s="20" t="n">
        <v>84245</v>
      </c>
      <c r="E90" s="20" t="n">
        <v>85259</v>
      </c>
      <c r="F90" s="20" t="n">
        <v>89335</v>
      </c>
      <c r="G90" s="20" t="n">
        <v>88093</v>
      </c>
      <c r="H90" s="20" t="n">
        <v>80844</v>
      </c>
      <c r="I90" s="20" t="n">
        <v>81745</v>
      </c>
      <c r="J90" s="20" t="n">
        <v>78667</v>
      </c>
      <c r="K90" s="20" t="n">
        <v>78575</v>
      </c>
      <c r="L90" s="20" t="n">
        <v>85259</v>
      </c>
    </row>
    <row r="91">
      <c r="A91" s="18" t="inlineStr">
        <is>
          <t>영업권</t>
        </is>
      </c>
      <c r="C91" s="20" t="n">
        <v>441</v>
      </c>
      <c r="D91" s="20" t="n">
        <v>365</v>
      </c>
      <c r="E91" s="20" t="n">
        <v>331</v>
      </c>
      <c r="F91" s="20" t="n">
        <v>297</v>
      </c>
      <c r="G91" s="20" t="n">
        <v>262</v>
      </c>
      <c r="H91" s="20" t="n">
        <v>755</v>
      </c>
      <c r="I91" s="20" t="n">
        <v>821</v>
      </c>
      <c r="J91" s="20" t="n">
        <v>507</v>
      </c>
      <c r="K91" s="20" t="n">
        <v>522</v>
      </c>
      <c r="L91" s="20" t="n">
        <v>331</v>
      </c>
    </row>
    <row r="92">
      <c r="A92" s="18" t="inlineStr">
        <is>
          <t>고객관계자산</t>
        </is>
      </c>
      <c r="C92" s="20" t="n">
        <v>911</v>
      </c>
      <c r="D92" s="20" t="n">
        <v>856</v>
      </c>
      <c r="E92" s="20" t="n">
        <v>801</v>
      </c>
      <c r="F92" s="20" t="n">
        <v>746</v>
      </c>
      <c r="G92" s="20" t="n">
        <v>690</v>
      </c>
      <c r="H92" s="20" t="n">
        <v>1739</v>
      </c>
      <c r="I92" s="20" t="n">
        <v>1518</v>
      </c>
      <c r="J92" s="20" t="n">
        <v>1298</v>
      </c>
      <c r="K92" s="20" t="n">
        <v>1022</v>
      </c>
      <c r="L92" s="20" t="n">
        <v>801</v>
      </c>
    </row>
    <row r="93">
      <c r="A93" s="18" t="inlineStr">
        <is>
          <t>기타</t>
        </is>
      </c>
      <c r="C93" s="20" t="n">
        <v>3437</v>
      </c>
      <c r="D93" s="20" t="n">
        <v>3594</v>
      </c>
      <c r="E93" s="20" t="n">
        <v>3718</v>
      </c>
      <c r="F93" s="20" t="n">
        <v>3757</v>
      </c>
      <c r="G93" s="20" t="n">
        <v>3739</v>
      </c>
      <c r="H93" s="20" t="n">
        <v>1873</v>
      </c>
      <c r="I93" s="20" t="n">
        <v>1938</v>
      </c>
      <c r="J93" s="20" t="n">
        <v>2584</v>
      </c>
      <c r="K93" s="20" t="n">
        <v>2911</v>
      </c>
      <c r="L93" s="20" t="n">
        <v>3718</v>
      </c>
    </row>
    <row r="94">
      <c r="A94" s="18" t="inlineStr">
        <is>
          <t>무형자산 합계</t>
        </is>
      </c>
      <c r="C94" s="20" t="n">
        <v>4790</v>
      </c>
      <c r="D94" s="20" t="n">
        <v>4816</v>
      </c>
      <c r="E94" s="20" t="n">
        <v>4851</v>
      </c>
      <c r="F94" s="20" t="n">
        <v>4800</v>
      </c>
      <c r="G94" s="20" t="n">
        <v>4693</v>
      </c>
      <c r="H94" s="20" t="n">
        <v>4368</v>
      </c>
      <c r="I94" s="20" t="n">
        <v>4278</v>
      </c>
      <c r="J94" s="20" t="n">
        <v>4390</v>
      </c>
      <c r="K94" s="20" t="n">
        <v>4455</v>
      </c>
      <c r="L94" s="20" t="n">
        <v>4851</v>
      </c>
    </row>
    <row r="95">
      <c r="A95" s="18" t="inlineStr">
        <is>
          <t>투자유가증권</t>
        </is>
      </c>
      <c r="C95" s="20" t="n">
        <v>83607</v>
      </c>
      <c r="D95" s="20" t="n">
        <v>92694</v>
      </c>
      <c r="E95" s="20" t="n">
        <v>97872</v>
      </c>
      <c r="F95" s="20" t="n">
        <v>99565</v>
      </c>
      <c r="G95" s="20" t="n">
        <v>107247</v>
      </c>
      <c r="H95" s="20" t="n">
        <v>61175</v>
      </c>
      <c r="I95" s="20" t="n">
        <v>64494</v>
      </c>
      <c r="J95" s="20" t="n">
        <v>73645</v>
      </c>
      <c r="K95" s="20" t="n">
        <v>80153</v>
      </c>
      <c r="L95" s="20" t="n">
        <v>97872</v>
      </c>
    </row>
    <row r="96">
      <c r="A96" s="18" t="inlineStr">
        <is>
          <t>장기대여금</t>
        </is>
      </c>
      <c r="C96" s="20" t="n">
        <v>188</v>
      </c>
      <c r="D96" s="20" t="n">
        <v>187</v>
      </c>
      <c r="E96" s="20" t="n">
        <v>187</v>
      </c>
      <c r="F96" s="20" t="n">
        <v>187</v>
      </c>
      <c r="G96" s="20" t="n">
        <v>186</v>
      </c>
      <c r="H96" s="20" t="n">
        <v>313</v>
      </c>
      <c r="I96" s="20" t="n">
        <v>89</v>
      </c>
      <c r="J96" s="20" t="n">
        <v>14</v>
      </c>
      <c r="K96" s="20" t="n">
        <v>5</v>
      </c>
      <c r="L96" s="20" t="n">
        <v>187</v>
      </c>
    </row>
    <row r="97">
      <c r="A97" s="18" t="inlineStr">
        <is>
          <t>퇴직급여자산</t>
        </is>
      </c>
      <c r="C97" s="20" t="n">
        <v>19905</v>
      </c>
      <c r="D97" s="20" t="n">
        <v>20667</v>
      </c>
      <c r="E97" s="20" t="n">
        <v>24839</v>
      </c>
      <c r="F97" s="20" t="n">
        <v>25368</v>
      </c>
      <c r="G97" s="20" t="n">
        <v>25910</v>
      </c>
      <c r="H97" s="20" t="n">
        <v>6124</v>
      </c>
      <c r="I97" s="20" t="n">
        <v>10445</v>
      </c>
      <c r="J97" s="20" t="n">
        <v>14829</v>
      </c>
      <c r="K97" s="20" t="n">
        <v>18682</v>
      </c>
      <c r="L97" s="20" t="n">
        <v>24839</v>
      </c>
    </row>
    <row r="98">
      <c r="A98" s="18" t="inlineStr">
        <is>
          <t>이연법인세자산</t>
        </is>
      </c>
      <c r="C98" s="20" t="n">
        <v>1247</v>
      </c>
      <c r="D98" s="20" t="n">
        <v>1180</v>
      </c>
      <c r="E98" s="20" t="n">
        <v>1364</v>
      </c>
      <c r="F98" s="20" t="n">
        <v>1233</v>
      </c>
      <c r="G98" s="20" t="n">
        <v>1197</v>
      </c>
      <c r="H98" s="20" t="n">
        <v>4288</v>
      </c>
      <c r="I98" s="20" t="n">
        <v>2468</v>
      </c>
      <c r="J98" s="20" t="n">
        <v>2129</v>
      </c>
      <c r="K98" s="20" t="n">
        <v>1441</v>
      </c>
      <c r="L98" s="20" t="n">
        <v>1364</v>
      </c>
    </row>
    <row r="99">
      <c r="A99" s="18" t="inlineStr">
        <is>
          <t>기타</t>
        </is>
      </c>
      <c r="C99" s="20" t="n">
        <v>8106</v>
      </c>
      <c r="D99" s="20" t="n">
        <v>8156</v>
      </c>
      <c r="E99" s="20" t="n">
        <v>11787</v>
      </c>
      <c r="F99" s="20" t="n">
        <v>11842</v>
      </c>
      <c r="G99" s="20" t="n">
        <v>13572</v>
      </c>
      <c r="H99" s="20" t="n">
        <v>5279</v>
      </c>
      <c r="I99" s="20" t="n">
        <v>5652</v>
      </c>
      <c r="J99" s="20" t="n">
        <v>6193</v>
      </c>
      <c r="K99" s="20" t="n">
        <v>7016</v>
      </c>
      <c r="L99" s="20" t="n">
        <v>11787</v>
      </c>
    </row>
    <row r="100">
      <c r="A100" s="18" t="inlineStr">
        <is>
          <t>대손충당금</t>
        </is>
      </c>
      <c r="C100" s="20" t="n">
        <v>-1036</v>
      </c>
      <c r="D100" s="20" t="n">
        <v>-1026</v>
      </c>
      <c r="E100" s="20" t="n">
        <v>-1196</v>
      </c>
      <c r="F100" s="20" t="n">
        <v>-1202</v>
      </c>
      <c r="G100" s="20" t="n">
        <v>-1200</v>
      </c>
      <c r="H100" s="20" t="n">
        <v>-979</v>
      </c>
      <c r="I100" s="20" t="n">
        <v>-985</v>
      </c>
      <c r="J100" s="20" t="n">
        <v>-1004</v>
      </c>
      <c r="K100" s="20" t="n">
        <v>-1125</v>
      </c>
      <c r="L100" s="20" t="n">
        <v>-1196</v>
      </c>
    </row>
    <row r="101">
      <c r="A101" s="18" t="inlineStr">
        <is>
          <t>투자 및 기타자산 합계</t>
        </is>
      </c>
      <c r="C101" s="20" t="n">
        <v>112018</v>
      </c>
      <c r="D101" s="20" t="n">
        <v>121859</v>
      </c>
      <c r="E101" s="20" t="n">
        <v>134854</v>
      </c>
      <c r="F101" s="20" t="n">
        <v>136995</v>
      </c>
      <c r="G101" s="20" t="n">
        <v>146914</v>
      </c>
      <c r="H101" s="20" t="n">
        <v>76203</v>
      </c>
      <c r="I101" s="20" t="n">
        <v>82166</v>
      </c>
      <c r="J101" s="20" t="n">
        <v>95808</v>
      </c>
      <c r="K101" s="20" t="n">
        <v>106172</v>
      </c>
      <c r="L101" s="20" t="n">
        <v>134854</v>
      </c>
    </row>
    <row r="102">
      <c r="A102" s="9" t="inlineStr">
        <is>
          <t>비유동자산 합계</t>
        </is>
      </c>
      <c r="C102" s="12" t="n">
        <v>201867</v>
      </c>
      <c r="D102" s="12" t="n">
        <v>210921</v>
      </c>
      <c r="E102" s="12" t="n">
        <v>224965</v>
      </c>
      <c r="F102" s="12" t="n">
        <v>231131</v>
      </c>
      <c r="G102" s="12" t="n">
        <v>239701</v>
      </c>
      <c r="H102" s="12" t="n">
        <v>161416</v>
      </c>
      <c r="I102" s="12" t="n">
        <v>168189</v>
      </c>
      <c r="J102" s="12" t="n">
        <v>178865</v>
      </c>
      <c r="K102" s="12" t="n">
        <v>189203</v>
      </c>
      <c r="L102" s="12" t="n">
        <v>224965</v>
      </c>
    </row>
    <row r="103">
      <c r="A103" s="9" t="inlineStr">
        <is>
          <t>자산 합계</t>
        </is>
      </c>
      <c r="C103" s="12" t="n">
        <v>469893</v>
      </c>
      <c r="D103" s="12" t="n">
        <v>482984</v>
      </c>
      <c r="E103" s="12" t="n">
        <v>523268</v>
      </c>
      <c r="F103" s="12" t="n">
        <v>493153</v>
      </c>
      <c r="G103" s="12" t="n">
        <v>520481</v>
      </c>
      <c r="H103" s="12" t="n">
        <v>378396</v>
      </c>
      <c r="I103" s="12" t="n">
        <v>446410</v>
      </c>
      <c r="J103" s="12" t="n">
        <v>503284</v>
      </c>
      <c r="K103" s="12" t="n">
        <v>488472</v>
      </c>
      <c r="L103" s="12" t="n">
        <v>523268</v>
      </c>
    </row>
    <row r="104">
      <c r="A104" s="18" t="inlineStr">
        <is>
          <t>지급어음·공사 미지급금 등</t>
        </is>
      </c>
      <c r="C104" s="20" t="n">
        <v>48007</v>
      </c>
      <c r="D104" s="20" t="n">
        <v>40747</v>
      </c>
      <c r="E104" s="20" t="n">
        <v>65050</v>
      </c>
      <c r="F104" s="20" t="n">
        <v>39278</v>
      </c>
      <c r="G104" s="20" t="n">
        <v>53769</v>
      </c>
      <c r="H104" s="20" t="n">
        <v>66669</v>
      </c>
      <c r="I104" s="20" t="n">
        <v>69832</v>
      </c>
      <c r="J104" s="20" t="n">
        <v>71617</v>
      </c>
      <c r="K104" s="20" t="n">
        <v>68166</v>
      </c>
      <c r="L104" s="20" t="n">
        <v>65050</v>
      </c>
    </row>
    <row r="105">
      <c r="A105" s="18" t="inlineStr">
        <is>
          <t>전자기록채무</t>
        </is>
      </c>
      <c r="C105" s="20" t="n">
        <v>7329</v>
      </c>
      <c r="D105" s="20" t="n">
        <v>15154</v>
      </c>
      <c r="E105" s="20" t="n">
        <v>9012</v>
      </c>
      <c r="F105" s="20" t="n">
        <v>6329</v>
      </c>
      <c r="G105" s="20" t="n">
        <v>6658</v>
      </c>
      <c r="H105" s="20" t="n">
        <v>22078</v>
      </c>
      <c r="I105" s="20" t="n">
        <v>28762</v>
      </c>
      <c r="J105" s="20" t="n">
        <v>47881</v>
      </c>
      <c r="K105" s="20" t="n">
        <v>22418</v>
      </c>
      <c r="L105" s="20" t="n">
        <v>9012</v>
      </c>
    </row>
    <row r="106">
      <c r="A106" s="18" t="inlineStr">
        <is>
          <t>단기차입금</t>
        </is>
      </c>
      <c r="C106" s="20" t="n">
        <v>2443</v>
      </c>
      <c r="D106" s="20" t="n">
        <v>2343</v>
      </c>
      <c r="E106" s="20" t="n">
        <v>16337</v>
      </c>
      <c r="F106" s="20" t="n">
        <v>16323</v>
      </c>
      <c r="G106" s="20" t="n">
        <v>16321</v>
      </c>
      <c r="H106" s="20" t="n">
        <v>6865</v>
      </c>
      <c r="I106" s="20" t="n">
        <v>2461</v>
      </c>
      <c r="J106" s="20" t="n">
        <v>28930</v>
      </c>
      <c r="K106" s="20" t="n">
        <v>1920</v>
      </c>
      <c r="L106" s="20" t="n">
        <v>16337</v>
      </c>
    </row>
    <row r="107">
      <c r="A107" s="18" t="inlineStr">
        <is>
          <t>미지급법인세</t>
        </is>
      </c>
      <c r="C107" s="20" t="n">
        <v>7483</v>
      </c>
      <c r="D107" s="20" t="n">
        <v>4823</v>
      </c>
      <c r="E107" s="20" t="n">
        <v>10468</v>
      </c>
      <c r="F107" s="20" t="n">
        <v>4021</v>
      </c>
      <c r="G107" s="20" t="n">
        <v>10271</v>
      </c>
      <c r="H107" s="20" t="n">
        <v>7309</v>
      </c>
      <c r="I107" s="20" t="n">
        <v>5984</v>
      </c>
      <c r="J107" s="20" t="n">
        <v>10712</v>
      </c>
      <c r="K107" s="20" t="n">
        <v>8139</v>
      </c>
      <c r="L107" s="20" t="n">
        <v>10468</v>
      </c>
    </row>
    <row r="108">
      <c r="A108" s="18" t="inlineStr">
        <is>
          <t>미성공사 선수금</t>
        </is>
      </c>
      <c r="C108" s="20" t="n">
        <v>29234</v>
      </c>
      <c r="D108" s="20" t="n">
        <v>31684</v>
      </c>
      <c r="E108" s="20" t="n">
        <v>26546</v>
      </c>
      <c r="F108" s="20" t="n">
        <v>29250</v>
      </c>
      <c r="G108" s="20" t="n">
        <v>25705</v>
      </c>
      <c r="H108" s="20" t="n">
        <v>11463</v>
      </c>
      <c r="I108" s="20" t="n">
        <v>26550</v>
      </c>
      <c r="J108" s="20" t="n">
        <v>21553</v>
      </c>
      <c r="K108" s="20" t="n">
        <v>28947</v>
      </c>
      <c r="L108" s="20" t="n">
        <v>26546</v>
      </c>
    </row>
    <row r="109">
      <c r="A109" s="18" t="inlineStr">
        <is>
          <t>상여충당금</t>
        </is>
      </c>
      <c r="D109" s="20" t="n">
        <v>7106</v>
      </c>
      <c r="H109" s="20" t="n">
        <v>0</v>
      </c>
      <c r="I109" s="20" t="n">
        <v>0</v>
      </c>
      <c r="J109" s="20" t="n">
        <v>0</v>
      </c>
      <c r="K109" s="20" t="n">
        <v>0</v>
      </c>
    </row>
    <row r="110">
      <c r="A110" s="18" t="inlineStr">
        <is>
          <t>공사손실충당금</t>
        </is>
      </c>
      <c r="C110" s="20" t="n">
        <v>1761</v>
      </c>
      <c r="D110" s="20" t="n">
        <v>786</v>
      </c>
      <c r="E110" s="20" t="n">
        <v>4783</v>
      </c>
      <c r="F110" s="20" t="n">
        <v>4716</v>
      </c>
      <c r="G110" s="20" t="n">
        <v>4557</v>
      </c>
      <c r="H110" s="20" t="n">
        <v>187</v>
      </c>
      <c r="I110" s="20" t="n">
        <v>21</v>
      </c>
      <c r="J110" s="20" t="n">
        <v>262</v>
      </c>
      <c r="K110" s="20" t="n">
        <v>2756</v>
      </c>
      <c r="L110" s="20" t="n">
        <v>4783</v>
      </c>
    </row>
    <row r="111">
      <c r="A111" s="18" t="inlineStr">
        <is>
          <t>기타</t>
        </is>
      </c>
      <c r="C111" s="20" t="n">
        <v>9376</v>
      </c>
      <c r="D111" s="20" t="n">
        <v>9033</v>
      </c>
      <c r="E111" s="20" t="n">
        <v>14508</v>
      </c>
      <c r="F111" s="20" t="n">
        <v>16651</v>
      </c>
      <c r="G111" s="20" t="n">
        <v>11428</v>
      </c>
      <c r="H111" s="20" t="n">
        <v>8872</v>
      </c>
      <c r="I111" s="20" t="n">
        <v>8077</v>
      </c>
      <c r="J111" s="20" t="n">
        <v>14569</v>
      </c>
      <c r="K111" s="20" t="n">
        <v>15180</v>
      </c>
      <c r="L111" s="20" t="n">
        <v>14508</v>
      </c>
    </row>
    <row r="112">
      <c r="A112" s="9" t="inlineStr">
        <is>
          <t>유동부채 합계</t>
        </is>
      </c>
      <c r="C112" s="12" t="n">
        <v>105635</v>
      </c>
      <c r="D112" s="12" t="n">
        <v>111679</v>
      </c>
      <c r="E112" s="12" t="n">
        <v>146706</v>
      </c>
      <c r="F112" s="12" t="n">
        <v>116571</v>
      </c>
      <c r="G112" s="12" t="n">
        <v>128711</v>
      </c>
      <c r="H112" s="12" t="n">
        <v>123446</v>
      </c>
      <c r="I112" s="12" t="n">
        <v>141691</v>
      </c>
      <c r="J112" s="12" t="n">
        <v>195527</v>
      </c>
      <c r="K112" s="12" t="n">
        <v>147529</v>
      </c>
      <c r="L112" s="12" t="n">
        <v>146706</v>
      </c>
    </row>
    <row r="113">
      <c r="A113" s="18" t="inlineStr">
        <is>
          <t>장기차입금</t>
        </is>
      </c>
      <c r="C113" s="20" t="n">
        <v>23510</v>
      </c>
      <c r="D113" s="20" t="n">
        <v>23393</v>
      </c>
      <c r="E113" s="20" t="n">
        <v>8876</v>
      </c>
      <c r="F113" s="20" t="n">
        <v>8718</v>
      </c>
      <c r="G113" s="20" t="n">
        <v>8528</v>
      </c>
      <c r="H113" s="20" t="n">
        <v>3494</v>
      </c>
      <c r="I113" s="20" t="n">
        <v>30604</v>
      </c>
      <c r="J113" s="20" t="n">
        <v>3025</v>
      </c>
      <c r="K113" s="20" t="n">
        <v>16779</v>
      </c>
      <c r="L113" s="20" t="n">
        <v>8876</v>
      </c>
    </row>
    <row r="114">
      <c r="A114" s="18" t="inlineStr">
        <is>
          <t>리스부채</t>
        </is>
      </c>
      <c r="C114" s="20" t="n">
        <v>4440</v>
      </c>
      <c r="D114" s="20" t="n">
        <v>4316</v>
      </c>
      <c r="E114" s="20" t="n">
        <v>4547</v>
      </c>
      <c r="F114" s="20" t="n">
        <v>4275</v>
      </c>
      <c r="G114" s="20" t="n">
        <v>4108</v>
      </c>
      <c r="H114" s="20" t="n">
        <v>2782</v>
      </c>
      <c r="I114" s="20" t="n">
        <v>3341</v>
      </c>
      <c r="J114" s="20" t="n">
        <v>3380</v>
      </c>
      <c r="K114" s="20" t="n">
        <v>3775</v>
      </c>
      <c r="L114" s="20" t="n">
        <v>4547</v>
      </c>
    </row>
    <row r="115">
      <c r="A115" s="18" t="inlineStr">
        <is>
          <t>임원 퇴직위로 충당금</t>
        </is>
      </c>
      <c r="C115" s="20" t="n">
        <v>226</v>
      </c>
      <c r="D115" s="20" t="n">
        <v>234</v>
      </c>
      <c r="E115" s="20" t="n">
        <v>224</v>
      </c>
      <c r="F115" s="20" t="n">
        <v>213</v>
      </c>
      <c r="G115" s="20" t="n">
        <v>222</v>
      </c>
      <c r="H115" s="20" t="n">
        <v>328</v>
      </c>
      <c r="I115" s="20" t="n">
        <v>327</v>
      </c>
      <c r="J115" s="20" t="n">
        <v>309</v>
      </c>
      <c r="K115" s="20" t="n">
        <v>278</v>
      </c>
      <c r="L115" s="20" t="n">
        <v>224</v>
      </c>
    </row>
    <row r="116">
      <c r="A116" s="18" t="inlineStr">
        <is>
          <t>퇴직급여부채</t>
        </is>
      </c>
      <c r="C116" s="20" t="n">
        <v>3882</v>
      </c>
      <c r="D116" s="20" t="n">
        <v>3863</v>
      </c>
      <c r="E116" s="20" t="n">
        <v>3675</v>
      </c>
      <c r="F116" s="20" t="n">
        <v>3695</v>
      </c>
      <c r="G116" s="20" t="n">
        <v>3712</v>
      </c>
      <c r="H116" s="20" t="n">
        <v>4015</v>
      </c>
      <c r="I116" s="20" t="n">
        <v>3980</v>
      </c>
      <c r="J116" s="20" t="n">
        <v>3774</v>
      </c>
      <c r="K116" s="20" t="n">
        <v>3771</v>
      </c>
      <c r="L116" s="20" t="n">
        <v>3675</v>
      </c>
    </row>
    <row r="117">
      <c r="A117" s="18" t="inlineStr">
        <is>
          <t>주식보상 충당금</t>
        </is>
      </c>
      <c r="C117" s="20" t="n">
        <v>191</v>
      </c>
      <c r="D117" s="20" t="n">
        <v>214</v>
      </c>
      <c r="E117" s="20" t="n">
        <v>237</v>
      </c>
      <c r="F117" s="20" t="n">
        <v>250</v>
      </c>
      <c r="G117" s="20" t="n">
        <v>252</v>
      </c>
      <c r="I117" s="20" t="n">
        <v>0</v>
      </c>
      <c r="J117" s="20" t="n">
        <v>87</v>
      </c>
      <c r="K117" s="20" t="n">
        <v>165</v>
      </c>
      <c r="L117" s="20" t="n">
        <v>237</v>
      </c>
    </row>
    <row r="118">
      <c r="A118" s="18" t="inlineStr">
        <is>
          <t>관계회사 사업손실충당금</t>
        </is>
      </c>
      <c r="C118" s="20" t="n">
        <v>0</v>
      </c>
      <c r="D118" s="20" t="n">
        <v>0</v>
      </c>
      <c r="E118" s="20" t="n">
        <v>0</v>
      </c>
      <c r="I118" s="20" t="n">
        <v>0</v>
      </c>
      <c r="J118" s="20" t="n">
        <v>2260</v>
      </c>
      <c r="K118" s="20" t="n">
        <v>165</v>
      </c>
      <c r="L118" s="20" t="n">
        <v>0</v>
      </c>
    </row>
    <row r="119">
      <c r="A119" s="18" t="inlineStr">
        <is>
          <t>기타</t>
        </is>
      </c>
      <c r="C119" s="20" t="n">
        <v>5825</v>
      </c>
      <c r="D119" s="20" t="n">
        <v>6813</v>
      </c>
      <c r="E119" s="20" t="n">
        <v>7357</v>
      </c>
      <c r="F119" s="20" t="n">
        <v>7765</v>
      </c>
      <c r="G119" s="20" t="n">
        <v>8366</v>
      </c>
      <c r="H119" s="20" t="n">
        <v>3134</v>
      </c>
      <c r="I119" s="20" t="n">
        <v>3448</v>
      </c>
      <c r="J119" s="20" t="n">
        <v>3792</v>
      </c>
      <c r="K119" s="20" t="n">
        <v>3853</v>
      </c>
      <c r="L119" s="20" t="n">
        <v>7357</v>
      </c>
    </row>
    <row r="120">
      <c r="A120" s="9" t="inlineStr">
        <is>
          <t>비유동부채 합계</t>
        </is>
      </c>
      <c r="C120" s="12" t="n">
        <v>38078</v>
      </c>
      <c r="D120" s="12" t="n">
        <v>38835</v>
      </c>
      <c r="E120" s="12" t="n">
        <v>24917</v>
      </c>
      <c r="F120" s="12" t="n">
        <v>24918</v>
      </c>
      <c r="G120" s="12" t="n">
        <v>25190</v>
      </c>
      <c r="H120" s="12" t="n">
        <v>13754</v>
      </c>
      <c r="I120" s="12" t="n">
        <v>41702</v>
      </c>
      <c r="J120" s="12" t="n">
        <v>16630</v>
      </c>
      <c r="K120" s="12" t="n">
        <v>28789</v>
      </c>
      <c r="L120" s="12" t="n">
        <v>24917</v>
      </c>
    </row>
    <row r="121">
      <c r="A121" s="9" t="inlineStr">
        <is>
          <t>부채 합계</t>
        </is>
      </c>
      <c r="C121" s="12" t="n">
        <v>143713</v>
      </c>
      <c r="D121" s="12" t="n">
        <v>150515</v>
      </c>
      <c r="E121" s="12" t="n">
        <v>171624</v>
      </c>
      <c r="F121" s="12" t="n">
        <v>141490</v>
      </c>
      <c r="G121" s="12" t="n">
        <v>153902</v>
      </c>
      <c r="H121" s="12" t="n">
        <v>137201</v>
      </c>
      <c r="I121" s="12" t="n">
        <v>183393</v>
      </c>
      <c r="J121" s="12" t="n">
        <v>212158</v>
      </c>
      <c r="K121" s="12" t="n">
        <v>176319</v>
      </c>
      <c r="L121" s="12" t="n">
        <v>171624</v>
      </c>
    </row>
    <row r="122">
      <c r="A122" s="18" t="inlineStr">
        <is>
          <t>자본금</t>
        </is>
      </c>
      <c r="C122" s="20" t="n">
        <v>12561</v>
      </c>
      <c r="D122" s="20" t="n">
        <v>12561</v>
      </c>
      <c r="E122" s="20" t="n">
        <v>12561</v>
      </c>
      <c r="F122" s="20" t="n">
        <v>12561</v>
      </c>
      <c r="G122" s="20" t="n">
        <v>12561</v>
      </c>
      <c r="H122" s="20" t="n">
        <v>12561</v>
      </c>
      <c r="I122" s="20" t="n">
        <v>12561</v>
      </c>
      <c r="J122" s="20" t="n">
        <v>12561</v>
      </c>
      <c r="K122" s="20" t="n">
        <v>12561</v>
      </c>
      <c r="L122" s="20" t="n">
        <v>12561</v>
      </c>
    </row>
    <row r="123">
      <c r="A123" s="18" t="inlineStr">
        <is>
          <t>자본잉여금</t>
        </is>
      </c>
      <c r="C123" s="20" t="n">
        <v>13220</v>
      </c>
      <c r="D123" s="20" t="n">
        <v>13220</v>
      </c>
      <c r="E123" s="20" t="n">
        <v>13220</v>
      </c>
      <c r="F123" s="20" t="n">
        <v>13220</v>
      </c>
      <c r="G123" s="20" t="n">
        <v>13220</v>
      </c>
      <c r="H123" s="20" t="n">
        <v>12987</v>
      </c>
      <c r="I123" s="20" t="n">
        <v>13046</v>
      </c>
      <c r="J123" s="20" t="n">
        <v>13069</v>
      </c>
      <c r="K123" s="20" t="n">
        <v>13220</v>
      </c>
      <c r="L123" s="20" t="n">
        <v>13220</v>
      </c>
    </row>
    <row r="124">
      <c r="A124" s="18" t="inlineStr">
        <is>
          <t>이익잉여금</t>
        </is>
      </c>
      <c r="C124" s="20" t="n">
        <v>282923</v>
      </c>
      <c r="D124" s="20" t="n">
        <v>287072</v>
      </c>
      <c r="E124" s="20" t="n">
        <v>301661</v>
      </c>
      <c r="F124" s="20" t="n">
        <v>300865</v>
      </c>
      <c r="G124" s="20" t="n">
        <v>313794</v>
      </c>
      <c r="H124" s="20" t="n">
        <v>214655</v>
      </c>
      <c r="I124" s="20" t="n">
        <v>233918</v>
      </c>
      <c r="J124" s="20" t="n">
        <v>253824</v>
      </c>
      <c r="K124" s="20" t="n">
        <v>273660</v>
      </c>
      <c r="L124" s="20" t="n">
        <v>301661</v>
      </c>
    </row>
    <row r="125">
      <c r="A125" s="18" t="inlineStr">
        <is>
          <t>자기주식</t>
        </is>
      </c>
      <c r="C125" s="20" t="n">
        <v>-468</v>
      </c>
      <c r="D125" s="20" t="n">
        <v>-469</v>
      </c>
      <c r="E125" s="20" t="n">
        <v>-469</v>
      </c>
      <c r="F125" s="20" t="n">
        <v>-458</v>
      </c>
      <c r="G125" s="20" t="n">
        <v>-435</v>
      </c>
      <c r="H125" s="20" t="n">
        <v>-9</v>
      </c>
      <c r="I125" s="20" t="n">
        <v>-10</v>
      </c>
      <c r="J125" s="20" t="n">
        <v>-493</v>
      </c>
      <c r="K125" s="20" t="n">
        <v>-486</v>
      </c>
      <c r="L125" s="20" t="n">
        <v>-469</v>
      </c>
    </row>
    <row r="126">
      <c r="A126" s="9" t="inlineStr">
        <is>
          <t>주주자본 합계</t>
        </is>
      </c>
      <c r="C126" s="12" t="n">
        <v>308237</v>
      </c>
      <c r="D126" s="12" t="n">
        <v>312385</v>
      </c>
      <c r="E126" s="12" t="n">
        <v>326973</v>
      </c>
      <c r="F126" s="12" t="n">
        <v>326188</v>
      </c>
      <c r="G126" s="12" t="n">
        <v>339140</v>
      </c>
      <c r="H126" s="12" t="n">
        <v>240194</v>
      </c>
      <c r="I126" s="12" t="n">
        <v>259516</v>
      </c>
      <c r="J126" s="12" t="n">
        <v>278962</v>
      </c>
      <c r="K126" s="12" t="n">
        <v>298955</v>
      </c>
      <c r="L126" s="12" t="n">
        <v>326973</v>
      </c>
    </row>
    <row r="127">
      <c r="A127" s="18" t="inlineStr">
        <is>
          <t>기타유가증권 평가차액</t>
        </is>
      </c>
      <c r="C127" s="20" t="n">
        <v>10487</v>
      </c>
      <c r="D127" s="20" t="n">
        <v>12431</v>
      </c>
      <c r="E127" s="20" t="n">
        <v>14416</v>
      </c>
      <c r="F127" s="20" t="n">
        <v>15192</v>
      </c>
      <c r="G127" s="20" t="n">
        <v>17117</v>
      </c>
      <c r="H127" s="20" t="n">
        <v>1848</v>
      </c>
      <c r="I127" s="20" t="n">
        <v>2428</v>
      </c>
      <c r="J127" s="20" t="n">
        <v>7810</v>
      </c>
      <c r="K127" s="20" t="n">
        <v>7539</v>
      </c>
      <c r="L127" s="20" t="n">
        <v>14416</v>
      </c>
    </row>
    <row r="128">
      <c r="A128" s="18" t="inlineStr">
        <is>
          <t>이연헤지손익</t>
        </is>
      </c>
      <c r="C128" s="20" t="n">
        <v>319</v>
      </c>
      <c r="D128" s="20" t="n">
        <v>503</v>
      </c>
      <c r="E128" s="20" t="n">
        <v>626</v>
      </c>
      <c r="F128" s="20" t="n">
        <v>706</v>
      </c>
      <c r="G128" s="20" t="n">
        <v>815</v>
      </c>
      <c r="H128" s="20" t="n">
        <v>-218</v>
      </c>
      <c r="I128" s="20" t="n">
        <v>-16</v>
      </c>
      <c r="J128" s="20" t="n">
        <v>61</v>
      </c>
      <c r="K128" s="20" t="n">
        <v>245</v>
      </c>
      <c r="L128" s="20" t="n">
        <v>626</v>
      </c>
    </row>
    <row r="129">
      <c r="A129" s="18" t="inlineStr">
        <is>
          <t>해외사업환산조정</t>
        </is>
      </c>
      <c r="C129" s="20" t="n">
        <v>1180</v>
      </c>
      <c r="D129" s="20" t="n">
        <v>1007</v>
      </c>
      <c r="E129" s="20" t="n">
        <v>956</v>
      </c>
      <c r="F129" s="20" t="n">
        <v>879</v>
      </c>
      <c r="G129" s="20" t="n">
        <v>951</v>
      </c>
      <c r="H129" s="20" t="n">
        <v>208</v>
      </c>
      <c r="I129" s="20" t="n">
        <v>688</v>
      </c>
      <c r="J129" s="20" t="n">
        <v>890</v>
      </c>
      <c r="K129" s="20" t="n">
        <v>1091</v>
      </c>
      <c r="L129" s="20" t="n">
        <v>956</v>
      </c>
    </row>
    <row r="130">
      <c r="A130" s="18" t="inlineStr">
        <is>
          <t>퇴직급여 조정누계액</t>
        </is>
      </c>
      <c r="C130" s="20" t="n">
        <v>2296</v>
      </c>
      <c r="D130" s="20" t="n">
        <v>2308</v>
      </c>
      <c r="E130" s="20" t="n">
        <v>4722</v>
      </c>
      <c r="F130" s="20" t="n">
        <v>4686</v>
      </c>
      <c r="G130" s="20" t="n">
        <v>4651</v>
      </c>
      <c r="H130" s="20" t="n">
        <v>-2898</v>
      </c>
      <c r="I130" s="20" t="n">
        <v>-1774</v>
      </c>
      <c r="J130" s="20" t="n">
        <v>1056</v>
      </c>
      <c r="K130" s="20" t="n">
        <v>2272</v>
      </c>
      <c r="L130" s="20" t="n">
        <v>4722</v>
      </c>
    </row>
    <row r="131">
      <c r="A131" s="18" t="inlineStr">
        <is>
          <t>기타포괄손익누계액 합계</t>
        </is>
      </c>
      <c r="C131" s="20" t="n">
        <v>14283</v>
      </c>
      <c r="D131" s="20" t="n">
        <v>16252</v>
      </c>
      <c r="E131" s="20" t="n">
        <v>20722</v>
      </c>
      <c r="F131" s="20" t="n">
        <v>21464</v>
      </c>
      <c r="G131" s="20" t="n">
        <v>23535</v>
      </c>
      <c r="H131" s="20" t="n">
        <v>-1059</v>
      </c>
      <c r="I131" s="20" t="n">
        <v>1325</v>
      </c>
      <c r="J131" s="20" t="n">
        <v>9818</v>
      </c>
      <c r="K131" s="20" t="n">
        <v>11148</v>
      </c>
      <c r="L131" s="20" t="n">
        <v>20722</v>
      </c>
    </row>
    <row r="132">
      <c r="A132" s="18" t="inlineStr">
        <is>
          <t>비지배지분</t>
        </is>
      </c>
      <c r="C132" s="20" t="n">
        <v>3659</v>
      </c>
      <c r="D132" s="20" t="n">
        <v>3831</v>
      </c>
      <c r="E132" s="20" t="n">
        <v>3948</v>
      </c>
      <c r="F132" s="20" t="n">
        <v>4008</v>
      </c>
      <c r="G132" s="20" t="n">
        <v>3903</v>
      </c>
      <c r="H132" s="20" t="n">
        <v>2059</v>
      </c>
      <c r="I132" s="20" t="n">
        <v>2175</v>
      </c>
      <c r="J132" s="20" t="n">
        <v>2344</v>
      </c>
      <c r="K132" s="20" t="n">
        <v>2048</v>
      </c>
      <c r="L132" s="20" t="n">
        <v>3948</v>
      </c>
    </row>
    <row r="133">
      <c r="A133" s="9" t="inlineStr">
        <is>
          <t>순자산 합계</t>
        </is>
      </c>
      <c r="C133" s="12" t="n">
        <v>326179</v>
      </c>
      <c r="D133" s="12" t="n">
        <v>332469</v>
      </c>
      <c r="E133" s="12" t="n">
        <v>351644</v>
      </c>
      <c r="F133" s="12" t="n">
        <v>351662</v>
      </c>
      <c r="G133" s="12" t="n">
        <v>366579</v>
      </c>
      <c r="H133" s="12" t="n">
        <v>241194</v>
      </c>
      <c r="I133" s="12" t="n">
        <v>263017</v>
      </c>
      <c r="J133" s="12" t="n">
        <v>291125</v>
      </c>
      <c r="K133" s="12" t="n">
        <v>312152</v>
      </c>
      <c r="L133" s="12" t="n">
        <v>351644</v>
      </c>
    </row>
    <row r="134">
      <c r="A134" s="9" t="inlineStr">
        <is>
          <t>부채·순자산 합계</t>
        </is>
      </c>
      <c r="C134" s="12" t="n">
        <v>469893</v>
      </c>
      <c r="D134" s="12" t="n">
        <v>482984</v>
      </c>
      <c r="E134" s="12" t="n">
        <v>523268</v>
      </c>
      <c r="F134" s="12" t="n">
        <v>493153</v>
      </c>
      <c r="G134" s="12" t="n">
        <v>520481</v>
      </c>
      <c r="H134" s="12" t="n">
        <v>378396</v>
      </c>
      <c r="I134" s="12" t="n">
        <v>446410</v>
      </c>
      <c r="J134" s="12" t="n">
        <v>503284</v>
      </c>
      <c r="K134" s="12" t="n">
        <v>488472</v>
      </c>
      <c r="L134" s="12" t="n">
        <v>523268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0" t="inlineStr">
        <is>
          <t>크래프티아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prep quarterly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</row>
    <row r="5">
      <c r="A5" s="53" t="inlineStr">
        <is>
          <t>항목</t>
        </is>
      </c>
      <c r="B5" s="53" t="inlineStr">
        <is>
          <t>2024.3Q</t>
        </is>
      </c>
      <c r="C5" s="53" t="inlineStr">
        <is>
          <t>2024.4Q</t>
        </is>
      </c>
      <c r="D5" s="53" t="inlineStr">
        <is>
          <t>2025.1Q</t>
        </is>
      </c>
      <c r="E5" s="53" t="inlineStr">
        <is>
          <t>2025.2Q</t>
        </is>
      </c>
      <c r="F5" s="53" t="inlineStr">
        <is>
          <t>2025.3Q</t>
        </is>
      </c>
      <c r="G5" s="53" t="inlineStr">
        <is>
          <t>2025.4Q</t>
        </is>
      </c>
      <c r="H5" s="53" t="inlineStr">
        <is>
          <t>2026.1Q</t>
        </is>
      </c>
      <c r="I5" s="53" t="inlineStr">
        <is>
          <t>2026.2Q</t>
        </is>
      </c>
      <c r="J5" s="53" t="inlineStr">
        <is>
          <t>2026.3Q</t>
        </is>
      </c>
      <c r="K5" s="53" t="inlineStr">
        <is>
          <t>2026.4Q</t>
        </is>
      </c>
      <c r="L5" s="53" t="inlineStr">
        <is>
          <t>2027.1Q</t>
        </is>
      </c>
      <c r="M5" s="53" t="inlineStr">
        <is>
          <t>2027.2Q</t>
        </is>
      </c>
      <c r="N5" s="53" t="inlineStr">
        <is>
          <t>출처</t>
        </is>
      </c>
    </row>
    <row r="6">
      <c r="A6" s="54" t="inlineStr">
        <is>
          <t>매출</t>
        </is>
      </c>
      <c r="B6" s="55" t="n">
        <v>1144.5</v>
      </c>
      <c r="C6" s="55" t="n">
        <v>1539.9</v>
      </c>
      <c r="D6" s="55" t="n">
        <v>1072</v>
      </c>
      <c r="E6" s="55" t="n">
        <v>1121</v>
      </c>
      <c r="F6" s="55" t="n">
        <v>1097.7</v>
      </c>
      <c r="G6" s="55" t="n">
        <v>1448.8</v>
      </c>
      <c r="H6" s="55" t="n">
        <v>1005.7</v>
      </c>
      <c r="I6" s="55" t="n">
        <v>1071.6</v>
      </c>
      <c r="J6" s="55" t="n">
        <v>1115.3</v>
      </c>
      <c r="K6" s="55" t="n">
        <v>1568.7</v>
      </c>
      <c r="L6" s="55" t="n">
        <v>987</v>
      </c>
      <c r="M6" s="55" t="n">
        <v>1198.5</v>
      </c>
      <c r="N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160</v>
      </c>
      <c r="C7" s="55" t="n">
        <v>217.7</v>
      </c>
      <c r="D7" s="55" t="n">
        <v>174.9</v>
      </c>
      <c r="E7" s="55" t="n">
        <v>151.7</v>
      </c>
      <c r="F7" s="55" t="n">
        <v>183.7</v>
      </c>
      <c r="G7" s="55" t="n">
        <v>196.8</v>
      </c>
      <c r="H7" s="55" t="n">
        <v>192.3</v>
      </c>
      <c r="I7" s="55" t="n">
        <v>196</v>
      </c>
      <c r="J7" s="55" t="n">
        <v>216.2</v>
      </c>
      <c r="K7" s="55" t="n">
        <v>266.2</v>
      </c>
      <c r="L7" s="55" t="n">
        <v>192.5</v>
      </c>
      <c r="M7" s="55" t="n">
        <v>263.1</v>
      </c>
    </row>
    <row r="8">
      <c r="A8" s="54" t="inlineStr">
        <is>
          <t>sga</t>
        </is>
      </c>
      <c r="B8" s="55" t="n">
        <v>64.7</v>
      </c>
      <c r="C8" s="55" t="n">
        <v>69.8</v>
      </c>
      <c r="D8" s="55" t="n">
        <v>72.2</v>
      </c>
      <c r="E8" s="55" t="n">
        <v>71.7</v>
      </c>
      <c r="F8" s="55" t="n">
        <v>71.5</v>
      </c>
      <c r="G8" s="55" t="n">
        <v>77.59999999999999</v>
      </c>
      <c r="H8" s="55" t="n">
        <v>81.3</v>
      </c>
      <c r="I8" s="55" t="n">
        <v>78.90000000000001</v>
      </c>
      <c r="J8" s="55" t="n">
        <v>79.90000000000001</v>
      </c>
      <c r="K8" s="55" t="n">
        <v>84.7</v>
      </c>
      <c r="L8" s="55" t="n">
        <v>85.2</v>
      </c>
      <c r="M8" s="55" t="n">
        <v>83.90000000000001</v>
      </c>
    </row>
    <row r="9">
      <c r="A9" s="54" t="inlineStr">
        <is>
          <t>영업이익</t>
        </is>
      </c>
      <c r="B9" s="55" t="n">
        <v>95.3</v>
      </c>
      <c r="C9" s="55" t="n">
        <v>147.9</v>
      </c>
      <c r="D9" s="55" t="n">
        <v>102.6</v>
      </c>
      <c r="E9" s="55" t="n">
        <v>79.90000000000001</v>
      </c>
      <c r="F9" s="55" t="n">
        <v>112.2</v>
      </c>
      <c r="G9" s="55" t="n">
        <v>119.2</v>
      </c>
      <c r="H9" s="55" t="n">
        <v>111</v>
      </c>
      <c r="I9" s="55" t="n">
        <v>117.1</v>
      </c>
      <c r="J9" s="55" t="n">
        <v>136.4</v>
      </c>
      <c r="K9" s="55" t="n">
        <v>181.6</v>
      </c>
      <c r="L9" s="55" t="n">
        <v>107.3</v>
      </c>
      <c r="M9" s="55" t="n">
        <v>179.2</v>
      </c>
    </row>
    <row r="10">
      <c r="A10" s="54" t="inlineStr">
        <is>
          <t>pbt</t>
        </is>
      </c>
      <c r="B10" s="55" t="n">
        <v>103.1</v>
      </c>
      <c r="C10" s="55" t="n">
        <v>154.1</v>
      </c>
      <c r="D10" s="55" t="n">
        <v>114.3</v>
      </c>
      <c r="E10" s="55" t="n">
        <v>87.09999999999999</v>
      </c>
      <c r="F10" s="55" t="n">
        <v>116.8</v>
      </c>
      <c r="G10" s="55" t="n">
        <v>124.7</v>
      </c>
      <c r="H10" s="55" t="n">
        <v>117.5</v>
      </c>
      <c r="I10" s="55" t="n">
        <v>111.1</v>
      </c>
      <c r="J10" s="55" t="n">
        <v>157.3</v>
      </c>
      <c r="K10" s="55" t="n">
        <v>185.3</v>
      </c>
      <c r="L10" s="55" t="n">
        <v>124</v>
      </c>
      <c r="M10" s="55" t="n">
        <v>186.5</v>
      </c>
    </row>
    <row r="11">
      <c r="A11" s="54" t="inlineStr">
        <is>
          <t>순이익 owner</t>
        </is>
      </c>
      <c r="B11" s="55" t="n">
        <v>68.90000000000001</v>
      </c>
      <c r="C11" s="55" t="n">
        <v>109.7</v>
      </c>
      <c r="D11" s="55" t="n">
        <v>77.59999999999999</v>
      </c>
      <c r="E11" s="55" t="n">
        <v>54.1</v>
      </c>
      <c r="F11" s="55" t="n">
        <v>76.59999999999999</v>
      </c>
      <c r="G11" s="55" t="n">
        <v>80.59999999999999</v>
      </c>
      <c r="H11" s="55" t="n">
        <v>77.2</v>
      </c>
      <c r="I11" s="55" t="n">
        <v>72.2</v>
      </c>
      <c r="J11" s="55" t="n">
        <v>105.3</v>
      </c>
      <c r="K11" s="55" t="n">
        <v>145.9</v>
      </c>
      <c r="L11" s="55" t="n">
        <v>84.2</v>
      </c>
      <c r="M11" s="55" t="n">
        <v>129.3</v>
      </c>
    </row>
    <row r="13">
      <c r="A13" s="52" t="inlineStr">
        <is>
          <t>prep annual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2" t="n"/>
    </row>
    <row r="14">
      <c r="A14" s="53" t="inlineStr">
        <is>
          <t>항목</t>
        </is>
      </c>
      <c r="B14" s="53" t="inlineStr">
        <is>
          <t>2017</t>
        </is>
      </c>
      <c r="C14" s="53" t="inlineStr">
        <is>
          <t>2018</t>
        </is>
      </c>
      <c r="D14" s="53" t="inlineStr">
        <is>
          <t>2019</t>
        </is>
      </c>
      <c r="E14" s="53" t="inlineStr">
        <is>
          <t>2020</t>
        </is>
      </c>
      <c r="F14" s="53" t="inlineStr">
        <is>
          <t>2021</t>
        </is>
      </c>
      <c r="G14" s="53" t="inlineStr">
        <is>
          <t>2022</t>
        </is>
      </c>
      <c r="H14" s="53" t="inlineStr">
        <is>
          <t>2023</t>
        </is>
      </c>
      <c r="I14" s="53" t="inlineStr">
        <is>
          <t>2024</t>
        </is>
      </c>
      <c r="J14" s="53" t="inlineStr">
        <is>
          <t>2025</t>
        </is>
      </c>
      <c r="K14" s="53" t="inlineStr">
        <is>
          <t>2026</t>
        </is>
      </c>
      <c r="N14" s="53" t="inlineStr">
        <is>
          <t>출처</t>
        </is>
      </c>
    </row>
    <row r="15">
      <c r="A15" s="54" t="inlineStr">
        <is>
          <t>labels</t>
        </is>
      </c>
      <c r="B15" s="57" t="n">
        <v>2017</v>
      </c>
      <c r="C15" s="57" t="n">
        <v>2018</v>
      </c>
      <c r="D15" s="57" t="n">
        <v>2019</v>
      </c>
      <c r="E15" s="57" t="n">
        <v>2020</v>
      </c>
      <c r="F15" s="57" t="n">
        <v>2021</v>
      </c>
      <c r="G15" s="57" t="n">
        <v>2022</v>
      </c>
      <c r="H15" s="57" t="n">
        <v>2023</v>
      </c>
      <c r="I15" s="57" t="n">
        <v>2024</v>
      </c>
      <c r="J15" s="57" t="n">
        <v>2025</v>
      </c>
      <c r="K15" s="57" t="n">
        <v>2026</v>
      </c>
      <c r="N15" s="56" t="inlineStr">
        <is>
          <t>2단계 보고서 자료(회사 설명회 자료·공시)</t>
        </is>
      </c>
    </row>
    <row r="16">
      <c r="A16" s="54" t="inlineStr">
        <is>
          <t>매출</t>
        </is>
      </c>
      <c r="B16" s="55" t="n">
        <v>3098</v>
      </c>
      <c r="C16" s="55" t="n">
        <v>3261.4</v>
      </c>
      <c r="D16" s="55" t="n">
        <v>4081.4</v>
      </c>
      <c r="E16" s="55" t="n">
        <v>4289.4</v>
      </c>
      <c r="F16" s="55" t="n">
        <v>3919</v>
      </c>
      <c r="G16" s="55" t="n">
        <v>3765.6</v>
      </c>
      <c r="H16" s="55" t="n">
        <v>3957.8</v>
      </c>
      <c r="I16" s="55" t="n">
        <v>4690.6</v>
      </c>
      <c r="J16" s="55" t="n">
        <v>4739.5</v>
      </c>
      <c r="K16" s="55" t="n">
        <v>4761.2</v>
      </c>
    </row>
    <row r="17">
      <c r="A17" s="54" t="inlineStr">
        <is>
          <t>gp</t>
        </is>
      </c>
      <c r="B17" s="55" t="n">
        <v>437.8</v>
      </c>
      <c r="C17" s="55" t="n">
        <v>466.4</v>
      </c>
      <c r="D17" s="55" t="n">
        <v>605.6</v>
      </c>
      <c r="E17" s="55" t="n">
        <v>600.9</v>
      </c>
      <c r="F17" s="55" t="n">
        <v>566.3</v>
      </c>
      <c r="G17" s="55" t="n">
        <v>573.6</v>
      </c>
      <c r="H17" s="55" t="n">
        <v>578.9</v>
      </c>
      <c r="I17" s="55" t="n">
        <v>646.3</v>
      </c>
      <c r="J17" s="55" t="n">
        <v>707</v>
      </c>
      <c r="K17" s="55" t="n">
        <v>870.7</v>
      </c>
    </row>
    <row r="18">
      <c r="A18" s="54" t="inlineStr">
        <is>
          <t>sga</t>
        </is>
      </c>
      <c r="B18" s="55" t="n">
        <v>162.2</v>
      </c>
      <c r="C18" s="55" t="n">
        <v>161.9</v>
      </c>
      <c r="D18" s="55" t="n">
        <v>238.1</v>
      </c>
      <c r="E18" s="55" t="n">
        <v>240.7</v>
      </c>
      <c r="F18" s="55" t="n">
        <v>236.3</v>
      </c>
      <c r="G18" s="55" t="n">
        <v>242.2</v>
      </c>
      <c r="H18" s="55" t="n">
        <v>258.1</v>
      </c>
      <c r="I18" s="55" t="n">
        <v>266.1</v>
      </c>
      <c r="J18" s="55" t="n">
        <v>293.1</v>
      </c>
      <c r="K18" s="55" t="n">
        <v>324.7</v>
      </c>
    </row>
    <row r="19">
      <c r="A19" s="54" t="inlineStr">
        <is>
          <t>영업이익</t>
        </is>
      </c>
      <c r="B19" s="55" t="n">
        <v>275.6</v>
      </c>
      <c r="C19" s="55" t="n">
        <v>304.4</v>
      </c>
      <c r="D19" s="55" t="n">
        <v>367.5</v>
      </c>
      <c r="E19" s="55" t="n">
        <v>360.2</v>
      </c>
      <c r="F19" s="55" t="n">
        <v>330</v>
      </c>
      <c r="G19" s="55" t="n">
        <v>331.4</v>
      </c>
      <c r="H19" s="55" t="n">
        <v>320.8</v>
      </c>
      <c r="I19" s="55" t="n">
        <v>380.2</v>
      </c>
      <c r="J19" s="55" t="n">
        <v>413.9</v>
      </c>
      <c r="K19" s="55" t="n">
        <v>546</v>
      </c>
    </row>
    <row r="20">
      <c r="A20" s="54" t="inlineStr">
        <is>
          <t>pbt</t>
        </is>
      </c>
      <c r="B20" s="55" t="n">
        <v>294.8</v>
      </c>
      <c r="C20" s="55" t="n">
        <v>338.8</v>
      </c>
      <c r="D20" s="55" t="n">
        <v>392.6</v>
      </c>
      <c r="E20" s="55" t="n">
        <v>384.2</v>
      </c>
      <c r="F20" s="55" t="n">
        <v>367.8</v>
      </c>
      <c r="G20" s="55" t="n">
        <v>368.3</v>
      </c>
      <c r="H20" s="55" t="n">
        <v>387.9</v>
      </c>
      <c r="I20" s="55" t="n">
        <v>411.6</v>
      </c>
      <c r="J20" s="55" t="n">
        <v>442.9</v>
      </c>
      <c r="K20" s="55" t="n">
        <v>571.3</v>
      </c>
    </row>
    <row r="21">
      <c r="A21" s="54" t="inlineStr">
        <is>
          <t>순이익 owner</t>
        </is>
      </c>
      <c r="B21" s="55" t="n">
        <v>223</v>
      </c>
      <c r="C21" s="55" t="n">
        <v>253</v>
      </c>
      <c r="D21" s="55" t="n">
        <v>266.9</v>
      </c>
      <c r="E21" s="55" t="n">
        <v>262.4</v>
      </c>
      <c r="F21" s="55" t="n">
        <v>250.4</v>
      </c>
      <c r="G21" s="55" t="n">
        <v>262.2</v>
      </c>
      <c r="H21" s="55" t="n">
        <v>263.5</v>
      </c>
      <c r="I21" s="55" t="n">
        <v>280.2</v>
      </c>
      <c r="J21" s="55" t="n">
        <v>288.8</v>
      </c>
      <c r="K21" s="55" t="n">
        <v>400.5</v>
      </c>
    </row>
    <row r="23">
      <c r="A23" s="52" t="inlineStr">
        <is>
          <t>bs annual</t>
        </is>
      </c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</row>
    <row r="24">
      <c r="A24" s="53" t="inlineStr">
        <is>
          <t>항목</t>
        </is>
      </c>
      <c r="B24" s="53" t="inlineStr">
        <is>
          <t>2022</t>
        </is>
      </c>
      <c r="C24" s="53" t="inlineStr">
        <is>
          <t>2023</t>
        </is>
      </c>
      <c r="D24" s="53" t="inlineStr">
        <is>
          <t>2024</t>
        </is>
      </c>
      <c r="E24" s="53" t="inlineStr">
        <is>
          <t>2025</t>
        </is>
      </c>
      <c r="F24" s="53" t="inlineStr">
        <is>
          <t>2026</t>
        </is>
      </c>
      <c r="N24" s="53" t="inlineStr">
        <is>
          <t>출처</t>
        </is>
      </c>
    </row>
    <row r="25">
      <c r="A25" s="54" t="inlineStr">
        <is>
          <t>labels</t>
        </is>
      </c>
      <c r="B25" s="57" t="n">
        <v>2022</v>
      </c>
      <c r="C25" s="57" t="n">
        <v>2023</v>
      </c>
      <c r="D25" s="57" t="n">
        <v>2024</v>
      </c>
      <c r="E25" s="57" t="n">
        <v>2025</v>
      </c>
      <c r="F25" s="57" t="n">
        <v>2026</v>
      </c>
      <c r="N25" s="56" t="inlineStr">
        <is>
          <t>2단계 보고서 자료(회사 설명회 자료·공시)</t>
        </is>
      </c>
    </row>
    <row r="26">
      <c r="A26" s="54" t="inlineStr">
        <is>
          <t>current assets</t>
        </is>
      </c>
      <c r="B26" s="55" t="n">
        <v>2169.8</v>
      </c>
      <c r="C26" s="55" t="n">
        <v>2782.2</v>
      </c>
      <c r="D26" s="55" t="n">
        <v>3244.2</v>
      </c>
      <c r="E26" s="55" t="n">
        <v>2992.7</v>
      </c>
      <c r="F26" s="55" t="n">
        <v>2983</v>
      </c>
    </row>
    <row r="27">
      <c r="A27" s="54" t="inlineStr">
        <is>
          <t>cash</t>
        </is>
      </c>
      <c r="B27" s="55" t="n">
        <v>390.2</v>
      </c>
      <c r="C27" s="55" t="n">
        <v>675.3</v>
      </c>
      <c r="D27" s="55" t="n">
        <v>985.5</v>
      </c>
      <c r="E27" s="55" t="n">
        <v>716.9</v>
      </c>
      <c r="F27" s="55" t="n">
        <v>519.4</v>
      </c>
    </row>
    <row r="28">
      <c r="A28" s="54" t="inlineStr">
        <is>
          <t>st fin</t>
        </is>
      </c>
      <c r="B28" s="55" t="n">
        <v>9.9</v>
      </c>
      <c r="C28" s="55" t="n">
        <v>0</v>
      </c>
      <c r="D28" s="55" t="n">
        <v>0</v>
      </c>
      <c r="E28" s="55" t="n">
        <v>0</v>
      </c>
      <c r="F28" s="55" t="n">
        <v>0</v>
      </c>
    </row>
    <row r="29">
      <c r="A29" s="54" t="inlineStr">
        <is>
          <t>receivables</t>
        </is>
      </c>
      <c r="B29" s="58" t="n"/>
      <c r="C29" s="58" t="n"/>
      <c r="D29" s="58" t="n"/>
      <c r="E29" s="58" t="n"/>
      <c r="F29" s="58" t="n"/>
    </row>
    <row r="30">
      <c r="A30" s="54" t="inlineStr">
        <is>
          <t>inventory</t>
        </is>
      </c>
      <c r="B30" s="55" t="n">
        <v>11.1</v>
      </c>
      <c r="C30" s="55" t="n">
        <v>12</v>
      </c>
      <c r="D30" s="55" t="n">
        <v>6.1</v>
      </c>
      <c r="E30" s="55" t="n">
        <v>8.6</v>
      </c>
      <c r="F30" s="55" t="n">
        <v>6.6</v>
      </c>
    </row>
    <row r="31">
      <c r="A31" s="54" t="inlineStr">
        <is>
          <t>noncurrent assets</t>
        </is>
      </c>
      <c r="B31" s="55" t="n">
        <v>1614.2</v>
      </c>
      <c r="C31" s="55" t="n">
        <v>1681.9</v>
      </c>
      <c r="D31" s="55" t="n">
        <v>1788.7</v>
      </c>
      <c r="E31" s="55" t="n">
        <v>1892</v>
      </c>
      <c r="F31" s="55" t="n">
        <v>2249.7</v>
      </c>
    </row>
    <row r="32">
      <c r="A32" s="54" t="inlineStr">
        <is>
          <t>ppe</t>
        </is>
      </c>
      <c r="B32" s="55" t="n">
        <v>808.4</v>
      </c>
      <c r="C32" s="55" t="n">
        <v>817.5</v>
      </c>
      <c r="D32" s="55" t="n">
        <v>786.7</v>
      </c>
      <c r="E32" s="55" t="n">
        <v>785.8</v>
      </c>
      <c r="F32" s="55" t="n">
        <v>852.6</v>
      </c>
    </row>
    <row r="33">
      <c r="A33" s="54" t="inlineStr">
        <is>
          <t>intangibles</t>
        </is>
      </c>
      <c r="B33" s="55" t="n">
        <v>43.7</v>
      </c>
      <c r="C33" s="55" t="n">
        <v>42.8</v>
      </c>
      <c r="D33" s="55" t="n">
        <v>43.9</v>
      </c>
      <c r="E33" s="55" t="n">
        <v>44.5</v>
      </c>
      <c r="F33" s="55" t="n">
        <v>48.5</v>
      </c>
    </row>
    <row r="34">
      <c r="A34" s="54" t="inlineStr">
        <is>
          <t>inv property</t>
        </is>
      </c>
      <c r="B34" s="58" t="n"/>
      <c r="C34" s="58" t="n"/>
      <c r="D34" s="58" t="n"/>
      <c r="E34" s="58" t="n"/>
      <c r="F34" s="58" t="n"/>
    </row>
    <row r="35">
      <c r="A35" s="54" t="inlineStr">
        <is>
          <t>합계 assets</t>
        </is>
      </c>
      <c r="B35" s="55" t="n">
        <v>3784</v>
      </c>
      <c r="C35" s="55" t="n">
        <v>4464.1</v>
      </c>
      <c r="D35" s="55" t="n">
        <v>5032.8</v>
      </c>
      <c r="E35" s="55" t="n">
        <v>4884.7</v>
      </c>
      <c r="F35" s="55" t="n">
        <v>5232.7</v>
      </c>
    </row>
    <row r="36">
      <c r="A36" s="54" t="inlineStr">
        <is>
          <t>current liab</t>
        </is>
      </c>
      <c r="B36" s="55" t="n">
        <v>1234.5</v>
      </c>
      <c r="C36" s="55" t="n">
        <v>1416.9</v>
      </c>
      <c r="D36" s="55" t="n">
        <v>1955.3</v>
      </c>
      <c r="E36" s="55" t="n">
        <v>1475.3</v>
      </c>
      <c r="F36" s="55" t="n">
        <v>1467.1</v>
      </c>
    </row>
    <row r="37">
      <c r="A37" s="54" t="inlineStr">
        <is>
          <t>payables</t>
        </is>
      </c>
      <c r="B37" s="58" t="n"/>
      <c r="C37" s="58" t="n"/>
      <c r="D37" s="58" t="n"/>
      <c r="E37" s="58" t="n"/>
      <c r="F37" s="58" t="n"/>
    </row>
    <row r="38">
      <c r="A38" s="54" t="inlineStr">
        <is>
          <t>st debt</t>
        </is>
      </c>
      <c r="B38" s="55" t="n">
        <v>68.7</v>
      </c>
      <c r="C38" s="55" t="n">
        <v>24.6</v>
      </c>
      <c r="D38" s="55" t="n">
        <v>289.3</v>
      </c>
      <c r="E38" s="55" t="n">
        <v>19.2</v>
      </c>
      <c r="F38" s="55" t="n">
        <v>163.4</v>
      </c>
    </row>
    <row r="39">
      <c r="A39" s="54" t="inlineStr">
        <is>
          <t>noncurrent liab</t>
        </is>
      </c>
      <c r="B39" s="55" t="n">
        <v>137.5</v>
      </c>
      <c r="C39" s="55" t="n">
        <v>417</v>
      </c>
      <c r="D39" s="55" t="n">
        <v>166.3</v>
      </c>
      <c r="E39" s="55" t="n">
        <v>287.9</v>
      </c>
      <c r="F39" s="55" t="n">
        <v>249.2</v>
      </c>
    </row>
    <row r="40">
      <c r="A40" s="54" t="inlineStr">
        <is>
          <t>lt debt</t>
        </is>
      </c>
      <c r="B40" s="55" t="n">
        <v>34.9</v>
      </c>
      <c r="C40" s="55" t="n">
        <v>306</v>
      </c>
      <c r="D40" s="55" t="n">
        <v>30.2</v>
      </c>
      <c r="E40" s="55" t="n">
        <v>167.8</v>
      </c>
      <c r="F40" s="55" t="n">
        <v>88.8</v>
      </c>
    </row>
    <row r="41">
      <c r="A41" s="54" t="inlineStr">
        <is>
          <t>bonds</t>
        </is>
      </c>
      <c r="B41" s="58" t="n"/>
      <c r="C41" s="58" t="n"/>
      <c r="D41" s="58" t="n"/>
      <c r="E41" s="58" t="n"/>
      <c r="F41" s="58" t="n"/>
    </row>
    <row r="42">
      <c r="A42" s="54" t="inlineStr">
        <is>
          <t>합계 liab</t>
        </is>
      </c>
      <c r="B42" s="55" t="n">
        <v>1372</v>
      </c>
      <c r="C42" s="55" t="n">
        <v>1833.9</v>
      </c>
      <c r="D42" s="55" t="n">
        <v>2121.6</v>
      </c>
      <c r="E42" s="55" t="n">
        <v>1763.2</v>
      </c>
      <c r="F42" s="55" t="n">
        <v>1716.2</v>
      </c>
    </row>
    <row r="43">
      <c r="A43" s="54" t="inlineStr">
        <is>
          <t>capital stock</t>
        </is>
      </c>
      <c r="B43" s="55" t="n">
        <v>125.6</v>
      </c>
      <c r="C43" s="55" t="n">
        <v>125.6</v>
      </c>
      <c r="D43" s="55" t="n">
        <v>125.6</v>
      </c>
      <c r="E43" s="55" t="n">
        <v>125.6</v>
      </c>
      <c r="F43" s="55" t="n">
        <v>125.6</v>
      </c>
    </row>
    <row r="44">
      <c r="A44" s="54" t="inlineStr">
        <is>
          <t>retained</t>
        </is>
      </c>
      <c r="B44" s="55" t="n">
        <v>2146.6</v>
      </c>
      <c r="C44" s="55" t="n">
        <v>2339.2</v>
      </c>
      <c r="D44" s="55" t="n">
        <v>2538.2</v>
      </c>
      <c r="E44" s="55" t="n">
        <v>2736.6</v>
      </c>
      <c r="F44" s="55" t="n">
        <v>3016.6</v>
      </c>
    </row>
    <row r="45">
      <c r="A45" s="54" t="inlineStr">
        <is>
          <t>nci</t>
        </is>
      </c>
      <c r="B45" s="55" t="n">
        <v>20.6</v>
      </c>
      <c r="C45" s="55" t="n">
        <v>21.8</v>
      </c>
      <c r="D45" s="55" t="n">
        <v>23.4</v>
      </c>
      <c r="E45" s="55" t="n">
        <v>20.5</v>
      </c>
      <c r="F45" s="55" t="n">
        <v>39.5</v>
      </c>
    </row>
    <row r="46">
      <c r="A46" s="54" t="inlineStr">
        <is>
          <t>합계 equity</t>
        </is>
      </c>
      <c r="B46" s="55" t="n">
        <v>2411.9</v>
      </c>
      <c r="C46" s="55" t="n">
        <v>2630.2</v>
      </c>
      <c r="D46" s="55" t="n">
        <v>2911.2</v>
      </c>
      <c r="E46" s="55" t="n">
        <v>3121.5</v>
      </c>
      <c r="F46" s="55" t="n">
        <v>3516.4</v>
      </c>
    </row>
    <row r="47">
      <c r="A47" s="54" t="inlineStr">
        <is>
          <t>current ltd</t>
        </is>
      </c>
      <c r="B47" s="58" t="n"/>
      <c r="C47" s="58" t="n"/>
      <c r="D47" s="58" t="n"/>
      <c r="E47" s="58" t="n"/>
      <c r="F47" s="58" t="n"/>
    </row>
    <row r="48">
      <c r="A48" s="54" t="inlineStr">
        <is>
          <t>equity owner</t>
        </is>
      </c>
      <c r="B48" s="55" t="n">
        <v>2391.3</v>
      </c>
      <c r="C48" s="55" t="n">
        <v>2608.4</v>
      </c>
      <c r="D48" s="55" t="n">
        <v>2887.8</v>
      </c>
      <c r="E48" s="55" t="n">
        <v>3101</v>
      </c>
      <c r="F48" s="55" t="n">
        <v>3477</v>
      </c>
    </row>
    <row r="50">
      <c r="A50" s="52" t="inlineStr">
        <is>
          <t>cf annual</t>
        </is>
      </c>
      <c r="B50" s="52" t="n"/>
      <c r="C50" s="52" t="n"/>
      <c r="D50" s="52" t="n"/>
      <c r="E50" s="52" t="n"/>
      <c r="F50" s="52" t="n"/>
      <c r="G50" s="52" t="n"/>
      <c r="H50" s="52" t="n"/>
      <c r="I50" s="52" t="n"/>
      <c r="J50" s="52" t="n"/>
      <c r="K50" s="52" t="n"/>
      <c r="L50" s="52" t="n"/>
      <c r="M50" s="52" t="n"/>
      <c r="N50" s="52" t="n"/>
    </row>
    <row r="51">
      <c r="A51" s="53" t="inlineStr">
        <is>
          <t>항목</t>
        </is>
      </c>
      <c r="B51" s="53" t="inlineStr">
        <is>
          <t>2022</t>
        </is>
      </c>
      <c r="C51" s="53" t="inlineStr">
        <is>
          <t>2023</t>
        </is>
      </c>
      <c r="D51" s="53" t="inlineStr">
        <is>
          <t>2024</t>
        </is>
      </c>
      <c r="E51" s="53" t="inlineStr">
        <is>
          <t>2025</t>
        </is>
      </c>
      <c r="F51" s="53" t="inlineStr">
        <is>
          <t>2026</t>
        </is>
      </c>
      <c r="N51" s="53" t="inlineStr">
        <is>
          <t>출처</t>
        </is>
      </c>
    </row>
    <row r="52">
      <c r="A52" s="54" t="inlineStr">
        <is>
          <t>labels</t>
        </is>
      </c>
      <c r="B52" s="57" t="n">
        <v>2022</v>
      </c>
      <c r="C52" s="57" t="n">
        <v>2023</v>
      </c>
      <c r="D52" s="57" t="n">
        <v>2024</v>
      </c>
      <c r="E52" s="57" t="n">
        <v>2025</v>
      </c>
      <c r="F52" s="57" t="n">
        <v>2026</v>
      </c>
      <c r="N52" s="56" t="inlineStr">
        <is>
          <t>2단계 보고서 자료(회사 설명회 자료·공시)</t>
        </is>
      </c>
    </row>
    <row r="53">
      <c r="A53" s="54" t="inlineStr">
        <is>
          <t>ocf</t>
        </is>
      </c>
      <c r="B53" s="55" t="n">
        <v>52.5</v>
      </c>
      <c r="C53" s="55" t="n">
        <v>173.9</v>
      </c>
      <c r="D53" s="55" t="n">
        <v>439.7</v>
      </c>
      <c r="E53" s="55" t="n">
        <v>86.59999999999999</v>
      </c>
      <c r="F53" s="55" t="n">
        <v>123.3</v>
      </c>
    </row>
    <row r="54">
      <c r="A54" s="54" t="inlineStr">
        <is>
          <t>설비투자</t>
        </is>
      </c>
      <c r="B54" s="55" t="n">
        <v>39.3</v>
      </c>
      <c r="C54" s="55" t="n">
        <v>29.4</v>
      </c>
      <c r="D54" s="55" t="n">
        <v>18.4</v>
      </c>
      <c r="E54" s="55" t="n">
        <v>37.9</v>
      </c>
      <c r="F54" s="55" t="n">
        <v>48.4</v>
      </c>
    </row>
    <row r="55">
      <c r="A55" s="54" t="inlineStr">
        <is>
          <t>dividends</t>
        </is>
      </c>
      <c r="B55" s="55" t="n">
        <v>70.90000000000001</v>
      </c>
      <c r="C55" s="55" t="n">
        <v>70.90000000000001</v>
      </c>
      <c r="D55" s="55" t="n">
        <v>81.5</v>
      </c>
      <c r="E55" s="55" t="n">
        <v>92</v>
      </c>
      <c r="F55" s="55" t="n">
        <v>116.8</v>
      </c>
    </row>
    <row r="57">
      <c r="A57" s="52" t="inlineStr">
        <is>
          <t>this quarter · q alone</t>
        </is>
      </c>
      <c r="B57" s="52" t="n"/>
      <c r="C57" s="52" t="n"/>
      <c r="D57" s="52" t="n"/>
      <c r="E57" s="52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</row>
    <row r="58">
      <c r="A58" s="53" t="inlineStr">
        <is>
          <t>항목</t>
        </is>
      </c>
      <c r="B58" s="53" t="inlineStr">
        <is>
          <t>값</t>
        </is>
      </c>
      <c r="N58" s="53" t="inlineStr">
        <is>
          <t>출처</t>
        </is>
      </c>
    </row>
    <row r="59">
      <c r="A59" s="54" t="inlineStr">
        <is>
          <t>매출</t>
        </is>
      </c>
      <c r="B59" s="55" t="n">
        <v>1198.5</v>
      </c>
      <c r="N59" s="56" t="inlineStr">
        <is>
          <t>2단계 보고서 자료(회사 설명회 자료·공시)</t>
        </is>
      </c>
    </row>
    <row r="60">
      <c r="A60" s="54" t="inlineStr">
        <is>
          <t>gp</t>
        </is>
      </c>
      <c r="B60" s="55" t="n">
        <v>263.1</v>
      </c>
    </row>
    <row r="61">
      <c r="A61" s="54" t="inlineStr">
        <is>
          <t>sga</t>
        </is>
      </c>
      <c r="B61" s="55" t="n">
        <v>83.90000000000001</v>
      </c>
    </row>
    <row r="62">
      <c r="A62" s="54" t="inlineStr">
        <is>
          <t>영업이익</t>
        </is>
      </c>
      <c r="B62" s="55" t="n">
        <v>179.2</v>
      </c>
    </row>
    <row r="63">
      <c r="A63" s="54" t="inlineStr">
        <is>
          <t>pbt</t>
        </is>
      </c>
      <c r="B63" s="55" t="n">
        <v>186.5</v>
      </c>
    </row>
    <row r="64">
      <c r="A64" s="54" t="inlineStr">
        <is>
          <t>순이익</t>
        </is>
      </c>
      <c r="B64" s="55" t="n">
        <v>129.3</v>
      </c>
    </row>
    <row r="65">
      <c r="A65" s="54" t="inlineStr">
        <is>
          <t>EPS</t>
        </is>
      </c>
      <c r="B65" s="55" t="n">
        <v>182.77</v>
      </c>
    </row>
    <row r="66">
      <c r="A66" s="54" t="inlineStr">
        <is>
          <t>ordinary</t>
        </is>
      </c>
      <c r="B66" s="55" t="n">
        <v>191</v>
      </c>
    </row>
    <row r="68">
      <c r="A68" s="52" t="inlineStr">
        <is>
          <t>this quarter · YoY q</t>
        </is>
      </c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</row>
    <row r="69">
      <c r="A69" s="53" t="inlineStr">
        <is>
          <t>항목</t>
        </is>
      </c>
      <c r="B69" s="53" t="inlineStr">
        <is>
          <t>값</t>
        </is>
      </c>
      <c r="N69" s="53" t="inlineStr">
        <is>
          <t>출처</t>
        </is>
      </c>
    </row>
    <row r="70">
      <c r="A70" s="54" t="inlineStr">
        <is>
          <t>매출 ly</t>
        </is>
      </c>
      <c r="B70" s="55" t="n">
        <v>1071.6</v>
      </c>
      <c r="N70" s="56" t="inlineStr">
        <is>
          <t>2단계 보고서 자료(회사 설명회 자료·공시)</t>
        </is>
      </c>
    </row>
    <row r="71">
      <c r="A71" s="54" t="inlineStr">
        <is>
          <t>영업이익 ly</t>
        </is>
      </c>
      <c r="B71" s="55" t="n">
        <v>117.1</v>
      </c>
    </row>
    <row r="72">
      <c r="A72" s="54" t="inlineStr">
        <is>
          <t>순이익 ly</t>
        </is>
      </c>
      <c r="B72" s="55" t="n">
        <v>72.2</v>
      </c>
    </row>
    <row r="74">
      <c r="A74" s="52" t="inlineStr">
        <is>
          <t>this quarter · 상반기</t>
        </is>
      </c>
      <c r="B74" s="52" t="n"/>
      <c r="C74" s="52" t="n"/>
      <c r="D74" s="52" t="n"/>
      <c r="E74" s="52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</row>
    <row r="75">
      <c r="A75" s="53" t="inlineStr">
        <is>
          <t>항목</t>
        </is>
      </c>
      <c r="B75" s="53" t="inlineStr">
        <is>
          <t>값</t>
        </is>
      </c>
      <c r="N75" s="53" t="inlineStr">
        <is>
          <t>출처</t>
        </is>
      </c>
    </row>
    <row r="76">
      <c r="A76" s="54" t="inlineStr">
        <is>
          <t>매출</t>
        </is>
      </c>
      <c r="B76" s="55" t="n">
        <v>2185.44</v>
      </c>
      <c r="N76" s="56" t="inlineStr">
        <is>
          <t>2단계 보고서 자료(회사 설명회 자료·공시)</t>
        </is>
      </c>
    </row>
    <row r="77">
      <c r="A77" s="54" t="inlineStr">
        <is>
          <t>매출 YoY</t>
        </is>
      </c>
      <c r="B77" s="55" t="n">
        <v>5.2</v>
      </c>
    </row>
    <row r="78">
      <c r="A78" s="54" t="inlineStr">
        <is>
          <t>영업이익</t>
        </is>
      </c>
      <c r="B78" s="55" t="n">
        <v>286.52</v>
      </c>
    </row>
    <row r="79">
      <c r="A79" s="54" t="inlineStr">
        <is>
          <t>영업이익 YoY</t>
        </is>
      </c>
      <c r="B79" s="55" t="n">
        <v>25.6</v>
      </c>
    </row>
    <row r="80">
      <c r="A80" s="54" t="inlineStr">
        <is>
          <t>ordinary</t>
        </is>
      </c>
      <c r="B80" s="55" t="n">
        <v>313.12</v>
      </c>
    </row>
    <row r="81">
      <c r="A81" s="54" t="inlineStr">
        <is>
          <t>ordinary YoY</t>
        </is>
      </c>
      <c r="B81" s="55" t="n">
        <v>29.5</v>
      </c>
    </row>
    <row r="82">
      <c r="A82" s="54" t="inlineStr">
        <is>
          <t>순이익</t>
        </is>
      </c>
      <c r="B82" s="55" t="n">
        <v>213.44</v>
      </c>
    </row>
    <row r="83">
      <c r="A83" s="54" t="inlineStr">
        <is>
          <t>순이익 YoY</t>
        </is>
      </c>
      <c r="B83" s="55" t="n">
        <v>42.9</v>
      </c>
    </row>
    <row r="84">
      <c r="A84" s="54" t="inlineStr">
        <is>
          <t>EPS</t>
        </is>
      </c>
      <c r="B84" s="55" t="n">
        <v>301.74</v>
      </c>
    </row>
    <row r="85">
      <c r="A85" s="54" t="inlineStr">
        <is>
          <t>gp construction</t>
        </is>
      </c>
      <c r="B85" s="55" t="n">
        <v>432.81</v>
      </c>
    </row>
    <row r="86">
      <c r="A86" s="54" t="inlineStr">
        <is>
          <t>gp construction ly</t>
        </is>
      </c>
      <c r="B86" s="55" t="n">
        <v>362.01</v>
      </c>
    </row>
    <row r="87">
      <c r="A87" s="54" t="inlineStr">
        <is>
          <t>construction 매출</t>
        </is>
      </c>
      <c r="B87" s="55" t="n">
        <v>2088.11</v>
      </c>
    </row>
    <row r="88">
      <c r="A88" s="54" t="inlineStr">
        <is>
          <t>construction 매출 ly</t>
        </is>
      </c>
      <c r="B88" s="55" t="n">
        <v>1988.63</v>
      </c>
    </row>
    <row r="89">
      <c r="A89" s="54" t="inlineStr">
        <is>
          <t>other 매출</t>
        </is>
      </c>
      <c r="B89" s="55" t="n">
        <v>97.33</v>
      </c>
    </row>
    <row r="90">
      <c r="A90" s="54" t="inlineStr">
        <is>
          <t>other 매출 ly</t>
        </is>
      </c>
      <c r="B90" s="55" t="n">
        <v>88.62</v>
      </c>
    </row>
    <row r="91">
      <c r="A91" s="54" t="inlineStr">
        <is>
          <t>other gp</t>
        </is>
      </c>
      <c r="B91" s="55" t="n">
        <v>22.76</v>
      </c>
    </row>
    <row r="92">
      <c r="A92" s="54" t="inlineStr">
        <is>
          <t>other gp ly</t>
        </is>
      </c>
      <c r="B92" s="55" t="n">
        <v>26.25</v>
      </c>
    </row>
    <row r="93">
      <c r="A93" s="54" t="inlineStr">
        <is>
          <t>sga</t>
        </is>
      </c>
      <c r="B93" s="55" t="n">
        <v>169.04</v>
      </c>
    </row>
    <row r="94">
      <c r="A94" s="54" t="inlineStr">
        <is>
          <t>sga ly</t>
        </is>
      </c>
      <c r="B94" s="55" t="n">
        <v>160.21</v>
      </c>
    </row>
    <row r="96">
      <c r="A96" s="52" t="inlineStr">
        <is>
          <t>this quarter · dividend</t>
        </is>
      </c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</row>
    <row r="97">
      <c r="A97" s="53" t="inlineStr">
        <is>
          <t>항목</t>
        </is>
      </c>
      <c r="B97" s="53" t="inlineStr">
        <is>
          <t>값</t>
        </is>
      </c>
      <c r="N97" s="53" t="inlineStr">
        <is>
          <t>출처</t>
        </is>
      </c>
    </row>
    <row r="98">
      <c r="A98" s="54" t="inlineStr">
        <is>
          <t>interim</t>
        </is>
      </c>
      <c r="B98" s="57" t="n">
        <v>120</v>
      </c>
      <c r="N98" s="56" t="inlineStr">
        <is>
          <t>2단계 보고서 자료(회사 설명회 자료·공시)</t>
        </is>
      </c>
    </row>
    <row r="99">
      <c r="A99" s="54" t="inlineStr">
        <is>
          <t>interim 직전 계획</t>
        </is>
      </c>
      <c r="B99" s="57" t="n">
        <v>110</v>
      </c>
    </row>
    <row r="100">
      <c r="A100" s="54" t="inlineStr">
        <is>
          <t>interim ly</t>
        </is>
      </c>
      <c r="B100" s="57" t="n">
        <v>90</v>
      </c>
    </row>
    <row r="101">
      <c r="A101" s="54" t="inlineStr">
        <is>
          <t>FY 계획</t>
        </is>
      </c>
      <c r="B101" s="57" t="n">
        <v>240</v>
      </c>
    </row>
    <row r="102">
      <c r="A102" s="54" t="inlineStr">
        <is>
          <t>FY 직전 계획</t>
        </is>
      </c>
      <c r="B102" s="57" t="n">
        <v>220</v>
      </c>
    </row>
    <row r="103">
      <c r="A103" s="54" t="inlineStr">
        <is>
          <t>FY ly</t>
        </is>
      </c>
      <c r="B103" s="57" t="n">
        <v>220</v>
      </c>
    </row>
    <row r="105">
      <c r="A105" s="52" t="inlineStr">
        <is>
          <t>this quarter · shares</t>
        </is>
      </c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</row>
    <row r="106">
      <c r="A106" s="53" t="inlineStr">
        <is>
          <t>항목</t>
        </is>
      </c>
      <c r="B106" s="53" t="inlineStr">
        <is>
          <t>값</t>
        </is>
      </c>
      <c r="N106" s="53" t="inlineStr">
        <is>
          <t>출처</t>
        </is>
      </c>
    </row>
    <row r="107">
      <c r="A107" s="54" t="inlineStr">
        <is>
          <t>issued</t>
        </is>
      </c>
      <c r="B107" s="57" t="n">
        <v>70864961</v>
      </c>
      <c r="N107" s="56" t="inlineStr">
        <is>
          <t>2단계 보고서 자료(회사 설명회 자료·공시)</t>
        </is>
      </c>
    </row>
    <row r="108">
      <c r="A108" s="54" t="inlineStr">
        <is>
          <t>treasury</t>
        </is>
      </c>
      <c r="B108" s="57" t="n">
        <v>121733</v>
      </c>
    </row>
    <row r="109">
      <c r="A109" s="54" t="inlineStr">
        <is>
          <t>outstanding</t>
        </is>
      </c>
      <c r="B109" s="57" t="n">
        <v>70743228</v>
      </c>
    </row>
    <row r="110">
      <c r="A110" s="54" t="inlineStr">
        <is>
          <t>avg 상반기</t>
        </is>
      </c>
      <c r="B110" s="57" t="n">
        <v>70738879</v>
      </c>
    </row>
    <row r="112">
      <c r="A112" s="52" t="inlineStr">
        <is>
          <t>컨센서스 · 2Q before</t>
        </is>
      </c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</row>
    <row r="113">
      <c r="A113" s="53" t="inlineStr">
        <is>
          <t>항목</t>
        </is>
      </c>
      <c r="B113" s="53" t="inlineStr">
        <is>
          <t>값</t>
        </is>
      </c>
      <c r="N113" s="53" t="inlineStr">
        <is>
          <t>출처</t>
        </is>
      </c>
    </row>
    <row r="114">
      <c r="A114" s="54" t="inlineStr">
        <is>
          <t>매출</t>
        </is>
      </c>
      <c r="B114" s="55" t="n">
        <v>1069</v>
      </c>
      <c r="N114" s="56" t="inlineStr">
        <is>
          <t>2단계 보고서 자료(회사 설명회 자료·공시)</t>
        </is>
      </c>
    </row>
    <row r="115">
      <c r="A115" s="54" t="inlineStr">
        <is>
          <t>매출 최저</t>
        </is>
      </c>
      <c r="B115" s="57" t="n">
        <v>1040</v>
      </c>
    </row>
    <row r="116">
      <c r="A116" s="54" t="inlineStr">
        <is>
          <t>매출 최고</t>
        </is>
      </c>
      <c r="B116" s="57" t="n">
        <v>1098</v>
      </c>
    </row>
    <row r="117">
      <c r="A117" s="54" t="inlineStr">
        <is>
          <t>매출 애널리스트 수</t>
        </is>
      </c>
      <c r="B117" s="57" t="n">
        <v>2</v>
      </c>
    </row>
    <row r="118">
      <c r="A118" s="54" t="inlineStr">
        <is>
          <t>EPS</t>
        </is>
      </c>
      <c r="B118" s="55" t="n">
        <v>113.72</v>
      </c>
    </row>
    <row r="119">
      <c r="A119" s="54" t="inlineStr">
        <is>
          <t>EPS 애널리스트 수</t>
        </is>
      </c>
      <c r="B119" s="57" t="n">
        <v>1</v>
      </c>
    </row>
    <row r="120">
      <c r="A120" s="54" t="inlineStr">
        <is>
          <t>EPS 30d ago</t>
        </is>
      </c>
      <c r="B120" s="55" t="n">
        <v>131.42</v>
      </c>
    </row>
    <row r="122">
      <c r="A122" s="52" t="inlineStr">
        <is>
          <t>컨센서스 · 3Q</t>
        </is>
      </c>
      <c r="B122" s="52" t="n"/>
      <c r="C122" s="52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</row>
    <row r="123">
      <c r="A123" s="53" t="inlineStr">
        <is>
          <t>항목</t>
        </is>
      </c>
      <c r="B123" s="53" t="inlineStr">
        <is>
          <t>값</t>
        </is>
      </c>
      <c r="N123" s="53" t="inlineStr">
        <is>
          <t>출처</t>
        </is>
      </c>
    </row>
    <row r="124">
      <c r="A124" s="54" t="inlineStr">
        <is>
          <t>매출</t>
        </is>
      </c>
      <c r="B124" s="57" t="n">
        <v>1230</v>
      </c>
      <c r="N124" s="56" t="inlineStr">
        <is>
          <t>2단계 보고서 자료(회사 설명회 자료·공시)</t>
        </is>
      </c>
    </row>
    <row r="125">
      <c r="A125" s="54" t="inlineStr">
        <is>
          <t>EPS</t>
        </is>
      </c>
      <c r="B125" s="55" t="n">
        <v>151.76</v>
      </c>
    </row>
    <row r="126">
      <c r="A126" s="54" t="inlineStr">
        <is>
          <t>애널리스트 수</t>
        </is>
      </c>
      <c r="B126" s="57" t="n">
        <v>2</v>
      </c>
    </row>
    <row r="128">
      <c r="A128" s="52" t="inlineStr">
        <is>
          <t>컨센서스 · fy2027</t>
        </is>
      </c>
      <c r="B128" s="52" t="n"/>
      <c r="C128" s="52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</row>
    <row r="129">
      <c r="A129" s="53" t="inlineStr">
        <is>
          <t>항목</t>
        </is>
      </c>
      <c r="B129" s="53" t="inlineStr">
        <is>
          <t>값</t>
        </is>
      </c>
      <c r="N129" s="53" t="inlineStr">
        <is>
          <t>출처</t>
        </is>
      </c>
    </row>
    <row r="130">
      <c r="A130" s="54" t="inlineStr">
        <is>
          <t>매출</t>
        </is>
      </c>
      <c r="B130" s="55" t="n">
        <v>5052.7</v>
      </c>
      <c r="N130" s="56" t="inlineStr">
        <is>
          <t>2단계 보고서 자료(회사 설명회 자료·공시)</t>
        </is>
      </c>
    </row>
    <row r="131">
      <c r="A131" s="54" t="inlineStr">
        <is>
          <t>EPS</t>
        </is>
      </c>
      <c r="B131" s="55" t="n">
        <v>624.88</v>
      </c>
    </row>
    <row r="132">
      <c r="A132" s="54" t="inlineStr">
        <is>
          <t>EPS 최저</t>
        </is>
      </c>
      <c r="B132" s="55" t="n">
        <v>552.8</v>
      </c>
    </row>
    <row r="133">
      <c r="A133" s="54" t="inlineStr">
        <is>
          <t>EPS 최고</t>
        </is>
      </c>
      <c r="B133" s="55" t="n">
        <v>692.7</v>
      </c>
    </row>
    <row r="134">
      <c r="A134" s="54" t="inlineStr">
        <is>
          <t>애널리스트 수</t>
        </is>
      </c>
      <c r="B134" s="57" t="n">
        <v>7</v>
      </c>
    </row>
    <row r="136">
      <c r="A136" s="52" t="inlineStr">
        <is>
          <t>컨센서스 · fy2028</t>
        </is>
      </c>
      <c r="B136" s="52" t="n"/>
      <c r="C136" s="52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</row>
    <row r="137">
      <c r="A137" s="53" t="inlineStr">
        <is>
          <t>항목</t>
        </is>
      </c>
      <c r="B137" s="53" t="inlineStr">
        <is>
          <t>값</t>
        </is>
      </c>
      <c r="N137" s="53" t="inlineStr">
        <is>
          <t>출처</t>
        </is>
      </c>
    </row>
    <row r="138">
      <c r="A138" s="54" t="inlineStr">
        <is>
          <t>매출</t>
        </is>
      </c>
      <c r="B138" s="55" t="n">
        <v>5282.7</v>
      </c>
      <c r="N138" s="56" t="inlineStr">
        <is>
          <t>2단계 보고서 자료(회사 설명회 자료·공시)</t>
        </is>
      </c>
    </row>
    <row r="139">
      <c r="A139" s="54" t="inlineStr">
        <is>
          <t>EPS</t>
        </is>
      </c>
      <c r="B139" s="55" t="n">
        <v>670.41</v>
      </c>
    </row>
    <row r="140">
      <c r="A140" s="54" t="inlineStr">
        <is>
          <t>애널리스트 수</t>
        </is>
      </c>
      <c r="B140" s="57" t="n">
        <v>7</v>
      </c>
    </row>
    <row r="142">
      <c r="A142" s="52" t="inlineStr">
        <is>
          <t>컨센서스 · 목표주가 가격</t>
        </is>
      </c>
      <c r="B142" s="52" t="n"/>
      <c r="C142" s="52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</row>
    <row r="143">
      <c r="A143" s="53" t="inlineStr">
        <is>
          <t>항목</t>
        </is>
      </c>
      <c r="B143" s="53" t="inlineStr">
        <is>
          <t>값</t>
        </is>
      </c>
      <c r="N143" s="53" t="inlineStr">
        <is>
          <t>출처</t>
        </is>
      </c>
    </row>
    <row r="144">
      <c r="A144" s="54" t="inlineStr">
        <is>
          <t>평균</t>
        </is>
      </c>
      <c r="B144" s="57" t="n">
        <v>11250</v>
      </c>
      <c r="N144" s="56" t="inlineStr">
        <is>
          <t>2단계 보고서 자료(회사 설명회 자료·공시)</t>
        </is>
      </c>
    </row>
    <row r="145">
      <c r="A145" s="54" t="inlineStr">
        <is>
          <t>중앙값</t>
        </is>
      </c>
      <c r="B145" s="57" t="n">
        <v>11500</v>
      </c>
    </row>
    <row r="146">
      <c r="A146" s="54" t="inlineStr">
        <is>
          <t>최고</t>
        </is>
      </c>
      <c r="B146" s="57" t="n">
        <v>13600</v>
      </c>
    </row>
    <row r="147">
      <c r="A147" s="54" t="inlineStr">
        <is>
          <t>최저</t>
        </is>
      </c>
      <c r="B147" s="57" t="n">
        <v>7700</v>
      </c>
    </row>
    <row r="148">
      <c r="A148" s="54" t="inlineStr">
        <is>
          <t>애널리스트 수</t>
        </is>
      </c>
      <c r="B148" s="57" t="n">
        <v>6</v>
      </c>
    </row>
    <row r="150">
      <c r="A150" s="52" t="inlineStr">
        <is>
          <t>dps hist</t>
        </is>
      </c>
      <c r="B150" s="52" t="n"/>
      <c r="C150" s="52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</row>
    <row r="151">
      <c r="A151" s="53" t="inlineStr">
        <is>
          <t>항목</t>
        </is>
      </c>
      <c r="B151" s="53" t="inlineStr">
        <is>
          <t>값</t>
        </is>
      </c>
      <c r="N151" s="53" t="inlineStr">
        <is>
          <t>출처</t>
        </is>
      </c>
    </row>
    <row r="152">
      <c r="A152" s="54" t="inlineStr">
        <is>
          <t>FY2017</t>
        </is>
      </c>
      <c r="B152" s="57" t="n">
        <v>70</v>
      </c>
      <c r="N152" s="56" t="inlineStr">
        <is>
          <t>2단계 보고서 자료(회사 설명회 자료·공시)</t>
        </is>
      </c>
    </row>
    <row r="153">
      <c r="A153" s="54" t="inlineStr">
        <is>
          <t>FY2018</t>
        </is>
      </c>
      <c r="B153" s="57" t="n">
        <v>90</v>
      </c>
    </row>
    <row r="154">
      <c r="A154" s="54" t="inlineStr">
        <is>
          <t>FY2019</t>
        </is>
      </c>
      <c r="B154" s="57" t="n">
        <v>100</v>
      </c>
    </row>
    <row r="155">
      <c r="A155" s="54" t="inlineStr">
        <is>
          <t>FY2020</t>
        </is>
      </c>
      <c r="B155" s="57" t="n">
        <v>100</v>
      </c>
    </row>
    <row r="156">
      <c r="A156" s="54" t="inlineStr">
        <is>
          <t>FY2021</t>
        </is>
      </c>
      <c r="B156" s="57" t="n">
        <v>100</v>
      </c>
    </row>
    <row r="157">
      <c r="A157" s="54" t="inlineStr">
        <is>
          <t>FY2022</t>
        </is>
      </c>
      <c r="B157" s="57" t="n">
        <v>100</v>
      </c>
    </row>
    <row r="158">
      <c r="A158" s="54" t="inlineStr">
        <is>
          <t>FY2023</t>
        </is>
      </c>
      <c r="B158" s="57" t="n">
        <v>110</v>
      </c>
    </row>
    <row r="159">
      <c r="A159" s="54" t="inlineStr">
        <is>
          <t>FY2024</t>
        </is>
      </c>
      <c r="B159" s="57" t="n">
        <v>120</v>
      </c>
    </row>
    <row r="160">
      <c r="A160" s="54" t="inlineStr">
        <is>
          <t>FY2025</t>
        </is>
      </c>
      <c r="B160" s="57" t="n">
        <v>140</v>
      </c>
    </row>
    <row r="161">
      <c r="A161" s="54" t="inlineStr">
        <is>
          <t>FY2026</t>
        </is>
      </c>
      <c r="B161" s="57" t="n">
        <v>220</v>
      </c>
    </row>
    <row r="162">
      <c r="A162" s="54" t="inlineStr">
        <is>
          <t>FY2027G</t>
        </is>
      </c>
      <c r="B162" s="57" t="n">
        <v>240</v>
      </c>
    </row>
    <row r="164">
      <c r="A164" s="52" t="inlineStr">
        <is>
          <t>quarterly hist</t>
        </is>
      </c>
      <c r="B164" s="52" t="n"/>
      <c r="C164" s="52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</row>
    <row r="165">
      <c r="A165" s="53" t="inlineStr">
        <is>
          <t>항목</t>
        </is>
      </c>
      <c r="B165" s="53" t="inlineStr">
        <is>
          <t>published</t>
        </is>
      </c>
      <c r="C165" s="53" t="inlineStr">
        <is>
          <t>매출</t>
        </is>
      </c>
      <c r="D165" s="53" t="inlineStr">
        <is>
          <t>영업이익</t>
        </is>
      </c>
      <c r="E165" s="53" t="inlineStr">
        <is>
          <t>ordinary</t>
        </is>
      </c>
      <c r="F165" s="53" t="inlineStr">
        <is>
          <t>순이익</t>
        </is>
      </c>
      <c r="G165" s="53" t="inlineStr">
        <is>
          <t>EPS</t>
        </is>
      </c>
      <c r="H165" s="53" t="inlineStr">
        <is>
          <t>fc 매출</t>
        </is>
      </c>
      <c r="I165" s="53" t="inlineStr">
        <is>
          <t>fc 영업이익</t>
        </is>
      </c>
      <c r="J165" s="53" t="inlineStr">
        <is>
          <t>fc 순이익</t>
        </is>
      </c>
      <c r="K165" s="53" t="inlineStr">
        <is>
          <t>fc EPS</t>
        </is>
      </c>
      <c r="N165" s="53" t="inlineStr">
        <is>
          <t>출처</t>
        </is>
      </c>
    </row>
    <row r="166">
      <c r="A166" s="54" t="inlineStr">
        <is>
          <t>2027.2Q</t>
        </is>
      </c>
      <c r="B166" s="58" t="inlineStr">
        <is>
          <t>2026-10-29</t>
        </is>
      </c>
      <c r="C166" s="55" t="n">
        <v>1198.5</v>
      </c>
      <c r="D166" s="55" t="n">
        <v>179.2</v>
      </c>
      <c r="E166" s="55" t="n">
        <v>191</v>
      </c>
      <c r="F166" s="55" t="n">
        <v>129.3</v>
      </c>
      <c r="G166" s="55" t="n">
        <v>182.77</v>
      </c>
      <c r="H166" s="57" t="n">
        <v>5000</v>
      </c>
      <c r="I166" s="57" t="n">
        <v>610</v>
      </c>
      <c r="J166" s="57" t="n">
        <v>425</v>
      </c>
      <c r="K166" s="55" t="n">
        <v>600.78</v>
      </c>
      <c r="N166" s="56" t="inlineStr">
        <is>
          <t>2단계 보고서 자료(회사 설명회 자료·공시)</t>
        </is>
      </c>
    </row>
    <row r="167">
      <c r="A167" s="54" t="inlineStr">
        <is>
          <t>2027.1Q</t>
        </is>
      </c>
      <c r="B167" s="58" t="inlineStr">
        <is>
          <t>2026-07-30</t>
        </is>
      </c>
      <c r="C167" s="55" t="n">
        <v>987</v>
      </c>
      <c r="D167" s="55" t="n">
        <v>107.3</v>
      </c>
      <c r="E167" s="55" t="n">
        <v>122.1</v>
      </c>
      <c r="F167" s="55" t="n">
        <v>84.2</v>
      </c>
      <c r="G167" s="55" t="n">
        <v>118.97</v>
      </c>
      <c r="H167" s="57" t="n">
        <v>5000</v>
      </c>
      <c r="I167" s="57" t="n">
        <v>555</v>
      </c>
      <c r="J167" s="57" t="n">
        <v>405</v>
      </c>
      <c r="K167" s="55" t="n">
        <v>572.54</v>
      </c>
    </row>
    <row r="168">
      <c r="A168" s="54" t="inlineStr">
        <is>
          <t>2026.4Q</t>
        </is>
      </c>
      <c r="B168" s="58" t="inlineStr">
        <is>
          <t>2026-04-28</t>
        </is>
      </c>
      <c r="C168" s="55" t="n">
        <v>1568.7</v>
      </c>
      <c r="D168" s="55" t="n">
        <v>181.6</v>
      </c>
      <c r="E168" s="55" t="n">
        <v>190.7</v>
      </c>
      <c r="F168" s="55" t="n">
        <v>145.9</v>
      </c>
      <c r="G168" s="55" t="n">
        <v>206.24</v>
      </c>
      <c r="H168" s="57" t="n">
        <v>5000</v>
      </c>
      <c r="I168" s="57" t="n">
        <v>555</v>
      </c>
      <c r="J168" s="57" t="n">
        <v>405</v>
      </c>
      <c r="K168" s="55" t="n">
        <v>572.5599999999999</v>
      </c>
    </row>
    <row r="169">
      <c r="A169" s="54" t="inlineStr">
        <is>
          <t>2026.3Q</t>
        </is>
      </c>
      <c r="B169" s="58" t="inlineStr">
        <is>
          <t>2026-01-30</t>
        </is>
      </c>
      <c r="C169" s="55" t="n">
        <v>1115.3</v>
      </c>
      <c r="D169" s="55" t="n">
        <v>136.4</v>
      </c>
      <c r="E169" s="55" t="n">
        <v>149.1</v>
      </c>
      <c r="F169" s="55" t="n">
        <v>105.3</v>
      </c>
      <c r="G169" s="55" t="n">
        <v>148.83</v>
      </c>
      <c r="H169" s="57" t="n">
        <v>4750</v>
      </c>
      <c r="I169" s="57" t="n">
        <v>515</v>
      </c>
      <c r="J169" s="57" t="n">
        <v>360</v>
      </c>
      <c r="K169" s="55" t="n">
        <v>508.95</v>
      </c>
    </row>
    <row r="170">
      <c r="A170" s="54" t="inlineStr">
        <is>
          <t>2026.2Q</t>
        </is>
      </c>
      <c r="B170" s="58" t="inlineStr">
        <is>
          <t>2025-10-31</t>
        </is>
      </c>
      <c r="C170" s="55" t="n">
        <v>1071.6</v>
      </c>
      <c r="D170" s="55" t="n">
        <v>117.1</v>
      </c>
      <c r="E170" s="55" t="n">
        <v>124.4</v>
      </c>
      <c r="F170" s="55" t="n">
        <v>72.2</v>
      </c>
      <c r="G170" s="55" t="n">
        <v>102.04</v>
      </c>
      <c r="H170" s="57" t="n">
        <v>4900</v>
      </c>
      <c r="I170" s="57" t="n">
        <v>445</v>
      </c>
      <c r="J170" s="57" t="n">
        <v>320</v>
      </c>
      <c r="K170" s="55" t="n">
        <v>452.4</v>
      </c>
    </row>
    <row r="171">
      <c r="A171" s="54" t="inlineStr">
        <is>
          <t>2026.1Q</t>
        </is>
      </c>
      <c r="B171" s="58" t="inlineStr">
        <is>
          <t>2025-07-25</t>
        </is>
      </c>
      <c r="C171" s="55" t="n">
        <v>1005.7</v>
      </c>
      <c r="D171" s="55" t="n">
        <v>111</v>
      </c>
      <c r="E171" s="55" t="n">
        <v>117.4</v>
      </c>
      <c r="F171" s="55" t="n">
        <v>77.2</v>
      </c>
      <c r="G171" s="55" t="n">
        <v>109.14</v>
      </c>
      <c r="H171" s="57" t="n">
        <v>4900</v>
      </c>
      <c r="I171" s="57" t="n">
        <v>445</v>
      </c>
      <c r="J171" s="57" t="n">
        <v>320</v>
      </c>
      <c r="K171" s="55" t="n">
        <v>452.42</v>
      </c>
    </row>
    <row r="172">
      <c r="A172" s="54" t="inlineStr">
        <is>
          <t>2025.4Q</t>
        </is>
      </c>
      <c r="B172" s="58" t="inlineStr">
        <is>
          <t>2025-04-28</t>
        </is>
      </c>
      <c r="C172" s="55" t="n">
        <v>1448.8</v>
      </c>
      <c r="D172" s="55" t="n">
        <v>119.2</v>
      </c>
      <c r="E172" s="55" t="n">
        <v>126.9</v>
      </c>
      <c r="F172" s="55" t="n">
        <v>80.59999999999999</v>
      </c>
      <c r="G172" s="55" t="n">
        <v>113.93</v>
      </c>
      <c r="H172" s="57" t="n">
        <v>4900</v>
      </c>
      <c r="I172" s="57" t="n">
        <v>445</v>
      </c>
      <c r="J172" s="57" t="n">
        <v>320</v>
      </c>
      <c r="K172" s="55" t="n">
        <v>452.42</v>
      </c>
    </row>
    <row r="173">
      <c r="A173" s="54" t="inlineStr">
        <is>
          <t>2025.3Q</t>
        </is>
      </c>
      <c r="B173" s="58" t="inlineStr">
        <is>
          <t>2025-01-31</t>
        </is>
      </c>
      <c r="C173" s="55" t="n">
        <v>1097.7</v>
      </c>
      <c r="D173" s="55" t="n">
        <v>112.2</v>
      </c>
      <c r="E173" s="55" t="n">
        <v>118.5</v>
      </c>
      <c r="F173" s="55" t="n">
        <v>76.59999999999999</v>
      </c>
      <c r="G173" s="55" t="n">
        <v>108.25</v>
      </c>
      <c r="H173" s="57" t="n">
        <v>4700</v>
      </c>
      <c r="I173" s="57" t="n">
        <v>440</v>
      </c>
      <c r="J173" s="57" t="n">
        <v>310</v>
      </c>
      <c r="K173" s="55" t="n">
        <v>438.28</v>
      </c>
    </row>
    <row r="174">
      <c r="A174" s="54" t="inlineStr">
        <is>
          <t>2025.2Q</t>
        </is>
      </c>
      <c r="B174" s="58" t="inlineStr">
        <is>
          <t>2024-10-30</t>
        </is>
      </c>
      <c r="C174" s="55" t="n">
        <v>1121</v>
      </c>
      <c r="D174" s="55" t="n">
        <v>79.90000000000001</v>
      </c>
      <c r="E174" s="55" t="n">
        <v>87.5</v>
      </c>
      <c r="F174" s="55" t="n">
        <v>54.1</v>
      </c>
      <c r="G174" s="55" t="n">
        <v>76.48999999999999</v>
      </c>
      <c r="H174" s="57" t="n">
        <v>5000</v>
      </c>
      <c r="I174" s="57" t="n">
        <v>395</v>
      </c>
      <c r="J174" s="57" t="n">
        <v>290</v>
      </c>
      <c r="K174" s="55" t="n">
        <v>410.01</v>
      </c>
    </row>
    <row r="175">
      <c r="A175" s="54" t="inlineStr">
        <is>
          <t>2025.1Q</t>
        </is>
      </c>
      <c r="B175" s="58" t="inlineStr">
        <is>
          <t>2024-07-29</t>
        </is>
      </c>
      <c r="C175" s="55" t="n">
        <v>1072</v>
      </c>
      <c r="D175" s="55" t="n">
        <v>102.6</v>
      </c>
      <c r="E175" s="55" t="n">
        <v>111.5</v>
      </c>
      <c r="F175" s="55" t="n">
        <v>77.59999999999999</v>
      </c>
      <c r="G175" s="55" t="n">
        <v>109.69</v>
      </c>
      <c r="H175" s="57" t="n">
        <v>5000</v>
      </c>
      <c r="I175" s="57" t="n">
        <v>395</v>
      </c>
      <c r="J175" s="57" t="n">
        <v>290</v>
      </c>
      <c r="K175" s="55" t="n">
        <v>410.01</v>
      </c>
    </row>
    <row r="176">
      <c r="A176" s="54" t="inlineStr">
        <is>
          <t>2024.4Q</t>
        </is>
      </c>
      <c r="B176" s="58" t="inlineStr">
        <is>
          <t>2024-04-26</t>
        </is>
      </c>
      <c r="C176" s="55" t="n">
        <v>1539.9</v>
      </c>
      <c r="D176" s="55" t="n">
        <v>147.9</v>
      </c>
      <c r="E176" s="55" t="n">
        <v>160.9</v>
      </c>
      <c r="F176" s="55" t="n">
        <v>109.7</v>
      </c>
      <c r="G176" s="55" t="n">
        <v>155</v>
      </c>
      <c r="H176" s="57" t="n">
        <v>5000</v>
      </c>
      <c r="I176" s="57" t="n">
        <v>395</v>
      </c>
      <c r="J176" s="57" t="n">
        <v>290</v>
      </c>
      <c r="K176" s="55" t="n">
        <v>410.02</v>
      </c>
    </row>
    <row r="177">
      <c r="A177" s="54" t="inlineStr">
        <is>
          <t>2024.3Q</t>
        </is>
      </c>
      <c r="B177" s="58" t="inlineStr">
        <is>
          <t>2024-01-29</t>
        </is>
      </c>
      <c r="C177" s="55" t="n">
        <v>1144.5</v>
      </c>
      <c r="D177" s="55" t="n">
        <v>95.3</v>
      </c>
      <c r="E177" s="55" t="n">
        <v>105</v>
      </c>
      <c r="F177" s="55" t="n">
        <v>68.90000000000001</v>
      </c>
      <c r="G177" s="55" t="n">
        <v>97.38</v>
      </c>
      <c r="H177" s="57" t="n">
        <v>4600</v>
      </c>
      <c r="I177" s="57" t="n">
        <v>355</v>
      </c>
      <c r="J177" s="57" t="n">
        <v>265</v>
      </c>
      <c r="K177" s="55" t="n">
        <v>374.43</v>
      </c>
    </row>
    <row r="178">
      <c r="A178" s="54" t="inlineStr">
        <is>
          <t>2024.2Q</t>
        </is>
      </c>
      <c r="B178" s="58" t="inlineStr">
        <is>
          <t>2023-10-27</t>
        </is>
      </c>
      <c r="C178" s="55" t="n">
        <v>1143.8</v>
      </c>
      <c r="D178" s="55" t="n">
        <v>88.8</v>
      </c>
      <c r="E178" s="55" t="n">
        <v>94.7</v>
      </c>
      <c r="F178" s="55" t="n">
        <v>59.1</v>
      </c>
      <c r="G178" s="55" t="n">
        <v>83.44</v>
      </c>
      <c r="H178" s="57" t="n">
        <v>4600</v>
      </c>
      <c r="I178" s="57" t="n">
        <v>355</v>
      </c>
      <c r="J178" s="57" t="n">
        <v>265</v>
      </c>
      <c r="K178" s="55" t="n">
        <v>374.05</v>
      </c>
    </row>
    <row r="179">
      <c r="A179" s="54" t="inlineStr">
        <is>
          <t>2024.1Q</t>
        </is>
      </c>
      <c r="B179" s="58" t="inlineStr">
        <is>
          <t>2023-07-26</t>
        </is>
      </c>
      <c r="C179" s="55" t="n">
        <v>862.4</v>
      </c>
      <c r="D179" s="55" t="n">
        <v>48.1</v>
      </c>
      <c r="E179" s="55" t="n">
        <v>62.9</v>
      </c>
      <c r="F179" s="55" t="n">
        <v>42.5</v>
      </c>
      <c r="G179" s="55" t="n">
        <v>60.05</v>
      </c>
      <c r="H179" s="57" t="n">
        <v>4600</v>
      </c>
      <c r="I179" s="57" t="n">
        <v>355</v>
      </c>
      <c r="J179" s="57" t="n">
        <v>265</v>
      </c>
      <c r="K179" s="55" t="n">
        <v>374.05</v>
      </c>
    </row>
    <row r="180">
      <c r="A180" s="54" t="inlineStr">
        <is>
          <t>2023.4Q</t>
        </is>
      </c>
      <c r="B180" s="58" t="inlineStr">
        <is>
          <t>2023-04-28</t>
        </is>
      </c>
      <c r="C180" s="55" t="n">
        <v>1445.3</v>
      </c>
      <c r="D180" s="55" t="n">
        <v>164.7</v>
      </c>
      <c r="E180" s="55" t="n">
        <v>172.1</v>
      </c>
      <c r="F180" s="55" t="n">
        <v>115</v>
      </c>
      <c r="G180" s="55" t="n">
        <v>162.4</v>
      </c>
      <c r="H180" s="57" t="n">
        <v>4600</v>
      </c>
      <c r="I180" s="57" t="n">
        <v>355</v>
      </c>
      <c r="J180" s="57" t="n">
        <v>265</v>
      </c>
      <c r="K180" s="55" t="n">
        <v>374.05</v>
      </c>
    </row>
    <row r="181">
      <c r="A181" s="54" t="inlineStr">
        <is>
          <t>2023.3Q</t>
        </is>
      </c>
      <c r="B181" s="58" t="inlineStr">
        <is>
          <t>2023-01-31</t>
        </is>
      </c>
      <c r="C181" s="55" t="n">
        <v>827.3</v>
      </c>
      <c r="D181" s="55" t="n">
        <v>53</v>
      </c>
      <c r="E181" s="55" t="n">
        <v>62.4</v>
      </c>
      <c r="F181" s="55" t="n">
        <v>37.3</v>
      </c>
      <c r="G181" s="55" t="n">
        <v>52.61</v>
      </c>
      <c r="H181" s="57" t="n">
        <v>4000</v>
      </c>
      <c r="I181" s="57" t="n">
        <v>325</v>
      </c>
      <c r="J181" s="57" t="n">
        <v>260</v>
      </c>
      <c r="K181" s="57" t="n">
        <v>367</v>
      </c>
    </row>
    <row r="183">
      <c r="A183" s="52" t="inlineStr">
        <is>
          <t>가이던스 path</t>
        </is>
      </c>
      <c r="B183" s="52" t="n"/>
      <c r="C183" s="52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</row>
    <row r="184">
      <c r="A184" s="53" t="inlineStr">
        <is>
          <t>항목</t>
        </is>
      </c>
      <c r="B184" s="53" t="inlineStr">
        <is>
          <t>date</t>
        </is>
      </c>
      <c r="C184" s="53" t="inlineStr">
        <is>
          <t>매출</t>
        </is>
      </c>
      <c r="D184" s="53" t="inlineStr">
        <is>
          <t>영업이익</t>
        </is>
      </c>
      <c r="E184" s="53" t="inlineStr">
        <is>
          <t>ord</t>
        </is>
      </c>
      <c r="F184" s="53" t="inlineStr">
        <is>
          <t>순이익</t>
        </is>
      </c>
      <c r="G184" s="53" t="inlineStr">
        <is>
          <t>EPS</t>
        </is>
      </c>
      <c r="H184" s="53" t="inlineStr">
        <is>
          <t>dps</t>
        </is>
      </c>
      <c r="I184" s="53" t="inlineStr">
        <is>
          <t>kind</t>
        </is>
      </c>
      <c r="N184" s="53" t="inlineStr">
        <is>
          <t>출처</t>
        </is>
      </c>
    </row>
    <row r="185">
      <c r="A185" s="54" t="inlineStr">
        <is>
          <t>FY2027</t>
        </is>
      </c>
      <c r="B185" s="58" t="inlineStr">
        <is>
          <t>2026-04-28</t>
        </is>
      </c>
      <c r="C185" s="57" t="n">
        <v>5000</v>
      </c>
      <c r="D185" s="57" t="n">
        <v>555</v>
      </c>
      <c r="E185" s="57" t="n">
        <v>590</v>
      </c>
      <c r="F185" s="57" t="n">
        <v>405</v>
      </c>
      <c r="G185" s="55" t="n">
        <v>572.5599999999999</v>
      </c>
      <c r="H185" s="57" t="n">
        <v>220</v>
      </c>
      <c r="I185" s="58" t="inlineStr">
        <is>
          <t>최초</t>
        </is>
      </c>
      <c r="N185" s="56" t="inlineStr">
        <is>
          <t>2단계 보고서 자료(회사 설명회 자료·공시)</t>
        </is>
      </c>
    </row>
    <row r="186">
      <c r="A186" s="54" t="inlineStr">
        <is>
          <t>FY2027</t>
        </is>
      </c>
      <c r="B186" s="58" t="inlineStr">
        <is>
          <t>2026-10-29</t>
        </is>
      </c>
      <c r="C186" s="57" t="n">
        <v>5000</v>
      </c>
      <c r="D186" s="57" t="n">
        <v>610</v>
      </c>
      <c r="E186" s="57" t="n">
        <v>650</v>
      </c>
      <c r="F186" s="57" t="n">
        <v>425</v>
      </c>
      <c r="G186" s="55" t="n">
        <v>600.78</v>
      </c>
      <c r="H186" s="57" t="n">
        <v>240</v>
      </c>
      <c r="I186" s="58" t="inlineStr">
        <is>
          <t>2Q 상향(공사이익률 향상)</t>
        </is>
      </c>
    </row>
    <row r="187">
      <c r="A187" s="54" t="inlineStr">
        <is>
          <t>FY2026</t>
        </is>
      </c>
      <c r="B187" s="58" t="inlineStr">
        <is>
          <t>2025-04-28</t>
        </is>
      </c>
      <c r="C187" s="57" t="n">
        <v>4900</v>
      </c>
      <c r="D187" s="57" t="n">
        <v>445</v>
      </c>
      <c r="E187" s="58" t="n"/>
      <c r="F187" s="57" t="n">
        <v>320</v>
      </c>
      <c r="G187" s="55" t="n">
        <v>452.42</v>
      </c>
      <c r="H187" s="58" t="n"/>
      <c r="I187" s="58" t="inlineStr">
        <is>
          <t>최초</t>
        </is>
      </c>
    </row>
    <row r="188">
      <c r="A188" s="54" t="inlineStr">
        <is>
          <t>FY2026</t>
        </is>
      </c>
      <c r="B188" s="58" t="inlineStr">
        <is>
          <t>2026-01-30</t>
        </is>
      </c>
      <c r="C188" s="57" t="n">
        <v>4750</v>
      </c>
      <c r="D188" s="57" t="n">
        <v>515</v>
      </c>
      <c r="E188" s="58" t="n"/>
      <c r="F188" s="57" t="n">
        <v>360</v>
      </c>
      <c r="G188" s="55" t="n">
        <v>508.95</v>
      </c>
      <c r="H188" s="58" t="n"/>
      <c r="I188" s="58" t="inlineStr">
        <is>
          <t>3Q 수정</t>
        </is>
      </c>
    </row>
    <row r="189">
      <c r="A189" s="54" t="inlineStr">
        <is>
          <t>FY2026</t>
        </is>
      </c>
      <c r="B189" s="58" t="n"/>
      <c r="C189" s="55" t="n">
        <v>4761.2</v>
      </c>
      <c r="D189" s="55" t="n">
        <v>546</v>
      </c>
      <c r="E189" s="58" t="n"/>
      <c r="F189" s="55" t="n">
        <v>400.5</v>
      </c>
      <c r="G189" s="55" t="n">
        <v>566.25</v>
      </c>
      <c r="H189" s="58" t="n"/>
      <c r="I189" s="58" t="n"/>
    </row>
    <row r="190">
      <c r="A190" s="54" t="inlineStr">
        <is>
          <t>FY2025</t>
        </is>
      </c>
      <c r="B190" s="58" t="inlineStr">
        <is>
          <t>2024-04-26</t>
        </is>
      </c>
      <c r="C190" s="57" t="n">
        <v>5000</v>
      </c>
      <c r="D190" s="57" t="n">
        <v>395</v>
      </c>
      <c r="E190" s="58" t="n"/>
      <c r="F190" s="57" t="n">
        <v>290</v>
      </c>
      <c r="G190" s="55" t="n">
        <v>410.02</v>
      </c>
      <c r="H190" s="58" t="n"/>
      <c r="I190" s="58" t="inlineStr">
        <is>
          <t>최초</t>
        </is>
      </c>
    </row>
    <row r="191">
      <c r="A191" s="54" t="inlineStr">
        <is>
          <t>FY2025</t>
        </is>
      </c>
      <c r="B191" s="58" t="inlineStr">
        <is>
          <t>2025-01-31</t>
        </is>
      </c>
      <c r="C191" s="57" t="n">
        <v>4700</v>
      </c>
      <c r="D191" s="57" t="n">
        <v>440</v>
      </c>
      <c r="E191" s="58" t="n"/>
      <c r="F191" s="57" t="n">
        <v>310</v>
      </c>
      <c r="G191" s="55" t="n">
        <v>438.28</v>
      </c>
      <c r="H191" s="58" t="n"/>
      <c r="I191" s="58" t="inlineStr">
        <is>
          <t>3Q 수정</t>
        </is>
      </c>
    </row>
    <row r="192">
      <c r="A192" s="54" t="inlineStr">
        <is>
          <t>FY2025</t>
        </is>
      </c>
      <c r="B192" s="58" t="n"/>
      <c r="C192" s="55" t="n">
        <v>4739.5</v>
      </c>
      <c r="D192" s="55" t="n">
        <v>413.9</v>
      </c>
      <c r="E192" s="58" t="n"/>
      <c r="F192" s="55" t="n">
        <v>288.8</v>
      </c>
      <c r="G192" s="55" t="n">
        <v>408.36</v>
      </c>
      <c r="H192" s="58" t="n"/>
      <c r="I192" s="58" t="n"/>
    </row>
    <row r="193">
      <c r="A193" s="54" t="inlineStr">
        <is>
          <t>FY2024</t>
        </is>
      </c>
      <c r="B193" s="58" t="inlineStr">
        <is>
          <t>2023-04-28</t>
        </is>
      </c>
      <c r="C193" s="57" t="n">
        <v>4600</v>
      </c>
      <c r="D193" s="57" t="n">
        <v>355</v>
      </c>
      <c r="E193" s="58" t="n"/>
      <c r="F193" s="57" t="n">
        <v>265</v>
      </c>
      <c r="G193" s="55" t="n">
        <v>374.05</v>
      </c>
      <c r="H193" s="58" t="n"/>
      <c r="I193" s="58" t="inlineStr">
        <is>
          <t>최초</t>
        </is>
      </c>
    </row>
    <row r="194">
      <c r="A194" s="54" t="inlineStr">
        <is>
          <t>FY2024</t>
        </is>
      </c>
      <c r="B194" s="58" t="n"/>
      <c r="C194" s="55" t="n">
        <v>4690.6</v>
      </c>
      <c r="D194" s="55" t="n">
        <v>380.2</v>
      </c>
      <c r="E194" s="58" t="n"/>
      <c r="F194" s="55" t="n">
        <v>280.2</v>
      </c>
      <c r="G194" s="55" t="n">
        <v>395.87</v>
      </c>
      <c r="H194" s="58" t="n"/>
      <c r="I194" s="58" t="n"/>
    </row>
    <row r="196">
      <c r="A196" s="52" t="inlineStr">
        <is>
          <t>reactions</t>
        </is>
      </c>
      <c r="B196" s="52" t="n"/>
      <c r="C196" s="52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</row>
    <row r="197">
      <c r="A197" s="53" t="inlineStr">
        <is>
          <t>항목</t>
        </is>
      </c>
      <c r="B197" s="53" t="inlineStr">
        <is>
          <t>기준일</t>
        </is>
      </c>
      <c r="C197" s="53" t="inlineStr">
        <is>
          <t>다음날</t>
        </is>
      </c>
      <c r="D197" s="53" t="inlineStr">
        <is>
          <t>등락%</t>
        </is>
      </c>
      <c r="N197" s="53" t="inlineStr">
        <is>
          <t>출처</t>
        </is>
      </c>
    </row>
    <row r="198">
      <c r="A198" s="54" t="inlineStr">
        <is>
          <t>2025-01-31</t>
        </is>
      </c>
      <c r="B198" s="58" t="inlineStr">
        <is>
          <t>2025-01-31</t>
        </is>
      </c>
      <c r="C198" s="58" t="inlineStr">
        <is>
          <t>2025-02-03</t>
        </is>
      </c>
      <c r="D198" s="55" t="n">
        <v>-6.3</v>
      </c>
      <c r="N198" s="56" t="inlineStr">
        <is>
          <t>2단계 보고서 자료(회사 설명회 자료·공시)</t>
        </is>
      </c>
    </row>
    <row r="199">
      <c r="A199" s="54" t="inlineStr">
        <is>
          <t>2025-04-28</t>
        </is>
      </c>
      <c r="B199" s="58" t="inlineStr">
        <is>
          <t>2025-04-28</t>
        </is>
      </c>
      <c r="C199" s="58" t="inlineStr">
        <is>
          <t>2025-04-30</t>
        </is>
      </c>
      <c r="D199" s="55" t="n">
        <v>-0.9</v>
      </c>
    </row>
    <row r="200">
      <c r="A200" s="54" t="inlineStr">
        <is>
          <t>2025-07-25</t>
        </is>
      </c>
      <c r="B200" s="58" t="inlineStr">
        <is>
          <t>2025-07-25</t>
        </is>
      </c>
      <c r="C200" s="58" t="inlineStr">
        <is>
          <t>2025-07-28</t>
        </is>
      </c>
      <c r="D200" s="55" t="n">
        <v>-1.4</v>
      </c>
    </row>
    <row r="201">
      <c r="A201" s="54" t="inlineStr">
        <is>
          <t>2025-10-31</t>
        </is>
      </c>
      <c r="B201" s="58" t="inlineStr">
        <is>
          <t>2025-10-31</t>
        </is>
      </c>
      <c r="C201" s="58" t="inlineStr">
        <is>
          <t>2025-11-04</t>
        </is>
      </c>
      <c r="D201" s="55" t="n">
        <v>-4.9</v>
      </c>
    </row>
    <row r="202">
      <c r="A202" s="54" t="inlineStr">
        <is>
          <t>2026-01-30</t>
        </is>
      </c>
      <c r="B202" s="58" t="inlineStr">
        <is>
          <t>2026-01-30</t>
        </is>
      </c>
      <c r="C202" s="58" t="inlineStr">
        <is>
          <t>2026-02-02</t>
        </is>
      </c>
      <c r="D202" s="55" t="n">
        <v>2.6</v>
      </c>
    </row>
    <row r="203">
      <c r="A203" s="54" t="inlineStr">
        <is>
          <t>2026-04-28</t>
        </is>
      </c>
      <c r="B203" s="58" t="inlineStr">
        <is>
          <t>2026-04-28</t>
        </is>
      </c>
      <c r="C203" s="58" t="inlineStr">
        <is>
          <t>2026-04-30</t>
        </is>
      </c>
      <c r="D203" s="55" t="n">
        <v>-0.5</v>
      </c>
    </row>
    <row r="204">
      <c r="A204" s="54" t="inlineStr">
        <is>
          <t>2026-07-30</t>
        </is>
      </c>
      <c r="B204" s="58" t="inlineStr">
        <is>
          <t>2026-07-30</t>
        </is>
      </c>
      <c r="C204" s="58" t="inlineStr">
        <is>
          <t>2026-07-31</t>
        </is>
      </c>
      <c r="D204" s="55" t="n">
        <v>3.8</v>
      </c>
    </row>
    <row r="206">
      <c r="A206" s="52" t="inlineStr">
        <is>
          <t>filings</t>
        </is>
      </c>
      <c r="B206" s="52" t="n"/>
      <c r="C206" s="52" t="n"/>
      <c r="D206" s="52" t="n"/>
      <c r="E206" s="52" t="n"/>
      <c r="F206" s="52" t="n"/>
      <c r="G206" s="52" t="n"/>
      <c r="H206" s="52" t="n"/>
      <c r="I206" s="52" t="n"/>
      <c r="J206" s="52" t="n"/>
      <c r="K206" s="52" t="n"/>
      <c r="L206" s="52" t="n"/>
      <c r="M206" s="52" t="n"/>
      <c r="N206" s="52" t="n"/>
    </row>
    <row r="207">
      <c r="A207" s="53" t="inlineStr">
        <is>
          <t>항목</t>
        </is>
      </c>
      <c r="B207" s="53" t="inlineStr">
        <is>
          <t>title</t>
        </is>
      </c>
      <c r="C207" s="53" t="inlineStr">
        <is>
          <t>doc</t>
        </is>
      </c>
      <c r="N207" s="53" t="inlineStr">
        <is>
          <t>출처</t>
        </is>
      </c>
    </row>
    <row r="208">
      <c r="A208" s="54" t="inlineStr">
        <is>
          <t>2026-10-29</t>
        </is>
      </c>
      <c r="B208" s="58" t="inlineStr">
        <is>
          <t>2027年３月期 第２四半期（中間期）決算短信〔日本基準〕(連結)</t>
        </is>
      </c>
      <c r="C208" s="58" t="inlineStr">
        <is>
          <t>140120261029559360</t>
        </is>
      </c>
      <c r="N208" s="56" t="inlineStr">
        <is>
          <t>2단계 보고서 자료(회사 설명회 자료·공시)</t>
        </is>
      </c>
    </row>
    <row r="209">
      <c r="A209" s="54" t="inlineStr">
        <is>
          <t>2026-07-30</t>
        </is>
      </c>
      <c r="B209" s="58" t="inlineStr">
        <is>
          <t>2027年３月期 第１四半期決算短信〔日本基準〕(連結)</t>
        </is>
      </c>
      <c r="C209" s="58" t="inlineStr">
        <is>
          <t>140120260730503321</t>
        </is>
      </c>
    </row>
    <row r="210">
      <c r="A210" s="54" t="inlineStr">
        <is>
          <t>2026-04-28</t>
        </is>
      </c>
      <c r="B210" s="58" t="inlineStr">
        <is>
          <t>2026年３月期 決算短信〔日本基準〕(連結)</t>
        </is>
      </c>
      <c r="C210" s="58" t="inlineStr">
        <is>
          <t>140120260428513134</t>
        </is>
      </c>
    </row>
    <row r="211">
      <c r="A211" s="54" t="inlineStr">
        <is>
          <t>2026-01-30</t>
        </is>
      </c>
      <c r="B211" s="58" t="inlineStr">
        <is>
          <t>2026年３月期 第３四半期決算短信〔日本基準〕(連結)</t>
        </is>
      </c>
      <c r="C211" s="58" t="inlineStr">
        <is>
          <t>140120260130543067</t>
        </is>
      </c>
    </row>
    <row r="212">
      <c r="A212" s="54" t="inlineStr">
        <is>
          <t>2025-10-31</t>
        </is>
      </c>
      <c r="B212" s="58" t="inlineStr">
        <is>
          <t>2026年３月期 第２四半期（中間期）決算短信〔日本基準〕(連結)</t>
        </is>
      </c>
      <c r="C212" s="58" t="inlineStr">
        <is>
          <t>140120251031584236</t>
        </is>
      </c>
    </row>
    <row r="213">
      <c r="A213" s="54" t="inlineStr">
        <is>
          <t>2025-07-25</t>
        </is>
      </c>
      <c r="B213" s="58" t="inlineStr">
        <is>
          <t>2026年３月期 第１四半期決算短信〔日本基準〕(連結)</t>
        </is>
      </c>
      <c r="C213" s="58" t="inlineStr">
        <is>
          <t>140120250725520542</t>
        </is>
      </c>
    </row>
    <row r="214">
      <c r="A214" s="54" t="inlineStr">
        <is>
          <t>2025-04-28</t>
        </is>
      </c>
      <c r="B214" s="58" t="inlineStr">
        <is>
          <t>2025年３月期 決算短信〔日本基準〕(連結)</t>
        </is>
      </c>
      <c r="C214" s="58" t="inlineStr">
        <is>
          <t>140120250325599979</t>
        </is>
      </c>
    </row>
    <row r="215">
      <c r="A215" s="54" t="inlineStr">
        <is>
          <t>2025-01-31</t>
        </is>
      </c>
      <c r="B215" s="58" t="inlineStr">
        <is>
          <t>2025年３月期第３四半期決算短信〔日本基準〕(連結)</t>
        </is>
      </c>
      <c r="C215" s="58" t="inlineStr">
        <is>
          <t>140120250131559368</t>
        </is>
      </c>
    </row>
    <row r="216">
      <c r="A216" s="54" t="inlineStr">
        <is>
          <t>2024-10-30</t>
        </is>
      </c>
      <c r="B216" s="58" t="inlineStr">
        <is>
          <t>2025年３月期 第２四半期（中間期）決算短信〔日本基準〕(連結)</t>
        </is>
      </c>
      <c r="C216" s="58" t="inlineStr">
        <is>
          <t>140120241030505885</t>
        </is>
      </c>
    </row>
    <row r="217">
      <c r="A217" s="54" t="inlineStr">
        <is>
          <t>2024-07-29</t>
        </is>
      </c>
      <c r="B217" s="58" t="inlineStr">
        <is>
          <t>2025年３月期　第１四半期決算短信〔日本基準〕(連結)</t>
        </is>
      </c>
      <c r="C217" s="58" t="inlineStr">
        <is>
          <t>140120240729556314</t>
        </is>
      </c>
    </row>
    <row r="218">
      <c r="A218" s="54" t="inlineStr">
        <is>
          <t>2024-04-26</t>
        </is>
      </c>
      <c r="B218" s="58" t="inlineStr">
        <is>
          <t>2024年３月期　決算短信〔日本基準〕(連結)</t>
        </is>
      </c>
      <c r="C218" s="58" t="inlineStr">
        <is>
          <t>140120240426578081</t>
        </is>
      </c>
    </row>
    <row r="219">
      <c r="A219" s="54" t="inlineStr">
        <is>
          <t>2024-01-29</t>
        </is>
      </c>
      <c r="B219" s="58" t="inlineStr">
        <is>
          <t>2024年３月期第３四半期決算短信〔日本基準〕(連結)</t>
        </is>
      </c>
      <c r="C219" s="58" t="inlineStr">
        <is>
          <t>140120240129520673</t>
        </is>
      </c>
    </row>
    <row r="220">
      <c r="A220" s="54" t="inlineStr">
        <is>
          <t>2023-10-27</t>
        </is>
      </c>
      <c r="B220" s="58" t="inlineStr">
        <is>
          <t>2024年３月期第２四半期決算短信〔日本基準〕(連結)</t>
        </is>
      </c>
      <c r="C220" s="58" t="inlineStr">
        <is>
          <t>140120231027573168</t>
        </is>
      </c>
    </row>
    <row r="221">
      <c r="A221" s="54" t="inlineStr">
        <is>
          <t>2023-07-26</t>
        </is>
      </c>
      <c r="B221" s="58" t="inlineStr">
        <is>
          <t>2024年３月期　第１四半期決算短信〔日本基準〕(連結)</t>
        </is>
      </c>
      <c r="C221" s="58" t="inlineStr">
        <is>
          <t>140120230726527131</t>
        </is>
      </c>
    </row>
    <row r="222">
      <c r="A222" s="54" t="inlineStr">
        <is>
          <t>2023-04-28</t>
        </is>
      </c>
      <c r="B222" s="58" t="inlineStr">
        <is>
          <t>2023年３月期　決算短信〔日本基準〕(連結)</t>
        </is>
      </c>
      <c r="C222" s="58" t="inlineStr">
        <is>
          <t>140120230428556333</t>
        </is>
      </c>
    </row>
    <row r="223">
      <c r="A223" s="54" t="inlineStr">
        <is>
          <t>2023-01-31</t>
        </is>
      </c>
      <c r="B223" s="58" t="inlineStr">
        <is>
          <t>2023年３月期　第３四半期決算短信〔日本基準〕(連結)</t>
        </is>
      </c>
      <c r="C223" s="58" t="inlineStr">
        <is>
          <t>140120230130596350</t>
        </is>
      </c>
    </row>
    <row r="224">
      <c r="A224" s="54" t="inlineStr">
        <is>
          <t>2022-04-28</t>
        </is>
      </c>
      <c r="B224" s="58" t="inlineStr">
        <is>
          <t>2022年３月期　決算短信〔日本基準〕(連結)</t>
        </is>
      </c>
      <c r="C224" s="58" t="inlineStr">
        <is>
          <t>140120220428530683</t>
        </is>
      </c>
    </row>
    <row r="225">
      <c r="A225" s="54" t="inlineStr">
        <is>
          <t>2021-04-28</t>
        </is>
      </c>
      <c r="B225" s="58" t="inlineStr">
        <is>
          <t>2021年３月期　決算短信〔日本基準〕(連結)</t>
        </is>
      </c>
      <c r="C225" s="58" t="inlineStr">
        <is>
          <t>140120210428403042</t>
        </is>
      </c>
    </row>
    <row r="226">
      <c r="A226" s="54" t="inlineStr">
        <is>
          <t>2020-04-28</t>
        </is>
      </c>
      <c r="B226" s="58" t="inlineStr">
        <is>
          <t>2020年３月期　決算短信〔日本基準〕（連結）</t>
        </is>
      </c>
      <c r="C226" s="58" t="inlineStr">
        <is>
          <t>140120200425499659</t>
        </is>
      </c>
    </row>
    <row r="227">
      <c r="A227" s="54" t="inlineStr">
        <is>
          <t>2019-04-26</t>
        </is>
      </c>
      <c r="B227" s="58" t="inlineStr">
        <is>
          <t>２０１９年３月期　決算短信〔日本基準〕（連結）</t>
        </is>
      </c>
      <c r="C227" s="58" t="inlineStr">
        <is>
          <t>140120190425411937</t>
        </is>
      </c>
    </row>
    <row r="228">
      <c r="A228" s="54" t="inlineStr">
        <is>
          <t>2018-04-27</t>
        </is>
      </c>
      <c r="B228" s="58" t="inlineStr">
        <is>
          <t>平成30年３月期　決算短信〔日本基準〕（連結）</t>
        </is>
      </c>
      <c r="C228" s="58" t="inlineStr">
        <is>
          <t>140120180426422087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2026-10-29</t>
        </is>
      </c>
      <c r="B4" t="inlineStr">
        <is>
          <t>2027년 3월 결산기 ２분기 결산단신</t>
        </is>
      </c>
      <c r="C4" t="inlineStr">
        <is>
          <t>https://www2.jpx.co.jp/disc/19590/140120261029559360.pdf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https://www2.jpx.co.jp/disc/19590/140120260730503321.pdf</t>
        </is>
      </c>
    </row>
    <row r="6">
      <c r="A6" t="inlineStr">
        <is>
          <t>2026-04-28</t>
        </is>
      </c>
      <c r="B6" t="inlineStr">
        <is>
          <t>2026년 3월 결산기 연간 결산단신</t>
        </is>
      </c>
      <c r="C6" t="inlineStr">
        <is>
          <t>https://www2.jpx.co.jp/disc/19590/140120260428513134.pdf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https://www2.jpx.co.jp/disc/19590/140120260130543067.pdf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https://www2.jpx.co.jp/disc/19590/140120251031584236.pdf</t>
        </is>
      </c>
    </row>
    <row r="9">
      <c r="A9" t="inlineStr">
        <is>
          <t>2025-07-25</t>
        </is>
      </c>
      <c r="B9" t="inlineStr">
        <is>
          <t>2026년 3월 결산기 １분기 결산단신</t>
        </is>
      </c>
      <c r="C9" t="inlineStr">
        <is>
          <t>https://www2.jpx.co.jp/disc/19590/140120250725520542.pdf</t>
        </is>
      </c>
    </row>
    <row r="10">
      <c r="A10" t="inlineStr">
        <is>
          <t>2025-04-28</t>
        </is>
      </c>
      <c r="B10" t="inlineStr">
        <is>
          <t>2025년 3월 결산기 연간 결산단신</t>
        </is>
      </c>
      <c r="C10" t="inlineStr">
        <is>
          <t>https://www2.jpx.co.jp/disc/19590/140120250325599979.pdf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https://www2.jpx.co.jp/disc/19590/140120250131559368.pdf</t>
        </is>
      </c>
    </row>
    <row r="12">
      <c r="A12" t="inlineStr">
        <is>
          <t>2024-10-30</t>
        </is>
      </c>
      <c r="B12" t="inlineStr">
        <is>
          <t>2025년 3월 결산기 ２분기 결산단신</t>
        </is>
      </c>
      <c r="C12" t="inlineStr">
        <is>
          <t>https://www2.jpx.co.jp/disc/19590/140120241030505885.pdf</t>
        </is>
      </c>
    </row>
    <row r="13">
      <c r="A13" t="inlineStr">
        <is>
          <t>2024-07-29</t>
        </is>
      </c>
      <c r="B13" t="inlineStr">
        <is>
          <t>2025년 3월 결산기 １분기 결산단신</t>
        </is>
      </c>
      <c r="C13" t="inlineStr">
        <is>
          <t>https://www2.jpx.co.jp/disc/19590/140120240729556314.pdf</t>
        </is>
      </c>
    </row>
    <row r="14">
      <c r="A14" t="inlineStr">
        <is>
          <t>2024-04-26</t>
        </is>
      </c>
      <c r="B14" t="inlineStr">
        <is>
          <t>2024년 3월 결산기 연간 결산단신</t>
        </is>
      </c>
      <c r="C14" t="inlineStr">
        <is>
          <t>https://www2.jpx.co.jp/disc/19590/140120240426578081.pdf</t>
        </is>
      </c>
    </row>
    <row r="15">
      <c r="A15" t="inlineStr">
        <is>
          <t>2024-01-29</t>
        </is>
      </c>
      <c r="B15" t="inlineStr">
        <is>
          <t>2024년 3월 결산기 ３분기 결산단신</t>
        </is>
      </c>
      <c r="C15" t="inlineStr">
        <is>
          <t>https://www2.jpx.co.jp/disc/19590/140120240129520673.pdf</t>
        </is>
      </c>
    </row>
    <row r="16">
      <c r="A16" t="inlineStr">
        <is>
          <t>2023-10-27</t>
        </is>
      </c>
      <c r="B16" t="inlineStr">
        <is>
          <t>2024년 3월 결산기 ２분기 결산단신</t>
        </is>
      </c>
      <c r="C16" t="inlineStr">
        <is>
          <t>https://www2.jpx.co.jp/disc/19590/140120231027573168.pdf</t>
        </is>
      </c>
    </row>
    <row r="17">
      <c r="A17" t="inlineStr">
        <is>
          <t>2023-07-26</t>
        </is>
      </c>
      <c r="B17" t="inlineStr">
        <is>
          <t>2024년 3월 결산기 １분기 결산단신</t>
        </is>
      </c>
      <c r="C17" t="inlineStr">
        <is>
          <t>https://www2.jpx.co.jp/disc/19590/140120230726527131.pdf</t>
        </is>
      </c>
    </row>
    <row r="18">
      <c r="A18" t="inlineStr">
        <is>
          <t>2023-04-28</t>
        </is>
      </c>
      <c r="B18" t="inlineStr">
        <is>
          <t>2023년 3월 결산기 연간 결산단신</t>
        </is>
      </c>
      <c r="C18" t="inlineStr">
        <is>
          <t>https://www2.jpx.co.jp/disc/19590/140120230428556333.pdf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https://www2.jpx.co.jp/disc/19590/140120230130596350.pdf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https://www2.jpx.co.jp/disc/19590/140120220428530683.pdf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https://www2.jpx.co.jp/disc/19590/140120210428403042.pdf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https://www2.jpx.co.jp/disc/19590/140120200425499659.pdf</t>
        </is>
      </c>
    </row>
    <row r="23">
      <c r="A23" t="inlineStr">
        <is>
          <t>2019-04-26</t>
        </is>
      </c>
      <c r="B23" t="inlineStr">
        <is>
          <t>２０１９년 3월 결산기 연간 결산단신</t>
        </is>
      </c>
      <c r="C23" t="inlineStr">
        <is>
          <t>https://www2.jpx.co.jp/disc/19590/140120190425411937.pdf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https://www2.jpx.co.jp/disc/19590/140120180426422087.pdf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2026-10-29T06:41:31Z</dcterms:created>
  <dcterms:modified xmlns:dcterms="http://purl.org/dc/terms/" xmlns:xsi="http://www.w3.org/2001/XMLSchema-instance" xsi:type="dcterms:W3CDTF">2026-10-29T06:41:32Z</dcterms:modified>
</cp:coreProperties>
</file>