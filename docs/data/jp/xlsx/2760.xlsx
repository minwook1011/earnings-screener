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2760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60686</v>
      </c>
      <c r="D4" s="12" t="n">
        <v>60050</v>
      </c>
      <c r="E4" s="12" t="n">
        <v>63140</v>
      </c>
      <c r="F4" s="12" t="n">
        <v>56607</v>
      </c>
      <c r="G4" s="12" t="n">
        <v>55105</v>
      </c>
      <c r="H4" s="12" t="n">
        <v>50384</v>
      </c>
      <c r="I4" s="12" t="n">
        <v>54283</v>
      </c>
      <c r="J4" s="12" t="n">
        <v>45136</v>
      </c>
      <c r="K4" s="12" t="n">
        <v>51108</v>
      </c>
      <c r="L4" s="12" t="n">
        <v>50472</v>
      </c>
      <c r="M4" s="12" t="n">
        <v>57032</v>
      </c>
      <c r="N4" s="12" t="n">
        <v>60322</v>
      </c>
      <c r="O4" s="11" t="n">
        <v>131855</v>
      </c>
      <c r="P4" s="12" t="n">
        <v>159841</v>
      </c>
      <c r="Q4" s="12" t="n">
        <v>141000</v>
      </c>
      <c r="R4" s="12" t="n">
        <v>135394</v>
      </c>
      <c r="S4" s="12" t="n">
        <v>143268</v>
      </c>
      <c r="T4" s="12" t="n">
        <v>179907</v>
      </c>
      <c r="U4" s="12" t="n">
        <v>240350</v>
      </c>
      <c r="V4" s="12" t="n">
        <v>242888</v>
      </c>
      <c r="W4" s="12" t="n">
        <v>216379</v>
      </c>
      <c r="X4" s="12" t="n">
        <v>203748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SemiconductorAndElectronicDeviceReportableSegmentsMember</t>
        </is>
      </c>
      <c r="B7" s="10" t="n"/>
      <c r="C7" s="19" t="n">
        <v>53432</v>
      </c>
      <c r="D7" s="20" t="n">
        <v>53463</v>
      </c>
      <c r="E7" s="20" t="n">
        <v>51102</v>
      </c>
      <c r="F7" s="20" t="n">
        <v>47865</v>
      </c>
      <c r="G7" s="20" t="n">
        <v>46159</v>
      </c>
      <c r="H7" s="20" t="n">
        <v>41924</v>
      </c>
      <c r="I7" s="20" t="n">
        <v>43103</v>
      </c>
      <c r="J7" s="20" t="n">
        <v>36394</v>
      </c>
      <c r="K7" s="20" t="n">
        <v>40654</v>
      </c>
      <c r="L7" s="20" t="n">
        <v>40256</v>
      </c>
      <c r="M7" s="20" t="n">
        <v>45239</v>
      </c>
      <c r="N7" s="20" t="n">
        <v>50354</v>
      </c>
      <c r="O7" s="19" t="n"/>
      <c r="P7" s="20" t="n"/>
      <c r="Q7" s="20" t="n"/>
      <c r="R7" s="20" t="n"/>
      <c r="S7" s="20" t="n"/>
      <c r="T7" s="20" t="n"/>
      <c r="U7" s="20" t="n"/>
      <c r="V7" s="20" t="n">
        <v>209909</v>
      </c>
      <c r="W7" s="20" t="n">
        <v>179051</v>
      </c>
      <c r="X7" s="20" t="n">
        <v>162543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ComputerSystemReportableSegmentsMember</t>
        </is>
      </c>
      <c r="B10" s="10" t="n"/>
      <c r="C10" s="19" t="n">
        <v>7254</v>
      </c>
      <c r="D10" s="20" t="n">
        <v>6587</v>
      </c>
      <c r="E10" s="20" t="n">
        <v>12038</v>
      </c>
      <c r="F10" s="20" t="n">
        <v>8741</v>
      </c>
      <c r="G10" s="20" t="n">
        <v>8946</v>
      </c>
      <c r="H10" s="20" t="n">
        <v>8460</v>
      </c>
      <c r="I10" s="20" t="n">
        <v>11180</v>
      </c>
      <c r="J10" s="20" t="n">
        <v>8741</v>
      </c>
      <c r="K10" s="20" t="n">
        <v>10454</v>
      </c>
      <c r="L10" s="20" t="n">
        <v>10216</v>
      </c>
      <c r="M10" s="20" t="n">
        <v>11793</v>
      </c>
      <c r="N10" s="20" t="n">
        <v>9967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32978</v>
      </c>
      <c r="W10" s="20" t="n">
        <v>37327</v>
      </c>
      <c r="X10" s="20" t="n">
        <v>41204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>
        <v>56607</v>
      </c>
      <c r="G13" s="20" t="n"/>
      <c r="H13" s="20" t="n"/>
      <c r="I13" s="20" t="n"/>
      <c r="J13" s="20" t="n">
        <v>45136</v>
      </c>
      <c r="K13" s="20" t="n"/>
      <c r="L13" s="20" t="n"/>
      <c r="M13" s="20" t="n"/>
      <c r="N13" s="20" t="n">
        <v>60322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51595</v>
      </c>
      <c r="D17" s="20" t="n">
        <v>51050</v>
      </c>
      <c r="E17" s="20" t="n">
        <v>52984</v>
      </c>
      <c r="F17" s="20" t="n">
        <v>47411</v>
      </c>
      <c r="G17" s="20" t="n">
        <v>47877</v>
      </c>
      <c r="H17" s="20" t="n">
        <v>42132</v>
      </c>
      <c r="I17" s="20" t="n">
        <v>45226</v>
      </c>
      <c r="J17" s="20" t="n">
        <v>38681</v>
      </c>
      <c r="K17" s="20" t="n">
        <v>43717</v>
      </c>
      <c r="L17" s="20" t="n">
        <v>42392</v>
      </c>
      <c r="M17" s="20" t="n">
        <v>47416</v>
      </c>
      <c r="N17" s="20" t="n">
        <v>51015</v>
      </c>
      <c r="O17" s="19" t="n">
        <v>116709</v>
      </c>
      <c r="P17" s="20" t="n">
        <v>142160</v>
      </c>
      <c r="Q17" s="20" t="n">
        <v>121295</v>
      </c>
      <c r="R17" s="20" t="n">
        <v>115491</v>
      </c>
      <c r="S17" s="20" t="n">
        <v>122666</v>
      </c>
      <c r="T17" s="20" t="n">
        <v>154268</v>
      </c>
      <c r="U17" s="20" t="n">
        <v>206106</v>
      </c>
      <c r="V17" s="20" t="n">
        <v>205720</v>
      </c>
      <c r="W17" s="20" t="n">
        <v>182646</v>
      </c>
      <c r="X17" s="20" t="n">
        <v>172206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5566</v>
      </c>
      <c r="D21" s="20" t="n">
        <v>5293</v>
      </c>
      <c r="E21" s="20" t="n">
        <v>5588</v>
      </c>
      <c r="F21" s="20" t="n">
        <v>4942</v>
      </c>
      <c r="G21" s="20" t="n">
        <v>5189</v>
      </c>
      <c r="H21" s="20" t="n">
        <v>5686</v>
      </c>
      <c r="I21" s="20" t="n">
        <v>5457</v>
      </c>
      <c r="J21" s="20" t="n">
        <v>4999</v>
      </c>
      <c r="K21" s="20" t="n">
        <v>5284</v>
      </c>
      <c r="L21" s="20" t="n">
        <v>5336</v>
      </c>
      <c r="M21" s="20" t="n">
        <v>5669</v>
      </c>
      <c r="N21" s="20" t="n">
        <v>5240</v>
      </c>
      <c r="O21" s="19" t="n">
        <v>13481</v>
      </c>
      <c r="P21" s="20" t="n">
        <v>14924</v>
      </c>
      <c r="Q21" s="20" t="n">
        <v>16179</v>
      </c>
      <c r="R21" s="20" t="n">
        <v>16091</v>
      </c>
      <c r="S21" s="20" t="n">
        <v>15981</v>
      </c>
      <c r="T21" s="20" t="n">
        <v>17506</v>
      </c>
      <c r="U21" s="20" t="n">
        <v>20016</v>
      </c>
      <c r="V21" s="20" t="n">
        <v>21739</v>
      </c>
      <c r="W21" s="20" t="n">
        <v>21274</v>
      </c>
      <c r="X21" s="20" t="n">
        <v>21288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3525</v>
      </c>
      <c r="D22" s="12" t="n">
        <v>3707</v>
      </c>
      <c r="E22" s="12" t="n">
        <v>4568</v>
      </c>
      <c r="F22" s="12" t="n">
        <v>4252</v>
      </c>
      <c r="G22" s="12" t="n">
        <v>2040</v>
      </c>
      <c r="H22" s="12" t="n">
        <v>2566</v>
      </c>
      <c r="I22" s="12" t="n">
        <v>3599</v>
      </c>
      <c r="J22" s="12" t="n">
        <v>1455</v>
      </c>
      <c r="K22" s="12" t="n">
        <v>2106</v>
      </c>
      <c r="L22" s="12" t="n">
        <v>2745</v>
      </c>
      <c r="M22" s="12" t="n">
        <v>3947</v>
      </c>
      <c r="N22" s="12" t="n">
        <v>4066</v>
      </c>
      <c r="O22" s="11" t="n">
        <v>1665</v>
      </c>
      <c r="P22" s="12" t="n">
        <v>2755</v>
      </c>
      <c r="Q22" s="12" t="n">
        <v>3525</v>
      </c>
      <c r="R22" s="12" t="n">
        <v>3810</v>
      </c>
      <c r="S22" s="12" t="n">
        <v>4620</v>
      </c>
      <c r="T22" s="12" t="n">
        <v>8131</v>
      </c>
      <c r="U22" s="12" t="n">
        <v>14227</v>
      </c>
      <c r="V22" s="12" t="n">
        <v>15428</v>
      </c>
      <c r="W22" s="12" t="n">
        <v>12457</v>
      </c>
      <c r="X22" s="12" t="n">
        <v>10253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>
        <v>5595</v>
      </c>
      <c r="P27" s="20" t="n">
        <v>5764</v>
      </c>
      <c r="Q27" s="20" t="n">
        <v>6252</v>
      </c>
      <c r="R27" s="20" t="n">
        <v>6471</v>
      </c>
      <c r="S27" s="20" t="n">
        <v>6670</v>
      </c>
      <c r="T27" s="20" t="n">
        <v>6925</v>
      </c>
      <c r="U27" s="20" t="n">
        <v>7129</v>
      </c>
      <c r="V27" s="20" t="n">
        <v>7463</v>
      </c>
      <c r="W27" s="20" t="n">
        <v>7930</v>
      </c>
      <c r="X27" s="20" t="n">
        <v>8400</v>
      </c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>
        <v>0</v>
      </c>
      <c r="F38" s="20" t="n">
        <v>0</v>
      </c>
      <c r="G38" s="20" t="n">
        <v>0</v>
      </c>
      <c r="H38" s="20" t="n">
        <v>0</v>
      </c>
      <c r="I38" s="20" t="n">
        <v>0</v>
      </c>
      <c r="J38" s="20" t="n">
        <v>0</v>
      </c>
      <c r="K38" s="20" t="n">
        <v>0</v>
      </c>
      <c r="L38" s="20" t="n">
        <v>1066</v>
      </c>
      <c r="M38" s="20" t="n">
        <v>72</v>
      </c>
      <c r="N38" s="20" t="n">
        <v>0</v>
      </c>
      <c r="O38" s="19" t="n">
        <v>61</v>
      </c>
      <c r="P38" s="20" t="n">
        <v>46</v>
      </c>
      <c r="Q38" s="20" t="n">
        <v>207</v>
      </c>
      <c r="R38" s="20" t="n">
        <v>0</v>
      </c>
      <c r="S38" s="20" t="n">
        <v>1</v>
      </c>
      <c r="T38" s="20" t="n">
        <v>2061</v>
      </c>
      <c r="U38" s="20" t="n">
        <v>0</v>
      </c>
      <c r="V38" s="20" t="n">
        <v>4</v>
      </c>
      <c r="W38" s="20" t="n">
        <v>0</v>
      </c>
      <c r="X38" s="20" t="n">
        <v>1138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1</v>
      </c>
      <c r="D40" s="20" t="n">
        <v>33</v>
      </c>
      <c r="E40" s="20" t="n">
        <v>4</v>
      </c>
      <c r="F40" s="20" t="n">
        <v>0</v>
      </c>
      <c r="G40" s="20" t="n">
        <v>1</v>
      </c>
      <c r="H40" s="20" t="n">
        <v>1</v>
      </c>
      <c r="I40" s="20" t="n">
        <v>5</v>
      </c>
      <c r="J40" s="20" t="n">
        <v>0</v>
      </c>
      <c r="K40" s="20" t="n">
        <v>1</v>
      </c>
      <c r="L40" s="20" t="n">
        <v>1</v>
      </c>
      <c r="M40" s="20" t="n">
        <v>3</v>
      </c>
      <c r="N40" s="20" t="n">
        <v>0</v>
      </c>
      <c r="O40" s="19" t="n">
        <v>4</v>
      </c>
      <c r="P40" s="20" t="n">
        <v>199</v>
      </c>
      <c r="Q40" s="20" t="n">
        <v>27</v>
      </c>
      <c r="R40" s="20" t="n">
        <v>346</v>
      </c>
      <c r="S40" s="20" t="n">
        <v>37</v>
      </c>
      <c r="T40" s="20" t="n">
        <v>1468</v>
      </c>
      <c r="U40" s="20" t="n">
        <v>8</v>
      </c>
      <c r="V40" s="20" t="n">
        <v>38</v>
      </c>
      <c r="W40" s="20" t="n">
        <v>7</v>
      </c>
      <c r="X40" s="20" t="n">
        <v>5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116</v>
      </c>
      <c r="D42" s="20" t="n">
        <v>165</v>
      </c>
      <c r="E42" s="20" t="n">
        <v>64</v>
      </c>
      <c r="F42" s="20" t="n">
        <v>72</v>
      </c>
      <c r="G42" s="20" t="n">
        <v>131</v>
      </c>
      <c r="H42" s="20" t="n">
        <v>54</v>
      </c>
      <c r="I42" s="20" t="n">
        <v>214</v>
      </c>
      <c r="J42" s="20" t="n">
        <v>356</v>
      </c>
      <c r="K42" s="20" t="n">
        <v>-70</v>
      </c>
      <c r="L42" s="20" t="n">
        <v>-35</v>
      </c>
      <c r="M42" s="20" t="n">
        <v>56</v>
      </c>
      <c r="N42" s="20" t="n">
        <v>43</v>
      </c>
      <c r="O42" s="19" t="n">
        <v>106</v>
      </c>
      <c r="P42" s="20" t="n">
        <v>131</v>
      </c>
      <c r="Q42" s="20" t="n">
        <v>103</v>
      </c>
      <c r="R42" s="20" t="n">
        <v>164</v>
      </c>
      <c r="S42" s="20" t="n">
        <v>181</v>
      </c>
      <c r="T42" s="20" t="n">
        <v>189</v>
      </c>
      <c r="U42" s="20" t="n">
        <v>268</v>
      </c>
      <c r="V42" s="20" t="n">
        <v>414</v>
      </c>
      <c r="W42" s="20" t="n">
        <v>471</v>
      </c>
      <c r="X42" s="20" t="n">
        <v>307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531</v>
      </c>
      <c r="D44" s="20" t="n">
        <v>408</v>
      </c>
      <c r="E44" s="20" t="n">
        <v>427</v>
      </c>
      <c r="F44" s="20" t="n">
        <v>711</v>
      </c>
      <c r="G44" s="20" t="n">
        <v>-363</v>
      </c>
      <c r="H44" s="20" t="n">
        <v>831</v>
      </c>
      <c r="I44" s="20" t="n">
        <v>334</v>
      </c>
      <c r="J44" s="20" t="n">
        <v>95</v>
      </c>
      <c r="K44" s="20" t="n">
        <v>85</v>
      </c>
      <c r="L44" s="20" t="n">
        <v>349</v>
      </c>
      <c r="M44" s="20" t="n">
        <v>281</v>
      </c>
      <c r="N44" s="20" t="n">
        <v>200</v>
      </c>
      <c r="O44" s="19" t="n">
        <v>393</v>
      </c>
      <c r="P44" s="20" t="n">
        <v>249</v>
      </c>
      <c r="Q44" s="20" t="n">
        <v>551</v>
      </c>
      <c r="R44" s="20" t="n">
        <v>401</v>
      </c>
      <c r="S44" s="20" t="n">
        <v>176</v>
      </c>
      <c r="T44" s="20" t="n">
        <v>1002</v>
      </c>
      <c r="U44" s="20" t="n">
        <v>2016</v>
      </c>
      <c r="V44" s="20" t="n">
        <v>1920</v>
      </c>
      <c r="W44" s="20" t="n">
        <v>1513</v>
      </c>
      <c r="X44" s="20" t="n">
        <v>810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3109</v>
      </c>
      <c r="D46" s="12" t="n">
        <v>3431</v>
      </c>
      <c r="E46" s="12" t="n">
        <v>4200</v>
      </c>
      <c r="F46" s="12" t="n">
        <v>3614</v>
      </c>
      <c r="G46" s="12" t="n">
        <v>2532</v>
      </c>
      <c r="H46" s="12" t="n">
        <v>1786</v>
      </c>
      <c r="I46" s="12" t="n">
        <v>3476</v>
      </c>
      <c r="J46" s="12" t="n">
        <v>1715</v>
      </c>
      <c r="K46" s="12" t="n">
        <v>1950</v>
      </c>
      <c r="L46" s="12" t="n">
        <v>3427</v>
      </c>
      <c r="M46" s="12" t="n">
        <v>3791</v>
      </c>
      <c r="N46" s="12" t="n">
        <v>3908</v>
      </c>
      <c r="O46" s="11" t="n">
        <v>1435</v>
      </c>
      <c r="P46" s="12" t="n">
        <v>2485</v>
      </c>
      <c r="Q46" s="12" t="n">
        <v>3257</v>
      </c>
      <c r="R46" s="12" t="n">
        <v>3227</v>
      </c>
      <c r="S46" s="12" t="n">
        <v>4589</v>
      </c>
      <c r="T46" s="12" t="n">
        <v>7910</v>
      </c>
      <c r="U46" s="12" t="n">
        <v>12469</v>
      </c>
      <c r="V46" s="12" t="n">
        <v>13887</v>
      </c>
      <c r="W46" s="12" t="n">
        <v>11408</v>
      </c>
      <c r="X46" s="12" t="n">
        <v>10883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719</v>
      </c>
      <c r="D47" s="20" t="n">
        <v>886</v>
      </c>
      <c r="E47" s="20" t="n">
        <v>1265</v>
      </c>
      <c r="F47" s="20" t="n">
        <v>1107</v>
      </c>
      <c r="G47" s="20" t="n">
        <v>720</v>
      </c>
      <c r="H47" s="20" t="n">
        <v>508</v>
      </c>
      <c r="I47" s="20" t="n">
        <v>169</v>
      </c>
      <c r="J47" s="20" t="n">
        <v>475</v>
      </c>
      <c r="K47" s="20" t="n">
        <v>581</v>
      </c>
      <c r="L47" s="20" t="n">
        <v>976</v>
      </c>
      <c r="M47" s="20" t="n">
        <v>966</v>
      </c>
      <c r="N47" s="20" t="n">
        <v>1241</v>
      </c>
      <c r="O47" s="19" t="n">
        <v>463</v>
      </c>
      <c r="P47" s="20" t="n">
        <v>829</v>
      </c>
      <c r="Q47" s="20" t="n">
        <v>853</v>
      </c>
      <c r="R47" s="20" t="n">
        <v>856</v>
      </c>
      <c r="S47" s="20" t="n">
        <v>1371</v>
      </c>
      <c r="T47" s="20" t="n">
        <v>2421</v>
      </c>
      <c r="U47" s="20" t="n">
        <v>3590</v>
      </c>
      <c r="V47" s="20" t="n">
        <v>3806</v>
      </c>
      <c r="W47" s="20" t="n">
        <v>2504</v>
      </c>
      <c r="X47" s="20" t="n">
        <v>2998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2391</v>
      </c>
      <c r="D49" s="12" t="n">
        <v>2544</v>
      </c>
      <c r="E49" s="12" t="n">
        <v>2936</v>
      </c>
      <c r="F49" s="12" t="n">
        <v>2506</v>
      </c>
      <c r="G49" s="12" t="n">
        <v>1812</v>
      </c>
      <c r="H49" s="12" t="n">
        <v>1279</v>
      </c>
      <c r="I49" s="12" t="n">
        <v>3307</v>
      </c>
      <c r="J49" s="12" t="n">
        <v>1240</v>
      </c>
      <c r="K49" s="12" t="n">
        <v>1368</v>
      </c>
      <c r="L49" s="12" t="n">
        <v>2451</v>
      </c>
      <c r="M49" s="12" t="n">
        <v>2825</v>
      </c>
      <c r="N49" s="12" t="n">
        <v>2667</v>
      </c>
      <c r="O49" s="11" t="n">
        <v>972</v>
      </c>
      <c r="P49" s="12" t="n">
        <v>1655</v>
      </c>
      <c r="Q49" s="12" t="n">
        <v>2403</v>
      </c>
      <c r="R49" s="12" t="n">
        <v>2370</v>
      </c>
      <c r="S49" s="12" t="n">
        <v>3217</v>
      </c>
      <c r="T49" s="12" t="n">
        <v>5489</v>
      </c>
      <c r="U49" s="12" t="n">
        <v>8879</v>
      </c>
      <c r="V49" s="12" t="n">
        <v>10081</v>
      </c>
      <c r="W49" s="12" t="n">
        <v>8904</v>
      </c>
      <c r="X49" s="12" t="n">
        <v>7884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2365</v>
      </c>
      <c r="D50" s="12" t="n">
        <v>2519</v>
      </c>
      <c r="E50" s="12" t="n">
        <v>2916</v>
      </c>
      <c r="F50" s="12" t="n">
        <v>2494</v>
      </c>
      <c r="G50" s="12" t="n">
        <v>1811</v>
      </c>
      <c r="H50" s="12" t="n">
        <v>1269</v>
      </c>
      <c r="I50" s="12" t="n">
        <v>3300</v>
      </c>
      <c r="J50" s="12" t="n">
        <v>1217</v>
      </c>
      <c r="K50" s="12" t="n">
        <v>1363</v>
      </c>
      <c r="L50" s="12" t="n">
        <v>2450</v>
      </c>
      <c r="M50" s="12" t="n">
        <v>2812</v>
      </c>
      <c r="N50" s="12" t="n">
        <v>2651</v>
      </c>
      <c r="O50" s="11" t="n">
        <v>972</v>
      </c>
      <c r="P50" s="12" t="n">
        <v>1598</v>
      </c>
      <c r="Q50" s="12" t="n">
        <v>2341</v>
      </c>
      <c r="R50" s="12" t="n">
        <v>2288</v>
      </c>
      <c r="S50" s="12" t="n">
        <v>3143</v>
      </c>
      <c r="T50" s="12" t="n">
        <v>5085</v>
      </c>
      <c r="U50" s="12" t="n">
        <v>8778</v>
      </c>
      <c r="V50" s="12" t="n">
        <v>9986</v>
      </c>
      <c r="W50" s="12" t="n">
        <v>8874</v>
      </c>
      <c r="X50" s="12" t="n">
        <v>7842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(2026.10.26)</t>
        </is>
      </c>
      <c r="B53" s="27" t="n">
        <v>4450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31336500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2026.10.26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60686</v>
      </c>
      <c r="D84" s="12" t="n">
        <v>60050</v>
      </c>
      <c r="E84" s="12" t="n">
        <v>63140</v>
      </c>
      <c r="F84" s="12" t="n">
        <v>56607</v>
      </c>
      <c r="G84" s="12" t="n">
        <v>55105</v>
      </c>
      <c r="H84" s="12" t="n">
        <v>50384</v>
      </c>
      <c r="I84" s="12" t="n">
        <v>54283</v>
      </c>
      <c r="J84" s="12" t="n">
        <v>45136</v>
      </c>
      <c r="K84" s="12" t="n">
        <v>51108</v>
      </c>
      <c r="L84" s="12" t="n">
        <v>50472</v>
      </c>
      <c r="M84" s="12" t="n">
        <v>57032</v>
      </c>
      <c r="N84" s="12" t="n">
        <v>60322</v>
      </c>
      <c r="T84" s="12" t="n">
        <v>52015</v>
      </c>
      <c r="U84" s="12" t="n">
        <v>64454</v>
      </c>
      <c r="V84" s="12" t="n">
        <v>63140</v>
      </c>
      <c r="W84" s="12" t="n">
        <v>54283</v>
      </c>
      <c r="X84" s="12" t="n">
        <v>57032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51595</v>
      </c>
      <c r="D86" s="20" t="n">
        <v>51050</v>
      </c>
      <c r="E86" s="20" t="n">
        <v>52984</v>
      </c>
      <c r="F86" s="20" t="n">
        <v>47411</v>
      </c>
      <c r="G86" s="20" t="n">
        <v>47877</v>
      </c>
      <c r="H86" s="20" t="n">
        <v>42132</v>
      </c>
      <c r="I86" s="20" t="n">
        <v>45226</v>
      </c>
      <c r="J86" s="20" t="n">
        <v>38681</v>
      </c>
      <c r="K86" s="20" t="n">
        <v>43717</v>
      </c>
      <c r="L86" s="20" t="n">
        <v>42392</v>
      </c>
      <c r="M86" s="20" t="n">
        <v>47416</v>
      </c>
      <c r="N86" s="20" t="n">
        <v>51015</v>
      </c>
      <c r="T86" s="20" t="n">
        <v>44056</v>
      </c>
      <c r="U86" s="20" t="n">
        <v>54990</v>
      </c>
      <c r="V86" s="20" t="n">
        <v>52984</v>
      </c>
      <c r="W86" s="20" t="n">
        <v>45226</v>
      </c>
      <c r="X86" s="20" t="n">
        <v>47416</v>
      </c>
    </row>
    <row r="87">
      <c r="A87" s="9" t="inlineStr">
        <is>
          <t>매출총이익</t>
        </is>
      </c>
      <c r="C87" s="12" t="n">
        <v>9090</v>
      </c>
      <c r="D87" s="12" t="n">
        <v>9000</v>
      </c>
      <c r="E87" s="12" t="n">
        <v>10157</v>
      </c>
      <c r="F87" s="12" t="n">
        <v>9195</v>
      </c>
      <c r="G87" s="12" t="n">
        <v>7228</v>
      </c>
      <c r="H87" s="12" t="n">
        <v>8252</v>
      </c>
      <c r="I87" s="12" t="n">
        <v>9057</v>
      </c>
      <c r="J87" s="12" t="n">
        <v>6454</v>
      </c>
      <c r="K87" s="12" t="n">
        <v>7391</v>
      </c>
      <c r="L87" s="12" t="n">
        <v>8081</v>
      </c>
      <c r="M87" s="12" t="n">
        <v>9615</v>
      </c>
      <c r="N87" s="12" t="n">
        <v>9306</v>
      </c>
      <c r="T87" s="12" t="n">
        <v>7958</v>
      </c>
      <c r="U87" s="12" t="n">
        <v>9463</v>
      </c>
      <c r="V87" s="12" t="n">
        <v>10157</v>
      </c>
      <c r="W87" s="12" t="n">
        <v>9057</v>
      </c>
      <c r="X87" s="12" t="n">
        <v>9615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급여·수당</t>
        </is>
      </c>
      <c r="C89" s="20" t="n">
        <v>1873</v>
      </c>
      <c r="D89" s="20" t="n">
        <v>1896</v>
      </c>
      <c r="E89" s="20" t="n">
        <v>1859</v>
      </c>
      <c r="F89" s="20" t="n">
        <v>1929</v>
      </c>
      <c r="G89" s="20" t="n">
        <v>1984</v>
      </c>
      <c r="H89" s="20" t="n">
        <v>2037</v>
      </c>
      <c r="I89" s="20" t="n">
        <v>1980</v>
      </c>
      <c r="J89" s="20" t="n">
        <v>2071</v>
      </c>
      <c r="K89" s="20" t="n">
        <v>2111</v>
      </c>
      <c r="L89" s="20" t="n">
        <v>2150</v>
      </c>
      <c r="M89" s="20" t="n">
        <v>2068</v>
      </c>
      <c r="N89" s="20" t="n">
        <v>2115</v>
      </c>
      <c r="T89" s="20" t="n">
        <v>1733</v>
      </c>
      <c r="U89" s="20" t="n">
        <v>1763</v>
      </c>
      <c r="V89" s="20" t="n">
        <v>1859</v>
      </c>
      <c r="W89" s="20" t="n">
        <v>1980</v>
      </c>
      <c r="X89" s="20" t="n">
        <v>2068</v>
      </c>
    </row>
    <row r="90">
      <c r="A90" s="18" t="inlineStr">
        <is>
          <t>상여충당금 전입</t>
        </is>
      </c>
      <c r="C90" s="20" t="n">
        <v>1238</v>
      </c>
      <c r="D90" s="20" t="n">
        <v>-1011</v>
      </c>
      <c r="E90" s="20" t="n">
        <v>1199</v>
      </c>
      <c r="F90" s="20" t="n">
        <v>752</v>
      </c>
      <c r="G90" s="20" t="n">
        <v>856</v>
      </c>
      <c r="H90" s="20" t="n">
        <v>-648</v>
      </c>
      <c r="I90" s="20" t="n">
        <v>916</v>
      </c>
      <c r="J90" s="20" t="n">
        <v>617</v>
      </c>
      <c r="K90" s="20" t="n">
        <v>695</v>
      </c>
      <c r="L90" s="20" t="n">
        <v>-405</v>
      </c>
      <c r="M90" s="20" t="n">
        <v>1143</v>
      </c>
      <c r="N90" s="20" t="n">
        <v>753</v>
      </c>
      <c r="T90" s="20" t="n">
        <v>864</v>
      </c>
      <c r="U90" s="20" t="n">
        <v>1597</v>
      </c>
      <c r="V90" s="20" t="n">
        <v>1199</v>
      </c>
      <c r="W90" s="20" t="n">
        <v>916</v>
      </c>
      <c r="X90" s="20" t="n">
        <v>1143</v>
      </c>
    </row>
    <row r="91">
      <c r="A91" s="18" t="inlineStr">
        <is>
          <t>퇴직급여비용</t>
        </is>
      </c>
      <c r="C91" s="20" t="n">
        <v>179</v>
      </c>
      <c r="D91" s="20" t="n">
        <v>177</v>
      </c>
      <c r="E91" s="20" t="n">
        <v>178</v>
      </c>
      <c r="F91" s="20" t="n">
        <v>167</v>
      </c>
      <c r="G91" s="20" t="n">
        <v>169</v>
      </c>
      <c r="H91" s="20" t="n">
        <v>169</v>
      </c>
      <c r="I91" s="20" t="n">
        <v>167</v>
      </c>
      <c r="J91" s="20" t="n">
        <v>164</v>
      </c>
      <c r="K91" s="20" t="n">
        <v>162</v>
      </c>
      <c r="L91" s="20" t="n">
        <v>162</v>
      </c>
      <c r="M91" s="20" t="n">
        <v>157</v>
      </c>
      <c r="N91" s="20" t="n">
        <v>105</v>
      </c>
      <c r="T91" s="20" t="n">
        <v>155</v>
      </c>
      <c r="U91" s="20" t="n">
        <v>161</v>
      </c>
      <c r="V91" s="20" t="n">
        <v>178</v>
      </c>
      <c r="W91" s="20" t="n">
        <v>167</v>
      </c>
      <c r="X91" s="20" t="n">
        <v>157</v>
      </c>
    </row>
    <row r="92">
      <c r="A92" s="18" t="inlineStr">
        <is>
          <t>종업원 주식보상 충당금 전입액</t>
        </is>
      </c>
      <c r="C92" s="20" t="n">
        <v>66</v>
      </c>
      <c r="D92" s="20" t="n">
        <v>75</v>
      </c>
      <c r="E92" s="20" t="n">
        <v>68</v>
      </c>
      <c r="U92" s="20" t="n">
        <v>77</v>
      </c>
      <c r="V92" s="20" t="n">
        <v>68</v>
      </c>
    </row>
    <row r="93">
      <c r="A93" s="18" t="inlineStr">
        <is>
          <t>대손충당금 전입</t>
        </is>
      </c>
      <c r="C93" s="20" t="n">
        <v>8</v>
      </c>
      <c r="D93" s="20" t="n">
        <v>-16</v>
      </c>
      <c r="E93" s="20" t="n">
        <v>25</v>
      </c>
      <c r="U93" s="20" t="n">
        <v>1</v>
      </c>
      <c r="V93" s="20" t="n">
        <v>25</v>
      </c>
    </row>
    <row r="94">
      <c r="A94" s="18" t="inlineStr">
        <is>
          <t>기타</t>
        </is>
      </c>
      <c r="C94" s="20" t="n">
        <v>2276</v>
      </c>
      <c r="D94" s="20" t="n">
        <v>4230</v>
      </c>
      <c r="E94" s="20" t="n">
        <v>2353</v>
      </c>
      <c r="F94" s="20" t="n">
        <v>2093</v>
      </c>
      <c r="G94" s="20" t="n">
        <v>2179</v>
      </c>
      <c r="H94" s="20" t="n">
        <v>4129</v>
      </c>
      <c r="I94" s="20" t="n">
        <v>2393</v>
      </c>
      <c r="J94" s="20" t="n">
        <v>2145</v>
      </c>
      <c r="K94" s="20" t="n">
        <v>2317</v>
      </c>
      <c r="L94" s="20" t="n">
        <v>3429</v>
      </c>
      <c r="M94" s="20" t="n">
        <v>2301</v>
      </c>
      <c r="N94" s="20" t="n">
        <v>2265</v>
      </c>
      <c r="T94" s="20" t="n">
        <v>1808</v>
      </c>
      <c r="U94" s="20" t="n">
        <v>1840</v>
      </c>
      <c r="V94" s="20" t="n">
        <v>2353</v>
      </c>
      <c r="W94" s="20" t="n">
        <v>2393</v>
      </c>
      <c r="X94" s="20" t="n">
        <v>2301</v>
      </c>
    </row>
    <row r="95">
      <c r="A95" s="18" t="inlineStr">
        <is>
          <t>판매비와 관리비 합계</t>
        </is>
      </c>
      <c r="C95" s="20" t="n">
        <v>5566</v>
      </c>
      <c r="D95" s="20" t="n">
        <v>5293</v>
      </c>
      <c r="E95" s="20" t="n">
        <v>5588</v>
      </c>
      <c r="F95" s="20" t="n">
        <v>4942</v>
      </c>
      <c r="G95" s="20" t="n">
        <v>5189</v>
      </c>
      <c r="H95" s="20" t="n">
        <v>5686</v>
      </c>
      <c r="I95" s="20" t="n">
        <v>5457</v>
      </c>
      <c r="J95" s="20" t="n">
        <v>4999</v>
      </c>
      <c r="K95" s="20" t="n">
        <v>5284</v>
      </c>
      <c r="L95" s="20" t="n">
        <v>5336</v>
      </c>
      <c r="M95" s="20" t="n">
        <v>5669</v>
      </c>
      <c r="N95" s="20" t="n">
        <v>5240</v>
      </c>
      <c r="T95" s="20" t="n">
        <v>4560</v>
      </c>
      <c r="U95" s="20" t="n">
        <v>5645</v>
      </c>
      <c r="V95" s="20" t="n">
        <v>5588</v>
      </c>
      <c r="W95" s="20" t="n">
        <v>5457</v>
      </c>
      <c r="X95" s="20" t="n">
        <v>5669</v>
      </c>
    </row>
    <row r="96">
      <c r="A96" s="9" t="inlineStr">
        <is>
          <t>영업이익</t>
        </is>
      </c>
      <c r="C96" s="12" t="n">
        <v>3525</v>
      </c>
      <c r="D96" s="12" t="n">
        <v>3707</v>
      </c>
      <c r="E96" s="12" t="n">
        <v>4568</v>
      </c>
      <c r="F96" s="12" t="n">
        <v>4252</v>
      </c>
      <c r="G96" s="12" t="n">
        <v>2040</v>
      </c>
      <c r="H96" s="12" t="n">
        <v>2566</v>
      </c>
      <c r="I96" s="12" t="n">
        <v>3599</v>
      </c>
      <c r="J96" s="12" t="n">
        <v>1455</v>
      </c>
      <c r="K96" s="12" t="n">
        <v>2106</v>
      </c>
      <c r="L96" s="12" t="n">
        <v>2745</v>
      </c>
      <c r="M96" s="12" t="n">
        <v>3947</v>
      </c>
      <c r="N96" s="12" t="n">
        <v>4066</v>
      </c>
      <c r="T96" s="12" t="n">
        <v>3398</v>
      </c>
      <c r="U96" s="12" t="n">
        <v>3818</v>
      </c>
      <c r="V96" s="12" t="n">
        <v>4568</v>
      </c>
      <c r="W96" s="12" t="n">
        <v>3599</v>
      </c>
      <c r="X96" s="12" t="n">
        <v>3947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IF(OR(C96="",C84=""),"",IF(C84&lt;=0,"",IFERROR(C96/C84,"")))</f>
        <v/>
      </c>
      <c r="D97" s="15">
        <f>IF(OR(D96="",D84=""),"",IF(D84&lt;=0,"",IFERROR(D96/D84,"")))</f>
        <v/>
      </c>
      <c r="E97" s="15">
        <f>IF(OR(E96="",E84=""),"",IF(E84&lt;=0,"",IFERROR(E96/E84,"")))</f>
        <v/>
      </c>
      <c r="F97" s="15">
        <f>IF(OR(F96="",F84=""),"",IF(F84&lt;=0,"",IFERROR(F96/F84,"")))</f>
        <v/>
      </c>
      <c r="G97" s="15">
        <f>IF(OR(G96="",G84=""),"",IF(G84&lt;=0,"",IFERROR(G96/G84,"")))</f>
        <v/>
      </c>
      <c r="H97" s="15">
        <f>IF(OR(H96="",H84=""),"",IF(H84&lt;=0,"",IFERROR(H96/H84,"")))</f>
        <v/>
      </c>
      <c r="I97" s="15">
        <f>IF(OR(I96="",I84=""),"",IF(I84&lt;=0,"",IFERROR(I96/I84,"")))</f>
        <v/>
      </c>
      <c r="J97" s="15">
        <f>IF(OR(J96="",J84=""),"",IF(J84&lt;=0,"",IFERROR(J96/J84,"")))</f>
        <v/>
      </c>
      <c r="K97" s="15">
        <f>IF(OR(K96="",K84=""),"",IF(K84&lt;=0,"",IFERROR(K96/K84,"")))</f>
        <v/>
      </c>
      <c r="L97" s="15">
        <f>IF(OR(L96="",L84=""),"",IF(L84&lt;=0,"",IFERROR(L96/L84,"")))</f>
        <v/>
      </c>
      <c r="M97" s="15">
        <f>IF(OR(M96="",M84=""),"",IF(M84&lt;=0,"",IFERROR(M96/M84,"")))</f>
        <v/>
      </c>
      <c r="N97" s="15">
        <f>IF(OR(N96="",N84=""),"",IF(N84&lt;=0,"",IFERROR(N96/N84,"")))</f>
        <v/>
      </c>
      <c r="T97" s="15">
        <f>IF(OR(T96="",T84=""),"",IF(T84&lt;=0,"",IFERROR(T96/T84,"")))</f>
        <v/>
      </c>
      <c r="U97" s="15">
        <f>IF(OR(U96="",U84=""),"",IF(U84&lt;=0,"",IFERROR(U96/U84,"")))</f>
        <v/>
      </c>
      <c r="V97" s="15">
        <f>IF(OR(V96="",V84=""),"",IF(V84&lt;=0,"",IFERROR(V96/V84,"")))</f>
        <v/>
      </c>
      <c r="W97" s="15">
        <f>IF(OR(W96="",W84=""),"",IF(W84&lt;=0,"",IFERROR(W96/W84,"")))</f>
        <v/>
      </c>
      <c r="X97" s="15">
        <f>IF(OR(X96="",X84=""),"",IF(X84&lt;=0,"",IFERROR(X96/X84,"")))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K98" s="15">
        <f>IF(OR(K96="",G96=""),"",IF(G96&lt;=0,"",IFERROR(K96/G96-1,"")))</f>
        <v/>
      </c>
      <c r="L98" s="15">
        <f>IF(OR(L96="",H96=""),"",IF(H96&lt;=0,"",IFERROR(L96/H96-1,"")))</f>
        <v/>
      </c>
      <c r="M98" s="15">
        <f>IF(OR(M96="",I96=""),"",IF(I96&lt;=0,"",IFERROR(M96/I96-1,"")))</f>
        <v/>
      </c>
      <c r="N98" s="15">
        <f>IF(OR(N96="",J96=""),"",IF(J96&lt;=0,"",IFERROR(N96/J96-1,"")))</f>
        <v/>
      </c>
      <c r="T98" s="15">
        <f>IF(OR(T96="",S96=""),"",IF(S96&lt;=0,"",IFERROR(T96/S96-1,"")))</f>
        <v/>
      </c>
      <c r="U98" s="15">
        <f>IF(OR(U96="",T96=""),"",IF(T96&lt;=0,"",IFERROR(U96/T96-1,"")))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  <c r="X98" s="15">
        <f>IF(OR(X96="",W96=""),"",IF(W96&lt;=0,"",IFERROR(X96/W96-1,"")))</f>
        <v/>
      </c>
    </row>
    <row r="99">
      <c r="A99" s="18" t="inlineStr">
        <is>
          <t>수취보증료</t>
        </is>
      </c>
      <c r="I99" s="20" t="n">
        <v>14</v>
      </c>
      <c r="J99" s="20" t="n">
        <v>20</v>
      </c>
      <c r="M99" s="20" t="n">
        <v>20</v>
      </c>
      <c r="N99" s="20" t="n">
        <v>20</v>
      </c>
      <c r="W99" s="20" t="n">
        <v>14</v>
      </c>
      <c r="X99" s="20" t="n">
        <v>20</v>
      </c>
    </row>
    <row r="100">
      <c r="A100" s="18" t="inlineStr">
        <is>
          <t>보험배당금</t>
        </is>
      </c>
      <c r="T100" s="20" t="n">
        <v>0</v>
      </c>
      <c r="U100" s="20" t="n">
        <v>0</v>
      </c>
    </row>
    <row r="101">
      <c r="A101" s="18" t="inlineStr">
        <is>
          <t>지분법이익</t>
        </is>
      </c>
      <c r="C101" s="20" t="n">
        <v>44</v>
      </c>
      <c r="D101" s="20" t="n">
        <v>42</v>
      </c>
      <c r="E101" s="20" t="n">
        <v>31</v>
      </c>
      <c r="F101" s="20" t="n">
        <v>34</v>
      </c>
      <c r="G101" s="20" t="n">
        <v>34</v>
      </c>
      <c r="H101" s="20" t="n">
        <v>22</v>
      </c>
      <c r="I101" s="20" t="n">
        <v>150</v>
      </c>
      <c r="L101" s="20" t="n">
        <v>-26</v>
      </c>
      <c r="M101" s="20" t="n">
        <v>17</v>
      </c>
      <c r="T101" s="20" t="n">
        <v>12</v>
      </c>
      <c r="U101" s="20" t="n">
        <v>52</v>
      </c>
      <c r="V101" s="20" t="n">
        <v>31</v>
      </c>
      <c r="W101" s="20" t="n">
        <v>150</v>
      </c>
      <c r="X101" s="20" t="n">
        <v>17</v>
      </c>
    </row>
    <row r="102">
      <c r="A102" s="18" t="inlineStr">
        <is>
          <t>수취 손해배상금</t>
        </is>
      </c>
      <c r="E102" s="20" t="n">
        <v>0</v>
      </c>
      <c r="U102" s="20" t="n">
        <v>0</v>
      </c>
      <c r="V102" s="20" t="n">
        <v>0</v>
      </c>
    </row>
    <row r="103">
      <c r="A103" s="18" t="inlineStr">
        <is>
          <t>외환차익</t>
        </is>
      </c>
      <c r="F103" s="20" t="n">
        <v>0</v>
      </c>
      <c r="G103" s="20" t="n">
        <v>0</v>
      </c>
      <c r="J103" s="20" t="n">
        <v>269</v>
      </c>
      <c r="K103" s="20" t="n">
        <v>-215</v>
      </c>
      <c r="N103" s="20" t="n">
        <v>0</v>
      </c>
    </row>
    <row r="104">
      <c r="A104" s="18" t="inlineStr">
        <is>
          <t>기타</t>
        </is>
      </c>
      <c r="C104" s="20" t="n">
        <v>72</v>
      </c>
      <c r="D104" s="20" t="n">
        <v>123</v>
      </c>
      <c r="E104" s="20" t="n">
        <v>-25</v>
      </c>
      <c r="F104" s="20" t="n">
        <v>72</v>
      </c>
      <c r="G104" s="20" t="n">
        <v>62</v>
      </c>
      <c r="H104" s="20" t="n">
        <v>26</v>
      </c>
      <c r="I104" s="20" t="n">
        <v>-57</v>
      </c>
      <c r="J104" s="20" t="n">
        <v>67</v>
      </c>
      <c r="K104" s="20" t="n">
        <v>82</v>
      </c>
      <c r="L104" s="20" t="n">
        <v>-15</v>
      </c>
      <c r="M104" s="20" t="n">
        <v>-87</v>
      </c>
      <c r="N104" s="20" t="n">
        <v>23</v>
      </c>
      <c r="T104" s="20" t="n">
        <v>15</v>
      </c>
      <c r="U104" s="20" t="n">
        <v>-33</v>
      </c>
      <c r="V104" s="20" t="n">
        <v>-25</v>
      </c>
      <c r="W104" s="20" t="n">
        <v>-57</v>
      </c>
      <c r="X104" s="20" t="n">
        <v>-87</v>
      </c>
    </row>
    <row r="105">
      <c r="A105" s="18" t="inlineStr">
        <is>
          <t>영업외수익 합계</t>
        </is>
      </c>
      <c r="C105" s="20" t="n">
        <v>116</v>
      </c>
      <c r="D105" s="20" t="n">
        <v>165</v>
      </c>
      <c r="E105" s="20" t="n">
        <v>64</v>
      </c>
      <c r="F105" s="20" t="n">
        <v>72</v>
      </c>
      <c r="G105" s="20" t="n">
        <v>131</v>
      </c>
      <c r="H105" s="20" t="n">
        <v>54</v>
      </c>
      <c r="I105" s="20" t="n">
        <v>214</v>
      </c>
      <c r="J105" s="20" t="n">
        <v>356</v>
      </c>
      <c r="K105" s="20" t="n">
        <v>-70</v>
      </c>
      <c r="L105" s="20" t="n">
        <v>-35</v>
      </c>
      <c r="M105" s="20" t="n">
        <v>56</v>
      </c>
      <c r="N105" s="20" t="n">
        <v>43</v>
      </c>
      <c r="T105" s="20" t="n">
        <v>28</v>
      </c>
      <c r="U105" s="20" t="n">
        <v>73</v>
      </c>
      <c r="V105" s="20" t="n">
        <v>64</v>
      </c>
      <c r="W105" s="20" t="n">
        <v>214</v>
      </c>
      <c r="X105" s="20" t="n">
        <v>56</v>
      </c>
    </row>
    <row r="106">
      <c r="A106" s="18" t="inlineStr">
        <is>
          <t>이자비용</t>
        </is>
      </c>
      <c r="F106" s="20" t="n">
        <v>70</v>
      </c>
      <c r="G106" s="20" t="n">
        <v>68</v>
      </c>
      <c r="H106" s="20" t="n">
        <v>69</v>
      </c>
      <c r="I106" s="20" t="n">
        <v>67</v>
      </c>
      <c r="J106" s="20" t="n">
        <v>53</v>
      </c>
      <c r="K106" s="20" t="n">
        <v>53</v>
      </c>
      <c r="L106" s="20" t="n">
        <v>53</v>
      </c>
      <c r="M106" s="20" t="n">
        <v>63</v>
      </c>
      <c r="N106" s="20" t="n">
        <v>76</v>
      </c>
      <c r="W106" s="20" t="n">
        <v>67</v>
      </c>
      <c r="X106" s="20" t="n">
        <v>63</v>
      </c>
    </row>
    <row r="107">
      <c r="A107" s="18" t="inlineStr">
        <is>
          <t>외환차손</t>
        </is>
      </c>
      <c r="C107" s="20" t="n">
        <v>456</v>
      </c>
      <c r="D107" s="20" t="n">
        <v>339</v>
      </c>
      <c r="E107" s="20" t="n">
        <v>347</v>
      </c>
      <c r="F107" s="20" t="n">
        <v>565</v>
      </c>
      <c r="G107" s="20" t="n">
        <v>-452</v>
      </c>
      <c r="H107" s="20" t="n">
        <v>713</v>
      </c>
      <c r="I107" s="20" t="n">
        <v>216</v>
      </c>
      <c r="J107" s="20" t="n">
        <v>0</v>
      </c>
      <c r="K107" s="20" t="n">
        <v>0</v>
      </c>
      <c r="L107" s="20" t="n">
        <v>263</v>
      </c>
      <c r="M107" s="20" t="n">
        <v>180</v>
      </c>
      <c r="N107" s="20" t="n">
        <v>90</v>
      </c>
      <c r="T107" s="20" t="n">
        <v>319</v>
      </c>
      <c r="U107" s="20" t="n">
        <v>-177</v>
      </c>
      <c r="V107" s="20" t="n">
        <v>347</v>
      </c>
      <c r="W107" s="20" t="n">
        <v>216</v>
      </c>
      <c r="X107" s="20" t="n">
        <v>180</v>
      </c>
    </row>
    <row r="108">
      <c r="A108" s="18" t="inlineStr">
        <is>
          <t>지급보증료</t>
        </is>
      </c>
      <c r="F108" s="20" t="n">
        <v>7</v>
      </c>
      <c r="G108" s="20" t="n">
        <v>6</v>
      </c>
      <c r="J108" s="20" t="n">
        <v>25</v>
      </c>
      <c r="K108" s="20" t="n">
        <v>24</v>
      </c>
    </row>
    <row r="109">
      <c r="A109" s="18" t="inlineStr">
        <is>
          <t>기타</t>
        </is>
      </c>
      <c r="C109" s="20" t="n">
        <v>-47</v>
      </c>
      <c r="D109" s="20" t="n">
        <v>191</v>
      </c>
      <c r="E109" s="20" t="n">
        <v>-147</v>
      </c>
      <c r="F109" s="20" t="n">
        <v>68</v>
      </c>
      <c r="G109" s="20" t="n">
        <v>14</v>
      </c>
      <c r="H109" s="20" t="n">
        <v>63</v>
      </c>
      <c r="I109" s="20" t="n">
        <v>12</v>
      </c>
      <c r="J109" s="20" t="n">
        <v>42</v>
      </c>
      <c r="K109" s="20" t="n">
        <v>-17</v>
      </c>
      <c r="L109" s="20" t="n">
        <v>80</v>
      </c>
      <c r="M109" s="20" t="n">
        <v>-60</v>
      </c>
      <c r="N109" s="20" t="n">
        <v>33</v>
      </c>
      <c r="T109" s="20" t="n">
        <v>49</v>
      </c>
      <c r="U109" s="20" t="n">
        <v>-89</v>
      </c>
      <c r="V109" s="20" t="n">
        <v>-147</v>
      </c>
      <c r="W109" s="20" t="n">
        <v>12</v>
      </c>
      <c r="X109" s="20" t="n">
        <v>-60</v>
      </c>
    </row>
    <row r="110">
      <c r="A110" s="18" t="inlineStr">
        <is>
          <t>영업외비용 합계</t>
        </is>
      </c>
      <c r="C110" s="20" t="n">
        <v>531</v>
      </c>
      <c r="D110" s="20" t="n">
        <v>408</v>
      </c>
      <c r="E110" s="20" t="n">
        <v>427</v>
      </c>
      <c r="F110" s="20" t="n">
        <v>711</v>
      </c>
      <c r="G110" s="20" t="n">
        <v>-363</v>
      </c>
      <c r="H110" s="20" t="n">
        <v>831</v>
      </c>
      <c r="I110" s="20" t="n">
        <v>334</v>
      </c>
      <c r="J110" s="20" t="n">
        <v>95</v>
      </c>
      <c r="K110" s="20" t="n">
        <v>85</v>
      </c>
      <c r="L110" s="20" t="n">
        <v>349</v>
      </c>
      <c r="M110" s="20" t="n">
        <v>281</v>
      </c>
      <c r="N110" s="20" t="n">
        <v>200</v>
      </c>
      <c r="T110" s="20" t="n">
        <v>368</v>
      </c>
      <c r="U110" s="20" t="n">
        <v>-94</v>
      </c>
      <c r="V110" s="20" t="n">
        <v>427</v>
      </c>
      <c r="W110" s="20" t="n">
        <v>334</v>
      </c>
      <c r="X110" s="20" t="n">
        <v>281</v>
      </c>
    </row>
    <row r="111">
      <c r="A111" s="9" t="inlineStr">
        <is>
          <t>경상이익</t>
        </is>
      </c>
      <c r="C111" s="12" t="n">
        <v>3110</v>
      </c>
      <c r="D111" s="12" t="n">
        <v>3464</v>
      </c>
      <c r="E111" s="12" t="n">
        <v>4205</v>
      </c>
      <c r="F111" s="12" t="n">
        <v>3614</v>
      </c>
      <c r="G111" s="12" t="n">
        <v>2533</v>
      </c>
      <c r="H111" s="12" t="n">
        <v>1788</v>
      </c>
      <c r="I111" s="12" t="n">
        <v>3480</v>
      </c>
      <c r="J111" s="12" t="n">
        <v>1715</v>
      </c>
      <c r="K111" s="12" t="n">
        <v>1952</v>
      </c>
      <c r="L111" s="12" t="n">
        <v>2361</v>
      </c>
      <c r="M111" s="12" t="n">
        <v>3722</v>
      </c>
      <c r="N111" s="12" t="n">
        <v>3908</v>
      </c>
      <c r="T111" s="12" t="n">
        <v>3058</v>
      </c>
      <c r="U111" s="12" t="n">
        <v>3985</v>
      </c>
      <c r="V111" s="12" t="n">
        <v>4205</v>
      </c>
      <c r="W111" s="12" t="n">
        <v>3480</v>
      </c>
      <c r="X111" s="12" t="n">
        <v>3722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T112" s="15">
        <f>IF(OR(T111="",S111=""),"",IF(S111&lt;=0,"",IFERROR(T111/S111-1,"")))</f>
        <v/>
      </c>
      <c r="U112" s="15">
        <f>IF(OR(U111="",T111=""),"",IF(T111&lt;=0,"",IFERROR(U111/T111-1,"")))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고정자산 매각이익</t>
        </is>
      </c>
      <c r="C113" s="20" t="n">
        <v>0</v>
      </c>
      <c r="D113" s="20" t="n">
        <v>0</v>
      </c>
      <c r="E113" s="20" t="n">
        <v>0</v>
      </c>
      <c r="F113" s="20" t="n">
        <v>0</v>
      </c>
      <c r="G113" s="20" t="n">
        <v>0</v>
      </c>
      <c r="H113" s="20" t="n">
        <v>0</v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61</v>
      </c>
      <c r="N113" s="20" t="n">
        <v>0</v>
      </c>
      <c r="T113" s="20" t="n">
        <v>0</v>
      </c>
      <c r="U113" s="20" t="n">
        <v>0</v>
      </c>
      <c r="V113" s="20" t="n">
        <v>0</v>
      </c>
      <c r="W113" s="20" t="n">
        <v>0</v>
      </c>
      <c r="X113" s="20" t="n">
        <v>61</v>
      </c>
    </row>
    <row r="114">
      <c r="A114" s="18" t="inlineStr">
        <is>
          <t>고정자산 수증이익</t>
        </is>
      </c>
      <c r="T114" s="20" t="n">
        <v>140</v>
      </c>
      <c r="U114" s="20" t="n">
        <v>0</v>
      </c>
    </row>
    <row r="115">
      <c r="A115" s="18" t="inlineStr">
        <is>
          <t>관계회사 출자금 매각이익</t>
        </is>
      </c>
      <c r="T115" s="20" t="n">
        <v>0</v>
      </c>
      <c r="U115" s="20" t="n">
        <v>0</v>
      </c>
    </row>
    <row r="116">
      <c r="A116" s="18" t="inlineStr">
        <is>
          <t>투자유가증권 매각이익</t>
        </is>
      </c>
      <c r="C116" s="20" t="n">
        <v>0</v>
      </c>
      <c r="D116" s="20" t="n">
        <v>0</v>
      </c>
      <c r="E116" s="20" t="n">
        <v>0</v>
      </c>
      <c r="F116" s="20" t="n">
        <v>0</v>
      </c>
      <c r="G116" s="20" t="n">
        <v>0</v>
      </c>
      <c r="H116" s="20" t="n">
        <v>0</v>
      </c>
      <c r="I116" s="20" t="n">
        <v>0</v>
      </c>
      <c r="M116" s="20" t="n">
        <v>10</v>
      </c>
      <c r="U116" s="20" t="n">
        <v>0</v>
      </c>
      <c r="V116" s="20" t="n">
        <v>0</v>
      </c>
      <c r="W116" s="20" t="n">
        <v>0</v>
      </c>
      <c r="X116" s="20" t="n">
        <v>10</v>
      </c>
    </row>
    <row r="117">
      <c r="A117" s="18" t="inlineStr">
        <is>
          <t>특별이익 합계</t>
        </is>
      </c>
      <c r="C117" s="20" t="n">
        <v>0</v>
      </c>
      <c r="D117" s="20" t="n">
        <v>0</v>
      </c>
      <c r="E117" s="20" t="n">
        <v>0</v>
      </c>
      <c r="F117" s="20" t="n">
        <v>0</v>
      </c>
      <c r="G117" s="20" t="n">
        <v>0</v>
      </c>
      <c r="H117" s="20" t="n">
        <v>0</v>
      </c>
      <c r="I117" s="20" t="n">
        <v>0</v>
      </c>
      <c r="J117" s="20" t="n">
        <v>0</v>
      </c>
      <c r="K117" s="20" t="n">
        <v>0</v>
      </c>
      <c r="L117" s="20" t="n">
        <v>1066</v>
      </c>
      <c r="M117" s="20" t="n">
        <v>72</v>
      </c>
      <c r="N117" s="20" t="n">
        <v>0</v>
      </c>
      <c r="T117" s="20" t="n">
        <v>140</v>
      </c>
      <c r="U117" s="20" t="n">
        <v>0</v>
      </c>
      <c r="V117" s="20" t="n">
        <v>0</v>
      </c>
      <c r="W117" s="20" t="n">
        <v>0</v>
      </c>
      <c r="X117" s="20" t="n">
        <v>72</v>
      </c>
    </row>
    <row r="118">
      <c r="A118" s="18" t="inlineStr">
        <is>
          <t>고정자산 매각손실</t>
        </is>
      </c>
      <c r="E118" s="20" t="n">
        <v>0</v>
      </c>
      <c r="I118" s="20" t="n">
        <v>0</v>
      </c>
      <c r="T118" s="20" t="n">
        <v>0</v>
      </c>
      <c r="U118" s="20" t="n">
        <v>0</v>
      </c>
      <c r="V118" s="20" t="n">
        <v>0</v>
      </c>
      <c r="W118" s="20" t="n">
        <v>0</v>
      </c>
    </row>
    <row r="119">
      <c r="A119" s="18" t="inlineStr">
        <is>
          <t>고정자산 제각손실</t>
        </is>
      </c>
      <c r="C119" s="20" t="n">
        <v>1</v>
      </c>
      <c r="D119" s="20" t="n">
        <v>0</v>
      </c>
      <c r="E119" s="20" t="n">
        <v>4</v>
      </c>
      <c r="F119" s="20" t="n">
        <v>0</v>
      </c>
      <c r="G119" s="20" t="n">
        <v>1</v>
      </c>
      <c r="H119" s="20" t="n">
        <v>1</v>
      </c>
      <c r="I119" s="20" t="n">
        <v>5</v>
      </c>
      <c r="J119" s="20" t="n">
        <v>0</v>
      </c>
      <c r="K119" s="20" t="n">
        <v>1</v>
      </c>
      <c r="L119" s="20" t="n">
        <v>1</v>
      </c>
      <c r="M119" s="20" t="n">
        <v>3</v>
      </c>
      <c r="N119" s="20" t="n">
        <v>0</v>
      </c>
      <c r="T119" s="20" t="n">
        <v>0</v>
      </c>
      <c r="U119" s="20" t="n">
        <v>0</v>
      </c>
      <c r="V119" s="20" t="n">
        <v>4</v>
      </c>
      <c r="W119" s="20" t="n">
        <v>5</v>
      </c>
      <c r="X119" s="20" t="n">
        <v>3</v>
      </c>
    </row>
    <row r="120">
      <c r="A120" s="18" t="inlineStr">
        <is>
          <t>골프회원권 대손충당금 전입액</t>
        </is>
      </c>
      <c r="T120" s="20" t="n">
        <v>0</v>
      </c>
      <c r="U120" s="20" t="n">
        <v>0</v>
      </c>
    </row>
    <row r="121">
      <c r="A121" s="18" t="inlineStr">
        <is>
          <t>골프회원권 상환손실</t>
        </is>
      </c>
      <c r="T121" s="20" t="n">
        <v>0</v>
      </c>
      <c r="U121" s="20" t="n">
        <v>0</v>
      </c>
    </row>
    <row r="122">
      <c r="A122" s="18" t="inlineStr">
        <is>
          <t>신탁종료손실 충당금 전입액</t>
        </is>
      </c>
      <c r="T122" s="20" t="n">
        <v>0</v>
      </c>
      <c r="U122" s="20" t="n">
        <v>0</v>
      </c>
    </row>
    <row r="123">
      <c r="A123" s="18" t="inlineStr">
        <is>
          <t>지분변동 손실</t>
        </is>
      </c>
      <c r="E123" s="20" t="n">
        <v>0</v>
      </c>
      <c r="I123" s="20" t="n">
        <v>0</v>
      </c>
      <c r="U123" s="20" t="n">
        <v>0</v>
      </c>
      <c r="V123" s="20" t="n">
        <v>0</v>
      </c>
      <c r="W123" s="20" t="n">
        <v>0</v>
      </c>
    </row>
    <row r="124">
      <c r="A124" s="18" t="inlineStr">
        <is>
          <t>특별손실 합계</t>
        </is>
      </c>
      <c r="C124" s="20" t="n">
        <v>1</v>
      </c>
      <c r="D124" s="20" t="n">
        <v>33</v>
      </c>
      <c r="E124" s="20" t="n">
        <v>4</v>
      </c>
      <c r="F124" s="20" t="n">
        <v>0</v>
      </c>
      <c r="G124" s="20" t="n">
        <v>1</v>
      </c>
      <c r="H124" s="20" t="n">
        <v>1</v>
      </c>
      <c r="I124" s="20" t="n">
        <v>5</v>
      </c>
      <c r="J124" s="20" t="n">
        <v>0</v>
      </c>
      <c r="K124" s="20" t="n">
        <v>1</v>
      </c>
      <c r="L124" s="20" t="n">
        <v>1</v>
      </c>
      <c r="M124" s="20" t="n">
        <v>3</v>
      </c>
      <c r="N124" s="20" t="n">
        <v>0</v>
      </c>
      <c r="T124" s="20" t="n">
        <v>1351</v>
      </c>
      <c r="U124" s="20" t="n">
        <v>6</v>
      </c>
      <c r="V124" s="20" t="n">
        <v>4</v>
      </c>
      <c r="W124" s="20" t="n">
        <v>5</v>
      </c>
      <c r="X124" s="20" t="n">
        <v>3</v>
      </c>
    </row>
    <row r="125">
      <c r="A125" s="9" t="inlineStr">
        <is>
          <t>법인세차감전 순이익</t>
        </is>
      </c>
      <c r="C125" s="12" t="n">
        <v>3109</v>
      </c>
      <c r="D125" s="12" t="n">
        <v>3431</v>
      </c>
      <c r="E125" s="12" t="n">
        <v>4200</v>
      </c>
      <c r="F125" s="12" t="n">
        <v>3614</v>
      </c>
      <c r="G125" s="12" t="n">
        <v>2532</v>
      </c>
      <c r="H125" s="12" t="n">
        <v>1786</v>
      </c>
      <c r="I125" s="12" t="n">
        <v>3476</v>
      </c>
      <c r="J125" s="12" t="n">
        <v>1715</v>
      </c>
      <c r="K125" s="12" t="n">
        <v>1950</v>
      </c>
      <c r="L125" s="12" t="n">
        <v>3427</v>
      </c>
      <c r="M125" s="12" t="n">
        <v>3791</v>
      </c>
      <c r="N125" s="12" t="n">
        <v>3908</v>
      </c>
      <c r="T125" s="12" t="n">
        <v>1846</v>
      </c>
      <c r="U125" s="12" t="n">
        <v>3978</v>
      </c>
      <c r="V125" s="12" t="n">
        <v>4200</v>
      </c>
      <c r="W125" s="12" t="n">
        <v>3476</v>
      </c>
      <c r="X125" s="12" t="n">
        <v>3791</v>
      </c>
    </row>
    <row r="126">
      <c r="A126" s="18" t="inlineStr">
        <is>
          <t>법인세 등</t>
        </is>
      </c>
      <c r="C126" s="20" t="n">
        <v>719</v>
      </c>
      <c r="D126" s="20" t="n">
        <v>886</v>
      </c>
      <c r="E126" s="20" t="n">
        <v>1265</v>
      </c>
      <c r="F126" s="20" t="n">
        <v>1107</v>
      </c>
      <c r="G126" s="20" t="n">
        <v>720</v>
      </c>
      <c r="H126" s="20" t="n">
        <v>508</v>
      </c>
      <c r="I126" s="20" t="n">
        <v>169</v>
      </c>
      <c r="J126" s="20" t="n">
        <v>475</v>
      </c>
      <c r="K126" s="20" t="n">
        <v>581</v>
      </c>
      <c r="L126" s="20" t="n">
        <v>976</v>
      </c>
      <c r="M126" s="20" t="n">
        <v>966</v>
      </c>
      <c r="N126" s="20" t="n">
        <v>1241</v>
      </c>
      <c r="T126" s="20" t="n">
        <v>597</v>
      </c>
      <c r="U126" s="20" t="n">
        <v>1074</v>
      </c>
      <c r="V126" s="20" t="n">
        <v>1265</v>
      </c>
      <c r="W126" s="20" t="n">
        <v>169</v>
      </c>
      <c r="X126" s="20" t="n">
        <v>966</v>
      </c>
    </row>
    <row r="127">
      <c r="A127" s="9" t="inlineStr">
        <is>
          <t>순이익</t>
        </is>
      </c>
      <c r="C127" s="12" t="n">
        <v>2391</v>
      </c>
      <c r="D127" s="12" t="n">
        <v>2544</v>
      </c>
      <c r="E127" s="12" t="n">
        <v>2936</v>
      </c>
      <c r="F127" s="12" t="n">
        <v>2506</v>
      </c>
      <c r="G127" s="12" t="n">
        <v>1812</v>
      </c>
      <c r="H127" s="12" t="n">
        <v>1279</v>
      </c>
      <c r="I127" s="12" t="n">
        <v>3307</v>
      </c>
      <c r="J127" s="12" t="n">
        <v>1240</v>
      </c>
      <c r="K127" s="12" t="n">
        <v>1368</v>
      </c>
      <c r="L127" s="12" t="n">
        <v>2451</v>
      </c>
      <c r="M127" s="12" t="n">
        <v>2825</v>
      </c>
      <c r="N127" s="12" t="n">
        <v>2667</v>
      </c>
      <c r="T127" s="12" t="n">
        <v>1249</v>
      </c>
      <c r="U127" s="12" t="n">
        <v>2905</v>
      </c>
      <c r="V127" s="12" t="n">
        <v>2936</v>
      </c>
      <c r="W127" s="12" t="n">
        <v>3307</v>
      </c>
      <c r="X127" s="12" t="n">
        <v>2825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29">
      <c r="A129" s="9" t="inlineStr">
        <is>
          <t>비지배주주 순이익</t>
        </is>
      </c>
      <c r="C129" s="12" t="n">
        <v>26</v>
      </c>
      <c r="D129" s="12" t="n">
        <v>24</v>
      </c>
      <c r="E129" s="12" t="n">
        <v>20</v>
      </c>
      <c r="F129" s="12" t="n">
        <v>12</v>
      </c>
      <c r="G129" s="12" t="n">
        <v>1</v>
      </c>
      <c r="H129" s="12" t="n">
        <v>10</v>
      </c>
      <c r="I129" s="12" t="n">
        <v>6</v>
      </c>
      <c r="J129" s="12" t="n">
        <v>22</v>
      </c>
      <c r="K129" s="12" t="n">
        <v>6</v>
      </c>
      <c r="L129" s="12" t="n">
        <v>0</v>
      </c>
      <c r="M129" s="12" t="n">
        <v>13</v>
      </c>
      <c r="N129" s="12" t="n">
        <v>16</v>
      </c>
      <c r="T129" s="12" t="n">
        <v>60</v>
      </c>
      <c r="U129" s="12" t="n">
        <v>28</v>
      </c>
      <c r="V129" s="12" t="n">
        <v>20</v>
      </c>
      <c r="W129" s="12" t="n">
        <v>6</v>
      </c>
      <c r="X129" s="12" t="n">
        <v>13</v>
      </c>
    </row>
    <row r="130">
      <c r="A130" s="9" t="inlineStr">
        <is>
          <t>지배주주 순이익</t>
        </is>
      </c>
      <c r="C130" s="12" t="n">
        <v>2365</v>
      </c>
      <c r="D130" s="12" t="n">
        <v>2519</v>
      </c>
      <c r="E130" s="12" t="n">
        <v>2916</v>
      </c>
      <c r="F130" s="12" t="n">
        <v>2494</v>
      </c>
      <c r="G130" s="12" t="n">
        <v>1811</v>
      </c>
      <c r="H130" s="12" t="n">
        <v>1269</v>
      </c>
      <c r="I130" s="12" t="n">
        <v>3300</v>
      </c>
      <c r="J130" s="12" t="n">
        <v>1217</v>
      </c>
      <c r="K130" s="12" t="n">
        <v>1363</v>
      </c>
      <c r="L130" s="12" t="n">
        <v>2450</v>
      </c>
      <c r="M130" s="12" t="n">
        <v>2812</v>
      </c>
      <c r="N130" s="12" t="n">
        <v>2651</v>
      </c>
      <c r="T130" s="12" t="n">
        <v>1190</v>
      </c>
      <c r="U130" s="12" t="n">
        <v>2877</v>
      </c>
      <c r="V130" s="12" t="n">
        <v>2916</v>
      </c>
      <c r="W130" s="12" t="n">
        <v>3300</v>
      </c>
      <c r="X130" s="12" t="n">
        <v>2812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3">
      <c r="A133" s="16" t="inlineStr">
        <is>
          <t>포괄손익 · 전 항목</t>
        </is>
      </c>
      <c r="B133" s="42" t="inlineStr">
        <is>
          <t>분기 = 3개월 단독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9" t="inlineStr">
        <is>
          <t>순이익</t>
        </is>
      </c>
      <c r="C135" s="12" t="n">
        <v>2391</v>
      </c>
      <c r="D135" s="12" t="n">
        <v>2544</v>
      </c>
      <c r="E135" s="12" t="n">
        <v>2936</v>
      </c>
      <c r="F135" s="12" t="n">
        <v>2506</v>
      </c>
      <c r="G135" s="12" t="n">
        <v>1812</v>
      </c>
      <c r="H135" s="12" t="n">
        <v>1279</v>
      </c>
      <c r="I135" s="12" t="n">
        <v>3307</v>
      </c>
      <c r="J135" s="12" t="n">
        <v>1240</v>
      </c>
      <c r="K135" s="12" t="n">
        <v>1368</v>
      </c>
      <c r="L135" s="12" t="n">
        <v>2451</v>
      </c>
      <c r="M135" s="12" t="n">
        <v>2825</v>
      </c>
      <c r="N135" s="12" t="n">
        <v>2667</v>
      </c>
      <c r="T135" s="12" t="n">
        <v>1249</v>
      </c>
      <c r="U135" s="12" t="n">
        <v>2905</v>
      </c>
      <c r="V135" s="12" t="n">
        <v>2936</v>
      </c>
      <c r="W135" s="12" t="n">
        <v>3307</v>
      </c>
      <c r="X135" s="12" t="n">
        <v>2825</v>
      </c>
    </row>
    <row r="136">
      <c r="A136" s="18" t="inlineStr">
        <is>
          <t>기타유가증권 평가차액</t>
        </is>
      </c>
      <c r="C136" s="20" t="n">
        <v>-3</v>
      </c>
      <c r="D136" s="20" t="n">
        <v>53</v>
      </c>
      <c r="E136" s="20" t="n">
        <v>-13</v>
      </c>
      <c r="F136" s="20" t="n">
        <v>-42</v>
      </c>
      <c r="G136" s="20" t="n">
        <v>-27</v>
      </c>
      <c r="H136" s="20" t="n">
        <v>-13</v>
      </c>
      <c r="I136" s="20" t="n">
        <v>-14</v>
      </c>
      <c r="J136" s="20" t="n">
        <v>0</v>
      </c>
      <c r="K136" s="20" t="n">
        <v>2</v>
      </c>
      <c r="L136" s="20" t="n">
        <v>12</v>
      </c>
      <c r="M136" s="20" t="n">
        <v>-6</v>
      </c>
      <c r="N136" s="20" t="n">
        <v>17</v>
      </c>
      <c r="T136" s="20" t="n">
        <v>12</v>
      </c>
      <c r="U136" s="20" t="n">
        <v>9</v>
      </c>
      <c r="V136" s="20" t="n">
        <v>-13</v>
      </c>
      <c r="W136" s="20" t="n">
        <v>-14</v>
      </c>
      <c r="X136" s="20" t="n">
        <v>-6</v>
      </c>
    </row>
    <row r="137">
      <c r="A137" s="18" t="inlineStr">
        <is>
          <t>이연헤지손익</t>
        </is>
      </c>
      <c r="C137" s="20" t="n">
        <v>164</v>
      </c>
      <c r="D137" s="20" t="n">
        <v>150</v>
      </c>
      <c r="E137" s="20" t="n">
        <v>-137</v>
      </c>
      <c r="F137" s="20" t="n">
        <v>74</v>
      </c>
      <c r="G137" s="20" t="n">
        <v>-82</v>
      </c>
      <c r="H137" s="20" t="n">
        <v>-235</v>
      </c>
      <c r="I137" s="20" t="n">
        <v>230</v>
      </c>
      <c r="J137" s="20" t="n">
        <v>-106</v>
      </c>
      <c r="K137" s="20" t="n">
        <v>-33</v>
      </c>
      <c r="L137" s="20" t="n">
        <v>-27</v>
      </c>
      <c r="M137" s="20" t="n">
        <v>4</v>
      </c>
      <c r="N137" s="20" t="n">
        <v>40</v>
      </c>
      <c r="T137" s="20" t="n">
        <v>-98</v>
      </c>
      <c r="U137" s="20" t="n">
        <v>-218</v>
      </c>
      <c r="V137" s="20" t="n">
        <v>-137</v>
      </c>
      <c r="W137" s="20" t="n">
        <v>230</v>
      </c>
      <c r="X137" s="20" t="n">
        <v>4</v>
      </c>
    </row>
    <row r="138">
      <c r="A138" s="18" t="inlineStr">
        <is>
          <t>해외사업환산조정</t>
        </is>
      </c>
      <c r="C138" s="20" t="n">
        <v>239</v>
      </c>
      <c r="D138" s="20" t="n">
        <v>-292</v>
      </c>
      <c r="E138" s="20" t="n">
        <v>362</v>
      </c>
      <c r="F138" s="20" t="n">
        <v>404</v>
      </c>
      <c r="G138" s="20" t="n">
        <v>-692</v>
      </c>
      <c r="H138" s="20" t="n">
        <v>623</v>
      </c>
      <c r="I138" s="20" t="n">
        <v>-336</v>
      </c>
      <c r="J138" s="20" t="n">
        <v>-258</v>
      </c>
      <c r="K138" s="20" t="n">
        <v>201</v>
      </c>
      <c r="L138" s="20" t="n">
        <v>408</v>
      </c>
      <c r="M138" s="20" t="n">
        <v>226</v>
      </c>
      <c r="N138" s="20" t="n">
        <v>112</v>
      </c>
      <c r="T138" s="20" t="n">
        <v>236</v>
      </c>
      <c r="U138" s="20" t="n">
        <v>4</v>
      </c>
      <c r="V138" s="20" t="n">
        <v>362</v>
      </c>
      <c r="W138" s="20" t="n">
        <v>-336</v>
      </c>
      <c r="X138" s="20" t="n">
        <v>226</v>
      </c>
    </row>
    <row r="139">
      <c r="A139" s="18" t="inlineStr">
        <is>
          <t>퇴직급여 조정액</t>
        </is>
      </c>
      <c r="C139" s="20" t="n">
        <v>-5</v>
      </c>
      <c r="D139" s="20" t="n">
        <v>-5</v>
      </c>
      <c r="E139" s="20" t="n">
        <v>77</v>
      </c>
      <c r="F139" s="20" t="n">
        <v>-19</v>
      </c>
      <c r="G139" s="20" t="n">
        <v>-19</v>
      </c>
      <c r="H139" s="20" t="n">
        <v>-19</v>
      </c>
      <c r="I139" s="20" t="n">
        <v>439</v>
      </c>
      <c r="J139" s="20" t="n">
        <v>-33</v>
      </c>
      <c r="K139" s="20" t="n">
        <v>-33</v>
      </c>
      <c r="L139" s="20" t="n">
        <v>-33</v>
      </c>
      <c r="M139" s="20" t="n">
        <v>513</v>
      </c>
      <c r="N139" s="20" t="n">
        <v>-77</v>
      </c>
      <c r="T139" s="20" t="n">
        <v>-183</v>
      </c>
      <c r="U139" s="20" t="n">
        <v>141</v>
      </c>
      <c r="V139" s="20" t="n">
        <v>77</v>
      </c>
      <c r="W139" s="20" t="n">
        <v>439</v>
      </c>
      <c r="X139" s="20" t="n">
        <v>513</v>
      </c>
    </row>
    <row r="140">
      <c r="A140" s="18" t="inlineStr">
        <is>
          <t>지분법 적용회사 지분 해당액</t>
        </is>
      </c>
      <c r="C140" s="20" t="n">
        <v>31</v>
      </c>
      <c r="D140" s="20" t="n">
        <v>3</v>
      </c>
      <c r="E140" s="20" t="n">
        <v>-12</v>
      </c>
      <c r="F140" s="20" t="n">
        <v>7</v>
      </c>
      <c r="G140" s="20" t="n">
        <v>13</v>
      </c>
      <c r="H140" s="20" t="n">
        <v>-27</v>
      </c>
      <c r="I140" s="20" t="n">
        <v>9</v>
      </c>
      <c r="J140" s="20" t="n">
        <v>-8</v>
      </c>
      <c r="K140" s="20" t="n">
        <v>-9</v>
      </c>
      <c r="L140" s="20" t="n">
        <v>-25</v>
      </c>
      <c r="M140" s="20" t="n">
        <v>0</v>
      </c>
      <c r="N140" s="20" t="n">
        <v>0</v>
      </c>
      <c r="T140" s="20" t="n">
        <v>6</v>
      </c>
      <c r="U140" s="20" t="n">
        <v>-24</v>
      </c>
      <c r="V140" s="20" t="n">
        <v>-12</v>
      </c>
      <c r="W140" s="20" t="n">
        <v>9</v>
      </c>
      <c r="X140" s="20" t="n">
        <v>0</v>
      </c>
    </row>
    <row r="141">
      <c r="A141" s="18" t="inlineStr">
        <is>
          <t>기타포괄손익 합계</t>
        </is>
      </c>
      <c r="C141" s="20" t="n">
        <v>426</v>
      </c>
      <c r="D141" s="20" t="n">
        <v>-93</v>
      </c>
      <c r="E141" s="20" t="n">
        <v>279</v>
      </c>
      <c r="F141" s="20" t="n">
        <v>425</v>
      </c>
      <c r="G141" s="20" t="n">
        <v>-809</v>
      </c>
      <c r="H141" s="20" t="n">
        <v>328</v>
      </c>
      <c r="I141" s="20" t="n">
        <v>330</v>
      </c>
      <c r="J141" s="20" t="n">
        <v>-406</v>
      </c>
      <c r="K141" s="20" t="n">
        <v>128</v>
      </c>
      <c r="L141" s="20" t="n">
        <v>335</v>
      </c>
      <c r="M141" s="20" t="n">
        <v>738</v>
      </c>
      <c r="N141" s="20" t="n">
        <v>92</v>
      </c>
      <c r="T141" s="20" t="n">
        <v>-29</v>
      </c>
      <c r="U141" s="20" t="n">
        <v>-87</v>
      </c>
      <c r="V141" s="20" t="n">
        <v>279</v>
      </c>
      <c r="W141" s="20" t="n">
        <v>330</v>
      </c>
      <c r="X141" s="20" t="n">
        <v>738</v>
      </c>
    </row>
    <row r="142">
      <c r="A142" s="9" t="inlineStr">
        <is>
          <t>포괄이익</t>
        </is>
      </c>
      <c r="C142" s="12" t="n">
        <v>2816</v>
      </c>
      <c r="D142" s="12" t="n">
        <v>2452</v>
      </c>
      <c r="E142" s="12" t="n">
        <v>3215</v>
      </c>
      <c r="F142" s="12" t="n">
        <v>2932</v>
      </c>
      <c r="G142" s="12" t="n">
        <v>1002</v>
      </c>
      <c r="H142" s="12" t="n">
        <v>1607</v>
      </c>
      <c r="I142" s="12" t="n">
        <v>3637</v>
      </c>
      <c r="J142" s="12" t="n">
        <v>833</v>
      </c>
      <c r="K142" s="12" t="n">
        <v>1497</v>
      </c>
      <c r="L142" s="12" t="n">
        <v>2787</v>
      </c>
      <c r="M142" s="12" t="n">
        <v>3562</v>
      </c>
      <c r="N142" s="12" t="n">
        <v>2760</v>
      </c>
      <c r="T142" s="12" t="n">
        <v>1221</v>
      </c>
      <c r="U142" s="12" t="n">
        <v>2819</v>
      </c>
      <c r="V142" s="12" t="n">
        <v>3215</v>
      </c>
      <c r="W142" s="12" t="n">
        <v>3637</v>
      </c>
      <c r="X142" s="12" t="n">
        <v>3562</v>
      </c>
    </row>
    <row r="143">
      <c r="A143" s="9" t="inlineStr">
        <is>
          <t>지배주주 포괄이익</t>
        </is>
      </c>
      <c r="C143" s="12" t="n">
        <v>2790</v>
      </c>
      <c r="D143" s="12" t="n">
        <v>2427</v>
      </c>
      <c r="E143" s="12" t="n">
        <v>3195</v>
      </c>
      <c r="F143" s="12" t="n">
        <v>2919</v>
      </c>
      <c r="G143" s="12" t="n">
        <v>1002</v>
      </c>
      <c r="H143" s="12" t="n">
        <v>1597</v>
      </c>
      <c r="I143" s="12" t="n">
        <v>3630</v>
      </c>
      <c r="J143" s="12" t="n">
        <v>810</v>
      </c>
      <c r="K143" s="12" t="n">
        <v>1491</v>
      </c>
      <c r="L143" s="12" t="n">
        <v>2787</v>
      </c>
      <c r="M143" s="12" t="n">
        <v>3550</v>
      </c>
      <c r="N143" s="12" t="n">
        <v>2744</v>
      </c>
      <c r="T143" s="12" t="n">
        <v>1161</v>
      </c>
      <c r="U143" s="12" t="n">
        <v>2790</v>
      </c>
      <c r="V143" s="12" t="n">
        <v>3195</v>
      </c>
      <c r="W143" s="12" t="n">
        <v>3630</v>
      </c>
      <c r="X143" s="12" t="n">
        <v>3550</v>
      </c>
    </row>
    <row r="144">
      <c r="A144" s="9" t="inlineStr">
        <is>
          <t>비지배주주 포괄이익</t>
        </is>
      </c>
      <c r="C144" s="12" t="n">
        <v>26</v>
      </c>
      <c r="D144" s="12" t="n">
        <v>24</v>
      </c>
      <c r="E144" s="12" t="n">
        <v>20</v>
      </c>
      <c r="F144" s="12" t="n">
        <v>12</v>
      </c>
      <c r="G144" s="12" t="n">
        <v>1</v>
      </c>
      <c r="H144" s="12" t="n">
        <v>10</v>
      </c>
      <c r="I144" s="12" t="n">
        <v>6</v>
      </c>
      <c r="J144" s="12" t="n">
        <v>22</v>
      </c>
      <c r="K144" s="12" t="n">
        <v>6</v>
      </c>
      <c r="L144" s="12" t="n">
        <v>0</v>
      </c>
      <c r="M144" s="12" t="n">
        <v>13</v>
      </c>
      <c r="N144" s="12" t="n">
        <v>16</v>
      </c>
      <c r="T144" s="12" t="n">
        <v>60</v>
      </c>
      <c r="U144" s="12" t="n">
        <v>28</v>
      </c>
      <c r="V144" s="12" t="n">
        <v>20</v>
      </c>
      <c r="W144" s="12" t="n">
        <v>6</v>
      </c>
      <c r="X144" s="12" t="n">
        <v>13</v>
      </c>
    </row>
    <row r="146">
      <c r="A146" s="16" t="inlineStr">
        <is>
          <t>부문 · 전 항목</t>
        </is>
      </c>
      <c r="B146" s="42" t="inlineStr">
        <is>
          <t>부문 · 항목</t>
        </is>
      </c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</row>
    <row r="147">
      <c r="A147" s="5" t="inlineStr">
        <is>
          <t>항목</t>
        </is>
      </c>
      <c r="B147" s="5" t="inlineStr">
        <is>
          <t>참고</t>
        </is>
      </c>
      <c r="C147" s="5" t="inlineStr">
        <is>
          <t>2024.2Q</t>
        </is>
      </c>
      <c r="D147" s="5" t="inlineStr">
        <is>
          <t>2024.3Q</t>
        </is>
      </c>
      <c r="E147" s="5" t="inlineStr">
        <is>
          <t>2024.4Q</t>
        </is>
      </c>
      <c r="F147" s="5" t="inlineStr">
        <is>
          <t>2025.1Q</t>
        </is>
      </c>
      <c r="G147" s="5" t="inlineStr">
        <is>
          <t>2025.2Q</t>
        </is>
      </c>
      <c r="H147" s="5" t="inlineStr">
        <is>
          <t>2025.3Q</t>
        </is>
      </c>
      <c r="I147" s="5" t="inlineStr">
        <is>
          <t>2025.4Q</t>
        </is>
      </c>
      <c r="J147" s="5" t="inlineStr">
        <is>
          <t>2026.1Q</t>
        </is>
      </c>
      <c r="K147" s="5" t="inlineStr">
        <is>
          <t>2026.2Q</t>
        </is>
      </c>
      <c r="L147" s="5" t="inlineStr">
        <is>
          <t>2026.3Q</t>
        </is>
      </c>
      <c r="M147" s="5" t="inlineStr">
        <is>
          <t>2026.4Q</t>
        </is>
      </c>
      <c r="N147" s="5" t="inlineStr">
        <is>
          <t>2027.1Q</t>
        </is>
      </c>
      <c r="O147" s="5" t="inlineStr">
        <is>
          <t>2017</t>
        </is>
      </c>
      <c r="P147" s="5" t="inlineStr">
        <is>
          <t>2018</t>
        </is>
      </c>
      <c r="Q147" s="5" t="inlineStr">
        <is>
          <t>2019</t>
        </is>
      </c>
      <c r="R147" s="5" t="inlineStr">
        <is>
          <t>2020</t>
        </is>
      </c>
      <c r="S147" s="5" t="inlineStr">
        <is>
          <t>2021</t>
        </is>
      </c>
      <c r="T147" s="5" t="inlineStr">
        <is>
          <t>2022</t>
        </is>
      </c>
      <c r="U147" s="5" t="inlineStr">
        <is>
          <t>2023</t>
        </is>
      </c>
      <c r="V147" s="5" t="inlineStr">
        <is>
          <t>2024</t>
        </is>
      </c>
      <c r="W147" s="5" t="inlineStr">
        <is>
          <t>2025</t>
        </is>
      </c>
      <c r="X147" s="5" t="inlineStr">
        <is>
          <t>2026</t>
        </is>
      </c>
      <c r="Y147" s="5" t="inlineStr">
        <is>
          <t>2027(MW)</t>
        </is>
      </c>
      <c r="Z147" s="5" t="inlineStr">
        <is>
          <t>2028(MW)</t>
        </is>
      </c>
      <c r="AA147" s="5" t="inlineStr">
        <is>
          <t>2029(MW)</t>
        </is>
      </c>
      <c r="AB147" s="5" t="inlineStr">
        <is>
          <t>2030(MW)</t>
        </is>
      </c>
      <c r="AC147" s="5" t="inlineStr">
        <is>
          <t>2031(MW)</t>
        </is>
      </c>
    </row>
    <row r="148">
      <c r="A148" s="18" t="inlineStr">
        <is>
          <t>SemiconductorAndElectronicDeviceReportableSegmentsMember · 외부 고객 매출</t>
        </is>
      </c>
      <c r="C148" s="20" t="n">
        <v>53432</v>
      </c>
      <c r="D148" s="20" t="n">
        <v>53463</v>
      </c>
      <c r="E148" s="20" t="n">
        <v>51102</v>
      </c>
      <c r="F148" s="20" t="n">
        <v>47865</v>
      </c>
      <c r="G148" s="20" t="n">
        <v>46159</v>
      </c>
      <c r="H148" s="20" t="n">
        <v>41924</v>
      </c>
      <c r="I148" s="20" t="n">
        <v>43103</v>
      </c>
      <c r="J148" s="20" t="n">
        <v>36394</v>
      </c>
      <c r="K148" s="20" t="n">
        <v>40654</v>
      </c>
      <c r="L148" s="20" t="n">
        <v>40256</v>
      </c>
      <c r="M148" s="20" t="n">
        <v>45239</v>
      </c>
      <c r="N148" s="20" t="n">
        <v>50354</v>
      </c>
      <c r="V148" s="20" t="n">
        <v>51102</v>
      </c>
      <c r="W148" s="20" t="n">
        <v>43103</v>
      </c>
      <c r="X148" s="20" t="n">
        <v>45239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ComputerSystemReportableSegmentsMember · 외부 고객 매출</t>
        </is>
      </c>
      <c r="C150" s="20" t="n">
        <v>7254</v>
      </c>
      <c r="D150" s="20" t="n">
        <v>6587</v>
      </c>
      <c r="E150" s="20" t="n">
        <v>12038</v>
      </c>
      <c r="F150" s="20" t="n">
        <v>8741</v>
      </c>
      <c r="G150" s="20" t="n">
        <v>8946</v>
      </c>
      <c r="H150" s="20" t="n">
        <v>8460</v>
      </c>
      <c r="I150" s="20" t="n">
        <v>11180</v>
      </c>
      <c r="J150" s="20" t="n">
        <v>8741</v>
      </c>
      <c r="K150" s="20" t="n">
        <v>10454</v>
      </c>
      <c r="L150" s="20" t="n">
        <v>10216</v>
      </c>
      <c r="M150" s="20" t="n">
        <v>11793</v>
      </c>
      <c r="N150" s="20" t="n">
        <v>9967</v>
      </c>
      <c r="V150" s="20" t="n">
        <v>12038</v>
      </c>
      <c r="W150" s="20" t="n">
        <v>11180</v>
      </c>
      <c r="X150" s="20" t="n">
        <v>11793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합계 · 외부 고객 매출</t>
        </is>
      </c>
      <c r="C152" s="20" t="n">
        <v>60686</v>
      </c>
      <c r="D152" s="20" t="n">
        <v>60050</v>
      </c>
      <c r="E152" s="20" t="n">
        <v>63140</v>
      </c>
      <c r="F152" s="20" t="n">
        <v>56607</v>
      </c>
      <c r="G152" s="20" t="n">
        <v>55105</v>
      </c>
      <c r="H152" s="20" t="n">
        <v>50384</v>
      </c>
      <c r="I152" s="20" t="n">
        <v>54283</v>
      </c>
      <c r="J152" s="20" t="n">
        <v>45136</v>
      </c>
      <c r="K152" s="20" t="n">
        <v>51108</v>
      </c>
      <c r="L152" s="20" t="n">
        <v>50472</v>
      </c>
      <c r="M152" s="20" t="n">
        <v>57032</v>
      </c>
      <c r="N152" s="20" t="n">
        <v>60322</v>
      </c>
      <c r="V152" s="20" t="n">
        <v>63140</v>
      </c>
      <c r="W152" s="20" t="n">
        <v>54283</v>
      </c>
      <c r="X152" s="20" t="n">
        <v>57032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조정액 · 외부 고객 매출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9" t="inlineStr">
        <is>
          <t>외부 고객 매출</t>
        </is>
      </c>
      <c r="C155" s="12" t="n">
        <v>60686</v>
      </c>
      <c r="D155" s="12" t="n">
        <v>60050</v>
      </c>
      <c r="E155" s="12" t="n">
        <v>63140</v>
      </c>
      <c r="F155" s="12" t="n">
        <v>56607</v>
      </c>
      <c r="G155" s="12" t="n">
        <v>55105</v>
      </c>
      <c r="H155" s="12" t="n">
        <v>50384</v>
      </c>
      <c r="I155" s="12" t="n">
        <v>54283</v>
      </c>
      <c r="V155" s="12" t="n">
        <v>63140</v>
      </c>
      <c r="W155" s="12" t="n">
        <v>54283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</row>
    <row r="157">
      <c r="A157" s="18" t="inlineStr">
        <is>
          <t>EntityTotalMember · 외부 고객 매출</t>
        </is>
      </c>
      <c r="F157" s="20" t="n">
        <v>56607</v>
      </c>
      <c r="J157" s="20" t="n">
        <v>45136</v>
      </c>
      <c r="N157" s="20" t="n">
        <v>60322</v>
      </c>
    </row>
    <row r="158">
      <c r="A158" s="18" t="inlineStr">
        <is>
          <t>SemiconductorAndElectronicDeviceReportableSegmentsMember · 부문 간 내부매출·대체</t>
        </is>
      </c>
      <c r="C158" s="20" t="n">
        <v>0</v>
      </c>
      <c r="D158" s="20" t="n">
        <v>0</v>
      </c>
      <c r="E158" s="20" t="n">
        <v>1</v>
      </c>
      <c r="F158" s="20" t="n">
        <v>0</v>
      </c>
      <c r="G158" s="20" t="n">
        <v>0</v>
      </c>
      <c r="H158" s="20" t="n">
        <v>0</v>
      </c>
      <c r="I158" s="20" t="n">
        <v>1</v>
      </c>
      <c r="J158" s="20" t="n">
        <v>0</v>
      </c>
      <c r="K158" s="20" t="n">
        <v>4</v>
      </c>
      <c r="L158" s="20" t="n">
        <v>5</v>
      </c>
      <c r="M158" s="20" t="n">
        <v>1</v>
      </c>
      <c r="N158" s="20" t="n">
        <v>0</v>
      </c>
      <c r="V158" s="20" t="n">
        <v>1</v>
      </c>
      <c r="W158" s="20" t="n">
        <v>1</v>
      </c>
      <c r="X158" s="20" t="n">
        <v>1</v>
      </c>
    </row>
    <row r="159">
      <c r="A159" s="18" t="inlineStr">
        <is>
          <t>ComputerSystemReportableSegmentsMember · 부문 간 내부매출·대체</t>
        </is>
      </c>
      <c r="C159" s="20" t="n">
        <v>0</v>
      </c>
      <c r="D159" s="20" t="n">
        <v>0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0</v>
      </c>
      <c r="V159" s="20" t="n">
        <v>0</v>
      </c>
      <c r="W159" s="20" t="n">
        <v>0</v>
      </c>
      <c r="X159" s="20" t="n">
        <v>0</v>
      </c>
    </row>
    <row r="160">
      <c r="A160" s="18" t="inlineStr">
        <is>
          <t>합계 · 부문 간 내부매출·대체</t>
        </is>
      </c>
      <c r="C160" s="20" t="n">
        <v>0</v>
      </c>
      <c r="D160" s="20" t="n">
        <v>0</v>
      </c>
      <c r="E160" s="20" t="n">
        <v>1</v>
      </c>
      <c r="F160" s="20" t="n">
        <v>0</v>
      </c>
      <c r="G160" s="20" t="n">
        <v>0</v>
      </c>
      <c r="H160" s="20" t="n">
        <v>0</v>
      </c>
      <c r="I160" s="20" t="n">
        <v>1</v>
      </c>
      <c r="J160" s="20" t="n">
        <v>0</v>
      </c>
      <c r="K160" s="20" t="n">
        <v>4</v>
      </c>
      <c r="L160" s="20" t="n">
        <v>5</v>
      </c>
      <c r="M160" s="20" t="n">
        <v>1</v>
      </c>
      <c r="N160" s="20" t="n">
        <v>0</v>
      </c>
      <c r="V160" s="20" t="n">
        <v>1</v>
      </c>
      <c r="W160" s="20" t="n">
        <v>1</v>
      </c>
      <c r="X160" s="20" t="n">
        <v>1</v>
      </c>
    </row>
    <row r="161">
      <c r="A161" s="18" t="inlineStr">
        <is>
          <t>조정액 · 부문 간 내부매출·대체</t>
        </is>
      </c>
      <c r="C161" s="20" t="n">
        <v>0</v>
      </c>
      <c r="D161" s="20" t="n">
        <v>0</v>
      </c>
      <c r="E161" s="20" t="n">
        <v>-1</v>
      </c>
      <c r="F161" s="20" t="n">
        <v>0</v>
      </c>
      <c r="G161" s="20" t="n">
        <v>0</v>
      </c>
      <c r="H161" s="20" t="n">
        <v>0</v>
      </c>
      <c r="I161" s="20" t="n">
        <v>-1</v>
      </c>
      <c r="J161" s="20" t="n">
        <v>0</v>
      </c>
      <c r="K161" s="20" t="n">
        <v>-4</v>
      </c>
      <c r="L161" s="20" t="n">
        <v>-5</v>
      </c>
      <c r="M161" s="20" t="n">
        <v>-1</v>
      </c>
      <c r="N161" s="20" t="n">
        <v>0</v>
      </c>
      <c r="V161" s="20" t="n">
        <v>-1</v>
      </c>
      <c r="W161" s="20" t="n">
        <v>-1</v>
      </c>
      <c r="X161" s="20" t="n">
        <v>-1</v>
      </c>
    </row>
    <row r="162">
      <c r="A162" s="18" t="inlineStr">
        <is>
          <t>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V162" s="20" t="n">
        <v>0</v>
      </c>
      <c r="W162" s="20" t="n">
        <v>0</v>
      </c>
    </row>
    <row r="163">
      <c r="A163" s="18" t="inlineStr">
        <is>
          <t>EntityTotalMember · 부문 간 내부매출·대체</t>
        </is>
      </c>
      <c r="F163" s="20" t="n">
        <v>0</v>
      </c>
      <c r="J163" s="20" t="n">
        <v>0</v>
      </c>
      <c r="N163" s="20" t="n">
        <v>0</v>
      </c>
    </row>
    <row r="164">
      <c r="A164" s="18" t="inlineStr">
        <is>
          <t>SemiconductorAndElectronicDeviceReportableSegmentsMember · 계</t>
        </is>
      </c>
      <c r="C164" s="20" t="n">
        <v>53432</v>
      </c>
      <c r="D164" s="20" t="n">
        <v>53463</v>
      </c>
      <c r="E164" s="20" t="n">
        <v>51104</v>
      </c>
      <c r="F164" s="20" t="n">
        <v>47865</v>
      </c>
      <c r="G164" s="20" t="n">
        <v>46159</v>
      </c>
      <c r="H164" s="20" t="n">
        <v>41924</v>
      </c>
      <c r="I164" s="20" t="n">
        <v>43105</v>
      </c>
      <c r="J164" s="20" t="n">
        <v>36394</v>
      </c>
      <c r="K164" s="20" t="n">
        <v>40659</v>
      </c>
      <c r="L164" s="20" t="n">
        <v>40261</v>
      </c>
      <c r="M164" s="20" t="n">
        <v>45239</v>
      </c>
      <c r="N164" s="20" t="n">
        <v>50354</v>
      </c>
      <c r="V164" s="20" t="n">
        <v>51104</v>
      </c>
      <c r="W164" s="20" t="n">
        <v>43105</v>
      </c>
      <c r="X164" s="20" t="n">
        <v>45239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ComputerSystemReportableSegmentsMember · 계</t>
        </is>
      </c>
      <c r="C166" s="20" t="n">
        <v>7254</v>
      </c>
      <c r="D166" s="20" t="n">
        <v>6587</v>
      </c>
      <c r="E166" s="20" t="n">
        <v>12038</v>
      </c>
      <c r="F166" s="20" t="n">
        <v>8741</v>
      </c>
      <c r="G166" s="20" t="n">
        <v>8946</v>
      </c>
      <c r="H166" s="20" t="n">
        <v>8460</v>
      </c>
      <c r="I166" s="20" t="n">
        <v>11180</v>
      </c>
      <c r="J166" s="20" t="n">
        <v>8741</v>
      </c>
      <c r="K166" s="20" t="n">
        <v>10454</v>
      </c>
      <c r="L166" s="20" t="n">
        <v>10216</v>
      </c>
      <c r="M166" s="20" t="n">
        <v>11793</v>
      </c>
      <c r="N166" s="20" t="n">
        <v>9967</v>
      </c>
      <c r="V166" s="20" t="n">
        <v>12038</v>
      </c>
      <c r="W166" s="20" t="n">
        <v>11180</v>
      </c>
      <c r="X166" s="20" t="n">
        <v>11793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합계 · 계</t>
        </is>
      </c>
      <c r="C168" s="20" t="n">
        <v>60686</v>
      </c>
      <c r="D168" s="20" t="n">
        <v>60050</v>
      </c>
      <c r="E168" s="20" t="n">
        <v>63141</v>
      </c>
      <c r="F168" s="20" t="n">
        <v>56607</v>
      </c>
      <c r="G168" s="20" t="n">
        <v>55105</v>
      </c>
      <c r="H168" s="20" t="n">
        <v>50384</v>
      </c>
      <c r="I168" s="20" t="n">
        <v>54284</v>
      </c>
      <c r="J168" s="20" t="n">
        <v>45136</v>
      </c>
      <c r="K168" s="20" t="n">
        <v>51112</v>
      </c>
      <c r="L168" s="20" t="n">
        <v>50477</v>
      </c>
      <c r="M168" s="20" t="n">
        <v>57033</v>
      </c>
      <c r="N168" s="20" t="n">
        <v>60322</v>
      </c>
      <c r="V168" s="20" t="n">
        <v>63141</v>
      </c>
      <c r="W168" s="20" t="n">
        <v>54284</v>
      </c>
      <c r="X168" s="20" t="n">
        <v>57033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조정액 · 계</t>
        </is>
      </c>
      <c r="C170" s="20" t="n">
        <v>0</v>
      </c>
      <c r="D170" s="20" t="n">
        <v>0</v>
      </c>
      <c r="E170" s="20" t="n">
        <v>-1</v>
      </c>
      <c r="F170" s="20" t="n">
        <v>0</v>
      </c>
      <c r="G170" s="20" t="n">
        <v>0</v>
      </c>
      <c r="H170" s="20" t="n">
        <v>0</v>
      </c>
      <c r="I170" s="20" t="n">
        <v>-1</v>
      </c>
      <c r="J170" s="20" t="n">
        <v>0</v>
      </c>
      <c r="K170" s="20" t="n">
        <v>-4</v>
      </c>
      <c r="L170" s="20" t="n">
        <v>-5</v>
      </c>
      <c r="M170" s="20" t="n">
        <v>-1</v>
      </c>
      <c r="N170" s="20" t="n">
        <v>0</v>
      </c>
      <c r="V170" s="20" t="n">
        <v>-1</v>
      </c>
      <c r="W170" s="20" t="n">
        <v>-1</v>
      </c>
      <c r="X170" s="20" t="n">
        <v>-1</v>
      </c>
    </row>
    <row r="171">
      <c r="A171" s="9" t="inlineStr">
        <is>
          <t>계</t>
        </is>
      </c>
      <c r="C171" s="12" t="n">
        <v>60686</v>
      </c>
      <c r="D171" s="12" t="n">
        <v>60050</v>
      </c>
      <c r="E171" s="12" t="n">
        <v>63140</v>
      </c>
      <c r="F171" s="12" t="n">
        <v>56607</v>
      </c>
      <c r="G171" s="12" t="n">
        <v>55105</v>
      </c>
      <c r="H171" s="12" t="n">
        <v>50384</v>
      </c>
      <c r="I171" s="12" t="n">
        <v>54283</v>
      </c>
      <c r="V171" s="12" t="n">
        <v>63140</v>
      </c>
      <c r="W171" s="12" t="n">
        <v>54283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</row>
    <row r="173">
      <c r="A173" s="18" t="inlineStr">
        <is>
          <t>EntityTotalMember · 계</t>
        </is>
      </c>
      <c r="F173" s="20" t="n">
        <v>56607</v>
      </c>
      <c r="J173" s="20" t="n">
        <v>45136</v>
      </c>
      <c r="N173" s="20" t="n">
        <v>60322</v>
      </c>
    </row>
    <row r="174">
      <c r="A174" s="18" t="inlineStr">
        <is>
          <t>SemiconductorAndElectronicDeviceReportableSegmentsMember · 부문 이익</t>
        </is>
      </c>
      <c r="C174" s="20" t="n">
        <v>2427</v>
      </c>
      <c r="D174" s="20" t="n">
        <v>2751</v>
      </c>
      <c r="E174" s="20" t="n">
        <v>2718</v>
      </c>
      <c r="F174" s="20" t="n">
        <v>2460</v>
      </c>
      <c r="G174" s="20" t="n">
        <v>1518</v>
      </c>
      <c r="H174" s="20" t="n">
        <v>771</v>
      </c>
      <c r="I174" s="20" t="n">
        <v>1400</v>
      </c>
      <c r="J174" s="20" t="n">
        <v>227</v>
      </c>
      <c r="K174" s="20" t="n">
        <v>831</v>
      </c>
      <c r="L174" s="20" t="n">
        <v>794</v>
      </c>
      <c r="M174" s="20" t="n">
        <v>1356</v>
      </c>
      <c r="N174" s="20" t="n">
        <v>2374</v>
      </c>
      <c r="V174" s="20" t="n">
        <v>2718</v>
      </c>
      <c r="W174" s="20" t="n">
        <v>1400</v>
      </c>
      <c r="X174" s="20" t="n">
        <v>1356</v>
      </c>
    </row>
    <row r="175">
      <c r="A175" s="18" t="inlineStr">
        <is>
          <t>ComputerSystemReportableSegmentsMember · 부문 이익</t>
        </is>
      </c>
      <c r="C175" s="20" t="n">
        <v>684</v>
      </c>
      <c r="D175" s="20" t="n">
        <v>713</v>
      </c>
      <c r="E175" s="20" t="n">
        <v>1487</v>
      </c>
      <c r="F175" s="20" t="n">
        <v>1153</v>
      </c>
      <c r="G175" s="20" t="n">
        <v>1015</v>
      </c>
      <c r="H175" s="20" t="n">
        <v>1018</v>
      </c>
      <c r="I175" s="20" t="n">
        <v>2080</v>
      </c>
      <c r="J175" s="20" t="n">
        <v>1488</v>
      </c>
      <c r="K175" s="20" t="n">
        <v>1120</v>
      </c>
      <c r="L175" s="20" t="n">
        <v>1567</v>
      </c>
      <c r="M175" s="20" t="n">
        <v>2367</v>
      </c>
      <c r="N175" s="20" t="n">
        <v>1534</v>
      </c>
      <c r="V175" s="20" t="n">
        <v>1487</v>
      </c>
      <c r="W175" s="20" t="n">
        <v>2080</v>
      </c>
      <c r="X175" s="20" t="n">
        <v>2367</v>
      </c>
    </row>
    <row r="176">
      <c r="A176" s="18" t="inlineStr">
        <is>
          <t>합계 · 부문 이익</t>
        </is>
      </c>
      <c r="C176" s="20" t="n">
        <v>3110</v>
      </c>
      <c r="D176" s="20" t="n">
        <v>3464</v>
      </c>
      <c r="E176" s="20" t="n">
        <v>4205</v>
      </c>
      <c r="F176" s="20" t="n">
        <v>3614</v>
      </c>
      <c r="G176" s="20" t="n">
        <v>2533</v>
      </c>
      <c r="H176" s="20" t="n">
        <v>1788</v>
      </c>
      <c r="I176" s="20" t="n">
        <v>3480</v>
      </c>
      <c r="J176" s="20" t="n">
        <v>1715</v>
      </c>
      <c r="K176" s="20" t="n">
        <v>1952</v>
      </c>
      <c r="L176" s="20" t="n">
        <v>2361</v>
      </c>
      <c r="M176" s="20" t="n">
        <v>3722</v>
      </c>
      <c r="N176" s="20" t="n">
        <v>3908</v>
      </c>
      <c r="V176" s="20" t="n">
        <v>4205</v>
      </c>
      <c r="W176" s="20" t="n">
        <v>3480</v>
      </c>
      <c r="X176" s="20" t="n">
        <v>3722</v>
      </c>
    </row>
    <row r="177">
      <c r="A177" s="18" t="inlineStr">
        <is>
          <t>조정액 · 부문 이익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9" t="inlineStr">
        <is>
          <t>부문 이익</t>
        </is>
      </c>
      <c r="C178" s="12" t="n">
        <v>3110</v>
      </c>
      <c r="D178" s="12" t="n">
        <v>3464</v>
      </c>
      <c r="E178" s="12" t="n">
        <v>4205</v>
      </c>
      <c r="F178" s="12" t="n">
        <v>3614</v>
      </c>
      <c r="G178" s="12" t="n">
        <v>2533</v>
      </c>
      <c r="H178" s="12" t="n">
        <v>1788</v>
      </c>
      <c r="I178" s="12" t="n">
        <v>3480</v>
      </c>
      <c r="V178" s="12" t="n">
        <v>4205</v>
      </c>
      <c r="W178" s="12" t="n">
        <v>3480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</row>
    <row r="180">
      <c r="A180" s="18" t="inlineStr">
        <is>
          <t>EntityTotalMember · 부문 이익</t>
        </is>
      </c>
      <c r="F180" s="20" t="n">
        <v>3614</v>
      </c>
      <c r="J180" s="20" t="n">
        <v>1715</v>
      </c>
      <c r="N180" s="20" t="n">
        <v>3908</v>
      </c>
    </row>
    <row r="182">
      <c r="A182" s="16" t="inlineStr">
        <is>
          <t>현금흐름표 · 전 항목</t>
        </is>
      </c>
      <c r="B182" s="42" t="inlineStr">
        <is>
          <t>분기 = 결산기 첫날부터 누계(공시 그대로)</t>
        </is>
      </c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</row>
    <row r="183">
      <c r="A183" s="5" t="inlineStr">
        <is>
          <t>항목</t>
        </is>
      </c>
      <c r="B183" s="5" t="inlineStr">
        <is>
          <t>참고</t>
        </is>
      </c>
      <c r="C183" s="5" t="inlineStr">
        <is>
          <t>2024.2Q</t>
        </is>
      </c>
      <c r="D183" s="5" t="inlineStr">
        <is>
          <t>2024.3Q</t>
        </is>
      </c>
      <c r="E183" s="5" t="inlineStr">
        <is>
          <t>2024.4Q</t>
        </is>
      </c>
      <c r="F183" s="5" t="inlineStr">
        <is>
          <t>2025.1Q</t>
        </is>
      </c>
      <c r="G183" s="5" t="inlineStr">
        <is>
          <t>2025.2Q</t>
        </is>
      </c>
      <c r="H183" s="5" t="inlineStr">
        <is>
          <t>2025.3Q</t>
        </is>
      </c>
      <c r="I183" s="5" t="inlineStr">
        <is>
          <t>2025.4Q</t>
        </is>
      </c>
      <c r="J183" s="5" t="inlineStr">
        <is>
          <t>2026.1Q</t>
        </is>
      </c>
      <c r="K183" s="5" t="inlineStr">
        <is>
          <t>2026.2Q</t>
        </is>
      </c>
      <c r="L183" s="5" t="inlineStr">
        <is>
          <t>2026.3Q</t>
        </is>
      </c>
      <c r="M183" s="5" t="inlineStr">
        <is>
          <t>2026.4Q</t>
        </is>
      </c>
      <c r="N183" s="5" t="inlineStr">
        <is>
          <t>2027.1Q</t>
        </is>
      </c>
      <c r="O183" s="5" t="inlineStr">
        <is>
          <t>2017</t>
        </is>
      </c>
      <c r="P183" s="5" t="inlineStr">
        <is>
          <t>2018</t>
        </is>
      </c>
      <c r="Q183" s="5" t="inlineStr">
        <is>
          <t>2019</t>
        </is>
      </c>
      <c r="R183" s="5" t="inlineStr">
        <is>
          <t>2020</t>
        </is>
      </c>
      <c r="S183" s="5" t="inlineStr">
        <is>
          <t>2021</t>
        </is>
      </c>
      <c r="T183" s="5" t="inlineStr">
        <is>
          <t>2022</t>
        </is>
      </c>
      <c r="U183" s="5" t="inlineStr">
        <is>
          <t>2023</t>
        </is>
      </c>
      <c r="V183" s="5" t="inlineStr">
        <is>
          <t>2024</t>
        </is>
      </c>
      <c r="W183" s="5" t="inlineStr">
        <is>
          <t>2025</t>
        </is>
      </c>
      <c r="X183" s="5" t="inlineStr">
        <is>
          <t>2026</t>
        </is>
      </c>
      <c r="Y183" s="5" t="inlineStr">
        <is>
          <t>2027(MW)</t>
        </is>
      </c>
      <c r="Z183" s="5" t="inlineStr">
        <is>
          <t>2028(MW)</t>
        </is>
      </c>
      <c r="AA183" s="5" t="inlineStr">
        <is>
          <t>2029(MW)</t>
        </is>
      </c>
      <c r="AB183" s="5" t="inlineStr">
        <is>
          <t>2030(MW)</t>
        </is>
      </c>
      <c r="AC183" s="5" t="inlineStr">
        <is>
          <t>2031(MW)</t>
        </is>
      </c>
    </row>
    <row r="184">
      <c r="A184" s="9" t="inlineStr">
        <is>
          <t>법인세차감전 순이익</t>
        </is>
      </c>
      <c r="C184" s="12" t="n">
        <v>6256</v>
      </c>
      <c r="D184" s="12" t="n">
        <v>9687</v>
      </c>
      <c r="E184" s="12" t="n">
        <v>13887</v>
      </c>
      <c r="F184" s="12" t="n">
        <v>3614</v>
      </c>
      <c r="G184" s="12" t="n">
        <v>6146</v>
      </c>
      <c r="H184" s="12" t="n">
        <v>7932</v>
      </c>
      <c r="I184" s="12" t="n">
        <v>11408</v>
      </c>
      <c r="J184" s="12" t="n">
        <v>1715</v>
      </c>
      <c r="K184" s="12" t="n">
        <v>3665</v>
      </c>
      <c r="L184" s="12" t="n">
        <v>7092</v>
      </c>
      <c r="M184" s="12" t="n">
        <v>10883</v>
      </c>
      <c r="N184" s="12" t="n">
        <v>3908</v>
      </c>
      <c r="O184" s="12" t="n">
        <v>1435</v>
      </c>
      <c r="P184" s="12" t="n">
        <v>2485</v>
      </c>
      <c r="Q184" s="12" t="n">
        <v>3257</v>
      </c>
      <c r="R184" s="12" t="n">
        <v>3227</v>
      </c>
      <c r="S184" s="12" t="n">
        <v>4589</v>
      </c>
      <c r="T184" s="12" t="n">
        <v>7910</v>
      </c>
      <c r="U184" s="12" t="n">
        <v>12469</v>
      </c>
      <c r="V184" s="12" t="n">
        <v>13887</v>
      </c>
      <c r="W184" s="12" t="n">
        <v>11408</v>
      </c>
      <c r="X184" s="12" t="n">
        <v>10883</v>
      </c>
    </row>
    <row r="185">
      <c r="A185" s="18" t="inlineStr">
        <is>
          <t>감가상각비</t>
        </is>
      </c>
      <c r="O185" s="20" t="n">
        <v>487</v>
      </c>
      <c r="P185" s="20" t="n">
        <v>560</v>
      </c>
      <c r="Q185" s="20" t="n">
        <v>483</v>
      </c>
      <c r="R185" s="20" t="n">
        <v>604</v>
      </c>
    </row>
    <row r="186">
      <c r="A186" s="18" t="inlineStr">
        <is>
          <t>감가상각비 및 기타 상각비</t>
        </is>
      </c>
      <c r="C186" s="20" t="n">
        <v>275</v>
      </c>
      <c r="D186" s="20" t="n">
        <v>505</v>
      </c>
      <c r="E186" s="20" t="n">
        <v>763</v>
      </c>
      <c r="F186" s="20" t="n">
        <v>241</v>
      </c>
      <c r="G186" s="20" t="n">
        <v>473</v>
      </c>
      <c r="H186" s="20" t="n">
        <v>752</v>
      </c>
      <c r="I186" s="20" t="n">
        <v>1061</v>
      </c>
      <c r="J186" s="20" t="n">
        <v>264</v>
      </c>
      <c r="K186" s="20" t="n">
        <v>531</v>
      </c>
      <c r="L186" s="20" t="n">
        <v>804</v>
      </c>
      <c r="M186" s="20" t="n">
        <v>1077</v>
      </c>
      <c r="N186" s="20" t="n">
        <v>252</v>
      </c>
      <c r="R186" s="20" t="n">
        <v>604</v>
      </c>
      <c r="S186" s="20" t="n">
        <v>578</v>
      </c>
      <c r="T186" s="20" t="n">
        <v>672</v>
      </c>
      <c r="U186" s="20" t="n">
        <v>559</v>
      </c>
      <c r="V186" s="20" t="n">
        <v>763</v>
      </c>
      <c r="W186" s="20" t="n">
        <v>1061</v>
      </c>
      <c r="X186" s="20" t="n">
        <v>1077</v>
      </c>
    </row>
    <row r="187">
      <c r="A187" s="18" t="inlineStr">
        <is>
          <t>손상차손</t>
        </is>
      </c>
      <c r="S187" s="20" t="n">
        <v>0</v>
      </c>
      <c r="T187" s="20" t="n">
        <v>1351</v>
      </c>
      <c r="U187" s="20" t="n">
        <v>0</v>
      </c>
    </row>
    <row r="188">
      <c r="A188" s="18" t="inlineStr">
        <is>
          <t>영업권 상각</t>
        </is>
      </c>
      <c r="O188" s="20" t="n">
        <v>102</v>
      </c>
      <c r="P188" s="20" t="n">
        <v>0</v>
      </c>
      <c r="Q188" s="20" t="n">
        <v>26</v>
      </c>
      <c r="R188" s="20" t="n">
        <v>35</v>
      </c>
      <c r="S188" s="20" t="n">
        <v>35</v>
      </c>
      <c r="T188" s="20" t="n">
        <v>59</v>
      </c>
    </row>
    <row r="189">
      <c r="A189" s="18" t="inlineStr">
        <is>
          <t>부의 영업권 발생이익</t>
        </is>
      </c>
      <c r="O189" s="20" t="n">
        <v>0</v>
      </c>
      <c r="P189" s="20" t="n">
        <v>-46</v>
      </c>
      <c r="Q189" s="20" t="n">
        <v>0</v>
      </c>
    </row>
    <row r="190">
      <c r="A190" s="18" t="inlineStr">
        <is>
          <t>대손충당금 증감</t>
        </is>
      </c>
      <c r="C190" s="20" t="n">
        <v>357</v>
      </c>
      <c r="D190" s="20" t="n">
        <v>341</v>
      </c>
      <c r="E190" s="20" t="n">
        <v>366</v>
      </c>
      <c r="I190" s="20" t="n">
        <v>-297</v>
      </c>
      <c r="M190" s="20" t="n">
        <v>10</v>
      </c>
      <c r="U190" s="20" t="n">
        <v>-7</v>
      </c>
      <c r="V190" s="20" t="n">
        <v>366</v>
      </c>
      <c r="W190" s="20" t="n">
        <v>-297</v>
      </c>
      <c r="X190" s="20" t="n">
        <v>10</v>
      </c>
    </row>
    <row r="191">
      <c r="A191" s="18" t="inlineStr">
        <is>
          <t>상여충당금 증감</t>
        </is>
      </c>
      <c r="C191" s="20" t="n">
        <v>-447</v>
      </c>
      <c r="D191" s="20" t="n">
        <v>-1544</v>
      </c>
      <c r="E191" s="20" t="n">
        <v>-317</v>
      </c>
      <c r="F191" s="20" t="n">
        <v>-1555</v>
      </c>
      <c r="G191" s="20" t="n">
        <v>-592</v>
      </c>
      <c r="H191" s="20" t="n">
        <v>-1312</v>
      </c>
      <c r="I191" s="20" t="n">
        <v>-294</v>
      </c>
      <c r="J191" s="20" t="n">
        <v>-1385</v>
      </c>
      <c r="K191" s="20" t="n">
        <v>-636</v>
      </c>
      <c r="L191" s="20" t="n">
        <v>-1109</v>
      </c>
      <c r="M191" s="20" t="n">
        <v>167</v>
      </c>
      <c r="N191" s="20" t="n">
        <v>-1415</v>
      </c>
      <c r="O191" s="20" t="n">
        <v>116</v>
      </c>
      <c r="P191" s="20" t="n">
        <v>361</v>
      </c>
      <c r="Q191" s="20" t="n">
        <v>178</v>
      </c>
      <c r="R191" s="20" t="n">
        <v>-205</v>
      </c>
      <c r="S191" s="20" t="n">
        <v>451</v>
      </c>
      <c r="T191" s="20" t="n">
        <v>111</v>
      </c>
      <c r="U191" s="20" t="n">
        <v>913</v>
      </c>
      <c r="V191" s="20" t="n">
        <v>-317</v>
      </c>
      <c r="W191" s="20" t="n">
        <v>-294</v>
      </c>
      <c r="X191" s="20" t="n">
        <v>167</v>
      </c>
    </row>
    <row r="192">
      <c r="A192" s="18" t="inlineStr">
        <is>
          <t>퇴직급여부채 증감</t>
        </is>
      </c>
      <c r="C192" s="20" t="n">
        <v>-97</v>
      </c>
      <c r="D192" s="20" t="n">
        <v>-259</v>
      </c>
      <c r="E192" s="20" t="n">
        <v>-141</v>
      </c>
      <c r="F192" s="20" t="n">
        <v>-123</v>
      </c>
      <c r="G192" s="20" t="n">
        <v>-39</v>
      </c>
      <c r="H192" s="20" t="n">
        <v>-154</v>
      </c>
      <c r="I192" s="20" t="n">
        <v>-75</v>
      </c>
      <c r="J192" s="20" t="n">
        <v>-126</v>
      </c>
      <c r="K192" s="20" t="n">
        <v>-69</v>
      </c>
      <c r="L192" s="20" t="n">
        <v>-159</v>
      </c>
      <c r="M192" s="20" t="n">
        <v>-80</v>
      </c>
      <c r="N192" s="20" t="n">
        <v>-171</v>
      </c>
      <c r="O192" s="20" t="n">
        <v>213</v>
      </c>
      <c r="P192" s="20" t="n">
        <v>266</v>
      </c>
      <c r="Q192" s="20" t="n">
        <v>270</v>
      </c>
      <c r="R192" s="20" t="n">
        <v>247</v>
      </c>
      <c r="S192" s="20" t="n">
        <v>123</v>
      </c>
      <c r="T192" s="20" t="n">
        <v>-14</v>
      </c>
      <c r="U192" s="20" t="n">
        <v>-381</v>
      </c>
      <c r="V192" s="20" t="n">
        <v>-141</v>
      </c>
      <c r="W192" s="20" t="n">
        <v>-75</v>
      </c>
      <c r="X192" s="20" t="n">
        <v>-80</v>
      </c>
    </row>
    <row r="193">
      <c r="A193" s="18" t="inlineStr">
        <is>
          <t>종업원 주식보상 충당금 증감액</t>
        </is>
      </c>
      <c r="C193" s="20" t="n">
        <v>136</v>
      </c>
      <c r="D193" s="20" t="n">
        <v>215</v>
      </c>
      <c r="E193" s="20" t="n">
        <v>286</v>
      </c>
      <c r="U193" s="20" t="n">
        <v>230</v>
      </c>
      <c r="V193" s="20" t="n">
        <v>286</v>
      </c>
    </row>
    <row r="194">
      <c r="A194" s="18" t="inlineStr">
        <is>
          <t>임원 주식보상 충당금 증감액</t>
        </is>
      </c>
      <c r="C194" s="20" t="n">
        <v>101</v>
      </c>
      <c r="D194" s="20" t="n">
        <v>157</v>
      </c>
      <c r="E194" s="20" t="n">
        <v>219</v>
      </c>
      <c r="U194" s="20" t="n">
        <v>206</v>
      </c>
      <c r="V194" s="20" t="n">
        <v>219</v>
      </c>
    </row>
    <row r="195">
      <c r="A195" s="18" t="inlineStr">
        <is>
          <t>이자비용</t>
        </is>
      </c>
      <c r="C195" s="20" t="n">
        <v>122</v>
      </c>
      <c r="D195" s="20" t="n">
        <v>177</v>
      </c>
      <c r="E195" s="20" t="n">
        <v>228</v>
      </c>
      <c r="F195" s="20" t="n">
        <v>70</v>
      </c>
      <c r="G195" s="20" t="n">
        <v>138</v>
      </c>
      <c r="H195" s="20" t="n">
        <v>207</v>
      </c>
      <c r="I195" s="20" t="n">
        <v>274</v>
      </c>
      <c r="J195" s="20" t="n">
        <v>53</v>
      </c>
      <c r="K195" s="20" t="n">
        <v>106</v>
      </c>
      <c r="L195" s="20" t="n">
        <v>159</v>
      </c>
      <c r="M195" s="20" t="n">
        <v>222</v>
      </c>
      <c r="N195" s="20" t="n">
        <v>76</v>
      </c>
      <c r="O195" s="20" t="n">
        <v>111</v>
      </c>
      <c r="P195" s="20" t="n">
        <v>148</v>
      </c>
      <c r="Q195" s="20" t="n">
        <v>182</v>
      </c>
      <c r="R195" s="20" t="n">
        <v>103</v>
      </c>
      <c r="S195" s="20" t="n">
        <v>81</v>
      </c>
      <c r="T195" s="20" t="n">
        <v>79</v>
      </c>
      <c r="U195" s="20" t="n">
        <v>171</v>
      </c>
      <c r="V195" s="20" t="n">
        <v>228</v>
      </c>
      <c r="W195" s="20" t="n">
        <v>274</v>
      </c>
      <c r="X195" s="20" t="n">
        <v>222</v>
      </c>
    </row>
    <row r="196">
      <c r="A196" s="18" t="inlineStr">
        <is>
          <t>지분법손익</t>
        </is>
      </c>
      <c r="E196" s="20" t="n">
        <v>-166</v>
      </c>
      <c r="I196" s="20" t="n">
        <v>-240</v>
      </c>
      <c r="M196" s="20" t="n">
        <v>-73</v>
      </c>
      <c r="T196" s="20" t="n">
        <v>-66</v>
      </c>
      <c r="U196" s="20" t="n">
        <v>-149</v>
      </c>
      <c r="V196" s="20" t="n">
        <v>-166</v>
      </c>
      <c r="W196" s="20" t="n">
        <v>-240</v>
      </c>
      <c r="X196" s="20" t="n">
        <v>-73</v>
      </c>
    </row>
    <row r="197">
      <c r="A197" s="18" t="inlineStr">
        <is>
          <t>외환차손익</t>
        </is>
      </c>
      <c r="C197" s="20" t="n">
        <v>999</v>
      </c>
      <c r="D197" s="20" t="n">
        <v>-367</v>
      </c>
      <c r="E197" s="20" t="n">
        <v>916</v>
      </c>
      <c r="F197" s="20" t="n">
        <v>23</v>
      </c>
      <c r="G197" s="20" t="n">
        <v>-2098</v>
      </c>
      <c r="H197" s="20" t="n">
        <v>495</v>
      </c>
      <c r="I197" s="20" t="n">
        <v>-1276</v>
      </c>
      <c r="J197" s="20" t="n">
        <v>-68</v>
      </c>
      <c r="K197" s="20" t="n">
        <v>709</v>
      </c>
      <c r="L197" s="20" t="n">
        <v>1232</v>
      </c>
      <c r="M197" s="20" t="n">
        <v>940</v>
      </c>
      <c r="N197" s="20" t="n">
        <v>-453</v>
      </c>
      <c r="O197" s="20" t="n">
        <v>521</v>
      </c>
      <c r="P197" s="20" t="n">
        <v>-682</v>
      </c>
      <c r="Q197" s="20" t="n">
        <v>668</v>
      </c>
      <c r="R197" s="20" t="n">
        <v>8</v>
      </c>
      <c r="S197" s="20" t="n">
        <v>494</v>
      </c>
      <c r="T197" s="20" t="n">
        <v>222</v>
      </c>
      <c r="U197" s="20" t="n">
        <v>-702</v>
      </c>
      <c r="V197" s="20" t="n">
        <v>916</v>
      </c>
      <c r="W197" s="20" t="n">
        <v>-1276</v>
      </c>
      <c r="X197" s="20" t="n">
        <v>940</v>
      </c>
    </row>
    <row r="198">
      <c r="A198" s="18" t="inlineStr">
        <is>
          <t>투자유가증권 평가손실</t>
        </is>
      </c>
      <c r="O198" s="20" t="n">
        <v>0</v>
      </c>
      <c r="P198" s="20" t="n">
        <v>180</v>
      </c>
      <c r="Q198" s="20" t="n">
        <v>20</v>
      </c>
      <c r="R198" s="20" t="n">
        <v>0</v>
      </c>
    </row>
    <row r="199">
      <c r="A199" s="18" t="inlineStr">
        <is>
          <t>퇴직급여제도 개정손실</t>
        </is>
      </c>
      <c r="Q199" s="20" t="n">
        <v>0</v>
      </c>
      <c r="R199" s="20" t="n">
        <v>313</v>
      </c>
      <c r="S199" s="20" t="n">
        <v>0</v>
      </c>
    </row>
    <row r="200">
      <c r="A200" s="18" t="inlineStr">
        <is>
          <t>관계회사 출자금 매각손익</t>
        </is>
      </c>
      <c r="S200" s="20" t="n">
        <v>0</v>
      </c>
      <c r="T200" s="20" t="n">
        <v>-31</v>
      </c>
    </row>
    <row r="201">
      <c r="A201" s="18" t="inlineStr">
        <is>
          <t>고정자산 수증이익</t>
        </is>
      </c>
      <c r="S201" s="20" t="n">
        <v>0</v>
      </c>
      <c r="T201" s="20" t="n">
        <v>-2028</v>
      </c>
      <c r="U201" s="20" t="n">
        <v>0</v>
      </c>
    </row>
    <row r="202">
      <c r="A202" s="18" t="inlineStr">
        <is>
          <t>지분변동손익</t>
        </is>
      </c>
      <c r="R202" s="20" t="n">
        <v>0</v>
      </c>
      <c r="S202" s="20" t="n">
        <v>19</v>
      </c>
      <c r="T202" s="20" t="n">
        <v>0</v>
      </c>
    </row>
    <row r="203">
      <c r="A203" s="18" t="inlineStr">
        <is>
          <t>매출채권 증감</t>
        </is>
      </c>
      <c r="O203" s="20" t="n">
        <v>-9250</v>
      </c>
      <c r="P203" s="20" t="n">
        <v>-5180</v>
      </c>
      <c r="Q203" s="20" t="n">
        <v>8816</v>
      </c>
      <c r="R203" s="20" t="n">
        <v>1311</v>
      </c>
      <c r="S203" s="20" t="n">
        <v>-6796</v>
      </c>
    </row>
    <row r="204">
      <c r="A204" s="18" t="inlineStr">
        <is>
          <t>신탁종료손실 충당금 전입액</t>
        </is>
      </c>
      <c r="S204" s="20" t="n">
        <v>0</v>
      </c>
      <c r="T204" s="20" t="n">
        <v>112</v>
      </c>
      <c r="U204" s="20" t="n">
        <v>0</v>
      </c>
    </row>
    <row r="205">
      <c r="A205" s="18" t="inlineStr">
        <is>
          <t>수취 손해배상금</t>
        </is>
      </c>
      <c r="D205" s="20" t="n">
        <v>-91</v>
      </c>
      <c r="E205" s="20" t="n">
        <v>-91</v>
      </c>
      <c r="H205" s="20" t="n">
        <v>0</v>
      </c>
      <c r="I205" s="20" t="n">
        <v>0</v>
      </c>
      <c r="U205" s="20" t="n">
        <v>0</v>
      </c>
      <c r="V205" s="20" t="n">
        <v>-91</v>
      </c>
      <c r="W205" s="20" t="n">
        <v>0</v>
      </c>
    </row>
    <row r="206">
      <c r="A206" s="18" t="inlineStr">
        <is>
          <t>매출채권·계약자산 증감</t>
        </is>
      </c>
      <c r="C206" s="20" t="n">
        <v>5494</v>
      </c>
      <c r="D206" s="20" t="n">
        <v>7772</v>
      </c>
      <c r="S206" s="20" t="n">
        <v>-6796</v>
      </c>
      <c r="T206" s="20" t="n">
        <v>-7786</v>
      </c>
      <c r="U206" s="20" t="n">
        <v>-11203</v>
      </c>
    </row>
    <row r="207">
      <c r="A207" s="18" t="inlineStr">
        <is>
          <t>투자유가증권 매각손익</t>
        </is>
      </c>
      <c r="H207" s="20" t="n">
        <v>0</v>
      </c>
      <c r="I207" s="20" t="n">
        <v>0</v>
      </c>
      <c r="L207" s="20" t="n">
        <v>-1066</v>
      </c>
      <c r="M207" s="20" t="n">
        <v>-1076</v>
      </c>
      <c r="P207" s="20" t="n">
        <v>0</v>
      </c>
      <c r="Q207" s="20" t="n">
        <v>-207</v>
      </c>
      <c r="R207" s="20" t="n">
        <v>0</v>
      </c>
      <c r="W207" s="20" t="n">
        <v>0</v>
      </c>
      <c r="X207" s="20" t="n">
        <v>-1076</v>
      </c>
    </row>
    <row r="208">
      <c r="A208" s="18" t="inlineStr">
        <is>
          <t>매출채권·계약자산 증감</t>
        </is>
      </c>
      <c r="C208" s="20" t="n">
        <v>5494</v>
      </c>
      <c r="D208" s="20" t="n">
        <v>7772</v>
      </c>
      <c r="E208" s="20" t="n">
        <v>2127</v>
      </c>
      <c r="F208" s="20" t="n">
        <v>5897</v>
      </c>
      <c r="G208" s="20" t="n">
        <v>9248</v>
      </c>
      <c r="H208" s="20" t="n">
        <v>10764</v>
      </c>
      <c r="I208" s="20" t="n">
        <v>9530</v>
      </c>
      <c r="J208" s="20" t="n">
        <v>7338</v>
      </c>
      <c r="K208" s="20" t="n">
        <v>1355</v>
      </c>
      <c r="L208" s="20" t="n">
        <v>-4266</v>
      </c>
      <c r="M208" s="20" t="n">
        <v>-5626</v>
      </c>
      <c r="N208" s="20" t="n">
        <v>-1900</v>
      </c>
      <c r="U208" s="20" t="n">
        <v>-11203</v>
      </c>
      <c r="V208" s="20" t="n">
        <v>2127</v>
      </c>
      <c r="W208" s="20" t="n">
        <v>9530</v>
      </c>
      <c r="X208" s="20" t="n">
        <v>-5626</v>
      </c>
    </row>
    <row r="209">
      <c r="A209" s="18" t="inlineStr">
        <is>
          <t>재고자산 증감</t>
        </is>
      </c>
      <c r="C209" s="20" t="n">
        <v>-7728</v>
      </c>
      <c r="D209" s="20" t="n">
        <v>-12598</v>
      </c>
      <c r="E209" s="20" t="n">
        <v>-12468</v>
      </c>
      <c r="F209" s="20" t="n">
        <v>-5035</v>
      </c>
      <c r="G209" s="20" t="n">
        <v>-5975</v>
      </c>
      <c r="H209" s="20" t="n">
        <v>-4397</v>
      </c>
      <c r="I209" s="20" t="n">
        <v>3768</v>
      </c>
      <c r="J209" s="20" t="n">
        <v>3214</v>
      </c>
      <c r="K209" s="20" t="n">
        <v>2426</v>
      </c>
      <c r="L209" s="20" t="n">
        <v>4802</v>
      </c>
      <c r="M209" s="20" t="n">
        <v>4371</v>
      </c>
      <c r="N209" s="20" t="n">
        <v>-815</v>
      </c>
      <c r="O209" s="20" t="n">
        <v>-1054</v>
      </c>
      <c r="P209" s="20" t="n">
        <v>-3302</v>
      </c>
      <c r="Q209" s="20" t="n">
        <v>1760</v>
      </c>
      <c r="R209" s="20" t="n">
        <v>2664</v>
      </c>
      <c r="S209" s="20" t="n">
        <v>-3476</v>
      </c>
      <c r="T209" s="20" t="n">
        <v>-2147</v>
      </c>
      <c r="U209" s="20" t="n">
        <v>-15521</v>
      </c>
      <c r="V209" s="20" t="n">
        <v>-12468</v>
      </c>
      <c r="W209" s="20" t="n">
        <v>3768</v>
      </c>
      <c r="X209" s="20" t="n">
        <v>4371</v>
      </c>
    </row>
    <row r="210">
      <c r="A210" s="18" t="inlineStr">
        <is>
          <t>매입채무 증감</t>
        </is>
      </c>
      <c r="C210" s="20" t="n">
        <v>-2723</v>
      </c>
      <c r="D210" s="20" t="n">
        <v>-2245</v>
      </c>
      <c r="E210" s="20" t="n">
        <v>2345</v>
      </c>
      <c r="F210" s="20" t="n">
        <v>862</v>
      </c>
      <c r="G210" s="20" t="n">
        <v>-3663</v>
      </c>
      <c r="H210" s="20" t="n">
        <v>-3906</v>
      </c>
      <c r="I210" s="20" t="n">
        <v>-3343</v>
      </c>
      <c r="J210" s="20" t="n">
        <v>-1395</v>
      </c>
      <c r="K210" s="20" t="n">
        <v>-1573</v>
      </c>
      <c r="L210" s="20" t="n">
        <v>1392</v>
      </c>
      <c r="M210" s="20" t="n">
        <v>4017</v>
      </c>
      <c r="N210" s="20" t="n">
        <v>-1911</v>
      </c>
      <c r="O210" s="20" t="n">
        <v>2428</v>
      </c>
      <c r="P210" s="20" t="n">
        <v>-863</v>
      </c>
      <c r="Q210" s="20" t="n">
        <v>-2353</v>
      </c>
      <c r="R210" s="20" t="n">
        <v>1396</v>
      </c>
      <c r="S210" s="20" t="n">
        <v>1182</v>
      </c>
      <c r="T210" s="20" t="n">
        <v>4157</v>
      </c>
      <c r="U210" s="20" t="n">
        <v>4716</v>
      </c>
      <c r="V210" s="20" t="n">
        <v>2345</v>
      </c>
      <c r="W210" s="20" t="n">
        <v>-3343</v>
      </c>
      <c r="X210" s="20" t="n">
        <v>4017</v>
      </c>
    </row>
    <row r="211">
      <c r="A211" s="18" t="inlineStr">
        <is>
          <t>미지급금 증감</t>
        </is>
      </c>
      <c r="C211" s="20" t="n">
        <v>155</v>
      </c>
      <c r="D211" s="20" t="n">
        <v>263</v>
      </c>
      <c r="E211" s="20" t="n">
        <v>143</v>
      </c>
      <c r="F211" s="20" t="n">
        <v>258</v>
      </c>
      <c r="G211" s="20" t="n">
        <v>828</v>
      </c>
      <c r="H211" s="20" t="n">
        <v>190</v>
      </c>
      <c r="I211" s="20" t="n">
        <v>-0</v>
      </c>
      <c r="J211" s="20" t="n">
        <v>147</v>
      </c>
      <c r="K211" s="20" t="n">
        <v>-160</v>
      </c>
      <c r="L211" s="20" t="n">
        <v>89</v>
      </c>
      <c r="M211" s="20" t="n">
        <v>-103</v>
      </c>
      <c r="N211" s="20" t="n">
        <v>414</v>
      </c>
      <c r="O211" s="20" t="n">
        <v>-53</v>
      </c>
      <c r="P211" s="20" t="n">
        <v>24</v>
      </c>
      <c r="Q211" s="20" t="n">
        <v>-129</v>
      </c>
      <c r="R211" s="20" t="n">
        <v>-124</v>
      </c>
      <c r="S211" s="20" t="n">
        <v>273</v>
      </c>
      <c r="T211" s="20" t="n">
        <v>-8</v>
      </c>
      <c r="U211" s="20" t="n">
        <v>-159</v>
      </c>
      <c r="V211" s="20" t="n">
        <v>143</v>
      </c>
      <c r="W211" s="20" t="n">
        <v>-0</v>
      </c>
      <c r="X211" s="20" t="n">
        <v>-103</v>
      </c>
    </row>
    <row r="212">
      <c r="A212" s="18" t="inlineStr">
        <is>
          <t>미지급비용 증감</t>
        </is>
      </c>
      <c r="E212" s="20" t="n">
        <v>-2</v>
      </c>
      <c r="G212" s="20" t="n">
        <v>17</v>
      </c>
      <c r="H212" s="20" t="n">
        <v>94</v>
      </c>
      <c r="I212" s="20" t="n">
        <v>403</v>
      </c>
      <c r="J212" s="20" t="n">
        <v>59</v>
      </c>
      <c r="K212" s="20" t="n">
        <v>290</v>
      </c>
      <c r="L212" s="20" t="n">
        <v>186</v>
      </c>
      <c r="M212" s="20" t="n">
        <v>267</v>
      </c>
      <c r="N212" s="20" t="n">
        <v>-102</v>
      </c>
      <c r="V212" s="20" t="n">
        <v>-2</v>
      </c>
      <c r="W212" s="20" t="n">
        <v>403</v>
      </c>
      <c r="X212" s="20" t="n">
        <v>267</v>
      </c>
    </row>
    <row r="213">
      <c r="A213" s="18" t="inlineStr">
        <is>
          <t>예수금 증감</t>
        </is>
      </c>
      <c r="E213" s="20" t="n">
        <v>0</v>
      </c>
      <c r="F213" s="20" t="n">
        <v>584</v>
      </c>
      <c r="G213" s="20" t="n">
        <v>0</v>
      </c>
      <c r="H213" s="20" t="n">
        <v>372</v>
      </c>
      <c r="I213" s="20" t="n">
        <v>1491</v>
      </c>
      <c r="J213" s="20" t="n">
        <v>-576</v>
      </c>
      <c r="K213" s="20" t="n">
        <v>-1493</v>
      </c>
      <c r="L213" s="20" t="n">
        <v>-1182</v>
      </c>
      <c r="M213" s="20" t="n">
        <v>-1445</v>
      </c>
      <c r="N213" s="20" t="n">
        <v>705</v>
      </c>
      <c r="V213" s="20" t="n">
        <v>0</v>
      </c>
      <c r="W213" s="20" t="n">
        <v>1491</v>
      </c>
      <c r="X213" s="20" t="n">
        <v>-1445</v>
      </c>
    </row>
    <row r="214">
      <c r="A214" s="18" t="inlineStr">
        <is>
          <t>선수금 증감</t>
        </is>
      </c>
      <c r="C214" s="20" t="n">
        <v>2327</v>
      </c>
      <c r="D214" s="20" t="n">
        <v>2293</v>
      </c>
      <c r="E214" s="20" t="n">
        <v>1991</v>
      </c>
      <c r="F214" s="20" t="n">
        <v>2869</v>
      </c>
      <c r="G214" s="20" t="n">
        <v>4315</v>
      </c>
      <c r="H214" s="20" t="n">
        <v>5904</v>
      </c>
      <c r="I214" s="20" t="n">
        <v>5880</v>
      </c>
      <c r="J214" s="20" t="n">
        <v>1952</v>
      </c>
      <c r="K214" s="20" t="n">
        <v>6364</v>
      </c>
      <c r="L214" s="20" t="n">
        <v>8017</v>
      </c>
      <c r="M214" s="20" t="n">
        <v>9592</v>
      </c>
      <c r="N214" s="20" t="n">
        <v>165</v>
      </c>
      <c r="O214" s="20" t="n">
        <v>446</v>
      </c>
      <c r="P214" s="20" t="n">
        <v>589</v>
      </c>
      <c r="Q214" s="20" t="n">
        <v>652</v>
      </c>
      <c r="R214" s="20" t="n">
        <v>1769</v>
      </c>
      <c r="S214" s="20" t="n">
        <v>2512</v>
      </c>
      <c r="T214" s="20" t="n">
        <v>3459</v>
      </c>
      <c r="U214" s="20" t="n">
        <v>6594</v>
      </c>
      <c r="V214" s="20" t="n">
        <v>1991</v>
      </c>
      <c r="W214" s="20" t="n">
        <v>5880</v>
      </c>
      <c r="X214" s="20" t="n">
        <v>9592</v>
      </c>
    </row>
    <row r="215">
      <c r="A215" s="18" t="inlineStr">
        <is>
          <t>미수 소비세 증감</t>
        </is>
      </c>
      <c r="C215" s="20" t="n">
        <v>1275</v>
      </c>
      <c r="D215" s="20" t="n">
        <v>-2</v>
      </c>
      <c r="E215" s="20" t="n">
        <v>-760</v>
      </c>
      <c r="F215" s="20" t="n">
        <v>3545</v>
      </c>
      <c r="G215" s="20" t="n">
        <v>2021</v>
      </c>
      <c r="H215" s="20" t="n">
        <v>1203</v>
      </c>
      <c r="I215" s="20" t="n">
        <v>824</v>
      </c>
      <c r="J215" s="20" t="n">
        <v>3341</v>
      </c>
      <c r="K215" s="20" t="n">
        <v>2511</v>
      </c>
      <c r="L215" s="20" t="n">
        <v>2526</v>
      </c>
      <c r="M215" s="20" t="n">
        <v>2410</v>
      </c>
      <c r="N215" s="20" t="n">
        <v>1116</v>
      </c>
      <c r="O215" s="20" t="n">
        <v>-222</v>
      </c>
      <c r="P215" s="20" t="n">
        <v>-356</v>
      </c>
      <c r="Q215" s="20" t="n">
        <v>579</v>
      </c>
      <c r="R215" s="20" t="n">
        <v>-354</v>
      </c>
      <c r="S215" s="20" t="n">
        <v>-844</v>
      </c>
      <c r="T215" s="20" t="n">
        <v>-492</v>
      </c>
      <c r="U215" s="20" t="n">
        <v>-1198</v>
      </c>
      <c r="V215" s="20" t="n">
        <v>-760</v>
      </c>
      <c r="W215" s="20" t="n">
        <v>824</v>
      </c>
      <c r="X215" s="20" t="n">
        <v>2410</v>
      </c>
    </row>
    <row r="216">
      <c r="A216" s="18" t="inlineStr">
        <is>
          <t>미수금 증감</t>
        </is>
      </c>
      <c r="C216" s="20" t="n">
        <v>75</v>
      </c>
      <c r="D216" s="20" t="n">
        <v>-112</v>
      </c>
      <c r="E216" s="20" t="n">
        <v>-1561</v>
      </c>
      <c r="F216" s="20" t="n">
        <v>311</v>
      </c>
      <c r="G216" s="20" t="n">
        <v>1597</v>
      </c>
      <c r="H216" s="20" t="n">
        <v>1094</v>
      </c>
      <c r="I216" s="20" t="n">
        <v>1647</v>
      </c>
      <c r="J216" s="20" t="n">
        <v>-826</v>
      </c>
      <c r="K216" s="20" t="n">
        <v>-610</v>
      </c>
      <c r="L216" s="20" t="n">
        <v>-1832</v>
      </c>
      <c r="M216" s="20" t="n">
        <v>-1307</v>
      </c>
      <c r="N216" s="20" t="n">
        <v>-120</v>
      </c>
      <c r="O216" s="20" t="n">
        <v>215</v>
      </c>
      <c r="P216" s="20" t="n">
        <v>-889</v>
      </c>
      <c r="Q216" s="20" t="n">
        <v>787</v>
      </c>
      <c r="R216" s="20" t="n">
        <v>74</v>
      </c>
      <c r="S216" s="20" t="n">
        <v>-65</v>
      </c>
      <c r="T216" s="20" t="n">
        <v>71</v>
      </c>
      <c r="U216" s="20" t="n">
        <v>100</v>
      </c>
      <c r="V216" s="20" t="n">
        <v>-1561</v>
      </c>
      <c r="W216" s="20" t="n">
        <v>1647</v>
      </c>
      <c r="X216" s="20" t="n">
        <v>-1307</v>
      </c>
    </row>
    <row r="217">
      <c r="A217" s="18" t="inlineStr">
        <is>
          <t>선급금 증감</t>
        </is>
      </c>
      <c r="C217" s="20" t="n">
        <v>125</v>
      </c>
      <c r="D217" s="20" t="n">
        <v>129</v>
      </c>
      <c r="E217" s="20" t="n">
        <v>132</v>
      </c>
      <c r="S217" s="20" t="n">
        <v>6</v>
      </c>
      <c r="T217" s="20" t="n">
        <v>-712</v>
      </c>
      <c r="U217" s="20" t="n">
        <v>577</v>
      </c>
      <c r="V217" s="20" t="n">
        <v>132</v>
      </c>
    </row>
    <row r="218">
      <c r="A218" s="18" t="inlineStr">
        <is>
          <t>선급비용 증감</t>
        </is>
      </c>
      <c r="C218" s="20" t="n">
        <v>80</v>
      </c>
      <c r="D218" s="20" t="n">
        <v>181</v>
      </c>
      <c r="E218" s="20" t="n">
        <v>-2082</v>
      </c>
      <c r="F218" s="20" t="n">
        <v>-2717</v>
      </c>
      <c r="G218" s="20" t="n">
        <v>-4199</v>
      </c>
      <c r="H218" s="20" t="n">
        <v>-4365</v>
      </c>
      <c r="I218" s="20" t="n">
        <v>-6534</v>
      </c>
      <c r="J218" s="20" t="n">
        <v>-2404</v>
      </c>
      <c r="K218" s="20" t="n">
        <v>-4268</v>
      </c>
      <c r="L218" s="20" t="n">
        <v>-5595</v>
      </c>
      <c r="M218" s="20" t="n">
        <v>-6344</v>
      </c>
      <c r="N218" s="20" t="n">
        <v>-1489</v>
      </c>
      <c r="O218" s="20" t="n">
        <v>-148</v>
      </c>
      <c r="P218" s="20" t="n">
        <v>-471</v>
      </c>
      <c r="Q218" s="20" t="n">
        <v>-675</v>
      </c>
      <c r="R218" s="20" t="n">
        <v>-1421</v>
      </c>
      <c r="S218" s="20" t="n">
        <v>-1427</v>
      </c>
      <c r="T218" s="20" t="n">
        <v>-3553</v>
      </c>
      <c r="U218" s="20" t="n">
        <v>-5599</v>
      </c>
      <c r="V218" s="20" t="n">
        <v>-2082</v>
      </c>
      <c r="W218" s="20" t="n">
        <v>-6534</v>
      </c>
      <c r="X218" s="20" t="n">
        <v>-6344</v>
      </c>
    </row>
    <row r="219">
      <c r="A219" s="18" t="inlineStr">
        <is>
          <t>기타</t>
        </is>
      </c>
      <c r="C219" s="20" t="n">
        <v>-474</v>
      </c>
      <c r="D219" s="20" t="n">
        <v>379</v>
      </c>
      <c r="E219" s="20" t="n">
        <v>-238</v>
      </c>
      <c r="F219" s="20" t="n">
        <v>-988</v>
      </c>
      <c r="G219" s="20" t="n">
        <v>-99</v>
      </c>
      <c r="H219" s="20" t="n">
        <v>-821</v>
      </c>
      <c r="I219" s="20" t="n">
        <v>-1681</v>
      </c>
      <c r="J219" s="20" t="n">
        <v>-190</v>
      </c>
      <c r="K219" s="20" t="n">
        <v>-124</v>
      </c>
      <c r="L219" s="20" t="n">
        <v>-471</v>
      </c>
      <c r="M219" s="20" t="n">
        <v>-403</v>
      </c>
      <c r="N219" s="20" t="n">
        <v>-291</v>
      </c>
      <c r="O219" s="20" t="n">
        <v>220</v>
      </c>
      <c r="P219" s="20" t="n">
        <v>88</v>
      </c>
      <c r="Q219" s="20" t="n">
        <v>-275</v>
      </c>
      <c r="R219" s="20" t="n">
        <v>177</v>
      </c>
      <c r="S219" s="20" t="n">
        <v>-127</v>
      </c>
      <c r="T219" s="20" t="n">
        <v>-388</v>
      </c>
      <c r="U219" s="20" t="n">
        <v>-615</v>
      </c>
      <c r="V219" s="20" t="n">
        <v>-238</v>
      </c>
      <c r="W219" s="20" t="n">
        <v>-1681</v>
      </c>
      <c r="X219" s="20" t="n">
        <v>-403</v>
      </c>
    </row>
    <row r="220">
      <c r="A220" s="18" t="inlineStr">
        <is>
          <t>소계</t>
        </is>
      </c>
      <c r="C220" s="20" t="n">
        <v>5591</v>
      </c>
      <c r="D220" s="20" t="n">
        <v>4039</v>
      </c>
      <c r="E220" s="20" t="n">
        <v>4940</v>
      </c>
      <c r="F220" s="20" t="n">
        <v>7861</v>
      </c>
      <c r="G220" s="20" t="n">
        <v>8119</v>
      </c>
      <c r="H220" s="20" t="n">
        <v>14054</v>
      </c>
      <c r="I220" s="20" t="n">
        <v>22546</v>
      </c>
      <c r="J220" s="20" t="n">
        <v>11114</v>
      </c>
      <c r="K220" s="20" t="n">
        <v>9025</v>
      </c>
      <c r="L220" s="20" t="n">
        <v>10620</v>
      </c>
      <c r="M220" s="20" t="n">
        <v>17500</v>
      </c>
      <c r="N220" s="20" t="n">
        <v>-2030</v>
      </c>
      <c r="O220" s="20" t="n">
        <v>-4431</v>
      </c>
      <c r="P220" s="20" t="n">
        <v>-7089</v>
      </c>
      <c r="Q220" s="20" t="n">
        <v>14042</v>
      </c>
      <c r="R220" s="20" t="n">
        <v>9826</v>
      </c>
      <c r="S220" s="20" t="n">
        <v>-2388</v>
      </c>
      <c r="T220" s="20" t="n">
        <v>950</v>
      </c>
      <c r="U220" s="20" t="n">
        <v>-8999</v>
      </c>
      <c r="V220" s="20" t="n">
        <v>4940</v>
      </c>
      <c r="W220" s="20" t="n">
        <v>22546</v>
      </c>
      <c r="X220" s="20" t="n">
        <v>17500</v>
      </c>
    </row>
    <row r="221">
      <c r="A221" s="18" t="inlineStr">
        <is>
          <t>이자·배당금 수취</t>
        </is>
      </c>
      <c r="C221" s="20" t="n">
        <v>56</v>
      </c>
      <c r="D221" s="20" t="n">
        <v>248</v>
      </c>
      <c r="E221" s="20" t="n">
        <v>272</v>
      </c>
      <c r="F221" s="20" t="n">
        <v>47</v>
      </c>
      <c r="G221" s="20" t="n">
        <v>103</v>
      </c>
      <c r="H221" s="20" t="n">
        <v>152</v>
      </c>
      <c r="I221" s="20" t="n">
        <v>210</v>
      </c>
      <c r="J221" s="20" t="n">
        <v>16</v>
      </c>
      <c r="K221" s="20" t="n">
        <v>47</v>
      </c>
      <c r="L221" s="20" t="n">
        <v>109</v>
      </c>
      <c r="M221" s="20" t="n">
        <v>128</v>
      </c>
      <c r="N221" s="20" t="n">
        <v>6</v>
      </c>
      <c r="O221" s="20" t="n">
        <v>7</v>
      </c>
      <c r="P221" s="20" t="n">
        <v>5</v>
      </c>
      <c r="Q221" s="20" t="n">
        <v>11</v>
      </c>
      <c r="R221" s="20" t="n">
        <v>15</v>
      </c>
      <c r="S221" s="20" t="n">
        <v>19</v>
      </c>
      <c r="T221" s="20" t="n">
        <v>128</v>
      </c>
      <c r="U221" s="20" t="n">
        <v>124</v>
      </c>
      <c r="V221" s="20" t="n">
        <v>272</v>
      </c>
      <c r="W221" s="20" t="n">
        <v>210</v>
      </c>
      <c r="X221" s="20" t="n">
        <v>128</v>
      </c>
    </row>
    <row r="222">
      <c r="A222" s="18" t="inlineStr">
        <is>
          <t>이자 지급</t>
        </is>
      </c>
      <c r="C222" s="20" t="n">
        <v>-122</v>
      </c>
      <c r="D222" s="20" t="n">
        <v>-179</v>
      </c>
      <c r="E222" s="20" t="n">
        <v>-231</v>
      </c>
      <c r="F222" s="20" t="n">
        <v>-74</v>
      </c>
      <c r="G222" s="20" t="n">
        <v>-147</v>
      </c>
      <c r="H222" s="20" t="n">
        <v>-223</v>
      </c>
      <c r="I222" s="20" t="n">
        <v>-299</v>
      </c>
      <c r="J222" s="20" t="n">
        <v>-79</v>
      </c>
      <c r="K222" s="20" t="n">
        <v>-143</v>
      </c>
      <c r="L222" s="20" t="n">
        <v>-216</v>
      </c>
      <c r="M222" s="20" t="n">
        <v>-296</v>
      </c>
      <c r="N222" s="20" t="n">
        <v>-92</v>
      </c>
      <c r="O222" s="20" t="n">
        <v>-111</v>
      </c>
      <c r="P222" s="20" t="n">
        <v>-148</v>
      </c>
      <c r="Q222" s="20" t="n">
        <v>-182</v>
      </c>
      <c r="R222" s="20" t="n">
        <v>-104</v>
      </c>
      <c r="S222" s="20" t="n">
        <v>-82</v>
      </c>
      <c r="T222" s="20" t="n">
        <v>-80</v>
      </c>
      <c r="U222" s="20" t="n">
        <v>-169</v>
      </c>
      <c r="V222" s="20" t="n">
        <v>-231</v>
      </c>
      <c r="W222" s="20" t="n">
        <v>-299</v>
      </c>
      <c r="X222" s="20" t="n">
        <v>-296</v>
      </c>
    </row>
    <row r="223">
      <c r="A223" s="18" t="inlineStr">
        <is>
          <t>손해배상금 수취액</t>
        </is>
      </c>
      <c r="D223" s="20" t="n">
        <v>91</v>
      </c>
      <c r="E223" s="20" t="n">
        <v>91</v>
      </c>
      <c r="H223" s="20" t="n">
        <v>0</v>
      </c>
      <c r="I223" s="20" t="n">
        <v>0</v>
      </c>
      <c r="U223" s="20" t="n">
        <v>0</v>
      </c>
      <c r="V223" s="20" t="n">
        <v>91</v>
      </c>
      <c r="W223" s="20" t="n">
        <v>0</v>
      </c>
    </row>
    <row r="224">
      <c r="A224" s="18" t="inlineStr">
        <is>
          <t>법인세 납부</t>
        </is>
      </c>
      <c r="C224" s="20" t="n">
        <v>-2628</v>
      </c>
      <c r="D224" s="20" t="n">
        <v>-4456</v>
      </c>
      <c r="E224" s="20" t="n">
        <v>-4771</v>
      </c>
      <c r="F224" s="20" t="n">
        <v>-1723</v>
      </c>
      <c r="G224" s="20" t="n">
        <v>-1790</v>
      </c>
      <c r="H224" s="20" t="n">
        <v>-3559</v>
      </c>
      <c r="I224" s="20" t="n">
        <v>-3541</v>
      </c>
      <c r="J224" s="20" t="n">
        <v>-459</v>
      </c>
      <c r="K224" s="20" t="n">
        <v>-477</v>
      </c>
      <c r="L224" s="20" t="n">
        <v>-1601</v>
      </c>
      <c r="M224" s="20" t="n">
        <v>-1648</v>
      </c>
      <c r="N224" s="20" t="n">
        <v>-1847</v>
      </c>
      <c r="O224" s="20" t="n">
        <v>-243</v>
      </c>
      <c r="P224" s="20" t="n">
        <v>-761</v>
      </c>
      <c r="Q224" s="20" t="n">
        <v>-1536</v>
      </c>
      <c r="R224" s="20" t="n">
        <v>-1086</v>
      </c>
      <c r="S224" s="20" t="n">
        <v>-1012</v>
      </c>
      <c r="T224" s="20" t="n">
        <v>-1889</v>
      </c>
      <c r="U224" s="20" t="n">
        <v>-3140</v>
      </c>
      <c r="V224" s="20" t="n">
        <v>-4771</v>
      </c>
      <c r="W224" s="20" t="n">
        <v>-3541</v>
      </c>
      <c r="X224" s="20" t="n">
        <v>-1648</v>
      </c>
    </row>
    <row r="225">
      <c r="A225" s="18" t="inlineStr">
        <is>
          <t>법인세 환급</t>
        </is>
      </c>
      <c r="O225" s="20" t="n">
        <v>93</v>
      </c>
      <c r="P225" s="20" t="n">
        <v>0</v>
      </c>
    </row>
    <row r="226">
      <c r="A226" s="9" t="inlineStr">
        <is>
          <t>영업활동 현금흐름</t>
        </is>
      </c>
      <c r="C226" s="12" t="n">
        <v>2895</v>
      </c>
      <c r="D226" s="12" t="n">
        <v>-257</v>
      </c>
      <c r="E226" s="12" t="n">
        <v>301</v>
      </c>
      <c r="F226" s="12" t="n">
        <v>6111</v>
      </c>
      <c r="G226" s="12" t="n">
        <v>6285</v>
      </c>
      <c r="H226" s="12" t="n">
        <v>10423</v>
      </c>
      <c r="I226" s="12" t="n">
        <v>18915</v>
      </c>
      <c r="J226" s="12" t="n">
        <v>10591</v>
      </c>
      <c r="K226" s="12" t="n">
        <v>8452</v>
      </c>
      <c r="L226" s="12" t="n">
        <v>8911</v>
      </c>
      <c r="M226" s="12" t="n">
        <v>15684</v>
      </c>
      <c r="N226" s="12" t="n">
        <v>-3964</v>
      </c>
      <c r="O226" s="12" t="n">
        <v>-4685</v>
      </c>
      <c r="P226" s="12" t="n">
        <v>-7993</v>
      </c>
      <c r="Q226" s="12" t="n">
        <v>12335</v>
      </c>
      <c r="R226" s="12" t="n">
        <v>8651</v>
      </c>
      <c r="S226" s="12" t="n">
        <v>-3463</v>
      </c>
      <c r="T226" s="12" t="n">
        <v>-891</v>
      </c>
      <c r="U226" s="12" t="n">
        <v>-12185</v>
      </c>
      <c r="V226" s="12" t="n">
        <v>301</v>
      </c>
      <c r="W226" s="12" t="n">
        <v>18915</v>
      </c>
      <c r="X226" s="12" t="n">
        <v>15684</v>
      </c>
    </row>
    <row r="227">
      <c r="A227" s="18" t="inlineStr">
        <is>
          <t>정기예금 순증감</t>
        </is>
      </c>
      <c r="C227" s="20" t="n">
        <v>-7</v>
      </c>
      <c r="D227" s="20" t="n">
        <v>-10</v>
      </c>
      <c r="E227" s="20" t="n">
        <v>-14</v>
      </c>
      <c r="F227" s="20" t="n">
        <v>-3</v>
      </c>
      <c r="G227" s="20" t="n">
        <v>-7</v>
      </c>
      <c r="H227" s="20" t="n">
        <v>109</v>
      </c>
      <c r="I227" s="20" t="n">
        <v>109</v>
      </c>
      <c r="S227" s="20" t="n">
        <v>-15</v>
      </c>
      <c r="T227" s="20" t="n">
        <v>183</v>
      </c>
      <c r="U227" s="20" t="n">
        <v>10</v>
      </c>
      <c r="V227" s="20" t="n">
        <v>-14</v>
      </c>
      <c r="W227" s="20" t="n">
        <v>109</v>
      </c>
    </row>
    <row r="228">
      <c r="A228" s="18" t="inlineStr">
        <is>
          <t>유형자산 취득(설비투자)</t>
        </is>
      </c>
      <c r="C228" s="20" t="n">
        <v>-143</v>
      </c>
      <c r="D228" s="20" t="n">
        <v>-181</v>
      </c>
      <c r="E228" s="20" t="n">
        <v>-304</v>
      </c>
      <c r="F228" s="20" t="n">
        <v>-189</v>
      </c>
      <c r="G228" s="20" t="n">
        <v>-1039</v>
      </c>
      <c r="H228" s="20" t="n">
        <v>-1501</v>
      </c>
      <c r="I228" s="20" t="n">
        <v>-1552</v>
      </c>
      <c r="J228" s="20" t="n">
        <v>-71</v>
      </c>
      <c r="K228" s="20" t="n">
        <v>-115</v>
      </c>
      <c r="L228" s="20" t="n">
        <v>-204</v>
      </c>
      <c r="M228" s="20" t="n">
        <v>-272</v>
      </c>
      <c r="N228" s="20" t="n">
        <v>-31</v>
      </c>
      <c r="O228" s="20" t="n">
        <v>-133</v>
      </c>
      <c r="P228" s="20" t="n">
        <v>-140</v>
      </c>
      <c r="Q228" s="20" t="n">
        <v>-224</v>
      </c>
      <c r="R228" s="20" t="n">
        <v>-488</v>
      </c>
      <c r="S228" s="20" t="n">
        <v>-348</v>
      </c>
      <c r="T228" s="20" t="n">
        <v>-349</v>
      </c>
      <c r="U228" s="20" t="n">
        <v>-176</v>
      </c>
      <c r="V228" s="20" t="n">
        <v>-304</v>
      </c>
      <c r="W228" s="20" t="n">
        <v>-1552</v>
      </c>
      <c r="X228" s="20" t="n">
        <v>-272</v>
      </c>
    </row>
    <row r="229">
      <c r="A229" s="18" t="inlineStr">
        <is>
          <t>유형자산 매각</t>
        </is>
      </c>
      <c r="I229" s="20" t="n">
        <v>0</v>
      </c>
      <c r="M229" s="20" t="n">
        <v>450</v>
      </c>
      <c r="P229" s="20" t="n">
        <v>1</v>
      </c>
      <c r="Q229" s="20" t="n">
        <v>182</v>
      </c>
      <c r="R229" s="20" t="n">
        <v>0</v>
      </c>
      <c r="W229" s="20" t="n">
        <v>0</v>
      </c>
      <c r="X229" s="20" t="n">
        <v>450</v>
      </c>
    </row>
    <row r="230">
      <c r="A230" s="18" t="inlineStr">
        <is>
          <t>무형자산 취득</t>
        </is>
      </c>
      <c r="C230" s="20" t="n">
        <v>-444</v>
      </c>
      <c r="D230" s="20" t="n">
        <v>-454</v>
      </c>
      <c r="E230" s="20" t="n">
        <v>-599</v>
      </c>
      <c r="F230" s="20" t="n">
        <v>-131</v>
      </c>
      <c r="G230" s="20" t="n">
        <v>-128</v>
      </c>
      <c r="H230" s="20" t="n">
        <v>-196</v>
      </c>
      <c r="I230" s="20" t="n">
        <v>-210</v>
      </c>
      <c r="J230" s="20" t="n">
        <v>-12</v>
      </c>
      <c r="K230" s="20" t="n">
        <v>-34</v>
      </c>
      <c r="L230" s="20" t="n">
        <v>-110</v>
      </c>
      <c r="M230" s="20" t="n">
        <v>-109</v>
      </c>
      <c r="N230" s="20" t="n">
        <v>-142</v>
      </c>
      <c r="O230" s="20" t="n">
        <v>-33</v>
      </c>
      <c r="P230" s="20" t="n">
        <v>-116</v>
      </c>
      <c r="Q230" s="20" t="n">
        <v>-38</v>
      </c>
      <c r="R230" s="20" t="n">
        <v>-56</v>
      </c>
      <c r="S230" s="20" t="n">
        <v>-79</v>
      </c>
      <c r="T230" s="20" t="n">
        <v>-31</v>
      </c>
      <c r="U230" s="20" t="n">
        <v>-94</v>
      </c>
      <c r="V230" s="20" t="n">
        <v>-599</v>
      </c>
      <c r="W230" s="20" t="n">
        <v>-210</v>
      </c>
      <c r="X230" s="20" t="n">
        <v>-109</v>
      </c>
    </row>
    <row r="231">
      <c r="A231" s="18" t="inlineStr">
        <is>
          <t>관계회사 청산 수입</t>
        </is>
      </c>
      <c r="Q231" s="20" t="n">
        <v>0</v>
      </c>
      <c r="R231" s="20" t="n">
        <v>44</v>
      </c>
      <c r="S231" s="20" t="n">
        <v>0</v>
      </c>
    </row>
    <row r="232">
      <c r="A232" s="18" t="inlineStr">
        <is>
          <t>관계회사 청산 지출</t>
        </is>
      </c>
      <c r="Q232" s="20" t="n">
        <v>0</v>
      </c>
      <c r="R232" s="20" t="n">
        <v>-22</v>
      </c>
      <c r="S232" s="20" t="n">
        <v>0</v>
      </c>
    </row>
    <row r="233">
      <c r="A233" s="18" t="inlineStr">
        <is>
          <t>관계회사 출자금 매각 수입</t>
        </is>
      </c>
      <c r="S233" s="20" t="n">
        <v>0</v>
      </c>
      <c r="T233" s="20" t="n">
        <v>43</v>
      </c>
    </row>
    <row r="234">
      <c r="A234" s="18" t="inlineStr">
        <is>
          <t>투자유가증권 취득</t>
        </is>
      </c>
      <c r="D234" s="20" t="n">
        <v>-143</v>
      </c>
      <c r="E234" s="20" t="n">
        <v>-144</v>
      </c>
      <c r="G234" s="20" t="n">
        <v>0</v>
      </c>
      <c r="H234" s="20" t="n">
        <v>-141</v>
      </c>
      <c r="I234" s="20" t="n">
        <v>-141</v>
      </c>
      <c r="J234" s="20" t="n">
        <v>0</v>
      </c>
      <c r="K234" s="20" t="n">
        <v>-65</v>
      </c>
      <c r="L234" s="20" t="n">
        <v>-240</v>
      </c>
      <c r="M234" s="20" t="n">
        <v>-248</v>
      </c>
      <c r="N234" s="20" t="n">
        <v>-99</v>
      </c>
      <c r="O234" s="20" t="n">
        <v>-30</v>
      </c>
      <c r="P234" s="20" t="n">
        <v>-20</v>
      </c>
      <c r="Q234" s="20" t="n">
        <v>0</v>
      </c>
      <c r="U234" s="20" t="n">
        <v>0</v>
      </c>
      <c r="V234" s="20" t="n">
        <v>-144</v>
      </c>
      <c r="W234" s="20" t="n">
        <v>-141</v>
      </c>
      <c r="X234" s="20" t="n">
        <v>-248</v>
      </c>
    </row>
    <row r="235">
      <c r="A235" s="18" t="inlineStr">
        <is>
          <t>투자유가증권 매각</t>
        </is>
      </c>
      <c r="C235" s="20" t="n">
        <v>4</v>
      </c>
      <c r="D235" s="20" t="n">
        <v>4</v>
      </c>
      <c r="E235" s="20" t="n">
        <v>4</v>
      </c>
      <c r="F235" s="20" t="n">
        <v>0</v>
      </c>
      <c r="G235" s="20" t="n">
        <v>0</v>
      </c>
      <c r="H235" s="20" t="n">
        <v>0</v>
      </c>
      <c r="I235" s="20" t="n">
        <v>0</v>
      </c>
      <c r="L235" s="20" t="n">
        <v>1209</v>
      </c>
      <c r="M235" s="20" t="n">
        <v>1219</v>
      </c>
      <c r="P235" s="20" t="n">
        <v>0</v>
      </c>
      <c r="Q235" s="20" t="n">
        <v>207</v>
      </c>
      <c r="R235" s="20" t="n">
        <v>0</v>
      </c>
      <c r="U235" s="20" t="n">
        <v>0</v>
      </c>
      <c r="V235" s="20" t="n">
        <v>4</v>
      </c>
      <c r="W235" s="20" t="n">
        <v>0</v>
      </c>
      <c r="X235" s="20" t="n">
        <v>1219</v>
      </c>
    </row>
    <row r="236">
      <c r="A236" s="18" t="inlineStr">
        <is>
          <t>연결범위 변경 자회사 주식 취득</t>
        </is>
      </c>
      <c r="O236" s="20" t="n">
        <v>0</v>
      </c>
      <c r="P236" s="20" t="n">
        <v>-595</v>
      </c>
      <c r="Q236" s="20" t="n">
        <v>-1833</v>
      </c>
      <c r="R236" s="20" t="n">
        <v>0</v>
      </c>
    </row>
    <row r="237">
      <c r="A237" s="18" t="inlineStr">
        <is>
          <t>임차보증금·보증금 납입</t>
        </is>
      </c>
      <c r="C237" s="20" t="n">
        <v>-428</v>
      </c>
      <c r="D237" s="20" t="n">
        <v>-438</v>
      </c>
      <c r="E237" s="20" t="n">
        <v>-439</v>
      </c>
      <c r="F237" s="20" t="n">
        <v>-1</v>
      </c>
      <c r="G237" s="20" t="n">
        <v>-428</v>
      </c>
      <c r="H237" s="20" t="n">
        <v>-431</v>
      </c>
      <c r="I237" s="20" t="n">
        <v>-464</v>
      </c>
      <c r="K237" s="20" t="n">
        <v>-33</v>
      </c>
      <c r="L237" s="20" t="n">
        <v>-41</v>
      </c>
      <c r="M237" s="20" t="n">
        <v>-43</v>
      </c>
      <c r="U237" s="20" t="n">
        <v>0</v>
      </c>
      <c r="V237" s="20" t="n">
        <v>-439</v>
      </c>
      <c r="W237" s="20" t="n">
        <v>-464</v>
      </c>
      <c r="X237" s="20" t="n">
        <v>-43</v>
      </c>
    </row>
    <row r="238">
      <c r="A238" s="18" t="inlineStr">
        <is>
          <t>보험적립금 해약</t>
        </is>
      </c>
      <c r="C238" s="20" t="n">
        <v>0</v>
      </c>
      <c r="D238" s="20" t="n">
        <v>0</v>
      </c>
      <c r="E238" s="20" t="n">
        <v>0</v>
      </c>
      <c r="T238" s="20" t="n">
        <v>0</v>
      </c>
      <c r="U238" s="20" t="n">
        <v>47</v>
      </c>
      <c r="V238" s="20" t="n">
        <v>0</v>
      </c>
    </row>
    <row r="239">
      <c r="A239" s="18" t="inlineStr">
        <is>
          <t>임차보증금·보증금 회수</t>
        </is>
      </c>
      <c r="E239" s="20" t="n">
        <v>2</v>
      </c>
      <c r="F239" s="20" t="n">
        <v>12</v>
      </c>
      <c r="G239" s="20" t="n">
        <v>13</v>
      </c>
      <c r="H239" s="20" t="n">
        <v>16</v>
      </c>
      <c r="I239" s="20" t="n">
        <v>184</v>
      </c>
      <c r="J239" s="20" t="n">
        <v>166</v>
      </c>
      <c r="K239" s="20" t="n">
        <v>168</v>
      </c>
      <c r="L239" s="20" t="n">
        <v>184</v>
      </c>
      <c r="M239" s="20" t="n">
        <v>227</v>
      </c>
      <c r="V239" s="20" t="n">
        <v>2</v>
      </c>
      <c r="W239" s="20" t="n">
        <v>184</v>
      </c>
      <c r="X239" s="20" t="n">
        <v>227</v>
      </c>
    </row>
    <row r="240">
      <c r="A240" s="18" t="inlineStr">
        <is>
          <t>사업양수 지출</t>
        </is>
      </c>
      <c r="D240" s="20" t="n">
        <v>-1200</v>
      </c>
      <c r="E240" s="20" t="n">
        <v>-1200</v>
      </c>
      <c r="H240" s="20" t="n">
        <v>0</v>
      </c>
      <c r="I240" s="20" t="n">
        <v>0</v>
      </c>
      <c r="U240" s="20" t="n">
        <v>0</v>
      </c>
      <c r="V240" s="20" t="n">
        <v>-1200</v>
      </c>
      <c r="W240" s="20" t="n">
        <v>0</v>
      </c>
    </row>
    <row r="241">
      <c r="A241" s="18" t="inlineStr">
        <is>
          <t>관계회사 주식 취득</t>
        </is>
      </c>
      <c r="D241" s="20" t="n">
        <v>0</v>
      </c>
      <c r="E241" s="20" t="n">
        <v>0</v>
      </c>
      <c r="H241" s="20" t="n">
        <v>-65</v>
      </c>
      <c r="I241" s="20" t="n">
        <v>-65</v>
      </c>
      <c r="O241" s="20" t="n">
        <v>-83</v>
      </c>
      <c r="P241" s="20" t="n">
        <v>0</v>
      </c>
      <c r="V241" s="20" t="n">
        <v>0</v>
      </c>
      <c r="W241" s="20" t="n">
        <v>-65</v>
      </c>
    </row>
    <row r="242">
      <c r="A242" s="18" t="inlineStr">
        <is>
          <t>기타</t>
        </is>
      </c>
      <c r="C242" s="20" t="n">
        <v>1</v>
      </c>
      <c r="D242" s="20" t="n">
        <v>2</v>
      </c>
      <c r="E242" s="20" t="n">
        <v>0</v>
      </c>
      <c r="F242" s="20" t="n">
        <v>2</v>
      </c>
      <c r="G242" s="20" t="n">
        <v>0</v>
      </c>
      <c r="H242" s="20" t="n">
        <v>117</v>
      </c>
      <c r="I242" s="20" t="n">
        <v>117</v>
      </c>
      <c r="J242" s="20" t="n">
        <v>174</v>
      </c>
      <c r="K242" s="20" t="n">
        <v>-3</v>
      </c>
      <c r="L242" s="20" t="n">
        <v>-6</v>
      </c>
      <c r="M242" s="20" t="n">
        <v>-23</v>
      </c>
      <c r="N242" s="20" t="n">
        <v>1</v>
      </c>
      <c r="O242" s="20" t="n">
        <v>19</v>
      </c>
      <c r="P242" s="20" t="n">
        <v>-24</v>
      </c>
      <c r="Q242" s="20" t="n">
        <v>-1</v>
      </c>
      <c r="R242" s="20" t="n">
        <v>-26</v>
      </c>
      <c r="S242" s="20" t="n">
        <v>-26</v>
      </c>
      <c r="T242" s="20" t="n">
        <v>42</v>
      </c>
      <c r="U242" s="20" t="n">
        <v>15</v>
      </c>
      <c r="V242" s="20" t="n">
        <v>0</v>
      </c>
      <c r="W242" s="20" t="n">
        <v>117</v>
      </c>
      <c r="X242" s="20" t="n">
        <v>-23</v>
      </c>
    </row>
    <row r="243">
      <c r="A243" s="9" t="inlineStr">
        <is>
          <t>투자활동 현금흐름</t>
        </is>
      </c>
      <c r="C243" s="12" t="n">
        <v>-1018</v>
      </c>
      <c r="D243" s="12" t="n">
        <v>-2422</v>
      </c>
      <c r="E243" s="12" t="n">
        <v>-2695</v>
      </c>
      <c r="F243" s="12" t="n">
        <v>-305</v>
      </c>
      <c r="G243" s="12" t="n">
        <v>-1582</v>
      </c>
      <c r="H243" s="12" t="n">
        <v>-2137</v>
      </c>
      <c r="I243" s="12" t="n">
        <v>-2068</v>
      </c>
      <c r="J243" s="12" t="n">
        <v>89</v>
      </c>
      <c r="K243" s="12" t="n">
        <v>-82</v>
      </c>
      <c r="L243" s="12" t="n">
        <v>791</v>
      </c>
      <c r="M243" s="12" t="n">
        <v>1200</v>
      </c>
      <c r="N243" s="12" t="n">
        <v>-272</v>
      </c>
      <c r="O243" s="12" t="n">
        <v>-262</v>
      </c>
      <c r="P243" s="12" t="n">
        <v>-896</v>
      </c>
      <c r="Q243" s="12" t="n">
        <v>-1708</v>
      </c>
      <c r="R243" s="12" t="n">
        <v>-549</v>
      </c>
      <c r="S243" s="12" t="n">
        <v>-469</v>
      </c>
      <c r="T243" s="12" t="n">
        <v>-155</v>
      </c>
      <c r="U243" s="12" t="n">
        <v>-199</v>
      </c>
      <c r="V243" s="12" t="n">
        <v>-2695</v>
      </c>
      <c r="W243" s="12" t="n">
        <v>-2068</v>
      </c>
      <c r="X243" s="12" t="n">
        <v>1200</v>
      </c>
    </row>
    <row r="244">
      <c r="A244" s="18" t="inlineStr">
        <is>
          <t>단기차입금 순증감</t>
        </is>
      </c>
      <c r="C244" s="20" t="n">
        <v>-119</v>
      </c>
      <c r="D244" s="20" t="n">
        <v>5095</v>
      </c>
      <c r="E244" s="20" t="n">
        <v>1121</v>
      </c>
      <c r="F244" s="20" t="n">
        <v>-6529</v>
      </c>
      <c r="G244" s="20" t="n">
        <v>-1847</v>
      </c>
      <c r="H244" s="20" t="n">
        <v>-4647</v>
      </c>
      <c r="I244" s="20" t="n">
        <v>-14216</v>
      </c>
      <c r="J244" s="20" t="n">
        <v>-6896</v>
      </c>
      <c r="K244" s="20" t="n">
        <v>-2942</v>
      </c>
      <c r="L244" s="20" t="n">
        <v>-2381</v>
      </c>
      <c r="M244" s="20" t="n">
        <v>-5873</v>
      </c>
      <c r="N244" s="20" t="n">
        <v>3244</v>
      </c>
      <c r="O244" s="20" t="n">
        <v>4357</v>
      </c>
      <c r="P244" s="20" t="n">
        <v>6489</v>
      </c>
      <c r="Q244" s="20" t="n">
        <v>-11254</v>
      </c>
      <c r="R244" s="20" t="n">
        <v>-3555</v>
      </c>
      <c r="S244" s="20" t="n">
        <v>2135</v>
      </c>
      <c r="T244" s="20" t="n">
        <v>5225</v>
      </c>
      <c r="U244" s="20" t="n">
        <v>6052</v>
      </c>
      <c r="V244" s="20" t="n">
        <v>1121</v>
      </c>
      <c r="W244" s="20" t="n">
        <v>-14216</v>
      </c>
      <c r="X244" s="20" t="n">
        <v>-5873</v>
      </c>
    </row>
    <row r="245">
      <c r="A245" s="18" t="inlineStr">
        <is>
          <t>기업어음(CP) 순증감액</t>
        </is>
      </c>
      <c r="D245" s="20" t="n">
        <v>5000</v>
      </c>
      <c r="E245" s="20" t="n">
        <v>5000</v>
      </c>
      <c r="F245" s="20" t="n">
        <v>0</v>
      </c>
      <c r="G245" s="20" t="n">
        <v>0</v>
      </c>
      <c r="H245" s="20" t="n">
        <v>2000</v>
      </c>
      <c r="I245" s="20" t="n">
        <v>2000</v>
      </c>
      <c r="J245" s="20" t="n">
        <v>-3000</v>
      </c>
      <c r="K245" s="20" t="n">
        <v>-1000</v>
      </c>
      <c r="L245" s="20" t="n">
        <v>-3000</v>
      </c>
      <c r="M245" s="20" t="n">
        <v>-4000</v>
      </c>
      <c r="N245" s="20" t="n">
        <v>1000</v>
      </c>
      <c r="U245" s="20" t="n">
        <v>0</v>
      </c>
      <c r="V245" s="20" t="n">
        <v>5000</v>
      </c>
      <c r="W245" s="20" t="n">
        <v>2000</v>
      </c>
      <c r="X245" s="20" t="n">
        <v>-4000</v>
      </c>
    </row>
    <row r="246">
      <c r="A246" s="18" t="inlineStr">
        <is>
          <t>장기차입</t>
        </is>
      </c>
      <c r="C246" s="20" t="n">
        <v>0</v>
      </c>
      <c r="D246" s="20" t="n">
        <v>0</v>
      </c>
      <c r="E246" s="20" t="n">
        <v>0</v>
      </c>
      <c r="F246" s="20" t="n">
        <v>7000</v>
      </c>
      <c r="G246" s="20" t="n">
        <v>7000</v>
      </c>
      <c r="H246" s="20" t="n">
        <v>7000</v>
      </c>
      <c r="I246" s="20" t="n">
        <v>9660</v>
      </c>
      <c r="J246" s="20" t="n">
        <v>0</v>
      </c>
      <c r="K246" s="20" t="n">
        <v>0</v>
      </c>
      <c r="L246" s="20" t="n">
        <v>0</v>
      </c>
      <c r="M246" s="20" t="n">
        <v>0</v>
      </c>
      <c r="O246" s="20" t="n">
        <v>3000</v>
      </c>
      <c r="P246" s="20" t="n">
        <v>4000</v>
      </c>
      <c r="Q246" s="20" t="n">
        <v>4800</v>
      </c>
      <c r="R246" s="20" t="n">
        <v>720</v>
      </c>
      <c r="S246" s="20" t="n">
        <v>7000</v>
      </c>
      <c r="T246" s="20" t="n">
        <v>2700</v>
      </c>
      <c r="U246" s="20" t="n">
        <v>15000</v>
      </c>
      <c r="V246" s="20" t="n">
        <v>0</v>
      </c>
      <c r="W246" s="20" t="n">
        <v>9660</v>
      </c>
      <c r="X246" s="20" t="n">
        <v>0</v>
      </c>
    </row>
    <row r="247">
      <c r="A247" s="18" t="inlineStr">
        <is>
          <t>장기차입금 상환</t>
        </is>
      </c>
      <c r="C247" s="20" t="n">
        <v>-3</v>
      </c>
      <c r="D247" s="20" t="n">
        <v>-3</v>
      </c>
      <c r="E247" s="20" t="n">
        <v>-3</v>
      </c>
      <c r="F247" s="20" t="n">
        <v>-4000</v>
      </c>
      <c r="G247" s="20" t="n">
        <v>-5000</v>
      </c>
      <c r="H247" s="20" t="n">
        <v>-6300</v>
      </c>
      <c r="I247" s="20" t="n">
        <v>-7000</v>
      </c>
      <c r="J247" s="20" t="n">
        <v>-164</v>
      </c>
      <c r="K247" s="20" t="n">
        <v>-312</v>
      </c>
      <c r="L247" s="20" t="n">
        <v>-2359</v>
      </c>
      <c r="M247" s="20" t="n">
        <v>-3265</v>
      </c>
      <c r="N247" s="20" t="n">
        <v>-168</v>
      </c>
      <c r="O247" s="20" t="n">
        <v>-2096</v>
      </c>
      <c r="P247" s="20" t="n">
        <v>-96</v>
      </c>
      <c r="Q247" s="20" t="n">
        <v>-3351</v>
      </c>
      <c r="R247" s="20" t="n">
        <v>-3191</v>
      </c>
      <c r="S247" s="20" t="n">
        <v>-3229</v>
      </c>
      <c r="T247" s="20" t="n">
        <v>-4312</v>
      </c>
      <c r="U247" s="20" t="n">
        <v>-5100</v>
      </c>
      <c r="V247" s="20" t="n">
        <v>-3</v>
      </c>
      <c r="W247" s="20" t="n">
        <v>-7000</v>
      </c>
      <c r="X247" s="20" t="n">
        <v>-3265</v>
      </c>
    </row>
    <row r="248">
      <c r="A248" s="18" t="inlineStr">
        <is>
          <t>연결범위 변경 없는 자회사 주식 취득</t>
        </is>
      </c>
      <c r="C248" s="20" t="n">
        <v>-27</v>
      </c>
      <c r="D248" s="20" t="n">
        <v>-27</v>
      </c>
      <c r="E248" s="20" t="n">
        <v>-27</v>
      </c>
      <c r="G248" s="20" t="n">
        <v>0</v>
      </c>
      <c r="H248" s="20" t="n">
        <v>0</v>
      </c>
      <c r="I248" s="20" t="n">
        <v>0</v>
      </c>
      <c r="L248" s="20" t="n">
        <v>-134</v>
      </c>
      <c r="M248" s="20" t="n">
        <v>-134</v>
      </c>
      <c r="R248" s="20" t="n">
        <v>0</v>
      </c>
      <c r="S248" s="20" t="n">
        <v>-16</v>
      </c>
      <c r="T248" s="20" t="n">
        <v>0</v>
      </c>
      <c r="U248" s="20" t="n">
        <v>0</v>
      </c>
      <c r="V248" s="20" t="n">
        <v>-27</v>
      </c>
      <c r="W248" s="20" t="n">
        <v>0</v>
      </c>
      <c r="X248" s="20" t="n">
        <v>-134</v>
      </c>
    </row>
    <row r="249">
      <c r="A249" s="18" t="inlineStr">
        <is>
          <t>자기주식 취득</t>
        </is>
      </c>
      <c r="C249" s="20" t="n">
        <v>-0</v>
      </c>
      <c r="D249" s="20" t="n">
        <v>-0</v>
      </c>
      <c r="E249" s="20" t="n">
        <v>-0</v>
      </c>
      <c r="F249" s="20" t="n">
        <v>0</v>
      </c>
      <c r="G249" s="20" t="n">
        <v>0</v>
      </c>
      <c r="H249" s="20" t="n">
        <v>-0</v>
      </c>
      <c r="I249" s="20" t="n">
        <v>-2655</v>
      </c>
      <c r="J249" s="20" t="n">
        <v>-0</v>
      </c>
      <c r="K249" s="20" t="n">
        <v>-2001</v>
      </c>
      <c r="L249" s="20" t="n">
        <v>-2001</v>
      </c>
      <c r="M249" s="20" t="n">
        <v>-2001</v>
      </c>
      <c r="N249" s="20" t="n">
        <v>0</v>
      </c>
      <c r="Q249" s="20" t="n">
        <v>0</v>
      </c>
      <c r="R249" s="20" t="n">
        <v>-719</v>
      </c>
      <c r="S249" s="20" t="n">
        <v>-0</v>
      </c>
      <c r="T249" s="20" t="n">
        <v>-1268</v>
      </c>
      <c r="U249" s="20" t="n">
        <v>-0</v>
      </c>
      <c r="V249" s="20" t="n">
        <v>-0</v>
      </c>
      <c r="W249" s="20" t="n">
        <v>-2655</v>
      </c>
      <c r="X249" s="20" t="n">
        <v>-2001</v>
      </c>
    </row>
    <row r="250">
      <c r="A250" s="18" t="inlineStr">
        <is>
          <t>자기주식 처분</t>
        </is>
      </c>
      <c r="C250" s="20" t="n">
        <v>229</v>
      </c>
      <c r="D250" s="20" t="n">
        <v>336</v>
      </c>
      <c r="E250" s="20" t="n">
        <v>468</v>
      </c>
      <c r="F250" s="20" t="n">
        <v>114</v>
      </c>
      <c r="G250" s="20" t="n">
        <v>271</v>
      </c>
      <c r="H250" s="20" t="n">
        <v>396</v>
      </c>
      <c r="I250" s="20" t="n">
        <v>865</v>
      </c>
      <c r="J250" s="20" t="n">
        <v>122</v>
      </c>
      <c r="K250" s="20" t="n">
        <v>278</v>
      </c>
      <c r="L250" s="20" t="n">
        <v>407</v>
      </c>
      <c r="M250" s="20" t="n">
        <v>522</v>
      </c>
      <c r="N250" s="20" t="n">
        <v>130</v>
      </c>
      <c r="O250" s="20" t="n">
        <v>80</v>
      </c>
      <c r="P250" s="20" t="n">
        <v>83</v>
      </c>
      <c r="Q250" s="20" t="n">
        <v>97</v>
      </c>
      <c r="R250" s="20" t="n">
        <v>275</v>
      </c>
      <c r="S250" s="20" t="n">
        <v>167</v>
      </c>
      <c r="T250" s="20" t="n">
        <v>235</v>
      </c>
      <c r="U250" s="20" t="n">
        <v>307</v>
      </c>
      <c r="V250" s="20" t="n">
        <v>468</v>
      </c>
      <c r="W250" s="20" t="n">
        <v>865</v>
      </c>
      <c r="X250" s="20" t="n">
        <v>522</v>
      </c>
    </row>
    <row r="251">
      <c r="A251" s="18" t="inlineStr">
        <is>
          <t>배당금 지급</t>
        </is>
      </c>
      <c r="C251" s="20" t="n">
        <v>-2089</v>
      </c>
      <c r="D251" s="20" t="n">
        <v>-3916</v>
      </c>
      <c r="E251" s="20" t="n">
        <v>-3916</v>
      </c>
      <c r="F251" s="20" t="n">
        <v>-2220</v>
      </c>
      <c r="G251" s="20" t="n">
        <v>-2220</v>
      </c>
      <c r="H251" s="20" t="n">
        <v>-3786</v>
      </c>
      <c r="I251" s="20" t="n">
        <v>-3786</v>
      </c>
      <c r="J251" s="20" t="n">
        <v>-1974</v>
      </c>
      <c r="K251" s="20" t="n">
        <v>-1974</v>
      </c>
      <c r="L251" s="20" t="n">
        <v>-3002</v>
      </c>
      <c r="M251" s="20" t="n">
        <v>-3002</v>
      </c>
      <c r="N251" s="20" t="n">
        <v>-2120</v>
      </c>
      <c r="O251" s="20" t="n">
        <v>-602</v>
      </c>
      <c r="P251" s="20" t="n">
        <v>-605</v>
      </c>
      <c r="Q251" s="20" t="n">
        <v>-770</v>
      </c>
      <c r="R251" s="20" t="n">
        <v>-947</v>
      </c>
      <c r="S251" s="20" t="n">
        <v>-903</v>
      </c>
      <c r="T251" s="20" t="n">
        <v>-1894</v>
      </c>
      <c r="U251" s="20" t="n">
        <v>-2428</v>
      </c>
      <c r="V251" s="20" t="n">
        <v>-3916</v>
      </c>
      <c r="W251" s="20" t="n">
        <v>-3786</v>
      </c>
      <c r="X251" s="20" t="n">
        <v>-3002</v>
      </c>
    </row>
    <row r="252">
      <c r="A252" s="18" t="inlineStr">
        <is>
          <t>비지배주주 배당금 지급</t>
        </is>
      </c>
      <c r="C252" s="20" t="n">
        <v>-35</v>
      </c>
      <c r="D252" s="20" t="n">
        <v>-35</v>
      </c>
      <c r="E252" s="20" t="n">
        <v>-35</v>
      </c>
      <c r="F252" s="20" t="n">
        <v>-34</v>
      </c>
      <c r="G252" s="20" t="n">
        <v>-34</v>
      </c>
      <c r="H252" s="20" t="n">
        <v>-34</v>
      </c>
      <c r="I252" s="20" t="n">
        <v>-34</v>
      </c>
      <c r="J252" s="20" t="n">
        <v>-10</v>
      </c>
      <c r="K252" s="20" t="n">
        <v>-10</v>
      </c>
      <c r="L252" s="20" t="n">
        <v>-10</v>
      </c>
      <c r="M252" s="20" t="n">
        <v>-10</v>
      </c>
      <c r="N252" s="20" t="n">
        <v>-12</v>
      </c>
      <c r="P252" s="20" t="n">
        <v>0</v>
      </c>
      <c r="Q252" s="20" t="n">
        <v>-21</v>
      </c>
      <c r="R252" s="20" t="n">
        <v>-20</v>
      </c>
      <c r="S252" s="20" t="n">
        <v>-28</v>
      </c>
      <c r="T252" s="20" t="n">
        <v>-26</v>
      </c>
      <c r="U252" s="20" t="n">
        <v>-17</v>
      </c>
      <c r="V252" s="20" t="n">
        <v>-35</v>
      </c>
      <c r="W252" s="20" t="n">
        <v>-34</v>
      </c>
      <c r="X252" s="20" t="n">
        <v>-10</v>
      </c>
    </row>
    <row r="253">
      <c r="A253" s="18" t="inlineStr">
        <is>
          <t>기타</t>
        </is>
      </c>
      <c r="O253" s="20" t="n">
        <v>-0</v>
      </c>
      <c r="P253" s="20" t="n">
        <v>-2</v>
      </c>
      <c r="Q253" s="20" t="n">
        <v>-3</v>
      </c>
      <c r="R253" s="20" t="n">
        <v>-41</v>
      </c>
      <c r="S253" s="20" t="n">
        <v>-47</v>
      </c>
    </row>
    <row r="254">
      <c r="A254" s="18" t="inlineStr">
        <is>
          <t>리스부채 상환</t>
        </is>
      </c>
      <c r="C254" s="20" t="n">
        <v>-37</v>
      </c>
      <c r="D254" s="20" t="n">
        <v>-57</v>
      </c>
      <c r="E254" s="20" t="n">
        <v>-77</v>
      </c>
      <c r="F254" s="20" t="n">
        <v>-21</v>
      </c>
      <c r="G254" s="20" t="n">
        <v>-42</v>
      </c>
      <c r="H254" s="20" t="n">
        <v>-62</v>
      </c>
      <c r="I254" s="20" t="n">
        <v>-84</v>
      </c>
      <c r="J254" s="20" t="n">
        <v>-20</v>
      </c>
      <c r="K254" s="20" t="n">
        <v>-41</v>
      </c>
      <c r="L254" s="20" t="n">
        <v>-62</v>
      </c>
      <c r="M254" s="20" t="n">
        <v>-83</v>
      </c>
      <c r="N254" s="20" t="n">
        <v>-17</v>
      </c>
      <c r="S254" s="20" t="n">
        <v>-47</v>
      </c>
      <c r="T254" s="20" t="n">
        <v>-52</v>
      </c>
      <c r="U254" s="20" t="n">
        <v>-65</v>
      </c>
      <c r="V254" s="20" t="n">
        <v>-77</v>
      </c>
      <c r="W254" s="20" t="n">
        <v>-84</v>
      </c>
      <c r="X254" s="20" t="n">
        <v>-83</v>
      </c>
    </row>
    <row r="255">
      <c r="A255" s="9" t="inlineStr">
        <is>
          <t>재무활동 현금흐름</t>
        </is>
      </c>
      <c r="C255" s="12" t="n">
        <v>-2083</v>
      </c>
      <c r="D255" s="12" t="n">
        <v>6390</v>
      </c>
      <c r="E255" s="12" t="n">
        <v>2529</v>
      </c>
      <c r="F255" s="12" t="n">
        <v>-5691</v>
      </c>
      <c r="G255" s="12" t="n">
        <v>-1873</v>
      </c>
      <c r="H255" s="12" t="n">
        <v>-5434</v>
      </c>
      <c r="I255" s="12" t="n">
        <v>-15251</v>
      </c>
      <c r="J255" s="12" t="n">
        <v>-11944</v>
      </c>
      <c r="K255" s="12" t="n">
        <v>-8003</v>
      </c>
      <c r="L255" s="12" t="n">
        <v>-12543</v>
      </c>
      <c r="M255" s="12" t="n">
        <v>-17848</v>
      </c>
      <c r="N255" s="12" t="n">
        <v>2056</v>
      </c>
      <c r="O255" s="12" t="n">
        <v>4739</v>
      </c>
      <c r="P255" s="12" t="n">
        <v>9869</v>
      </c>
      <c r="Q255" s="12" t="n">
        <v>-10504</v>
      </c>
      <c r="R255" s="12" t="n">
        <v>-7479</v>
      </c>
      <c r="S255" s="12" t="n">
        <v>5079</v>
      </c>
      <c r="T255" s="12" t="n">
        <v>606</v>
      </c>
      <c r="U255" s="12" t="n">
        <v>13746</v>
      </c>
      <c r="V255" s="12" t="n">
        <v>2529</v>
      </c>
      <c r="W255" s="12" t="n">
        <v>-15251</v>
      </c>
      <c r="X255" s="12" t="n">
        <v>-17848</v>
      </c>
    </row>
    <row r="256">
      <c r="A256" s="18" t="inlineStr">
        <is>
          <t>현금성자산 환산차이</t>
        </is>
      </c>
      <c r="C256" s="20" t="n">
        <v>163</v>
      </c>
      <c r="D256" s="20" t="n">
        <v>93</v>
      </c>
      <c r="E256" s="20" t="n">
        <v>179</v>
      </c>
      <c r="F256" s="20" t="n">
        <v>76</v>
      </c>
      <c r="G256" s="20" t="n">
        <v>-51</v>
      </c>
      <c r="H256" s="20" t="n">
        <v>134</v>
      </c>
      <c r="I256" s="20" t="n">
        <v>31</v>
      </c>
      <c r="J256" s="20" t="n">
        <v>-108</v>
      </c>
      <c r="K256" s="20" t="n">
        <v>-54</v>
      </c>
      <c r="L256" s="20" t="n">
        <v>96</v>
      </c>
      <c r="M256" s="20" t="n">
        <v>202</v>
      </c>
      <c r="N256" s="20" t="n">
        <v>3</v>
      </c>
      <c r="O256" s="20" t="n">
        <v>4</v>
      </c>
      <c r="P256" s="20" t="n">
        <v>-5</v>
      </c>
      <c r="Q256" s="20" t="n">
        <v>5</v>
      </c>
      <c r="R256" s="20" t="n">
        <v>-9</v>
      </c>
      <c r="S256" s="20" t="n">
        <v>26</v>
      </c>
      <c r="T256" s="20" t="n">
        <v>78</v>
      </c>
      <c r="U256" s="20" t="n">
        <v>53</v>
      </c>
      <c r="V256" s="20" t="n">
        <v>179</v>
      </c>
      <c r="W256" s="20" t="n">
        <v>31</v>
      </c>
      <c r="X256" s="20" t="n">
        <v>202</v>
      </c>
    </row>
    <row r="257">
      <c r="A257" s="18" t="inlineStr">
        <is>
          <t>현금성자산 증감</t>
        </is>
      </c>
      <c r="C257" s="20" t="n">
        <v>-42</v>
      </c>
      <c r="D257" s="20" t="n">
        <v>3805</v>
      </c>
      <c r="E257" s="20" t="n">
        <v>314</v>
      </c>
      <c r="F257" s="20" t="n">
        <v>190</v>
      </c>
      <c r="G257" s="20" t="n">
        <v>2779</v>
      </c>
      <c r="H257" s="20" t="n">
        <v>2985</v>
      </c>
      <c r="I257" s="20" t="n">
        <v>1627</v>
      </c>
      <c r="J257" s="20" t="n">
        <v>-1371</v>
      </c>
      <c r="K257" s="20" t="n">
        <v>311</v>
      </c>
      <c r="L257" s="20" t="n">
        <v>-2743</v>
      </c>
      <c r="M257" s="20" t="n">
        <v>-762</v>
      </c>
      <c r="N257" s="20" t="n">
        <v>-2176</v>
      </c>
      <c r="O257" s="20" t="n">
        <v>-204</v>
      </c>
      <c r="P257" s="20" t="n">
        <v>973</v>
      </c>
      <c r="Q257" s="20" t="n">
        <v>128</v>
      </c>
      <c r="R257" s="20" t="n">
        <v>613</v>
      </c>
      <c r="S257" s="20" t="n">
        <v>1172</v>
      </c>
      <c r="T257" s="20" t="n">
        <v>-362</v>
      </c>
      <c r="U257" s="20" t="n">
        <v>1414</v>
      </c>
      <c r="V257" s="20" t="n">
        <v>314</v>
      </c>
      <c r="W257" s="20" t="n">
        <v>1627</v>
      </c>
      <c r="X257" s="20" t="n">
        <v>-762</v>
      </c>
    </row>
    <row r="258">
      <c r="A258" s="18" t="inlineStr">
        <is>
          <t>비연결 자회사 합병에 따른 현금성자산 증가</t>
        </is>
      </c>
      <c r="Q258" s="20" t="n">
        <v>0</v>
      </c>
      <c r="R258" s="20" t="n">
        <v>70</v>
      </c>
      <c r="S25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2760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131545</v>
      </c>
      <c r="D5" s="12" t="n">
        <v>142401</v>
      </c>
      <c r="E5" s="12" t="n">
        <v>145873</v>
      </c>
      <c r="F5" s="12" t="n">
        <v>150337</v>
      </c>
      <c r="G5" s="12" t="n">
        <v>151685</v>
      </c>
      <c r="H5" s="11" t="n">
        <v>98895</v>
      </c>
      <c r="I5" s="12" t="n">
        <v>134309</v>
      </c>
      <c r="J5" s="12" t="n">
        <v>151336</v>
      </c>
      <c r="K5" s="12" t="n">
        <v>144186</v>
      </c>
      <c r="L5" s="12" t="n">
        <v>150337</v>
      </c>
    </row>
    <row r="6">
      <c r="A6" s="18" t="inlineStr">
        <is>
          <t>현금및현금성자산</t>
        </is>
      </c>
      <c r="B6" s="10" t="n"/>
      <c r="C6" s="19" t="n">
        <v>7013</v>
      </c>
      <c r="D6" s="20" t="n">
        <v>8695</v>
      </c>
      <c r="E6" s="20" t="n">
        <v>5641</v>
      </c>
      <c r="F6" s="20" t="n">
        <v>7622</v>
      </c>
      <c r="G6" s="20" t="n">
        <v>5445</v>
      </c>
      <c r="H6" s="19" t="n">
        <v>5134</v>
      </c>
      <c r="I6" s="20" t="n">
        <v>6538</v>
      </c>
      <c r="J6" s="20" t="n">
        <v>6867</v>
      </c>
      <c r="K6" s="20" t="n">
        <v>8384</v>
      </c>
      <c r="L6" s="20" t="n">
        <v>7622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40798</v>
      </c>
      <c r="D8" s="20" t="n">
        <v>48567</v>
      </c>
      <c r="E8" s="20" t="n">
        <v>54075</v>
      </c>
      <c r="F8" s="20" t="n">
        <v>54434</v>
      </c>
      <c r="G8" s="20" t="n">
        <v>56164</v>
      </c>
      <c r="H8" s="19" t="n">
        <v>0</v>
      </c>
      <c r="I8" s="20" t="n">
        <v>57737</v>
      </c>
      <c r="J8" s="20" t="n">
        <v>57234</v>
      </c>
      <c r="K8" s="20" t="n">
        <v>49226</v>
      </c>
      <c r="L8" s="20" t="n">
        <v>54434</v>
      </c>
    </row>
    <row r="9">
      <c r="A9" s="18" t="inlineStr">
        <is>
          <t>재고자산</t>
        </is>
      </c>
      <c r="B9" s="10" t="n"/>
      <c r="C9" s="19" t="n">
        <v>49386</v>
      </c>
      <c r="D9" s="20" t="n">
        <v>50332</v>
      </c>
      <c r="E9" s="20" t="n">
        <v>46061</v>
      </c>
      <c r="F9" s="20" t="n">
        <v>48965</v>
      </c>
      <c r="G9" s="20" t="n">
        <v>49758</v>
      </c>
      <c r="H9" s="19" t="n">
        <v>27507</v>
      </c>
      <c r="I9" s="20" t="n">
        <v>43082</v>
      </c>
      <c r="J9" s="20" t="n">
        <v>56436</v>
      </c>
      <c r="K9" s="20" t="n">
        <v>52867</v>
      </c>
      <c r="L9" s="20" t="n">
        <v>48965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12575</v>
      </c>
      <c r="D11" s="12" t="n">
        <v>12524</v>
      </c>
      <c r="E11" s="12" t="n">
        <v>12457</v>
      </c>
      <c r="F11" s="12" t="n">
        <v>11874</v>
      </c>
      <c r="G11" s="12" t="n">
        <v>11908</v>
      </c>
      <c r="H11" s="11" t="n">
        <v>8906</v>
      </c>
      <c r="I11" s="12" t="n">
        <v>9143</v>
      </c>
      <c r="J11" s="12" t="n">
        <v>11231</v>
      </c>
      <c r="K11" s="12" t="n">
        <v>12655</v>
      </c>
      <c r="L11" s="12" t="n">
        <v>11874</v>
      </c>
    </row>
    <row r="12">
      <c r="A12" s="18" t="inlineStr">
        <is>
          <t>유형자산</t>
        </is>
      </c>
      <c r="B12" s="10" t="n"/>
      <c r="C12" s="19" t="n">
        <v>4303</v>
      </c>
      <c r="D12" s="20" t="n">
        <v>4282</v>
      </c>
      <c r="E12" s="20" t="n">
        <v>4272</v>
      </c>
      <c r="F12" s="20" t="n">
        <v>3809</v>
      </c>
      <c r="G12" s="20" t="n">
        <v>3738</v>
      </c>
      <c r="H12" s="19" t="n">
        <v>3662</v>
      </c>
      <c r="I12" s="20" t="n">
        <v>3481</v>
      </c>
      <c r="J12" s="20" t="n">
        <v>3356</v>
      </c>
      <c r="K12" s="20" t="n">
        <v>4319</v>
      </c>
      <c r="L12" s="20" t="n">
        <v>3809</v>
      </c>
    </row>
    <row r="13">
      <c r="A13" s="18" t="inlineStr">
        <is>
          <t>무형자산</t>
        </is>
      </c>
      <c r="B13" s="10" t="n"/>
      <c r="C13" s="19" t="n">
        <v>1804</v>
      </c>
      <c r="D13" s="20" t="n">
        <v>1714</v>
      </c>
      <c r="E13" s="20" t="n">
        <v>1679</v>
      </c>
      <c r="F13" s="20" t="n">
        <v>1580</v>
      </c>
      <c r="G13" s="20" t="n">
        <v>1607</v>
      </c>
      <c r="H13" s="19" t="n">
        <v>157</v>
      </c>
      <c r="I13" s="20" t="n">
        <v>226</v>
      </c>
      <c r="J13" s="20" t="n">
        <v>2192</v>
      </c>
      <c r="K13" s="20" t="n">
        <v>1912</v>
      </c>
      <c r="L13" s="20" t="n">
        <v>1580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144121</v>
      </c>
      <c r="D16" s="12" t="n">
        <v>154925</v>
      </c>
      <c r="E16" s="12" t="n">
        <v>158331</v>
      </c>
      <c r="F16" s="12" t="n">
        <v>162211</v>
      </c>
      <c r="G16" s="12" t="n">
        <v>163594</v>
      </c>
      <c r="H16" s="11" t="n">
        <v>107801</v>
      </c>
      <c r="I16" s="12" t="n">
        <v>143452</v>
      </c>
      <c r="J16" s="12" t="n">
        <v>162567</v>
      </c>
      <c r="K16" s="12" t="n">
        <v>156841</v>
      </c>
      <c r="L16" s="12" t="n">
        <v>162211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63017</v>
      </c>
      <c r="D18" s="12" t="n">
        <v>73467</v>
      </c>
      <c r="E18" s="12" t="n">
        <v>84288</v>
      </c>
      <c r="F18" s="12" t="n">
        <v>85000</v>
      </c>
      <c r="G18" s="12" t="n">
        <v>85963</v>
      </c>
      <c r="H18" s="11" t="n">
        <v>56622</v>
      </c>
      <c r="I18" s="12" t="n">
        <v>70595</v>
      </c>
      <c r="J18" s="12" t="n">
        <v>89035</v>
      </c>
      <c r="K18" s="12" t="n">
        <v>74605</v>
      </c>
      <c r="L18" s="12" t="n">
        <v>85000</v>
      </c>
    </row>
    <row r="19">
      <c r="A19" s="18" t="inlineStr">
        <is>
          <t>매입채무</t>
        </is>
      </c>
      <c r="B19" s="10" t="n"/>
      <c r="C19" s="19" t="n">
        <v>17935</v>
      </c>
      <c r="D19" s="20" t="n">
        <v>17787</v>
      </c>
      <c r="E19" s="20" t="n">
        <v>20915</v>
      </c>
      <c r="F19" s="20" t="n">
        <v>23650</v>
      </c>
      <c r="G19" s="20" t="n">
        <v>21769</v>
      </c>
      <c r="H19" s="19" t="n">
        <v>15434</v>
      </c>
      <c r="I19" s="20" t="n">
        <v>20214</v>
      </c>
      <c r="J19" s="20" t="n">
        <v>22690</v>
      </c>
      <c r="K19" s="20" t="n">
        <v>19407</v>
      </c>
      <c r="L19" s="20" t="n">
        <v>23650</v>
      </c>
    </row>
    <row r="20">
      <c r="A20" s="18" t="inlineStr">
        <is>
          <t>단기차입금</t>
        </is>
      </c>
      <c r="B20" s="10" t="n"/>
      <c r="C20" s="19" t="n">
        <v>1303</v>
      </c>
      <c r="D20" s="20" t="n">
        <v>5258</v>
      </c>
      <c r="E20" s="20" t="n">
        <v>5825</v>
      </c>
      <c r="F20" s="20" t="n">
        <v>2339</v>
      </c>
      <c r="G20" s="20" t="n">
        <v>5604</v>
      </c>
      <c r="H20" s="19" t="n">
        <v>14521</v>
      </c>
      <c r="I20" s="20" t="n">
        <v>20949</v>
      </c>
      <c r="J20" s="20" t="n">
        <v>22401</v>
      </c>
      <c r="K20" s="20" t="n">
        <v>8200</v>
      </c>
      <c r="L20" s="20" t="n">
        <v>2339</v>
      </c>
    </row>
    <row r="21">
      <c r="A21" s="18" t="inlineStr">
        <is>
          <t>유동성장기부채</t>
        </is>
      </c>
      <c r="B21" s="10" t="n"/>
      <c r="C21" s="19" t="n">
        <v>2700</v>
      </c>
      <c r="D21" s="20" t="n">
        <v>2700</v>
      </c>
      <c r="E21" s="20" t="n">
        <v>9800</v>
      </c>
      <c r="F21" s="20" t="n">
        <v>9000</v>
      </c>
      <c r="G21" s="20" t="n">
        <v>9000</v>
      </c>
      <c r="H21" s="19" t="n">
        <v>4840</v>
      </c>
      <c r="I21" s="20" t="n">
        <v>3</v>
      </c>
      <c r="J21" s="20" t="n">
        <v>7000</v>
      </c>
      <c r="K21" s="20" t="n">
        <v>2700</v>
      </c>
      <c r="L21" s="20" t="n">
        <v>9000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33007</v>
      </c>
      <c r="D23" s="12" t="n">
        <v>33051</v>
      </c>
      <c r="E23" s="12" t="n">
        <v>23953</v>
      </c>
      <c r="F23" s="12" t="n">
        <v>23454</v>
      </c>
      <c r="G23" s="12" t="n">
        <v>23268</v>
      </c>
      <c r="H23" s="11" t="n">
        <v>19160</v>
      </c>
      <c r="I23" s="12" t="n">
        <v>33859</v>
      </c>
      <c r="J23" s="12" t="n">
        <v>27341</v>
      </c>
      <c r="K23" s="12" t="n">
        <v>33232</v>
      </c>
      <c r="L23" s="12" t="n">
        <v>23454</v>
      </c>
    </row>
    <row r="24">
      <c r="A24" s="18" t="inlineStr">
        <is>
          <t>장기차입금</t>
        </is>
      </c>
      <c r="B24" s="10" t="n"/>
      <c r="C24" s="19" t="n">
        <v>24495</v>
      </c>
      <c r="D24" s="20" t="n">
        <v>24347</v>
      </c>
      <c r="E24" s="20" t="n">
        <v>15200</v>
      </c>
      <c r="F24" s="20" t="n">
        <v>15094</v>
      </c>
      <c r="G24" s="20" t="n">
        <v>14926</v>
      </c>
      <c r="H24" s="19" t="n">
        <v>9963</v>
      </c>
      <c r="I24" s="20" t="n">
        <v>24700</v>
      </c>
      <c r="J24" s="20" t="n">
        <v>17700</v>
      </c>
      <c r="K24" s="20" t="n">
        <v>24660</v>
      </c>
      <c r="L24" s="20" t="n">
        <v>15094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96025</v>
      </c>
      <c r="D27" s="12" t="n">
        <v>106518</v>
      </c>
      <c r="E27" s="12" t="n">
        <v>108241</v>
      </c>
      <c r="F27" s="12" t="n">
        <v>108455</v>
      </c>
      <c r="G27" s="12" t="n">
        <v>109232</v>
      </c>
      <c r="H27" s="11" t="n">
        <v>75783</v>
      </c>
      <c r="I27" s="12" t="n">
        <v>104455</v>
      </c>
      <c r="J27" s="12" t="n">
        <v>116377</v>
      </c>
      <c r="K27" s="12" t="n">
        <v>107837</v>
      </c>
      <c r="L27" s="12" t="n">
        <v>108455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46939</v>
      </c>
      <c r="D31" s="12" t="n">
        <v>47244</v>
      </c>
      <c r="E31" s="12" t="n">
        <v>49177</v>
      </c>
      <c r="F31" s="12" t="n">
        <v>52831</v>
      </c>
      <c r="G31" s="12" t="n">
        <v>53432</v>
      </c>
      <c r="H31" s="11" t="n">
        <v>30953</v>
      </c>
      <c r="I31" s="12" t="n">
        <v>37849</v>
      </c>
      <c r="J31" s="12" t="n">
        <v>45042</v>
      </c>
      <c r="K31" s="12" t="n">
        <v>47861</v>
      </c>
      <c r="L31" s="12" t="n">
        <v>52831</v>
      </c>
    </row>
    <row r="32">
      <c r="A32" s="18" t="inlineStr">
        <is>
          <t>자본금</t>
        </is>
      </c>
      <c r="B32" s="10" t="n"/>
      <c r="C32" s="19" t="n">
        <v>2495</v>
      </c>
      <c r="D32" s="20" t="n">
        <v>2495</v>
      </c>
      <c r="E32" s="20" t="n">
        <v>2495</v>
      </c>
      <c r="F32" s="20" t="n">
        <v>2495</v>
      </c>
      <c r="G32" s="20" t="n">
        <v>2495</v>
      </c>
      <c r="H32" s="19" t="n">
        <v>2495</v>
      </c>
      <c r="I32" s="20" t="n">
        <v>2495</v>
      </c>
      <c r="J32" s="20" t="n">
        <v>2495</v>
      </c>
      <c r="K32" s="20" t="n">
        <v>2495</v>
      </c>
      <c r="L32" s="20" t="n">
        <v>2495</v>
      </c>
    </row>
    <row r="33">
      <c r="A33" s="18" t="inlineStr">
        <is>
          <t>이익잉여금</t>
        </is>
      </c>
      <c r="B33" s="10" t="n"/>
      <c r="C33" s="19" t="n">
        <v>40408</v>
      </c>
      <c r="D33" s="20" t="n">
        <v>41770</v>
      </c>
      <c r="E33" s="20" t="n">
        <v>43124</v>
      </c>
      <c r="F33" s="20" t="n">
        <v>45936</v>
      </c>
      <c r="G33" s="20" t="n">
        <v>46332</v>
      </c>
      <c r="H33" s="19" t="n">
        <v>24262</v>
      </c>
      <c r="I33" s="20" t="n">
        <v>30482</v>
      </c>
      <c r="J33" s="20" t="n">
        <v>36363</v>
      </c>
      <c r="K33" s="20" t="n">
        <v>41289</v>
      </c>
      <c r="L33" s="20" t="n">
        <v>45936</v>
      </c>
    </row>
    <row r="34">
      <c r="A34" s="18" t="inlineStr">
        <is>
          <t>비지배지분</t>
        </is>
      </c>
      <c r="B34" s="10" t="n"/>
      <c r="C34" s="19" t="n">
        <v>1156</v>
      </c>
      <c r="D34" s="20" t="n">
        <v>1162</v>
      </c>
      <c r="E34" s="20" t="n">
        <v>912</v>
      </c>
      <c r="F34" s="20" t="n">
        <v>925</v>
      </c>
      <c r="G34" s="20" t="n">
        <v>929</v>
      </c>
      <c r="H34" s="19" t="n">
        <v>1065</v>
      </c>
      <c r="I34" s="20" t="n">
        <v>1148</v>
      </c>
      <c r="J34" s="20" t="n">
        <v>1148</v>
      </c>
      <c r="K34" s="20" t="n">
        <v>1143</v>
      </c>
      <c r="L34" s="20" t="n">
        <v>925</v>
      </c>
    </row>
    <row r="35">
      <c r="A35" s="9" t="inlineStr">
        <is>
          <t>자본총계</t>
        </is>
      </c>
      <c r="B35" s="10" t="n"/>
      <c r="C35" s="11" t="n">
        <v>48095</v>
      </c>
      <c r="D35" s="12" t="n">
        <v>48406</v>
      </c>
      <c r="E35" s="12" t="n">
        <v>50089</v>
      </c>
      <c r="F35" s="12" t="n">
        <v>53756</v>
      </c>
      <c r="G35" s="12" t="n">
        <v>54361</v>
      </c>
      <c r="H35" s="11" t="n">
        <v>32018</v>
      </c>
      <c r="I35" s="12" t="n">
        <v>38997</v>
      </c>
      <c r="J35" s="12" t="n">
        <v>46190</v>
      </c>
      <c r="K35" s="12" t="n">
        <v>49004</v>
      </c>
      <c r="L35" s="12" t="n">
        <v>53756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23395</v>
      </c>
      <c r="D37" s="12" t="n">
        <v>21082</v>
      </c>
      <c r="E37" s="12" t="n">
        <v>17403</v>
      </c>
      <c r="F37" s="12" t="n">
        <v>15684</v>
      </c>
      <c r="G37" s="12" t="n">
        <v>1129</v>
      </c>
      <c r="H37" s="11" t="n">
        <v>-891</v>
      </c>
      <c r="I37" s="12" t="n">
        <v>-12185</v>
      </c>
      <c r="J37" s="12" t="n">
        <v>301</v>
      </c>
      <c r="K37" s="12" t="n">
        <v>18915</v>
      </c>
      <c r="L37" s="12" t="n">
        <v>15684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1525</v>
      </c>
      <c r="D38" s="20" t="n">
        <v>744</v>
      </c>
      <c r="E38" s="20" t="n">
        <v>379</v>
      </c>
      <c r="F38" s="20" t="n">
        <v>381</v>
      </c>
      <c r="G38" s="20" t="n">
        <v>471</v>
      </c>
      <c r="H38" s="19" t="n">
        <v>380</v>
      </c>
      <c r="I38" s="20" t="n">
        <v>270</v>
      </c>
      <c r="J38" s="20" t="n">
        <v>903</v>
      </c>
      <c r="K38" s="20" t="n">
        <v>1762</v>
      </c>
      <c r="L38" s="20" t="n">
        <v>381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3540</v>
      </c>
      <c r="D40" s="20" t="n">
        <v>3540</v>
      </c>
      <c r="E40" s="20" t="n">
        <v>3002</v>
      </c>
      <c r="F40" s="20" t="n">
        <v>3002</v>
      </c>
      <c r="G40" s="20" t="n">
        <v>3148</v>
      </c>
      <c r="H40" s="19" t="n">
        <v>1894</v>
      </c>
      <c r="I40" s="20" t="n">
        <v>2428</v>
      </c>
      <c r="J40" s="20" t="n">
        <v>3916</v>
      </c>
      <c r="K40" s="20" t="n">
        <v>3786</v>
      </c>
      <c r="L40" s="20" t="n">
        <v>3002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7013</v>
      </c>
      <c r="D71" s="20" t="n">
        <v>8695</v>
      </c>
      <c r="E71" s="20" t="n">
        <v>5641</v>
      </c>
      <c r="F71" s="20" t="n">
        <v>7622</v>
      </c>
      <c r="G71" s="20" t="n">
        <v>5445</v>
      </c>
      <c r="H71" s="20" t="n">
        <v>5134</v>
      </c>
      <c r="I71" s="20" t="n">
        <v>6538</v>
      </c>
      <c r="J71" s="20" t="n">
        <v>6867</v>
      </c>
      <c r="K71" s="20" t="n">
        <v>8384</v>
      </c>
      <c r="L71" s="20" t="n">
        <v>7622</v>
      </c>
    </row>
    <row r="72">
      <c r="A72" s="18" t="inlineStr">
        <is>
          <t>받을어음·매출채권·계약자산</t>
        </is>
      </c>
      <c r="C72" s="20" t="n">
        <v>40798</v>
      </c>
      <c r="D72" s="20" t="n">
        <v>48567</v>
      </c>
      <c r="E72" s="20" t="n">
        <v>54075</v>
      </c>
      <c r="H72" s="20" t="n">
        <v>47217</v>
      </c>
      <c r="I72" s="20" t="n">
        <v>57737</v>
      </c>
      <c r="J72" s="20" t="n">
        <v>57234</v>
      </c>
      <c r="K72" s="20" t="n">
        <v>49226</v>
      </c>
    </row>
    <row r="73">
      <c r="A73" s="18" t="inlineStr">
        <is>
          <t>받을어음·매출채권</t>
        </is>
      </c>
      <c r="F73" s="20" t="n">
        <v>54434</v>
      </c>
      <c r="G73" s="20" t="n">
        <v>56164</v>
      </c>
      <c r="H73" s="20" t="n">
        <v>0</v>
      </c>
      <c r="K73" s="20" t="n">
        <v>49226</v>
      </c>
      <c r="L73" s="20" t="n">
        <v>54434</v>
      </c>
    </row>
    <row r="74">
      <c r="A74" s="18" t="inlineStr">
        <is>
          <t>전자기록채권</t>
        </is>
      </c>
      <c r="C74" s="20" t="n">
        <v>3533</v>
      </c>
      <c r="D74" s="20" t="n">
        <v>1956</v>
      </c>
      <c r="E74" s="20" t="n">
        <v>2462</v>
      </c>
      <c r="F74" s="20" t="n">
        <v>3651</v>
      </c>
      <c r="G74" s="20" t="n">
        <v>3946</v>
      </c>
      <c r="H74" s="20" t="n">
        <v>3231</v>
      </c>
      <c r="I74" s="20" t="n">
        <v>4801</v>
      </c>
      <c r="J74" s="20" t="n">
        <v>4241</v>
      </c>
      <c r="K74" s="20" t="n">
        <v>2717</v>
      </c>
      <c r="L74" s="20" t="n">
        <v>3651</v>
      </c>
    </row>
    <row r="75">
      <c r="A75" s="18" t="inlineStr">
        <is>
          <t>상품·제품</t>
        </is>
      </c>
      <c r="C75" s="20" t="n">
        <v>46860</v>
      </c>
      <c r="D75" s="20" t="n">
        <v>47952</v>
      </c>
      <c r="E75" s="20" t="n">
        <v>46061</v>
      </c>
      <c r="F75" s="20" t="n">
        <v>46747</v>
      </c>
      <c r="G75" s="20" t="n">
        <v>47503</v>
      </c>
      <c r="H75" s="20" t="n">
        <v>25937</v>
      </c>
      <c r="I75" s="20" t="n">
        <v>40402</v>
      </c>
      <c r="J75" s="20" t="n">
        <v>53275</v>
      </c>
      <c r="K75" s="20" t="n">
        <v>50281</v>
      </c>
      <c r="L75" s="20" t="n">
        <v>46747</v>
      </c>
    </row>
    <row r="76">
      <c r="A76" s="18" t="inlineStr">
        <is>
          <t>원재료</t>
        </is>
      </c>
      <c r="E76" s="20" t="n">
        <v>2320</v>
      </c>
      <c r="F76" s="20" t="n">
        <v>2218</v>
      </c>
      <c r="H76" s="20" t="n">
        <v>1570</v>
      </c>
      <c r="I76" s="20" t="n">
        <v>2680</v>
      </c>
      <c r="J76" s="20" t="n">
        <v>3161</v>
      </c>
      <c r="K76" s="20" t="n">
        <v>2586</v>
      </c>
      <c r="L76" s="20" t="n">
        <v>2218</v>
      </c>
    </row>
    <row r="77">
      <c r="A77" s="18" t="inlineStr">
        <is>
          <t>원재료</t>
        </is>
      </c>
      <c r="C77" s="20" t="n">
        <v>2526</v>
      </c>
      <c r="D77" s="20" t="n">
        <v>2380</v>
      </c>
      <c r="F77" s="20" t="n">
        <v>2218</v>
      </c>
      <c r="G77" s="20" t="n">
        <v>2255</v>
      </c>
      <c r="H77" s="20" t="n">
        <v>1570</v>
      </c>
      <c r="I77" s="20" t="n">
        <v>2680</v>
      </c>
      <c r="J77" s="20" t="n">
        <v>3161</v>
      </c>
      <c r="K77" s="20" t="n">
        <v>2586</v>
      </c>
      <c r="L77" s="20" t="n">
        <v>2218</v>
      </c>
    </row>
    <row r="78">
      <c r="A78" s="18" t="inlineStr">
        <is>
          <t>선급비용</t>
        </is>
      </c>
      <c r="C78" s="20" t="n">
        <v>28355</v>
      </c>
      <c r="D78" s="20" t="n">
        <v>30220</v>
      </c>
      <c r="E78" s="20" t="n">
        <v>31548</v>
      </c>
      <c r="F78" s="20" t="n">
        <v>32298</v>
      </c>
      <c r="G78" s="20" t="n">
        <v>33789</v>
      </c>
      <c r="H78" s="20" t="n">
        <v>11732</v>
      </c>
      <c r="I78" s="20" t="n">
        <v>17332</v>
      </c>
      <c r="J78" s="20" t="n">
        <v>19416</v>
      </c>
      <c r="K78" s="20" t="n">
        <v>25952</v>
      </c>
      <c r="L78" s="20" t="n">
        <v>32298</v>
      </c>
    </row>
    <row r="79">
      <c r="A79" s="18" t="inlineStr">
        <is>
          <t>기타</t>
        </is>
      </c>
      <c r="C79" s="20" t="n">
        <v>2518</v>
      </c>
      <c r="D79" s="20" t="n">
        <v>2696</v>
      </c>
      <c r="E79" s="20" t="n">
        <v>3841</v>
      </c>
      <c r="F79" s="20" t="n">
        <v>3443</v>
      </c>
      <c r="G79" s="20" t="n">
        <v>2582</v>
      </c>
      <c r="H79" s="20" t="n">
        <v>4077</v>
      </c>
      <c r="I79" s="20" t="n">
        <v>4821</v>
      </c>
      <c r="J79" s="20" t="n">
        <v>7229</v>
      </c>
      <c r="K79" s="20" t="n">
        <v>5105</v>
      </c>
      <c r="L79" s="20" t="n">
        <v>3443</v>
      </c>
    </row>
    <row r="80">
      <c r="A80" s="18" t="inlineStr">
        <is>
          <t>대손충당금</t>
        </is>
      </c>
      <c r="C80" s="20" t="n">
        <v>-61</v>
      </c>
      <c r="D80" s="20" t="n">
        <v>-68</v>
      </c>
      <c r="E80" s="20" t="n">
        <v>-78</v>
      </c>
      <c r="F80" s="20" t="n">
        <v>-78</v>
      </c>
      <c r="G80" s="20" t="n">
        <v>-1</v>
      </c>
      <c r="H80" s="20" t="n">
        <v>-7</v>
      </c>
      <c r="I80" s="20" t="n">
        <v>-4</v>
      </c>
      <c r="J80" s="20" t="n">
        <v>-90</v>
      </c>
      <c r="K80" s="20" t="n">
        <v>-68</v>
      </c>
      <c r="L80" s="20" t="n">
        <v>-78</v>
      </c>
    </row>
    <row r="81">
      <c r="A81" s="9" t="inlineStr">
        <is>
          <t>유동자산 합계</t>
        </is>
      </c>
      <c r="C81" s="12" t="n">
        <v>131545</v>
      </c>
      <c r="D81" s="12" t="n">
        <v>142401</v>
      </c>
      <c r="E81" s="12" t="n">
        <v>145873</v>
      </c>
      <c r="F81" s="12" t="n">
        <v>150337</v>
      </c>
      <c r="G81" s="12" t="n">
        <v>151685</v>
      </c>
      <c r="H81" s="12" t="n">
        <v>98895</v>
      </c>
      <c r="I81" s="12" t="n">
        <v>134309</v>
      </c>
      <c r="J81" s="12" t="n">
        <v>151336</v>
      </c>
      <c r="K81" s="12" t="n">
        <v>144186</v>
      </c>
      <c r="L81" s="12" t="n">
        <v>150337</v>
      </c>
    </row>
    <row r="82">
      <c r="A82" s="18" t="inlineStr">
        <is>
          <t>건물·구축물</t>
        </is>
      </c>
      <c r="F82" s="20" t="n">
        <v>4262</v>
      </c>
      <c r="H82" s="20" t="n">
        <v>3691</v>
      </c>
      <c r="I82" s="20" t="n">
        <v>3753</v>
      </c>
      <c r="J82" s="20" t="n">
        <v>3799</v>
      </c>
      <c r="K82" s="20" t="n">
        <v>4417</v>
      </c>
      <c r="L82" s="20" t="n">
        <v>4262</v>
      </c>
    </row>
    <row r="83">
      <c r="A83" s="18" t="inlineStr">
        <is>
          <t>감가상각누계액</t>
        </is>
      </c>
      <c r="F83" s="20" t="n">
        <v>-1648</v>
      </c>
      <c r="H83" s="20" t="n">
        <v>-1396</v>
      </c>
      <c r="I83" s="20" t="n">
        <v>-1547</v>
      </c>
      <c r="J83" s="20" t="n">
        <v>-1649</v>
      </c>
      <c r="K83" s="20" t="n">
        <v>-1533</v>
      </c>
      <c r="L83" s="20" t="n">
        <v>-1648</v>
      </c>
    </row>
    <row r="84">
      <c r="A84" s="18" t="inlineStr">
        <is>
          <t>건물·구축물(순액)</t>
        </is>
      </c>
      <c r="F84" s="20" t="n">
        <v>2613</v>
      </c>
      <c r="H84" s="20" t="n">
        <v>2294</v>
      </c>
      <c r="I84" s="20" t="n">
        <v>2205</v>
      </c>
      <c r="J84" s="20" t="n">
        <v>2150</v>
      </c>
      <c r="K84" s="20" t="n">
        <v>2884</v>
      </c>
      <c r="L84" s="20" t="n">
        <v>2613</v>
      </c>
    </row>
    <row r="85">
      <c r="A85" s="18" t="inlineStr">
        <is>
          <t>기계장치</t>
        </is>
      </c>
      <c r="F85" s="20" t="n">
        <v>697</v>
      </c>
      <c r="H85" s="20" t="n">
        <v>470</v>
      </c>
      <c r="I85" s="20" t="n">
        <v>487</v>
      </c>
      <c r="J85" s="20" t="n">
        <v>526</v>
      </c>
      <c r="K85" s="20" t="n">
        <v>688</v>
      </c>
      <c r="L85" s="20" t="n">
        <v>697</v>
      </c>
    </row>
    <row r="86">
      <c r="A86" s="18" t="inlineStr">
        <is>
          <t>감가상각누계액</t>
        </is>
      </c>
      <c r="F86" s="20" t="n">
        <v>-533</v>
      </c>
      <c r="H86" s="20" t="n">
        <v>-276</v>
      </c>
      <c r="I86" s="20" t="n">
        <v>-333</v>
      </c>
      <c r="J86" s="20" t="n">
        <v>-388</v>
      </c>
      <c r="K86" s="20" t="n">
        <v>-469</v>
      </c>
      <c r="L86" s="20" t="n">
        <v>-533</v>
      </c>
    </row>
    <row r="87">
      <c r="A87" s="18" t="inlineStr">
        <is>
          <t>기계장치(순액)</t>
        </is>
      </c>
      <c r="F87" s="20" t="n">
        <v>163</v>
      </c>
      <c r="H87" s="20" t="n">
        <v>194</v>
      </c>
      <c r="I87" s="20" t="n">
        <v>154</v>
      </c>
      <c r="J87" s="20" t="n">
        <v>137</v>
      </c>
      <c r="K87" s="20" t="n">
        <v>219</v>
      </c>
      <c r="L87" s="20" t="n">
        <v>163</v>
      </c>
    </row>
    <row r="88">
      <c r="A88" s="18" t="inlineStr">
        <is>
          <t>공구·기구·비품</t>
        </is>
      </c>
      <c r="F88" s="20" t="n">
        <v>2187</v>
      </c>
      <c r="H88" s="20" t="n">
        <v>1939</v>
      </c>
      <c r="I88" s="20" t="n">
        <v>1952</v>
      </c>
      <c r="J88" s="20" t="n">
        <v>2033</v>
      </c>
      <c r="K88" s="20" t="n">
        <v>2083</v>
      </c>
      <c r="L88" s="20" t="n">
        <v>2187</v>
      </c>
    </row>
    <row r="89">
      <c r="A89" s="18" t="inlineStr">
        <is>
          <t>감가상각누계액</t>
        </is>
      </c>
      <c r="F89" s="20" t="n">
        <v>-1633</v>
      </c>
      <c r="H89" s="20" t="n">
        <v>-1514</v>
      </c>
      <c r="I89" s="20" t="n">
        <v>-1638</v>
      </c>
      <c r="J89" s="20" t="n">
        <v>-1722</v>
      </c>
      <c r="K89" s="20" t="n">
        <v>-1536</v>
      </c>
      <c r="L89" s="20" t="n">
        <v>-1633</v>
      </c>
    </row>
    <row r="90">
      <c r="A90" s="18" t="inlineStr">
        <is>
          <t>공구·기구·비품(순액)</t>
        </is>
      </c>
      <c r="F90" s="20" t="n">
        <v>553</v>
      </c>
      <c r="H90" s="20" t="n">
        <v>424</v>
      </c>
      <c r="I90" s="20" t="n">
        <v>314</v>
      </c>
      <c r="J90" s="20" t="n">
        <v>311</v>
      </c>
      <c r="K90" s="20" t="n">
        <v>547</v>
      </c>
      <c r="L90" s="20" t="n">
        <v>553</v>
      </c>
    </row>
    <row r="91">
      <c r="A91" s="18" t="inlineStr">
        <is>
          <t>토지</t>
        </is>
      </c>
      <c r="F91" s="20" t="n">
        <v>274</v>
      </c>
      <c r="H91" s="20" t="n">
        <v>586</v>
      </c>
      <c r="I91" s="20" t="n">
        <v>586</v>
      </c>
      <c r="J91" s="20" t="n">
        <v>586</v>
      </c>
      <c r="K91" s="20" t="n">
        <v>586</v>
      </c>
      <c r="L91" s="20" t="n">
        <v>274</v>
      </c>
    </row>
    <row r="92">
      <c r="A92" s="18" t="inlineStr">
        <is>
          <t>리스자산</t>
        </is>
      </c>
      <c r="F92" s="20" t="n">
        <v>687</v>
      </c>
      <c r="K92" s="20" t="n">
        <v>511</v>
      </c>
      <c r="L92" s="20" t="n">
        <v>687</v>
      </c>
    </row>
    <row r="93">
      <c r="A93" s="18" t="inlineStr">
        <is>
          <t>감가상각누계액</t>
        </is>
      </c>
      <c r="F93" s="20" t="n">
        <v>-482</v>
      </c>
      <c r="K93" s="20" t="n">
        <v>-433</v>
      </c>
      <c r="L93" s="20" t="n">
        <v>-482</v>
      </c>
    </row>
    <row r="94">
      <c r="A94" s="18" t="inlineStr">
        <is>
          <t>리스자산(순액)</t>
        </is>
      </c>
      <c r="F94" s="20" t="n">
        <v>204</v>
      </c>
      <c r="K94" s="20" t="n">
        <v>77</v>
      </c>
      <c r="L94" s="20" t="n">
        <v>204</v>
      </c>
    </row>
    <row r="95">
      <c r="A95" s="18" t="inlineStr">
        <is>
          <t>기타</t>
        </is>
      </c>
      <c r="F95" s="20" t="n">
        <v>2</v>
      </c>
      <c r="H95" s="20" t="n">
        <v>323</v>
      </c>
      <c r="I95" s="20" t="n">
        <v>453</v>
      </c>
      <c r="J95" s="20" t="n">
        <v>499</v>
      </c>
      <c r="K95" s="20" t="n">
        <v>5</v>
      </c>
      <c r="L95" s="20" t="n">
        <v>2</v>
      </c>
    </row>
    <row r="96">
      <c r="A96" s="18" t="inlineStr">
        <is>
          <t>감가상각누계액</t>
        </is>
      </c>
      <c r="F96" s="20" t="n">
        <v>-1</v>
      </c>
      <c r="H96" s="20" t="n">
        <v>-161</v>
      </c>
      <c r="I96" s="20" t="n">
        <v>-232</v>
      </c>
      <c r="J96" s="20" t="n">
        <v>-328</v>
      </c>
      <c r="K96" s="20" t="n">
        <v>-1</v>
      </c>
      <c r="L96" s="20" t="n">
        <v>-1</v>
      </c>
    </row>
    <row r="97">
      <c r="A97" s="18" t="inlineStr">
        <is>
          <t>기타(순액)</t>
        </is>
      </c>
      <c r="F97" s="20" t="n">
        <v>0</v>
      </c>
      <c r="H97" s="20" t="n">
        <v>161</v>
      </c>
      <c r="I97" s="20" t="n">
        <v>220</v>
      </c>
      <c r="J97" s="20" t="n">
        <v>171</v>
      </c>
      <c r="K97" s="20" t="n">
        <v>4</v>
      </c>
      <c r="L97" s="20" t="n">
        <v>0</v>
      </c>
    </row>
    <row r="98">
      <c r="A98" s="18" t="inlineStr">
        <is>
          <t>유형자산</t>
        </is>
      </c>
      <c r="C98" s="20" t="n">
        <v>4303</v>
      </c>
      <c r="D98" s="20" t="n">
        <v>4282</v>
      </c>
      <c r="E98" s="20" t="n">
        <v>4272</v>
      </c>
      <c r="F98" s="20" t="n">
        <v>3809</v>
      </c>
      <c r="G98" s="20" t="n">
        <v>3738</v>
      </c>
      <c r="H98" s="20" t="n">
        <v>3662</v>
      </c>
      <c r="I98" s="20" t="n">
        <v>3481</v>
      </c>
      <c r="J98" s="20" t="n">
        <v>3356</v>
      </c>
      <c r="K98" s="20" t="n">
        <v>4319</v>
      </c>
      <c r="L98" s="20" t="n">
        <v>3809</v>
      </c>
    </row>
    <row r="99">
      <c r="A99" s="18" t="inlineStr">
        <is>
          <t>무형자산</t>
        </is>
      </c>
      <c r="C99" s="20" t="n">
        <v>1804</v>
      </c>
      <c r="D99" s="20" t="n">
        <v>1714</v>
      </c>
      <c r="E99" s="20" t="n">
        <v>1679</v>
      </c>
      <c r="F99" s="20" t="n">
        <v>1580</v>
      </c>
      <c r="G99" s="20" t="n">
        <v>1607</v>
      </c>
      <c r="H99" s="20" t="n">
        <v>157</v>
      </c>
      <c r="I99" s="20" t="n">
        <v>226</v>
      </c>
      <c r="J99" s="20" t="n">
        <v>2192</v>
      </c>
      <c r="K99" s="20" t="n">
        <v>1912</v>
      </c>
      <c r="L99" s="20" t="n">
        <v>1580</v>
      </c>
    </row>
    <row r="100">
      <c r="A100" s="18" t="inlineStr">
        <is>
          <t>퇴직급여자산</t>
        </is>
      </c>
      <c r="C100" s="20" t="n">
        <v>632</v>
      </c>
      <c r="D100" s="20" t="n">
        <v>635</v>
      </c>
      <c r="E100" s="20" t="n">
        <v>638</v>
      </c>
      <c r="F100" s="20" t="n">
        <v>926</v>
      </c>
      <c r="G100" s="20" t="n">
        <v>921</v>
      </c>
      <c r="H100" s="20" t="n">
        <v>297</v>
      </c>
      <c r="I100" s="20" t="n">
        <v>352</v>
      </c>
      <c r="J100" s="20" t="n">
        <v>449</v>
      </c>
      <c r="K100" s="20" t="n">
        <v>629</v>
      </c>
      <c r="L100" s="20" t="n">
        <v>926</v>
      </c>
    </row>
    <row r="101">
      <c r="A101" s="18" t="inlineStr">
        <is>
          <t>이연법인세자산</t>
        </is>
      </c>
      <c r="F101" s="20" t="n">
        <v>3449</v>
      </c>
      <c r="H101" s="20" t="n">
        <v>3873</v>
      </c>
      <c r="I101" s="20" t="n">
        <v>4146</v>
      </c>
      <c r="J101" s="20" t="n">
        <v>3867</v>
      </c>
      <c r="K101" s="20" t="n">
        <v>3615</v>
      </c>
      <c r="L101" s="20" t="n">
        <v>3449</v>
      </c>
    </row>
    <row r="102">
      <c r="A102" s="18" t="inlineStr">
        <is>
          <t>기타</t>
        </is>
      </c>
      <c r="C102" s="20" t="n">
        <v>5872</v>
      </c>
      <c r="D102" s="20" t="n">
        <v>5928</v>
      </c>
      <c r="E102" s="20" t="n">
        <v>5904</v>
      </c>
      <c r="F102" s="20" t="n">
        <v>5595</v>
      </c>
      <c r="G102" s="20" t="n">
        <v>5671</v>
      </c>
      <c r="H102" s="20" t="n">
        <v>963</v>
      </c>
      <c r="I102" s="20" t="n">
        <v>980</v>
      </c>
      <c r="J102" s="20" t="n">
        <v>1689</v>
      </c>
      <c r="K102" s="20" t="n">
        <v>2219</v>
      </c>
      <c r="L102" s="20" t="n">
        <v>5595</v>
      </c>
    </row>
    <row r="103">
      <c r="A103" s="18" t="inlineStr">
        <is>
          <t>대손충당금</t>
        </is>
      </c>
      <c r="C103" s="20" t="n">
        <v>-37</v>
      </c>
      <c r="D103" s="20" t="n">
        <v>-37</v>
      </c>
      <c r="E103" s="20" t="n">
        <v>-37</v>
      </c>
      <c r="F103" s="20" t="n">
        <v>-37</v>
      </c>
      <c r="G103" s="20" t="n">
        <v>-29</v>
      </c>
      <c r="H103" s="20" t="n">
        <v>-47</v>
      </c>
      <c r="I103" s="20" t="n">
        <v>-43</v>
      </c>
      <c r="J103" s="20" t="n">
        <v>-323</v>
      </c>
      <c r="K103" s="20" t="n">
        <v>-40</v>
      </c>
      <c r="L103" s="20" t="n">
        <v>-37</v>
      </c>
    </row>
    <row r="104">
      <c r="A104" s="18" t="inlineStr">
        <is>
          <t>투자 및 기타자산 합계</t>
        </is>
      </c>
      <c r="C104" s="20" t="n">
        <v>6467</v>
      </c>
      <c r="D104" s="20" t="n">
        <v>6526</v>
      </c>
      <c r="E104" s="20" t="n">
        <v>6505</v>
      </c>
      <c r="F104" s="20" t="n">
        <v>6484</v>
      </c>
      <c r="G104" s="20" t="n">
        <v>6562</v>
      </c>
      <c r="H104" s="20" t="n">
        <v>5086</v>
      </c>
      <c r="I104" s="20" t="n">
        <v>5435</v>
      </c>
      <c r="J104" s="20" t="n">
        <v>5682</v>
      </c>
      <c r="K104" s="20" t="n">
        <v>6423</v>
      </c>
      <c r="L104" s="20" t="n">
        <v>6484</v>
      </c>
    </row>
    <row r="105">
      <c r="A105" s="9" t="inlineStr">
        <is>
          <t>비유동자산 합계</t>
        </is>
      </c>
      <c r="C105" s="12" t="n">
        <v>12575</v>
      </c>
      <c r="D105" s="12" t="n">
        <v>12524</v>
      </c>
      <c r="E105" s="12" t="n">
        <v>12457</v>
      </c>
      <c r="F105" s="12" t="n">
        <v>11874</v>
      </c>
      <c r="G105" s="12" t="n">
        <v>11908</v>
      </c>
      <c r="H105" s="12" t="n">
        <v>8906</v>
      </c>
      <c r="I105" s="12" t="n">
        <v>9143</v>
      </c>
      <c r="J105" s="12" t="n">
        <v>11231</v>
      </c>
      <c r="K105" s="12" t="n">
        <v>12655</v>
      </c>
      <c r="L105" s="12" t="n">
        <v>11874</v>
      </c>
    </row>
    <row r="106">
      <c r="A106" s="9" t="inlineStr">
        <is>
          <t>자산 합계</t>
        </is>
      </c>
      <c r="C106" s="12" t="n">
        <v>144121</v>
      </c>
      <c r="D106" s="12" t="n">
        <v>154925</v>
      </c>
      <c r="E106" s="12" t="n">
        <v>158331</v>
      </c>
      <c r="F106" s="12" t="n">
        <v>162211</v>
      </c>
      <c r="G106" s="12" t="n">
        <v>163594</v>
      </c>
      <c r="H106" s="12" t="n">
        <v>107801</v>
      </c>
      <c r="I106" s="12" t="n">
        <v>143452</v>
      </c>
      <c r="J106" s="12" t="n">
        <v>162567</v>
      </c>
      <c r="K106" s="12" t="n">
        <v>156841</v>
      </c>
      <c r="L106" s="12" t="n">
        <v>162211</v>
      </c>
    </row>
    <row r="107">
      <c r="A107" s="18" t="inlineStr">
        <is>
          <t>매입채무</t>
        </is>
      </c>
      <c r="C107" s="20" t="n">
        <v>17935</v>
      </c>
      <c r="D107" s="20" t="n">
        <v>17787</v>
      </c>
      <c r="E107" s="20" t="n">
        <v>20915</v>
      </c>
      <c r="F107" s="20" t="n">
        <v>23650</v>
      </c>
      <c r="G107" s="20" t="n">
        <v>21769</v>
      </c>
      <c r="H107" s="20" t="n">
        <v>15434</v>
      </c>
      <c r="I107" s="20" t="n">
        <v>20214</v>
      </c>
      <c r="J107" s="20" t="n">
        <v>22690</v>
      </c>
      <c r="K107" s="20" t="n">
        <v>19407</v>
      </c>
      <c r="L107" s="20" t="n">
        <v>23650</v>
      </c>
    </row>
    <row r="108">
      <c r="A108" s="18" t="inlineStr">
        <is>
          <t>단기차입금</t>
        </is>
      </c>
      <c r="C108" s="20" t="n">
        <v>1303</v>
      </c>
      <c r="D108" s="20" t="n">
        <v>5258</v>
      </c>
      <c r="E108" s="20" t="n">
        <v>5825</v>
      </c>
      <c r="F108" s="20" t="n">
        <v>2339</v>
      </c>
      <c r="G108" s="20" t="n">
        <v>5604</v>
      </c>
      <c r="H108" s="20" t="n">
        <v>14521</v>
      </c>
      <c r="I108" s="20" t="n">
        <v>20949</v>
      </c>
      <c r="J108" s="20" t="n">
        <v>22401</v>
      </c>
      <c r="K108" s="20" t="n">
        <v>8200</v>
      </c>
      <c r="L108" s="20" t="n">
        <v>2339</v>
      </c>
    </row>
    <row r="109">
      <c r="A109" s="18" t="inlineStr">
        <is>
          <t>기업어음(CP)</t>
        </is>
      </c>
      <c r="C109" s="20" t="n">
        <v>4000</v>
      </c>
      <c r="D109" s="20" t="n">
        <v>6000</v>
      </c>
      <c r="E109" s="20" t="n">
        <v>4000</v>
      </c>
      <c r="F109" s="20" t="n">
        <v>3000</v>
      </c>
      <c r="G109" s="20" t="n">
        <v>4000</v>
      </c>
      <c r="I109" s="20" t="n">
        <v>0</v>
      </c>
      <c r="J109" s="20" t="n">
        <v>5000</v>
      </c>
      <c r="K109" s="20" t="n">
        <v>7000</v>
      </c>
      <c r="L109" s="20" t="n">
        <v>3000</v>
      </c>
    </row>
    <row r="110">
      <c r="A110" s="18" t="inlineStr">
        <is>
          <t>1년 내 상환 장기차입금</t>
        </is>
      </c>
      <c r="C110" s="20" t="n">
        <v>2700</v>
      </c>
      <c r="D110" s="20" t="n">
        <v>2700</v>
      </c>
      <c r="E110" s="20" t="n">
        <v>9800</v>
      </c>
      <c r="F110" s="20" t="n">
        <v>9000</v>
      </c>
      <c r="G110" s="20" t="n">
        <v>9000</v>
      </c>
      <c r="H110" s="20" t="n">
        <v>4840</v>
      </c>
      <c r="I110" s="20" t="n">
        <v>3</v>
      </c>
      <c r="J110" s="20" t="n">
        <v>7000</v>
      </c>
      <c r="K110" s="20" t="n">
        <v>2700</v>
      </c>
      <c r="L110" s="20" t="n">
        <v>9000</v>
      </c>
    </row>
    <row r="111">
      <c r="A111" s="18" t="inlineStr">
        <is>
          <t>미지급법인세</t>
        </is>
      </c>
      <c r="F111" s="20" t="n">
        <v>2021</v>
      </c>
      <c r="H111" s="20" t="n">
        <v>2105</v>
      </c>
      <c r="I111" s="20" t="n">
        <v>2827</v>
      </c>
      <c r="J111" s="20" t="n">
        <v>1870</v>
      </c>
      <c r="K111" s="20" t="n">
        <v>641</v>
      </c>
      <c r="L111" s="20" t="n">
        <v>2021</v>
      </c>
    </row>
    <row r="112">
      <c r="A112" s="18" t="inlineStr">
        <is>
          <t>선수금</t>
        </is>
      </c>
      <c r="C112" s="20" t="n">
        <v>31555</v>
      </c>
      <c r="D112" s="20" t="n">
        <v>35969</v>
      </c>
      <c r="E112" s="20" t="n">
        <v>37625</v>
      </c>
      <c r="F112" s="20" t="n">
        <v>39202</v>
      </c>
      <c r="G112" s="20" t="n">
        <v>39368</v>
      </c>
      <c r="H112" s="20" t="n">
        <v>14477</v>
      </c>
      <c r="I112" s="20" t="n">
        <v>21082</v>
      </c>
      <c r="J112" s="20" t="n">
        <v>23724</v>
      </c>
      <c r="K112" s="20" t="n">
        <v>29604</v>
      </c>
      <c r="L112" s="20" t="n">
        <v>39202</v>
      </c>
    </row>
    <row r="113">
      <c r="A113" s="18" t="inlineStr">
        <is>
          <t>상여충당금</t>
        </is>
      </c>
      <c r="C113" s="20" t="n">
        <v>716</v>
      </c>
      <c r="D113" s="20" t="n">
        <v>1468</v>
      </c>
      <c r="E113" s="20" t="n">
        <v>1001</v>
      </c>
      <c r="F113" s="20" t="n">
        <v>2284</v>
      </c>
      <c r="G113" s="20" t="n">
        <v>869</v>
      </c>
      <c r="H113" s="20" t="n">
        <v>1786</v>
      </c>
      <c r="I113" s="20" t="n">
        <v>2706</v>
      </c>
      <c r="J113" s="20" t="n">
        <v>2401</v>
      </c>
      <c r="K113" s="20" t="n">
        <v>2106</v>
      </c>
      <c r="L113" s="20" t="n">
        <v>2284</v>
      </c>
    </row>
    <row r="114">
      <c r="A114" s="18" t="inlineStr">
        <is>
          <t>기타</t>
        </is>
      </c>
      <c r="C114" s="20" t="n">
        <v>4805</v>
      </c>
      <c r="D114" s="20" t="n">
        <v>4282</v>
      </c>
      <c r="E114" s="20" t="n">
        <v>5121</v>
      </c>
      <c r="F114" s="20" t="n">
        <v>5523</v>
      </c>
      <c r="G114" s="20" t="n">
        <v>5350</v>
      </c>
      <c r="H114" s="20" t="n">
        <v>3456</v>
      </c>
      <c r="I114" s="20" t="n">
        <v>2811</v>
      </c>
      <c r="J114" s="20" t="n">
        <v>5817</v>
      </c>
      <c r="K114" s="20" t="n">
        <v>4945</v>
      </c>
      <c r="L114" s="20" t="n">
        <v>5523</v>
      </c>
    </row>
    <row r="115">
      <c r="A115" s="9" t="inlineStr">
        <is>
          <t>유동부채 합계</t>
        </is>
      </c>
      <c r="C115" s="12" t="n">
        <v>63017</v>
      </c>
      <c r="D115" s="12" t="n">
        <v>73467</v>
      </c>
      <c r="E115" s="12" t="n">
        <v>84288</v>
      </c>
      <c r="F115" s="12" t="n">
        <v>85000</v>
      </c>
      <c r="G115" s="12" t="n">
        <v>85963</v>
      </c>
      <c r="H115" s="12" t="n">
        <v>56622</v>
      </c>
      <c r="I115" s="12" t="n">
        <v>70595</v>
      </c>
      <c r="J115" s="12" t="n">
        <v>89035</v>
      </c>
      <c r="K115" s="12" t="n">
        <v>74605</v>
      </c>
      <c r="L115" s="12" t="n">
        <v>85000</v>
      </c>
    </row>
    <row r="116">
      <c r="A116" s="18" t="inlineStr">
        <is>
          <t>장기차입금</t>
        </is>
      </c>
      <c r="C116" s="20" t="n">
        <v>24495</v>
      </c>
      <c r="D116" s="20" t="n">
        <v>24347</v>
      </c>
      <c r="E116" s="20" t="n">
        <v>15200</v>
      </c>
      <c r="F116" s="20" t="n">
        <v>15094</v>
      </c>
      <c r="G116" s="20" t="n">
        <v>14926</v>
      </c>
      <c r="H116" s="20" t="n">
        <v>9963</v>
      </c>
      <c r="I116" s="20" t="n">
        <v>24700</v>
      </c>
      <c r="J116" s="20" t="n">
        <v>17700</v>
      </c>
      <c r="K116" s="20" t="n">
        <v>24660</v>
      </c>
      <c r="L116" s="20" t="n">
        <v>15094</v>
      </c>
    </row>
    <row r="117">
      <c r="A117" s="18" t="inlineStr">
        <is>
          <t>퇴직급여부채</t>
        </is>
      </c>
      <c r="C117" s="20" t="n">
        <v>6513</v>
      </c>
      <c r="D117" s="20" t="n">
        <v>6613</v>
      </c>
      <c r="E117" s="20" t="n">
        <v>6566</v>
      </c>
      <c r="F117" s="20" t="n">
        <v>6175</v>
      </c>
      <c r="G117" s="20" t="n">
        <v>6097</v>
      </c>
      <c r="H117" s="20" t="n">
        <v>8166</v>
      </c>
      <c r="I117" s="20" t="n">
        <v>7626</v>
      </c>
      <c r="J117" s="20" t="n">
        <v>7440</v>
      </c>
      <c r="K117" s="20" t="n">
        <v>6591</v>
      </c>
      <c r="L117" s="20" t="n">
        <v>6175</v>
      </c>
    </row>
    <row r="118">
      <c r="A118" s="18" t="inlineStr">
        <is>
          <t>기타</t>
        </is>
      </c>
      <c r="C118" s="20" t="n">
        <v>1998</v>
      </c>
      <c r="D118" s="20" t="n">
        <v>2090</v>
      </c>
      <c r="E118" s="20" t="n">
        <v>2186</v>
      </c>
      <c r="F118" s="20" t="n">
        <v>2184</v>
      </c>
      <c r="G118" s="20" t="n">
        <v>2245</v>
      </c>
      <c r="H118" s="20" t="n">
        <v>1030</v>
      </c>
      <c r="I118" s="20" t="n">
        <v>1533</v>
      </c>
      <c r="J118" s="20" t="n">
        <v>2201</v>
      </c>
      <c r="K118" s="20" t="n">
        <v>1980</v>
      </c>
      <c r="L118" s="20" t="n">
        <v>2184</v>
      </c>
    </row>
    <row r="119">
      <c r="A119" s="9" t="inlineStr">
        <is>
          <t>비유동부채 합계</t>
        </is>
      </c>
      <c r="C119" s="12" t="n">
        <v>33007</v>
      </c>
      <c r="D119" s="12" t="n">
        <v>33051</v>
      </c>
      <c r="E119" s="12" t="n">
        <v>23953</v>
      </c>
      <c r="F119" s="12" t="n">
        <v>23454</v>
      </c>
      <c r="G119" s="12" t="n">
        <v>23268</v>
      </c>
      <c r="H119" s="12" t="n">
        <v>19160</v>
      </c>
      <c r="I119" s="12" t="n">
        <v>33859</v>
      </c>
      <c r="J119" s="12" t="n">
        <v>27341</v>
      </c>
      <c r="K119" s="12" t="n">
        <v>33232</v>
      </c>
      <c r="L119" s="12" t="n">
        <v>23454</v>
      </c>
    </row>
    <row r="120">
      <c r="A120" s="9" t="inlineStr">
        <is>
          <t>부채 합계</t>
        </is>
      </c>
      <c r="C120" s="12" t="n">
        <v>96025</v>
      </c>
      <c r="D120" s="12" t="n">
        <v>106518</v>
      </c>
      <c r="E120" s="12" t="n">
        <v>108241</v>
      </c>
      <c r="F120" s="12" t="n">
        <v>108455</v>
      </c>
      <c r="G120" s="12" t="n">
        <v>109232</v>
      </c>
      <c r="H120" s="12" t="n">
        <v>75783</v>
      </c>
      <c r="I120" s="12" t="n">
        <v>104455</v>
      </c>
      <c r="J120" s="12" t="n">
        <v>116377</v>
      </c>
      <c r="K120" s="12" t="n">
        <v>107837</v>
      </c>
      <c r="L120" s="12" t="n">
        <v>108455</v>
      </c>
    </row>
    <row r="121">
      <c r="A121" s="18" t="inlineStr">
        <is>
          <t>자본금</t>
        </is>
      </c>
      <c r="C121" s="20" t="n">
        <v>2495</v>
      </c>
      <c r="D121" s="20" t="n">
        <v>2495</v>
      </c>
      <c r="E121" s="20" t="n">
        <v>2495</v>
      </c>
      <c r="F121" s="20" t="n">
        <v>2495</v>
      </c>
      <c r="G121" s="20" t="n">
        <v>2495</v>
      </c>
      <c r="H121" s="20" t="n">
        <v>2495</v>
      </c>
      <c r="I121" s="20" t="n">
        <v>2495</v>
      </c>
      <c r="J121" s="20" t="n">
        <v>2495</v>
      </c>
      <c r="K121" s="20" t="n">
        <v>2495</v>
      </c>
      <c r="L121" s="20" t="n">
        <v>2495</v>
      </c>
    </row>
    <row r="122">
      <c r="A122" s="18" t="inlineStr">
        <is>
          <t>자본잉여금</t>
        </is>
      </c>
      <c r="C122" s="20" t="n">
        <v>5684</v>
      </c>
      <c r="D122" s="20" t="n">
        <v>5684</v>
      </c>
      <c r="E122" s="20" t="n">
        <v>5799</v>
      </c>
      <c r="F122" s="20" t="n">
        <v>5799</v>
      </c>
      <c r="G122" s="20" t="n">
        <v>5799</v>
      </c>
      <c r="H122" s="20" t="n">
        <v>5652</v>
      </c>
      <c r="I122" s="20" t="n">
        <v>5652</v>
      </c>
      <c r="J122" s="20" t="n">
        <v>5684</v>
      </c>
      <c r="K122" s="20" t="n">
        <v>5684</v>
      </c>
      <c r="L122" s="20" t="n">
        <v>5799</v>
      </c>
    </row>
    <row r="123">
      <c r="A123" s="18" t="inlineStr">
        <is>
          <t>이익잉여금</t>
        </is>
      </c>
      <c r="C123" s="20" t="n">
        <v>40408</v>
      </c>
      <c r="D123" s="20" t="n">
        <v>41770</v>
      </c>
      <c r="E123" s="20" t="n">
        <v>43124</v>
      </c>
      <c r="F123" s="20" t="n">
        <v>45936</v>
      </c>
      <c r="G123" s="20" t="n">
        <v>46332</v>
      </c>
      <c r="H123" s="20" t="n">
        <v>24262</v>
      </c>
      <c r="I123" s="20" t="n">
        <v>30482</v>
      </c>
      <c r="J123" s="20" t="n">
        <v>36363</v>
      </c>
      <c r="K123" s="20" t="n">
        <v>41289</v>
      </c>
      <c r="L123" s="20" t="n">
        <v>45936</v>
      </c>
    </row>
    <row r="124">
      <c r="A124" s="18" t="inlineStr">
        <is>
          <t>자기주식</t>
        </is>
      </c>
      <c r="C124" s="20" t="n">
        <v>-3688</v>
      </c>
      <c r="D124" s="20" t="n">
        <v>-4874</v>
      </c>
      <c r="E124" s="20" t="n">
        <v>-4748</v>
      </c>
      <c r="F124" s="20" t="n">
        <v>-4642</v>
      </c>
      <c r="G124" s="20" t="n">
        <v>-4529</v>
      </c>
      <c r="H124" s="20" t="n">
        <v>-1947</v>
      </c>
      <c r="I124" s="20" t="n">
        <v>-1813</v>
      </c>
      <c r="J124" s="20" t="n">
        <v>-1674</v>
      </c>
      <c r="K124" s="20" t="n">
        <v>-4056</v>
      </c>
      <c r="L124" s="20" t="n">
        <v>-4642</v>
      </c>
    </row>
    <row r="125">
      <c r="A125" s="9" t="inlineStr">
        <is>
          <t>주주자본 합계</t>
        </is>
      </c>
      <c r="C125" s="12" t="n">
        <v>44900</v>
      </c>
      <c r="D125" s="12" t="n">
        <v>45075</v>
      </c>
      <c r="E125" s="12" t="n">
        <v>46671</v>
      </c>
      <c r="F125" s="12" t="n">
        <v>49589</v>
      </c>
      <c r="G125" s="12" t="n">
        <v>50097</v>
      </c>
      <c r="H125" s="12" t="n">
        <v>30463</v>
      </c>
      <c r="I125" s="12" t="n">
        <v>36816</v>
      </c>
      <c r="J125" s="12" t="n">
        <v>42869</v>
      </c>
      <c r="K125" s="12" t="n">
        <v>45414</v>
      </c>
      <c r="L125" s="12" t="n">
        <v>49589</v>
      </c>
    </row>
    <row r="126">
      <c r="A126" s="18" t="inlineStr">
        <is>
          <t>기타유가증권 평가차액</t>
        </is>
      </c>
      <c r="C126" s="20" t="n">
        <v>32</v>
      </c>
      <c r="D126" s="20" t="n">
        <v>35</v>
      </c>
      <c r="E126" s="20" t="n">
        <v>47</v>
      </c>
      <c r="F126" s="20" t="n">
        <v>40</v>
      </c>
      <c r="G126" s="20" t="n">
        <v>58</v>
      </c>
      <c r="H126" s="20" t="n">
        <v>54</v>
      </c>
      <c r="I126" s="20" t="n">
        <v>82</v>
      </c>
      <c r="J126" s="20" t="n">
        <v>129</v>
      </c>
      <c r="K126" s="20" t="n">
        <v>32</v>
      </c>
      <c r="L126" s="20" t="n">
        <v>40</v>
      </c>
    </row>
    <row r="127">
      <c r="A127" s="18" t="inlineStr">
        <is>
          <t>이연헤지손익</t>
        </is>
      </c>
      <c r="C127" s="20" t="n">
        <v>4</v>
      </c>
      <c r="D127" s="20" t="n">
        <v>-27</v>
      </c>
      <c r="E127" s="20" t="n">
        <v>-54</v>
      </c>
      <c r="F127" s="20" t="n">
        <v>-50</v>
      </c>
      <c r="G127" s="20" t="n">
        <v>-10</v>
      </c>
      <c r="H127" s="20" t="n">
        <v>-155</v>
      </c>
      <c r="I127" s="20" t="n">
        <v>-136</v>
      </c>
      <c r="J127" s="20" t="n">
        <v>124</v>
      </c>
      <c r="K127" s="20" t="n">
        <v>111</v>
      </c>
      <c r="L127" s="20" t="n">
        <v>-50</v>
      </c>
    </row>
    <row r="128">
      <c r="A128" s="18" t="inlineStr">
        <is>
          <t>해외사업환산조정</t>
        </is>
      </c>
      <c r="C128" s="20" t="n">
        <v>1478</v>
      </c>
      <c r="D128" s="20" t="n">
        <v>1670</v>
      </c>
      <c r="E128" s="20" t="n">
        <v>2054</v>
      </c>
      <c r="F128" s="20" t="n">
        <v>2280</v>
      </c>
      <c r="G128" s="20" t="n">
        <v>2392</v>
      </c>
      <c r="H128" s="20" t="n">
        <v>586</v>
      </c>
      <c r="I128" s="20" t="n">
        <v>973</v>
      </c>
      <c r="J128" s="20" t="n">
        <v>1744</v>
      </c>
      <c r="K128" s="20" t="n">
        <v>1745</v>
      </c>
      <c r="L128" s="20" t="n">
        <v>2280</v>
      </c>
    </row>
    <row r="129">
      <c r="A129" s="18" t="inlineStr">
        <is>
          <t>퇴직급여 조정누계액</t>
        </is>
      </c>
      <c r="C129" s="20" t="n">
        <v>523</v>
      </c>
      <c r="D129" s="20" t="n">
        <v>490</v>
      </c>
      <c r="E129" s="20" t="n">
        <v>457</v>
      </c>
      <c r="F129" s="20" t="n">
        <v>971</v>
      </c>
      <c r="G129" s="20" t="n">
        <v>893</v>
      </c>
      <c r="H129" s="20" t="n">
        <v>4</v>
      </c>
      <c r="I129" s="20" t="n">
        <v>111</v>
      </c>
      <c r="J129" s="20" t="n">
        <v>174</v>
      </c>
      <c r="K129" s="20" t="n">
        <v>556</v>
      </c>
      <c r="L129" s="20" t="n">
        <v>971</v>
      </c>
    </row>
    <row r="130">
      <c r="A130" s="18" t="inlineStr">
        <is>
          <t>기타포괄손익누계액 합계</t>
        </is>
      </c>
      <c r="C130" s="20" t="n">
        <v>2039</v>
      </c>
      <c r="D130" s="20" t="n">
        <v>2168</v>
      </c>
      <c r="E130" s="20" t="n">
        <v>2504</v>
      </c>
      <c r="F130" s="20" t="n">
        <v>3241</v>
      </c>
      <c r="G130" s="20" t="n">
        <v>3334</v>
      </c>
      <c r="H130" s="20" t="n">
        <v>489</v>
      </c>
      <c r="I130" s="20" t="n">
        <v>1031</v>
      </c>
      <c r="J130" s="20" t="n">
        <v>2172</v>
      </c>
      <c r="K130" s="20" t="n">
        <v>2446</v>
      </c>
      <c r="L130" s="20" t="n">
        <v>3241</v>
      </c>
    </row>
    <row r="131">
      <c r="A131" s="18" t="inlineStr">
        <is>
          <t>비지배지분</t>
        </is>
      </c>
      <c r="C131" s="20" t="n">
        <v>1156</v>
      </c>
      <c r="D131" s="20" t="n">
        <v>1162</v>
      </c>
      <c r="E131" s="20" t="n">
        <v>912</v>
      </c>
      <c r="F131" s="20" t="n">
        <v>925</v>
      </c>
      <c r="G131" s="20" t="n">
        <v>929</v>
      </c>
      <c r="H131" s="20" t="n">
        <v>1065</v>
      </c>
      <c r="I131" s="20" t="n">
        <v>1148</v>
      </c>
      <c r="J131" s="20" t="n">
        <v>1148</v>
      </c>
      <c r="K131" s="20" t="n">
        <v>1143</v>
      </c>
      <c r="L131" s="20" t="n">
        <v>925</v>
      </c>
    </row>
    <row r="132">
      <c r="A132" s="9" t="inlineStr">
        <is>
          <t>순자산 합계</t>
        </is>
      </c>
      <c r="C132" s="12" t="n">
        <v>48095</v>
      </c>
      <c r="D132" s="12" t="n">
        <v>48406</v>
      </c>
      <c r="E132" s="12" t="n">
        <v>50089</v>
      </c>
      <c r="F132" s="12" t="n">
        <v>53756</v>
      </c>
      <c r="G132" s="12" t="n">
        <v>54361</v>
      </c>
      <c r="H132" s="12" t="n">
        <v>32018</v>
      </c>
      <c r="I132" s="12" t="n">
        <v>38997</v>
      </c>
      <c r="J132" s="12" t="n">
        <v>46190</v>
      </c>
      <c r="K132" s="12" t="n">
        <v>49004</v>
      </c>
      <c r="L132" s="12" t="n">
        <v>53756</v>
      </c>
    </row>
    <row r="133">
      <c r="A133" s="9" t="inlineStr">
        <is>
          <t>부채·순자산 합계</t>
        </is>
      </c>
      <c r="C133" s="12" t="n">
        <v>144121</v>
      </c>
      <c r="D133" s="12" t="n">
        <v>154925</v>
      </c>
      <c r="E133" s="12" t="n">
        <v>158331</v>
      </c>
      <c r="F133" s="12" t="n">
        <v>162211</v>
      </c>
      <c r="G133" s="12" t="n">
        <v>163594</v>
      </c>
      <c r="H133" s="12" t="n">
        <v>107801</v>
      </c>
      <c r="I133" s="12" t="n">
        <v>143452</v>
      </c>
      <c r="J133" s="12" t="n">
        <v>162567</v>
      </c>
      <c r="K133" s="12" t="n">
        <v>156841</v>
      </c>
      <c r="L133" s="12" t="n">
        <v>162211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1분기 결산단신</t>
        </is>
      </c>
      <c r="C4" t="inlineStr">
        <is>
          <t>https://www2.jpx.co.jp/disc/27600/140120260728501090.pdf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https://www2.jpx.co.jp/disc/27600/140120260427511634.pdf</t>
        </is>
      </c>
    </row>
    <row r="6">
      <c r="A6" t="inlineStr">
        <is>
          <t>2026-02-02</t>
        </is>
      </c>
      <c r="B6" t="inlineStr">
        <is>
          <t>2026년 3월 결산기 3분기 결산단신</t>
        </is>
      </c>
      <c r="C6" t="inlineStr">
        <is>
          <t>https://www2.jpx.co.jp/disc/27600/140120260202544463.pdf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https://www2.jpx.co.jp/disc/27600/140120251029581081.pdf</t>
        </is>
      </c>
    </row>
    <row r="8">
      <c r="A8" t="inlineStr">
        <is>
          <t>2025-07-29</t>
        </is>
      </c>
      <c r="B8" t="inlineStr">
        <is>
          <t>2026년 3월 결산기 1분기 결산단신</t>
        </is>
      </c>
      <c r="C8" t="inlineStr">
        <is>
          <t>https://www2.jpx.co.jp/disc/27600/140120250729522201.pdf</t>
        </is>
      </c>
    </row>
    <row r="9">
      <c r="A9" t="inlineStr">
        <is>
          <t>2025-04-28</t>
        </is>
      </c>
      <c r="B9" t="inlineStr">
        <is>
          <t>2025년 3월 결산기 연간 결산단신</t>
        </is>
      </c>
      <c r="C9" t="inlineStr">
        <is>
          <t>https://www2.jpx.co.jp/disc/27600/140120250428525656.pdf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https://www2.jpx.co.jp/disc/27600/140120250131559662.pdf</t>
        </is>
      </c>
    </row>
    <row r="11">
      <c r="A11" t="inlineStr">
        <is>
          <t>2024-11-01</t>
        </is>
      </c>
      <c r="B11" t="inlineStr">
        <is>
          <t>2025년 3월 결산기 2분기 결산단신</t>
        </is>
      </c>
      <c r="C11" t="inlineStr">
        <is>
          <t>https://www2.jpx.co.jp/disc/27600/140120241101509315.pdf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https://www2.jpx.co.jp/disc/27600/140120240731559046.pdf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https://www2.jpx.co.jp/disc/27600/140120240430579664.pdf</t>
        </is>
      </c>
    </row>
    <row r="14">
      <c r="A14" t="inlineStr">
        <is>
          <t>2024-02-02</t>
        </is>
      </c>
      <c r="B14" t="inlineStr">
        <is>
          <t>2024년 3월 결산기 3분기 결산단신</t>
        </is>
      </c>
      <c r="C14" t="inlineStr">
        <is>
          <t>https://www2.jpx.co.jp/disc/27600/140120240201524684.pdf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https://www2.jpx.co.jp/disc/27600/140120231031575658.pdf</t>
        </is>
      </c>
    </row>
    <row r="16">
      <c r="A16" t="inlineStr">
        <is>
          <t>2023-08-01</t>
        </is>
      </c>
      <c r="B16" t="inlineStr">
        <is>
          <t>2024년 3월 결산기 1분기 결산단신</t>
        </is>
      </c>
      <c r="C16" t="inlineStr">
        <is>
          <t>https://www2.jpx.co.jp/disc/27600/140120230801531832.pdf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https://www2.jpx.co.jp/disc/27600/140120230427555282.pdf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https://www2.jpx.co.jp/disc/27600/140120230130596089.pdf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https://www2.jpx.co.jp/disc/27600/140120221028552301.pdf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https://www2.jpx.co.jp/disc/27600/140120220418523326.pdf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https://www2.jpx.co.jp/disc/27600/140120210427401538.pdf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https://www2.jpx.co.jp/disc/27600/140120200428401541.pdf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https://www2.jpx.co.jp/disc/27600/140120190425411108.pdf</t>
        </is>
      </c>
    </row>
    <row r="24">
      <c r="A24" t="inlineStr">
        <is>
          <t>2018-04-24</t>
        </is>
      </c>
      <c r="B24" t="inlineStr">
        <is>
          <t>연간 결산단신</t>
        </is>
      </c>
      <c r="C24" t="inlineStr">
        <is>
          <t>https://www2.jpx.co.jp/disc/27600/140120180423417807.pdf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2026-10-26T10:53:17Z</dcterms:created>
  <dcterms:modified xmlns:dcterms="http://purl.org/dc/terms/" xmlns:xsi="http://www.w3.org/2001/XMLSchema-instance" xsi:type="dcterms:W3CDTF">2026-10-26T10:53:17Z</dcterms:modified>
</cp:coreProperties>
</file>