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4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2760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60686</v>
      </c>
      <c r="D4" s="12" t="n">
        <v>60050</v>
      </c>
      <c r="E4" s="12" t="n">
        <v>63140</v>
      </c>
      <c r="F4" s="12" t="n">
        <v>56607</v>
      </c>
      <c r="G4" s="12" t="n">
        <v>55105</v>
      </c>
      <c r="H4" s="12" t="n">
        <v>50384</v>
      </c>
      <c r="I4" s="12" t="n">
        <v>54283</v>
      </c>
      <c r="J4" s="12" t="n">
        <v>45136</v>
      </c>
      <c r="K4" s="12" t="n">
        <v>51108</v>
      </c>
      <c r="L4" s="12" t="n">
        <v>50472</v>
      </c>
      <c r="M4" s="12" t="n">
        <v>57032</v>
      </c>
      <c r="N4" s="12" t="n">
        <v>60322</v>
      </c>
      <c r="O4" s="11" t="n">
        <v>131855</v>
      </c>
      <c r="P4" s="12" t="n">
        <v>159841</v>
      </c>
      <c r="Q4" s="12" t="n">
        <v>141000</v>
      </c>
      <c r="R4" s="12" t="n">
        <v>135394</v>
      </c>
      <c r="S4" s="12" t="n">
        <v>143268</v>
      </c>
      <c r="T4" s="12" t="n">
        <v>179907</v>
      </c>
      <c r="U4" s="12" t="n">
        <v>240350</v>
      </c>
      <c r="V4" s="12" t="n">
        <v>242888</v>
      </c>
      <c r="W4" s="12" t="n">
        <v>216379</v>
      </c>
      <c r="X4" s="12" t="n">
        <v>203748</v>
      </c>
      <c r="Y4" s="11">
        <f>IF(COUNT(Y7,Y10,Y13)=0,"",SUM(Y7,Y10,Y13))</f>
        <v/>
      </c>
      <c r="Z4" s="12">
        <f>IF(COUNT(Z7,Z10,Z13)=0,"",SUM(Z7,Z10,Z13))</f>
        <v/>
      </c>
      <c r="AA4" s="12">
        <f>IF(COUNT(AA7,AA10,AA13)=0,"",SUM(AA7,AA10,AA13))</f>
        <v/>
      </c>
      <c r="AB4" s="12">
        <f>IF(COUNT(AB7,AB10,AB13)=0,"",SUM(AB7,AB10,AB13))</f>
        <v/>
      </c>
      <c r="AC4" s="12">
        <f>IF(COUNT(AC7,AC10,AC13)=0,"",SUM(AC7,AC10,AC13))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SemiconductorAndElectronicDeviceReportableSegmentsMember</t>
        </is>
      </c>
      <c r="B7" s="10" t="n"/>
      <c r="C7" s="19" t="n">
        <v>53432</v>
      </c>
      <c r="D7" s="20" t="n">
        <v>53463</v>
      </c>
      <c r="E7" s="20" t="n">
        <v>51102</v>
      </c>
      <c r="F7" s="20" t="n">
        <v>47865</v>
      </c>
      <c r="G7" s="20" t="n">
        <v>46159</v>
      </c>
      <c r="H7" s="20" t="n">
        <v>41924</v>
      </c>
      <c r="I7" s="20" t="n">
        <v>43103</v>
      </c>
      <c r="J7" s="20" t="n">
        <v>36394</v>
      </c>
      <c r="K7" s="20" t="n">
        <v>40654</v>
      </c>
      <c r="L7" s="20" t="n">
        <v>40256</v>
      </c>
      <c r="M7" s="20" t="n">
        <v>45239</v>
      </c>
      <c r="N7" s="20" t="n">
        <v>50354</v>
      </c>
      <c r="O7" s="19" t="n"/>
      <c r="P7" s="20" t="n"/>
      <c r="Q7" s="20" t="n"/>
      <c r="R7" s="20" t="n"/>
      <c r="S7" s="20" t="n"/>
      <c r="T7" s="20" t="n"/>
      <c r="U7" s="20" t="n"/>
      <c r="V7" s="20" t="n">
        <v>209909</v>
      </c>
      <c r="W7" s="20" t="n">
        <v>179051</v>
      </c>
      <c r="X7" s="20" t="n">
        <v>162543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ComputerSystemReportableSegmentsMember</t>
        </is>
      </c>
      <c r="B10" s="10" t="n"/>
      <c r="C10" s="19" t="n">
        <v>7254</v>
      </c>
      <c r="D10" s="20" t="n">
        <v>6587</v>
      </c>
      <c r="E10" s="20" t="n">
        <v>12038</v>
      </c>
      <c r="F10" s="20" t="n">
        <v>8741</v>
      </c>
      <c r="G10" s="20" t="n">
        <v>8946</v>
      </c>
      <c r="H10" s="20" t="n">
        <v>8460</v>
      </c>
      <c r="I10" s="20" t="n">
        <v>11180</v>
      </c>
      <c r="J10" s="20" t="n">
        <v>8741</v>
      </c>
      <c r="K10" s="20" t="n">
        <v>10454</v>
      </c>
      <c r="L10" s="20" t="n">
        <v>10216</v>
      </c>
      <c r="M10" s="20" t="n">
        <v>11793</v>
      </c>
      <c r="N10" s="20" t="n">
        <v>9967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32978</v>
      </c>
      <c r="W10" s="20" t="n">
        <v>37327</v>
      </c>
      <c r="X10" s="20" t="n">
        <v>41204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EntityTotalMember</t>
        </is>
      </c>
      <c r="B13" s="10" t="n"/>
      <c r="C13" s="19" t="n"/>
      <c r="D13" s="20" t="n"/>
      <c r="E13" s="20" t="n"/>
      <c r="F13" s="20" t="n">
        <v>56607</v>
      </c>
      <c r="G13" s="20" t="n"/>
      <c r="H13" s="20" t="n"/>
      <c r="I13" s="20" t="n"/>
      <c r="J13" s="20" t="n">
        <v>45136</v>
      </c>
      <c r="K13" s="20" t="n"/>
      <c r="L13" s="20" t="n"/>
      <c r="M13" s="20" t="n"/>
      <c r="N13" s="20" t="n">
        <v>60322</v>
      </c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6" t="inlineStr">
        <is>
          <t>매출원가</t>
        </is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7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7" t="n"/>
      <c r="Z16" s="16" t="n"/>
      <c r="AA16" s="16" t="n"/>
      <c r="AB16" s="16" t="n"/>
      <c r="AC16" s="16" t="n"/>
    </row>
    <row r="17">
      <c r="A17" s="18" t="inlineStr">
        <is>
          <t>전체 매출원가</t>
        </is>
      </c>
      <c r="B17" s="10" t="n"/>
      <c r="C17" s="19" t="n">
        <v>51595</v>
      </c>
      <c r="D17" s="20" t="n">
        <v>51050</v>
      </c>
      <c r="E17" s="20" t="n">
        <v>52984</v>
      </c>
      <c r="F17" s="20" t="n">
        <v>47411</v>
      </c>
      <c r="G17" s="20" t="n">
        <v>47877</v>
      </c>
      <c r="H17" s="20" t="n">
        <v>42132</v>
      </c>
      <c r="I17" s="20" t="n">
        <v>45226</v>
      </c>
      <c r="J17" s="20" t="n">
        <v>38681</v>
      </c>
      <c r="K17" s="20" t="n">
        <v>43717</v>
      </c>
      <c r="L17" s="20" t="n">
        <v>42392</v>
      </c>
      <c r="M17" s="20" t="n">
        <v>47416</v>
      </c>
      <c r="N17" s="20" t="n">
        <v>51015</v>
      </c>
      <c r="O17" s="19" t="n">
        <v>116709</v>
      </c>
      <c r="P17" s="20" t="n">
        <v>142160</v>
      </c>
      <c r="Q17" s="20" t="n">
        <v>121295</v>
      </c>
      <c r="R17" s="20" t="n">
        <v>115491</v>
      </c>
      <c r="S17" s="20" t="n">
        <v>122666</v>
      </c>
      <c r="T17" s="20" t="n">
        <v>154268</v>
      </c>
      <c r="U17" s="20" t="n">
        <v>206106</v>
      </c>
      <c r="V17" s="20" t="n">
        <v>205720</v>
      </c>
      <c r="W17" s="20" t="n">
        <v>182646</v>
      </c>
      <c r="X17" s="20" t="n">
        <v>172206</v>
      </c>
      <c r="Y17" s="19" t="n"/>
      <c r="Z17" s="20" t="n"/>
      <c r="AA17" s="20" t="n"/>
      <c r="AB17" s="20" t="n"/>
      <c r="AC17" s="20" t="n"/>
    </row>
    <row r="18">
      <c r="A18" s="18" t="inlineStr">
        <is>
          <t>매출총이익</t>
        </is>
      </c>
      <c r="B18" s="10" t="n"/>
      <c r="C18" s="19">
        <f>IF(OR(C4="",C17=""),"",IFERROR(C4-C17,""))</f>
        <v/>
      </c>
      <c r="D18" s="20">
        <f>IF(OR(D4="",D17=""),"",IFERROR(D4-D17,""))</f>
        <v/>
      </c>
      <c r="E18" s="20">
        <f>IF(OR(E4="",E17=""),"",IFERROR(E4-E17,""))</f>
        <v/>
      </c>
      <c r="F18" s="20">
        <f>IF(OR(F4="",F17=""),"",IFERROR(F4-F17,""))</f>
        <v/>
      </c>
      <c r="G18" s="20">
        <f>IF(OR(G4="",G17=""),"",IFERROR(G4-G17,""))</f>
        <v/>
      </c>
      <c r="H18" s="20">
        <f>IF(OR(H4="",H17=""),"",IFERROR(H4-H17,""))</f>
        <v/>
      </c>
      <c r="I18" s="20">
        <f>IF(OR(I4="",I17=""),"",IFERROR(I4-I17,""))</f>
        <v/>
      </c>
      <c r="J18" s="20">
        <f>IF(OR(J4="",J17=""),"",IFERROR(J4-J17,""))</f>
        <v/>
      </c>
      <c r="K18" s="20">
        <f>IF(OR(K4="",K17=""),"",IFERROR(K4-K17,""))</f>
        <v/>
      </c>
      <c r="L18" s="20">
        <f>IF(OR(L4="",L17=""),"",IFERROR(L4-L17,""))</f>
        <v/>
      </c>
      <c r="M18" s="20">
        <f>IF(OR(M4="",M17=""),"",IFERROR(M4-M17,""))</f>
        <v/>
      </c>
      <c r="N18" s="20">
        <f>IF(OR(N4="",N17=""),"",IFERROR(N4-N17,""))</f>
        <v/>
      </c>
      <c r="O18" s="19">
        <f>IF(OR(O4="",O17=""),"",IFERROR(O4-O17,""))</f>
        <v/>
      </c>
      <c r="P18" s="20">
        <f>IF(OR(P4="",P17=""),"",IFERROR(P4-P17,""))</f>
        <v/>
      </c>
      <c r="Q18" s="20">
        <f>IF(OR(Q4="",Q17=""),"",IFERROR(Q4-Q17,""))</f>
        <v/>
      </c>
      <c r="R18" s="20">
        <f>IF(OR(R4="",R17=""),"",IFERROR(R4-R17,""))</f>
        <v/>
      </c>
      <c r="S18" s="20">
        <f>IF(OR(S4="",S17=""),"",IFERROR(S4-S17,""))</f>
        <v/>
      </c>
      <c r="T18" s="20">
        <f>IF(OR(T4="",T17=""),"",IFERROR(T4-T17,""))</f>
        <v/>
      </c>
      <c r="U18" s="20">
        <f>IF(OR(U4="",U17=""),"",IFERROR(U4-U17,""))</f>
        <v/>
      </c>
      <c r="V18" s="20">
        <f>IF(OR(V4="",V17=""),"",IFERROR(V4-V17,""))</f>
        <v/>
      </c>
      <c r="W18" s="20">
        <f>IF(OR(W4="",W17=""),"",IFERROR(W4-W17,""))</f>
        <v/>
      </c>
      <c r="X18" s="20">
        <f>IF(OR(X4="",X17=""),"",IFERROR(X4-X17,""))</f>
        <v/>
      </c>
      <c r="Y18" s="19" t="n"/>
      <c r="Z18" s="20" t="n"/>
      <c r="AA18" s="20" t="n"/>
      <c r="AB18" s="20" t="n"/>
      <c r="AC18" s="20" t="n"/>
    </row>
    <row r="19">
      <c r="A19" s="13" t="inlineStr">
        <is>
          <t>GPM</t>
        </is>
      </c>
      <c r="B19" s="10" t="n"/>
      <c r="C19" s="14">
        <f>IF(OR(C18="",C4=""),"",IFERROR(C18/C4,""))</f>
        <v/>
      </c>
      <c r="D19" s="15">
        <f>IF(OR(D18="",D4=""),"",IFERROR(D18/D4,""))</f>
        <v/>
      </c>
      <c r="E19" s="15">
        <f>IF(OR(E18="",E4=""),"",IFERROR(E18/E4,""))</f>
        <v/>
      </c>
      <c r="F19" s="15">
        <f>IF(OR(F18="",F4=""),"",IFERROR(F18/F4,""))</f>
        <v/>
      </c>
      <c r="G19" s="15">
        <f>IF(OR(G18="",G4=""),"",IFERROR(G18/G4,""))</f>
        <v/>
      </c>
      <c r="H19" s="15">
        <f>IF(OR(H18="",H4=""),"",IFERROR(H18/H4,""))</f>
        <v/>
      </c>
      <c r="I19" s="15">
        <f>IF(OR(I18="",I4=""),"",IFERROR(I18/I4,""))</f>
        <v/>
      </c>
      <c r="J19" s="15">
        <f>IF(OR(J18="",J4=""),"",IFERROR(J18/J4,""))</f>
        <v/>
      </c>
      <c r="K19" s="15">
        <f>IF(OR(K18="",K4=""),"",IFERROR(K18/K4,""))</f>
        <v/>
      </c>
      <c r="L19" s="15">
        <f>IF(OR(L18="",L4=""),"",IFERROR(L18/L4,""))</f>
        <v/>
      </c>
      <c r="M19" s="15">
        <f>IF(OR(M18="",M4=""),"",IFERROR(M18/M4,""))</f>
        <v/>
      </c>
      <c r="N19" s="15">
        <f>IF(OR(N18="",N4=""),"",IFERROR(N18/N4,""))</f>
        <v/>
      </c>
      <c r="O19" s="14">
        <f>IF(OR(O18="",O4=""),"",IFERROR(O18/O4,""))</f>
        <v/>
      </c>
      <c r="P19" s="15">
        <f>IF(OR(P18="",P4=""),"",IFERROR(P18/P4,""))</f>
        <v/>
      </c>
      <c r="Q19" s="15">
        <f>IF(OR(Q18="",Q4=""),"",IFERROR(Q18/Q4,""))</f>
        <v/>
      </c>
      <c r="R19" s="15">
        <f>IF(OR(R18="",R4=""),"",IFERROR(R18/R4,""))</f>
        <v/>
      </c>
      <c r="S19" s="15">
        <f>IF(OR(S18="",S4=""),"",IFERROR(S18/S4,""))</f>
        <v/>
      </c>
      <c r="T19" s="15">
        <f>IF(OR(T18="",T4=""),"",IFERROR(T18/T4,""))</f>
        <v/>
      </c>
      <c r="U19" s="15">
        <f>IF(OR(U18="",U4=""),"",IFERROR(U18/U4,""))</f>
        <v/>
      </c>
      <c r="V19" s="15">
        <f>IF(OR(V18="",V4=""),"",IFERROR(V18/V4,""))</f>
        <v/>
      </c>
      <c r="W19" s="15">
        <f>IF(OR(W18="",W4=""),"",IFERROR(W18/W4,""))</f>
        <v/>
      </c>
      <c r="X19" s="15">
        <f>IF(OR(X18="",X4=""),"",IFERROR(X18/X4,""))</f>
        <v/>
      </c>
      <c r="Y19" s="14">
        <f>IF(OR(Y18="",Y4=""),"",IFERROR(Y18/Y4,""))</f>
        <v/>
      </c>
      <c r="Z19" s="15">
        <f>IF(OR(Z18="",Z4=""),"",IFERROR(Z18/Z4,""))</f>
        <v/>
      </c>
      <c r="AA19" s="15">
        <f>IF(OR(AA18="",AA4=""),"",IFERROR(AA18/AA4,""))</f>
        <v/>
      </c>
      <c r="AB19" s="15">
        <f>IF(OR(AB18="",AB4=""),"",IFERROR(AB18/AB4,""))</f>
        <v/>
      </c>
      <c r="AC19" s="15">
        <f>IF(OR(AC18="",AC4=""),"",IFERROR(AC18/AC4,""))</f>
        <v/>
      </c>
    </row>
    <row r="20">
      <c r="A20" s="23" t="inlineStr">
        <is>
          <t>판매관리비</t>
        </is>
      </c>
      <c r="B20" s="23" t="n"/>
      <c r="C20" s="24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4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4" t="n"/>
      <c r="Z20" s="23" t="n"/>
      <c r="AA20" s="23" t="n"/>
      <c r="AB20" s="23" t="n"/>
      <c r="AC20" s="23" t="n"/>
    </row>
    <row r="21">
      <c r="A21" s="18" t="inlineStr">
        <is>
          <t>전체 판관비</t>
        </is>
      </c>
      <c r="B21" s="10" t="n"/>
      <c r="C21" s="19" t="n">
        <v>5566</v>
      </c>
      <c r="D21" s="20" t="n">
        <v>5293</v>
      </c>
      <c r="E21" s="20" t="n">
        <v>5588</v>
      </c>
      <c r="F21" s="20" t="n">
        <v>4942</v>
      </c>
      <c r="G21" s="20" t="n">
        <v>5189</v>
      </c>
      <c r="H21" s="20" t="n">
        <v>5686</v>
      </c>
      <c r="I21" s="20" t="n">
        <v>5457</v>
      </c>
      <c r="J21" s="20" t="n">
        <v>4999</v>
      </c>
      <c r="K21" s="20" t="n">
        <v>5284</v>
      </c>
      <c r="L21" s="20" t="n">
        <v>5336</v>
      </c>
      <c r="M21" s="20" t="n">
        <v>5669</v>
      </c>
      <c r="N21" s="20" t="n">
        <v>5240</v>
      </c>
      <c r="O21" s="19" t="n">
        <v>13481</v>
      </c>
      <c r="P21" s="20" t="n">
        <v>14924</v>
      </c>
      <c r="Q21" s="20" t="n">
        <v>16179</v>
      </c>
      <c r="R21" s="20" t="n">
        <v>16091</v>
      </c>
      <c r="S21" s="20" t="n">
        <v>15981</v>
      </c>
      <c r="T21" s="20" t="n">
        <v>17506</v>
      </c>
      <c r="U21" s="20" t="n">
        <v>20016</v>
      </c>
      <c r="V21" s="20" t="n">
        <v>21739</v>
      </c>
      <c r="W21" s="20" t="n">
        <v>21274</v>
      </c>
      <c r="X21" s="20" t="n">
        <v>21288</v>
      </c>
      <c r="Y21" s="19" t="n"/>
      <c r="Z21" s="20" t="n"/>
      <c r="AA21" s="20" t="n"/>
      <c r="AB21" s="20" t="n"/>
      <c r="AC21" s="20" t="n"/>
    </row>
    <row r="22">
      <c r="A22" s="9" t="inlineStr">
        <is>
          <t>영업이익</t>
        </is>
      </c>
      <c r="B22" s="10" t="inlineStr">
        <is>
          <t>MW = 매출 × OPM</t>
        </is>
      </c>
      <c r="C22" s="11" t="n">
        <v>3525</v>
      </c>
      <c r="D22" s="12" t="n">
        <v>3707</v>
      </c>
      <c r="E22" s="12" t="n">
        <v>4568</v>
      </c>
      <c r="F22" s="12" t="n">
        <v>4252</v>
      </c>
      <c r="G22" s="12" t="n">
        <v>2040</v>
      </c>
      <c r="H22" s="12" t="n">
        <v>2566</v>
      </c>
      <c r="I22" s="12" t="n">
        <v>3599</v>
      </c>
      <c r="J22" s="12" t="n">
        <v>1455</v>
      </c>
      <c r="K22" s="12" t="n">
        <v>2106</v>
      </c>
      <c r="L22" s="12" t="n">
        <v>2745</v>
      </c>
      <c r="M22" s="12" t="n">
        <v>3947</v>
      </c>
      <c r="N22" s="12" t="n">
        <v>4066</v>
      </c>
      <c r="O22" s="11" t="n">
        <v>1665</v>
      </c>
      <c r="P22" s="12" t="n">
        <v>2755</v>
      </c>
      <c r="Q22" s="12" t="n">
        <v>3525</v>
      </c>
      <c r="R22" s="12" t="n">
        <v>3810</v>
      </c>
      <c r="S22" s="12" t="n">
        <v>4620</v>
      </c>
      <c r="T22" s="12" t="n">
        <v>8131</v>
      </c>
      <c r="U22" s="12" t="n">
        <v>14227</v>
      </c>
      <c r="V22" s="12" t="n">
        <v>15428</v>
      </c>
      <c r="W22" s="12" t="n">
        <v>12457</v>
      </c>
      <c r="X22" s="12" t="n">
        <v>10253</v>
      </c>
      <c r="Y22" s="11">
        <f>IF(OR(Y4="",Y23=""),"",IFERROR(Y4*Y23,""))</f>
        <v/>
      </c>
      <c r="Z22" s="12">
        <f>IF(OR(Z4="",Z23=""),"",IFERROR(Z4*Z23,""))</f>
        <v/>
      </c>
      <c r="AA22" s="12">
        <f>IF(OR(AA4="",AA23=""),"",IFERROR(AA4*AA23,""))</f>
        <v/>
      </c>
      <c r="AB22" s="12">
        <f>IF(OR(AB4="",AB23=""),"",IFERROR(AB4*AB23,""))</f>
        <v/>
      </c>
      <c r="AC22" s="12">
        <f>IF(OR(AC4="",AC23=""),"",IFERROR(AC4*AC23,""))</f>
        <v/>
      </c>
    </row>
    <row r="23">
      <c r="A23" s="13" t="inlineStr">
        <is>
          <t>OPM</t>
        </is>
      </c>
      <c r="B23" s="10" t="inlineStr">
        <is>
          <t>MW 입력</t>
        </is>
      </c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25" t="n"/>
      <c r="Z23" s="26" t="n"/>
      <c r="AA23" s="26" t="n"/>
      <c r="AB23" s="26" t="n"/>
      <c r="AC23" s="26" t="n"/>
    </row>
    <row r="24">
      <c r="A24" s="13" t="inlineStr">
        <is>
          <t>증가율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비용의 성격별 분류</t>
        </is>
      </c>
      <c r="B25" s="16" t="inlineStr">
        <is>
          <t>참고 데이터</t>
        </is>
      </c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9" t="inlineStr">
        <is>
          <t>총 판관비</t>
        </is>
      </c>
      <c r="B26" s="10" t="n"/>
      <c r="C26" s="11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1">
        <f>IF(O21="","",O21)</f>
        <v/>
      </c>
      <c r="P26" s="12">
        <f>IF(P21="","",P21)</f>
        <v/>
      </c>
      <c r="Q26" s="12">
        <f>IF(Q21="","",Q21)</f>
        <v/>
      </c>
      <c r="R26" s="12">
        <f>IF(R21="","",R21)</f>
        <v/>
      </c>
      <c r="S26" s="12">
        <f>IF(S21="","",S21)</f>
        <v/>
      </c>
      <c r="T26" s="12">
        <f>IF(T21="","",T21)</f>
        <v/>
      </c>
      <c r="U26" s="12">
        <f>IF(U21="","",U21)</f>
        <v/>
      </c>
      <c r="V26" s="12">
        <f>IF(V21="","",V21)</f>
        <v/>
      </c>
      <c r="W26" s="12">
        <f>IF(W21="","",W21)</f>
        <v/>
      </c>
      <c r="X26" s="12">
        <f>IF(X21="","",X21)</f>
        <v/>
      </c>
      <c r="Y26" s="11" t="n"/>
      <c r="Z26" s="12" t="n"/>
      <c r="AA26" s="12" t="n"/>
      <c r="AB26" s="12" t="n"/>
      <c r="AC26" s="12" t="n"/>
    </row>
    <row r="27">
      <c r="A27" s="18" t="inlineStr">
        <is>
          <t>급여</t>
        </is>
      </c>
      <c r="B27" s="10" t="inlineStr">
        <is>
          <t>고정비</t>
        </is>
      </c>
      <c r="C27" s="19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19" t="n">
        <v>5595</v>
      </c>
      <c r="P27" s="20" t="n">
        <v>5764</v>
      </c>
      <c r="Q27" s="20" t="n">
        <v>6252</v>
      </c>
      <c r="R27" s="20" t="n">
        <v>6471</v>
      </c>
      <c r="S27" s="20" t="n">
        <v>6670</v>
      </c>
      <c r="T27" s="20" t="n">
        <v>6925</v>
      </c>
      <c r="U27" s="20" t="n">
        <v>7129</v>
      </c>
      <c r="V27" s="20" t="n">
        <v>7463</v>
      </c>
      <c r="W27" s="20" t="n">
        <v>7930</v>
      </c>
      <c r="X27" s="20" t="n">
        <v>8400</v>
      </c>
      <c r="Y27" s="19" t="n"/>
      <c r="Z27" s="20" t="n"/>
      <c r="AA27" s="20" t="n"/>
      <c r="AB27" s="20" t="n"/>
      <c r="AC27" s="20" t="n"/>
    </row>
    <row r="28">
      <c r="A28" s="13" t="inlineStr">
        <is>
          <t>% of Sales</t>
        </is>
      </c>
      <c r="B28" s="10" t="n"/>
      <c r="C28" s="14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4">
        <f>IF(OR(O27="",O4=""),"",IFERROR(O27/O4,""))</f>
        <v/>
      </c>
      <c r="P28" s="15">
        <f>IF(OR(P27="",P4=""),"",IFERROR(P27/P4,""))</f>
        <v/>
      </c>
      <c r="Q28" s="15">
        <f>IF(OR(Q27="",Q4=""),"",IFERROR(Q27/Q4,""))</f>
        <v/>
      </c>
      <c r="R28" s="15">
        <f>IF(OR(R27="",R4=""),"",IFERROR(R27/R4,""))</f>
        <v/>
      </c>
      <c r="S28" s="15">
        <f>IF(OR(S27="",S4=""),"",IFERROR(S27/S4,""))</f>
        <v/>
      </c>
      <c r="T28" s="15">
        <f>IF(OR(T27="",T4=""),"",IFERROR(T27/T4,""))</f>
        <v/>
      </c>
      <c r="U28" s="15">
        <f>IF(OR(U27="",U4=""),"",IFERROR(U27/U4,""))</f>
        <v/>
      </c>
      <c r="V28" s="15">
        <f>IF(OR(V27="",V4=""),"",IFERROR(V27/V4,""))</f>
        <v/>
      </c>
      <c r="W28" s="15">
        <f>IF(OR(W27="",W4=""),"",IFERROR(W27/W4,""))</f>
        <v/>
      </c>
      <c r="X28" s="15">
        <f>IF(OR(X27="",X4=""),"",IFERROR(X27/X4,""))</f>
        <v/>
      </c>
      <c r="Y28" s="14" t="n"/>
      <c r="Z28" s="15" t="n"/>
      <c r="AA28" s="15" t="n"/>
      <c r="AB28" s="15" t="n"/>
      <c r="AC28" s="15" t="n"/>
    </row>
    <row r="29">
      <c r="A29" s="18" t="inlineStr">
        <is>
          <t>감가상각비</t>
        </is>
      </c>
      <c r="B29" s="10" t="inlineStr">
        <is>
          <t>고정비</t>
        </is>
      </c>
      <c r="C29" s="19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19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19" t="n"/>
      <c r="Z29" s="20" t="n"/>
      <c r="AA29" s="20" t="n"/>
      <c r="AB29" s="20" t="n"/>
      <c r="AC29" s="20" t="n"/>
    </row>
    <row r="30">
      <c r="A30" s="13" t="inlineStr">
        <is>
          <t>% of Sales</t>
        </is>
      </c>
      <c r="B30" s="10" t="n"/>
      <c r="C30" s="14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4">
        <f>IF(OR(O29="",O4=""),"",IFERROR(O29/O4,""))</f>
        <v/>
      </c>
      <c r="P30" s="15">
        <f>IF(OR(P29="",P4=""),"",IFERROR(P29/P4,""))</f>
        <v/>
      </c>
      <c r="Q30" s="15">
        <f>IF(OR(Q29="",Q4=""),"",IFERROR(Q29/Q4,""))</f>
        <v/>
      </c>
      <c r="R30" s="15">
        <f>IF(OR(R29="",R4=""),"",IFERROR(R29/R4,""))</f>
        <v/>
      </c>
      <c r="S30" s="15">
        <f>IF(OR(S29="",S4=""),"",IFERROR(S29/S4,""))</f>
        <v/>
      </c>
      <c r="T30" s="15">
        <f>IF(OR(T29="",T4=""),"",IFERROR(T29/T4,""))</f>
        <v/>
      </c>
      <c r="U30" s="15">
        <f>IF(OR(U29="",U4=""),"",IFERROR(U29/U4,""))</f>
        <v/>
      </c>
      <c r="V30" s="15">
        <f>IF(OR(V29="",V4=""),"",IFERROR(V29/V4,""))</f>
        <v/>
      </c>
      <c r="W30" s="15">
        <f>IF(OR(W29="",W4=""),"",IFERROR(W29/W4,""))</f>
        <v/>
      </c>
      <c r="X30" s="15">
        <f>IF(OR(X29="",X4=""),"",IFERROR(X29/X4,""))</f>
        <v/>
      </c>
      <c r="Y30" s="14" t="n"/>
      <c r="Z30" s="15" t="n"/>
      <c r="AA30" s="15" t="n"/>
      <c r="AB30" s="15" t="n"/>
      <c r="AC30" s="15" t="n"/>
    </row>
    <row r="31">
      <c r="A31" s="18" t="inlineStr">
        <is>
          <t>지급수수료</t>
        </is>
      </c>
      <c r="B31" s="10" t="inlineStr">
        <is>
          <t>고정비</t>
        </is>
      </c>
      <c r="C31" s="19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19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19" t="n"/>
      <c r="Z31" s="20" t="n"/>
      <c r="AA31" s="20" t="n"/>
      <c r="AB31" s="20" t="n"/>
      <c r="AC31" s="20" t="n"/>
    </row>
    <row r="32">
      <c r="A32" s="13" t="inlineStr">
        <is>
          <t>% of Sales</t>
        </is>
      </c>
      <c r="B32" s="10" t="n"/>
      <c r="C32" s="14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 t="n"/>
      <c r="Z32" s="15" t="n"/>
      <c r="AA32" s="15" t="n"/>
      <c r="AB32" s="15" t="n"/>
      <c r="AC32" s="15" t="n"/>
    </row>
    <row r="33">
      <c r="A33" s="18" t="inlineStr">
        <is>
          <t>연구개발비</t>
        </is>
      </c>
      <c r="B33" s="10" t="inlineStr">
        <is>
          <t>변동비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기타비용</t>
        </is>
      </c>
      <c r="B35" s="10" t="inlineStr">
        <is>
          <t>변동비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>
        <f>IF(OR(O26="",O27="",O29="",O31="",O33=""),"",IFERROR(O26-O27-O29-O31-O33,""))</f>
        <v/>
      </c>
      <c r="P35" s="20">
        <f>IF(OR(P26="",P27="",P29="",P31="",P33=""),"",IFERROR(P26-P27-P29-P31-P33,""))</f>
        <v/>
      </c>
      <c r="Q35" s="20">
        <f>IF(OR(Q26="",Q27="",Q29="",Q31="",Q33=""),"",IFERROR(Q26-Q27-Q29-Q31-Q33,""))</f>
        <v/>
      </c>
      <c r="R35" s="20">
        <f>IF(OR(R26="",R27="",R29="",R31="",R33=""),"",IFERROR(R26-R27-R29-R31-R33,""))</f>
        <v/>
      </c>
      <c r="S35" s="20">
        <f>IF(OR(S26="",S27="",S29="",S31="",S33=""),"",IFERROR(S26-S27-S29-S31-S33,""))</f>
        <v/>
      </c>
      <c r="T35" s="20">
        <f>IF(OR(T26="",T27="",T29="",T31="",T33=""),"",IFERROR(T26-T27-T29-T31-T33,""))</f>
        <v/>
      </c>
      <c r="U35" s="20">
        <f>IF(OR(U26="",U27="",U29="",U31="",U33=""),"",IFERROR(U26-U27-U29-U31-U33,""))</f>
        <v/>
      </c>
      <c r="V35" s="20">
        <f>IF(OR(V26="",V27="",V29="",V31="",V33=""),"",IFERROR(V26-V27-V29-V31-V33,""))</f>
        <v/>
      </c>
      <c r="W35" s="20">
        <f>IF(OR(W26="",W27="",W29="",W31="",W33=""),"",IFERROR(W26-W27-W29-W31-W33,""))</f>
        <v/>
      </c>
      <c r="X35" s="20">
        <f>IF(OR(X26="",X27="",X29="",X31="",X33=""),"",IFERROR(X26-X27-X29-X31-X33,""))</f>
        <v/>
      </c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6" t="inlineStr">
        <is>
          <t>당기순이익 추정</t>
        </is>
      </c>
      <c r="B37" s="16" t="n"/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18" t="inlineStr">
        <is>
          <t>특별이익</t>
        </is>
      </c>
      <c r="B38" s="10" t="n"/>
      <c r="C38" s="19" t="n">
        <v>0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0</v>
      </c>
      <c r="I38" s="20" t="n">
        <v>0</v>
      </c>
      <c r="J38" s="20" t="n">
        <v>0</v>
      </c>
      <c r="K38" s="20" t="n">
        <v>0</v>
      </c>
      <c r="L38" s="20" t="n">
        <v>1066</v>
      </c>
      <c r="M38" s="20" t="n">
        <v>72</v>
      </c>
      <c r="N38" s="20" t="n">
        <v>0</v>
      </c>
      <c r="O38" s="19" t="n">
        <v>61</v>
      </c>
      <c r="P38" s="20" t="n">
        <v>46</v>
      </c>
      <c r="Q38" s="20" t="n">
        <v>207</v>
      </c>
      <c r="R38" s="20" t="n">
        <v>0</v>
      </c>
      <c r="S38" s="20" t="n">
        <v>1</v>
      </c>
      <c r="T38" s="20" t="n">
        <v>2061</v>
      </c>
      <c r="U38" s="20" t="n">
        <v>0</v>
      </c>
      <c r="V38" s="20" t="n">
        <v>4</v>
      </c>
      <c r="W38" s="20" t="n">
        <v>0</v>
      </c>
      <c r="X38" s="20" t="n">
        <v>1138</v>
      </c>
      <c r="Y38" s="19">
        <f>IF(OR(Y4="",Y39=""),"",IFERROR(Y4*Y39,""))</f>
        <v/>
      </c>
      <c r="Z38" s="20">
        <f>IF(OR(Z4="",Z39=""),"",IFERROR(Z4*Z39,""))</f>
        <v/>
      </c>
      <c r="AA38" s="20">
        <f>IF(OR(AA4="",AA39=""),"",IFERROR(AA4*AA39,""))</f>
        <v/>
      </c>
      <c r="AB38" s="20">
        <f>IF(OR(AB4="",AB39=""),"",IFERROR(AB4*AB39,""))</f>
        <v/>
      </c>
      <c r="AC38" s="20">
        <f>IF(OR(AC4="",AC39=""),"",IFERROR(AC4*AC39,""))</f>
        <v/>
      </c>
    </row>
    <row r="39">
      <c r="A39" s="13" t="inlineStr">
        <is>
          <t>% of Sales</t>
        </is>
      </c>
      <c r="B39" s="10" t="inlineStr">
        <is>
          <t>MW = 최근 3년 평균</t>
        </is>
      </c>
      <c r="C39" s="14">
        <f>IF(OR(C38="",C4=""),"",IFERROR(C38/C4,""))</f>
        <v/>
      </c>
      <c r="D39" s="15">
        <f>IF(OR(D38="",D4=""),"",IFERROR(D38/D4,""))</f>
        <v/>
      </c>
      <c r="E39" s="15">
        <f>IF(OR(E38="",E4=""),"",IFERROR(E38/E4,""))</f>
        <v/>
      </c>
      <c r="F39" s="15">
        <f>IF(OR(F38="",F4=""),"",IFERROR(F38/F4,""))</f>
        <v/>
      </c>
      <c r="G39" s="15">
        <f>IF(OR(G38="",G4=""),"",IFERROR(G38/G4,""))</f>
        <v/>
      </c>
      <c r="H39" s="15">
        <f>IF(OR(H38="",H4=""),"",IFERROR(H38/H4,""))</f>
        <v/>
      </c>
      <c r="I39" s="15">
        <f>IF(OR(I38="",I4=""),"",IFERROR(I38/I4,""))</f>
        <v/>
      </c>
      <c r="J39" s="15">
        <f>IF(OR(J38="",J4=""),"",IFERROR(J38/J4,""))</f>
        <v/>
      </c>
      <c r="K39" s="15">
        <f>IF(OR(K38="",K4=""),"",IFERROR(K38/K4,""))</f>
        <v/>
      </c>
      <c r="L39" s="15">
        <f>IF(OR(L38="",L4=""),"",IFERROR(L38/L4,""))</f>
        <v/>
      </c>
      <c r="M39" s="15">
        <f>IF(OR(M38="",M4=""),"",IFERROR(M38/M4,""))</f>
        <v/>
      </c>
      <c r="N39" s="15">
        <f>IF(OR(N38="",N4=""),"",IFERROR(N38/N4,""))</f>
        <v/>
      </c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25">
        <f>IFERROR(AVERAGE(V39,W39,X39),"")</f>
        <v/>
      </c>
      <c r="Z39" s="26">
        <f>Y39</f>
        <v/>
      </c>
      <c r="AA39" s="26">
        <f>Z39</f>
        <v/>
      </c>
      <c r="AB39" s="26">
        <f>AA39</f>
        <v/>
      </c>
      <c r="AC39" s="26">
        <f>AB39</f>
        <v/>
      </c>
    </row>
    <row r="40">
      <c r="A40" s="18" t="inlineStr">
        <is>
          <t>특별손실</t>
        </is>
      </c>
      <c r="B40" s="10" t="n"/>
      <c r="C40" s="19" t="n">
        <v>1</v>
      </c>
      <c r="D40" s="20" t="n">
        <v>33</v>
      </c>
      <c r="E40" s="20" t="n">
        <v>4</v>
      </c>
      <c r="F40" s="20" t="n">
        <v>0</v>
      </c>
      <c r="G40" s="20" t="n">
        <v>1</v>
      </c>
      <c r="H40" s="20" t="n">
        <v>1</v>
      </c>
      <c r="I40" s="20" t="n">
        <v>5</v>
      </c>
      <c r="J40" s="20" t="n">
        <v>0</v>
      </c>
      <c r="K40" s="20" t="n">
        <v>1</v>
      </c>
      <c r="L40" s="20" t="n">
        <v>1</v>
      </c>
      <c r="M40" s="20" t="n">
        <v>3</v>
      </c>
      <c r="N40" s="20" t="n">
        <v>0</v>
      </c>
      <c r="O40" s="19" t="n">
        <v>4</v>
      </c>
      <c r="P40" s="20" t="n">
        <v>199</v>
      </c>
      <c r="Q40" s="20" t="n">
        <v>27</v>
      </c>
      <c r="R40" s="20" t="n">
        <v>346</v>
      </c>
      <c r="S40" s="20" t="n">
        <v>37</v>
      </c>
      <c r="T40" s="20" t="n">
        <v>1468</v>
      </c>
      <c r="U40" s="20" t="n">
        <v>8</v>
      </c>
      <c r="V40" s="20" t="n">
        <v>38</v>
      </c>
      <c r="W40" s="20" t="n">
        <v>7</v>
      </c>
      <c r="X40" s="20" t="n">
        <v>5</v>
      </c>
      <c r="Y40" s="19">
        <f>IF(OR(Y4="",Y41=""),"",IFERROR(Y4*Y41,""))</f>
        <v/>
      </c>
      <c r="Z40" s="20">
        <f>IF(OR(Z4="",Z41=""),"",IFERROR(Z4*Z41,""))</f>
        <v/>
      </c>
      <c r="AA40" s="20">
        <f>IF(OR(AA4="",AA41=""),"",IFERROR(AA4*AA41,""))</f>
        <v/>
      </c>
      <c r="AB40" s="20">
        <f>IF(OR(AB4="",AB41=""),"",IFERROR(AB4*AB41,""))</f>
        <v/>
      </c>
      <c r="AC40" s="20">
        <f>IF(OR(AC4="",AC41=""),"",IFERROR(AC4*AC41,""))</f>
        <v/>
      </c>
    </row>
    <row r="41">
      <c r="A41" s="13" t="inlineStr">
        <is>
          <t>% of Sales</t>
        </is>
      </c>
      <c r="B41" s="10" t="n"/>
      <c r="C41" s="14">
        <f>IF(OR(C40="",C4=""),"",IFERROR(C40/C4,""))</f>
        <v/>
      </c>
      <c r="D41" s="15">
        <f>IF(OR(D40="",D4=""),"",IFERROR(D40/D4,""))</f>
        <v/>
      </c>
      <c r="E41" s="15">
        <f>IF(OR(E40="",E4=""),"",IFERROR(E40/E4,""))</f>
        <v/>
      </c>
      <c r="F41" s="15">
        <f>IF(OR(F40="",F4=""),"",IFERROR(F40/F4,""))</f>
        <v/>
      </c>
      <c r="G41" s="15">
        <f>IF(OR(G40="",G4=""),"",IFERROR(G40/G4,""))</f>
        <v/>
      </c>
      <c r="H41" s="15">
        <f>IF(OR(H40="",H4=""),"",IFERROR(H40/H4,""))</f>
        <v/>
      </c>
      <c r="I41" s="15">
        <f>IF(OR(I40="",I4=""),"",IFERROR(I40/I4,""))</f>
        <v/>
      </c>
      <c r="J41" s="15">
        <f>IF(OR(J40="",J4=""),"",IFERROR(J40/J4,""))</f>
        <v/>
      </c>
      <c r="K41" s="15">
        <f>IF(OR(K40="",K4=""),"",IFERROR(K40/K4,""))</f>
        <v/>
      </c>
      <c r="L41" s="15">
        <f>IF(OR(L40="",L4=""),"",IFERROR(L40/L4,""))</f>
        <v/>
      </c>
      <c r="M41" s="15">
        <f>IF(OR(M40="",M4=""),"",IFERROR(M40/M4,""))</f>
        <v/>
      </c>
      <c r="N41" s="15">
        <f>IF(OR(N40="",N4=""),"",IFERROR(N40/N4,""))</f>
        <v/>
      </c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25">
        <f>IFERROR(AVERAGE(V41,W41,X41),"")</f>
        <v/>
      </c>
      <c r="Z41" s="26">
        <f>Y41</f>
        <v/>
      </c>
      <c r="AA41" s="26">
        <f>Z41</f>
        <v/>
      </c>
      <c r="AB41" s="26">
        <f>AA41</f>
        <v/>
      </c>
      <c r="AC41" s="26">
        <f>AB41</f>
        <v/>
      </c>
    </row>
    <row r="42">
      <c r="A42" s="18" t="inlineStr">
        <is>
          <t>영업외수익</t>
        </is>
      </c>
      <c r="B42" s="10" t="n"/>
      <c r="C42" s="19" t="n">
        <v>116</v>
      </c>
      <c r="D42" s="20" t="n">
        <v>165</v>
      </c>
      <c r="E42" s="20" t="n">
        <v>64</v>
      </c>
      <c r="F42" s="20" t="n">
        <v>72</v>
      </c>
      <c r="G42" s="20" t="n">
        <v>131</v>
      </c>
      <c r="H42" s="20" t="n">
        <v>54</v>
      </c>
      <c r="I42" s="20" t="n">
        <v>214</v>
      </c>
      <c r="J42" s="20" t="n">
        <v>356</v>
      </c>
      <c r="K42" s="20" t="n">
        <v>-70</v>
      </c>
      <c r="L42" s="20" t="n">
        <v>-35</v>
      </c>
      <c r="M42" s="20" t="n">
        <v>56</v>
      </c>
      <c r="N42" s="20" t="n">
        <v>43</v>
      </c>
      <c r="O42" s="19" t="n">
        <v>106</v>
      </c>
      <c r="P42" s="20" t="n">
        <v>131</v>
      </c>
      <c r="Q42" s="20" t="n">
        <v>103</v>
      </c>
      <c r="R42" s="20" t="n">
        <v>164</v>
      </c>
      <c r="S42" s="20" t="n">
        <v>181</v>
      </c>
      <c r="T42" s="20" t="n">
        <v>189</v>
      </c>
      <c r="U42" s="20" t="n">
        <v>268</v>
      </c>
      <c r="V42" s="20" t="n">
        <v>414</v>
      </c>
      <c r="W42" s="20" t="n">
        <v>471</v>
      </c>
      <c r="X42" s="20" t="n">
        <v>307</v>
      </c>
      <c r="Y42" s="19">
        <f>IF(OR(Y4="",Y43=""),"",IFERROR(Y4*Y43,""))</f>
        <v/>
      </c>
      <c r="Z42" s="20">
        <f>IF(OR(Z4="",Z43=""),"",IFERROR(Z4*Z43,""))</f>
        <v/>
      </c>
      <c r="AA42" s="20">
        <f>IF(OR(AA4="",AA43=""),"",IFERROR(AA4*AA43,""))</f>
        <v/>
      </c>
      <c r="AB42" s="20">
        <f>IF(OR(AB4="",AB43=""),"",IFERROR(AB4*AB43,""))</f>
        <v/>
      </c>
      <c r="AC42" s="20">
        <f>IF(OR(AC4="",AC43=""),"",IFERROR(AC4*AC43,""))</f>
        <v/>
      </c>
    </row>
    <row r="43">
      <c r="A43" s="13" t="inlineStr">
        <is>
          <t>% of Sales</t>
        </is>
      </c>
      <c r="B43" s="10" t="n"/>
      <c r="C43" s="14">
        <f>IF(OR(C42="",C4=""),"",IFERROR(C42/C4,""))</f>
        <v/>
      </c>
      <c r="D43" s="15">
        <f>IF(OR(D42="",D4=""),"",IFERROR(D42/D4,""))</f>
        <v/>
      </c>
      <c r="E43" s="15">
        <f>IF(OR(E42="",E4=""),"",IFERROR(E42/E4,""))</f>
        <v/>
      </c>
      <c r="F43" s="15">
        <f>IF(OR(F42="",F4=""),"",IFERROR(F42/F4,""))</f>
        <v/>
      </c>
      <c r="G43" s="15">
        <f>IF(OR(G42="",G4=""),"",IFERROR(G42/G4,""))</f>
        <v/>
      </c>
      <c r="H43" s="15">
        <f>IF(OR(H42="",H4=""),"",IFERROR(H42/H4,""))</f>
        <v/>
      </c>
      <c r="I43" s="15">
        <f>IF(OR(I42="",I4=""),"",IFERROR(I42/I4,""))</f>
        <v/>
      </c>
      <c r="J43" s="15">
        <f>IF(OR(J42="",J4=""),"",IFERROR(J42/J4,""))</f>
        <v/>
      </c>
      <c r="K43" s="15">
        <f>IF(OR(K42="",K4=""),"",IFERROR(K42/K4,""))</f>
        <v/>
      </c>
      <c r="L43" s="15">
        <f>IF(OR(L42="",L4=""),"",IFERROR(L42/L4,""))</f>
        <v/>
      </c>
      <c r="M43" s="15">
        <f>IF(OR(M42="",M4=""),"",IFERROR(M42/M4,""))</f>
        <v/>
      </c>
      <c r="N43" s="15">
        <f>IF(OR(N42="",N4=""),"",IFERROR(N42/N4,""))</f>
        <v/>
      </c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25">
        <f>IFERROR(AVERAGE(V43,W43,X43),"")</f>
        <v/>
      </c>
      <c r="Z43" s="26">
        <f>Y43</f>
        <v/>
      </c>
      <c r="AA43" s="26">
        <f>Z43</f>
        <v/>
      </c>
      <c r="AB43" s="26">
        <f>AA43</f>
        <v/>
      </c>
      <c r="AC43" s="26">
        <f>AB43</f>
        <v/>
      </c>
    </row>
    <row r="44">
      <c r="A44" s="18" t="inlineStr">
        <is>
          <t>영업외비용</t>
        </is>
      </c>
      <c r="B44" s="10" t="n"/>
      <c r="C44" s="19" t="n">
        <v>531</v>
      </c>
      <c r="D44" s="20" t="n">
        <v>408</v>
      </c>
      <c r="E44" s="20" t="n">
        <v>427</v>
      </c>
      <c r="F44" s="20" t="n">
        <v>711</v>
      </c>
      <c r="G44" s="20" t="n">
        <v>-363</v>
      </c>
      <c r="H44" s="20" t="n">
        <v>831</v>
      </c>
      <c r="I44" s="20" t="n">
        <v>334</v>
      </c>
      <c r="J44" s="20" t="n">
        <v>95</v>
      </c>
      <c r="K44" s="20" t="n">
        <v>85</v>
      </c>
      <c r="L44" s="20" t="n">
        <v>349</v>
      </c>
      <c r="M44" s="20" t="n">
        <v>281</v>
      </c>
      <c r="N44" s="20" t="n">
        <v>200</v>
      </c>
      <c r="O44" s="19" t="n">
        <v>393</v>
      </c>
      <c r="P44" s="20" t="n">
        <v>249</v>
      </c>
      <c r="Q44" s="20" t="n">
        <v>551</v>
      </c>
      <c r="R44" s="20" t="n">
        <v>401</v>
      </c>
      <c r="S44" s="20" t="n">
        <v>176</v>
      </c>
      <c r="T44" s="20" t="n">
        <v>1002</v>
      </c>
      <c r="U44" s="20" t="n">
        <v>2016</v>
      </c>
      <c r="V44" s="20" t="n">
        <v>1920</v>
      </c>
      <c r="W44" s="20" t="n">
        <v>1513</v>
      </c>
      <c r="X44" s="20" t="n">
        <v>810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n"/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9" t="inlineStr">
        <is>
          <t>법인세비용차감전순이익(손실)</t>
        </is>
      </c>
      <c r="B46" s="10" t="n"/>
      <c r="C46" s="11" t="n">
        <v>3109</v>
      </c>
      <c r="D46" s="12" t="n">
        <v>3431</v>
      </c>
      <c r="E46" s="12" t="n">
        <v>4200</v>
      </c>
      <c r="F46" s="12" t="n">
        <v>3614</v>
      </c>
      <c r="G46" s="12" t="n">
        <v>2532</v>
      </c>
      <c r="H46" s="12" t="n">
        <v>1786</v>
      </c>
      <c r="I46" s="12" t="n">
        <v>3476</v>
      </c>
      <c r="J46" s="12" t="n">
        <v>1715</v>
      </c>
      <c r="K46" s="12" t="n">
        <v>1950</v>
      </c>
      <c r="L46" s="12" t="n">
        <v>3427</v>
      </c>
      <c r="M46" s="12" t="n">
        <v>3791</v>
      </c>
      <c r="N46" s="12" t="n">
        <v>3908</v>
      </c>
      <c r="O46" s="11" t="n">
        <v>1435</v>
      </c>
      <c r="P46" s="12" t="n">
        <v>2485</v>
      </c>
      <c r="Q46" s="12" t="n">
        <v>3257</v>
      </c>
      <c r="R46" s="12" t="n">
        <v>3227</v>
      </c>
      <c r="S46" s="12" t="n">
        <v>4589</v>
      </c>
      <c r="T46" s="12" t="n">
        <v>7910</v>
      </c>
      <c r="U46" s="12" t="n">
        <v>12469</v>
      </c>
      <c r="V46" s="12" t="n">
        <v>13887</v>
      </c>
      <c r="W46" s="12" t="n">
        <v>11408</v>
      </c>
      <c r="X46" s="12" t="n">
        <v>10883</v>
      </c>
      <c r="Y46" s="11">
        <f>IF(OR(Y22=""),"",IFERROR(Y22+N(Y38)-N(Y40)+N(Y42)-N(Y44),""))</f>
        <v/>
      </c>
      <c r="Z46" s="12">
        <f>IF(OR(Z22=""),"",IFERROR(Z22+N(Z38)-N(Z40)+N(Z42)-N(Z44),""))</f>
        <v/>
      </c>
      <c r="AA46" s="12">
        <f>IF(OR(AA22=""),"",IFERROR(AA22+N(AA38)-N(AA40)+N(AA42)-N(AA44),""))</f>
        <v/>
      </c>
      <c r="AB46" s="12">
        <f>IF(OR(AB22=""),"",IFERROR(AB22+N(AB38)-N(AB40)+N(AB42)-N(AB44),""))</f>
        <v/>
      </c>
      <c r="AC46" s="12">
        <f>IF(OR(AC22=""),"",IFERROR(AC22+N(AC38)-N(AC40)+N(AC42)-N(AC44),""))</f>
        <v/>
      </c>
    </row>
    <row r="47">
      <c r="A47" s="18" t="inlineStr">
        <is>
          <t>법인세비용(수익)</t>
        </is>
      </c>
      <c r="B47" s="10" t="n"/>
      <c r="C47" s="19" t="n">
        <v>719</v>
      </c>
      <c r="D47" s="20" t="n">
        <v>886</v>
      </c>
      <c r="E47" s="20" t="n">
        <v>1265</v>
      </c>
      <c r="F47" s="20" t="n">
        <v>1107</v>
      </c>
      <c r="G47" s="20" t="n">
        <v>720</v>
      </c>
      <c r="H47" s="20" t="n">
        <v>508</v>
      </c>
      <c r="I47" s="20" t="n">
        <v>169</v>
      </c>
      <c r="J47" s="20" t="n">
        <v>475</v>
      </c>
      <c r="K47" s="20" t="n">
        <v>581</v>
      </c>
      <c r="L47" s="20" t="n">
        <v>976</v>
      </c>
      <c r="M47" s="20" t="n">
        <v>966</v>
      </c>
      <c r="N47" s="20" t="n">
        <v>1241</v>
      </c>
      <c r="O47" s="19" t="n">
        <v>463</v>
      </c>
      <c r="P47" s="20" t="n">
        <v>829</v>
      </c>
      <c r="Q47" s="20" t="n">
        <v>853</v>
      </c>
      <c r="R47" s="20" t="n">
        <v>856</v>
      </c>
      <c r="S47" s="20" t="n">
        <v>1371</v>
      </c>
      <c r="T47" s="20" t="n">
        <v>2421</v>
      </c>
      <c r="U47" s="20" t="n">
        <v>3590</v>
      </c>
      <c r="V47" s="20" t="n">
        <v>3806</v>
      </c>
      <c r="W47" s="20" t="n">
        <v>2504</v>
      </c>
      <c r="X47" s="20" t="n">
        <v>2998</v>
      </c>
      <c r="Y47" s="19">
        <f>IF(OR(Y46="",Y48=""),"",IFERROR(MAX(Y46,0)*Y48,""))</f>
        <v/>
      </c>
      <c r="Z47" s="20">
        <f>IF(OR(Z46="",Z48=""),"",IFERROR(MAX(Z46,0)*Z48,""))</f>
        <v/>
      </c>
      <c r="AA47" s="20">
        <f>IF(OR(AA46="",AA48=""),"",IFERROR(MAX(AA46,0)*AA48,""))</f>
        <v/>
      </c>
      <c r="AB47" s="20">
        <f>IF(OR(AB46="",AB48=""),"",IFERROR(MAX(AB46,0)*AB48,""))</f>
        <v/>
      </c>
      <c r="AC47" s="20">
        <f>IF(OR(AC46="",AC48=""),"",IFERROR(MAX(AC46,0)*AC48,""))</f>
        <v/>
      </c>
    </row>
    <row r="48">
      <c r="A48" s="13" t="inlineStr">
        <is>
          <t>법인세율</t>
        </is>
      </c>
      <c r="B48" s="10" t="inlineStr">
        <is>
          <t>MW 기본 30%</t>
        </is>
      </c>
      <c r="C48" s="14">
        <f>IF(OR(C47="",C46=""),"",IFERROR(C47/C46,""))</f>
        <v/>
      </c>
      <c r="D48" s="15">
        <f>IF(OR(D47="",D46=""),"",IFERROR(D47/D46,""))</f>
        <v/>
      </c>
      <c r="E48" s="15">
        <f>IF(OR(E47="",E46=""),"",IFERROR(E47/E46,""))</f>
        <v/>
      </c>
      <c r="F48" s="15">
        <f>IF(OR(F47="",F46=""),"",IFERROR(F47/F46,""))</f>
        <v/>
      </c>
      <c r="G48" s="15">
        <f>IF(OR(G47="",G46=""),"",IFERROR(G47/G46,""))</f>
        <v/>
      </c>
      <c r="H48" s="15">
        <f>IF(OR(H47="",H46=""),"",IFERROR(H47/H46,""))</f>
        <v/>
      </c>
      <c r="I48" s="15">
        <f>IF(OR(I47="",I46=""),"",IFERROR(I47/I46,""))</f>
        <v/>
      </c>
      <c r="J48" s="15">
        <f>IF(OR(J47="",J46=""),"",IFERROR(J47/J46,""))</f>
        <v/>
      </c>
      <c r="K48" s="15">
        <f>IF(OR(K47="",K46=""),"",IFERROR(K47/K46,""))</f>
        <v/>
      </c>
      <c r="L48" s="15">
        <f>IF(OR(L47="",L46=""),"",IFERROR(L47/L46,""))</f>
        <v/>
      </c>
      <c r="M48" s="15">
        <f>IF(OR(M47="",M46=""),"",IFERROR(M47/M46,""))</f>
        <v/>
      </c>
      <c r="N48" s="15">
        <f>IF(OR(N47="",N46=""),"",IFERROR(N47/N46,""))</f>
        <v/>
      </c>
      <c r="O48" s="14">
        <f>IF(OR(O47="",O46=""),"",IFERROR(O47/O46,""))</f>
        <v/>
      </c>
      <c r="P48" s="15">
        <f>IF(OR(P47="",P46=""),"",IFERROR(P47/P46,""))</f>
        <v/>
      </c>
      <c r="Q48" s="15">
        <f>IF(OR(Q47="",Q46=""),"",IFERROR(Q47/Q46,""))</f>
        <v/>
      </c>
      <c r="R48" s="15">
        <f>IF(OR(R47="",R46=""),"",IFERROR(R47/R46,""))</f>
        <v/>
      </c>
      <c r="S48" s="15">
        <f>IF(OR(S47="",S46=""),"",IFERROR(S47/S46,""))</f>
        <v/>
      </c>
      <c r="T48" s="15">
        <f>IF(OR(T47="",T46=""),"",IFERROR(T47/T46,""))</f>
        <v/>
      </c>
      <c r="U48" s="15">
        <f>IF(OR(U47="",U46=""),"",IFERROR(U47/U46,""))</f>
        <v/>
      </c>
      <c r="V48" s="15">
        <f>IF(OR(V47="",V46=""),"",IFERROR(V47/V46,""))</f>
        <v/>
      </c>
      <c r="W48" s="15">
        <f>IF(OR(W47="",W46=""),"",IFERROR(W47/W46,""))</f>
        <v/>
      </c>
      <c r="X48" s="15">
        <f>IF(OR(X47="",X46=""),"",IFERROR(X47/X46,""))</f>
        <v/>
      </c>
      <c r="Y48" s="25" t="n">
        <v>0.3</v>
      </c>
      <c r="Z48" s="26" t="n">
        <v>0.3</v>
      </c>
      <c r="AA48" s="26" t="n">
        <v>0.3</v>
      </c>
      <c r="AB48" s="26" t="n">
        <v>0.3</v>
      </c>
      <c r="AC48" s="26" t="n">
        <v>0.3</v>
      </c>
    </row>
    <row r="49">
      <c r="A49" s="9" t="inlineStr">
        <is>
          <t>당기순이익(손실)</t>
        </is>
      </c>
      <c r="B49" s="10" t="n"/>
      <c r="C49" s="11" t="n">
        <v>2391</v>
      </c>
      <c r="D49" s="12" t="n">
        <v>2544</v>
      </c>
      <c r="E49" s="12" t="n">
        <v>2936</v>
      </c>
      <c r="F49" s="12" t="n">
        <v>2506</v>
      </c>
      <c r="G49" s="12" t="n">
        <v>1812</v>
      </c>
      <c r="H49" s="12" t="n">
        <v>1279</v>
      </c>
      <c r="I49" s="12" t="n">
        <v>3307</v>
      </c>
      <c r="J49" s="12" t="n">
        <v>1240</v>
      </c>
      <c r="K49" s="12" t="n">
        <v>1368</v>
      </c>
      <c r="L49" s="12" t="n">
        <v>2451</v>
      </c>
      <c r="M49" s="12" t="n">
        <v>2825</v>
      </c>
      <c r="N49" s="12" t="n">
        <v>2667</v>
      </c>
      <c r="O49" s="11" t="n">
        <v>972</v>
      </c>
      <c r="P49" s="12" t="n">
        <v>1655</v>
      </c>
      <c r="Q49" s="12" t="n">
        <v>2403</v>
      </c>
      <c r="R49" s="12" t="n">
        <v>2370</v>
      </c>
      <c r="S49" s="12" t="n">
        <v>3217</v>
      </c>
      <c r="T49" s="12" t="n">
        <v>5489</v>
      </c>
      <c r="U49" s="12" t="n">
        <v>8879</v>
      </c>
      <c r="V49" s="12" t="n">
        <v>10081</v>
      </c>
      <c r="W49" s="12" t="n">
        <v>8904</v>
      </c>
      <c r="X49" s="12" t="n">
        <v>7884</v>
      </c>
      <c r="Y49" s="11">
        <f>IF(OR(Y46=""),"",IFERROR(Y46-Y47,""))</f>
        <v/>
      </c>
      <c r="Z49" s="12">
        <f>IF(OR(Z46=""),"",IFERROR(Z46-Z47,""))</f>
        <v/>
      </c>
      <c r="AA49" s="12">
        <f>IF(OR(AA46=""),"",IFERROR(AA46-AA47,""))</f>
        <v/>
      </c>
      <c r="AB49" s="12">
        <f>IF(OR(AB46=""),"",IFERROR(AB46-AB47,""))</f>
        <v/>
      </c>
      <c r="AC49" s="12">
        <f>IF(OR(AC46=""),"",IFERROR(AC46-AC47,""))</f>
        <v/>
      </c>
    </row>
    <row r="50">
      <c r="A50" s="9" t="inlineStr">
        <is>
          <t>지배주주 순이익</t>
        </is>
      </c>
      <c r="B50" s="10" t="n"/>
      <c r="C50" s="11" t="n">
        <v>2365</v>
      </c>
      <c r="D50" s="12" t="n">
        <v>2519</v>
      </c>
      <c r="E50" s="12" t="n">
        <v>2916</v>
      </c>
      <c r="F50" s="12" t="n">
        <v>2494</v>
      </c>
      <c r="G50" s="12" t="n">
        <v>1811</v>
      </c>
      <c r="H50" s="12" t="n">
        <v>1269</v>
      </c>
      <c r="I50" s="12" t="n">
        <v>3300</v>
      </c>
      <c r="J50" s="12" t="n">
        <v>1217</v>
      </c>
      <c r="K50" s="12" t="n">
        <v>1363</v>
      </c>
      <c r="L50" s="12" t="n">
        <v>2450</v>
      </c>
      <c r="M50" s="12" t="n">
        <v>2812</v>
      </c>
      <c r="N50" s="12" t="n">
        <v>2651</v>
      </c>
      <c r="O50" s="11" t="n">
        <v>972</v>
      </c>
      <c r="P50" s="12" t="n">
        <v>1598</v>
      </c>
      <c r="Q50" s="12" t="n">
        <v>2341</v>
      </c>
      <c r="R50" s="12" t="n">
        <v>2288</v>
      </c>
      <c r="S50" s="12" t="n">
        <v>3143</v>
      </c>
      <c r="T50" s="12" t="n">
        <v>5085</v>
      </c>
      <c r="U50" s="12" t="n">
        <v>8778</v>
      </c>
      <c r="V50" s="12" t="n">
        <v>9986</v>
      </c>
      <c r="W50" s="12" t="n">
        <v>8874</v>
      </c>
      <c r="X50" s="12" t="n">
        <v>7842</v>
      </c>
      <c r="Y50" s="11">
        <f>IF(OR(Y49="",Y51=""),"",IFERROR(Y49*Y51,""))</f>
        <v/>
      </c>
      <c r="Z50" s="12">
        <f>IF(OR(Z49="",Z51=""),"",IFERROR(Z49*Z51,""))</f>
        <v/>
      </c>
      <c r="AA50" s="12">
        <f>IF(OR(AA49="",AA51=""),"",IFERROR(AA49*AA51,""))</f>
        <v/>
      </c>
      <c r="AB50" s="12">
        <f>IF(OR(AB49="",AB51=""),"",IFERROR(AB49*AB51,""))</f>
        <v/>
      </c>
      <c r="AC50" s="12">
        <f>IF(OR(AC49="",AC51=""),"",IFERROR(AC49*AC51,""))</f>
        <v/>
      </c>
    </row>
    <row r="51">
      <c r="A51" s="13" t="inlineStr">
        <is>
          <t>지배주주 순이익률</t>
        </is>
      </c>
      <c r="B51" s="10" t="inlineStr">
        <is>
          <t>MW 기본 100%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1</v>
      </c>
      <c r="Z51" s="26" t="n">
        <v>1</v>
      </c>
      <c r="AA51" s="26" t="n">
        <v>1</v>
      </c>
      <c r="AB51" s="26" t="n">
        <v>1</v>
      </c>
      <c r="AC51" s="26" t="n">
        <v>1</v>
      </c>
    </row>
    <row r="52">
      <c r="A52" s="16" t="inlineStr">
        <is>
          <t>목표주가 산출</t>
        </is>
      </c>
      <c r="B52" s="16" t="n"/>
      <c r="C52" s="17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7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7" t="n"/>
      <c r="Z52" s="16" t="n"/>
      <c r="AA52" s="16" t="n"/>
      <c r="AB52" s="16" t="n"/>
      <c r="AC52" s="16" t="n"/>
    </row>
    <row r="53">
      <c r="A53" s="18" t="inlineStr">
        <is>
          <t>현재 주가 ()</t>
        </is>
      </c>
      <c r="B53" s="27" t="n"/>
      <c r="C53" s="28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8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8" t="n"/>
      <c r="Z53" s="29" t="n"/>
      <c r="AA53" s="29" t="n"/>
      <c r="AB53" s="29" t="n"/>
      <c r="AC53" s="29" t="n"/>
    </row>
    <row r="54">
      <c r="A54" s="18" t="inlineStr">
        <is>
          <t>발행주식수 (보통주)</t>
        </is>
      </c>
      <c r="B54" s="27" t="n"/>
      <c r="C54" s="28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8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8" t="n"/>
      <c r="Z54" s="29" t="n"/>
      <c r="AA54" s="29" t="n"/>
      <c r="AB54" s="29" t="n"/>
      <c r="AC54" s="29" t="n"/>
    </row>
    <row r="55">
      <c r="A55" s="18" t="inlineStr">
        <is>
          <t>시가총액 (백만엔)</t>
        </is>
      </c>
      <c r="B55" s="12">
        <f>IF(OR(B53="",B54=""),"",B53*B54/1000000.0)</f>
        <v/>
      </c>
      <c r="C55" s="19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19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19" t="n"/>
      <c r="Z55" s="20" t="n"/>
      <c r="AA55" s="20" t="n"/>
      <c r="AB55" s="20" t="n"/>
      <c r="AC55" s="20" t="n"/>
    </row>
    <row r="56">
      <c r="A56" s="13" t="inlineStr">
        <is>
          <t>OPM</t>
        </is>
      </c>
      <c r="B56" s="10" t="n"/>
      <c r="C56" s="14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4">
        <f>IF(O23="","",O23)</f>
        <v/>
      </c>
      <c r="P56" s="15">
        <f>IF(P23="","",P23)</f>
        <v/>
      </c>
      <c r="Q56" s="15">
        <f>IF(Q23="","",Q23)</f>
        <v/>
      </c>
      <c r="R56" s="15">
        <f>IF(R23="","",R23)</f>
        <v/>
      </c>
      <c r="S56" s="15">
        <f>IF(S23="","",S23)</f>
        <v/>
      </c>
      <c r="T56" s="15">
        <f>IF(T23="","",T23)</f>
        <v/>
      </c>
      <c r="U56" s="15">
        <f>IF(U23="","",U23)</f>
        <v/>
      </c>
      <c r="V56" s="15">
        <f>IF(V23="","",V23)</f>
        <v/>
      </c>
      <c r="W56" s="15">
        <f>IF(W23="","",W23)</f>
        <v/>
      </c>
      <c r="X56" s="15">
        <f>IF(X23="","",X23)</f>
        <v/>
      </c>
      <c r="Y56" s="14">
        <f>IF(Y23="","",Y23)</f>
        <v/>
      </c>
      <c r="Z56" s="15">
        <f>IF(Z23="","",Z23)</f>
        <v/>
      </c>
      <c r="AA56" s="15">
        <f>IF(AA23="","",AA23)</f>
        <v/>
      </c>
      <c r="AB56" s="15">
        <f>IF(AB23="","",AB23)</f>
        <v/>
      </c>
      <c r="AC56" s="15">
        <f>IF(AC23="","",AC23)</f>
        <v/>
      </c>
    </row>
    <row r="57">
      <c r="A57" s="13" t="inlineStr">
        <is>
          <t>지배주주 순이익 증가율</t>
        </is>
      </c>
      <c r="B57" s="10" t="n"/>
      <c r="C57" s="14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4" t="n"/>
      <c r="P57" s="15">
        <f>IF(OR(P50="",O50=""),"",IFERROR(P50/O50-1,""))</f>
        <v/>
      </c>
      <c r="Q57" s="15">
        <f>IF(OR(Q50="",P50=""),"",IFERROR(Q50/P50-1,""))</f>
        <v/>
      </c>
      <c r="R57" s="15">
        <f>IF(OR(R50="",Q50=""),"",IFERROR(R50/Q50-1,""))</f>
        <v/>
      </c>
      <c r="S57" s="15">
        <f>IF(OR(S50="",R50=""),"",IFERROR(S50/R50-1,""))</f>
        <v/>
      </c>
      <c r="T57" s="15">
        <f>IF(OR(T50="",S50=""),"",IFERROR(T50/S50-1,""))</f>
        <v/>
      </c>
      <c r="U57" s="15">
        <f>IF(OR(U50="",T50=""),"",IFERROR(U50/T50-1,""))</f>
        <v/>
      </c>
      <c r="V57" s="15">
        <f>IF(OR(V50="",U50=""),"",IFERROR(V50/U50-1,""))</f>
        <v/>
      </c>
      <c r="W57" s="15">
        <f>IF(OR(W50="",V50=""),"",IFERROR(W50/V50-1,""))</f>
        <v/>
      </c>
      <c r="X57" s="15">
        <f>IF(OR(X50="",W50=""),"",IFERROR(X50/W50-1,""))</f>
        <v/>
      </c>
      <c r="Y57" s="14">
        <f>IF(OR(Y50="",X50=""),"",IFERROR(Y50/X50-1,""))</f>
        <v/>
      </c>
      <c r="Z57" s="15">
        <f>IF(OR(Z50="",Y50=""),"",IFERROR(Z50/Y50-1,""))</f>
        <v/>
      </c>
      <c r="AA57" s="15">
        <f>IF(OR(AA50="",Z50=""),"",IFERROR(AA50/Z50-1,""))</f>
        <v/>
      </c>
      <c r="AB57" s="15">
        <f>IF(OR(AB50="",AA50=""),"",IFERROR(AB50/AA50-1,""))</f>
        <v/>
      </c>
      <c r="AC57" s="15">
        <f>IF(OR(AC50="",AB50=""),"",IFERROR(AC50/AB50-1,""))</f>
        <v/>
      </c>
    </row>
    <row r="58">
      <c r="A58" s="18" t="inlineStr">
        <is>
          <t>P/E (현재 주가)</t>
        </is>
      </c>
      <c r="B58" s="10" t="inlineStr">
        <is>
          <t>시총 ÷ 지배순이익</t>
        </is>
      </c>
      <c r="C58" s="30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0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>
        <f>IF(OR($B$55="",X50=""),"",IFERROR($B$55/X50,""))</f>
        <v/>
      </c>
      <c r="Y58" s="30">
        <f>IF(OR($B$55="",Y50=""),"",IFERROR($B$55/Y50,""))</f>
        <v/>
      </c>
      <c r="Z58" s="31">
        <f>IF(OR($B$55="",Z50=""),"",IFERROR($B$55/Z50,""))</f>
        <v/>
      </c>
      <c r="AA58" s="31">
        <f>IF(OR($B$55="",AA50=""),"",IFERROR($B$55/AA50,""))</f>
        <v/>
      </c>
      <c r="AB58" s="31">
        <f>IF(OR($B$55="",AB50=""),"",IFERROR($B$55/AB50,""))</f>
        <v/>
      </c>
      <c r="AC58" s="31">
        <f>IF(OR($B$55="",AC50=""),"",IFERROR($B$55/AC50,""))</f>
        <v/>
      </c>
    </row>
    <row r="59">
      <c r="A59" s="18" t="inlineStr">
        <is>
          <t>Target P/E</t>
        </is>
      </c>
      <c r="B59" s="10" t="inlineStr">
        <is>
          <t>직접 입력</t>
        </is>
      </c>
      <c r="C59" s="30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0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2" t="n"/>
      <c r="Z59" s="33" t="n"/>
      <c r="AA59" s="33" t="n"/>
      <c r="AB59" s="33" t="n"/>
      <c r="AC59" s="33" t="n"/>
    </row>
    <row r="60">
      <c r="A60" s="18" t="inlineStr">
        <is>
          <t>EPS</t>
        </is>
      </c>
      <c r="B60" s="10" t="inlineStr">
        <is>
          <t>지배순이익 ÷ 주식수</t>
        </is>
      </c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>
        <f>IF(OR(O50="",$B$54=""),"",IFERROR(O50*1000000.0/$B$54,""))</f>
        <v/>
      </c>
      <c r="P60" s="29">
        <f>IF(OR(P50="",$B$54=""),"",IFERROR(P50*1000000.0/$B$54,""))</f>
        <v/>
      </c>
      <c r="Q60" s="29">
        <f>IF(OR(Q50="",$B$54=""),"",IFERROR(Q50*1000000.0/$B$54,""))</f>
        <v/>
      </c>
      <c r="R60" s="29">
        <f>IF(OR(R50="",$B$54=""),"",IFERROR(R50*1000000.0/$B$54,""))</f>
        <v/>
      </c>
      <c r="S60" s="29">
        <f>IF(OR(S50="",$B$54=""),"",IFERROR(S50*1000000.0/$B$54,""))</f>
        <v/>
      </c>
      <c r="T60" s="29">
        <f>IF(OR(T50="",$B$54=""),"",IFERROR(T50*1000000.0/$B$54,""))</f>
        <v/>
      </c>
      <c r="U60" s="29">
        <f>IF(OR(U50="",$B$54=""),"",IFERROR(U50*1000000.0/$B$54,""))</f>
        <v/>
      </c>
      <c r="V60" s="29">
        <f>IF(OR(V50="",$B$54=""),"",IFERROR(V50*1000000.0/$B$54,""))</f>
        <v/>
      </c>
      <c r="W60" s="29">
        <f>IF(OR(W50="",$B$54=""),"",IFERROR(W50*1000000.0/$B$54,""))</f>
        <v/>
      </c>
      <c r="X60" s="29">
        <f>IF(OR(X50="",$B$54=""),"",IFERROR(X50*1000000.0/$B$54,""))</f>
        <v/>
      </c>
      <c r="Y60" s="28">
        <f>IF(OR(Y50="",$B$54=""),"",IFERROR(Y50*1000000.0/$B$54,""))</f>
        <v/>
      </c>
      <c r="Z60" s="29">
        <f>IF(OR(Z50="",$B$54=""),"",IFERROR(Z50*1000000.0/$B$54,""))</f>
        <v/>
      </c>
      <c r="AA60" s="29">
        <f>IF(OR(AA50="",$B$54=""),"",IFERROR(AA50*1000000.0/$B$54,""))</f>
        <v/>
      </c>
      <c r="AB60" s="29">
        <f>IF(OR(AB50="",$B$54=""),"",IFERROR(AB50*1000000.0/$B$54,""))</f>
        <v/>
      </c>
      <c r="AC60" s="29">
        <f>IF(OR(AC50="",$B$54=""),"",IFERROR(AC50*1000000.0/$B$54,""))</f>
        <v/>
      </c>
    </row>
    <row r="61">
      <c r="A61" s="9" t="inlineStr">
        <is>
          <t>목표주가</t>
        </is>
      </c>
      <c r="B61" s="10" t="n"/>
      <c r="C61" s="34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34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34">
        <f>IF(OR(Y60="",Y59=""),"",IFERROR(Y60*Y59,""))</f>
        <v/>
      </c>
      <c r="Z61" s="27">
        <f>IF(OR(Z60="",Z59=""),"",IFERROR(Z60*Z59,""))</f>
        <v/>
      </c>
      <c r="AA61" s="27">
        <f>IF(OR(AA60="",AA59=""),"",IFERROR(AA60*AA59,""))</f>
        <v/>
      </c>
      <c r="AB61" s="27">
        <f>IF(OR(AB60="",AB59=""),"",IFERROR(AB60*AB59,""))</f>
        <v/>
      </c>
      <c r="AC61" s="27">
        <f>IF(OR(AC60="",AC59=""),"",IFERROR(AC60*AC59,""))</f>
        <v/>
      </c>
    </row>
    <row r="62">
      <c r="A62" s="18" t="inlineStr">
        <is>
          <t>상승여력</t>
        </is>
      </c>
      <c r="B62" s="10" t="n"/>
      <c r="C62" s="35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5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7">
        <f>IF(OR(Y61="",$B$53=""),"",IFERROR(Y61/$B$53-1,""))</f>
        <v/>
      </c>
      <c r="Z62" s="38">
        <f>IF(OR(Z61="",$B$53=""),"",IFERROR(Z61/$B$53-1,""))</f>
        <v/>
      </c>
      <c r="AA62" s="38">
        <f>IF(OR(AA61="",$B$53=""),"",IFERROR(AA61/$B$53-1,""))</f>
        <v/>
      </c>
      <c r="AB62" s="38">
        <f>IF(OR(AB61="",$B$53=""),"",IFERROR(AB61/$B$53-1,""))</f>
        <v/>
      </c>
      <c r="AC62" s="38">
        <f>IF(OR(AC61="",$B$53=""),"",IFERROR(AC61/$B$53-1,""))</f>
        <v/>
      </c>
    </row>
    <row r="63">
      <c r="A63" s="16" t="inlineStr">
        <is>
          <t>자산가치 산출</t>
        </is>
      </c>
      <c r="B63" s="16" t="inlineStr">
        <is>
          <t>최신 분기 BS</t>
        </is>
      </c>
      <c r="C63" s="17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7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7" t="n"/>
      <c r="Z63" s="16" t="n"/>
      <c r="AA63" s="16" t="n"/>
      <c r="AB63" s="16" t="n"/>
      <c r="AC63" s="16" t="n"/>
    </row>
    <row r="64">
      <c r="A64" s="18" t="inlineStr">
        <is>
          <t>현금및현금성자산</t>
        </is>
      </c>
      <c r="B64" s="10" t="n"/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>
        <f>'재무상태표'!G6</f>
        <v/>
      </c>
      <c r="Y64" s="19">
        <f>'재무상태표'!G6</f>
        <v/>
      </c>
      <c r="Z64" s="20">
        <f>'재무상태표'!G6</f>
        <v/>
      </c>
      <c r="AA64" s="20">
        <f>'재무상태표'!G6</f>
        <v/>
      </c>
      <c r="AB64" s="20">
        <f>'재무상태표'!G6</f>
        <v/>
      </c>
      <c r="AC64" s="20">
        <f>'재무상태표'!G6</f>
        <v/>
      </c>
    </row>
    <row r="65">
      <c r="A65" s="18" t="inlineStr">
        <is>
          <t>단기금융상품</t>
        </is>
      </c>
      <c r="B65" s="10" t="n"/>
      <c r="C65" s="19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19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>
        <f>'재무상태표'!G7</f>
        <v/>
      </c>
      <c r="Y65" s="19">
        <f>'재무상태표'!G7</f>
        <v/>
      </c>
      <c r="Z65" s="20">
        <f>'재무상태표'!G7</f>
        <v/>
      </c>
      <c r="AA65" s="20">
        <f>'재무상태표'!G7</f>
        <v/>
      </c>
      <c r="AB65" s="20">
        <f>'재무상태표'!G7</f>
        <v/>
      </c>
      <c r="AC65" s="20">
        <f>'재무상태표'!G7</f>
        <v/>
      </c>
    </row>
    <row r="66">
      <c r="A66" s="18" t="inlineStr">
        <is>
          <t>투자부동산</t>
        </is>
      </c>
      <c r="B66" s="10" t="n"/>
      <c r="C66" s="19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19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>
        <f>'재무상태표'!G14</f>
        <v/>
      </c>
      <c r="Y66" s="19">
        <f>'재무상태표'!G14</f>
        <v/>
      </c>
      <c r="Z66" s="20">
        <f>'재무상태표'!G14</f>
        <v/>
      </c>
      <c r="AA66" s="20">
        <f>'재무상태표'!G14</f>
        <v/>
      </c>
      <c r="AB66" s="20">
        <f>'재무상태표'!G14</f>
        <v/>
      </c>
      <c r="AC66" s="20">
        <f>'재무상태표'!G14</f>
        <v/>
      </c>
    </row>
    <row r="67">
      <c r="A67" s="18" t="inlineStr">
        <is>
          <t>지배자본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'재무상태표'!G31</f>
        <v/>
      </c>
      <c r="Y67" s="19">
        <f>'재무상태표'!G31</f>
        <v/>
      </c>
      <c r="Z67" s="20">
        <f>'재무상태표'!G31</f>
        <v/>
      </c>
      <c r="AA67" s="20">
        <f>'재무상태표'!G31</f>
        <v/>
      </c>
      <c r="AB67" s="20">
        <f>'재무상태표'!G31</f>
        <v/>
      </c>
      <c r="AC67" s="20">
        <f>'재무상태표'!G31</f>
        <v/>
      </c>
    </row>
    <row r="68">
      <c r="A68" s="18" t="inlineStr">
        <is>
          <t>부채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'재무상태표'!G27</f>
        <v/>
      </c>
      <c r="Y68" s="19">
        <f>'재무상태표'!G27</f>
        <v/>
      </c>
      <c r="Z68" s="20">
        <f>'재무상태표'!G27</f>
        <v/>
      </c>
      <c r="AA68" s="20">
        <f>'재무상태표'!G27</f>
        <v/>
      </c>
      <c r="AB68" s="20">
        <f>'재무상태표'!G27</f>
        <v/>
      </c>
      <c r="AC68" s="20">
        <f>'재무상태표'!G27</f>
        <v/>
      </c>
    </row>
    <row r="69">
      <c r="A69" s="13" t="inlineStr">
        <is>
          <t>부채비율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>
        <f>IF(OR(X68="",X67=""),"",IFERROR(X68/X67,""))</f>
        <v/>
      </c>
      <c r="Y69" s="14">
        <f>IF(OR(Y68="",Y67=""),"",IFERROR(Y68/Y67,""))</f>
        <v/>
      </c>
      <c r="Z69" s="15">
        <f>IF(OR(Z68="",Z67=""),"",IFERROR(Z68/Z67,""))</f>
        <v/>
      </c>
      <c r="AA69" s="15">
        <f>IF(OR(AA68="",AA67=""),"",IFERROR(AA68/AA67,""))</f>
        <v/>
      </c>
      <c r="AB69" s="15">
        <f>IF(OR(AB68="",AB67=""),"",IFERROR(AB68/AB67,""))</f>
        <v/>
      </c>
      <c r="AC69" s="15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6" t="inlineStr">
        <is>
          <t>기업가치 산출</t>
        </is>
      </c>
      <c r="B71" s="16" t="n"/>
      <c r="C71" s="17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7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7" t="n"/>
      <c r="Z71" s="16" t="n"/>
      <c r="AA71" s="16" t="n"/>
      <c r="AB71" s="16" t="n"/>
      <c r="AC71" s="16" t="n"/>
    </row>
    <row r="72">
      <c r="A72" s="18" t="inlineStr">
        <is>
          <t>목표 시가총액 (P/E)</t>
        </is>
      </c>
      <c r="B72" s="10" t="inlineStr">
        <is>
          <t>지배순이익 × Target P/E</t>
        </is>
      </c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19">
        <f>IF(OR(Y50="",Y59=""),"",IFERROR(Y50*Y59,""))</f>
        <v/>
      </c>
      <c r="Z72" s="20">
        <f>IF(OR(Z50="",Z59=""),"",IFERROR(Z50*Z59,""))</f>
        <v/>
      </c>
      <c r="AA72" s="20">
        <f>IF(OR(AA50="",AA59=""),"",IFERROR(AA50*AA59,""))</f>
        <v/>
      </c>
      <c r="AB72" s="20">
        <f>IF(OR(AB50="",AB59=""),"",IFERROR(AB50*AB59,""))</f>
        <v/>
      </c>
      <c r="AC72" s="20">
        <f>IF(OR(AC50="",AC59=""),"",IFERROR(AC50*AC59,""))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18" t="inlineStr">
        <is>
          <t>현재 시가총액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19">
        <f>$B$55</f>
        <v/>
      </c>
      <c r="Z74" s="20">
        <f>$B$55</f>
        <v/>
      </c>
      <c r="AA74" s="20">
        <f>$B$55</f>
        <v/>
      </c>
      <c r="AB74" s="20">
        <f>$B$55</f>
        <v/>
      </c>
      <c r="AC74" s="20">
        <f>$B$55</f>
        <v/>
      </c>
    </row>
    <row r="75">
      <c r="A75" s="18" t="inlineStr">
        <is>
          <t>상승여력</t>
        </is>
      </c>
      <c r="B75" s="10" t="n"/>
      <c r="C75" s="35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5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7">
        <f>IF(OR(Y73="",Y74=""),"",IFERROR(Y73/Y74-1,""))</f>
        <v/>
      </c>
      <c r="Z75" s="38">
        <f>IF(OR(Z73="",Z74=""),"",IFERROR(Z73/Z74-1,""))</f>
        <v/>
      </c>
      <c r="AA75" s="38">
        <f>IF(OR(AA73="",AA74=""),"",IFERROR(AA73/AA74-1,""))</f>
        <v/>
      </c>
      <c r="AB75" s="38">
        <f>IF(OR(AB73="",AB74=""),"",IFERROR(AB73/AB74-1,""))</f>
        <v/>
      </c>
      <c r="AC75" s="38">
        <f>IF(OR(AC73="",AC74=""),"",IFERROR(AC73/AC74-1,""))</f>
        <v/>
      </c>
    </row>
    <row r="76">
      <c r="C76" s="39" t="n"/>
      <c r="O76" s="39" t="n"/>
      <c r="Y76" s="39" t="n"/>
    </row>
    <row r="77">
      <c r="A77" s="40" t="inlineStr">
        <is>
          <t>출처</t>
        </is>
      </c>
      <c r="C77" s="39" t="n"/>
      <c r="O77" s="39" t="n"/>
      <c r="Y77" s="39" t="n"/>
    </row>
    <row r="78">
      <c r="A78" s="41" t="inlineStr">
        <is>
          <t>결산단신 XBRL(TDnet·JPX 보관소) — 쓴 문서는 '출처' 시트</t>
        </is>
      </c>
      <c r="C78" s="39" t="n"/>
      <c r="O78" s="39" t="n"/>
      <c r="Y78" s="39" t="n"/>
    </row>
    <row r="79">
      <c r="A79" s="41" t="inlineStr">
        <is>
          <t>분기 = 누계에서 앞 분기를 뺀 3개월 값</t>
        </is>
      </c>
      <c r="C79" s="39" t="n"/>
      <c r="O79" s="39" t="n"/>
      <c r="Y79" s="39" t="n"/>
    </row>
    <row r="80">
      <c r="A80" s="41" t="inlineStr">
        <is>
          <t>주가: 야후 파이낸스 일봉</t>
        </is>
      </c>
      <c r="C80" s="39" t="n"/>
      <c r="O80" s="39" t="n"/>
      <c r="Y80" s="39" t="n"/>
    </row>
    <row r="82">
      <c r="A82" s="16" t="inlineStr">
        <is>
          <t>손익계산서 · 전 항목</t>
        </is>
      </c>
      <c r="B82" s="42" t="inlineStr">
        <is>
          <t>분기 = 3개월 단독</t>
        </is>
      </c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2024.2Q</t>
        </is>
      </c>
      <c r="D83" s="5" t="inlineStr">
        <is>
          <t>2024.3Q</t>
        </is>
      </c>
      <c r="E83" s="5" t="inlineStr">
        <is>
          <t>2024.4Q</t>
        </is>
      </c>
      <c r="F83" s="5" t="inlineStr">
        <is>
          <t>2025.1Q</t>
        </is>
      </c>
      <c r="G83" s="5" t="inlineStr">
        <is>
          <t>2025.2Q</t>
        </is>
      </c>
      <c r="H83" s="5" t="inlineStr">
        <is>
          <t>2025.3Q</t>
        </is>
      </c>
      <c r="I83" s="5" t="inlineStr">
        <is>
          <t>2025.4Q</t>
        </is>
      </c>
      <c r="J83" s="5" t="inlineStr">
        <is>
          <t>2026.1Q</t>
        </is>
      </c>
      <c r="K83" s="5" t="inlineStr">
        <is>
          <t>2026.2Q</t>
        </is>
      </c>
      <c r="L83" s="5" t="inlineStr">
        <is>
          <t>2026.3Q</t>
        </is>
      </c>
      <c r="M83" s="5" t="inlineStr">
        <is>
          <t>2026.4Q</t>
        </is>
      </c>
      <c r="N83" s="5" t="inlineStr">
        <is>
          <t>2027.1Q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60686</v>
      </c>
      <c r="D84" s="12" t="n">
        <v>60050</v>
      </c>
      <c r="E84" s="12" t="n">
        <v>63140</v>
      </c>
      <c r="F84" s="12" t="n">
        <v>56607</v>
      </c>
      <c r="G84" s="12" t="n">
        <v>55105</v>
      </c>
      <c r="H84" s="12" t="n">
        <v>50384</v>
      </c>
      <c r="I84" s="12" t="n">
        <v>54283</v>
      </c>
      <c r="J84" s="12" t="n">
        <v>45136</v>
      </c>
      <c r="K84" s="12" t="n">
        <v>51108</v>
      </c>
      <c r="L84" s="12" t="n">
        <v>50472</v>
      </c>
      <c r="M84" s="12" t="n">
        <v>57032</v>
      </c>
      <c r="N84" s="12" t="n">
        <v>60322</v>
      </c>
      <c r="T84" s="12" t="n">
        <v>52015</v>
      </c>
      <c r="U84" s="12" t="n">
        <v>64454</v>
      </c>
      <c r="V84" s="12" t="n">
        <v>63140</v>
      </c>
      <c r="W84" s="12" t="n">
        <v>54283</v>
      </c>
      <c r="X84" s="12" t="n">
        <v>57032</v>
      </c>
    </row>
    <row r="85">
      <c r="A85" s="18" t="inlineStr">
        <is>
          <t>매출원가</t>
        </is>
      </c>
      <c r="C85" s="20" t="n">
        <v>51595</v>
      </c>
      <c r="D85" s="20" t="n">
        <v>51050</v>
      </c>
      <c r="E85" s="20" t="n">
        <v>52984</v>
      </c>
      <c r="F85" s="20" t="n">
        <v>47411</v>
      </c>
      <c r="G85" s="20" t="n">
        <v>47877</v>
      </c>
      <c r="H85" s="20" t="n">
        <v>42132</v>
      </c>
      <c r="I85" s="20" t="n">
        <v>45226</v>
      </c>
      <c r="J85" s="20" t="n">
        <v>38681</v>
      </c>
      <c r="K85" s="20" t="n">
        <v>43717</v>
      </c>
      <c r="L85" s="20" t="n">
        <v>42392</v>
      </c>
      <c r="M85" s="20" t="n">
        <v>47416</v>
      </c>
      <c r="N85" s="20" t="n">
        <v>51015</v>
      </c>
      <c r="T85" s="20" t="n">
        <v>44056</v>
      </c>
      <c r="U85" s="20" t="n">
        <v>54990</v>
      </c>
      <c r="V85" s="20" t="n">
        <v>52984</v>
      </c>
      <c r="W85" s="20" t="n">
        <v>45226</v>
      </c>
      <c r="X85" s="20" t="n">
        <v>47416</v>
      </c>
    </row>
    <row r="86">
      <c r="A86" s="9" t="inlineStr">
        <is>
          <t>매출총이익</t>
        </is>
      </c>
      <c r="C86" s="12" t="n">
        <v>9090</v>
      </c>
      <c r="D86" s="12" t="n">
        <v>9000</v>
      </c>
      <c r="E86" s="12" t="n">
        <v>10157</v>
      </c>
      <c r="F86" s="12" t="n">
        <v>9195</v>
      </c>
      <c r="G86" s="12" t="n">
        <v>7228</v>
      </c>
      <c r="H86" s="12" t="n">
        <v>8252</v>
      </c>
      <c r="I86" s="12" t="n">
        <v>9057</v>
      </c>
      <c r="J86" s="12" t="n">
        <v>6454</v>
      </c>
      <c r="K86" s="12" t="n">
        <v>7391</v>
      </c>
      <c r="L86" s="12" t="n">
        <v>8081</v>
      </c>
      <c r="M86" s="12" t="n">
        <v>9615</v>
      </c>
      <c r="N86" s="12" t="n">
        <v>9306</v>
      </c>
      <c r="T86" s="12" t="n">
        <v>7958</v>
      </c>
      <c r="U86" s="12" t="n">
        <v>9463</v>
      </c>
      <c r="V86" s="12" t="n">
        <v>10157</v>
      </c>
      <c r="W86" s="12" t="n">
        <v>9057</v>
      </c>
      <c r="X86" s="12" t="n">
        <v>9615</v>
      </c>
    </row>
    <row r="87">
      <c r="A87" s="18" t="inlineStr">
        <is>
          <t>급여·수당</t>
        </is>
      </c>
      <c r="C87" s="20" t="n">
        <v>1873</v>
      </c>
      <c r="D87" s="20" t="n">
        <v>1896</v>
      </c>
      <c r="E87" s="20" t="n">
        <v>1859</v>
      </c>
      <c r="F87" s="20" t="n">
        <v>1929</v>
      </c>
      <c r="G87" s="20" t="n">
        <v>1984</v>
      </c>
      <c r="H87" s="20" t="n">
        <v>2037</v>
      </c>
      <c r="I87" s="20" t="n">
        <v>1980</v>
      </c>
      <c r="J87" s="20" t="n">
        <v>2071</v>
      </c>
      <c r="K87" s="20" t="n">
        <v>2111</v>
      </c>
      <c r="L87" s="20" t="n">
        <v>2150</v>
      </c>
      <c r="M87" s="20" t="n">
        <v>2068</v>
      </c>
      <c r="N87" s="20" t="n">
        <v>2115</v>
      </c>
      <c r="T87" s="20" t="n">
        <v>1733</v>
      </c>
      <c r="U87" s="20" t="n">
        <v>1763</v>
      </c>
      <c r="V87" s="20" t="n">
        <v>1859</v>
      </c>
      <c r="W87" s="20" t="n">
        <v>1980</v>
      </c>
      <c r="X87" s="20" t="n">
        <v>2068</v>
      </c>
    </row>
    <row r="88">
      <c r="A88" s="18" t="inlineStr">
        <is>
          <t>상여충당금 전입</t>
        </is>
      </c>
      <c r="C88" s="20" t="n">
        <v>1238</v>
      </c>
      <c r="D88" s="20" t="n">
        <v>-1011</v>
      </c>
      <c r="E88" s="20" t="n">
        <v>1199</v>
      </c>
      <c r="F88" s="20" t="n">
        <v>752</v>
      </c>
      <c r="G88" s="20" t="n">
        <v>856</v>
      </c>
      <c r="H88" s="20" t="n">
        <v>-648</v>
      </c>
      <c r="I88" s="20" t="n">
        <v>916</v>
      </c>
      <c r="J88" s="20" t="n">
        <v>617</v>
      </c>
      <c r="K88" s="20" t="n">
        <v>695</v>
      </c>
      <c r="L88" s="20" t="n">
        <v>-405</v>
      </c>
      <c r="M88" s="20" t="n">
        <v>1143</v>
      </c>
      <c r="N88" s="20" t="n">
        <v>753</v>
      </c>
      <c r="T88" s="20" t="n">
        <v>864</v>
      </c>
      <c r="U88" s="20" t="n">
        <v>1597</v>
      </c>
      <c r="V88" s="20" t="n">
        <v>1199</v>
      </c>
      <c r="W88" s="20" t="n">
        <v>916</v>
      </c>
      <c r="X88" s="20" t="n">
        <v>1143</v>
      </c>
    </row>
    <row r="89">
      <c r="A89" s="18" t="inlineStr">
        <is>
          <t>퇴직급여비용</t>
        </is>
      </c>
      <c r="C89" s="20" t="n">
        <v>179</v>
      </c>
      <c r="D89" s="20" t="n">
        <v>177</v>
      </c>
      <c r="E89" s="20" t="n">
        <v>178</v>
      </c>
      <c r="F89" s="20" t="n">
        <v>167</v>
      </c>
      <c r="G89" s="20" t="n">
        <v>169</v>
      </c>
      <c r="H89" s="20" t="n">
        <v>169</v>
      </c>
      <c r="I89" s="20" t="n">
        <v>167</v>
      </c>
      <c r="J89" s="20" t="n">
        <v>164</v>
      </c>
      <c r="K89" s="20" t="n">
        <v>162</v>
      </c>
      <c r="L89" s="20" t="n">
        <v>162</v>
      </c>
      <c r="M89" s="20" t="n">
        <v>157</v>
      </c>
      <c r="N89" s="20" t="n">
        <v>105</v>
      </c>
      <c r="T89" s="20" t="n">
        <v>155</v>
      </c>
      <c r="U89" s="20" t="n">
        <v>161</v>
      </c>
      <c r="V89" s="20" t="n">
        <v>178</v>
      </c>
      <c r="W89" s="20" t="n">
        <v>167</v>
      </c>
      <c r="X89" s="20" t="n">
        <v>157</v>
      </c>
    </row>
    <row r="90">
      <c r="A90" s="18" t="inlineStr">
        <is>
          <t>종업원 주식보상 충당금 전입액</t>
        </is>
      </c>
      <c r="C90" s="20" t="n">
        <v>66</v>
      </c>
      <c r="D90" s="20" t="n">
        <v>75</v>
      </c>
      <c r="E90" s="20" t="n">
        <v>68</v>
      </c>
      <c r="U90" s="20" t="n">
        <v>77</v>
      </c>
      <c r="V90" s="20" t="n">
        <v>68</v>
      </c>
    </row>
    <row r="91">
      <c r="A91" s="18" t="inlineStr">
        <is>
          <t>대손충당금 전입</t>
        </is>
      </c>
      <c r="C91" s="20" t="n">
        <v>8</v>
      </c>
      <c r="D91" s="20" t="n">
        <v>-16</v>
      </c>
      <c r="E91" s="20" t="n">
        <v>25</v>
      </c>
      <c r="U91" s="20" t="n">
        <v>1</v>
      </c>
      <c r="V91" s="20" t="n">
        <v>25</v>
      </c>
    </row>
    <row r="92">
      <c r="A92" s="18" t="inlineStr">
        <is>
          <t>기타</t>
        </is>
      </c>
      <c r="C92" s="20" t="n">
        <v>2276</v>
      </c>
      <c r="D92" s="20" t="n">
        <v>4230</v>
      </c>
      <c r="E92" s="20" t="n">
        <v>2353</v>
      </c>
      <c r="F92" s="20" t="n">
        <v>2093</v>
      </c>
      <c r="G92" s="20" t="n">
        <v>2179</v>
      </c>
      <c r="H92" s="20" t="n">
        <v>4129</v>
      </c>
      <c r="I92" s="20" t="n">
        <v>2393</v>
      </c>
      <c r="J92" s="20" t="n">
        <v>2145</v>
      </c>
      <c r="K92" s="20" t="n">
        <v>2317</v>
      </c>
      <c r="L92" s="20" t="n">
        <v>3429</v>
      </c>
      <c r="M92" s="20" t="n">
        <v>2301</v>
      </c>
      <c r="N92" s="20" t="n">
        <v>2265</v>
      </c>
      <c r="T92" s="20" t="n">
        <v>1808</v>
      </c>
      <c r="U92" s="20" t="n">
        <v>1840</v>
      </c>
      <c r="V92" s="20" t="n">
        <v>2353</v>
      </c>
      <c r="W92" s="20" t="n">
        <v>2393</v>
      </c>
      <c r="X92" s="20" t="n">
        <v>2301</v>
      </c>
    </row>
    <row r="93">
      <c r="A93" s="18" t="inlineStr">
        <is>
          <t>판매비와 관리비 합계</t>
        </is>
      </c>
      <c r="C93" s="20" t="n">
        <v>5566</v>
      </c>
      <c r="D93" s="20" t="n">
        <v>5293</v>
      </c>
      <c r="E93" s="20" t="n">
        <v>5588</v>
      </c>
      <c r="F93" s="20" t="n">
        <v>4942</v>
      </c>
      <c r="G93" s="20" t="n">
        <v>5189</v>
      </c>
      <c r="H93" s="20" t="n">
        <v>5686</v>
      </c>
      <c r="I93" s="20" t="n">
        <v>5457</v>
      </c>
      <c r="J93" s="20" t="n">
        <v>4999</v>
      </c>
      <c r="K93" s="20" t="n">
        <v>5284</v>
      </c>
      <c r="L93" s="20" t="n">
        <v>5336</v>
      </c>
      <c r="M93" s="20" t="n">
        <v>5669</v>
      </c>
      <c r="N93" s="20" t="n">
        <v>5240</v>
      </c>
      <c r="T93" s="20" t="n">
        <v>4560</v>
      </c>
      <c r="U93" s="20" t="n">
        <v>5645</v>
      </c>
      <c r="V93" s="20" t="n">
        <v>5588</v>
      </c>
      <c r="W93" s="20" t="n">
        <v>5457</v>
      </c>
      <c r="X93" s="20" t="n">
        <v>5669</v>
      </c>
    </row>
    <row r="94">
      <c r="A94" s="9" t="inlineStr">
        <is>
          <t>영업이익</t>
        </is>
      </c>
      <c r="C94" s="12" t="n">
        <v>3525</v>
      </c>
      <c r="D94" s="12" t="n">
        <v>3707</v>
      </c>
      <c r="E94" s="12" t="n">
        <v>4568</v>
      </c>
      <c r="F94" s="12" t="n">
        <v>4252</v>
      </c>
      <c r="G94" s="12" t="n">
        <v>2040</v>
      </c>
      <c r="H94" s="12" t="n">
        <v>2566</v>
      </c>
      <c r="I94" s="12" t="n">
        <v>3599</v>
      </c>
      <c r="J94" s="12" t="n">
        <v>1455</v>
      </c>
      <c r="K94" s="12" t="n">
        <v>2106</v>
      </c>
      <c r="L94" s="12" t="n">
        <v>2745</v>
      </c>
      <c r="M94" s="12" t="n">
        <v>3947</v>
      </c>
      <c r="N94" s="12" t="n">
        <v>4066</v>
      </c>
      <c r="T94" s="12" t="n">
        <v>3398</v>
      </c>
      <c r="U94" s="12" t="n">
        <v>3818</v>
      </c>
      <c r="V94" s="12" t="n">
        <v>4568</v>
      </c>
      <c r="W94" s="12" t="n">
        <v>3599</v>
      </c>
      <c r="X94" s="12" t="n">
        <v>3947</v>
      </c>
    </row>
    <row r="95">
      <c r="A95" s="18" t="inlineStr">
        <is>
          <t>수취보증료</t>
        </is>
      </c>
      <c r="I95" s="20" t="n">
        <v>14</v>
      </c>
      <c r="J95" s="20" t="n">
        <v>20</v>
      </c>
      <c r="M95" s="20" t="n">
        <v>20</v>
      </c>
      <c r="N95" s="20" t="n">
        <v>20</v>
      </c>
      <c r="W95" s="20" t="n">
        <v>14</v>
      </c>
      <c r="X95" s="20" t="n">
        <v>20</v>
      </c>
    </row>
    <row r="96">
      <c r="A96" s="18" t="inlineStr">
        <is>
          <t>보험배당금</t>
        </is>
      </c>
      <c r="T96" s="20" t="n">
        <v>0</v>
      </c>
      <c r="U96" s="20" t="n">
        <v>0</v>
      </c>
    </row>
    <row r="97">
      <c r="A97" s="18" t="inlineStr">
        <is>
          <t>지분법이익</t>
        </is>
      </c>
      <c r="C97" s="20" t="n">
        <v>44</v>
      </c>
      <c r="D97" s="20" t="n">
        <v>42</v>
      </c>
      <c r="E97" s="20" t="n">
        <v>31</v>
      </c>
      <c r="F97" s="20" t="n">
        <v>34</v>
      </c>
      <c r="G97" s="20" t="n">
        <v>34</v>
      </c>
      <c r="H97" s="20" t="n">
        <v>22</v>
      </c>
      <c r="I97" s="20" t="n">
        <v>150</v>
      </c>
      <c r="L97" s="20" t="n">
        <v>-26</v>
      </c>
      <c r="M97" s="20" t="n">
        <v>17</v>
      </c>
      <c r="T97" s="20" t="n">
        <v>12</v>
      </c>
      <c r="U97" s="20" t="n">
        <v>52</v>
      </c>
      <c r="V97" s="20" t="n">
        <v>31</v>
      </c>
      <c r="W97" s="20" t="n">
        <v>150</v>
      </c>
      <c r="X97" s="20" t="n">
        <v>17</v>
      </c>
    </row>
    <row r="98">
      <c r="A98" s="18" t="inlineStr">
        <is>
          <t>수취 손해배상금</t>
        </is>
      </c>
      <c r="E98" s="20" t="n">
        <v>0</v>
      </c>
      <c r="U98" s="20" t="n">
        <v>0</v>
      </c>
      <c r="V98" s="20" t="n">
        <v>0</v>
      </c>
    </row>
    <row r="99">
      <c r="A99" s="18" t="inlineStr">
        <is>
          <t>외환차익</t>
        </is>
      </c>
      <c r="F99" s="20" t="n">
        <v>0</v>
      </c>
      <c r="G99" s="20" t="n">
        <v>0</v>
      </c>
      <c r="J99" s="20" t="n">
        <v>269</v>
      </c>
      <c r="K99" s="20" t="n">
        <v>-215</v>
      </c>
      <c r="N99" s="20" t="n">
        <v>0</v>
      </c>
    </row>
    <row r="100">
      <c r="A100" s="18" t="inlineStr">
        <is>
          <t>기타</t>
        </is>
      </c>
      <c r="C100" s="20" t="n">
        <v>72</v>
      </c>
      <c r="D100" s="20" t="n">
        <v>123</v>
      </c>
      <c r="E100" s="20" t="n">
        <v>-25</v>
      </c>
      <c r="F100" s="20" t="n">
        <v>72</v>
      </c>
      <c r="G100" s="20" t="n">
        <v>62</v>
      </c>
      <c r="H100" s="20" t="n">
        <v>26</v>
      </c>
      <c r="I100" s="20" t="n">
        <v>-57</v>
      </c>
      <c r="J100" s="20" t="n">
        <v>67</v>
      </c>
      <c r="K100" s="20" t="n">
        <v>82</v>
      </c>
      <c r="L100" s="20" t="n">
        <v>-15</v>
      </c>
      <c r="M100" s="20" t="n">
        <v>-87</v>
      </c>
      <c r="N100" s="20" t="n">
        <v>23</v>
      </c>
      <c r="T100" s="20" t="n">
        <v>15</v>
      </c>
      <c r="U100" s="20" t="n">
        <v>-33</v>
      </c>
      <c r="V100" s="20" t="n">
        <v>-25</v>
      </c>
      <c r="W100" s="20" t="n">
        <v>-57</v>
      </c>
      <c r="X100" s="20" t="n">
        <v>-87</v>
      </c>
    </row>
    <row r="101">
      <c r="A101" s="18" t="inlineStr">
        <is>
          <t>영업외수익 합계</t>
        </is>
      </c>
      <c r="C101" s="20" t="n">
        <v>116</v>
      </c>
      <c r="D101" s="20" t="n">
        <v>165</v>
      </c>
      <c r="E101" s="20" t="n">
        <v>64</v>
      </c>
      <c r="F101" s="20" t="n">
        <v>72</v>
      </c>
      <c r="G101" s="20" t="n">
        <v>131</v>
      </c>
      <c r="H101" s="20" t="n">
        <v>54</v>
      </c>
      <c r="I101" s="20" t="n">
        <v>214</v>
      </c>
      <c r="J101" s="20" t="n">
        <v>356</v>
      </c>
      <c r="K101" s="20" t="n">
        <v>-70</v>
      </c>
      <c r="L101" s="20" t="n">
        <v>-35</v>
      </c>
      <c r="M101" s="20" t="n">
        <v>56</v>
      </c>
      <c r="N101" s="20" t="n">
        <v>43</v>
      </c>
      <c r="T101" s="20" t="n">
        <v>28</v>
      </c>
      <c r="U101" s="20" t="n">
        <v>73</v>
      </c>
      <c r="V101" s="20" t="n">
        <v>64</v>
      </c>
      <c r="W101" s="20" t="n">
        <v>214</v>
      </c>
      <c r="X101" s="20" t="n">
        <v>56</v>
      </c>
    </row>
    <row r="102">
      <c r="A102" s="18" t="inlineStr">
        <is>
          <t>이자비용</t>
        </is>
      </c>
      <c r="F102" s="20" t="n">
        <v>70</v>
      </c>
      <c r="G102" s="20" t="n">
        <v>68</v>
      </c>
      <c r="H102" s="20" t="n">
        <v>69</v>
      </c>
      <c r="I102" s="20" t="n">
        <v>67</v>
      </c>
      <c r="J102" s="20" t="n">
        <v>53</v>
      </c>
      <c r="K102" s="20" t="n">
        <v>53</v>
      </c>
      <c r="L102" s="20" t="n">
        <v>53</v>
      </c>
      <c r="M102" s="20" t="n">
        <v>63</v>
      </c>
      <c r="N102" s="20" t="n">
        <v>76</v>
      </c>
      <c r="W102" s="20" t="n">
        <v>67</v>
      </c>
      <c r="X102" s="20" t="n">
        <v>63</v>
      </c>
    </row>
    <row r="103">
      <c r="A103" s="18" t="inlineStr">
        <is>
          <t>외환차손</t>
        </is>
      </c>
      <c r="C103" s="20" t="n">
        <v>456</v>
      </c>
      <c r="D103" s="20" t="n">
        <v>339</v>
      </c>
      <c r="E103" s="20" t="n">
        <v>347</v>
      </c>
      <c r="F103" s="20" t="n">
        <v>565</v>
      </c>
      <c r="G103" s="20" t="n">
        <v>-452</v>
      </c>
      <c r="H103" s="20" t="n">
        <v>713</v>
      </c>
      <c r="I103" s="20" t="n">
        <v>216</v>
      </c>
      <c r="J103" s="20" t="n">
        <v>0</v>
      </c>
      <c r="K103" s="20" t="n">
        <v>0</v>
      </c>
      <c r="L103" s="20" t="n">
        <v>263</v>
      </c>
      <c r="M103" s="20" t="n">
        <v>180</v>
      </c>
      <c r="N103" s="20" t="n">
        <v>90</v>
      </c>
      <c r="T103" s="20" t="n">
        <v>319</v>
      </c>
      <c r="U103" s="20" t="n">
        <v>-177</v>
      </c>
      <c r="V103" s="20" t="n">
        <v>347</v>
      </c>
      <c r="W103" s="20" t="n">
        <v>216</v>
      </c>
      <c r="X103" s="20" t="n">
        <v>180</v>
      </c>
    </row>
    <row r="104">
      <c r="A104" s="18" t="inlineStr">
        <is>
          <t>지급보증료</t>
        </is>
      </c>
      <c r="F104" s="20" t="n">
        <v>7</v>
      </c>
      <c r="G104" s="20" t="n">
        <v>6</v>
      </c>
      <c r="J104" s="20" t="n">
        <v>25</v>
      </c>
      <c r="K104" s="20" t="n">
        <v>24</v>
      </c>
    </row>
    <row r="105">
      <c r="A105" s="18" t="inlineStr">
        <is>
          <t>기타</t>
        </is>
      </c>
      <c r="C105" s="20" t="n">
        <v>-47</v>
      </c>
      <c r="D105" s="20" t="n">
        <v>191</v>
      </c>
      <c r="E105" s="20" t="n">
        <v>-147</v>
      </c>
      <c r="F105" s="20" t="n">
        <v>68</v>
      </c>
      <c r="G105" s="20" t="n">
        <v>14</v>
      </c>
      <c r="H105" s="20" t="n">
        <v>63</v>
      </c>
      <c r="I105" s="20" t="n">
        <v>12</v>
      </c>
      <c r="J105" s="20" t="n">
        <v>42</v>
      </c>
      <c r="K105" s="20" t="n">
        <v>-17</v>
      </c>
      <c r="L105" s="20" t="n">
        <v>80</v>
      </c>
      <c r="M105" s="20" t="n">
        <v>-60</v>
      </c>
      <c r="N105" s="20" t="n">
        <v>33</v>
      </c>
      <c r="T105" s="20" t="n">
        <v>49</v>
      </c>
      <c r="U105" s="20" t="n">
        <v>-89</v>
      </c>
      <c r="V105" s="20" t="n">
        <v>-147</v>
      </c>
      <c r="W105" s="20" t="n">
        <v>12</v>
      </c>
      <c r="X105" s="20" t="n">
        <v>-60</v>
      </c>
    </row>
    <row r="106">
      <c r="A106" s="18" t="inlineStr">
        <is>
          <t>영업외비용 합계</t>
        </is>
      </c>
      <c r="C106" s="20" t="n">
        <v>531</v>
      </c>
      <c r="D106" s="20" t="n">
        <v>408</v>
      </c>
      <c r="E106" s="20" t="n">
        <v>427</v>
      </c>
      <c r="F106" s="20" t="n">
        <v>711</v>
      </c>
      <c r="G106" s="20" t="n">
        <v>-363</v>
      </c>
      <c r="H106" s="20" t="n">
        <v>831</v>
      </c>
      <c r="I106" s="20" t="n">
        <v>334</v>
      </c>
      <c r="J106" s="20" t="n">
        <v>95</v>
      </c>
      <c r="K106" s="20" t="n">
        <v>85</v>
      </c>
      <c r="L106" s="20" t="n">
        <v>349</v>
      </c>
      <c r="M106" s="20" t="n">
        <v>281</v>
      </c>
      <c r="N106" s="20" t="n">
        <v>200</v>
      </c>
      <c r="T106" s="20" t="n">
        <v>368</v>
      </c>
      <c r="U106" s="20" t="n">
        <v>-94</v>
      </c>
      <c r="V106" s="20" t="n">
        <v>427</v>
      </c>
      <c r="W106" s="20" t="n">
        <v>334</v>
      </c>
      <c r="X106" s="20" t="n">
        <v>281</v>
      </c>
    </row>
    <row r="107">
      <c r="A107" s="9" t="inlineStr">
        <is>
          <t>경상이익</t>
        </is>
      </c>
      <c r="C107" s="12" t="n">
        <v>3110</v>
      </c>
      <c r="D107" s="12" t="n">
        <v>3464</v>
      </c>
      <c r="E107" s="12" t="n">
        <v>4205</v>
      </c>
      <c r="F107" s="12" t="n">
        <v>3614</v>
      </c>
      <c r="G107" s="12" t="n">
        <v>2533</v>
      </c>
      <c r="H107" s="12" t="n">
        <v>1788</v>
      </c>
      <c r="I107" s="12" t="n">
        <v>3480</v>
      </c>
      <c r="J107" s="12" t="n">
        <v>1715</v>
      </c>
      <c r="K107" s="12" t="n">
        <v>1952</v>
      </c>
      <c r="L107" s="12" t="n">
        <v>2361</v>
      </c>
      <c r="M107" s="12" t="n">
        <v>3722</v>
      </c>
      <c r="N107" s="12" t="n">
        <v>3908</v>
      </c>
      <c r="T107" s="12" t="n">
        <v>3058</v>
      </c>
      <c r="U107" s="12" t="n">
        <v>3985</v>
      </c>
      <c r="V107" s="12" t="n">
        <v>4205</v>
      </c>
      <c r="W107" s="12" t="n">
        <v>3480</v>
      </c>
      <c r="X107" s="12" t="n">
        <v>3722</v>
      </c>
    </row>
    <row r="108">
      <c r="A108" s="18" t="inlineStr">
        <is>
          <t>고정자산 매각이익</t>
        </is>
      </c>
      <c r="C108" s="20" t="n">
        <v>0</v>
      </c>
      <c r="D108" s="20" t="n">
        <v>0</v>
      </c>
      <c r="E108" s="20" t="n">
        <v>0</v>
      </c>
      <c r="F108" s="20" t="n">
        <v>0</v>
      </c>
      <c r="G108" s="20" t="n">
        <v>0</v>
      </c>
      <c r="H108" s="20" t="n">
        <v>0</v>
      </c>
      <c r="I108" s="20" t="n">
        <v>0</v>
      </c>
      <c r="J108" s="20" t="n">
        <v>0</v>
      </c>
      <c r="K108" s="20" t="n">
        <v>0</v>
      </c>
      <c r="L108" s="20" t="n">
        <v>0</v>
      </c>
      <c r="M108" s="20" t="n">
        <v>61</v>
      </c>
      <c r="N108" s="20" t="n">
        <v>0</v>
      </c>
      <c r="T108" s="20" t="n">
        <v>0</v>
      </c>
      <c r="U108" s="20" t="n">
        <v>0</v>
      </c>
      <c r="V108" s="20" t="n">
        <v>0</v>
      </c>
      <c r="W108" s="20" t="n">
        <v>0</v>
      </c>
      <c r="X108" s="20" t="n">
        <v>61</v>
      </c>
    </row>
    <row r="109">
      <c r="A109" s="18" t="inlineStr">
        <is>
          <t>고정자산 수증이익</t>
        </is>
      </c>
      <c r="T109" s="20" t="n">
        <v>140</v>
      </c>
      <c r="U109" s="20" t="n">
        <v>0</v>
      </c>
    </row>
    <row r="110">
      <c r="A110" s="18" t="inlineStr">
        <is>
          <t>관계회사 출자금 매각이익</t>
        </is>
      </c>
      <c r="T110" s="20" t="n">
        <v>0</v>
      </c>
      <c r="U110" s="20" t="n">
        <v>0</v>
      </c>
    </row>
    <row r="111">
      <c r="A111" s="18" t="inlineStr">
        <is>
          <t>투자유가증권 매각이익</t>
        </is>
      </c>
      <c r="C111" s="20" t="n">
        <v>0</v>
      </c>
      <c r="D111" s="20" t="n">
        <v>0</v>
      </c>
      <c r="E111" s="20" t="n">
        <v>0</v>
      </c>
      <c r="F111" s="20" t="n">
        <v>0</v>
      </c>
      <c r="G111" s="20" t="n">
        <v>0</v>
      </c>
      <c r="H111" s="20" t="n">
        <v>0</v>
      </c>
      <c r="I111" s="20" t="n">
        <v>0</v>
      </c>
      <c r="M111" s="20" t="n">
        <v>10</v>
      </c>
      <c r="U111" s="20" t="n">
        <v>0</v>
      </c>
      <c r="V111" s="20" t="n">
        <v>0</v>
      </c>
      <c r="W111" s="20" t="n">
        <v>0</v>
      </c>
      <c r="X111" s="20" t="n">
        <v>10</v>
      </c>
    </row>
    <row r="112">
      <c r="A112" s="18" t="inlineStr">
        <is>
          <t>특별이익 합계</t>
        </is>
      </c>
      <c r="C112" s="20" t="n">
        <v>0</v>
      </c>
      <c r="D112" s="20" t="n">
        <v>0</v>
      </c>
      <c r="E112" s="20" t="n">
        <v>0</v>
      </c>
      <c r="F112" s="20" t="n">
        <v>0</v>
      </c>
      <c r="G112" s="20" t="n">
        <v>0</v>
      </c>
      <c r="H112" s="20" t="n">
        <v>0</v>
      </c>
      <c r="I112" s="20" t="n">
        <v>0</v>
      </c>
      <c r="J112" s="20" t="n">
        <v>0</v>
      </c>
      <c r="K112" s="20" t="n">
        <v>0</v>
      </c>
      <c r="L112" s="20" t="n">
        <v>1066</v>
      </c>
      <c r="M112" s="20" t="n">
        <v>72</v>
      </c>
      <c r="N112" s="20" t="n">
        <v>0</v>
      </c>
      <c r="T112" s="20" t="n">
        <v>140</v>
      </c>
      <c r="U112" s="20" t="n">
        <v>0</v>
      </c>
      <c r="V112" s="20" t="n">
        <v>0</v>
      </c>
      <c r="W112" s="20" t="n">
        <v>0</v>
      </c>
      <c r="X112" s="20" t="n">
        <v>72</v>
      </c>
    </row>
    <row r="113">
      <c r="A113" s="18" t="inlineStr">
        <is>
          <t>고정자산 매각손실</t>
        </is>
      </c>
      <c r="E113" s="20" t="n">
        <v>0</v>
      </c>
      <c r="I113" s="20" t="n">
        <v>0</v>
      </c>
      <c r="T113" s="20" t="n">
        <v>0</v>
      </c>
      <c r="U113" s="20" t="n">
        <v>0</v>
      </c>
      <c r="V113" s="20" t="n">
        <v>0</v>
      </c>
      <c r="W113" s="20" t="n">
        <v>0</v>
      </c>
    </row>
    <row r="114">
      <c r="A114" s="18" t="inlineStr">
        <is>
          <t>고정자산 제각손실</t>
        </is>
      </c>
      <c r="C114" s="20" t="n">
        <v>1</v>
      </c>
      <c r="D114" s="20" t="n">
        <v>0</v>
      </c>
      <c r="E114" s="20" t="n">
        <v>4</v>
      </c>
      <c r="F114" s="20" t="n">
        <v>0</v>
      </c>
      <c r="G114" s="20" t="n">
        <v>1</v>
      </c>
      <c r="H114" s="20" t="n">
        <v>1</v>
      </c>
      <c r="I114" s="20" t="n">
        <v>5</v>
      </c>
      <c r="J114" s="20" t="n">
        <v>0</v>
      </c>
      <c r="K114" s="20" t="n">
        <v>1</v>
      </c>
      <c r="L114" s="20" t="n">
        <v>1</v>
      </c>
      <c r="M114" s="20" t="n">
        <v>3</v>
      </c>
      <c r="N114" s="20" t="n">
        <v>0</v>
      </c>
      <c r="T114" s="20" t="n">
        <v>0</v>
      </c>
      <c r="U114" s="20" t="n">
        <v>0</v>
      </c>
      <c r="V114" s="20" t="n">
        <v>4</v>
      </c>
      <c r="W114" s="20" t="n">
        <v>5</v>
      </c>
      <c r="X114" s="20" t="n">
        <v>3</v>
      </c>
    </row>
    <row r="115">
      <c r="A115" s="18" t="inlineStr">
        <is>
          <t>골프회원권 대손충당금 전입액</t>
        </is>
      </c>
      <c r="T115" s="20" t="n">
        <v>0</v>
      </c>
      <c r="U115" s="20" t="n">
        <v>0</v>
      </c>
    </row>
    <row r="116">
      <c r="A116" s="18" t="inlineStr">
        <is>
          <t>골프회원권 상환손실</t>
        </is>
      </c>
      <c r="T116" s="20" t="n">
        <v>0</v>
      </c>
      <c r="U116" s="20" t="n">
        <v>0</v>
      </c>
    </row>
    <row r="117">
      <c r="A117" s="18" t="inlineStr">
        <is>
          <t>신탁종료손실 충당금 전입액</t>
        </is>
      </c>
      <c r="T117" s="20" t="n">
        <v>0</v>
      </c>
      <c r="U117" s="20" t="n">
        <v>0</v>
      </c>
    </row>
    <row r="118">
      <c r="A118" s="18" t="inlineStr">
        <is>
          <t>지분변동 손실</t>
        </is>
      </c>
      <c r="E118" s="20" t="n">
        <v>0</v>
      </c>
      <c r="I118" s="20" t="n">
        <v>0</v>
      </c>
      <c r="U118" s="20" t="n">
        <v>0</v>
      </c>
      <c r="V118" s="20" t="n">
        <v>0</v>
      </c>
      <c r="W118" s="20" t="n">
        <v>0</v>
      </c>
    </row>
    <row r="119">
      <c r="A119" s="18" t="inlineStr">
        <is>
          <t>특별손실 합계</t>
        </is>
      </c>
      <c r="C119" s="20" t="n">
        <v>1</v>
      </c>
      <c r="D119" s="20" t="n">
        <v>33</v>
      </c>
      <c r="E119" s="20" t="n">
        <v>4</v>
      </c>
      <c r="F119" s="20" t="n">
        <v>0</v>
      </c>
      <c r="G119" s="20" t="n">
        <v>1</v>
      </c>
      <c r="H119" s="20" t="n">
        <v>1</v>
      </c>
      <c r="I119" s="20" t="n">
        <v>5</v>
      </c>
      <c r="J119" s="20" t="n">
        <v>0</v>
      </c>
      <c r="K119" s="20" t="n">
        <v>1</v>
      </c>
      <c r="L119" s="20" t="n">
        <v>1</v>
      </c>
      <c r="M119" s="20" t="n">
        <v>3</v>
      </c>
      <c r="N119" s="20" t="n">
        <v>0</v>
      </c>
      <c r="T119" s="20" t="n">
        <v>1351</v>
      </c>
      <c r="U119" s="20" t="n">
        <v>6</v>
      </c>
      <c r="V119" s="20" t="n">
        <v>4</v>
      </c>
      <c r="W119" s="20" t="n">
        <v>5</v>
      </c>
      <c r="X119" s="20" t="n">
        <v>3</v>
      </c>
    </row>
    <row r="120">
      <c r="A120" s="9" t="inlineStr">
        <is>
          <t>법인세차감전 순이익</t>
        </is>
      </c>
      <c r="C120" s="12" t="n">
        <v>3109</v>
      </c>
      <c r="D120" s="12" t="n">
        <v>3431</v>
      </c>
      <c r="E120" s="12" t="n">
        <v>4200</v>
      </c>
      <c r="F120" s="12" t="n">
        <v>3614</v>
      </c>
      <c r="G120" s="12" t="n">
        <v>2532</v>
      </c>
      <c r="H120" s="12" t="n">
        <v>1786</v>
      </c>
      <c r="I120" s="12" t="n">
        <v>3476</v>
      </c>
      <c r="J120" s="12" t="n">
        <v>1715</v>
      </c>
      <c r="K120" s="12" t="n">
        <v>1950</v>
      </c>
      <c r="L120" s="12" t="n">
        <v>3427</v>
      </c>
      <c r="M120" s="12" t="n">
        <v>3791</v>
      </c>
      <c r="N120" s="12" t="n">
        <v>3908</v>
      </c>
      <c r="T120" s="12" t="n">
        <v>1846</v>
      </c>
      <c r="U120" s="12" t="n">
        <v>3978</v>
      </c>
      <c r="V120" s="12" t="n">
        <v>4200</v>
      </c>
      <c r="W120" s="12" t="n">
        <v>3476</v>
      </c>
      <c r="X120" s="12" t="n">
        <v>3791</v>
      </c>
    </row>
    <row r="121">
      <c r="A121" s="18" t="inlineStr">
        <is>
          <t>법인세 등</t>
        </is>
      </c>
      <c r="C121" s="20" t="n">
        <v>719</v>
      </c>
      <c r="D121" s="20" t="n">
        <v>886</v>
      </c>
      <c r="E121" s="20" t="n">
        <v>1265</v>
      </c>
      <c r="F121" s="20" t="n">
        <v>1107</v>
      </c>
      <c r="G121" s="20" t="n">
        <v>720</v>
      </c>
      <c r="H121" s="20" t="n">
        <v>508</v>
      </c>
      <c r="I121" s="20" t="n">
        <v>169</v>
      </c>
      <c r="J121" s="20" t="n">
        <v>475</v>
      </c>
      <c r="K121" s="20" t="n">
        <v>581</v>
      </c>
      <c r="L121" s="20" t="n">
        <v>976</v>
      </c>
      <c r="M121" s="20" t="n">
        <v>966</v>
      </c>
      <c r="N121" s="20" t="n">
        <v>1241</v>
      </c>
      <c r="T121" s="20" t="n">
        <v>597</v>
      </c>
      <c r="U121" s="20" t="n">
        <v>1074</v>
      </c>
      <c r="V121" s="20" t="n">
        <v>1265</v>
      </c>
      <c r="W121" s="20" t="n">
        <v>169</v>
      </c>
      <c r="X121" s="20" t="n">
        <v>966</v>
      </c>
    </row>
    <row r="122">
      <c r="A122" s="9" t="inlineStr">
        <is>
          <t>순이익</t>
        </is>
      </c>
      <c r="C122" s="12" t="n">
        <v>2391</v>
      </c>
      <c r="D122" s="12" t="n">
        <v>2544</v>
      </c>
      <c r="E122" s="12" t="n">
        <v>2936</v>
      </c>
      <c r="F122" s="12" t="n">
        <v>2506</v>
      </c>
      <c r="G122" s="12" t="n">
        <v>1812</v>
      </c>
      <c r="H122" s="12" t="n">
        <v>1279</v>
      </c>
      <c r="I122" s="12" t="n">
        <v>3307</v>
      </c>
      <c r="J122" s="12" t="n">
        <v>1240</v>
      </c>
      <c r="K122" s="12" t="n">
        <v>1368</v>
      </c>
      <c r="L122" s="12" t="n">
        <v>2451</v>
      </c>
      <c r="M122" s="12" t="n">
        <v>2825</v>
      </c>
      <c r="N122" s="12" t="n">
        <v>2667</v>
      </c>
      <c r="T122" s="12" t="n">
        <v>1249</v>
      </c>
      <c r="U122" s="12" t="n">
        <v>2905</v>
      </c>
      <c r="V122" s="12" t="n">
        <v>2936</v>
      </c>
      <c r="W122" s="12" t="n">
        <v>3307</v>
      </c>
      <c r="X122" s="12" t="n">
        <v>2825</v>
      </c>
    </row>
    <row r="123">
      <c r="A123" s="9" t="inlineStr">
        <is>
          <t>비지배주주 순이익</t>
        </is>
      </c>
      <c r="C123" s="12" t="n">
        <v>26</v>
      </c>
      <c r="D123" s="12" t="n">
        <v>24</v>
      </c>
      <c r="E123" s="12" t="n">
        <v>20</v>
      </c>
      <c r="F123" s="12" t="n">
        <v>12</v>
      </c>
      <c r="G123" s="12" t="n">
        <v>1</v>
      </c>
      <c r="H123" s="12" t="n">
        <v>10</v>
      </c>
      <c r="I123" s="12" t="n">
        <v>6</v>
      </c>
      <c r="J123" s="12" t="n">
        <v>22</v>
      </c>
      <c r="K123" s="12" t="n">
        <v>6</v>
      </c>
      <c r="L123" s="12" t="n">
        <v>0</v>
      </c>
      <c r="M123" s="12" t="n">
        <v>13</v>
      </c>
      <c r="N123" s="12" t="n">
        <v>16</v>
      </c>
      <c r="T123" s="12" t="n">
        <v>60</v>
      </c>
      <c r="U123" s="12" t="n">
        <v>28</v>
      </c>
      <c r="V123" s="12" t="n">
        <v>20</v>
      </c>
      <c r="W123" s="12" t="n">
        <v>6</v>
      </c>
      <c r="X123" s="12" t="n">
        <v>13</v>
      </c>
    </row>
    <row r="124">
      <c r="A124" s="9" t="inlineStr">
        <is>
          <t>지배주주 순이익</t>
        </is>
      </c>
      <c r="C124" s="12" t="n">
        <v>2365</v>
      </c>
      <c r="D124" s="12" t="n">
        <v>2519</v>
      </c>
      <c r="E124" s="12" t="n">
        <v>2916</v>
      </c>
      <c r="F124" s="12" t="n">
        <v>2494</v>
      </c>
      <c r="G124" s="12" t="n">
        <v>1811</v>
      </c>
      <c r="H124" s="12" t="n">
        <v>1269</v>
      </c>
      <c r="I124" s="12" t="n">
        <v>3300</v>
      </c>
      <c r="J124" s="12" t="n">
        <v>1217</v>
      </c>
      <c r="K124" s="12" t="n">
        <v>1363</v>
      </c>
      <c r="L124" s="12" t="n">
        <v>2450</v>
      </c>
      <c r="M124" s="12" t="n">
        <v>2812</v>
      </c>
      <c r="N124" s="12" t="n">
        <v>2651</v>
      </c>
      <c r="T124" s="12" t="n">
        <v>1190</v>
      </c>
      <c r="U124" s="12" t="n">
        <v>2877</v>
      </c>
      <c r="V124" s="12" t="n">
        <v>2916</v>
      </c>
      <c r="W124" s="12" t="n">
        <v>3300</v>
      </c>
      <c r="X124" s="12" t="n">
        <v>2812</v>
      </c>
    </row>
    <row r="126">
      <c r="A126" s="16" t="inlineStr">
        <is>
          <t>포괄손익 · 전 항목</t>
        </is>
      </c>
      <c r="B126" s="42" t="inlineStr">
        <is>
          <t>분기 = 3개월 단독</t>
        </is>
      </c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</row>
    <row r="127">
      <c r="A127" s="5" t="inlineStr">
        <is>
          <t>항목</t>
        </is>
      </c>
      <c r="B127" s="5" t="inlineStr">
        <is>
          <t>참고</t>
        </is>
      </c>
      <c r="C127" s="5" t="inlineStr">
        <is>
          <t>2024.2Q</t>
        </is>
      </c>
      <c r="D127" s="5" t="inlineStr">
        <is>
          <t>2024.3Q</t>
        </is>
      </c>
      <c r="E127" s="5" t="inlineStr">
        <is>
          <t>2024.4Q</t>
        </is>
      </c>
      <c r="F127" s="5" t="inlineStr">
        <is>
          <t>2025.1Q</t>
        </is>
      </c>
      <c r="G127" s="5" t="inlineStr">
        <is>
          <t>2025.2Q</t>
        </is>
      </c>
      <c r="H127" s="5" t="inlineStr">
        <is>
          <t>2025.3Q</t>
        </is>
      </c>
      <c r="I127" s="5" t="inlineStr">
        <is>
          <t>2025.4Q</t>
        </is>
      </c>
      <c r="J127" s="5" t="inlineStr">
        <is>
          <t>2026.1Q</t>
        </is>
      </c>
      <c r="K127" s="5" t="inlineStr">
        <is>
          <t>2026.2Q</t>
        </is>
      </c>
      <c r="L127" s="5" t="inlineStr">
        <is>
          <t>2026.3Q</t>
        </is>
      </c>
      <c r="M127" s="5" t="inlineStr">
        <is>
          <t>2026.4Q</t>
        </is>
      </c>
      <c r="N127" s="5" t="inlineStr">
        <is>
          <t>2027.1Q</t>
        </is>
      </c>
      <c r="O127" s="5" t="inlineStr">
        <is>
          <t>2017</t>
        </is>
      </c>
      <c r="P127" s="5" t="inlineStr">
        <is>
          <t>2018</t>
        </is>
      </c>
      <c r="Q127" s="5" t="inlineStr">
        <is>
          <t>2019</t>
        </is>
      </c>
      <c r="R127" s="5" t="inlineStr">
        <is>
          <t>2020</t>
        </is>
      </c>
      <c r="S127" s="5" t="inlineStr">
        <is>
          <t>2021</t>
        </is>
      </c>
      <c r="T127" s="5" t="inlineStr">
        <is>
          <t>2022</t>
        </is>
      </c>
      <c r="U127" s="5" t="inlineStr">
        <is>
          <t>2023</t>
        </is>
      </c>
      <c r="V127" s="5" t="inlineStr">
        <is>
          <t>2024</t>
        </is>
      </c>
      <c r="W127" s="5" t="inlineStr">
        <is>
          <t>2025</t>
        </is>
      </c>
      <c r="X127" s="5" t="inlineStr">
        <is>
          <t>2026</t>
        </is>
      </c>
      <c r="Y127" s="5" t="inlineStr">
        <is>
          <t>2027(MW)</t>
        </is>
      </c>
      <c r="Z127" s="5" t="inlineStr">
        <is>
          <t>2028(MW)</t>
        </is>
      </c>
      <c r="AA127" s="5" t="inlineStr">
        <is>
          <t>2029(MW)</t>
        </is>
      </c>
      <c r="AB127" s="5" t="inlineStr">
        <is>
          <t>2030(MW)</t>
        </is>
      </c>
      <c r="AC127" s="5" t="inlineStr">
        <is>
          <t>2031(MW)</t>
        </is>
      </c>
    </row>
    <row r="128">
      <c r="A128" s="9" t="inlineStr">
        <is>
          <t>순이익</t>
        </is>
      </c>
      <c r="C128" s="12" t="n">
        <v>2391</v>
      </c>
      <c r="D128" s="12" t="n">
        <v>2544</v>
      </c>
      <c r="E128" s="12" t="n">
        <v>2936</v>
      </c>
      <c r="F128" s="12" t="n">
        <v>2506</v>
      </c>
      <c r="G128" s="12" t="n">
        <v>1812</v>
      </c>
      <c r="H128" s="12" t="n">
        <v>1279</v>
      </c>
      <c r="I128" s="12" t="n">
        <v>3307</v>
      </c>
      <c r="J128" s="12" t="n">
        <v>1240</v>
      </c>
      <c r="K128" s="12" t="n">
        <v>1368</v>
      </c>
      <c r="L128" s="12" t="n">
        <v>2451</v>
      </c>
      <c r="M128" s="12" t="n">
        <v>2825</v>
      </c>
      <c r="N128" s="12" t="n">
        <v>2667</v>
      </c>
      <c r="T128" s="12" t="n">
        <v>1249</v>
      </c>
      <c r="U128" s="12" t="n">
        <v>2905</v>
      </c>
      <c r="V128" s="12" t="n">
        <v>2936</v>
      </c>
      <c r="W128" s="12" t="n">
        <v>3307</v>
      </c>
      <c r="X128" s="12" t="n">
        <v>2825</v>
      </c>
    </row>
    <row r="129">
      <c r="A129" s="18" t="inlineStr">
        <is>
          <t>기타유가증권 평가차액</t>
        </is>
      </c>
      <c r="C129" s="20" t="n">
        <v>-3</v>
      </c>
      <c r="D129" s="20" t="n">
        <v>53</v>
      </c>
      <c r="E129" s="20" t="n">
        <v>-13</v>
      </c>
      <c r="F129" s="20" t="n">
        <v>-42</v>
      </c>
      <c r="G129" s="20" t="n">
        <v>-27</v>
      </c>
      <c r="H129" s="20" t="n">
        <v>-13</v>
      </c>
      <c r="I129" s="20" t="n">
        <v>-14</v>
      </c>
      <c r="J129" s="20" t="n">
        <v>0</v>
      </c>
      <c r="K129" s="20" t="n">
        <v>2</v>
      </c>
      <c r="L129" s="20" t="n">
        <v>12</v>
      </c>
      <c r="M129" s="20" t="n">
        <v>-6</v>
      </c>
      <c r="N129" s="20" t="n">
        <v>17</v>
      </c>
      <c r="T129" s="20" t="n">
        <v>12</v>
      </c>
      <c r="U129" s="20" t="n">
        <v>9</v>
      </c>
      <c r="V129" s="20" t="n">
        <v>-13</v>
      </c>
      <c r="W129" s="20" t="n">
        <v>-14</v>
      </c>
      <c r="X129" s="20" t="n">
        <v>-6</v>
      </c>
    </row>
    <row r="130">
      <c r="A130" s="18" t="inlineStr">
        <is>
          <t>이연헤지손익</t>
        </is>
      </c>
      <c r="C130" s="20" t="n">
        <v>164</v>
      </c>
      <c r="D130" s="20" t="n">
        <v>150</v>
      </c>
      <c r="E130" s="20" t="n">
        <v>-137</v>
      </c>
      <c r="F130" s="20" t="n">
        <v>74</v>
      </c>
      <c r="G130" s="20" t="n">
        <v>-82</v>
      </c>
      <c r="H130" s="20" t="n">
        <v>-235</v>
      </c>
      <c r="I130" s="20" t="n">
        <v>230</v>
      </c>
      <c r="J130" s="20" t="n">
        <v>-106</v>
      </c>
      <c r="K130" s="20" t="n">
        <v>-33</v>
      </c>
      <c r="L130" s="20" t="n">
        <v>-27</v>
      </c>
      <c r="M130" s="20" t="n">
        <v>4</v>
      </c>
      <c r="N130" s="20" t="n">
        <v>40</v>
      </c>
      <c r="T130" s="20" t="n">
        <v>-98</v>
      </c>
      <c r="U130" s="20" t="n">
        <v>-218</v>
      </c>
      <c r="V130" s="20" t="n">
        <v>-137</v>
      </c>
      <c r="W130" s="20" t="n">
        <v>230</v>
      </c>
      <c r="X130" s="20" t="n">
        <v>4</v>
      </c>
    </row>
    <row r="131">
      <c r="A131" s="18" t="inlineStr">
        <is>
          <t>해외사업환산조정</t>
        </is>
      </c>
      <c r="C131" s="20" t="n">
        <v>239</v>
      </c>
      <c r="D131" s="20" t="n">
        <v>-292</v>
      </c>
      <c r="E131" s="20" t="n">
        <v>362</v>
      </c>
      <c r="F131" s="20" t="n">
        <v>404</v>
      </c>
      <c r="G131" s="20" t="n">
        <v>-692</v>
      </c>
      <c r="H131" s="20" t="n">
        <v>623</v>
      </c>
      <c r="I131" s="20" t="n">
        <v>-336</v>
      </c>
      <c r="J131" s="20" t="n">
        <v>-258</v>
      </c>
      <c r="K131" s="20" t="n">
        <v>201</v>
      </c>
      <c r="L131" s="20" t="n">
        <v>408</v>
      </c>
      <c r="M131" s="20" t="n">
        <v>226</v>
      </c>
      <c r="N131" s="20" t="n">
        <v>112</v>
      </c>
      <c r="T131" s="20" t="n">
        <v>236</v>
      </c>
      <c r="U131" s="20" t="n">
        <v>4</v>
      </c>
      <c r="V131" s="20" t="n">
        <v>362</v>
      </c>
      <c r="W131" s="20" t="n">
        <v>-336</v>
      </c>
      <c r="X131" s="20" t="n">
        <v>226</v>
      </c>
    </row>
    <row r="132">
      <c r="A132" s="18" t="inlineStr">
        <is>
          <t>퇴직급여 조정액</t>
        </is>
      </c>
      <c r="C132" s="20" t="n">
        <v>-5</v>
      </c>
      <c r="D132" s="20" t="n">
        <v>-5</v>
      </c>
      <c r="E132" s="20" t="n">
        <v>77</v>
      </c>
      <c r="F132" s="20" t="n">
        <v>-19</v>
      </c>
      <c r="G132" s="20" t="n">
        <v>-19</v>
      </c>
      <c r="H132" s="20" t="n">
        <v>-19</v>
      </c>
      <c r="I132" s="20" t="n">
        <v>439</v>
      </c>
      <c r="J132" s="20" t="n">
        <v>-33</v>
      </c>
      <c r="K132" s="20" t="n">
        <v>-33</v>
      </c>
      <c r="L132" s="20" t="n">
        <v>-33</v>
      </c>
      <c r="M132" s="20" t="n">
        <v>513</v>
      </c>
      <c r="N132" s="20" t="n">
        <v>-77</v>
      </c>
      <c r="T132" s="20" t="n">
        <v>-183</v>
      </c>
      <c r="U132" s="20" t="n">
        <v>141</v>
      </c>
      <c r="V132" s="20" t="n">
        <v>77</v>
      </c>
      <c r="W132" s="20" t="n">
        <v>439</v>
      </c>
      <c r="X132" s="20" t="n">
        <v>513</v>
      </c>
    </row>
    <row r="133">
      <c r="A133" s="18" t="inlineStr">
        <is>
          <t>지분법 적용회사 지분 해당액</t>
        </is>
      </c>
      <c r="C133" s="20" t="n">
        <v>31</v>
      </c>
      <c r="D133" s="20" t="n">
        <v>3</v>
      </c>
      <c r="E133" s="20" t="n">
        <v>-12</v>
      </c>
      <c r="F133" s="20" t="n">
        <v>7</v>
      </c>
      <c r="G133" s="20" t="n">
        <v>13</v>
      </c>
      <c r="H133" s="20" t="n">
        <v>-27</v>
      </c>
      <c r="I133" s="20" t="n">
        <v>9</v>
      </c>
      <c r="J133" s="20" t="n">
        <v>-8</v>
      </c>
      <c r="K133" s="20" t="n">
        <v>-9</v>
      </c>
      <c r="L133" s="20" t="n">
        <v>-25</v>
      </c>
      <c r="M133" s="20" t="n">
        <v>0</v>
      </c>
      <c r="N133" s="20" t="n">
        <v>0</v>
      </c>
      <c r="T133" s="20" t="n">
        <v>6</v>
      </c>
      <c r="U133" s="20" t="n">
        <v>-24</v>
      </c>
      <c r="V133" s="20" t="n">
        <v>-12</v>
      </c>
      <c r="W133" s="20" t="n">
        <v>9</v>
      </c>
      <c r="X133" s="20" t="n">
        <v>0</v>
      </c>
    </row>
    <row r="134">
      <c r="A134" s="18" t="inlineStr">
        <is>
          <t>기타포괄손익 합계</t>
        </is>
      </c>
      <c r="C134" s="20" t="n">
        <v>426</v>
      </c>
      <c r="D134" s="20" t="n">
        <v>-93</v>
      </c>
      <c r="E134" s="20" t="n">
        <v>279</v>
      </c>
      <c r="F134" s="20" t="n">
        <v>425</v>
      </c>
      <c r="G134" s="20" t="n">
        <v>-809</v>
      </c>
      <c r="H134" s="20" t="n">
        <v>328</v>
      </c>
      <c r="I134" s="20" t="n">
        <v>330</v>
      </c>
      <c r="J134" s="20" t="n">
        <v>-406</v>
      </c>
      <c r="K134" s="20" t="n">
        <v>128</v>
      </c>
      <c r="L134" s="20" t="n">
        <v>335</v>
      </c>
      <c r="M134" s="20" t="n">
        <v>738</v>
      </c>
      <c r="N134" s="20" t="n">
        <v>92</v>
      </c>
      <c r="T134" s="20" t="n">
        <v>-29</v>
      </c>
      <c r="U134" s="20" t="n">
        <v>-87</v>
      </c>
      <c r="V134" s="20" t="n">
        <v>279</v>
      </c>
      <c r="W134" s="20" t="n">
        <v>330</v>
      </c>
      <c r="X134" s="20" t="n">
        <v>738</v>
      </c>
    </row>
    <row r="135">
      <c r="A135" s="9" t="inlineStr">
        <is>
          <t>포괄이익</t>
        </is>
      </c>
      <c r="C135" s="12" t="n">
        <v>2816</v>
      </c>
      <c r="D135" s="12" t="n">
        <v>2452</v>
      </c>
      <c r="E135" s="12" t="n">
        <v>3215</v>
      </c>
      <c r="F135" s="12" t="n">
        <v>2932</v>
      </c>
      <c r="G135" s="12" t="n">
        <v>1002</v>
      </c>
      <c r="H135" s="12" t="n">
        <v>1607</v>
      </c>
      <c r="I135" s="12" t="n">
        <v>3637</v>
      </c>
      <c r="J135" s="12" t="n">
        <v>833</v>
      </c>
      <c r="K135" s="12" t="n">
        <v>1497</v>
      </c>
      <c r="L135" s="12" t="n">
        <v>2787</v>
      </c>
      <c r="M135" s="12" t="n">
        <v>3562</v>
      </c>
      <c r="N135" s="12" t="n">
        <v>2760</v>
      </c>
      <c r="T135" s="12" t="n">
        <v>1221</v>
      </c>
      <c r="U135" s="12" t="n">
        <v>2819</v>
      </c>
      <c r="V135" s="12" t="n">
        <v>3215</v>
      </c>
      <c r="W135" s="12" t="n">
        <v>3637</v>
      </c>
      <c r="X135" s="12" t="n">
        <v>3562</v>
      </c>
    </row>
    <row r="136">
      <c r="A136" s="9" t="inlineStr">
        <is>
          <t>지배주주 포괄이익</t>
        </is>
      </c>
      <c r="C136" s="12" t="n">
        <v>2790</v>
      </c>
      <c r="D136" s="12" t="n">
        <v>2427</v>
      </c>
      <c r="E136" s="12" t="n">
        <v>3195</v>
      </c>
      <c r="F136" s="12" t="n">
        <v>2919</v>
      </c>
      <c r="G136" s="12" t="n">
        <v>1002</v>
      </c>
      <c r="H136" s="12" t="n">
        <v>1597</v>
      </c>
      <c r="I136" s="12" t="n">
        <v>3630</v>
      </c>
      <c r="J136" s="12" t="n">
        <v>810</v>
      </c>
      <c r="K136" s="12" t="n">
        <v>1491</v>
      </c>
      <c r="L136" s="12" t="n">
        <v>2787</v>
      </c>
      <c r="M136" s="12" t="n">
        <v>3550</v>
      </c>
      <c r="N136" s="12" t="n">
        <v>2744</v>
      </c>
      <c r="T136" s="12" t="n">
        <v>1161</v>
      </c>
      <c r="U136" s="12" t="n">
        <v>2790</v>
      </c>
      <c r="V136" s="12" t="n">
        <v>3195</v>
      </c>
      <c r="W136" s="12" t="n">
        <v>3630</v>
      </c>
      <c r="X136" s="12" t="n">
        <v>3550</v>
      </c>
    </row>
    <row r="137">
      <c r="A137" s="9" t="inlineStr">
        <is>
          <t>비지배주주 포괄이익</t>
        </is>
      </c>
      <c r="C137" s="12" t="n">
        <v>26</v>
      </c>
      <c r="D137" s="12" t="n">
        <v>24</v>
      </c>
      <c r="E137" s="12" t="n">
        <v>20</v>
      </c>
      <c r="F137" s="12" t="n">
        <v>12</v>
      </c>
      <c r="G137" s="12" t="n">
        <v>1</v>
      </c>
      <c r="H137" s="12" t="n">
        <v>10</v>
      </c>
      <c r="I137" s="12" t="n">
        <v>6</v>
      </c>
      <c r="J137" s="12" t="n">
        <v>22</v>
      </c>
      <c r="K137" s="12" t="n">
        <v>6</v>
      </c>
      <c r="L137" s="12" t="n">
        <v>0</v>
      </c>
      <c r="M137" s="12" t="n">
        <v>13</v>
      </c>
      <c r="N137" s="12" t="n">
        <v>16</v>
      </c>
      <c r="T137" s="12" t="n">
        <v>60</v>
      </c>
      <c r="U137" s="12" t="n">
        <v>28</v>
      </c>
      <c r="V137" s="12" t="n">
        <v>20</v>
      </c>
      <c r="W137" s="12" t="n">
        <v>6</v>
      </c>
      <c r="X137" s="12" t="n">
        <v>13</v>
      </c>
    </row>
    <row r="139">
      <c r="A139" s="16" t="inlineStr">
        <is>
          <t>부문 · 전 항목</t>
        </is>
      </c>
      <c r="B139" s="42" t="inlineStr">
        <is>
          <t>부문 · 항목</t>
        </is>
      </c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</row>
    <row r="140">
      <c r="A140" s="5" t="inlineStr">
        <is>
          <t>항목</t>
        </is>
      </c>
      <c r="B140" s="5" t="inlineStr">
        <is>
          <t>참고</t>
        </is>
      </c>
      <c r="C140" s="5" t="inlineStr">
        <is>
          <t>2024.2Q</t>
        </is>
      </c>
      <c r="D140" s="5" t="inlineStr">
        <is>
          <t>2024.3Q</t>
        </is>
      </c>
      <c r="E140" s="5" t="inlineStr">
        <is>
          <t>2024.4Q</t>
        </is>
      </c>
      <c r="F140" s="5" t="inlineStr">
        <is>
          <t>2025.1Q</t>
        </is>
      </c>
      <c r="G140" s="5" t="inlineStr">
        <is>
          <t>2025.2Q</t>
        </is>
      </c>
      <c r="H140" s="5" t="inlineStr">
        <is>
          <t>2025.3Q</t>
        </is>
      </c>
      <c r="I140" s="5" t="inlineStr">
        <is>
          <t>2025.4Q</t>
        </is>
      </c>
      <c r="J140" s="5" t="inlineStr">
        <is>
          <t>2026.1Q</t>
        </is>
      </c>
      <c r="K140" s="5" t="inlineStr">
        <is>
          <t>2026.2Q</t>
        </is>
      </c>
      <c r="L140" s="5" t="inlineStr">
        <is>
          <t>2026.3Q</t>
        </is>
      </c>
      <c r="M140" s="5" t="inlineStr">
        <is>
          <t>2026.4Q</t>
        </is>
      </c>
      <c r="N140" s="5" t="inlineStr">
        <is>
          <t>2027.1Q</t>
        </is>
      </c>
      <c r="O140" s="5" t="inlineStr">
        <is>
          <t>2017</t>
        </is>
      </c>
      <c r="P140" s="5" t="inlineStr">
        <is>
          <t>2018</t>
        </is>
      </c>
      <c r="Q140" s="5" t="inlineStr">
        <is>
          <t>2019</t>
        </is>
      </c>
      <c r="R140" s="5" t="inlineStr">
        <is>
          <t>2020</t>
        </is>
      </c>
      <c r="S140" s="5" t="inlineStr">
        <is>
          <t>2021</t>
        </is>
      </c>
      <c r="T140" s="5" t="inlineStr">
        <is>
          <t>2022</t>
        </is>
      </c>
      <c r="U140" s="5" t="inlineStr">
        <is>
          <t>2023</t>
        </is>
      </c>
      <c r="V140" s="5" t="inlineStr">
        <is>
          <t>2024</t>
        </is>
      </c>
      <c r="W140" s="5" t="inlineStr">
        <is>
          <t>2025</t>
        </is>
      </c>
      <c r="X140" s="5" t="inlineStr">
        <is>
          <t>2026</t>
        </is>
      </c>
      <c r="Y140" s="5" t="inlineStr">
        <is>
          <t>2027(MW)</t>
        </is>
      </c>
      <c r="Z140" s="5" t="inlineStr">
        <is>
          <t>2028(MW)</t>
        </is>
      </c>
      <c r="AA140" s="5" t="inlineStr">
        <is>
          <t>2029(MW)</t>
        </is>
      </c>
      <c r="AB140" s="5" t="inlineStr">
        <is>
          <t>2030(MW)</t>
        </is>
      </c>
      <c r="AC140" s="5" t="inlineStr">
        <is>
          <t>2031(MW)</t>
        </is>
      </c>
    </row>
    <row r="141">
      <c r="A141" s="18" t="inlineStr">
        <is>
          <t>SemiconductorAndElectronicDeviceReportableSegmentsMember · 외부 고객 매출</t>
        </is>
      </c>
      <c r="C141" s="20" t="n">
        <v>53432</v>
      </c>
      <c r="D141" s="20" t="n">
        <v>53463</v>
      </c>
      <c r="E141" s="20" t="n">
        <v>51102</v>
      </c>
      <c r="F141" s="20" t="n">
        <v>47865</v>
      </c>
      <c r="G141" s="20" t="n">
        <v>46159</v>
      </c>
      <c r="H141" s="20" t="n">
        <v>41924</v>
      </c>
      <c r="I141" s="20" t="n">
        <v>43103</v>
      </c>
      <c r="J141" s="20" t="n">
        <v>36394</v>
      </c>
      <c r="K141" s="20" t="n">
        <v>40654</v>
      </c>
      <c r="L141" s="20" t="n">
        <v>40256</v>
      </c>
      <c r="M141" s="20" t="n">
        <v>45239</v>
      </c>
      <c r="N141" s="20" t="n">
        <v>50354</v>
      </c>
      <c r="V141" s="20" t="n">
        <v>51102</v>
      </c>
      <c r="W141" s="20" t="n">
        <v>43103</v>
      </c>
      <c r="X141" s="20" t="n">
        <v>45239</v>
      </c>
    </row>
    <row r="142">
      <c r="A142" s="18" t="inlineStr">
        <is>
          <t>ComputerSystemReportableSegmentsMember · 외부 고객 매출</t>
        </is>
      </c>
      <c r="C142" s="20" t="n">
        <v>7254</v>
      </c>
      <c r="D142" s="20" t="n">
        <v>6587</v>
      </c>
      <c r="E142" s="20" t="n">
        <v>12038</v>
      </c>
      <c r="F142" s="20" t="n">
        <v>8741</v>
      </c>
      <c r="G142" s="20" t="n">
        <v>8946</v>
      </c>
      <c r="H142" s="20" t="n">
        <v>8460</v>
      </c>
      <c r="I142" s="20" t="n">
        <v>11180</v>
      </c>
      <c r="J142" s="20" t="n">
        <v>8741</v>
      </c>
      <c r="K142" s="20" t="n">
        <v>10454</v>
      </c>
      <c r="L142" s="20" t="n">
        <v>10216</v>
      </c>
      <c r="M142" s="20" t="n">
        <v>11793</v>
      </c>
      <c r="N142" s="20" t="n">
        <v>9967</v>
      </c>
      <c r="V142" s="20" t="n">
        <v>12038</v>
      </c>
      <c r="W142" s="20" t="n">
        <v>11180</v>
      </c>
      <c r="X142" s="20" t="n">
        <v>11793</v>
      </c>
    </row>
    <row r="143">
      <c r="A143" s="18" t="inlineStr">
        <is>
          <t>합계 · 외부 고객 매출</t>
        </is>
      </c>
      <c r="C143" s="20" t="n">
        <v>60686</v>
      </c>
      <c r="D143" s="20" t="n">
        <v>60050</v>
      </c>
      <c r="E143" s="20" t="n">
        <v>63140</v>
      </c>
      <c r="F143" s="20" t="n">
        <v>56607</v>
      </c>
      <c r="G143" s="20" t="n">
        <v>55105</v>
      </c>
      <c r="H143" s="20" t="n">
        <v>50384</v>
      </c>
      <c r="I143" s="20" t="n">
        <v>54283</v>
      </c>
      <c r="J143" s="20" t="n">
        <v>45136</v>
      </c>
      <c r="K143" s="20" t="n">
        <v>51108</v>
      </c>
      <c r="L143" s="20" t="n">
        <v>50472</v>
      </c>
      <c r="M143" s="20" t="n">
        <v>57032</v>
      </c>
      <c r="N143" s="20" t="n">
        <v>60322</v>
      </c>
      <c r="V143" s="20" t="n">
        <v>63140</v>
      </c>
      <c r="W143" s="20" t="n">
        <v>54283</v>
      </c>
      <c r="X143" s="20" t="n">
        <v>57032</v>
      </c>
    </row>
    <row r="144">
      <c r="A144" s="18" t="inlineStr">
        <is>
          <t>조정액 · 외부 고객 매출</t>
        </is>
      </c>
      <c r="C144" s="20" t="n">
        <v>0</v>
      </c>
      <c r="D144" s="20" t="n">
        <v>0</v>
      </c>
      <c r="E144" s="20" t="n">
        <v>0</v>
      </c>
      <c r="F144" s="20" t="n">
        <v>0</v>
      </c>
      <c r="G144" s="20" t="n">
        <v>0</v>
      </c>
      <c r="H144" s="20" t="n">
        <v>0</v>
      </c>
      <c r="I144" s="20" t="n">
        <v>0</v>
      </c>
      <c r="J144" s="20" t="n">
        <v>0</v>
      </c>
      <c r="K144" s="20" t="n">
        <v>0</v>
      </c>
      <c r="L144" s="20" t="n">
        <v>0</v>
      </c>
      <c r="M144" s="20" t="n">
        <v>0</v>
      </c>
      <c r="N144" s="20" t="n">
        <v>0</v>
      </c>
      <c r="V144" s="20" t="n">
        <v>0</v>
      </c>
      <c r="W144" s="20" t="n">
        <v>0</v>
      </c>
      <c r="X144" s="20" t="n">
        <v>0</v>
      </c>
    </row>
    <row r="145">
      <c r="A145" s="9" t="inlineStr">
        <is>
          <t>외부 고객 매출</t>
        </is>
      </c>
      <c r="C145" s="12" t="n">
        <v>60686</v>
      </c>
      <c r="D145" s="12" t="n">
        <v>60050</v>
      </c>
      <c r="E145" s="12" t="n">
        <v>63140</v>
      </c>
      <c r="F145" s="12" t="n">
        <v>56607</v>
      </c>
      <c r="G145" s="12" t="n">
        <v>55105</v>
      </c>
      <c r="H145" s="12" t="n">
        <v>50384</v>
      </c>
      <c r="I145" s="12" t="n">
        <v>54283</v>
      </c>
      <c r="V145" s="12" t="n">
        <v>63140</v>
      </c>
      <c r="W145" s="12" t="n">
        <v>54283</v>
      </c>
    </row>
    <row r="146">
      <c r="A146" s="18" t="inlineStr">
        <is>
          <t>EntityTotalMember · 외부 고객 매출</t>
        </is>
      </c>
      <c r="F146" s="20" t="n">
        <v>56607</v>
      </c>
      <c r="J146" s="20" t="n">
        <v>45136</v>
      </c>
      <c r="N146" s="20" t="n">
        <v>60322</v>
      </c>
    </row>
    <row r="147">
      <c r="A147" s="18" t="inlineStr">
        <is>
          <t>SemiconductorAndElectronicDeviceReportableSegmentsMember · 부문 간 내부매출·대체</t>
        </is>
      </c>
      <c r="C147" s="20" t="n">
        <v>0</v>
      </c>
      <c r="D147" s="20" t="n">
        <v>0</v>
      </c>
      <c r="E147" s="20" t="n">
        <v>1</v>
      </c>
      <c r="F147" s="20" t="n">
        <v>0</v>
      </c>
      <c r="G147" s="20" t="n">
        <v>0</v>
      </c>
      <c r="H147" s="20" t="n">
        <v>0</v>
      </c>
      <c r="I147" s="20" t="n">
        <v>1</v>
      </c>
      <c r="J147" s="20" t="n">
        <v>0</v>
      </c>
      <c r="K147" s="20" t="n">
        <v>4</v>
      </c>
      <c r="L147" s="20" t="n">
        <v>5</v>
      </c>
      <c r="M147" s="20" t="n">
        <v>1</v>
      </c>
      <c r="N147" s="20" t="n">
        <v>0</v>
      </c>
      <c r="V147" s="20" t="n">
        <v>1</v>
      </c>
      <c r="W147" s="20" t="n">
        <v>1</v>
      </c>
      <c r="X147" s="20" t="n">
        <v>1</v>
      </c>
    </row>
    <row r="148">
      <c r="A148" s="18" t="inlineStr">
        <is>
          <t>ComputerSystemReportableSegmentsMember · 부문 간 내부매출·대체</t>
        </is>
      </c>
      <c r="C148" s="20" t="n">
        <v>0</v>
      </c>
      <c r="D148" s="20" t="n">
        <v>0</v>
      </c>
      <c r="E148" s="20" t="n">
        <v>0</v>
      </c>
      <c r="F148" s="20" t="n">
        <v>0</v>
      </c>
      <c r="G148" s="20" t="n">
        <v>0</v>
      </c>
      <c r="H148" s="20" t="n">
        <v>0</v>
      </c>
      <c r="I148" s="20" t="n">
        <v>0</v>
      </c>
      <c r="J148" s="20" t="n">
        <v>0</v>
      </c>
      <c r="K148" s="20" t="n">
        <v>0</v>
      </c>
      <c r="L148" s="20" t="n">
        <v>0</v>
      </c>
      <c r="M148" s="20" t="n">
        <v>0</v>
      </c>
      <c r="N148" s="20" t="n">
        <v>0</v>
      </c>
      <c r="V148" s="20" t="n">
        <v>0</v>
      </c>
      <c r="W148" s="20" t="n">
        <v>0</v>
      </c>
      <c r="X148" s="20" t="n">
        <v>0</v>
      </c>
    </row>
    <row r="149">
      <c r="A149" s="18" t="inlineStr">
        <is>
          <t>합계 · 부문 간 내부매출·대체</t>
        </is>
      </c>
      <c r="C149" s="20" t="n">
        <v>0</v>
      </c>
      <c r="D149" s="20" t="n">
        <v>0</v>
      </c>
      <c r="E149" s="20" t="n">
        <v>1</v>
      </c>
      <c r="F149" s="20" t="n">
        <v>0</v>
      </c>
      <c r="G149" s="20" t="n">
        <v>0</v>
      </c>
      <c r="H149" s="20" t="n">
        <v>0</v>
      </c>
      <c r="I149" s="20" t="n">
        <v>1</v>
      </c>
      <c r="J149" s="20" t="n">
        <v>0</v>
      </c>
      <c r="K149" s="20" t="n">
        <v>4</v>
      </c>
      <c r="L149" s="20" t="n">
        <v>5</v>
      </c>
      <c r="M149" s="20" t="n">
        <v>1</v>
      </c>
      <c r="N149" s="20" t="n">
        <v>0</v>
      </c>
      <c r="V149" s="20" t="n">
        <v>1</v>
      </c>
      <c r="W149" s="20" t="n">
        <v>1</v>
      </c>
      <c r="X149" s="20" t="n">
        <v>1</v>
      </c>
    </row>
    <row r="150">
      <c r="A150" s="18" t="inlineStr">
        <is>
          <t>조정액 · 부문 간 내부매출·대체</t>
        </is>
      </c>
      <c r="C150" s="20" t="n">
        <v>0</v>
      </c>
      <c r="D150" s="20" t="n">
        <v>0</v>
      </c>
      <c r="E150" s="20" t="n">
        <v>-1</v>
      </c>
      <c r="F150" s="20" t="n">
        <v>0</v>
      </c>
      <c r="G150" s="20" t="n">
        <v>0</v>
      </c>
      <c r="H150" s="20" t="n">
        <v>0</v>
      </c>
      <c r="I150" s="20" t="n">
        <v>-1</v>
      </c>
      <c r="J150" s="20" t="n">
        <v>0</v>
      </c>
      <c r="K150" s="20" t="n">
        <v>-4</v>
      </c>
      <c r="L150" s="20" t="n">
        <v>-5</v>
      </c>
      <c r="M150" s="20" t="n">
        <v>-1</v>
      </c>
      <c r="N150" s="20" t="n">
        <v>0</v>
      </c>
      <c r="V150" s="20" t="n">
        <v>-1</v>
      </c>
      <c r="W150" s="20" t="n">
        <v>-1</v>
      </c>
      <c r="X150" s="20" t="n">
        <v>-1</v>
      </c>
    </row>
    <row r="151">
      <c r="A151" s="18" t="inlineStr">
        <is>
          <t>부문 간 내부매출·대체</t>
        </is>
      </c>
      <c r="C151" s="20" t="n">
        <v>0</v>
      </c>
      <c r="D151" s="20" t="n">
        <v>0</v>
      </c>
      <c r="E151" s="20" t="n">
        <v>0</v>
      </c>
      <c r="F151" s="20" t="n">
        <v>0</v>
      </c>
      <c r="G151" s="20" t="n">
        <v>0</v>
      </c>
      <c r="H151" s="20" t="n">
        <v>0</v>
      </c>
      <c r="I151" s="20" t="n">
        <v>0</v>
      </c>
      <c r="V151" s="20" t="n">
        <v>0</v>
      </c>
      <c r="W151" s="20" t="n">
        <v>0</v>
      </c>
    </row>
    <row r="152">
      <c r="A152" s="18" t="inlineStr">
        <is>
          <t>EntityTotalMember · 부문 간 내부매출·대체</t>
        </is>
      </c>
      <c r="F152" s="20" t="n">
        <v>0</v>
      </c>
      <c r="J152" s="20" t="n">
        <v>0</v>
      </c>
      <c r="N152" s="20" t="n">
        <v>0</v>
      </c>
    </row>
    <row r="153">
      <c r="A153" s="18" t="inlineStr">
        <is>
          <t>SemiconductorAndElectronicDeviceReportableSegmentsMember · 계</t>
        </is>
      </c>
      <c r="C153" s="20" t="n">
        <v>53432</v>
      </c>
      <c r="D153" s="20" t="n">
        <v>53463</v>
      </c>
      <c r="E153" s="20" t="n">
        <v>51104</v>
      </c>
      <c r="F153" s="20" t="n">
        <v>47865</v>
      </c>
      <c r="G153" s="20" t="n">
        <v>46159</v>
      </c>
      <c r="H153" s="20" t="n">
        <v>41924</v>
      </c>
      <c r="I153" s="20" t="n">
        <v>43105</v>
      </c>
      <c r="J153" s="20" t="n">
        <v>36394</v>
      </c>
      <c r="K153" s="20" t="n">
        <v>40659</v>
      </c>
      <c r="L153" s="20" t="n">
        <v>40261</v>
      </c>
      <c r="M153" s="20" t="n">
        <v>45239</v>
      </c>
      <c r="N153" s="20" t="n">
        <v>50354</v>
      </c>
      <c r="V153" s="20" t="n">
        <v>51104</v>
      </c>
      <c r="W153" s="20" t="n">
        <v>43105</v>
      </c>
      <c r="X153" s="20" t="n">
        <v>45239</v>
      </c>
    </row>
    <row r="154">
      <c r="A154" s="18" t="inlineStr">
        <is>
          <t>ComputerSystemReportableSegmentsMember · 계</t>
        </is>
      </c>
      <c r="C154" s="20" t="n">
        <v>7254</v>
      </c>
      <c r="D154" s="20" t="n">
        <v>6587</v>
      </c>
      <c r="E154" s="20" t="n">
        <v>12038</v>
      </c>
      <c r="F154" s="20" t="n">
        <v>8741</v>
      </c>
      <c r="G154" s="20" t="n">
        <v>8946</v>
      </c>
      <c r="H154" s="20" t="n">
        <v>8460</v>
      </c>
      <c r="I154" s="20" t="n">
        <v>11180</v>
      </c>
      <c r="J154" s="20" t="n">
        <v>8741</v>
      </c>
      <c r="K154" s="20" t="n">
        <v>10454</v>
      </c>
      <c r="L154" s="20" t="n">
        <v>10216</v>
      </c>
      <c r="M154" s="20" t="n">
        <v>11793</v>
      </c>
      <c r="N154" s="20" t="n">
        <v>9967</v>
      </c>
      <c r="V154" s="20" t="n">
        <v>12038</v>
      </c>
      <c r="W154" s="20" t="n">
        <v>11180</v>
      </c>
      <c r="X154" s="20" t="n">
        <v>11793</v>
      </c>
    </row>
    <row r="155">
      <c r="A155" s="18" t="inlineStr">
        <is>
          <t>합계 · 계</t>
        </is>
      </c>
      <c r="C155" s="20" t="n">
        <v>60686</v>
      </c>
      <c r="D155" s="20" t="n">
        <v>60050</v>
      </c>
      <c r="E155" s="20" t="n">
        <v>63141</v>
      </c>
      <c r="F155" s="20" t="n">
        <v>56607</v>
      </c>
      <c r="G155" s="20" t="n">
        <v>55105</v>
      </c>
      <c r="H155" s="20" t="n">
        <v>50384</v>
      </c>
      <c r="I155" s="20" t="n">
        <v>54284</v>
      </c>
      <c r="J155" s="20" t="n">
        <v>45136</v>
      </c>
      <c r="K155" s="20" t="n">
        <v>51112</v>
      </c>
      <c r="L155" s="20" t="n">
        <v>50477</v>
      </c>
      <c r="M155" s="20" t="n">
        <v>57033</v>
      </c>
      <c r="N155" s="20" t="n">
        <v>60322</v>
      </c>
      <c r="V155" s="20" t="n">
        <v>63141</v>
      </c>
      <c r="W155" s="20" t="n">
        <v>54284</v>
      </c>
      <c r="X155" s="20" t="n">
        <v>57033</v>
      </c>
    </row>
    <row r="156">
      <c r="A156" s="18" t="inlineStr">
        <is>
          <t>조정액 · 계</t>
        </is>
      </c>
      <c r="C156" s="20" t="n">
        <v>0</v>
      </c>
      <c r="D156" s="20" t="n">
        <v>0</v>
      </c>
      <c r="E156" s="20" t="n">
        <v>-1</v>
      </c>
      <c r="F156" s="20" t="n">
        <v>0</v>
      </c>
      <c r="G156" s="20" t="n">
        <v>0</v>
      </c>
      <c r="H156" s="20" t="n">
        <v>0</v>
      </c>
      <c r="I156" s="20" t="n">
        <v>-1</v>
      </c>
      <c r="J156" s="20" t="n">
        <v>0</v>
      </c>
      <c r="K156" s="20" t="n">
        <v>-4</v>
      </c>
      <c r="L156" s="20" t="n">
        <v>-5</v>
      </c>
      <c r="M156" s="20" t="n">
        <v>-1</v>
      </c>
      <c r="N156" s="20" t="n">
        <v>0</v>
      </c>
      <c r="V156" s="20" t="n">
        <v>-1</v>
      </c>
      <c r="W156" s="20" t="n">
        <v>-1</v>
      </c>
      <c r="X156" s="20" t="n">
        <v>-1</v>
      </c>
    </row>
    <row r="157">
      <c r="A157" s="9" t="inlineStr">
        <is>
          <t>계</t>
        </is>
      </c>
      <c r="C157" s="12" t="n">
        <v>60686</v>
      </c>
      <c r="D157" s="12" t="n">
        <v>60050</v>
      </c>
      <c r="E157" s="12" t="n">
        <v>63140</v>
      </c>
      <c r="F157" s="12" t="n">
        <v>56607</v>
      </c>
      <c r="G157" s="12" t="n">
        <v>55105</v>
      </c>
      <c r="H157" s="12" t="n">
        <v>50384</v>
      </c>
      <c r="I157" s="12" t="n">
        <v>54283</v>
      </c>
      <c r="V157" s="12" t="n">
        <v>63140</v>
      </c>
      <c r="W157" s="12" t="n">
        <v>54283</v>
      </c>
    </row>
    <row r="158">
      <c r="A158" s="18" t="inlineStr">
        <is>
          <t>EntityTotalMember · 계</t>
        </is>
      </c>
      <c r="F158" s="20" t="n">
        <v>56607</v>
      </c>
      <c r="J158" s="20" t="n">
        <v>45136</v>
      </c>
      <c r="N158" s="20" t="n">
        <v>60322</v>
      </c>
    </row>
    <row r="159">
      <c r="A159" s="18" t="inlineStr">
        <is>
          <t>SemiconductorAndElectronicDeviceReportableSegmentsMember · 부문 이익</t>
        </is>
      </c>
      <c r="C159" s="20" t="n">
        <v>2427</v>
      </c>
      <c r="D159" s="20" t="n">
        <v>2751</v>
      </c>
      <c r="E159" s="20" t="n">
        <v>2718</v>
      </c>
      <c r="F159" s="20" t="n">
        <v>2460</v>
      </c>
      <c r="G159" s="20" t="n">
        <v>1518</v>
      </c>
      <c r="H159" s="20" t="n">
        <v>771</v>
      </c>
      <c r="I159" s="20" t="n">
        <v>1400</v>
      </c>
      <c r="J159" s="20" t="n">
        <v>227</v>
      </c>
      <c r="K159" s="20" t="n">
        <v>831</v>
      </c>
      <c r="L159" s="20" t="n">
        <v>794</v>
      </c>
      <c r="M159" s="20" t="n">
        <v>1356</v>
      </c>
      <c r="N159" s="20" t="n">
        <v>2374</v>
      </c>
      <c r="V159" s="20" t="n">
        <v>2718</v>
      </c>
      <c r="W159" s="20" t="n">
        <v>1400</v>
      </c>
      <c r="X159" s="20" t="n">
        <v>1356</v>
      </c>
    </row>
    <row r="160">
      <c r="A160" s="18" t="inlineStr">
        <is>
          <t>ComputerSystemReportableSegmentsMember · 부문 이익</t>
        </is>
      </c>
      <c r="C160" s="20" t="n">
        <v>684</v>
      </c>
      <c r="D160" s="20" t="n">
        <v>713</v>
      </c>
      <c r="E160" s="20" t="n">
        <v>1487</v>
      </c>
      <c r="F160" s="20" t="n">
        <v>1153</v>
      </c>
      <c r="G160" s="20" t="n">
        <v>1015</v>
      </c>
      <c r="H160" s="20" t="n">
        <v>1018</v>
      </c>
      <c r="I160" s="20" t="n">
        <v>2080</v>
      </c>
      <c r="J160" s="20" t="n">
        <v>1488</v>
      </c>
      <c r="K160" s="20" t="n">
        <v>1120</v>
      </c>
      <c r="L160" s="20" t="n">
        <v>1567</v>
      </c>
      <c r="M160" s="20" t="n">
        <v>2367</v>
      </c>
      <c r="N160" s="20" t="n">
        <v>1534</v>
      </c>
      <c r="V160" s="20" t="n">
        <v>1487</v>
      </c>
      <c r="W160" s="20" t="n">
        <v>2080</v>
      </c>
      <c r="X160" s="20" t="n">
        <v>2367</v>
      </c>
    </row>
    <row r="161">
      <c r="A161" s="18" t="inlineStr">
        <is>
          <t>합계 · 부문 이익</t>
        </is>
      </c>
      <c r="C161" s="20" t="n">
        <v>3110</v>
      </c>
      <c r="D161" s="20" t="n">
        <v>3464</v>
      </c>
      <c r="E161" s="20" t="n">
        <v>4205</v>
      </c>
      <c r="F161" s="20" t="n">
        <v>3614</v>
      </c>
      <c r="G161" s="20" t="n">
        <v>2533</v>
      </c>
      <c r="H161" s="20" t="n">
        <v>1788</v>
      </c>
      <c r="I161" s="20" t="n">
        <v>3480</v>
      </c>
      <c r="J161" s="20" t="n">
        <v>1715</v>
      </c>
      <c r="K161" s="20" t="n">
        <v>1952</v>
      </c>
      <c r="L161" s="20" t="n">
        <v>2361</v>
      </c>
      <c r="M161" s="20" t="n">
        <v>3722</v>
      </c>
      <c r="N161" s="20" t="n">
        <v>3908</v>
      </c>
      <c r="V161" s="20" t="n">
        <v>4205</v>
      </c>
      <c r="W161" s="20" t="n">
        <v>3480</v>
      </c>
      <c r="X161" s="20" t="n">
        <v>3722</v>
      </c>
    </row>
    <row r="162">
      <c r="A162" s="18" t="inlineStr">
        <is>
          <t>조정액 · 부문 이익</t>
        </is>
      </c>
      <c r="C162" s="20" t="n">
        <v>0</v>
      </c>
      <c r="D162" s="20" t="n">
        <v>0</v>
      </c>
      <c r="E162" s="20" t="n">
        <v>0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0</v>
      </c>
      <c r="K162" s="20" t="n">
        <v>0</v>
      </c>
      <c r="L162" s="20" t="n">
        <v>0</v>
      </c>
      <c r="M162" s="20" t="n">
        <v>0</v>
      </c>
      <c r="N162" s="20" t="n">
        <v>0</v>
      </c>
      <c r="V162" s="20" t="n">
        <v>0</v>
      </c>
      <c r="W162" s="20" t="n">
        <v>0</v>
      </c>
      <c r="X162" s="20" t="n">
        <v>0</v>
      </c>
    </row>
    <row r="163">
      <c r="A163" s="9" t="inlineStr">
        <is>
          <t>부문 이익</t>
        </is>
      </c>
      <c r="C163" s="12" t="n">
        <v>3110</v>
      </c>
      <c r="D163" s="12" t="n">
        <v>3464</v>
      </c>
      <c r="E163" s="12" t="n">
        <v>4205</v>
      </c>
      <c r="F163" s="12" t="n">
        <v>3614</v>
      </c>
      <c r="G163" s="12" t="n">
        <v>2533</v>
      </c>
      <c r="H163" s="12" t="n">
        <v>1788</v>
      </c>
      <c r="I163" s="12" t="n">
        <v>3480</v>
      </c>
      <c r="V163" s="12" t="n">
        <v>4205</v>
      </c>
      <c r="W163" s="12" t="n">
        <v>3480</v>
      </c>
    </row>
    <row r="164">
      <c r="A164" s="18" t="inlineStr">
        <is>
          <t>EntityTotalMember · 부문 이익</t>
        </is>
      </c>
      <c r="F164" s="20" t="n">
        <v>3614</v>
      </c>
      <c r="J164" s="20" t="n">
        <v>1715</v>
      </c>
      <c r="N164" s="20" t="n">
        <v>3908</v>
      </c>
    </row>
    <row r="166">
      <c r="A166" s="16" t="inlineStr">
        <is>
          <t>현금흐름표 · 전 항목</t>
        </is>
      </c>
      <c r="B166" s="42" t="inlineStr">
        <is>
          <t>분기 = 결산기 첫날부터 누계(공시 그대로)</t>
        </is>
      </c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</row>
    <row r="167">
      <c r="A167" s="5" t="inlineStr">
        <is>
          <t>항목</t>
        </is>
      </c>
      <c r="B167" s="5" t="inlineStr">
        <is>
          <t>참고</t>
        </is>
      </c>
      <c r="C167" s="5" t="inlineStr">
        <is>
          <t>2024.2Q</t>
        </is>
      </c>
      <c r="D167" s="5" t="inlineStr">
        <is>
          <t>2024.3Q</t>
        </is>
      </c>
      <c r="E167" s="5" t="inlineStr">
        <is>
          <t>2024.4Q</t>
        </is>
      </c>
      <c r="F167" s="5" t="inlineStr">
        <is>
          <t>2025.1Q</t>
        </is>
      </c>
      <c r="G167" s="5" t="inlineStr">
        <is>
          <t>2025.2Q</t>
        </is>
      </c>
      <c r="H167" s="5" t="inlineStr">
        <is>
          <t>2025.3Q</t>
        </is>
      </c>
      <c r="I167" s="5" t="inlineStr">
        <is>
          <t>2025.4Q</t>
        </is>
      </c>
      <c r="J167" s="5" t="inlineStr">
        <is>
          <t>2026.1Q</t>
        </is>
      </c>
      <c r="K167" s="5" t="inlineStr">
        <is>
          <t>2026.2Q</t>
        </is>
      </c>
      <c r="L167" s="5" t="inlineStr">
        <is>
          <t>2026.3Q</t>
        </is>
      </c>
      <c r="M167" s="5" t="inlineStr">
        <is>
          <t>2026.4Q</t>
        </is>
      </c>
      <c r="N167" s="5" t="inlineStr">
        <is>
          <t>2027.1Q</t>
        </is>
      </c>
      <c r="O167" s="5" t="inlineStr">
        <is>
          <t>2017</t>
        </is>
      </c>
      <c r="P167" s="5" t="inlineStr">
        <is>
          <t>2018</t>
        </is>
      </c>
      <c r="Q167" s="5" t="inlineStr">
        <is>
          <t>2019</t>
        </is>
      </c>
      <c r="R167" s="5" t="inlineStr">
        <is>
          <t>2020</t>
        </is>
      </c>
      <c r="S167" s="5" t="inlineStr">
        <is>
          <t>2021</t>
        </is>
      </c>
      <c r="T167" s="5" t="inlineStr">
        <is>
          <t>2022</t>
        </is>
      </c>
      <c r="U167" s="5" t="inlineStr">
        <is>
          <t>2023</t>
        </is>
      </c>
      <c r="V167" s="5" t="inlineStr">
        <is>
          <t>2024</t>
        </is>
      </c>
      <c r="W167" s="5" t="inlineStr">
        <is>
          <t>2025</t>
        </is>
      </c>
      <c r="X167" s="5" t="inlineStr">
        <is>
          <t>2026</t>
        </is>
      </c>
      <c r="Y167" s="5" t="inlineStr">
        <is>
          <t>2027(MW)</t>
        </is>
      </c>
      <c r="Z167" s="5" t="inlineStr">
        <is>
          <t>2028(MW)</t>
        </is>
      </c>
      <c r="AA167" s="5" t="inlineStr">
        <is>
          <t>2029(MW)</t>
        </is>
      </c>
      <c r="AB167" s="5" t="inlineStr">
        <is>
          <t>2030(MW)</t>
        </is>
      </c>
      <c r="AC167" s="5" t="inlineStr">
        <is>
          <t>2031(MW)</t>
        </is>
      </c>
    </row>
    <row r="168">
      <c r="A168" s="9" t="inlineStr">
        <is>
          <t>법인세차감전 순이익</t>
        </is>
      </c>
      <c r="C168" s="12" t="n">
        <v>6256</v>
      </c>
      <c r="D168" s="12" t="n">
        <v>9687</v>
      </c>
      <c r="E168" s="12" t="n">
        <v>13887</v>
      </c>
      <c r="F168" s="12" t="n">
        <v>3614</v>
      </c>
      <c r="G168" s="12" t="n">
        <v>6146</v>
      </c>
      <c r="H168" s="12" t="n">
        <v>7932</v>
      </c>
      <c r="I168" s="12" t="n">
        <v>11408</v>
      </c>
      <c r="J168" s="12" t="n">
        <v>1715</v>
      </c>
      <c r="K168" s="12" t="n">
        <v>3665</v>
      </c>
      <c r="L168" s="12" t="n">
        <v>7092</v>
      </c>
      <c r="M168" s="12" t="n">
        <v>10883</v>
      </c>
      <c r="N168" s="12" t="n">
        <v>3908</v>
      </c>
      <c r="O168" s="12" t="n">
        <v>1435</v>
      </c>
      <c r="P168" s="12" t="n">
        <v>2485</v>
      </c>
      <c r="Q168" s="12" t="n">
        <v>3257</v>
      </c>
      <c r="R168" s="12" t="n">
        <v>3227</v>
      </c>
      <c r="S168" s="12" t="n">
        <v>4589</v>
      </c>
      <c r="T168" s="12" t="n">
        <v>7910</v>
      </c>
      <c r="U168" s="12" t="n">
        <v>12469</v>
      </c>
      <c r="V168" s="12" t="n">
        <v>13887</v>
      </c>
      <c r="W168" s="12" t="n">
        <v>11408</v>
      </c>
      <c r="X168" s="12" t="n">
        <v>10883</v>
      </c>
    </row>
    <row r="169">
      <c r="A169" s="18" t="inlineStr">
        <is>
          <t>감가상각비</t>
        </is>
      </c>
      <c r="O169" s="20" t="n">
        <v>487</v>
      </c>
      <c r="P169" s="20" t="n">
        <v>560</v>
      </c>
      <c r="Q169" s="20" t="n">
        <v>483</v>
      </c>
      <c r="R169" s="20" t="n">
        <v>604</v>
      </c>
    </row>
    <row r="170">
      <c r="A170" s="18" t="inlineStr">
        <is>
          <t>감가상각비 및 기타 상각비</t>
        </is>
      </c>
      <c r="C170" s="20" t="n">
        <v>275</v>
      </c>
      <c r="D170" s="20" t="n">
        <v>505</v>
      </c>
      <c r="E170" s="20" t="n">
        <v>763</v>
      </c>
      <c r="F170" s="20" t="n">
        <v>241</v>
      </c>
      <c r="G170" s="20" t="n">
        <v>473</v>
      </c>
      <c r="H170" s="20" t="n">
        <v>752</v>
      </c>
      <c r="I170" s="20" t="n">
        <v>1061</v>
      </c>
      <c r="J170" s="20" t="n">
        <v>264</v>
      </c>
      <c r="K170" s="20" t="n">
        <v>531</v>
      </c>
      <c r="L170" s="20" t="n">
        <v>804</v>
      </c>
      <c r="M170" s="20" t="n">
        <v>1077</v>
      </c>
      <c r="N170" s="20" t="n">
        <v>252</v>
      </c>
      <c r="R170" s="20" t="n">
        <v>604</v>
      </c>
      <c r="S170" s="20" t="n">
        <v>578</v>
      </c>
      <c r="T170" s="20" t="n">
        <v>672</v>
      </c>
      <c r="U170" s="20" t="n">
        <v>559</v>
      </c>
      <c r="V170" s="20" t="n">
        <v>763</v>
      </c>
      <c r="W170" s="20" t="n">
        <v>1061</v>
      </c>
      <c r="X170" s="20" t="n">
        <v>1077</v>
      </c>
    </row>
    <row r="171">
      <c r="A171" s="18" t="inlineStr">
        <is>
          <t>손상차손</t>
        </is>
      </c>
      <c r="S171" s="20" t="n">
        <v>0</v>
      </c>
      <c r="T171" s="20" t="n">
        <v>1351</v>
      </c>
      <c r="U171" s="20" t="n">
        <v>0</v>
      </c>
    </row>
    <row r="172">
      <c r="A172" s="18" t="inlineStr">
        <is>
          <t>영업권 상각</t>
        </is>
      </c>
      <c r="O172" s="20" t="n">
        <v>102</v>
      </c>
      <c r="P172" s="20" t="n">
        <v>0</v>
      </c>
      <c r="Q172" s="20" t="n">
        <v>26</v>
      </c>
      <c r="R172" s="20" t="n">
        <v>35</v>
      </c>
      <c r="S172" s="20" t="n">
        <v>35</v>
      </c>
      <c r="T172" s="20" t="n">
        <v>59</v>
      </c>
    </row>
    <row r="173">
      <c r="A173" s="18" t="inlineStr">
        <is>
          <t>부의 영업권 발생이익</t>
        </is>
      </c>
      <c r="O173" s="20" t="n">
        <v>0</v>
      </c>
      <c r="P173" s="20" t="n">
        <v>-46</v>
      </c>
      <c r="Q173" s="20" t="n">
        <v>0</v>
      </c>
    </row>
    <row r="174">
      <c r="A174" s="18" t="inlineStr">
        <is>
          <t>대손충당금 증감</t>
        </is>
      </c>
      <c r="C174" s="20" t="n">
        <v>357</v>
      </c>
      <c r="D174" s="20" t="n">
        <v>341</v>
      </c>
      <c r="E174" s="20" t="n">
        <v>366</v>
      </c>
      <c r="I174" s="20" t="n">
        <v>-297</v>
      </c>
      <c r="M174" s="20" t="n">
        <v>10</v>
      </c>
      <c r="U174" s="20" t="n">
        <v>-7</v>
      </c>
      <c r="V174" s="20" t="n">
        <v>366</v>
      </c>
      <c r="W174" s="20" t="n">
        <v>-297</v>
      </c>
      <c r="X174" s="20" t="n">
        <v>10</v>
      </c>
    </row>
    <row r="175">
      <c r="A175" s="18" t="inlineStr">
        <is>
          <t>상여충당금 증감</t>
        </is>
      </c>
      <c r="C175" s="20" t="n">
        <v>-447</v>
      </c>
      <c r="D175" s="20" t="n">
        <v>-1544</v>
      </c>
      <c r="E175" s="20" t="n">
        <v>-317</v>
      </c>
      <c r="F175" s="20" t="n">
        <v>-1555</v>
      </c>
      <c r="G175" s="20" t="n">
        <v>-592</v>
      </c>
      <c r="H175" s="20" t="n">
        <v>-1312</v>
      </c>
      <c r="I175" s="20" t="n">
        <v>-294</v>
      </c>
      <c r="J175" s="20" t="n">
        <v>-1385</v>
      </c>
      <c r="K175" s="20" t="n">
        <v>-636</v>
      </c>
      <c r="L175" s="20" t="n">
        <v>-1109</v>
      </c>
      <c r="M175" s="20" t="n">
        <v>167</v>
      </c>
      <c r="N175" s="20" t="n">
        <v>-1415</v>
      </c>
      <c r="O175" s="20" t="n">
        <v>116</v>
      </c>
      <c r="P175" s="20" t="n">
        <v>361</v>
      </c>
      <c r="Q175" s="20" t="n">
        <v>178</v>
      </c>
      <c r="R175" s="20" t="n">
        <v>-205</v>
      </c>
      <c r="S175" s="20" t="n">
        <v>451</v>
      </c>
      <c r="T175" s="20" t="n">
        <v>111</v>
      </c>
      <c r="U175" s="20" t="n">
        <v>913</v>
      </c>
      <c r="V175" s="20" t="n">
        <v>-317</v>
      </c>
      <c r="W175" s="20" t="n">
        <v>-294</v>
      </c>
      <c r="X175" s="20" t="n">
        <v>167</v>
      </c>
    </row>
    <row r="176">
      <c r="A176" s="18" t="inlineStr">
        <is>
          <t>퇴직급여부채 증감</t>
        </is>
      </c>
      <c r="C176" s="20" t="n">
        <v>-97</v>
      </c>
      <c r="D176" s="20" t="n">
        <v>-259</v>
      </c>
      <c r="E176" s="20" t="n">
        <v>-141</v>
      </c>
      <c r="F176" s="20" t="n">
        <v>-123</v>
      </c>
      <c r="G176" s="20" t="n">
        <v>-39</v>
      </c>
      <c r="H176" s="20" t="n">
        <v>-154</v>
      </c>
      <c r="I176" s="20" t="n">
        <v>-75</v>
      </c>
      <c r="J176" s="20" t="n">
        <v>-126</v>
      </c>
      <c r="K176" s="20" t="n">
        <v>-69</v>
      </c>
      <c r="L176" s="20" t="n">
        <v>-159</v>
      </c>
      <c r="M176" s="20" t="n">
        <v>-80</v>
      </c>
      <c r="N176" s="20" t="n">
        <v>-171</v>
      </c>
      <c r="O176" s="20" t="n">
        <v>213</v>
      </c>
      <c r="P176" s="20" t="n">
        <v>266</v>
      </c>
      <c r="Q176" s="20" t="n">
        <v>270</v>
      </c>
      <c r="R176" s="20" t="n">
        <v>247</v>
      </c>
      <c r="S176" s="20" t="n">
        <v>123</v>
      </c>
      <c r="T176" s="20" t="n">
        <v>-14</v>
      </c>
      <c r="U176" s="20" t="n">
        <v>-381</v>
      </c>
      <c r="V176" s="20" t="n">
        <v>-141</v>
      </c>
      <c r="W176" s="20" t="n">
        <v>-75</v>
      </c>
      <c r="X176" s="20" t="n">
        <v>-80</v>
      </c>
    </row>
    <row r="177">
      <c r="A177" s="18" t="inlineStr">
        <is>
          <t>종업원 주식보상 충당금 증감액</t>
        </is>
      </c>
      <c r="C177" s="20" t="n">
        <v>136</v>
      </c>
      <c r="D177" s="20" t="n">
        <v>215</v>
      </c>
      <c r="E177" s="20" t="n">
        <v>286</v>
      </c>
      <c r="U177" s="20" t="n">
        <v>230</v>
      </c>
      <c r="V177" s="20" t="n">
        <v>286</v>
      </c>
    </row>
    <row r="178">
      <c r="A178" s="18" t="inlineStr">
        <is>
          <t>임원 주식보상 충당금 증감액</t>
        </is>
      </c>
      <c r="C178" s="20" t="n">
        <v>101</v>
      </c>
      <c r="D178" s="20" t="n">
        <v>157</v>
      </c>
      <c r="E178" s="20" t="n">
        <v>219</v>
      </c>
      <c r="U178" s="20" t="n">
        <v>206</v>
      </c>
      <c r="V178" s="20" t="n">
        <v>219</v>
      </c>
    </row>
    <row r="179">
      <c r="A179" s="18" t="inlineStr">
        <is>
          <t>이자비용</t>
        </is>
      </c>
      <c r="C179" s="20" t="n">
        <v>122</v>
      </c>
      <c r="D179" s="20" t="n">
        <v>177</v>
      </c>
      <c r="E179" s="20" t="n">
        <v>228</v>
      </c>
      <c r="F179" s="20" t="n">
        <v>70</v>
      </c>
      <c r="G179" s="20" t="n">
        <v>138</v>
      </c>
      <c r="H179" s="20" t="n">
        <v>207</v>
      </c>
      <c r="I179" s="20" t="n">
        <v>274</v>
      </c>
      <c r="J179" s="20" t="n">
        <v>53</v>
      </c>
      <c r="K179" s="20" t="n">
        <v>106</v>
      </c>
      <c r="L179" s="20" t="n">
        <v>159</v>
      </c>
      <c r="M179" s="20" t="n">
        <v>222</v>
      </c>
      <c r="N179" s="20" t="n">
        <v>76</v>
      </c>
      <c r="O179" s="20" t="n">
        <v>111</v>
      </c>
      <c r="P179" s="20" t="n">
        <v>148</v>
      </c>
      <c r="Q179" s="20" t="n">
        <v>182</v>
      </c>
      <c r="R179" s="20" t="n">
        <v>103</v>
      </c>
      <c r="S179" s="20" t="n">
        <v>81</v>
      </c>
      <c r="T179" s="20" t="n">
        <v>79</v>
      </c>
      <c r="U179" s="20" t="n">
        <v>171</v>
      </c>
      <c r="V179" s="20" t="n">
        <v>228</v>
      </c>
      <c r="W179" s="20" t="n">
        <v>274</v>
      </c>
      <c r="X179" s="20" t="n">
        <v>222</v>
      </c>
    </row>
    <row r="180">
      <c r="A180" s="18" t="inlineStr">
        <is>
          <t>지분법손익</t>
        </is>
      </c>
      <c r="E180" s="20" t="n">
        <v>-166</v>
      </c>
      <c r="I180" s="20" t="n">
        <v>-240</v>
      </c>
      <c r="M180" s="20" t="n">
        <v>-73</v>
      </c>
      <c r="T180" s="20" t="n">
        <v>-66</v>
      </c>
      <c r="U180" s="20" t="n">
        <v>-149</v>
      </c>
      <c r="V180" s="20" t="n">
        <v>-166</v>
      </c>
      <c r="W180" s="20" t="n">
        <v>-240</v>
      </c>
      <c r="X180" s="20" t="n">
        <v>-73</v>
      </c>
    </row>
    <row r="181">
      <c r="A181" s="18" t="inlineStr">
        <is>
          <t>외환차손익</t>
        </is>
      </c>
      <c r="C181" s="20" t="n">
        <v>999</v>
      </c>
      <c r="D181" s="20" t="n">
        <v>-367</v>
      </c>
      <c r="E181" s="20" t="n">
        <v>916</v>
      </c>
      <c r="F181" s="20" t="n">
        <v>23</v>
      </c>
      <c r="G181" s="20" t="n">
        <v>-2098</v>
      </c>
      <c r="H181" s="20" t="n">
        <v>495</v>
      </c>
      <c r="I181" s="20" t="n">
        <v>-1276</v>
      </c>
      <c r="J181" s="20" t="n">
        <v>-68</v>
      </c>
      <c r="K181" s="20" t="n">
        <v>709</v>
      </c>
      <c r="L181" s="20" t="n">
        <v>1232</v>
      </c>
      <c r="M181" s="20" t="n">
        <v>940</v>
      </c>
      <c r="N181" s="20" t="n">
        <v>-453</v>
      </c>
      <c r="O181" s="20" t="n">
        <v>521</v>
      </c>
      <c r="P181" s="20" t="n">
        <v>-682</v>
      </c>
      <c r="Q181" s="20" t="n">
        <v>668</v>
      </c>
      <c r="R181" s="20" t="n">
        <v>8</v>
      </c>
      <c r="S181" s="20" t="n">
        <v>494</v>
      </c>
      <c r="T181" s="20" t="n">
        <v>222</v>
      </c>
      <c r="U181" s="20" t="n">
        <v>-702</v>
      </c>
      <c r="V181" s="20" t="n">
        <v>916</v>
      </c>
      <c r="W181" s="20" t="n">
        <v>-1276</v>
      </c>
      <c r="X181" s="20" t="n">
        <v>940</v>
      </c>
    </row>
    <row r="182">
      <c r="A182" s="18" t="inlineStr">
        <is>
          <t>투자유가증권 평가손실</t>
        </is>
      </c>
      <c r="O182" s="20" t="n">
        <v>0</v>
      </c>
      <c r="P182" s="20" t="n">
        <v>180</v>
      </c>
      <c r="Q182" s="20" t="n">
        <v>20</v>
      </c>
      <c r="R182" s="20" t="n">
        <v>0</v>
      </c>
    </row>
    <row r="183">
      <c r="A183" s="18" t="inlineStr">
        <is>
          <t>퇴직급여제도 개정손실</t>
        </is>
      </c>
      <c r="Q183" s="20" t="n">
        <v>0</v>
      </c>
      <c r="R183" s="20" t="n">
        <v>313</v>
      </c>
      <c r="S183" s="20" t="n">
        <v>0</v>
      </c>
    </row>
    <row r="184">
      <c r="A184" s="18" t="inlineStr">
        <is>
          <t>관계회사 출자금 매각손익</t>
        </is>
      </c>
      <c r="S184" s="20" t="n">
        <v>0</v>
      </c>
      <c r="T184" s="20" t="n">
        <v>-31</v>
      </c>
    </row>
    <row r="185">
      <c r="A185" s="18" t="inlineStr">
        <is>
          <t>고정자산 수증이익</t>
        </is>
      </c>
      <c r="S185" s="20" t="n">
        <v>0</v>
      </c>
      <c r="T185" s="20" t="n">
        <v>-2028</v>
      </c>
      <c r="U185" s="20" t="n">
        <v>0</v>
      </c>
    </row>
    <row r="186">
      <c r="A186" s="18" t="inlineStr">
        <is>
          <t>지분변동손익</t>
        </is>
      </c>
      <c r="R186" s="20" t="n">
        <v>0</v>
      </c>
      <c r="S186" s="20" t="n">
        <v>19</v>
      </c>
      <c r="T186" s="20" t="n">
        <v>0</v>
      </c>
    </row>
    <row r="187">
      <c r="A187" s="18" t="inlineStr">
        <is>
          <t>매출채권 증감</t>
        </is>
      </c>
      <c r="O187" s="20" t="n">
        <v>-9250</v>
      </c>
      <c r="P187" s="20" t="n">
        <v>-5180</v>
      </c>
      <c r="Q187" s="20" t="n">
        <v>8816</v>
      </c>
      <c r="R187" s="20" t="n">
        <v>1311</v>
      </c>
      <c r="S187" s="20" t="n">
        <v>-6796</v>
      </c>
    </row>
    <row r="188">
      <c r="A188" s="18" t="inlineStr">
        <is>
          <t>신탁종료손실 충당금 전입액</t>
        </is>
      </c>
      <c r="S188" s="20" t="n">
        <v>0</v>
      </c>
      <c r="T188" s="20" t="n">
        <v>112</v>
      </c>
      <c r="U188" s="20" t="n">
        <v>0</v>
      </c>
    </row>
    <row r="189">
      <c r="A189" s="18" t="inlineStr">
        <is>
          <t>수취 손해배상금</t>
        </is>
      </c>
      <c r="D189" s="20" t="n">
        <v>-91</v>
      </c>
      <c r="E189" s="20" t="n">
        <v>-91</v>
      </c>
      <c r="H189" s="20" t="n">
        <v>0</v>
      </c>
      <c r="I189" s="20" t="n">
        <v>0</v>
      </c>
      <c r="U189" s="20" t="n">
        <v>0</v>
      </c>
      <c r="V189" s="20" t="n">
        <v>-91</v>
      </c>
      <c r="W189" s="20" t="n">
        <v>0</v>
      </c>
    </row>
    <row r="190">
      <c r="A190" s="18" t="inlineStr">
        <is>
          <t>매출채권·계약자산 증감</t>
        </is>
      </c>
      <c r="C190" s="20" t="n">
        <v>5494</v>
      </c>
      <c r="D190" s="20" t="n">
        <v>7772</v>
      </c>
      <c r="S190" s="20" t="n">
        <v>-6796</v>
      </c>
      <c r="T190" s="20" t="n">
        <v>-7786</v>
      </c>
      <c r="U190" s="20" t="n">
        <v>-11203</v>
      </c>
    </row>
    <row r="191">
      <c r="A191" s="18" t="inlineStr">
        <is>
          <t>투자유가증권 매각손익</t>
        </is>
      </c>
      <c r="H191" s="20" t="n">
        <v>0</v>
      </c>
      <c r="I191" s="20" t="n">
        <v>0</v>
      </c>
      <c r="L191" s="20" t="n">
        <v>-1066</v>
      </c>
      <c r="M191" s="20" t="n">
        <v>-1076</v>
      </c>
      <c r="P191" s="20" t="n">
        <v>0</v>
      </c>
      <c r="Q191" s="20" t="n">
        <v>-207</v>
      </c>
      <c r="R191" s="20" t="n">
        <v>0</v>
      </c>
      <c r="W191" s="20" t="n">
        <v>0</v>
      </c>
      <c r="X191" s="20" t="n">
        <v>-1076</v>
      </c>
    </row>
    <row r="192">
      <c r="A192" s="18" t="inlineStr">
        <is>
          <t>매출채권·계약자산 증감</t>
        </is>
      </c>
      <c r="C192" s="20" t="n">
        <v>5494</v>
      </c>
      <c r="D192" s="20" t="n">
        <v>7772</v>
      </c>
      <c r="E192" s="20" t="n">
        <v>2127</v>
      </c>
      <c r="F192" s="20" t="n">
        <v>5897</v>
      </c>
      <c r="G192" s="20" t="n">
        <v>9248</v>
      </c>
      <c r="H192" s="20" t="n">
        <v>10764</v>
      </c>
      <c r="I192" s="20" t="n">
        <v>9530</v>
      </c>
      <c r="J192" s="20" t="n">
        <v>7338</v>
      </c>
      <c r="K192" s="20" t="n">
        <v>1355</v>
      </c>
      <c r="L192" s="20" t="n">
        <v>-4266</v>
      </c>
      <c r="M192" s="20" t="n">
        <v>-5626</v>
      </c>
      <c r="N192" s="20" t="n">
        <v>-1900</v>
      </c>
      <c r="U192" s="20" t="n">
        <v>-11203</v>
      </c>
      <c r="V192" s="20" t="n">
        <v>2127</v>
      </c>
      <c r="W192" s="20" t="n">
        <v>9530</v>
      </c>
      <c r="X192" s="20" t="n">
        <v>-5626</v>
      </c>
    </row>
    <row r="193">
      <c r="A193" s="18" t="inlineStr">
        <is>
          <t>재고자산 증감</t>
        </is>
      </c>
      <c r="C193" s="20" t="n">
        <v>-7728</v>
      </c>
      <c r="D193" s="20" t="n">
        <v>-12598</v>
      </c>
      <c r="E193" s="20" t="n">
        <v>-12468</v>
      </c>
      <c r="F193" s="20" t="n">
        <v>-5035</v>
      </c>
      <c r="G193" s="20" t="n">
        <v>-5975</v>
      </c>
      <c r="H193" s="20" t="n">
        <v>-4397</v>
      </c>
      <c r="I193" s="20" t="n">
        <v>3768</v>
      </c>
      <c r="J193" s="20" t="n">
        <v>3214</v>
      </c>
      <c r="K193" s="20" t="n">
        <v>2426</v>
      </c>
      <c r="L193" s="20" t="n">
        <v>4802</v>
      </c>
      <c r="M193" s="20" t="n">
        <v>4371</v>
      </c>
      <c r="N193" s="20" t="n">
        <v>-815</v>
      </c>
      <c r="O193" s="20" t="n">
        <v>-1054</v>
      </c>
      <c r="P193" s="20" t="n">
        <v>-3302</v>
      </c>
      <c r="Q193" s="20" t="n">
        <v>1760</v>
      </c>
      <c r="R193" s="20" t="n">
        <v>2664</v>
      </c>
      <c r="S193" s="20" t="n">
        <v>-3476</v>
      </c>
      <c r="T193" s="20" t="n">
        <v>-2147</v>
      </c>
      <c r="U193" s="20" t="n">
        <v>-15521</v>
      </c>
      <c r="V193" s="20" t="n">
        <v>-12468</v>
      </c>
      <c r="W193" s="20" t="n">
        <v>3768</v>
      </c>
      <c r="X193" s="20" t="n">
        <v>4371</v>
      </c>
    </row>
    <row r="194">
      <c r="A194" s="18" t="inlineStr">
        <is>
          <t>매입채무 증감</t>
        </is>
      </c>
      <c r="C194" s="20" t="n">
        <v>-2723</v>
      </c>
      <c r="D194" s="20" t="n">
        <v>-2245</v>
      </c>
      <c r="E194" s="20" t="n">
        <v>2345</v>
      </c>
      <c r="F194" s="20" t="n">
        <v>862</v>
      </c>
      <c r="G194" s="20" t="n">
        <v>-3663</v>
      </c>
      <c r="H194" s="20" t="n">
        <v>-3906</v>
      </c>
      <c r="I194" s="20" t="n">
        <v>-3343</v>
      </c>
      <c r="J194" s="20" t="n">
        <v>-1395</v>
      </c>
      <c r="K194" s="20" t="n">
        <v>-1573</v>
      </c>
      <c r="L194" s="20" t="n">
        <v>1392</v>
      </c>
      <c r="M194" s="20" t="n">
        <v>4017</v>
      </c>
      <c r="N194" s="20" t="n">
        <v>-1911</v>
      </c>
      <c r="O194" s="20" t="n">
        <v>2428</v>
      </c>
      <c r="P194" s="20" t="n">
        <v>-863</v>
      </c>
      <c r="Q194" s="20" t="n">
        <v>-2353</v>
      </c>
      <c r="R194" s="20" t="n">
        <v>1396</v>
      </c>
      <c r="S194" s="20" t="n">
        <v>1182</v>
      </c>
      <c r="T194" s="20" t="n">
        <v>4157</v>
      </c>
      <c r="U194" s="20" t="n">
        <v>4716</v>
      </c>
      <c r="V194" s="20" t="n">
        <v>2345</v>
      </c>
      <c r="W194" s="20" t="n">
        <v>-3343</v>
      </c>
      <c r="X194" s="20" t="n">
        <v>4017</v>
      </c>
    </row>
    <row r="195">
      <c r="A195" s="18" t="inlineStr">
        <is>
          <t>미지급금 증감</t>
        </is>
      </c>
      <c r="C195" s="20" t="n">
        <v>155</v>
      </c>
      <c r="D195" s="20" t="n">
        <v>263</v>
      </c>
      <c r="E195" s="20" t="n">
        <v>143</v>
      </c>
      <c r="F195" s="20" t="n">
        <v>258</v>
      </c>
      <c r="G195" s="20" t="n">
        <v>828</v>
      </c>
      <c r="H195" s="20" t="n">
        <v>190</v>
      </c>
      <c r="I195" s="20" t="n">
        <v>-0</v>
      </c>
      <c r="J195" s="20" t="n">
        <v>147</v>
      </c>
      <c r="K195" s="20" t="n">
        <v>-160</v>
      </c>
      <c r="L195" s="20" t="n">
        <v>89</v>
      </c>
      <c r="M195" s="20" t="n">
        <v>-103</v>
      </c>
      <c r="N195" s="20" t="n">
        <v>414</v>
      </c>
      <c r="O195" s="20" t="n">
        <v>-53</v>
      </c>
      <c r="P195" s="20" t="n">
        <v>24</v>
      </c>
      <c r="Q195" s="20" t="n">
        <v>-129</v>
      </c>
      <c r="R195" s="20" t="n">
        <v>-124</v>
      </c>
      <c r="S195" s="20" t="n">
        <v>273</v>
      </c>
      <c r="T195" s="20" t="n">
        <v>-8</v>
      </c>
      <c r="U195" s="20" t="n">
        <v>-159</v>
      </c>
      <c r="V195" s="20" t="n">
        <v>143</v>
      </c>
      <c r="W195" s="20" t="n">
        <v>-0</v>
      </c>
      <c r="X195" s="20" t="n">
        <v>-103</v>
      </c>
    </row>
    <row r="196">
      <c r="A196" s="18" t="inlineStr">
        <is>
          <t>미지급비용 증감</t>
        </is>
      </c>
      <c r="E196" s="20" t="n">
        <v>-2</v>
      </c>
      <c r="G196" s="20" t="n">
        <v>17</v>
      </c>
      <c r="H196" s="20" t="n">
        <v>94</v>
      </c>
      <c r="I196" s="20" t="n">
        <v>403</v>
      </c>
      <c r="J196" s="20" t="n">
        <v>59</v>
      </c>
      <c r="K196" s="20" t="n">
        <v>290</v>
      </c>
      <c r="L196" s="20" t="n">
        <v>186</v>
      </c>
      <c r="M196" s="20" t="n">
        <v>267</v>
      </c>
      <c r="N196" s="20" t="n">
        <v>-102</v>
      </c>
      <c r="V196" s="20" t="n">
        <v>-2</v>
      </c>
      <c r="W196" s="20" t="n">
        <v>403</v>
      </c>
      <c r="X196" s="20" t="n">
        <v>267</v>
      </c>
    </row>
    <row r="197">
      <c r="A197" s="18" t="inlineStr">
        <is>
          <t>예수금 증감</t>
        </is>
      </c>
      <c r="E197" s="20" t="n">
        <v>0</v>
      </c>
      <c r="F197" s="20" t="n">
        <v>584</v>
      </c>
      <c r="G197" s="20" t="n">
        <v>0</v>
      </c>
      <c r="H197" s="20" t="n">
        <v>372</v>
      </c>
      <c r="I197" s="20" t="n">
        <v>1491</v>
      </c>
      <c r="J197" s="20" t="n">
        <v>-576</v>
      </c>
      <c r="K197" s="20" t="n">
        <v>-1493</v>
      </c>
      <c r="L197" s="20" t="n">
        <v>-1182</v>
      </c>
      <c r="M197" s="20" t="n">
        <v>-1445</v>
      </c>
      <c r="N197" s="20" t="n">
        <v>705</v>
      </c>
      <c r="V197" s="20" t="n">
        <v>0</v>
      </c>
      <c r="W197" s="20" t="n">
        <v>1491</v>
      </c>
      <c r="X197" s="20" t="n">
        <v>-1445</v>
      </c>
    </row>
    <row r="198">
      <c r="A198" s="18" t="inlineStr">
        <is>
          <t>선수금 증감</t>
        </is>
      </c>
      <c r="C198" s="20" t="n">
        <v>2327</v>
      </c>
      <c r="D198" s="20" t="n">
        <v>2293</v>
      </c>
      <c r="E198" s="20" t="n">
        <v>1991</v>
      </c>
      <c r="F198" s="20" t="n">
        <v>2869</v>
      </c>
      <c r="G198" s="20" t="n">
        <v>4315</v>
      </c>
      <c r="H198" s="20" t="n">
        <v>5904</v>
      </c>
      <c r="I198" s="20" t="n">
        <v>5880</v>
      </c>
      <c r="J198" s="20" t="n">
        <v>1952</v>
      </c>
      <c r="K198" s="20" t="n">
        <v>6364</v>
      </c>
      <c r="L198" s="20" t="n">
        <v>8017</v>
      </c>
      <c r="M198" s="20" t="n">
        <v>9592</v>
      </c>
      <c r="N198" s="20" t="n">
        <v>165</v>
      </c>
      <c r="O198" s="20" t="n">
        <v>446</v>
      </c>
      <c r="P198" s="20" t="n">
        <v>589</v>
      </c>
      <c r="Q198" s="20" t="n">
        <v>652</v>
      </c>
      <c r="R198" s="20" t="n">
        <v>1769</v>
      </c>
      <c r="S198" s="20" t="n">
        <v>2512</v>
      </c>
      <c r="T198" s="20" t="n">
        <v>3459</v>
      </c>
      <c r="U198" s="20" t="n">
        <v>6594</v>
      </c>
      <c r="V198" s="20" t="n">
        <v>1991</v>
      </c>
      <c r="W198" s="20" t="n">
        <v>5880</v>
      </c>
      <c r="X198" s="20" t="n">
        <v>9592</v>
      </c>
    </row>
    <row r="199">
      <c r="A199" s="18" t="inlineStr">
        <is>
          <t>미수 소비세 증감</t>
        </is>
      </c>
      <c r="C199" s="20" t="n">
        <v>1275</v>
      </c>
      <c r="D199" s="20" t="n">
        <v>-2</v>
      </c>
      <c r="E199" s="20" t="n">
        <v>-760</v>
      </c>
      <c r="F199" s="20" t="n">
        <v>3545</v>
      </c>
      <c r="G199" s="20" t="n">
        <v>2021</v>
      </c>
      <c r="H199" s="20" t="n">
        <v>1203</v>
      </c>
      <c r="I199" s="20" t="n">
        <v>824</v>
      </c>
      <c r="J199" s="20" t="n">
        <v>3341</v>
      </c>
      <c r="K199" s="20" t="n">
        <v>2511</v>
      </c>
      <c r="L199" s="20" t="n">
        <v>2526</v>
      </c>
      <c r="M199" s="20" t="n">
        <v>2410</v>
      </c>
      <c r="N199" s="20" t="n">
        <v>1116</v>
      </c>
      <c r="O199" s="20" t="n">
        <v>-222</v>
      </c>
      <c r="P199" s="20" t="n">
        <v>-356</v>
      </c>
      <c r="Q199" s="20" t="n">
        <v>579</v>
      </c>
      <c r="R199" s="20" t="n">
        <v>-354</v>
      </c>
      <c r="S199" s="20" t="n">
        <v>-844</v>
      </c>
      <c r="T199" s="20" t="n">
        <v>-492</v>
      </c>
      <c r="U199" s="20" t="n">
        <v>-1198</v>
      </c>
      <c r="V199" s="20" t="n">
        <v>-760</v>
      </c>
      <c r="W199" s="20" t="n">
        <v>824</v>
      </c>
      <c r="X199" s="20" t="n">
        <v>2410</v>
      </c>
    </row>
    <row r="200">
      <c r="A200" s="18" t="inlineStr">
        <is>
          <t>미수금 증감</t>
        </is>
      </c>
      <c r="C200" s="20" t="n">
        <v>75</v>
      </c>
      <c r="D200" s="20" t="n">
        <v>-112</v>
      </c>
      <c r="E200" s="20" t="n">
        <v>-1561</v>
      </c>
      <c r="F200" s="20" t="n">
        <v>311</v>
      </c>
      <c r="G200" s="20" t="n">
        <v>1597</v>
      </c>
      <c r="H200" s="20" t="n">
        <v>1094</v>
      </c>
      <c r="I200" s="20" t="n">
        <v>1647</v>
      </c>
      <c r="J200" s="20" t="n">
        <v>-826</v>
      </c>
      <c r="K200" s="20" t="n">
        <v>-610</v>
      </c>
      <c r="L200" s="20" t="n">
        <v>-1832</v>
      </c>
      <c r="M200" s="20" t="n">
        <v>-1307</v>
      </c>
      <c r="N200" s="20" t="n">
        <v>-120</v>
      </c>
      <c r="O200" s="20" t="n">
        <v>215</v>
      </c>
      <c r="P200" s="20" t="n">
        <v>-889</v>
      </c>
      <c r="Q200" s="20" t="n">
        <v>787</v>
      </c>
      <c r="R200" s="20" t="n">
        <v>74</v>
      </c>
      <c r="S200" s="20" t="n">
        <v>-65</v>
      </c>
      <c r="T200" s="20" t="n">
        <v>71</v>
      </c>
      <c r="U200" s="20" t="n">
        <v>100</v>
      </c>
      <c r="V200" s="20" t="n">
        <v>-1561</v>
      </c>
      <c r="W200" s="20" t="n">
        <v>1647</v>
      </c>
      <c r="X200" s="20" t="n">
        <v>-1307</v>
      </c>
    </row>
    <row r="201">
      <c r="A201" s="18" t="inlineStr">
        <is>
          <t>선급금 증감</t>
        </is>
      </c>
      <c r="C201" s="20" t="n">
        <v>125</v>
      </c>
      <c r="D201" s="20" t="n">
        <v>129</v>
      </c>
      <c r="E201" s="20" t="n">
        <v>132</v>
      </c>
      <c r="S201" s="20" t="n">
        <v>6</v>
      </c>
      <c r="T201" s="20" t="n">
        <v>-712</v>
      </c>
      <c r="U201" s="20" t="n">
        <v>577</v>
      </c>
      <c r="V201" s="20" t="n">
        <v>132</v>
      </c>
    </row>
    <row r="202">
      <c r="A202" s="18" t="inlineStr">
        <is>
          <t>선급비용 증감</t>
        </is>
      </c>
      <c r="C202" s="20" t="n">
        <v>80</v>
      </c>
      <c r="D202" s="20" t="n">
        <v>181</v>
      </c>
      <c r="E202" s="20" t="n">
        <v>-2082</v>
      </c>
      <c r="F202" s="20" t="n">
        <v>-2717</v>
      </c>
      <c r="G202" s="20" t="n">
        <v>-4199</v>
      </c>
      <c r="H202" s="20" t="n">
        <v>-4365</v>
      </c>
      <c r="I202" s="20" t="n">
        <v>-6534</v>
      </c>
      <c r="J202" s="20" t="n">
        <v>-2404</v>
      </c>
      <c r="K202" s="20" t="n">
        <v>-4268</v>
      </c>
      <c r="L202" s="20" t="n">
        <v>-5595</v>
      </c>
      <c r="M202" s="20" t="n">
        <v>-6344</v>
      </c>
      <c r="N202" s="20" t="n">
        <v>-1489</v>
      </c>
      <c r="O202" s="20" t="n">
        <v>-148</v>
      </c>
      <c r="P202" s="20" t="n">
        <v>-471</v>
      </c>
      <c r="Q202" s="20" t="n">
        <v>-675</v>
      </c>
      <c r="R202" s="20" t="n">
        <v>-1421</v>
      </c>
      <c r="S202" s="20" t="n">
        <v>-1427</v>
      </c>
      <c r="T202" s="20" t="n">
        <v>-3553</v>
      </c>
      <c r="U202" s="20" t="n">
        <v>-5599</v>
      </c>
      <c r="V202" s="20" t="n">
        <v>-2082</v>
      </c>
      <c r="W202" s="20" t="n">
        <v>-6534</v>
      </c>
      <c r="X202" s="20" t="n">
        <v>-6344</v>
      </c>
    </row>
    <row r="203">
      <c r="A203" s="18" t="inlineStr">
        <is>
          <t>기타</t>
        </is>
      </c>
      <c r="C203" s="20" t="n">
        <v>-474</v>
      </c>
      <c r="D203" s="20" t="n">
        <v>379</v>
      </c>
      <c r="E203" s="20" t="n">
        <v>-238</v>
      </c>
      <c r="F203" s="20" t="n">
        <v>-988</v>
      </c>
      <c r="G203" s="20" t="n">
        <v>-99</v>
      </c>
      <c r="H203" s="20" t="n">
        <v>-821</v>
      </c>
      <c r="I203" s="20" t="n">
        <v>-1681</v>
      </c>
      <c r="J203" s="20" t="n">
        <v>-190</v>
      </c>
      <c r="K203" s="20" t="n">
        <v>-124</v>
      </c>
      <c r="L203" s="20" t="n">
        <v>-471</v>
      </c>
      <c r="M203" s="20" t="n">
        <v>-403</v>
      </c>
      <c r="N203" s="20" t="n">
        <v>-291</v>
      </c>
      <c r="O203" s="20" t="n">
        <v>220</v>
      </c>
      <c r="P203" s="20" t="n">
        <v>88</v>
      </c>
      <c r="Q203" s="20" t="n">
        <v>-275</v>
      </c>
      <c r="R203" s="20" t="n">
        <v>177</v>
      </c>
      <c r="S203" s="20" t="n">
        <v>-127</v>
      </c>
      <c r="T203" s="20" t="n">
        <v>-388</v>
      </c>
      <c r="U203" s="20" t="n">
        <v>-615</v>
      </c>
      <c r="V203" s="20" t="n">
        <v>-238</v>
      </c>
      <c r="W203" s="20" t="n">
        <v>-1681</v>
      </c>
      <c r="X203" s="20" t="n">
        <v>-403</v>
      </c>
    </row>
    <row r="204">
      <c r="A204" s="18" t="inlineStr">
        <is>
          <t>소계</t>
        </is>
      </c>
      <c r="C204" s="20" t="n">
        <v>5591</v>
      </c>
      <c r="D204" s="20" t="n">
        <v>4039</v>
      </c>
      <c r="E204" s="20" t="n">
        <v>4940</v>
      </c>
      <c r="F204" s="20" t="n">
        <v>7861</v>
      </c>
      <c r="G204" s="20" t="n">
        <v>8119</v>
      </c>
      <c r="H204" s="20" t="n">
        <v>14054</v>
      </c>
      <c r="I204" s="20" t="n">
        <v>22546</v>
      </c>
      <c r="J204" s="20" t="n">
        <v>11114</v>
      </c>
      <c r="K204" s="20" t="n">
        <v>9025</v>
      </c>
      <c r="L204" s="20" t="n">
        <v>10620</v>
      </c>
      <c r="M204" s="20" t="n">
        <v>17500</v>
      </c>
      <c r="N204" s="20" t="n">
        <v>-2030</v>
      </c>
      <c r="O204" s="20" t="n">
        <v>-4431</v>
      </c>
      <c r="P204" s="20" t="n">
        <v>-7089</v>
      </c>
      <c r="Q204" s="20" t="n">
        <v>14042</v>
      </c>
      <c r="R204" s="20" t="n">
        <v>9826</v>
      </c>
      <c r="S204" s="20" t="n">
        <v>-2388</v>
      </c>
      <c r="T204" s="20" t="n">
        <v>950</v>
      </c>
      <c r="U204" s="20" t="n">
        <v>-8999</v>
      </c>
      <c r="V204" s="20" t="n">
        <v>4940</v>
      </c>
      <c r="W204" s="20" t="n">
        <v>22546</v>
      </c>
      <c r="X204" s="20" t="n">
        <v>17500</v>
      </c>
    </row>
    <row r="205">
      <c r="A205" s="18" t="inlineStr">
        <is>
          <t>이자·배당금 수취</t>
        </is>
      </c>
      <c r="C205" s="20" t="n">
        <v>56</v>
      </c>
      <c r="D205" s="20" t="n">
        <v>248</v>
      </c>
      <c r="E205" s="20" t="n">
        <v>272</v>
      </c>
      <c r="F205" s="20" t="n">
        <v>47</v>
      </c>
      <c r="G205" s="20" t="n">
        <v>103</v>
      </c>
      <c r="H205" s="20" t="n">
        <v>152</v>
      </c>
      <c r="I205" s="20" t="n">
        <v>210</v>
      </c>
      <c r="J205" s="20" t="n">
        <v>16</v>
      </c>
      <c r="K205" s="20" t="n">
        <v>47</v>
      </c>
      <c r="L205" s="20" t="n">
        <v>109</v>
      </c>
      <c r="M205" s="20" t="n">
        <v>128</v>
      </c>
      <c r="N205" s="20" t="n">
        <v>6</v>
      </c>
      <c r="O205" s="20" t="n">
        <v>7</v>
      </c>
      <c r="P205" s="20" t="n">
        <v>5</v>
      </c>
      <c r="Q205" s="20" t="n">
        <v>11</v>
      </c>
      <c r="R205" s="20" t="n">
        <v>15</v>
      </c>
      <c r="S205" s="20" t="n">
        <v>19</v>
      </c>
      <c r="T205" s="20" t="n">
        <v>128</v>
      </c>
      <c r="U205" s="20" t="n">
        <v>124</v>
      </c>
      <c r="V205" s="20" t="n">
        <v>272</v>
      </c>
      <c r="W205" s="20" t="n">
        <v>210</v>
      </c>
      <c r="X205" s="20" t="n">
        <v>128</v>
      </c>
    </row>
    <row r="206">
      <c r="A206" s="18" t="inlineStr">
        <is>
          <t>이자 지급</t>
        </is>
      </c>
      <c r="C206" s="20" t="n">
        <v>-122</v>
      </c>
      <c r="D206" s="20" t="n">
        <v>-179</v>
      </c>
      <c r="E206" s="20" t="n">
        <v>-231</v>
      </c>
      <c r="F206" s="20" t="n">
        <v>-74</v>
      </c>
      <c r="G206" s="20" t="n">
        <v>-147</v>
      </c>
      <c r="H206" s="20" t="n">
        <v>-223</v>
      </c>
      <c r="I206" s="20" t="n">
        <v>-299</v>
      </c>
      <c r="J206" s="20" t="n">
        <v>-79</v>
      </c>
      <c r="K206" s="20" t="n">
        <v>-143</v>
      </c>
      <c r="L206" s="20" t="n">
        <v>-216</v>
      </c>
      <c r="M206" s="20" t="n">
        <v>-296</v>
      </c>
      <c r="N206" s="20" t="n">
        <v>-92</v>
      </c>
      <c r="O206" s="20" t="n">
        <v>-111</v>
      </c>
      <c r="P206" s="20" t="n">
        <v>-148</v>
      </c>
      <c r="Q206" s="20" t="n">
        <v>-182</v>
      </c>
      <c r="R206" s="20" t="n">
        <v>-104</v>
      </c>
      <c r="S206" s="20" t="n">
        <v>-82</v>
      </c>
      <c r="T206" s="20" t="n">
        <v>-80</v>
      </c>
      <c r="U206" s="20" t="n">
        <v>-169</v>
      </c>
      <c r="V206" s="20" t="n">
        <v>-231</v>
      </c>
      <c r="W206" s="20" t="n">
        <v>-299</v>
      </c>
      <c r="X206" s="20" t="n">
        <v>-296</v>
      </c>
    </row>
    <row r="207">
      <c r="A207" s="18" t="inlineStr">
        <is>
          <t>손해배상금 수취액</t>
        </is>
      </c>
      <c r="D207" s="20" t="n">
        <v>91</v>
      </c>
      <c r="E207" s="20" t="n">
        <v>91</v>
      </c>
      <c r="H207" s="20" t="n">
        <v>0</v>
      </c>
      <c r="I207" s="20" t="n">
        <v>0</v>
      </c>
      <c r="U207" s="20" t="n">
        <v>0</v>
      </c>
      <c r="V207" s="20" t="n">
        <v>91</v>
      </c>
      <c r="W207" s="20" t="n">
        <v>0</v>
      </c>
    </row>
    <row r="208">
      <c r="A208" s="18" t="inlineStr">
        <is>
          <t>법인세 납부</t>
        </is>
      </c>
      <c r="C208" s="20" t="n">
        <v>-2628</v>
      </c>
      <c r="D208" s="20" t="n">
        <v>-4456</v>
      </c>
      <c r="E208" s="20" t="n">
        <v>-4771</v>
      </c>
      <c r="F208" s="20" t="n">
        <v>-1723</v>
      </c>
      <c r="G208" s="20" t="n">
        <v>-1790</v>
      </c>
      <c r="H208" s="20" t="n">
        <v>-3559</v>
      </c>
      <c r="I208" s="20" t="n">
        <v>-3541</v>
      </c>
      <c r="J208" s="20" t="n">
        <v>-459</v>
      </c>
      <c r="K208" s="20" t="n">
        <v>-477</v>
      </c>
      <c r="L208" s="20" t="n">
        <v>-1601</v>
      </c>
      <c r="M208" s="20" t="n">
        <v>-1648</v>
      </c>
      <c r="N208" s="20" t="n">
        <v>-1847</v>
      </c>
      <c r="O208" s="20" t="n">
        <v>-243</v>
      </c>
      <c r="P208" s="20" t="n">
        <v>-761</v>
      </c>
      <c r="Q208" s="20" t="n">
        <v>-1536</v>
      </c>
      <c r="R208" s="20" t="n">
        <v>-1086</v>
      </c>
      <c r="S208" s="20" t="n">
        <v>-1012</v>
      </c>
      <c r="T208" s="20" t="n">
        <v>-1889</v>
      </c>
      <c r="U208" s="20" t="n">
        <v>-3140</v>
      </c>
      <c r="V208" s="20" t="n">
        <v>-4771</v>
      </c>
      <c r="W208" s="20" t="n">
        <v>-3541</v>
      </c>
      <c r="X208" s="20" t="n">
        <v>-1648</v>
      </c>
    </row>
    <row r="209">
      <c r="A209" s="18" t="inlineStr">
        <is>
          <t>법인세 환급</t>
        </is>
      </c>
      <c r="O209" s="20" t="n">
        <v>93</v>
      </c>
      <c r="P209" s="20" t="n">
        <v>0</v>
      </c>
    </row>
    <row r="210">
      <c r="A210" s="9" t="inlineStr">
        <is>
          <t>영업활동 현금흐름</t>
        </is>
      </c>
      <c r="C210" s="12" t="n">
        <v>2895</v>
      </c>
      <c r="D210" s="12" t="n">
        <v>-257</v>
      </c>
      <c r="E210" s="12" t="n">
        <v>301</v>
      </c>
      <c r="F210" s="12" t="n">
        <v>6111</v>
      </c>
      <c r="G210" s="12" t="n">
        <v>6285</v>
      </c>
      <c r="H210" s="12" t="n">
        <v>10423</v>
      </c>
      <c r="I210" s="12" t="n">
        <v>18915</v>
      </c>
      <c r="J210" s="12" t="n">
        <v>10591</v>
      </c>
      <c r="K210" s="12" t="n">
        <v>8452</v>
      </c>
      <c r="L210" s="12" t="n">
        <v>8911</v>
      </c>
      <c r="M210" s="12" t="n">
        <v>15684</v>
      </c>
      <c r="N210" s="12" t="n">
        <v>-3964</v>
      </c>
      <c r="O210" s="12" t="n">
        <v>-4685</v>
      </c>
      <c r="P210" s="12" t="n">
        <v>-7993</v>
      </c>
      <c r="Q210" s="12" t="n">
        <v>12335</v>
      </c>
      <c r="R210" s="12" t="n">
        <v>8651</v>
      </c>
      <c r="S210" s="12" t="n">
        <v>-3463</v>
      </c>
      <c r="T210" s="12" t="n">
        <v>-891</v>
      </c>
      <c r="U210" s="12" t="n">
        <v>-12185</v>
      </c>
      <c r="V210" s="12" t="n">
        <v>301</v>
      </c>
      <c r="W210" s="12" t="n">
        <v>18915</v>
      </c>
      <c r="X210" s="12" t="n">
        <v>15684</v>
      </c>
    </row>
    <row r="211">
      <c r="A211" s="18" t="inlineStr">
        <is>
          <t>정기예금 순증감</t>
        </is>
      </c>
      <c r="C211" s="20" t="n">
        <v>-7</v>
      </c>
      <c r="D211" s="20" t="n">
        <v>-10</v>
      </c>
      <c r="E211" s="20" t="n">
        <v>-14</v>
      </c>
      <c r="F211" s="20" t="n">
        <v>-3</v>
      </c>
      <c r="G211" s="20" t="n">
        <v>-7</v>
      </c>
      <c r="H211" s="20" t="n">
        <v>109</v>
      </c>
      <c r="I211" s="20" t="n">
        <v>109</v>
      </c>
      <c r="S211" s="20" t="n">
        <v>-15</v>
      </c>
      <c r="T211" s="20" t="n">
        <v>183</v>
      </c>
      <c r="U211" s="20" t="n">
        <v>10</v>
      </c>
      <c r="V211" s="20" t="n">
        <v>-14</v>
      </c>
      <c r="W211" s="20" t="n">
        <v>109</v>
      </c>
    </row>
    <row r="212">
      <c r="A212" s="18" t="inlineStr">
        <is>
          <t>유형자산 취득(설비투자)</t>
        </is>
      </c>
      <c r="C212" s="20" t="n">
        <v>-143</v>
      </c>
      <c r="D212" s="20" t="n">
        <v>-181</v>
      </c>
      <c r="E212" s="20" t="n">
        <v>-304</v>
      </c>
      <c r="F212" s="20" t="n">
        <v>-189</v>
      </c>
      <c r="G212" s="20" t="n">
        <v>-1039</v>
      </c>
      <c r="H212" s="20" t="n">
        <v>-1501</v>
      </c>
      <c r="I212" s="20" t="n">
        <v>-1552</v>
      </c>
      <c r="J212" s="20" t="n">
        <v>-71</v>
      </c>
      <c r="K212" s="20" t="n">
        <v>-115</v>
      </c>
      <c r="L212" s="20" t="n">
        <v>-204</v>
      </c>
      <c r="M212" s="20" t="n">
        <v>-272</v>
      </c>
      <c r="N212" s="20" t="n">
        <v>-31</v>
      </c>
      <c r="O212" s="20" t="n">
        <v>-133</v>
      </c>
      <c r="P212" s="20" t="n">
        <v>-140</v>
      </c>
      <c r="Q212" s="20" t="n">
        <v>-224</v>
      </c>
      <c r="R212" s="20" t="n">
        <v>-488</v>
      </c>
      <c r="S212" s="20" t="n">
        <v>-348</v>
      </c>
      <c r="T212" s="20" t="n">
        <v>-349</v>
      </c>
      <c r="U212" s="20" t="n">
        <v>-176</v>
      </c>
      <c r="V212" s="20" t="n">
        <v>-304</v>
      </c>
      <c r="W212" s="20" t="n">
        <v>-1552</v>
      </c>
      <c r="X212" s="20" t="n">
        <v>-272</v>
      </c>
    </row>
    <row r="213">
      <c r="A213" s="18" t="inlineStr">
        <is>
          <t>유형자산 매각</t>
        </is>
      </c>
      <c r="I213" s="20" t="n">
        <v>0</v>
      </c>
      <c r="M213" s="20" t="n">
        <v>450</v>
      </c>
      <c r="P213" s="20" t="n">
        <v>1</v>
      </c>
      <c r="Q213" s="20" t="n">
        <v>182</v>
      </c>
      <c r="R213" s="20" t="n">
        <v>0</v>
      </c>
      <c r="W213" s="20" t="n">
        <v>0</v>
      </c>
      <c r="X213" s="20" t="n">
        <v>450</v>
      </c>
    </row>
    <row r="214">
      <c r="A214" s="18" t="inlineStr">
        <is>
          <t>무형자산 취득</t>
        </is>
      </c>
      <c r="C214" s="20" t="n">
        <v>-444</v>
      </c>
      <c r="D214" s="20" t="n">
        <v>-454</v>
      </c>
      <c r="E214" s="20" t="n">
        <v>-599</v>
      </c>
      <c r="F214" s="20" t="n">
        <v>-131</v>
      </c>
      <c r="G214" s="20" t="n">
        <v>-128</v>
      </c>
      <c r="H214" s="20" t="n">
        <v>-196</v>
      </c>
      <c r="I214" s="20" t="n">
        <v>-210</v>
      </c>
      <c r="J214" s="20" t="n">
        <v>-12</v>
      </c>
      <c r="K214" s="20" t="n">
        <v>-34</v>
      </c>
      <c r="L214" s="20" t="n">
        <v>-110</v>
      </c>
      <c r="M214" s="20" t="n">
        <v>-109</v>
      </c>
      <c r="N214" s="20" t="n">
        <v>-142</v>
      </c>
      <c r="O214" s="20" t="n">
        <v>-33</v>
      </c>
      <c r="P214" s="20" t="n">
        <v>-116</v>
      </c>
      <c r="Q214" s="20" t="n">
        <v>-38</v>
      </c>
      <c r="R214" s="20" t="n">
        <v>-56</v>
      </c>
      <c r="S214" s="20" t="n">
        <v>-79</v>
      </c>
      <c r="T214" s="20" t="n">
        <v>-31</v>
      </c>
      <c r="U214" s="20" t="n">
        <v>-94</v>
      </c>
      <c r="V214" s="20" t="n">
        <v>-599</v>
      </c>
      <c r="W214" s="20" t="n">
        <v>-210</v>
      </c>
      <c r="X214" s="20" t="n">
        <v>-109</v>
      </c>
    </row>
    <row r="215">
      <c r="A215" s="18" t="inlineStr">
        <is>
          <t>관계회사 청산 수입</t>
        </is>
      </c>
      <c r="Q215" s="20" t="n">
        <v>0</v>
      </c>
      <c r="R215" s="20" t="n">
        <v>44</v>
      </c>
      <c r="S215" s="20" t="n">
        <v>0</v>
      </c>
    </row>
    <row r="216">
      <c r="A216" s="18" t="inlineStr">
        <is>
          <t>관계회사 청산 지출</t>
        </is>
      </c>
      <c r="Q216" s="20" t="n">
        <v>0</v>
      </c>
      <c r="R216" s="20" t="n">
        <v>-22</v>
      </c>
      <c r="S216" s="20" t="n">
        <v>0</v>
      </c>
    </row>
    <row r="217">
      <c r="A217" s="18" t="inlineStr">
        <is>
          <t>관계회사 출자금 매각 수입</t>
        </is>
      </c>
      <c r="S217" s="20" t="n">
        <v>0</v>
      </c>
      <c r="T217" s="20" t="n">
        <v>43</v>
      </c>
    </row>
    <row r="218">
      <c r="A218" s="18" t="inlineStr">
        <is>
          <t>투자유가증권 취득</t>
        </is>
      </c>
      <c r="D218" s="20" t="n">
        <v>-143</v>
      </c>
      <c r="E218" s="20" t="n">
        <v>-144</v>
      </c>
      <c r="G218" s="20" t="n">
        <v>0</v>
      </c>
      <c r="H218" s="20" t="n">
        <v>-141</v>
      </c>
      <c r="I218" s="20" t="n">
        <v>-141</v>
      </c>
      <c r="J218" s="20" t="n">
        <v>0</v>
      </c>
      <c r="K218" s="20" t="n">
        <v>-65</v>
      </c>
      <c r="L218" s="20" t="n">
        <v>-240</v>
      </c>
      <c r="M218" s="20" t="n">
        <v>-248</v>
      </c>
      <c r="N218" s="20" t="n">
        <v>-99</v>
      </c>
      <c r="O218" s="20" t="n">
        <v>-30</v>
      </c>
      <c r="P218" s="20" t="n">
        <v>-20</v>
      </c>
      <c r="Q218" s="20" t="n">
        <v>0</v>
      </c>
      <c r="U218" s="20" t="n">
        <v>0</v>
      </c>
      <c r="V218" s="20" t="n">
        <v>-144</v>
      </c>
      <c r="W218" s="20" t="n">
        <v>-141</v>
      </c>
      <c r="X218" s="20" t="n">
        <v>-248</v>
      </c>
    </row>
    <row r="219">
      <c r="A219" s="18" t="inlineStr">
        <is>
          <t>투자유가증권 매각</t>
        </is>
      </c>
      <c r="C219" s="20" t="n">
        <v>4</v>
      </c>
      <c r="D219" s="20" t="n">
        <v>4</v>
      </c>
      <c r="E219" s="20" t="n">
        <v>4</v>
      </c>
      <c r="F219" s="20" t="n">
        <v>0</v>
      </c>
      <c r="G219" s="20" t="n">
        <v>0</v>
      </c>
      <c r="H219" s="20" t="n">
        <v>0</v>
      </c>
      <c r="I219" s="20" t="n">
        <v>0</v>
      </c>
      <c r="L219" s="20" t="n">
        <v>1209</v>
      </c>
      <c r="M219" s="20" t="n">
        <v>1219</v>
      </c>
      <c r="P219" s="20" t="n">
        <v>0</v>
      </c>
      <c r="Q219" s="20" t="n">
        <v>207</v>
      </c>
      <c r="R219" s="20" t="n">
        <v>0</v>
      </c>
      <c r="U219" s="20" t="n">
        <v>0</v>
      </c>
      <c r="V219" s="20" t="n">
        <v>4</v>
      </c>
      <c r="W219" s="20" t="n">
        <v>0</v>
      </c>
      <c r="X219" s="20" t="n">
        <v>1219</v>
      </c>
    </row>
    <row r="220">
      <c r="A220" s="18" t="inlineStr">
        <is>
          <t>연결범위 변경 자회사 주식 취득</t>
        </is>
      </c>
      <c r="O220" s="20" t="n">
        <v>0</v>
      </c>
      <c r="P220" s="20" t="n">
        <v>-595</v>
      </c>
      <c r="Q220" s="20" t="n">
        <v>-1833</v>
      </c>
      <c r="R220" s="20" t="n">
        <v>0</v>
      </c>
    </row>
    <row r="221">
      <c r="A221" s="18" t="inlineStr">
        <is>
          <t>임차보증금·보증금 납입</t>
        </is>
      </c>
      <c r="C221" s="20" t="n">
        <v>-428</v>
      </c>
      <c r="D221" s="20" t="n">
        <v>-438</v>
      </c>
      <c r="E221" s="20" t="n">
        <v>-439</v>
      </c>
      <c r="F221" s="20" t="n">
        <v>-1</v>
      </c>
      <c r="G221" s="20" t="n">
        <v>-428</v>
      </c>
      <c r="H221" s="20" t="n">
        <v>-431</v>
      </c>
      <c r="I221" s="20" t="n">
        <v>-464</v>
      </c>
      <c r="K221" s="20" t="n">
        <v>-33</v>
      </c>
      <c r="L221" s="20" t="n">
        <v>-41</v>
      </c>
      <c r="M221" s="20" t="n">
        <v>-43</v>
      </c>
      <c r="U221" s="20" t="n">
        <v>0</v>
      </c>
      <c r="V221" s="20" t="n">
        <v>-439</v>
      </c>
      <c r="W221" s="20" t="n">
        <v>-464</v>
      </c>
      <c r="X221" s="20" t="n">
        <v>-43</v>
      </c>
    </row>
    <row r="222">
      <c r="A222" s="18" t="inlineStr">
        <is>
          <t>보험적립금 해약</t>
        </is>
      </c>
      <c r="C222" s="20" t="n">
        <v>0</v>
      </c>
      <c r="D222" s="20" t="n">
        <v>0</v>
      </c>
      <c r="E222" s="20" t="n">
        <v>0</v>
      </c>
      <c r="T222" s="20" t="n">
        <v>0</v>
      </c>
      <c r="U222" s="20" t="n">
        <v>47</v>
      </c>
      <c r="V222" s="20" t="n">
        <v>0</v>
      </c>
    </row>
    <row r="223">
      <c r="A223" s="18" t="inlineStr">
        <is>
          <t>임차보증금·보증금 회수</t>
        </is>
      </c>
      <c r="E223" s="20" t="n">
        <v>2</v>
      </c>
      <c r="F223" s="20" t="n">
        <v>12</v>
      </c>
      <c r="G223" s="20" t="n">
        <v>13</v>
      </c>
      <c r="H223" s="20" t="n">
        <v>16</v>
      </c>
      <c r="I223" s="20" t="n">
        <v>184</v>
      </c>
      <c r="J223" s="20" t="n">
        <v>166</v>
      </c>
      <c r="K223" s="20" t="n">
        <v>168</v>
      </c>
      <c r="L223" s="20" t="n">
        <v>184</v>
      </c>
      <c r="M223" s="20" t="n">
        <v>227</v>
      </c>
      <c r="V223" s="20" t="n">
        <v>2</v>
      </c>
      <c r="W223" s="20" t="n">
        <v>184</v>
      </c>
      <c r="X223" s="20" t="n">
        <v>227</v>
      </c>
    </row>
    <row r="224">
      <c r="A224" s="18" t="inlineStr">
        <is>
          <t>사업양수 지출</t>
        </is>
      </c>
      <c r="D224" s="20" t="n">
        <v>-1200</v>
      </c>
      <c r="E224" s="20" t="n">
        <v>-1200</v>
      </c>
      <c r="H224" s="20" t="n">
        <v>0</v>
      </c>
      <c r="I224" s="20" t="n">
        <v>0</v>
      </c>
      <c r="U224" s="20" t="n">
        <v>0</v>
      </c>
      <c r="V224" s="20" t="n">
        <v>-1200</v>
      </c>
      <c r="W224" s="20" t="n">
        <v>0</v>
      </c>
    </row>
    <row r="225">
      <c r="A225" s="18" t="inlineStr">
        <is>
          <t>관계회사 주식 취득</t>
        </is>
      </c>
      <c r="D225" s="20" t="n">
        <v>0</v>
      </c>
      <c r="E225" s="20" t="n">
        <v>0</v>
      </c>
      <c r="H225" s="20" t="n">
        <v>-65</v>
      </c>
      <c r="I225" s="20" t="n">
        <v>-65</v>
      </c>
      <c r="O225" s="20" t="n">
        <v>-83</v>
      </c>
      <c r="P225" s="20" t="n">
        <v>0</v>
      </c>
      <c r="V225" s="20" t="n">
        <v>0</v>
      </c>
      <c r="W225" s="20" t="n">
        <v>-65</v>
      </c>
    </row>
    <row r="226">
      <c r="A226" s="18" t="inlineStr">
        <is>
          <t>기타</t>
        </is>
      </c>
      <c r="C226" s="20" t="n">
        <v>1</v>
      </c>
      <c r="D226" s="20" t="n">
        <v>2</v>
      </c>
      <c r="E226" s="20" t="n">
        <v>0</v>
      </c>
      <c r="F226" s="20" t="n">
        <v>2</v>
      </c>
      <c r="G226" s="20" t="n">
        <v>0</v>
      </c>
      <c r="H226" s="20" t="n">
        <v>117</v>
      </c>
      <c r="I226" s="20" t="n">
        <v>117</v>
      </c>
      <c r="J226" s="20" t="n">
        <v>174</v>
      </c>
      <c r="K226" s="20" t="n">
        <v>-3</v>
      </c>
      <c r="L226" s="20" t="n">
        <v>-6</v>
      </c>
      <c r="M226" s="20" t="n">
        <v>-23</v>
      </c>
      <c r="N226" s="20" t="n">
        <v>1</v>
      </c>
      <c r="O226" s="20" t="n">
        <v>19</v>
      </c>
      <c r="P226" s="20" t="n">
        <v>-24</v>
      </c>
      <c r="Q226" s="20" t="n">
        <v>-1</v>
      </c>
      <c r="R226" s="20" t="n">
        <v>-26</v>
      </c>
      <c r="S226" s="20" t="n">
        <v>-26</v>
      </c>
      <c r="T226" s="20" t="n">
        <v>42</v>
      </c>
      <c r="U226" s="20" t="n">
        <v>15</v>
      </c>
      <c r="V226" s="20" t="n">
        <v>0</v>
      </c>
      <c r="W226" s="20" t="n">
        <v>117</v>
      </c>
      <c r="X226" s="20" t="n">
        <v>-23</v>
      </c>
    </row>
    <row r="227">
      <c r="A227" s="9" t="inlineStr">
        <is>
          <t>투자활동 현금흐름</t>
        </is>
      </c>
      <c r="C227" s="12" t="n">
        <v>-1018</v>
      </c>
      <c r="D227" s="12" t="n">
        <v>-2422</v>
      </c>
      <c r="E227" s="12" t="n">
        <v>-2695</v>
      </c>
      <c r="F227" s="12" t="n">
        <v>-305</v>
      </c>
      <c r="G227" s="12" t="n">
        <v>-1582</v>
      </c>
      <c r="H227" s="12" t="n">
        <v>-2137</v>
      </c>
      <c r="I227" s="12" t="n">
        <v>-2068</v>
      </c>
      <c r="J227" s="12" t="n">
        <v>89</v>
      </c>
      <c r="K227" s="12" t="n">
        <v>-82</v>
      </c>
      <c r="L227" s="12" t="n">
        <v>791</v>
      </c>
      <c r="M227" s="12" t="n">
        <v>1200</v>
      </c>
      <c r="N227" s="12" t="n">
        <v>-272</v>
      </c>
      <c r="O227" s="12" t="n">
        <v>-262</v>
      </c>
      <c r="P227" s="12" t="n">
        <v>-896</v>
      </c>
      <c r="Q227" s="12" t="n">
        <v>-1708</v>
      </c>
      <c r="R227" s="12" t="n">
        <v>-549</v>
      </c>
      <c r="S227" s="12" t="n">
        <v>-469</v>
      </c>
      <c r="T227" s="12" t="n">
        <v>-155</v>
      </c>
      <c r="U227" s="12" t="n">
        <v>-199</v>
      </c>
      <c r="V227" s="12" t="n">
        <v>-2695</v>
      </c>
      <c r="W227" s="12" t="n">
        <v>-2068</v>
      </c>
      <c r="X227" s="12" t="n">
        <v>1200</v>
      </c>
    </row>
    <row r="228">
      <c r="A228" s="18" t="inlineStr">
        <is>
          <t>단기차입금 순증감</t>
        </is>
      </c>
      <c r="C228" s="20" t="n">
        <v>-119</v>
      </c>
      <c r="D228" s="20" t="n">
        <v>5095</v>
      </c>
      <c r="E228" s="20" t="n">
        <v>1121</v>
      </c>
      <c r="F228" s="20" t="n">
        <v>-6529</v>
      </c>
      <c r="G228" s="20" t="n">
        <v>-1847</v>
      </c>
      <c r="H228" s="20" t="n">
        <v>-4647</v>
      </c>
      <c r="I228" s="20" t="n">
        <v>-14216</v>
      </c>
      <c r="J228" s="20" t="n">
        <v>-6896</v>
      </c>
      <c r="K228" s="20" t="n">
        <v>-2942</v>
      </c>
      <c r="L228" s="20" t="n">
        <v>-2381</v>
      </c>
      <c r="M228" s="20" t="n">
        <v>-5873</v>
      </c>
      <c r="N228" s="20" t="n">
        <v>3244</v>
      </c>
      <c r="O228" s="20" t="n">
        <v>4357</v>
      </c>
      <c r="P228" s="20" t="n">
        <v>6489</v>
      </c>
      <c r="Q228" s="20" t="n">
        <v>-11254</v>
      </c>
      <c r="R228" s="20" t="n">
        <v>-3555</v>
      </c>
      <c r="S228" s="20" t="n">
        <v>2135</v>
      </c>
      <c r="T228" s="20" t="n">
        <v>5225</v>
      </c>
      <c r="U228" s="20" t="n">
        <v>6052</v>
      </c>
      <c r="V228" s="20" t="n">
        <v>1121</v>
      </c>
      <c r="W228" s="20" t="n">
        <v>-14216</v>
      </c>
      <c r="X228" s="20" t="n">
        <v>-5873</v>
      </c>
    </row>
    <row r="229">
      <c r="A229" s="18" t="inlineStr">
        <is>
          <t>기업어음(CP) 순증감액</t>
        </is>
      </c>
      <c r="D229" s="20" t="n">
        <v>5000</v>
      </c>
      <c r="E229" s="20" t="n">
        <v>5000</v>
      </c>
      <c r="F229" s="20" t="n">
        <v>0</v>
      </c>
      <c r="G229" s="20" t="n">
        <v>0</v>
      </c>
      <c r="H229" s="20" t="n">
        <v>2000</v>
      </c>
      <c r="I229" s="20" t="n">
        <v>2000</v>
      </c>
      <c r="J229" s="20" t="n">
        <v>-3000</v>
      </c>
      <c r="K229" s="20" t="n">
        <v>-1000</v>
      </c>
      <c r="L229" s="20" t="n">
        <v>-3000</v>
      </c>
      <c r="M229" s="20" t="n">
        <v>-4000</v>
      </c>
      <c r="N229" s="20" t="n">
        <v>1000</v>
      </c>
      <c r="U229" s="20" t="n">
        <v>0</v>
      </c>
      <c r="V229" s="20" t="n">
        <v>5000</v>
      </c>
      <c r="W229" s="20" t="n">
        <v>2000</v>
      </c>
      <c r="X229" s="20" t="n">
        <v>-4000</v>
      </c>
    </row>
    <row r="230">
      <c r="A230" s="18" t="inlineStr">
        <is>
          <t>장기차입</t>
        </is>
      </c>
      <c r="C230" s="20" t="n">
        <v>0</v>
      </c>
      <c r="D230" s="20" t="n">
        <v>0</v>
      </c>
      <c r="E230" s="20" t="n">
        <v>0</v>
      </c>
      <c r="F230" s="20" t="n">
        <v>7000</v>
      </c>
      <c r="G230" s="20" t="n">
        <v>7000</v>
      </c>
      <c r="H230" s="20" t="n">
        <v>7000</v>
      </c>
      <c r="I230" s="20" t="n">
        <v>9660</v>
      </c>
      <c r="J230" s="20" t="n">
        <v>0</v>
      </c>
      <c r="K230" s="20" t="n">
        <v>0</v>
      </c>
      <c r="L230" s="20" t="n">
        <v>0</v>
      </c>
      <c r="M230" s="20" t="n">
        <v>0</v>
      </c>
      <c r="O230" s="20" t="n">
        <v>3000</v>
      </c>
      <c r="P230" s="20" t="n">
        <v>4000</v>
      </c>
      <c r="Q230" s="20" t="n">
        <v>4800</v>
      </c>
      <c r="R230" s="20" t="n">
        <v>720</v>
      </c>
      <c r="S230" s="20" t="n">
        <v>7000</v>
      </c>
      <c r="T230" s="20" t="n">
        <v>2700</v>
      </c>
      <c r="U230" s="20" t="n">
        <v>15000</v>
      </c>
      <c r="V230" s="20" t="n">
        <v>0</v>
      </c>
      <c r="W230" s="20" t="n">
        <v>9660</v>
      </c>
      <c r="X230" s="20" t="n">
        <v>0</v>
      </c>
    </row>
    <row r="231">
      <c r="A231" s="18" t="inlineStr">
        <is>
          <t>장기차입금 상환</t>
        </is>
      </c>
      <c r="C231" s="20" t="n">
        <v>-3</v>
      </c>
      <c r="D231" s="20" t="n">
        <v>-3</v>
      </c>
      <c r="E231" s="20" t="n">
        <v>-3</v>
      </c>
      <c r="F231" s="20" t="n">
        <v>-4000</v>
      </c>
      <c r="G231" s="20" t="n">
        <v>-5000</v>
      </c>
      <c r="H231" s="20" t="n">
        <v>-6300</v>
      </c>
      <c r="I231" s="20" t="n">
        <v>-7000</v>
      </c>
      <c r="J231" s="20" t="n">
        <v>-164</v>
      </c>
      <c r="K231" s="20" t="n">
        <v>-312</v>
      </c>
      <c r="L231" s="20" t="n">
        <v>-2359</v>
      </c>
      <c r="M231" s="20" t="n">
        <v>-3265</v>
      </c>
      <c r="N231" s="20" t="n">
        <v>-168</v>
      </c>
      <c r="O231" s="20" t="n">
        <v>-2096</v>
      </c>
      <c r="P231" s="20" t="n">
        <v>-96</v>
      </c>
      <c r="Q231" s="20" t="n">
        <v>-3351</v>
      </c>
      <c r="R231" s="20" t="n">
        <v>-3191</v>
      </c>
      <c r="S231" s="20" t="n">
        <v>-3229</v>
      </c>
      <c r="T231" s="20" t="n">
        <v>-4312</v>
      </c>
      <c r="U231" s="20" t="n">
        <v>-5100</v>
      </c>
      <c r="V231" s="20" t="n">
        <v>-3</v>
      </c>
      <c r="W231" s="20" t="n">
        <v>-7000</v>
      </c>
      <c r="X231" s="20" t="n">
        <v>-3265</v>
      </c>
    </row>
    <row r="232">
      <c r="A232" s="18" t="inlineStr">
        <is>
          <t>연결범위 변경 없는 자회사 주식 취득</t>
        </is>
      </c>
      <c r="C232" s="20" t="n">
        <v>-27</v>
      </c>
      <c r="D232" s="20" t="n">
        <v>-27</v>
      </c>
      <c r="E232" s="20" t="n">
        <v>-27</v>
      </c>
      <c r="G232" s="20" t="n">
        <v>0</v>
      </c>
      <c r="H232" s="20" t="n">
        <v>0</v>
      </c>
      <c r="I232" s="20" t="n">
        <v>0</v>
      </c>
      <c r="L232" s="20" t="n">
        <v>-134</v>
      </c>
      <c r="M232" s="20" t="n">
        <v>-134</v>
      </c>
      <c r="R232" s="20" t="n">
        <v>0</v>
      </c>
      <c r="S232" s="20" t="n">
        <v>-16</v>
      </c>
      <c r="T232" s="20" t="n">
        <v>0</v>
      </c>
      <c r="U232" s="20" t="n">
        <v>0</v>
      </c>
      <c r="V232" s="20" t="n">
        <v>-27</v>
      </c>
      <c r="W232" s="20" t="n">
        <v>0</v>
      </c>
      <c r="X232" s="20" t="n">
        <v>-134</v>
      </c>
    </row>
    <row r="233">
      <c r="A233" s="18" t="inlineStr">
        <is>
          <t>자기주식 취득</t>
        </is>
      </c>
      <c r="C233" s="20" t="n">
        <v>-0</v>
      </c>
      <c r="D233" s="20" t="n">
        <v>-0</v>
      </c>
      <c r="E233" s="20" t="n">
        <v>-0</v>
      </c>
      <c r="F233" s="20" t="n">
        <v>0</v>
      </c>
      <c r="G233" s="20" t="n">
        <v>0</v>
      </c>
      <c r="H233" s="20" t="n">
        <v>-0</v>
      </c>
      <c r="I233" s="20" t="n">
        <v>-2655</v>
      </c>
      <c r="J233" s="20" t="n">
        <v>-0</v>
      </c>
      <c r="K233" s="20" t="n">
        <v>-2001</v>
      </c>
      <c r="L233" s="20" t="n">
        <v>-2001</v>
      </c>
      <c r="M233" s="20" t="n">
        <v>-2001</v>
      </c>
      <c r="N233" s="20" t="n">
        <v>0</v>
      </c>
      <c r="Q233" s="20" t="n">
        <v>0</v>
      </c>
      <c r="R233" s="20" t="n">
        <v>-719</v>
      </c>
      <c r="S233" s="20" t="n">
        <v>-0</v>
      </c>
      <c r="T233" s="20" t="n">
        <v>-1268</v>
      </c>
      <c r="U233" s="20" t="n">
        <v>-0</v>
      </c>
      <c r="V233" s="20" t="n">
        <v>-0</v>
      </c>
      <c r="W233" s="20" t="n">
        <v>-2655</v>
      </c>
      <c r="X233" s="20" t="n">
        <v>-2001</v>
      </c>
    </row>
    <row r="234">
      <c r="A234" s="18" t="inlineStr">
        <is>
          <t>자기주식 처분</t>
        </is>
      </c>
      <c r="C234" s="20" t="n">
        <v>229</v>
      </c>
      <c r="D234" s="20" t="n">
        <v>336</v>
      </c>
      <c r="E234" s="20" t="n">
        <v>468</v>
      </c>
      <c r="F234" s="20" t="n">
        <v>114</v>
      </c>
      <c r="G234" s="20" t="n">
        <v>271</v>
      </c>
      <c r="H234" s="20" t="n">
        <v>396</v>
      </c>
      <c r="I234" s="20" t="n">
        <v>865</v>
      </c>
      <c r="J234" s="20" t="n">
        <v>122</v>
      </c>
      <c r="K234" s="20" t="n">
        <v>278</v>
      </c>
      <c r="L234" s="20" t="n">
        <v>407</v>
      </c>
      <c r="M234" s="20" t="n">
        <v>522</v>
      </c>
      <c r="N234" s="20" t="n">
        <v>130</v>
      </c>
      <c r="O234" s="20" t="n">
        <v>80</v>
      </c>
      <c r="P234" s="20" t="n">
        <v>83</v>
      </c>
      <c r="Q234" s="20" t="n">
        <v>97</v>
      </c>
      <c r="R234" s="20" t="n">
        <v>275</v>
      </c>
      <c r="S234" s="20" t="n">
        <v>167</v>
      </c>
      <c r="T234" s="20" t="n">
        <v>235</v>
      </c>
      <c r="U234" s="20" t="n">
        <v>307</v>
      </c>
      <c r="V234" s="20" t="n">
        <v>468</v>
      </c>
      <c r="W234" s="20" t="n">
        <v>865</v>
      </c>
      <c r="X234" s="20" t="n">
        <v>522</v>
      </c>
    </row>
    <row r="235">
      <c r="A235" s="18" t="inlineStr">
        <is>
          <t>배당금 지급</t>
        </is>
      </c>
      <c r="C235" s="20" t="n">
        <v>-2089</v>
      </c>
      <c r="D235" s="20" t="n">
        <v>-3916</v>
      </c>
      <c r="E235" s="20" t="n">
        <v>-3916</v>
      </c>
      <c r="F235" s="20" t="n">
        <v>-2220</v>
      </c>
      <c r="G235" s="20" t="n">
        <v>-2220</v>
      </c>
      <c r="H235" s="20" t="n">
        <v>-3786</v>
      </c>
      <c r="I235" s="20" t="n">
        <v>-3786</v>
      </c>
      <c r="J235" s="20" t="n">
        <v>-1974</v>
      </c>
      <c r="K235" s="20" t="n">
        <v>-1974</v>
      </c>
      <c r="L235" s="20" t="n">
        <v>-3002</v>
      </c>
      <c r="M235" s="20" t="n">
        <v>-3002</v>
      </c>
      <c r="N235" s="20" t="n">
        <v>-2120</v>
      </c>
      <c r="O235" s="20" t="n">
        <v>-602</v>
      </c>
      <c r="P235" s="20" t="n">
        <v>-605</v>
      </c>
      <c r="Q235" s="20" t="n">
        <v>-770</v>
      </c>
      <c r="R235" s="20" t="n">
        <v>-947</v>
      </c>
      <c r="S235" s="20" t="n">
        <v>-903</v>
      </c>
      <c r="T235" s="20" t="n">
        <v>-1894</v>
      </c>
      <c r="U235" s="20" t="n">
        <v>-2428</v>
      </c>
      <c r="V235" s="20" t="n">
        <v>-3916</v>
      </c>
      <c r="W235" s="20" t="n">
        <v>-3786</v>
      </c>
      <c r="X235" s="20" t="n">
        <v>-3002</v>
      </c>
    </row>
    <row r="236">
      <c r="A236" s="18" t="inlineStr">
        <is>
          <t>비지배주주 배당금 지급</t>
        </is>
      </c>
      <c r="C236" s="20" t="n">
        <v>-35</v>
      </c>
      <c r="D236" s="20" t="n">
        <v>-35</v>
      </c>
      <c r="E236" s="20" t="n">
        <v>-35</v>
      </c>
      <c r="F236" s="20" t="n">
        <v>-34</v>
      </c>
      <c r="G236" s="20" t="n">
        <v>-34</v>
      </c>
      <c r="H236" s="20" t="n">
        <v>-34</v>
      </c>
      <c r="I236" s="20" t="n">
        <v>-34</v>
      </c>
      <c r="J236" s="20" t="n">
        <v>-10</v>
      </c>
      <c r="K236" s="20" t="n">
        <v>-10</v>
      </c>
      <c r="L236" s="20" t="n">
        <v>-10</v>
      </c>
      <c r="M236" s="20" t="n">
        <v>-10</v>
      </c>
      <c r="N236" s="20" t="n">
        <v>-12</v>
      </c>
      <c r="P236" s="20" t="n">
        <v>0</v>
      </c>
      <c r="Q236" s="20" t="n">
        <v>-21</v>
      </c>
      <c r="R236" s="20" t="n">
        <v>-20</v>
      </c>
      <c r="S236" s="20" t="n">
        <v>-28</v>
      </c>
      <c r="T236" s="20" t="n">
        <v>-26</v>
      </c>
      <c r="U236" s="20" t="n">
        <v>-17</v>
      </c>
      <c r="V236" s="20" t="n">
        <v>-35</v>
      </c>
      <c r="W236" s="20" t="n">
        <v>-34</v>
      </c>
      <c r="X236" s="20" t="n">
        <v>-10</v>
      </c>
    </row>
    <row r="237">
      <c r="A237" s="18" t="inlineStr">
        <is>
          <t>기타</t>
        </is>
      </c>
      <c r="O237" s="20" t="n">
        <v>-0</v>
      </c>
      <c r="P237" s="20" t="n">
        <v>-2</v>
      </c>
      <c r="Q237" s="20" t="n">
        <v>-3</v>
      </c>
      <c r="R237" s="20" t="n">
        <v>-41</v>
      </c>
      <c r="S237" s="20" t="n">
        <v>-47</v>
      </c>
    </row>
    <row r="238">
      <c r="A238" s="18" t="inlineStr">
        <is>
          <t>리스부채 상환</t>
        </is>
      </c>
      <c r="C238" s="20" t="n">
        <v>-37</v>
      </c>
      <c r="D238" s="20" t="n">
        <v>-57</v>
      </c>
      <c r="E238" s="20" t="n">
        <v>-77</v>
      </c>
      <c r="F238" s="20" t="n">
        <v>-21</v>
      </c>
      <c r="G238" s="20" t="n">
        <v>-42</v>
      </c>
      <c r="H238" s="20" t="n">
        <v>-62</v>
      </c>
      <c r="I238" s="20" t="n">
        <v>-84</v>
      </c>
      <c r="J238" s="20" t="n">
        <v>-20</v>
      </c>
      <c r="K238" s="20" t="n">
        <v>-41</v>
      </c>
      <c r="L238" s="20" t="n">
        <v>-62</v>
      </c>
      <c r="M238" s="20" t="n">
        <v>-83</v>
      </c>
      <c r="N238" s="20" t="n">
        <v>-17</v>
      </c>
      <c r="S238" s="20" t="n">
        <v>-47</v>
      </c>
      <c r="T238" s="20" t="n">
        <v>-52</v>
      </c>
      <c r="U238" s="20" t="n">
        <v>-65</v>
      </c>
      <c r="V238" s="20" t="n">
        <v>-77</v>
      </c>
      <c r="W238" s="20" t="n">
        <v>-84</v>
      </c>
      <c r="X238" s="20" t="n">
        <v>-83</v>
      </c>
    </row>
    <row r="239">
      <c r="A239" s="9" t="inlineStr">
        <is>
          <t>재무활동 현금흐름</t>
        </is>
      </c>
      <c r="C239" s="12" t="n">
        <v>-2083</v>
      </c>
      <c r="D239" s="12" t="n">
        <v>6390</v>
      </c>
      <c r="E239" s="12" t="n">
        <v>2529</v>
      </c>
      <c r="F239" s="12" t="n">
        <v>-5691</v>
      </c>
      <c r="G239" s="12" t="n">
        <v>-1873</v>
      </c>
      <c r="H239" s="12" t="n">
        <v>-5434</v>
      </c>
      <c r="I239" s="12" t="n">
        <v>-15251</v>
      </c>
      <c r="J239" s="12" t="n">
        <v>-11944</v>
      </c>
      <c r="K239" s="12" t="n">
        <v>-8003</v>
      </c>
      <c r="L239" s="12" t="n">
        <v>-12543</v>
      </c>
      <c r="M239" s="12" t="n">
        <v>-17848</v>
      </c>
      <c r="N239" s="12" t="n">
        <v>2056</v>
      </c>
      <c r="O239" s="12" t="n">
        <v>4739</v>
      </c>
      <c r="P239" s="12" t="n">
        <v>9869</v>
      </c>
      <c r="Q239" s="12" t="n">
        <v>-10504</v>
      </c>
      <c r="R239" s="12" t="n">
        <v>-7479</v>
      </c>
      <c r="S239" s="12" t="n">
        <v>5079</v>
      </c>
      <c r="T239" s="12" t="n">
        <v>606</v>
      </c>
      <c r="U239" s="12" t="n">
        <v>13746</v>
      </c>
      <c r="V239" s="12" t="n">
        <v>2529</v>
      </c>
      <c r="W239" s="12" t="n">
        <v>-15251</v>
      </c>
      <c r="X239" s="12" t="n">
        <v>-17848</v>
      </c>
    </row>
    <row r="240">
      <c r="A240" s="18" t="inlineStr">
        <is>
          <t>현금성자산 환산차이</t>
        </is>
      </c>
      <c r="C240" s="20" t="n">
        <v>163</v>
      </c>
      <c r="D240" s="20" t="n">
        <v>93</v>
      </c>
      <c r="E240" s="20" t="n">
        <v>179</v>
      </c>
      <c r="F240" s="20" t="n">
        <v>76</v>
      </c>
      <c r="G240" s="20" t="n">
        <v>-51</v>
      </c>
      <c r="H240" s="20" t="n">
        <v>134</v>
      </c>
      <c r="I240" s="20" t="n">
        <v>31</v>
      </c>
      <c r="J240" s="20" t="n">
        <v>-108</v>
      </c>
      <c r="K240" s="20" t="n">
        <v>-54</v>
      </c>
      <c r="L240" s="20" t="n">
        <v>96</v>
      </c>
      <c r="M240" s="20" t="n">
        <v>202</v>
      </c>
      <c r="N240" s="20" t="n">
        <v>3</v>
      </c>
      <c r="O240" s="20" t="n">
        <v>4</v>
      </c>
      <c r="P240" s="20" t="n">
        <v>-5</v>
      </c>
      <c r="Q240" s="20" t="n">
        <v>5</v>
      </c>
      <c r="R240" s="20" t="n">
        <v>-9</v>
      </c>
      <c r="S240" s="20" t="n">
        <v>26</v>
      </c>
      <c r="T240" s="20" t="n">
        <v>78</v>
      </c>
      <c r="U240" s="20" t="n">
        <v>53</v>
      </c>
      <c r="V240" s="20" t="n">
        <v>179</v>
      </c>
      <c r="W240" s="20" t="n">
        <v>31</v>
      </c>
      <c r="X240" s="20" t="n">
        <v>202</v>
      </c>
    </row>
    <row r="241">
      <c r="A241" s="18" t="inlineStr">
        <is>
          <t>현금성자산 증감</t>
        </is>
      </c>
      <c r="C241" s="20" t="n">
        <v>-42</v>
      </c>
      <c r="D241" s="20" t="n">
        <v>3805</v>
      </c>
      <c r="E241" s="20" t="n">
        <v>314</v>
      </c>
      <c r="F241" s="20" t="n">
        <v>190</v>
      </c>
      <c r="G241" s="20" t="n">
        <v>2779</v>
      </c>
      <c r="H241" s="20" t="n">
        <v>2985</v>
      </c>
      <c r="I241" s="20" t="n">
        <v>1627</v>
      </c>
      <c r="J241" s="20" t="n">
        <v>-1371</v>
      </c>
      <c r="K241" s="20" t="n">
        <v>311</v>
      </c>
      <c r="L241" s="20" t="n">
        <v>-2743</v>
      </c>
      <c r="M241" s="20" t="n">
        <v>-762</v>
      </c>
      <c r="N241" s="20" t="n">
        <v>-2176</v>
      </c>
      <c r="O241" s="20" t="n">
        <v>-204</v>
      </c>
      <c r="P241" s="20" t="n">
        <v>973</v>
      </c>
      <c r="Q241" s="20" t="n">
        <v>128</v>
      </c>
      <c r="R241" s="20" t="n">
        <v>613</v>
      </c>
      <c r="S241" s="20" t="n">
        <v>1172</v>
      </c>
      <c r="T241" s="20" t="n">
        <v>-362</v>
      </c>
      <c r="U241" s="20" t="n">
        <v>1414</v>
      </c>
      <c r="V241" s="20" t="n">
        <v>314</v>
      </c>
      <c r="W241" s="20" t="n">
        <v>1627</v>
      </c>
      <c r="X241" s="20" t="n">
        <v>-762</v>
      </c>
    </row>
    <row r="242">
      <c r="A242" s="18" t="inlineStr">
        <is>
          <t>비연결 자회사 합병에 따른 현금성자산 증가</t>
        </is>
      </c>
      <c r="Q242" s="20" t="n">
        <v>0</v>
      </c>
      <c r="R242" s="20" t="n">
        <v>70</v>
      </c>
      <c r="S242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2760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131545</v>
      </c>
      <c r="D5" s="12" t="n">
        <v>142401</v>
      </c>
      <c r="E5" s="12" t="n">
        <v>145873</v>
      </c>
      <c r="F5" s="12" t="n">
        <v>150337</v>
      </c>
      <c r="G5" s="12" t="n">
        <v>151685</v>
      </c>
      <c r="H5" s="11" t="n">
        <v>98895</v>
      </c>
      <c r="I5" s="12" t="n">
        <v>134309</v>
      </c>
      <c r="J5" s="12" t="n">
        <v>151336</v>
      </c>
      <c r="K5" s="12" t="n">
        <v>144186</v>
      </c>
      <c r="L5" s="12" t="n">
        <v>150337</v>
      </c>
    </row>
    <row r="6">
      <c r="A6" s="18" t="inlineStr">
        <is>
          <t>현금및현금성자산</t>
        </is>
      </c>
      <c r="B6" s="10" t="n"/>
      <c r="C6" s="19" t="n">
        <v>7013</v>
      </c>
      <c r="D6" s="20" t="n">
        <v>8695</v>
      </c>
      <c r="E6" s="20" t="n">
        <v>5641</v>
      </c>
      <c r="F6" s="20" t="n">
        <v>7622</v>
      </c>
      <c r="G6" s="20" t="n">
        <v>5445</v>
      </c>
      <c r="H6" s="19" t="n">
        <v>5134</v>
      </c>
      <c r="I6" s="20" t="n">
        <v>6538</v>
      </c>
      <c r="J6" s="20" t="n">
        <v>6867</v>
      </c>
      <c r="K6" s="20" t="n">
        <v>8384</v>
      </c>
      <c r="L6" s="20" t="n">
        <v>7622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40798</v>
      </c>
      <c r="D8" s="20" t="n">
        <v>48567</v>
      </c>
      <c r="E8" s="20" t="n">
        <v>54075</v>
      </c>
      <c r="F8" s="20" t="n">
        <v>54434</v>
      </c>
      <c r="G8" s="20" t="n">
        <v>56164</v>
      </c>
      <c r="H8" s="19" t="n">
        <v>0</v>
      </c>
      <c r="I8" s="20" t="n">
        <v>57737</v>
      </c>
      <c r="J8" s="20" t="n">
        <v>57234</v>
      </c>
      <c r="K8" s="20" t="n">
        <v>49226</v>
      </c>
      <c r="L8" s="20" t="n">
        <v>54434</v>
      </c>
    </row>
    <row r="9">
      <c r="A9" s="18" t="inlineStr">
        <is>
          <t>재고자산</t>
        </is>
      </c>
      <c r="B9" s="10" t="n"/>
      <c r="C9" s="19" t="n">
        <v>49386</v>
      </c>
      <c r="D9" s="20" t="n">
        <v>50332</v>
      </c>
      <c r="E9" s="20" t="n">
        <v>46061</v>
      </c>
      <c r="F9" s="20" t="n">
        <v>48965</v>
      </c>
      <c r="G9" s="20" t="n">
        <v>49758</v>
      </c>
      <c r="H9" s="19" t="n">
        <v>27507</v>
      </c>
      <c r="I9" s="20" t="n">
        <v>43082</v>
      </c>
      <c r="J9" s="20" t="n">
        <v>56436</v>
      </c>
      <c r="K9" s="20" t="n">
        <v>52867</v>
      </c>
      <c r="L9" s="20" t="n">
        <v>48965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12575</v>
      </c>
      <c r="D11" s="12" t="n">
        <v>12524</v>
      </c>
      <c r="E11" s="12" t="n">
        <v>12457</v>
      </c>
      <c r="F11" s="12" t="n">
        <v>11874</v>
      </c>
      <c r="G11" s="12" t="n">
        <v>11908</v>
      </c>
      <c r="H11" s="11" t="n">
        <v>8906</v>
      </c>
      <c r="I11" s="12" t="n">
        <v>9143</v>
      </c>
      <c r="J11" s="12" t="n">
        <v>11231</v>
      </c>
      <c r="K11" s="12" t="n">
        <v>12655</v>
      </c>
      <c r="L11" s="12" t="n">
        <v>11874</v>
      </c>
    </row>
    <row r="12">
      <c r="A12" s="18" t="inlineStr">
        <is>
          <t>유형자산</t>
        </is>
      </c>
      <c r="B12" s="10" t="n"/>
      <c r="C12" s="19" t="n">
        <v>4303</v>
      </c>
      <c r="D12" s="20" t="n">
        <v>4282</v>
      </c>
      <c r="E12" s="20" t="n">
        <v>4272</v>
      </c>
      <c r="F12" s="20" t="n">
        <v>3809</v>
      </c>
      <c r="G12" s="20" t="n">
        <v>3738</v>
      </c>
      <c r="H12" s="19" t="n">
        <v>3662</v>
      </c>
      <c r="I12" s="20" t="n">
        <v>3481</v>
      </c>
      <c r="J12" s="20" t="n">
        <v>3356</v>
      </c>
      <c r="K12" s="20" t="n">
        <v>4319</v>
      </c>
      <c r="L12" s="20" t="n">
        <v>3809</v>
      </c>
    </row>
    <row r="13">
      <c r="A13" s="18" t="inlineStr">
        <is>
          <t>무형자산</t>
        </is>
      </c>
      <c r="B13" s="10" t="n"/>
      <c r="C13" s="19" t="n">
        <v>1804</v>
      </c>
      <c r="D13" s="20" t="n">
        <v>1714</v>
      </c>
      <c r="E13" s="20" t="n">
        <v>1679</v>
      </c>
      <c r="F13" s="20" t="n">
        <v>1580</v>
      </c>
      <c r="G13" s="20" t="n">
        <v>1607</v>
      </c>
      <c r="H13" s="19" t="n">
        <v>157</v>
      </c>
      <c r="I13" s="20" t="n">
        <v>226</v>
      </c>
      <c r="J13" s="20" t="n">
        <v>2192</v>
      </c>
      <c r="K13" s="20" t="n">
        <v>1912</v>
      </c>
      <c r="L13" s="20" t="n">
        <v>1580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144121</v>
      </c>
      <c r="D16" s="12" t="n">
        <v>154925</v>
      </c>
      <c r="E16" s="12" t="n">
        <v>158331</v>
      </c>
      <c r="F16" s="12" t="n">
        <v>162211</v>
      </c>
      <c r="G16" s="12" t="n">
        <v>163594</v>
      </c>
      <c r="H16" s="11" t="n">
        <v>107801</v>
      </c>
      <c r="I16" s="12" t="n">
        <v>143452</v>
      </c>
      <c r="J16" s="12" t="n">
        <v>162567</v>
      </c>
      <c r="K16" s="12" t="n">
        <v>156841</v>
      </c>
      <c r="L16" s="12" t="n">
        <v>162211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63017</v>
      </c>
      <c r="D18" s="12" t="n">
        <v>73467</v>
      </c>
      <c r="E18" s="12" t="n">
        <v>84288</v>
      </c>
      <c r="F18" s="12" t="n">
        <v>85000</v>
      </c>
      <c r="G18" s="12" t="n">
        <v>85963</v>
      </c>
      <c r="H18" s="11" t="n">
        <v>56622</v>
      </c>
      <c r="I18" s="12" t="n">
        <v>70595</v>
      </c>
      <c r="J18" s="12" t="n">
        <v>89035</v>
      </c>
      <c r="K18" s="12" t="n">
        <v>74605</v>
      </c>
      <c r="L18" s="12" t="n">
        <v>85000</v>
      </c>
    </row>
    <row r="19">
      <c r="A19" s="18" t="inlineStr">
        <is>
          <t>매입채무</t>
        </is>
      </c>
      <c r="B19" s="10" t="n"/>
      <c r="C19" s="19" t="n">
        <v>17935</v>
      </c>
      <c r="D19" s="20" t="n">
        <v>17787</v>
      </c>
      <c r="E19" s="20" t="n">
        <v>20915</v>
      </c>
      <c r="F19" s="20" t="n">
        <v>23650</v>
      </c>
      <c r="G19" s="20" t="n">
        <v>21769</v>
      </c>
      <c r="H19" s="19" t="n">
        <v>15434</v>
      </c>
      <c r="I19" s="20" t="n">
        <v>20214</v>
      </c>
      <c r="J19" s="20" t="n">
        <v>22690</v>
      </c>
      <c r="K19" s="20" t="n">
        <v>19407</v>
      </c>
      <c r="L19" s="20" t="n">
        <v>23650</v>
      </c>
    </row>
    <row r="20">
      <c r="A20" s="18" t="inlineStr">
        <is>
          <t>단기차입금</t>
        </is>
      </c>
      <c r="B20" s="10" t="n"/>
      <c r="C20" s="19" t="n">
        <v>1303</v>
      </c>
      <c r="D20" s="20" t="n">
        <v>5258</v>
      </c>
      <c r="E20" s="20" t="n">
        <v>5825</v>
      </c>
      <c r="F20" s="20" t="n">
        <v>2339</v>
      </c>
      <c r="G20" s="20" t="n">
        <v>5604</v>
      </c>
      <c r="H20" s="19" t="n">
        <v>14521</v>
      </c>
      <c r="I20" s="20" t="n">
        <v>20949</v>
      </c>
      <c r="J20" s="20" t="n">
        <v>22401</v>
      </c>
      <c r="K20" s="20" t="n">
        <v>8200</v>
      </c>
      <c r="L20" s="20" t="n">
        <v>2339</v>
      </c>
    </row>
    <row r="21">
      <c r="A21" s="18" t="inlineStr">
        <is>
          <t>유동성장기부채</t>
        </is>
      </c>
      <c r="B21" s="10" t="n"/>
      <c r="C21" s="19" t="n">
        <v>2700</v>
      </c>
      <c r="D21" s="20" t="n">
        <v>2700</v>
      </c>
      <c r="E21" s="20" t="n">
        <v>9800</v>
      </c>
      <c r="F21" s="20" t="n">
        <v>9000</v>
      </c>
      <c r="G21" s="20" t="n">
        <v>9000</v>
      </c>
      <c r="H21" s="19" t="n">
        <v>4840</v>
      </c>
      <c r="I21" s="20" t="n">
        <v>3</v>
      </c>
      <c r="J21" s="20" t="n">
        <v>7000</v>
      </c>
      <c r="K21" s="20" t="n">
        <v>2700</v>
      </c>
      <c r="L21" s="20" t="n">
        <v>9000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33007</v>
      </c>
      <c r="D23" s="12" t="n">
        <v>33051</v>
      </c>
      <c r="E23" s="12" t="n">
        <v>23953</v>
      </c>
      <c r="F23" s="12" t="n">
        <v>23454</v>
      </c>
      <c r="G23" s="12" t="n">
        <v>23268</v>
      </c>
      <c r="H23" s="11" t="n">
        <v>19160</v>
      </c>
      <c r="I23" s="12" t="n">
        <v>33859</v>
      </c>
      <c r="J23" s="12" t="n">
        <v>27341</v>
      </c>
      <c r="K23" s="12" t="n">
        <v>33232</v>
      </c>
      <c r="L23" s="12" t="n">
        <v>23454</v>
      </c>
    </row>
    <row r="24">
      <c r="A24" s="18" t="inlineStr">
        <is>
          <t>장기차입금</t>
        </is>
      </c>
      <c r="B24" s="10" t="n"/>
      <c r="C24" s="19" t="n">
        <v>24495</v>
      </c>
      <c r="D24" s="20" t="n">
        <v>24347</v>
      </c>
      <c r="E24" s="20" t="n">
        <v>15200</v>
      </c>
      <c r="F24" s="20" t="n">
        <v>15094</v>
      </c>
      <c r="G24" s="20" t="n">
        <v>14926</v>
      </c>
      <c r="H24" s="19" t="n">
        <v>9963</v>
      </c>
      <c r="I24" s="20" t="n">
        <v>24700</v>
      </c>
      <c r="J24" s="20" t="n">
        <v>17700</v>
      </c>
      <c r="K24" s="20" t="n">
        <v>24660</v>
      </c>
      <c r="L24" s="20" t="n">
        <v>15094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96025</v>
      </c>
      <c r="D27" s="12" t="n">
        <v>106518</v>
      </c>
      <c r="E27" s="12" t="n">
        <v>108241</v>
      </c>
      <c r="F27" s="12" t="n">
        <v>108455</v>
      </c>
      <c r="G27" s="12" t="n">
        <v>109232</v>
      </c>
      <c r="H27" s="11" t="n">
        <v>75783</v>
      </c>
      <c r="I27" s="12" t="n">
        <v>104455</v>
      </c>
      <c r="J27" s="12" t="n">
        <v>116377</v>
      </c>
      <c r="K27" s="12" t="n">
        <v>107837</v>
      </c>
      <c r="L27" s="12" t="n">
        <v>108455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46939</v>
      </c>
      <c r="D31" s="12" t="n">
        <v>47244</v>
      </c>
      <c r="E31" s="12" t="n">
        <v>49177</v>
      </c>
      <c r="F31" s="12" t="n">
        <v>52831</v>
      </c>
      <c r="G31" s="12" t="n">
        <v>53432</v>
      </c>
      <c r="H31" s="11" t="n">
        <v>30953</v>
      </c>
      <c r="I31" s="12" t="n">
        <v>37849</v>
      </c>
      <c r="J31" s="12" t="n">
        <v>45042</v>
      </c>
      <c r="K31" s="12" t="n">
        <v>47861</v>
      </c>
      <c r="L31" s="12" t="n">
        <v>52831</v>
      </c>
    </row>
    <row r="32">
      <c r="A32" s="18" t="inlineStr">
        <is>
          <t>자본금</t>
        </is>
      </c>
      <c r="B32" s="10" t="n"/>
      <c r="C32" s="19" t="n">
        <v>2495</v>
      </c>
      <c r="D32" s="20" t="n">
        <v>2495</v>
      </c>
      <c r="E32" s="20" t="n">
        <v>2495</v>
      </c>
      <c r="F32" s="20" t="n">
        <v>2495</v>
      </c>
      <c r="G32" s="20" t="n">
        <v>2495</v>
      </c>
      <c r="H32" s="19" t="n">
        <v>2495</v>
      </c>
      <c r="I32" s="20" t="n">
        <v>2495</v>
      </c>
      <c r="J32" s="20" t="n">
        <v>2495</v>
      </c>
      <c r="K32" s="20" t="n">
        <v>2495</v>
      </c>
      <c r="L32" s="20" t="n">
        <v>2495</v>
      </c>
    </row>
    <row r="33">
      <c r="A33" s="18" t="inlineStr">
        <is>
          <t>이익잉여금</t>
        </is>
      </c>
      <c r="B33" s="10" t="n"/>
      <c r="C33" s="19" t="n">
        <v>40408</v>
      </c>
      <c r="D33" s="20" t="n">
        <v>41770</v>
      </c>
      <c r="E33" s="20" t="n">
        <v>43124</v>
      </c>
      <c r="F33" s="20" t="n">
        <v>45936</v>
      </c>
      <c r="G33" s="20" t="n">
        <v>46332</v>
      </c>
      <c r="H33" s="19" t="n">
        <v>24262</v>
      </c>
      <c r="I33" s="20" t="n">
        <v>30482</v>
      </c>
      <c r="J33" s="20" t="n">
        <v>36363</v>
      </c>
      <c r="K33" s="20" t="n">
        <v>41289</v>
      </c>
      <c r="L33" s="20" t="n">
        <v>45936</v>
      </c>
    </row>
    <row r="34">
      <c r="A34" s="18" t="inlineStr">
        <is>
          <t>비지배지분</t>
        </is>
      </c>
      <c r="B34" s="10" t="n"/>
      <c r="C34" s="19" t="n">
        <v>1156</v>
      </c>
      <c r="D34" s="20" t="n">
        <v>1162</v>
      </c>
      <c r="E34" s="20" t="n">
        <v>912</v>
      </c>
      <c r="F34" s="20" t="n">
        <v>925</v>
      </c>
      <c r="G34" s="20" t="n">
        <v>929</v>
      </c>
      <c r="H34" s="19" t="n">
        <v>1065</v>
      </c>
      <c r="I34" s="20" t="n">
        <v>1148</v>
      </c>
      <c r="J34" s="20" t="n">
        <v>1148</v>
      </c>
      <c r="K34" s="20" t="n">
        <v>1143</v>
      </c>
      <c r="L34" s="20" t="n">
        <v>925</v>
      </c>
    </row>
    <row r="35">
      <c r="A35" s="9" t="inlineStr">
        <is>
          <t>자본총계</t>
        </is>
      </c>
      <c r="B35" s="10" t="n"/>
      <c r="C35" s="11" t="n">
        <v>48095</v>
      </c>
      <c r="D35" s="12" t="n">
        <v>48406</v>
      </c>
      <c r="E35" s="12" t="n">
        <v>50089</v>
      </c>
      <c r="F35" s="12" t="n">
        <v>53756</v>
      </c>
      <c r="G35" s="12" t="n">
        <v>54361</v>
      </c>
      <c r="H35" s="11" t="n">
        <v>32018</v>
      </c>
      <c r="I35" s="12" t="n">
        <v>38997</v>
      </c>
      <c r="J35" s="12" t="n">
        <v>46190</v>
      </c>
      <c r="K35" s="12" t="n">
        <v>49004</v>
      </c>
      <c r="L35" s="12" t="n">
        <v>53756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23395</v>
      </c>
      <c r="D37" s="12" t="n">
        <v>21082</v>
      </c>
      <c r="E37" s="12" t="n">
        <v>17403</v>
      </c>
      <c r="F37" s="12" t="n">
        <v>15684</v>
      </c>
      <c r="G37" s="12" t="n">
        <v>1129</v>
      </c>
      <c r="H37" s="11" t="n">
        <v>-891</v>
      </c>
      <c r="I37" s="12" t="n">
        <v>-12185</v>
      </c>
      <c r="J37" s="12" t="n">
        <v>301</v>
      </c>
      <c r="K37" s="12" t="n">
        <v>18915</v>
      </c>
      <c r="L37" s="12" t="n">
        <v>15684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1525</v>
      </c>
      <c r="D38" s="20" t="n">
        <v>744</v>
      </c>
      <c r="E38" s="20" t="n">
        <v>379</v>
      </c>
      <c r="F38" s="20" t="n">
        <v>381</v>
      </c>
      <c r="G38" s="20" t="n">
        <v>471</v>
      </c>
      <c r="H38" s="19" t="n">
        <v>380</v>
      </c>
      <c r="I38" s="20" t="n">
        <v>270</v>
      </c>
      <c r="J38" s="20" t="n">
        <v>903</v>
      </c>
      <c r="K38" s="20" t="n">
        <v>1762</v>
      </c>
      <c r="L38" s="20" t="n">
        <v>381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3540</v>
      </c>
      <c r="D40" s="20" t="n">
        <v>3540</v>
      </c>
      <c r="E40" s="20" t="n">
        <v>3002</v>
      </c>
      <c r="F40" s="20" t="n">
        <v>3002</v>
      </c>
      <c r="G40" s="20" t="n">
        <v>3148</v>
      </c>
      <c r="H40" s="19" t="n">
        <v>1894</v>
      </c>
      <c r="I40" s="20" t="n">
        <v>2428</v>
      </c>
      <c r="J40" s="20" t="n">
        <v>3916</v>
      </c>
      <c r="K40" s="20" t="n">
        <v>3786</v>
      </c>
      <c r="L40" s="20" t="n">
        <v>3002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IFERROR((IF(COUNT('연간'!G22:J22)&lt;4,"",SUM('연간'!G22:J22)))/(IF(COUNT('연간'!G44:J44)&lt;4,"",SUM('연간'!G44:J44))),"")</f>
        <v/>
      </c>
      <c r="D48" s="31">
        <f>IFERROR((IF(COUNT('연간'!H22:K22)&lt;4,"",SUM('연간'!H22:K22)))/(IF(COUNT('연간'!H44:K44)&lt;4,"",SUM('연간'!H44:K44))),"")</f>
        <v/>
      </c>
      <c r="E48" s="31">
        <f>IFERROR((IF(COUNT('연간'!I22:L22)&lt;4,"",SUM('연간'!I22:L22)))/(IF(COUNT('연간'!I44:L44)&lt;4,"",SUM('연간'!I44:L44))),"")</f>
        <v/>
      </c>
      <c r="F48" s="31">
        <f>IFERROR((IF(COUNT('연간'!J22:M22)&lt;4,"",SUM('연간'!J22:M22)))/(IF(COUNT('연간'!J44:M44)&lt;4,"",SUM('연간'!J44:M44))),"")</f>
        <v/>
      </c>
      <c r="G48" s="31">
        <f>IFERROR((IF(COUNT('연간'!K22:N22)&lt;4,"",SUM('연간'!K22:N22)))/(IF(COUNT('연간'!K44:N44)&lt;4,"",SUM('연간'!K44:N44))),"")</f>
        <v/>
      </c>
      <c r="H48" s="30">
        <f>IFERROR(('연간'!T22)/('연간'!T44),"")</f>
        <v/>
      </c>
      <c r="I48" s="31">
        <f>IFERROR(('연간'!U22)/('연간'!U44),"")</f>
        <v/>
      </c>
      <c r="J48" s="31">
        <f>IFERROR(('연간'!V22)/('연간'!V44),"")</f>
        <v/>
      </c>
      <c r="K48" s="31">
        <f>IFERROR(('연간'!W22)/('연간'!W44),"")</f>
        <v/>
      </c>
      <c r="L48" s="31">
        <f>IFERROR(('연간'!X22)/('연간'!X44),"")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IFERROR(IF((IF(COUNT('연간'!G50:J50)&lt;4,"",SUM('연간'!G50:J50)))&lt;=0,"적자",C28/(IF(COUNT('연간'!G50:J50)&lt;4,"",SUM('연간'!G50:J50)))),"")</f>
        <v/>
      </c>
      <c r="D49" s="46">
        <f>IFERROR(IF((IF(COUNT('연간'!H50:K50)&lt;4,"",SUM('연간'!H50:K50)))&lt;=0,"적자",D28/(IF(COUNT('연간'!H50:K50)&lt;4,"",SUM('연간'!H50:K50)))),"")</f>
        <v/>
      </c>
      <c r="E49" s="46">
        <f>IFERROR(IF((IF(COUNT('연간'!I50:L50)&lt;4,"",SUM('연간'!I50:L50)))&lt;=0,"적자",E28/(IF(COUNT('연간'!I50:L50)&lt;4,"",SUM('연간'!I50:L50)))),"")</f>
        <v/>
      </c>
      <c r="F49" s="46">
        <f>IFERROR(IF((IF(COUNT('연간'!J50:M50)&lt;4,"",SUM('연간'!J50:M50)))&lt;=0,"적자",F28/(IF(COUNT('연간'!J50:M50)&lt;4,"",SUM('연간'!J50:M50)))),"")</f>
        <v/>
      </c>
      <c r="G49" s="46">
        <f>IFERROR(IF((IF(COUNT('연간'!K50:N50)&lt;4,"",SUM('연간'!K50:N50)))&lt;=0,"적자",G28/(IF(COUNT('연간'!K50:N50)&lt;4,"",SUM('연간'!K50:N50)))),"")</f>
        <v/>
      </c>
      <c r="H49" s="45">
        <f>IFERROR(IF(('연간'!T50)&lt;=0,"적자",H28/('연간'!T50)),"")</f>
        <v/>
      </c>
      <c r="I49" s="46">
        <f>IFERROR(IF(('연간'!U50)&lt;=0,"적자",I28/('연간'!U50)),"")</f>
        <v/>
      </c>
      <c r="J49" s="46">
        <f>IFERROR(IF(('연간'!V50)&lt;=0,"적자",J28/('연간'!V50)),"")</f>
        <v/>
      </c>
      <c r="K49" s="46">
        <f>IFERROR(IF(('연간'!W50)&lt;=0,"적자",K28/('연간'!W50)),"")</f>
        <v/>
      </c>
      <c r="L49" s="46">
        <f>IFERROR(IF(('연간'!X50)&lt;=0,"적자",L28/('연간'!X50)),"")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IFERROR((IF(COUNT('연간'!G50:J50)&lt;4,"",SUM('연간'!G50:J50)))/C31,"")</f>
        <v/>
      </c>
      <c r="D51" s="36">
        <f>IFERROR((IF(COUNT('연간'!H50:K50)&lt;4,"",SUM('연간'!H50:K50)))/D31,"")</f>
        <v/>
      </c>
      <c r="E51" s="36">
        <f>IFERROR((IF(COUNT('연간'!I50:L50)&lt;4,"",SUM('연간'!I50:L50)))/E31,"")</f>
        <v/>
      </c>
      <c r="F51" s="36">
        <f>IFERROR((IF(COUNT('연간'!J50:M50)&lt;4,"",SUM('연간'!J50:M50)))/F31,"")</f>
        <v/>
      </c>
      <c r="G51" s="36">
        <f>IFERROR((IF(COUNT('연간'!K50:N50)&lt;4,"",SUM('연간'!K50:N50)))/G31,"")</f>
        <v/>
      </c>
      <c r="H51" s="35">
        <f>IFERROR(('연간'!T50)/H31,"")</f>
        <v/>
      </c>
      <c r="I51" s="36">
        <f>IFERROR(('연간'!U50)/I31,"")</f>
        <v/>
      </c>
      <c r="J51" s="36">
        <f>IFERROR(('연간'!V50)/J31,"")</f>
        <v/>
      </c>
      <c r="K51" s="36">
        <f>IFERROR(('연간'!W50)/K31,"")</f>
        <v/>
      </c>
      <c r="L51" s="36">
        <f>IFERROR(('연간'!X50)/L31,"")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IFERROR((IF(COUNT('연간'!G49:J49)&lt;4,"",SUM('연간'!G49:J49)))/C16,"")</f>
        <v/>
      </c>
      <c r="D52" s="36">
        <f>IFERROR((IF(COUNT('연간'!H49:K49)&lt;4,"",SUM('연간'!H49:K49)))/D16,"")</f>
        <v/>
      </c>
      <c r="E52" s="36">
        <f>IFERROR((IF(COUNT('연간'!I49:L49)&lt;4,"",SUM('연간'!I49:L49)))/E16,"")</f>
        <v/>
      </c>
      <c r="F52" s="36">
        <f>IFERROR((IF(COUNT('연간'!J49:M49)&lt;4,"",SUM('연간'!J49:M49)))/F16,"")</f>
        <v/>
      </c>
      <c r="G52" s="36">
        <f>IFERROR((IF(COUNT('연간'!K49:N49)&lt;4,"",SUM('연간'!K49:N49)))/G16,"")</f>
        <v/>
      </c>
      <c r="H52" s="35">
        <f>IFERROR(('연간'!T49)/H16,"")</f>
        <v/>
      </c>
      <c r="I52" s="36">
        <f>IFERROR(('연간'!U49)/I16,"")</f>
        <v/>
      </c>
      <c r="J52" s="36">
        <f>IFERROR(('연간'!V49)/J16,"")</f>
        <v/>
      </c>
      <c r="K52" s="36">
        <f>IFERROR(('연간'!W49)/K16,"")</f>
        <v/>
      </c>
      <c r="L52" s="36">
        <f>IFERROR(('연간'!X49)/L16,"")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IFERROR((IF(COUNT('연간'!G22:J22)&lt;4,"",SUM('연간'!G22:J22)))*(1-0.3)/(C35+C29),"")</f>
        <v/>
      </c>
      <c r="D53" s="36">
        <f>IFERROR((IF(COUNT('연간'!H22:K22)&lt;4,"",SUM('연간'!H22:K22)))*(1-0.3)/(D35+D29),"")</f>
        <v/>
      </c>
      <c r="E53" s="36">
        <f>IFERROR((IF(COUNT('연간'!I22:L22)&lt;4,"",SUM('연간'!I22:L22)))*(1-0.3)/(E35+E29),"")</f>
        <v/>
      </c>
      <c r="F53" s="36">
        <f>IFERROR((IF(COUNT('연간'!J22:M22)&lt;4,"",SUM('연간'!J22:M22)))*(1-0.3)/(F35+F29),"")</f>
        <v/>
      </c>
      <c r="G53" s="36">
        <f>IFERROR((IF(COUNT('연간'!K22:N22)&lt;4,"",SUM('연간'!K22:N22)))*(1-0.3)/(G35+G29),"")</f>
        <v/>
      </c>
      <c r="H53" s="35">
        <f>IFERROR(('연간'!T22)*(1-0.3)/(H35+H29),"")</f>
        <v/>
      </c>
      <c r="I53" s="36">
        <f>IFERROR(('연간'!U22)*(1-0.3)/(I35+I29),"")</f>
        <v/>
      </c>
      <c r="J53" s="36">
        <f>IFERROR(('연간'!V22)*(1-0.3)/(J35+J29),"")</f>
        <v/>
      </c>
      <c r="K53" s="36">
        <f>IFERROR(('연간'!W22)*(1-0.3)/(K35+K29),"")</f>
        <v/>
      </c>
      <c r="L53" s="36">
        <f>IFERROR(('연간'!X22)*(1-0.3)/(L35+L29),"")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IFERROR((IF(COUNT('연간'!G18:J18)&lt;4,"",SUM('연간'!G18:J18)))/(IF(COUNT('연간'!G4:J4)&lt;4,"",SUM('연간'!G4:J4))),"")</f>
        <v/>
      </c>
      <c r="D54" s="36">
        <f>IFERROR((IF(COUNT('연간'!H18:K18)&lt;4,"",SUM('연간'!H18:K18)))/(IF(COUNT('연간'!H4:K4)&lt;4,"",SUM('연간'!H4:K4))),"")</f>
        <v/>
      </c>
      <c r="E54" s="36">
        <f>IFERROR((IF(COUNT('연간'!I18:L18)&lt;4,"",SUM('연간'!I18:L18)))/(IF(COUNT('연간'!I4:L4)&lt;4,"",SUM('연간'!I4:L4))),"")</f>
        <v/>
      </c>
      <c r="F54" s="36">
        <f>IFERROR((IF(COUNT('연간'!J18:M18)&lt;4,"",SUM('연간'!J18:M18)))/(IF(COUNT('연간'!J4:M4)&lt;4,"",SUM('연간'!J4:M4))),"")</f>
        <v/>
      </c>
      <c r="G54" s="36">
        <f>IFERROR((IF(COUNT('연간'!K18:N18)&lt;4,"",SUM('연간'!K18:N18)))/(IF(COUNT('연간'!K4:N4)&lt;4,"",SUM('연간'!K4:N4))),"")</f>
        <v/>
      </c>
      <c r="H54" s="35">
        <f>IFERROR(('연간'!T18)/('연간'!T4),"")</f>
        <v/>
      </c>
      <c r="I54" s="36">
        <f>IFERROR(('연간'!U18)/('연간'!U4),"")</f>
        <v/>
      </c>
      <c r="J54" s="36">
        <f>IFERROR(('연간'!V18)/('연간'!V4),"")</f>
        <v/>
      </c>
      <c r="K54" s="36">
        <f>IFERROR(('연간'!W18)/('연간'!W4),"")</f>
        <v/>
      </c>
      <c r="L54" s="36">
        <f>IFERROR(('연간'!X18)/('연간'!X4),"")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IFERROR((IF(COUNT('연간'!G22:J22)&lt;4,"",SUM('연간'!G22:J22)))/(IF(COUNT('연간'!G4:J4)&lt;4,"",SUM('연간'!G4:J4))),"")</f>
        <v/>
      </c>
      <c r="D55" s="36">
        <f>IFERROR((IF(COUNT('연간'!H22:K22)&lt;4,"",SUM('연간'!H22:K22)))/(IF(COUNT('연간'!H4:K4)&lt;4,"",SUM('연간'!H4:K4))),"")</f>
        <v/>
      </c>
      <c r="E55" s="36">
        <f>IFERROR((IF(COUNT('연간'!I22:L22)&lt;4,"",SUM('연간'!I22:L22)))/(IF(COUNT('연간'!I4:L4)&lt;4,"",SUM('연간'!I4:L4))),"")</f>
        <v/>
      </c>
      <c r="F55" s="36">
        <f>IFERROR((IF(COUNT('연간'!J22:M22)&lt;4,"",SUM('연간'!J22:M22)))/(IF(COUNT('연간'!J4:M4)&lt;4,"",SUM('연간'!J4:M4))),"")</f>
        <v/>
      </c>
      <c r="G55" s="36">
        <f>IFERROR((IF(COUNT('연간'!K22:N22)&lt;4,"",SUM('연간'!K22:N22)))/(IF(COUNT('연간'!K4:N4)&lt;4,"",SUM('연간'!K4:N4))),"")</f>
        <v/>
      </c>
      <c r="H55" s="35">
        <f>IFERROR(('연간'!T22)/('연간'!T4),"")</f>
        <v/>
      </c>
      <c r="I55" s="36">
        <f>IFERROR(('연간'!U22)/('연간'!U4),"")</f>
        <v/>
      </c>
      <c r="J55" s="36">
        <f>IFERROR(('연간'!V22)/('연간'!V4),"")</f>
        <v/>
      </c>
      <c r="K55" s="36">
        <f>IFERROR(('연간'!W22)/('연간'!W4),"")</f>
        <v/>
      </c>
      <c r="L55" s="36">
        <f>IFERROR(('연간'!X22)/('연간'!X4),"")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IFERROR((IF(COUNT('연간'!G49:J49)&lt;4,"",SUM('연간'!G49:J49)))/(IF(COUNT('연간'!G4:J4)&lt;4,"",SUM('연간'!G4:J4))),"")</f>
        <v/>
      </c>
      <c r="D56" s="36">
        <f>IFERROR((IF(COUNT('연간'!H49:K49)&lt;4,"",SUM('연간'!H49:K49)))/(IF(COUNT('연간'!H4:K4)&lt;4,"",SUM('연간'!H4:K4))),"")</f>
        <v/>
      </c>
      <c r="E56" s="36">
        <f>IFERROR((IF(COUNT('연간'!I49:L49)&lt;4,"",SUM('연간'!I49:L49)))/(IF(COUNT('연간'!I4:L4)&lt;4,"",SUM('연간'!I4:L4))),"")</f>
        <v/>
      </c>
      <c r="F56" s="36">
        <f>IFERROR((IF(COUNT('연간'!J49:M49)&lt;4,"",SUM('연간'!J49:M49)))/(IF(COUNT('연간'!J4:M4)&lt;4,"",SUM('연간'!J4:M4))),"")</f>
        <v/>
      </c>
      <c r="G56" s="36">
        <f>IFERROR((IF(COUNT('연간'!K49:N49)&lt;4,"",SUM('연간'!K49:N49)))/(IF(COUNT('연간'!K4:N4)&lt;4,"",SUM('연간'!K4:N4))),"")</f>
        <v/>
      </c>
      <c r="H56" s="35">
        <f>IFERROR(('연간'!T49)/('연간'!T4),"")</f>
        <v/>
      </c>
      <c r="I56" s="36">
        <f>IFERROR(('연간'!U49)/('연간'!U4),"")</f>
        <v/>
      </c>
      <c r="J56" s="36">
        <f>IFERROR(('연간'!V49)/('연간'!V4),"")</f>
        <v/>
      </c>
      <c r="K56" s="36">
        <f>IFERROR(('연간'!W49)/('연간'!W4),"")</f>
        <v/>
      </c>
      <c r="L56" s="36">
        <f>IFERROR(('연간'!X49)/('연간'!X4),"")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IFERROR(C9/(IF(COUNT('연간'!G17:J17)&lt;4,"",SUM('연간'!G17:J17)))*365,"")</f>
        <v/>
      </c>
      <c r="D60" s="48">
        <f>IFERROR(D9/(IF(COUNT('연간'!H17:K17)&lt;4,"",SUM('연간'!H17:K17)))*365,"")</f>
        <v/>
      </c>
      <c r="E60" s="48">
        <f>IFERROR(E9/(IF(COUNT('연간'!I17:L17)&lt;4,"",SUM('연간'!I17:L17)))*365,"")</f>
        <v/>
      </c>
      <c r="F60" s="48">
        <f>IFERROR(F9/(IF(COUNT('연간'!J17:M17)&lt;4,"",SUM('연간'!J17:M17)))*365,"")</f>
        <v/>
      </c>
      <c r="G60" s="48">
        <f>IFERROR(G9/(IF(COUNT('연간'!K17:N17)&lt;4,"",SUM('연간'!K17:N17)))*365,"")</f>
        <v/>
      </c>
      <c r="H60" s="47">
        <f>IFERROR(H9/('연간'!T17)*365,"")</f>
        <v/>
      </c>
      <c r="I60" s="48">
        <f>IFERROR(I9/('연간'!U17)*365,"")</f>
        <v/>
      </c>
      <c r="J60" s="48">
        <f>IFERROR(J9/('연간'!V17)*365,"")</f>
        <v/>
      </c>
      <c r="K60" s="48">
        <f>IFERROR(K9/('연간'!W17)*365,"")</f>
        <v/>
      </c>
      <c r="L60" s="48">
        <f>IFERROR(L9/('연간'!X17)*365,"")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IFERROR(C19/(IF(COUNT('연간'!G17:J17)&lt;4,"",SUM('연간'!G17:J17)))*365,"")</f>
        <v/>
      </c>
      <c r="D61" s="48">
        <f>IFERROR(D19/(IF(COUNT('연간'!H17:K17)&lt;4,"",SUM('연간'!H17:K17)))*365,"")</f>
        <v/>
      </c>
      <c r="E61" s="48">
        <f>IFERROR(E19/(IF(COUNT('연간'!I17:L17)&lt;4,"",SUM('연간'!I17:L17)))*365,"")</f>
        <v/>
      </c>
      <c r="F61" s="48">
        <f>IFERROR(F19/(IF(COUNT('연간'!J17:M17)&lt;4,"",SUM('연간'!J17:M17)))*365,"")</f>
        <v/>
      </c>
      <c r="G61" s="48">
        <f>IFERROR(G19/(IF(COUNT('연간'!K17:N17)&lt;4,"",SUM('연간'!K17:N17)))*365,"")</f>
        <v/>
      </c>
      <c r="H61" s="47">
        <f>IFERROR(H19/('연간'!T17)*365,"")</f>
        <v/>
      </c>
      <c r="I61" s="48">
        <f>IFERROR(I19/('연간'!U17)*365,"")</f>
        <v/>
      </c>
      <c r="J61" s="48">
        <f>IFERROR(J19/('연간'!V17)*365,"")</f>
        <v/>
      </c>
      <c r="K61" s="48">
        <f>IFERROR(K19/('연간'!W17)*365,"")</f>
        <v/>
      </c>
      <c r="L61" s="48">
        <f>IFERROR(L19/('연간'!X17)*365,"")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IF(C37="","",IFERROR(C37/(IF(COUNT('연간'!G49:J49)&lt;4,"",SUM('연간'!G49:J49))),""))</f>
        <v/>
      </c>
      <c r="D64" s="31">
        <f>IF(D37="","",IFERROR(D37/(IF(COUNT('연간'!H49:K49)&lt;4,"",SUM('연간'!H49:K49))),""))</f>
        <v/>
      </c>
      <c r="E64" s="31">
        <f>IF(E37="","",IFERROR(E37/(IF(COUNT('연간'!I49:L49)&lt;4,"",SUM('연간'!I49:L49))),""))</f>
        <v/>
      </c>
      <c r="F64" s="31">
        <f>IF(F37="","",IFERROR(F37/(IF(COUNT('연간'!J49:M49)&lt;4,"",SUM('연간'!J49:M49))),""))</f>
        <v/>
      </c>
      <c r="G64" s="31">
        <f>IF(G37="","",IFERROR(G37/(IF(COUNT('연간'!K49:N49)&lt;4,"",SUM('연간'!K49:N49))),""))</f>
        <v/>
      </c>
      <c r="H64" s="30">
        <f>IF(H37="","",IFERROR(H37/('연간'!T49),""))</f>
        <v/>
      </c>
      <c r="I64" s="31">
        <f>IF(I37="","",IFERROR(I37/('연간'!U49),""))</f>
        <v/>
      </c>
      <c r="J64" s="31">
        <f>IF(J37="","",IFERROR(J37/('연간'!V49),""))</f>
        <v/>
      </c>
      <c r="K64" s="31">
        <f>IF(K37="","",IFERROR(K37/('연간'!W49),""))</f>
        <v/>
      </c>
      <c r="L64" s="31">
        <f>IF(L37="","",IFERROR(L37/('연간'!X49),""))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IF(C40="","",IFERROR(C40/(IF(COUNT('연간'!G50:J50)&lt;4,"",SUM('연간'!G50:J50))),""))</f>
        <v/>
      </c>
      <c r="D67" s="36">
        <f>IF(D40="","",IFERROR(D40/(IF(COUNT('연간'!H50:K50)&lt;4,"",SUM('연간'!H50:K50))),""))</f>
        <v/>
      </c>
      <c r="E67" s="36">
        <f>IF(E40="","",IFERROR(E40/(IF(COUNT('연간'!I50:L50)&lt;4,"",SUM('연간'!I50:L50))),""))</f>
        <v/>
      </c>
      <c r="F67" s="36">
        <f>IF(F40="","",IFERROR(F40/(IF(COUNT('연간'!J50:M50)&lt;4,"",SUM('연간'!J50:M50))),""))</f>
        <v/>
      </c>
      <c r="G67" s="36">
        <f>IF(G40="","",IFERROR(G40/(IF(COUNT('연간'!K50:N50)&lt;4,"",SUM('연간'!K50:N50))),""))</f>
        <v/>
      </c>
      <c r="H67" s="35">
        <f>IF(H40="","",IFERROR(H40/('연간'!T50),""))</f>
        <v/>
      </c>
      <c r="I67" s="36">
        <f>IF(I40="","",IFERROR(I40/('연간'!U50),""))</f>
        <v/>
      </c>
      <c r="J67" s="36">
        <f>IF(J40="","",IFERROR(J40/('연간'!V50),""))</f>
        <v/>
      </c>
      <c r="K67" s="36">
        <f>IF(K40="","",IFERROR(K40/('연간'!W50),""))</f>
        <v/>
      </c>
      <c r="L67" s="36">
        <f>IF(L40="","",IFERROR(L40/('연간'!X50),""))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7013</v>
      </c>
      <c r="D71" s="20" t="n">
        <v>8695</v>
      </c>
      <c r="E71" s="20" t="n">
        <v>5641</v>
      </c>
      <c r="F71" s="20" t="n">
        <v>7622</v>
      </c>
      <c r="G71" s="20" t="n">
        <v>5445</v>
      </c>
      <c r="H71" s="20" t="n">
        <v>5134</v>
      </c>
      <c r="I71" s="20" t="n">
        <v>6538</v>
      </c>
      <c r="J71" s="20" t="n">
        <v>6867</v>
      </c>
      <c r="K71" s="20" t="n">
        <v>8384</v>
      </c>
      <c r="L71" s="20" t="n">
        <v>7622</v>
      </c>
    </row>
    <row r="72">
      <c r="A72" s="18" t="inlineStr">
        <is>
          <t>받을어음·매출채권·계약자산</t>
        </is>
      </c>
      <c r="C72" s="20" t="n">
        <v>40798</v>
      </c>
      <c r="D72" s="20" t="n">
        <v>48567</v>
      </c>
      <c r="E72" s="20" t="n">
        <v>54075</v>
      </c>
      <c r="H72" s="20" t="n">
        <v>47217</v>
      </c>
      <c r="I72" s="20" t="n">
        <v>57737</v>
      </c>
      <c r="J72" s="20" t="n">
        <v>57234</v>
      </c>
      <c r="K72" s="20" t="n">
        <v>49226</v>
      </c>
    </row>
    <row r="73">
      <c r="A73" s="18" t="inlineStr">
        <is>
          <t>받을어음·매출채권</t>
        </is>
      </c>
      <c r="F73" s="20" t="n">
        <v>54434</v>
      </c>
      <c r="G73" s="20" t="n">
        <v>56164</v>
      </c>
      <c r="H73" s="20" t="n">
        <v>0</v>
      </c>
      <c r="K73" s="20" t="n">
        <v>49226</v>
      </c>
      <c r="L73" s="20" t="n">
        <v>54434</v>
      </c>
    </row>
    <row r="74">
      <c r="A74" s="18" t="inlineStr">
        <is>
          <t>전자기록채권</t>
        </is>
      </c>
      <c r="C74" s="20" t="n">
        <v>3533</v>
      </c>
      <c r="D74" s="20" t="n">
        <v>1956</v>
      </c>
      <c r="E74" s="20" t="n">
        <v>2462</v>
      </c>
      <c r="F74" s="20" t="n">
        <v>3651</v>
      </c>
      <c r="G74" s="20" t="n">
        <v>3946</v>
      </c>
      <c r="H74" s="20" t="n">
        <v>3231</v>
      </c>
      <c r="I74" s="20" t="n">
        <v>4801</v>
      </c>
      <c r="J74" s="20" t="n">
        <v>4241</v>
      </c>
      <c r="K74" s="20" t="n">
        <v>2717</v>
      </c>
      <c r="L74" s="20" t="n">
        <v>3651</v>
      </c>
    </row>
    <row r="75">
      <c r="A75" s="18" t="inlineStr">
        <is>
          <t>상품·제품</t>
        </is>
      </c>
      <c r="C75" s="20" t="n">
        <v>46860</v>
      </c>
      <c r="D75" s="20" t="n">
        <v>47952</v>
      </c>
      <c r="E75" s="20" t="n">
        <v>46061</v>
      </c>
      <c r="F75" s="20" t="n">
        <v>46747</v>
      </c>
      <c r="G75" s="20" t="n">
        <v>47503</v>
      </c>
      <c r="H75" s="20" t="n">
        <v>25937</v>
      </c>
      <c r="I75" s="20" t="n">
        <v>40402</v>
      </c>
      <c r="J75" s="20" t="n">
        <v>53275</v>
      </c>
      <c r="K75" s="20" t="n">
        <v>50281</v>
      </c>
      <c r="L75" s="20" t="n">
        <v>46747</v>
      </c>
    </row>
    <row r="76">
      <c r="A76" s="18" t="inlineStr">
        <is>
          <t>원재료</t>
        </is>
      </c>
      <c r="E76" s="20" t="n">
        <v>2320</v>
      </c>
      <c r="F76" s="20" t="n">
        <v>2218</v>
      </c>
      <c r="H76" s="20" t="n">
        <v>1570</v>
      </c>
      <c r="I76" s="20" t="n">
        <v>2680</v>
      </c>
      <c r="J76" s="20" t="n">
        <v>3161</v>
      </c>
      <c r="K76" s="20" t="n">
        <v>2586</v>
      </c>
      <c r="L76" s="20" t="n">
        <v>2218</v>
      </c>
    </row>
    <row r="77">
      <c r="A77" s="18" t="inlineStr">
        <is>
          <t>원재료</t>
        </is>
      </c>
      <c r="C77" s="20" t="n">
        <v>2526</v>
      </c>
      <c r="D77" s="20" t="n">
        <v>2380</v>
      </c>
      <c r="F77" s="20" t="n">
        <v>2218</v>
      </c>
      <c r="G77" s="20" t="n">
        <v>2255</v>
      </c>
      <c r="H77" s="20" t="n">
        <v>1570</v>
      </c>
      <c r="I77" s="20" t="n">
        <v>2680</v>
      </c>
      <c r="J77" s="20" t="n">
        <v>3161</v>
      </c>
      <c r="K77" s="20" t="n">
        <v>2586</v>
      </c>
      <c r="L77" s="20" t="n">
        <v>2218</v>
      </c>
    </row>
    <row r="78">
      <c r="A78" s="18" t="inlineStr">
        <is>
          <t>선급비용</t>
        </is>
      </c>
      <c r="C78" s="20" t="n">
        <v>28355</v>
      </c>
      <c r="D78" s="20" t="n">
        <v>30220</v>
      </c>
      <c r="E78" s="20" t="n">
        <v>31548</v>
      </c>
      <c r="F78" s="20" t="n">
        <v>32298</v>
      </c>
      <c r="G78" s="20" t="n">
        <v>33789</v>
      </c>
      <c r="H78" s="20" t="n">
        <v>11732</v>
      </c>
      <c r="I78" s="20" t="n">
        <v>17332</v>
      </c>
      <c r="J78" s="20" t="n">
        <v>19416</v>
      </c>
      <c r="K78" s="20" t="n">
        <v>25952</v>
      </c>
      <c r="L78" s="20" t="n">
        <v>32298</v>
      </c>
    </row>
    <row r="79">
      <c r="A79" s="18" t="inlineStr">
        <is>
          <t>기타</t>
        </is>
      </c>
      <c r="C79" s="20" t="n">
        <v>2518</v>
      </c>
      <c r="D79" s="20" t="n">
        <v>2696</v>
      </c>
      <c r="E79" s="20" t="n">
        <v>3841</v>
      </c>
      <c r="F79" s="20" t="n">
        <v>3443</v>
      </c>
      <c r="G79" s="20" t="n">
        <v>2582</v>
      </c>
      <c r="H79" s="20" t="n">
        <v>4077</v>
      </c>
      <c r="I79" s="20" t="n">
        <v>4821</v>
      </c>
      <c r="J79" s="20" t="n">
        <v>7229</v>
      </c>
      <c r="K79" s="20" t="n">
        <v>5105</v>
      </c>
      <c r="L79" s="20" t="n">
        <v>3443</v>
      </c>
    </row>
    <row r="80">
      <c r="A80" s="18" t="inlineStr">
        <is>
          <t>대손충당금</t>
        </is>
      </c>
      <c r="C80" s="20" t="n">
        <v>-61</v>
      </c>
      <c r="D80" s="20" t="n">
        <v>-68</v>
      </c>
      <c r="E80" s="20" t="n">
        <v>-78</v>
      </c>
      <c r="F80" s="20" t="n">
        <v>-78</v>
      </c>
      <c r="G80" s="20" t="n">
        <v>-1</v>
      </c>
      <c r="H80" s="20" t="n">
        <v>-7</v>
      </c>
      <c r="I80" s="20" t="n">
        <v>-4</v>
      </c>
      <c r="J80" s="20" t="n">
        <v>-90</v>
      </c>
      <c r="K80" s="20" t="n">
        <v>-68</v>
      </c>
      <c r="L80" s="20" t="n">
        <v>-78</v>
      </c>
    </row>
    <row r="81">
      <c r="A81" s="9" t="inlineStr">
        <is>
          <t>유동자산 합계</t>
        </is>
      </c>
      <c r="C81" s="12" t="n">
        <v>131545</v>
      </c>
      <c r="D81" s="12" t="n">
        <v>142401</v>
      </c>
      <c r="E81" s="12" t="n">
        <v>145873</v>
      </c>
      <c r="F81" s="12" t="n">
        <v>150337</v>
      </c>
      <c r="G81" s="12" t="n">
        <v>151685</v>
      </c>
      <c r="H81" s="12" t="n">
        <v>98895</v>
      </c>
      <c r="I81" s="12" t="n">
        <v>134309</v>
      </c>
      <c r="J81" s="12" t="n">
        <v>151336</v>
      </c>
      <c r="K81" s="12" t="n">
        <v>144186</v>
      </c>
      <c r="L81" s="12" t="n">
        <v>150337</v>
      </c>
    </row>
    <row r="82">
      <c r="A82" s="18" t="inlineStr">
        <is>
          <t>건물·구축물</t>
        </is>
      </c>
      <c r="F82" s="20" t="n">
        <v>4262</v>
      </c>
      <c r="H82" s="20" t="n">
        <v>3691</v>
      </c>
      <c r="I82" s="20" t="n">
        <v>3753</v>
      </c>
      <c r="J82" s="20" t="n">
        <v>3799</v>
      </c>
      <c r="K82" s="20" t="n">
        <v>4417</v>
      </c>
      <c r="L82" s="20" t="n">
        <v>4262</v>
      </c>
    </row>
    <row r="83">
      <c r="A83" s="18" t="inlineStr">
        <is>
          <t>감가상각누계액</t>
        </is>
      </c>
      <c r="F83" s="20" t="n">
        <v>-1648</v>
      </c>
      <c r="H83" s="20" t="n">
        <v>-1396</v>
      </c>
      <c r="I83" s="20" t="n">
        <v>-1547</v>
      </c>
      <c r="J83" s="20" t="n">
        <v>-1649</v>
      </c>
      <c r="K83" s="20" t="n">
        <v>-1533</v>
      </c>
      <c r="L83" s="20" t="n">
        <v>-1648</v>
      </c>
    </row>
    <row r="84">
      <c r="A84" s="18" t="inlineStr">
        <is>
          <t>건물·구축물(순액)</t>
        </is>
      </c>
      <c r="F84" s="20" t="n">
        <v>2613</v>
      </c>
      <c r="H84" s="20" t="n">
        <v>2294</v>
      </c>
      <c r="I84" s="20" t="n">
        <v>2205</v>
      </c>
      <c r="J84" s="20" t="n">
        <v>2150</v>
      </c>
      <c r="K84" s="20" t="n">
        <v>2884</v>
      </c>
      <c r="L84" s="20" t="n">
        <v>2613</v>
      </c>
    </row>
    <row r="85">
      <c r="A85" s="18" t="inlineStr">
        <is>
          <t>기계장치</t>
        </is>
      </c>
      <c r="F85" s="20" t="n">
        <v>697</v>
      </c>
      <c r="H85" s="20" t="n">
        <v>470</v>
      </c>
      <c r="I85" s="20" t="n">
        <v>487</v>
      </c>
      <c r="J85" s="20" t="n">
        <v>526</v>
      </c>
      <c r="K85" s="20" t="n">
        <v>688</v>
      </c>
      <c r="L85" s="20" t="n">
        <v>697</v>
      </c>
    </row>
    <row r="86">
      <c r="A86" s="18" t="inlineStr">
        <is>
          <t>감가상각누계액</t>
        </is>
      </c>
      <c r="F86" s="20" t="n">
        <v>-533</v>
      </c>
      <c r="H86" s="20" t="n">
        <v>-276</v>
      </c>
      <c r="I86" s="20" t="n">
        <v>-333</v>
      </c>
      <c r="J86" s="20" t="n">
        <v>-388</v>
      </c>
      <c r="K86" s="20" t="n">
        <v>-469</v>
      </c>
      <c r="L86" s="20" t="n">
        <v>-533</v>
      </c>
    </row>
    <row r="87">
      <c r="A87" s="18" t="inlineStr">
        <is>
          <t>기계장치(순액)</t>
        </is>
      </c>
      <c r="F87" s="20" t="n">
        <v>163</v>
      </c>
      <c r="H87" s="20" t="n">
        <v>194</v>
      </c>
      <c r="I87" s="20" t="n">
        <v>154</v>
      </c>
      <c r="J87" s="20" t="n">
        <v>137</v>
      </c>
      <c r="K87" s="20" t="n">
        <v>219</v>
      </c>
      <c r="L87" s="20" t="n">
        <v>163</v>
      </c>
    </row>
    <row r="88">
      <c r="A88" s="18" t="inlineStr">
        <is>
          <t>공구·기구·비품</t>
        </is>
      </c>
      <c r="F88" s="20" t="n">
        <v>2187</v>
      </c>
      <c r="H88" s="20" t="n">
        <v>1939</v>
      </c>
      <c r="I88" s="20" t="n">
        <v>1952</v>
      </c>
      <c r="J88" s="20" t="n">
        <v>2033</v>
      </c>
      <c r="K88" s="20" t="n">
        <v>2083</v>
      </c>
      <c r="L88" s="20" t="n">
        <v>2187</v>
      </c>
    </row>
    <row r="89">
      <c r="A89" s="18" t="inlineStr">
        <is>
          <t>감가상각누계액</t>
        </is>
      </c>
      <c r="F89" s="20" t="n">
        <v>-1633</v>
      </c>
      <c r="H89" s="20" t="n">
        <v>-1514</v>
      </c>
      <c r="I89" s="20" t="n">
        <v>-1638</v>
      </c>
      <c r="J89" s="20" t="n">
        <v>-1722</v>
      </c>
      <c r="K89" s="20" t="n">
        <v>-1536</v>
      </c>
      <c r="L89" s="20" t="n">
        <v>-1633</v>
      </c>
    </row>
    <row r="90">
      <c r="A90" s="18" t="inlineStr">
        <is>
          <t>공구·기구·비품(순액)</t>
        </is>
      </c>
      <c r="F90" s="20" t="n">
        <v>553</v>
      </c>
      <c r="H90" s="20" t="n">
        <v>424</v>
      </c>
      <c r="I90" s="20" t="n">
        <v>314</v>
      </c>
      <c r="J90" s="20" t="n">
        <v>311</v>
      </c>
      <c r="K90" s="20" t="n">
        <v>547</v>
      </c>
      <c r="L90" s="20" t="n">
        <v>553</v>
      </c>
    </row>
    <row r="91">
      <c r="A91" s="18" t="inlineStr">
        <is>
          <t>토지</t>
        </is>
      </c>
      <c r="F91" s="20" t="n">
        <v>274</v>
      </c>
      <c r="H91" s="20" t="n">
        <v>586</v>
      </c>
      <c r="I91" s="20" t="n">
        <v>586</v>
      </c>
      <c r="J91" s="20" t="n">
        <v>586</v>
      </c>
      <c r="K91" s="20" t="n">
        <v>586</v>
      </c>
      <c r="L91" s="20" t="n">
        <v>274</v>
      </c>
    </row>
    <row r="92">
      <c r="A92" s="18" t="inlineStr">
        <is>
          <t>리스자산</t>
        </is>
      </c>
      <c r="F92" s="20" t="n">
        <v>687</v>
      </c>
      <c r="K92" s="20" t="n">
        <v>511</v>
      </c>
      <c r="L92" s="20" t="n">
        <v>687</v>
      </c>
    </row>
    <row r="93">
      <c r="A93" s="18" t="inlineStr">
        <is>
          <t>감가상각누계액</t>
        </is>
      </c>
      <c r="F93" s="20" t="n">
        <v>-482</v>
      </c>
      <c r="K93" s="20" t="n">
        <v>-433</v>
      </c>
      <c r="L93" s="20" t="n">
        <v>-482</v>
      </c>
    </row>
    <row r="94">
      <c r="A94" s="18" t="inlineStr">
        <is>
          <t>리스자산(순액)</t>
        </is>
      </c>
      <c r="F94" s="20" t="n">
        <v>204</v>
      </c>
      <c r="K94" s="20" t="n">
        <v>77</v>
      </c>
      <c r="L94" s="20" t="n">
        <v>204</v>
      </c>
    </row>
    <row r="95">
      <c r="A95" s="18" t="inlineStr">
        <is>
          <t>기타</t>
        </is>
      </c>
      <c r="F95" s="20" t="n">
        <v>2</v>
      </c>
      <c r="H95" s="20" t="n">
        <v>323</v>
      </c>
      <c r="I95" s="20" t="n">
        <v>453</v>
      </c>
      <c r="J95" s="20" t="n">
        <v>499</v>
      </c>
      <c r="K95" s="20" t="n">
        <v>5</v>
      </c>
      <c r="L95" s="20" t="n">
        <v>2</v>
      </c>
    </row>
    <row r="96">
      <c r="A96" s="18" t="inlineStr">
        <is>
          <t>감가상각누계액</t>
        </is>
      </c>
      <c r="F96" s="20" t="n">
        <v>-1</v>
      </c>
      <c r="H96" s="20" t="n">
        <v>-161</v>
      </c>
      <c r="I96" s="20" t="n">
        <v>-232</v>
      </c>
      <c r="J96" s="20" t="n">
        <v>-328</v>
      </c>
      <c r="K96" s="20" t="n">
        <v>-1</v>
      </c>
      <c r="L96" s="20" t="n">
        <v>-1</v>
      </c>
    </row>
    <row r="97">
      <c r="A97" s="18" t="inlineStr">
        <is>
          <t>기타(순액)</t>
        </is>
      </c>
      <c r="F97" s="20" t="n">
        <v>0</v>
      </c>
      <c r="H97" s="20" t="n">
        <v>161</v>
      </c>
      <c r="I97" s="20" t="n">
        <v>220</v>
      </c>
      <c r="J97" s="20" t="n">
        <v>171</v>
      </c>
      <c r="K97" s="20" t="n">
        <v>4</v>
      </c>
      <c r="L97" s="20" t="n">
        <v>0</v>
      </c>
    </row>
    <row r="98">
      <c r="A98" s="18" t="inlineStr">
        <is>
          <t>유형자산</t>
        </is>
      </c>
      <c r="C98" s="20" t="n">
        <v>4303</v>
      </c>
      <c r="D98" s="20" t="n">
        <v>4282</v>
      </c>
      <c r="E98" s="20" t="n">
        <v>4272</v>
      </c>
      <c r="F98" s="20" t="n">
        <v>3809</v>
      </c>
      <c r="G98" s="20" t="n">
        <v>3738</v>
      </c>
      <c r="H98" s="20" t="n">
        <v>3662</v>
      </c>
      <c r="I98" s="20" t="n">
        <v>3481</v>
      </c>
      <c r="J98" s="20" t="n">
        <v>3356</v>
      </c>
      <c r="K98" s="20" t="n">
        <v>4319</v>
      </c>
      <c r="L98" s="20" t="n">
        <v>3809</v>
      </c>
    </row>
    <row r="99">
      <c r="A99" s="18" t="inlineStr">
        <is>
          <t>무형자산</t>
        </is>
      </c>
      <c r="C99" s="20" t="n">
        <v>1804</v>
      </c>
      <c r="D99" s="20" t="n">
        <v>1714</v>
      </c>
      <c r="E99" s="20" t="n">
        <v>1679</v>
      </c>
      <c r="F99" s="20" t="n">
        <v>1580</v>
      </c>
      <c r="G99" s="20" t="n">
        <v>1607</v>
      </c>
      <c r="H99" s="20" t="n">
        <v>157</v>
      </c>
      <c r="I99" s="20" t="n">
        <v>226</v>
      </c>
      <c r="J99" s="20" t="n">
        <v>2192</v>
      </c>
      <c r="K99" s="20" t="n">
        <v>1912</v>
      </c>
      <c r="L99" s="20" t="n">
        <v>1580</v>
      </c>
    </row>
    <row r="100">
      <c r="A100" s="18" t="inlineStr">
        <is>
          <t>퇴직급여자산</t>
        </is>
      </c>
      <c r="C100" s="20" t="n">
        <v>632</v>
      </c>
      <c r="D100" s="20" t="n">
        <v>635</v>
      </c>
      <c r="E100" s="20" t="n">
        <v>638</v>
      </c>
      <c r="F100" s="20" t="n">
        <v>926</v>
      </c>
      <c r="G100" s="20" t="n">
        <v>921</v>
      </c>
      <c r="H100" s="20" t="n">
        <v>297</v>
      </c>
      <c r="I100" s="20" t="n">
        <v>352</v>
      </c>
      <c r="J100" s="20" t="n">
        <v>449</v>
      </c>
      <c r="K100" s="20" t="n">
        <v>629</v>
      </c>
      <c r="L100" s="20" t="n">
        <v>926</v>
      </c>
    </row>
    <row r="101">
      <c r="A101" s="18" t="inlineStr">
        <is>
          <t>이연법인세자산</t>
        </is>
      </c>
      <c r="F101" s="20" t="n">
        <v>3449</v>
      </c>
      <c r="H101" s="20" t="n">
        <v>3873</v>
      </c>
      <c r="I101" s="20" t="n">
        <v>4146</v>
      </c>
      <c r="J101" s="20" t="n">
        <v>3867</v>
      </c>
      <c r="K101" s="20" t="n">
        <v>3615</v>
      </c>
      <c r="L101" s="20" t="n">
        <v>3449</v>
      </c>
    </row>
    <row r="102">
      <c r="A102" s="18" t="inlineStr">
        <is>
          <t>기타</t>
        </is>
      </c>
      <c r="C102" s="20" t="n">
        <v>5872</v>
      </c>
      <c r="D102" s="20" t="n">
        <v>5928</v>
      </c>
      <c r="E102" s="20" t="n">
        <v>5904</v>
      </c>
      <c r="F102" s="20" t="n">
        <v>5595</v>
      </c>
      <c r="G102" s="20" t="n">
        <v>5671</v>
      </c>
      <c r="H102" s="20" t="n">
        <v>963</v>
      </c>
      <c r="I102" s="20" t="n">
        <v>980</v>
      </c>
      <c r="J102" s="20" t="n">
        <v>1689</v>
      </c>
      <c r="K102" s="20" t="n">
        <v>2219</v>
      </c>
      <c r="L102" s="20" t="n">
        <v>5595</v>
      </c>
    </row>
    <row r="103">
      <c r="A103" s="18" t="inlineStr">
        <is>
          <t>대손충당금</t>
        </is>
      </c>
      <c r="C103" s="20" t="n">
        <v>-37</v>
      </c>
      <c r="D103" s="20" t="n">
        <v>-37</v>
      </c>
      <c r="E103" s="20" t="n">
        <v>-37</v>
      </c>
      <c r="F103" s="20" t="n">
        <v>-37</v>
      </c>
      <c r="G103" s="20" t="n">
        <v>-29</v>
      </c>
      <c r="H103" s="20" t="n">
        <v>-47</v>
      </c>
      <c r="I103" s="20" t="n">
        <v>-43</v>
      </c>
      <c r="J103" s="20" t="n">
        <v>-323</v>
      </c>
      <c r="K103" s="20" t="n">
        <v>-40</v>
      </c>
      <c r="L103" s="20" t="n">
        <v>-37</v>
      </c>
    </row>
    <row r="104">
      <c r="A104" s="18" t="inlineStr">
        <is>
          <t>투자 및 기타자산 합계</t>
        </is>
      </c>
      <c r="C104" s="20" t="n">
        <v>6467</v>
      </c>
      <c r="D104" s="20" t="n">
        <v>6526</v>
      </c>
      <c r="E104" s="20" t="n">
        <v>6505</v>
      </c>
      <c r="F104" s="20" t="n">
        <v>6484</v>
      </c>
      <c r="G104" s="20" t="n">
        <v>6562</v>
      </c>
      <c r="H104" s="20" t="n">
        <v>5086</v>
      </c>
      <c r="I104" s="20" t="n">
        <v>5435</v>
      </c>
      <c r="J104" s="20" t="n">
        <v>5682</v>
      </c>
      <c r="K104" s="20" t="n">
        <v>6423</v>
      </c>
      <c r="L104" s="20" t="n">
        <v>6484</v>
      </c>
    </row>
    <row r="105">
      <c r="A105" s="9" t="inlineStr">
        <is>
          <t>비유동자산 합계</t>
        </is>
      </c>
      <c r="C105" s="12" t="n">
        <v>12575</v>
      </c>
      <c r="D105" s="12" t="n">
        <v>12524</v>
      </c>
      <c r="E105" s="12" t="n">
        <v>12457</v>
      </c>
      <c r="F105" s="12" t="n">
        <v>11874</v>
      </c>
      <c r="G105" s="12" t="n">
        <v>11908</v>
      </c>
      <c r="H105" s="12" t="n">
        <v>8906</v>
      </c>
      <c r="I105" s="12" t="n">
        <v>9143</v>
      </c>
      <c r="J105" s="12" t="n">
        <v>11231</v>
      </c>
      <c r="K105" s="12" t="n">
        <v>12655</v>
      </c>
      <c r="L105" s="12" t="n">
        <v>11874</v>
      </c>
    </row>
    <row r="106">
      <c r="A106" s="9" t="inlineStr">
        <is>
          <t>자산 합계</t>
        </is>
      </c>
      <c r="C106" s="12" t="n">
        <v>144121</v>
      </c>
      <c r="D106" s="12" t="n">
        <v>154925</v>
      </c>
      <c r="E106" s="12" t="n">
        <v>158331</v>
      </c>
      <c r="F106" s="12" t="n">
        <v>162211</v>
      </c>
      <c r="G106" s="12" t="n">
        <v>163594</v>
      </c>
      <c r="H106" s="12" t="n">
        <v>107801</v>
      </c>
      <c r="I106" s="12" t="n">
        <v>143452</v>
      </c>
      <c r="J106" s="12" t="n">
        <v>162567</v>
      </c>
      <c r="K106" s="12" t="n">
        <v>156841</v>
      </c>
      <c r="L106" s="12" t="n">
        <v>162211</v>
      </c>
    </row>
    <row r="107">
      <c r="A107" s="18" t="inlineStr">
        <is>
          <t>매입채무</t>
        </is>
      </c>
      <c r="C107" s="20" t="n">
        <v>17935</v>
      </c>
      <c r="D107" s="20" t="n">
        <v>17787</v>
      </c>
      <c r="E107" s="20" t="n">
        <v>20915</v>
      </c>
      <c r="F107" s="20" t="n">
        <v>23650</v>
      </c>
      <c r="G107" s="20" t="n">
        <v>21769</v>
      </c>
      <c r="H107" s="20" t="n">
        <v>15434</v>
      </c>
      <c r="I107" s="20" t="n">
        <v>20214</v>
      </c>
      <c r="J107" s="20" t="n">
        <v>22690</v>
      </c>
      <c r="K107" s="20" t="n">
        <v>19407</v>
      </c>
      <c r="L107" s="20" t="n">
        <v>23650</v>
      </c>
    </row>
    <row r="108">
      <c r="A108" s="18" t="inlineStr">
        <is>
          <t>단기차입금</t>
        </is>
      </c>
      <c r="C108" s="20" t="n">
        <v>1303</v>
      </c>
      <c r="D108" s="20" t="n">
        <v>5258</v>
      </c>
      <c r="E108" s="20" t="n">
        <v>5825</v>
      </c>
      <c r="F108" s="20" t="n">
        <v>2339</v>
      </c>
      <c r="G108" s="20" t="n">
        <v>5604</v>
      </c>
      <c r="H108" s="20" t="n">
        <v>14521</v>
      </c>
      <c r="I108" s="20" t="n">
        <v>20949</v>
      </c>
      <c r="J108" s="20" t="n">
        <v>22401</v>
      </c>
      <c r="K108" s="20" t="n">
        <v>8200</v>
      </c>
      <c r="L108" s="20" t="n">
        <v>2339</v>
      </c>
    </row>
    <row r="109">
      <c r="A109" s="18" t="inlineStr">
        <is>
          <t>기업어음(CP)</t>
        </is>
      </c>
      <c r="C109" s="20" t="n">
        <v>4000</v>
      </c>
      <c r="D109" s="20" t="n">
        <v>6000</v>
      </c>
      <c r="E109" s="20" t="n">
        <v>4000</v>
      </c>
      <c r="F109" s="20" t="n">
        <v>3000</v>
      </c>
      <c r="G109" s="20" t="n">
        <v>4000</v>
      </c>
      <c r="I109" s="20" t="n">
        <v>0</v>
      </c>
      <c r="J109" s="20" t="n">
        <v>5000</v>
      </c>
      <c r="K109" s="20" t="n">
        <v>7000</v>
      </c>
      <c r="L109" s="20" t="n">
        <v>3000</v>
      </c>
    </row>
    <row r="110">
      <c r="A110" s="18" t="inlineStr">
        <is>
          <t>1년 내 상환 장기차입금</t>
        </is>
      </c>
      <c r="C110" s="20" t="n">
        <v>2700</v>
      </c>
      <c r="D110" s="20" t="n">
        <v>2700</v>
      </c>
      <c r="E110" s="20" t="n">
        <v>9800</v>
      </c>
      <c r="F110" s="20" t="n">
        <v>9000</v>
      </c>
      <c r="G110" s="20" t="n">
        <v>9000</v>
      </c>
      <c r="H110" s="20" t="n">
        <v>4840</v>
      </c>
      <c r="I110" s="20" t="n">
        <v>3</v>
      </c>
      <c r="J110" s="20" t="n">
        <v>7000</v>
      </c>
      <c r="K110" s="20" t="n">
        <v>2700</v>
      </c>
      <c r="L110" s="20" t="n">
        <v>9000</v>
      </c>
    </row>
    <row r="111">
      <c r="A111" s="18" t="inlineStr">
        <is>
          <t>미지급법인세</t>
        </is>
      </c>
      <c r="F111" s="20" t="n">
        <v>2021</v>
      </c>
      <c r="H111" s="20" t="n">
        <v>2105</v>
      </c>
      <c r="I111" s="20" t="n">
        <v>2827</v>
      </c>
      <c r="J111" s="20" t="n">
        <v>1870</v>
      </c>
      <c r="K111" s="20" t="n">
        <v>641</v>
      </c>
      <c r="L111" s="20" t="n">
        <v>2021</v>
      </c>
    </row>
    <row r="112">
      <c r="A112" s="18" t="inlineStr">
        <is>
          <t>선수금</t>
        </is>
      </c>
      <c r="C112" s="20" t="n">
        <v>31555</v>
      </c>
      <c r="D112" s="20" t="n">
        <v>35969</v>
      </c>
      <c r="E112" s="20" t="n">
        <v>37625</v>
      </c>
      <c r="F112" s="20" t="n">
        <v>39202</v>
      </c>
      <c r="G112" s="20" t="n">
        <v>39368</v>
      </c>
      <c r="H112" s="20" t="n">
        <v>14477</v>
      </c>
      <c r="I112" s="20" t="n">
        <v>21082</v>
      </c>
      <c r="J112" s="20" t="n">
        <v>23724</v>
      </c>
      <c r="K112" s="20" t="n">
        <v>29604</v>
      </c>
      <c r="L112" s="20" t="n">
        <v>39202</v>
      </c>
    </row>
    <row r="113">
      <c r="A113" s="18" t="inlineStr">
        <is>
          <t>상여충당금</t>
        </is>
      </c>
      <c r="C113" s="20" t="n">
        <v>716</v>
      </c>
      <c r="D113" s="20" t="n">
        <v>1468</v>
      </c>
      <c r="E113" s="20" t="n">
        <v>1001</v>
      </c>
      <c r="F113" s="20" t="n">
        <v>2284</v>
      </c>
      <c r="G113" s="20" t="n">
        <v>869</v>
      </c>
      <c r="H113" s="20" t="n">
        <v>1786</v>
      </c>
      <c r="I113" s="20" t="n">
        <v>2706</v>
      </c>
      <c r="J113" s="20" t="n">
        <v>2401</v>
      </c>
      <c r="K113" s="20" t="n">
        <v>2106</v>
      </c>
      <c r="L113" s="20" t="n">
        <v>2284</v>
      </c>
    </row>
    <row r="114">
      <c r="A114" s="18" t="inlineStr">
        <is>
          <t>기타</t>
        </is>
      </c>
      <c r="C114" s="20" t="n">
        <v>4805</v>
      </c>
      <c r="D114" s="20" t="n">
        <v>4282</v>
      </c>
      <c r="E114" s="20" t="n">
        <v>5121</v>
      </c>
      <c r="F114" s="20" t="n">
        <v>5523</v>
      </c>
      <c r="G114" s="20" t="n">
        <v>5350</v>
      </c>
      <c r="H114" s="20" t="n">
        <v>3456</v>
      </c>
      <c r="I114" s="20" t="n">
        <v>2811</v>
      </c>
      <c r="J114" s="20" t="n">
        <v>5817</v>
      </c>
      <c r="K114" s="20" t="n">
        <v>4945</v>
      </c>
      <c r="L114" s="20" t="n">
        <v>5523</v>
      </c>
    </row>
    <row r="115">
      <c r="A115" s="9" t="inlineStr">
        <is>
          <t>유동부채 합계</t>
        </is>
      </c>
      <c r="C115" s="12" t="n">
        <v>63017</v>
      </c>
      <c r="D115" s="12" t="n">
        <v>73467</v>
      </c>
      <c r="E115" s="12" t="n">
        <v>84288</v>
      </c>
      <c r="F115" s="12" t="n">
        <v>85000</v>
      </c>
      <c r="G115" s="12" t="n">
        <v>85963</v>
      </c>
      <c r="H115" s="12" t="n">
        <v>56622</v>
      </c>
      <c r="I115" s="12" t="n">
        <v>70595</v>
      </c>
      <c r="J115" s="12" t="n">
        <v>89035</v>
      </c>
      <c r="K115" s="12" t="n">
        <v>74605</v>
      </c>
      <c r="L115" s="12" t="n">
        <v>85000</v>
      </c>
    </row>
    <row r="116">
      <c r="A116" s="18" t="inlineStr">
        <is>
          <t>장기차입금</t>
        </is>
      </c>
      <c r="C116" s="20" t="n">
        <v>24495</v>
      </c>
      <c r="D116" s="20" t="n">
        <v>24347</v>
      </c>
      <c r="E116" s="20" t="n">
        <v>15200</v>
      </c>
      <c r="F116" s="20" t="n">
        <v>15094</v>
      </c>
      <c r="G116" s="20" t="n">
        <v>14926</v>
      </c>
      <c r="H116" s="20" t="n">
        <v>9963</v>
      </c>
      <c r="I116" s="20" t="n">
        <v>24700</v>
      </c>
      <c r="J116" s="20" t="n">
        <v>17700</v>
      </c>
      <c r="K116" s="20" t="n">
        <v>24660</v>
      </c>
      <c r="L116" s="20" t="n">
        <v>15094</v>
      </c>
    </row>
    <row r="117">
      <c r="A117" s="18" t="inlineStr">
        <is>
          <t>퇴직급여부채</t>
        </is>
      </c>
      <c r="C117" s="20" t="n">
        <v>6513</v>
      </c>
      <c r="D117" s="20" t="n">
        <v>6613</v>
      </c>
      <c r="E117" s="20" t="n">
        <v>6566</v>
      </c>
      <c r="F117" s="20" t="n">
        <v>6175</v>
      </c>
      <c r="G117" s="20" t="n">
        <v>6097</v>
      </c>
      <c r="H117" s="20" t="n">
        <v>8166</v>
      </c>
      <c r="I117" s="20" t="n">
        <v>7626</v>
      </c>
      <c r="J117" s="20" t="n">
        <v>7440</v>
      </c>
      <c r="K117" s="20" t="n">
        <v>6591</v>
      </c>
      <c r="L117" s="20" t="n">
        <v>6175</v>
      </c>
    </row>
    <row r="118">
      <c r="A118" s="18" t="inlineStr">
        <is>
          <t>기타</t>
        </is>
      </c>
      <c r="C118" s="20" t="n">
        <v>1998</v>
      </c>
      <c r="D118" s="20" t="n">
        <v>2090</v>
      </c>
      <c r="E118" s="20" t="n">
        <v>2186</v>
      </c>
      <c r="F118" s="20" t="n">
        <v>2184</v>
      </c>
      <c r="G118" s="20" t="n">
        <v>2245</v>
      </c>
      <c r="H118" s="20" t="n">
        <v>1030</v>
      </c>
      <c r="I118" s="20" t="n">
        <v>1533</v>
      </c>
      <c r="J118" s="20" t="n">
        <v>2201</v>
      </c>
      <c r="K118" s="20" t="n">
        <v>1980</v>
      </c>
      <c r="L118" s="20" t="n">
        <v>2184</v>
      </c>
    </row>
    <row r="119">
      <c r="A119" s="9" t="inlineStr">
        <is>
          <t>비유동부채 합계</t>
        </is>
      </c>
      <c r="C119" s="12" t="n">
        <v>33007</v>
      </c>
      <c r="D119" s="12" t="n">
        <v>33051</v>
      </c>
      <c r="E119" s="12" t="n">
        <v>23953</v>
      </c>
      <c r="F119" s="12" t="n">
        <v>23454</v>
      </c>
      <c r="G119" s="12" t="n">
        <v>23268</v>
      </c>
      <c r="H119" s="12" t="n">
        <v>19160</v>
      </c>
      <c r="I119" s="12" t="n">
        <v>33859</v>
      </c>
      <c r="J119" s="12" t="n">
        <v>27341</v>
      </c>
      <c r="K119" s="12" t="n">
        <v>33232</v>
      </c>
      <c r="L119" s="12" t="n">
        <v>23454</v>
      </c>
    </row>
    <row r="120">
      <c r="A120" s="9" t="inlineStr">
        <is>
          <t>부채 합계</t>
        </is>
      </c>
      <c r="C120" s="12" t="n">
        <v>96025</v>
      </c>
      <c r="D120" s="12" t="n">
        <v>106518</v>
      </c>
      <c r="E120" s="12" t="n">
        <v>108241</v>
      </c>
      <c r="F120" s="12" t="n">
        <v>108455</v>
      </c>
      <c r="G120" s="12" t="n">
        <v>109232</v>
      </c>
      <c r="H120" s="12" t="n">
        <v>75783</v>
      </c>
      <c r="I120" s="12" t="n">
        <v>104455</v>
      </c>
      <c r="J120" s="12" t="n">
        <v>116377</v>
      </c>
      <c r="K120" s="12" t="n">
        <v>107837</v>
      </c>
      <c r="L120" s="12" t="n">
        <v>108455</v>
      </c>
    </row>
    <row r="121">
      <c r="A121" s="18" t="inlineStr">
        <is>
          <t>자본금</t>
        </is>
      </c>
      <c r="C121" s="20" t="n">
        <v>2495</v>
      </c>
      <c r="D121" s="20" t="n">
        <v>2495</v>
      </c>
      <c r="E121" s="20" t="n">
        <v>2495</v>
      </c>
      <c r="F121" s="20" t="n">
        <v>2495</v>
      </c>
      <c r="G121" s="20" t="n">
        <v>2495</v>
      </c>
      <c r="H121" s="20" t="n">
        <v>2495</v>
      </c>
      <c r="I121" s="20" t="n">
        <v>2495</v>
      </c>
      <c r="J121" s="20" t="n">
        <v>2495</v>
      </c>
      <c r="K121" s="20" t="n">
        <v>2495</v>
      </c>
      <c r="L121" s="20" t="n">
        <v>2495</v>
      </c>
    </row>
    <row r="122">
      <c r="A122" s="18" t="inlineStr">
        <is>
          <t>자본잉여금</t>
        </is>
      </c>
      <c r="C122" s="20" t="n">
        <v>5684</v>
      </c>
      <c r="D122" s="20" t="n">
        <v>5684</v>
      </c>
      <c r="E122" s="20" t="n">
        <v>5799</v>
      </c>
      <c r="F122" s="20" t="n">
        <v>5799</v>
      </c>
      <c r="G122" s="20" t="n">
        <v>5799</v>
      </c>
      <c r="H122" s="20" t="n">
        <v>5652</v>
      </c>
      <c r="I122" s="20" t="n">
        <v>5652</v>
      </c>
      <c r="J122" s="20" t="n">
        <v>5684</v>
      </c>
      <c r="K122" s="20" t="n">
        <v>5684</v>
      </c>
      <c r="L122" s="20" t="n">
        <v>5799</v>
      </c>
    </row>
    <row r="123">
      <c r="A123" s="18" t="inlineStr">
        <is>
          <t>이익잉여금</t>
        </is>
      </c>
      <c r="C123" s="20" t="n">
        <v>40408</v>
      </c>
      <c r="D123" s="20" t="n">
        <v>41770</v>
      </c>
      <c r="E123" s="20" t="n">
        <v>43124</v>
      </c>
      <c r="F123" s="20" t="n">
        <v>45936</v>
      </c>
      <c r="G123" s="20" t="n">
        <v>46332</v>
      </c>
      <c r="H123" s="20" t="n">
        <v>24262</v>
      </c>
      <c r="I123" s="20" t="n">
        <v>30482</v>
      </c>
      <c r="J123" s="20" t="n">
        <v>36363</v>
      </c>
      <c r="K123" s="20" t="n">
        <v>41289</v>
      </c>
      <c r="L123" s="20" t="n">
        <v>45936</v>
      </c>
    </row>
    <row r="124">
      <c r="A124" s="18" t="inlineStr">
        <is>
          <t>자기주식</t>
        </is>
      </c>
      <c r="C124" s="20" t="n">
        <v>-3688</v>
      </c>
      <c r="D124" s="20" t="n">
        <v>-4874</v>
      </c>
      <c r="E124" s="20" t="n">
        <v>-4748</v>
      </c>
      <c r="F124" s="20" t="n">
        <v>-4642</v>
      </c>
      <c r="G124" s="20" t="n">
        <v>-4529</v>
      </c>
      <c r="H124" s="20" t="n">
        <v>-1947</v>
      </c>
      <c r="I124" s="20" t="n">
        <v>-1813</v>
      </c>
      <c r="J124" s="20" t="n">
        <v>-1674</v>
      </c>
      <c r="K124" s="20" t="n">
        <v>-4056</v>
      </c>
      <c r="L124" s="20" t="n">
        <v>-4642</v>
      </c>
    </row>
    <row r="125">
      <c r="A125" s="9" t="inlineStr">
        <is>
          <t>주주자본 합계</t>
        </is>
      </c>
      <c r="C125" s="12" t="n">
        <v>44900</v>
      </c>
      <c r="D125" s="12" t="n">
        <v>45075</v>
      </c>
      <c r="E125" s="12" t="n">
        <v>46671</v>
      </c>
      <c r="F125" s="12" t="n">
        <v>49589</v>
      </c>
      <c r="G125" s="12" t="n">
        <v>50097</v>
      </c>
      <c r="H125" s="12" t="n">
        <v>30463</v>
      </c>
      <c r="I125" s="12" t="n">
        <v>36816</v>
      </c>
      <c r="J125" s="12" t="n">
        <v>42869</v>
      </c>
      <c r="K125" s="12" t="n">
        <v>45414</v>
      </c>
      <c r="L125" s="12" t="n">
        <v>49589</v>
      </c>
    </row>
    <row r="126">
      <c r="A126" s="18" t="inlineStr">
        <is>
          <t>기타유가증권 평가차액</t>
        </is>
      </c>
      <c r="C126" s="20" t="n">
        <v>32</v>
      </c>
      <c r="D126" s="20" t="n">
        <v>35</v>
      </c>
      <c r="E126" s="20" t="n">
        <v>47</v>
      </c>
      <c r="F126" s="20" t="n">
        <v>40</v>
      </c>
      <c r="G126" s="20" t="n">
        <v>58</v>
      </c>
      <c r="H126" s="20" t="n">
        <v>54</v>
      </c>
      <c r="I126" s="20" t="n">
        <v>82</v>
      </c>
      <c r="J126" s="20" t="n">
        <v>129</v>
      </c>
      <c r="K126" s="20" t="n">
        <v>32</v>
      </c>
      <c r="L126" s="20" t="n">
        <v>40</v>
      </c>
    </row>
    <row r="127">
      <c r="A127" s="18" t="inlineStr">
        <is>
          <t>이연헤지손익</t>
        </is>
      </c>
      <c r="C127" s="20" t="n">
        <v>4</v>
      </c>
      <c r="D127" s="20" t="n">
        <v>-27</v>
      </c>
      <c r="E127" s="20" t="n">
        <v>-54</v>
      </c>
      <c r="F127" s="20" t="n">
        <v>-50</v>
      </c>
      <c r="G127" s="20" t="n">
        <v>-10</v>
      </c>
      <c r="H127" s="20" t="n">
        <v>-155</v>
      </c>
      <c r="I127" s="20" t="n">
        <v>-136</v>
      </c>
      <c r="J127" s="20" t="n">
        <v>124</v>
      </c>
      <c r="K127" s="20" t="n">
        <v>111</v>
      </c>
      <c r="L127" s="20" t="n">
        <v>-50</v>
      </c>
    </row>
    <row r="128">
      <c r="A128" s="18" t="inlineStr">
        <is>
          <t>해외사업환산조정</t>
        </is>
      </c>
      <c r="C128" s="20" t="n">
        <v>1478</v>
      </c>
      <c r="D128" s="20" t="n">
        <v>1670</v>
      </c>
      <c r="E128" s="20" t="n">
        <v>2054</v>
      </c>
      <c r="F128" s="20" t="n">
        <v>2280</v>
      </c>
      <c r="G128" s="20" t="n">
        <v>2392</v>
      </c>
      <c r="H128" s="20" t="n">
        <v>586</v>
      </c>
      <c r="I128" s="20" t="n">
        <v>973</v>
      </c>
      <c r="J128" s="20" t="n">
        <v>1744</v>
      </c>
      <c r="K128" s="20" t="n">
        <v>1745</v>
      </c>
      <c r="L128" s="20" t="n">
        <v>2280</v>
      </c>
    </row>
    <row r="129">
      <c r="A129" s="18" t="inlineStr">
        <is>
          <t>퇴직급여 조정누계액</t>
        </is>
      </c>
      <c r="C129" s="20" t="n">
        <v>523</v>
      </c>
      <c r="D129" s="20" t="n">
        <v>490</v>
      </c>
      <c r="E129" s="20" t="n">
        <v>457</v>
      </c>
      <c r="F129" s="20" t="n">
        <v>971</v>
      </c>
      <c r="G129" s="20" t="n">
        <v>893</v>
      </c>
      <c r="H129" s="20" t="n">
        <v>4</v>
      </c>
      <c r="I129" s="20" t="n">
        <v>111</v>
      </c>
      <c r="J129" s="20" t="n">
        <v>174</v>
      </c>
      <c r="K129" s="20" t="n">
        <v>556</v>
      </c>
      <c r="L129" s="20" t="n">
        <v>971</v>
      </c>
    </row>
    <row r="130">
      <c r="A130" s="18" t="inlineStr">
        <is>
          <t>기타포괄손익누계액 합계</t>
        </is>
      </c>
      <c r="C130" s="20" t="n">
        <v>2039</v>
      </c>
      <c r="D130" s="20" t="n">
        <v>2168</v>
      </c>
      <c r="E130" s="20" t="n">
        <v>2504</v>
      </c>
      <c r="F130" s="20" t="n">
        <v>3241</v>
      </c>
      <c r="G130" s="20" t="n">
        <v>3334</v>
      </c>
      <c r="H130" s="20" t="n">
        <v>489</v>
      </c>
      <c r="I130" s="20" t="n">
        <v>1031</v>
      </c>
      <c r="J130" s="20" t="n">
        <v>2172</v>
      </c>
      <c r="K130" s="20" t="n">
        <v>2446</v>
      </c>
      <c r="L130" s="20" t="n">
        <v>3241</v>
      </c>
    </row>
    <row r="131">
      <c r="A131" s="18" t="inlineStr">
        <is>
          <t>비지배지분</t>
        </is>
      </c>
      <c r="C131" s="20" t="n">
        <v>1156</v>
      </c>
      <c r="D131" s="20" t="n">
        <v>1162</v>
      </c>
      <c r="E131" s="20" t="n">
        <v>912</v>
      </c>
      <c r="F131" s="20" t="n">
        <v>925</v>
      </c>
      <c r="G131" s="20" t="n">
        <v>929</v>
      </c>
      <c r="H131" s="20" t="n">
        <v>1065</v>
      </c>
      <c r="I131" s="20" t="n">
        <v>1148</v>
      </c>
      <c r="J131" s="20" t="n">
        <v>1148</v>
      </c>
      <c r="K131" s="20" t="n">
        <v>1143</v>
      </c>
      <c r="L131" s="20" t="n">
        <v>925</v>
      </c>
    </row>
    <row r="132">
      <c r="A132" s="9" t="inlineStr">
        <is>
          <t>순자산 합계</t>
        </is>
      </c>
      <c r="C132" s="12" t="n">
        <v>48095</v>
      </c>
      <c r="D132" s="12" t="n">
        <v>48406</v>
      </c>
      <c r="E132" s="12" t="n">
        <v>50089</v>
      </c>
      <c r="F132" s="12" t="n">
        <v>53756</v>
      </c>
      <c r="G132" s="12" t="n">
        <v>54361</v>
      </c>
      <c r="H132" s="12" t="n">
        <v>32018</v>
      </c>
      <c r="I132" s="12" t="n">
        <v>38997</v>
      </c>
      <c r="J132" s="12" t="n">
        <v>46190</v>
      </c>
      <c r="K132" s="12" t="n">
        <v>49004</v>
      </c>
      <c r="L132" s="12" t="n">
        <v>53756</v>
      </c>
    </row>
    <row r="133">
      <c r="A133" s="9" t="inlineStr">
        <is>
          <t>부채·순자산 합계</t>
        </is>
      </c>
      <c r="C133" s="12" t="n">
        <v>144121</v>
      </c>
      <c r="D133" s="12" t="n">
        <v>154925</v>
      </c>
      <c r="E133" s="12" t="n">
        <v>158331</v>
      </c>
      <c r="F133" s="12" t="n">
        <v>162211</v>
      </c>
      <c r="G133" s="12" t="n">
        <v>163594</v>
      </c>
      <c r="H133" s="12" t="n">
        <v>107801</v>
      </c>
      <c r="I133" s="12" t="n">
        <v>143452</v>
      </c>
      <c r="J133" s="12" t="n">
        <v>162567</v>
      </c>
      <c r="K133" s="12" t="n">
        <v>156841</v>
      </c>
      <c r="L133" s="12" t="n">
        <v>162211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2026-07-29</t>
        </is>
      </c>
      <c r="B4" t="inlineStr">
        <is>
          <t>2027년 3월 결산기 1분기 결산단신</t>
        </is>
      </c>
      <c r="C4" t="inlineStr">
        <is>
          <t>https://www2.jpx.co.jp/disc/27600/140120260728501090.pdf</t>
        </is>
      </c>
    </row>
    <row r="5">
      <c r="A5" t="inlineStr">
        <is>
          <t>2026-04-27</t>
        </is>
      </c>
      <c r="B5" t="inlineStr">
        <is>
          <t>2026년 3월 결산기 연간 결산단신</t>
        </is>
      </c>
      <c r="C5" t="inlineStr">
        <is>
          <t>https://www2.jpx.co.jp/disc/27600/140120260427511634.pdf</t>
        </is>
      </c>
    </row>
    <row r="6">
      <c r="A6" t="inlineStr">
        <is>
          <t>2026-02-02</t>
        </is>
      </c>
      <c r="B6" t="inlineStr">
        <is>
          <t>2026년 3월 결산기 3분기 결산단신</t>
        </is>
      </c>
      <c r="C6" t="inlineStr">
        <is>
          <t>https://www2.jpx.co.jp/disc/27600/140120260202544463.pdf</t>
        </is>
      </c>
    </row>
    <row r="7">
      <c r="A7" t="inlineStr">
        <is>
          <t>2025-10-29</t>
        </is>
      </c>
      <c r="B7" t="inlineStr">
        <is>
          <t>2026년 3월 결산기 2분기 결산단신</t>
        </is>
      </c>
      <c r="C7" t="inlineStr">
        <is>
          <t>https://www2.jpx.co.jp/disc/27600/140120251029581081.pdf</t>
        </is>
      </c>
    </row>
    <row r="8">
      <c r="A8" t="inlineStr">
        <is>
          <t>2025-07-29</t>
        </is>
      </c>
      <c r="B8" t="inlineStr">
        <is>
          <t>2026년 3월 결산기 1분기 결산단신</t>
        </is>
      </c>
      <c r="C8" t="inlineStr">
        <is>
          <t>https://www2.jpx.co.jp/disc/27600/140120250729522201.pdf</t>
        </is>
      </c>
    </row>
    <row r="9">
      <c r="A9" t="inlineStr">
        <is>
          <t>2025-04-28</t>
        </is>
      </c>
      <c r="B9" t="inlineStr">
        <is>
          <t>2025년 3월 결산기 연간 결산단신</t>
        </is>
      </c>
      <c r="C9" t="inlineStr">
        <is>
          <t>https://www2.jpx.co.jp/disc/27600/140120250428525656.pdf</t>
        </is>
      </c>
    </row>
    <row r="10">
      <c r="A10" t="inlineStr">
        <is>
          <t>2025-01-31</t>
        </is>
      </c>
      <c r="B10" t="inlineStr">
        <is>
          <t>2025년 3월 결산기 3분기 결산단신</t>
        </is>
      </c>
      <c r="C10" t="inlineStr">
        <is>
          <t>https://www2.jpx.co.jp/disc/27600/140120250131559662.pdf</t>
        </is>
      </c>
    </row>
    <row r="11">
      <c r="A11" t="inlineStr">
        <is>
          <t>2024-11-01</t>
        </is>
      </c>
      <c r="B11" t="inlineStr">
        <is>
          <t>2025년 3월 결산기 2분기 결산단신</t>
        </is>
      </c>
      <c r="C11" t="inlineStr">
        <is>
          <t>https://www2.jpx.co.jp/disc/27600/140120241101509315.pdf</t>
        </is>
      </c>
    </row>
    <row r="12">
      <c r="A12" t="inlineStr">
        <is>
          <t>2024-07-31</t>
        </is>
      </c>
      <c r="B12" t="inlineStr">
        <is>
          <t>2025년 3월 결산기 1분기 결산단신</t>
        </is>
      </c>
      <c r="C12" t="inlineStr">
        <is>
          <t>https://www2.jpx.co.jp/disc/27600/140120240731559046.pdf</t>
        </is>
      </c>
    </row>
    <row r="13">
      <c r="A13" t="inlineStr">
        <is>
          <t>2024-04-30</t>
        </is>
      </c>
      <c r="B13" t="inlineStr">
        <is>
          <t>2024년 3월 결산기 연간 결산단신</t>
        </is>
      </c>
      <c r="C13" t="inlineStr">
        <is>
          <t>https://www2.jpx.co.jp/disc/27600/140120240430579664.pdf</t>
        </is>
      </c>
    </row>
    <row r="14">
      <c r="A14" t="inlineStr">
        <is>
          <t>2024-02-02</t>
        </is>
      </c>
      <c r="B14" t="inlineStr">
        <is>
          <t>2024년 3월 결산기 3분기 결산단신</t>
        </is>
      </c>
      <c r="C14" t="inlineStr">
        <is>
          <t>https://www2.jpx.co.jp/disc/27600/140120240201524684.pdf</t>
        </is>
      </c>
    </row>
    <row r="15">
      <c r="A15" t="inlineStr">
        <is>
          <t>2023-10-31</t>
        </is>
      </c>
      <c r="B15" t="inlineStr">
        <is>
          <t>2024년 3월 결산기 2분기 결산단신</t>
        </is>
      </c>
      <c r="C15" t="inlineStr">
        <is>
          <t>https://www2.jpx.co.jp/disc/27600/140120231031575658.pdf</t>
        </is>
      </c>
    </row>
    <row r="16">
      <c r="A16" t="inlineStr">
        <is>
          <t>2023-08-01</t>
        </is>
      </c>
      <c r="B16" t="inlineStr">
        <is>
          <t>2024년 3월 결산기 1분기 결산단신</t>
        </is>
      </c>
      <c r="C16" t="inlineStr">
        <is>
          <t>https://www2.jpx.co.jp/disc/27600/140120230801531832.pdf</t>
        </is>
      </c>
    </row>
    <row r="17">
      <c r="A17" t="inlineStr">
        <is>
          <t>2023-04-27</t>
        </is>
      </c>
      <c r="B17" t="inlineStr">
        <is>
          <t>2023년 3월 결산기 연간 결산단신</t>
        </is>
      </c>
      <c r="C17" t="inlineStr">
        <is>
          <t>https://www2.jpx.co.jp/disc/27600/140120230427555282.pdf</t>
        </is>
      </c>
    </row>
    <row r="18">
      <c r="A18" t="inlineStr">
        <is>
          <t>2023-01-30</t>
        </is>
      </c>
      <c r="B18" t="inlineStr">
        <is>
          <t>2023년 3월 결산기 3분기 결산단신</t>
        </is>
      </c>
      <c r="C18" t="inlineStr">
        <is>
          <t>https://www2.jpx.co.jp/disc/27600/140120230130596089.pdf</t>
        </is>
      </c>
    </row>
    <row r="19">
      <c r="A19" t="inlineStr">
        <is>
          <t>2022-10-28</t>
        </is>
      </c>
      <c r="B19" t="inlineStr">
        <is>
          <t>2023년 3월 결산기 2분기 결산단신</t>
        </is>
      </c>
      <c r="C19" t="inlineStr">
        <is>
          <t>https://www2.jpx.co.jp/disc/27600/140120221028552301.pdf</t>
        </is>
      </c>
    </row>
    <row r="20">
      <c r="A20" t="inlineStr">
        <is>
          <t>2022-04-26</t>
        </is>
      </c>
      <c r="B20" t="inlineStr">
        <is>
          <t>2022년 3월 결산기 연간 결산단신</t>
        </is>
      </c>
      <c r="C20" t="inlineStr">
        <is>
          <t>https://www2.jpx.co.jp/disc/27600/140120220418523326.pdf</t>
        </is>
      </c>
    </row>
    <row r="21">
      <c r="A21" t="inlineStr">
        <is>
          <t>2021-04-27</t>
        </is>
      </c>
      <c r="B21" t="inlineStr">
        <is>
          <t>2021년 3월 결산기 연간 결산단신</t>
        </is>
      </c>
      <c r="C21" t="inlineStr">
        <is>
          <t>https://www2.jpx.co.jp/disc/27600/140120210427401538.pdf</t>
        </is>
      </c>
    </row>
    <row r="22">
      <c r="A22" t="inlineStr">
        <is>
          <t>2020-04-28</t>
        </is>
      </c>
      <c r="B22" t="inlineStr">
        <is>
          <t>2020년 3월 결산기 연간 결산단신</t>
        </is>
      </c>
      <c r="C22" t="inlineStr">
        <is>
          <t>https://www2.jpx.co.jp/disc/27600/140120200428401541.pdf</t>
        </is>
      </c>
    </row>
    <row r="23">
      <c r="A23" t="inlineStr">
        <is>
          <t>2019-04-25</t>
        </is>
      </c>
      <c r="B23" t="inlineStr">
        <is>
          <t>2019년 3월 결산기 연간 결산단신</t>
        </is>
      </c>
      <c r="C23" t="inlineStr">
        <is>
          <t>https://www2.jpx.co.jp/disc/27600/140120190425411108.pdf</t>
        </is>
      </c>
    </row>
    <row r="24">
      <c r="A24" t="inlineStr">
        <is>
          <t>2018-04-24</t>
        </is>
      </c>
      <c r="B24" t="inlineStr">
        <is>
          <t>연간 결산단신</t>
        </is>
      </c>
      <c r="C24" t="inlineStr">
        <is>
          <t>https://www2.jpx.co.jp/disc/27600/140120180423417807.pdf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2026-10-25T11:00:14Z</dcterms:created>
  <dcterms:modified xmlns:dcterms="http://purl.org/dc/terms/" xmlns:xsi="http://www.w3.org/2001/XMLSchema-instance" xsi:type="dcterms:W3CDTF">2026-10-25T11:00:14Z</dcterms:modified>
</cp:coreProperties>
</file>