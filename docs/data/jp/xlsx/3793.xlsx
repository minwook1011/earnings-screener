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7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3793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2745.34</v>
      </c>
      <c r="D4" s="12" t="n">
        <v>2546.089</v>
      </c>
      <c r="E4" s="12" t="n">
        <v>2141.472</v>
      </c>
      <c r="F4" s="12" t="n">
        <v>2122.621</v>
      </c>
      <c r="G4" s="12" t="n">
        <v>1895.451</v>
      </c>
      <c r="H4" s="12" t="n">
        <v>4182.649</v>
      </c>
      <c r="I4" s="12" t="n">
        <v>4454.463</v>
      </c>
      <c r="J4" s="12" t="n">
        <v>4466.913</v>
      </c>
      <c r="K4" s="12" t="n">
        <v>3771.727</v>
      </c>
      <c r="L4" s="12" t="n">
        <v>5062.656</v>
      </c>
      <c r="M4" s="12" t="n">
        <v>4246.482</v>
      </c>
      <c r="N4" s="12" t="n">
        <v>4355.148</v>
      </c>
      <c r="O4" s="11" t="n">
        <v>8388.502</v>
      </c>
      <c r="P4" s="12" t="n">
        <v>13192.635</v>
      </c>
      <c r="Q4" s="12" t="n">
        <v>10720.399</v>
      </c>
      <c r="R4" s="12" t="n">
        <v>10150.166</v>
      </c>
      <c r="S4" s="12" t="n">
        <v>11840.739</v>
      </c>
      <c r="T4" s="12" t="n">
        <v>10528.5</v>
      </c>
      <c r="U4" s="12" t="n">
        <v>10800.257</v>
      </c>
      <c r="V4" s="12" t="n">
        <v>9779.099</v>
      </c>
      <c r="W4" s="12" t="n">
        <v>12655.184</v>
      </c>
      <c r="X4" s="12" t="n">
        <v>17547.778</v>
      </c>
      <c r="Y4" s="11">
        <f>IF(COUNT(Y7,Y10,Y13,Y16)=0,"",SUM(Y7,Y10,Y13,Y16))</f>
        <v/>
      </c>
      <c r="Z4" s="12">
        <f>IF(COUNT(Z7,Z10,Z13,Z16)=0,"",SUM(Z7,Z10,Z13,Z16))</f>
        <v/>
      </c>
      <c r="AA4" s="12">
        <f>IF(COUNT(AA7,AA10,AA13,AA16)=0,"",SUM(AA7,AA10,AA13,AA16))</f>
        <v/>
      </c>
      <c r="AB4" s="12">
        <f>IF(COUNT(AB7,AB10,AB13,AB16)=0,"",SUM(AB7,AB10,AB13,AB16))</f>
        <v/>
      </c>
      <c r="AC4" s="12">
        <f>IF(COUNT(AC7,AC10,AC13,AC16)=0,"",SUM(AC7,AC10,AC13,AC16))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Content Service Reportable Segments</t>
        </is>
      </c>
      <c r="B7" s="10" t="n"/>
      <c r="C7" s="19" t="n"/>
      <c r="D7" s="20" t="n"/>
      <c r="E7" s="20" t="n"/>
      <c r="F7" s="20" t="n">
        <v>2034.614</v>
      </c>
      <c r="G7" s="20" t="n"/>
      <c r="H7" s="20" t="n"/>
      <c r="I7" s="20" t="n"/>
      <c r="J7" s="20" t="n">
        <v>4322.859</v>
      </c>
      <c r="K7" s="20" t="n"/>
      <c r="L7" s="20" t="n"/>
      <c r="M7" s="20" t="n"/>
      <c r="N7" s="20" t="n">
        <v>4145.254</v>
      </c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Contents Service Reportable Segments</t>
        </is>
      </c>
      <c r="B10" s="10" t="n"/>
      <c r="C10" s="19" t="n">
        <v>42.297</v>
      </c>
      <c r="D10" s="20" t="n"/>
      <c r="E10" s="20" t="n"/>
      <c r="F10" s="20" t="n">
        <v>88.006</v>
      </c>
      <c r="G10" s="20" t="n">
        <v>133.601</v>
      </c>
      <c r="H10" s="20" t="n"/>
      <c r="I10" s="20" t="n"/>
      <c r="J10" s="20" t="n">
        <v>144.054</v>
      </c>
      <c r="K10" s="20" t="n">
        <v>163.91</v>
      </c>
      <c r="L10" s="20" t="n"/>
      <c r="M10" s="20" t="n"/>
      <c r="N10" s="20" t="n">
        <v>209.893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429.917</v>
      </c>
      <c r="W10" s="20" t="n">
        <v>734.476</v>
      </c>
      <c r="X10" s="20" t="n">
        <v>760.647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Game Service Reportable Segments</t>
        </is>
      </c>
      <c r="B13" s="10" t="n"/>
      <c r="C13" s="19" t="n"/>
      <c r="D13" s="20" t="n">
        <v>2328.336</v>
      </c>
      <c r="E13" s="20" t="n">
        <v>2048.933</v>
      </c>
      <c r="F13" s="20" t="n"/>
      <c r="G13" s="20" t="n"/>
      <c r="H13" s="20" t="n">
        <v>3879.682</v>
      </c>
      <c r="I13" s="20" t="n">
        <v>4247.927</v>
      </c>
      <c r="J13" s="20" t="n"/>
      <c r="K13" s="20" t="n"/>
      <c r="L13" s="20" t="n">
        <v>4876.762</v>
      </c>
      <c r="M13" s="20" t="n">
        <v>3982.482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9349.181</v>
      </c>
      <c r="W13" s="20" t="n">
        <v>11924.24</v>
      </c>
      <c r="X13" s="20" t="n">
        <v>16796.577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Contens Service Reportable Segments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6" t="inlineStr">
        <is>
          <t>매출원가</t>
        </is>
      </c>
      <c r="B19" s="16" t="n"/>
      <c r="C19" s="17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7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7" t="n"/>
      <c r="Z19" s="16" t="n"/>
      <c r="AA19" s="16" t="n"/>
      <c r="AB19" s="16" t="n"/>
      <c r="AC19" s="16" t="n"/>
    </row>
    <row r="20">
      <c r="A20" s="18" t="inlineStr">
        <is>
          <t>전체 매출원가</t>
        </is>
      </c>
      <c r="B20" s="10" t="n"/>
      <c r="C20" s="19" t="n">
        <v>1599.765</v>
      </c>
      <c r="D20" s="20" t="n">
        <v>1677.428</v>
      </c>
      <c r="E20" s="20" t="n">
        <v>1434.532</v>
      </c>
      <c r="F20" s="20" t="n">
        <v>1498.695</v>
      </c>
      <c r="G20" s="20" t="n">
        <v>1560.56</v>
      </c>
      <c r="H20" s="20" t="n">
        <v>2902.928</v>
      </c>
      <c r="I20" s="20" t="n">
        <v>3215.531</v>
      </c>
      <c r="J20" s="20" t="n">
        <v>3185.395</v>
      </c>
      <c r="K20" s="20" t="n">
        <v>2847.659</v>
      </c>
      <c r="L20" s="20" t="n">
        <v>3216.033</v>
      </c>
      <c r="M20" s="20" t="n">
        <v>2868.859</v>
      </c>
      <c r="N20" s="20" t="n">
        <v>2774.992</v>
      </c>
      <c r="O20" s="19" t="n">
        <v>5332.72</v>
      </c>
      <c r="P20" s="20" t="n">
        <v>10096.962</v>
      </c>
      <c r="Q20" s="20" t="n">
        <v>9286.312</v>
      </c>
      <c r="R20" s="20" t="n">
        <v>7957.907</v>
      </c>
      <c r="S20" s="20" t="n">
        <v>7843.744</v>
      </c>
      <c r="T20" s="20" t="n">
        <v>6731.898</v>
      </c>
      <c r="U20" s="20" t="n">
        <v>6242.019</v>
      </c>
      <c r="V20" s="20" t="n">
        <v>6374.197</v>
      </c>
      <c r="W20" s="20" t="n">
        <v>9177.714</v>
      </c>
      <c r="X20" s="20" t="n">
        <v>12117.946</v>
      </c>
      <c r="Y20" s="19" t="n"/>
      <c r="Z20" s="20" t="n"/>
      <c r="AA20" s="20" t="n"/>
      <c r="AB20" s="20" t="n"/>
      <c r="AC20" s="20" t="n"/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IF(OR(G20="",C20=""),"",IF(C20&lt;=0,"",IFERROR(G20/C20-1,"")))</f>
        <v/>
      </c>
      <c r="H21" s="15">
        <f>IF(OR(H20="",D20=""),"",IF(D20&lt;=0,"",IFERROR(H20/D20-1,"")))</f>
        <v/>
      </c>
      <c r="I21" s="15">
        <f>IF(OR(I20="",E20=""),"",IF(E20&lt;=0,"",IFERROR(I20/E20-1,"")))</f>
        <v/>
      </c>
      <c r="J21" s="15">
        <f>IF(OR(J20="",F20=""),"",IF(F20&lt;=0,"",IFERROR(J20/F20-1,"")))</f>
        <v/>
      </c>
      <c r="K21" s="15">
        <f>IF(OR(K20="",G20=""),"",IF(G20&lt;=0,"",IFERROR(K20/G20-1,"")))</f>
        <v/>
      </c>
      <c r="L21" s="15">
        <f>IF(OR(L20="",H20=""),"",IF(H20&lt;=0,"",IFERROR(L20/H20-1,"")))</f>
        <v/>
      </c>
      <c r="M21" s="15">
        <f>IF(OR(M20="",I20=""),"",IF(I20&lt;=0,"",IFERROR(M20/I20-1,"")))</f>
        <v/>
      </c>
      <c r="N21" s="15">
        <f>IF(OR(N20="",J20=""),"",IF(J20&lt;=0,"",IFERROR(N20/J20-1,"")))</f>
        <v/>
      </c>
      <c r="O21" s="14" t="n"/>
      <c r="P21" s="15">
        <f>IF(OR(P20="",O20=""),"",IF(O20&lt;=0,"",IFERROR(P20/O20-1,"")))</f>
        <v/>
      </c>
      <c r="Q21" s="15">
        <f>IF(OR(Q20="",P20=""),"",IF(P20&lt;=0,"",IFERROR(Q20/P20-1,"")))</f>
        <v/>
      </c>
      <c r="R21" s="15">
        <f>IF(OR(R20="",Q20=""),"",IF(Q20&lt;=0,"",IFERROR(R20/Q20-1,"")))</f>
        <v/>
      </c>
      <c r="S21" s="15">
        <f>IF(OR(S20="",R20=""),"",IF(R20&lt;=0,"",IFERROR(S20/R20-1,"")))</f>
        <v/>
      </c>
      <c r="T21" s="15">
        <f>IF(OR(T20="",S20=""),"",IF(S20&lt;=0,"",IFERROR(T20/S20-1,"")))</f>
        <v/>
      </c>
      <c r="U21" s="15">
        <f>IF(OR(U20="",T20=""),"",IF(T20&lt;=0,"",IFERROR(U20/T20-1,"")))</f>
        <v/>
      </c>
      <c r="V21" s="15">
        <f>IF(OR(V20="",U20=""),"",IF(U20&lt;=0,"",IFERROR(V20/U20-1,"")))</f>
        <v/>
      </c>
      <c r="W21" s="15">
        <f>IF(OR(W20="",V20=""),"",IF(V20&lt;=0,"",IFERROR(W20/V20-1,"")))</f>
        <v/>
      </c>
      <c r="X21" s="15">
        <f>IF(OR(X20="",W20=""),"",IF(W20&lt;=0,"",IFERROR(X20/W20-1,"")))</f>
        <v/>
      </c>
      <c r="Y21" s="14">
        <f>IF(OR(Y20="",X20=""),"",IF(X20&lt;=0,"",IFERROR(Y20/X20-1,"")))</f>
        <v/>
      </c>
      <c r="Z21" s="15">
        <f>IF(OR(Z20="",Y20=""),"",IF(Y20&lt;=0,"",IFERROR(Z20/Y20-1,"")))</f>
        <v/>
      </c>
      <c r="AA21" s="15">
        <f>IF(OR(AA20="",Z20=""),"",IF(Z20&lt;=0,"",IFERROR(AA20/Z20-1,"")))</f>
        <v/>
      </c>
      <c r="AB21" s="15">
        <f>IF(OR(AB20="",AA20=""),"",IF(AA20&lt;=0,"",IFERROR(AB20/AA20-1,"")))</f>
        <v/>
      </c>
      <c r="AC21" s="15">
        <f>IF(OR(AC20="",AB20=""),"",IF(AB20&lt;=0,"",IFERROR(AC20/AB20-1,"")))</f>
        <v/>
      </c>
    </row>
    <row r="22">
      <c r="A22" s="18" t="inlineStr">
        <is>
          <t>매출총이익</t>
        </is>
      </c>
      <c r="B22" s="10" t="n"/>
      <c r="C22" s="19">
        <f>IF(OR(C4="",C20=""),"",IFERROR(C4-C20,""))</f>
        <v/>
      </c>
      <c r="D22" s="20">
        <f>IF(OR(D4="",D20=""),"",IFERROR(D4-D20,""))</f>
        <v/>
      </c>
      <c r="E22" s="20">
        <f>IF(OR(E4="",E20=""),"",IFERROR(E4-E20,""))</f>
        <v/>
      </c>
      <c r="F22" s="20">
        <f>IF(OR(F4="",F20=""),"",IFERROR(F4-F20,""))</f>
        <v/>
      </c>
      <c r="G22" s="20">
        <f>IF(OR(G4="",G20=""),"",IFERROR(G4-G20,""))</f>
        <v/>
      </c>
      <c r="H22" s="20">
        <f>IF(OR(H4="",H20=""),"",IFERROR(H4-H20,""))</f>
        <v/>
      </c>
      <c r="I22" s="20">
        <f>IF(OR(I4="",I20=""),"",IFERROR(I4-I20,""))</f>
        <v/>
      </c>
      <c r="J22" s="20">
        <f>IF(OR(J4="",J20=""),"",IFERROR(J4-J20,""))</f>
        <v/>
      </c>
      <c r="K22" s="20">
        <f>IF(OR(K4="",K20=""),"",IFERROR(K4-K20,""))</f>
        <v/>
      </c>
      <c r="L22" s="20">
        <f>IF(OR(L4="",L20=""),"",IFERROR(L4-L20,""))</f>
        <v/>
      </c>
      <c r="M22" s="20">
        <f>IF(OR(M4="",M20=""),"",IFERROR(M4-M20,""))</f>
        <v/>
      </c>
      <c r="N22" s="20">
        <f>IF(OR(N4="",N20=""),"",IFERROR(N4-N20,""))</f>
        <v/>
      </c>
      <c r="O22" s="19">
        <f>IF(OR(O4="",O20=""),"",IFERROR(O4-O20,""))</f>
        <v/>
      </c>
      <c r="P22" s="20">
        <f>IF(OR(P4="",P20=""),"",IFERROR(P4-P20,""))</f>
        <v/>
      </c>
      <c r="Q22" s="20">
        <f>IF(OR(Q4="",Q20=""),"",IFERROR(Q4-Q20,""))</f>
        <v/>
      </c>
      <c r="R22" s="20">
        <f>IF(OR(R4="",R20=""),"",IFERROR(R4-R20,""))</f>
        <v/>
      </c>
      <c r="S22" s="20">
        <f>IF(OR(S4="",S20=""),"",IFERROR(S4-S20,""))</f>
        <v/>
      </c>
      <c r="T22" s="20">
        <f>IF(OR(T4="",T20=""),"",IFERROR(T4-T20,""))</f>
        <v/>
      </c>
      <c r="U22" s="20">
        <f>IF(OR(U4="",U20=""),"",IFERROR(U4-U20,""))</f>
        <v/>
      </c>
      <c r="V22" s="20">
        <f>IF(OR(V4="",V20=""),"",IFERROR(V4-V20,""))</f>
        <v/>
      </c>
      <c r="W22" s="20">
        <f>IF(OR(W4="",W20=""),"",IFERROR(W4-W20,""))</f>
        <v/>
      </c>
      <c r="X22" s="20">
        <f>IF(OR(X4="",X20=""),"",IFERROR(X4-X20,""))</f>
        <v/>
      </c>
      <c r="Y22" s="19" t="n"/>
      <c r="Z22" s="20" t="n"/>
      <c r="AA22" s="20" t="n"/>
      <c r="AB22" s="20" t="n"/>
      <c r="AC22" s="20" t="n"/>
    </row>
    <row r="23">
      <c r="A23" s="13" t="inlineStr">
        <is>
          <t>GPM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IF(OR(G22="",C22=""),"",IF(C22&lt;=0,"",IFERROR(G22/C22-1,"")))</f>
        <v/>
      </c>
      <c r="H24" s="15">
        <f>IF(OR(H22="",D22=""),"",IF(D22&lt;=0,"",IFERROR(H22/D22-1,"")))</f>
        <v/>
      </c>
      <c r="I24" s="15">
        <f>IF(OR(I22="",E22=""),"",IF(E22&lt;=0,"",IFERROR(I22/E22-1,"")))</f>
        <v/>
      </c>
      <c r="J24" s="15">
        <f>IF(OR(J22="",F22=""),"",IF(F22&lt;=0,"",IFERROR(J22/F22-1,"")))</f>
        <v/>
      </c>
      <c r="K24" s="15">
        <f>IF(OR(K22="",G22=""),"",IF(G22&lt;=0,"",IFERROR(K22/G22-1,"")))</f>
        <v/>
      </c>
      <c r="L24" s="15">
        <f>IF(OR(L22="",H22=""),"",IF(H22&lt;=0,"",IFERROR(L22/H22-1,"")))</f>
        <v/>
      </c>
      <c r="M24" s="15">
        <f>IF(OR(M22="",I22=""),"",IF(I22&lt;=0,"",IFERROR(M22/I22-1,"")))</f>
        <v/>
      </c>
      <c r="N24" s="15">
        <f>IF(OR(N22="",J22=""),"",IF(J22&lt;=0,"",IFERROR(N22/J22-1,"")))</f>
        <v/>
      </c>
      <c r="O24" s="14" t="n"/>
      <c r="P24" s="15">
        <f>IF(OR(P22="",O22=""),"",IF(O22&lt;=0,"",IFERROR(P22/O22-1,"")))</f>
        <v/>
      </c>
      <c r="Q24" s="15">
        <f>IF(OR(Q22="",P22=""),"",IF(P22&lt;=0,"",IFERROR(Q22/P22-1,"")))</f>
        <v/>
      </c>
      <c r="R24" s="15">
        <f>IF(OR(R22="",Q22=""),"",IF(Q22&lt;=0,"",IFERROR(R22/Q22-1,"")))</f>
        <v/>
      </c>
      <c r="S24" s="15">
        <f>IF(OR(S22="",R22=""),"",IF(R22&lt;=0,"",IFERROR(S22/R22-1,"")))</f>
        <v/>
      </c>
      <c r="T24" s="15">
        <f>IF(OR(T22="",S22=""),"",IF(S22&lt;=0,"",IFERROR(T22/S22-1,"")))</f>
        <v/>
      </c>
      <c r="U24" s="15">
        <f>IF(OR(U22="",T22=""),"",IF(T22&lt;=0,"",IFERROR(U22/T22-1,"")))</f>
        <v/>
      </c>
      <c r="V24" s="15">
        <f>IF(OR(V22="",U22=""),"",IF(U22&lt;=0,"",IFERROR(V22/U22-1,"")))</f>
        <v/>
      </c>
      <c r="W24" s="15">
        <f>IF(OR(W22="",V22=""),"",IF(V22&lt;=0,"",IFERROR(W22/V22-1,"")))</f>
        <v/>
      </c>
      <c r="X24" s="15">
        <f>IF(OR(X22="",W22=""),"",IF(W22&lt;=0,"",IFERROR(X22/W22-1,"")))</f>
        <v/>
      </c>
      <c r="Y24" s="14">
        <f>IF(OR(Y22="",X22=""),"",IF(X22&lt;=0,"",IFERROR(Y22/X22-1,"")))</f>
        <v/>
      </c>
      <c r="Z24" s="15">
        <f>IF(OR(Z22="",Y22=""),"",IF(Y22&lt;=0,"",IFERROR(Z22/Y22-1,"")))</f>
        <v/>
      </c>
      <c r="AA24" s="15">
        <f>IF(OR(AA22="",Z22=""),"",IF(Z22&lt;=0,"",IFERROR(AA22/Z22-1,"")))</f>
        <v/>
      </c>
      <c r="AB24" s="15">
        <f>IF(OR(AB22="",AA22=""),"",IF(AA22&lt;=0,"",IFERROR(AB22/AA22-1,"")))</f>
        <v/>
      </c>
      <c r="AC24" s="15">
        <f>IF(OR(AC22="",AB22=""),"",IF(AB22&lt;=0,"",IFERROR(AC22/AB22-1,"")))</f>
        <v/>
      </c>
    </row>
    <row r="25">
      <c r="A25" s="23" t="inlineStr">
        <is>
          <t>판매관리비</t>
        </is>
      </c>
      <c r="B25" s="23" t="n"/>
      <c r="C25" s="24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4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4" t="n"/>
      <c r="Z25" s="23" t="n"/>
      <c r="AA25" s="23" t="n"/>
      <c r="AB25" s="23" t="n"/>
      <c r="AC25" s="23" t="n"/>
    </row>
    <row r="26">
      <c r="A26" s="18" t="inlineStr">
        <is>
          <t>전체 판관비</t>
        </is>
      </c>
      <c r="B26" s="10" t="n"/>
      <c r="C26" s="19" t="n">
        <v>681.782</v>
      </c>
      <c r="D26" s="20" t="n">
        <v>551.5410000000001</v>
      </c>
      <c r="E26" s="20" t="n">
        <v>593.302</v>
      </c>
      <c r="F26" s="20" t="n">
        <v>691.712</v>
      </c>
      <c r="G26" s="20" t="n">
        <v>582.278</v>
      </c>
      <c r="H26" s="20" t="n">
        <v>991.54</v>
      </c>
      <c r="I26" s="20" t="n">
        <v>1099.931</v>
      </c>
      <c r="J26" s="20" t="n">
        <v>1363.241</v>
      </c>
      <c r="K26" s="20" t="n">
        <v>1417.184</v>
      </c>
      <c r="L26" s="20" t="n">
        <v>1174.899</v>
      </c>
      <c r="M26" s="20" t="n">
        <v>1065.79</v>
      </c>
      <c r="N26" s="20" t="n">
        <v>1057.292</v>
      </c>
      <c r="O26" s="19" t="n">
        <v>2123.66</v>
      </c>
      <c r="P26" s="20" t="n">
        <v>2905.083</v>
      </c>
      <c r="Q26" s="20" t="n">
        <v>2011.545</v>
      </c>
      <c r="R26" s="20" t="n">
        <v>1575.186</v>
      </c>
      <c r="S26" s="20" t="n">
        <v>1944.128</v>
      </c>
      <c r="T26" s="20" t="n">
        <v>2205.491</v>
      </c>
      <c r="U26" s="20" t="n">
        <v>2276.882</v>
      </c>
      <c r="V26" s="20" t="n">
        <v>2501.863</v>
      </c>
      <c r="W26" s="20" t="n">
        <v>3365.461</v>
      </c>
      <c r="X26" s="20" t="n">
        <v>5021.114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463.793</v>
      </c>
      <c r="D28" s="12" t="n">
        <v>317.119</v>
      </c>
      <c r="E28" s="12" t="n">
        <v>113.639</v>
      </c>
      <c r="F28" s="12" t="n">
        <v>-67.786</v>
      </c>
      <c r="G28" s="12" t="n">
        <v>-247.387</v>
      </c>
      <c r="H28" s="12" t="n">
        <v>288.181</v>
      </c>
      <c r="I28" s="12" t="n">
        <v>139</v>
      </c>
      <c r="J28" s="12" t="n">
        <v>-81.723</v>
      </c>
      <c r="K28" s="12" t="n">
        <v>-493.116</v>
      </c>
      <c r="L28" s="12" t="n">
        <v>671.723</v>
      </c>
      <c r="M28" s="12" t="n">
        <v>311.833</v>
      </c>
      <c r="N28" s="12" t="n">
        <v>522.862</v>
      </c>
      <c r="O28" s="11" t="n">
        <v>932.121</v>
      </c>
      <c r="P28" s="12" t="n">
        <v>190.589</v>
      </c>
      <c r="Q28" s="12" t="n">
        <v>-577.458</v>
      </c>
      <c r="R28" s="12" t="n">
        <v>617.072</v>
      </c>
      <c r="S28" s="12" t="n">
        <v>2052.865</v>
      </c>
      <c r="T28" s="12" t="n">
        <v>1591.111</v>
      </c>
      <c r="U28" s="12" t="n">
        <v>2281.354</v>
      </c>
      <c r="V28" s="12" t="n">
        <v>903.038</v>
      </c>
      <c r="W28" s="12" t="n">
        <v>112.008</v>
      </c>
      <c r="X28" s="12" t="n">
        <v>408.717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IF(O26="","",O26)</f>
        <v/>
      </c>
      <c r="P32" s="12">
        <f>IF(P26="","",P26)</f>
        <v/>
      </c>
      <c r="Q32" s="12">
        <f>IF(Q26="","",Q26)</f>
        <v/>
      </c>
      <c r="R32" s="12">
        <f>IF(R26="","",R26)</f>
        <v/>
      </c>
      <c r="S32" s="12">
        <f>IF(S26="","",S26)</f>
        <v/>
      </c>
      <c r="T32" s="12">
        <f>IF(T26="","",T26)</f>
        <v/>
      </c>
      <c r="U32" s="12">
        <f>IF(U26="","",U26)</f>
        <v/>
      </c>
      <c r="V32" s="12">
        <f>IF(V26="","",V26)</f>
        <v/>
      </c>
      <c r="W32" s="12">
        <f>IF(W26="","",W26)</f>
        <v/>
      </c>
      <c r="X32" s="12">
        <f>IF(X26="","",X26)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>
        <v>132.949</v>
      </c>
      <c r="P37" s="20" t="n">
        <v>112.459</v>
      </c>
      <c r="Q37" s="20" t="n">
        <v>103.777</v>
      </c>
      <c r="R37" s="20" t="n">
        <v>78.34999999999999</v>
      </c>
      <c r="S37" s="20" t="n">
        <v>103.697</v>
      </c>
      <c r="T37" s="20" t="n">
        <v>113.793</v>
      </c>
      <c r="U37" s="20" t="n">
        <v>120.582</v>
      </c>
      <c r="V37" s="20" t="n">
        <v>151.096</v>
      </c>
      <c r="W37" s="20" t="n">
        <v>165.902</v>
      </c>
      <c r="X37" s="20" t="n">
        <v>157.428</v>
      </c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>
        <v>215.259</v>
      </c>
      <c r="P39" s="20" t="n">
        <v>139.231</v>
      </c>
      <c r="Q39" s="20" t="n">
        <v>190.891</v>
      </c>
      <c r="R39" s="20" t="n">
        <v>165.785</v>
      </c>
      <c r="S39" s="20" t="n">
        <v>366.142</v>
      </c>
      <c r="T39" s="20" t="n">
        <v>345.24</v>
      </c>
      <c r="U39" s="20" t="n">
        <v>354.539</v>
      </c>
      <c r="V39" s="20" t="n">
        <v>396.002</v>
      </c>
      <c r="W39" s="20" t="n">
        <v>204.734</v>
      </c>
      <c r="X39" s="20" t="n">
        <v>90.908</v>
      </c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/>
      <c r="D44" s="20" t="n"/>
      <c r="E44" s="20" t="n"/>
      <c r="F44" s="20" t="n"/>
      <c r="G44" s="20" t="n"/>
      <c r="H44" s="20" t="n"/>
      <c r="I44" s="20" t="n">
        <v>0</v>
      </c>
      <c r="J44" s="20" t="n"/>
      <c r="K44" s="20" t="n"/>
      <c r="L44" s="20" t="n"/>
      <c r="M44" s="20" t="n">
        <v>2582.999</v>
      </c>
      <c r="N44" s="20" t="n"/>
      <c r="O44" s="19" t="n">
        <v>240</v>
      </c>
      <c r="P44" s="20" t="n">
        <v>0</v>
      </c>
      <c r="Q44" s="20" t="n">
        <v>128.814</v>
      </c>
      <c r="R44" s="20" t="n">
        <v>692.804</v>
      </c>
      <c r="S44" s="20" t="n">
        <v>0</v>
      </c>
      <c r="T44" s="20" t="n">
        <v>4.195</v>
      </c>
      <c r="U44" s="20" t="n">
        <v>0</v>
      </c>
      <c r="V44" s="20" t="n"/>
      <c r="W44" s="20" t="n">
        <v>0</v>
      </c>
      <c r="X44" s="20" t="n">
        <v>2585.514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>
        <v>192.857</v>
      </c>
      <c r="D46" s="20" t="n">
        <v>0</v>
      </c>
      <c r="E46" s="20" t="n">
        <v>137.049</v>
      </c>
      <c r="F46" s="20" t="n">
        <v>0</v>
      </c>
      <c r="G46" s="20" t="n">
        <v>601.886</v>
      </c>
      <c r="H46" s="20" t="n">
        <v>0</v>
      </c>
      <c r="I46" s="20" t="n">
        <v>569.92</v>
      </c>
      <c r="J46" s="20" t="n">
        <v>1563.462</v>
      </c>
      <c r="K46" s="20" t="n">
        <v>0</v>
      </c>
      <c r="L46" s="20" t="n">
        <v>0</v>
      </c>
      <c r="M46" s="20" t="n">
        <v>488.396</v>
      </c>
      <c r="N46" s="20" t="n">
        <v>0</v>
      </c>
      <c r="O46" s="19" t="n">
        <v>0</v>
      </c>
      <c r="P46" s="20" t="n">
        <v>112</v>
      </c>
      <c r="Q46" s="20" t="n">
        <v>450.784</v>
      </c>
      <c r="R46" s="20" t="n">
        <v>610.0170000000001</v>
      </c>
      <c r="S46" s="20" t="n">
        <v>0</v>
      </c>
      <c r="T46" s="20" t="n">
        <v>381.399</v>
      </c>
      <c r="U46" s="20" t="n">
        <v>386.259</v>
      </c>
      <c r="V46" s="20" t="n">
        <v>746.234</v>
      </c>
      <c r="W46" s="20" t="n">
        <v>1171.806</v>
      </c>
      <c r="X46" s="20" t="n">
        <v>2051.858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-1.711</v>
      </c>
      <c r="D48" s="20" t="n">
        <v>0.147</v>
      </c>
      <c r="E48" s="20" t="n">
        <v>-1.673</v>
      </c>
      <c r="F48" s="20" t="n">
        <v>0.04</v>
      </c>
      <c r="G48" s="20" t="n">
        <v>2.912</v>
      </c>
      <c r="H48" s="20" t="n">
        <v>10.443</v>
      </c>
      <c r="I48" s="20" t="n">
        <v>16.671</v>
      </c>
      <c r="J48" s="20" t="n">
        <v>0.534</v>
      </c>
      <c r="K48" s="20" t="n">
        <v>4.707</v>
      </c>
      <c r="L48" s="20" t="n">
        <v>1.151</v>
      </c>
      <c r="M48" s="20" t="n">
        <v>40.692</v>
      </c>
      <c r="N48" s="20" t="n">
        <v>8.262</v>
      </c>
      <c r="O48" s="19" t="n">
        <v>29.329</v>
      </c>
      <c r="P48" s="20" t="n">
        <v>14.582</v>
      </c>
      <c r="Q48" s="20" t="n">
        <v>10.428</v>
      </c>
      <c r="R48" s="20" t="n">
        <v>101.074</v>
      </c>
      <c r="S48" s="20" t="n">
        <v>37.712</v>
      </c>
      <c r="T48" s="20" t="n">
        <v>1.02</v>
      </c>
      <c r="U48" s="20" t="n">
        <v>5.059</v>
      </c>
      <c r="V48" s="20" t="n">
        <v>3.164</v>
      </c>
      <c r="W48" s="20" t="n">
        <v>30.066</v>
      </c>
      <c r="X48" s="20" t="n">
        <v>47.084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10.826</v>
      </c>
      <c r="D50" s="20" t="n">
        <v>41.641</v>
      </c>
      <c r="E50" s="20" t="n">
        <v>48.005</v>
      </c>
      <c r="F50" s="20" t="n">
        <v>20.706</v>
      </c>
      <c r="G50" s="20" t="n">
        <v>21.358</v>
      </c>
      <c r="H50" s="20" t="n">
        <v>22.929</v>
      </c>
      <c r="I50" s="20" t="n">
        <v>23.775</v>
      </c>
      <c r="J50" s="20" t="n">
        <v>26.416</v>
      </c>
      <c r="K50" s="20" t="n">
        <v>20.851</v>
      </c>
      <c r="L50" s="20" t="n">
        <v>15.778</v>
      </c>
      <c r="M50" s="20" t="n">
        <v>73.846</v>
      </c>
      <c r="N50" s="20" t="n">
        <v>18.929</v>
      </c>
      <c r="O50" s="19" t="n">
        <v>117.059</v>
      </c>
      <c r="P50" s="20" t="n">
        <v>234.289</v>
      </c>
      <c r="Q50" s="20" t="n">
        <v>782.333</v>
      </c>
      <c r="R50" s="20" t="n">
        <v>82.25700000000001</v>
      </c>
      <c r="S50" s="20" t="n">
        <v>71.34699999999999</v>
      </c>
      <c r="T50" s="20" t="n">
        <v>50.359</v>
      </c>
      <c r="U50" s="20" t="n">
        <v>93.895</v>
      </c>
      <c r="V50" s="20" t="n">
        <v>113.032</v>
      </c>
      <c r="W50" s="20" t="n">
        <v>88.768</v>
      </c>
      <c r="X50" s="20" t="n">
        <v>136.891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258.398</v>
      </c>
      <c r="D52" s="12" t="n">
        <v>275.625</v>
      </c>
      <c r="E52" s="12" t="n">
        <v>-73.08799999999999</v>
      </c>
      <c r="F52" s="12" t="n">
        <v>-88.452</v>
      </c>
      <c r="G52" s="12" t="n">
        <v>-867.72</v>
      </c>
      <c r="H52" s="12" t="n">
        <v>275.695</v>
      </c>
      <c r="I52" s="12" t="n">
        <v>-438.023</v>
      </c>
      <c r="J52" s="12" t="n">
        <v>-1671.067</v>
      </c>
      <c r="K52" s="12" t="n">
        <v>-509.26</v>
      </c>
      <c r="L52" s="12" t="n">
        <v>659.612</v>
      </c>
      <c r="M52" s="12" t="n">
        <v>2373.282</v>
      </c>
      <c r="N52" s="12" t="n">
        <v>512.1950000000001</v>
      </c>
      <c r="O52" s="11" t="n">
        <v>1084.391</v>
      </c>
      <c r="P52" s="12" t="n">
        <v>-141.118</v>
      </c>
      <c r="Q52" s="12" t="n">
        <v>-1671.334</v>
      </c>
      <c r="R52" s="12" t="n">
        <v>718.677</v>
      </c>
      <c r="S52" s="12" t="n">
        <v>2019.231</v>
      </c>
      <c r="T52" s="12" t="n">
        <v>1164.568</v>
      </c>
      <c r="U52" s="12" t="n">
        <v>1806.259</v>
      </c>
      <c r="V52" s="12" t="n">
        <v>46.936</v>
      </c>
      <c r="W52" s="12" t="n">
        <v>-1118.5</v>
      </c>
      <c r="X52" s="12" t="n">
        <v>852.567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3" t="inlineStr">
        <is>
          <t>YoY</t>
        </is>
      </c>
      <c r="B53" s="10" t="n"/>
      <c r="C53" s="14" t="n"/>
      <c r="D53" s="15" t="n"/>
      <c r="E53" s="15" t="n"/>
      <c r="F53" s="15" t="n"/>
      <c r="G53" s="15">
        <f>IF(OR(G52="",C52=""),"",IF(C52&lt;=0,"",IFERROR(G52/C52-1,"")))</f>
        <v/>
      </c>
      <c r="H53" s="15">
        <f>IF(OR(H52="",D52=""),"",IF(D52&lt;=0,"",IFERROR(H52/D52-1,"")))</f>
        <v/>
      </c>
      <c r="I53" s="15">
        <f>IF(OR(I52="",E52=""),"",IF(E52&lt;=0,"",IFERROR(I52/E52-1,"")))</f>
        <v/>
      </c>
      <c r="J53" s="15">
        <f>IF(OR(J52="",F52=""),"",IF(F52&lt;=0,"",IFERROR(J52/F52-1,"")))</f>
        <v/>
      </c>
      <c r="K53" s="15">
        <f>IF(OR(K52="",G52=""),"",IF(G52&lt;=0,"",IFERROR(K52/G52-1,"")))</f>
        <v/>
      </c>
      <c r="L53" s="15">
        <f>IF(OR(L52="",H52=""),"",IF(H52&lt;=0,"",IFERROR(L52/H52-1,"")))</f>
        <v/>
      </c>
      <c r="M53" s="15">
        <f>IF(OR(M52="",I52=""),"",IF(I52&lt;=0,"",IFERROR(M52/I52-1,"")))</f>
        <v/>
      </c>
      <c r="N53" s="15">
        <f>IF(OR(N52="",J52=""),"",IF(J52&lt;=0,"",IFERROR(N52/J52-1,"")))</f>
        <v/>
      </c>
      <c r="O53" s="14" t="n"/>
      <c r="P53" s="15">
        <f>IF(OR(P52="",O52=""),"",IF(O52&lt;=0,"",IFERROR(P52/O52-1,"")))</f>
        <v/>
      </c>
      <c r="Q53" s="15">
        <f>IF(OR(Q52="",P52=""),"",IF(P52&lt;=0,"",IFERROR(Q52/P52-1,"")))</f>
        <v/>
      </c>
      <c r="R53" s="15">
        <f>IF(OR(R52="",Q52=""),"",IF(Q52&lt;=0,"",IFERROR(R52/Q52-1,"")))</f>
        <v/>
      </c>
      <c r="S53" s="15">
        <f>IF(OR(S52="",R52=""),"",IF(R52&lt;=0,"",IFERROR(S52/R52-1,"")))</f>
        <v/>
      </c>
      <c r="T53" s="15">
        <f>IF(OR(T52="",S52=""),"",IF(S52&lt;=0,"",IFERROR(T52/S52-1,"")))</f>
        <v/>
      </c>
      <c r="U53" s="15">
        <f>IF(OR(U52="",T52=""),"",IF(T52&lt;=0,"",IFERROR(U52/T52-1,"")))</f>
        <v/>
      </c>
      <c r="V53" s="15">
        <f>IF(OR(V52="",U52=""),"",IF(U52&lt;=0,"",IFERROR(V52/U52-1,"")))</f>
        <v/>
      </c>
      <c r="W53" s="15">
        <f>IF(OR(W52="",V52=""),"",IF(V52&lt;=0,"",IFERROR(W52/V52-1,"")))</f>
        <v/>
      </c>
      <c r="X53" s="15">
        <f>IF(OR(X52="",W52=""),"",IF(W52&lt;=0,"",IFERROR(X52/W52-1,"")))</f>
        <v/>
      </c>
      <c r="Y53" s="14">
        <f>IF(OR(Y52="",X52=""),"",IF(X52&lt;=0,"",IFERROR(Y52/X52-1,"")))</f>
        <v/>
      </c>
      <c r="Z53" s="15">
        <f>IF(OR(Z52="",Y52=""),"",IF(Y52&lt;=0,"",IFERROR(Z52/Y52-1,"")))</f>
        <v/>
      </c>
      <c r="AA53" s="15">
        <f>IF(OR(AA52="",Z52=""),"",IF(Z52&lt;=0,"",IFERROR(AA52/Z52-1,"")))</f>
        <v/>
      </c>
      <c r="AB53" s="15">
        <f>IF(OR(AB52="",AA52=""),"",IF(AA52&lt;=0,"",IFERROR(AB52/AA52-1,"")))</f>
        <v/>
      </c>
      <c r="AC53" s="15">
        <f>IF(OR(AC52="",AB52=""),"",IF(AB52&lt;=0,"",IFERROR(AC52/AB52-1,"")))</f>
        <v/>
      </c>
    </row>
    <row r="54">
      <c r="A54" s="18" t="inlineStr">
        <is>
          <t>법인세비용(수익)</t>
        </is>
      </c>
      <c r="B54" s="10" t="n"/>
      <c r="C54" s="19" t="n">
        <v>-14.915</v>
      </c>
      <c r="D54" s="20" t="n">
        <v>8.182</v>
      </c>
      <c r="E54" s="20" t="n">
        <v>-80.303</v>
      </c>
      <c r="F54" s="20" t="n">
        <v>64.53</v>
      </c>
      <c r="G54" s="20" t="n">
        <v>0.234</v>
      </c>
      <c r="H54" s="20" t="n">
        <v>77.184</v>
      </c>
      <c r="I54" s="20" t="n">
        <v>-226.767</v>
      </c>
      <c r="J54" s="20" t="n">
        <v>127.279</v>
      </c>
      <c r="K54" s="20" t="n">
        <v>53.862</v>
      </c>
      <c r="L54" s="20" t="n">
        <v>38.265</v>
      </c>
      <c r="M54" s="20" t="n">
        <v>418.011</v>
      </c>
      <c r="N54" s="20" t="n">
        <v>188.393</v>
      </c>
      <c r="O54" s="19" t="n">
        <v>274.46</v>
      </c>
      <c r="P54" s="20" t="n">
        <v>59.005</v>
      </c>
      <c r="Q54" s="20" t="n">
        <v>45.93</v>
      </c>
      <c r="R54" s="20" t="n">
        <v>5.276</v>
      </c>
      <c r="S54" s="20" t="n">
        <v>392.804</v>
      </c>
      <c r="T54" s="20" t="n">
        <v>355.692</v>
      </c>
      <c r="U54" s="20" t="n">
        <v>644.824</v>
      </c>
      <c r="V54" s="20" t="n">
        <v>-60.056</v>
      </c>
      <c r="W54" s="20" t="n">
        <v>-84.819</v>
      </c>
      <c r="X54" s="20" t="n">
        <v>637.417</v>
      </c>
      <c r="Y54" s="19">
        <f>IF(OR(Y52="",Y55=""),"",IFERROR(MAX(Y52,0)*Y55,""))</f>
        <v/>
      </c>
      <c r="Z54" s="20">
        <f>IF(OR(Z52="",Z55=""),"",IFERROR(MAX(Z52,0)*Z55,""))</f>
        <v/>
      </c>
      <c r="AA54" s="20">
        <f>IF(OR(AA52="",AA55=""),"",IFERROR(MAX(AA52,0)*AA55,""))</f>
        <v/>
      </c>
      <c r="AB54" s="20">
        <f>IF(OR(AB52="",AB55=""),"",IFERROR(MAX(AB52,0)*AB55,""))</f>
        <v/>
      </c>
      <c r="AC54" s="20">
        <f>IF(OR(AC52="",AC55=""),"",IFERROR(MAX(AC52,0)*AC55,""))</f>
        <v/>
      </c>
    </row>
    <row r="55">
      <c r="A55" s="13" t="inlineStr">
        <is>
          <t>법인세율</t>
        </is>
      </c>
      <c r="B55" s="10" t="inlineStr">
        <is>
          <t>MW 기본 30%</t>
        </is>
      </c>
      <c r="C55" s="14">
        <f>IF(OR(C54="",C52=""),"",IFERROR(C54/C52,""))</f>
        <v/>
      </c>
      <c r="D55" s="15">
        <f>IF(OR(D54="",D52=""),"",IFERROR(D54/D52,""))</f>
        <v/>
      </c>
      <c r="E55" s="15">
        <f>IF(OR(E54="",E52=""),"",IFERROR(E54/E52,""))</f>
        <v/>
      </c>
      <c r="F55" s="15">
        <f>IF(OR(F54="",F52=""),"",IFERROR(F54/F52,""))</f>
        <v/>
      </c>
      <c r="G55" s="15">
        <f>IF(OR(G54="",G52=""),"",IFERROR(G54/G52,""))</f>
        <v/>
      </c>
      <c r="H55" s="15">
        <f>IF(OR(H54="",H52=""),"",IFERROR(H54/H52,""))</f>
        <v/>
      </c>
      <c r="I55" s="15">
        <f>IF(OR(I54="",I52=""),"",IFERROR(I54/I52,""))</f>
        <v/>
      </c>
      <c r="J55" s="15">
        <f>IF(OR(J54="",J52=""),"",IFERROR(J54/J52,""))</f>
        <v/>
      </c>
      <c r="K55" s="15">
        <f>IF(OR(K54="",K52=""),"",IFERROR(K54/K52,""))</f>
        <v/>
      </c>
      <c r="L55" s="15">
        <f>IF(OR(L54="",L52=""),"",IFERROR(L54/L52,""))</f>
        <v/>
      </c>
      <c r="M55" s="15">
        <f>IF(OR(M54="",M52=""),"",IFERROR(M54/M52,""))</f>
        <v/>
      </c>
      <c r="N55" s="15">
        <f>IF(OR(N54="",N52=""),"",IFERROR(N54/N52,""))</f>
        <v/>
      </c>
      <c r="O55" s="14">
        <f>IF(OR(O54="",O52=""),"",IFERROR(O54/O52,""))</f>
        <v/>
      </c>
      <c r="P55" s="15">
        <f>IF(OR(P54="",P52=""),"",IFERROR(P54/P52,""))</f>
        <v/>
      </c>
      <c r="Q55" s="15">
        <f>IF(OR(Q54="",Q52=""),"",IFERROR(Q54/Q52,""))</f>
        <v/>
      </c>
      <c r="R55" s="15">
        <f>IF(OR(R54="",R52=""),"",IFERROR(R54/R52,""))</f>
        <v/>
      </c>
      <c r="S55" s="15">
        <f>IF(OR(S54="",S52=""),"",IFERROR(S54/S52,""))</f>
        <v/>
      </c>
      <c r="T55" s="15">
        <f>IF(OR(T54="",T52=""),"",IFERROR(T54/T52,""))</f>
        <v/>
      </c>
      <c r="U55" s="15">
        <f>IF(OR(U54="",U52=""),"",IFERROR(U54/U52,""))</f>
        <v/>
      </c>
      <c r="V55" s="15">
        <f>IF(OR(V54="",V52=""),"",IFERROR(V54/V52,""))</f>
        <v/>
      </c>
      <c r="W55" s="15">
        <f>IF(OR(W54="",W52=""),"",IFERROR(W54/W52,""))</f>
        <v/>
      </c>
      <c r="X55" s="15">
        <f>IF(OR(X54="",X52=""),"",IFERROR(X54/X52,""))</f>
        <v/>
      </c>
      <c r="Y55" s="25" t="n">
        <v>0.3</v>
      </c>
      <c r="Z55" s="26" t="n">
        <v>0.3</v>
      </c>
      <c r="AA55" s="26" t="n">
        <v>0.3</v>
      </c>
      <c r="AB55" s="26" t="n">
        <v>0.3</v>
      </c>
      <c r="AC55" s="26" t="n">
        <v>0.3</v>
      </c>
    </row>
    <row r="56">
      <c r="A56" s="9" t="inlineStr">
        <is>
          <t>당기순이익(손실)</t>
        </is>
      </c>
      <c r="B56" s="10" t="n"/>
      <c r="C56" s="11" t="n">
        <v>273.314</v>
      </c>
      <c r="D56" s="12" t="n">
        <v>267.443</v>
      </c>
      <c r="E56" s="12" t="n">
        <v>7.215</v>
      </c>
      <c r="F56" s="12" t="n">
        <v>-152.983</v>
      </c>
      <c r="G56" s="12" t="n">
        <v>-867.954</v>
      </c>
      <c r="H56" s="12" t="n">
        <v>198.511</v>
      </c>
      <c r="I56" s="12" t="n">
        <v>-211.255</v>
      </c>
      <c r="J56" s="12" t="n">
        <v>-1798.346</v>
      </c>
      <c r="K56" s="12" t="n">
        <v>-563.123</v>
      </c>
      <c r="L56" s="12" t="n">
        <v>621.348</v>
      </c>
      <c r="M56" s="12" t="n">
        <v>1955.27</v>
      </c>
      <c r="N56" s="12" t="n">
        <v>323.802</v>
      </c>
      <c r="O56" s="11" t="n">
        <v>809.931</v>
      </c>
      <c r="P56" s="12" t="n">
        <v>-200.123</v>
      </c>
      <c r="Q56" s="12" t="n">
        <v>-1717.265</v>
      </c>
      <c r="R56" s="12" t="n">
        <v>713.4</v>
      </c>
      <c r="S56" s="12" t="n">
        <v>1626.426</v>
      </c>
      <c r="T56" s="12" t="n">
        <v>808.876</v>
      </c>
      <c r="U56" s="12" t="n">
        <v>1161.435</v>
      </c>
      <c r="V56" s="12" t="n">
        <v>106.992</v>
      </c>
      <c r="W56" s="12" t="n">
        <v>-1033.681</v>
      </c>
      <c r="X56" s="12" t="n">
        <v>215.149</v>
      </c>
      <c r="Y56" s="11">
        <f>IF(OR(Y52=""),"",IFERROR(Y52-Y54,""))</f>
        <v/>
      </c>
      <c r="Z56" s="12">
        <f>IF(OR(Z52=""),"",IFERROR(Z52-Z54,""))</f>
        <v/>
      </c>
      <c r="AA56" s="12">
        <f>IF(OR(AA52=""),"",IFERROR(AA52-AA54,""))</f>
        <v/>
      </c>
      <c r="AB56" s="12">
        <f>IF(OR(AB52=""),"",IFERROR(AB52-AB54,""))</f>
        <v/>
      </c>
      <c r="AC56" s="12">
        <f>IF(OR(AC52=""),"",IFERROR(AC52-AC54,""))</f>
        <v/>
      </c>
    </row>
    <row r="57">
      <c r="A57" s="13" t="inlineStr">
        <is>
          <t>YoY</t>
        </is>
      </c>
      <c r="B57" s="10" t="n"/>
      <c r="C57" s="14" t="n"/>
      <c r="D57" s="15" t="n"/>
      <c r="E57" s="15" t="n"/>
      <c r="F57" s="15" t="n"/>
      <c r="G57" s="15">
        <f>IF(OR(G56="",C56=""),"",IF(C56&lt;=0,"",IFERROR(G56/C56-1,"")))</f>
        <v/>
      </c>
      <c r="H57" s="15">
        <f>IF(OR(H56="",D56=""),"",IF(D56&lt;=0,"",IFERROR(H56/D56-1,"")))</f>
        <v/>
      </c>
      <c r="I57" s="15">
        <f>IF(OR(I56="",E56=""),"",IF(E56&lt;=0,"",IFERROR(I56/E56-1,"")))</f>
        <v/>
      </c>
      <c r="J57" s="15">
        <f>IF(OR(J56="",F56=""),"",IF(F56&lt;=0,"",IFERROR(J56/F56-1,"")))</f>
        <v/>
      </c>
      <c r="K57" s="15">
        <f>IF(OR(K56="",G56=""),"",IF(G56&lt;=0,"",IFERROR(K56/G56-1,"")))</f>
        <v/>
      </c>
      <c r="L57" s="15">
        <f>IF(OR(L56="",H56=""),"",IF(H56&lt;=0,"",IFERROR(L56/H56-1,"")))</f>
        <v/>
      </c>
      <c r="M57" s="15">
        <f>IF(OR(M56="",I56=""),"",IF(I56&lt;=0,"",IFERROR(M56/I56-1,"")))</f>
        <v/>
      </c>
      <c r="N57" s="15">
        <f>IF(OR(N56="",J56=""),"",IF(J56&lt;=0,"",IFERROR(N56/J56-1,"")))</f>
        <v/>
      </c>
      <c r="O57" s="14" t="n"/>
      <c r="P57" s="15">
        <f>IF(OR(P56="",O56=""),"",IF(O56&lt;=0,"",IFERROR(P56/O56-1,"")))</f>
        <v/>
      </c>
      <c r="Q57" s="15">
        <f>IF(OR(Q56="",P56=""),"",IF(P56&lt;=0,"",IFERROR(Q56/P56-1,"")))</f>
        <v/>
      </c>
      <c r="R57" s="15">
        <f>IF(OR(R56="",Q56=""),"",IF(Q56&lt;=0,"",IFERROR(R56/Q56-1,"")))</f>
        <v/>
      </c>
      <c r="S57" s="15">
        <f>IF(OR(S56="",R56=""),"",IF(R56&lt;=0,"",IFERROR(S56/R56-1,"")))</f>
        <v/>
      </c>
      <c r="T57" s="15">
        <f>IF(OR(T56="",S56=""),"",IF(S56&lt;=0,"",IFERROR(T56/S56-1,"")))</f>
        <v/>
      </c>
      <c r="U57" s="15">
        <f>IF(OR(U56="",T56=""),"",IF(T56&lt;=0,"",IFERROR(U56/T56-1,"")))</f>
        <v/>
      </c>
      <c r="V57" s="15">
        <f>IF(OR(V56="",U56=""),"",IF(U56&lt;=0,"",IFERROR(V56/U56-1,"")))</f>
        <v/>
      </c>
      <c r="W57" s="15">
        <f>IF(OR(W56="",V56=""),"",IF(V56&lt;=0,"",IFERROR(W56/V56-1,"")))</f>
        <v/>
      </c>
      <c r="X57" s="15">
        <f>IF(OR(X56="",W56=""),"",IF(W56&lt;=0,"",IFERROR(X56/W56-1,"")))</f>
        <v/>
      </c>
      <c r="Y57" s="14">
        <f>IF(OR(Y56="",X56=""),"",IF(X56&lt;=0,"",IFERROR(Y56/X56-1,"")))</f>
        <v/>
      </c>
      <c r="Z57" s="15">
        <f>IF(OR(Z56="",Y56=""),"",IF(Y56&lt;=0,"",IFERROR(Z56/Y56-1,"")))</f>
        <v/>
      </c>
      <c r="AA57" s="15">
        <f>IF(OR(AA56="",Z56=""),"",IF(Z56&lt;=0,"",IFERROR(AA56/Z56-1,"")))</f>
        <v/>
      </c>
      <c r="AB57" s="15">
        <f>IF(OR(AB56="",AA56=""),"",IF(AA56&lt;=0,"",IFERROR(AB56/AA56-1,"")))</f>
        <v/>
      </c>
      <c r="AC57" s="15">
        <f>IF(OR(AC56="",AB56=""),"",IF(AB56&lt;=0,"",IFERROR(AC56/AB56-1,"")))</f>
        <v/>
      </c>
    </row>
    <row r="58">
      <c r="A58" s="9" t="inlineStr">
        <is>
          <t>지배주주 순이익</t>
        </is>
      </c>
      <c r="B58" s="10" t="n"/>
      <c r="C58" s="11" t="n">
        <v>272.444</v>
      </c>
      <c r="D58" s="12" t="n">
        <v>266.756</v>
      </c>
      <c r="E58" s="12" t="n">
        <v>6.658</v>
      </c>
      <c r="F58" s="12" t="n">
        <v>-153.628</v>
      </c>
      <c r="G58" s="12" t="n">
        <v>-868.4</v>
      </c>
      <c r="H58" s="12" t="n">
        <v>198.102</v>
      </c>
      <c r="I58" s="12" t="n">
        <v>-211.643</v>
      </c>
      <c r="J58" s="12" t="n">
        <v>-1799.068</v>
      </c>
      <c r="K58" s="12" t="n">
        <v>-563.327</v>
      </c>
      <c r="L58" s="12" t="n">
        <v>621.045</v>
      </c>
      <c r="M58" s="12" t="n">
        <v>1955.019</v>
      </c>
      <c r="N58" s="12" t="n">
        <v>323.33</v>
      </c>
      <c r="O58" s="11" t="n">
        <v>814.575</v>
      </c>
      <c r="P58" s="12" t="n">
        <v>-204.002</v>
      </c>
      <c r="Q58" s="12" t="n">
        <v>-1712.709</v>
      </c>
      <c r="R58" s="12" t="n">
        <v>711.468</v>
      </c>
      <c r="S58" s="12" t="n">
        <v>1624.683</v>
      </c>
      <c r="T58" s="12" t="n">
        <v>807.301</v>
      </c>
      <c r="U58" s="12" t="n">
        <v>1159.125</v>
      </c>
      <c r="V58" s="12" t="n">
        <v>104.051</v>
      </c>
      <c r="W58" s="12" t="n">
        <v>-1035.569</v>
      </c>
      <c r="X58" s="12" t="n">
        <v>213.669</v>
      </c>
      <c r="Y58" s="11">
        <f>IF(OR(Y56="",Y59=""),"",IFERROR(Y56*Y59,""))</f>
        <v/>
      </c>
      <c r="Z58" s="12">
        <f>IF(OR(Z56="",Z59=""),"",IFERROR(Z56*Z59,""))</f>
        <v/>
      </c>
      <c r="AA58" s="12">
        <f>IF(OR(AA56="",AA59=""),"",IFERROR(AA56*AA59,""))</f>
        <v/>
      </c>
      <c r="AB58" s="12">
        <f>IF(OR(AB56="",AB59=""),"",IFERROR(AB56*AB59,""))</f>
        <v/>
      </c>
      <c r="AC58" s="12">
        <f>IF(OR(AC56="",AC59=""),"",IFERROR(AC56*AC59,""))</f>
        <v/>
      </c>
    </row>
    <row r="59">
      <c r="A59" s="13" t="inlineStr">
        <is>
          <t>지배주주 순이익률</t>
        </is>
      </c>
      <c r="B59" s="10" t="inlineStr">
        <is>
          <t>MW 기본 100%</t>
        </is>
      </c>
      <c r="C59" s="14">
        <f>IF(OR(C58="",C56=""),"",IFERROR(C58/C56,""))</f>
        <v/>
      </c>
      <c r="D59" s="15">
        <f>IF(OR(D58="",D56=""),"",IFERROR(D58/D56,""))</f>
        <v/>
      </c>
      <c r="E59" s="15">
        <f>IF(OR(E58="",E56=""),"",IFERROR(E58/E56,""))</f>
        <v/>
      </c>
      <c r="F59" s="15">
        <f>IF(OR(F58="",F56=""),"",IFERROR(F58/F56,""))</f>
        <v/>
      </c>
      <c r="G59" s="15">
        <f>IF(OR(G58="",G56=""),"",IFERROR(G58/G56,""))</f>
        <v/>
      </c>
      <c r="H59" s="15">
        <f>IF(OR(H58="",H56=""),"",IFERROR(H58/H56,""))</f>
        <v/>
      </c>
      <c r="I59" s="15">
        <f>IF(OR(I58="",I56=""),"",IFERROR(I58/I56,""))</f>
        <v/>
      </c>
      <c r="J59" s="15">
        <f>IF(OR(J58="",J56=""),"",IFERROR(J58/J56,""))</f>
        <v/>
      </c>
      <c r="K59" s="15">
        <f>IF(OR(K58="",K56=""),"",IFERROR(K58/K56,""))</f>
        <v/>
      </c>
      <c r="L59" s="15">
        <f>IF(OR(L58="",L56=""),"",IFERROR(L58/L56,""))</f>
        <v/>
      </c>
      <c r="M59" s="15">
        <f>IF(OR(M58="",M56=""),"",IFERROR(M58/M56,""))</f>
        <v/>
      </c>
      <c r="N59" s="15">
        <f>IF(OR(N58="",N56=""),"",IFERROR(N58/N56,""))</f>
        <v/>
      </c>
      <c r="O59" s="14">
        <f>IF(OR(O58="",O56=""),"",IFERROR(O58/O56,""))</f>
        <v/>
      </c>
      <c r="P59" s="15">
        <f>IF(OR(P58="",P56=""),"",IFERROR(P58/P56,""))</f>
        <v/>
      </c>
      <c r="Q59" s="15">
        <f>IF(OR(Q58="",Q56=""),"",IFERROR(Q58/Q56,""))</f>
        <v/>
      </c>
      <c r="R59" s="15">
        <f>IF(OR(R58="",R56=""),"",IFERROR(R58/R56,""))</f>
        <v/>
      </c>
      <c r="S59" s="15">
        <f>IF(OR(S58="",S56=""),"",IFERROR(S58/S56,""))</f>
        <v/>
      </c>
      <c r="T59" s="15">
        <f>IF(OR(T58="",T56=""),"",IFERROR(T58/T56,""))</f>
        <v/>
      </c>
      <c r="U59" s="15">
        <f>IF(OR(U58="",U56=""),"",IFERROR(U58/U56,""))</f>
        <v/>
      </c>
      <c r="V59" s="15">
        <f>IF(OR(V58="",V56=""),"",IFERROR(V58/V56,""))</f>
        <v/>
      </c>
      <c r="W59" s="15">
        <f>IF(OR(W58="",W56=""),"",IFERROR(W58/W56,""))</f>
        <v/>
      </c>
      <c r="X59" s="15">
        <f>IF(OR(X58="",X56=""),"",IFERROR(X58/X56,""))</f>
        <v/>
      </c>
      <c r="Y59" s="25" t="n">
        <v>1</v>
      </c>
      <c r="Z59" s="26" t="n">
        <v>1</v>
      </c>
      <c r="AA59" s="26" t="n">
        <v>1</v>
      </c>
      <c r="AB59" s="26" t="n">
        <v>1</v>
      </c>
      <c r="AC59" s="26" t="n">
        <v>1</v>
      </c>
    </row>
    <row r="60">
      <c r="A60" s="13" t="inlineStr">
        <is>
          <t>지배주주 순이익 YoY</t>
        </is>
      </c>
      <c r="B60" s="10" t="n"/>
      <c r="C60" s="14" t="n"/>
      <c r="D60" s="15" t="n"/>
      <c r="E60" s="15" t="n"/>
      <c r="F60" s="15" t="n"/>
      <c r="G60" s="15">
        <f>IF(OR(G58="",C58=""),"",IF(C58&lt;=0,"",IFERROR(G58/C58-1,"")))</f>
        <v/>
      </c>
      <c r="H60" s="15">
        <f>IF(OR(H58="",D58=""),"",IF(D58&lt;=0,"",IFERROR(H58/D58-1,"")))</f>
        <v/>
      </c>
      <c r="I60" s="15">
        <f>IF(OR(I58="",E58=""),"",IF(E58&lt;=0,"",IFERROR(I58/E58-1,"")))</f>
        <v/>
      </c>
      <c r="J60" s="15">
        <f>IF(OR(J58="",F58=""),"",IF(F58&lt;=0,"",IFERROR(J58/F58-1,"")))</f>
        <v/>
      </c>
      <c r="K60" s="15">
        <f>IF(OR(K58="",G58=""),"",IF(G58&lt;=0,"",IFERROR(K58/G58-1,"")))</f>
        <v/>
      </c>
      <c r="L60" s="15">
        <f>IF(OR(L58="",H58=""),"",IF(H58&lt;=0,"",IFERROR(L58/H58-1,"")))</f>
        <v/>
      </c>
      <c r="M60" s="15">
        <f>IF(OR(M58="",I58=""),"",IF(I58&lt;=0,"",IFERROR(M58/I58-1,"")))</f>
        <v/>
      </c>
      <c r="N60" s="15">
        <f>IF(OR(N58="",J58=""),"",IF(J58&lt;=0,"",IFERROR(N58/J58-1,"")))</f>
        <v/>
      </c>
      <c r="O60" s="14" t="n"/>
      <c r="P60" s="15">
        <f>IF(OR(P58="",O58=""),"",IF(O58&lt;=0,"",IFERROR(P58/O58-1,"")))</f>
        <v/>
      </c>
      <c r="Q60" s="15">
        <f>IF(OR(Q58="",P58=""),"",IF(P58&lt;=0,"",IFERROR(Q58/P58-1,"")))</f>
        <v/>
      </c>
      <c r="R60" s="15">
        <f>IF(OR(R58="",Q58=""),"",IF(Q58&lt;=0,"",IFERROR(R58/Q58-1,"")))</f>
        <v/>
      </c>
      <c r="S60" s="15">
        <f>IF(OR(S58="",R58=""),"",IF(R58&lt;=0,"",IFERROR(S58/R58-1,"")))</f>
        <v/>
      </c>
      <c r="T60" s="15">
        <f>IF(OR(T58="",S58=""),"",IF(S58&lt;=0,"",IFERROR(T58/S58-1,"")))</f>
        <v/>
      </c>
      <c r="U60" s="15">
        <f>IF(OR(U58="",T58=""),"",IF(T58&lt;=0,"",IFERROR(U58/T58-1,"")))</f>
        <v/>
      </c>
      <c r="V60" s="15">
        <f>IF(OR(V58="",U58=""),"",IF(U58&lt;=0,"",IFERROR(V58/U58-1,"")))</f>
        <v/>
      </c>
      <c r="W60" s="15">
        <f>IF(OR(W58="",V58=""),"",IF(V58&lt;=0,"",IFERROR(W58/V58-1,"")))</f>
        <v/>
      </c>
      <c r="X60" s="15">
        <f>IF(OR(X58="",W58=""),"",IF(W58&lt;=0,"",IFERROR(X58/W58-1,"")))</f>
        <v/>
      </c>
      <c r="Y60" s="14">
        <f>IF(OR(Y58="",X58=""),"",IF(X58&lt;=0,"",IFERROR(Y58/X58-1,"")))</f>
        <v/>
      </c>
      <c r="Z60" s="15">
        <f>IF(OR(Z58="",Y58=""),"",IF(Y58&lt;=0,"",IFERROR(Z58/Y58-1,"")))</f>
        <v/>
      </c>
      <c r="AA60" s="15">
        <f>IF(OR(AA58="",Z58=""),"",IF(Z58&lt;=0,"",IFERROR(AA58/Z58-1,"")))</f>
        <v/>
      </c>
      <c r="AB60" s="15">
        <f>IF(OR(AB58="",AA58=""),"",IF(AA58&lt;=0,"",IFERROR(AB58/AA58-1,"")))</f>
        <v/>
      </c>
      <c r="AC60" s="15">
        <f>IF(OR(AC58="",AB58=""),"",IF(AB58&lt;=0,"",IFERROR(AC58/AB58-1,"")))</f>
        <v/>
      </c>
    </row>
    <row r="61">
      <c r="A61" s="16" t="inlineStr">
        <is>
          <t>목표주가 산출</t>
        </is>
      </c>
      <c r="B61" s="16" t="n"/>
      <c r="C61" s="17" t="n"/>
      <c r="D61" s="16" t="n"/>
      <c r="E61" s="16" t="n"/>
      <c r="F61" s="16" t="n"/>
      <c r="G61" s="16" t="n"/>
      <c r="H61" s="16" t="n"/>
      <c r="I61" s="16" t="n"/>
      <c r="J61" s="16" t="n"/>
      <c r="K61" s="16" t="n"/>
      <c r="L61" s="16" t="n"/>
      <c r="M61" s="16" t="n"/>
      <c r="N61" s="16" t="n"/>
      <c r="O61" s="17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7" t="n"/>
      <c r="Z61" s="16" t="n"/>
      <c r="AA61" s="16" t="n"/>
      <c r="AB61" s="16" t="n"/>
      <c r="AC61" s="16" t="n"/>
    </row>
    <row r="62">
      <c r="A62" s="18" t="inlineStr">
        <is>
          <t>현재 주가 (2026.10.28)</t>
        </is>
      </c>
      <c r="B62" s="27" t="n">
        <v>502</v>
      </c>
      <c r="C62" s="28" t="n"/>
      <c r="D62" s="29" t="n"/>
      <c r="E62" s="29" t="n"/>
      <c r="F62" s="29" t="n"/>
      <c r="G62" s="29" t="n"/>
      <c r="H62" s="29" t="n"/>
      <c r="I62" s="29" t="n"/>
      <c r="J62" s="29" t="n"/>
      <c r="K62" s="29" t="n"/>
      <c r="L62" s="29" t="n"/>
      <c r="M62" s="29" t="n"/>
      <c r="N62" s="29" t="n"/>
      <c r="O62" s="28" t="n"/>
      <c r="P62" s="29" t="n"/>
      <c r="Q62" s="29" t="n"/>
      <c r="R62" s="29" t="n"/>
      <c r="S62" s="29" t="n"/>
      <c r="T62" s="29" t="n"/>
      <c r="U62" s="29" t="n"/>
      <c r="V62" s="29" t="n"/>
      <c r="W62" s="29" t="n"/>
      <c r="X62" s="29" t="n"/>
      <c r="Y62" s="28" t="n"/>
      <c r="Z62" s="29" t="n"/>
      <c r="AA62" s="29" t="n"/>
      <c r="AB62" s="29" t="n"/>
      <c r="AC62" s="29" t="n"/>
    </row>
    <row r="63">
      <c r="A63" s="18" t="inlineStr">
        <is>
          <t>발행주식수 (보통주)</t>
        </is>
      </c>
      <c r="B63" s="27" t="n">
        <v>29446212</v>
      </c>
      <c r="C63" s="28" t="n"/>
      <c r="D63" s="29" t="n"/>
      <c r="E63" s="29" t="n"/>
      <c r="F63" s="29" t="n"/>
      <c r="G63" s="29" t="n"/>
      <c r="H63" s="29" t="n"/>
      <c r="I63" s="29" t="n"/>
      <c r="J63" s="29" t="n"/>
      <c r="K63" s="29" t="n"/>
      <c r="L63" s="29" t="n"/>
      <c r="M63" s="29" t="n"/>
      <c r="N63" s="29" t="n"/>
      <c r="O63" s="28" t="n"/>
      <c r="P63" s="29" t="n"/>
      <c r="Q63" s="29" t="n"/>
      <c r="R63" s="29" t="n"/>
      <c r="S63" s="29" t="n"/>
      <c r="T63" s="29" t="n"/>
      <c r="U63" s="29" t="n"/>
      <c r="V63" s="29" t="n"/>
      <c r="W63" s="29" t="n"/>
      <c r="X63" s="29" t="n"/>
      <c r="Y63" s="28" t="n"/>
      <c r="Z63" s="29" t="n"/>
      <c r="AA63" s="29" t="n"/>
      <c r="AB63" s="29" t="n"/>
      <c r="AC63" s="29" t="n"/>
    </row>
    <row r="64">
      <c r="A64" s="18" t="inlineStr">
        <is>
          <t>시가총액 (백만엔)</t>
        </is>
      </c>
      <c r="B64" s="12">
        <f>IF(OR(B62="",B63=""),"",B62*B63/1000000.0)</f>
        <v/>
      </c>
      <c r="C64" s="19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19" t="n"/>
      <c r="P64" s="20" t="n"/>
      <c r="Q64" s="20" t="n"/>
      <c r="R64" s="20" t="n"/>
      <c r="S64" s="20" t="n"/>
      <c r="T64" s="20" t="n"/>
      <c r="U64" s="20" t="n"/>
      <c r="V64" s="20" t="n"/>
      <c r="W64" s="20" t="n"/>
      <c r="X64" s="20" t="n"/>
      <c r="Y64" s="19" t="n"/>
      <c r="Z64" s="20" t="n"/>
      <c r="AA64" s="20" t="n"/>
      <c r="AB64" s="20" t="n"/>
      <c r="AC64" s="20" t="n"/>
    </row>
    <row r="65">
      <c r="A65" s="13" t="inlineStr">
        <is>
          <t>OPM</t>
        </is>
      </c>
      <c r="B65" s="10" t="n"/>
      <c r="C65" s="14" t="n"/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4">
        <f>IF(O29="","",O29)</f>
        <v/>
      </c>
      <c r="P65" s="15">
        <f>IF(P29="","",P29)</f>
        <v/>
      </c>
      <c r="Q65" s="15">
        <f>IF(Q29="","",Q29)</f>
        <v/>
      </c>
      <c r="R65" s="15">
        <f>IF(R29="","",R29)</f>
        <v/>
      </c>
      <c r="S65" s="15">
        <f>IF(S29="","",S29)</f>
        <v/>
      </c>
      <c r="T65" s="15">
        <f>IF(T29="","",T29)</f>
        <v/>
      </c>
      <c r="U65" s="15">
        <f>IF(U29="","",U29)</f>
        <v/>
      </c>
      <c r="V65" s="15">
        <f>IF(V29="","",V29)</f>
        <v/>
      </c>
      <c r="W65" s="15">
        <f>IF(W29="","",W29)</f>
        <v/>
      </c>
      <c r="X65" s="15">
        <f>IF(X29="","",X29)</f>
        <v/>
      </c>
      <c r="Y65" s="14">
        <f>IF(Y29="","",Y29)</f>
        <v/>
      </c>
      <c r="Z65" s="15">
        <f>IF(Z29="","",Z29)</f>
        <v/>
      </c>
      <c r="AA65" s="15">
        <f>IF(AA29="","",AA29)</f>
        <v/>
      </c>
      <c r="AB65" s="15">
        <f>IF(AB29="","",AB29)</f>
        <v/>
      </c>
      <c r="AC65" s="15">
        <f>IF(AC29="","",AC29)</f>
        <v/>
      </c>
    </row>
    <row r="66">
      <c r="A66" s="13" t="inlineStr">
        <is>
          <t>지배주주 순이익 증가율</t>
        </is>
      </c>
      <c r="B66" s="10" t="n"/>
      <c r="C66" s="14" t="n"/>
      <c r="D66" s="15" t="n"/>
      <c r="E66" s="15" t="n"/>
      <c r="F66" s="15" t="n"/>
      <c r="G66" s="15" t="n"/>
      <c r="H66" s="15" t="n"/>
      <c r="I66" s="15" t="n"/>
      <c r="J66" s="15" t="n"/>
      <c r="K66" s="15" t="n"/>
      <c r="L66" s="15" t="n"/>
      <c r="M66" s="15" t="n"/>
      <c r="N66" s="15" t="n"/>
      <c r="O66" s="14" t="n"/>
      <c r="P66" s="15">
        <f>IF(OR(P58="",O58=""),"",IFERROR(P58/O58-1,""))</f>
        <v/>
      </c>
      <c r="Q66" s="15">
        <f>IF(OR(Q58="",P58=""),"",IFERROR(Q58/P58-1,""))</f>
        <v/>
      </c>
      <c r="R66" s="15">
        <f>IF(OR(R58="",Q58=""),"",IFERROR(R58/Q58-1,""))</f>
        <v/>
      </c>
      <c r="S66" s="15">
        <f>IF(OR(S58="",R58=""),"",IFERROR(S58/R58-1,""))</f>
        <v/>
      </c>
      <c r="T66" s="15">
        <f>IF(OR(T58="",S58=""),"",IFERROR(T58/S58-1,""))</f>
        <v/>
      </c>
      <c r="U66" s="15">
        <f>IF(OR(U58="",T58=""),"",IFERROR(U58/T58-1,""))</f>
        <v/>
      </c>
      <c r="V66" s="15">
        <f>IF(OR(V58="",U58=""),"",IFERROR(V58/U58-1,""))</f>
        <v/>
      </c>
      <c r="W66" s="15">
        <f>IF(OR(W58="",V58=""),"",IFERROR(W58/V58-1,""))</f>
        <v/>
      </c>
      <c r="X66" s="15">
        <f>IF(OR(X58="",W58=""),"",IFERROR(X58/W58-1,""))</f>
        <v/>
      </c>
      <c r="Y66" s="14">
        <f>IF(OR(Y58="",X58=""),"",IFERROR(Y58/X58-1,""))</f>
        <v/>
      </c>
      <c r="Z66" s="15">
        <f>IF(OR(Z58="",Y58=""),"",IFERROR(Z58/Y58-1,""))</f>
        <v/>
      </c>
      <c r="AA66" s="15">
        <f>IF(OR(AA58="",Z58=""),"",IFERROR(AA58/Z58-1,""))</f>
        <v/>
      </c>
      <c r="AB66" s="15">
        <f>IF(OR(AB58="",AA58=""),"",IFERROR(AB58/AA58-1,""))</f>
        <v/>
      </c>
      <c r="AC66" s="15">
        <f>IF(OR(AC58="",AB58=""),"",IFERROR(AC58/AB58-1,""))</f>
        <v/>
      </c>
    </row>
    <row r="67">
      <c r="A67" s="18" t="inlineStr">
        <is>
          <t>P/E (현재 주가)</t>
        </is>
      </c>
      <c r="B67" s="10" t="inlineStr">
        <is>
          <t>시총 ÷ 지배순이익</t>
        </is>
      </c>
      <c r="C67" s="30" t="n"/>
      <c r="D67" s="31" t="n"/>
      <c r="E67" s="31" t="n"/>
      <c r="F67" s="31" t="n"/>
      <c r="G67" s="31" t="n"/>
      <c r="H67" s="31" t="n"/>
      <c r="I67" s="31" t="n"/>
      <c r="J67" s="31" t="n"/>
      <c r="K67" s="31" t="n"/>
      <c r="L67" s="31" t="n"/>
      <c r="M67" s="31" t="n"/>
      <c r="N67" s="31" t="n"/>
      <c r="O67" s="30" t="n"/>
      <c r="P67" s="31" t="n"/>
      <c r="Q67" s="31" t="n"/>
      <c r="R67" s="31" t="n"/>
      <c r="S67" s="31" t="n"/>
      <c r="T67" s="31" t="n"/>
      <c r="U67" s="31" t="n"/>
      <c r="V67" s="31" t="n"/>
      <c r="W67" s="31" t="n"/>
      <c r="X67" s="31">
        <f>IF(OR($B$64="",X58=""),"",IFERROR($B$64/X58,""))</f>
        <v/>
      </c>
      <c r="Y67" s="30">
        <f>IF(OR($B$64="",Y58=""),"",IFERROR($B$64/Y58,""))</f>
        <v/>
      </c>
      <c r="Z67" s="31">
        <f>IF(OR($B$64="",Z58=""),"",IFERROR($B$64/Z58,""))</f>
        <v/>
      </c>
      <c r="AA67" s="31">
        <f>IF(OR($B$64="",AA58=""),"",IFERROR($B$64/AA58,""))</f>
        <v/>
      </c>
      <c r="AB67" s="31">
        <f>IF(OR($B$64="",AB58=""),"",IFERROR($B$64/AB58,""))</f>
        <v/>
      </c>
      <c r="AC67" s="31">
        <f>IF(OR($B$64="",AC58=""),"",IFERROR($B$64/AC58,""))</f>
        <v/>
      </c>
    </row>
    <row r="68">
      <c r="A68" s="18" t="inlineStr">
        <is>
          <t>Target P/E</t>
        </is>
      </c>
      <c r="B68" s="10" t="inlineStr">
        <is>
          <t>직접 입력</t>
        </is>
      </c>
      <c r="C68" s="30" t="n"/>
      <c r="D68" s="31" t="n"/>
      <c r="E68" s="31" t="n"/>
      <c r="F68" s="31" t="n"/>
      <c r="G68" s="31" t="n"/>
      <c r="H68" s="31" t="n"/>
      <c r="I68" s="31" t="n"/>
      <c r="J68" s="31" t="n"/>
      <c r="K68" s="31" t="n"/>
      <c r="L68" s="31" t="n"/>
      <c r="M68" s="31" t="n"/>
      <c r="N68" s="31" t="n"/>
      <c r="O68" s="30" t="n"/>
      <c r="P68" s="31" t="n"/>
      <c r="Q68" s="31" t="n"/>
      <c r="R68" s="31" t="n"/>
      <c r="S68" s="31" t="n"/>
      <c r="T68" s="31" t="n"/>
      <c r="U68" s="31" t="n"/>
      <c r="V68" s="31" t="n"/>
      <c r="W68" s="31" t="n"/>
      <c r="X68" s="31" t="n"/>
      <c r="Y68" s="32" t="n"/>
      <c r="Z68" s="33" t="n"/>
      <c r="AA68" s="33" t="n"/>
      <c r="AB68" s="33" t="n"/>
      <c r="AC68" s="33" t="n"/>
    </row>
    <row r="69">
      <c r="A69" s="18" t="inlineStr">
        <is>
          <t>EPS</t>
        </is>
      </c>
      <c r="B69" s="10" t="inlineStr">
        <is>
          <t>지배순이익 ÷ 주식수</t>
        </is>
      </c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>
        <f>IF(OR(O58="",$B$63=""),"",IFERROR(O58*1000000.0/$B$63,""))</f>
        <v/>
      </c>
      <c r="P69" s="29">
        <f>IF(OR(P58="",$B$63=""),"",IFERROR(P58*1000000.0/$B$63,""))</f>
        <v/>
      </c>
      <c r="Q69" s="29">
        <f>IF(OR(Q58="",$B$63=""),"",IFERROR(Q58*1000000.0/$B$63,""))</f>
        <v/>
      </c>
      <c r="R69" s="29">
        <f>IF(OR(R58="",$B$63=""),"",IFERROR(R58*1000000.0/$B$63,""))</f>
        <v/>
      </c>
      <c r="S69" s="29">
        <f>IF(OR(S58="",$B$63=""),"",IFERROR(S58*1000000.0/$B$63,""))</f>
        <v/>
      </c>
      <c r="T69" s="29">
        <f>IF(OR(T58="",$B$63=""),"",IFERROR(T58*1000000.0/$B$63,""))</f>
        <v/>
      </c>
      <c r="U69" s="29">
        <f>IF(OR(U58="",$B$63=""),"",IFERROR(U58*1000000.0/$B$63,""))</f>
        <v/>
      </c>
      <c r="V69" s="29">
        <f>IF(OR(V58="",$B$63=""),"",IFERROR(V58*1000000.0/$B$63,""))</f>
        <v/>
      </c>
      <c r="W69" s="29">
        <f>IF(OR(W58="",$B$63=""),"",IFERROR(W58*1000000.0/$B$63,""))</f>
        <v/>
      </c>
      <c r="X69" s="29">
        <f>IF(OR(X58="",$B$63=""),"",IFERROR(X58*1000000.0/$B$63,""))</f>
        <v/>
      </c>
      <c r="Y69" s="28">
        <f>IF(OR(Y58="",$B$63=""),"",IFERROR(Y58*1000000.0/$B$63,""))</f>
        <v/>
      </c>
      <c r="Z69" s="29">
        <f>IF(OR(Z58="",$B$63=""),"",IFERROR(Z58*1000000.0/$B$63,""))</f>
        <v/>
      </c>
      <c r="AA69" s="29">
        <f>IF(OR(AA58="",$B$63=""),"",IFERROR(AA58*1000000.0/$B$63,""))</f>
        <v/>
      </c>
      <c r="AB69" s="29">
        <f>IF(OR(AB58="",$B$63=""),"",IFERROR(AB58*1000000.0/$B$63,""))</f>
        <v/>
      </c>
      <c r="AC69" s="29">
        <f>IF(OR(AC58="",$B$63=""),"",IFERROR(AC58*1000000.0/$B$63,""))</f>
        <v/>
      </c>
    </row>
    <row r="70">
      <c r="A70" s="9" t="inlineStr">
        <is>
          <t>목표주가</t>
        </is>
      </c>
      <c r="B70" s="10" t="n"/>
      <c r="C70" s="34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7" t="n"/>
      <c r="N70" s="27" t="n"/>
      <c r="O70" s="34" t="n"/>
      <c r="P70" s="27" t="n"/>
      <c r="Q70" s="27" t="n"/>
      <c r="R70" s="27" t="n"/>
      <c r="S70" s="27" t="n"/>
      <c r="T70" s="27" t="n"/>
      <c r="U70" s="27" t="n"/>
      <c r="V70" s="27" t="n"/>
      <c r="W70" s="27" t="n"/>
      <c r="X70" s="27" t="n"/>
      <c r="Y70" s="34">
        <f>IF(OR(Y69="",Y68=""),"",IFERROR(Y69*Y68,""))</f>
        <v/>
      </c>
      <c r="Z70" s="27">
        <f>IF(OR(Z69="",Z68=""),"",IFERROR(Z69*Z68,""))</f>
        <v/>
      </c>
      <c r="AA70" s="27">
        <f>IF(OR(AA69="",AA68=""),"",IFERROR(AA69*AA68,""))</f>
        <v/>
      </c>
      <c r="AB70" s="27">
        <f>IF(OR(AB69="",AB68=""),"",IFERROR(AB69*AB68,""))</f>
        <v/>
      </c>
      <c r="AC70" s="27">
        <f>IF(OR(AC69="",AC68=""),"",IFERROR(AC69*AC68,""))</f>
        <v/>
      </c>
    </row>
    <row r="71">
      <c r="A71" s="18" t="inlineStr">
        <is>
          <t>상승여력</t>
        </is>
      </c>
      <c r="B71" s="10" t="n"/>
      <c r="C71" s="35" t="n"/>
      <c r="D71" s="36" t="n"/>
      <c r="E71" s="36" t="n"/>
      <c r="F71" s="36" t="n"/>
      <c r="G71" s="36" t="n"/>
      <c r="H71" s="36" t="n"/>
      <c r="I71" s="36" t="n"/>
      <c r="J71" s="36" t="n"/>
      <c r="K71" s="36" t="n"/>
      <c r="L71" s="36" t="n"/>
      <c r="M71" s="36" t="n"/>
      <c r="N71" s="36" t="n"/>
      <c r="O71" s="35" t="n"/>
      <c r="P71" s="36" t="n"/>
      <c r="Q71" s="36" t="n"/>
      <c r="R71" s="36" t="n"/>
      <c r="S71" s="36" t="n"/>
      <c r="T71" s="36" t="n"/>
      <c r="U71" s="36" t="n"/>
      <c r="V71" s="36" t="n"/>
      <c r="W71" s="36" t="n"/>
      <c r="X71" s="36" t="n"/>
      <c r="Y71" s="37">
        <f>IF(OR(Y70="",$B$62=""),"",IFERROR(Y70/$B$62-1,""))</f>
        <v/>
      </c>
      <c r="Z71" s="38">
        <f>IF(OR(Z70="",$B$62=""),"",IFERROR(Z70/$B$62-1,""))</f>
        <v/>
      </c>
      <c r="AA71" s="38">
        <f>IF(OR(AA70="",$B$62=""),"",IFERROR(AA70/$B$62-1,""))</f>
        <v/>
      </c>
      <c r="AB71" s="38">
        <f>IF(OR(AB70="",$B$62=""),"",IFERROR(AB70/$B$62-1,""))</f>
        <v/>
      </c>
      <c r="AC71" s="38">
        <f>IF(OR(AC70="",$B$62=""),"",IFERROR(AC70/$B$62-1,""))</f>
        <v/>
      </c>
    </row>
    <row r="72">
      <c r="A72" s="16" t="inlineStr">
        <is>
          <t>자산가치 산출</t>
        </is>
      </c>
      <c r="B72" s="16" t="inlineStr">
        <is>
          <t>최신 분기 BS</t>
        </is>
      </c>
      <c r="C72" s="17" t="n"/>
      <c r="D72" s="16" t="n"/>
      <c r="E72" s="16" t="n"/>
      <c r="F72" s="16" t="n"/>
      <c r="G72" s="16" t="n"/>
      <c r="H72" s="16" t="n"/>
      <c r="I72" s="16" t="n"/>
      <c r="J72" s="16" t="n"/>
      <c r="K72" s="16" t="n"/>
      <c r="L72" s="16" t="n"/>
      <c r="M72" s="16" t="n"/>
      <c r="N72" s="16" t="n"/>
      <c r="O72" s="17" t="n"/>
      <c r="P72" s="16" t="n"/>
      <c r="Q72" s="16" t="n"/>
      <c r="R72" s="16" t="n"/>
      <c r="S72" s="16" t="n"/>
      <c r="T72" s="16" t="n"/>
      <c r="U72" s="16" t="n"/>
      <c r="V72" s="16" t="n"/>
      <c r="W72" s="16" t="n"/>
      <c r="X72" s="16" t="n"/>
      <c r="Y72" s="17" t="n"/>
      <c r="Z72" s="16" t="n"/>
      <c r="AA72" s="16" t="n"/>
      <c r="AB72" s="16" t="n"/>
      <c r="AC72" s="16" t="n"/>
    </row>
    <row r="73">
      <c r="A73" s="18" t="inlineStr">
        <is>
          <t>현금및현금성자산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'재무상태표'!G6</f>
        <v/>
      </c>
      <c r="Y73" s="19">
        <f>'재무상태표'!G6</f>
        <v/>
      </c>
      <c r="Z73" s="20">
        <f>'재무상태표'!G6</f>
        <v/>
      </c>
      <c r="AA73" s="20">
        <f>'재무상태표'!G6</f>
        <v/>
      </c>
      <c r="AB73" s="20">
        <f>'재무상태표'!G6</f>
        <v/>
      </c>
      <c r="AC73" s="20">
        <f>'재무상태표'!G6</f>
        <v/>
      </c>
    </row>
    <row r="74">
      <c r="A74" s="18" t="inlineStr">
        <is>
          <t>단기금융상품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'재무상태표'!G7</f>
        <v/>
      </c>
      <c r="Y74" s="19">
        <f>'재무상태표'!G7</f>
        <v/>
      </c>
      <c r="Z74" s="20">
        <f>'재무상태표'!G7</f>
        <v/>
      </c>
      <c r="AA74" s="20">
        <f>'재무상태표'!G7</f>
        <v/>
      </c>
      <c r="AB74" s="20">
        <f>'재무상태표'!G7</f>
        <v/>
      </c>
      <c r="AC74" s="20">
        <f>'재무상태표'!G7</f>
        <v/>
      </c>
    </row>
    <row r="75">
      <c r="A75" s="18" t="inlineStr">
        <is>
          <t>투자부동산</t>
        </is>
      </c>
      <c r="B75" s="10" t="n"/>
      <c r="C75" s="19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19" t="n"/>
      <c r="P75" s="20" t="n"/>
      <c r="Q75" s="20" t="n"/>
      <c r="R75" s="20" t="n"/>
      <c r="S75" s="20" t="n"/>
      <c r="T75" s="20" t="n"/>
      <c r="U75" s="20" t="n"/>
      <c r="V75" s="20" t="n"/>
      <c r="W75" s="20" t="n"/>
      <c r="X75" s="20">
        <f>'재무상태표'!G14</f>
        <v/>
      </c>
      <c r="Y75" s="19">
        <f>'재무상태표'!G14</f>
        <v/>
      </c>
      <c r="Z75" s="20">
        <f>'재무상태표'!G14</f>
        <v/>
      </c>
      <c r="AA75" s="20">
        <f>'재무상태표'!G14</f>
        <v/>
      </c>
      <c r="AB75" s="20">
        <f>'재무상태표'!G14</f>
        <v/>
      </c>
      <c r="AC75" s="20">
        <f>'재무상태표'!G14</f>
        <v/>
      </c>
    </row>
    <row r="76">
      <c r="A76" s="18" t="inlineStr">
        <is>
          <t>지배자본</t>
        </is>
      </c>
      <c r="B76" s="10" t="n"/>
      <c r="C76" s="19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19" t="n"/>
      <c r="P76" s="20" t="n"/>
      <c r="Q76" s="20" t="n"/>
      <c r="R76" s="20" t="n"/>
      <c r="S76" s="20" t="n"/>
      <c r="T76" s="20" t="n"/>
      <c r="U76" s="20" t="n"/>
      <c r="V76" s="20" t="n"/>
      <c r="W76" s="20" t="n"/>
      <c r="X76" s="20">
        <f>'재무상태표'!G31</f>
        <v/>
      </c>
      <c r="Y76" s="19">
        <f>'재무상태표'!G31</f>
        <v/>
      </c>
      <c r="Z76" s="20">
        <f>'재무상태표'!G31</f>
        <v/>
      </c>
      <c r="AA76" s="20">
        <f>'재무상태표'!G31</f>
        <v/>
      </c>
      <c r="AB76" s="20">
        <f>'재무상태표'!G31</f>
        <v/>
      </c>
      <c r="AC76" s="20">
        <f>'재무상태표'!G31</f>
        <v/>
      </c>
    </row>
    <row r="77">
      <c r="A77" s="18" t="inlineStr">
        <is>
          <t>부채</t>
        </is>
      </c>
      <c r="B77" s="10" t="n"/>
      <c r="C77" s="19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19" t="n"/>
      <c r="P77" s="20" t="n"/>
      <c r="Q77" s="20" t="n"/>
      <c r="R77" s="20" t="n"/>
      <c r="S77" s="20" t="n"/>
      <c r="T77" s="20" t="n"/>
      <c r="U77" s="20" t="n"/>
      <c r="V77" s="20" t="n"/>
      <c r="W77" s="20" t="n"/>
      <c r="X77" s="20">
        <f>'재무상태표'!G27</f>
        <v/>
      </c>
      <c r="Y77" s="19">
        <f>'재무상태표'!G27</f>
        <v/>
      </c>
      <c r="Z77" s="20">
        <f>'재무상태표'!G27</f>
        <v/>
      </c>
      <c r="AA77" s="20">
        <f>'재무상태표'!G27</f>
        <v/>
      </c>
      <c r="AB77" s="20">
        <f>'재무상태표'!G27</f>
        <v/>
      </c>
      <c r="AC77" s="20">
        <f>'재무상태표'!G27</f>
        <v/>
      </c>
    </row>
    <row r="78">
      <c r="A78" s="13" t="inlineStr">
        <is>
          <t>부채비율</t>
        </is>
      </c>
      <c r="B78" s="10" t="n"/>
      <c r="C78" s="14" t="n"/>
      <c r="D78" s="15" t="n"/>
      <c r="E78" s="15" t="n"/>
      <c r="F78" s="15" t="n"/>
      <c r="G78" s="15" t="n"/>
      <c r="H78" s="15" t="n"/>
      <c r="I78" s="15" t="n"/>
      <c r="J78" s="15" t="n"/>
      <c r="K78" s="15" t="n"/>
      <c r="L78" s="15" t="n"/>
      <c r="M78" s="15" t="n"/>
      <c r="N78" s="15" t="n"/>
      <c r="O78" s="14" t="n"/>
      <c r="P78" s="15" t="n"/>
      <c r="Q78" s="15" t="n"/>
      <c r="R78" s="15" t="n"/>
      <c r="S78" s="15" t="n"/>
      <c r="T78" s="15" t="n"/>
      <c r="U78" s="15" t="n"/>
      <c r="V78" s="15" t="n"/>
      <c r="W78" s="15" t="n"/>
      <c r="X78" s="15">
        <f>IF(OR(X77="",X76=""),"",IFERROR(X77/X76,""))</f>
        <v/>
      </c>
      <c r="Y78" s="14">
        <f>IF(OR(Y77="",Y76=""),"",IFERROR(Y77/Y76,""))</f>
        <v/>
      </c>
      <c r="Z78" s="15">
        <f>IF(OR(Z77="",Z76=""),"",IFERROR(Z77/Z76,""))</f>
        <v/>
      </c>
      <c r="AA78" s="15">
        <f>IF(OR(AA77="",AA76=""),"",IFERROR(AA77/AA76,""))</f>
        <v/>
      </c>
      <c r="AB78" s="15">
        <f>IF(OR(AB77="",AB76=""),"",IFERROR(AB77/AB76,""))</f>
        <v/>
      </c>
      <c r="AC78" s="15">
        <f>IF(OR(AC77="",AC76=""),"",IFERROR(AC77/AC76,""))</f>
        <v/>
      </c>
    </row>
    <row r="79">
      <c r="A79" s="9" t="inlineStr">
        <is>
          <t>자산가치</t>
        </is>
      </c>
      <c r="B79" s="10" t="inlineStr">
        <is>
          <t>현금+단기금융+투자부동산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>
        <f>SUM(X73,X74,X75)</f>
        <v/>
      </c>
      <c r="Y79" s="11">
        <f>SUM(Y73,Y74,Y75)</f>
        <v/>
      </c>
      <c r="Z79" s="12">
        <f>SUM(Z73,Z74,Z75)</f>
        <v/>
      </c>
      <c r="AA79" s="12">
        <f>SUM(AA73,AA74,AA75)</f>
        <v/>
      </c>
      <c r="AB79" s="12">
        <f>SUM(AB73,AB74,AB75)</f>
        <v/>
      </c>
      <c r="AC79" s="12">
        <f>SUM(AC73,AC74,AC75)</f>
        <v/>
      </c>
    </row>
    <row r="80">
      <c r="A80" s="16" t="inlineStr">
        <is>
          <t>기업가치 산출</t>
        </is>
      </c>
      <c r="B80" s="16" t="n"/>
      <c r="C80" s="17" t="n"/>
      <c r="D80" s="16" t="n"/>
      <c r="E80" s="16" t="n"/>
      <c r="F80" s="16" t="n"/>
      <c r="G80" s="16" t="n"/>
      <c r="H80" s="16" t="n"/>
      <c r="I80" s="16" t="n"/>
      <c r="J80" s="16" t="n"/>
      <c r="K80" s="16" t="n"/>
      <c r="L80" s="16" t="n"/>
      <c r="M80" s="16" t="n"/>
      <c r="N80" s="16" t="n"/>
      <c r="O80" s="17" t="n"/>
      <c r="P80" s="16" t="n"/>
      <c r="Q80" s="16" t="n"/>
      <c r="R80" s="16" t="n"/>
      <c r="S80" s="16" t="n"/>
      <c r="T80" s="16" t="n"/>
      <c r="U80" s="16" t="n"/>
      <c r="V80" s="16" t="n"/>
      <c r="W80" s="16" t="n"/>
      <c r="X80" s="16" t="n"/>
      <c r="Y80" s="17" t="n"/>
      <c r="Z80" s="16" t="n"/>
      <c r="AA80" s="16" t="n"/>
      <c r="AB80" s="16" t="n"/>
      <c r="AC80" s="16" t="n"/>
    </row>
    <row r="81">
      <c r="A81" s="18" t="inlineStr">
        <is>
          <t>목표 시가총액 (P/E)</t>
        </is>
      </c>
      <c r="B81" s="10" t="inlineStr">
        <is>
          <t>지배순이익 × Target P/E</t>
        </is>
      </c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 t="n"/>
      <c r="Y81" s="19">
        <f>IF(OR(Y58="",Y68=""),"",IFERROR(Y58*Y68,""))</f>
        <v/>
      </c>
      <c r="Z81" s="20">
        <f>IF(OR(Z58="",Z68=""),"",IFERROR(Z58*Z68,""))</f>
        <v/>
      </c>
      <c r="AA81" s="20">
        <f>IF(OR(AA58="",AA68=""),"",IFERROR(AA58*AA68,""))</f>
        <v/>
      </c>
      <c r="AB81" s="20">
        <f>IF(OR(AB58="",AB68=""),"",IFERROR(AB58*AB68,""))</f>
        <v/>
      </c>
      <c r="AC81" s="20">
        <f>IF(OR(AC58="",AC68=""),"",IFERROR(AC58*AC68,""))</f>
        <v/>
      </c>
    </row>
    <row r="82">
      <c r="A82" s="9" t="inlineStr">
        <is>
          <t>기업가치</t>
        </is>
      </c>
      <c r="B82" s="10" t="inlineStr">
        <is>
          <t>목표시총 + 자산가치</t>
        </is>
      </c>
      <c r="C82" s="11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1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1">
        <f>IF(OR(Y81=""),"",IFERROR(Y81+Y79,""))</f>
        <v/>
      </c>
      <c r="Z82" s="12">
        <f>IF(OR(Z81=""),"",IFERROR(Z81+Z79,""))</f>
        <v/>
      </c>
      <c r="AA82" s="12">
        <f>IF(OR(AA81=""),"",IFERROR(AA81+AA79,""))</f>
        <v/>
      </c>
      <c r="AB82" s="12">
        <f>IF(OR(AB81=""),"",IFERROR(AB81+AB79,""))</f>
        <v/>
      </c>
      <c r="AC82" s="12">
        <f>IF(OR(AC81=""),"",IFERROR(AC81+AC79,""))</f>
        <v/>
      </c>
    </row>
    <row r="83">
      <c r="A83" s="18" t="inlineStr">
        <is>
          <t>현재 시가총액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 t="n"/>
      <c r="Y83" s="19">
        <f>$B$64</f>
        <v/>
      </c>
      <c r="Z83" s="20">
        <f>$B$64</f>
        <v/>
      </c>
      <c r="AA83" s="20">
        <f>$B$64</f>
        <v/>
      </c>
      <c r="AB83" s="20">
        <f>$B$64</f>
        <v/>
      </c>
      <c r="AC83" s="20">
        <f>$B$64</f>
        <v/>
      </c>
    </row>
    <row r="84">
      <c r="A84" s="18" t="inlineStr">
        <is>
          <t>상승여력</t>
        </is>
      </c>
      <c r="B84" s="10" t="n"/>
      <c r="C84" s="35" t="n"/>
      <c r="D84" s="36" t="n"/>
      <c r="E84" s="36" t="n"/>
      <c r="F84" s="36" t="n"/>
      <c r="G84" s="36" t="n"/>
      <c r="H84" s="36" t="n"/>
      <c r="I84" s="36" t="n"/>
      <c r="J84" s="36" t="n"/>
      <c r="K84" s="36" t="n"/>
      <c r="L84" s="36" t="n"/>
      <c r="M84" s="36" t="n"/>
      <c r="N84" s="36" t="n"/>
      <c r="O84" s="35" t="n"/>
      <c r="P84" s="36" t="n"/>
      <c r="Q84" s="36" t="n"/>
      <c r="R84" s="36" t="n"/>
      <c r="S84" s="36" t="n"/>
      <c r="T84" s="36" t="n"/>
      <c r="U84" s="36" t="n"/>
      <c r="V84" s="36" t="n"/>
      <c r="W84" s="36" t="n"/>
      <c r="X84" s="36" t="n"/>
      <c r="Y84" s="37">
        <f>IF(OR(Y82="",Y83=""),"",IFERROR(Y82/Y83-1,""))</f>
        <v/>
      </c>
      <c r="Z84" s="38">
        <f>IF(OR(Z82="",Z83=""),"",IFERROR(Z82/Z83-1,""))</f>
        <v/>
      </c>
      <c r="AA84" s="38">
        <f>IF(OR(AA82="",AA83=""),"",IFERROR(AA82/AA83-1,""))</f>
        <v/>
      </c>
      <c r="AB84" s="38">
        <f>IF(OR(AB82="",AB83=""),"",IFERROR(AB82/AB83-1,""))</f>
        <v/>
      </c>
      <c r="AC84" s="38">
        <f>IF(OR(AC82="",AC83=""),"",IFERROR(AC82/AC83-1,""))</f>
        <v/>
      </c>
    </row>
    <row r="85">
      <c r="C85" s="39" t="n"/>
      <c r="O85" s="39" t="n"/>
      <c r="Y85" s="39" t="n"/>
    </row>
    <row r="86">
      <c r="A86" s="40" t="inlineStr">
        <is>
          <t>출처</t>
        </is>
      </c>
      <c r="C86" s="39" t="n"/>
      <c r="O86" s="39" t="n"/>
      <c r="Y86" s="39" t="n"/>
    </row>
    <row r="87">
      <c r="A87" s="41" t="inlineStr">
        <is>
          <t>결산단신 XBRL(TDnet·JPX 보관소) — 쓴 문서는 '출처' 시트</t>
        </is>
      </c>
      <c r="C87" s="39" t="n"/>
      <c r="O87" s="39" t="n"/>
      <c r="Y87" s="39" t="n"/>
    </row>
    <row r="88">
      <c r="A88" s="41" t="inlineStr">
        <is>
          <t>분기 = 누계에서 앞 분기를 뺀 3개월 값</t>
        </is>
      </c>
      <c r="C88" s="39" t="n"/>
      <c r="O88" s="39" t="n"/>
      <c r="Y88" s="39" t="n"/>
    </row>
    <row r="89">
      <c r="A89" s="41" t="inlineStr">
        <is>
          <t>주가: 야후 파이낸스 일봉 2026.10.28</t>
        </is>
      </c>
      <c r="C89" s="39" t="n"/>
      <c r="O89" s="39" t="n"/>
      <c r="Y89" s="39" t="n"/>
    </row>
    <row r="91">
      <c r="A91" s="16" t="inlineStr">
        <is>
          <t>손익계산서 · 전 항목</t>
        </is>
      </c>
      <c r="B91" s="42" t="inlineStr">
        <is>
          <t>분기 = 3개월 단독</t>
        </is>
      </c>
      <c r="C91" s="16" t="n"/>
      <c r="D91" s="16" t="n"/>
      <c r="E91" s="16" t="n"/>
      <c r="F91" s="16" t="n"/>
      <c r="G91" s="16" t="n"/>
      <c r="H91" s="16" t="n"/>
      <c r="I91" s="16" t="n"/>
      <c r="J91" s="16" t="n"/>
      <c r="K91" s="16" t="n"/>
      <c r="L91" s="16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  <c r="V91" s="16" t="n"/>
      <c r="W91" s="16" t="n"/>
      <c r="X91" s="16" t="n"/>
      <c r="Y91" s="16" t="n"/>
      <c r="Z91" s="16" t="n"/>
      <c r="AA91" s="16" t="n"/>
      <c r="AB91" s="16" t="n"/>
      <c r="AC91" s="16" t="n"/>
    </row>
    <row r="92">
      <c r="A92" s="5" t="inlineStr">
        <is>
          <t>항목</t>
        </is>
      </c>
      <c r="B92" s="5" t="inlineStr">
        <is>
          <t>참고</t>
        </is>
      </c>
      <c r="C92" s="5" t="inlineStr">
        <is>
          <t>2024.2Q</t>
        </is>
      </c>
      <c r="D92" s="5" t="inlineStr">
        <is>
          <t>2024.3Q</t>
        </is>
      </c>
      <c r="E92" s="5" t="inlineStr">
        <is>
          <t>2024.4Q</t>
        </is>
      </c>
      <c r="F92" s="5" t="inlineStr">
        <is>
          <t>2025.1Q</t>
        </is>
      </c>
      <c r="G92" s="5" t="inlineStr">
        <is>
          <t>2025.2Q</t>
        </is>
      </c>
      <c r="H92" s="5" t="inlineStr">
        <is>
          <t>2025.3Q</t>
        </is>
      </c>
      <c r="I92" s="5" t="inlineStr">
        <is>
          <t>2025.4Q</t>
        </is>
      </c>
      <c r="J92" s="5" t="inlineStr">
        <is>
          <t>2026.1Q</t>
        </is>
      </c>
      <c r="K92" s="5" t="inlineStr">
        <is>
          <t>2026.2Q</t>
        </is>
      </c>
      <c r="L92" s="5" t="inlineStr">
        <is>
          <t>2026.3Q</t>
        </is>
      </c>
      <c r="M92" s="5" t="inlineStr">
        <is>
          <t>2026.4Q</t>
        </is>
      </c>
      <c r="N92" s="5" t="inlineStr">
        <is>
          <t>2027.1Q</t>
        </is>
      </c>
      <c r="O92" s="5" t="inlineStr">
        <is>
          <t>2017</t>
        </is>
      </c>
      <c r="P92" s="5" t="inlineStr">
        <is>
          <t>2018</t>
        </is>
      </c>
      <c r="Q92" s="5" t="inlineStr">
        <is>
          <t>2019</t>
        </is>
      </c>
      <c r="R92" s="5" t="inlineStr">
        <is>
          <t>2020</t>
        </is>
      </c>
      <c r="S92" s="5" t="inlineStr">
        <is>
          <t>2021</t>
        </is>
      </c>
      <c r="T92" s="5" t="inlineStr">
        <is>
          <t>2022</t>
        </is>
      </c>
      <c r="U92" s="5" t="inlineStr">
        <is>
          <t>2023</t>
        </is>
      </c>
      <c r="V92" s="5" t="inlineStr">
        <is>
          <t>2024</t>
        </is>
      </c>
      <c r="W92" s="5" t="inlineStr">
        <is>
          <t>2025</t>
        </is>
      </c>
      <c r="X92" s="5" t="inlineStr">
        <is>
          <t>2026</t>
        </is>
      </c>
      <c r="Y92" s="5" t="inlineStr">
        <is>
          <t>2027(MW)</t>
        </is>
      </c>
      <c r="Z92" s="5" t="inlineStr">
        <is>
          <t>2028(MW)</t>
        </is>
      </c>
      <c r="AA92" s="5" t="inlineStr">
        <is>
          <t>2029(MW)</t>
        </is>
      </c>
      <c r="AB92" s="5" t="inlineStr">
        <is>
          <t>2030(MW)</t>
        </is>
      </c>
      <c r="AC92" s="5" t="inlineStr">
        <is>
          <t>2031(MW)</t>
        </is>
      </c>
    </row>
    <row r="93">
      <c r="A93" s="9" t="inlineStr">
        <is>
          <t>매출액</t>
        </is>
      </c>
      <c r="C93" s="12" t="n">
        <v>2745.34</v>
      </c>
      <c r="D93" s="12" t="n">
        <v>2546.089</v>
      </c>
      <c r="E93" s="12" t="n">
        <v>2141.472</v>
      </c>
      <c r="F93" s="12" t="n">
        <v>2122.621</v>
      </c>
      <c r="G93" s="12" t="n">
        <v>1895.451</v>
      </c>
      <c r="H93" s="12" t="n">
        <v>4182.649</v>
      </c>
      <c r="I93" s="12" t="n">
        <v>4454.463</v>
      </c>
      <c r="J93" s="12" t="n">
        <v>4466.913</v>
      </c>
      <c r="K93" s="12" t="n">
        <v>3771.727</v>
      </c>
      <c r="L93" s="12" t="n">
        <v>5062.656</v>
      </c>
      <c r="M93" s="12" t="n">
        <v>4246.482</v>
      </c>
      <c r="N93" s="12" t="n">
        <v>4355.148</v>
      </c>
      <c r="T93" s="12" t="n">
        <v>2450.48</v>
      </c>
      <c r="U93" s="12" t="n">
        <v>2420.076</v>
      </c>
      <c r="V93" s="12" t="n">
        <v>2141.472</v>
      </c>
      <c r="W93" s="12" t="n">
        <v>4454.463</v>
      </c>
      <c r="X93" s="12" t="n">
        <v>4246.482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매출원가</t>
        </is>
      </c>
      <c r="C95" s="20" t="n">
        <v>1599.765</v>
      </c>
      <c r="D95" s="20" t="n">
        <v>1677.428</v>
      </c>
      <c r="E95" s="20" t="n">
        <v>1434.532</v>
      </c>
      <c r="F95" s="20" t="n">
        <v>1498.695</v>
      </c>
      <c r="G95" s="20" t="n">
        <v>1560.56</v>
      </c>
      <c r="H95" s="20" t="n">
        <v>2902.928</v>
      </c>
      <c r="I95" s="20" t="n">
        <v>3215.531</v>
      </c>
      <c r="J95" s="20" t="n">
        <v>3185.395</v>
      </c>
      <c r="K95" s="20" t="n">
        <v>2847.659</v>
      </c>
      <c r="L95" s="20" t="n">
        <v>3216.033</v>
      </c>
      <c r="M95" s="20" t="n">
        <v>2868.859</v>
      </c>
      <c r="N95" s="20" t="n">
        <v>2774.992</v>
      </c>
      <c r="T95" s="20" t="n">
        <v>1674.527</v>
      </c>
      <c r="U95" s="20" t="n">
        <v>1549.226</v>
      </c>
      <c r="V95" s="20" t="n">
        <v>1434.532</v>
      </c>
      <c r="W95" s="20" t="n">
        <v>3215.531</v>
      </c>
      <c r="X95" s="20" t="n">
        <v>2868.859</v>
      </c>
    </row>
    <row r="96">
      <c r="A96" s="43" t="inlineStr">
        <is>
          <t>YoY</t>
        </is>
      </c>
      <c r="B96" s="3" t="inlineStr">
        <is>
          <t>전년 같은 분기·전년 대비</t>
        </is>
      </c>
      <c r="G96" s="15">
        <f>IF(OR(G95="",C95=""),"",IF(G95*C95&lt;=0,"",IFERROR(G95/C95-1,"")))</f>
        <v/>
      </c>
      <c r="H96" s="15">
        <f>IF(OR(H95="",D95=""),"",IF(H95*D95&lt;=0,"",IFERROR(H95/D95-1,"")))</f>
        <v/>
      </c>
      <c r="I96" s="15">
        <f>IF(OR(I95="",E95=""),"",IF(I95*E95&lt;=0,"",IFERROR(I95/E95-1,"")))</f>
        <v/>
      </c>
      <c r="J96" s="15">
        <f>IF(OR(J95="",F95=""),"",IF(J95*F95&lt;=0,"",IFERROR(J95/F95-1,"")))</f>
        <v/>
      </c>
      <c r="K96" s="15">
        <f>IF(OR(K95="",G95=""),"",IF(K95*G95&lt;=0,"",IFERROR(K95/G95-1,"")))</f>
        <v/>
      </c>
      <c r="L96" s="15">
        <f>IF(OR(L95="",H95=""),"",IF(L95*H95&lt;=0,"",IFERROR(L95/H95-1,"")))</f>
        <v/>
      </c>
      <c r="M96" s="15">
        <f>IF(OR(M95="",I95=""),"",IF(M95*I95&lt;=0,"",IFERROR(M95/I95-1,"")))</f>
        <v/>
      </c>
      <c r="N96" s="15">
        <f>IF(OR(N95="",J95=""),"",IF(N95*J95&lt;=0,"",IFERROR(N95/J95-1,"")))</f>
        <v/>
      </c>
      <c r="T96" s="15">
        <f>IF(OR(T95="",S95=""),"",IF(T95*S95&lt;=0,"",IFERROR(T95/S95-1,"")))</f>
        <v/>
      </c>
      <c r="U96" s="15">
        <f>IF(OR(U95="",T95=""),"",IF(U95*T95&lt;=0,"",IFERROR(U95/T95-1,"")))</f>
        <v/>
      </c>
      <c r="V96" s="15">
        <f>IF(OR(V95="",U95=""),"",IF(V95*U95&lt;=0,"",IFERROR(V95/U95-1,"")))</f>
        <v/>
      </c>
      <c r="W96" s="15">
        <f>IF(OR(W95="",V95=""),"",IF(W95*V95&lt;=0,"",IFERROR(W95/V95-1,"")))</f>
        <v/>
      </c>
      <c r="X96" s="15">
        <f>IF(OR(X95="",W95=""),"",IF(X95*W95&lt;=0,"",IFERROR(X95/W95-1,"")))</f>
        <v/>
      </c>
    </row>
    <row r="97">
      <c r="A97" s="9" t="inlineStr">
        <is>
          <t>매출총이익</t>
        </is>
      </c>
      <c r="C97" s="12" t="n">
        <v>1145.574</v>
      </c>
      <c r="D97" s="12" t="n">
        <v>868.6609999999999</v>
      </c>
      <c r="E97" s="12" t="n">
        <v>706.9400000000001</v>
      </c>
      <c r="F97" s="12" t="n">
        <v>623.925</v>
      </c>
      <c r="G97" s="12" t="n">
        <v>334.891</v>
      </c>
      <c r="H97" s="12" t="n">
        <v>1279.721</v>
      </c>
      <c r="I97" s="12" t="n">
        <v>1238.933</v>
      </c>
      <c r="J97" s="12" t="n">
        <v>1281.518</v>
      </c>
      <c r="K97" s="12" t="n">
        <v>924.067</v>
      </c>
      <c r="L97" s="12" t="n">
        <v>1846.624</v>
      </c>
      <c r="M97" s="12" t="n">
        <v>1377.622</v>
      </c>
      <c r="N97" s="12" t="n">
        <v>1580.155</v>
      </c>
      <c r="T97" s="12" t="n">
        <v>775.954</v>
      </c>
      <c r="U97" s="12" t="n">
        <v>870.849</v>
      </c>
      <c r="V97" s="12" t="n">
        <v>706.9400000000001</v>
      </c>
      <c r="W97" s="12" t="n">
        <v>1238.933</v>
      </c>
      <c r="X97" s="12" t="n">
        <v>1377.622</v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IF(OR(G97="",C97=""),"",IF(C97&lt;=0,"",IFERROR(G97/C97-1,"")))</f>
        <v/>
      </c>
      <c r="H98" s="15">
        <f>IF(OR(H97="",D97=""),"",IF(D97&lt;=0,"",IFERROR(H97/D97-1,"")))</f>
        <v/>
      </c>
      <c r="I98" s="15">
        <f>IF(OR(I97="",E97=""),"",IF(E97&lt;=0,"",IFERROR(I97/E97-1,"")))</f>
        <v/>
      </c>
      <c r="J98" s="15">
        <f>IF(OR(J97="",F97=""),"",IF(F97&lt;=0,"",IFERROR(J97/F97-1,"")))</f>
        <v/>
      </c>
      <c r="K98" s="15">
        <f>IF(OR(K97="",G97=""),"",IF(G97&lt;=0,"",IFERROR(K97/G97-1,"")))</f>
        <v/>
      </c>
      <c r="L98" s="15">
        <f>IF(OR(L97="",H97=""),"",IF(H97&lt;=0,"",IFERROR(L97/H97-1,"")))</f>
        <v/>
      </c>
      <c r="M98" s="15">
        <f>IF(OR(M97="",I97=""),"",IF(I97&lt;=0,"",IFERROR(M97/I97-1,"")))</f>
        <v/>
      </c>
      <c r="N98" s="15">
        <f>IF(OR(N97="",J97=""),"",IF(J97&lt;=0,"",IFERROR(N97/J97-1,"")))</f>
        <v/>
      </c>
      <c r="T98" s="15">
        <f>IF(OR(T97="",S97=""),"",IF(S97&lt;=0,"",IFERROR(T97/S97-1,"")))</f>
        <v/>
      </c>
      <c r="U98" s="15">
        <f>IF(OR(U97="",T97=""),"",IF(T97&lt;=0,"",IFERROR(U97/T97-1,"")))</f>
        <v/>
      </c>
      <c r="V98" s="15">
        <f>IF(OR(V97="",U97=""),"",IF(U97&lt;=0,"",IFERROR(V97/U97-1,"")))</f>
        <v/>
      </c>
      <c r="W98" s="15">
        <f>IF(OR(W97="",V97=""),"",IF(V97&lt;=0,"",IFERROR(W97/V97-1,"")))</f>
        <v/>
      </c>
      <c r="X98" s="15">
        <f>IF(OR(X97="",W97=""),"",IF(W97&lt;=0,"",IFERROR(X97/W97-1,"")))</f>
        <v/>
      </c>
    </row>
    <row r="99">
      <c r="A99" s="18" t="inlineStr">
        <is>
          <t>판매비와 관리비</t>
        </is>
      </c>
      <c r="C99" s="20" t="n">
        <v>681.782</v>
      </c>
      <c r="D99" s="20" t="n">
        <v>551.5410000000001</v>
      </c>
      <c r="E99" s="20" t="n">
        <v>593.302</v>
      </c>
      <c r="F99" s="20" t="n">
        <v>691.712</v>
      </c>
      <c r="G99" s="20" t="n">
        <v>582.278</v>
      </c>
      <c r="H99" s="20" t="n">
        <v>991.54</v>
      </c>
      <c r="I99" s="20" t="n">
        <v>1099.931</v>
      </c>
      <c r="J99" s="20" t="n">
        <v>1363.241</v>
      </c>
      <c r="K99" s="20" t="n">
        <v>1417.184</v>
      </c>
      <c r="L99" s="20" t="n">
        <v>1174.899</v>
      </c>
      <c r="M99" s="20" t="n">
        <v>1065.79</v>
      </c>
      <c r="N99" s="20" t="n">
        <v>1057.292</v>
      </c>
      <c r="T99" s="20" t="n">
        <v>604.826</v>
      </c>
      <c r="U99" s="20" t="n">
        <v>690.115</v>
      </c>
      <c r="V99" s="20" t="n">
        <v>593.302</v>
      </c>
      <c r="W99" s="20" t="n">
        <v>1099.931</v>
      </c>
      <c r="X99" s="20" t="n">
        <v>1065.79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IF(OR(G99="",C99=""),"",IF(G99*C99&lt;=0,"",IFERROR(G99/C99-1,"")))</f>
        <v/>
      </c>
      <c r="H100" s="15">
        <f>IF(OR(H99="",D99=""),"",IF(H99*D99&lt;=0,"",IFERROR(H99/D99-1,"")))</f>
        <v/>
      </c>
      <c r="I100" s="15">
        <f>IF(OR(I99="",E99=""),"",IF(I99*E99&lt;=0,"",IFERROR(I99/E99-1,"")))</f>
        <v/>
      </c>
      <c r="J100" s="15">
        <f>IF(OR(J99="",F99=""),"",IF(J99*F99&lt;=0,"",IFERROR(J99/F99-1,"")))</f>
        <v/>
      </c>
      <c r="K100" s="15">
        <f>IF(OR(K99="",G99=""),"",IF(K99*G99&lt;=0,"",IFERROR(K99/G99-1,"")))</f>
        <v/>
      </c>
      <c r="L100" s="15">
        <f>IF(OR(L99="",H99=""),"",IF(L99*H99&lt;=0,"",IFERROR(L99/H99-1,"")))</f>
        <v/>
      </c>
      <c r="M100" s="15">
        <f>IF(OR(M99="",I99=""),"",IF(M99*I99&lt;=0,"",IFERROR(M99/I99-1,"")))</f>
        <v/>
      </c>
      <c r="N100" s="15">
        <f>IF(OR(N99="",J99=""),"",IF(N99*J99&lt;=0,"",IFERROR(N99/J99-1,"")))</f>
        <v/>
      </c>
      <c r="T100" s="15">
        <f>IF(OR(T99="",S99=""),"",IF(T99*S99&lt;=0,"",IFERROR(T99/S99-1,"")))</f>
        <v/>
      </c>
      <c r="U100" s="15">
        <f>IF(OR(U99="",T99=""),"",IF(U99*T99&lt;=0,"",IFERROR(U99/T99-1,"")))</f>
        <v/>
      </c>
      <c r="V100" s="15">
        <f>IF(OR(V99="",U99=""),"",IF(V99*U99&lt;=0,"",IFERROR(V99/U99-1,"")))</f>
        <v/>
      </c>
      <c r="W100" s="15">
        <f>IF(OR(W99="",V99=""),"",IF(W99*V99&lt;=0,"",IFERROR(W99/V99-1,"")))</f>
        <v/>
      </c>
      <c r="X100" s="15">
        <f>IF(OR(X99="",W99=""),"",IF(X99*W99&lt;=0,"",IFERROR(X99/W99-1,"")))</f>
        <v/>
      </c>
    </row>
    <row r="101">
      <c r="A101" s="9" t="inlineStr">
        <is>
          <t>영업이익(손실)</t>
        </is>
      </c>
      <c r="C101" s="12" t="n">
        <v>463.793</v>
      </c>
      <c r="D101" s="12" t="n">
        <v>317.119</v>
      </c>
      <c r="E101" s="12" t="n">
        <v>113.639</v>
      </c>
      <c r="F101" s="12" t="n">
        <v>-67.786</v>
      </c>
      <c r="G101" s="12" t="n">
        <v>-247.387</v>
      </c>
      <c r="H101" s="12" t="n">
        <v>288.181</v>
      </c>
      <c r="I101" s="12" t="n">
        <v>139</v>
      </c>
      <c r="J101" s="12" t="n">
        <v>-81.723</v>
      </c>
      <c r="K101" s="12" t="n">
        <v>-493.116</v>
      </c>
      <c r="L101" s="12" t="n">
        <v>671.723</v>
      </c>
      <c r="M101" s="12" t="n">
        <v>311.833</v>
      </c>
      <c r="N101" s="12" t="n">
        <v>522.862</v>
      </c>
      <c r="T101" s="12" t="n">
        <v>171.128</v>
      </c>
      <c r="U101" s="12" t="n">
        <v>180.734</v>
      </c>
      <c r="V101" s="12" t="n">
        <v>113.639</v>
      </c>
      <c r="W101" s="12" t="n">
        <v>139</v>
      </c>
      <c r="X101" s="12" t="n">
        <v>311.833</v>
      </c>
    </row>
    <row r="102">
      <c r="A102" s="43" t="inlineStr">
        <is>
          <t>OPM</t>
        </is>
      </c>
      <c r="B102" s="3" t="inlineStr">
        <is>
          <t>영업이익 ÷ 매출</t>
        </is>
      </c>
      <c r="C102" s="15">
        <f>IF(OR(C101="",C93=""),"",IF(C93&lt;=0,"",IFERROR(C101/C93,"")))</f>
        <v/>
      </c>
      <c r="D102" s="15">
        <f>IF(OR(D101="",D93=""),"",IF(D93&lt;=0,"",IFERROR(D101/D93,"")))</f>
        <v/>
      </c>
      <c r="E102" s="15">
        <f>IF(OR(E101="",E93=""),"",IF(E93&lt;=0,"",IFERROR(E101/E93,"")))</f>
        <v/>
      </c>
      <c r="F102" s="15">
        <f>IF(OR(F101="",F93=""),"",IF(F93&lt;=0,"",IFERROR(F101/F93,"")))</f>
        <v/>
      </c>
      <c r="G102" s="15">
        <f>IF(OR(G101="",G93=""),"",IF(G93&lt;=0,"",IFERROR(G101/G93,"")))</f>
        <v/>
      </c>
      <c r="H102" s="15">
        <f>IF(OR(H101="",H93=""),"",IF(H93&lt;=0,"",IFERROR(H101/H93,"")))</f>
        <v/>
      </c>
      <c r="I102" s="15">
        <f>IF(OR(I101="",I93=""),"",IF(I93&lt;=0,"",IFERROR(I101/I93,"")))</f>
        <v/>
      </c>
      <c r="J102" s="15">
        <f>IF(OR(J101="",J93=""),"",IF(J93&lt;=0,"",IFERROR(J101/J93,"")))</f>
        <v/>
      </c>
      <c r="K102" s="15">
        <f>IF(OR(K101="",K93=""),"",IF(K93&lt;=0,"",IFERROR(K101/K93,"")))</f>
        <v/>
      </c>
      <c r="L102" s="15">
        <f>IF(OR(L101="",L93=""),"",IF(L93&lt;=0,"",IFERROR(L101/L93,"")))</f>
        <v/>
      </c>
      <c r="M102" s="15">
        <f>IF(OR(M101="",M93=""),"",IF(M93&lt;=0,"",IFERROR(M101/M93,"")))</f>
        <v/>
      </c>
      <c r="N102" s="15">
        <f>IF(OR(N101="",N93=""),"",IF(N93&lt;=0,"",IFERROR(N101/N93,"")))</f>
        <v/>
      </c>
      <c r="T102" s="15">
        <f>IF(OR(T101="",T93=""),"",IF(T93&lt;=0,"",IFERROR(T101/T93,"")))</f>
        <v/>
      </c>
      <c r="U102" s="15">
        <f>IF(OR(U101="",U93=""),"",IF(U93&lt;=0,"",IFERROR(U101/U93,"")))</f>
        <v/>
      </c>
      <c r="V102" s="15">
        <f>IF(OR(V101="",V93=""),"",IF(V93&lt;=0,"",IFERROR(V101/V93,"")))</f>
        <v/>
      </c>
      <c r="W102" s="15">
        <f>IF(OR(W101="",W93=""),"",IF(W93&lt;=0,"",IFERROR(W101/W93,"")))</f>
        <v/>
      </c>
      <c r="X102" s="15">
        <f>IF(OR(X101="",X93=""),"",IF(X93&lt;=0,"",IFERROR(X101/X93,"")))</f>
        <v/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IF(OR(G101="",C101=""),"",IF(C101&lt;=0,"",IFERROR(G101/C101-1,"")))</f>
        <v/>
      </c>
      <c r="H103" s="15">
        <f>IF(OR(H101="",D101=""),"",IF(D101&lt;=0,"",IFERROR(H101/D101-1,"")))</f>
        <v/>
      </c>
      <c r="I103" s="15">
        <f>IF(OR(I101="",E101=""),"",IF(E101&lt;=0,"",IFERROR(I101/E101-1,"")))</f>
        <v/>
      </c>
      <c r="J103" s="15">
        <f>IF(OR(J101="",F101=""),"",IF(F101&lt;=0,"",IFERROR(J101/F101-1,"")))</f>
        <v/>
      </c>
      <c r="K103" s="15">
        <f>IF(OR(K101="",G101=""),"",IF(G101&lt;=0,"",IFERROR(K101/G101-1,"")))</f>
        <v/>
      </c>
      <c r="L103" s="15">
        <f>IF(OR(L101="",H101=""),"",IF(H101&lt;=0,"",IFERROR(L101/H101-1,"")))</f>
        <v/>
      </c>
      <c r="M103" s="15">
        <f>IF(OR(M101="",I101=""),"",IF(I101&lt;=0,"",IFERROR(M101/I101-1,"")))</f>
        <v/>
      </c>
      <c r="N103" s="15">
        <f>IF(OR(N101="",J101=""),"",IF(J101&lt;=0,"",IFERROR(N101/J101-1,"")))</f>
        <v/>
      </c>
      <c r="T103" s="15">
        <f>IF(OR(T101="",S101=""),"",IF(S101&lt;=0,"",IFERROR(T101/S101-1,"")))</f>
        <v/>
      </c>
      <c r="U103" s="15">
        <f>IF(OR(U101="",T101=""),"",IF(T101&lt;=0,"",IFERROR(U101/T101-1,"")))</f>
        <v/>
      </c>
      <c r="V103" s="15">
        <f>IF(OR(V101="",U101=""),"",IF(U101&lt;=0,"",IFERROR(V101/U101-1,"")))</f>
        <v/>
      </c>
      <c r="W103" s="15">
        <f>IF(OR(W101="",V101=""),"",IF(V101&lt;=0,"",IFERROR(W101/V101-1,"")))</f>
        <v/>
      </c>
      <c r="X103" s="15">
        <f>IF(OR(X101="",W101=""),"",IF(W101&lt;=0,"",IFERROR(X101/W101-1,"")))</f>
        <v/>
      </c>
    </row>
    <row r="104">
      <c r="A104" s="18" t="inlineStr">
        <is>
          <t>이자수익</t>
        </is>
      </c>
      <c r="C104" s="20" t="n">
        <v>0.028</v>
      </c>
      <c r="D104" s="20" t="n">
        <v>0.001</v>
      </c>
      <c r="E104" s="20" t="n">
        <v>0.023</v>
      </c>
      <c r="F104" s="20" t="n">
        <v>0.002</v>
      </c>
      <c r="G104" s="20" t="n">
        <v>0.658</v>
      </c>
      <c r="H104" s="20" t="n">
        <v>0.025</v>
      </c>
      <c r="I104" s="20" t="n">
        <v>2.635</v>
      </c>
      <c r="J104" s="20" t="n">
        <v>0.346</v>
      </c>
      <c r="K104" s="20" t="n">
        <v>4.016</v>
      </c>
      <c r="L104" s="20" t="n">
        <v>0.669</v>
      </c>
      <c r="M104" s="20" t="n">
        <v>3.672</v>
      </c>
      <c r="N104" s="20" t="n">
        <v>0.674</v>
      </c>
      <c r="T104" s="20" t="n">
        <v>0.026</v>
      </c>
      <c r="U104" s="20" t="n">
        <v>0.03</v>
      </c>
      <c r="V104" s="20" t="n">
        <v>0.023</v>
      </c>
      <c r="W104" s="20" t="n">
        <v>2.635</v>
      </c>
      <c r="X104" s="20" t="n">
        <v>3.672</v>
      </c>
    </row>
    <row r="105">
      <c r="A105" s="18" t="inlineStr">
        <is>
          <t>배당금수익</t>
        </is>
      </c>
      <c r="C105" s="20" t="n">
        <v>0</v>
      </c>
      <c r="D105" s="20" t="n">
        <v>0</v>
      </c>
      <c r="E105" s="20" t="n">
        <v>0</v>
      </c>
      <c r="F105" s="20" t="n">
        <v>0</v>
      </c>
      <c r="G105" s="20" t="n">
        <v>0</v>
      </c>
      <c r="H105" s="20" t="n">
        <v>0</v>
      </c>
      <c r="I105" s="20" t="n">
        <v>0</v>
      </c>
      <c r="T105" s="20" t="n">
        <v>0</v>
      </c>
      <c r="U105" s="20" t="n">
        <v>0</v>
      </c>
      <c r="V105" s="20" t="n">
        <v>0</v>
      </c>
      <c r="W105" s="20" t="n">
        <v>0</v>
      </c>
    </row>
    <row r="106">
      <c r="A106" s="18" t="inlineStr">
        <is>
          <t>Interest On Refund NOI</t>
        </is>
      </c>
      <c r="D106" s="20" t="n">
        <v>0</v>
      </c>
      <c r="E106" s="20" t="n">
        <v>0</v>
      </c>
      <c r="H106" s="20" t="n">
        <v>0</v>
      </c>
      <c r="I106" s="20" t="n">
        <v>0</v>
      </c>
      <c r="L106" s="20" t="n">
        <v>0</v>
      </c>
      <c r="M106" s="20" t="n">
        <v>0</v>
      </c>
      <c r="V106" s="20" t="n">
        <v>0</v>
      </c>
      <c r="W106" s="20" t="n">
        <v>0</v>
      </c>
      <c r="X106" s="20" t="n">
        <v>0</v>
      </c>
    </row>
    <row r="107">
      <c r="A107" s="18" t="inlineStr">
        <is>
          <t>Fiduciary Obligation Fee NOI</t>
        </is>
      </c>
      <c r="J107" s="20" t="n">
        <v>0</v>
      </c>
      <c r="N107" s="20" t="n">
        <v>3.4</v>
      </c>
    </row>
    <row r="108">
      <c r="A108" s="18" t="inlineStr">
        <is>
          <t>Gain On Investments In Capital NOI</t>
        </is>
      </c>
      <c r="C108" s="20" t="n">
        <v>-1.731</v>
      </c>
      <c r="D108" s="20" t="n">
        <v>0.125</v>
      </c>
      <c r="F108" s="20" t="n">
        <v>0</v>
      </c>
      <c r="G108" s="20" t="n">
        <v>0</v>
      </c>
      <c r="H108" s="20" t="n">
        <v>0</v>
      </c>
      <c r="J108" s="20" t="n">
        <v>0.183</v>
      </c>
      <c r="K108" s="20" t="n">
        <v>0.029</v>
      </c>
      <c r="N108" s="20" t="n">
        <v>0.139</v>
      </c>
      <c r="U108" s="20" t="n">
        <v>0</v>
      </c>
    </row>
    <row r="109">
      <c r="A109" s="18" t="inlineStr">
        <is>
          <t>외환차익</t>
        </is>
      </c>
      <c r="J109" s="20" t="n">
        <v>0</v>
      </c>
      <c r="N109" s="20" t="n">
        <v>3.529</v>
      </c>
    </row>
    <row r="110">
      <c r="A110" s="18" t="inlineStr">
        <is>
          <t>기타</t>
        </is>
      </c>
      <c r="C110" s="20" t="n">
        <v>-0.008999999999999999</v>
      </c>
      <c r="D110" s="20" t="n">
        <v>0.023</v>
      </c>
      <c r="E110" s="20" t="n">
        <v>0.043</v>
      </c>
      <c r="F110" s="20" t="n">
        <v>0.038</v>
      </c>
      <c r="G110" s="20" t="n">
        <v>0.493</v>
      </c>
      <c r="H110" s="20" t="n">
        <v>0.417</v>
      </c>
      <c r="I110" s="20" t="n">
        <v>-0.332</v>
      </c>
      <c r="J110" s="20" t="n">
        <v>0.004</v>
      </c>
      <c r="K110" s="20" t="n">
        <v>0.662</v>
      </c>
      <c r="L110" s="20" t="n">
        <v>0.695</v>
      </c>
      <c r="M110" s="20" t="n">
        <v>5.76</v>
      </c>
      <c r="N110" s="20" t="n">
        <v>0.518</v>
      </c>
      <c r="T110" s="20" t="n">
        <v>0.083</v>
      </c>
      <c r="U110" s="20" t="n">
        <v>-0.218</v>
      </c>
      <c r="V110" s="20" t="n">
        <v>0.043</v>
      </c>
      <c r="W110" s="20" t="n">
        <v>-0.332</v>
      </c>
      <c r="X110" s="20" t="n">
        <v>5.76</v>
      </c>
    </row>
    <row r="111">
      <c r="A111" s="18" t="inlineStr">
        <is>
          <t>영업외수익 합계</t>
        </is>
      </c>
      <c r="C111" s="20" t="n">
        <v>-1.711</v>
      </c>
      <c r="D111" s="20" t="n">
        <v>0.147</v>
      </c>
      <c r="E111" s="20" t="n">
        <v>-1.673</v>
      </c>
      <c r="F111" s="20" t="n">
        <v>0.04</v>
      </c>
      <c r="G111" s="20" t="n">
        <v>2.912</v>
      </c>
      <c r="H111" s="20" t="n">
        <v>10.443</v>
      </c>
      <c r="I111" s="20" t="n">
        <v>16.671</v>
      </c>
      <c r="J111" s="20" t="n">
        <v>0.534</v>
      </c>
      <c r="K111" s="20" t="n">
        <v>4.707</v>
      </c>
      <c r="L111" s="20" t="n">
        <v>1.151</v>
      </c>
      <c r="M111" s="20" t="n">
        <v>40.692</v>
      </c>
      <c r="N111" s="20" t="n">
        <v>8.262</v>
      </c>
      <c r="T111" s="20" t="n">
        <v>0.718</v>
      </c>
      <c r="U111" s="20" t="n">
        <v>-0.188</v>
      </c>
      <c r="V111" s="20" t="n">
        <v>-1.673</v>
      </c>
      <c r="W111" s="20" t="n">
        <v>16.671</v>
      </c>
      <c r="X111" s="20" t="n">
        <v>40.692</v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IF(OR(G111="",C111=""),"",IF(G111*C111&lt;=0,"",IFERROR(G111/C111-1,"")))</f>
        <v/>
      </c>
      <c r="H112" s="15">
        <f>IF(OR(H111="",D111=""),"",IF(H111*D111&lt;=0,"",IFERROR(H111/D111-1,"")))</f>
        <v/>
      </c>
      <c r="I112" s="15">
        <f>IF(OR(I111="",E111=""),"",IF(I111*E111&lt;=0,"",IFERROR(I111/E111-1,"")))</f>
        <v/>
      </c>
      <c r="J112" s="15">
        <f>IF(OR(J111="",F111=""),"",IF(J111*F111&lt;=0,"",IFERROR(J111/F111-1,"")))</f>
        <v/>
      </c>
      <c r="K112" s="15">
        <f>IF(OR(K111="",G111=""),"",IF(K111*G111&lt;=0,"",IFERROR(K111/G111-1,"")))</f>
        <v/>
      </c>
      <c r="L112" s="15">
        <f>IF(OR(L111="",H111=""),"",IF(L111*H111&lt;=0,"",IFERROR(L111/H111-1,"")))</f>
        <v/>
      </c>
      <c r="M112" s="15">
        <f>IF(OR(M111="",I111=""),"",IF(M111*I111&lt;=0,"",IFERROR(M111/I111-1,"")))</f>
        <v/>
      </c>
      <c r="N112" s="15">
        <f>IF(OR(N111="",J111=""),"",IF(N111*J111&lt;=0,"",IFERROR(N111/J111-1,"")))</f>
        <v/>
      </c>
      <c r="T112" s="15">
        <f>IF(OR(T111="",S111=""),"",IF(T111*S111&lt;=0,"",IFERROR(T111/S111-1,"")))</f>
        <v/>
      </c>
      <c r="U112" s="15">
        <f>IF(OR(U111="",T111=""),"",IF(U111*T111&lt;=0,"",IFERROR(U111/T111-1,"")))</f>
        <v/>
      </c>
      <c r="V112" s="15">
        <f>IF(OR(V111="",U111=""),"",IF(V111*U111&lt;=0,"",IFERROR(V111/U111-1,"")))</f>
        <v/>
      </c>
      <c r="W112" s="15">
        <f>IF(OR(W111="",V111=""),"",IF(W111*V111&lt;=0,"",IFERROR(W111/V111-1,"")))</f>
        <v/>
      </c>
      <c r="X112" s="15">
        <f>IF(OR(X111="",W111=""),"",IF(X111*W111&lt;=0,"",IFERROR(X111/W111-1,"")))</f>
        <v/>
      </c>
    </row>
    <row r="113">
      <c r="A113" s="18" t="inlineStr">
        <is>
          <t>이자비용</t>
        </is>
      </c>
      <c r="C113" s="20" t="n">
        <v>10.091</v>
      </c>
      <c r="D113" s="20" t="n">
        <v>9.807</v>
      </c>
      <c r="E113" s="20" t="n">
        <v>14.15</v>
      </c>
      <c r="F113" s="20" t="n">
        <v>18.981</v>
      </c>
      <c r="G113" s="20" t="n">
        <v>19.341</v>
      </c>
      <c r="H113" s="20" t="n">
        <v>19.175</v>
      </c>
      <c r="I113" s="20" t="n">
        <v>19.879</v>
      </c>
      <c r="J113" s="20" t="n">
        <v>20.919</v>
      </c>
      <c r="K113" s="20" t="n">
        <v>19.055</v>
      </c>
      <c r="L113" s="20" t="n">
        <v>17.7</v>
      </c>
      <c r="M113" s="20" t="n">
        <v>17.984</v>
      </c>
      <c r="N113" s="20" t="n">
        <v>17.423</v>
      </c>
      <c r="T113" s="20" t="n">
        <v>10.651</v>
      </c>
      <c r="U113" s="20" t="n">
        <v>10.453</v>
      </c>
      <c r="V113" s="20" t="n">
        <v>14.15</v>
      </c>
      <c r="W113" s="20" t="n">
        <v>19.879</v>
      </c>
      <c r="X113" s="20" t="n">
        <v>17.984</v>
      </c>
    </row>
    <row r="114">
      <c r="A114" s="18" t="inlineStr">
        <is>
          <t>지급수수료</t>
        </is>
      </c>
      <c r="C114" s="20" t="n">
        <v>0.735</v>
      </c>
      <c r="D114" s="20" t="n">
        <v>31.754</v>
      </c>
      <c r="E114" s="20" t="n">
        <v>31.08</v>
      </c>
      <c r="F114" s="20" t="n">
        <v>0.996</v>
      </c>
      <c r="G114" s="20" t="n">
        <v>0.989</v>
      </c>
      <c r="H114" s="20" t="n">
        <v>0.99</v>
      </c>
      <c r="I114" s="20" t="n">
        <v>2.994</v>
      </c>
      <c r="J114" s="20" t="n">
        <v>1.011</v>
      </c>
      <c r="K114" s="20" t="n">
        <v>1.047</v>
      </c>
      <c r="L114" s="20" t="n">
        <v>1.052</v>
      </c>
      <c r="M114" s="20" t="n">
        <v>1.064</v>
      </c>
      <c r="N114" s="20" t="n">
        <v>1.505</v>
      </c>
      <c r="T114" s="20" t="n">
        <v>1.249</v>
      </c>
      <c r="U114" s="20" t="n">
        <v>0.67</v>
      </c>
      <c r="V114" s="20" t="n">
        <v>31.08</v>
      </c>
      <c r="W114" s="20" t="n">
        <v>2.994</v>
      </c>
      <c r="X114" s="20" t="n">
        <v>1.064</v>
      </c>
    </row>
    <row r="115">
      <c r="A115" s="18" t="inlineStr">
        <is>
          <t>외환차손</t>
        </is>
      </c>
      <c r="F115" s="20" t="n">
        <v>0.156</v>
      </c>
      <c r="J115" s="20" t="n">
        <v>4.484</v>
      </c>
      <c r="N115" s="20" t="n">
        <v>0</v>
      </c>
      <c r="T115" s="20" t="n">
        <v>-0.005</v>
      </c>
      <c r="U115" s="20" t="n">
        <v>0.482</v>
      </c>
    </row>
    <row r="116">
      <c r="A116" s="18" t="inlineStr">
        <is>
          <t>기타</t>
        </is>
      </c>
      <c r="C116" s="20" t="n">
        <v>0</v>
      </c>
      <c r="D116" s="20" t="n">
        <v>0.079</v>
      </c>
      <c r="E116" s="20" t="n">
        <v>1.453</v>
      </c>
      <c r="F116" s="20" t="n">
        <v>0.571</v>
      </c>
      <c r="G116" s="20" t="n">
        <v>1.185</v>
      </c>
      <c r="H116" s="20" t="n">
        <v>2.765</v>
      </c>
      <c r="I116" s="20" t="n">
        <v>0.696</v>
      </c>
      <c r="J116" s="20" t="n">
        <v>0</v>
      </c>
      <c r="K116" s="20" t="n">
        <v>5.233</v>
      </c>
      <c r="L116" s="20" t="n">
        <v>-2.973</v>
      </c>
      <c r="M116" s="20" t="n">
        <v>10.798</v>
      </c>
      <c r="T116" s="20" t="n">
        <v>-0.99</v>
      </c>
      <c r="U116" s="20" t="n">
        <v>1.849</v>
      </c>
      <c r="V116" s="20" t="n">
        <v>1.453</v>
      </c>
      <c r="W116" s="20" t="n">
        <v>0.696</v>
      </c>
      <c r="X116" s="20" t="n">
        <v>10.798</v>
      </c>
    </row>
    <row r="117">
      <c r="A117" s="18" t="inlineStr">
        <is>
          <t>영업외비용 합계</t>
        </is>
      </c>
      <c r="C117" s="20" t="n">
        <v>10.826</v>
      </c>
      <c r="D117" s="20" t="n">
        <v>41.641</v>
      </c>
      <c r="E117" s="20" t="n">
        <v>48.005</v>
      </c>
      <c r="F117" s="20" t="n">
        <v>20.706</v>
      </c>
      <c r="G117" s="20" t="n">
        <v>21.358</v>
      </c>
      <c r="H117" s="20" t="n">
        <v>22.929</v>
      </c>
      <c r="I117" s="20" t="n">
        <v>23.775</v>
      </c>
      <c r="J117" s="20" t="n">
        <v>26.416</v>
      </c>
      <c r="K117" s="20" t="n">
        <v>20.851</v>
      </c>
      <c r="L117" s="20" t="n">
        <v>15.778</v>
      </c>
      <c r="M117" s="20" t="n">
        <v>73.846</v>
      </c>
      <c r="N117" s="20" t="n">
        <v>18.929</v>
      </c>
      <c r="T117" s="20" t="n">
        <v>10.905</v>
      </c>
      <c r="U117" s="20" t="n">
        <v>13.455</v>
      </c>
      <c r="V117" s="20" t="n">
        <v>48.005</v>
      </c>
      <c r="W117" s="20" t="n">
        <v>23.775</v>
      </c>
      <c r="X117" s="20" t="n">
        <v>73.846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T118" s="15">
        <f>IF(OR(T117="",S117=""),"",IF(T117*S117&lt;=0,"",IFERROR(T117/S117-1,"")))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9" t="inlineStr">
        <is>
          <t>경상이익(손실)</t>
        </is>
      </c>
      <c r="C119" s="12" t="n">
        <v>451.256</v>
      </c>
      <c r="D119" s="12" t="n">
        <v>275.626</v>
      </c>
      <c r="E119" s="12" t="n">
        <v>63.961</v>
      </c>
      <c r="F119" s="12" t="n">
        <v>-88.452</v>
      </c>
      <c r="G119" s="12" t="n">
        <v>-265.834</v>
      </c>
      <c r="H119" s="12" t="n">
        <v>275.695</v>
      </c>
      <c r="I119" s="12" t="n">
        <v>131.897</v>
      </c>
      <c r="J119" s="12" t="n">
        <v>-107.604</v>
      </c>
      <c r="K119" s="12" t="n">
        <v>-509.261</v>
      </c>
      <c r="L119" s="12" t="n">
        <v>657.097</v>
      </c>
      <c r="M119" s="12" t="n">
        <v>278.679</v>
      </c>
      <c r="N119" s="12" t="n">
        <v>512.1950000000001</v>
      </c>
      <c r="T119" s="12" t="n">
        <v>160.941</v>
      </c>
      <c r="U119" s="12" t="n">
        <v>167.092</v>
      </c>
      <c r="V119" s="12" t="n">
        <v>63.961</v>
      </c>
      <c r="W119" s="12" t="n">
        <v>131.897</v>
      </c>
      <c r="X119" s="12" t="n">
        <v>278.679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IF(OR(G119="",C119=""),"",IF(C119&lt;=0,"",IFERROR(G119/C119-1,"")))</f>
        <v/>
      </c>
      <c r="H120" s="15">
        <f>IF(OR(H119="",D119=""),"",IF(D119&lt;=0,"",IFERROR(H119/D119-1,"")))</f>
        <v/>
      </c>
      <c r="I120" s="15">
        <f>IF(OR(I119="",E119=""),"",IF(E119&lt;=0,"",IFERROR(I119/E119-1,"")))</f>
        <v/>
      </c>
      <c r="J120" s="15">
        <f>IF(OR(J119="",F119=""),"",IF(F119&lt;=0,"",IFERROR(J119/F119-1,"")))</f>
        <v/>
      </c>
      <c r="K120" s="15">
        <f>IF(OR(K119="",G119=""),"",IF(G119&lt;=0,"",IFERROR(K119/G119-1,"")))</f>
        <v/>
      </c>
      <c r="L120" s="15">
        <f>IF(OR(L119="",H119=""),"",IF(H119&lt;=0,"",IFERROR(L119/H119-1,"")))</f>
        <v/>
      </c>
      <c r="M120" s="15">
        <f>IF(OR(M119="",I119=""),"",IF(I119&lt;=0,"",IFERROR(M119/I119-1,"")))</f>
        <v/>
      </c>
      <c r="N120" s="15">
        <f>IF(OR(N119="",J119=""),"",IF(J119&lt;=0,"",IFERROR(N119/J119-1,"")))</f>
        <v/>
      </c>
      <c r="T120" s="15">
        <f>IF(OR(T119="",S119=""),"",IF(S119&lt;=0,"",IFERROR(T119/S119-1,"")))</f>
        <v/>
      </c>
      <c r="U120" s="15">
        <f>IF(OR(U119="",T119=""),"",IF(T119&lt;=0,"",IFERROR(U119/T119-1,"")))</f>
        <v/>
      </c>
      <c r="V120" s="15">
        <f>IF(OR(V119="",U119=""),"",IF(U119&lt;=0,"",IFERROR(V119/U119-1,"")))</f>
        <v/>
      </c>
      <c r="W120" s="15">
        <f>IF(OR(W119="",V119=""),"",IF(V119&lt;=0,"",IFERROR(W119/V119-1,"")))</f>
        <v/>
      </c>
      <c r="X120" s="15">
        <f>IF(OR(X119="",W119=""),"",IF(W119&lt;=0,"",IFERROR(X119/W119-1,"")))</f>
        <v/>
      </c>
    </row>
    <row r="121">
      <c r="A121" s="18" t="inlineStr">
        <is>
          <t>신주예약권 환입이익</t>
        </is>
      </c>
      <c r="T121" s="20" t="n">
        <v>0</v>
      </c>
      <c r="U121" s="20" t="n">
        <v>0</v>
      </c>
    </row>
    <row r="122">
      <c r="A122" s="18" t="inlineStr">
        <is>
          <t>특별이익 합계</t>
        </is>
      </c>
      <c r="I122" s="20" t="n">
        <v>0</v>
      </c>
      <c r="M122" s="20" t="n">
        <v>2582.999</v>
      </c>
      <c r="T122" s="20" t="n">
        <v>0</v>
      </c>
      <c r="U122" s="20" t="n">
        <v>0</v>
      </c>
      <c r="W122" s="20" t="n">
        <v>0</v>
      </c>
      <c r="X122" s="20" t="n">
        <v>2582.999</v>
      </c>
    </row>
    <row r="123">
      <c r="A123" s="43" t="inlineStr">
        <is>
          <t>YoY</t>
        </is>
      </c>
      <c r="B123" s="3" t="inlineStr">
        <is>
          <t>전년 같은 분기·전년 대비</t>
        </is>
      </c>
      <c r="I123" s="15">
        <f>IF(OR(I122="",E122=""),"",IF(I122*E122&lt;=0,"",IFERROR(I122/E122-1,"")))</f>
        <v/>
      </c>
      <c r="M123" s="15">
        <f>IF(OR(M122="",I122=""),"",IF(M122*I122&lt;=0,"",IFERROR(M122/I122-1,"")))</f>
        <v/>
      </c>
      <c r="T123" s="15">
        <f>IF(OR(T122="",S122=""),"",IF(T122*S122&lt;=0,"",IFERROR(T122/S122-1,"")))</f>
        <v/>
      </c>
      <c r="U123" s="15">
        <f>IF(OR(U122="",T122=""),"",IF(U122*T122&lt;=0,"",IFERROR(U122/T122-1,"")))</f>
        <v/>
      </c>
      <c r="W123" s="15">
        <f>IF(OR(W122="",V122=""),"",IF(W122*V122&lt;=0,"",IFERROR(W122/V122-1,"")))</f>
        <v/>
      </c>
      <c r="X123" s="15">
        <f>IF(OR(X122="",W122=""),"",IF(X122*W122&lt;=0,"",IFERROR(X122/W122-1,"")))</f>
        <v/>
      </c>
    </row>
    <row r="124">
      <c r="A124" s="18" t="inlineStr">
        <is>
          <t>손상차손</t>
        </is>
      </c>
      <c r="C124" s="20" t="n">
        <v>192.857</v>
      </c>
      <c r="D124" s="20" t="n">
        <v>0</v>
      </c>
      <c r="E124" s="20" t="n">
        <v>137.049</v>
      </c>
      <c r="F124" s="20" t="n">
        <v>0</v>
      </c>
      <c r="G124" s="20" t="n">
        <v>601.886</v>
      </c>
      <c r="H124" s="20" t="n">
        <v>0</v>
      </c>
      <c r="I124" s="20" t="n">
        <v>520</v>
      </c>
      <c r="J124" s="20" t="n">
        <v>1563.462</v>
      </c>
      <c r="K124" s="20" t="n">
        <v>0</v>
      </c>
      <c r="L124" s="20" t="n">
        <v>0</v>
      </c>
      <c r="M124" s="20" t="n">
        <v>488.396</v>
      </c>
      <c r="N124" s="20" t="n">
        <v>0</v>
      </c>
      <c r="T124" s="20" t="n">
        <v>209.709</v>
      </c>
      <c r="U124" s="20" t="n">
        <v>50</v>
      </c>
      <c r="V124" s="20" t="n">
        <v>137.049</v>
      </c>
      <c r="W124" s="20" t="n">
        <v>520</v>
      </c>
      <c r="X124" s="20" t="n">
        <v>488.396</v>
      </c>
    </row>
    <row r="125">
      <c r="A125" s="18" t="inlineStr">
        <is>
          <t>특별손실 합계</t>
        </is>
      </c>
      <c r="C125" s="20" t="n">
        <v>192.857</v>
      </c>
      <c r="D125" s="20" t="n">
        <v>0</v>
      </c>
      <c r="E125" s="20" t="n">
        <v>137.049</v>
      </c>
      <c r="F125" s="20" t="n">
        <v>0</v>
      </c>
      <c r="G125" s="20" t="n">
        <v>601.886</v>
      </c>
      <c r="H125" s="20" t="n">
        <v>0</v>
      </c>
      <c r="I125" s="20" t="n">
        <v>569.92</v>
      </c>
      <c r="J125" s="20" t="n">
        <v>1563.462</v>
      </c>
      <c r="K125" s="20" t="n">
        <v>0</v>
      </c>
      <c r="L125" s="20" t="n">
        <v>0</v>
      </c>
      <c r="M125" s="20" t="n">
        <v>488.396</v>
      </c>
      <c r="N125" s="20" t="n">
        <v>0</v>
      </c>
      <c r="T125" s="20" t="n">
        <v>306</v>
      </c>
      <c r="U125" s="20" t="n">
        <v>50</v>
      </c>
      <c r="V125" s="20" t="n">
        <v>137.049</v>
      </c>
      <c r="W125" s="20" t="n">
        <v>569.92</v>
      </c>
      <c r="X125" s="20" t="n">
        <v>488.396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IF(OR(G125="",C125=""),"",IF(G125*C125&lt;=0,"",IFERROR(G125/C125-1,"")))</f>
        <v/>
      </c>
      <c r="H126" s="15">
        <f>IF(OR(H125="",D125=""),"",IF(H125*D125&lt;=0,"",IFERROR(H125/D125-1,"")))</f>
        <v/>
      </c>
      <c r="I126" s="15">
        <f>IF(OR(I125="",E125=""),"",IF(I125*E125&lt;=0,"",IFERROR(I125/E125-1,"")))</f>
        <v/>
      </c>
      <c r="J126" s="15">
        <f>IF(OR(J125="",F125=""),"",IF(J125*F125&lt;=0,"",IFERROR(J125/F125-1,"")))</f>
        <v/>
      </c>
      <c r="K126" s="15">
        <f>IF(OR(K125="",G125=""),"",IF(K125*G125&lt;=0,"",IFERROR(K125/G125-1,"")))</f>
        <v/>
      </c>
      <c r="L126" s="15">
        <f>IF(OR(L125="",H125=""),"",IF(L125*H125&lt;=0,"",IFERROR(L125/H125-1,"")))</f>
        <v/>
      </c>
      <c r="M126" s="15">
        <f>IF(OR(M125="",I125=""),"",IF(M125*I125&lt;=0,"",IFERROR(M125/I125-1,"")))</f>
        <v/>
      </c>
      <c r="N126" s="15">
        <f>IF(OR(N125="",J125=""),"",IF(N125*J125&lt;=0,"",IFERROR(N125/J125-1,"")))</f>
        <v/>
      </c>
      <c r="T126" s="15">
        <f>IF(OR(T125="",S125=""),"",IF(T125*S125&lt;=0,"",IFERROR(T125/S125-1,"")))</f>
        <v/>
      </c>
      <c r="U126" s="15">
        <f>IF(OR(U125="",T125=""),"",IF(U125*T125&lt;=0,"",IFERROR(U125/T125-1,"")))</f>
        <v/>
      </c>
      <c r="V126" s="15">
        <f>IF(OR(V125="",U125=""),"",IF(V125*U125&lt;=0,"",IFERROR(V125/U125-1,"")))</f>
        <v/>
      </c>
      <c r="W126" s="15">
        <f>IF(OR(W125="",V125=""),"",IF(W125*V125&lt;=0,"",IFERROR(W125/V125-1,"")))</f>
        <v/>
      </c>
      <c r="X126" s="15">
        <f>IF(OR(X125="",W125=""),"",IF(X125*W125&lt;=0,"",IFERROR(X125/W125-1,"")))</f>
        <v/>
      </c>
    </row>
    <row r="127">
      <c r="A127" s="9" t="inlineStr">
        <is>
          <t>법인세차감전 중간순이익(손실)</t>
        </is>
      </c>
      <c r="C127" s="12" t="n">
        <v>258.398</v>
      </c>
      <c r="D127" s="12" t="n">
        <v>275.625</v>
      </c>
      <c r="E127" s="12" t="n">
        <v>-73.08799999999999</v>
      </c>
      <c r="F127" s="12" t="n">
        <v>-88.452</v>
      </c>
      <c r="G127" s="12" t="n">
        <v>-867.72</v>
      </c>
      <c r="H127" s="12" t="n">
        <v>275.695</v>
      </c>
      <c r="I127" s="12" t="n">
        <v>-438.023</v>
      </c>
      <c r="J127" s="12" t="n">
        <v>-1671.067</v>
      </c>
      <c r="K127" s="12" t="n">
        <v>-509.26</v>
      </c>
      <c r="L127" s="12" t="n">
        <v>659.612</v>
      </c>
      <c r="M127" s="12" t="n">
        <v>2373.282</v>
      </c>
      <c r="N127" s="12" t="n">
        <v>512.1950000000001</v>
      </c>
      <c r="T127" s="12" t="n">
        <v>-145.059</v>
      </c>
      <c r="U127" s="12" t="n">
        <v>117.091</v>
      </c>
      <c r="V127" s="12" t="n">
        <v>-73.08799999999999</v>
      </c>
      <c r="W127" s="12" t="n">
        <v>-438.023</v>
      </c>
      <c r="X127" s="12" t="n">
        <v>2373.282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IF(OR(G127="",C127=""),"",IF(C127&lt;=0,"",IFERROR(G127/C127-1,"")))</f>
        <v/>
      </c>
      <c r="H128" s="15">
        <f>IF(OR(H127="",D127=""),"",IF(D127&lt;=0,"",IFERROR(H127/D127-1,"")))</f>
        <v/>
      </c>
      <c r="I128" s="15">
        <f>IF(OR(I127="",E127=""),"",IF(E127&lt;=0,"",IFERROR(I127/E127-1,"")))</f>
        <v/>
      </c>
      <c r="J128" s="15">
        <f>IF(OR(J127="",F127=""),"",IF(F127&lt;=0,"",IFERROR(J127/F127-1,"")))</f>
        <v/>
      </c>
      <c r="K128" s="15">
        <f>IF(OR(K127="",G127=""),"",IF(G127&lt;=0,"",IFERROR(K127/G127-1,"")))</f>
        <v/>
      </c>
      <c r="L128" s="15">
        <f>IF(OR(L127="",H127=""),"",IF(H127&lt;=0,"",IFERROR(L127/H127-1,"")))</f>
        <v/>
      </c>
      <c r="M128" s="15">
        <f>IF(OR(M127="",I127=""),"",IF(I127&lt;=0,"",IFERROR(M127/I127-1,"")))</f>
        <v/>
      </c>
      <c r="N128" s="15">
        <f>IF(OR(N127="",J127=""),"",IF(J127&lt;=0,"",IFERROR(N127/J127-1,"")))</f>
        <v/>
      </c>
      <c r="T128" s="15">
        <f>IF(OR(T127="",S127=""),"",IF(S127&lt;=0,"",IFERROR(T127/S127-1,"")))</f>
        <v/>
      </c>
      <c r="U128" s="15">
        <f>IF(OR(U127="",T127=""),"",IF(T127&lt;=0,"",IFERROR(U127/T127-1,"")))</f>
        <v/>
      </c>
      <c r="V128" s="15">
        <f>IF(OR(V127="",U127=""),"",IF(U127&lt;=0,"",IFERROR(V127/U127-1,"")))</f>
        <v/>
      </c>
      <c r="W128" s="15">
        <f>IF(OR(W127="",V127=""),"",IF(V127&lt;=0,"",IFERROR(W127/V127-1,"")))</f>
        <v/>
      </c>
      <c r="X128" s="15">
        <f>IF(OR(X127="",W127=""),"",IF(W127&lt;=0,"",IFERROR(X127/W127-1,"")))</f>
        <v/>
      </c>
    </row>
    <row r="129">
      <c r="A129" s="18" t="inlineStr">
        <is>
          <t>법인세·주민세·사업세</t>
        </is>
      </c>
      <c r="C129" s="20" t="n">
        <v>88.31399999999999</v>
      </c>
      <c r="D129" s="20" t="n">
        <v>-31.905</v>
      </c>
      <c r="E129" s="20" t="n">
        <v>26.24</v>
      </c>
      <c r="F129" s="20" t="n">
        <v>22.959</v>
      </c>
      <c r="G129" s="20" t="n">
        <v>42.316</v>
      </c>
      <c r="H129" s="20" t="n">
        <v>60.46</v>
      </c>
      <c r="I129" s="20" t="n">
        <v>24.253</v>
      </c>
      <c r="J129" s="20" t="n">
        <v>20.975</v>
      </c>
      <c r="K129" s="20" t="n">
        <v>36.497</v>
      </c>
      <c r="L129" s="20" t="n">
        <v>58.762</v>
      </c>
      <c r="M129" s="20" t="n">
        <v>492.318</v>
      </c>
      <c r="N129" s="20" t="n">
        <v>193.092</v>
      </c>
      <c r="T129" s="20" t="n">
        <v>83.306</v>
      </c>
      <c r="U129" s="20" t="n">
        <v>155.92</v>
      </c>
      <c r="V129" s="20" t="n">
        <v>26.24</v>
      </c>
      <c r="W129" s="20" t="n">
        <v>24.253</v>
      </c>
      <c r="X129" s="20" t="n">
        <v>492.318</v>
      </c>
    </row>
    <row r="130">
      <c r="A130" s="18" t="inlineStr">
        <is>
          <t>법인세 조정액</t>
        </is>
      </c>
      <c r="C130" s="20" t="n">
        <v>-103.229</v>
      </c>
      <c r="D130" s="20" t="n">
        <v>40.087</v>
      </c>
      <c r="E130" s="20" t="n">
        <v>-106.543</v>
      </c>
      <c r="F130" s="20" t="n">
        <v>41.571</v>
      </c>
      <c r="G130" s="20" t="n">
        <v>-42.082</v>
      </c>
      <c r="H130" s="20" t="n">
        <v>16.723</v>
      </c>
      <c r="I130" s="20" t="n">
        <v>-251.019</v>
      </c>
      <c r="J130" s="20" t="n">
        <v>106.304</v>
      </c>
      <c r="K130" s="20" t="n">
        <v>17.364</v>
      </c>
      <c r="L130" s="20" t="n">
        <v>-20.497</v>
      </c>
      <c r="M130" s="20" t="n">
        <v>-74.306</v>
      </c>
      <c r="N130" s="20" t="n">
        <v>-4.699</v>
      </c>
      <c r="T130" s="20" t="n">
        <v>-182.737</v>
      </c>
      <c r="U130" s="20" t="n">
        <v>-31.773</v>
      </c>
      <c r="V130" s="20" t="n">
        <v>-106.543</v>
      </c>
      <c r="W130" s="20" t="n">
        <v>-251.019</v>
      </c>
      <c r="X130" s="20" t="n">
        <v>-74.306</v>
      </c>
    </row>
    <row r="131">
      <c r="A131" s="18" t="inlineStr">
        <is>
          <t>법인세 등 합계</t>
        </is>
      </c>
      <c r="C131" s="20" t="n">
        <v>-14.915</v>
      </c>
      <c r="D131" s="20" t="n">
        <v>8.182</v>
      </c>
      <c r="E131" s="20" t="n">
        <v>-80.303</v>
      </c>
      <c r="F131" s="20" t="n">
        <v>64.53</v>
      </c>
      <c r="G131" s="20" t="n">
        <v>0.234</v>
      </c>
      <c r="H131" s="20" t="n">
        <v>77.184</v>
      </c>
      <c r="I131" s="20" t="n">
        <v>-226.767</v>
      </c>
      <c r="J131" s="20" t="n">
        <v>127.279</v>
      </c>
      <c r="K131" s="20" t="n">
        <v>53.862</v>
      </c>
      <c r="L131" s="20" t="n">
        <v>38.265</v>
      </c>
      <c r="M131" s="20" t="n">
        <v>418.011</v>
      </c>
      <c r="N131" s="20" t="n">
        <v>188.393</v>
      </c>
      <c r="T131" s="20" t="n">
        <v>-99.432</v>
      </c>
      <c r="U131" s="20" t="n">
        <v>124.145</v>
      </c>
      <c r="V131" s="20" t="n">
        <v>-80.303</v>
      </c>
      <c r="W131" s="20" t="n">
        <v>-226.767</v>
      </c>
      <c r="X131" s="20" t="n">
        <v>418.011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IF(OR(G131="",C131=""),"",IF(G131*C131&lt;=0,"",IFERROR(G131/C131-1,"")))</f>
        <v/>
      </c>
      <c r="H132" s="15">
        <f>IF(OR(H131="",D131=""),"",IF(H131*D131&lt;=0,"",IFERROR(H131/D131-1,"")))</f>
        <v/>
      </c>
      <c r="I132" s="15">
        <f>IF(OR(I131="",E131=""),"",IF(I131*E131&lt;=0,"",IFERROR(I131/E131-1,"")))</f>
        <v/>
      </c>
      <c r="J132" s="15">
        <f>IF(OR(J131="",F131=""),"",IF(J131*F131&lt;=0,"",IFERROR(J131/F131-1,"")))</f>
        <v/>
      </c>
      <c r="K132" s="15">
        <f>IF(OR(K131="",G131=""),"",IF(K131*G131&lt;=0,"",IFERROR(K131/G131-1,"")))</f>
        <v/>
      </c>
      <c r="L132" s="15">
        <f>IF(OR(L131="",H131=""),"",IF(L131*H131&lt;=0,"",IFERROR(L131/H131-1,"")))</f>
        <v/>
      </c>
      <c r="M132" s="15">
        <f>IF(OR(M131="",I131=""),"",IF(M131*I131&lt;=0,"",IFERROR(M131/I131-1,"")))</f>
        <v/>
      </c>
      <c r="N132" s="15">
        <f>IF(OR(N131="",J131=""),"",IF(N131*J131&lt;=0,"",IFERROR(N131/J131-1,"")))</f>
        <v/>
      </c>
      <c r="T132" s="15">
        <f>IF(OR(T131="",S131=""),"",IF(T131*S131&lt;=0,"",IFERROR(T131/S131-1,"")))</f>
        <v/>
      </c>
      <c r="U132" s="15">
        <f>IF(OR(U131="",T131=""),"",IF(U131*T131&lt;=0,"",IFERROR(U131/T131-1,"")))</f>
        <v/>
      </c>
      <c r="V132" s="15">
        <f>IF(OR(V131="",U131=""),"",IF(V131*U131&lt;=0,"",IFERROR(V131/U131-1,"")))</f>
        <v/>
      </c>
      <c r="W132" s="15">
        <f>IF(OR(W131="",V131=""),"",IF(W131*V131&lt;=0,"",IFERROR(W131/V131-1,"")))</f>
        <v/>
      </c>
      <c r="X132" s="15">
        <f>IF(OR(X131="",W131=""),"",IF(X131*W131&lt;=0,"",IFERROR(X131/W131-1,"")))</f>
        <v/>
      </c>
    </row>
    <row r="133">
      <c r="A133" s="9" t="inlineStr">
        <is>
          <t>중간순이익(손실)</t>
        </is>
      </c>
      <c r="C133" s="12" t="n">
        <v>273.314</v>
      </c>
      <c r="D133" s="12" t="n">
        <v>267.443</v>
      </c>
      <c r="E133" s="12" t="n">
        <v>7.215</v>
      </c>
      <c r="F133" s="12" t="n">
        <v>-152.983</v>
      </c>
      <c r="G133" s="12" t="n">
        <v>-867.954</v>
      </c>
      <c r="H133" s="12" t="n">
        <v>198.511</v>
      </c>
      <c r="I133" s="12" t="n">
        <v>-211.255</v>
      </c>
      <c r="J133" s="12" t="n">
        <v>-1798.346</v>
      </c>
      <c r="K133" s="12" t="n">
        <v>-563.123</v>
      </c>
      <c r="L133" s="12" t="n">
        <v>621.348</v>
      </c>
      <c r="M133" s="12" t="n">
        <v>1955.27</v>
      </c>
      <c r="N133" s="12" t="n">
        <v>323.802</v>
      </c>
      <c r="T133" s="12" t="n">
        <v>-45.627</v>
      </c>
      <c r="U133" s="12" t="n">
        <v>-7.054</v>
      </c>
      <c r="V133" s="12" t="n">
        <v>7.215</v>
      </c>
      <c r="W133" s="12" t="n">
        <v>-211.255</v>
      </c>
      <c r="X133" s="12" t="n">
        <v>1955.27</v>
      </c>
    </row>
    <row r="134">
      <c r="A134" s="43" t="inlineStr">
        <is>
          <t>YoY</t>
        </is>
      </c>
      <c r="B134" s="3" t="inlineStr">
        <is>
          <t>전년 같은 분기·전년 대비</t>
        </is>
      </c>
      <c r="G134" s="15">
        <f>IF(OR(G133="",C133=""),"",IF(C133&lt;=0,"",IFERROR(G133/C133-1,"")))</f>
        <v/>
      </c>
      <c r="H134" s="15">
        <f>IF(OR(H133="",D133=""),"",IF(D133&lt;=0,"",IFERROR(H133/D133-1,"")))</f>
        <v/>
      </c>
      <c r="I134" s="15">
        <f>IF(OR(I133="",E133=""),"",IF(E133&lt;=0,"",IFERROR(I133/E133-1,"")))</f>
        <v/>
      </c>
      <c r="J134" s="15">
        <f>IF(OR(J133="",F133=""),"",IF(F133&lt;=0,"",IFERROR(J133/F133-1,"")))</f>
        <v/>
      </c>
      <c r="K134" s="15">
        <f>IF(OR(K133="",G133=""),"",IF(G133&lt;=0,"",IFERROR(K133/G133-1,"")))</f>
        <v/>
      </c>
      <c r="L134" s="15">
        <f>IF(OR(L133="",H133=""),"",IF(H133&lt;=0,"",IFERROR(L133/H133-1,"")))</f>
        <v/>
      </c>
      <c r="M134" s="15">
        <f>IF(OR(M133="",I133=""),"",IF(I133&lt;=0,"",IFERROR(M133/I133-1,"")))</f>
        <v/>
      </c>
      <c r="N134" s="15">
        <f>IF(OR(N133="",J133=""),"",IF(J133&lt;=0,"",IFERROR(N133/J133-1,"")))</f>
        <v/>
      </c>
      <c r="T134" s="15">
        <f>IF(OR(T133="",S133=""),"",IF(S133&lt;=0,"",IFERROR(T133/S133-1,"")))</f>
        <v/>
      </c>
      <c r="U134" s="15">
        <f>IF(OR(U133="",T133=""),"",IF(T133&lt;=0,"",IFERROR(U133/T133-1,"")))</f>
        <v/>
      </c>
      <c r="V134" s="15">
        <f>IF(OR(V133="",U133=""),"",IF(U133&lt;=0,"",IFERROR(V133/U133-1,"")))</f>
        <v/>
      </c>
      <c r="W134" s="15">
        <f>IF(OR(W133="",V133=""),"",IF(V133&lt;=0,"",IFERROR(W133/V133-1,"")))</f>
        <v/>
      </c>
      <c r="X134" s="15">
        <f>IF(OR(X133="",W133=""),"",IF(W133&lt;=0,"",IFERROR(X133/W133-1,"")))</f>
        <v/>
      </c>
    </row>
    <row r="135">
      <c r="A135" s="9" t="inlineStr">
        <is>
          <t>비지배주주 순이익</t>
        </is>
      </c>
      <c r="C135" s="12" t="n">
        <v>0.87</v>
      </c>
      <c r="D135" s="12" t="n">
        <v>0.6870000000000001</v>
      </c>
      <c r="E135" s="12" t="n">
        <v>0.5570000000000001</v>
      </c>
      <c r="F135" s="12" t="n">
        <v>0.644</v>
      </c>
      <c r="G135" s="12" t="n">
        <v>0.446</v>
      </c>
      <c r="H135" s="12" t="n">
        <v>0.41</v>
      </c>
      <c r="I135" s="12" t="n">
        <v>0.387</v>
      </c>
      <c r="J135" s="12" t="n">
        <v>0.722</v>
      </c>
      <c r="K135" s="12" t="n">
        <v>0.203</v>
      </c>
      <c r="L135" s="12" t="n">
        <v>0.304</v>
      </c>
      <c r="M135" s="12" t="n">
        <v>0.25</v>
      </c>
      <c r="N135" s="12" t="n">
        <v>0.472</v>
      </c>
      <c r="T135" s="12" t="n">
        <v>0.328</v>
      </c>
      <c r="U135" s="12" t="n">
        <v>0.544</v>
      </c>
      <c r="V135" s="12" t="n">
        <v>0.5570000000000001</v>
      </c>
      <c r="W135" s="12" t="n">
        <v>0.387</v>
      </c>
      <c r="X135" s="12" t="n">
        <v>0.25</v>
      </c>
    </row>
    <row r="136">
      <c r="A136" s="9" t="inlineStr">
        <is>
          <t>지배주주 귀속 중간순이익(손실)</t>
        </is>
      </c>
      <c r="C136" s="12" t="n">
        <v>272.444</v>
      </c>
      <c r="D136" s="12" t="n">
        <v>266.756</v>
      </c>
      <c r="E136" s="12" t="n">
        <v>6.658</v>
      </c>
      <c r="F136" s="12" t="n">
        <v>-153.628</v>
      </c>
      <c r="G136" s="12" t="n">
        <v>-868.4</v>
      </c>
      <c r="H136" s="12" t="n">
        <v>198.102</v>
      </c>
      <c r="I136" s="12" t="n">
        <v>-211.643</v>
      </c>
      <c r="J136" s="12" t="n">
        <v>-1799.068</v>
      </c>
      <c r="K136" s="12" t="n">
        <v>-563.327</v>
      </c>
      <c r="L136" s="12" t="n">
        <v>621.045</v>
      </c>
      <c r="M136" s="12" t="n">
        <v>1955.019</v>
      </c>
      <c r="N136" s="12" t="n">
        <v>323.33</v>
      </c>
      <c r="T136" s="12" t="n">
        <v>-45.956</v>
      </c>
      <c r="U136" s="12" t="n">
        <v>-7.598</v>
      </c>
      <c r="V136" s="12" t="n">
        <v>6.658</v>
      </c>
      <c r="W136" s="12" t="n">
        <v>-211.643</v>
      </c>
      <c r="X136" s="12" t="n">
        <v>1955.019</v>
      </c>
    </row>
    <row r="137">
      <c r="A137" s="43" t="inlineStr">
        <is>
          <t>YoY</t>
        </is>
      </c>
      <c r="B137" s="3" t="inlineStr">
        <is>
          <t>전년 같은 분기·전년 대비</t>
        </is>
      </c>
      <c r="G137" s="15">
        <f>IF(OR(G136="",C136=""),"",IF(C136&lt;=0,"",IFERROR(G136/C136-1,"")))</f>
        <v/>
      </c>
      <c r="H137" s="15">
        <f>IF(OR(H136="",D136=""),"",IF(D136&lt;=0,"",IFERROR(H136/D136-1,"")))</f>
        <v/>
      </c>
      <c r="I137" s="15">
        <f>IF(OR(I136="",E136=""),"",IF(E136&lt;=0,"",IFERROR(I136/E136-1,"")))</f>
        <v/>
      </c>
      <c r="J137" s="15">
        <f>IF(OR(J136="",F136=""),"",IF(F136&lt;=0,"",IFERROR(J136/F136-1,"")))</f>
        <v/>
      </c>
      <c r="K137" s="15">
        <f>IF(OR(K136="",G136=""),"",IF(G136&lt;=0,"",IFERROR(K136/G136-1,"")))</f>
        <v/>
      </c>
      <c r="L137" s="15">
        <f>IF(OR(L136="",H136=""),"",IF(H136&lt;=0,"",IFERROR(L136/H136-1,"")))</f>
        <v/>
      </c>
      <c r="M137" s="15">
        <f>IF(OR(M136="",I136=""),"",IF(I136&lt;=0,"",IFERROR(M136/I136-1,"")))</f>
        <v/>
      </c>
      <c r="N137" s="15">
        <f>IF(OR(N136="",J136=""),"",IF(J136&lt;=0,"",IFERROR(N136/J136-1,"")))</f>
        <v/>
      </c>
      <c r="T137" s="15">
        <f>IF(OR(T136="",S136=""),"",IF(S136&lt;=0,"",IFERROR(T136/S136-1,"")))</f>
        <v/>
      </c>
      <c r="U137" s="15">
        <f>IF(OR(U136="",T136=""),"",IF(T136&lt;=0,"",IFERROR(U136/T136-1,"")))</f>
        <v/>
      </c>
      <c r="V137" s="15">
        <f>IF(OR(V136="",U136=""),"",IF(U136&lt;=0,"",IFERROR(V136/U136-1,"")))</f>
        <v/>
      </c>
      <c r="W137" s="15">
        <f>IF(OR(W136="",V136=""),"",IF(V136&lt;=0,"",IFERROR(W136/V136-1,"")))</f>
        <v/>
      </c>
      <c r="X137" s="15">
        <f>IF(OR(X136="",W136=""),"",IF(W136&lt;=0,"",IFERROR(X136/W136-1,"")))</f>
        <v/>
      </c>
    </row>
    <row r="139">
      <c r="A139" s="16" t="inlineStr">
        <is>
          <t>포괄손익 · 전 항목</t>
        </is>
      </c>
      <c r="B139" s="42" t="inlineStr">
        <is>
          <t>분기 = 3개월 단독</t>
        </is>
      </c>
      <c r="C139" s="16" t="n"/>
      <c r="D139" s="16" t="n"/>
      <c r="E139" s="16" t="n"/>
      <c r="F139" s="16" t="n"/>
      <c r="G139" s="16" t="n"/>
      <c r="H139" s="16" t="n"/>
      <c r="I139" s="16" t="n"/>
      <c r="J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  <c r="V139" s="16" t="n"/>
      <c r="W139" s="16" t="n"/>
      <c r="X139" s="16" t="n"/>
      <c r="Y139" s="16" t="n"/>
      <c r="Z139" s="16" t="n"/>
      <c r="AA139" s="16" t="n"/>
      <c r="AB139" s="16" t="n"/>
      <c r="AC139" s="16" t="n"/>
    </row>
    <row r="140">
      <c r="A140" s="5" t="inlineStr">
        <is>
          <t>항목</t>
        </is>
      </c>
      <c r="B140" s="5" t="inlineStr">
        <is>
          <t>참고</t>
        </is>
      </c>
      <c r="C140" s="5" t="inlineStr">
        <is>
          <t>2024.2Q</t>
        </is>
      </c>
      <c r="D140" s="5" t="inlineStr">
        <is>
          <t>2024.3Q</t>
        </is>
      </c>
      <c r="E140" s="5" t="inlineStr">
        <is>
          <t>2024.4Q</t>
        </is>
      </c>
      <c r="F140" s="5" t="inlineStr">
        <is>
          <t>2025.1Q</t>
        </is>
      </c>
      <c r="G140" s="5" t="inlineStr">
        <is>
          <t>2025.2Q</t>
        </is>
      </c>
      <c r="H140" s="5" t="inlineStr">
        <is>
          <t>2025.3Q</t>
        </is>
      </c>
      <c r="I140" s="5" t="inlineStr">
        <is>
          <t>2025.4Q</t>
        </is>
      </c>
      <c r="J140" s="5" t="inlineStr">
        <is>
          <t>2026.1Q</t>
        </is>
      </c>
      <c r="K140" s="5" t="inlineStr">
        <is>
          <t>2026.2Q</t>
        </is>
      </c>
      <c r="L140" s="5" t="inlineStr">
        <is>
          <t>2026.3Q</t>
        </is>
      </c>
      <c r="M140" s="5" t="inlineStr">
        <is>
          <t>2026.4Q</t>
        </is>
      </c>
      <c r="N140" s="5" t="inlineStr">
        <is>
          <t>2027.1Q</t>
        </is>
      </c>
      <c r="O140" s="5" t="inlineStr">
        <is>
          <t>2017</t>
        </is>
      </c>
      <c r="P140" s="5" t="inlineStr">
        <is>
          <t>2018</t>
        </is>
      </c>
      <c r="Q140" s="5" t="inlineStr">
        <is>
          <t>2019</t>
        </is>
      </c>
      <c r="R140" s="5" t="inlineStr">
        <is>
          <t>2020</t>
        </is>
      </c>
      <c r="S140" s="5" t="inlineStr">
        <is>
          <t>2021</t>
        </is>
      </c>
      <c r="T140" s="5" t="inlineStr">
        <is>
          <t>2022</t>
        </is>
      </c>
      <c r="U140" s="5" t="inlineStr">
        <is>
          <t>2023</t>
        </is>
      </c>
      <c r="V140" s="5" t="inlineStr">
        <is>
          <t>2024</t>
        </is>
      </c>
      <c r="W140" s="5" t="inlineStr">
        <is>
          <t>2025</t>
        </is>
      </c>
      <c r="X140" s="5" t="inlineStr">
        <is>
          <t>2026</t>
        </is>
      </c>
      <c r="Y140" s="5" t="inlineStr">
        <is>
          <t>2027(MW)</t>
        </is>
      </c>
      <c r="Z140" s="5" t="inlineStr">
        <is>
          <t>2028(MW)</t>
        </is>
      </c>
      <c r="AA140" s="5" t="inlineStr">
        <is>
          <t>2029(MW)</t>
        </is>
      </c>
      <c r="AB140" s="5" t="inlineStr">
        <is>
          <t>2030(MW)</t>
        </is>
      </c>
      <c r="AC140" s="5" t="inlineStr">
        <is>
          <t>2031(MW)</t>
        </is>
      </c>
    </row>
    <row r="141">
      <c r="A141" s="9" t="inlineStr">
        <is>
          <t>중간순이익(손실)</t>
        </is>
      </c>
      <c r="C141" s="12" t="n">
        <v>273.314</v>
      </c>
      <c r="D141" s="12" t="n">
        <v>267.443</v>
      </c>
      <c r="E141" s="12" t="n">
        <v>7.215</v>
      </c>
      <c r="F141" s="12" t="n">
        <v>-152.983</v>
      </c>
      <c r="G141" s="12" t="n">
        <v>-867.954</v>
      </c>
      <c r="H141" s="12" t="n">
        <v>198.511</v>
      </c>
      <c r="I141" s="12" t="n">
        <v>-211.255</v>
      </c>
      <c r="J141" s="12" t="n">
        <v>-1798.346</v>
      </c>
      <c r="K141" s="12" t="n">
        <v>-563.123</v>
      </c>
      <c r="L141" s="12" t="n">
        <v>621.348</v>
      </c>
      <c r="M141" s="12" t="n">
        <v>1955.27</v>
      </c>
      <c r="N141" s="12" t="n">
        <v>323.802</v>
      </c>
      <c r="T141" s="12" t="n">
        <v>-45.627</v>
      </c>
      <c r="U141" s="12" t="n">
        <v>-7.054</v>
      </c>
      <c r="V141" s="12" t="n">
        <v>7.215</v>
      </c>
      <c r="W141" s="12" t="n">
        <v>-211.255</v>
      </c>
      <c r="X141" s="12" t="n">
        <v>1955.27</v>
      </c>
    </row>
    <row r="142">
      <c r="A142" s="18" t="inlineStr">
        <is>
          <t>기타유가증권 평가차액</t>
        </is>
      </c>
      <c r="C142" s="20" t="n">
        <v>-0.539</v>
      </c>
      <c r="D142" s="20" t="n">
        <v>0</v>
      </c>
      <c r="E142" s="20" t="n">
        <v>7.253</v>
      </c>
      <c r="F142" s="20" t="n">
        <v>21.002</v>
      </c>
      <c r="G142" s="20" t="n">
        <v>-10.929</v>
      </c>
      <c r="H142" s="20" t="n">
        <v>-5.476</v>
      </c>
      <c r="I142" s="20" t="n">
        <v>0.732</v>
      </c>
      <c r="J142" s="20" t="n">
        <v>0</v>
      </c>
      <c r="K142" s="20" t="n">
        <v>0</v>
      </c>
      <c r="L142" s="20" t="n">
        <v>0</v>
      </c>
      <c r="M142" s="20" t="n">
        <v>8.369999999999999</v>
      </c>
      <c r="T142" s="20" t="n">
        <v>0</v>
      </c>
      <c r="U142" s="20" t="n">
        <v>-2.225</v>
      </c>
      <c r="V142" s="20" t="n">
        <v>7.253</v>
      </c>
      <c r="W142" s="20" t="n">
        <v>0.732</v>
      </c>
      <c r="X142" s="20" t="n">
        <v>8.369999999999999</v>
      </c>
    </row>
    <row r="143">
      <c r="A143" s="18" t="inlineStr">
        <is>
          <t>해외사업환산조정</t>
        </is>
      </c>
      <c r="C143" s="20" t="n">
        <v>0</v>
      </c>
      <c r="D143" s="20" t="n">
        <v>0.711</v>
      </c>
      <c r="F143" s="20" t="n">
        <v>0.218</v>
      </c>
      <c r="G143" s="20" t="n">
        <v>0</v>
      </c>
      <c r="H143" s="20" t="n">
        <v>-0.005</v>
      </c>
      <c r="J143" s="20" t="n">
        <v>-0.903</v>
      </c>
      <c r="K143" s="20" t="n">
        <v>0.199</v>
      </c>
      <c r="L143" s="20" t="n">
        <v>0.695</v>
      </c>
      <c r="N143" s="20" t="n">
        <v>0</v>
      </c>
    </row>
    <row r="144">
      <c r="A144" s="18" t="inlineStr">
        <is>
          <t>기타포괄손익 합계</t>
        </is>
      </c>
      <c r="C144" s="20" t="n">
        <v>-0.538</v>
      </c>
      <c r="D144" s="20" t="n">
        <v>0.711</v>
      </c>
      <c r="E144" s="20" t="n">
        <v>7.253</v>
      </c>
      <c r="F144" s="20" t="n">
        <v>21.22</v>
      </c>
      <c r="G144" s="20" t="n">
        <v>-10.929</v>
      </c>
      <c r="H144" s="20" t="n">
        <v>-5.48</v>
      </c>
      <c r="I144" s="20" t="n">
        <v>0.731</v>
      </c>
      <c r="J144" s="20" t="n">
        <v>-0.903</v>
      </c>
      <c r="K144" s="20" t="n">
        <v>0.199</v>
      </c>
      <c r="L144" s="20" t="n">
        <v>0.695</v>
      </c>
      <c r="M144" s="20" t="n">
        <v>7.375</v>
      </c>
      <c r="N144" s="20" t="n">
        <v>0</v>
      </c>
      <c r="T144" s="20" t="n">
        <v>0</v>
      </c>
      <c r="U144" s="20" t="n">
        <v>-1.848</v>
      </c>
      <c r="V144" s="20" t="n">
        <v>7.253</v>
      </c>
      <c r="W144" s="20" t="n">
        <v>0.731</v>
      </c>
      <c r="X144" s="20" t="n">
        <v>7.375</v>
      </c>
    </row>
    <row r="145">
      <c r="A145" s="9" t="inlineStr">
        <is>
          <t>포괄이익</t>
        </is>
      </c>
      <c r="C145" s="12" t="n">
        <v>272.775</v>
      </c>
      <c r="D145" s="12" t="n">
        <v>268.154</v>
      </c>
      <c r="E145" s="12" t="n">
        <v>14.469</v>
      </c>
      <c r="F145" s="12" t="n">
        <v>-131.762</v>
      </c>
      <c r="G145" s="12" t="n">
        <v>-878.883</v>
      </c>
      <c r="H145" s="12" t="n">
        <v>193.03</v>
      </c>
      <c r="I145" s="12" t="n">
        <v>-210.523</v>
      </c>
      <c r="J145" s="12" t="n">
        <v>-1799.249</v>
      </c>
      <c r="K145" s="12" t="n">
        <v>-562.924</v>
      </c>
      <c r="L145" s="12" t="n">
        <v>622.043</v>
      </c>
      <c r="M145" s="12" t="n">
        <v>1962.645</v>
      </c>
      <c r="N145" s="12" t="n">
        <v>323.802</v>
      </c>
      <c r="T145" s="12" t="n">
        <v>-45.627</v>
      </c>
      <c r="U145" s="12" t="n">
        <v>-8.901</v>
      </c>
      <c r="V145" s="12" t="n">
        <v>14.469</v>
      </c>
      <c r="W145" s="12" t="n">
        <v>-210.523</v>
      </c>
      <c r="X145" s="12" t="n">
        <v>1962.645</v>
      </c>
    </row>
    <row r="146">
      <c r="A146" s="9" t="inlineStr">
        <is>
          <t>지배주주 포괄이익</t>
        </is>
      </c>
      <c r="C146" s="12" t="n">
        <v>271.906</v>
      </c>
      <c r="D146" s="12" t="n">
        <v>267.467</v>
      </c>
      <c r="E146" s="12" t="n">
        <v>13.911</v>
      </c>
      <c r="F146" s="12" t="n">
        <v>-132.407</v>
      </c>
      <c r="G146" s="12" t="n">
        <v>-879.329</v>
      </c>
      <c r="H146" s="12" t="n">
        <v>192.621</v>
      </c>
      <c r="I146" s="12" t="n">
        <v>-210.911</v>
      </c>
      <c r="J146" s="12" t="n">
        <v>-1799.972</v>
      </c>
      <c r="K146" s="12" t="n">
        <v>-563.127</v>
      </c>
      <c r="L146" s="12" t="n">
        <v>621.739</v>
      </c>
      <c r="M146" s="12" t="n">
        <v>1962.395</v>
      </c>
      <c r="N146" s="12" t="n">
        <v>323.33</v>
      </c>
      <c r="T146" s="12" t="n">
        <v>-45.956</v>
      </c>
      <c r="U146" s="12" t="n">
        <v>-9.445</v>
      </c>
      <c r="V146" s="12" t="n">
        <v>13.911</v>
      </c>
      <c r="W146" s="12" t="n">
        <v>-210.911</v>
      </c>
      <c r="X146" s="12" t="n">
        <v>1962.395</v>
      </c>
    </row>
    <row r="147">
      <c r="A147" s="9" t="inlineStr">
        <is>
          <t>비지배주주 포괄이익</t>
        </is>
      </c>
      <c r="C147" s="12" t="n">
        <v>0.87</v>
      </c>
      <c r="D147" s="12" t="n">
        <v>0.6870000000000001</v>
      </c>
      <c r="E147" s="12" t="n">
        <v>0.5570000000000001</v>
      </c>
      <c r="F147" s="12" t="n">
        <v>0.644</v>
      </c>
      <c r="G147" s="12" t="n">
        <v>0.446</v>
      </c>
      <c r="H147" s="12" t="n">
        <v>0.41</v>
      </c>
      <c r="I147" s="12" t="n">
        <v>0.387</v>
      </c>
      <c r="J147" s="12" t="n">
        <v>0.722</v>
      </c>
      <c r="K147" s="12" t="n">
        <v>0.203</v>
      </c>
      <c r="L147" s="12" t="n">
        <v>0.304</v>
      </c>
      <c r="M147" s="12" t="n">
        <v>0.25</v>
      </c>
      <c r="N147" s="12" t="n">
        <v>0.472</v>
      </c>
      <c r="T147" s="12" t="n">
        <v>0.328</v>
      </c>
      <c r="U147" s="12" t="n">
        <v>0.544</v>
      </c>
      <c r="V147" s="12" t="n">
        <v>0.5570000000000001</v>
      </c>
      <c r="W147" s="12" t="n">
        <v>0.387</v>
      </c>
      <c r="X147" s="12" t="n">
        <v>0.25</v>
      </c>
    </row>
    <row r="149">
      <c r="A149" s="16" t="inlineStr">
        <is>
          <t>부문 · 전 항목</t>
        </is>
      </c>
      <c r="B149" s="42" t="inlineStr">
        <is>
          <t>부문 · 항목</t>
        </is>
      </c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</row>
    <row r="150">
      <c r="A150" s="5" t="inlineStr">
        <is>
          <t>항목</t>
        </is>
      </c>
      <c r="B150" s="5" t="inlineStr">
        <is>
          <t>참고</t>
        </is>
      </c>
      <c r="C150" s="5" t="inlineStr">
        <is>
          <t>2024.2Q</t>
        </is>
      </c>
      <c r="D150" s="5" t="inlineStr">
        <is>
          <t>2024.3Q</t>
        </is>
      </c>
      <c r="E150" s="5" t="inlineStr">
        <is>
          <t>2024.4Q</t>
        </is>
      </c>
      <c r="F150" s="5" t="inlineStr">
        <is>
          <t>2025.1Q</t>
        </is>
      </c>
      <c r="G150" s="5" t="inlineStr">
        <is>
          <t>2025.2Q</t>
        </is>
      </c>
      <c r="H150" s="5" t="inlineStr">
        <is>
          <t>2025.3Q</t>
        </is>
      </c>
      <c r="I150" s="5" t="inlineStr">
        <is>
          <t>2025.4Q</t>
        </is>
      </c>
      <c r="J150" s="5" t="inlineStr">
        <is>
          <t>2026.1Q</t>
        </is>
      </c>
      <c r="K150" s="5" t="inlineStr">
        <is>
          <t>2026.2Q</t>
        </is>
      </c>
      <c r="L150" s="5" t="inlineStr">
        <is>
          <t>2026.3Q</t>
        </is>
      </c>
      <c r="M150" s="5" t="inlineStr">
        <is>
          <t>2026.4Q</t>
        </is>
      </c>
      <c r="N150" s="5" t="inlineStr">
        <is>
          <t>2027.1Q</t>
        </is>
      </c>
      <c r="O150" s="5" t="inlineStr">
        <is>
          <t>2017</t>
        </is>
      </c>
      <c r="P150" s="5" t="inlineStr">
        <is>
          <t>2018</t>
        </is>
      </c>
      <c r="Q150" s="5" t="inlineStr">
        <is>
          <t>2019</t>
        </is>
      </c>
      <c r="R150" s="5" t="inlineStr">
        <is>
          <t>2020</t>
        </is>
      </c>
      <c r="S150" s="5" t="inlineStr">
        <is>
          <t>2021</t>
        </is>
      </c>
      <c r="T150" s="5" t="inlineStr">
        <is>
          <t>2022</t>
        </is>
      </c>
      <c r="U150" s="5" t="inlineStr">
        <is>
          <t>2023</t>
        </is>
      </c>
      <c r="V150" s="5" t="inlineStr">
        <is>
          <t>2024</t>
        </is>
      </c>
      <c r="W150" s="5" t="inlineStr">
        <is>
          <t>2025</t>
        </is>
      </c>
      <c r="X150" s="5" t="inlineStr">
        <is>
          <t>2026</t>
        </is>
      </c>
      <c r="Y150" s="5" t="inlineStr">
        <is>
          <t>2027(MW)</t>
        </is>
      </c>
      <c r="Z150" s="5" t="inlineStr">
        <is>
          <t>2028(MW)</t>
        </is>
      </c>
      <c r="AA150" s="5" t="inlineStr">
        <is>
          <t>2029(MW)</t>
        </is>
      </c>
      <c r="AB150" s="5" t="inlineStr">
        <is>
          <t>2030(MW)</t>
        </is>
      </c>
      <c r="AC150" s="5" t="inlineStr">
        <is>
          <t>2031(MW)</t>
        </is>
      </c>
    </row>
    <row r="151">
      <c r="A151" s="18" t="inlineStr">
        <is>
          <t>부문 · 외부 고객 매출</t>
        </is>
      </c>
      <c r="F151" s="20" t="n">
        <v>2034.614</v>
      </c>
      <c r="J151" s="20" t="n">
        <v>4322.859</v>
      </c>
      <c r="N151" s="20" t="n">
        <v>4145.254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J152" s="15">
        <f>IF(OR(J151="",F151=""),"",IF(F151&lt;=0,"",IFERROR(J151/F151-1,"")))</f>
        <v/>
      </c>
      <c r="N152" s="15">
        <f>IF(OR(N151="",J151=""),"",IF(J151&lt;=0,"",IFERROR(N151/J151-1,"")))</f>
        <v/>
      </c>
    </row>
    <row r="153">
      <c r="A153" s="18" t="inlineStr">
        <is>
          <t>부문 · 외부 고객 매출</t>
        </is>
      </c>
      <c r="C153" s="20" t="n">
        <v>42.297</v>
      </c>
      <c r="F153" s="20" t="n">
        <v>88.006</v>
      </c>
      <c r="G153" s="20" t="n">
        <v>133.601</v>
      </c>
      <c r="J153" s="20" t="n">
        <v>144.054</v>
      </c>
      <c r="K153" s="20" t="n">
        <v>163.91</v>
      </c>
      <c r="N153" s="20" t="n">
        <v>209.893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N154" s="15">
        <f>IF(OR(N153="",J153=""),"",IF(J153&lt;=0,"",IFERROR(N153/J153-1,"")))</f>
        <v/>
      </c>
    </row>
    <row r="155">
      <c r="A155" s="18" t="inlineStr">
        <is>
          <t>보고부문 합계 · 외부 고객 매출</t>
        </is>
      </c>
      <c r="C155" s="20" t="n">
        <v>2745.34</v>
      </c>
      <c r="D155" s="20" t="n">
        <v>2546.089</v>
      </c>
      <c r="E155" s="20" t="n">
        <v>2141.472</v>
      </c>
      <c r="F155" s="20" t="n">
        <v>2122.621</v>
      </c>
      <c r="G155" s="20" t="n">
        <v>1895.451</v>
      </c>
      <c r="H155" s="20" t="n">
        <v>4182.649</v>
      </c>
      <c r="I155" s="20" t="n">
        <v>4454.463</v>
      </c>
      <c r="J155" s="20" t="n">
        <v>4466.913</v>
      </c>
      <c r="K155" s="20" t="n">
        <v>3771.727</v>
      </c>
      <c r="L155" s="20" t="n">
        <v>5062.656</v>
      </c>
      <c r="M155" s="20" t="n">
        <v>4246.482</v>
      </c>
      <c r="N155" s="20" t="n">
        <v>4355.148</v>
      </c>
      <c r="V155" s="20" t="n">
        <v>2141.472</v>
      </c>
      <c r="W155" s="20" t="n">
        <v>4454.463</v>
      </c>
      <c r="X155" s="20" t="n">
        <v>4246.482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G156" s="15">
        <f>IF(OR(G155="",C155=""),"",IF(C155&lt;=0,"",IFERROR(G155/C155-1,"")))</f>
        <v/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J156" s="15">
        <f>IF(OR(J155="",F155=""),"",IF(F155&lt;=0,"",IFERROR(J155/F155-1,"")))</f>
        <v/>
      </c>
      <c r="K156" s="15">
        <f>IF(OR(K155="",G155=""),"",IF(G155&lt;=0,"",IFERROR(K155/G155-1,"")))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N156" s="15">
        <f>IF(OR(N155="",J155=""),"",IF(J155&lt;=0,"",IFERROR(N155/J155-1,"")))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조정액 · 외부 고객 매출</t>
        </is>
      </c>
      <c r="C157" s="20" t="n">
        <v>0</v>
      </c>
      <c r="D157" s="20" t="n">
        <v>0</v>
      </c>
      <c r="E157" s="20" t="n">
        <v>0</v>
      </c>
      <c r="F157" s="20" t="n">
        <v>0</v>
      </c>
      <c r="G157" s="20" t="n">
        <v>0</v>
      </c>
      <c r="H157" s="20" t="n">
        <v>0</v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0" t="n">
        <v>0</v>
      </c>
      <c r="V157" s="20" t="n">
        <v>0</v>
      </c>
      <c r="W157" s="20" t="n">
        <v>0</v>
      </c>
      <c r="X157" s="20" t="n">
        <v>0</v>
      </c>
    </row>
    <row r="158">
      <c r="A158" s="9" t="inlineStr">
        <is>
          <t>외부 고객 매출</t>
        </is>
      </c>
      <c r="C158" s="12" t="n">
        <v>2745.34</v>
      </c>
      <c r="D158" s="12" t="n">
        <v>2546.089</v>
      </c>
      <c r="E158" s="12" t="n">
        <v>2141.472</v>
      </c>
      <c r="F158" s="12" t="n">
        <v>2122.621</v>
      </c>
      <c r="G158" s="12" t="n">
        <v>1895.451</v>
      </c>
      <c r="H158" s="12" t="n">
        <v>4182.649</v>
      </c>
      <c r="I158" s="12" t="n">
        <v>4454.463</v>
      </c>
      <c r="J158" s="12" t="n">
        <v>4466.913</v>
      </c>
      <c r="K158" s="12" t="n">
        <v>3771.727</v>
      </c>
      <c r="L158" s="12" t="n">
        <v>5062.656</v>
      </c>
      <c r="M158" s="12" t="n">
        <v>4246.482</v>
      </c>
      <c r="N158" s="12" t="n">
        <v>4355.148</v>
      </c>
      <c r="V158" s="12" t="n">
        <v>2141.472</v>
      </c>
      <c r="W158" s="12" t="n">
        <v>4454.463</v>
      </c>
      <c r="X158" s="12" t="n">
        <v>4246.482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G159" s="15">
        <f>IF(OR(G158="",C158=""),"",IF(C158&lt;=0,"",IFERROR(G158/C158-1,"")))</f>
        <v/>
      </c>
      <c r="H159" s="15">
        <f>IF(OR(H158="",D158=""),"",IF(D158&lt;=0,"",IFERROR(H158/D158-1,"")))</f>
        <v/>
      </c>
      <c r="I159" s="15">
        <f>IF(OR(I158="",E158=""),"",IF(E158&lt;=0,"",IFERROR(I158/E158-1,"")))</f>
        <v/>
      </c>
      <c r="J159" s="15">
        <f>IF(OR(J158="",F158=""),"",IF(F158&lt;=0,"",IFERROR(J158/F158-1,"")))</f>
        <v/>
      </c>
      <c r="K159" s="15">
        <f>IF(OR(K158="",G158=""),"",IF(G158&lt;=0,"",IFERROR(K158/G158-1,"")))</f>
        <v/>
      </c>
      <c r="L159" s="15">
        <f>IF(OR(L158="",H158=""),"",IF(H158&lt;=0,"",IFERROR(L158/H158-1,"")))</f>
        <v/>
      </c>
      <c r="M159" s="15">
        <f>IF(OR(M158="",I158=""),"",IF(I158&lt;=0,"",IFERROR(M158/I158-1,"")))</f>
        <v/>
      </c>
      <c r="N159" s="15">
        <f>IF(OR(N158="",J158=""),"",IF(J158&lt;=0,"",IFERROR(N158/J158-1,"")))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  <c r="X159" s="15">
        <f>IF(OR(X158="",W158=""),"",IF(W158&lt;=0,"",IFERROR(X158/W158-1,"")))</f>
        <v/>
      </c>
    </row>
    <row r="160">
      <c r="A160" s="18" t="inlineStr">
        <is>
          <t>부문 · 부문 간 내부매출·대체</t>
        </is>
      </c>
      <c r="D160" s="20" t="n">
        <v>0</v>
      </c>
      <c r="E160" s="20" t="n">
        <v>0</v>
      </c>
      <c r="H160" s="20" t="n">
        <v>0.077</v>
      </c>
      <c r="I160" s="20" t="n">
        <v>3.288</v>
      </c>
      <c r="L160" s="20" t="n">
        <v>1.498</v>
      </c>
      <c r="M160" s="20" t="n">
        <v>1.291</v>
      </c>
      <c r="V160" s="20" t="n">
        <v>0</v>
      </c>
      <c r="W160" s="20" t="n">
        <v>3.288</v>
      </c>
      <c r="X160" s="20" t="n">
        <v>1.291</v>
      </c>
    </row>
    <row r="161">
      <c r="A161" s="18" t="inlineStr">
        <is>
          <t>부문 · 부문 간 내부매출·대체</t>
        </is>
      </c>
      <c r="F161" s="20" t="n">
        <v>0</v>
      </c>
      <c r="J161" s="20" t="n">
        <v>4.384</v>
      </c>
      <c r="N161" s="20" t="n">
        <v>0.001</v>
      </c>
    </row>
    <row r="162">
      <c r="A162" s="18" t="inlineStr">
        <is>
          <t>부문 · 부문 간 내부매출·대체</t>
        </is>
      </c>
      <c r="C162" s="20" t="n">
        <v>0</v>
      </c>
      <c r="F162" s="20" t="n">
        <v>2.9</v>
      </c>
      <c r="G162" s="20" t="n">
        <v>0</v>
      </c>
      <c r="J162" s="20" t="n">
        <v>11.108</v>
      </c>
      <c r="K162" s="20" t="n">
        <v>4.956</v>
      </c>
      <c r="N162" s="20" t="n">
        <v>0</v>
      </c>
    </row>
    <row r="163">
      <c r="A163" s="18" t="inlineStr">
        <is>
          <t>보고부문 합계 · 부문 간 내부매출·대체</t>
        </is>
      </c>
      <c r="C163" s="20" t="n">
        <v>0</v>
      </c>
      <c r="D163" s="20" t="n">
        <v>3.6</v>
      </c>
      <c r="E163" s="20" t="n">
        <v>0</v>
      </c>
      <c r="F163" s="20" t="n">
        <v>2.9</v>
      </c>
      <c r="G163" s="20" t="n">
        <v>0.166</v>
      </c>
      <c r="H163" s="20" t="n">
        <v>2.72</v>
      </c>
      <c r="I163" s="20" t="n">
        <v>42.229</v>
      </c>
      <c r="J163" s="20" t="n">
        <v>15.492</v>
      </c>
      <c r="K163" s="20" t="n">
        <v>7.23</v>
      </c>
      <c r="L163" s="20" t="n">
        <v>7.297</v>
      </c>
      <c r="M163" s="20" t="n">
        <v>71.758</v>
      </c>
      <c r="N163" s="20" t="n">
        <v>0.001</v>
      </c>
      <c r="V163" s="20" t="n">
        <v>0</v>
      </c>
      <c r="W163" s="20" t="n">
        <v>42.229</v>
      </c>
      <c r="X163" s="20" t="n">
        <v>71.758</v>
      </c>
    </row>
    <row r="164">
      <c r="A164" s="18" t="inlineStr">
        <is>
          <t>조정액 · 부문 간 내부매출·대체</t>
        </is>
      </c>
      <c r="C164" s="20" t="n">
        <v>0</v>
      </c>
      <c r="D164" s="20" t="n">
        <v>-3.6</v>
      </c>
      <c r="E164" s="20" t="n">
        <v>0</v>
      </c>
      <c r="F164" s="20" t="n">
        <v>-2.9</v>
      </c>
      <c r="G164" s="20" t="n">
        <v>-0.166</v>
      </c>
      <c r="H164" s="20" t="n">
        <v>-2.72</v>
      </c>
      <c r="I164" s="20" t="n">
        <v>-42.229</v>
      </c>
      <c r="J164" s="20" t="n">
        <v>-15.492</v>
      </c>
      <c r="K164" s="20" t="n">
        <v>-7.23</v>
      </c>
      <c r="L164" s="20" t="n">
        <v>-7.297</v>
      </c>
      <c r="M164" s="20" t="n">
        <v>-71.758</v>
      </c>
      <c r="N164" s="20" t="n">
        <v>-0.001</v>
      </c>
      <c r="V164" s="20" t="n">
        <v>0</v>
      </c>
      <c r="W164" s="20" t="n">
        <v>-42.229</v>
      </c>
      <c r="X164" s="20" t="n">
        <v>-71.758</v>
      </c>
    </row>
    <row r="165">
      <c r="A165" s="18" t="inlineStr">
        <is>
          <t>부문 간 내부매출·대체</t>
        </is>
      </c>
      <c r="C165" s="20" t="n">
        <v>0</v>
      </c>
      <c r="D165" s="20" t="n">
        <v>0</v>
      </c>
      <c r="E165" s="20" t="n">
        <v>0</v>
      </c>
      <c r="F165" s="20" t="n">
        <v>0</v>
      </c>
      <c r="G165" s="20" t="n">
        <v>0</v>
      </c>
      <c r="H165" s="20" t="n">
        <v>0</v>
      </c>
      <c r="I165" s="20" t="n">
        <v>0</v>
      </c>
      <c r="J165" s="20" t="n">
        <v>0</v>
      </c>
      <c r="K165" s="20" t="n">
        <v>0</v>
      </c>
      <c r="L165" s="20" t="n">
        <v>0</v>
      </c>
      <c r="M165" s="20" t="n">
        <v>0</v>
      </c>
      <c r="N165" s="20" t="n">
        <v>0</v>
      </c>
      <c r="V165" s="20" t="n">
        <v>0</v>
      </c>
      <c r="W165" s="20" t="n">
        <v>0</v>
      </c>
      <c r="X165" s="20" t="n">
        <v>0</v>
      </c>
    </row>
    <row r="166">
      <c r="A166" s="18" t="inlineStr">
        <is>
          <t>부문 · 계</t>
        </is>
      </c>
      <c r="D166" s="20" t="n">
        <v>2328.336</v>
      </c>
      <c r="E166" s="20" t="n">
        <v>2048.933</v>
      </c>
      <c r="H166" s="20" t="n">
        <v>3879.682</v>
      </c>
      <c r="I166" s="20" t="n">
        <v>4247.927</v>
      </c>
      <c r="L166" s="20" t="n">
        <v>4876.762</v>
      </c>
      <c r="M166" s="20" t="n">
        <v>3982.482</v>
      </c>
      <c r="V166" s="20" t="n">
        <v>2048.933</v>
      </c>
      <c r="W166" s="20" t="n">
        <v>4247.927</v>
      </c>
      <c r="X166" s="20" t="n">
        <v>3982.482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V167" s="15">
        <f>IF(OR(V166="",U166=""),"",IF(U166&lt;=0,"",IFERROR(V166/U166-1,"")))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부문 · 계</t>
        </is>
      </c>
      <c r="F168" s="20" t="n">
        <v>2034.614</v>
      </c>
      <c r="J168" s="20" t="n">
        <v>4327.243</v>
      </c>
      <c r="N168" s="20" t="n">
        <v>4145.256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J169" s="15">
        <f>IF(OR(J168="",F168=""),"",IF(F168&lt;=0,"",IFERROR(J168/F168-1,"")))</f>
        <v/>
      </c>
      <c r="N169" s="15">
        <f>IF(OR(N168="",J168=""),"",IF(J168&lt;=0,"",IFERROR(N168/J168-1,"")))</f>
        <v/>
      </c>
    </row>
    <row r="170">
      <c r="A170" s="18" t="inlineStr">
        <is>
          <t>부문 · 계</t>
        </is>
      </c>
      <c r="C170" s="20" t="n">
        <v>42.297</v>
      </c>
      <c r="F170" s="20" t="n">
        <v>90.90600000000001</v>
      </c>
      <c r="G170" s="20" t="n">
        <v>133.601</v>
      </c>
      <c r="J170" s="20" t="n">
        <v>155.162</v>
      </c>
      <c r="K170" s="20" t="n">
        <v>168.866</v>
      </c>
      <c r="N170" s="20" t="n">
        <v>209.893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N171" s="15">
        <f>IF(OR(N170="",J170=""),"",IF(J170&lt;=0,"",IFERROR(N170/J170-1,"")))</f>
        <v/>
      </c>
    </row>
    <row r="172">
      <c r="A172" s="18" t="inlineStr">
        <is>
          <t>보고부문 합계 · 계</t>
        </is>
      </c>
      <c r="C172" s="20" t="n">
        <v>2745.34</v>
      </c>
      <c r="D172" s="20" t="n">
        <v>2549.689</v>
      </c>
      <c r="E172" s="20" t="n">
        <v>2141.472</v>
      </c>
      <c r="F172" s="20" t="n">
        <v>2125.521</v>
      </c>
      <c r="G172" s="20" t="n">
        <v>1895.617</v>
      </c>
      <c r="H172" s="20" t="n">
        <v>4185.369</v>
      </c>
      <c r="I172" s="20" t="n">
        <v>4496.692</v>
      </c>
      <c r="J172" s="20" t="n">
        <v>4482.406</v>
      </c>
      <c r="K172" s="20" t="n">
        <v>3778.956</v>
      </c>
      <c r="L172" s="20" t="n">
        <v>5069.954</v>
      </c>
      <c r="M172" s="20" t="n">
        <v>4318.239</v>
      </c>
      <c r="N172" s="20" t="n">
        <v>4355.15</v>
      </c>
      <c r="V172" s="20" t="n">
        <v>2141.472</v>
      </c>
      <c r="W172" s="20" t="n">
        <v>4496.692</v>
      </c>
      <c r="X172" s="20" t="n">
        <v>4318.239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조정액 · 계</t>
        </is>
      </c>
      <c r="C174" s="20" t="n">
        <v>0</v>
      </c>
      <c r="D174" s="20" t="n">
        <v>-3.6</v>
      </c>
      <c r="E174" s="20" t="n">
        <v>0</v>
      </c>
      <c r="F174" s="20" t="n">
        <v>-2.9</v>
      </c>
      <c r="G174" s="20" t="n">
        <v>-0.166</v>
      </c>
      <c r="H174" s="20" t="n">
        <v>-2.72</v>
      </c>
      <c r="I174" s="20" t="n">
        <v>-42.229</v>
      </c>
      <c r="J174" s="20" t="n">
        <v>-15.492</v>
      </c>
      <c r="K174" s="20" t="n">
        <v>-7.23</v>
      </c>
      <c r="L174" s="20" t="n">
        <v>-7.297</v>
      </c>
      <c r="M174" s="20" t="n">
        <v>-71.758</v>
      </c>
      <c r="N174" s="20" t="n">
        <v>-0.001</v>
      </c>
      <c r="V174" s="20" t="n">
        <v>0</v>
      </c>
      <c r="W174" s="20" t="n">
        <v>-42.229</v>
      </c>
      <c r="X174" s="20" t="n">
        <v>-71.758</v>
      </c>
    </row>
    <row r="175">
      <c r="A175" s="9" t="inlineStr">
        <is>
          <t>계</t>
        </is>
      </c>
      <c r="C175" s="12" t="n">
        <v>2745.34</v>
      </c>
      <c r="D175" s="12" t="n">
        <v>2546.089</v>
      </c>
      <c r="E175" s="12" t="n">
        <v>2141.472</v>
      </c>
      <c r="F175" s="12" t="n">
        <v>2122.621</v>
      </c>
      <c r="G175" s="12" t="n">
        <v>1895.451</v>
      </c>
      <c r="H175" s="12" t="n">
        <v>4182.649</v>
      </c>
      <c r="I175" s="12" t="n">
        <v>4454.463</v>
      </c>
      <c r="J175" s="12" t="n">
        <v>4466.913</v>
      </c>
      <c r="K175" s="12" t="n">
        <v>3771.727</v>
      </c>
      <c r="L175" s="12" t="n">
        <v>5062.656</v>
      </c>
      <c r="M175" s="12" t="n">
        <v>4246.482</v>
      </c>
      <c r="N175" s="12" t="n">
        <v>4355.148</v>
      </c>
      <c r="V175" s="12" t="n">
        <v>2141.472</v>
      </c>
      <c r="W175" s="12" t="n">
        <v>4454.463</v>
      </c>
      <c r="X175" s="12" t="n">
        <v>4246.482</v>
      </c>
    </row>
    <row r="176">
      <c r="A176" s="43" t="inlineStr">
        <is>
          <t>YoY</t>
        </is>
      </c>
      <c r="B176" s="3" t="inlineStr">
        <is>
          <t>전년 같은 분기·전년 대비</t>
        </is>
      </c>
      <c r="G176" s="15">
        <f>IF(OR(G175="",C175=""),"",IF(C175&lt;=0,"",IFERROR(G175/C175-1,"")))</f>
        <v/>
      </c>
      <c r="H176" s="15">
        <f>IF(OR(H175="",D175=""),"",IF(D175&lt;=0,"",IFERROR(H175/D175-1,"")))</f>
        <v/>
      </c>
      <c r="I176" s="15">
        <f>IF(OR(I175="",E175=""),"",IF(E175&lt;=0,"",IFERROR(I175/E175-1,"")))</f>
        <v/>
      </c>
      <c r="J176" s="15">
        <f>IF(OR(J175="",F175=""),"",IF(F175&lt;=0,"",IFERROR(J175/F175-1,"")))</f>
        <v/>
      </c>
      <c r="K176" s="15">
        <f>IF(OR(K175="",G175=""),"",IF(G175&lt;=0,"",IFERROR(K175/G175-1,"")))</f>
        <v/>
      </c>
      <c r="L176" s="15">
        <f>IF(OR(L175="",H175=""),"",IF(H175&lt;=0,"",IFERROR(L175/H175-1,"")))</f>
        <v/>
      </c>
      <c r="M176" s="15">
        <f>IF(OR(M175="",I175=""),"",IF(I175&lt;=0,"",IFERROR(M175/I175-1,"")))</f>
        <v/>
      </c>
      <c r="N176" s="15">
        <f>IF(OR(N175="",J175=""),"",IF(J175&lt;=0,"",IFERROR(N175/J175-1,"")))</f>
        <v/>
      </c>
      <c r="V176" s="15">
        <f>IF(OR(V175="",U175=""),"",IF(U175&lt;=0,"",IFERROR(V175/U175-1,"")))</f>
        <v/>
      </c>
      <c r="W176" s="15">
        <f>IF(OR(W175="",V175=""),"",IF(V175&lt;=0,"",IFERROR(W175/V175-1,"")))</f>
        <v/>
      </c>
      <c r="X176" s="15">
        <f>IF(OR(X175="",W175=""),"",IF(W175&lt;=0,"",IFERROR(X175/W175-1,"")))</f>
        <v/>
      </c>
    </row>
    <row r="177">
      <c r="A177" s="18" t="inlineStr">
        <is>
          <t>부문 · 부문 이익(손실)</t>
        </is>
      </c>
      <c r="D177" s="20" t="n">
        <v>503.663</v>
      </c>
      <c r="E177" s="20" t="n">
        <v>404.289</v>
      </c>
      <c r="H177" s="20" t="n">
        <v>380.731</v>
      </c>
      <c r="I177" s="20" t="n">
        <v>338.765</v>
      </c>
      <c r="L177" s="20" t="n">
        <v>855.715</v>
      </c>
      <c r="M177" s="20" t="n">
        <v>536.273</v>
      </c>
      <c r="V177" s="20" t="n">
        <v>404.289</v>
      </c>
      <c r="W177" s="20" t="n">
        <v>338.765</v>
      </c>
      <c r="X177" s="20" t="n">
        <v>536.273</v>
      </c>
    </row>
    <row r="178">
      <c r="A178" s="43" t="inlineStr">
        <is>
          <t>OPM</t>
        </is>
      </c>
      <c r="B178" s="3" t="inlineStr">
        <is>
          <t>영업이익 ÷ 매출</t>
        </is>
      </c>
      <c r="D178" s="15">
        <f>IF(OR(D177="",D166=""),"",IF(D166&lt;=0,"",IFERROR(D177/D166,"")))</f>
        <v/>
      </c>
      <c r="E178" s="15">
        <f>IF(OR(E177="",E166=""),"",IF(E166&lt;=0,"",IFERROR(E177/E166,"")))</f>
        <v/>
      </c>
      <c r="H178" s="15">
        <f>IF(OR(H177="",H166=""),"",IF(H166&lt;=0,"",IFERROR(H177/H166,"")))</f>
        <v/>
      </c>
      <c r="I178" s="15">
        <f>IF(OR(I177="",I166=""),"",IF(I166&lt;=0,"",IFERROR(I177/I166,"")))</f>
        <v/>
      </c>
      <c r="L178" s="15">
        <f>IF(OR(L177="",L166=""),"",IF(L166&lt;=0,"",IFERROR(L177/L166,"")))</f>
        <v/>
      </c>
      <c r="M178" s="15">
        <f>IF(OR(M177="",M166=""),"",IF(M166&lt;=0,"",IFERROR(M177/M166,"")))</f>
        <v/>
      </c>
      <c r="V178" s="15">
        <f>IF(OR(V177="",V166=""),"",IF(V166&lt;=0,"",IFERROR(V177/V166,"")))</f>
        <v/>
      </c>
      <c r="W178" s="15">
        <f>IF(OR(W177="",W166=""),"",IF(W166&lt;=0,"",IFERROR(W177/W166,"")))</f>
        <v/>
      </c>
      <c r="X178" s="15">
        <f>IF(OR(X177="",X166=""),"",IF(X166&lt;=0,"",IFERROR(X177/X166,"")))</f>
        <v/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H179" s="15">
        <f>IF(OR(H177="",D177=""),"",IF(D177&lt;=0,"",IFERROR(H177/D177-1,"")))</f>
        <v/>
      </c>
      <c r="I179" s="15">
        <f>IF(OR(I177="",E177=""),"",IF(E177&lt;=0,"",IFERROR(I177/E177-1,"")))</f>
        <v/>
      </c>
      <c r="L179" s="15">
        <f>IF(OR(L177="",H177=""),"",IF(H177&lt;=0,"",IFERROR(L177/H177-1,"")))</f>
        <v/>
      </c>
      <c r="M179" s="15">
        <f>IF(OR(M177="",I177=""),"",IF(I177&lt;=0,"",IFERROR(M177/I177-1,"")))</f>
        <v/>
      </c>
      <c r="V179" s="15">
        <f>IF(OR(V177="",U177=""),"",IF(U177&lt;=0,"",IFERROR(V177/U177-1,"")))</f>
        <v/>
      </c>
      <c r="W179" s="15">
        <f>IF(OR(W177="",V177=""),"",IF(V177&lt;=0,"",IFERROR(W177/V177-1,"")))</f>
        <v/>
      </c>
      <c r="X179" s="15">
        <f>IF(OR(X177="",W177=""),"",IF(W177&lt;=0,"",IFERROR(X177/W177-1,"")))</f>
        <v/>
      </c>
    </row>
    <row r="180">
      <c r="A180" s="18" t="inlineStr">
        <is>
          <t>부문 · 부문 이익(손실)</t>
        </is>
      </c>
      <c r="F180" s="20" t="n">
        <v>254.262</v>
      </c>
      <c r="J180" s="20" t="n">
        <v>122.938</v>
      </c>
      <c r="N180" s="20" t="n">
        <v>793.771</v>
      </c>
    </row>
    <row r="181">
      <c r="A181" s="43" t="inlineStr">
        <is>
          <t>OPM</t>
        </is>
      </c>
      <c r="B181" s="3" t="inlineStr">
        <is>
          <t>영업이익 ÷ 매출</t>
        </is>
      </c>
      <c r="F181" s="15">
        <f>IF(OR(F180="",F168=""),"",IF(F168&lt;=0,"",IFERROR(F180/F168,"")))</f>
        <v/>
      </c>
      <c r="J181" s="15">
        <f>IF(OR(J180="",J168=""),"",IF(J168&lt;=0,"",IFERROR(J180/J168,"")))</f>
        <v/>
      </c>
      <c r="N181" s="15">
        <f>IF(OR(N180="",N168=""),"",IF(N168&lt;=0,"",IFERROR(N180/N168,"")))</f>
        <v/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J182" s="15">
        <f>IF(OR(J180="",F180=""),"",IF(F180&lt;=0,"",IFERROR(J180/F180-1,"")))</f>
        <v/>
      </c>
      <c r="N182" s="15">
        <f>IF(OR(N180="",J180=""),"",IF(J180&lt;=0,"",IFERROR(N180/J180-1,"")))</f>
        <v/>
      </c>
    </row>
    <row r="183">
      <c r="A183" s="18" t="inlineStr">
        <is>
          <t>부문 · 부문 이익(손실)</t>
        </is>
      </c>
      <c r="C183" s="20" t="n">
        <v>-288.887</v>
      </c>
      <c r="F183" s="20" t="n">
        <v>-322.049</v>
      </c>
      <c r="G183" s="20" t="n">
        <v>-250.002</v>
      </c>
      <c r="J183" s="20" t="n">
        <v>-204.661</v>
      </c>
      <c r="K183" s="20" t="n">
        <v>-255.289</v>
      </c>
      <c r="N183" s="20" t="n">
        <v>-270.908</v>
      </c>
    </row>
    <row r="184">
      <c r="A184" s="43" t="inlineStr">
        <is>
          <t>OPM</t>
        </is>
      </c>
      <c r="B184" s="3" t="inlineStr">
        <is>
          <t>영업이익 ÷ 매출</t>
        </is>
      </c>
      <c r="C184" s="15">
        <f>IF(OR(C183="",C170=""),"",IF(C170&lt;=0,"",IFERROR(C183/C170,"")))</f>
        <v/>
      </c>
      <c r="F184" s="15">
        <f>IF(OR(F183="",F170=""),"",IF(F170&lt;=0,"",IFERROR(F183/F170,"")))</f>
        <v/>
      </c>
      <c r="G184" s="15">
        <f>IF(OR(G183="",G170=""),"",IF(G170&lt;=0,"",IFERROR(G183/G170,"")))</f>
        <v/>
      </c>
      <c r="J184" s="15">
        <f>IF(OR(J183="",J170=""),"",IF(J170&lt;=0,"",IFERROR(J183/J170,"")))</f>
        <v/>
      </c>
      <c r="K184" s="15">
        <f>IF(OR(K183="",K170=""),"",IF(K170&lt;=0,"",IFERROR(K183/K170,"")))</f>
        <v/>
      </c>
      <c r="N184" s="15">
        <f>IF(OR(N183="",N170=""),"",IF(N170&lt;=0,"",IFERROR(N183/N170,"")))</f>
        <v/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G185" s="15">
        <f>IF(OR(G183="",C183=""),"",IF(C183&lt;=0,"",IFERROR(G183/C183-1,"")))</f>
        <v/>
      </c>
      <c r="J185" s="15">
        <f>IF(OR(J183="",F183=""),"",IF(F183&lt;=0,"",IFERROR(J183/F183-1,"")))</f>
        <v/>
      </c>
      <c r="K185" s="15">
        <f>IF(OR(K183="",G183=""),"",IF(G183&lt;=0,"",IFERROR(K183/G183-1,"")))</f>
        <v/>
      </c>
      <c r="N185" s="15">
        <f>IF(OR(N183="",J183=""),"",IF(J183&lt;=0,"",IFERROR(N183/J183-1,"")))</f>
        <v/>
      </c>
    </row>
    <row r="186">
      <c r="A186" s="18" t="inlineStr">
        <is>
          <t>보고부문 합계 · 부문 이익(손실)</t>
        </is>
      </c>
      <c r="C186" s="20" t="n">
        <v>463.793</v>
      </c>
      <c r="D186" s="20" t="n">
        <v>317.119</v>
      </c>
      <c r="E186" s="20" t="n">
        <v>113.639</v>
      </c>
      <c r="F186" s="20" t="n">
        <v>-67.786</v>
      </c>
      <c r="G186" s="20" t="n">
        <v>-247.387</v>
      </c>
      <c r="H186" s="20" t="n">
        <v>288.181</v>
      </c>
      <c r="I186" s="20" t="n">
        <v>139</v>
      </c>
      <c r="J186" s="20" t="n">
        <v>-81.723</v>
      </c>
      <c r="K186" s="20" t="n">
        <v>-493.116</v>
      </c>
      <c r="L186" s="20" t="n">
        <v>671.723</v>
      </c>
      <c r="M186" s="20" t="n">
        <v>311.833</v>
      </c>
      <c r="N186" s="20" t="n">
        <v>522.862</v>
      </c>
      <c r="V186" s="20" t="n">
        <v>113.639</v>
      </c>
      <c r="W186" s="20" t="n">
        <v>139</v>
      </c>
      <c r="X186" s="20" t="n">
        <v>311.833</v>
      </c>
    </row>
    <row r="187">
      <c r="A187" s="43" t="inlineStr">
        <is>
          <t>OPM</t>
        </is>
      </c>
      <c r="B187" s="3" t="inlineStr">
        <is>
          <t>영업이익 ÷ 매출</t>
        </is>
      </c>
      <c r="C187" s="15">
        <f>IF(OR(C186="",C172=""),"",IF(C172&lt;=0,"",IFERROR(C186/C172,"")))</f>
        <v/>
      </c>
      <c r="D187" s="15">
        <f>IF(OR(D186="",D172=""),"",IF(D172&lt;=0,"",IFERROR(D186/D172,"")))</f>
        <v/>
      </c>
      <c r="E187" s="15">
        <f>IF(OR(E186="",E172=""),"",IF(E172&lt;=0,"",IFERROR(E186/E172,"")))</f>
        <v/>
      </c>
      <c r="F187" s="15">
        <f>IF(OR(F186="",F172=""),"",IF(F172&lt;=0,"",IFERROR(F186/F172,"")))</f>
        <v/>
      </c>
      <c r="G187" s="15">
        <f>IF(OR(G186="",G172=""),"",IF(G172&lt;=0,"",IFERROR(G186/G172,"")))</f>
        <v/>
      </c>
      <c r="H187" s="15">
        <f>IF(OR(H186="",H172=""),"",IF(H172&lt;=0,"",IFERROR(H186/H172,"")))</f>
        <v/>
      </c>
      <c r="I187" s="15">
        <f>IF(OR(I186="",I172=""),"",IF(I172&lt;=0,"",IFERROR(I186/I172,"")))</f>
        <v/>
      </c>
      <c r="J187" s="15">
        <f>IF(OR(J186="",J172=""),"",IF(J172&lt;=0,"",IFERROR(J186/J172,"")))</f>
        <v/>
      </c>
      <c r="K187" s="15">
        <f>IF(OR(K186="",K172=""),"",IF(K172&lt;=0,"",IFERROR(K186/K172,"")))</f>
        <v/>
      </c>
      <c r="L187" s="15">
        <f>IF(OR(L186="",L172=""),"",IF(L172&lt;=0,"",IFERROR(L186/L172,"")))</f>
        <v/>
      </c>
      <c r="M187" s="15">
        <f>IF(OR(M186="",M172=""),"",IF(M172&lt;=0,"",IFERROR(M186/M172,"")))</f>
        <v/>
      </c>
      <c r="N187" s="15">
        <f>IF(OR(N186="",N172=""),"",IF(N172&lt;=0,"",IFERROR(N186/N172,"")))</f>
        <v/>
      </c>
      <c r="V187" s="15">
        <f>IF(OR(V186="",V172=""),"",IF(V172&lt;=0,"",IFERROR(V186/V172,"")))</f>
        <v/>
      </c>
      <c r="W187" s="15">
        <f>IF(OR(W186="",W172=""),"",IF(W172&lt;=0,"",IFERROR(W186/W172,"")))</f>
        <v/>
      </c>
      <c r="X187" s="15">
        <f>IF(OR(X186="",X172=""),"",IF(X172&lt;=0,"",IFERROR(X186/X172,"")))</f>
        <v/>
      </c>
    </row>
    <row r="188">
      <c r="A188" s="43" t="inlineStr">
        <is>
          <t>YoY</t>
        </is>
      </c>
      <c r="B188" s="3" t="inlineStr">
        <is>
          <t>전년 같은 분기·전년 대비</t>
        </is>
      </c>
      <c r="G188" s="15">
        <f>IF(OR(G186="",C186=""),"",IF(C186&lt;=0,"",IFERROR(G186/C186-1,"")))</f>
        <v/>
      </c>
      <c r="H188" s="15">
        <f>IF(OR(H186="",D186=""),"",IF(D186&lt;=0,"",IFERROR(H186/D186-1,"")))</f>
        <v/>
      </c>
      <c r="I188" s="15">
        <f>IF(OR(I186="",E186=""),"",IF(E186&lt;=0,"",IFERROR(I186/E186-1,"")))</f>
        <v/>
      </c>
      <c r="J188" s="15">
        <f>IF(OR(J186="",F186=""),"",IF(F186&lt;=0,"",IFERROR(J186/F186-1,"")))</f>
        <v/>
      </c>
      <c r="K188" s="15">
        <f>IF(OR(K186="",G186=""),"",IF(G186&lt;=0,"",IFERROR(K186/G186-1,"")))</f>
        <v/>
      </c>
      <c r="L188" s="15">
        <f>IF(OR(L186="",H186=""),"",IF(H186&lt;=0,"",IFERROR(L186/H186-1,"")))</f>
        <v/>
      </c>
      <c r="M188" s="15">
        <f>IF(OR(M186="",I186=""),"",IF(I186&lt;=0,"",IFERROR(M186/I186-1,"")))</f>
        <v/>
      </c>
      <c r="N188" s="15">
        <f>IF(OR(N186="",J186=""),"",IF(J186&lt;=0,"",IFERROR(N186/J186-1,"")))</f>
        <v/>
      </c>
      <c r="V188" s="15">
        <f>IF(OR(V186="",U186=""),"",IF(U186&lt;=0,"",IFERROR(V186/U186-1,"")))</f>
        <v/>
      </c>
      <c r="W188" s="15">
        <f>IF(OR(W186="",V186=""),"",IF(V186&lt;=0,"",IFERROR(W186/V186-1,"")))</f>
        <v/>
      </c>
      <c r="X188" s="15">
        <f>IF(OR(X186="",W186=""),"",IF(W186&lt;=0,"",IFERROR(X186/W186-1,"")))</f>
        <v/>
      </c>
    </row>
    <row r="189">
      <c r="A189" s="18" t="inlineStr">
        <is>
          <t>조정액 · 부문 이익(손실)</t>
        </is>
      </c>
      <c r="C189" s="20" t="n">
        <v>0</v>
      </c>
      <c r="D189" s="20" t="n">
        <v>0</v>
      </c>
      <c r="E189" s="20" t="n">
        <v>0</v>
      </c>
      <c r="F189" s="20" t="n">
        <v>0</v>
      </c>
      <c r="G189" s="20" t="n">
        <v>0</v>
      </c>
      <c r="H189" s="20" t="n">
        <v>0</v>
      </c>
      <c r="I189" s="20" t="n">
        <v>0</v>
      </c>
      <c r="J189" s="20" t="n">
        <v>0</v>
      </c>
      <c r="K189" s="20" t="n">
        <v>0</v>
      </c>
      <c r="L189" s="20" t="n">
        <v>0</v>
      </c>
      <c r="M189" s="20" t="n">
        <v>0</v>
      </c>
      <c r="N189" s="20" t="n">
        <v>0</v>
      </c>
      <c r="V189" s="20" t="n">
        <v>0</v>
      </c>
      <c r="W189" s="20" t="n">
        <v>0</v>
      </c>
      <c r="X189" s="20" t="n">
        <v>0</v>
      </c>
    </row>
    <row r="190">
      <c r="A190" s="9" t="inlineStr">
        <is>
          <t>부문 이익(손실)</t>
        </is>
      </c>
      <c r="C190" s="12" t="n">
        <v>463.793</v>
      </c>
      <c r="D190" s="12" t="n">
        <v>317.119</v>
      </c>
      <c r="E190" s="12" t="n">
        <v>113.639</v>
      </c>
      <c r="F190" s="12" t="n">
        <v>-67.786</v>
      </c>
      <c r="G190" s="12" t="n">
        <v>-247.387</v>
      </c>
      <c r="H190" s="12" t="n">
        <v>288.181</v>
      </c>
      <c r="I190" s="12" t="n">
        <v>139</v>
      </c>
      <c r="J190" s="12" t="n">
        <v>-81.723</v>
      </c>
      <c r="K190" s="12" t="n">
        <v>-493.116</v>
      </c>
      <c r="L190" s="12" t="n">
        <v>671.723</v>
      </c>
      <c r="M190" s="12" t="n">
        <v>311.833</v>
      </c>
      <c r="N190" s="12" t="n">
        <v>522.862</v>
      </c>
      <c r="V190" s="12" t="n">
        <v>113.639</v>
      </c>
      <c r="W190" s="12" t="n">
        <v>139</v>
      </c>
      <c r="X190" s="12" t="n">
        <v>311.833</v>
      </c>
    </row>
    <row r="191">
      <c r="A191" s="43" t="inlineStr">
        <is>
          <t>OPM</t>
        </is>
      </c>
      <c r="B191" s="3" t="inlineStr">
        <is>
          <t>영업이익 ÷ 매출</t>
        </is>
      </c>
      <c r="C191" s="15">
        <f>IF(OR(C190="",C158=""),"",IF(C158&lt;=0,"",IFERROR(C190/C158,"")))</f>
        <v/>
      </c>
      <c r="D191" s="15">
        <f>IF(OR(D190="",D158=""),"",IF(D158&lt;=0,"",IFERROR(D190/D158,"")))</f>
        <v/>
      </c>
      <c r="E191" s="15">
        <f>IF(OR(E190="",E158=""),"",IF(E158&lt;=0,"",IFERROR(E190/E158,"")))</f>
        <v/>
      </c>
      <c r="F191" s="15">
        <f>IF(OR(F190="",F158=""),"",IF(F158&lt;=0,"",IFERROR(F190/F158,"")))</f>
        <v/>
      </c>
      <c r="G191" s="15">
        <f>IF(OR(G190="",G158=""),"",IF(G158&lt;=0,"",IFERROR(G190/G158,"")))</f>
        <v/>
      </c>
      <c r="H191" s="15">
        <f>IF(OR(H190="",H158=""),"",IF(H158&lt;=0,"",IFERROR(H190/H158,"")))</f>
        <v/>
      </c>
      <c r="I191" s="15">
        <f>IF(OR(I190="",I158=""),"",IF(I158&lt;=0,"",IFERROR(I190/I158,"")))</f>
        <v/>
      </c>
      <c r="J191" s="15">
        <f>IF(OR(J190="",J158=""),"",IF(J158&lt;=0,"",IFERROR(J190/J158,"")))</f>
        <v/>
      </c>
      <c r="K191" s="15">
        <f>IF(OR(K190="",K158=""),"",IF(K158&lt;=0,"",IFERROR(K190/K158,"")))</f>
        <v/>
      </c>
      <c r="L191" s="15">
        <f>IF(OR(L190="",L158=""),"",IF(L158&lt;=0,"",IFERROR(L190/L158,"")))</f>
        <v/>
      </c>
      <c r="M191" s="15">
        <f>IF(OR(M190="",M158=""),"",IF(M158&lt;=0,"",IFERROR(M190/M158,"")))</f>
        <v/>
      </c>
      <c r="N191" s="15">
        <f>IF(OR(N190="",N158=""),"",IF(N158&lt;=0,"",IFERROR(N190/N158,"")))</f>
        <v/>
      </c>
      <c r="V191" s="15">
        <f>IF(OR(V190="",V158=""),"",IF(V158&lt;=0,"",IFERROR(V190/V158,"")))</f>
        <v/>
      </c>
      <c r="W191" s="15">
        <f>IF(OR(W190="",W158=""),"",IF(W158&lt;=0,"",IFERROR(W190/W158,"")))</f>
        <v/>
      </c>
      <c r="X191" s="15">
        <f>IF(OR(X190="",X158=""),"",IF(X158&lt;=0,"",IFERROR(X190/X158,"")))</f>
        <v/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G192" s="15">
        <f>IF(OR(G190="",C190=""),"",IF(C190&lt;=0,"",IFERROR(G190/C190-1,"")))</f>
        <v/>
      </c>
      <c r="H192" s="15">
        <f>IF(OR(H190="",D190=""),"",IF(D190&lt;=0,"",IFERROR(H190/D190-1,"")))</f>
        <v/>
      </c>
      <c r="I192" s="15">
        <f>IF(OR(I190="",E190=""),"",IF(E190&lt;=0,"",IFERROR(I190/E190-1,"")))</f>
        <v/>
      </c>
      <c r="J192" s="15">
        <f>IF(OR(J190="",F190=""),"",IF(F190&lt;=0,"",IFERROR(J190/F190-1,"")))</f>
        <v/>
      </c>
      <c r="K192" s="15">
        <f>IF(OR(K190="",G190=""),"",IF(G190&lt;=0,"",IFERROR(K190/G190-1,"")))</f>
        <v/>
      </c>
      <c r="L192" s="15">
        <f>IF(OR(L190="",H190=""),"",IF(H190&lt;=0,"",IFERROR(L190/H190-1,"")))</f>
        <v/>
      </c>
      <c r="M192" s="15">
        <f>IF(OR(M190="",I190=""),"",IF(I190&lt;=0,"",IFERROR(M190/I190-1,"")))</f>
        <v/>
      </c>
      <c r="N192" s="15">
        <f>IF(OR(N190="",J190=""),"",IF(J190&lt;=0,"",IFERROR(N190/J190-1,"")))</f>
        <v/>
      </c>
      <c r="V192" s="15">
        <f>IF(OR(V190="",U190=""),"",IF(U190&lt;=0,"",IFERROR(V190/U190-1,"")))</f>
        <v/>
      </c>
      <c r="W192" s="15">
        <f>IF(OR(W190="",V190=""),"",IF(V190&lt;=0,"",IFERROR(W190/V190-1,"")))</f>
        <v/>
      </c>
      <c r="X192" s="15">
        <f>IF(OR(X190="",W190=""),"",IF(W190&lt;=0,"",IFERROR(X190/W190-1,"")))</f>
        <v/>
      </c>
    </row>
    <row r="193">
      <c r="A193" s="18" t="inlineStr">
        <is>
          <t>부문 · 외부 고객 매출</t>
        </is>
      </c>
      <c r="D193" s="20" t="n">
        <v>2328.336</v>
      </c>
      <c r="E193" s="20" t="n">
        <v>2048.933</v>
      </c>
      <c r="H193" s="20" t="n">
        <v>3879.604</v>
      </c>
      <c r="I193" s="20" t="n">
        <v>4244.639</v>
      </c>
      <c r="L193" s="20" t="n">
        <v>4875.264</v>
      </c>
      <c r="M193" s="20" t="n">
        <v>3981.191</v>
      </c>
      <c r="V193" s="20" t="n">
        <v>2048.933</v>
      </c>
      <c r="W193" s="20" t="n">
        <v>4244.639</v>
      </c>
      <c r="X193" s="20" t="n">
        <v>3981.191</v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H194" s="15">
        <f>IF(OR(H193="",D193=""),"",IF(D193&lt;=0,"",IFERROR(H193/D193-1,"")))</f>
        <v/>
      </c>
      <c r="I194" s="15">
        <f>IF(OR(I193="",E193=""),"",IF(E193&lt;=0,"",IFERROR(I193/E193-1,"")))</f>
        <v/>
      </c>
      <c r="L194" s="15">
        <f>IF(OR(L193="",H193=""),"",IF(H193&lt;=0,"",IFERROR(L193/H193-1,"")))</f>
        <v/>
      </c>
      <c r="M194" s="15">
        <f>IF(OR(M193="",I193=""),"",IF(I193&lt;=0,"",IFERROR(M193/I193-1,"")))</f>
        <v/>
      </c>
      <c r="V194" s="15">
        <f>IF(OR(V193="",U193=""),"",IF(U193&lt;=0,"",IFERROR(V193/U193-1,"")))</f>
        <v/>
      </c>
      <c r="W194" s="15">
        <f>IF(OR(W193="",V193=""),"",IF(V193&lt;=0,"",IFERROR(W193/V193-1,"")))</f>
        <v/>
      </c>
      <c r="X194" s="15">
        <f>IF(OR(X193="",W193=""),"",IF(W193&lt;=0,"",IFERROR(X193/W193-1,"")))</f>
        <v/>
      </c>
    </row>
    <row r="196">
      <c r="A196" s="16" t="inlineStr">
        <is>
          <t>현금흐름표 · 전 항목</t>
        </is>
      </c>
      <c r="B196" s="42" t="inlineStr">
        <is>
          <t>분기 = 결산기 첫날부터 누계(공시 그대로)</t>
        </is>
      </c>
      <c r="C196" s="16" t="n"/>
      <c r="D196" s="16" t="n"/>
      <c r="E196" s="16" t="n"/>
      <c r="F196" s="16" t="n"/>
      <c r="G196" s="16" t="n"/>
      <c r="H196" s="16" t="n"/>
      <c r="I196" s="16" t="n"/>
      <c r="J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  <c r="S196" s="16" t="n"/>
      <c r="T196" s="16" t="n"/>
      <c r="U196" s="16" t="n"/>
      <c r="V196" s="16" t="n"/>
      <c r="W196" s="16" t="n"/>
      <c r="X196" s="16" t="n"/>
      <c r="Y196" s="16" t="n"/>
      <c r="Z196" s="16" t="n"/>
      <c r="AA196" s="16" t="n"/>
      <c r="AB196" s="16" t="n"/>
      <c r="AC196" s="16" t="n"/>
    </row>
    <row r="197">
      <c r="A197" s="5" t="inlineStr">
        <is>
          <t>항목</t>
        </is>
      </c>
      <c r="B197" s="5" t="inlineStr">
        <is>
          <t>참고</t>
        </is>
      </c>
      <c r="C197" s="5" t="inlineStr">
        <is>
          <t>2024.2Q</t>
        </is>
      </c>
      <c r="D197" s="5" t="inlineStr">
        <is>
          <t>2024.3Q</t>
        </is>
      </c>
      <c r="E197" s="5" t="inlineStr">
        <is>
          <t>2024.4Q</t>
        </is>
      </c>
      <c r="F197" s="5" t="inlineStr">
        <is>
          <t>2025.1Q</t>
        </is>
      </c>
      <c r="G197" s="5" t="inlineStr">
        <is>
          <t>2025.2Q</t>
        </is>
      </c>
      <c r="H197" s="5" t="inlineStr">
        <is>
          <t>2025.3Q</t>
        </is>
      </c>
      <c r="I197" s="5" t="inlineStr">
        <is>
          <t>2025.4Q</t>
        </is>
      </c>
      <c r="J197" s="5" t="inlineStr">
        <is>
          <t>2026.1Q</t>
        </is>
      </c>
      <c r="K197" s="5" t="inlineStr">
        <is>
          <t>2026.2Q</t>
        </is>
      </c>
      <c r="L197" s="5" t="inlineStr">
        <is>
          <t>2026.3Q</t>
        </is>
      </c>
      <c r="M197" s="5" t="inlineStr">
        <is>
          <t>2026.4Q</t>
        </is>
      </c>
      <c r="N197" s="5" t="inlineStr">
        <is>
          <t>2027.1Q</t>
        </is>
      </c>
      <c r="O197" s="5" t="inlineStr">
        <is>
          <t>2017</t>
        </is>
      </c>
      <c r="P197" s="5" t="inlineStr">
        <is>
          <t>2018</t>
        </is>
      </c>
      <c r="Q197" s="5" t="inlineStr">
        <is>
          <t>2019</t>
        </is>
      </c>
      <c r="R197" s="5" t="inlineStr">
        <is>
          <t>2020</t>
        </is>
      </c>
      <c r="S197" s="5" t="inlineStr">
        <is>
          <t>2021</t>
        </is>
      </c>
      <c r="T197" s="5" t="inlineStr">
        <is>
          <t>2022</t>
        </is>
      </c>
      <c r="U197" s="5" t="inlineStr">
        <is>
          <t>2023</t>
        </is>
      </c>
      <c r="V197" s="5" t="inlineStr">
        <is>
          <t>2024</t>
        </is>
      </c>
      <c r="W197" s="5" t="inlineStr">
        <is>
          <t>2025</t>
        </is>
      </c>
      <c r="X197" s="5" t="inlineStr">
        <is>
          <t>2026</t>
        </is>
      </c>
      <c r="Y197" s="5" t="inlineStr">
        <is>
          <t>2027(MW)</t>
        </is>
      </c>
      <c r="Z197" s="5" t="inlineStr">
        <is>
          <t>2028(MW)</t>
        </is>
      </c>
      <c r="AA197" s="5" t="inlineStr">
        <is>
          <t>2029(MW)</t>
        </is>
      </c>
      <c r="AB197" s="5" t="inlineStr">
        <is>
          <t>2030(MW)</t>
        </is>
      </c>
      <c r="AC197" s="5" t="inlineStr">
        <is>
          <t>2031(MW)</t>
        </is>
      </c>
    </row>
    <row r="198">
      <c r="A198" s="9" t="inlineStr">
        <is>
          <t>법인세차감전 순이익</t>
        </is>
      </c>
      <c r="C198" s="12" t="n">
        <v>-155.601</v>
      </c>
      <c r="E198" s="12" t="n">
        <v>46.936</v>
      </c>
      <c r="G198" s="12" t="n">
        <v>-956.172</v>
      </c>
      <c r="I198" s="12" t="n">
        <v>-1118.5</v>
      </c>
      <c r="K198" s="12" t="n">
        <v>-2180.327</v>
      </c>
      <c r="M198" s="12" t="n">
        <v>852.567</v>
      </c>
      <c r="O198" s="12" t="n">
        <v>1084.391</v>
      </c>
      <c r="P198" s="12" t="n">
        <v>-141.118</v>
      </c>
      <c r="Q198" s="12" t="n">
        <v>-1671.334</v>
      </c>
      <c r="R198" s="12" t="n">
        <v>718.677</v>
      </c>
      <c r="S198" s="12" t="n">
        <v>2019.231</v>
      </c>
      <c r="T198" s="12" t="n">
        <v>1164.568</v>
      </c>
      <c r="U198" s="12" t="n">
        <v>1806.259</v>
      </c>
      <c r="V198" s="12" t="n">
        <v>46.936</v>
      </c>
      <c r="W198" s="12" t="n">
        <v>-1118.5</v>
      </c>
      <c r="X198" s="12" t="n">
        <v>852.567</v>
      </c>
    </row>
    <row r="199">
      <c r="A199" s="18" t="inlineStr">
        <is>
          <t>감가상각비</t>
        </is>
      </c>
      <c r="C199" s="20" t="n">
        <v>110.441</v>
      </c>
      <c r="E199" s="20" t="n">
        <v>144.83</v>
      </c>
      <c r="G199" s="20" t="n">
        <v>143.738</v>
      </c>
      <c r="I199" s="20" t="n">
        <v>526.454</v>
      </c>
      <c r="K199" s="20" t="n">
        <v>678.211</v>
      </c>
      <c r="M199" s="20" t="n">
        <v>1167.93</v>
      </c>
      <c r="O199" s="20" t="n">
        <v>213.772</v>
      </c>
      <c r="P199" s="20" t="n">
        <v>298.798</v>
      </c>
      <c r="Q199" s="20" t="n">
        <v>461.834</v>
      </c>
      <c r="R199" s="20" t="n">
        <v>382.147</v>
      </c>
      <c r="S199" s="20" t="n">
        <v>626.679</v>
      </c>
      <c r="T199" s="20" t="n">
        <v>536.543</v>
      </c>
      <c r="U199" s="20" t="n">
        <v>269.275</v>
      </c>
      <c r="V199" s="20" t="n">
        <v>144.83</v>
      </c>
      <c r="W199" s="20" t="n">
        <v>526.454</v>
      </c>
      <c r="X199" s="20" t="n">
        <v>1167.93</v>
      </c>
    </row>
    <row r="200">
      <c r="A200" s="18" t="inlineStr">
        <is>
          <t>손해배상금</t>
        </is>
      </c>
      <c r="O200" s="20" t="n">
        <v>0</v>
      </c>
      <c r="P200" s="20" t="n">
        <v>112</v>
      </c>
      <c r="Q200" s="20" t="n">
        <v>0</v>
      </c>
    </row>
    <row r="201">
      <c r="A201" s="18" t="inlineStr">
        <is>
          <t>임대차계약 해약손실</t>
        </is>
      </c>
      <c r="Q201" s="20" t="n">
        <v>0</v>
      </c>
      <c r="R201" s="20" t="n">
        <v>30.199</v>
      </c>
      <c r="S201" s="20" t="n">
        <v>0</v>
      </c>
    </row>
    <row r="202">
      <c r="A202" s="18" t="inlineStr">
        <is>
          <t>신주예약권 환입이익</t>
        </is>
      </c>
      <c r="P202" s="20" t="n">
        <v>0</v>
      </c>
      <c r="Q202" s="20" t="n">
        <v>-128.814</v>
      </c>
      <c r="R202" s="20" t="n">
        <v>0</v>
      </c>
    </row>
    <row r="203">
      <c r="A203" s="18" t="inlineStr">
        <is>
          <t>영업권 상각</t>
        </is>
      </c>
      <c r="R203" s="20" t="n">
        <v>0</v>
      </c>
      <c r="S203" s="20" t="n">
        <v>25.461</v>
      </c>
      <c r="T203" s="20" t="n">
        <v>0</v>
      </c>
    </row>
    <row r="204">
      <c r="A204" s="18" t="inlineStr">
        <is>
          <t>손상차손</t>
        </is>
      </c>
      <c r="C204" s="20" t="n">
        <v>609.1849999999999</v>
      </c>
      <c r="E204" s="20" t="n">
        <v>746.234</v>
      </c>
      <c r="G204" s="20" t="n">
        <v>601.886</v>
      </c>
      <c r="I204" s="20" t="n">
        <v>1121.886</v>
      </c>
      <c r="K204" s="20" t="n">
        <v>1563.462</v>
      </c>
      <c r="M204" s="20" t="n">
        <v>2051.858</v>
      </c>
      <c r="P204" s="20" t="n">
        <v>0</v>
      </c>
      <c r="Q204" s="20" t="n">
        <v>349.763</v>
      </c>
      <c r="R204" s="20" t="n">
        <v>565.0170000000001</v>
      </c>
      <c r="S204" s="20" t="n">
        <v>0</v>
      </c>
      <c r="T204" s="20" t="n">
        <v>285.108</v>
      </c>
      <c r="U204" s="20" t="n">
        <v>386.259</v>
      </c>
      <c r="V204" s="20" t="n">
        <v>746.234</v>
      </c>
      <c r="W204" s="20" t="n">
        <v>1121.886</v>
      </c>
      <c r="X204" s="20" t="n">
        <v>2051.858</v>
      </c>
    </row>
    <row r="205">
      <c r="A205" s="18" t="inlineStr">
        <is>
          <t>이자·배당금 수익</t>
        </is>
      </c>
      <c r="O205" s="20" t="n">
        <v>-1.687</v>
      </c>
      <c r="P205" s="20" t="n">
        <v>-1.029</v>
      </c>
      <c r="Q205" s="20" t="n">
        <v>-10.067</v>
      </c>
      <c r="R205" s="20" t="n">
        <v>-0.034</v>
      </c>
      <c r="S205" s="20" t="n">
        <v>-8.103</v>
      </c>
    </row>
    <row r="206">
      <c r="A206" s="18" t="inlineStr">
        <is>
          <t>투자사업조합 운용 손익(△는 이익)</t>
        </is>
      </c>
      <c r="O206" s="20" t="n">
        <v>-22.501</v>
      </c>
      <c r="P206" s="20" t="n">
        <v>-2.359</v>
      </c>
    </row>
    <row r="207">
      <c r="A207" s="18" t="inlineStr">
        <is>
          <t>지분법손익</t>
        </is>
      </c>
      <c r="O207" s="20" t="n">
        <v>71.44</v>
      </c>
      <c r="P207" s="20" t="n">
        <v>139.15</v>
      </c>
      <c r="Q207" s="20" t="n">
        <v>713.607</v>
      </c>
      <c r="R207" s="20" t="n">
        <v>-99.798</v>
      </c>
      <c r="S207" s="20" t="n">
        <v>0</v>
      </c>
    </row>
    <row r="208">
      <c r="A208" s="18" t="inlineStr">
        <is>
          <t>주식보상비용</t>
        </is>
      </c>
      <c r="C208" s="20" t="n">
        <v>21.96</v>
      </c>
      <c r="E208" s="20" t="n">
        <v>49.011</v>
      </c>
      <c r="G208" s="20" t="n">
        <v>23.833</v>
      </c>
      <c r="I208" s="20" t="n">
        <v>61.775</v>
      </c>
      <c r="K208" s="20" t="n">
        <v>57.73</v>
      </c>
      <c r="M208" s="20" t="n">
        <v>88.396</v>
      </c>
      <c r="O208" s="20" t="n">
        <v>49.455</v>
      </c>
      <c r="P208" s="20" t="n">
        <v>69.511</v>
      </c>
      <c r="Q208" s="20" t="n">
        <v>10.081</v>
      </c>
      <c r="R208" s="20" t="n">
        <v>11.552</v>
      </c>
      <c r="S208" s="20" t="n">
        <v>41.266</v>
      </c>
      <c r="T208" s="20" t="n">
        <v>41.72</v>
      </c>
      <c r="U208" s="20" t="n">
        <v>40.728</v>
      </c>
      <c r="V208" s="20" t="n">
        <v>49.011</v>
      </c>
      <c r="W208" s="20" t="n">
        <v>61.775</v>
      </c>
      <c r="X208" s="20" t="n">
        <v>88.396</v>
      </c>
    </row>
    <row r="209">
      <c r="A209" s="18" t="inlineStr">
        <is>
          <t>Loss On Business Of Subsidiaries And Affiliates Ope CF</t>
        </is>
      </c>
      <c r="P209" s="20" t="n">
        <v>0</v>
      </c>
      <c r="Q209" s="20" t="n">
        <v>6.141</v>
      </c>
      <c r="R209" s="20" t="n">
        <v>0</v>
      </c>
    </row>
    <row r="210">
      <c r="A210" s="18" t="inlineStr">
        <is>
          <t>이자·배당금 수익</t>
        </is>
      </c>
      <c r="C210" s="20" t="n">
        <v>-3.007</v>
      </c>
      <c r="E210" s="20" t="n">
        <v>-3.031</v>
      </c>
      <c r="G210" s="20" t="n">
        <v>-0.66</v>
      </c>
      <c r="I210" s="20" t="n">
        <v>-3.32</v>
      </c>
      <c r="K210" s="20" t="n">
        <v>-4.362</v>
      </c>
      <c r="M210" s="20" t="n">
        <v>-8.702999999999999</v>
      </c>
      <c r="S210" s="20" t="n">
        <v>-8.103</v>
      </c>
      <c r="T210" s="20" t="n">
        <v>-0.052</v>
      </c>
      <c r="U210" s="20" t="n">
        <v>-3.121</v>
      </c>
      <c r="V210" s="20" t="n">
        <v>-3.031</v>
      </c>
      <c r="W210" s="20" t="n">
        <v>-3.32</v>
      </c>
      <c r="X210" s="20" t="n">
        <v>-8.702999999999999</v>
      </c>
    </row>
    <row r="211">
      <c r="A211" s="18" t="inlineStr">
        <is>
          <t>투자유가증권 평가손익</t>
        </is>
      </c>
      <c r="O211" s="20" t="n">
        <v>8</v>
      </c>
      <c r="P211" s="20" t="n">
        <v>0</v>
      </c>
      <c r="Q211" s="20" t="n">
        <v>94.878</v>
      </c>
      <c r="R211" s="20" t="n">
        <v>0</v>
      </c>
      <c r="S211" s="20" t="n">
        <v>0</v>
      </c>
      <c r="T211" s="20" t="n">
        <v>96.29000000000001</v>
      </c>
      <c r="U211" s="20" t="n">
        <v>0</v>
      </c>
    </row>
    <row r="212">
      <c r="A212" s="18" t="inlineStr">
        <is>
          <t>투자유가증권 매각손익</t>
        </is>
      </c>
      <c r="O212" s="20" t="n">
        <v>-18.766</v>
      </c>
      <c r="P212" s="20" t="n">
        <v>-10</v>
      </c>
      <c r="Q212" s="20" t="n">
        <v>0</v>
      </c>
    </row>
    <row r="213">
      <c r="A213" s="18" t="inlineStr">
        <is>
          <t>지급수수료</t>
        </is>
      </c>
      <c r="C213" s="20" t="n">
        <v>1.379</v>
      </c>
      <c r="E213" s="20" t="n">
        <v>61.97</v>
      </c>
      <c r="I213" s="20" t="n">
        <v>5.969</v>
      </c>
      <c r="M213" s="20" t="n">
        <v>4.174</v>
      </c>
      <c r="O213" s="20" t="n">
        <v>0</v>
      </c>
      <c r="P213" s="20" t="n">
        <v>57.051</v>
      </c>
      <c r="Q213" s="20" t="n">
        <v>9.656000000000001</v>
      </c>
      <c r="R213" s="20" t="n">
        <v>5.553</v>
      </c>
      <c r="S213" s="20" t="n">
        <v>24.155</v>
      </c>
      <c r="T213" s="20" t="n">
        <v>0</v>
      </c>
      <c r="U213" s="20" t="n">
        <v>47.673</v>
      </c>
      <c r="V213" s="20" t="n">
        <v>61.97</v>
      </c>
      <c r="W213" s="20" t="n">
        <v>5.969</v>
      </c>
      <c r="X213" s="20" t="n">
        <v>4.174</v>
      </c>
    </row>
    <row r="214">
      <c r="A214" s="18" t="inlineStr">
        <is>
          <t>이자비용</t>
        </is>
      </c>
      <c r="C214" s="20" t="n">
        <v>20.757</v>
      </c>
      <c r="E214" s="20" t="n">
        <v>44.714</v>
      </c>
      <c r="G214" s="20" t="n">
        <v>38.322</v>
      </c>
      <c r="I214" s="20" t="n">
        <v>77.376</v>
      </c>
      <c r="K214" s="20" t="n">
        <v>39.974</v>
      </c>
      <c r="M214" s="20" t="n">
        <v>75.658</v>
      </c>
      <c r="O214" s="20" t="n">
        <v>14.681</v>
      </c>
      <c r="P214" s="20" t="n">
        <v>27.983</v>
      </c>
      <c r="Q214" s="20" t="n">
        <v>28.846</v>
      </c>
      <c r="R214" s="20" t="n">
        <v>33.923</v>
      </c>
      <c r="S214" s="20" t="n">
        <v>30.295</v>
      </c>
      <c r="T214" s="20" t="n">
        <v>44.747</v>
      </c>
      <c r="U214" s="20" t="n">
        <v>41.437</v>
      </c>
      <c r="V214" s="20" t="n">
        <v>44.714</v>
      </c>
      <c r="W214" s="20" t="n">
        <v>77.376</v>
      </c>
      <c r="X214" s="20" t="n">
        <v>75.658</v>
      </c>
    </row>
    <row r="215">
      <c r="A215" s="18" t="inlineStr">
        <is>
          <t>사채이자</t>
        </is>
      </c>
      <c r="O215" s="20" t="n">
        <v>0.51</v>
      </c>
      <c r="P215" s="20" t="n">
        <v>1.423</v>
      </c>
      <c r="Q215" s="20" t="n">
        <v>2.118</v>
      </c>
      <c r="R215" s="20" t="n">
        <v>1.162</v>
      </c>
      <c r="S215" s="20" t="n">
        <v>0.259</v>
      </c>
      <c r="T215" s="20" t="n">
        <v>0</v>
      </c>
    </row>
    <row r="216">
      <c r="A216" s="18" t="inlineStr">
        <is>
          <t>관계회사 주식 매각손익</t>
        </is>
      </c>
      <c r="I216" s="20" t="n">
        <v>0</v>
      </c>
      <c r="M216" s="20" t="n">
        <v>-2570.414</v>
      </c>
      <c r="O216" s="20" t="n">
        <v>-173.67</v>
      </c>
      <c r="P216" s="20" t="n">
        <v>0</v>
      </c>
      <c r="Q216" s="20" t="n">
        <v>0</v>
      </c>
      <c r="R216" s="20" t="n">
        <v>-692.804</v>
      </c>
      <c r="S216" s="20" t="n">
        <v>0</v>
      </c>
      <c r="W216" s="20" t="n">
        <v>0</v>
      </c>
      <c r="X216" s="20" t="n">
        <v>-2570.414</v>
      </c>
    </row>
    <row r="217">
      <c r="A217" s="18" t="inlineStr">
        <is>
          <t>지분변동손익</t>
        </is>
      </c>
      <c r="O217" s="20" t="n">
        <v>-47.563</v>
      </c>
      <c r="P217" s="20" t="n">
        <v>0</v>
      </c>
    </row>
    <row r="218">
      <c r="A218" s="18" t="inlineStr">
        <is>
          <t>매출채권 증감</t>
        </is>
      </c>
      <c r="C218" s="20" t="n">
        <v>-709.6950000000001</v>
      </c>
      <c r="E218" s="20" t="n">
        <v>-173.265</v>
      </c>
      <c r="G218" s="20" t="n">
        <v>231.006</v>
      </c>
      <c r="I218" s="20" t="n">
        <v>-1348.424</v>
      </c>
      <c r="K218" s="20" t="n">
        <v>939.379</v>
      </c>
      <c r="M218" s="20" t="n">
        <v>732.261</v>
      </c>
      <c r="O218" s="20" t="n">
        <v>-576.877</v>
      </c>
      <c r="P218" s="20" t="n">
        <v>-462.806</v>
      </c>
      <c r="Q218" s="20" t="n">
        <v>423.253</v>
      </c>
      <c r="R218" s="20" t="n">
        <v>-208.438</v>
      </c>
      <c r="S218" s="20" t="n">
        <v>-109.752</v>
      </c>
      <c r="T218" s="20" t="n">
        <v>356.622</v>
      </c>
      <c r="U218" s="20" t="n">
        <v>0.658</v>
      </c>
      <c r="V218" s="20" t="n">
        <v>-173.265</v>
      </c>
      <c r="W218" s="20" t="n">
        <v>-1348.424</v>
      </c>
      <c r="X218" s="20" t="n">
        <v>732.261</v>
      </c>
    </row>
    <row r="219">
      <c r="A219" s="18" t="inlineStr">
        <is>
          <t>재고자산 증감</t>
        </is>
      </c>
      <c r="C219" s="20" t="n">
        <v>-34.309</v>
      </c>
      <c r="E219" s="20" t="n">
        <v>-29.839</v>
      </c>
      <c r="G219" s="20" t="n">
        <v>-28.975</v>
      </c>
      <c r="I219" s="20" t="n">
        <v>-38.694</v>
      </c>
      <c r="K219" s="20" t="n">
        <v>-36.028</v>
      </c>
      <c r="M219" s="20" t="n">
        <v>-49.766</v>
      </c>
      <c r="O219" s="20" t="n">
        <v>-787.371</v>
      </c>
      <c r="P219" s="20" t="n">
        <v>616.652</v>
      </c>
      <c r="Q219" s="20" t="n">
        <v>118.988</v>
      </c>
      <c r="R219" s="20" t="n">
        <v>240.989</v>
      </c>
      <c r="S219" s="20" t="n">
        <v>-7.136</v>
      </c>
      <c r="T219" s="20" t="n">
        <v>-2.809</v>
      </c>
      <c r="U219" s="20" t="n">
        <v>-12.725</v>
      </c>
      <c r="V219" s="20" t="n">
        <v>-29.839</v>
      </c>
      <c r="W219" s="20" t="n">
        <v>-38.694</v>
      </c>
      <c r="X219" s="20" t="n">
        <v>-49.766</v>
      </c>
    </row>
    <row r="220">
      <c r="A220" s="18" t="inlineStr">
        <is>
          <t>미수금 증감</t>
        </is>
      </c>
      <c r="C220" s="20" t="n">
        <v>16.18</v>
      </c>
      <c r="G220" s="20" t="n">
        <v>-7.031</v>
      </c>
      <c r="K220" s="20" t="n">
        <v>-206.131</v>
      </c>
      <c r="O220" s="20" t="n">
        <v>-150.636</v>
      </c>
      <c r="P220" s="20" t="n">
        <v>-255.734</v>
      </c>
      <c r="Q220" s="20" t="n">
        <v>228.332</v>
      </c>
    </row>
    <row r="221">
      <c r="A221" s="18" t="inlineStr">
        <is>
          <t>미수 소비세 증감</t>
        </is>
      </c>
      <c r="C221" s="20" t="n">
        <v>-46.394</v>
      </c>
      <c r="E221" s="20" t="n">
        <v>-170.986</v>
      </c>
      <c r="G221" s="20" t="n">
        <v>178.082</v>
      </c>
      <c r="I221" s="20" t="n">
        <v>178.082</v>
      </c>
      <c r="K221" s="20" t="n">
        <v>0</v>
      </c>
      <c r="M221" s="20" t="n">
        <v>0</v>
      </c>
      <c r="O221" s="20" t="n">
        <v>6.3</v>
      </c>
      <c r="P221" s="20" t="n">
        <v>0</v>
      </c>
      <c r="S221" s="20" t="n">
        <v>0</v>
      </c>
      <c r="T221" s="20" t="n">
        <v>-151.174</v>
      </c>
      <c r="U221" s="20" t="n">
        <v>162.542</v>
      </c>
      <c r="V221" s="20" t="n">
        <v>-170.986</v>
      </c>
      <c r="W221" s="20" t="n">
        <v>178.082</v>
      </c>
      <c r="X221" s="20" t="n">
        <v>0</v>
      </c>
    </row>
    <row r="222">
      <c r="A222" s="18" t="inlineStr">
        <is>
          <t>선급비용 증감</t>
        </is>
      </c>
      <c r="C222" s="20" t="n">
        <v>14.175</v>
      </c>
      <c r="E222" s="20" t="n">
        <v>3.804</v>
      </c>
      <c r="G222" s="20" t="n">
        <v>3.652</v>
      </c>
      <c r="I222" s="20" t="n">
        <v>-306.748</v>
      </c>
      <c r="K222" s="20" t="n">
        <v>214.538</v>
      </c>
      <c r="M222" s="20" t="n">
        <v>337.251</v>
      </c>
      <c r="R222" s="20" t="n">
        <v>-98.64</v>
      </c>
      <c r="S222" s="20" t="n">
        <v>202.024</v>
      </c>
      <c r="T222" s="20" t="n">
        <v>-18.678</v>
      </c>
      <c r="U222" s="20" t="n">
        <v>3.257</v>
      </c>
      <c r="V222" s="20" t="n">
        <v>3.804</v>
      </c>
      <c r="W222" s="20" t="n">
        <v>-306.748</v>
      </c>
      <c r="X222" s="20" t="n">
        <v>337.251</v>
      </c>
    </row>
    <row r="223">
      <c r="A223" s="18" t="inlineStr">
        <is>
          <t>매입채무 증감</t>
        </is>
      </c>
      <c r="C223" s="20" t="n">
        <v>-61.181</v>
      </c>
      <c r="E223" s="20" t="n">
        <v>-120.378</v>
      </c>
      <c r="G223" s="20" t="n">
        <v>-2.393</v>
      </c>
      <c r="I223" s="20" t="n">
        <v>88.27800000000001</v>
      </c>
      <c r="K223" s="20" t="n">
        <v>-30.407</v>
      </c>
      <c r="M223" s="20" t="n">
        <v>-76.72799999999999</v>
      </c>
      <c r="O223" s="20" t="n">
        <v>261.277</v>
      </c>
      <c r="P223" s="20" t="n">
        <v>-12.178</v>
      </c>
      <c r="Q223" s="20" t="n">
        <v>-94.91</v>
      </c>
      <c r="R223" s="20" t="n">
        <v>54.322</v>
      </c>
      <c r="S223" s="20" t="n">
        <v>-61.589</v>
      </c>
      <c r="T223" s="20" t="n">
        <v>-5.678</v>
      </c>
      <c r="U223" s="20" t="n">
        <v>92.113</v>
      </c>
      <c r="V223" s="20" t="n">
        <v>-120.378</v>
      </c>
      <c r="W223" s="20" t="n">
        <v>88.27800000000001</v>
      </c>
      <c r="X223" s="20" t="n">
        <v>-76.72799999999999</v>
      </c>
    </row>
    <row r="224">
      <c r="A224" s="18" t="inlineStr">
        <is>
          <t>미지급금 증감</t>
        </is>
      </c>
      <c r="C224" s="20" t="n">
        <v>56.024</v>
      </c>
      <c r="E224" s="20" t="n">
        <v>49.192</v>
      </c>
      <c r="G224" s="20" t="n">
        <v>-54.954</v>
      </c>
      <c r="I224" s="20" t="n">
        <v>1176.678</v>
      </c>
      <c r="K224" s="20" t="n">
        <v>-67.512</v>
      </c>
      <c r="M224" s="20" t="n">
        <v>-390.122</v>
      </c>
      <c r="O224" s="20" t="n">
        <v>366.824</v>
      </c>
      <c r="P224" s="20" t="n">
        <v>143.408</v>
      </c>
      <c r="Q224" s="20" t="n">
        <v>-243.176</v>
      </c>
      <c r="R224" s="20" t="n">
        <v>-182.392</v>
      </c>
      <c r="S224" s="20" t="n">
        <v>84.377</v>
      </c>
      <c r="T224" s="20" t="n">
        <v>42.453</v>
      </c>
      <c r="U224" s="20" t="n">
        <v>-12.938</v>
      </c>
      <c r="V224" s="20" t="n">
        <v>49.192</v>
      </c>
      <c r="W224" s="20" t="n">
        <v>1176.678</v>
      </c>
      <c r="X224" s="20" t="n">
        <v>-390.122</v>
      </c>
    </row>
    <row r="225">
      <c r="A225" s="18" t="inlineStr">
        <is>
          <t>미지급 소비세 증감</t>
        </is>
      </c>
      <c r="C225" s="20" t="n">
        <v>-56.137</v>
      </c>
      <c r="E225" s="20" t="n">
        <v>-52.935</v>
      </c>
      <c r="G225" s="20" t="n">
        <v>-17.605</v>
      </c>
      <c r="I225" s="20" t="n">
        <v>67.23099999999999</v>
      </c>
      <c r="K225" s="20" t="n">
        <v>-67.28700000000001</v>
      </c>
      <c r="M225" s="20" t="n">
        <v>60.141</v>
      </c>
      <c r="O225" s="20" t="n">
        <v>23.471</v>
      </c>
      <c r="P225" s="20" t="n">
        <v>128.791</v>
      </c>
      <c r="Q225" s="20" t="n">
        <v>-167.871</v>
      </c>
      <c r="R225" s="20" t="n">
        <v>58.883</v>
      </c>
      <c r="S225" s="20" t="n">
        <v>150.506</v>
      </c>
      <c r="T225" s="20" t="n">
        <v>-163.115</v>
      </c>
      <c r="U225" s="20" t="n">
        <v>26.595</v>
      </c>
      <c r="V225" s="20" t="n">
        <v>-52.935</v>
      </c>
      <c r="W225" s="20" t="n">
        <v>67.23099999999999</v>
      </c>
      <c r="X225" s="20" t="n">
        <v>60.141</v>
      </c>
    </row>
    <row r="226">
      <c r="A226" s="18" t="inlineStr">
        <is>
          <t>선수금 증감</t>
        </is>
      </c>
      <c r="C226" s="20" t="n">
        <v>-18.77</v>
      </c>
      <c r="E226" s="20" t="n">
        <v>25.711</v>
      </c>
      <c r="G226" s="20" t="n">
        <v>-44.736</v>
      </c>
      <c r="I226" s="20" t="n">
        <v>-42.519</v>
      </c>
      <c r="K226" s="20" t="n">
        <v>-3.191</v>
      </c>
      <c r="M226" s="20" t="n">
        <v>-1.964</v>
      </c>
      <c r="O226" s="20" t="n">
        <v>484.92</v>
      </c>
      <c r="P226" s="20" t="n">
        <v>-484.866</v>
      </c>
      <c r="Q226" s="20" t="n">
        <v>181.386</v>
      </c>
      <c r="R226" s="20" t="n">
        <v>-169.009</v>
      </c>
      <c r="S226" s="20" t="n">
        <v>136.19</v>
      </c>
      <c r="T226" s="20" t="n">
        <v>-136.19</v>
      </c>
      <c r="U226" s="20" t="n">
        <v>207.569</v>
      </c>
      <c r="V226" s="20" t="n">
        <v>25.711</v>
      </c>
      <c r="W226" s="20" t="n">
        <v>-42.519</v>
      </c>
      <c r="X226" s="20" t="n">
        <v>-1.964</v>
      </c>
    </row>
    <row r="227">
      <c r="A227" s="18" t="inlineStr">
        <is>
          <t>상여충당금 증감</t>
        </is>
      </c>
      <c r="C227" s="20" t="n">
        <v>-61.281</v>
      </c>
      <c r="E227" s="20" t="n">
        <v>-42.6</v>
      </c>
      <c r="G227" s="20" t="n">
        <v>-3.234</v>
      </c>
      <c r="I227" s="20" t="n">
        <v>11.258</v>
      </c>
      <c r="K227" s="20" t="n">
        <v>16.487</v>
      </c>
      <c r="M227" s="20" t="n">
        <v>35.078</v>
      </c>
      <c r="O227" s="20" t="n">
        <v>54.8</v>
      </c>
      <c r="P227" s="20" t="n">
        <v>25.332</v>
      </c>
      <c r="Q227" s="20" t="n">
        <v>6.608</v>
      </c>
      <c r="R227" s="20" t="n">
        <v>18.867</v>
      </c>
      <c r="S227" s="20" t="n">
        <v>103.296</v>
      </c>
      <c r="T227" s="20" t="n">
        <v>0.74</v>
      </c>
      <c r="U227" s="20" t="n">
        <v>0.536</v>
      </c>
      <c r="V227" s="20" t="n">
        <v>-42.6</v>
      </c>
      <c r="W227" s="20" t="n">
        <v>11.258</v>
      </c>
      <c r="X227" s="20" t="n">
        <v>35.078</v>
      </c>
    </row>
    <row r="228">
      <c r="A228" s="18" t="inlineStr">
        <is>
          <t>대손충당금 증감</t>
        </is>
      </c>
      <c r="I228" s="20" t="n">
        <v>0</v>
      </c>
      <c r="M228" s="20" t="n">
        <v>44</v>
      </c>
      <c r="W228" s="20" t="n">
        <v>0</v>
      </c>
      <c r="X228" s="20" t="n">
        <v>44</v>
      </c>
    </row>
    <row r="229">
      <c r="A229" s="18" t="inlineStr">
        <is>
          <t>미지급비용 증감</t>
        </is>
      </c>
      <c r="E229" s="20" t="n">
        <v>-159.349</v>
      </c>
      <c r="I229" s="20" t="n">
        <v>-11.234</v>
      </c>
      <c r="M229" s="20" t="n">
        <v>72.455</v>
      </c>
      <c r="U229" s="20" t="n">
        <v>24.088</v>
      </c>
      <c r="V229" s="20" t="n">
        <v>-159.349</v>
      </c>
      <c r="W229" s="20" t="n">
        <v>-11.234</v>
      </c>
      <c r="X229" s="20" t="n">
        <v>72.455</v>
      </c>
    </row>
    <row r="230">
      <c r="A230" s="18" t="inlineStr">
        <is>
          <t>기타</t>
        </is>
      </c>
      <c r="C230" s="20" t="n">
        <v>-27.113</v>
      </c>
      <c r="E230" s="20" t="n">
        <v>-70.871</v>
      </c>
      <c r="G230" s="20" t="n">
        <v>-24.105</v>
      </c>
      <c r="I230" s="20" t="n">
        <v>102.035</v>
      </c>
      <c r="K230" s="20" t="n">
        <v>-25.323</v>
      </c>
      <c r="M230" s="20" t="n">
        <v>13.76</v>
      </c>
      <c r="O230" s="20" t="n">
        <v>13.385</v>
      </c>
      <c r="P230" s="20" t="n">
        <v>76.15300000000001</v>
      </c>
      <c r="Q230" s="20" t="n">
        <v>139.638</v>
      </c>
      <c r="R230" s="20" t="n">
        <v>-5.698</v>
      </c>
      <c r="S230" s="20" t="n">
        <v>146.124</v>
      </c>
      <c r="T230" s="20" t="n">
        <v>182.111</v>
      </c>
      <c r="U230" s="20" t="n">
        <v>-47.015</v>
      </c>
      <c r="V230" s="20" t="n">
        <v>-70.871</v>
      </c>
      <c r="W230" s="20" t="n">
        <v>102.035</v>
      </c>
      <c r="X230" s="20" t="n">
        <v>13.76</v>
      </c>
    </row>
    <row r="231">
      <c r="A231" s="18" t="inlineStr">
        <is>
          <t>소계</t>
        </is>
      </c>
      <c r="C231" s="20" t="n">
        <v>-324.766</v>
      </c>
      <c r="E231" s="20" t="n">
        <v>349.147</v>
      </c>
      <c r="G231" s="20" t="n">
        <v>80.65300000000001</v>
      </c>
      <c r="I231" s="20" t="n">
        <v>547.586</v>
      </c>
      <c r="K231" s="20" t="n">
        <v>889.21</v>
      </c>
      <c r="M231" s="20" t="n">
        <v>2437.833</v>
      </c>
      <c r="O231" s="20" t="n">
        <v>874.157</v>
      </c>
      <c r="P231" s="20" t="n">
        <v>328.524</v>
      </c>
      <c r="Q231" s="20" t="n">
        <v>230.628</v>
      </c>
      <c r="R231" s="20" t="n">
        <v>664.479</v>
      </c>
      <c r="S231" s="20" t="n">
        <v>3403.286</v>
      </c>
      <c r="T231" s="20" t="n">
        <v>2273.207</v>
      </c>
      <c r="U231" s="20" t="n">
        <v>3033.198</v>
      </c>
      <c r="V231" s="20" t="n">
        <v>349.147</v>
      </c>
      <c r="W231" s="20" t="n">
        <v>547.586</v>
      </c>
      <c r="X231" s="20" t="n">
        <v>2437.833</v>
      </c>
    </row>
    <row r="232">
      <c r="A232" s="18" t="inlineStr">
        <is>
          <t>이자·배당금 수취</t>
        </is>
      </c>
      <c r="C232" s="20" t="n">
        <v>3.264</v>
      </c>
      <c r="G232" s="20" t="n">
        <v>1.055</v>
      </c>
      <c r="K232" s="20" t="n">
        <v>4.575</v>
      </c>
    </row>
    <row r="233">
      <c r="A233" s="18" t="inlineStr">
        <is>
          <t>Receipts Of Dividends And Interest Received Ope CF</t>
        </is>
      </c>
      <c r="E233" s="20" t="n">
        <v>3.979</v>
      </c>
      <c r="I233" s="20" t="n">
        <v>4.098</v>
      </c>
      <c r="M233" s="20" t="n">
        <v>9.236000000000001</v>
      </c>
      <c r="O233" s="20" t="n">
        <v>1.687</v>
      </c>
      <c r="P233" s="20" t="n">
        <v>0.425</v>
      </c>
      <c r="Q233" s="20" t="n">
        <v>24.38</v>
      </c>
      <c r="R233" s="20" t="n">
        <v>1.774</v>
      </c>
      <c r="S233" s="20" t="n">
        <v>9.597</v>
      </c>
      <c r="T233" s="20" t="n">
        <v>0.973</v>
      </c>
      <c r="U233" s="20" t="n">
        <v>5.112</v>
      </c>
      <c r="V233" s="20" t="n">
        <v>3.979</v>
      </c>
      <c r="W233" s="20" t="n">
        <v>4.098</v>
      </c>
      <c r="X233" s="20" t="n">
        <v>9.236000000000001</v>
      </c>
    </row>
    <row r="234">
      <c r="A234" s="18" t="inlineStr">
        <is>
          <t>이자 지급</t>
        </is>
      </c>
      <c r="C234" s="20" t="n">
        <v>-20.801</v>
      </c>
      <c r="E234" s="20" t="n">
        <v>-43.536</v>
      </c>
      <c r="G234" s="20" t="n">
        <v>-39.358</v>
      </c>
      <c r="I234" s="20" t="n">
        <v>-74.776</v>
      </c>
      <c r="K234" s="20" t="n">
        <v>-39.845</v>
      </c>
      <c r="M234" s="20" t="n">
        <v>-75.54600000000001</v>
      </c>
      <c r="O234" s="20" t="n">
        <v>-16.441</v>
      </c>
      <c r="P234" s="20" t="n">
        <v>-25.356</v>
      </c>
      <c r="Q234" s="20" t="n">
        <v>-34.769</v>
      </c>
      <c r="R234" s="20" t="n">
        <v>-33.414</v>
      </c>
      <c r="S234" s="20" t="n">
        <v>-34.594</v>
      </c>
      <c r="T234" s="20" t="n">
        <v>-43.956</v>
      </c>
      <c r="U234" s="20" t="n">
        <v>-37.856</v>
      </c>
      <c r="V234" s="20" t="n">
        <v>-43.536</v>
      </c>
      <c r="W234" s="20" t="n">
        <v>-74.776</v>
      </c>
      <c r="X234" s="20" t="n">
        <v>-75.54600000000001</v>
      </c>
    </row>
    <row r="235">
      <c r="A235" s="18" t="inlineStr">
        <is>
          <t>손해배상금 지급</t>
        </is>
      </c>
      <c r="O235" s="20" t="n">
        <v>0</v>
      </c>
      <c r="P235" s="20" t="n">
        <v>-112</v>
      </c>
      <c r="Q235" s="20" t="n">
        <v>0</v>
      </c>
    </row>
    <row r="236">
      <c r="A236" s="18" t="inlineStr">
        <is>
          <t>법인세 납부</t>
        </is>
      </c>
      <c r="C236" s="20" t="n">
        <v>-456.617</v>
      </c>
      <c r="E236" s="20" t="n">
        <v>-782.828</v>
      </c>
      <c r="G236" s="20" t="n">
        <v>-61.147</v>
      </c>
      <c r="I236" s="20" t="n">
        <v>-112.337</v>
      </c>
      <c r="K236" s="20" t="n">
        <v>-99.69799999999999</v>
      </c>
      <c r="M236" s="20" t="n">
        <v>-174.193</v>
      </c>
      <c r="O236" s="20" t="n">
        <v>-13.787</v>
      </c>
      <c r="P236" s="20" t="n">
        <v>-271.027</v>
      </c>
      <c r="Q236" s="20" t="n">
        <v>-141.982</v>
      </c>
      <c r="R236" s="20" t="n">
        <v>-10.731</v>
      </c>
      <c r="S236" s="20" t="n">
        <v>-181.823</v>
      </c>
      <c r="T236" s="20" t="n">
        <v>-635.967</v>
      </c>
      <c r="U236" s="20" t="n">
        <v>-334.675</v>
      </c>
      <c r="V236" s="20" t="n">
        <v>-782.828</v>
      </c>
      <c r="W236" s="20" t="n">
        <v>-112.337</v>
      </c>
      <c r="X236" s="20" t="n">
        <v>-174.193</v>
      </c>
    </row>
    <row r="237">
      <c r="A237" s="18" t="inlineStr">
        <is>
          <t>법인세 환급</t>
        </is>
      </c>
      <c r="C237" s="20" t="n">
        <v>0</v>
      </c>
      <c r="E237" s="20" t="n">
        <v>0</v>
      </c>
      <c r="G237" s="20" t="n">
        <v>269.51</v>
      </c>
      <c r="I237" s="20" t="n">
        <v>269.51</v>
      </c>
      <c r="K237" s="20" t="n">
        <v>0.434</v>
      </c>
      <c r="M237" s="20" t="n">
        <v>0.434</v>
      </c>
      <c r="Q237" s="20" t="n">
        <v>0</v>
      </c>
      <c r="R237" s="20" t="n">
        <v>69.315</v>
      </c>
      <c r="S237" s="20" t="n">
        <v>0</v>
      </c>
      <c r="T237" s="20" t="n">
        <v>8.567</v>
      </c>
      <c r="U237" s="20" t="n">
        <v>0</v>
      </c>
      <c r="V237" s="20" t="n">
        <v>0</v>
      </c>
      <c r="W237" s="20" t="n">
        <v>269.51</v>
      </c>
      <c r="X237" s="20" t="n">
        <v>0.434</v>
      </c>
    </row>
    <row r="238">
      <c r="A238" s="9" t="inlineStr">
        <is>
          <t>영업활동 현금흐름</t>
        </is>
      </c>
      <c r="C238" s="12" t="n">
        <v>-798.921</v>
      </c>
      <c r="E238" s="12" t="n">
        <v>-473.238</v>
      </c>
      <c r="G238" s="12" t="n">
        <v>250.712</v>
      </c>
      <c r="I238" s="12" t="n">
        <v>634.082</v>
      </c>
      <c r="K238" s="12" t="n">
        <v>754.675</v>
      </c>
      <c r="M238" s="12" t="n">
        <v>2197.764</v>
      </c>
      <c r="O238" s="12" t="n">
        <v>845.616</v>
      </c>
      <c r="P238" s="12" t="n">
        <v>-79.43300000000001</v>
      </c>
      <c r="Q238" s="12" t="n">
        <v>78.25700000000001</v>
      </c>
      <c r="R238" s="12" t="n">
        <v>691.423</v>
      </c>
      <c r="S238" s="12" t="n">
        <v>3196.465</v>
      </c>
      <c r="T238" s="12" t="n">
        <v>1602.824</v>
      </c>
      <c r="U238" s="12" t="n">
        <v>2665.778</v>
      </c>
      <c r="V238" s="12" t="n">
        <v>-473.238</v>
      </c>
      <c r="W238" s="12" t="n">
        <v>634.082</v>
      </c>
      <c r="X238" s="12" t="n">
        <v>2197.764</v>
      </c>
    </row>
    <row r="239">
      <c r="A239" s="18" t="inlineStr">
        <is>
          <t>유형자산 취득(설비투자)</t>
        </is>
      </c>
      <c r="C239" s="20" t="n">
        <v>-1.163</v>
      </c>
      <c r="E239" s="20" t="n">
        <v>-2.404</v>
      </c>
      <c r="G239" s="20" t="n">
        <v>-1.028</v>
      </c>
      <c r="I239" s="20" t="n">
        <v>-7.704</v>
      </c>
      <c r="K239" s="20" t="n">
        <v>-6.252</v>
      </c>
      <c r="M239" s="20" t="n">
        <v>-22.436</v>
      </c>
      <c r="O239" s="20" t="n">
        <v>-14.868</v>
      </c>
      <c r="P239" s="20" t="n">
        <v>-32.557</v>
      </c>
      <c r="Q239" s="20" t="n">
        <v>-6.874</v>
      </c>
      <c r="R239" s="20" t="n">
        <v>-18.628</v>
      </c>
      <c r="S239" s="20" t="n">
        <v>-11.742</v>
      </c>
      <c r="T239" s="20" t="n">
        <v>-70.5</v>
      </c>
      <c r="U239" s="20" t="n">
        <v>-21.288</v>
      </c>
      <c r="V239" s="20" t="n">
        <v>-2.404</v>
      </c>
      <c r="W239" s="20" t="n">
        <v>-7.704</v>
      </c>
      <c r="X239" s="20" t="n">
        <v>-22.436</v>
      </c>
    </row>
    <row r="240">
      <c r="A240" s="18" t="inlineStr">
        <is>
          <t>무형자산 취득</t>
        </is>
      </c>
      <c r="C240" s="20" t="n">
        <v>-1007.214</v>
      </c>
      <c r="E240" s="20" t="n">
        <v>-2006.279</v>
      </c>
      <c r="G240" s="20" t="n">
        <v>-987.792</v>
      </c>
      <c r="I240" s="20" t="n">
        <v>-1782.926</v>
      </c>
      <c r="K240" s="20" t="n">
        <v>-319.538</v>
      </c>
      <c r="M240" s="20" t="n">
        <v>-692.735</v>
      </c>
      <c r="O240" s="20" t="n">
        <v>-571.336</v>
      </c>
      <c r="P240" s="20" t="n">
        <v>-737.014</v>
      </c>
      <c r="Q240" s="20" t="n">
        <v>-559.23</v>
      </c>
      <c r="R240" s="20" t="n">
        <v>-505.877</v>
      </c>
      <c r="S240" s="20" t="n">
        <v>-536.254</v>
      </c>
      <c r="T240" s="20" t="n">
        <v>-1704.144</v>
      </c>
      <c r="U240" s="20" t="n">
        <v>-2005.229</v>
      </c>
      <c r="V240" s="20" t="n">
        <v>-2006.279</v>
      </c>
      <c r="W240" s="20" t="n">
        <v>-1782.926</v>
      </c>
      <c r="X240" s="20" t="n">
        <v>-692.735</v>
      </c>
    </row>
    <row r="241">
      <c r="A241" s="18" t="inlineStr">
        <is>
          <t>연결범위 변경 자회사 주식 매각(지출)</t>
        </is>
      </c>
      <c r="P241" s="20" t="n">
        <v>0</v>
      </c>
      <c r="Q241" s="20" t="n">
        <v>-7.625</v>
      </c>
    </row>
    <row r="242">
      <c r="A242" s="18" t="inlineStr">
        <is>
          <t>관계회사 주식 취득</t>
        </is>
      </c>
      <c r="O242" s="20" t="n">
        <v>-50</v>
      </c>
      <c r="P242" s="20" t="n">
        <v>-441</v>
      </c>
      <c r="Q242" s="20" t="n">
        <v>0</v>
      </c>
    </row>
    <row r="243">
      <c r="A243" s="18" t="inlineStr">
        <is>
          <t>투자유가증권 취득</t>
        </is>
      </c>
      <c r="C243" s="20" t="n">
        <v>-10</v>
      </c>
      <c r="E243" s="20" t="n">
        <v>-10</v>
      </c>
      <c r="G243" s="20" t="n">
        <v>0</v>
      </c>
      <c r="I243" s="20" t="n">
        <v>0</v>
      </c>
      <c r="O243" s="20" t="n">
        <v>0</v>
      </c>
      <c r="P243" s="20" t="n">
        <v>-100.094</v>
      </c>
      <c r="Q243" s="20" t="n">
        <v>0</v>
      </c>
      <c r="S243" s="20" t="n">
        <v>0</v>
      </c>
      <c r="T243" s="20" t="n">
        <v>-96.29000000000001</v>
      </c>
      <c r="U243" s="20" t="n">
        <v>-59.92</v>
      </c>
      <c r="V243" s="20" t="n">
        <v>-10</v>
      </c>
      <c r="W243" s="20" t="n">
        <v>0</v>
      </c>
    </row>
    <row r="244">
      <c r="A244" s="18" t="inlineStr">
        <is>
          <t>투자유가증권 매각</t>
        </is>
      </c>
      <c r="O244" s="20" t="n">
        <v>29.026</v>
      </c>
      <c r="P244" s="20" t="n">
        <v>60</v>
      </c>
      <c r="Q244" s="20" t="n">
        <v>0</v>
      </c>
    </row>
    <row r="245">
      <c r="A245" s="18" t="inlineStr">
        <is>
          <t>투자조합 분배 수입</t>
        </is>
      </c>
      <c r="O245" s="20" t="n">
        <v>28.045</v>
      </c>
      <c r="P245" s="20" t="n">
        <v>0</v>
      </c>
    </row>
    <row r="246">
      <c r="A246" s="18" t="inlineStr">
        <is>
          <t>임차보증금 납입</t>
        </is>
      </c>
      <c r="O246" s="20" t="n">
        <v>-33.858</v>
      </c>
      <c r="P246" s="20" t="n">
        <v>-178.912</v>
      </c>
      <c r="Q246" s="20" t="n">
        <v>0</v>
      </c>
    </row>
    <row r="247">
      <c r="A247" s="18" t="inlineStr">
        <is>
          <t>연결범위 변경 자회사 주식 취득</t>
        </is>
      </c>
      <c r="Q247" s="20" t="n">
        <v>0</v>
      </c>
      <c r="R247" s="20" t="n">
        <v>-84</v>
      </c>
      <c r="S247" s="20" t="n">
        <v>-326</v>
      </c>
      <c r="T247" s="20" t="n">
        <v>-129.813</v>
      </c>
      <c r="U247" s="20" t="n">
        <v>0</v>
      </c>
    </row>
    <row r="248">
      <c r="A248" s="18" t="inlineStr">
        <is>
          <t>관계회사 주식 매각</t>
        </is>
      </c>
      <c r="Q248" s="20" t="n">
        <v>0</v>
      </c>
      <c r="R248" s="20" t="n">
        <v>441</v>
      </c>
      <c r="S248" s="20" t="n">
        <v>0</v>
      </c>
    </row>
    <row r="249">
      <c r="A249" s="18" t="inlineStr">
        <is>
          <t>Payments Of Loans Receivable To Subsidiaries And Affiliates Inv CF</t>
        </is>
      </c>
      <c r="O249" s="20" t="n">
        <v>0</v>
      </c>
      <c r="P249" s="20" t="n">
        <v>-490</v>
      </c>
      <c r="Q249" s="20" t="n">
        <v>-539</v>
      </c>
      <c r="R249" s="20" t="n">
        <v>0</v>
      </c>
    </row>
    <row r="250">
      <c r="A250" s="18" t="inlineStr">
        <is>
          <t>Collection Of Loans Receivable From Subsidiaries And Associates Inv CFLine Items</t>
        </is>
      </c>
      <c r="P250" s="20" t="n">
        <v>0</v>
      </c>
      <c r="Q250" s="20" t="n">
        <v>1029</v>
      </c>
    </row>
    <row r="251">
      <c r="A251" s="18" t="inlineStr">
        <is>
          <t>Collection Of Loans Receivable From Subsidiaries And Associates Inv CF</t>
        </is>
      </c>
      <c r="Q251" s="20" t="n">
        <v>1029</v>
      </c>
      <c r="R251" s="20" t="n">
        <v>0</v>
      </c>
    </row>
    <row r="252">
      <c r="A252" s="18" t="inlineStr">
        <is>
          <t>출자금 납입</t>
        </is>
      </c>
      <c r="O252" s="20" t="n">
        <v>0</v>
      </c>
      <c r="P252" s="20" t="n">
        <v>-19.7</v>
      </c>
      <c r="Q252" s="20" t="n">
        <v>-19.8</v>
      </c>
      <c r="R252" s="20" t="n">
        <v>0</v>
      </c>
    </row>
    <row r="253">
      <c r="A253" s="18" t="inlineStr">
        <is>
          <t>임차보증금·보증금 회수</t>
        </is>
      </c>
      <c r="E253" s="20" t="n">
        <v>0</v>
      </c>
      <c r="S253" s="20" t="n">
        <v>0</v>
      </c>
      <c r="T253" s="20" t="n">
        <v>177.31</v>
      </c>
      <c r="U253" s="20" t="n">
        <v>118.734</v>
      </c>
      <c r="V253" s="20" t="n">
        <v>0</v>
      </c>
    </row>
    <row r="254">
      <c r="A254" s="18" t="inlineStr">
        <is>
          <t>임차보증금·보증금 납입</t>
        </is>
      </c>
      <c r="E254" s="20" t="n">
        <v>-0.01</v>
      </c>
      <c r="R254" s="20" t="n">
        <v>0</v>
      </c>
      <c r="S254" s="20" t="n">
        <v>-215.704</v>
      </c>
      <c r="T254" s="20" t="n">
        <v>-4.01</v>
      </c>
      <c r="U254" s="20" t="n">
        <v>-1</v>
      </c>
      <c r="V254" s="20" t="n">
        <v>-0.01</v>
      </c>
    </row>
    <row r="255">
      <c r="A255" s="18" t="inlineStr">
        <is>
          <t>사업양도 수입</t>
        </is>
      </c>
      <c r="S255" s="20" t="n">
        <v>0</v>
      </c>
      <c r="T255" s="20" t="n">
        <v>94.779</v>
      </c>
      <c r="U255" s="20" t="n">
        <v>0</v>
      </c>
    </row>
    <row r="256">
      <c r="A256" s="18" t="inlineStr">
        <is>
          <t>연결범위 변경 자회사 주식 매각</t>
        </is>
      </c>
      <c r="I256" s="20" t="n">
        <v>0</v>
      </c>
      <c r="M256" s="20" t="n">
        <v>2615.549</v>
      </c>
      <c r="O256" s="20" t="n">
        <v>172.39</v>
      </c>
      <c r="P256" s="20" t="n">
        <v>0</v>
      </c>
      <c r="W256" s="20" t="n">
        <v>0</v>
      </c>
      <c r="X256" s="20" t="n">
        <v>2615.549</v>
      </c>
    </row>
    <row r="257">
      <c r="A257" s="18" t="inlineStr">
        <is>
          <t>Proceeds From Development Investment Received Inv CF</t>
        </is>
      </c>
      <c r="C257" s="20" t="n">
        <v>0</v>
      </c>
      <c r="E257" s="20" t="n">
        <v>0</v>
      </c>
      <c r="G257" s="20" t="n">
        <v>380</v>
      </c>
      <c r="I257" s="20" t="n">
        <v>917.1</v>
      </c>
      <c r="K257" s="20" t="n">
        <v>89.999</v>
      </c>
      <c r="M257" s="20" t="n">
        <v>89.999</v>
      </c>
      <c r="V257" s="20" t="n">
        <v>0</v>
      </c>
      <c r="W257" s="20" t="n">
        <v>917.1</v>
      </c>
      <c r="X257" s="20" t="n">
        <v>89.999</v>
      </c>
    </row>
    <row r="258">
      <c r="A258" s="18" t="inlineStr">
        <is>
          <t>기타</t>
        </is>
      </c>
      <c r="C258" s="20" t="n">
        <v>-0.01</v>
      </c>
      <c r="E258" s="20" t="n">
        <v>-30.132</v>
      </c>
      <c r="G258" s="20" t="n">
        <v>0</v>
      </c>
      <c r="I258" s="20" t="n">
        <v>-25.844</v>
      </c>
      <c r="K258" s="20" t="n">
        <v>-122.543</v>
      </c>
      <c r="M258" s="20" t="n">
        <v>-122.643</v>
      </c>
      <c r="O258" s="20" t="n">
        <v>-15</v>
      </c>
      <c r="P258" s="20" t="n">
        <v>-18.927</v>
      </c>
      <c r="Q258" s="20" t="n">
        <v>-27.083</v>
      </c>
      <c r="R258" s="20" t="n">
        <v>66.867</v>
      </c>
      <c r="S258" s="20" t="n">
        <v>-50.469</v>
      </c>
      <c r="T258" s="20" t="n">
        <v>-33.287</v>
      </c>
      <c r="U258" s="20" t="n">
        <v>-48.479</v>
      </c>
      <c r="V258" s="20" t="n">
        <v>-30.132</v>
      </c>
      <c r="W258" s="20" t="n">
        <v>-25.844</v>
      </c>
      <c r="X258" s="20" t="n">
        <v>-122.643</v>
      </c>
    </row>
    <row r="259">
      <c r="A259" s="9" t="inlineStr">
        <is>
          <t>투자활동 현금흐름</t>
        </is>
      </c>
      <c r="C259" s="12" t="n">
        <v>-1018.387</v>
      </c>
      <c r="E259" s="12" t="n">
        <v>-2048.815</v>
      </c>
      <c r="G259" s="12" t="n">
        <v>-608.8200000000001</v>
      </c>
      <c r="I259" s="12" t="n">
        <v>-899.375</v>
      </c>
      <c r="K259" s="12" t="n">
        <v>-358.335</v>
      </c>
      <c r="M259" s="12" t="n">
        <v>1867.732</v>
      </c>
      <c r="O259" s="12" t="n">
        <v>-455.6</v>
      </c>
      <c r="P259" s="12" t="n">
        <v>-1958.207</v>
      </c>
      <c r="Q259" s="12" t="n">
        <v>-122.987</v>
      </c>
      <c r="R259" s="12" t="n">
        <v>-100.638</v>
      </c>
      <c r="S259" s="12" t="n">
        <v>-1140.17</v>
      </c>
      <c r="T259" s="12" t="n">
        <v>-1765.956</v>
      </c>
      <c r="U259" s="12" t="n">
        <v>-2017.183</v>
      </c>
      <c r="V259" s="12" t="n">
        <v>-2048.815</v>
      </c>
      <c r="W259" s="12" t="n">
        <v>-899.375</v>
      </c>
      <c r="X259" s="12" t="n">
        <v>1867.732</v>
      </c>
    </row>
    <row r="260">
      <c r="A260" s="18" t="inlineStr">
        <is>
          <t>단기차입금 순증감</t>
        </is>
      </c>
      <c r="C260" s="20" t="n">
        <v>0</v>
      </c>
      <c r="E260" s="20" t="n">
        <v>0</v>
      </c>
      <c r="O260" s="20" t="n">
        <v>777.5</v>
      </c>
      <c r="P260" s="20" t="n">
        <v>-437.5</v>
      </c>
      <c r="Q260" s="20" t="n">
        <v>-340</v>
      </c>
      <c r="R260" s="20" t="n">
        <v>1080</v>
      </c>
      <c r="S260" s="20" t="n">
        <v>-1080</v>
      </c>
      <c r="T260" s="20" t="n">
        <v>46</v>
      </c>
      <c r="U260" s="20" t="n">
        <v>-46</v>
      </c>
      <c r="V260" s="20" t="n">
        <v>0</v>
      </c>
    </row>
    <row r="261">
      <c r="A261" s="18" t="inlineStr">
        <is>
          <t>장기차입</t>
        </is>
      </c>
      <c r="C261" s="20" t="n">
        <v>400</v>
      </c>
      <c r="E261" s="20" t="n">
        <v>4586</v>
      </c>
      <c r="G261" s="20" t="n">
        <v>0</v>
      </c>
      <c r="I261" s="20" t="n">
        <v>0</v>
      </c>
      <c r="K261" s="20" t="n">
        <v>311</v>
      </c>
      <c r="M261" s="20" t="n">
        <v>311</v>
      </c>
      <c r="O261" s="20" t="n">
        <v>100</v>
      </c>
      <c r="P261" s="20" t="n">
        <v>2978</v>
      </c>
      <c r="Q261" s="20" t="n">
        <v>1088.116</v>
      </c>
      <c r="R261" s="20" t="n">
        <v>0</v>
      </c>
      <c r="S261" s="20" t="n">
        <v>3125.845</v>
      </c>
      <c r="T261" s="20" t="n">
        <v>449</v>
      </c>
      <c r="U261" s="20" t="n">
        <v>2552.958</v>
      </c>
      <c r="V261" s="20" t="n">
        <v>4586</v>
      </c>
      <c r="W261" s="20" t="n">
        <v>0</v>
      </c>
      <c r="X261" s="20" t="n">
        <v>311</v>
      </c>
    </row>
    <row r="262">
      <c r="A262" s="18" t="inlineStr">
        <is>
          <t>장기차입금 상환</t>
        </is>
      </c>
      <c r="C262" s="20" t="n">
        <v>-500.25</v>
      </c>
      <c r="E262" s="20" t="n">
        <v>-2012.35</v>
      </c>
      <c r="G262" s="20" t="n">
        <v>-874.55</v>
      </c>
      <c r="I262" s="20" t="n">
        <v>-1743.85</v>
      </c>
      <c r="K262" s="20" t="n">
        <v>-1059.3</v>
      </c>
      <c r="M262" s="20" t="n">
        <v>-1919.3</v>
      </c>
      <c r="O262" s="20" t="n">
        <v>-359.528</v>
      </c>
      <c r="P262" s="20" t="n">
        <v>-508.605</v>
      </c>
      <c r="Q262" s="20" t="n">
        <v>-879.342</v>
      </c>
      <c r="R262" s="20" t="n">
        <v>-2098.668</v>
      </c>
      <c r="S262" s="20" t="n">
        <v>-1011.663</v>
      </c>
      <c r="T262" s="20" t="n">
        <v>-697</v>
      </c>
      <c r="U262" s="20" t="n">
        <v>-1688.5</v>
      </c>
      <c r="V262" s="20" t="n">
        <v>-2012.35</v>
      </c>
      <c r="W262" s="20" t="n">
        <v>-1743.85</v>
      </c>
      <c r="X262" s="20" t="n">
        <v>-1919.3</v>
      </c>
    </row>
    <row r="263">
      <c r="A263" s="18" t="inlineStr">
        <is>
          <t>사채 발행</t>
        </is>
      </c>
      <c r="O263" s="20" t="n">
        <v>0</v>
      </c>
      <c r="P263" s="20" t="n">
        <v>295.003</v>
      </c>
      <c r="Q263" s="20" t="n">
        <v>0</v>
      </c>
    </row>
    <row r="264">
      <c r="A264" s="18" t="inlineStr">
        <is>
          <t>사채 상환</t>
        </is>
      </c>
      <c r="O264" s="20" t="n">
        <v>-150</v>
      </c>
      <c r="P264" s="20" t="n">
        <v>-51</v>
      </c>
      <c r="Q264" s="20" t="n">
        <v>-102</v>
      </c>
      <c r="R264" s="20" t="n">
        <v>-102</v>
      </c>
      <c r="S264" s="20" t="n">
        <v>-45</v>
      </c>
      <c r="T264" s="20" t="n">
        <v>0</v>
      </c>
    </row>
    <row r="265">
      <c r="A265" s="18" t="inlineStr">
        <is>
          <t>주식 발행</t>
        </is>
      </c>
      <c r="O265" s="20" t="n">
        <v>979.948</v>
      </c>
      <c r="P265" s="20" t="n">
        <v>0</v>
      </c>
    </row>
    <row r="266">
      <c r="A266" s="18" t="inlineStr">
        <is>
          <t>비지배주주 납입</t>
        </is>
      </c>
      <c r="O266" s="20" t="n">
        <v>0</v>
      </c>
      <c r="P266" s="20" t="n">
        <v>31.513</v>
      </c>
      <c r="Q266" s="20" t="n">
        <v>0</v>
      </c>
    </row>
    <row r="267">
      <c r="A267" s="18" t="inlineStr">
        <is>
          <t>자기주식 취득</t>
        </is>
      </c>
      <c r="E267" s="20" t="n">
        <v>0</v>
      </c>
      <c r="S267" s="20" t="n">
        <v>0</v>
      </c>
      <c r="T267" s="20" t="n">
        <v>-149.948</v>
      </c>
      <c r="U267" s="20" t="n">
        <v>-0.024</v>
      </c>
      <c r="V267" s="20" t="n">
        <v>0</v>
      </c>
    </row>
    <row r="268">
      <c r="A268" s="18" t="inlineStr">
        <is>
          <t>배당금 지급</t>
        </is>
      </c>
      <c r="C268" s="20" t="n">
        <v>-144.93</v>
      </c>
      <c r="E268" s="20" t="n">
        <v>-145.077</v>
      </c>
      <c r="G268" s="20" t="n">
        <v>-0.119</v>
      </c>
      <c r="I268" s="20" t="n">
        <v>-0.172</v>
      </c>
      <c r="K268" s="20" t="n">
        <v>-0.014</v>
      </c>
      <c r="M268" s="20" t="n">
        <v>-0.04</v>
      </c>
      <c r="T268" s="20" t="n">
        <v>0</v>
      </c>
      <c r="U268" s="20" t="n">
        <v>-144.781</v>
      </c>
      <c r="V268" s="20" t="n">
        <v>-145.077</v>
      </c>
      <c r="W268" s="20" t="n">
        <v>-0.172</v>
      </c>
      <c r="X268" s="20" t="n">
        <v>-0.04</v>
      </c>
    </row>
    <row r="269">
      <c r="A269" s="18" t="inlineStr">
        <is>
          <t>기타</t>
        </is>
      </c>
      <c r="C269" s="20" t="n">
        <v>-8.573</v>
      </c>
      <c r="E269" s="20" t="n">
        <v>-14.838</v>
      </c>
      <c r="G269" s="20" t="n">
        <v>1.066</v>
      </c>
      <c r="I269" s="20" t="n">
        <v>4.99</v>
      </c>
      <c r="K269" s="20" t="n">
        <v>-3.719</v>
      </c>
      <c r="M269" s="20" t="n">
        <v>-10.637</v>
      </c>
      <c r="O269" s="20" t="n">
        <v>-2.429</v>
      </c>
      <c r="P269" s="20" t="n">
        <v>-19.671</v>
      </c>
      <c r="Q269" s="20" t="n">
        <v>-37.984</v>
      </c>
      <c r="R269" s="20" t="n">
        <v>-67.58</v>
      </c>
      <c r="S269" s="20" t="n">
        <v>-20.291</v>
      </c>
      <c r="T269" s="20" t="n">
        <v>-35.827</v>
      </c>
      <c r="U269" s="20" t="n">
        <v>-14.818</v>
      </c>
      <c r="V269" s="20" t="n">
        <v>-14.838</v>
      </c>
      <c r="W269" s="20" t="n">
        <v>4.99</v>
      </c>
      <c r="X269" s="20" t="n">
        <v>-10.637</v>
      </c>
    </row>
    <row r="270">
      <c r="A270" s="9" t="inlineStr">
        <is>
          <t>재무활동 현금흐름</t>
        </is>
      </c>
      <c r="C270" s="12" t="n">
        <v>-253.754</v>
      </c>
      <c r="E270" s="12" t="n">
        <v>2413.734</v>
      </c>
      <c r="G270" s="12" t="n">
        <v>-873.603</v>
      </c>
      <c r="I270" s="12" t="n">
        <v>-1739.032</v>
      </c>
      <c r="K270" s="12" t="n">
        <v>-752.033</v>
      </c>
      <c r="M270" s="12" t="n">
        <v>-1618.978</v>
      </c>
      <c r="O270" s="12" t="n">
        <v>1345.491</v>
      </c>
      <c r="P270" s="12" t="n">
        <v>2287.74</v>
      </c>
      <c r="Q270" s="12" t="n">
        <v>-271.209</v>
      </c>
      <c r="R270" s="12" t="n">
        <v>-1188.248</v>
      </c>
      <c r="S270" s="12" t="n">
        <v>968.89</v>
      </c>
      <c r="T270" s="12" t="n">
        <v>-387.775</v>
      </c>
      <c r="U270" s="12" t="n">
        <v>658.833</v>
      </c>
      <c r="V270" s="12" t="n">
        <v>2413.734</v>
      </c>
      <c r="W270" s="12" t="n">
        <v>-1739.032</v>
      </c>
      <c r="X270" s="12" t="n">
        <v>-1618.978</v>
      </c>
    </row>
    <row r="271">
      <c r="A271" s="18" t="inlineStr">
        <is>
          <t>현금성자산 환산차이</t>
        </is>
      </c>
      <c r="C271" s="20" t="n">
        <v>-0.003</v>
      </c>
      <c r="E271" s="20" t="n">
        <v>0.708</v>
      </c>
      <c r="G271" s="20" t="n">
        <v>0.218</v>
      </c>
      <c r="I271" s="20" t="n">
        <v>0.213</v>
      </c>
      <c r="K271" s="20" t="n">
        <v>-0.704</v>
      </c>
      <c r="M271" s="20" t="n">
        <v>-0.008999999999999999</v>
      </c>
      <c r="O271" s="20" t="n">
        <v>0.199</v>
      </c>
      <c r="P271" s="20" t="n">
        <v>0.218</v>
      </c>
      <c r="Q271" s="20" t="n">
        <v>-1.413</v>
      </c>
      <c r="R271" s="20" t="n">
        <v>0</v>
      </c>
      <c r="T271" s="20" t="n">
        <v>0</v>
      </c>
      <c r="U271" s="20" t="n">
        <v>0.082</v>
      </c>
      <c r="V271" s="20" t="n">
        <v>0.708</v>
      </c>
      <c r="W271" s="20" t="n">
        <v>0.213</v>
      </c>
      <c r="X271" s="20" t="n">
        <v>-0.008999999999999999</v>
      </c>
    </row>
    <row r="272">
      <c r="A272" s="18" t="inlineStr">
        <is>
          <t>현금성자산 증감</t>
        </is>
      </c>
      <c r="C272" s="20" t="n">
        <v>-2071.066</v>
      </c>
      <c r="E272" s="20" t="n">
        <v>-107.61</v>
      </c>
      <c r="G272" s="20" t="n">
        <v>-1231.493</v>
      </c>
      <c r="I272" s="20" t="n">
        <v>-2004.111</v>
      </c>
      <c r="K272" s="20" t="n">
        <v>-356.397</v>
      </c>
      <c r="M272" s="20" t="n">
        <v>2446.509</v>
      </c>
      <c r="O272" s="20" t="n">
        <v>1735.707</v>
      </c>
      <c r="P272" s="20" t="n">
        <v>250.317</v>
      </c>
      <c r="Q272" s="20" t="n">
        <v>-317.352</v>
      </c>
      <c r="R272" s="20" t="n">
        <v>-597.463</v>
      </c>
      <c r="S272" s="20" t="n">
        <v>3025.185</v>
      </c>
      <c r="T272" s="20" t="n">
        <v>-550.907</v>
      </c>
      <c r="U272" s="20" t="n">
        <v>1307.511</v>
      </c>
      <c r="V272" s="20" t="n">
        <v>-107.61</v>
      </c>
      <c r="W272" s="20" t="n">
        <v>-2004.111</v>
      </c>
      <c r="X272" s="20" t="n">
        <v>2446.509</v>
      </c>
    </row>
    <row r="273">
      <c r="A273" s="18" t="inlineStr">
        <is>
          <t>연결범위 변경에 따른 현금성자산 증감</t>
        </is>
      </c>
      <c r="O273" s="20" t="n">
        <v>-19.409</v>
      </c>
      <c r="P273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3793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7294.019</v>
      </c>
      <c r="D5" s="12" t="n">
        <v>6621.699</v>
      </c>
      <c r="E5" s="12" t="n">
        <v>6315.685</v>
      </c>
      <c r="F5" s="12" t="n">
        <v>9226.718000000001</v>
      </c>
      <c r="G5" s="12" t="n">
        <v>8568.429</v>
      </c>
      <c r="H5" s="11" t="n">
        <v>6766.009</v>
      </c>
      <c r="I5" s="12" t="n">
        <v>7848.394</v>
      </c>
      <c r="J5" s="12" t="n">
        <v>8366.862999999999</v>
      </c>
      <c r="K5" s="12" t="n">
        <v>7842.218</v>
      </c>
      <c r="L5" s="12" t="n">
        <v>9226.718000000001</v>
      </c>
    </row>
    <row r="6">
      <c r="A6" s="18" t="inlineStr">
        <is>
          <t>현금및현금성자산</t>
        </is>
      </c>
      <c r="B6" s="10" t="n"/>
      <c r="C6" s="19" t="n">
        <v>3927.984</v>
      </c>
      <c r="D6" s="20" t="n">
        <v>3572.376</v>
      </c>
      <c r="E6" s="20" t="n">
        <v>2942.795</v>
      </c>
      <c r="F6" s="20" t="n">
        <v>6375.283</v>
      </c>
      <c r="G6" s="20" t="n">
        <v>5453.472</v>
      </c>
      <c r="H6" s="19" t="n">
        <v>4737.225</v>
      </c>
      <c r="I6" s="20" t="n">
        <v>6044.573</v>
      </c>
      <c r="J6" s="20" t="n">
        <v>5937.126</v>
      </c>
      <c r="K6" s="20" t="n">
        <v>3928.774</v>
      </c>
      <c r="L6" s="20" t="n">
        <v>6375.283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2298.179</v>
      </c>
      <c r="D8" s="20" t="n">
        <v>2066.969</v>
      </c>
      <c r="E8" s="20" t="n">
        <v>2544.486</v>
      </c>
      <c r="F8" s="20" t="n">
        <v>2176.89</v>
      </c>
      <c r="G8" s="20" t="n">
        <v>2126.326</v>
      </c>
      <c r="H8" s="19" t="n">
        <v>1485.317</v>
      </c>
      <c r="I8" s="20" t="n">
        <v>1484.658</v>
      </c>
      <c r="J8" s="20" t="n">
        <v>1657.924</v>
      </c>
      <c r="K8" s="20" t="n">
        <v>3006.348</v>
      </c>
      <c r="L8" s="20" t="n">
        <v>2176.89</v>
      </c>
    </row>
    <row r="9">
      <c r="A9" s="18" t="inlineStr">
        <is>
          <t>재고자산</t>
        </is>
      </c>
      <c r="B9" s="10" t="n"/>
      <c r="C9" s="19" t="n">
        <v>108.202</v>
      </c>
      <c r="D9" s="20" t="n">
        <v>127.606</v>
      </c>
      <c r="E9" s="20" t="n">
        <v>148.537</v>
      </c>
      <c r="F9" s="20" t="n">
        <v>106.561</v>
      </c>
      <c r="G9" s="20" t="n">
        <v>117.54</v>
      </c>
      <c r="H9" s="19" t="n">
        <v>10.144</v>
      </c>
      <c r="I9" s="20" t="n">
        <v>22.75</v>
      </c>
      <c r="J9" s="20" t="n">
        <v>52.679</v>
      </c>
      <c r="K9" s="20" t="n">
        <v>91.506</v>
      </c>
      <c r="L9" s="20" t="n">
        <v>106.561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3595.807</v>
      </c>
      <c r="D11" s="12" t="n">
        <v>3369.379</v>
      </c>
      <c r="E11" s="12" t="n">
        <v>3294.922</v>
      </c>
      <c r="F11" s="12" t="n">
        <v>2649.333</v>
      </c>
      <c r="G11" s="12" t="n">
        <v>2499.367</v>
      </c>
      <c r="H11" s="11" t="n">
        <v>2887.461</v>
      </c>
      <c r="I11" s="12" t="n">
        <v>4378.002</v>
      </c>
      <c r="J11" s="12" t="n">
        <v>5781.559</v>
      </c>
      <c r="K11" s="12" t="n">
        <v>5664.018</v>
      </c>
      <c r="L11" s="12" t="n">
        <v>2649.333</v>
      </c>
    </row>
    <row r="12">
      <c r="A12" s="18" t="inlineStr">
        <is>
          <t>유형자산</t>
        </is>
      </c>
      <c r="B12" s="10" t="n"/>
      <c r="C12" s="19" t="n">
        <v>190.899</v>
      </c>
      <c r="D12" s="20" t="n">
        <v>176.209</v>
      </c>
      <c r="E12" s="20" t="n">
        <v>161.377</v>
      </c>
      <c r="F12" s="20" t="n">
        <v>136.428</v>
      </c>
      <c r="G12" s="20" t="n">
        <v>133.001</v>
      </c>
      <c r="H12" s="19" t="n">
        <v>210.891</v>
      </c>
      <c r="I12" s="20" t="n">
        <v>196.683</v>
      </c>
      <c r="J12" s="20" t="n">
        <v>165.068</v>
      </c>
      <c r="K12" s="20" t="n">
        <v>140.948</v>
      </c>
      <c r="L12" s="20" t="n">
        <v>136.428</v>
      </c>
    </row>
    <row r="13">
      <c r="A13" s="18" t="inlineStr">
        <is>
          <t>무형자산</t>
        </is>
      </c>
      <c r="B13" s="10" t="n"/>
      <c r="C13" s="19" t="n">
        <v>2155.626</v>
      </c>
      <c r="D13" s="20" t="n">
        <v>1936.136</v>
      </c>
      <c r="E13" s="20" t="n">
        <v>1860.331</v>
      </c>
      <c r="F13" s="20" t="n">
        <v>1188.143</v>
      </c>
      <c r="G13" s="20" t="n">
        <v>1003.864</v>
      </c>
      <c r="H13" s="19" t="n">
        <v>1890.751</v>
      </c>
      <c r="I13" s="20" t="n">
        <v>3228.519</v>
      </c>
      <c r="J13" s="20" t="n">
        <v>4377.751</v>
      </c>
      <c r="K13" s="20" t="n">
        <v>4288.315</v>
      </c>
      <c r="L13" s="20" t="n">
        <v>1188.143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10889.826</v>
      </c>
      <c r="D16" s="12" t="n">
        <v>9991.079</v>
      </c>
      <c r="E16" s="12" t="n">
        <v>9610.608</v>
      </c>
      <c r="F16" s="12" t="n">
        <v>11876.052</v>
      </c>
      <c r="G16" s="12" t="n">
        <v>11067.796</v>
      </c>
      <c r="H16" s="11" t="n">
        <v>9653.469999999999</v>
      </c>
      <c r="I16" s="12" t="n">
        <v>12226.397</v>
      </c>
      <c r="J16" s="12" t="n">
        <v>14148.422</v>
      </c>
      <c r="K16" s="12" t="n">
        <v>13506.236</v>
      </c>
      <c r="L16" s="12" t="n">
        <v>11876.052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4955.166</v>
      </c>
      <c r="D18" s="12" t="n">
        <v>5218.143</v>
      </c>
      <c r="E18" s="12" t="n">
        <v>4590.251</v>
      </c>
      <c r="F18" s="12" t="n">
        <v>6063.966</v>
      </c>
      <c r="G18" s="12" t="n">
        <v>5169.658</v>
      </c>
      <c r="H18" s="11" t="n">
        <v>2709.917</v>
      </c>
      <c r="I18" s="12" t="n">
        <v>4300.494</v>
      </c>
      <c r="J18" s="12" t="n">
        <v>3548.1</v>
      </c>
      <c r="K18" s="12" t="n">
        <v>5307.477</v>
      </c>
      <c r="L18" s="12" t="n">
        <v>6063.966</v>
      </c>
    </row>
    <row r="19">
      <c r="A19" s="18" t="inlineStr">
        <is>
          <t>매입채무</t>
        </is>
      </c>
      <c r="B19" s="10" t="n"/>
      <c r="C19" s="19" t="n">
        <v>407.715</v>
      </c>
      <c r="D19" s="20" t="n">
        <v>387.47</v>
      </c>
      <c r="E19" s="20" t="n">
        <v>380.022</v>
      </c>
      <c r="F19" s="20" t="n">
        <v>408.429</v>
      </c>
      <c r="G19" s="20" t="n">
        <v>466.139</v>
      </c>
      <c r="H19" s="19" t="n">
        <v>357.864</v>
      </c>
      <c r="I19" s="20" t="n">
        <v>449.977</v>
      </c>
      <c r="J19" s="20" t="n">
        <v>329.599</v>
      </c>
      <c r="K19" s="20" t="n">
        <v>417.877</v>
      </c>
      <c r="L19" s="20" t="n">
        <v>408.429</v>
      </c>
    </row>
    <row r="20">
      <c r="A20" s="18" t="inlineStr">
        <is>
          <t>단기차입금</t>
        </is>
      </c>
      <c r="B20" s="10" t="n"/>
      <c r="C20" s="19" t="n">
        <v>100</v>
      </c>
      <c r="D20" s="20" t="n">
        <v>100</v>
      </c>
      <c r="E20" s="20" t="n">
        <v>100</v>
      </c>
      <c r="F20" s="20" t="n">
        <v>100</v>
      </c>
      <c r="G20" s="20" t="n">
        <v>100</v>
      </c>
      <c r="H20" s="19" t="n">
        <v>146</v>
      </c>
      <c r="I20" s="20" t="n">
        <v>100</v>
      </c>
      <c r="J20" s="20" t="n">
        <v>100</v>
      </c>
      <c r="K20" s="20" t="n">
        <v>100</v>
      </c>
      <c r="L20" s="20" t="n">
        <v>100</v>
      </c>
    </row>
    <row r="21">
      <c r="A21" s="18" t="inlineStr">
        <is>
          <t>유동성장기부채</t>
        </is>
      </c>
      <c r="B21" s="10" t="n"/>
      <c r="C21" s="19" t="n">
        <v>1738.85</v>
      </c>
      <c r="D21" s="20" t="n">
        <v>1870</v>
      </c>
      <c r="E21" s="20" t="n">
        <v>1870.5</v>
      </c>
      <c r="F21" s="20" t="n">
        <v>2497</v>
      </c>
      <c r="G21" s="20" t="n">
        <v>2223.5</v>
      </c>
      <c r="H21" s="19" t="n">
        <v>808</v>
      </c>
      <c r="I21" s="20" t="n">
        <v>1780.75</v>
      </c>
      <c r="J21" s="20" t="n">
        <v>1743.85</v>
      </c>
      <c r="K21" s="20" t="n">
        <v>1738.6</v>
      </c>
      <c r="L21" s="20" t="n">
        <v>2497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2998.165</v>
      </c>
      <c r="D23" s="12" t="n">
        <v>2341.113</v>
      </c>
      <c r="E23" s="12" t="n">
        <v>1902.21</v>
      </c>
      <c r="F23" s="12" t="n">
        <v>768.7809999999999</v>
      </c>
      <c r="G23" s="12" t="n">
        <v>628.721</v>
      </c>
      <c r="H23" s="11" t="n">
        <v>2369.478</v>
      </c>
      <c r="I23" s="12" t="n">
        <v>2294.782</v>
      </c>
      <c r="J23" s="12" t="n">
        <v>4932.198</v>
      </c>
      <c r="K23" s="12" t="n">
        <v>3479.621</v>
      </c>
      <c r="L23" s="12" t="n">
        <v>768.7809999999999</v>
      </c>
    </row>
    <row r="24">
      <c r="A24" s="18" t="inlineStr">
        <is>
          <t>장기차입금</t>
        </is>
      </c>
      <c r="B24" s="10" t="n"/>
      <c r="C24" s="19" t="n">
        <v>2453.8</v>
      </c>
      <c r="D24" s="20" t="n">
        <v>2009</v>
      </c>
      <c r="E24" s="20" t="n">
        <v>1578.5</v>
      </c>
      <c r="F24" s="20" t="n">
        <v>522</v>
      </c>
      <c r="G24" s="20" t="n">
        <v>365.5</v>
      </c>
      <c r="H24" s="19" t="n">
        <v>2014</v>
      </c>
      <c r="I24" s="20" t="n">
        <v>1952.75</v>
      </c>
      <c r="J24" s="20" t="n">
        <v>4627.3</v>
      </c>
      <c r="K24" s="20" t="n">
        <v>2888.7</v>
      </c>
      <c r="L24" s="20" t="n">
        <v>522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7953.331</v>
      </c>
      <c r="D27" s="12" t="n">
        <v>7559.256</v>
      </c>
      <c r="E27" s="12" t="n">
        <v>6492.461</v>
      </c>
      <c r="F27" s="12" t="n">
        <v>6832.748</v>
      </c>
      <c r="G27" s="12" t="n">
        <v>5798.379</v>
      </c>
      <c r="H27" s="11" t="n">
        <v>5079.395</v>
      </c>
      <c r="I27" s="12" t="n">
        <v>6595.277</v>
      </c>
      <c r="J27" s="12" t="n">
        <v>8480.298000000001</v>
      </c>
      <c r="K27" s="12" t="n">
        <v>8787.099</v>
      </c>
      <c r="L27" s="12" t="n">
        <v>6832.748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2869.639</v>
      </c>
      <c r="D31" s="12" t="n">
        <v>2346.059</v>
      </c>
      <c r="E31" s="12" t="n">
        <v>3020.919</v>
      </c>
      <c r="F31" s="12" t="n">
        <v>4983.316</v>
      </c>
      <c r="G31" s="12" t="n">
        <v>5201.187</v>
      </c>
      <c r="H31" s="11" t="n">
        <v>4522.805</v>
      </c>
      <c r="I31" s="12" t="n">
        <v>5579.115</v>
      </c>
      <c r="J31" s="12" t="n">
        <v>5615.487</v>
      </c>
      <c r="K31" s="12" t="n">
        <v>4669.611</v>
      </c>
      <c r="L31" s="12" t="n">
        <v>4983.316</v>
      </c>
    </row>
    <row r="32">
      <c r="A32" s="18" t="inlineStr">
        <is>
          <t>자본금</t>
        </is>
      </c>
      <c r="B32" s="10" t="n"/>
      <c r="C32" s="19" t="n">
        <v>1880.309</v>
      </c>
      <c r="D32" s="20" t="n">
        <v>1880.309</v>
      </c>
      <c r="E32" s="20" t="n">
        <v>1906.87</v>
      </c>
      <c r="F32" s="20" t="n">
        <v>1906.87</v>
      </c>
      <c r="G32" s="20" t="n">
        <v>1906.87</v>
      </c>
      <c r="H32" s="19" t="n">
        <v>1792.991</v>
      </c>
      <c r="I32" s="20" t="n">
        <v>1811.311</v>
      </c>
      <c r="J32" s="20" t="n">
        <v>1842.36</v>
      </c>
      <c r="K32" s="20" t="n">
        <v>1880.309</v>
      </c>
      <c r="L32" s="20" t="n">
        <v>1906.87</v>
      </c>
    </row>
    <row r="33">
      <c r="A33" s="18" t="inlineStr">
        <is>
          <t>이익잉여금</t>
        </is>
      </c>
      <c r="B33" s="10" t="n"/>
      <c r="C33" s="19" t="n">
        <v>-908.5410000000001</v>
      </c>
      <c r="D33" s="20" t="n">
        <v>-1471.867</v>
      </c>
      <c r="E33" s="20" t="n">
        <v>-850.823</v>
      </c>
      <c r="F33" s="20" t="n">
        <v>1104.196</v>
      </c>
      <c r="G33" s="20" t="n">
        <v>1427.527</v>
      </c>
      <c r="H33" s="19" t="n">
        <v>953.681</v>
      </c>
      <c r="I33" s="20" t="n">
        <v>1967.564</v>
      </c>
      <c r="J33" s="20" t="n">
        <v>1926.096</v>
      </c>
      <c r="K33" s="20" t="n">
        <v>890.527</v>
      </c>
      <c r="L33" s="20" t="n">
        <v>1104.196</v>
      </c>
    </row>
    <row r="34">
      <c r="A34" s="18" t="inlineStr">
        <is>
          <t>비지배지분</t>
        </is>
      </c>
      <c r="B34" s="10" t="n"/>
      <c r="C34" s="19" t="n">
        <v>1.345</v>
      </c>
      <c r="D34" s="20" t="n">
        <v>1.548</v>
      </c>
      <c r="E34" s="20" t="n">
        <v>1.852</v>
      </c>
      <c r="F34" s="20" t="n">
        <v>2.102</v>
      </c>
      <c r="G34" s="20" t="n">
        <v>1.094</v>
      </c>
      <c r="H34" s="19" t="n">
        <v>2.203</v>
      </c>
      <c r="I34" s="20" t="n">
        <v>2.938</v>
      </c>
      <c r="J34" s="20" t="n">
        <v>3.57</v>
      </c>
      <c r="K34" s="20" t="n">
        <v>2.516</v>
      </c>
      <c r="L34" s="20" t="n">
        <v>2.102</v>
      </c>
    </row>
    <row r="35">
      <c r="A35" s="9" t="inlineStr">
        <is>
          <t>자본총계</t>
        </is>
      </c>
      <c r="B35" s="10" t="n"/>
      <c r="C35" s="11" t="n">
        <v>2936.495</v>
      </c>
      <c r="D35" s="12" t="n">
        <v>2431.822</v>
      </c>
      <c r="E35" s="12" t="n">
        <v>3118.146</v>
      </c>
      <c r="F35" s="12" t="n">
        <v>5043.303</v>
      </c>
      <c r="G35" s="12" t="n">
        <v>5269.417</v>
      </c>
      <c r="H35" s="11" t="n">
        <v>4574.075</v>
      </c>
      <c r="I35" s="12" t="n">
        <v>5631.12</v>
      </c>
      <c r="J35" s="12" t="n">
        <v>5668.124</v>
      </c>
      <c r="K35" s="12" t="n">
        <v>4719.137</v>
      </c>
      <c r="L35" s="12" t="n">
        <v>5043.303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1138.045</v>
      </c>
      <c r="E37" s="12" t="n"/>
      <c r="F37" s="12" t="n">
        <v>2197.764</v>
      </c>
      <c r="G37" s="12" t="n"/>
      <c r="H37" s="11" t="n">
        <v>1602.824</v>
      </c>
      <c r="I37" s="12" t="n">
        <v>2665.778</v>
      </c>
      <c r="J37" s="12" t="n">
        <v>-473.238</v>
      </c>
      <c r="K37" s="12" t="n">
        <v>634.082</v>
      </c>
      <c r="L37" s="12" t="n">
        <v>2197.764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>
        <v>1127.6</v>
      </c>
      <c r="E38" s="20" t="n"/>
      <c r="F38" s="20" t="n">
        <v>715.171</v>
      </c>
      <c r="G38" s="20" t="n"/>
      <c r="H38" s="19" t="n">
        <v>1774.644</v>
      </c>
      <c r="I38" s="20" t="n">
        <v>2026.517</v>
      </c>
      <c r="J38" s="20" t="n">
        <v>2008.683</v>
      </c>
      <c r="K38" s="20" t="n">
        <v>1790.63</v>
      </c>
      <c r="L38" s="20" t="n">
        <v>715.171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0.067</v>
      </c>
      <c r="E40" s="20" t="n"/>
      <c r="F40" s="20" t="n">
        <v>0.04</v>
      </c>
      <c r="G40" s="20" t="n"/>
      <c r="H40" s="19" t="n">
        <v>0</v>
      </c>
      <c r="I40" s="20" t="n">
        <v>144.781</v>
      </c>
      <c r="J40" s="20" t="n">
        <v>145.077</v>
      </c>
      <c r="K40" s="20" t="n">
        <v>0.172</v>
      </c>
      <c r="L40" s="20" t="n">
        <v>0.04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IFERROR(IF((IF(COUNT('연간'!G58:J58)&lt;4,"",SUM('연간'!G58:J58)))&lt;=0,"적자",C28/(IF(COUNT('연간'!G58:J58)&lt;4,"",SUM('연간'!G58:J58)))),"")</f>
        <v/>
      </c>
      <c r="D49" s="47">
        <f>IFERROR(IF((IF(COUNT('연간'!H58:K58)&lt;4,"",SUM('연간'!H58:K58)))&lt;=0,"적자",D28/(IF(COUNT('연간'!H58:K58)&lt;4,"",SUM('연간'!H58:K58)))),"")</f>
        <v/>
      </c>
      <c r="E49" s="47">
        <f>IFERROR(IF((IF(COUNT('연간'!I58:L58)&lt;4,"",SUM('연간'!I58:L58)))&lt;=0,"적자",E28/(IF(COUNT('연간'!I58:L58)&lt;4,"",SUM('연간'!I58:L58)))),"")</f>
        <v/>
      </c>
      <c r="F49" s="47">
        <f>IFERROR(IF((IF(COUNT('연간'!J58:M58)&lt;4,"",SUM('연간'!J58:M58)))&lt;=0,"적자",F28/(IF(COUNT('연간'!J58:M58)&lt;4,"",SUM('연간'!J58:M58)))),"")</f>
        <v/>
      </c>
      <c r="G49" s="47">
        <f>IFERROR(IF((IF(COUNT('연간'!K58:N58)&lt;4,"",SUM('연간'!K58:N58)))&lt;=0,"적자",G28/(IF(COUNT('연간'!K58:N58)&lt;4,"",SUM('연간'!K58:N58)))),"")</f>
        <v/>
      </c>
      <c r="H49" s="46">
        <f>IFERROR(IF(('연간'!T58)&lt;=0,"적자",H28/('연간'!T58)),"")</f>
        <v/>
      </c>
      <c r="I49" s="47">
        <f>IFERROR(IF(('연간'!U58)&lt;=0,"적자",I28/('연간'!U58)),"")</f>
        <v/>
      </c>
      <c r="J49" s="47">
        <f>IFERROR(IF(('연간'!V58)&lt;=0,"적자",J28/('연간'!V58)),"")</f>
        <v/>
      </c>
      <c r="K49" s="47">
        <f>IFERROR(IF(('연간'!W58)&lt;=0,"적자",K28/('연간'!W58)),"")</f>
        <v/>
      </c>
      <c r="L49" s="47">
        <f>IFERROR(IF(('연간'!X58)&lt;=0,"적자",L28/('연간'!X58)),"")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IFERROR((IF(COUNT('연간'!G58:J58)&lt;4,"",SUM('연간'!G58:J58)))/C31,"")</f>
        <v/>
      </c>
      <c r="D51" s="36">
        <f>IFERROR((IF(COUNT('연간'!H58:K58)&lt;4,"",SUM('연간'!H58:K58)))/D31,"")</f>
        <v/>
      </c>
      <c r="E51" s="36">
        <f>IFERROR((IF(COUNT('연간'!I58:L58)&lt;4,"",SUM('연간'!I58:L58)))/E31,"")</f>
        <v/>
      </c>
      <c r="F51" s="36">
        <f>IFERROR((IF(COUNT('연간'!J58:M58)&lt;4,"",SUM('연간'!J58:M58)))/F31,"")</f>
        <v/>
      </c>
      <c r="G51" s="36">
        <f>IFERROR((IF(COUNT('연간'!K58:N58)&lt;4,"",SUM('연간'!K58:N58)))/G31,"")</f>
        <v/>
      </c>
      <c r="H51" s="35">
        <f>IFERROR(('연간'!T58)/H31,"")</f>
        <v/>
      </c>
      <c r="I51" s="36">
        <f>IFERROR(('연간'!U58)/I31,"")</f>
        <v/>
      </c>
      <c r="J51" s="36">
        <f>IFERROR(('연간'!V58)/J31,"")</f>
        <v/>
      </c>
      <c r="K51" s="36">
        <f>IFERROR(('연간'!W58)/K31,"")</f>
        <v/>
      </c>
      <c r="L51" s="36">
        <f>IFERROR(('연간'!X58)/L31,"")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IFERROR((IF(COUNT('연간'!G56:J56)&lt;4,"",SUM('연간'!G56:J56)))/C16,"")</f>
        <v/>
      </c>
      <c r="D52" s="36">
        <f>IFERROR((IF(COUNT('연간'!H56:K56)&lt;4,"",SUM('연간'!H56:K56)))/D16,"")</f>
        <v/>
      </c>
      <c r="E52" s="36">
        <f>IFERROR((IF(COUNT('연간'!I56:L56)&lt;4,"",SUM('연간'!I56:L56)))/E16,"")</f>
        <v/>
      </c>
      <c r="F52" s="36">
        <f>IFERROR((IF(COUNT('연간'!J56:M56)&lt;4,"",SUM('연간'!J56:M56)))/F16,"")</f>
        <v/>
      </c>
      <c r="G52" s="36">
        <f>IFERROR((IF(COUNT('연간'!K56:N56)&lt;4,"",SUM('연간'!K56:N56)))/G16,"")</f>
        <v/>
      </c>
      <c r="H52" s="35">
        <f>IFERROR(('연간'!T56)/H16,"")</f>
        <v/>
      </c>
      <c r="I52" s="36">
        <f>IFERROR(('연간'!U56)/I16,"")</f>
        <v/>
      </c>
      <c r="J52" s="36">
        <f>IFERROR(('연간'!V56)/J16,"")</f>
        <v/>
      </c>
      <c r="K52" s="36">
        <f>IFERROR(('연간'!W56)/K16,"")</f>
        <v/>
      </c>
      <c r="L52" s="36">
        <f>IFERROR(('연간'!X56)/L16,"")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IFERROR((IF(COUNT('연간'!G22:J22)&lt;4,"",SUM('연간'!G22:J22)))/(IF(COUNT('연간'!G4:J4)&lt;4,"",SUM('연간'!G4:J4))),"")</f>
        <v/>
      </c>
      <c r="D54" s="36">
        <f>IFERROR((IF(COUNT('연간'!H22:K22)&lt;4,"",SUM('연간'!H22:K22)))/(IF(COUNT('연간'!H4:K4)&lt;4,"",SUM('연간'!H4:K4))),"")</f>
        <v/>
      </c>
      <c r="E54" s="36">
        <f>IFERROR((IF(COUNT('연간'!I22:L22)&lt;4,"",SUM('연간'!I22:L22)))/(IF(COUNT('연간'!I4:L4)&lt;4,"",SUM('연간'!I4:L4))),"")</f>
        <v/>
      </c>
      <c r="F54" s="36">
        <f>IFERROR((IF(COUNT('연간'!J22:M22)&lt;4,"",SUM('연간'!J22:M22)))/(IF(COUNT('연간'!J4:M4)&lt;4,"",SUM('연간'!J4:M4))),"")</f>
        <v/>
      </c>
      <c r="G54" s="36">
        <f>IFERROR((IF(COUNT('연간'!K22:N22)&lt;4,"",SUM('연간'!K22:N22)))/(IF(COUNT('연간'!K4:N4)&lt;4,"",SUM('연간'!K4:N4))),"")</f>
        <v/>
      </c>
      <c r="H54" s="35">
        <f>IFERROR(('연간'!T22)/('연간'!T4),"")</f>
        <v/>
      </c>
      <c r="I54" s="36">
        <f>IFERROR(('연간'!U22)/('연간'!U4),"")</f>
        <v/>
      </c>
      <c r="J54" s="36">
        <f>IFERROR(('연간'!V22)/('연간'!V4),"")</f>
        <v/>
      </c>
      <c r="K54" s="36">
        <f>IFERROR(('연간'!W22)/('연간'!W4),"")</f>
        <v/>
      </c>
      <c r="L54" s="36">
        <f>IFERROR(('연간'!X22)/('연간'!X4),"")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IFERROR((IF(COUNT('연간'!G56:J56)&lt;4,"",SUM('연간'!G56:J56)))/(IF(COUNT('연간'!G4:J4)&lt;4,"",SUM('연간'!G4:J4))),"")</f>
        <v/>
      </c>
      <c r="D56" s="36">
        <f>IFERROR((IF(COUNT('연간'!H56:K56)&lt;4,"",SUM('연간'!H56:K56)))/(IF(COUNT('연간'!H4:K4)&lt;4,"",SUM('연간'!H4:K4))),"")</f>
        <v/>
      </c>
      <c r="E56" s="36">
        <f>IFERROR((IF(COUNT('연간'!I56:L56)&lt;4,"",SUM('연간'!I56:L56)))/(IF(COUNT('연간'!I4:L4)&lt;4,"",SUM('연간'!I4:L4))),"")</f>
        <v/>
      </c>
      <c r="F56" s="36">
        <f>IFERROR((IF(COUNT('연간'!J56:M56)&lt;4,"",SUM('연간'!J56:M56)))/(IF(COUNT('연간'!J4:M4)&lt;4,"",SUM('연간'!J4:M4))),"")</f>
        <v/>
      </c>
      <c r="G56" s="36">
        <f>IFERROR((IF(COUNT('연간'!K56:N56)&lt;4,"",SUM('연간'!K56:N56)))/(IF(COUNT('연간'!K4:N4)&lt;4,"",SUM('연간'!K4:N4))),"")</f>
        <v/>
      </c>
      <c r="H56" s="35">
        <f>IFERROR(('연간'!T56)/('연간'!T4),"")</f>
        <v/>
      </c>
      <c r="I56" s="36">
        <f>IFERROR(('연간'!U56)/('연간'!U4),"")</f>
        <v/>
      </c>
      <c r="J56" s="36">
        <f>IFERROR(('연간'!V56)/('연간'!V4),"")</f>
        <v/>
      </c>
      <c r="K56" s="36">
        <f>IFERROR(('연간'!W56)/('연간'!W4),"")</f>
        <v/>
      </c>
      <c r="L56" s="36">
        <f>IFERROR(('연간'!X56)/('연간'!X4),"")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IFERROR(C9/(IF(COUNT('연간'!G20:J20)&lt;4,"",SUM('연간'!G20:J20)))*365,"")</f>
        <v/>
      </c>
      <c r="D60" s="49">
        <f>IFERROR(D9/(IF(COUNT('연간'!H20:K20)&lt;4,"",SUM('연간'!H20:K20)))*365,"")</f>
        <v/>
      </c>
      <c r="E60" s="49">
        <f>IFERROR(E9/(IF(COUNT('연간'!I20:L20)&lt;4,"",SUM('연간'!I20:L20)))*365,"")</f>
        <v/>
      </c>
      <c r="F60" s="49">
        <f>IFERROR(F9/(IF(COUNT('연간'!J20:M20)&lt;4,"",SUM('연간'!J20:M20)))*365,"")</f>
        <v/>
      </c>
      <c r="G60" s="49">
        <f>IFERROR(G9/(IF(COUNT('연간'!K20:N20)&lt;4,"",SUM('연간'!K20:N20)))*365,"")</f>
        <v/>
      </c>
      <c r="H60" s="48">
        <f>IFERROR(H9/('연간'!T20)*365,"")</f>
        <v/>
      </c>
      <c r="I60" s="49">
        <f>IFERROR(I9/('연간'!U20)*365,"")</f>
        <v/>
      </c>
      <c r="J60" s="49">
        <f>IFERROR(J9/('연간'!V20)*365,"")</f>
        <v/>
      </c>
      <c r="K60" s="49">
        <f>IFERROR(K9/('연간'!W20)*365,"")</f>
        <v/>
      </c>
      <c r="L60" s="49">
        <f>IFERROR(L9/('연간'!X20)*365,"")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IFERROR(C19/(IF(COUNT('연간'!G20:J20)&lt;4,"",SUM('연간'!G20:J20)))*365,"")</f>
        <v/>
      </c>
      <c r="D61" s="49">
        <f>IFERROR(D19/(IF(COUNT('연간'!H20:K20)&lt;4,"",SUM('연간'!H20:K20)))*365,"")</f>
        <v/>
      </c>
      <c r="E61" s="49">
        <f>IFERROR(E19/(IF(COUNT('연간'!I20:L20)&lt;4,"",SUM('연간'!I20:L20)))*365,"")</f>
        <v/>
      </c>
      <c r="F61" s="49">
        <f>IFERROR(F19/(IF(COUNT('연간'!J20:M20)&lt;4,"",SUM('연간'!J20:M20)))*365,"")</f>
        <v/>
      </c>
      <c r="G61" s="49">
        <f>IFERROR(G19/(IF(COUNT('연간'!K20:N20)&lt;4,"",SUM('연간'!K20:N20)))*365,"")</f>
        <v/>
      </c>
      <c r="H61" s="48">
        <f>IFERROR(H19/('연간'!T20)*365,"")</f>
        <v/>
      </c>
      <c r="I61" s="49">
        <f>IFERROR(I19/('연간'!U20)*365,"")</f>
        <v/>
      </c>
      <c r="J61" s="49">
        <f>IFERROR(J19/('연간'!V20)*365,"")</f>
        <v/>
      </c>
      <c r="K61" s="49">
        <f>IFERROR(K19/('연간'!W20)*365,"")</f>
        <v/>
      </c>
      <c r="L61" s="49">
        <f>IFERROR(L19/('연간'!X20)*365,"")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IF(C37="","",IFERROR(C37/(IF(COUNT('연간'!G56:J56)&lt;4,"",SUM('연간'!G56:J56))),""))</f>
        <v/>
      </c>
      <c r="D64" s="31">
        <f>IF(D37="","",IFERROR(D37/(IF(COUNT('연간'!H56:K56)&lt;4,"",SUM('연간'!H56:K56))),""))</f>
        <v/>
      </c>
      <c r="E64" s="31">
        <f>IF(E37="","",IFERROR(E37/(IF(COUNT('연간'!I56:L56)&lt;4,"",SUM('연간'!I56:L56))),""))</f>
        <v/>
      </c>
      <c r="F64" s="31">
        <f>IF(F37="","",IFERROR(F37/(IF(COUNT('연간'!J56:M56)&lt;4,"",SUM('연간'!J56:M56))),""))</f>
        <v/>
      </c>
      <c r="G64" s="31">
        <f>IF(G37="","",IFERROR(G37/(IF(COUNT('연간'!K56:N56)&lt;4,"",SUM('연간'!K56:N56))),""))</f>
        <v/>
      </c>
      <c r="H64" s="30">
        <f>IF(H37="","",IFERROR(H37/('연간'!T56),""))</f>
        <v/>
      </c>
      <c r="I64" s="31">
        <f>IF(I37="","",IFERROR(I37/('연간'!U56),""))</f>
        <v/>
      </c>
      <c r="J64" s="31">
        <f>IF(J37="","",IFERROR(J37/('연간'!V56),""))</f>
        <v/>
      </c>
      <c r="K64" s="31">
        <f>IF(K37="","",IFERROR(K37/('연간'!W56),""))</f>
        <v/>
      </c>
      <c r="L64" s="31">
        <f>IF(L37="","",IFERROR(L37/('연간'!X56),""))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IF(C40="","",IFERROR(C40/(IF(COUNT('연간'!G58:J58)&lt;4,"",SUM('연간'!G58:J58))),""))</f>
        <v/>
      </c>
      <c r="D67" s="36">
        <f>IF(D40="","",IFERROR(D40/(IF(COUNT('연간'!H58:K58)&lt;4,"",SUM('연간'!H58:K58))),""))</f>
        <v/>
      </c>
      <c r="E67" s="36">
        <f>IF(E40="","",IFERROR(E40/(IF(COUNT('연간'!I58:L58)&lt;4,"",SUM('연간'!I58:L58))),""))</f>
        <v/>
      </c>
      <c r="F67" s="36">
        <f>IF(F40="","",IFERROR(F40/(IF(COUNT('연간'!J58:M58)&lt;4,"",SUM('연간'!J58:M58))),""))</f>
        <v/>
      </c>
      <c r="G67" s="36">
        <f>IF(G40="","",IFERROR(G40/(IF(COUNT('연간'!K58:N58)&lt;4,"",SUM('연간'!K58:N58))),""))</f>
        <v/>
      </c>
      <c r="H67" s="35">
        <f>IF(H40="","",IFERROR(H40/('연간'!T58),""))</f>
        <v/>
      </c>
      <c r="I67" s="36">
        <f>IF(I40="","",IFERROR(I40/('연간'!U58),""))</f>
        <v/>
      </c>
      <c r="J67" s="36">
        <f>IF(J40="","",IFERROR(J40/('연간'!V58),""))</f>
        <v/>
      </c>
      <c r="K67" s="36">
        <f>IF(K40="","",IFERROR(K40/('연간'!W58),""))</f>
        <v/>
      </c>
      <c r="L67" s="36">
        <f>IF(L40="","",IFERROR(L40/('연간'!X58),""))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3927.984</v>
      </c>
      <c r="D71" s="20" t="n">
        <v>3572.376</v>
      </c>
      <c r="E71" s="20" t="n">
        <v>2942.795</v>
      </c>
      <c r="F71" s="20" t="n">
        <v>6375.283</v>
      </c>
      <c r="G71" s="20" t="n">
        <v>5453.472</v>
      </c>
      <c r="H71" s="20" t="n">
        <v>4737.225</v>
      </c>
      <c r="I71" s="20" t="n">
        <v>6044.573</v>
      </c>
      <c r="J71" s="20" t="n">
        <v>5937.126</v>
      </c>
      <c r="K71" s="20" t="n">
        <v>3928.774</v>
      </c>
      <c r="L71" s="20" t="n">
        <v>6375.283</v>
      </c>
    </row>
    <row r="72">
      <c r="A72" s="18" t="inlineStr">
        <is>
          <t>매출채권</t>
        </is>
      </c>
      <c r="C72" s="20" t="n">
        <v>2298.179</v>
      </c>
      <c r="D72" s="20" t="n">
        <v>2066.969</v>
      </c>
      <c r="E72" s="20" t="n">
        <v>2544.486</v>
      </c>
      <c r="F72" s="20" t="n">
        <v>2176.89</v>
      </c>
      <c r="G72" s="20" t="n">
        <v>2126.326</v>
      </c>
      <c r="H72" s="20" t="n">
        <v>1485.317</v>
      </c>
      <c r="I72" s="20" t="n">
        <v>1484.658</v>
      </c>
      <c r="J72" s="20" t="n">
        <v>1657.924</v>
      </c>
      <c r="K72" s="20" t="n">
        <v>3006.348</v>
      </c>
      <c r="L72" s="20" t="n">
        <v>2176.89</v>
      </c>
    </row>
    <row r="73">
      <c r="A73" s="18" t="inlineStr">
        <is>
          <t>상품</t>
        </is>
      </c>
      <c r="C73" s="20" t="n">
        <v>11.086</v>
      </c>
      <c r="D73" s="20" t="n">
        <v>9.861000000000001</v>
      </c>
      <c r="E73" s="20" t="n">
        <v>12.418</v>
      </c>
      <c r="F73" s="20" t="n">
        <v>12.729</v>
      </c>
      <c r="G73" s="20" t="n">
        <v>15.538</v>
      </c>
      <c r="H73" s="20" t="n">
        <v>0</v>
      </c>
      <c r="I73" s="20" t="n">
        <v>5.268</v>
      </c>
      <c r="J73" s="20" t="n">
        <v>7.99</v>
      </c>
      <c r="K73" s="20" t="n">
        <v>12.834</v>
      </c>
      <c r="L73" s="20" t="n">
        <v>12.729</v>
      </c>
    </row>
    <row r="74">
      <c r="A74" s="18" t="inlineStr">
        <is>
          <t>재공품</t>
        </is>
      </c>
      <c r="C74" s="20" t="n">
        <v>97.116</v>
      </c>
      <c r="D74" s="20" t="n">
        <v>117.745</v>
      </c>
      <c r="E74" s="20" t="n">
        <v>136.119</v>
      </c>
      <c r="F74" s="20" t="n">
        <v>93.83199999999999</v>
      </c>
      <c r="G74" s="20" t="n">
        <v>102.002</v>
      </c>
      <c r="H74" s="20" t="n">
        <v>10.144</v>
      </c>
      <c r="I74" s="20" t="n">
        <v>17.482</v>
      </c>
      <c r="J74" s="20" t="n">
        <v>44.689</v>
      </c>
      <c r="K74" s="20" t="n">
        <v>78.672</v>
      </c>
      <c r="L74" s="20" t="n">
        <v>93.83199999999999</v>
      </c>
    </row>
    <row r="75">
      <c r="A75" s="18" t="inlineStr">
        <is>
          <t>선급비용</t>
        </is>
      </c>
      <c r="C75" s="20" t="n">
        <v>579.857</v>
      </c>
      <c r="D75" s="20" t="n">
        <v>476.354</v>
      </c>
      <c r="E75" s="20" t="n">
        <v>399.998</v>
      </c>
      <c r="F75" s="20" t="n">
        <v>341.753</v>
      </c>
      <c r="G75" s="20" t="n">
        <v>286.496</v>
      </c>
      <c r="H75" s="20" t="n">
        <v>157.555</v>
      </c>
      <c r="I75" s="20" t="n">
        <v>148.928</v>
      </c>
      <c r="J75" s="20" t="n">
        <v>155.917</v>
      </c>
      <c r="K75" s="20" t="n">
        <v>704.277</v>
      </c>
      <c r="L75" s="20" t="n">
        <v>341.753</v>
      </c>
    </row>
    <row r="76">
      <c r="A76" s="18" t="inlineStr">
        <is>
          <t>기타</t>
        </is>
      </c>
      <c r="C76" s="20" t="n">
        <v>379.794</v>
      </c>
      <c r="D76" s="20" t="n">
        <v>378.391</v>
      </c>
      <c r="E76" s="20" t="n">
        <v>279.867</v>
      </c>
      <c r="F76" s="20" t="n">
        <v>270.228</v>
      </c>
      <c r="G76" s="20" t="n">
        <v>628.592</v>
      </c>
      <c r="H76" s="20" t="n">
        <v>375.766</v>
      </c>
      <c r="I76" s="20" t="n">
        <v>147.482</v>
      </c>
      <c r="J76" s="20" t="n">
        <v>563.215</v>
      </c>
      <c r="K76" s="20" t="n">
        <v>111.31</v>
      </c>
      <c r="L76" s="20" t="n">
        <v>270.228</v>
      </c>
    </row>
    <row r="77">
      <c r="A77" s="18" t="inlineStr">
        <is>
          <t>대손충당금</t>
        </is>
      </c>
      <c r="F77" s="20" t="n">
        <v>-44</v>
      </c>
      <c r="G77" s="20" t="n">
        <v>-44</v>
      </c>
      <c r="K77" s="20" t="n">
        <v>0</v>
      </c>
      <c r="L77" s="20" t="n">
        <v>-44</v>
      </c>
    </row>
    <row r="78">
      <c r="A78" s="9" t="inlineStr">
        <is>
          <t>유동자산 합계</t>
        </is>
      </c>
      <c r="C78" s="12" t="n">
        <v>7294.019</v>
      </c>
      <c r="D78" s="12" t="n">
        <v>6621.699</v>
      </c>
      <c r="E78" s="12" t="n">
        <v>6315.685</v>
      </c>
      <c r="F78" s="12" t="n">
        <v>9226.718000000001</v>
      </c>
      <c r="G78" s="12" t="n">
        <v>8568.429</v>
      </c>
      <c r="H78" s="12" t="n">
        <v>6766.009</v>
      </c>
      <c r="I78" s="12" t="n">
        <v>7848.394</v>
      </c>
      <c r="J78" s="12" t="n">
        <v>8366.862999999999</v>
      </c>
      <c r="K78" s="12" t="n">
        <v>7842.218</v>
      </c>
      <c r="L78" s="12" t="n">
        <v>9226.718000000001</v>
      </c>
    </row>
    <row r="79">
      <c r="A79" s="18" t="inlineStr">
        <is>
          <t>건물</t>
        </is>
      </c>
      <c r="C79" s="20" t="n">
        <v>191.229</v>
      </c>
      <c r="D79" s="20" t="n">
        <v>191.666</v>
      </c>
      <c r="E79" s="20" t="n">
        <v>191.666</v>
      </c>
      <c r="F79" s="20" t="n">
        <v>191.666</v>
      </c>
      <c r="G79" s="20" t="n">
        <v>192.154</v>
      </c>
      <c r="H79" s="20" t="n">
        <v>184.236</v>
      </c>
      <c r="I79" s="20" t="n">
        <v>191.229</v>
      </c>
      <c r="J79" s="20" t="n">
        <v>191.229</v>
      </c>
      <c r="K79" s="20" t="n">
        <v>191.229</v>
      </c>
      <c r="L79" s="20" t="n">
        <v>191.666</v>
      </c>
    </row>
    <row r="80">
      <c r="A80" s="18" t="inlineStr">
        <is>
          <t>감가상각누계액</t>
        </is>
      </c>
      <c r="C80" s="20" t="n">
        <v>-80.541</v>
      </c>
      <c r="D80" s="20" t="n">
        <v>-91.221</v>
      </c>
      <c r="E80" s="20" t="n">
        <v>-101.901</v>
      </c>
      <c r="F80" s="20" t="n">
        <v>-112.582</v>
      </c>
      <c r="G80" s="20" t="n">
        <v>-123.29</v>
      </c>
      <c r="H80" s="20" t="n">
        <v>-13.603</v>
      </c>
      <c r="I80" s="20" t="n">
        <v>-31.029</v>
      </c>
      <c r="J80" s="20" t="n">
        <v>-48.741</v>
      </c>
      <c r="K80" s="20" t="n">
        <v>-69.93300000000001</v>
      </c>
      <c r="L80" s="20" t="n">
        <v>-112.582</v>
      </c>
    </row>
    <row r="81">
      <c r="A81" s="18" t="inlineStr">
        <is>
          <t>건물(순액)</t>
        </is>
      </c>
      <c r="C81" s="20" t="n">
        <v>110.688</v>
      </c>
      <c r="D81" s="20" t="n">
        <v>100.444</v>
      </c>
      <c r="E81" s="20" t="n">
        <v>89.764</v>
      </c>
      <c r="F81" s="20" t="n">
        <v>79.084</v>
      </c>
      <c r="G81" s="20" t="n">
        <v>68.863</v>
      </c>
      <c r="H81" s="20" t="n">
        <v>170.632</v>
      </c>
      <c r="I81" s="20" t="n">
        <v>160.2</v>
      </c>
      <c r="J81" s="20" t="n">
        <v>142.488</v>
      </c>
      <c r="K81" s="20" t="n">
        <v>121.295</v>
      </c>
      <c r="L81" s="20" t="n">
        <v>79.084</v>
      </c>
    </row>
    <row r="82">
      <c r="A82" s="18" t="inlineStr">
        <is>
          <t>공구·기구·비품</t>
        </is>
      </c>
      <c r="C82" s="20" t="n">
        <v>157.327</v>
      </c>
      <c r="D82" s="20" t="n">
        <v>162.897</v>
      </c>
      <c r="E82" s="20" t="n">
        <v>167.519</v>
      </c>
      <c r="F82" s="20" t="n">
        <v>146.29</v>
      </c>
      <c r="G82" s="20" t="n">
        <v>161.244</v>
      </c>
      <c r="H82" s="20" t="n">
        <v>69.03</v>
      </c>
      <c r="I82" s="20" t="n">
        <v>85.502</v>
      </c>
      <c r="J82" s="20" t="n">
        <v>87.90600000000001</v>
      </c>
      <c r="K82" s="20" t="n">
        <v>92.033</v>
      </c>
      <c r="L82" s="20" t="n">
        <v>146.29</v>
      </c>
    </row>
    <row r="83">
      <c r="A83" s="18" t="inlineStr">
        <is>
          <t>감가상각누계액</t>
        </is>
      </c>
      <c r="C83" s="20" t="n">
        <v>-78.76600000000001</v>
      </c>
      <c r="D83" s="20" t="n">
        <v>-88.508</v>
      </c>
      <c r="E83" s="20" t="n">
        <v>-97.00700000000001</v>
      </c>
      <c r="F83" s="20" t="n">
        <v>-89.771</v>
      </c>
      <c r="G83" s="20" t="n">
        <v>-97.657</v>
      </c>
      <c r="H83" s="20" t="n">
        <v>-33.995</v>
      </c>
      <c r="I83" s="20" t="n">
        <v>-53.143</v>
      </c>
      <c r="J83" s="20" t="n">
        <v>-68.34999999999999</v>
      </c>
      <c r="K83" s="20" t="n">
        <v>-74.30500000000001</v>
      </c>
      <c r="L83" s="20" t="n">
        <v>-89.771</v>
      </c>
    </row>
    <row r="84">
      <c r="A84" s="18" t="inlineStr">
        <is>
          <t>공구·기구·비품(순액)</t>
        </is>
      </c>
      <c r="C84" s="20" t="n">
        <v>78.56</v>
      </c>
      <c r="D84" s="20" t="n">
        <v>74.389</v>
      </c>
      <c r="E84" s="20" t="n">
        <v>70.512</v>
      </c>
      <c r="F84" s="20" t="n">
        <v>56.519</v>
      </c>
      <c r="G84" s="20" t="n">
        <v>63.587</v>
      </c>
      <c r="H84" s="20" t="n">
        <v>35.034</v>
      </c>
      <c r="I84" s="20" t="n">
        <v>32.358</v>
      </c>
      <c r="J84" s="20" t="n">
        <v>19.555</v>
      </c>
      <c r="K84" s="20" t="n">
        <v>17.728</v>
      </c>
      <c r="L84" s="20" t="n">
        <v>56.519</v>
      </c>
    </row>
    <row r="85">
      <c r="A85" s="18" t="inlineStr">
        <is>
          <t>리스자산</t>
        </is>
      </c>
      <c r="C85" s="20" t="n">
        <v>7.232</v>
      </c>
      <c r="D85" s="20" t="n">
        <v>7.232</v>
      </c>
      <c r="E85" s="20" t="n">
        <v>7.232</v>
      </c>
      <c r="F85" s="20" t="n">
        <v>7.232</v>
      </c>
      <c r="G85" s="20" t="n">
        <v>7.232</v>
      </c>
      <c r="H85" s="20" t="n">
        <v>7.232</v>
      </c>
      <c r="I85" s="20" t="n">
        <v>7.232</v>
      </c>
      <c r="J85" s="20" t="n">
        <v>7.232</v>
      </c>
      <c r="K85" s="20" t="n">
        <v>7.232</v>
      </c>
      <c r="L85" s="20" t="n">
        <v>7.232</v>
      </c>
    </row>
    <row r="86">
      <c r="A86" s="18" t="inlineStr">
        <is>
          <t>감가상각누계액</t>
        </is>
      </c>
      <c r="C86" s="20" t="n">
        <v>-5.582</v>
      </c>
      <c r="D86" s="20" t="n">
        <v>-5.857</v>
      </c>
      <c r="E86" s="20" t="n">
        <v>-6.132</v>
      </c>
      <c r="F86" s="20" t="n">
        <v>-6.407</v>
      </c>
      <c r="G86" s="20" t="n">
        <v>-6.682</v>
      </c>
      <c r="H86" s="20" t="n">
        <v>-2.007</v>
      </c>
      <c r="I86" s="20" t="n">
        <v>-3.107</v>
      </c>
      <c r="J86" s="20" t="n">
        <v>-4.207</v>
      </c>
      <c r="K86" s="20" t="n">
        <v>-5.307</v>
      </c>
      <c r="L86" s="20" t="n">
        <v>-6.407</v>
      </c>
    </row>
    <row r="87">
      <c r="A87" s="18" t="inlineStr">
        <is>
          <t>리스자산(순액)</t>
        </is>
      </c>
      <c r="C87" s="20" t="n">
        <v>1.65</v>
      </c>
      <c r="D87" s="20" t="n">
        <v>1.375</v>
      </c>
      <c r="E87" s="20" t="n">
        <v>1.1</v>
      </c>
      <c r="F87" s="20" t="n">
        <v>0.825</v>
      </c>
      <c r="G87" s="20" t="n">
        <v>0.55</v>
      </c>
      <c r="H87" s="20" t="n">
        <v>5.225</v>
      </c>
      <c r="I87" s="20" t="n">
        <v>4.125</v>
      </c>
      <c r="J87" s="20" t="n">
        <v>3.025</v>
      </c>
      <c r="K87" s="20" t="n">
        <v>1.925</v>
      </c>
      <c r="L87" s="20" t="n">
        <v>0.825</v>
      </c>
    </row>
    <row r="88">
      <c r="A88" s="18" t="inlineStr">
        <is>
          <t>유형자산 합계</t>
        </is>
      </c>
      <c r="C88" s="20" t="n">
        <v>190.899</v>
      </c>
      <c r="D88" s="20" t="n">
        <v>176.209</v>
      </c>
      <c r="E88" s="20" t="n">
        <v>161.377</v>
      </c>
      <c r="F88" s="20" t="n">
        <v>136.428</v>
      </c>
      <c r="G88" s="20" t="n">
        <v>133.001</v>
      </c>
      <c r="H88" s="20" t="n">
        <v>210.891</v>
      </c>
      <c r="I88" s="20" t="n">
        <v>196.683</v>
      </c>
      <c r="J88" s="20" t="n">
        <v>165.068</v>
      </c>
      <c r="K88" s="20" t="n">
        <v>140.948</v>
      </c>
      <c r="L88" s="20" t="n">
        <v>136.428</v>
      </c>
    </row>
    <row r="89">
      <c r="A89" s="18" t="inlineStr">
        <is>
          <t>소프트웨어</t>
        </is>
      </c>
      <c r="C89" s="20" t="n">
        <v>1584.69</v>
      </c>
      <c r="D89" s="20" t="n">
        <v>1245.732</v>
      </c>
      <c r="E89" s="20" t="n">
        <v>1228.546</v>
      </c>
      <c r="F89" s="20" t="n">
        <v>952.832</v>
      </c>
      <c r="G89" s="20" t="n">
        <v>712.346</v>
      </c>
      <c r="H89" s="20" t="n">
        <v>557.325</v>
      </c>
      <c r="I89" s="20" t="n">
        <v>201.601</v>
      </c>
      <c r="J89" s="20" t="n">
        <v>18.279</v>
      </c>
      <c r="K89" s="20" t="n">
        <v>3683.37</v>
      </c>
      <c r="L89" s="20" t="n">
        <v>952.832</v>
      </c>
    </row>
    <row r="90">
      <c r="A90" s="18" t="inlineStr">
        <is>
          <t>개발 중 소프트웨어</t>
        </is>
      </c>
      <c r="C90" s="20" t="n">
        <v>570.936</v>
      </c>
      <c r="D90" s="20" t="n">
        <v>690.403</v>
      </c>
      <c r="E90" s="20" t="n">
        <v>631.784</v>
      </c>
      <c r="F90" s="20" t="n">
        <v>151.335</v>
      </c>
      <c r="G90" s="20" t="n">
        <v>234.728</v>
      </c>
      <c r="H90" s="20" t="n">
        <v>1333.425</v>
      </c>
      <c r="I90" s="20" t="n">
        <v>3026.917</v>
      </c>
      <c r="J90" s="20" t="n">
        <v>4359.472</v>
      </c>
      <c r="K90" s="20" t="n">
        <v>604.944</v>
      </c>
      <c r="L90" s="20" t="n">
        <v>151.335</v>
      </c>
    </row>
    <row r="91">
      <c r="A91" s="18" t="inlineStr">
        <is>
          <t>기타</t>
        </is>
      </c>
      <c r="F91" s="20" t="n">
        <v>83.97499999999999</v>
      </c>
      <c r="G91" s="20" t="n">
        <v>56.788</v>
      </c>
      <c r="K91" s="20" t="n">
        <v>0</v>
      </c>
      <c r="L91" s="20" t="n">
        <v>83.97499999999999</v>
      </c>
    </row>
    <row r="92">
      <c r="A92" s="18" t="inlineStr">
        <is>
          <t>무형자산 합계</t>
        </is>
      </c>
      <c r="C92" s="20" t="n">
        <v>2155.626</v>
      </c>
      <c r="D92" s="20" t="n">
        <v>1936.136</v>
      </c>
      <c r="E92" s="20" t="n">
        <v>1860.331</v>
      </c>
      <c r="F92" s="20" t="n">
        <v>1188.143</v>
      </c>
      <c r="G92" s="20" t="n">
        <v>1003.864</v>
      </c>
      <c r="H92" s="20" t="n">
        <v>1890.751</v>
      </c>
      <c r="I92" s="20" t="n">
        <v>3228.519</v>
      </c>
      <c r="J92" s="20" t="n">
        <v>4377.751</v>
      </c>
      <c r="K92" s="20" t="n">
        <v>4288.315</v>
      </c>
      <c r="L92" s="20" t="n">
        <v>1188.143</v>
      </c>
    </row>
    <row r="93">
      <c r="A93" s="18" t="inlineStr">
        <is>
          <t>투자유가증권</t>
        </is>
      </c>
      <c r="C93" s="20" t="n">
        <v>20.006</v>
      </c>
      <c r="D93" s="20" t="n">
        <v>20.006</v>
      </c>
      <c r="E93" s="20" t="n">
        <v>20.006</v>
      </c>
      <c r="F93" s="20" t="n">
        <v>20.006</v>
      </c>
      <c r="G93" s="20" t="n">
        <v>20.006</v>
      </c>
      <c r="H93" s="20" t="n">
        <v>0.007</v>
      </c>
      <c r="I93" s="20" t="n">
        <v>59.926</v>
      </c>
      <c r="J93" s="20" t="n">
        <v>69.926</v>
      </c>
      <c r="K93" s="20" t="n">
        <v>20.006</v>
      </c>
      <c r="L93" s="20" t="n">
        <v>20.006</v>
      </c>
    </row>
    <row r="94">
      <c r="A94" s="18" t="inlineStr">
        <is>
          <t>이연법인세자산</t>
        </is>
      </c>
      <c r="C94" s="20" t="n">
        <v>776.851</v>
      </c>
      <c r="D94" s="20" t="n">
        <v>759.486</v>
      </c>
      <c r="E94" s="20" t="n">
        <v>779.9829999999999</v>
      </c>
      <c r="F94" s="20" t="n">
        <v>836.939</v>
      </c>
      <c r="G94" s="20" t="n">
        <v>841.639</v>
      </c>
      <c r="H94" s="20" t="n">
        <v>465.737</v>
      </c>
      <c r="I94" s="20" t="n">
        <v>491.226</v>
      </c>
      <c r="J94" s="20" t="n">
        <v>650.038</v>
      </c>
      <c r="K94" s="20" t="n">
        <v>883.155</v>
      </c>
      <c r="L94" s="20" t="n">
        <v>836.939</v>
      </c>
    </row>
    <row r="95">
      <c r="A95" s="18" t="inlineStr">
        <is>
          <t>임차보증금</t>
        </is>
      </c>
      <c r="H95" s="20" t="n">
        <v>199.404</v>
      </c>
      <c r="I95" s="20" t="n">
        <v>199.404</v>
      </c>
      <c r="J95" s="20" t="n">
        <v>199.404</v>
      </c>
    </row>
    <row r="96">
      <c r="A96" s="18" t="inlineStr">
        <is>
          <t>기타</t>
        </is>
      </c>
      <c r="C96" s="20" t="n">
        <v>452.424</v>
      </c>
      <c r="D96" s="20" t="n">
        <v>477.541</v>
      </c>
      <c r="E96" s="20" t="n">
        <v>473.223</v>
      </c>
      <c r="F96" s="20" t="n">
        <v>467.815</v>
      </c>
      <c r="G96" s="20" t="n">
        <v>500.856</v>
      </c>
      <c r="H96" s="20" t="n">
        <v>120.668</v>
      </c>
      <c r="I96" s="20" t="n">
        <v>202.242</v>
      </c>
      <c r="J96" s="20" t="n">
        <v>518.773</v>
      </c>
      <c r="K96" s="20" t="n">
        <v>331.593</v>
      </c>
      <c r="L96" s="20" t="n">
        <v>467.815</v>
      </c>
    </row>
    <row r="97">
      <c r="A97" s="18" t="inlineStr">
        <is>
          <t>투자 및 기타자산 합계</t>
        </is>
      </c>
      <c r="C97" s="20" t="n">
        <v>1249.281</v>
      </c>
      <c r="D97" s="20" t="n">
        <v>1257.034</v>
      </c>
      <c r="E97" s="20" t="n">
        <v>1273.213</v>
      </c>
      <c r="F97" s="20" t="n">
        <v>1324.761</v>
      </c>
      <c r="G97" s="20" t="n">
        <v>1362.501</v>
      </c>
      <c r="H97" s="20" t="n">
        <v>785.818</v>
      </c>
      <c r="I97" s="20" t="n">
        <v>952.8</v>
      </c>
      <c r="J97" s="20" t="n">
        <v>1238.738</v>
      </c>
      <c r="K97" s="20" t="n">
        <v>1234.755</v>
      </c>
      <c r="L97" s="20" t="n">
        <v>1324.761</v>
      </c>
    </row>
    <row r="98">
      <c r="A98" s="9" t="inlineStr">
        <is>
          <t>비유동자산 합계</t>
        </is>
      </c>
      <c r="C98" s="12" t="n">
        <v>3595.807</v>
      </c>
      <c r="D98" s="12" t="n">
        <v>3369.379</v>
      </c>
      <c r="E98" s="12" t="n">
        <v>3294.922</v>
      </c>
      <c r="F98" s="12" t="n">
        <v>2649.333</v>
      </c>
      <c r="G98" s="12" t="n">
        <v>2499.367</v>
      </c>
      <c r="H98" s="12" t="n">
        <v>2887.461</v>
      </c>
      <c r="I98" s="12" t="n">
        <v>4378.002</v>
      </c>
      <c r="J98" s="12" t="n">
        <v>5781.559</v>
      </c>
      <c r="K98" s="12" t="n">
        <v>5664.018</v>
      </c>
      <c r="L98" s="12" t="n">
        <v>2649.333</v>
      </c>
    </row>
    <row r="99">
      <c r="A99" s="9" t="inlineStr">
        <is>
          <t>자산 합계</t>
        </is>
      </c>
      <c r="C99" s="12" t="n">
        <v>10889.826</v>
      </c>
      <c r="D99" s="12" t="n">
        <v>9991.079</v>
      </c>
      <c r="E99" s="12" t="n">
        <v>9610.608</v>
      </c>
      <c r="F99" s="12" t="n">
        <v>11876.052</v>
      </c>
      <c r="G99" s="12" t="n">
        <v>11067.796</v>
      </c>
      <c r="H99" s="12" t="n">
        <v>9653.469999999999</v>
      </c>
      <c r="I99" s="12" t="n">
        <v>12226.397</v>
      </c>
      <c r="J99" s="12" t="n">
        <v>14148.422</v>
      </c>
      <c r="K99" s="12" t="n">
        <v>13506.236</v>
      </c>
      <c r="L99" s="12" t="n">
        <v>11876.052</v>
      </c>
    </row>
    <row r="100">
      <c r="A100" s="18" t="inlineStr">
        <is>
          <t>매입채무</t>
        </is>
      </c>
      <c r="C100" s="20" t="n">
        <v>407.715</v>
      </c>
      <c r="D100" s="20" t="n">
        <v>387.47</v>
      </c>
      <c r="E100" s="20" t="n">
        <v>380.022</v>
      </c>
      <c r="F100" s="20" t="n">
        <v>408.429</v>
      </c>
      <c r="G100" s="20" t="n">
        <v>466.139</v>
      </c>
      <c r="H100" s="20" t="n">
        <v>357.864</v>
      </c>
      <c r="I100" s="20" t="n">
        <v>449.977</v>
      </c>
      <c r="J100" s="20" t="n">
        <v>329.599</v>
      </c>
      <c r="K100" s="20" t="n">
        <v>417.877</v>
      </c>
      <c r="L100" s="20" t="n">
        <v>408.429</v>
      </c>
    </row>
    <row r="101">
      <c r="A101" s="18" t="inlineStr">
        <is>
          <t>단기차입금</t>
        </is>
      </c>
      <c r="C101" s="20" t="n">
        <v>100</v>
      </c>
      <c r="D101" s="20" t="n">
        <v>100</v>
      </c>
      <c r="E101" s="20" t="n">
        <v>100</v>
      </c>
      <c r="F101" s="20" t="n">
        <v>100</v>
      </c>
      <c r="G101" s="20" t="n">
        <v>100</v>
      </c>
      <c r="H101" s="20" t="n">
        <v>146</v>
      </c>
      <c r="I101" s="20" t="n">
        <v>100</v>
      </c>
      <c r="J101" s="20" t="n">
        <v>100</v>
      </c>
      <c r="K101" s="20" t="n">
        <v>100</v>
      </c>
      <c r="L101" s="20" t="n">
        <v>100</v>
      </c>
    </row>
    <row r="102">
      <c r="A102" s="18" t="inlineStr">
        <is>
          <t>1년 내 상환 장기차입금</t>
        </is>
      </c>
      <c r="C102" s="20" t="n">
        <v>1738.85</v>
      </c>
      <c r="D102" s="20" t="n">
        <v>1870</v>
      </c>
      <c r="E102" s="20" t="n">
        <v>1870.5</v>
      </c>
      <c r="F102" s="20" t="n">
        <v>2497</v>
      </c>
      <c r="G102" s="20" t="n">
        <v>2223.5</v>
      </c>
      <c r="H102" s="20" t="n">
        <v>808</v>
      </c>
      <c r="I102" s="20" t="n">
        <v>1780.75</v>
      </c>
      <c r="J102" s="20" t="n">
        <v>1743.85</v>
      </c>
      <c r="K102" s="20" t="n">
        <v>1738.6</v>
      </c>
      <c r="L102" s="20" t="n">
        <v>2497</v>
      </c>
    </row>
    <row r="103">
      <c r="A103" s="18" t="inlineStr">
        <is>
          <t>리스부채</t>
        </is>
      </c>
      <c r="C103" s="20" t="n">
        <v>1.281</v>
      </c>
      <c r="D103" s="20" t="n">
        <v>1.281</v>
      </c>
      <c r="E103" s="20" t="n">
        <v>1.281</v>
      </c>
      <c r="F103" s="20" t="n">
        <v>0.961</v>
      </c>
      <c r="G103" s="20" t="n">
        <v>0.64</v>
      </c>
      <c r="H103" s="20" t="n">
        <v>1.281</v>
      </c>
      <c r="I103" s="20" t="n">
        <v>1.281</v>
      </c>
      <c r="J103" s="20" t="n">
        <v>1.281</v>
      </c>
      <c r="K103" s="20" t="n">
        <v>1.281</v>
      </c>
      <c r="L103" s="20" t="n">
        <v>0.961</v>
      </c>
    </row>
    <row r="104">
      <c r="A104" s="18" t="inlineStr">
        <is>
          <t>미지급금</t>
        </is>
      </c>
      <c r="C104" s="20" t="n">
        <v>1657.579</v>
      </c>
      <c r="D104" s="20" t="n">
        <v>1763.815</v>
      </c>
      <c r="E104" s="20" t="n">
        <v>1219.029</v>
      </c>
      <c r="F104" s="20" t="n">
        <v>1473.273</v>
      </c>
      <c r="G104" s="20" t="n">
        <v>1307.632</v>
      </c>
      <c r="H104" s="20" t="n">
        <v>579.0359999999999</v>
      </c>
      <c r="I104" s="20" t="n">
        <v>554.851</v>
      </c>
      <c r="J104" s="20" t="n">
        <v>604.044</v>
      </c>
      <c r="K104" s="20" t="n">
        <v>1780.723</v>
      </c>
      <c r="L104" s="20" t="n">
        <v>1473.273</v>
      </c>
    </row>
    <row r="105">
      <c r="A105" s="18" t="inlineStr">
        <is>
          <t>미지급법인세</t>
        </is>
      </c>
      <c r="C105" s="20" t="n">
        <v>33.851</v>
      </c>
      <c r="D105" s="20" t="n">
        <v>72.426</v>
      </c>
      <c r="E105" s="20" t="n">
        <v>54.252</v>
      </c>
      <c r="F105" s="20" t="n">
        <v>493.119</v>
      </c>
      <c r="G105" s="20" t="n">
        <v>155.585</v>
      </c>
      <c r="H105" s="20" t="n">
        <v>142.079</v>
      </c>
      <c r="I105" s="20" t="n">
        <v>481.316</v>
      </c>
      <c r="J105" s="20" t="n">
        <v>61.235</v>
      </c>
      <c r="K105" s="20" t="n">
        <v>120.835</v>
      </c>
      <c r="L105" s="20" t="n">
        <v>493.119</v>
      </c>
    </row>
    <row r="106">
      <c r="A106" s="18" t="inlineStr">
        <is>
          <t>상여충당금</t>
        </is>
      </c>
      <c r="C106" s="20" t="n">
        <v>51.524</v>
      </c>
      <c r="D106" s="20" t="n">
        <v>114.695</v>
      </c>
      <c r="E106" s="20" t="n">
        <v>59.634</v>
      </c>
      <c r="F106" s="20" t="n">
        <v>133.286</v>
      </c>
      <c r="G106" s="20" t="n">
        <v>72.93899999999999</v>
      </c>
      <c r="H106" s="20" t="n">
        <v>138.497</v>
      </c>
      <c r="I106" s="20" t="n">
        <v>129.549</v>
      </c>
      <c r="J106" s="20" t="n">
        <v>86.949</v>
      </c>
      <c r="K106" s="20" t="n">
        <v>98.208</v>
      </c>
      <c r="L106" s="20" t="n">
        <v>133.286</v>
      </c>
    </row>
    <row r="107">
      <c r="A107" s="18" t="inlineStr">
        <is>
          <t>자산복구부채</t>
        </is>
      </c>
      <c r="H107" s="20" t="n">
        <v>0</v>
      </c>
    </row>
    <row r="108">
      <c r="A108" s="18" t="inlineStr">
        <is>
          <t>기타</t>
        </is>
      </c>
      <c r="C108" s="20" t="n">
        <v>964.362</v>
      </c>
      <c r="D108" s="20" t="n">
        <v>908.452</v>
      </c>
      <c r="E108" s="20" t="n">
        <v>905.53</v>
      </c>
      <c r="F108" s="20" t="n">
        <v>957.896</v>
      </c>
      <c r="G108" s="20" t="n">
        <v>843.2190000000001</v>
      </c>
      <c r="H108" s="20" t="n">
        <v>537.158</v>
      </c>
      <c r="I108" s="20" t="n">
        <v>802.766</v>
      </c>
      <c r="J108" s="20" t="n">
        <v>621.14</v>
      </c>
      <c r="K108" s="20" t="n">
        <v>1049.95</v>
      </c>
      <c r="L108" s="20" t="n">
        <v>957.896</v>
      </c>
    </row>
    <row r="109">
      <c r="A109" s="9" t="inlineStr">
        <is>
          <t>유동부채 합계</t>
        </is>
      </c>
      <c r="C109" s="12" t="n">
        <v>4955.166</v>
      </c>
      <c r="D109" s="12" t="n">
        <v>5218.143</v>
      </c>
      <c r="E109" s="12" t="n">
        <v>4590.251</v>
      </c>
      <c r="F109" s="12" t="n">
        <v>6063.966</v>
      </c>
      <c r="G109" s="12" t="n">
        <v>5169.658</v>
      </c>
      <c r="H109" s="12" t="n">
        <v>2709.917</v>
      </c>
      <c r="I109" s="12" t="n">
        <v>4300.494</v>
      </c>
      <c r="J109" s="12" t="n">
        <v>3548.1</v>
      </c>
      <c r="K109" s="12" t="n">
        <v>5307.477</v>
      </c>
      <c r="L109" s="12" t="n">
        <v>6063.966</v>
      </c>
    </row>
    <row r="110">
      <c r="A110" s="18" t="inlineStr">
        <is>
          <t>장기차입금</t>
        </is>
      </c>
      <c r="C110" s="20" t="n">
        <v>2453.8</v>
      </c>
      <c r="D110" s="20" t="n">
        <v>2009</v>
      </c>
      <c r="E110" s="20" t="n">
        <v>1578.5</v>
      </c>
      <c r="F110" s="20" t="n">
        <v>522</v>
      </c>
      <c r="G110" s="20" t="n">
        <v>365.5</v>
      </c>
      <c r="H110" s="20" t="n">
        <v>2014</v>
      </c>
      <c r="I110" s="20" t="n">
        <v>1952.75</v>
      </c>
      <c r="J110" s="20" t="n">
        <v>4627.3</v>
      </c>
      <c r="K110" s="20" t="n">
        <v>2888.7</v>
      </c>
      <c r="L110" s="20" t="n">
        <v>522</v>
      </c>
    </row>
    <row r="111">
      <c r="A111" s="18" t="inlineStr">
        <is>
          <t>리스부채</t>
        </is>
      </c>
      <c r="C111" s="20" t="n">
        <v>0.64</v>
      </c>
      <c r="D111" s="20" t="n">
        <v>0.32</v>
      </c>
      <c r="E111" s="20" t="n">
        <v>0</v>
      </c>
      <c r="F111" s="20" t="n">
        <v>0</v>
      </c>
      <c r="H111" s="20" t="n">
        <v>4.806</v>
      </c>
      <c r="I111" s="20" t="n">
        <v>3.524</v>
      </c>
      <c r="J111" s="20" t="n">
        <v>2.243</v>
      </c>
      <c r="K111" s="20" t="n">
        <v>0.961</v>
      </c>
      <c r="L111" s="20" t="n">
        <v>0</v>
      </c>
    </row>
    <row r="112">
      <c r="A112" s="18" t="inlineStr">
        <is>
          <t>자산복구부채</t>
        </is>
      </c>
      <c r="C112" s="20" t="n">
        <v>100</v>
      </c>
      <c r="D112" s="20" t="n">
        <v>100</v>
      </c>
      <c r="E112" s="20" t="n">
        <v>100</v>
      </c>
      <c r="F112" s="20" t="n">
        <v>100</v>
      </c>
      <c r="G112" s="20" t="n">
        <v>100</v>
      </c>
      <c r="H112" s="20" t="n">
        <v>100</v>
      </c>
      <c r="I112" s="20" t="n">
        <v>100</v>
      </c>
      <c r="J112" s="20" t="n">
        <v>100</v>
      </c>
      <c r="K112" s="20" t="n">
        <v>100</v>
      </c>
      <c r="L112" s="20" t="n">
        <v>100</v>
      </c>
    </row>
    <row r="113">
      <c r="A113" s="18" t="inlineStr">
        <is>
          <t>기타</t>
        </is>
      </c>
      <c r="C113" s="20" t="n">
        <v>443.724</v>
      </c>
      <c r="D113" s="20" t="n">
        <v>231.792</v>
      </c>
      <c r="E113" s="20" t="n">
        <v>223.71</v>
      </c>
      <c r="F113" s="20" t="n">
        <v>146.781</v>
      </c>
      <c r="G113" s="20" t="n">
        <v>163.221</v>
      </c>
      <c r="H113" s="20" t="n">
        <v>250.671</v>
      </c>
      <c r="I113" s="20" t="n">
        <v>238.507</v>
      </c>
      <c r="J113" s="20" t="n">
        <v>202.655</v>
      </c>
      <c r="K113" s="20" t="n">
        <v>489.96</v>
      </c>
      <c r="L113" s="20" t="n">
        <v>146.781</v>
      </c>
    </row>
    <row r="114">
      <c r="A114" s="9" t="inlineStr">
        <is>
          <t>비유동부채 합계</t>
        </is>
      </c>
      <c r="C114" s="12" t="n">
        <v>2998.165</v>
      </c>
      <c r="D114" s="12" t="n">
        <v>2341.113</v>
      </c>
      <c r="E114" s="12" t="n">
        <v>1902.21</v>
      </c>
      <c r="F114" s="12" t="n">
        <v>768.7809999999999</v>
      </c>
      <c r="G114" s="12" t="n">
        <v>628.721</v>
      </c>
      <c r="H114" s="12" t="n">
        <v>2369.478</v>
      </c>
      <c r="I114" s="12" t="n">
        <v>2294.782</v>
      </c>
      <c r="J114" s="12" t="n">
        <v>4932.198</v>
      </c>
      <c r="K114" s="12" t="n">
        <v>3479.621</v>
      </c>
      <c r="L114" s="12" t="n">
        <v>768.7809999999999</v>
      </c>
    </row>
    <row r="115">
      <c r="A115" s="9" t="inlineStr">
        <is>
          <t>부채 합계</t>
        </is>
      </c>
      <c r="C115" s="12" t="n">
        <v>7953.331</v>
      </c>
      <c r="D115" s="12" t="n">
        <v>7559.256</v>
      </c>
      <c r="E115" s="12" t="n">
        <v>6492.461</v>
      </c>
      <c r="F115" s="12" t="n">
        <v>6832.748</v>
      </c>
      <c r="G115" s="12" t="n">
        <v>5798.379</v>
      </c>
      <c r="H115" s="12" t="n">
        <v>5079.395</v>
      </c>
      <c r="I115" s="12" t="n">
        <v>6595.277</v>
      </c>
      <c r="J115" s="12" t="n">
        <v>8480.298000000001</v>
      </c>
      <c r="K115" s="12" t="n">
        <v>8787.099</v>
      </c>
      <c r="L115" s="12" t="n">
        <v>6832.748</v>
      </c>
    </row>
    <row r="116">
      <c r="A116" s="18" t="inlineStr">
        <is>
          <t>자본금</t>
        </is>
      </c>
      <c r="C116" s="20" t="n">
        <v>1880.309</v>
      </c>
      <c r="D116" s="20" t="n">
        <v>1880.309</v>
      </c>
      <c r="E116" s="20" t="n">
        <v>1906.87</v>
      </c>
      <c r="F116" s="20" t="n">
        <v>1906.87</v>
      </c>
      <c r="G116" s="20" t="n">
        <v>1906.87</v>
      </c>
      <c r="H116" s="20" t="n">
        <v>1792.991</v>
      </c>
      <c r="I116" s="20" t="n">
        <v>1811.311</v>
      </c>
      <c r="J116" s="20" t="n">
        <v>1842.36</v>
      </c>
      <c r="K116" s="20" t="n">
        <v>1880.309</v>
      </c>
      <c r="L116" s="20" t="n">
        <v>1906.87</v>
      </c>
    </row>
    <row r="117">
      <c r="A117" s="18" t="inlineStr">
        <is>
          <t>자본잉여금</t>
        </is>
      </c>
      <c r="C117" s="20" t="n">
        <v>2137.862</v>
      </c>
      <c r="D117" s="20" t="n">
        <v>2140.068</v>
      </c>
      <c r="E117" s="20" t="n">
        <v>2166.629</v>
      </c>
      <c r="F117" s="20" t="n">
        <v>2166.629</v>
      </c>
      <c r="G117" s="20" t="n">
        <v>2166.629</v>
      </c>
      <c r="H117" s="20" t="n">
        <v>2050.152</v>
      </c>
      <c r="I117" s="20" t="n">
        <v>2068.472</v>
      </c>
      <c r="J117" s="20" t="n">
        <v>2099.521</v>
      </c>
      <c r="K117" s="20" t="n">
        <v>2137.862</v>
      </c>
      <c r="L117" s="20" t="n">
        <v>2166.629</v>
      </c>
    </row>
    <row r="118">
      <c r="A118" s="18" t="inlineStr">
        <is>
          <t>이익잉여금</t>
        </is>
      </c>
      <c r="C118" s="20" t="n">
        <v>-908.5410000000001</v>
      </c>
      <c r="D118" s="20" t="n">
        <v>-1471.867</v>
      </c>
      <c r="E118" s="20" t="n">
        <v>-850.823</v>
      </c>
      <c r="F118" s="20" t="n">
        <v>1104.196</v>
      </c>
      <c r="G118" s="20" t="n">
        <v>1427.527</v>
      </c>
      <c r="H118" s="20" t="n">
        <v>953.681</v>
      </c>
      <c r="I118" s="20" t="n">
        <v>1967.564</v>
      </c>
      <c r="J118" s="20" t="n">
        <v>1926.096</v>
      </c>
      <c r="K118" s="20" t="n">
        <v>890.527</v>
      </c>
      <c r="L118" s="20" t="n">
        <v>1104.196</v>
      </c>
    </row>
    <row r="119">
      <c r="A119" s="18" t="inlineStr">
        <is>
          <t>자기주식</t>
        </is>
      </c>
      <c r="C119" s="20" t="n">
        <v>-252.033</v>
      </c>
      <c r="D119" s="20" t="n">
        <v>-214.692</v>
      </c>
      <c r="E119" s="20" t="n">
        <v>-214.692</v>
      </c>
      <c r="F119" s="20" t="n">
        <v>-214.692</v>
      </c>
      <c r="G119" s="20" t="n">
        <v>-320.152</v>
      </c>
      <c r="H119" s="20" t="n">
        <v>-274.029</v>
      </c>
      <c r="I119" s="20" t="n">
        <v>-266.237</v>
      </c>
      <c r="J119" s="20" t="n">
        <v>-259.894</v>
      </c>
      <c r="K119" s="20" t="n">
        <v>-252.033</v>
      </c>
      <c r="L119" s="20" t="n">
        <v>-214.692</v>
      </c>
    </row>
    <row r="120">
      <c r="A120" s="9" t="inlineStr">
        <is>
          <t>주주자본 합계</t>
        </is>
      </c>
      <c r="C120" s="12" t="n">
        <v>2857.596</v>
      </c>
      <c r="D120" s="12" t="n">
        <v>2333.817</v>
      </c>
      <c r="E120" s="12" t="n">
        <v>3007.984</v>
      </c>
      <c r="F120" s="12" t="n">
        <v>4963.004</v>
      </c>
      <c r="G120" s="12" t="n">
        <v>5180.874</v>
      </c>
      <c r="H120" s="12" t="n">
        <v>4522.796</v>
      </c>
      <c r="I120" s="12" t="n">
        <v>5581.111</v>
      </c>
      <c r="J120" s="12" t="n">
        <v>5608.084</v>
      </c>
      <c r="K120" s="12" t="n">
        <v>4656.665</v>
      </c>
      <c r="L120" s="12" t="n">
        <v>4963.004</v>
      </c>
    </row>
    <row r="121">
      <c r="A121" s="18" t="inlineStr">
        <is>
          <t>기타유가증권 평가차액</t>
        </is>
      </c>
      <c r="C121" s="20" t="n">
        <v>11.94</v>
      </c>
      <c r="D121" s="20" t="n">
        <v>11.94</v>
      </c>
      <c r="E121" s="20" t="n">
        <v>11.94</v>
      </c>
      <c r="F121" s="20" t="n">
        <v>20.311</v>
      </c>
      <c r="G121" s="20" t="n">
        <v>20.311</v>
      </c>
      <c r="H121" s="20" t="n">
        <v>0.007</v>
      </c>
      <c r="I121" s="20" t="n">
        <v>-2.079</v>
      </c>
      <c r="J121" s="20" t="n">
        <v>6.611</v>
      </c>
      <c r="K121" s="20" t="n">
        <v>11.94</v>
      </c>
      <c r="L121" s="20" t="n">
        <v>20.311</v>
      </c>
    </row>
    <row r="122">
      <c r="A122" s="18" t="inlineStr">
        <is>
          <t>해외사업환산조정</t>
        </is>
      </c>
      <c r="C122" s="20" t="n">
        <v>0.101</v>
      </c>
      <c r="D122" s="20" t="n">
        <v>0.3</v>
      </c>
      <c r="E122" s="20" t="n">
        <v>0.994</v>
      </c>
      <c r="F122" s="20" t="n">
        <v>0</v>
      </c>
      <c r="H122" s="20" t="n">
        <v>0</v>
      </c>
      <c r="I122" s="20" t="n">
        <v>0.082</v>
      </c>
      <c r="J122" s="20" t="n">
        <v>0.79</v>
      </c>
      <c r="K122" s="20" t="n">
        <v>1.004</v>
      </c>
      <c r="L122" s="20" t="n">
        <v>0</v>
      </c>
    </row>
    <row r="123">
      <c r="A123" s="18" t="inlineStr">
        <is>
          <t>기타포괄손익누계액 합계</t>
        </is>
      </c>
      <c r="C123" s="20" t="n">
        <v>12.041</v>
      </c>
      <c r="D123" s="20" t="n">
        <v>12.241</v>
      </c>
      <c r="E123" s="20" t="n">
        <v>12.935</v>
      </c>
      <c r="F123" s="20" t="n">
        <v>20.311</v>
      </c>
      <c r="G123" s="20" t="n">
        <v>20.311</v>
      </c>
      <c r="H123" s="20" t="n">
        <v>0.007</v>
      </c>
      <c r="I123" s="20" t="n">
        <v>-1.997</v>
      </c>
      <c r="J123" s="20" t="n">
        <v>7.402</v>
      </c>
      <c r="K123" s="20" t="n">
        <v>12.945</v>
      </c>
      <c r="L123" s="20" t="n">
        <v>20.311</v>
      </c>
    </row>
    <row r="124">
      <c r="A124" s="18" t="inlineStr">
        <is>
          <t>신주예약권</t>
        </is>
      </c>
      <c r="C124" s="20" t="n">
        <v>65.511</v>
      </c>
      <c r="D124" s="20" t="n">
        <v>84.215</v>
      </c>
      <c r="E124" s="20" t="n">
        <v>95.375</v>
      </c>
      <c r="F124" s="20" t="n">
        <v>57.885</v>
      </c>
      <c r="G124" s="20" t="n">
        <v>67.136</v>
      </c>
      <c r="H124" s="20" t="n">
        <v>49.067</v>
      </c>
      <c r="I124" s="20" t="n">
        <v>49.067</v>
      </c>
      <c r="J124" s="20" t="n">
        <v>49.067</v>
      </c>
      <c r="K124" s="20" t="n">
        <v>47.01</v>
      </c>
      <c r="L124" s="20" t="n">
        <v>57.885</v>
      </c>
    </row>
    <row r="125">
      <c r="A125" s="18" t="inlineStr">
        <is>
          <t>비지배지분</t>
        </is>
      </c>
      <c r="C125" s="20" t="n">
        <v>1.345</v>
      </c>
      <c r="D125" s="20" t="n">
        <v>1.548</v>
      </c>
      <c r="E125" s="20" t="n">
        <v>1.852</v>
      </c>
      <c r="F125" s="20" t="n">
        <v>2.102</v>
      </c>
      <c r="G125" s="20" t="n">
        <v>1.094</v>
      </c>
      <c r="H125" s="20" t="n">
        <v>2.203</v>
      </c>
      <c r="I125" s="20" t="n">
        <v>2.938</v>
      </c>
      <c r="J125" s="20" t="n">
        <v>3.57</v>
      </c>
      <c r="K125" s="20" t="n">
        <v>2.516</v>
      </c>
      <c r="L125" s="20" t="n">
        <v>2.102</v>
      </c>
    </row>
    <row r="126">
      <c r="A126" s="9" t="inlineStr">
        <is>
          <t>순자산 합계</t>
        </is>
      </c>
      <c r="C126" s="12" t="n">
        <v>2936.495</v>
      </c>
      <c r="D126" s="12" t="n">
        <v>2431.822</v>
      </c>
      <c r="E126" s="12" t="n">
        <v>3118.146</v>
      </c>
      <c r="F126" s="12" t="n">
        <v>5043.303</v>
      </c>
      <c r="G126" s="12" t="n">
        <v>5269.417</v>
      </c>
      <c r="H126" s="12" t="n">
        <v>4574.075</v>
      </c>
      <c r="I126" s="12" t="n">
        <v>5631.12</v>
      </c>
      <c r="J126" s="12" t="n">
        <v>5668.124</v>
      </c>
      <c r="K126" s="12" t="n">
        <v>4719.137</v>
      </c>
      <c r="L126" s="12" t="n">
        <v>5043.303</v>
      </c>
    </row>
    <row r="127">
      <c r="A127" s="9" t="inlineStr">
        <is>
          <t>부채·순자산 합계</t>
        </is>
      </c>
      <c r="C127" s="12" t="n">
        <v>10889.826</v>
      </c>
      <c r="D127" s="12" t="n">
        <v>9991.079</v>
      </c>
      <c r="E127" s="12" t="n">
        <v>9610.608</v>
      </c>
      <c r="F127" s="12" t="n">
        <v>11876.052</v>
      </c>
      <c r="G127" s="12" t="n">
        <v>11067.796</v>
      </c>
      <c r="H127" s="12" t="n">
        <v>9653.469999999999</v>
      </c>
      <c r="I127" s="12" t="n">
        <v>12226.397</v>
      </c>
      <c r="J127" s="12" t="n">
        <v>14148.422</v>
      </c>
      <c r="K127" s="12" t="n">
        <v>13506.236</v>
      </c>
      <c r="L127" s="12" t="n">
        <v>11876.052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2026-07-29</t>
        </is>
      </c>
      <c r="B4" t="inlineStr">
        <is>
          <t>2027년 3월 결산기 １분기 결산단신</t>
        </is>
      </c>
      <c r="C4" t="inlineStr">
        <is>
          <t>https://www2.jpx.co.jp/disc/37930/140120260729501853.pdf</t>
        </is>
      </c>
    </row>
    <row r="5">
      <c r="A5" t="inlineStr">
        <is>
          <t>2026-05-12</t>
        </is>
      </c>
      <c r="B5" t="inlineStr">
        <is>
          <t>2026년 3월 결산기 연간 결산단신</t>
        </is>
      </c>
      <c r="C5" t="inlineStr">
        <is>
          <t>https://www2.jpx.co.jp/disc/37930/140120260512524455.pdf</t>
        </is>
      </c>
    </row>
    <row r="6">
      <c r="A6" t="inlineStr">
        <is>
          <t>2026-01-29</t>
        </is>
      </c>
      <c r="B6" t="inlineStr">
        <is>
          <t>2026년 3월 결산기 ３분기 결산단신</t>
        </is>
      </c>
      <c r="C6" t="inlineStr">
        <is>
          <t>https://www2.jpx.co.jp/disc/37930/140120260129541104.pdf</t>
        </is>
      </c>
    </row>
    <row r="7">
      <c r="A7" t="inlineStr">
        <is>
          <t>2025-10-29</t>
        </is>
      </c>
      <c r="B7" t="inlineStr">
        <is>
          <t>2026년 3월 결산기 ２분기 결산단신</t>
        </is>
      </c>
      <c r="C7" t="inlineStr">
        <is>
          <t>https://www2.jpx.co.jp/disc/37930/140120251029581112.pdf</t>
        </is>
      </c>
    </row>
    <row r="8">
      <c r="A8" t="inlineStr">
        <is>
          <t>2025-07-29</t>
        </is>
      </c>
      <c r="B8" t="inlineStr">
        <is>
          <t>2026년 3월 결산기 １분기 결산단신</t>
        </is>
      </c>
      <c r="C8" t="inlineStr">
        <is>
          <t>https://www2.jpx.co.jp/disc/37930/140120250729522444.pdf</t>
        </is>
      </c>
    </row>
    <row r="9">
      <c r="A9" t="inlineStr">
        <is>
          <t>2025-05-12</t>
        </is>
      </c>
      <c r="B9" t="inlineStr">
        <is>
          <t>2025년 3월 결산기 연간 결산단신</t>
        </is>
      </c>
      <c r="C9" t="inlineStr">
        <is>
          <t>https://www2.jpx.co.jp/disc/37930/140120250510539527.pdf</t>
        </is>
      </c>
    </row>
    <row r="10">
      <c r="A10" t="inlineStr">
        <is>
          <t>2025-01-30</t>
        </is>
      </c>
      <c r="B10" t="inlineStr">
        <is>
          <t>2025년 3월 결산기 ３분기 결산단신</t>
        </is>
      </c>
      <c r="C10" t="inlineStr">
        <is>
          <t>https://www2.jpx.co.jp/disc/37930/140120250130558340.pdf</t>
        </is>
      </c>
    </row>
    <row r="11">
      <c r="A11" t="inlineStr">
        <is>
          <t>2024-10-29</t>
        </is>
      </c>
      <c r="B11" t="inlineStr">
        <is>
          <t>2025년 3월 결산기 ２분기 결산단신</t>
        </is>
      </c>
      <c r="C11" t="inlineStr">
        <is>
          <t>https://www2.jpx.co.jp/disc/37930/140120241029504943.pdf</t>
        </is>
      </c>
    </row>
    <row r="12">
      <c r="A12" t="inlineStr">
        <is>
          <t>2024-07-30</t>
        </is>
      </c>
      <c r="B12" t="inlineStr">
        <is>
          <t>2025년 3월 결산기 １분기 결산단신</t>
        </is>
      </c>
      <c r="C12" t="inlineStr">
        <is>
          <t>https://www2.jpx.co.jp/disc/37930/140120240730557482.pdf</t>
        </is>
      </c>
    </row>
    <row r="13">
      <c r="A13" t="inlineStr">
        <is>
          <t>2024-05-13</t>
        </is>
      </c>
      <c r="B13" t="inlineStr">
        <is>
          <t>2024년 3월 결산기 연간 결산단신</t>
        </is>
      </c>
      <c r="C13" t="inlineStr">
        <is>
          <t>https://www2.jpx.co.jp/disc/37930/140120240513592123.pdf</t>
        </is>
      </c>
    </row>
    <row r="14">
      <c r="A14" t="inlineStr">
        <is>
          <t>2024-01-30</t>
        </is>
      </c>
      <c r="B14" t="inlineStr">
        <is>
          <t>2024년 3월 결산기 ３분기 결산단신</t>
        </is>
      </c>
      <c r="C14" t="inlineStr">
        <is>
          <t>https://www2.jpx.co.jp/disc/37930/140120240130521635.pdf</t>
        </is>
      </c>
    </row>
    <row r="15">
      <c r="A15" t="inlineStr">
        <is>
          <t>2023-10-26</t>
        </is>
      </c>
      <c r="B15" t="inlineStr">
        <is>
          <t>2024년 3월 결산기 ２분기 결산단신</t>
        </is>
      </c>
      <c r="C15" t="inlineStr">
        <is>
          <t>https://www2.jpx.co.jp/disc/37930/140120231026571950.pdf</t>
        </is>
      </c>
    </row>
    <row r="16">
      <c r="A16" t="inlineStr">
        <is>
          <t>2023-07-27</t>
        </is>
      </c>
      <c r="B16" t="inlineStr">
        <is>
          <t>2024년 3월 결산기 １분기 결산단신</t>
        </is>
      </c>
      <c r="C16" t="inlineStr">
        <is>
          <t>https://www2.jpx.co.jp/disc/37930/140120230727528071.pdf</t>
        </is>
      </c>
    </row>
    <row r="17">
      <c r="A17" t="inlineStr">
        <is>
          <t>2023-05-11</t>
        </is>
      </c>
      <c r="B17" t="inlineStr">
        <is>
          <t>2023년 3월 결산기 연간 결산단신</t>
        </is>
      </c>
      <c r="C17" t="inlineStr">
        <is>
          <t>https://www2.jpx.co.jp/disc/37930/140120230511565588.pdf</t>
        </is>
      </c>
    </row>
    <row r="18">
      <c r="A18" t="inlineStr">
        <is>
          <t>2023-01-30</t>
        </is>
      </c>
      <c r="B18" t="inlineStr">
        <is>
          <t>2023년 3월 결산기 ３분기 결산단신</t>
        </is>
      </c>
      <c r="C18" t="inlineStr">
        <is>
          <t>https://www2.jpx.co.jp/disc/37930/140120230130595609.pdf</t>
        </is>
      </c>
    </row>
    <row r="19">
      <c r="A19" t="inlineStr">
        <is>
          <t>2022-10-27</t>
        </is>
      </c>
      <c r="B19" t="inlineStr">
        <is>
          <t>2023년 3월 결산기 ２분기 결산단신</t>
        </is>
      </c>
      <c r="C19" t="inlineStr">
        <is>
          <t>https://www2.jpx.co.jp/disc/37930/140120221026550313.pdf</t>
        </is>
      </c>
    </row>
    <row r="20">
      <c r="A20" t="inlineStr">
        <is>
          <t>2022-05-12</t>
        </is>
      </c>
      <c r="B20" t="inlineStr">
        <is>
          <t>2022년 3월 결산기 연간 결산단신</t>
        </is>
      </c>
      <c r="C20" t="inlineStr">
        <is>
          <t>https://www2.jpx.co.jp/disc/37930/140120220512542071.pdf</t>
        </is>
      </c>
    </row>
    <row r="21">
      <c r="A21" t="inlineStr">
        <is>
          <t>2021-05-13</t>
        </is>
      </c>
      <c r="B21" t="inlineStr">
        <is>
          <t>2021년 3월 결산기 연간 결산단신</t>
        </is>
      </c>
      <c r="C21" t="inlineStr">
        <is>
          <t>https://www2.jpx.co.jp/disc/37930/140120210406490409.pdf</t>
        </is>
      </c>
    </row>
    <row r="22">
      <c r="A22" t="inlineStr">
        <is>
          <t>2020-05-14</t>
        </is>
      </c>
      <c r="B22" t="inlineStr">
        <is>
          <t>2020년 3월 결산기 연간 결산단신</t>
        </is>
      </c>
      <c r="C22" t="inlineStr">
        <is>
          <t>https://www2.jpx.co.jp/disc/37930/140120200506404856.pdf</t>
        </is>
      </c>
    </row>
    <row r="23">
      <c r="A23" t="inlineStr">
        <is>
          <t>2019-05-13</t>
        </is>
      </c>
      <c r="B23" t="inlineStr">
        <is>
          <t>2019년 3월 결산기 연간 결산단신</t>
        </is>
      </c>
      <c r="C23" t="inlineStr">
        <is>
          <t>https://www2.jpx.co.jp/disc/37930/140120190430414056.pdf</t>
        </is>
      </c>
    </row>
    <row r="24">
      <c r="A24" t="inlineStr">
        <is>
          <t>2018-05-10</t>
        </is>
      </c>
      <c r="B24" t="inlineStr">
        <is>
          <t>연간 결산단신</t>
        </is>
      </c>
      <c r="C24" t="inlineStr">
        <is>
          <t>https://www2.jpx.co.jp/disc/37930/140120180502426993.pdf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2026-10-28T07:02:24Z</dcterms:created>
  <dcterms:modified xmlns:dcterms="http://purl.org/dc/terms/" xmlns:xsi="http://www.w3.org/2001/XMLSchema-instance" xsi:type="dcterms:W3CDTF">2026-10-28T07:02:25Z</dcterms:modified>
</cp:coreProperties>
</file>