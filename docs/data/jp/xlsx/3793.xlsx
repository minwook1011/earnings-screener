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32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3793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2027.1Q = 2027년 3월 결산기 1분기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2024.2Q</t>
        </is>
      </c>
      <c r="D3" s="5" t="inlineStr">
        <is>
          <t>2024.3Q</t>
        </is>
      </c>
      <c r="E3" s="5" t="inlineStr">
        <is>
          <t>2024.4Q</t>
        </is>
      </c>
      <c r="F3" s="5" t="inlineStr">
        <is>
          <t>2025.1Q</t>
        </is>
      </c>
      <c r="G3" s="5" t="inlineStr">
        <is>
          <t>2025.2Q</t>
        </is>
      </c>
      <c r="H3" s="5" t="inlineStr">
        <is>
          <t>2025.3Q</t>
        </is>
      </c>
      <c r="I3" s="5" t="inlineStr">
        <is>
          <t>2025.4Q</t>
        </is>
      </c>
      <c r="J3" s="5" t="inlineStr">
        <is>
          <t>2026.1Q</t>
        </is>
      </c>
      <c r="K3" s="5" t="inlineStr">
        <is>
          <t>2026.2Q</t>
        </is>
      </c>
      <c r="L3" s="5" t="inlineStr">
        <is>
          <t>2026.3Q</t>
        </is>
      </c>
      <c r="M3" s="5" t="inlineStr">
        <is>
          <t>2026.4Q</t>
        </is>
      </c>
      <c r="N3" s="5" t="inlineStr">
        <is>
          <t>2027.1Q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2745.34</v>
      </c>
      <c r="D4" s="12" t="n">
        <v>2546.089</v>
      </c>
      <c r="E4" s="12" t="n">
        <v>2141.472</v>
      </c>
      <c r="F4" s="12" t="n">
        <v>2122.621</v>
      </c>
      <c r="G4" s="12" t="n">
        <v>1895.451</v>
      </c>
      <c r="H4" s="12" t="n">
        <v>4182.649</v>
      </c>
      <c r="I4" s="12" t="n">
        <v>4454.463</v>
      </c>
      <c r="J4" s="12" t="n">
        <v>4466.913</v>
      </c>
      <c r="K4" s="12" t="n">
        <v>3771.727</v>
      </c>
      <c r="L4" s="12" t="n">
        <v>5062.656</v>
      </c>
      <c r="M4" s="12" t="n">
        <v>4246.482</v>
      </c>
      <c r="N4" s="12" t="n">
        <v>4355.148</v>
      </c>
      <c r="O4" s="11" t="n">
        <v>8388.502</v>
      </c>
      <c r="P4" s="12" t="n">
        <v>13192.635</v>
      </c>
      <c r="Q4" s="12" t="n">
        <v>10720.399</v>
      </c>
      <c r="R4" s="12" t="n">
        <v>10150.166</v>
      </c>
      <c r="S4" s="12" t="n">
        <v>11840.739</v>
      </c>
      <c r="T4" s="12" t="n">
        <v>10528.5</v>
      </c>
      <c r="U4" s="12" t="n">
        <v>10800.257</v>
      </c>
      <c r="V4" s="12" t="n">
        <v>9779.099</v>
      </c>
      <c r="W4" s="12" t="n">
        <v>12655.184</v>
      </c>
      <c r="X4" s="12" t="n">
        <v>17547.778</v>
      </c>
      <c r="Y4" s="11">
        <f>IF(COUNT(Y7,Y10,Y13,Y16)=0,"",SUM(Y7,Y10,Y13,Y16))</f>
        <v/>
      </c>
      <c r="Z4" s="12">
        <f>IF(COUNT(Z7,Z10,Z13,Z16)=0,"",SUM(Z7,Z10,Z13,Z16))</f>
        <v/>
      </c>
      <c r="AA4" s="12">
        <f>IF(COUNT(AA7,AA10,AA13,AA16)=0,"",SUM(AA7,AA10,AA13,AA16))</f>
        <v/>
      </c>
      <c r="AB4" s="12">
        <f>IF(COUNT(AB7,AB10,AB13,AB16)=0,"",SUM(AB7,AB10,AB13,AB16))</f>
        <v/>
      </c>
      <c r="AC4" s="12">
        <f>IF(COUNT(AC7,AC10,AC13,AC16)=0,"",SUM(AC7,AC10,AC13,AC16))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부문</t>
        </is>
      </c>
      <c r="B7" s="10" t="n"/>
      <c r="C7" s="19" t="n"/>
      <c r="D7" s="20" t="n"/>
      <c r="E7" s="20" t="n"/>
      <c r="F7" s="20" t="n">
        <v>2034.614</v>
      </c>
      <c r="G7" s="20" t="n"/>
      <c r="H7" s="20" t="n"/>
      <c r="I7" s="20" t="n"/>
      <c r="J7" s="20" t="n">
        <v>4322.859</v>
      </c>
      <c r="K7" s="20" t="n"/>
      <c r="L7" s="20" t="n"/>
      <c r="M7" s="20" t="n"/>
      <c r="N7" s="20" t="n">
        <v>4145.254</v>
      </c>
      <c r="O7" s="19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부문</t>
        </is>
      </c>
      <c r="B10" s="10" t="n"/>
      <c r="C10" s="19" t="n">
        <v>42.297</v>
      </c>
      <c r="D10" s="20" t="n"/>
      <c r="E10" s="20" t="n"/>
      <c r="F10" s="20" t="n">
        <v>88.006</v>
      </c>
      <c r="G10" s="20" t="n">
        <v>133.601</v>
      </c>
      <c r="H10" s="20" t="n"/>
      <c r="I10" s="20" t="n"/>
      <c r="J10" s="20" t="n">
        <v>144.054</v>
      </c>
      <c r="K10" s="20" t="n">
        <v>163.91</v>
      </c>
      <c r="L10" s="20" t="n"/>
      <c r="M10" s="20" t="n"/>
      <c r="N10" s="20" t="n">
        <v>209.893</v>
      </c>
      <c r="O10" s="19" t="n"/>
      <c r="P10" s="20" t="n"/>
      <c r="Q10" s="20" t="n"/>
      <c r="R10" s="20" t="n"/>
      <c r="S10" s="20" t="n"/>
      <c r="T10" s="20" t="n"/>
      <c r="U10" s="20" t="n"/>
      <c r="V10" s="20" t="n">
        <v>429.917</v>
      </c>
      <c r="W10" s="20" t="n">
        <v>734.476</v>
      </c>
      <c r="X10" s="20" t="n">
        <v>760.647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부문</t>
        </is>
      </c>
      <c r="B13" s="10" t="n"/>
      <c r="C13" s="19" t="n"/>
      <c r="D13" s="20" t="n">
        <v>2328.336</v>
      </c>
      <c r="E13" s="20" t="n">
        <v>2048.933</v>
      </c>
      <c r="F13" s="20" t="n"/>
      <c r="G13" s="20" t="n"/>
      <c r="H13" s="20" t="n">
        <v>3879.682</v>
      </c>
      <c r="I13" s="20" t="n">
        <v>4247.927</v>
      </c>
      <c r="J13" s="20" t="n"/>
      <c r="K13" s="20" t="n"/>
      <c r="L13" s="20" t="n">
        <v>4876.762</v>
      </c>
      <c r="M13" s="20" t="n">
        <v>3982.482</v>
      </c>
      <c r="N13" s="20" t="n"/>
      <c r="O13" s="19" t="n"/>
      <c r="P13" s="20" t="n"/>
      <c r="Q13" s="20" t="n"/>
      <c r="R13" s="20" t="n"/>
      <c r="S13" s="20" t="n"/>
      <c r="T13" s="20" t="n"/>
      <c r="U13" s="20" t="n"/>
      <c r="V13" s="20" t="n">
        <v>9349.181</v>
      </c>
      <c r="W13" s="20" t="n">
        <v>11924.24</v>
      </c>
      <c r="X13" s="20" t="n">
        <v>16796.577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부문</t>
        </is>
      </c>
      <c r="B16" s="10" t="n"/>
      <c r="C16" s="19" t="n"/>
      <c r="D16" s="20" t="n"/>
      <c r="E16" s="20" t="n"/>
      <c r="F16" s="20" t="n"/>
      <c r="G16" s="20" t="n"/>
      <c r="H16" s="20" t="n"/>
      <c r="I16" s="20" t="n"/>
      <c r="J16" s="20" t="n"/>
      <c r="K16" s="20" t="n"/>
      <c r="L16" s="20" t="n"/>
      <c r="M16" s="20" t="n"/>
      <c r="N16" s="20" t="n"/>
      <c r="O16" s="19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6" t="inlineStr">
        <is>
          <t>매출원가</t>
        </is>
      </c>
      <c r="B19" s="16" t="n"/>
      <c r="C19" s="17" t="n"/>
      <c r="D19" s="16" t="n"/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7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7" t="n"/>
      <c r="Z19" s="16" t="n"/>
      <c r="AA19" s="16" t="n"/>
      <c r="AB19" s="16" t="n"/>
      <c r="AC19" s="16" t="n"/>
    </row>
    <row r="20">
      <c r="A20" s="18" t="inlineStr">
        <is>
          <t>전체 매출원가</t>
        </is>
      </c>
      <c r="B20" s="10" t="n"/>
      <c r="C20" s="19" t="n">
        <v>1599.765</v>
      </c>
      <c r="D20" s="20" t="n">
        <v>1677.428</v>
      </c>
      <c r="E20" s="20" t="n">
        <v>1434.532</v>
      </c>
      <c r="F20" s="20" t="n">
        <v>1498.695</v>
      </c>
      <c r="G20" s="20" t="n">
        <v>1560.56</v>
      </c>
      <c r="H20" s="20" t="n">
        <v>2902.928</v>
      </c>
      <c r="I20" s="20" t="n">
        <v>3215.531</v>
      </c>
      <c r="J20" s="20" t="n">
        <v>3185.395</v>
      </c>
      <c r="K20" s="20" t="n">
        <v>2847.659</v>
      </c>
      <c r="L20" s="20" t="n">
        <v>3216.033</v>
      </c>
      <c r="M20" s="20" t="n">
        <v>2868.859</v>
      </c>
      <c r="N20" s="20" t="n">
        <v>2774.992</v>
      </c>
      <c r="O20" s="19" t="n">
        <v>5332.72</v>
      </c>
      <c r="P20" s="20" t="n">
        <v>10096.962</v>
      </c>
      <c r="Q20" s="20" t="n">
        <v>9286.312</v>
      </c>
      <c r="R20" s="20" t="n">
        <v>7957.907</v>
      </c>
      <c r="S20" s="20" t="n">
        <v>7843.744</v>
      </c>
      <c r="T20" s="20" t="n">
        <v>6731.898</v>
      </c>
      <c r="U20" s="20" t="n">
        <v>6242.019</v>
      </c>
      <c r="V20" s="20" t="n">
        <v>6374.197</v>
      </c>
      <c r="W20" s="20" t="n">
        <v>9177.714</v>
      </c>
      <c r="X20" s="20" t="n">
        <v>12117.946</v>
      </c>
      <c r="Y20" s="19" t="n"/>
      <c r="Z20" s="20" t="n"/>
      <c r="AA20" s="20" t="n"/>
      <c r="AB20" s="20" t="n"/>
      <c r="AC20" s="20" t="n"/>
    </row>
    <row r="21">
      <c r="A21" s="18" t="inlineStr">
        <is>
          <t>매출총이익</t>
        </is>
      </c>
      <c r="B21" s="10" t="n"/>
      <c r="C21" s="19">
        <f>IF(OR(C4="",C20=""),"",IFERROR(C4-C20,""))</f>
        <v/>
      </c>
      <c r="D21" s="20">
        <f>IF(OR(D4="",D20=""),"",IFERROR(D4-D20,""))</f>
        <v/>
      </c>
      <c r="E21" s="20">
        <f>IF(OR(E4="",E20=""),"",IFERROR(E4-E20,""))</f>
        <v/>
      </c>
      <c r="F21" s="20">
        <f>IF(OR(F4="",F20=""),"",IFERROR(F4-F20,""))</f>
        <v/>
      </c>
      <c r="G21" s="20">
        <f>IF(OR(G4="",G20=""),"",IFERROR(G4-G20,""))</f>
        <v/>
      </c>
      <c r="H21" s="20">
        <f>IF(OR(H4="",H20=""),"",IFERROR(H4-H20,""))</f>
        <v/>
      </c>
      <c r="I21" s="20">
        <f>IF(OR(I4="",I20=""),"",IFERROR(I4-I20,""))</f>
        <v/>
      </c>
      <c r="J21" s="20">
        <f>IF(OR(J4="",J20=""),"",IFERROR(J4-J20,""))</f>
        <v/>
      </c>
      <c r="K21" s="20">
        <f>IF(OR(K4="",K20=""),"",IFERROR(K4-K20,""))</f>
        <v/>
      </c>
      <c r="L21" s="20">
        <f>IF(OR(L4="",L20=""),"",IFERROR(L4-L20,""))</f>
        <v/>
      </c>
      <c r="M21" s="20">
        <f>IF(OR(M4="",M20=""),"",IFERROR(M4-M20,""))</f>
        <v/>
      </c>
      <c r="N21" s="20">
        <f>IF(OR(N4="",N20=""),"",IFERROR(N4-N20,""))</f>
        <v/>
      </c>
      <c r="O21" s="19">
        <f>IF(OR(O4="",O20=""),"",IFERROR(O4-O20,""))</f>
        <v/>
      </c>
      <c r="P21" s="20">
        <f>IF(OR(P4="",P20=""),"",IFERROR(P4-P20,""))</f>
        <v/>
      </c>
      <c r="Q21" s="20">
        <f>IF(OR(Q4="",Q20=""),"",IFERROR(Q4-Q20,""))</f>
        <v/>
      </c>
      <c r="R21" s="20">
        <f>IF(OR(R4="",R20=""),"",IFERROR(R4-R20,""))</f>
        <v/>
      </c>
      <c r="S21" s="20">
        <f>IF(OR(S4="",S20=""),"",IFERROR(S4-S20,""))</f>
        <v/>
      </c>
      <c r="T21" s="20">
        <f>IF(OR(T4="",T20=""),"",IFERROR(T4-T20,""))</f>
        <v/>
      </c>
      <c r="U21" s="20">
        <f>IF(OR(U4="",U20=""),"",IFERROR(U4-U20,""))</f>
        <v/>
      </c>
      <c r="V21" s="20">
        <f>IF(OR(V4="",V20=""),"",IFERROR(V4-V20,""))</f>
        <v/>
      </c>
      <c r="W21" s="20">
        <f>IF(OR(W4="",W20=""),"",IFERROR(W4-W20,""))</f>
        <v/>
      </c>
      <c r="X21" s="20">
        <f>IF(OR(X4="",X20=""),"",IFERROR(X4-X20,""))</f>
        <v/>
      </c>
      <c r="Y21" s="19" t="n"/>
      <c r="Z21" s="20" t="n"/>
      <c r="AA21" s="20" t="n"/>
      <c r="AB21" s="20" t="n"/>
      <c r="AC21" s="20" t="n"/>
    </row>
    <row r="22">
      <c r="A22" s="13" t="inlineStr">
        <is>
          <t>GPM</t>
        </is>
      </c>
      <c r="B22" s="10" t="n"/>
      <c r="C22" s="14">
        <f>IF(OR(C21="",C4=""),"",IFERROR(C21/C4,""))</f>
        <v/>
      </c>
      <c r="D22" s="15">
        <f>IF(OR(D21="",D4=""),"",IFERROR(D21/D4,""))</f>
        <v/>
      </c>
      <c r="E22" s="15">
        <f>IF(OR(E21="",E4=""),"",IFERROR(E21/E4,""))</f>
        <v/>
      </c>
      <c r="F22" s="15">
        <f>IF(OR(F21="",F4=""),"",IFERROR(F21/F4,""))</f>
        <v/>
      </c>
      <c r="G22" s="15">
        <f>IF(OR(G21="",G4=""),"",IFERROR(G21/G4,""))</f>
        <v/>
      </c>
      <c r="H22" s="15">
        <f>IF(OR(H21="",H4=""),"",IFERROR(H21/H4,""))</f>
        <v/>
      </c>
      <c r="I22" s="15">
        <f>IF(OR(I21="",I4=""),"",IFERROR(I21/I4,""))</f>
        <v/>
      </c>
      <c r="J22" s="15">
        <f>IF(OR(J21="",J4=""),"",IFERROR(J21/J4,""))</f>
        <v/>
      </c>
      <c r="K22" s="15">
        <f>IF(OR(K21="",K4=""),"",IFERROR(K21/K4,""))</f>
        <v/>
      </c>
      <c r="L22" s="15">
        <f>IF(OR(L21="",L4=""),"",IFERROR(L21/L4,""))</f>
        <v/>
      </c>
      <c r="M22" s="15">
        <f>IF(OR(M21="",M4=""),"",IFERROR(M21/M4,""))</f>
        <v/>
      </c>
      <c r="N22" s="15">
        <f>IF(OR(N21="",N4=""),"",IFERROR(N21/N4,""))</f>
        <v/>
      </c>
      <c r="O22" s="14">
        <f>IF(OR(O21="",O4=""),"",IFERROR(O21/O4,""))</f>
        <v/>
      </c>
      <c r="P22" s="15">
        <f>IF(OR(P21="",P4=""),"",IFERROR(P21/P4,""))</f>
        <v/>
      </c>
      <c r="Q22" s="15">
        <f>IF(OR(Q21="",Q4=""),"",IFERROR(Q21/Q4,""))</f>
        <v/>
      </c>
      <c r="R22" s="15">
        <f>IF(OR(R21="",R4=""),"",IFERROR(R21/R4,""))</f>
        <v/>
      </c>
      <c r="S22" s="15">
        <f>IF(OR(S21="",S4=""),"",IFERROR(S21/S4,""))</f>
        <v/>
      </c>
      <c r="T22" s="15">
        <f>IF(OR(T21="",T4=""),"",IFERROR(T21/T4,""))</f>
        <v/>
      </c>
      <c r="U22" s="15">
        <f>IF(OR(U21="",U4=""),"",IFERROR(U21/U4,""))</f>
        <v/>
      </c>
      <c r="V22" s="15">
        <f>IF(OR(V21="",V4=""),"",IFERROR(V21/V4,""))</f>
        <v/>
      </c>
      <c r="W22" s="15">
        <f>IF(OR(W21="",W4=""),"",IFERROR(W21/W4,""))</f>
        <v/>
      </c>
      <c r="X22" s="15">
        <f>IF(OR(X21="",X4=""),"",IFERROR(X21/X4,""))</f>
        <v/>
      </c>
      <c r="Y22" s="14">
        <f>IF(OR(Y21="",Y4=""),"",IFERROR(Y21/Y4,""))</f>
        <v/>
      </c>
      <c r="Z22" s="15">
        <f>IF(OR(Z21="",Z4=""),"",IFERROR(Z21/Z4,""))</f>
        <v/>
      </c>
      <c r="AA22" s="15">
        <f>IF(OR(AA21="",AA4=""),"",IFERROR(AA21/AA4,""))</f>
        <v/>
      </c>
      <c r="AB22" s="15">
        <f>IF(OR(AB21="",AB4=""),"",IFERROR(AB21/AB4,""))</f>
        <v/>
      </c>
      <c r="AC22" s="15">
        <f>IF(OR(AC21="",AC4=""),"",IFERROR(AC21/AC4,""))</f>
        <v/>
      </c>
    </row>
    <row r="23">
      <c r="A23" s="23" t="inlineStr">
        <is>
          <t>판매관리비</t>
        </is>
      </c>
      <c r="B23" s="23" t="n"/>
      <c r="C23" s="24" t="n"/>
      <c r="D23" s="23" t="n"/>
      <c r="E23" s="23" t="n"/>
      <c r="F23" s="23" t="n"/>
      <c r="G23" s="23" t="n"/>
      <c r="H23" s="23" t="n"/>
      <c r="I23" s="23" t="n"/>
      <c r="J23" s="23" t="n"/>
      <c r="K23" s="23" t="n"/>
      <c r="L23" s="23" t="n"/>
      <c r="M23" s="23" t="n"/>
      <c r="N23" s="23" t="n"/>
      <c r="O23" s="24" t="n"/>
      <c r="P23" s="23" t="n"/>
      <c r="Q23" s="23" t="n"/>
      <c r="R23" s="23" t="n"/>
      <c r="S23" s="23" t="n"/>
      <c r="T23" s="23" t="n"/>
      <c r="U23" s="23" t="n"/>
      <c r="V23" s="23" t="n"/>
      <c r="W23" s="23" t="n"/>
      <c r="X23" s="23" t="n"/>
      <c r="Y23" s="24" t="n"/>
      <c r="Z23" s="23" t="n"/>
      <c r="AA23" s="23" t="n"/>
      <c r="AB23" s="23" t="n"/>
      <c r="AC23" s="23" t="n"/>
    </row>
    <row r="24">
      <c r="A24" s="18" t="inlineStr">
        <is>
          <t>전체 판관비</t>
        </is>
      </c>
      <c r="B24" s="10" t="n"/>
      <c r="C24" s="19" t="n">
        <v>681.782</v>
      </c>
      <c r="D24" s="20" t="n">
        <v>551.5410000000001</v>
      </c>
      <c r="E24" s="20" t="n">
        <v>593.302</v>
      </c>
      <c r="F24" s="20" t="n">
        <v>691.712</v>
      </c>
      <c r="G24" s="20" t="n">
        <v>582.278</v>
      </c>
      <c r="H24" s="20" t="n">
        <v>991.54</v>
      </c>
      <c r="I24" s="20" t="n">
        <v>1099.931</v>
      </c>
      <c r="J24" s="20" t="n">
        <v>1363.241</v>
      </c>
      <c r="K24" s="20" t="n">
        <v>1417.184</v>
      </c>
      <c r="L24" s="20" t="n">
        <v>1174.899</v>
      </c>
      <c r="M24" s="20" t="n">
        <v>1065.79</v>
      </c>
      <c r="N24" s="20" t="n">
        <v>1057.292</v>
      </c>
      <c r="O24" s="19" t="n">
        <v>2123.66</v>
      </c>
      <c r="P24" s="20" t="n">
        <v>2905.083</v>
      </c>
      <c r="Q24" s="20" t="n">
        <v>2011.545</v>
      </c>
      <c r="R24" s="20" t="n">
        <v>1575.186</v>
      </c>
      <c r="S24" s="20" t="n">
        <v>1944.128</v>
      </c>
      <c r="T24" s="20" t="n">
        <v>2205.491</v>
      </c>
      <c r="U24" s="20" t="n">
        <v>2276.882</v>
      </c>
      <c r="V24" s="20" t="n">
        <v>2501.863</v>
      </c>
      <c r="W24" s="20" t="n">
        <v>3365.461</v>
      </c>
      <c r="X24" s="20" t="n">
        <v>5021.114</v>
      </c>
      <c r="Y24" s="19" t="n"/>
      <c r="Z24" s="20" t="n"/>
      <c r="AA24" s="20" t="n"/>
      <c r="AB24" s="20" t="n"/>
      <c r="AC24" s="20" t="n"/>
    </row>
    <row r="25">
      <c r="A25" s="9" t="inlineStr">
        <is>
          <t>영업이익</t>
        </is>
      </c>
      <c r="B25" s="10" t="inlineStr">
        <is>
          <t>MW = 매출 × OPM</t>
        </is>
      </c>
      <c r="C25" s="11" t="n">
        <v>463.793</v>
      </c>
      <c r="D25" s="12" t="n">
        <v>317.119</v>
      </c>
      <c r="E25" s="12" t="n">
        <v>113.639</v>
      </c>
      <c r="F25" s="12" t="n">
        <v>-67.786</v>
      </c>
      <c r="G25" s="12" t="n">
        <v>-247.387</v>
      </c>
      <c r="H25" s="12" t="n">
        <v>288.181</v>
      </c>
      <c r="I25" s="12" t="n">
        <v>139</v>
      </c>
      <c r="J25" s="12" t="n">
        <v>-81.723</v>
      </c>
      <c r="K25" s="12" t="n">
        <v>-493.116</v>
      </c>
      <c r="L25" s="12" t="n">
        <v>671.723</v>
      </c>
      <c r="M25" s="12" t="n">
        <v>311.833</v>
      </c>
      <c r="N25" s="12" t="n">
        <v>522.862</v>
      </c>
      <c r="O25" s="11" t="n">
        <v>932.121</v>
      </c>
      <c r="P25" s="12" t="n">
        <v>190.589</v>
      </c>
      <c r="Q25" s="12" t="n">
        <v>-577.458</v>
      </c>
      <c r="R25" s="12" t="n">
        <v>617.072</v>
      </c>
      <c r="S25" s="12" t="n">
        <v>2052.865</v>
      </c>
      <c r="T25" s="12" t="n">
        <v>1591.111</v>
      </c>
      <c r="U25" s="12" t="n">
        <v>2281.354</v>
      </c>
      <c r="V25" s="12" t="n">
        <v>903.038</v>
      </c>
      <c r="W25" s="12" t="n">
        <v>112.008</v>
      </c>
      <c r="X25" s="12" t="n">
        <v>408.717</v>
      </c>
      <c r="Y25" s="11">
        <f>IF(OR(Y4="",Y26=""),"",IFERROR(Y4*Y26,""))</f>
        <v/>
      </c>
      <c r="Z25" s="12">
        <f>IF(OR(Z4="",Z26=""),"",IFERROR(Z4*Z26,""))</f>
        <v/>
      </c>
      <c r="AA25" s="12">
        <f>IF(OR(AA4="",AA26=""),"",IFERROR(AA4*AA26,""))</f>
        <v/>
      </c>
      <c r="AB25" s="12">
        <f>IF(OR(AB4="",AB26=""),"",IFERROR(AB4*AB26,""))</f>
        <v/>
      </c>
      <c r="AC25" s="12">
        <f>IF(OR(AC4="",AC26=""),"",IFERROR(AC4*AC26,""))</f>
        <v/>
      </c>
    </row>
    <row r="26">
      <c r="A26" s="13" t="inlineStr">
        <is>
          <t>OPM</t>
        </is>
      </c>
      <c r="B26" s="10" t="inlineStr">
        <is>
          <t>MW 입력</t>
        </is>
      </c>
      <c r="C26" s="14">
        <f>IF(OR(C25="",C4=""),"",IFERROR(C25/C4,""))</f>
        <v/>
      </c>
      <c r="D26" s="15">
        <f>IF(OR(D25="",D4=""),"",IFERROR(D25/D4,""))</f>
        <v/>
      </c>
      <c r="E26" s="15">
        <f>IF(OR(E25="",E4=""),"",IFERROR(E25/E4,""))</f>
        <v/>
      </c>
      <c r="F26" s="15">
        <f>IF(OR(F25="",F4=""),"",IFERROR(F25/F4,""))</f>
        <v/>
      </c>
      <c r="G26" s="15">
        <f>IF(OR(G25="",G4=""),"",IFERROR(G25/G4,""))</f>
        <v/>
      </c>
      <c r="H26" s="15">
        <f>IF(OR(H25="",H4=""),"",IFERROR(H25/H4,""))</f>
        <v/>
      </c>
      <c r="I26" s="15">
        <f>IF(OR(I25="",I4=""),"",IFERROR(I25/I4,""))</f>
        <v/>
      </c>
      <c r="J26" s="15">
        <f>IF(OR(J25="",J4=""),"",IFERROR(J25/J4,""))</f>
        <v/>
      </c>
      <c r="K26" s="15">
        <f>IF(OR(K25="",K4=""),"",IFERROR(K25/K4,""))</f>
        <v/>
      </c>
      <c r="L26" s="15">
        <f>IF(OR(L25="",L4=""),"",IFERROR(L25/L4,""))</f>
        <v/>
      </c>
      <c r="M26" s="15">
        <f>IF(OR(M25="",M4=""),"",IFERROR(M25/M4,""))</f>
        <v/>
      </c>
      <c r="N26" s="15">
        <f>IF(OR(N25="",N4=""),"",IFERROR(N25/N4,""))</f>
        <v/>
      </c>
      <c r="O26" s="14">
        <f>IF(OR(O25="",O4=""),"",IFERROR(O25/O4,""))</f>
        <v/>
      </c>
      <c r="P26" s="15">
        <f>IF(OR(P25="",P4=""),"",IFERROR(P25/P4,""))</f>
        <v/>
      </c>
      <c r="Q26" s="15">
        <f>IF(OR(Q25="",Q4=""),"",IFERROR(Q25/Q4,""))</f>
        <v/>
      </c>
      <c r="R26" s="15">
        <f>IF(OR(R25="",R4=""),"",IFERROR(R25/R4,""))</f>
        <v/>
      </c>
      <c r="S26" s="15">
        <f>IF(OR(S25="",S4=""),"",IFERROR(S25/S4,""))</f>
        <v/>
      </c>
      <c r="T26" s="15">
        <f>IF(OR(T25="",T4=""),"",IFERROR(T25/T4,""))</f>
        <v/>
      </c>
      <c r="U26" s="15">
        <f>IF(OR(U25="",U4=""),"",IFERROR(U25/U4,""))</f>
        <v/>
      </c>
      <c r="V26" s="15">
        <f>IF(OR(V25="",V4=""),"",IFERROR(V25/V4,""))</f>
        <v/>
      </c>
      <c r="W26" s="15">
        <f>IF(OR(W25="",W4=""),"",IFERROR(W25/W4,""))</f>
        <v/>
      </c>
      <c r="X26" s="15">
        <f>IF(OR(X25="",X4=""),"",IFERROR(X25/X4,""))</f>
        <v/>
      </c>
      <c r="Y26" s="25" t="n"/>
      <c r="Z26" s="26" t="n"/>
      <c r="AA26" s="26" t="n"/>
      <c r="AB26" s="26" t="n"/>
      <c r="AC26" s="26" t="n"/>
    </row>
    <row r="27">
      <c r="A27" s="13" t="inlineStr">
        <is>
          <t>증가율</t>
        </is>
      </c>
      <c r="B27" s="10" t="n"/>
      <c r="C27" s="14" t="n"/>
      <c r="D27" s="15" t="n"/>
      <c r="E27" s="15" t="n"/>
      <c r="F27" s="15" t="n"/>
      <c r="G27" s="15">
        <f>IF(OR(G25="",C25=""),"",IFERROR(G25/C25-1,""))</f>
        <v/>
      </c>
      <c r="H27" s="15">
        <f>IF(OR(H25="",D25=""),"",IFERROR(H25/D25-1,""))</f>
        <v/>
      </c>
      <c r="I27" s="15">
        <f>IF(OR(I25="",E25=""),"",IFERROR(I25/E25-1,""))</f>
        <v/>
      </c>
      <c r="J27" s="15">
        <f>IF(OR(J25="",F25=""),"",IFERROR(J25/F25-1,""))</f>
        <v/>
      </c>
      <c r="K27" s="15">
        <f>IF(OR(K25="",G25=""),"",IFERROR(K25/G25-1,""))</f>
        <v/>
      </c>
      <c r="L27" s="15">
        <f>IF(OR(L25="",H25=""),"",IFERROR(L25/H25-1,""))</f>
        <v/>
      </c>
      <c r="M27" s="15">
        <f>IF(OR(M25="",I25=""),"",IFERROR(M25/I25-1,""))</f>
        <v/>
      </c>
      <c r="N27" s="15">
        <f>IF(OR(N25="",J25=""),"",IFERROR(N25/J25-1,""))</f>
        <v/>
      </c>
      <c r="O27" s="14" t="n"/>
      <c r="P27" s="15">
        <f>IF(OR(P25="",O25=""),"",IFERROR(P25/O25-1,""))</f>
        <v/>
      </c>
      <c r="Q27" s="15">
        <f>IF(OR(Q25="",P25=""),"",IFERROR(Q25/P25-1,""))</f>
        <v/>
      </c>
      <c r="R27" s="15">
        <f>IF(OR(R25="",Q25=""),"",IFERROR(R25/Q25-1,""))</f>
        <v/>
      </c>
      <c r="S27" s="15">
        <f>IF(OR(S25="",R25=""),"",IFERROR(S25/R25-1,""))</f>
        <v/>
      </c>
      <c r="T27" s="15">
        <f>IF(OR(T25="",S25=""),"",IFERROR(T25/S25-1,""))</f>
        <v/>
      </c>
      <c r="U27" s="15">
        <f>IF(OR(U25="",T25=""),"",IFERROR(U25/T25-1,""))</f>
        <v/>
      </c>
      <c r="V27" s="15">
        <f>IF(OR(V25="",U25=""),"",IFERROR(V25/U25-1,""))</f>
        <v/>
      </c>
      <c r="W27" s="15">
        <f>IF(OR(W25="",V25=""),"",IFERROR(W25/V25-1,""))</f>
        <v/>
      </c>
      <c r="X27" s="15">
        <f>IF(OR(X25="",W25=""),"",IFERROR(X25/W25-1,""))</f>
        <v/>
      </c>
      <c r="Y27" s="14">
        <f>IF(OR(Y25="",X25=""),"",IFERROR(Y25/X25-1,""))</f>
        <v/>
      </c>
      <c r="Z27" s="15">
        <f>IF(OR(Z25="",Y25=""),"",IFERROR(Z25/Y25-1,""))</f>
        <v/>
      </c>
      <c r="AA27" s="15">
        <f>IF(OR(AA25="",Z25=""),"",IFERROR(AA25/Z25-1,""))</f>
        <v/>
      </c>
      <c r="AB27" s="15">
        <f>IF(OR(AB25="",AA25=""),"",IFERROR(AB25/AA25-1,""))</f>
        <v/>
      </c>
      <c r="AC27" s="15">
        <f>IF(OR(AC25="",AB25=""),"",IFERROR(AC25/AB25-1,""))</f>
        <v/>
      </c>
    </row>
    <row r="28">
      <c r="A28" s="16" t="inlineStr">
        <is>
          <t>비용의 성격별 분류</t>
        </is>
      </c>
      <c r="B28" s="16" t="inlineStr">
        <is>
          <t>참고 데이터</t>
        </is>
      </c>
      <c r="C28" s="17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7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7" t="n"/>
      <c r="Z28" s="16" t="n"/>
      <c r="AA28" s="16" t="n"/>
      <c r="AB28" s="16" t="n"/>
      <c r="AC28" s="16" t="n"/>
    </row>
    <row r="29">
      <c r="A29" s="9" t="inlineStr">
        <is>
          <t>총 판관비</t>
        </is>
      </c>
      <c r="B29" s="10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1">
        <f>IF(O24="","",O24)</f>
        <v/>
      </c>
      <c r="P29" s="12">
        <f>IF(P24="","",P24)</f>
        <v/>
      </c>
      <c r="Q29" s="12">
        <f>IF(Q24="","",Q24)</f>
        <v/>
      </c>
      <c r="R29" s="12">
        <f>IF(R24="","",R24)</f>
        <v/>
      </c>
      <c r="S29" s="12">
        <f>IF(S24="","",S24)</f>
        <v/>
      </c>
      <c r="T29" s="12">
        <f>IF(T24="","",T24)</f>
        <v/>
      </c>
      <c r="U29" s="12">
        <f>IF(U24="","",U24)</f>
        <v/>
      </c>
      <c r="V29" s="12">
        <f>IF(V24="","",V24)</f>
        <v/>
      </c>
      <c r="W29" s="12">
        <f>IF(W24="","",W24)</f>
        <v/>
      </c>
      <c r="X29" s="12">
        <f>IF(X24="","",X24)</f>
        <v/>
      </c>
      <c r="Y29" s="11" t="n"/>
      <c r="Z29" s="12" t="n"/>
      <c r="AA29" s="12" t="n"/>
      <c r="AB29" s="12" t="n"/>
      <c r="AC29" s="12" t="n"/>
    </row>
    <row r="30">
      <c r="A30" s="18" t="inlineStr">
        <is>
          <t>급여</t>
        </is>
      </c>
      <c r="B30" s="10" t="inlineStr">
        <is>
          <t>고정비</t>
        </is>
      </c>
      <c r="C30" s="19" t="n"/>
      <c r="D30" s="20" t="n"/>
      <c r="E30" s="20" t="n"/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19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19" t="n"/>
      <c r="Z30" s="20" t="n"/>
      <c r="AA30" s="20" t="n"/>
      <c r="AB30" s="20" t="n"/>
      <c r="AC30" s="20" t="n"/>
    </row>
    <row r="31">
      <c r="A31" s="13" t="inlineStr">
        <is>
          <t>% of Sales</t>
        </is>
      </c>
      <c r="B31" s="10" t="n"/>
      <c r="C31" s="14" t="n"/>
      <c r="D31" s="15" t="n"/>
      <c r="E31" s="15" t="n"/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4">
        <f>IF(OR(O30="",O4=""),"",IFERROR(O30/O4,""))</f>
        <v/>
      </c>
      <c r="P31" s="15">
        <f>IF(OR(P30="",P4=""),"",IFERROR(P30/P4,""))</f>
        <v/>
      </c>
      <c r="Q31" s="15">
        <f>IF(OR(Q30="",Q4=""),"",IFERROR(Q30/Q4,""))</f>
        <v/>
      </c>
      <c r="R31" s="15">
        <f>IF(OR(R30="",R4=""),"",IFERROR(R30/R4,""))</f>
        <v/>
      </c>
      <c r="S31" s="15">
        <f>IF(OR(S30="",S4=""),"",IFERROR(S30/S4,""))</f>
        <v/>
      </c>
      <c r="T31" s="15">
        <f>IF(OR(T30="",T4=""),"",IFERROR(T30/T4,""))</f>
        <v/>
      </c>
      <c r="U31" s="15">
        <f>IF(OR(U30="",U4=""),"",IFERROR(U30/U4,""))</f>
        <v/>
      </c>
      <c r="V31" s="15">
        <f>IF(OR(V30="",V4=""),"",IFERROR(V30/V4,""))</f>
        <v/>
      </c>
      <c r="W31" s="15">
        <f>IF(OR(W30="",W4=""),"",IFERROR(W30/W4,""))</f>
        <v/>
      </c>
      <c r="X31" s="15">
        <f>IF(OR(X30="",X4=""),"",IFERROR(X30/X4,""))</f>
        <v/>
      </c>
      <c r="Y31" s="14" t="n"/>
      <c r="Z31" s="15" t="n"/>
      <c r="AA31" s="15" t="n"/>
      <c r="AB31" s="15" t="n"/>
      <c r="AC31" s="15" t="n"/>
    </row>
    <row r="32">
      <c r="A32" s="18" t="inlineStr">
        <is>
          <t>감가상각비</t>
        </is>
      </c>
      <c r="B32" s="10" t="inlineStr">
        <is>
          <t>고정비</t>
        </is>
      </c>
      <c r="C32" s="19" t="n"/>
      <c r="D32" s="20" t="n"/>
      <c r="E32" s="20" t="n"/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  <c r="O32" s="19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19" t="n"/>
      <c r="Z32" s="20" t="n"/>
      <c r="AA32" s="20" t="n"/>
      <c r="AB32" s="20" t="n"/>
      <c r="AC32" s="20" t="n"/>
    </row>
    <row r="33">
      <c r="A33" s="13" t="inlineStr">
        <is>
          <t>% of Sales</t>
        </is>
      </c>
      <c r="B33" s="10" t="n"/>
      <c r="C33" s="14" t="n"/>
      <c r="D33" s="15" t="n"/>
      <c r="E33" s="15" t="n"/>
      <c r="F33" s="15" t="n"/>
      <c r="G33" s="15" t="n"/>
      <c r="H33" s="15" t="n"/>
      <c r="I33" s="15" t="n"/>
      <c r="J33" s="15" t="n"/>
      <c r="K33" s="15" t="n"/>
      <c r="L33" s="15" t="n"/>
      <c r="M33" s="15" t="n"/>
      <c r="N33" s="15" t="n"/>
      <c r="O33" s="14">
        <f>IF(OR(O32="",O4=""),"",IFERROR(O32/O4,""))</f>
        <v/>
      </c>
      <c r="P33" s="15">
        <f>IF(OR(P32="",P4=""),"",IFERROR(P32/P4,""))</f>
        <v/>
      </c>
      <c r="Q33" s="15">
        <f>IF(OR(Q32="",Q4=""),"",IFERROR(Q32/Q4,""))</f>
        <v/>
      </c>
      <c r="R33" s="15">
        <f>IF(OR(R32="",R4=""),"",IFERROR(R32/R4,""))</f>
        <v/>
      </c>
      <c r="S33" s="15">
        <f>IF(OR(S32="",S4=""),"",IFERROR(S32/S4,""))</f>
        <v/>
      </c>
      <c r="T33" s="15">
        <f>IF(OR(T32="",T4=""),"",IFERROR(T32/T4,""))</f>
        <v/>
      </c>
      <c r="U33" s="15">
        <f>IF(OR(U32="",U4=""),"",IFERROR(U32/U4,""))</f>
        <v/>
      </c>
      <c r="V33" s="15">
        <f>IF(OR(V32="",V4=""),"",IFERROR(V32/V4,""))</f>
        <v/>
      </c>
      <c r="W33" s="15">
        <f>IF(OR(W32="",W4=""),"",IFERROR(W32/W4,""))</f>
        <v/>
      </c>
      <c r="X33" s="15">
        <f>IF(OR(X32="",X4=""),"",IFERROR(X32/X4,""))</f>
        <v/>
      </c>
      <c r="Y33" s="14" t="n"/>
      <c r="Z33" s="15" t="n"/>
      <c r="AA33" s="15" t="n"/>
      <c r="AB33" s="15" t="n"/>
      <c r="AC33" s="15" t="n"/>
    </row>
    <row r="34">
      <c r="A34" s="18" t="inlineStr">
        <is>
          <t>지급수수료</t>
        </is>
      </c>
      <c r="B34" s="10" t="inlineStr">
        <is>
          <t>고정비</t>
        </is>
      </c>
      <c r="C34" s="19" t="n"/>
      <c r="D34" s="20" t="n"/>
      <c r="E34" s="20" t="n"/>
      <c r="F34" s="20" t="n"/>
      <c r="G34" s="20" t="n"/>
      <c r="H34" s="20" t="n"/>
      <c r="I34" s="20" t="n"/>
      <c r="J34" s="20" t="n"/>
      <c r="K34" s="20" t="n"/>
      <c r="L34" s="20" t="n"/>
      <c r="M34" s="20" t="n"/>
      <c r="N34" s="20" t="n"/>
      <c r="O34" s="19" t="n">
        <v>132.949</v>
      </c>
      <c r="P34" s="20" t="n">
        <v>112.459</v>
      </c>
      <c r="Q34" s="20" t="n">
        <v>103.777</v>
      </c>
      <c r="R34" s="20" t="n">
        <v>78.34999999999999</v>
      </c>
      <c r="S34" s="20" t="n">
        <v>103.697</v>
      </c>
      <c r="T34" s="20" t="n">
        <v>113.793</v>
      </c>
      <c r="U34" s="20" t="n">
        <v>120.582</v>
      </c>
      <c r="V34" s="20" t="n">
        <v>151.096</v>
      </c>
      <c r="W34" s="20" t="n">
        <v>165.902</v>
      </c>
      <c r="X34" s="20" t="n">
        <v>157.428</v>
      </c>
      <c r="Y34" s="19" t="n"/>
      <c r="Z34" s="20" t="n"/>
      <c r="AA34" s="20" t="n"/>
      <c r="AB34" s="20" t="n"/>
      <c r="AC34" s="20" t="n"/>
    </row>
    <row r="35">
      <c r="A35" s="13" t="inlineStr">
        <is>
          <t>% of Sales</t>
        </is>
      </c>
      <c r="B35" s="10" t="n"/>
      <c r="C35" s="14" t="n"/>
      <c r="D35" s="15" t="n"/>
      <c r="E35" s="15" t="n"/>
      <c r="F35" s="15" t="n"/>
      <c r="G35" s="15" t="n"/>
      <c r="H35" s="15" t="n"/>
      <c r="I35" s="15" t="n"/>
      <c r="J35" s="15" t="n"/>
      <c r="K35" s="15" t="n"/>
      <c r="L35" s="15" t="n"/>
      <c r="M35" s="15" t="n"/>
      <c r="N35" s="15" t="n"/>
      <c r="O35" s="14">
        <f>IF(OR(O34="",O4=""),"",IFERROR(O34/O4,""))</f>
        <v/>
      </c>
      <c r="P35" s="15">
        <f>IF(OR(P34="",P4=""),"",IFERROR(P34/P4,""))</f>
        <v/>
      </c>
      <c r="Q35" s="15">
        <f>IF(OR(Q34="",Q4=""),"",IFERROR(Q34/Q4,""))</f>
        <v/>
      </c>
      <c r="R35" s="15">
        <f>IF(OR(R34="",R4=""),"",IFERROR(R34/R4,""))</f>
        <v/>
      </c>
      <c r="S35" s="15">
        <f>IF(OR(S34="",S4=""),"",IFERROR(S34/S4,""))</f>
        <v/>
      </c>
      <c r="T35" s="15">
        <f>IF(OR(T34="",T4=""),"",IFERROR(T34/T4,""))</f>
        <v/>
      </c>
      <c r="U35" s="15">
        <f>IF(OR(U34="",U4=""),"",IFERROR(U34/U4,""))</f>
        <v/>
      </c>
      <c r="V35" s="15">
        <f>IF(OR(V34="",V4=""),"",IFERROR(V34/V4,""))</f>
        <v/>
      </c>
      <c r="W35" s="15">
        <f>IF(OR(W34="",W4=""),"",IFERROR(W34/W4,""))</f>
        <v/>
      </c>
      <c r="X35" s="15">
        <f>IF(OR(X34="",X4=""),"",IFERROR(X34/X4,""))</f>
        <v/>
      </c>
      <c r="Y35" s="14" t="n"/>
      <c r="Z35" s="15" t="n"/>
      <c r="AA35" s="15" t="n"/>
      <c r="AB35" s="15" t="n"/>
      <c r="AC35" s="15" t="n"/>
    </row>
    <row r="36">
      <c r="A36" s="18" t="inlineStr">
        <is>
          <t>연구개발비</t>
        </is>
      </c>
      <c r="B36" s="10" t="inlineStr">
        <is>
          <t>변동비</t>
        </is>
      </c>
      <c r="C36" s="19" t="n"/>
      <c r="D36" s="20" t="n"/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19" t="n">
        <v>215.259</v>
      </c>
      <c r="P36" s="20" t="n">
        <v>139.231</v>
      </c>
      <c r="Q36" s="20" t="n">
        <v>190.891</v>
      </c>
      <c r="R36" s="20" t="n">
        <v>165.785</v>
      </c>
      <c r="S36" s="20" t="n">
        <v>366.142</v>
      </c>
      <c r="T36" s="20" t="n">
        <v>345.24</v>
      </c>
      <c r="U36" s="20" t="n">
        <v>354.539</v>
      </c>
      <c r="V36" s="20" t="n">
        <v>396.002</v>
      </c>
      <c r="W36" s="20" t="n">
        <v>204.734</v>
      </c>
      <c r="X36" s="20" t="n">
        <v>90.908</v>
      </c>
      <c r="Y36" s="19" t="n"/>
      <c r="Z36" s="20" t="n"/>
      <c r="AA36" s="20" t="n"/>
      <c r="AB36" s="20" t="n"/>
      <c r="AC36" s="20" t="n"/>
    </row>
    <row r="37">
      <c r="A37" s="13" t="inlineStr">
        <is>
          <t>% of Sales</t>
        </is>
      </c>
      <c r="B37" s="10" t="n"/>
      <c r="C37" s="14" t="n"/>
      <c r="D37" s="15" t="n"/>
      <c r="E37" s="15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4">
        <f>IF(OR(O36="",O4=""),"",IFERROR(O36/O4,""))</f>
        <v/>
      </c>
      <c r="P37" s="15">
        <f>IF(OR(P36="",P4=""),"",IFERROR(P36/P4,""))</f>
        <v/>
      </c>
      <c r="Q37" s="15">
        <f>IF(OR(Q36="",Q4=""),"",IFERROR(Q36/Q4,""))</f>
        <v/>
      </c>
      <c r="R37" s="15">
        <f>IF(OR(R36="",R4=""),"",IFERROR(R36/R4,""))</f>
        <v/>
      </c>
      <c r="S37" s="15">
        <f>IF(OR(S36="",S4=""),"",IFERROR(S36/S4,""))</f>
        <v/>
      </c>
      <c r="T37" s="15">
        <f>IF(OR(T36="",T4=""),"",IFERROR(T36/T4,""))</f>
        <v/>
      </c>
      <c r="U37" s="15">
        <f>IF(OR(U36="",U4=""),"",IFERROR(U36/U4,""))</f>
        <v/>
      </c>
      <c r="V37" s="15">
        <f>IF(OR(V36="",V4=""),"",IFERROR(V36/V4,""))</f>
        <v/>
      </c>
      <c r="W37" s="15">
        <f>IF(OR(W36="",W4=""),"",IFERROR(W36/W4,""))</f>
        <v/>
      </c>
      <c r="X37" s="15">
        <f>IF(OR(X36="",X4=""),"",IFERROR(X36/X4,""))</f>
        <v/>
      </c>
      <c r="Y37" s="14" t="n"/>
      <c r="Z37" s="15" t="n"/>
      <c r="AA37" s="15" t="n"/>
      <c r="AB37" s="15" t="n"/>
      <c r="AC37" s="15" t="n"/>
    </row>
    <row r="38">
      <c r="A38" s="18" t="inlineStr">
        <is>
          <t>기타비용</t>
        </is>
      </c>
      <c r="B38" s="10" t="inlineStr">
        <is>
          <t>변동비</t>
        </is>
      </c>
      <c r="C38" s="19" t="n"/>
      <c r="D38" s="20" t="n"/>
      <c r="E38" s="20" t="n"/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19">
        <f>IF(OR(O29="",O30="",O32="",O34="",O36=""),"",IFERROR(O29-O30-O32-O34-O36,""))</f>
        <v/>
      </c>
      <c r="P38" s="20">
        <f>IF(OR(P29="",P30="",P32="",P34="",P36=""),"",IFERROR(P29-P30-P32-P34-P36,""))</f>
        <v/>
      </c>
      <c r="Q38" s="20">
        <f>IF(OR(Q29="",Q30="",Q32="",Q34="",Q36=""),"",IFERROR(Q29-Q30-Q32-Q34-Q36,""))</f>
        <v/>
      </c>
      <c r="R38" s="20">
        <f>IF(OR(R29="",R30="",R32="",R34="",R36=""),"",IFERROR(R29-R30-R32-R34-R36,""))</f>
        <v/>
      </c>
      <c r="S38" s="20">
        <f>IF(OR(S29="",S30="",S32="",S34="",S36=""),"",IFERROR(S29-S30-S32-S34-S36,""))</f>
        <v/>
      </c>
      <c r="T38" s="20">
        <f>IF(OR(T29="",T30="",T32="",T34="",T36=""),"",IFERROR(T29-T30-T32-T34-T36,""))</f>
        <v/>
      </c>
      <c r="U38" s="20">
        <f>IF(OR(U29="",U30="",U32="",U34="",U36=""),"",IFERROR(U29-U30-U32-U34-U36,""))</f>
        <v/>
      </c>
      <c r="V38" s="20">
        <f>IF(OR(V29="",V30="",V32="",V34="",V36=""),"",IFERROR(V29-V30-V32-V34-V36,""))</f>
        <v/>
      </c>
      <c r="W38" s="20">
        <f>IF(OR(W29="",W30="",W32="",W34="",W36=""),"",IFERROR(W29-W30-W32-W34-W36,""))</f>
        <v/>
      </c>
      <c r="X38" s="20">
        <f>IF(OR(X29="",X30="",X32="",X34="",X36=""),"",IFERROR(X29-X30-X32-X34-X36,""))</f>
        <v/>
      </c>
      <c r="Y38" s="19" t="n"/>
      <c r="Z38" s="20" t="n"/>
      <c r="AA38" s="20" t="n"/>
      <c r="AB38" s="20" t="n"/>
      <c r="AC38" s="20" t="n"/>
    </row>
    <row r="39">
      <c r="A39" s="13" t="inlineStr">
        <is>
          <t>% of Sales</t>
        </is>
      </c>
      <c r="B39" s="10" t="n"/>
      <c r="C39" s="14" t="n"/>
      <c r="D39" s="15" t="n"/>
      <c r="E39" s="15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4">
        <f>IF(OR(O38="",O4=""),"",IFERROR(O38/O4,""))</f>
        <v/>
      </c>
      <c r="P39" s="15">
        <f>IF(OR(P38="",P4=""),"",IFERROR(P38/P4,""))</f>
        <v/>
      </c>
      <c r="Q39" s="15">
        <f>IF(OR(Q38="",Q4=""),"",IFERROR(Q38/Q4,""))</f>
        <v/>
      </c>
      <c r="R39" s="15">
        <f>IF(OR(R38="",R4=""),"",IFERROR(R38/R4,""))</f>
        <v/>
      </c>
      <c r="S39" s="15">
        <f>IF(OR(S38="",S4=""),"",IFERROR(S38/S4,""))</f>
        <v/>
      </c>
      <c r="T39" s="15">
        <f>IF(OR(T38="",T4=""),"",IFERROR(T38/T4,""))</f>
        <v/>
      </c>
      <c r="U39" s="15">
        <f>IF(OR(U38="",U4=""),"",IFERROR(U38/U4,""))</f>
        <v/>
      </c>
      <c r="V39" s="15">
        <f>IF(OR(V38="",V4=""),"",IFERROR(V38/V4,""))</f>
        <v/>
      </c>
      <c r="W39" s="15">
        <f>IF(OR(W38="",W4=""),"",IFERROR(W38/W4,""))</f>
        <v/>
      </c>
      <c r="X39" s="15">
        <f>IF(OR(X38="",X4=""),"",IFERROR(X38/X4,""))</f>
        <v/>
      </c>
      <c r="Y39" s="14" t="n"/>
      <c r="Z39" s="15" t="n"/>
      <c r="AA39" s="15" t="n"/>
      <c r="AB39" s="15" t="n"/>
      <c r="AC39" s="15" t="n"/>
    </row>
    <row r="40">
      <c r="A40" s="16" t="inlineStr">
        <is>
          <t>당기순이익 추정</t>
        </is>
      </c>
      <c r="B40" s="16" t="n"/>
      <c r="C40" s="17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7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7" t="n"/>
      <c r="Z40" s="16" t="n"/>
      <c r="AA40" s="16" t="n"/>
      <c r="AB40" s="16" t="n"/>
      <c r="AC40" s="16" t="n"/>
    </row>
    <row r="41">
      <c r="A41" s="18" t="inlineStr">
        <is>
          <t>특별이익</t>
        </is>
      </c>
      <c r="B41" s="10" t="n"/>
      <c r="C41" s="19" t="n"/>
      <c r="D41" s="20" t="n"/>
      <c r="E41" s="20" t="n"/>
      <c r="F41" s="20" t="n"/>
      <c r="G41" s="20" t="n"/>
      <c r="H41" s="20" t="n"/>
      <c r="I41" s="20" t="n">
        <v>0</v>
      </c>
      <c r="J41" s="20" t="n"/>
      <c r="K41" s="20" t="n"/>
      <c r="L41" s="20" t="n"/>
      <c r="M41" s="20" t="n">
        <v>2582.999</v>
      </c>
      <c r="N41" s="20" t="n"/>
      <c r="O41" s="19" t="n">
        <v>240</v>
      </c>
      <c r="P41" s="20" t="n">
        <v>0</v>
      </c>
      <c r="Q41" s="20" t="n">
        <v>128.814</v>
      </c>
      <c r="R41" s="20" t="n">
        <v>692.804</v>
      </c>
      <c r="S41" s="20" t="n">
        <v>0</v>
      </c>
      <c r="T41" s="20" t="n">
        <v>4.195</v>
      </c>
      <c r="U41" s="20" t="n">
        <v>0</v>
      </c>
      <c r="V41" s="20" t="n"/>
      <c r="W41" s="20" t="n">
        <v>0</v>
      </c>
      <c r="X41" s="20" t="n">
        <v>2585.514</v>
      </c>
      <c r="Y41" s="19">
        <f>IF(OR(Y4="",Y42=""),"",IFERROR(Y4*Y42,""))</f>
        <v/>
      </c>
      <c r="Z41" s="20">
        <f>IF(OR(Z4="",Z42=""),"",IFERROR(Z4*Z42,""))</f>
        <v/>
      </c>
      <c r="AA41" s="20">
        <f>IF(OR(AA4="",AA42=""),"",IFERROR(AA4*AA42,""))</f>
        <v/>
      </c>
      <c r="AB41" s="20">
        <f>IF(OR(AB4="",AB42=""),"",IFERROR(AB4*AB42,""))</f>
        <v/>
      </c>
      <c r="AC41" s="20">
        <f>IF(OR(AC4="",AC42=""),"",IFERROR(AC4*AC42,""))</f>
        <v/>
      </c>
    </row>
    <row r="42">
      <c r="A42" s="13" t="inlineStr">
        <is>
          <t>% of Sales</t>
        </is>
      </c>
      <c r="B42" s="10" t="inlineStr">
        <is>
          <t>MW = 최근 3년 평균</t>
        </is>
      </c>
      <c r="C42" s="14">
        <f>IF(OR(C41="",C4=""),"",IFERROR(C41/C4,""))</f>
        <v/>
      </c>
      <c r="D42" s="15">
        <f>IF(OR(D41="",D4=""),"",IFERROR(D41/D4,""))</f>
        <v/>
      </c>
      <c r="E42" s="15">
        <f>IF(OR(E41="",E4=""),"",IFERROR(E41/E4,""))</f>
        <v/>
      </c>
      <c r="F42" s="15">
        <f>IF(OR(F41="",F4=""),"",IFERROR(F41/F4,""))</f>
        <v/>
      </c>
      <c r="G42" s="15">
        <f>IF(OR(G41="",G4=""),"",IFERROR(G41/G4,""))</f>
        <v/>
      </c>
      <c r="H42" s="15">
        <f>IF(OR(H41="",H4=""),"",IFERROR(H41/H4,""))</f>
        <v/>
      </c>
      <c r="I42" s="15">
        <f>IF(OR(I41="",I4=""),"",IFERROR(I41/I4,""))</f>
        <v/>
      </c>
      <c r="J42" s="15">
        <f>IF(OR(J41="",J4=""),"",IFERROR(J41/J4,""))</f>
        <v/>
      </c>
      <c r="K42" s="15">
        <f>IF(OR(K41="",K4=""),"",IFERROR(K41/K4,""))</f>
        <v/>
      </c>
      <c r="L42" s="15">
        <f>IF(OR(L41="",L4=""),"",IFERROR(L41/L4,""))</f>
        <v/>
      </c>
      <c r="M42" s="15">
        <f>IF(OR(M41="",M4=""),"",IFERROR(M41/M4,""))</f>
        <v/>
      </c>
      <c r="N42" s="15">
        <f>IF(OR(N41="",N4=""),"",IFERROR(N41/N4,""))</f>
        <v/>
      </c>
      <c r="O42" s="14">
        <f>IF(OR(O41="",O4=""),"",IFERROR(O41/O4,""))</f>
        <v/>
      </c>
      <c r="P42" s="15">
        <f>IF(OR(P41="",P4=""),"",IFERROR(P41/P4,""))</f>
        <v/>
      </c>
      <c r="Q42" s="15">
        <f>IF(OR(Q41="",Q4=""),"",IFERROR(Q41/Q4,""))</f>
        <v/>
      </c>
      <c r="R42" s="15">
        <f>IF(OR(R41="",R4=""),"",IFERROR(R41/R4,""))</f>
        <v/>
      </c>
      <c r="S42" s="15">
        <f>IF(OR(S41="",S4=""),"",IFERROR(S41/S4,""))</f>
        <v/>
      </c>
      <c r="T42" s="15">
        <f>IF(OR(T41="",T4=""),"",IFERROR(T41/T4,""))</f>
        <v/>
      </c>
      <c r="U42" s="15">
        <f>IF(OR(U41="",U4=""),"",IFERROR(U41/U4,""))</f>
        <v/>
      </c>
      <c r="V42" s="15">
        <f>IF(OR(V41="",V4=""),"",IFERROR(V41/V4,""))</f>
        <v/>
      </c>
      <c r="W42" s="15">
        <f>IF(OR(W41="",W4=""),"",IFERROR(W41/W4,""))</f>
        <v/>
      </c>
      <c r="X42" s="15">
        <f>IF(OR(X41="",X4=""),"",IFERROR(X41/X4,""))</f>
        <v/>
      </c>
      <c r="Y42" s="25">
        <f>IFERROR(AVERAGE(V42,W42,X42),"")</f>
        <v/>
      </c>
      <c r="Z42" s="26">
        <f>Y42</f>
        <v/>
      </c>
      <c r="AA42" s="26">
        <f>Z42</f>
        <v/>
      </c>
      <c r="AB42" s="26">
        <f>AA42</f>
        <v/>
      </c>
      <c r="AC42" s="26">
        <f>AB42</f>
        <v/>
      </c>
    </row>
    <row r="43">
      <c r="A43" s="18" t="inlineStr">
        <is>
          <t>특별손실</t>
        </is>
      </c>
      <c r="B43" s="10" t="n"/>
      <c r="C43" s="19" t="n">
        <v>192.857</v>
      </c>
      <c r="D43" s="20" t="n">
        <v>0</v>
      </c>
      <c r="E43" s="20" t="n">
        <v>137.049</v>
      </c>
      <c r="F43" s="20" t="n">
        <v>0</v>
      </c>
      <c r="G43" s="20" t="n">
        <v>601.886</v>
      </c>
      <c r="H43" s="20" t="n">
        <v>0</v>
      </c>
      <c r="I43" s="20" t="n">
        <v>569.92</v>
      </c>
      <c r="J43" s="20" t="n">
        <v>1563.462</v>
      </c>
      <c r="K43" s="20" t="n">
        <v>0</v>
      </c>
      <c r="L43" s="20" t="n">
        <v>0</v>
      </c>
      <c r="M43" s="20" t="n">
        <v>488.396</v>
      </c>
      <c r="N43" s="20" t="n">
        <v>0</v>
      </c>
      <c r="O43" s="19" t="n">
        <v>0</v>
      </c>
      <c r="P43" s="20" t="n">
        <v>112</v>
      </c>
      <c r="Q43" s="20" t="n">
        <v>450.784</v>
      </c>
      <c r="R43" s="20" t="n">
        <v>610.0170000000001</v>
      </c>
      <c r="S43" s="20" t="n">
        <v>0</v>
      </c>
      <c r="T43" s="20" t="n">
        <v>381.399</v>
      </c>
      <c r="U43" s="20" t="n">
        <v>386.259</v>
      </c>
      <c r="V43" s="20" t="n">
        <v>746.234</v>
      </c>
      <c r="W43" s="20" t="n">
        <v>1171.806</v>
      </c>
      <c r="X43" s="20" t="n">
        <v>2051.858</v>
      </c>
      <c r="Y43" s="19">
        <f>IF(OR(Y4="",Y44=""),"",IFERROR(Y4*Y44,""))</f>
        <v/>
      </c>
      <c r="Z43" s="20">
        <f>IF(OR(Z4="",Z44=""),"",IFERROR(Z4*Z44,""))</f>
        <v/>
      </c>
      <c r="AA43" s="20">
        <f>IF(OR(AA4="",AA44=""),"",IFERROR(AA4*AA44,""))</f>
        <v/>
      </c>
      <c r="AB43" s="20">
        <f>IF(OR(AB4="",AB44=""),"",IFERROR(AB4*AB44,""))</f>
        <v/>
      </c>
      <c r="AC43" s="20">
        <f>IF(OR(AC4="",AC44=""),"",IFERROR(AC4*AC44,""))</f>
        <v/>
      </c>
    </row>
    <row r="44">
      <c r="A44" s="13" t="inlineStr">
        <is>
          <t>% of Sales</t>
        </is>
      </c>
      <c r="B44" s="10" t="n"/>
      <c r="C44" s="14">
        <f>IF(OR(C43="",C4=""),"",IFERROR(C43/C4,""))</f>
        <v/>
      </c>
      <c r="D44" s="15">
        <f>IF(OR(D43="",D4=""),"",IFERROR(D43/D4,""))</f>
        <v/>
      </c>
      <c r="E44" s="15">
        <f>IF(OR(E43="",E4=""),"",IFERROR(E43/E4,""))</f>
        <v/>
      </c>
      <c r="F44" s="15">
        <f>IF(OR(F43="",F4=""),"",IFERROR(F43/F4,""))</f>
        <v/>
      </c>
      <c r="G44" s="15">
        <f>IF(OR(G43="",G4=""),"",IFERROR(G43/G4,""))</f>
        <v/>
      </c>
      <c r="H44" s="15">
        <f>IF(OR(H43="",H4=""),"",IFERROR(H43/H4,""))</f>
        <v/>
      </c>
      <c r="I44" s="15">
        <f>IF(OR(I43="",I4=""),"",IFERROR(I43/I4,""))</f>
        <v/>
      </c>
      <c r="J44" s="15">
        <f>IF(OR(J43="",J4=""),"",IFERROR(J43/J4,""))</f>
        <v/>
      </c>
      <c r="K44" s="15">
        <f>IF(OR(K43="",K4=""),"",IFERROR(K43/K4,""))</f>
        <v/>
      </c>
      <c r="L44" s="15">
        <f>IF(OR(L43="",L4=""),"",IFERROR(L43/L4,""))</f>
        <v/>
      </c>
      <c r="M44" s="15">
        <f>IF(OR(M43="",M4=""),"",IFERROR(M43/M4,""))</f>
        <v/>
      </c>
      <c r="N44" s="15">
        <f>IF(OR(N43="",N4=""),"",IFERROR(N43/N4,""))</f>
        <v/>
      </c>
      <c r="O44" s="14">
        <f>IF(OR(O43="",O4=""),"",IFERROR(O43/O4,""))</f>
        <v/>
      </c>
      <c r="P44" s="15">
        <f>IF(OR(P43="",P4=""),"",IFERROR(P43/P4,""))</f>
        <v/>
      </c>
      <c r="Q44" s="15">
        <f>IF(OR(Q43="",Q4=""),"",IFERROR(Q43/Q4,""))</f>
        <v/>
      </c>
      <c r="R44" s="15">
        <f>IF(OR(R43="",R4=""),"",IFERROR(R43/R4,""))</f>
        <v/>
      </c>
      <c r="S44" s="15">
        <f>IF(OR(S43="",S4=""),"",IFERROR(S43/S4,""))</f>
        <v/>
      </c>
      <c r="T44" s="15">
        <f>IF(OR(T43="",T4=""),"",IFERROR(T43/T4,""))</f>
        <v/>
      </c>
      <c r="U44" s="15">
        <f>IF(OR(U43="",U4=""),"",IFERROR(U43/U4,""))</f>
        <v/>
      </c>
      <c r="V44" s="15">
        <f>IF(OR(V43="",V4=""),"",IFERROR(V43/V4,""))</f>
        <v/>
      </c>
      <c r="W44" s="15">
        <f>IF(OR(W43="",W4=""),"",IFERROR(W43/W4,""))</f>
        <v/>
      </c>
      <c r="X44" s="15">
        <f>IF(OR(X43="",X4=""),"",IFERROR(X43/X4,""))</f>
        <v/>
      </c>
      <c r="Y44" s="25">
        <f>IFERROR(AVERAGE(V44,W44,X44),"")</f>
        <v/>
      </c>
      <c r="Z44" s="26">
        <f>Y44</f>
        <v/>
      </c>
      <c r="AA44" s="26">
        <f>Z44</f>
        <v/>
      </c>
      <c r="AB44" s="26">
        <f>AA44</f>
        <v/>
      </c>
      <c r="AC44" s="26">
        <f>AB44</f>
        <v/>
      </c>
    </row>
    <row r="45">
      <c r="A45" s="18" t="inlineStr">
        <is>
          <t>영업외수익</t>
        </is>
      </c>
      <c r="B45" s="10" t="n"/>
      <c r="C45" s="19" t="n">
        <v>-1.711</v>
      </c>
      <c r="D45" s="20" t="n">
        <v>0.147</v>
      </c>
      <c r="E45" s="20" t="n">
        <v>-1.673</v>
      </c>
      <c r="F45" s="20" t="n">
        <v>0.04</v>
      </c>
      <c r="G45" s="20" t="n">
        <v>2.912</v>
      </c>
      <c r="H45" s="20" t="n">
        <v>10.443</v>
      </c>
      <c r="I45" s="20" t="n">
        <v>16.671</v>
      </c>
      <c r="J45" s="20" t="n">
        <v>0.534</v>
      </c>
      <c r="K45" s="20" t="n">
        <v>4.707</v>
      </c>
      <c r="L45" s="20" t="n">
        <v>1.151</v>
      </c>
      <c r="M45" s="20" t="n">
        <v>40.692</v>
      </c>
      <c r="N45" s="20" t="n">
        <v>8.262</v>
      </c>
      <c r="O45" s="19" t="n">
        <v>29.329</v>
      </c>
      <c r="P45" s="20" t="n">
        <v>14.582</v>
      </c>
      <c r="Q45" s="20" t="n">
        <v>10.428</v>
      </c>
      <c r="R45" s="20" t="n">
        <v>101.074</v>
      </c>
      <c r="S45" s="20" t="n">
        <v>37.712</v>
      </c>
      <c r="T45" s="20" t="n">
        <v>1.02</v>
      </c>
      <c r="U45" s="20" t="n">
        <v>5.059</v>
      </c>
      <c r="V45" s="20" t="n">
        <v>3.164</v>
      </c>
      <c r="W45" s="20" t="n">
        <v>30.066</v>
      </c>
      <c r="X45" s="20" t="n">
        <v>47.084</v>
      </c>
      <c r="Y45" s="19">
        <f>IF(OR(Y4="",Y46=""),"",IFERROR(Y4*Y46,""))</f>
        <v/>
      </c>
      <c r="Z45" s="20">
        <f>IF(OR(Z4="",Z46=""),"",IFERROR(Z4*Z46,""))</f>
        <v/>
      </c>
      <c r="AA45" s="20">
        <f>IF(OR(AA4="",AA46=""),"",IFERROR(AA4*AA46,""))</f>
        <v/>
      </c>
      <c r="AB45" s="20">
        <f>IF(OR(AB4="",AB46=""),"",IFERROR(AB4*AB46,""))</f>
        <v/>
      </c>
      <c r="AC45" s="20">
        <f>IF(OR(AC4="",AC46=""),"",IFERROR(AC4*AC46,""))</f>
        <v/>
      </c>
    </row>
    <row r="46">
      <c r="A46" s="13" t="inlineStr">
        <is>
          <t>% of Sales</t>
        </is>
      </c>
      <c r="B46" s="10" t="n"/>
      <c r="C46" s="14">
        <f>IF(OR(C45="",C4=""),"",IFERROR(C45/C4,""))</f>
        <v/>
      </c>
      <c r="D46" s="15">
        <f>IF(OR(D45="",D4=""),"",IFERROR(D45/D4,""))</f>
        <v/>
      </c>
      <c r="E46" s="15">
        <f>IF(OR(E45="",E4=""),"",IFERROR(E45/E4,""))</f>
        <v/>
      </c>
      <c r="F46" s="15">
        <f>IF(OR(F45="",F4=""),"",IFERROR(F45/F4,""))</f>
        <v/>
      </c>
      <c r="G46" s="15">
        <f>IF(OR(G45="",G4=""),"",IFERROR(G45/G4,""))</f>
        <v/>
      </c>
      <c r="H46" s="15">
        <f>IF(OR(H45="",H4=""),"",IFERROR(H45/H4,""))</f>
        <v/>
      </c>
      <c r="I46" s="15">
        <f>IF(OR(I45="",I4=""),"",IFERROR(I45/I4,""))</f>
        <v/>
      </c>
      <c r="J46" s="15">
        <f>IF(OR(J45="",J4=""),"",IFERROR(J45/J4,""))</f>
        <v/>
      </c>
      <c r="K46" s="15">
        <f>IF(OR(K45="",K4=""),"",IFERROR(K45/K4,""))</f>
        <v/>
      </c>
      <c r="L46" s="15">
        <f>IF(OR(L45="",L4=""),"",IFERROR(L45/L4,""))</f>
        <v/>
      </c>
      <c r="M46" s="15">
        <f>IF(OR(M45="",M4=""),"",IFERROR(M45/M4,""))</f>
        <v/>
      </c>
      <c r="N46" s="15">
        <f>IF(OR(N45="",N4=""),"",IFERROR(N45/N4,""))</f>
        <v/>
      </c>
      <c r="O46" s="14">
        <f>IF(OR(O45="",O4=""),"",IFERROR(O45/O4,""))</f>
        <v/>
      </c>
      <c r="P46" s="15">
        <f>IF(OR(P45="",P4=""),"",IFERROR(P45/P4,""))</f>
        <v/>
      </c>
      <c r="Q46" s="15">
        <f>IF(OR(Q45="",Q4=""),"",IFERROR(Q45/Q4,""))</f>
        <v/>
      </c>
      <c r="R46" s="15">
        <f>IF(OR(R45="",R4=""),"",IFERROR(R45/R4,""))</f>
        <v/>
      </c>
      <c r="S46" s="15">
        <f>IF(OR(S45="",S4=""),"",IFERROR(S45/S4,""))</f>
        <v/>
      </c>
      <c r="T46" s="15">
        <f>IF(OR(T45="",T4=""),"",IFERROR(T45/T4,""))</f>
        <v/>
      </c>
      <c r="U46" s="15">
        <f>IF(OR(U45="",U4=""),"",IFERROR(U45/U4,""))</f>
        <v/>
      </c>
      <c r="V46" s="15">
        <f>IF(OR(V45="",V4=""),"",IFERROR(V45/V4,""))</f>
        <v/>
      </c>
      <c r="W46" s="15">
        <f>IF(OR(W45="",W4=""),"",IFERROR(W45/W4,""))</f>
        <v/>
      </c>
      <c r="X46" s="15">
        <f>IF(OR(X45="",X4=""),"",IFERROR(X45/X4,""))</f>
        <v/>
      </c>
      <c r="Y46" s="25">
        <f>IFERROR(AVERAGE(V46,W46,X46),"")</f>
        <v/>
      </c>
      <c r="Z46" s="26">
        <f>Y46</f>
        <v/>
      </c>
      <c r="AA46" s="26">
        <f>Z46</f>
        <v/>
      </c>
      <c r="AB46" s="26">
        <f>AA46</f>
        <v/>
      </c>
      <c r="AC46" s="26">
        <f>AB46</f>
        <v/>
      </c>
    </row>
    <row r="47">
      <c r="A47" s="18" t="inlineStr">
        <is>
          <t>영업외비용</t>
        </is>
      </c>
      <c r="B47" s="10" t="n"/>
      <c r="C47" s="19" t="n">
        <v>10.826</v>
      </c>
      <c r="D47" s="20" t="n">
        <v>41.641</v>
      </c>
      <c r="E47" s="20" t="n">
        <v>48.005</v>
      </c>
      <c r="F47" s="20" t="n">
        <v>20.706</v>
      </c>
      <c r="G47" s="20" t="n">
        <v>21.358</v>
      </c>
      <c r="H47" s="20" t="n">
        <v>22.929</v>
      </c>
      <c r="I47" s="20" t="n">
        <v>23.775</v>
      </c>
      <c r="J47" s="20" t="n">
        <v>26.416</v>
      </c>
      <c r="K47" s="20" t="n">
        <v>20.851</v>
      </c>
      <c r="L47" s="20" t="n">
        <v>15.778</v>
      </c>
      <c r="M47" s="20" t="n">
        <v>73.846</v>
      </c>
      <c r="N47" s="20" t="n">
        <v>18.929</v>
      </c>
      <c r="O47" s="19" t="n">
        <v>117.059</v>
      </c>
      <c r="P47" s="20" t="n">
        <v>234.289</v>
      </c>
      <c r="Q47" s="20" t="n">
        <v>782.333</v>
      </c>
      <c r="R47" s="20" t="n">
        <v>82.25700000000001</v>
      </c>
      <c r="S47" s="20" t="n">
        <v>71.34699999999999</v>
      </c>
      <c r="T47" s="20" t="n">
        <v>50.359</v>
      </c>
      <c r="U47" s="20" t="n">
        <v>93.895</v>
      </c>
      <c r="V47" s="20" t="n">
        <v>113.032</v>
      </c>
      <c r="W47" s="20" t="n">
        <v>88.768</v>
      </c>
      <c r="X47" s="20" t="n">
        <v>136.891</v>
      </c>
      <c r="Y47" s="19">
        <f>IF(OR(Y4="",Y48=""),"",IFERROR(Y4*Y48,""))</f>
        <v/>
      </c>
      <c r="Z47" s="20">
        <f>IF(OR(Z4="",Z48=""),"",IFERROR(Z4*Z48,""))</f>
        <v/>
      </c>
      <c r="AA47" s="20">
        <f>IF(OR(AA4="",AA48=""),"",IFERROR(AA4*AA48,""))</f>
        <v/>
      </c>
      <c r="AB47" s="20">
        <f>IF(OR(AB4="",AB48=""),"",IFERROR(AB4*AB48,""))</f>
        <v/>
      </c>
      <c r="AC47" s="20">
        <f>IF(OR(AC4="",AC48=""),"",IFERROR(AC4*AC48,""))</f>
        <v/>
      </c>
    </row>
    <row r="48">
      <c r="A48" s="13" t="inlineStr">
        <is>
          <t>% of Sales</t>
        </is>
      </c>
      <c r="B48" s="10" t="n"/>
      <c r="C48" s="14">
        <f>IF(OR(C47="",C4=""),"",IFERROR(C47/C4,""))</f>
        <v/>
      </c>
      <c r="D48" s="15">
        <f>IF(OR(D47="",D4=""),"",IFERROR(D47/D4,""))</f>
        <v/>
      </c>
      <c r="E48" s="15">
        <f>IF(OR(E47="",E4=""),"",IFERROR(E47/E4,""))</f>
        <v/>
      </c>
      <c r="F48" s="15">
        <f>IF(OR(F47="",F4=""),"",IFERROR(F47/F4,""))</f>
        <v/>
      </c>
      <c r="G48" s="15">
        <f>IF(OR(G47="",G4=""),"",IFERROR(G47/G4,""))</f>
        <v/>
      </c>
      <c r="H48" s="15">
        <f>IF(OR(H47="",H4=""),"",IFERROR(H47/H4,""))</f>
        <v/>
      </c>
      <c r="I48" s="15">
        <f>IF(OR(I47="",I4=""),"",IFERROR(I47/I4,""))</f>
        <v/>
      </c>
      <c r="J48" s="15">
        <f>IF(OR(J47="",J4=""),"",IFERROR(J47/J4,""))</f>
        <v/>
      </c>
      <c r="K48" s="15">
        <f>IF(OR(K47="",K4=""),"",IFERROR(K47/K4,""))</f>
        <v/>
      </c>
      <c r="L48" s="15">
        <f>IF(OR(L47="",L4=""),"",IFERROR(L47/L4,""))</f>
        <v/>
      </c>
      <c r="M48" s="15">
        <f>IF(OR(M47="",M4=""),"",IFERROR(M47/M4,""))</f>
        <v/>
      </c>
      <c r="N48" s="15">
        <f>IF(OR(N47="",N4=""),"",IFERROR(N47/N4,""))</f>
        <v/>
      </c>
      <c r="O48" s="14">
        <f>IF(OR(O47="",O4=""),"",IFERROR(O47/O4,""))</f>
        <v/>
      </c>
      <c r="P48" s="15">
        <f>IF(OR(P47="",P4=""),"",IFERROR(P47/P4,""))</f>
        <v/>
      </c>
      <c r="Q48" s="15">
        <f>IF(OR(Q47="",Q4=""),"",IFERROR(Q47/Q4,""))</f>
        <v/>
      </c>
      <c r="R48" s="15">
        <f>IF(OR(R47="",R4=""),"",IFERROR(R47/R4,""))</f>
        <v/>
      </c>
      <c r="S48" s="15">
        <f>IF(OR(S47="",S4=""),"",IFERROR(S47/S4,""))</f>
        <v/>
      </c>
      <c r="T48" s="15">
        <f>IF(OR(T47="",T4=""),"",IFERROR(T47/T4,""))</f>
        <v/>
      </c>
      <c r="U48" s="15">
        <f>IF(OR(U47="",U4=""),"",IFERROR(U47/U4,""))</f>
        <v/>
      </c>
      <c r="V48" s="15">
        <f>IF(OR(V47="",V4=""),"",IFERROR(V47/V4,""))</f>
        <v/>
      </c>
      <c r="W48" s="15">
        <f>IF(OR(W47="",W4=""),"",IFERROR(W47/W4,""))</f>
        <v/>
      </c>
      <c r="X48" s="15">
        <f>IF(OR(X47="",X4=""),"",IFERROR(X47/X4,""))</f>
        <v/>
      </c>
      <c r="Y48" s="25">
        <f>IFERROR(AVERAGE(V48,W48,X48),"")</f>
        <v/>
      </c>
      <c r="Z48" s="26">
        <f>Y48</f>
        <v/>
      </c>
      <c r="AA48" s="26">
        <f>Z48</f>
        <v/>
      </c>
      <c r="AB48" s="26">
        <f>AA48</f>
        <v/>
      </c>
      <c r="AC48" s="26">
        <f>AB48</f>
        <v/>
      </c>
    </row>
    <row r="49">
      <c r="A49" s="9" t="inlineStr">
        <is>
          <t>법인세비용차감전순이익(손실)</t>
        </is>
      </c>
      <c r="B49" s="10" t="n"/>
      <c r="C49" s="11" t="n">
        <v>258.398</v>
      </c>
      <c r="D49" s="12" t="n">
        <v>275.625</v>
      </c>
      <c r="E49" s="12" t="n">
        <v>-73.08799999999999</v>
      </c>
      <c r="F49" s="12" t="n">
        <v>-88.452</v>
      </c>
      <c r="G49" s="12" t="n">
        <v>-867.72</v>
      </c>
      <c r="H49" s="12" t="n">
        <v>275.695</v>
      </c>
      <c r="I49" s="12" t="n">
        <v>-438.023</v>
      </c>
      <c r="J49" s="12" t="n">
        <v>-1671.067</v>
      </c>
      <c r="K49" s="12" t="n">
        <v>-509.26</v>
      </c>
      <c r="L49" s="12" t="n">
        <v>659.612</v>
      </c>
      <c r="M49" s="12" t="n">
        <v>2373.282</v>
      </c>
      <c r="N49" s="12" t="n">
        <v>512.1950000000001</v>
      </c>
      <c r="O49" s="11" t="n">
        <v>1084.391</v>
      </c>
      <c r="P49" s="12" t="n">
        <v>-141.118</v>
      </c>
      <c r="Q49" s="12" t="n">
        <v>-1671.334</v>
      </c>
      <c r="R49" s="12" t="n">
        <v>718.677</v>
      </c>
      <c r="S49" s="12" t="n">
        <v>2019.231</v>
      </c>
      <c r="T49" s="12" t="n">
        <v>1164.568</v>
      </c>
      <c r="U49" s="12" t="n">
        <v>1806.259</v>
      </c>
      <c r="V49" s="12" t="n">
        <v>46.936</v>
      </c>
      <c r="W49" s="12" t="n">
        <v>-1118.5</v>
      </c>
      <c r="X49" s="12" t="n">
        <v>852.567</v>
      </c>
      <c r="Y49" s="11">
        <f>IF(OR(Y25=""),"",IFERROR(Y25+N(Y41)-N(Y43)+N(Y45)-N(Y47),""))</f>
        <v/>
      </c>
      <c r="Z49" s="12">
        <f>IF(OR(Z25=""),"",IFERROR(Z25+N(Z41)-N(Z43)+N(Z45)-N(Z47),""))</f>
        <v/>
      </c>
      <c r="AA49" s="12">
        <f>IF(OR(AA25=""),"",IFERROR(AA25+N(AA41)-N(AA43)+N(AA45)-N(AA47),""))</f>
        <v/>
      </c>
      <c r="AB49" s="12">
        <f>IF(OR(AB25=""),"",IFERROR(AB25+N(AB41)-N(AB43)+N(AB45)-N(AB47),""))</f>
        <v/>
      </c>
      <c r="AC49" s="12">
        <f>IF(OR(AC25=""),"",IFERROR(AC25+N(AC41)-N(AC43)+N(AC45)-N(AC47),""))</f>
        <v/>
      </c>
    </row>
    <row r="50">
      <c r="A50" s="18" t="inlineStr">
        <is>
          <t>법인세비용(수익)</t>
        </is>
      </c>
      <c r="B50" s="10" t="n"/>
      <c r="C50" s="19" t="n">
        <v>-14.915</v>
      </c>
      <c r="D50" s="20" t="n">
        <v>8.182</v>
      </c>
      <c r="E50" s="20" t="n">
        <v>-80.303</v>
      </c>
      <c r="F50" s="20" t="n">
        <v>64.53</v>
      </c>
      <c r="G50" s="20" t="n">
        <v>0.234</v>
      </c>
      <c r="H50" s="20" t="n">
        <v>77.184</v>
      </c>
      <c r="I50" s="20" t="n">
        <v>-226.767</v>
      </c>
      <c r="J50" s="20" t="n">
        <v>127.279</v>
      </c>
      <c r="K50" s="20" t="n">
        <v>53.862</v>
      </c>
      <c r="L50" s="20" t="n">
        <v>38.265</v>
      </c>
      <c r="M50" s="20" t="n">
        <v>418.011</v>
      </c>
      <c r="N50" s="20" t="n">
        <v>188.393</v>
      </c>
      <c r="O50" s="19" t="n">
        <v>274.46</v>
      </c>
      <c r="P50" s="20" t="n">
        <v>59.005</v>
      </c>
      <c r="Q50" s="20" t="n">
        <v>45.93</v>
      </c>
      <c r="R50" s="20" t="n">
        <v>5.276</v>
      </c>
      <c r="S50" s="20" t="n">
        <v>392.804</v>
      </c>
      <c r="T50" s="20" t="n">
        <v>355.692</v>
      </c>
      <c r="U50" s="20" t="n">
        <v>644.824</v>
      </c>
      <c r="V50" s="20" t="n">
        <v>-60.056</v>
      </c>
      <c r="W50" s="20" t="n">
        <v>-84.819</v>
      </c>
      <c r="X50" s="20" t="n">
        <v>637.417</v>
      </c>
      <c r="Y50" s="19">
        <f>IF(OR(Y49="",Y51=""),"",IFERROR(MAX(Y49,0)*Y51,""))</f>
        <v/>
      </c>
      <c r="Z50" s="20">
        <f>IF(OR(Z49="",Z51=""),"",IFERROR(MAX(Z49,0)*Z51,""))</f>
        <v/>
      </c>
      <c r="AA50" s="20">
        <f>IF(OR(AA49="",AA51=""),"",IFERROR(MAX(AA49,0)*AA51,""))</f>
        <v/>
      </c>
      <c r="AB50" s="20">
        <f>IF(OR(AB49="",AB51=""),"",IFERROR(MAX(AB49,0)*AB51,""))</f>
        <v/>
      </c>
      <c r="AC50" s="20">
        <f>IF(OR(AC49="",AC51=""),"",IFERROR(MAX(AC49,0)*AC51,""))</f>
        <v/>
      </c>
    </row>
    <row r="51">
      <c r="A51" s="13" t="inlineStr">
        <is>
          <t>법인세율</t>
        </is>
      </c>
      <c r="B51" s="10" t="inlineStr">
        <is>
          <t>MW 기본 30%</t>
        </is>
      </c>
      <c r="C51" s="14">
        <f>IF(OR(C50="",C49=""),"",IFERROR(C50/C49,""))</f>
        <v/>
      </c>
      <c r="D51" s="15">
        <f>IF(OR(D50="",D49=""),"",IFERROR(D50/D49,""))</f>
        <v/>
      </c>
      <c r="E51" s="15">
        <f>IF(OR(E50="",E49=""),"",IFERROR(E50/E49,""))</f>
        <v/>
      </c>
      <c r="F51" s="15">
        <f>IF(OR(F50="",F49=""),"",IFERROR(F50/F49,""))</f>
        <v/>
      </c>
      <c r="G51" s="15">
        <f>IF(OR(G50="",G49=""),"",IFERROR(G50/G49,""))</f>
        <v/>
      </c>
      <c r="H51" s="15">
        <f>IF(OR(H50="",H49=""),"",IFERROR(H50/H49,""))</f>
        <v/>
      </c>
      <c r="I51" s="15">
        <f>IF(OR(I50="",I49=""),"",IFERROR(I50/I49,""))</f>
        <v/>
      </c>
      <c r="J51" s="15">
        <f>IF(OR(J50="",J49=""),"",IFERROR(J50/J49,""))</f>
        <v/>
      </c>
      <c r="K51" s="15">
        <f>IF(OR(K50="",K49=""),"",IFERROR(K50/K49,""))</f>
        <v/>
      </c>
      <c r="L51" s="15">
        <f>IF(OR(L50="",L49=""),"",IFERROR(L50/L49,""))</f>
        <v/>
      </c>
      <c r="M51" s="15">
        <f>IF(OR(M50="",M49=""),"",IFERROR(M50/M49,""))</f>
        <v/>
      </c>
      <c r="N51" s="15">
        <f>IF(OR(N50="",N49=""),"",IFERROR(N50/N49,""))</f>
        <v/>
      </c>
      <c r="O51" s="14">
        <f>IF(OR(O50="",O49=""),"",IFERROR(O50/O49,""))</f>
        <v/>
      </c>
      <c r="P51" s="15">
        <f>IF(OR(P50="",P49=""),"",IFERROR(P50/P49,""))</f>
        <v/>
      </c>
      <c r="Q51" s="15">
        <f>IF(OR(Q50="",Q49=""),"",IFERROR(Q50/Q49,""))</f>
        <v/>
      </c>
      <c r="R51" s="15">
        <f>IF(OR(R50="",R49=""),"",IFERROR(R50/R49,""))</f>
        <v/>
      </c>
      <c r="S51" s="15">
        <f>IF(OR(S50="",S49=""),"",IFERROR(S50/S49,""))</f>
        <v/>
      </c>
      <c r="T51" s="15">
        <f>IF(OR(T50="",T49=""),"",IFERROR(T50/T49,""))</f>
        <v/>
      </c>
      <c r="U51" s="15">
        <f>IF(OR(U50="",U49=""),"",IFERROR(U50/U49,""))</f>
        <v/>
      </c>
      <c r="V51" s="15">
        <f>IF(OR(V50="",V49=""),"",IFERROR(V50/V49,""))</f>
        <v/>
      </c>
      <c r="W51" s="15">
        <f>IF(OR(W50="",W49=""),"",IFERROR(W50/W49,""))</f>
        <v/>
      </c>
      <c r="X51" s="15">
        <f>IF(OR(X50="",X49=""),"",IFERROR(X50/X49,""))</f>
        <v/>
      </c>
      <c r="Y51" s="25" t="n">
        <v>0.3</v>
      </c>
      <c r="Z51" s="26" t="n">
        <v>0.3</v>
      </c>
      <c r="AA51" s="26" t="n">
        <v>0.3</v>
      </c>
      <c r="AB51" s="26" t="n">
        <v>0.3</v>
      </c>
      <c r="AC51" s="26" t="n">
        <v>0.3</v>
      </c>
    </row>
    <row r="52">
      <c r="A52" s="9" t="inlineStr">
        <is>
          <t>당기순이익(손실)</t>
        </is>
      </c>
      <c r="B52" s="10" t="n"/>
      <c r="C52" s="11" t="n">
        <v>273.314</v>
      </c>
      <c r="D52" s="12" t="n">
        <v>267.443</v>
      </c>
      <c r="E52" s="12" t="n">
        <v>7.215</v>
      </c>
      <c r="F52" s="12" t="n">
        <v>-152.983</v>
      </c>
      <c r="G52" s="12" t="n">
        <v>-867.954</v>
      </c>
      <c r="H52" s="12" t="n">
        <v>198.511</v>
      </c>
      <c r="I52" s="12" t="n">
        <v>-211.255</v>
      </c>
      <c r="J52" s="12" t="n">
        <v>-1798.346</v>
      </c>
      <c r="K52" s="12" t="n">
        <v>-563.123</v>
      </c>
      <c r="L52" s="12" t="n">
        <v>621.348</v>
      </c>
      <c r="M52" s="12" t="n">
        <v>1955.27</v>
      </c>
      <c r="N52" s="12" t="n">
        <v>323.802</v>
      </c>
      <c r="O52" s="11" t="n">
        <v>809.931</v>
      </c>
      <c r="P52" s="12" t="n">
        <v>-200.123</v>
      </c>
      <c r="Q52" s="12" t="n">
        <v>-1717.265</v>
      </c>
      <c r="R52" s="12" t="n">
        <v>713.4</v>
      </c>
      <c r="S52" s="12" t="n">
        <v>1626.426</v>
      </c>
      <c r="T52" s="12" t="n">
        <v>808.876</v>
      </c>
      <c r="U52" s="12" t="n">
        <v>1161.435</v>
      </c>
      <c r="V52" s="12" t="n">
        <v>106.992</v>
      </c>
      <c r="W52" s="12" t="n">
        <v>-1033.681</v>
      </c>
      <c r="X52" s="12" t="n">
        <v>215.149</v>
      </c>
      <c r="Y52" s="11">
        <f>IF(OR(Y49=""),"",IFERROR(Y49-Y50,""))</f>
        <v/>
      </c>
      <c r="Z52" s="12">
        <f>IF(OR(Z49=""),"",IFERROR(Z49-Z50,""))</f>
        <v/>
      </c>
      <c r="AA52" s="12">
        <f>IF(OR(AA49=""),"",IFERROR(AA49-AA50,""))</f>
        <v/>
      </c>
      <c r="AB52" s="12">
        <f>IF(OR(AB49=""),"",IFERROR(AB49-AB50,""))</f>
        <v/>
      </c>
      <c r="AC52" s="12">
        <f>IF(OR(AC49=""),"",IFERROR(AC49-AC50,""))</f>
        <v/>
      </c>
    </row>
    <row r="53">
      <c r="A53" s="9" t="inlineStr">
        <is>
          <t>지배주주 순이익</t>
        </is>
      </c>
      <c r="B53" s="10" t="n"/>
      <c r="C53" s="11" t="n">
        <v>272.444</v>
      </c>
      <c r="D53" s="12" t="n">
        <v>266.756</v>
      </c>
      <c r="E53" s="12" t="n">
        <v>6.658</v>
      </c>
      <c r="F53" s="12" t="n">
        <v>-153.628</v>
      </c>
      <c r="G53" s="12" t="n">
        <v>-868.4</v>
      </c>
      <c r="H53" s="12" t="n">
        <v>198.102</v>
      </c>
      <c r="I53" s="12" t="n">
        <v>-211.643</v>
      </c>
      <c r="J53" s="12" t="n">
        <v>-1799.068</v>
      </c>
      <c r="K53" s="12" t="n">
        <v>-563.327</v>
      </c>
      <c r="L53" s="12" t="n">
        <v>621.045</v>
      </c>
      <c r="M53" s="12" t="n">
        <v>1955.019</v>
      </c>
      <c r="N53" s="12" t="n">
        <v>323.33</v>
      </c>
      <c r="O53" s="11" t="n">
        <v>814.575</v>
      </c>
      <c r="P53" s="12" t="n">
        <v>-204.002</v>
      </c>
      <c r="Q53" s="12" t="n">
        <v>-1712.709</v>
      </c>
      <c r="R53" s="12" t="n">
        <v>711.468</v>
      </c>
      <c r="S53" s="12" t="n">
        <v>1624.683</v>
      </c>
      <c r="T53" s="12" t="n">
        <v>807.301</v>
      </c>
      <c r="U53" s="12" t="n">
        <v>1159.125</v>
      </c>
      <c r="V53" s="12" t="n">
        <v>104.051</v>
      </c>
      <c r="W53" s="12" t="n">
        <v>-1035.569</v>
      </c>
      <c r="X53" s="12" t="n">
        <v>213.669</v>
      </c>
      <c r="Y53" s="11">
        <f>IF(OR(Y52="",Y54=""),"",IFERROR(Y52*Y54,""))</f>
        <v/>
      </c>
      <c r="Z53" s="12">
        <f>IF(OR(Z52="",Z54=""),"",IFERROR(Z52*Z54,""))</f>
        <v/>
      </c>
      <c r="AA53" s="12">
        <f>IF(OR(AA52="",AA54=""),"",IFERROR(AA52*AA54,""))</f>
        <v/>
      </c>
      <c r="AB53" s="12">
        <f>IF(OR(AB52="",AB54=""),"",IFERROR(AB52*AB54,""))</f>
        <v/>
      </c>
      <c r="AC53" s="12">
        <f>IF(OR(AC52="",AC54=""),"",IFERROR(AC52*AC54,""))</f>
        <v/>
      </c>
    </row>
    <row r="54">
      <c r="A54" s="13" t="inlineStr">
        <is>
          <t>지배주주 순이익률</t>
        </is>
      </c>
      <c r="B54" s="10" t="inlineStr">
        <is>
          <t>MW 기본 100%</t>
        </is>
      </c>
      <c r="C54" s="14">
        <f>IF(OR(C53="",C52=""),"",IFERROR(C53/C52,""))</f>
        <v/>
      </c>
      <c r="D54" s="15">
        <f>IF(OR(D53="",D52=""),"",IFERROR(D53/D52,""))</f>
        <v/>
      </c>
      <c r="E54" s="15">
        <f>IF(OR(E53="",E52=""),"",IFERROR(E53/E52,""))</f>
        <v/>
      </c>
      <c r="F54" s="15">
        <f>IF(OR(F53="",F52=""),"",IFERROR(F53/F52,""))</f>
        <v/>
      </c>
      <c r="G54" s="15">
        <f>IF(OR(G53="",G52=""),"",IFERROR(G53/G52,""))</f>
        <v/>
      </c>
      <c r="H54" s="15">
        <f>IF(OR(H53="",H52=""),"",IFERROR(H53/H52,""))</f>
        <v/>
      </c>
      <c r="I54" s="15">
        <f>IF(OR(I53="",I52=""),"",IFERROR(I53/I52,""))</f>
        <v/>
      </c>
      <c r="J54" s="15">
        <f>IF(OR(J53="",J52=""),"",IFERROR(J53/J52,""))</f>
        <v/>
      </c>
      <c r="K54" s="15">
        <f>IF(OR(K53="",K52=""),"",IFERROR(K53/K52,""))</f>
        <v/>
      </c>
      <c r="L54" s="15">
        <f>IF(OR(L53="",L52=""),"",IFERROR(L53/L52,""))</f>
        <v/>
      </c>
      <c r="M54" s="15">
        <f>IF(OR(M53="",M52=""),"",IFERROR(M53/M52,""))</f>
        <v/>
      </c>
      <c r="N54" s="15">
        <f>IF(OR(N53="",N52=""),"",IFERROR(N53/N52,""))</f>
        <v/>
      </c>
      <c r="O54" s="14">
        <f>IF(OR(O53="",O52=""),"",IFERROR(O53/O52,""))</f>
        <v/>
      </c>
      <c r="P54" s="15">
        <f>IF(OR(P53="",P52=""),"",IFERROR(P53/P52,""))</f>
        <v/>
      </c>
      <c r="Q54" s="15">
        <f>IF(OR(Q53="",Q52=""),"",IFERROR(Q53/Q52,""))</f>
        <v/>
      </c>
      <c r="R54" s="15">
        <f>IF(OR(R53="",R52=""),"",IFERROR(R53/R52,""))</f>
        <v/>
      </c>
      <c r="S54" s="15">
        <f>IF(OR(S53="",S52=""),"",IFERROR(S53/S52,""))</f>
        <v/>
      </c>
      <c r="T54" s="15">
        <f>IF(OR(T53="",T52=""),"",IFERROR(T53/T52,""))</f>
        <v/>
      </c>
      <c r="U54" s="15">
        <f>IF(OR(U53="",U52=""),"",IFERROR(U53/U52,""))</f>
        <v/>
      </c>
      <c r="V54" s="15">
        <f>IF(OR(V53="",V52=""),"",IFERROR(V53/V52,""))</f>
        <v/>
      </c>
      <c r="W54" s="15">
        <f>IF(OR(W53="",W52=""),"",IFERROR(W53/W52,""))</f>
        <v/>
      </c>
      <c r="X54" s="15">
        <f>IF(OR(X53="",X52=""),"",IFERROR(X53/X52,""))</f>
        <v/>
      </c>
      <c r="Y54" s="25" t="n">
        <v>1</v>
      </c>
      <c r="Z54" s="26" t="n">
        <v>1</v>
      </c>
      <c r="AA54" s="26" t="n">
        <v>1</v>
      </c>
      <c r="AB54" s="26" t="n">
        <v>1</v>
      </c>
      <c r="AC54" s="26" t="n">
        <v>1</v>
      </c>
    </row>
    <row r="55">
      <c r="A55" s="16" t="inlineStr">
        <is>
          <t>목표주가 산출</t>
        </is>
      </c>
      <c r="B55" s="16" t="n"/>
      <c r="C55" s="17" t="n"/>
      <c r="D55" s="16" t="n"/>
      <c r="E55" s="16" t="n"/>
      <c r="F55" s="16" t="n"/>
      <c r="G55" s="16" t="n"/>
      <c r="H55" s="16" t="n"/>
      <c r="I55" s="16" t="n"/>
      <c r="J55" s="16" t="n"/>
      <c r="K55" s="16" t="n"/>
      <c r="L55" s="16" t="n"/>
      <c r="M55" s="16" t="n"/>
      <c r="N55" s="16" t="n"/>
      <c r="O55" s="17" t="n"/>
      <c r="P55" s="16" t="n"/>
      <c r="Q55" s="16" t="n"/>
      <c r="R55" s="16" t="n"/>
      <c r="S55" s="16" t="n"/>
      <c r="T55" s="16" t="n"/>
      <c r="U55" s="16" t="n"/>
      <c r="V55" s="16" t="n"/>
      <c r="W55" s="16" t="n"/>
      <c r="X55" s="16" t="n"/>
      <c r="Y55" s="17" t="n"/>
      <c r="Z55" s="16" t="n"/>
      <c r="AA55" s="16" t="n"/>
      <c r="AB55" s="16" t="n"/>
      <c r="AC55" s="16" t="n"/>
    </row>
    <row r="56">
      <c r="A56" s="18" t="inlineStr">
        <is>
          <t>현재 주가 ()</t>
        </is>
      </c>
      <c r="B56" s="27" t="n"/>
      <c r="C56" s="28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8" t="n"/>
      <c r="P56" s="29" t="n"/>
      <c r="Q56" s="29" t="n"/>
      <c r="R56" s="29" t="n"/>
      <c r="S56" s="29" t="n"/>
      <c r="T56" s="29" t="n"/>
      <c r="U56" s="29" t="n"/>
      <c r="V56" s="29" t="n"/>
      <c r="W56" s="29" t="n"/>
      <c r="X56" s="29" t="n"/>
      <c r="Y56" s="28" t="n"/>
      <c r="Z56" s="29" t="n"/>
      <c r="AA56" s="29" t="n"/>
      <c r="AB56" s="29" t="n"/>
      <c r="AC56" s="29" t="n"/>
    </row>
    <row r="57">
      <c r="A57" s="18" t="inlineStr">
        <is>
          <t>발행주식수 (보통주)</t>
        </is>
      </c>
      <c r="B57" s="27" t="n"/>
      <c r="C57" s="28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8" t="n"/>
      <c r="P57" s="29" t="n"/>
      <c r="Q57" s="29" t="n"/>
      <c r="R57" s="29" t="n"/>
      <c r="S57" s="29" t="n"/>
      <c r="T57" s="29" t="n"/>
      <c r="U57" s="29" t="n"/>
      <c r="V57" s="29" t="n"/>
      <c r="W57" s="29" t="n"/>
      <c r="X57" s="29" t="n"/>
      <c r="Y57" s="28" t="n"/>
      <c r="Z57" s="29" t="n"/>
      <c r="AA57" s="29" t="n"/>
      <c r="AB57" s="29" t="n"/>
      <c r="AC57" s="29" t="n"/>
    </row>
    <row r="58">
      <c r="A58" s="18" t="inlineStr">
        <is>
          <t>시가총액 (백만엔)</t>
        </is>
      </c>
      <c r="B58" s="12">
        <f>IF(OR(B56="",B57=""),"",B56*B57/1000000.0)</f>
        <v/>
      </c>
      <c r="C58" s="19" t="n"/>
      <c r="D58" s="20" t="n"/>
      <c r="E58" s="20" t="n"/>
      <c r="F58" s="20" t="n"/>
      <c r="G58" s="20" t="n"/>
      <c r="H58" s="20" t="n"/>
      <c r="I58" s="20" t="n"/>
      <c r="J58" s="20" t="n"/>
      <c r="K58" s="20" t="n"/>
      <c r="L58" s="20" t="n"/>
      <c r="M58" s="20" t="n"/>
      <c r="N58" s="20" t="n"/>
      <c r="O58" s="19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19" t="n"/>
      <c r="Z58" s="20" t="n"/>
      <c r="AA58" s="20" t="n"/>
      <c r="AB58" s="20" t="n"/>
      <c r="AC58" s="20" t="n"/>
    </row>
    <row r="59">
      <c r="A59" s="13" t="inlineStr">
        <is>
          <t>OPM</t>
        </is>
      </c>
      <c r="B59" s="10" t="n"/>
      <c r="C59" s="14" t="n"/>
      <c r="D59" s="15" t="n"/>
      <c r="E59" s="15" t="n"/>
      <c r="F59" s="15" t="n"/>
      <c r="G59" s="15" t="n"/>
      <c r="H59" s="15" t="n"/>
      <c r="I59" s="15" t="n"/>
      <c r="J59" s="15" t="n"/>
      <c r="K59" s="15" t="n"/>
      <c r="L59" s="15" t="n"/>
      <c r="M59" s="15" t="n"/>
      <c r="N59" s="15" t="n"/>
      <c r="O59" s="14">
        <f>IF(O26="","",O26)</f>
        <v/>
      </c>
      <c r="P59" s="15">
        <f>IF(P26="","",P26)</f>
        <v/>
      </c>
      <c r="Q59" s="15">
        <f>IF(Q26="","",Q26)</f>
        <v/>
      </c>
      <c r="R59" s="15">
        <f>IF(R26="","",R26)</f>
        <v/>
      </c>
      <c r="S59" s="15">
        <f>IF(S26="","",S26)</f>
        <v/>
      </c>
      <c r="T59" s="15">
        <f>IF(T26="","",T26)</f>
        <v/>
      </c>
      <c r="U59" s="15">
        <f>IF(U26="","",U26)</f>
        <v/>
      </c>
      <c r="V59" s="15">
        <f>IF(V26="","",V26)</f>
        <v/>
      </c>
      <c r="W59" s="15">
        <f>IF(W26="","",W26)</f>
        <v/>
      </c>
      <c r="X59" s="15">
        <f>IF(X26="","",X26)</f>
        <v/>
      </c>
      <c r="Y59" s="14">
        <f>IF(Y26="","",Y26)</f>
        <v/>
      </c>
      <c r="Z59" s="15">
        <f>IF(Z26="","",Z26)</f>
        <v/>
      </c>
      <c r="AA59" s="15">
        <f>IF(AA26="","",AA26)</f>
        <v/>
      </c>
      <c r="AB59" s="15">
        <f>IF(AB26="","",AB26)</f>
        <v/>
      </c>
      <c r="AC59" s="15">
        <f>IF(AC26="","",AC26)</f>
        <v/>
      </c>
    </row>
    <row r="60">
      <c r="A60" s="13" t="inlineStr">
        <is>
          <t>지배주주 순이익 증가율</t>
        </is>
      </c>
      <c r="B60" s="10" t="n"/>
      <c r="C60" s="14" t="n"/>
      <c r="D60" s="15" t="n"/>
      <c r="E60" s="15" t="n"/>
      <c r="F60" s="15" t="n"/>
      <c r="G60" s="15" t="n"/>
      <c r="H60" s="15" t="n"/>
      <c r="I60" s="15" t="n"/>
      <c r="J60" s="15" t="n"/>
      <c r="K60" s="15" t="n"/>
      <c r="L60" s="15" t="n"/>
      <c r="M60" s="15" t="n"/>
      <c r="N60" s="15" t="n"/>
      <c r="O60" s="14" t="n"/>
      <c r="P60" s="15">
        <f>IF(OR(P53="",O53=""),"",IFERROR(P53/O53-1,""))</f>
        <v/>
      </c>
      <c r="Q60" s="15">
        <f>IF(OR(Q53="",P53=""),"",IFERROR(Q53/P53-1,""))</f>
        <v/>
      </c>
      <c r="R60" s="15">
        <f>IF(OR(R53="",Q53=""),"",IFERROR(R53/Q53-1,""))</f>
        <v/>
      </c>
      <c r="S60" s="15">
        <f>IF(OR(S53="",R53=""),"",IFERROR(S53/R53-1,""))</f>
        <v/>
      </c>
      <c r="T60" s="15">
        <f>IF(OR(T53="",S53=""),"",IFERROR(T53/S53-1,""))</f>
        <v/>
      </c>
      <c r="U60" s="15">
        <f>IF(OR(U53="",T53=""),"",IFERROR(U53/T53-1,""))</f>
        <v/>
      </c>
      <c r="V60" s="15">
        <f>IF(OR(V53="",U53=""),"",IFERROR(V53/U53-1,""))</f>
        <v/>
      </c>
      <c r="W60" s="15">
        <f>IF(OR(W53="",V53=""),"",IFERROR(W53/V53-1,""))</f>
        <v/>
      </c>
      <c r="X60" s="15">
        <f>IF(OR(X53="",W53=""),"",IFERROR(X53/W53-1,""))</f>
        <v/>
      </c>
      <c r="Y60" s="14">
        <f>IF(OR(Y53="",X53=""),"",IFERROR(Y53/X53-1,""))</f>
        <v/>
      </c>
      <c r="Z60" s="15">
        <f>IF(OR(Z53="",Y53=""),"",IFERROR(Z53/Y53-1,""))</f>
        <v/>
      </c>
      <c r="AA60" s="15">
        <f>IF(OR(AA53="",Z53=""),"",IFERROR(AA53/Z53-1,""))</f>
        <v/>
      </c>
      <c r="AB60" s="15">
        <f>IF(OR(AB53="",AA53=""),"",IFERROR(AB53/AA53-1,""))</f>
        <v/>
      </c>
      <c r="AC60" s="15">
        <f>IF(OR(AC53="",AB53=""),"",IFERROR(AC53/AB53-1,""))</f>
        <v/>
      </c>
    </row>
    <row r="61">
      <c r="A61" s="18" t="inlineStr">
        <is>
          <t>P/E (현재 주가)</t>
        </is>
      </c>
      <c r="B61" s="10" t="inlineStr">
        <is>
          <t>시총 ÷ 지배순이익</t>
        </is>
      </c>
      <c r="C61" s="30" t="n"/>
      <c r="D61" s="31" t="n"/>
      <c r="E61" s="31" t="n"/>
      <c r="F61" s="31" t="n"/>
      <c r="G61" s="31" t="n"/>
      <c r="H61" s="31" t="n"/>
      <c r="I61" s="31" t="n"/>
      <c r="J61" s="31" t="n"/>
      <c r="K61" s="31" t="n"/>
      <c r="L61" s="31" t="n"/>
      <c r="M61" s="31" t="n"/>
      <c r="N61" s="31" t="n"/>
      <c r="O61" s="30" t="n"/>
      <c r="P61" s="31" t="n"/>
      <c r="Q61" s="31" t="n"/>
      <c r="R61" s="31" t="n"/>
      <c r="S61" s="31" t="n"/>
      <c r="T61" s="31" t="n"/>
      <c r="U61" s="31" t="n"/>
      <c r="V61" s="31" t="n"/>
      <c r="W61" s="31" t="n"/>
      <c r="X61" s="31">
        <f>IF(OR($B$58="",X53=""),"",IFERROR($B$58/X53,""))</f>
        <v/>
      </c>
      <c r="Y61" s="30">
        <f>IF(OR($B$58="",Y53=""),"",IFERROR($B$58/Y53,""))</f>
        <v/>
      </c>
      <c r="Z61" s="31">
        <f>IF(OR($B$58="",Z53=""),"",IFERROR($B$58/Z53,""))</f>
        <v/>
      </c>
      <c r="AA61" s="31">
        <f>IF(OR($B$58="",AA53=""),"",IFERROR($B$58/AA53,""))</f>
        <v/>
      </c>
      <c r="AB61" s="31">
        <f>IF(OR($B$58="",AB53=""),"",IFERROR($B$58/AB53,""))</f>
        <v/>
      </c>
      <c r="AC61" s="31">
        <f>IF(OR($B$58="",AC53=""),"",IFERROR($B$58/AC53,""))</f>
        <v/>
      </c>
    </row>
    <row r="62">
      <c r="A62" s="18" t="inlineStr">
        <is>
          <t>Target P/E</t>
        </is>
      </c>
      <c r="B62" s="10" t="inlineStr">
        <is>
          <t>직접 입력</t>
        </is>
      </c>
      <c r="C62" s="30" t="n"/>
      <c r="D62" s="31" t="n"/>
      <c r="E62" s="31" t="n"/>
      <c r="F62" s="31" t="n"/>
      <c r="G62" s="31" t="n"/>
      <c r="H62" s="31" t="n"/>
      <c r="I62" s="31" t="n"/>
      <c r="J62" s="31" t="n"/>
      <c r="K62" s="31" t="n"/>
      <c r="L62" s="31" t="n"/>
      <c r="M62" s="31" t="n"/>
      <c r="N62" s="31" t="n"/>
      <c r="O62" s="30" t="n"/>
      <c r="P62" s="31" t="n"/>
      <c r="Q62" s="31" t="n"/>
      <c r="R62" s="31" t="n"/>
      <c r="S62" s="31" t="n"/>
      <c r="T62" s="31" t="n"/>
      <c r="U62" s="31" t="n"/>
      <c r="V62" s="31" t="n"/>
      <c r="W62" s="31" t="n"/>
      <c r="X62" s="31" t="n"/>
      <c r="Y62" s="32" t="n"/>
      <c r="Z62" s="33" t="n"/>
      <c r="AA62" s="33" t="n"/>
      <c r="AB62" s="33" t="n"/>
      <c r="AC62" s="33" t="n"/>
    </row>
    <row r="63">
      <c r="A63" s="18" t="inlineStr">
        <is>
          <t>EPS</t>
        </is>
      </c>
      <c r="B63" s="10" t="inlineStr">
        <is>
          <t>지배순이익 ÷ 주식수</t>
        </is>
      </c>
      <c r="C63" s="28" t="n"/>
      <c r="D63" s="29" t="n"/>
      <c r="E63" s="29" t="n"/>
      <c r="F63" s="29" t="n"/>
      <c r="G63" s="29" t="n"/>
      <c r="H63" s="29" t="n"/>
      <c r="I63" s="29" t="n"/>
      <c r="J63" s="29" t="n"/>
      <c r="K63" s="29" t="n"/>
      <c r="L63" s="29" t="n"/>
      <c r="M63" s="29" t="n"/>
      <c r="N63" s="29" t="n"/>
      <c r="O63" s="28">
        <f>IF(OR(O53="",$B$57=""),"",IFERROR(O53*1000000.0/$B$57,""))</f>
        <v/>
      </c>
      <c r="P63" s="29">
        <f>IF(OR(P53="",$B$57=""),"",IFERROR(P53*1000000.0/$B$57,""))</f>
        <v/>
      </c>
      <c r="Q63" s="29">
        <f>IF(OR(Q53="",$B$57=""),"",IFERROR(Q53*1000000.0/$B$57,""))</f>
        <v/>
      </c>
      <c r="R63" s="29">
        <f>IF(OR(R53="",$B$57=""),"",IFERROR(R53*1000000.0/$B$57,""))</f>
        <v/>
      </c>
      <c r="S63" s="29">
        <f>IF(OR(S53="",$B$57=""),"",IFERROR(S53*1000000.0/$B$57,""))</f>
        <v/>
      </c>
      <c r="T63" s="29">
        <f>IF(OR(T53="",$B$57=""),"",IFERROR(T53*1000000.0/$B$57,""))</f>
        <v/>
      </c>
      <c r="U63" s="29">
        <f>IF(OR(U53="",$B$57=""),"",IFERROR(U53*1000000.0/$B$57,""))</f>
        <v/>
      </c>
      <c r="V63" s="29">
        <f>IF(OR(V53="",$B$57=""),"",IFERROR(V53*1000000.0/$B$57,""))</f>
        <v/>
      </c>
      <c r="W63" s="29">
        <f>IF(OR(W53="",$B$57=""),"",IFERROR(W53*1000000.0/$B$57,""))</f>
        <v/>
      </c>
      <c r="X63" s="29">
        <f>IF(OR(X53="",$B$57=""),"",IFERROR(X53*1000000.0/$B$57,""))</f>
        <v/>
      </c>
      <c r="Y63" s="28">
        <f>IF(OR(Y53="",$B$57=""),"",IFERROR(Y53*1000000.0/$B$57,""))</f>
        <v/>
      </c>
      <c r="Z63" s="29">
        <f>IF(OR(Z53="",$B$57=""),"",IFERROR(Z53*1000000.0/$B$57,""))</f>
        <v/>
      </c>
      <c r="AA63" s="29">
        <f>IF(OR(AA53="",$B$57=""),"",IFERROR(AA53*1000000.0/$B$57,""))</f>
        <v/>
      </c>
      <c r="AB63" s="29">
        <f>IF(OR(AB53="",$B$57=""),"",IFERROR(AB53*1000000.0/$B$57,""))</f>
        <v/>
      </c>
      <c r="AC63" s="29">
        <f>IF(OR(AC53="",$B$57=""),"",IFERROR(AC53*1000000.0/$B$57,""))</f>
        <v/>
      </c>
    </row>
    <row r="64">
      <c r="A64" s="9" t="inlineStr">
        <is>
          <t>목표주가</t>
        </is>
      </c>
      <c r="B64" s="10" t="n"/>
      <c r="C64" s="34" t="n"/>
      <c r="D64" s="27" t="n"/>
      <c r="E64" s="27" t="n"/>
      <c r="F64" s="27" t="n"/>
      <c r="G64" s="27" t="n"/>
      <c r="H64" s="27" t="n"/>
      <c r="I64" s="27" t="n"/>
      <c r="J64" s="27" t="n"/>
      <c r="K64" s="27" t="n"/>
      <c r="L64" s="27" t="n"/>
      <c r="M64" s="27" t="n"/>
      <c r="N64" s="27" t="n"/>
      <c r="O64" s="34" t="n"/>
      <c r="P64" s="27" t="n"/>
      <c r="Q64" s="27" t="n"/>
      <c r="R64" s="27" t="n"/>
      <c r="S64" s="27" t="n"/>
      <c r="T64" s="27" t="n"/>
      <c r="U64" s="27" t="n"/>
      <c r="V64" s="27" t="n"/>
      <c r="W64" s="27" t="n"/>
      <c r="X64" s="27" t="n"/>
      <c r="Y64" s="34">
        <f>IF(OR(Y63="",Y62=""),"",IFERROR(Y63*Y62,""))</f>
        <v/>
      </c>
      <c r="Z64" s="27">
        <f>IF(OR(Z63="",Z62=""),"",IFERROR(Z63*Z62,""))</f>
        <v/>
      </c>
      <c r="AA64" s="27">
        <f>IF(OR(AA63="",AA62=""),"",IFERROR(AA63*AA62,""))</f>
        <v/>
      </c>
      <c r="AB64" s="27">
        <f>IF(OR(AB63="",AB62=""),"",IFERROR(AB63*AB62,""))</f>
        <v/>
      </c>
      <c r="AC64" s="27">
        <f>IF(OR(AC63="",AC62=""),"",IFERROR(AC63*AC62,""))</f>
        <v/>
      </c>
    </row>
    <row r="65">
      <c r="A65" s="18" t="inlineStr">
        <is>
          <t>상승여력</t>
        </is>
      </c>
      <c r="B65" s="10" t="n"/>
      <c r="C65" s="35" t="n"/>
      <c r="D65" s="36" t="n"/>
      <c r="E65" s="36" t="n"/>
      <c r="F65" s="36" t="n"/>
      <c r="G65" s="36" t="n"/>
      <c r="H65" s="36" t="n"/>
      <c r="I65" s="36" t="n"/>
      <c r="J65" s="36" t="n"/>
      <c r="K65" s="36" t="n"/>
      <c r="L65" s="36" t="n"/>
      <c r="M65" s="36" t="n"/>
      <c r="N65" s="36" t="n"/>
      <c r="O65" s="35" t="n"/>
      <c r="P65" s="36" t="n"/>
      <c r="Q65" s="36" t="n"/>
      <c r="R65" s="36" t="n"/>
      <c r="S65" s="36" t="n"/>
      <c r="T65" s="36" t="n"/>
      <c r="U65" s="36" t="n"/>
      <c r="V65" s="36" t="n"/>
      <c r="W65" s="36" t="n"/>
      <c r="X65" s="36" t="n"/>
      <c r="Y65" s="37">
        <f>IF(OR(Y64="",$B$56=""),"",IFERROR(Y64/$B$56-1,""))</f>
        <v/>
      </c>
      <c r="Z65" s="38">
        <f>IF(OR(Z64="",$B$56=""),"",IFERROR(Z64/$B$56-1,""))</f>
        <v/>
      </c>
      <c r="AA65" s="38">
        <f>IF(OR(AA64="",$B$56=""),"",IFERROR(AA64/$B$56-1,""))</f>
        <v/>
      </c>
      <c r="AB65" s="38">
        <f>IF(OR(AB64="",$B$56=""),"",IFERROR(AB64/$B$56-1,""))</f>
        <v/>
      </c>
      <c r="AC65" s="38">
        <f>IF(OR(AC64="",$B$56=""),"",IFERROR(AC64/$B$56-1,""))</f>
        <v/>
      </c>
    </row>
    <row r="66">
      <c r="A66" s="16" t="inlineStr">
        <is>
          <t>자산가치 산출</t>
        </is>
      </c>
      <c r="B66" s="16" t="inlineStr">
        <is>
          <t>최신 분기 BS</t>
        </is>
      </c>
      <c r="C66" s="17" t="n"/>
      <c r="D66" s="16" t="n"/>
      <c r="E66" s="16" t="n"/>
      <c r="F66" s="16" t="n"/>
      <c r="G66" s="16" t="n"/>
      <c r="H66" s="16" t="n"/>
      <c r="I66" s="16" t="n"/>
      <c r="J66" s="16" t="n"/>
      <c r="K66" s="16" t="n"/>
      <c r="L66" s="16" t="n"/>
      <c r="M66" s="16" t="n"/>
      <c r="N66" s="16" t="n"/>
      <c r="O66" s="17" t="n"/>
      <c r="P66" s="16" t="n"/>
      <c r="Q66" s="16" t="n"/>
      <c r="R66" s="16" t="n"/>
      <c r="S66" s="16" t="n"/>
      <c r="T66" s="16" t="n"/>
      <c r="U66" s="16" t="n"/>
      <c r="V66" s="16" t="n"/>
      <c r="W66" s="16" t="n"/>
      <c r="X66" s="16" t="n"/>
      <c r="Y66" s="17" t="n"/>
      <c r="Z66" s="16" t="n"/>
      <c r="AA66" s="16" t="n"/>
      <c r="AB66" s="16" t="n"/>
      <c r="AC66" s="16" t="n"/>
    </row>
    <row r="67">
      <c r="A67" s="18" t="inlineStr">
        <is>
          <t>현금및현금성자산</t>
        </is>
      </c>
      <c r="B67" s="10" t="n"/>
      <c r="C67" s="19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19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>
        <f>'재무상태표'!G6</f>
        <v/>
      </c>
      <c r="Y67" s="19">
        <f>'재무상태표'!G6</f>
        <v/>
      </c>
      <c r="Z67" s="20">
        <f>'재무상태표'!G6</f>
        <v/>
      </c>
      <c r="AA67" s="20">
        <f>'재무상태표'!G6</f>
        <v/>
      </c>
      <c r="AB67" s="20">
        <f>'재무상태표'!G6</f>
        <v/>
      </c>
      <c r="AC67" s="20">
        <f>'재무상태표'!G6</f>
        <v/>
      </c>
    </row>
    <row r="68">
      <c r="A68" s="18" t="inlineStr">
        <is>
          <t>단기금융상품</t>
        </is>
      </c>
      <c r="B68" s="10" t="n"/>
      <c r="C68" s="19" t="n"/>
      <c r="D68" s="20" t="n"/>
      <c r="E68" s="20" t="n"/>
      <c r="F68" s="20" t="n"/>
      <c r="G68" s="20" t="n"/>
      <c r="H68" s="20" t="n"/>
      <c r="I68" s="20" t="n"/>
      <c r="J68" s="20" t="n"/>
      <c r="K68" s="20" t="n"/>
      <c r="L68" s="20" t="n"/>
      <c r="M68" s="20" t="n"/>
      <c r="N68" s="20" t="n"/>
      <c r="O68" s="19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>
        <f>'재무상태표'!G7</f>
        <v/>
      </c>
      <c r="Y68" s="19">
        <f>'재무상태표'!G7</f>
        <v/>
      </c>
      <c r="Z68" s="20">
        <f>'재무상태표'!G7</f>
        <v/>
      </c>
      <c r="AA68" s="20">
        <f>'재무상태표'!G7</f>
        <v/>
      </c>
      <c r="AB68" s="20">
        <f>'재무상태표'!G7</f>
        <v/>
      </c>
      <c r="AC68" s="20">
        <f>'재무상태표'!G7</f>
        <v/>
      </c>
    </row>
    <row r="69">
      <c r="A69" s="18" t="inlineStr">
        <is>
          <t>투자부동산</t>
        </is>
      </c>
      <c r="B69" s="10" t="n"/>
      <c r="C69" s="19" t="n"/>
      <c r="D69" s="20" t="n"/>
      <c r="E69" s="20" t="n"/>
      <c r="F69" s="20" t="n"/>
      <c r="G69" s="20" t="n"/>
      <c r="H69" s="20" t="n"/>
      <c r="I69" s="20" t="n"/>
      <c r="J69" s="20" t="n"/>
      <c r="K69" s="20" t="n"/>
      <c r="L69" s="20" t="n"/>
      <c r="M69" s="20" t="n"/>
      <c r="N69" s="20" t="n"/>
      <c r="O69" s="19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>
        <f>'재무상태표'!G14</f>
        <v/>
      </c>
      <c r="Y69" s="19">
        <f>'재무상태표'!G14</f>
        <v/>
      </c>
      <c r="Z69" s="20">
        <f>'재무상태표'!G14</f>
        <v/>
      </c>
      <c r="AA69" s="20">
        <f>'재무상태표'!G14</f>
        <v/>
      </c>
      <c r="AB69" s="20">
        <f>'재무상태표'!G14</f>
        <v/>
      </c>
      <c r="AC69" s="20">
        <f>'재무상태표'!G14</f>
        <v/>
      </c>
    </row>
    <row r="70">
      <c r="A70" s="18" t="inlineStr">
        <is>
          <t>지배자본</t>
        </is>
      </c>
      <c r="B70" s="10" t="n"/>
      <c r="C70" s="19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19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>
        <f>'재무상태표'!G31</f>
        <v/>
      </c>
      <c r="Y70" s="19">
        <f>'재무상태표'!G31</f>
        <v/>
      </c>
      <c r="Z70" s="20">
        <f>'재무상태표'!G31</f>
        <v/>
      </c>
      <c r="AA70" s="20">
        <f>'재무상태표'!G31</f>
        <v/>
      </c>
      <c r="AB70" s="20">
        <f>'재무상태표'!G31</f>
        <v/>
      </c>
      <c r="AC70" s="20">
        <f>'재무상태표'!G31</f>
        <v/>
      </c>
    </row>
    <row r="71">
      <c r="A71" s="18" t="inlineStr">
        <is>
          <t>부채</t>
        </is>
      </c>
      <c r="B71" s="10" t="n"/>
      <c r="C71" s="19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19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>
        <f>'재무상태표'!G27</f>
        <v/>
      </c>
      <c r="Y71" s="19">
        <f>'재무상태표'!G27</f>
        <v/>
      </c>
      <c r="Z71" s="20">
        <f>'재무상태표'!G27</f>
        <v/>
      </c>
      <c r="AA71" s="20">
        <f>'재무상태표'!G27</f>
        <v/>
      </c>
      <c r="AB71" s="20">
        <f>'재무상태표'!G27</f>
        <v/>
      </c>
      <c r="AC71" s="20">
        <f>'재무상태표'!G27</f>
        <v/>
      </c>
    </row>
    <row r="72">
      <c r="A72" s="13" t="inlineStr">
        <is>
          <t>부채비율</t>
        </is>
      </c>
      <c r="B72" s="10" t="n"/>
      <c r="C72" s="14" t="n"/>
      <c r="D72" s="15" t="n"/>
      <c r="E72" s="15" t="n"/>
      <c r="F72" s="15" t="n"/>
      <c r="G72" s="15" t="n"/>
      <c r="H72" s="15" t="n"/>
      <c r="I72" s="15" t="n"/>
      <c r="J72" s="15" t="n"/>
      <c r="K72" s="15" t="n"/>
      <c r="L72" s="15" t="n"/>
      <c r="M72" s="15" t="n"/>
      <c r="N72" s="15" t="n"/>
      <c r="O72" s="14" t="n"/>
      <c r="P72" s="15" t="n"/>
      <c r="Q72" s="15" t="n"/>
      <c r="R72" s="15" t="n"/>
      <c r="S72" s="15" t="n"/>
      <c r="T72" s="15" t="n"/>
      <c r="U72" s="15" t="n"/>
      <c r="V72" s="15" t="n"/>
      <c r="W72" s="15" t="n"/>
      <c r="X72" s="15">
        <f>IF(OR(X71="",X70=""),"",IFERROR(X71/X70,""))</f>
        <v/>
      </c>
      <c r="Y72" s="14">
        <f>IF(OR(Y71="",Y70=""),"",IFERROR(Y71/Y70,""))</f>
        <v/>
      </c>
      <c r="Z72" s="15">
        <f>IF(OR(Z71="",Z70=""),"",IFERROR(Z71/Z70,""))</f>
        <v/>
      </c>
      <c r="AA72" s="15">
        <f>IF(OR(AA71="",AA70=""),"",IFERROR(AA71/AA70,""))</f>
        <v/>
      </c>
      <c r="AB72" s="15">
        <f>IF(OR(AB71="",AB70=""),"",IFERROR(AB71/AB70,""))</f>
        <v/>
      </c>
      <c r="AC72" s="15">
        <f>IF(OR(AC71="",AC70=""),"",IFERROR(AC71/AC70,""))</f>
        <v/>
      </c>
    </row>
    <row r="73">
      <c r="A73" s="9" t="inlineStr">
        <is>
          <t>자산가치</t>
        </is>
      </c>
      <c r="B73" s="10" t="inlineStr">
        <is>
          <t>현금+단기금융+투자부동산</t>
        </is>
      </c>
      <c r="C73" s="11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1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>
        <f>SUM(X67,X68,X69)</f>
        <v/>
      </c>
      <c r="Y73" s="11">
        <f>SUM(Y67,Y68,Y69)</f>
        <v/>
      </c>
      <c r="Z73" s="12">
        <f>SUM(Z67,Z68,Z69)</f>
        <v/>
      </c>
      <c r="AA73" s="12">
        <f>SUM(AA67,AA68,AA69)</f>
        <v/>
      </c>
      <c r="AB73" s="12">
        <f>SUM(AB67,AB68,AB69)</f>
        <v/>
      </c>
      <c r="AC73" s="12">
        <f>SUM(AC67,AC68,AC69)</f>
        <v/>
      </c>
    </row>
    <row r="74">
      <c r="A74" s="16" t="inlineStr">
        <is>
          <t>기업가치 산출</t>
        </is>
      </c>
      <c r="B74" s="16" t="n"/>
      <c r="C74" s="17" t="n"/>
      <c r="D74" s="16" t="n"/>
      <c r="E74" s="16" t="n"/>
      <c r="F74" s="16" t="n"/>
      <c r="G74" s="16" t="n"/>
      <c r="H74" s="16" t="n"/>
      <c r="I74" s="16" t="n"/>
      <c r="J74" s="16" t="n"/>
      <c r="K74" s="16" t="n"/>
      <c r="L74" s="16" t="n"/>
      <c r="M74" s="16" t="n"/>
      <c r="N74" s="16" t="n"/>
      <c r="O74" s="17" t="n"/>
      <c r="P74" s="16" t="n"/>
      <c r="Q74" s="16" t="n"/>
      <c r="R74" s="16" t="n"/>
      <c r="S74" s="16" t="n"/>
      <c r="T74" s="16" t="n"/>
      <c r="U74" s="16" t="n"/>
      <c r="V74" s="16" t="n"/>
      <c r="W74" s="16" t="n"/>
      <c r="X74" s="16" t="n"/>
      <c r="Y74" s="17" t="n"/>
      <c r="Z74" s="16" t="n"/>
      <c r="AA74" s="16" t="n"/>
      <c r="AB74" s="16" t="n"/>
      <c r="AC74" s="16" t="n"/>
    </row>
    <row r="75">
      <c r="A75" s="18" t="inlineStr">
        <is>
          <t>목표 시가총액 (P/E)</t>
        </is>
      </c>
      <c r="B75" s="10" t="inlineStr">
        <is>
          <t>지배순이익 × Target P/E</t>
        </is>
      </c>
      <c r="C75" s="19" t="n"/>
      <c r="D75" s="20" t="n"/>
      <c r="E75" s="20" t="n"/>
      <c r="F75" s="20" t="n"/>
      <c r="G75" s="20" t="n"/>
      <c r="H75" s="20" t="n"/>
      <c r="I75" s="20" t="n"/>
      <c r="J75" s="20" t="n"/>
      <c r="K75" s="20" t="n"/>
      <c r="L75" s="20" t="n"/>
      <c r="M75" s="20" t="n"/>
      <c r="N75" s="20" t="n"/>
      <c r="O75" s="19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19">
        <f>IF(OR(Y53="",Y62=""),"",IFERROR(Y53*Y62,""))</f>
        <v/>
      </c>
      <c r="Z75" s="20">
        <f>IF(OR(Z53="",Z62=""),"",IFERROR(Z53*Z62,""))</f>
        <v/>
      </c>
      <c r="AA75" s="20">
        <f>IF(OR(AA53="",AA62=""),"",IFERROR(AA53*AA62,""))</f>
        <v/>
      </c>
      <c r="AB75" s="20">
        <f>IF(OR(AB53="",AB62=""),"",IFERROR(AB53*AB62,""))</f>
        <v/>
      </c>
      <c r="AC75" s="20">
        <f>IF(OR(AC53="",AC62=""),"",IFERROR(AC53*AC62,""))</f>
        <v/>
      </c>
    </row>
    <row r="76">
      <c r="A76" s="9" t="inlineStr">
        <is>
          <t>기업가치</t>
        </is>
      </c>
      <c r="B76" s="10" t="inlineStr">
        <is>
          <t>목표시총 + 자산가치</t>
        </is>
      </c>
      <c r="C76" s="11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1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 t="n"/>
      <c r="Y76" s="11">
        <f>IF(OR(Y75=""),"",IFERROR(Y75+Y73,""))</f>
        <v/>
      </c>
      <c r="Z76" s="12">
        <f>IF(OR(Z75=""),"",IFERROR(Z75+Z73,""))</f>
        <v/>
      </c>
      <c r="AA76" s="12">
        <f>IF(OR(AA75=""),"",IFERROR(AA75+AA73,""))</f>
        <v/>
      </c>
      <c r="AB76" s="12">
        <f>IF(OR(AB75=""),"",IFERROR(AB75+AB73,""))</f>
        <v/>
      </c>
      <c r="AC76" s="12">
        <f>IF(OR(AC75=""),"",IFERROR(AC75+AC73,""))</f>
        <v/>
      </c>
    </row>
    <row r="77">
      <c r="A77" s="18" t="inlineStr">
        <is>
          <t>현재 시가총액</t>
        </is>
      </c>
      <c r="B77" s="10" t="n"/>
      <c r="C77" s="19" t="n"/>
      <c r="D77" s="20" t="n"/>
      <c r="E77" s="20" t="n"/>
      <c r="F77" s="20" t="n"/>
      <c r="G77" s="20" t="n"/>
      <c r="H77" s="20" t="n"/>
      <c r="I77" s="20" t="n"/>
      <c r="J77" s="20" t="n"/>
      <c r="K77" s="20" t="n"/>
      <c r="L77" s="20" t="n"/>
      <c r="M77" s="20" t="n"/>
      <c r="N77" s="20" t="n"/>
      <c r="O77" s="19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19">
        <f>$B$58</f>
        <v/>
      </c>
      <c r="Z77" s="20">
        <f>$B$58</f>
        <v/>
      </c>
      <c r="AA77" s="20">
        <f>$B$58</f>
        <v/>
      </c>
      <c r="AB77" s="20">
        <f>$B$58</f>
        <v/>
      </c>
      <c r="AC77" s="20">
        <f>$B$58</f>
        <v/>
      </c>
    </row>
    <row r="78">
      <c r="A78" s="18" t="inlineStr">
        <is>
          <t>상승여력</t>
        </is>
      </c>
      <c r="B78" s="10" t="n"/>
      <c r="C78" s="35" t="n"/>
      <c r="D78" s="36" t="n"/>
      <c r="E78" s="36" t="n"/>
      <c r="F78" s="36" t="n"/>
      <c r="G78" s="36" t="n"/>
      <c r="H78" s="36" t="n"/>
      <c r="I78" s="36" t="n"/>
      <c r="J78" s="36" t="n"/>
      <c r="K78" s="36" t="n"/>
      <c r="L78" s="36" t="n"/>
      <c r="M78" s="36" t="n"/>
      <c r="N78" s="36" t="n"/>
      <c r="O78" s="35" t="n"/>
      <c r="P78" s="36" t="n"/>
      <c r="Q78" s="36" t="n"/>
      <c r="R78" s="36" t="n"/>
      <c r="S78" s="36" t="n"/>
      <c r="T78" s="36" t="n"/>
      <c r="U78" s="36" t="n"/>
      <c r="V78" s="36" t="n"/>
      <c r="W78" s="36" t="n"/>
      <c r="X78" s="36" t="n"/>
      <c r="Y78" s="37">
        <f>IF(OR(Y76="",Y77=""),"",IFERROR(Y76/Y77-1,""))</f>
        <v/>
      </c>
      <c r="Z78" s="38">
        <f>IF(OR(Z76="",Z77=""),"",IFERROR(Z76/Z77-1,""))</f>
        <v/>
      </c>
      <c r="AA78" s="38">
        <f>IF(OR(AA76="",AA77=""),"",IFERROR(AA76/AA77-1,""))</f>
        <v/>
      </c>
      <c r="AB78" s="38">
        <f>IF(OR(AB76="",AB77=""),"",IFERROR(AB76/AB77-1,""))</f>
        <v/>
      </c>
      <c r="AC78" s="38">
        <f>IF(OR(AC76="",AC77=""),"",IFERROR(AC76/AC77-1,""))</f>
        <v/>
      </c>
    </row>
    <row r="79">
      <c r="C79" s="39" t="n"/>
      <c r="O79" s="39" t="n"/>
      <c r="Y79" s="39" t="n"/>
    </row>
    <row r="80">
      <c r="A80" s="40" t="inlineStr">
        <is>
          <t>출처</t>
        </is>
      </c>
      <c r="C80" s="39" t="n"/>
      <c r="O80" s="39" t="n"/>
      <c r="Y80" s="39" t="n"/>
    </row>
    <row r="81">
      <c r="A81" s="41" t="inlineStr">
        <is>
          <t>결산단신 XBRL(TDnet·JPX 보관소) — 쓴 문서는 '출처' 시트</t>
        </is>
      </c>
      <c r="C81" s="39" t="n"/>
      <c r="O81" s="39" t="n"/>
      <c r="Y81" s="39" t="n"/>
    </row>
    <row r="82">
      <c r="A82" s="41" t="inlineStr">
        <is>
          <t>분기 = 누계에서 앞 분기를 뺀 3개월 값</t>
        </is>
      </c>
      <c r="C82" s="39" t="n"/>
      <c r="O82" s="39" t="n"/>
      <c r="Y82" s="39" t="n"/>
    </row>
    <row r="83">
      <c r="A83" s="41" t="inlineStr">
        <is>
          <t>주가: 야후 파이낸스 일봉</t>
        </is>
      </c>
      <c r="C83" s="39" t="n"/>
      <c r="O83" s="39" t="n"/>
      <c r="Y83" s="39" t="n"/>
    </row>
    <row r="85">
      <c r="A85" s="16" t="inlineStr">
        <is>
          <t>손익계산서 · 전 항목</t>
        </is>
      </c>
      <c r="B85" s="42" t="inlineStr">
        <is>
          <t>분기 = 3개월 단독</t>
        </is>
      </c>
      <c r="C85" s="16" t="n"/>
      <c r="D85" s="16" t="n"/>
      <c r="E85" s="16" t="n"/>
      <c r="F85" s="16" t="n"/>
      <c r="G85" s="16" t="n"/>
      <c r="H85" s="16" t="n"/>
      <c r="I85" s="16" t="n"/>
      <c r="J85" s="16" t="n"/>
      <c r="K85" s="16" t="n"/>
      <c r="L85" s="16" t="n"/>
      <c r="M85" s="16" t="n"/>
      <c r="N85" s="16" t="n"/>
      <c r="O85" s="16" t="n"/>
      <c r="P85" s="16" t="n"/>
      <c r="Q85" s="16" t="n"/>
      <c r="R85" s="16" t="n"/>
      <c r="S85" s="16" t="n"/>
      <c r="T85" s="16" t="n"/>
      <c r="U85" s="16" t="n"/>
      <c r="V85" s="16" t="n"/>
      <c r="W85" s="16" t="n"/>
      <c r="X85" s="16" t="n"/>
      <c r="Y85" s="16" t="n"/>
      <c r="Z85" s="16" t="n"/>
      <c r="AA85" s="16" t="n"/>
      <c r="AB85" s="16" t="n"/>
      <c r="AC85" s="16" t="n"/>
    </row>
    <row r="86">
      <c r="A86" s="5" t="inlineStr">
        <is>
          <t>항목</t>
        </is>
      </c>
      <c r="B86" s="5" t="inlineStr">
        <is>
          <t>참고</t>
        </is>
      </c>
      <c r="C86" s="5" t="inlineStr">
        <is>
          <t>2024.2Q</t>
        </is>
      </c>
      <c r="D86" s="5" t="inlineStr">
        <is>
          <t>2024.3Q</t>
        </is>
      </c>
      <c r="E86" s="5" t="inlineStr">
        <is>
          <t>2024.4Q</t>
        </is>
      </c>
      <c r="F86" s="5" t="inlineStr">
        <is>
          <t>2025.1Q</t>
        </is>
      </c>
      <c r="G86" s="5" t="inlineStr">
        <is>
          <t>2025.2Q</t>
        </is>
      </c>
      <c r="H86" s="5" t="inlineStr">
        <is>
          <t>2025.3Q</t>
        </is>
      </c>
      <c r="I86" s="5" t="inlineStr">
        <is>
          <t>2025.4Q</t>
        </is>
      </c>
      <c r="J86" s="5" t="inlineStr">
        <is>
          <t>2026.1Q</t>
        </is>
      </c>
      <c r="K86" s="5" t="inlineStr">
        <is>
          <t>2026.2Q</t>
        </is>
      </c>
      <c r="L86" s="5" t="inlineStr">
        <is>
          <t>2026.3Q</t>
        </is>
      </c>
      <c r="M86" s="5" t="inlineStr">
        <is>
          <t>2026.4Q</t>
        </is>
      </c>
      <c r="N86" s="5" t="inlineStr">
        <is>
          <t>2027.1Q</t>
        </is>
      </c>
      <c r="O86" s="5" t="inlineStr">
        <is>
          <t>2017</t>
        </is>
      </c>
      <c r="P86" s="5" t="inlineStr">
        <is>
          <t>2018</t>
        </is>
      </c>
      <c r="Q86" s="5" t="inlineStr">
        <is>
          <t>2019</t>
        </is>
      </c>
      <c r="R86" s="5" t="inlineStr">
        <is>
          <t>2020</t>
        </is>
      </c>
      <c r="S86" s="5" t="inlineStr">
        <is>
          <t>2021</t>
        </is>
      </c>
      <c r="T86" s="5" t="inlineStr">
        <is>
          <t>2022</t>
        </is>
      </c>
      <c r="U86" s="5" t="inlineStr">
        <is>
          <t>2023</t>
        </is>
      </c>
      <c r="V86" s="5" t="inlineStr">
        <is>
          <t>2024</t>
        </is>
      </c>
      <c r="W86" s="5" t="inlineStr">
        <is>
          <t>2025</t>
        </is>
      </c>
      <c r="X86" s="5" t="inlineStr">
        <is>
          <t>2026</t>
        </is>
      </c>
      <c r="Y86" s="5" t="inlineStr">
        <is>
          <t>2027(MW)</t>
        </is>
      </c>
      <c r="Z86" s="5" t="inlineStr">
        <is>
          <t>2028(MW)</t>
        </is>
      </c>
      <c r="AA86" s="5" t="inlineStr">
        <is>
          <t>2029(MW)</t>
        </is>
      </c>
      <c r="AB86" s="5" t="inlineStr">
        <is>
          <t>2030(MW)</t>
        </is>
      </c>
      <c r="AC86" s="5" t="inlineStr">
        <is>
          <t>2031(MW)</t>
        </is>
      </c>
    </row>
    <row r="87">
      <c r="A87" s="9" t="inlineStr">
        <is>
          <t>매출액</t>
        </is>
      </c>
      <c r="C87" s="12" t="n">
        <v>2745.34</v>
      </c>
      <c r="D87" s="12" t="n">
        <v>2546.089</v>
      </c>
      <c r="E87" s="12" t="n">
        <v>2141.472</v>
      </c>
      <c r="F87" s="12" t="n">
        <v>2122.621</v>
      </c>
      <c r="G87" s="12" t="n">
        <v>1895.451</v>
      </c>
      <c r="H87" s="12" t="n">
        <v>4182.649</v>
      </c>
      <c r="I87" s="12" t="n">
        <v>4454.463</v>
      </c>
      <c r="J87" s="12" t="n">
        <v>4466.913</v>
      </c>
      <c r="K87" s="12" t="n">
        <v>3771.727</v>
      </c>
      <c r="L87" s="12" t="n">
        <v>5062.656</v>
      </c>
      <c r="M87" s="12" t="n">
        <v>4246.482</v>
      </c>
      <c r="N87" s="12" t="n">
        <v>4355.148</v>
      </c>
      <c r="T87" s="12" t="n">
        <v>2450.48</v>
      </c>
      <c r="U87" s="12" t="n">
        <v>2420.076</v>
      </c>
      <c r="V87" s="12" t="n">
        <v>2141.472</v>
      </c>
      <c r="W87" s="12" t="n">
        <v>4454.463</v>
      </c>
      <c r="X87" s="12" t="n">
        <v>4246.482</v>
      </c>
    </row>
    <row r="88">
      <c r="A88" s="18" t="inlineStr">
        <is>
          <t>매출원가</t>
        </is>
      </c>
      <c r="C88" s="20" t="n">
        <v>1599.765</v>
      </c>
      <c r="D88" s="20" t="n">
        <v>1677.428</v>
      </c>
      <c r="E88" s="20" t="n">
        <v>1434.532</v>
      </c>
      <c r="F88" s="20" t="n">
        <v>1498.695</v>
      </c>
      <c r="G88" s="20" t="n">
        <v>1560.56</v>
      </c>
      <c r="H88" s="20" t="n">
        <v>2902.928</v>
      </c>
      <c r="I88" s="20" t="n">
        <v>3215.531</v>
      </c>
      <c r="J88" s="20" t="n">
        <v>3185.395</v>
      </c>
      <c r="K88" s="20" t="n">
        <v>2847.659</v>
      </c>
      <c r="L88" s="20" t="n">
        <v>3216.033</v>
      </c>
      <c r="M88" s="20" t="n">
        <v>2868.859</v>
      </c>
      <c r="N88" s="20" t="n">
        <v>2774.992</v>
      </c>
      <c r="T88" s="20" t="n">
        <v>1674.527</v>
      </c>
      <c r="U88" s="20" t="n">
        <v>1549.226</v>
      </c>
      <c r="V88" s="20" t="n">
        <v>1434.532</v>
      </c>
      <c r="W88" s="20" t="n">
        <v>3215.531</v>
      </c>
      <c r="X88" s="20" t="n">
        <v>2868.859</v>
      </c>
    </row>
    <row r="89">
      <c r="A89" s="9" t="inlineStr">
        <is>
          <t>매출총이익</t>
        </is>
      </c>
      <c r="C89" s="12" t="n">
        <v>1145.574</v>
      </c>
      <c r="D89" s="12" t="n">
        <v>868.6609999999999</v>
      </c>
      <c r="E89" s="12" t="n">
        <v>706.9400000000001</v>
      </c>
      <c r="F89" s="12" t="n">
        <v>623.925</v>
      </c>
      <c r="G89" s="12" t="n">
        <v>334.891</v>
      </c>
      <c r="H89" s="12" t="n">
        <v>1279.721</v>
      </c>
      <c r="I89" s="12" t="n">
        <v>1238.933</v>
      </c>
      <c r="J89" s="12" t="n">
        <v>1281.518</v>
      </c>
      <c r="K89" s="12" t="n">
        <v>924.067</v>
      </c>
      <c r="L89" s="12" t="n">
        <v>1846.624</v>
      </c>
      <c r="M89" s="12" t="n">
        <v>1377.622</v>
      </c>
      <c r="N89" s="12" t="n">
        <v>1580.155</v>
      </c>
      <c r="T89" s="12" t="n">
        <v>775.954</v>
      </c>
      <c r="U89" s="12" t="n">
        <v>870.849</v>
      </c>
      <c r="V89" s="12" t="n">
        <v>706.9400000000001</v>
      </c>
      <c r="W89" s="12" t="n">
        <v>1238.933</v>
      </c>
      <c r="X89" s="12" t="n">
        <v>1377.622</v>
      </c>
    </row>
    <row r="90">
      <c r="A90" s="18" t="inlineStr">
        <is>
          <t>판매비와 관리비</t>
        </is>
      </c>
      <c r="C90" s="20" t="n">
        <v>681.782</v>
      </c>
      <c r="D90" s="20" t="n">
        <v>551.5410000000001</v>
      </c>
      <c r="E90" s="20" t="n">
        <v>593.302</v>
      </c>
      <c r="F90" s="20" t="n">
        <v>691.712</v>
      </c>
      <c r="G90" s="20" t="n">
        <v>582.278</v>
      </c>
      <c r="H90" s="20" t="n">
        <v>991.54</v>
      </c>
      <c r="I90" s="20" t="n">
        <v>1099.931</v>
      </c>
      <c r="J90" s="20" t="n">
        <v>1363.241</v>
      </c>
      <c r="K90" s="20" t="n">
        <v>1417.184</v>
      </c>
      <c r="L90" s="20" t="n">
        <v>1174.899</v>
      </c>
      <c r="M90" s="20" t="n">
        <v>1065.79</v>
      </c>
      <c r="N90" s="20" t="n">
        <v>1057.292</v>
      </c>
      <c r="T90" s="20" t="n">
        <v>604.826</v>
      </c>
      <c r="U90" s="20" t="n">
        <v>690.115</v>
      </c>
      <c r="V90" s="20" t="n">
        <v>593.302</v>
      </c>
      <c r="W90" s="20" t="n">
        <v>1099.931</v>
      </c>
      <c r="X90" s="20" t="n">
        <v>1065.79</v>
      </c>
    </row>
    <row r="91">
      <c r="A91" s="9" t="inlineStr">
        <is>
          <t>영업이익(손실)</t>
        </is>
      </c>
      <c r="C91" s="12" t="n">
        <v>463.793</v>
      </c>
      <c r="D91" s="12" t="n">
        <v>317.119</v>
      </c>
      <c r="E91" s="12" t="n">
        <v>113.639</v>
      </c>
      <c r="F91" s="12" t="n">
        <v>-67.786</v>
      </c>
      <c r="G91" s="12" t="n">
        <v>-247.387</v>
      </c>
      <c r="H91" s="12" t="n">
        <v>288.181</v>
      </c>
      <c r="I91" s="12" t="n">
        <v>139</v>
      </c>
      <c r="J91" s="12" t="n">
        <v>-81.723</v>
      </c>
      <c r="K91" s="12" t="n">
        <v>-493.116</v>
      </c>
      <c r="L91" s="12" t="n">
        <v>671.723</v>
      </c>
      <c r="M91" s="12" t="n">
        <v>311.833</v>
      </c>
      <c r="N91" s="12" t="n">
        <v>522.862</v>
      </c>
      <c r="T91" s="12" t="n">
        <v>171.128</v>
      </c>
      <c r="U91" s="12" t="n">
        <v>180.734</v>
      </c>
      <c r="V91" s="12" t="n">
        <v>113.639</v>
      </c>
      <c r="W91" s="12" t="n">
        <v>139</v>
      </c>
      <c r="X91" s="12" t="n">
        <v>311.833</v>
      </c>
    </row>
    <row r="92">
      <c r="A92" s="18" t="inlineStr">
        <is>
          <t>이자수익</t>
        </is>
      </c>
      <c r="C92" s="20" t="n">
        <v>0.028</v>
      </c>
      <c r="D92" s="20" t="n">
        <v>0.001</v>
      </c>
      <c r="E92" s="20" t="n">
        <v>0.023</v>
      </c>
      <c r="F92" s="20" t="n">
        <v>0.002</v>
      </c>
      <c r="G92" s="20" t="n">
        <v>0.658</v>
      </c>
      <c r="H92" s="20" t="n">
        <v>0.025</v>
      </c>
      <c r="I92" s="20" t="n">
        <v>2.635</v>
      </c>
      <c r="J92" s="20" t="n">
        <v>0.346</v>
      </c>
      <c r="K92" s="20" t="n">
        <v>4.016</v>
      </c>
      <c r="L92" s="20" t="n">
        <v>0.669</v>
      </c>
      <c r="M92" s="20" t="n">
        <v>3.672</v>
      </c>
      <c r="N92" s="20" t="n">
        <v>0.674</v>
      </c>
      <c r="T92" s="20" t="n">
        <v>0.026</v>
      </c>
      <c r="U92" s="20" t="n">
        <v>0.03</v>
      </c>
      <c r="V92" s="20" t="n">
        <v>0.023</v>
      </c>
      <c r="W92" s="20" t="n">
        <v>2.635</v>
      </c>
      <c r="X92" s="20" t="n">
        <v>3.672</v>
      </c>
    </row>
    <row r="93">
      <c r="A93" s="18" t="inlineStr">
        <is>
          <t>배당금수익</t>
        </is>
      </c>
      <c r="C93" s="20" t="n">
        <v>0</v>
      </c>
      <c r="D93" s="20" t="n">
        <v>0</v>
      </c>
      <c r="E93" s="20" t="n">
        <v>0</v>
      </c>
      <c r="F93" s="20" t="n">
        <v>0</v>
      </c>
      <c r="G93" s="20" t="n">
        <v>0</v>
      </c>
      <c r="H93" s="20" t="n">
        <v>0</v>
      </c>
      <c r="I93" s="20" t="n">
        <v>0</v>
      </c>
      <c r="T93" s="20" t="n">
        <v>0</v>
      </c>
      <c r="U93" s="20" t="n">
        <v>0</v>
      </c>
      <c r="V93" s="20" t="n">
        <v>0</v>
      </c>
      <c r="W93" s="20" t="n">
        <v>0</v>
      </c>
    </row>
    <row r="94">
      <c r="A94" s="18" t="inlineStr">
        <is>
          <t>Interest On Refund NOI</t>
        </is>
      </c>
      <c r="D94" s="20" t="n">
        <v>0</v>
      </c>
      <c r="E94" s="20" t="n">
        <v>0</v>
      </c>
      <c r="H94" s="20" t="n">
        <v>0</v>
      </c>
      <c r="I94" s="20" t="n">
        <v>0</v>
      </c>
      <c r="L94" s="20" t="n">
        <v>0</v>
      </c>
      <c r="M94" s="20" t="n">
        <v>0</v>
      </c>
      <c r="V94" s="20" t="n">
        <v>0</v>
      </c>
      <c r="W94" s="20" t="n">
        <v>0</v>
      </c>
      <c r="X94" s="20" t="n">
        <v>0</v>
      </c>
    </row>
    <row r="95">
      <c r="A95" s="18" t="inlineStr">
        <is>
          <t>Fiduciary Obligation Fee NOI</t>
        </is>
      </c>
      <c r="J95" s="20" t="n">
        <v>0</v>
      </c>
      <c r="N95" s="20" t="n">
        <v>3.4</v>
      </c>
    </row>
    <row r="96">
      <c r="A96" s="18" t="inlineStr">
        <is>
          <t>Gain On Investments In Capital NOI</t>
        </is>
      </c>
      <c r="C96" s="20" t="n">
        <v>-1.731</v>
      </c>
      <c r="D96" s="20" t="n">
        <v>0.125</v>
      </c>
      <c r="F96" s="20" t="n">
        <v>0</v>
      </c>
      <c r="G96" s="20" t="n">
        <v>0</v>
      </c>
      <c r="H96" s="20" t="n">
        <v>0</v>
      </c>
      <c r="J96" s="20" t="n">
        <v>0.183</v>
      </c>
      <c r="K96" s="20" t="n">
        <v>0.029</v>
      </c>
      <c r="N96" s="20" t="n">
        <v>0.139</v>
      </c>
      <c r="U96" s="20" t="n">
        <v>0</v>
      </c>
    </row>
    <row r="97">
      <c r="A97" s="18" t="inlineStr">
        <is>
          <t>외환차익</t>
        </is>
      </c>
      <c r="J97" s="20" t="n">
        <v>0</v>
      </c>
      <c r="N97" s="20" t="n">
        <v>3.529</v>
      </c>
    </row>
    <row r="98">
      <c r="A98" s="18" t="inlineStr">
        <is>
          <t>기타</t>
        </is>
      </c>
      <c r="C98" s="20" t="n">
        <v>-0.008999999999999999</v>
      </c>
      <c r="D98" s="20" t="n">
        <v>0.023</v>
      </c>
      <c r="E98" s="20" t="n">
        <v>0.043</v>
      </c>
      <c r="F98" s="20" t="n">
        <v>0.038</v>
      </c>
      <c r="G98" s="20" t="n">
        <v>0.493</v>
      </c>
      <c r="H98" s="20" t="n">
        <v>0.417</v>
      </c>
      <c r="I98" s="20" t="n">
        <v>-0.332</v>
      </c>
      <c r="J98" s="20" t="n">
        <v>0.004</v>
      </c>
      <c r="K98" s="20" t="n">
        <v>0.662</v>
      </c>
      <c r="L98" s="20" t="n">
        <v>0.695</v>
      </c>
      <c r="M98" s="20" t="n">
        <v>5.76</v>
      </c>
      <c r="N98" s="20" t="n">
        <v>0.518</v>
      </c>
      <c r="T98" s="20" t="n">
        <v>0.083</v>
      </c>
      <c r="U98" s="20" t="n">
        <v>-0.218</v>
      </c>
      <c r="V98" s="20" t="n">
        <v>0.043</v>
      </c>
      <c r="W98" s="20" t="n">
        <v>-0.332</v>
      </c>
      <c r="X98" s="20" t="n">
        <v>5.76</v>
      </c>
    </row>
    <row r="99">
      <c r="A99" s="18" t="inlineStr">
        <is>
          <t>영업외수익 합계</t>
        </is>
      </c>
      <c r="C99" s="20" t="n">
        <v>-1.711</v>
      </c>
      <c r="D99" s="20" t="n">
        <v>0.147</v>
      </c>
      <c r="E99" s="20" t="n">
        <v>-1.673</v>
      </c>
      <c r="F99" s="20" t="n">
        <v>0.04</v>
      </c>
      <c r="G99" s="20" t="n">
        <v>2.912</v>
      </c>
      <c r="H99" s="20" t="n">
        <v>10.443</v>
      </c>
      <c r="I99" s="20" t="n">
        <v>16.671</v>
      </c>
      <c r="J99" s="20" t="n">
        <v>0.534</v>
      </c>
      <c r="K99" s="20" t="n">
        <v>4.707</v>
      </c>
      <c r="L99" s="20" t="n">
        <v>1.151</v>
      </c>
      <c r="M99" s="20" t="n">
        <v>40.692</v>
      </c>
      <c r="N99" s="20" t="n">
        <v>8.262</v>
      </c>
      <c r="T99" s="20" t="n">
        <v>0.718</v>
      </c>
      <c r="U99" s="20" t="n">
        <v>-0.188</v>
      </c>
      <c r="V99" s="20" t="n">
        <v>-1.673</v>
      </c>
      <c r="W99" s="20" t="n">
        <v>16.671</v>
      </c>
      <c r="X99" s="20" t="n">
        <v>40.692</v>
      </c>
    </row>
    <row r="100">
      <c r="A100" s="18" t="inlineStr">
        <is>
          <t>이자비용</t>
        </is>
      </c>
      <c r="C100" s="20" t="n">
        <v>10.091</v>
      </c>
      <c r="D100" s="20" t="n">
        <v>9.807</v>
      </c>
      <c r="E100" s="20" t="n">
        <v>14.15</v>
      </c>
      <c r="F100" s="20" t="n">
        <v>18.981</v>
      </c>
      <c r="G100" s="20" t="n">
        <v>19.341</v>
      </c>
      <c r="H100" s="20" t="n">
        <v>19.175</v>
      </c>
      <c r="I100" s="20" t="n">
        <v>19.879</v>
      </c>
      <c r="J100" s="20" t="n">
        <v>20.919</v>
      </c>
      <c r="K100" s="20" t="n">
        <v>19.055</v>
      </c>
      <c r="L100" s="20" t="n">
        <v>17.7</v>
      </c>
      <c r="M100" s="20" t="n">
        <v>17.984</v>
      </c>
      <c r="N100" s="20" t="n">
        <v>17.423</v>
      </c>
      <c r="T100" s="20" t="n">
        <v>10.651</v>
      </c>
      <c r="U100" s="20" t="n">
        <v>10.453</v>
      </c>
      <c r="V100" s="20" t="n">
        <v>14.15</v>
      </c>
      <c r="W100" s="20" t="n">
        <v>19.879</v>
      </c>
      <c r="X100" s="20" t="n">
        <v>17.984</v>
      </c>
    </row>
    <row r="101">
      <c r="A101" s="18" t="inlineStr">
        <is>
          <t>지급수수료</t>
        </is>
      </c>
      <c r="C101" s="20" t="n">
        <v>0.735</v>
      </c>
      <c r="D101" s="20" t="n">
        <v>31.754</v>
      </c>
      <c r="E101" s="20" t="n">
        <v>31.08</v>
      </c>
      <c r="F101" s="20" t="n">
        <v>0.996</v>
      </c>
      <c r="G101" s="20" t="n">
        <v>0.989</v>
      </c>
      <c r="H101" s="20" t="n">
        <v>0.99</v>
      </c>
      <c r="I101" s="20" t="n">
        <v>2.994</v>
      </c>
      <c r="J101" s="20" t="n">
        <v>1.011</v>
      </c>
      <c r="K101" s="20" t="n">
        <v>1.047</v>
      </c>
      <c r="L101" s="20" t="n">
        <v>1.052</v>
      </c>
      <c r="M101" s="20" t="n">
        <v>1.064</v>
      </c>
      <c r="N101" s="20" t="n">
        <v>1.505</v>
      </c>
      <c r="T101" s="20" t="n">
        <v>1.249</v>
      </c>
      <c r="U101" s="20" t="n">
        <v>0.67</v>
      </c>
      <c r="V101" s="20" t="n">
        <v>31.08</v>
      </c>
      <c r="W101" s="20" t="n">
        <v>2.994</v>
      </c>
      <c r="X101" s="20" t="n">
        <v>1.064</v>
      </c>
    </row>
    <row r="102">
      <c r="A102" s="18" t="inlineStr">
        <is>
          <t>외환차손</t>
        </is>
      </c>
      <c r="F102" s="20" t="n">
        <v>0.156</v>
      </c>
      <c r="J102" s="20" t="n">
        <v>4.484</v>
      </c>
      <c r="N102" s="20" t="n">
        <v>0</v>
      </c>
      <c r="T102" s="20" t="n">
        <v>-0.005</v>
      </c>
      <c r="U102" s="20" t="n">
        <v>0.482</v>
      </c>
    </row>
    <row r="103">
      <c r="A103" s="18" t="inlineStr">
        <is>
          <t>기타</t>
        </is>
      </c>
      <c r="C103" s="20" t="n">
        <v>0</v>
      </c>
      <c r="D103" s="20" t="n">
        <v>0.079</v>
      </c>
      <c r="E103" s="20" t="n">
        <v>1.453</v>
      </c>
      <c r="F103" s="20" t="n">
        <v>0.571</v>
      </c>
      <c r="G103" s="20" t="n">
        <v>1.185</v>
      </c>
      <c r="H103" s="20" t="n">
        <v>2.765</v>
      </c>
      <c r="I103" s="20" t="n">
        <v>0.696</v>
      </c>
      <c r="J103" s="20" t="n">
        <v>0</v>
      </c>
      <c r="K103" s="20" t="n">
        <v>5.233</v>
      </c>
      <c r="L103" s="20" t="n">
        <v>-2.973</v>
      </c>
      <c r="M103" s="20" t="n">
        <v>10.798</v>
      </c>
      <c r="T103" s="20" t="n">
        <v>-0.99</v>
      </c>
      <c r="U103" s="20" t="n">
        <v>1.849</v>
      </c>
      <c r="V103" s="20" t="n">
        <v>1.453</v>
      </c>
      <c r="W103" s="20" t="n">
        <v>0.696</v>
      </c>
      <c r="X103" s="20" t="n">
        <v>10.798</v>
      </c>
    </row>
    <row r="104">
      <c r="A104" s="18" t="inlineStr">
        <is>
          <t>영업외비용 합계</t>
        </is>
      </c>
      <c r="C104" s="20" t="n">
        <v>10.826</v>
      </c>
      <c r="D104" s="20" t="n">
        <v>41.641</v>
      </c>
      <c r="E104" s="20" t="n">
        <v>48.005</v>
      </c>
      <c r="F104" s="20" t="n">
        <v>20.706</v>
      </c>
      <c r="G104" s="20" t="n">
        <v>21.358</v>
      </c>
      <c r="H104" s="20" t="n">
        <v>22.929</v>
      </c>
      <c r="I104" s="20" t="n">
        <v>23.775</v>
      </c>
      <c r="J104" s="20" t="n">
        <v>26.416</v>
      </c>
      <c r="K104" s="20" t="n">
        <v>20.851</v>
      </c>
      <c r="L104" s="20" t="n">
        <v>15.778</v>
      </c>
      <c r="M104" s="20" t="n">
        <v>73.846</v>
      </c>
      <c r="N104" s="20" t="n">
        <v>18.929</v>
      </c>
      <c r="T104" s="20" t="n">
        <v>10.905</v>
      </c>
      <c r="U104" s="20" t="n">
        <v>13.455</v>
      </c>
      <c r="V104" s="20" t="n">
        <v>48.005</v>
      </c>
      <c r="W104" s="20" t="n">
        <v>23.775</v>
      </c>
      <c r="X104" s="20" t="n">
        <v>73.846</v>
      </c>
    </row>
    <row r="105">
      <c r="A105" s="9" t="inlineStr">
        <is>
          <t>경상이익(손실)</t>
        </is>
      </c>
      <c r="C105" s="12" t="n">
        <v>451.256</v>
      </c>
      <c r="D105" s="12" t="n">
        <v>275.626</v>
      </c>
      <c r="E105" s="12" t="n">
        <v>63.961</v>
      </c>
      <c r="F105" s="12" t="n">
        <v>-88.452</v>
      </c>
      <c r="G105" s="12" t="n">
        <v>-265.834</v>
      </c>
      <c r="H105" s="12" t="n">
        <v>275.695</v>
      </c>
      <c r="I105" s="12" t="n">
        <v>131.897</v>
      </c>
      <c r="J105" s="12" t="n">
        <v>-107.604</v>
      </c>
      <c r="K105" s="12" t="n">
        <v>-509.261</v>
      </c>
      <c r="L105" s="12" t="n">
        <v>657.097</v>
      </c>
      <c r="M105" s="12" t="n">
        <v>278.679</v>
      </c>
      <c r="N105" s="12" t="n">
        <v>512.1950000000001</v>
      </c>
      <c r="T105" s="12" t="n">
        <v>160.941</v>
      </c>
      <c r="U105" s="12" t="n">
        <v>167.092</v>
      </c>
      <c r="V105" s="12" t="n">
        <v>63.961</v>
      </c>
      <c r="W105" s="12" t="n">
        <v>131.897</v>
      </c>
      <c r="X105" s="12" t="n">
        <v>278.679</v>
      </c>
    </row>
    <row r="106">
      <c r="A106" s="18" t="inlineStr">
        <is>
          <t>신주예약권 환입이익</t>
        </is>
      </c>
      <c r="T106" s="20" t="n">
        <v>0</v>
      </c>
      <c r="U106" s="20" t="n">
        <v>0</v>
      </c>
    </row>
    <row r="107">
      <c r="A107" s="18" t="inlineStr">
        <is>
          <t>특별이익 합계</t>
        </is>
      </c>
      <c r="I107" s="20" t="n">
        <v>0</v>
      </c>
      <c r="M107" s="20" t="n">
        <v>2582.999</v>
      </c>
      <c r="T107" s="20" t="n">
        <v>0</v>
      </c>
      <c r="U107" s="20" t="n">
        <v>0</v>
      </c>
      <c r="W107" s="20" t="n">
        <v>0</v>
      </c>
      <c r="X107" s="20" t="n">
        <v>2582.999</v>
      </c>
    </row>
    <row r="108">
      <c r="A108" s="18" t="inlineStr">
        <is>
          <t>손상차손</t>
        </is>
      </c>
      <c r="C108" s="20" t="n">
        <v>192.857</v>
      </c>
      <c r="D108" s="20" t="n">
        <v>0</v>
      </c>
      <c r="E108" s="20" t="n">
        <v>137.049</v>
      </c>
      <c r="F108" s="20" t="n">
        <v>0</v>
      </c>
      <c r="G108" s="20" t="n">
        <v>601.886</v>
      </c>
      <c r="H108" s="20" t="n">
        <v>0</v>
      </c>
      <c r="I108" s="20" t="n">
        <v>520</v>
      </c>
      <c r="J108" s="20" t="n">
        <v>1563.462</v>
      </c>
      <c r="K108" s="20" t="n">
        <v>0</v>
      </c>
      <c r="L108" s="20" t="n">
        <v>0</v>
      </c>
      <c r="M108" s="20" t="n">
        <v>488.396</v>
      </c>
      <c r="N108" s="20" t="n">
        <v>0</v>
      </c>
      <c r="T108" s="20" t="n">
        <v>209.709</v>
      </c>
      <c r="U108" s="20" t="n">
        <v>50</v>
      </c>
      <c r="V108" s="20" t="n">
        <v>137.049</v>
      </c>
      <c r="W108" s="20" t="n">
        <v>520</v>
      </c>
      <c r="X108" s="20" t="n">
        <v>488.396</v>
      </c>
    </row>
    <row r="109">
      <c r="A109" s="18" t="inlineStr">
        <is>
          <t>특별손실 합계</t>
        </is>
      </c>
      <c r="C109" s="20" t="n">
        <v>192.857</v>
      </c>
      <c r="D109" s="20" t="n">
        <v>0</v>
      </c>
      <c r="E109" s="20" t="n">
        <v>137.049</v>
      </c>
      <c r="F109" s="20" t="n">
        <v>0</v>
      </c>
      <c r="G109" s="20" t="n">
        <v>601.886</v>
      </c>
      <c r="H109" s="20" t="n">
        <v>0</v>
      </c>
      <c r="I109" s="20" t="n">
        <v>569.92</v>
      </c>
      <c r="J109" s="20" t="n">
        <v>1563.462</v>
      </c>
      <c r="K109" s="20" t="n">
        <v>0</v>
      </c>
      <c r="L109" s="20" t="n">
        <v>0</v>
      </c>
      <c r="M109" s="20" t="n">
        <v>488.396</v>
      </c>
      <c r="N109" s="20" t="n">
        <v>0</v>
      </c>
      <c r="T109" s="20" t="n">
        <v>306</v>
      </c>
      <c r="U109" s="20" t="n">
        <v>50</v>
      </c>
      <c r="V109" s="20" t="n">
        <v>137.049</v>
      </c>
      <c r="W109" s="20" t="n">
        <v>569.92</v>
      </c>
      <c r="X109" s="20" t="n">
        <v>488.396</v>
      </c>
    </row>
    <row r="110">
      <c r="A110" s="9" t="inlineStr">
        <is>
          <t>법인세차감전 중간순이익(손실)</t>
        </is>
      </c>
      <c r="C110" s="12" t="n">
        <v>258.398</v>
      </c>
      <c r="D110" s="12" t="n">
        <v>275.625</v>
      </c>
      <c r="E110" s="12" t="n">
        <v>-73.08799999999999</v>
      </c>
      <c r="F110" s="12" t="n">
        <v>-88.452</v>
      </c>
      <c r="G110" s="12" t="n">
        <v>-867.72</v>
      </c>
      <c r="H110" s="12" t="n">
        <v>275.695</v>
      </c>
      <c r="I110" s="12" t="n">
        <v>-438.023</v>
      </c>
      <c r="J110" s="12" t="n">
        <v>-1671.067</v>
      </c>
      <c r="K110" s="12" t="n">
        <v>-509.26</v>
      </c>
      <c r="L110" s="12" t="n">
        <v>659.612</v>
      </c>
      <c r="M110" s="12" t="n">
        <v>2373.282</v>
      </c>
      <c r="N110" s="12" t="n">
        <v>512.1950000000001</v>
      </c>
      <c r="T110" s="12" t="n">
        <v>-145.059</v>
      </c>
      <c r="U110" s="12" t="n">
        <v>117.091</v>
      </c>
      <c r="V110" s="12" t="n">
        <v>-73.08799999999999</v>
      </c>
      <c r="W110" s="12" t="n">
        <v>-438.023</v>
      </c>
      <c r="X110" s="12" t="n">
        <v>2373.282</v>
      </c>
    </row>
    <row r="111">
      <c r="A111" s="18" t="inlineStr">
        <is>
          <t>법인세·주민세·사업세</t>
        </is>
      </c>
      <c r="C111" s="20" t="n">
        <v>88.31399999999999</v>
      </c>
      <c r="D111" s="20" t="n">
        <v>-31.905</v>
      </c>
      <c r="E111" s="20" t="n">
        <v>26.24</v>
      </c>
      <c r="F111" s="20" t="n">
        <v>22.959</v>
      </c>
      <c r="G111" s="20" t="n">
        <v>42.316</v>
      </c>
      <c r="H111" s="20" t="n">
        <v>60.46</v>
      </c>
      <c r="I111" s="20" t="n">
        <v>24.253</v>
      </c>
      <c r="J111" s="20" t="n">
        <v>20.975</v>
      </c>
      <c r="K111" s="20" t="n">
        <v>36.497</v>
      </c>
      <c r="L111" s="20" t="n">
        <v>58.762</v>
      </c>
      <c r="M111" s="20" t="n">
        <v>492.318</v>
      </c>
      <c r="N111" s="20" t="n">
        <v>193.092</v>
      </c>
      <c r="T111" s="20" t="n">
        <v>83.306</v>
      </c>
      <c r="U111" s="20" t="n">
        <v>155.92</v>
      </c>
      <c r="V111" s="20" t="n">
        <v>26.24</v>
      </c>
      <c r="W111" s="20" t="n">
        <v>24.253</v>
      </c>
      <c r="X111" s="20" t="n">
        <v>492.318</v>
      </c>
    </row>
    <row r="112">
      <c r="A112" s="18" t="inlineStr">
        <is>
          <t>법인세 조정액</t>
        </is>
      </c>
      <c r="C112" s="20" t="n">
        <v>-103.229</v>
      </c>
      <c r="D112" s="20" t="n">
        <v>40.087</v>
      </c>
      <c r="E112" s="20" t="n">
        <v>-106.543</v>
      </c>
      <c r="F112" s="20" t="n">
        <v>41.571</v>
      </c>
      <c r="G112" s="20" t="n">
        <v>-42.082</v>
      </c>
      <c r="H112" s="20" t="n">
        <v>16.723</v>
      </c>
      <c r="I112" s="20" t="n">
        <v>-251.019</v>
      </c>
      <c r="J112" s="20" t="n">
        <v>106.304</v>
      </c>
      <c r="K112" s="20" t="n">
        <v>17.364</v>
      </c>
      <c r="L112" s="20" t="n">
        <v>-20.497</v>
      </c>
      <c r="M112" s="20" t="n">
        <v>-74.306</v>
      </c>
      <c r="N112" s="20" t="n">
        <v>-4.699</v>
      </c>
      <c r="T112" s="20" t="n">
        <v>-182.737</v>
      </c>
      <c r="U112" s="20" t="n">
        <v>-31.773</v>
      </c>
      <c r="V112" s="20" t="n">
        <v>-106.543</v>
      </c>
      <c r="W112" s="20" t="n">
        <v>-251.019</v>
      </c>
      <c r="X112" s="20" t="n">
        <v>-74.306</v>
      </c>
    </row>
    <row r="113">
      <c r="A113" s="18" t="inlineStr">
        <is>
          <t>법인세 등 합계</t>
        </is>
      </c>
      <c r="C113" s="20" t="n">
        <v>-14.915</v>
      </c>
      <c r="D113" s="20" t="n">
        <v>8.182</v>
      </c>
      <c r="E113" s="20" t="n">
        <v>-80.303</v>
      </c>
      <c r="F113" s="20" t="n">
        <v>64.53</v>
      </c>
      <c r="G113" s="20" t="n">
        <v>0.234</v>
      </c>
      <c r="H113" s="20" t="n">
        <v>77.184</v>
      </c>
      <c r="I113" s="20" t="n">
        <v>-226.767</v>
      </c>
      <c r="J113" s="20" t="n">
        <v>127.279</v>
      </c>
      <c r="K113" s="20" t="n">
        <v>53.862</v>
      </c>
      <c r="L113" s="20" t="n">
        <v>38.265</v>
      </c>
      <c r="M113" s="20" t="n">
        <v>418.011</v>
      </c>
      <c r="N113" s="20" t="n">
        <v>188.393</v>
      </c>
      <c r="T113" s="20" t="n">
        <v>-99.432</v>
      </c>
      <c r="U113" s="20" t="n">
        <v>124.145</v>
      </c>
      <c r="V113" s="20" t="n">
        <v>-80.303</v>
      </c>
      <c r="W113" s="20" t="n">
        <v>-226.767</v>
      </c>
      <c r="X113" s="20" t="n">
        <v>418.011</v>
      </c>
    </row>
    <row r="114">
      <c r="A114" s="9" t="inlineStr">
        <is>
          <t>중간순이익(손실)</t>
        </is>
      </c>
      <c r="C114" s="12" t="n">
        <v>273.314</v>
      </c>
      <c r="D114" s="12" t="n">
        <v>267.443</v>
      </c>
      <c r="E114" s="12" t="n">
        <v>7.215</v>
      </c>
      <c r="F114" s="12" t="n">
        <v>-152.983</v>
      </c>
      <c r="G114" s="12" t="n">
        <v>-867.954</v>
      </c>
      <c r="H114" s="12" t="n">
        <v>198.511</v>
      </c>
      <c r="I114" s="12" t="n">
        <v>-211.255</v>
      </c>
      <c r="J114" s="12" t="n">
        <v>-1798.346</v>
      </c>
      <c r="K114" s="12" t="n">
        <v>-563.123</v>
      </c>
      <c r="L114" s="12" t="n">
        <v>621.348</v>
      </c>
      <c r="M114" s="12" t="n">
        <v>1955.27</v>
      </c>
      <c r="N114" s="12" t="n">
        <v>323.802</v>
      </c>
      <c r="T114" s="12" t="n">
        <v>-45.627</v>
      </c>
      <c r="U114" s="12" t="n">
        <v>-7.054</v>
      </c>
      <c r="V114" s="12" t="n">
        <v>7.215</v>
      </c>
      <c r="W114" s="12" t="n">
        <v>-211.255</v>
      </c>
      <c r="X114" s="12" t="n">
        <v>1955.27</v>
      </c>
    </row>
    <row r="115">
      <c r="A115" s="9" t="inlineStr">
        <is>
          <t>비지배주주 순이익</t>
        </is>
      </c>
      <c r="C115" s="12" t="n">
        <v>0.87</v>
      </c>
      <c r="D115" s="12" t="n">
        <v>0.6870000000000001</v>
      </c>
      <c r="E115" s="12" t="n">
        <v>0.5570000000000001</v>
      </c>
      <c r="F115" s="12" t="n">
        <v>0.644</v>
      </c>
      <c r="G115" s="12" t="n">
        <v>0.446</v>
      </c>
      <c r="H115" s="12" t="n">
        <v>0.41</v>
      </c>
      <c r="I115" s="12" t="n">
        <v>0.387</v>
      </c>
      <c r="J115" s="12" t="n">
        <v>0.722</v>
      </c>
      <c r="K115" s="12" t="n">
        <v>0.203</v>
      </c>
      <c r="L115" s="12" t="n">
        <v>0.304</v>
      </c>
      <c r="M115" s="12" t="n">
        <v>0.25</v>
      </c>
      <c r="N115" s="12" t="n">
        <v>0.472</v>
      </c>
      <c r="T115" s="12" t="n">
        <v>0.328</v>
      </c>
      <c r="U115" s="12" t="n">
        <v>0.544</v>
      </c>
      <c r="V115" s="12" t="n">
        <v>0.5570000000000001</v>
      </c>
      <c r="W115" s="12" t="n">
        <v>0.387</v>
      </c>
      <c r="X115" s="12" t="n">
        <v>0.25</v>
      </c>
    </row>
    <row r="116">
      <c r="A116" s="9" t="inlineStr">
        <is>
          <t>지배주주 귀속 중간순이익(손실)</t>
        </is>
      </c>
      <c r="C116" s="12" t="n">
        <v>272.444</v>
      </c>
      <c r="D116" s="12" t="n">
        <v>266.756</v>
      </c>
      <c r="E116" s="12" t="n">
        <v>6.658</v>
      </c>
      <c r="F116" s="12" t="n">
        <v>-153.628</v>
      </c>
      <c r="G116" s="12" t="n">
        <v>-868.4</v>
      </c>
      <c r="H116" s="12" t="n">
        <v>198.102</v>
      </c>
      <c r="I116" s="12" t="n">
        <v>-211.643</v>
      </c>
      <c r="J116" s="12" t="n">
        <v>-1799.068</v>
      </c>
      <c r="K116" s="12" t="n">
        <v>-563.327</v>
      </c>
      <c r="L116" s="12" t="n">
        <v>621.045</v>
      </c>
      <c r="M116" s="12" t="n">
        <v>1955.019</v>
      </c>
      <c r="N116" s="12" t="n">
        <v>323.33</v>
      </c>
      <c r="T116" s="12" t="n">
        <v>-45.956</v>
      </c>
      <c r="U116" s="12" t="n">
        <v>-7.598</v>
      </c>
      <c r="V116" s="12" t="n">
        <v>6.658</v>
      </c>
      <c r="W116" s="12" t="n">
        <v>-211.643</v>
      </c>
      <c r="X116" s="12" t="n">
        <v>1955.019</v>
      </c>
    </row>
    <row r="118">
      <c r="A118" s="16" t="inlineStr">
        <is>
          <t>포괄손익 · 전 항목</t>
        </is>
      </c>
      <c r="B118" s="42" t="inlineStr">
        <is>
          <t>분기 = 3개월 단독</t>
        </is>
      </c>
      <c r="C118" s="16" t="n"/>
      <c r="D118" s="16" t="n"/>
      <c r="E118" s="16" t="n"/>
      <c r="F118" s="16" t="n"/>
      <c r="G118" s="16" t="n"/>
      <c r="H118" s="16" t="n"/>
      <c r="I118" s="16" t="n"/>
      <c r="J118" s="16" t="n"/>
      <c r="K118" s="16" t="n"/>
      <c r="L118" s="16" t="n"/>
      <c r="M118" s="16" t="n"/>
      <c r="N118" s="16" t="n"/>
      <c r="O118" s="16" t="n"/>
      <c r="P118" s="16" t="n"/>
      <c r="Q118" s="16" t="n"/>
      <c r="R118" s="16" t="n"/>
      <c r="S118" s="16" t="n"/>
      <c r="T118" s="16" t="n"/>
      <c r="U118" s="16" t="n"/>
      <c r="V118" s="16" t="n"/>
      <c r="W118" s="16" t="n"/>
      <c r="X118" s="16" t="n"/>
      <c r="Y118" s="16" t="n"/>
      <c r="Z118" s="16" t="n"/>
      <c r="AA118" s="16" t="n"/>
      <c r="AB118" s="16" t="n"/>
      <c r="AC118" s="16" t="n"/>
    </row>
    <row r="119">
      <c r="A119" s="5" t="inlineStr">
        <is>
          <t>항목</t>
        </is>
      </c>
      <c r="B119" s="5" t="inlineStr">
        <is>
          <t>참고</t>
        </is>
      </c>
      <c r="C119" s="5" t="inlineStr">
        <is>
          <t>2024.2Q</t>
        </is>
      </c>
      <c r="D119" s="5" t="inlineStr">
        <is>
          <t>2024.3Q</t>
        </is>
      </c>
      <c r="E119" s="5" t="inlineStr">
        <is>
          <t>2024.4Q</t>
        </is>
      </c>
      <c r="F119" s="5" t="inlineStr">
        <is>
          <t>2025.1Q</t>
        </is>
      </c>
      <c r="G119" s="5" t="inlineStr">
        <is>
          <t>2025.2Q</t>
        </is>
      </c>
      <c r="H119" s="5" t="inlineStr">
        <is>
          <t>2025.3Q</t>
        </is>
      </c>
      <c r="I119" s="5" t="inlineStr">
        <is>
          <t>2025.4Q</t>
        </is>
      </c>
      <c r="J119" s="5" t="inlineStr">
        <is>
          <t>2026.1Q</t>
        </is>
      </c>
      <c r="K119" s="5" t="inlineStr">
        <is>
          <t>2026.2Q</t>
        </is>
      </c>
      <c r="L119" s="5" t="inlineStr">
        <is>
          <t>2026.3Q</t>
        </is>
      </c>
      <c r="M119" s="5" t="inlineStr">
        <is>
          <t>2026.4Q</t>
        </is>
      </c>
      <c r="N119" s="5" t="inlineStr">
        <is>
          <t>2027.1Q</t>
        </is>
      </c>
      <c r="O119" s="5" t="inlineStr">
        <is>
          <t>2017</t>
        </is>
      </c>
      <c r="P119" s="5" t="inlineStr">
        <is>
          <t>2018</t>
        </is>
      </c>
      <c r="Q119" s="5" t="inlineStr">
        <is>
          <t>2019</t>
        </is>
      </c>
      <c r="R119" s="5" t="inlineStr">
        <is>
          <t>2020</t>
        </is>
      </c>
      <c r="S119" s="5" t="inlineStr">
        <is>
          <t>2021</t>
        </is>
      </c>
      <c r="T119" s="5" t="inlineStr">
        <is>
          <t>2022</t>
        </is>
      </c>
      <c r="U119" s="5" t="inlineStr">
        <is>
          <t>2023</t>
        </is>
      </c>
      <c r="V119" s="5" t="inlineStr">
        <is>
          <t>2024</t>
        </is>
      </c>
      <c r="W119" s="5" t="inlineStr">
        <is>
          <t>2025</t>
        </is>
      </c>
      <c r="X119" s="5" t="inlineStr">
        <is>
          <t>2026</t>
        </is>
      </c>
      <c r="Y119" s="5" t="inlineStr">
        <is>
          <t>2027(MW)</t>
        </is>
      </c>
      <c r="Z119" s="5" t="inlineStr">
        <is>
          <t>2028(MW)</t>
        </is>
      </c>
      <c r="AA119" s="5" t="inlineStr">
        <is>
          <t>2029(MW)</t>
        </is>
      </c>
      <c r="AB119" s="5" t="inlineStr">
        <is>
          <t>2030(MW)</t>
        </is>
      </c>
      <c r="AC119" s="5" t="inlineStr">
        <is>
          <t>2031(MW)</t>
        </is>
      </c>
    </row>
    <row r="120">
      <c r="A120" s="9" t="inlineStr">
        <is>
          <t>중간순이익(손실)</t>
        </is>
      </c>
      <c r="C120" s="12" t="n">
        <v>273.314</v>
      </c>
      <c r="D120" s="12" t="n">
        <v>267.443</v>
      </c>
      <c r="E120" s="12" t="n">
        <v>7.215</v>
      </c>
      <c r="F120" s="12" t="n">
        <v>-152.983</v>
      </c>
      <c r="G120" s="12" t="n">
        <v>-867.954</v>
      </c>
      <c r="H120" s="12" t="n">
        <v>198.511</v>
      </c>
      <c r="I120" s="12" t="n">
        <v>-211.255</v>
      </c>
      <c r="J120" s="12" t="n">
        <v>-1798.346</v>
      </c>
      <c r="K120" s="12" t="n">
        <v>-563.123</v>
      </c>
      <c r="L120" s="12" t="n">
        <v>621.348</v>
      </c>
      <c r="M120" s="12" t="n">
        <v>1955.27</v>
      </c>
      <c r="N120" s="12" t="n">
        <v>323.802</v>
      </c>
      <c r="T120" s="12" t="n">
        <v>-45.627</v>
      </c>
      <c r="U120" s="12" t="n">
        <v>-7.054</v>
      </c>
      <c r="V120" s="12" t="n">
        <v>7.215</v>
      </c>
      <c r="W120" s="12" t="n">
        <v>-211.255</v>
      </c>
      <c r="X120" s="12" t="n">
        <v>1955.27</v>
      </c>
    </row>
    <row r="121">
      <c r="A121" s="18" t="inlineStr">
        <is>
          <t>기타유가증권 평가차액</t>
        </is>
      </c>
      <c r="C121" s="20" t="n">
        <v>-0.539</v>
      </c>
      <c r="D121" s="20" t="n">
        <v>0</v>
      </c>
      <c r="E121" s="20" t="n">
        <v>7.253</v>
      </c>
      <c r="F121" s="20" t="n">
        <v>21.002</v>
      </c>
      <c r="G121" s="20" t="n">
        <v>-10.929</v>
      </c>
      <c r="H121" s="20" t="n">
        <v>-5.476</v>
      </c>
      <c r="I121" s="20" t="n">
        <v>0.732</v>
      </c>
      <c r="J121" s="20" t="n">
        <v>0</v>
      </c>
      <c r="K121" s="20" t="n">
        <v>0</v>
      </c>
      <c r="L121" s="20" t="n">
        <v>0</v>
      </c>
      <c r="M121" s="20" t="n">
        <v>8.369999999999999</v>
      </c>
      <c r="T121" s="20" t="n">
        <v>0</v>
      </c>
      <c r="U121" s="20" t="n">
        <v>-2.225</v>
      </c>
      <c r="V121" s="20" t="n">
        <v>7.253</v>
      </c>
      <c r="W121" s="20" t="n">
        <v>0.732</v>
      </c>
      <c r="X121" s="20" t="n">
        <v>8.369999999999999</v>
      </c>
    </row>
    <row r="122">
      <c r="A122" s="18" t="inlineStr">
        <is>
          <t>해외사업환산조정</t>
        </is>
      </c>
      <c r="C122" s="20" t="n">
        <v>0</v>
      </c>
      <c r="D122" s="20" t="n">
        <v>0.711</v>
      </c>
      <c r="F122" s="20" t="n">
        <v>0.218</v>
      </c>
      <c r="G122" s="20" t="n">
        <v>0</v>
      </c>
      <c r="H122" s="20" t="n">
        <v>-0.005</v>
      </c>
      <c r="J122" s="20" t="n">
        <v>-0.903</v>
      </c>
      <c r="K122" s="20" t="n">
        <v>0.199</v>
      </c>
      <c r="L122" s="20" t="n">
        <v>0.695</v>
      </c>
      <c r="N122" s="20" t="n">
        <v>0</v>
      </c>
    </row>
    <row r="123">
      <c r="A123" s="18" t="inlineStr">
        <is>
          <t>기타포괄손익 합계</t>
        </is>
      </c>
      <c r="C123" s="20" t="n">
        <v>-0.538</v>
      </c>
      <c r="D123" s="20" t="n">
        <v>0.711</v>
      </c>
      <c r="E123" s="20" t="n">
        <v>7.253</v>
      </c>
      <c r="F123" s="20" t="n">
        <v>21.22</v>
      </c>
      <c r="G123" s="20" t="n">
        <v>-10.929</v>
      </c>
      <c r="H123" s="20" t="n">
        <v>-5.48</v>
      </c>
      <c r="I123" s="20" t="n">
        <v>0.731</v>
      </c>
      <c r="J123" s="20" t="n">
        <v>-0.903</v>
      </c>
      <c r="K123" s="20" t="n">
        <v>0.199</v>
      </c>
      <c r="L123" s="20" t="n">
        <v>0.695</v>
      </c>
      <c r="M123" s="20" t="n">
        <v>7.375</v>
      </c>
      <c r="N123" s="20" t="n">
        <v>0</v>
      </c>
      <c r="T123" s="20" t="n">
        <v>0</v>
      </c>
      <c r="U123" s="20" t="n">
        <v>-1.848</v>
      </c>
      <c r="V123" s="20" t="n">
        <v>7.253</v>
      </c>
      <c r="W123" s="20" t="n">
        <v>0.731</v>
      </c>
      <c r="X123" s="20" t="n">
        <v>7.375</v>
      </c>
    </row>
    <row r="124">
      <c r="A124" s="9" t="inlineStr">
        <is>
          <t>포괄이익</t>
        </is>
      </c>
      <c r="C124" s="12" t="n">
        <v>272.775</v>
      </c>
      <c r="D124" s="12" t="n">
        <v>268.154</v>
      </c>
      <c r="E124" s="12" t="n">
        <v>14.469</v>
      </c>
      <c r="F124" s="12" t="n">
        <v>-131.762</v>
      </c>
      <c r="G124" s="12" t="n">
        <v>-878.883</v>
      </c>
      <c r="H124" s="12" t="n">
        <v>193.03</v>
      </c>
      <c r="I124" s="12" t="n">
        <v>-210.523</v>
      </c>
      <c r="J124" s="12" t="n">
        <v>-1799.249</v>
      </c>
      <c r="K124" s="12" t="n">
        <v>-562.924</v>
      </c>
      <c r="L124" s="12" t="n">
        <v>622.043</v>
      </c>
      <c r="M124" s="12" t="n">
        <v>1962.645</v>
      </c>
      <c r="N124" s="12" t="n">
        <v>323.802</v>
      </c>
      <c r="T124" s="12" t="n">
        <v>-45.627</v>
      </c>
      <c r="U124" s="12" t="n">
        <v>-8.901</v>
      </c>
      <c r="V124" s="12" t="n">
        <v>14.469</v>
      </c>
      <c r="W124" s="12" t="n">
        <v>-210.523</v>
      </c>
      <c r="X124" s="12" t="n">
        <v>1962.645</v>
      </c>
    </row>
    <row r="125">
      <c r="A125" s="9" t="inlineStr">
        <is>
          <t>지배주주 포괄이익</t>
        </is>
      </c>
      <c r="C125" s="12" t="n">
        <v>271.906</v>
      </c>
      <c r="D125" s="12" t="n">
        <v>267.467</v>
      </c>
      <c r="E125" s="12" t="n">
        <v>13.911</v>
      </c>
      <c r="F125" s="12" t="n">
        <v>-132.407</v>
      </c>
      <c r="G125" s="12" t="n">
        <v>-879.329</v>
      </c>
      <c r="H125" s="12" t="n">
        <v>192.621</v>
      </c>
      <c r="I125" s="12" t="n">
        <v>-210.911</v>
      </c>
      <c r="J125" s="12" t="n">
        <v>-1799.972</v>
      </c>
      <c r="K125" s="12" t="n">
        <v>-563.127</v>
      </c>
      <c r="L125" s="12" t="n">
        <v>621.739</v>
      </c>
      <c r="M125" s="12" t="n">
        <v>1962.395</v>
      </c>
      <c r="N125" s="12" t="n">
        <v>323.33</v>
      </c>
      <c r="T125" s="12" t="n">
        <v>-45.956</v>
      </c>
      <c r="U125" s="12" t="n">
        <v>-9.445</v>
      </c>
      <c r="V125" s="12" t="n">
        <v>13.911</v>
      </c>
      <c r="W125" s="12" t="n">
        <v>-210.911</v>
      </c>
      <c r="X125" s="12" t="n">
        <v>1962.395</v>
      </c>
    </row>
    <row r="126">
      <c r="A126" s="9" t="inlineStr">
        <is>
          <t>비지배주주 포괄이익</t>
        </is>
      </c>
      <c r="C126" s="12" t="n">
        <v>0.87</v>
      </c>
      <c r="D126" s="12" t="n">
        <v>0.6870000000000001</v>
      </c>
      <c r="E126" s="12" t="n">
        <v>0.5570000000000001</v>
      </c>
      <c r="F126" s="12" t="n">
        <v>0.644</v>
      </c>
      <c r="G126" s="12" t="n">
        <v>0.446</v>
      </c>
      <c r="H126" s="12" t="n">
        <v>0.41</v>
      </c>
      <c r="I126" s="12" t="n">
        <v>0.387</v>
      </c>
      <c r="J126" s="12" t="n">
        <v>0.722</v>
      </c>
      <c r="K126" s="12" t="n">
        <v>0.203</v>
      </c>
      <c r="L126" s="12" t="n">
        <v>0.304</v>
      </c>
      <c r="M126" s="12" t="n">
        <v>0.25</v>
      </c>
      <c r="N126" s="12" t="n">
        <v>0.472</v>
      </c>
      <c r="T126" s="12" t="n">
        <v>0.328</v>
      </c>
      <c r="U126" s="12" t="n">
        <v>0.544</v>
      </c>
      <c r="V126" s="12" t="n">
        <v>0.5570000000000001</v>
      </c>
      <c r="W126" s="12" t="n">
        <v>0.387</v>
      </c>
      <c r="X126" s="12" t="n">
        <v>0.25</v>
      </c>
    </row>
    <row r="128">
      <c r="A128" s="16" t="inlineStr">
        <is>
          <t>부문 · 전 항목</t>
        </is>
      </c>
      <c r="B128" s="42" t="inlineStr">
        <is>
          <t>부문 · 항목</t>
        </is>
      </c>
      <c r="C128" s="16" t="n"/>
      <c r="D128" s="16" t="n"/>
      <c r="E128" s="16" t="n"/>
      <c r="F128" s="16" t="n"/>
      <c r="G128" s="16" t="n"/>
      <c r="H128" s="16" t="n"/>
      <c r="I128" s="16" t="n"/>
      <c r="J128" s="16" t="n"/>
      <c r="K128" s="16" t="n"/>
      <c r="L128" s="16" t="n"/>
      <c r="M128" s="16" t="n"/>
      <c r="N128" s="16" t="n"/>
      <c r="O128" s="16" t="n"/>
      <c r="P128" s="16" t="n"/>
      <c r="Q128" s="16" t="n"/>
      <c r="R128" s="16" t="n"/>
      <c r="S128" s="16" t="n"/>
      <c r="T128" s="16" t="n"/>
      <c r="U128" s="16" t="n"/>
      <c r="V128" s="16" t="n"/>
      <c r="W128" s="16" t="n"/>
      <c r="X128" s="16" t="n"/>
      <c r="Y128" s="16" t="n"/>
      <c r="Z128" s="16" t="n"/>
      <c r="AA128" s="16" t="n"/>
      <c r="AB128" s="16" t="n"/>
      <c r="AC128" s="16" t="n"/>
    </row>
    <row r="129">
      <c r="A129" s="5" t="inlineStr">
        <is>
          <t>항목</t>
        </is>
      </c>
      <c r="B129" s="5" t="inlineStr">
        <is>
          <t>참고</t>
        </is>
      </c>
      <c r="C129" s="5" t="inlineStr">
        <is>
          <t>2024.2Q</t>
        </is>
      </c>
      <c r="D129" s="5" t="inlineStr">
        <is>
          <t>2024.3Q</t>
        </is>
      </c>
      <c r="E129" s="5" t="inlineStr">
        <is>
          <t>2024.4Q</t>
        </is>
      </c>
      <c r="F129" s="5" t="inlineStr">
        <is>
          <t>2025.1Q</t>
        </is>
      </c>
      <c r="G129" s="5" t="inlineStr">
        <is>
          <t>2025.2Q</t>
        </is>
      </c>
      <c r="H129" s="5" t="inlineStr">
        <is>
          <t>2025.3Q</t>
        </is>
      </c>
      <c r="I129" s="5" t="inlineStr">
        <is>
          <t>2025.4Q</t>
        </is>
      </c>
      <c r="J129" s="5" t="inlineStr">
        <is>
          <t>2026.1Q</t>
        </is>
      </c>
      <c r="K129" s="5" t="inlineStr">
        <is>
          <t>2026.2Q</t>
        </is>
      </c>
      <c r="L129" s="5" t="inlineStr">
        <is>
          <t>2026.3Q</t>
        </is>
      </c>
      <c r="M129" s="5" t="inlineStr">
        <is>
          <t>2026.4Q</t>
        </is>
      </c>
      <c r="N129" s="5" t="inlineStr">
        <is>
          <t>2027.1Q</t>
        </is>
      </c>
      <c r="O129" s="5" t="inlineStr">
        <is>
          <t>2017</t>
        </is>
      </c>
      <c r="P129" s="5" t="inlineStr">
        <is>
          <t>2018</t>
        </is>
      </c>
      <c r="Q129" s="5" t="inlineStr">
        <is>
          <t>2019</t>
        </is>
      </c>
      <c r="R129" s="5" t="inlineStr">
        <is>
          <t>2020</t>
        </is>
      </c>
      <c r="S129" s="5" t="inlineStr">
        <is>
          <t>2021</t>
        </is>
      </c>
      <c r="T129" s="5" t="inlineStr">
        <is>
          <t>2022</t>
        </is>
      </c>
      <c r="U129" s="5" t="inlineStr">
        <is>
          <t>2023</t>
        </is>
      </c>
      <c r="V129" s="5" t="inlineStr">
        <is>
          <t>2024</t>
        </is>
      </c>
      <c r="W129" s="5" t="inlineStr">
        <is>
          <t>2025</t>
        </is>
      </c>
      <c r="X129" s="5" t="inlineStr">
        <is>
          <t>2026</t>
        </is>
      </c>
      <c r="Y129" s="5" t="inlineStr">
        <is>
          <t>2027(MW)</t>
        </is>
      </c>
      <c r="Z129" s="5" t="inlineStr">
        <is>
          <t>2028(MW)</t>
        </is>
      </c>
      <c r="AA129" s="5" t="inlineStr">
        <is>
          <t>2029(MW)</t>
        </is>
      </c>
      <c r="AB129" s="5" t="inlineStr">
        <is>
          <t>2030(MW)</t>
        </is>
      </c>
      <c r="AC129" s="5" t="inlineStr">
        <is>
          <t>2031(MW)</t>
        </is>
      </c>
    </row>
    <row r="130">
      <c r="A130" s="18" t="inlineStr">
        <is>
          <t>부문 · 외부 고객 매출</t>
        </is>
      </c>
      <c r="F130" s="20" t="n">
        <v>2034.614</v>
      </c>
      <c r="J130" s="20" t="n">
        <v>4322.859</v>
      </c>
      <c r="N130" s="20" t="n">
        <v>4145.254</v>
      </c>
    </row>
    <row r="131">
      <c r="A131" s="18" t="inlineStr">
        <is>
          <t>부문 · 외부 고객 매출</t>
        </is>
      </c>
      <c r="C131" s="20" t="n">
        <v>42.297</v>
      </c>
      <c r="F131" s="20" t="n">
        <v>88.006</v>
      </c>
      <c r="G131" s="20" t="n">
        <v>133.601</v>
      </c>
      <c r="J131" s="20" t="n">
        <v>144.054</v>
      </c>
      <c r="K131" s="20" t="n">
        <v>163.91</v>
      </c>
      <c r="N131" s="20" t="n">
        <v>209.893</v>
      </c>
    </row>
    <row r="132">
      <c r="A132" s="18" t="inlineStr">
        <is>
          <t>보고부문 합계 · 외부 고객 매출</t>
        </is>
      </c>
      <c r="C132" s="20" t="n">
        <v>2745.34</v>
      </c>
      <c r="D132" s="20" t="n">
        <v>2546.089</v>
      </c>
      <c r="E132" s="20" t="n">
        <v>2141.472</v>
      </c>
      <c r="F132" s="20" t="n">
        <v>2122.621</v>
      </c>
      <c r="G132" s="20" t="n">
        <v>1895.451</v>
      </c>
      <c r="H132" s="20" t="n">
        <v>4182.649</v>
      </c>
      <c r="I132" s="20" t="n">
        <v>4454.463</v>
      </c>
      <c r="J132" s="20" t="n">
        <v>4466.913</v>
      </c>
      <c r="K132" s="20" t="n">
        <v>3771.727</v>
      </c>
      <c r="L132" s="20" t="n">
        <v>5062.656</v>
      </c>
      <c r="M132" s="20" t="n">
        <v>4246.482</v>
      </c>
      <c r="N132" s="20" t="n">
        <v>4355.148</v>
      </c>
      <c r="V132" s="20" t="n">
        <v>2141.472</v>
      </c>
      <c r="W132" s="20" t="n">
        <v>4454.463</v>
      </c>
      <c r="X132" s="20" t="n">
        <v>4246.482</v>
      </c>
    </row>
    <row r="133">
      <c r="A133" s="18" t="inlineStr">
        <is>
          <t>조정액 · 외부 고객 매출</t>
        </is>
      </c>
      <c r="C133" s="20" t="n">
        <v>0</v>
      </c>
      <c r="D133" s="20" t="n">
        <v>0</v>
      </c>
      <c r="E133" s="20" t="n">
        <v>0</v>
      </c>
      <c r="F133" s="20" t="n">
        <v>0</v>
      </c>
      <c r="G133" s="20" t="n">
        <v>0</v>
      </c>
      <c r="H133" s="20" t="n">
        <v>0</v>
      </c>
      <c r="I133" s="20" t="n">
        <v>0</v>
      </c>
      <c r="J133" s="20" t="n">
        <v>0</v>
      </c>
      <c r="K133" s="20" t="n">
        <v>0</v>
      </c>
      <c r="L133" s="20" t="n">
        <v>0</v>
      </c>
      <c r="M133" s="20" t="n">
        <v>0</v>
      </c>
      <c r="N133" s="20" t="n">
        <v>0</v>
      </c>
      <c r="V133" s="20" t="n">
        <v>0</v>
      </c>
      <c r="W133" s="20" t="n">
        <v>0</v>
      </c>
      <c r="X133" s="20" t="n">
        <v>0</v>
      </c>
    </row>
    <row r="134">
      <c r="A134" s="9" t="inlineStr">
        <is>
          <t>외부 고객 매출</t>
        </is>
      </c>
      <c r="C134" s="12" t="n">
        <v>2745.34</v>
      </c>
      <c r="D134" s="12" t="n">
        <v>2546.089</v>
      </c>
      <c r="E134" s="12" t="n">
        <v>2141.472</v>
      </c>
      <c r="F134" s="12" t="n">
        <v>2122.621</v>
      </c>
      <c r="G134" s="12" t="n">
        <v>1895.451</v>
      </c>
      <c r="H134" s="12" t="n">
        <v>4182.649</v>
      </c>
      <c r="I134" s="12" t="n">
        <v>4454.463</v>
      </c>
      <c r="J134" s="12" t="n">
        <v>4466.913</v>
      </c>
      <c r="K134" s="12" t="n">
        <v>3771.727</v>
      </c>
      <c r="L134" s="12" t="n">
        <v>5062.656</v>
      </c>
      <c r="M134" s="12" t="n">
        <v>4246.482</v>
      </c>
      <c r="N134" s="12" t="n">
        <v>4355.148</v>
      </c>
      <c r="V134" s="12" t="n">
        <v>2141.472</v>
      </c>
      <c r="W134" s="12" t="n">
        <v>4454.463</v>
      </c>
      <c r="X134" s="12" t="n">
        <v>4246.482</v>
      </c>
    </row>
    <row r="135">
      <c r="A135" s="18" t="inlineStr">
        <is>
          <t>부문 · 부문 간 내부매출·대체</t>
        </is>
      </c>
      <c r="D135" s="20" t="n">
        <v>0</v>
      </c>
      <c r="E135" s="20" t="n">
        <v>0</v>
      </c>
      <c r="H135" s="20" t="n">
        <v>0.077</v>
      </c>
      <c r="I135" s="20" t="n">
        <v>3.288</v>
      </c>
      <c r="L135" s="20" t="n">
        <v>1.498</v>
      </c>
      <c r="M135" s="20" t="n">
        <v>1.291</v>
      </c>
      <c r="V135" s="20" t="n">
        <v>0</v>
      </c>
      <c r="W135" s="20" t="n">
        <v>3.288</v>
      </c>
      <c r="X135" s="20" t="n">
        <v>1.291</v>
      </c>
    </row>
    <row r="136">
      <c r="A136" s="18" t="inlineStr">
        <is>
          <t>부문 · 부문 간 내부매출·대체</t>
        </is>
      </c>
      <c r="F136" s="20" t="n">
        <v>0</v>
      </c>
      <c r="J136" s="20" t="n">
        <v>4.384</v>
      </c>
      <c r="N136" s="20" t="n">
        <v>0.001</v>
      </c>
    </row>
    <row r="137">
      <c r="A137" s="18" t="inlineStr">
        <is>
          <t>부문 · 부문 간 내부매출·대체</t>
        </is>
      </c>
      <c r="C137" s="20" t="n">
        <v>0</v>
      </c>
      <c r="F137" s="20" t="n">
        <v>2.9</v>
      </c>
      <c r="G137" s="20" t="n">
        <v>0</v>
      </c>
      <c r="J137" s="20" t="n">
        <v>11.108</v>
      </c>
      <c r="K137" s="20" t="n">
        <v>4.956</v>
      </c>
      <c r="N137" s="20" t="n">
        <v>0</v>
      </c>
    </row>
    <row r="138">
      <c r="A138" s="18" t="inlineStr">
        <is>
          <t>보고부문 합계 · 부문 간 내부매출·대체</t>
        </is>
      </c>
      <c r="C138" s="20" t="n">
        <v>0</v>
      </c>
      <c r="D138" s="20" t="n">
        <v>3.6</v>
      </c>
      <c r="E138" s="20" t="n">
        <v>0</v>
      </c>
      <c r="F138" s="20" t="n">
        <v>2.9</v>
      </c>
      <c r="G138" s="20" t="n">
        <v>0.166</v>
      </c>
      <c r="H138" s="20" t="n">
        <v>2.72</v>
      </c>
      <c r="I138" s="20" t="n">
        <v>42.229</v>
      </c>
      <c r="J138" s="20" t="n">
        <v>15.492</v>
      </c>
      <c r="K138" s="20" t="n">
        <v>7.23</v>
      </c>
      <c r="L138" s="20" t="n">
        <v>7.297</v>
      </c>
      <c r="M138" s="20" t="n">
        <v>71.758</v>
      </c>
      <c r="N138" s="20" t="n">
        <v>0.001</v>
      </c>
      <c r="V138" s="20" t="n">
        <v>0</v>
      </c>
      <c r="W138" s="20" t="n">
        <v>42.229</v>
      </c>
      <c r="X138" s="20" t="n">
        <v>71.758</v>
      </c>
    </row>
    <row r="139">
      <c r="A139" s="18" t="inlineStr">
        <is>
          <t>조정액 · 부문 간 내부매출·대체</t>
        </is>
      </c>
      <c r="C139" s="20" t="n">
        <v>0</v>
      </c>
      <c r="D139" s="20" t="n">
        <v>-3.6</v>
      </c>
      <c r="E139" s="20" t="n">
        <v>0</v>
      </c>
      <c r="F139" s="20" t="n">
        <v>-2.9</v>
      </c>
      <c r="G139" s="20" t="n">
        <v>-0.166</v>
      </c>
      <c r="H139" s="20" t="n">
        <v>-2.72</v>
      </c>
      <c r="I139" s="20" t="n">
        <v>-42.229</v>
      </c>
      <c r="J139" s="20" t="n">
        <v>-15.492</v>
      </c>
      <c r="K139" s="20" t="n">
        <v>-7.23</v>
      </c>
      <c r="L139" s="20" t="n">
        <v>-7.297</v>
      </c>
      <c r="M139" s="20" t="n">
        <v>-71.758</v>
      </c>
      <c r="N139" s="20" t="n">
        <v>-0.001</v>
      </c>
      <c r="V139" s="20" t="n">
        <v>0</v>
      </c>
      <c r="W139" s="20" t="n">
        <v>-42.229</v>
      </c>
      <c r="X139" s="20" t="n">
        <v>-71.758</v>
      </c>
    </row>
    <row r="140">
      <c r="A140" s="18" t="inlineStr">
        <is>
          <t>부문 간 내부매출·대체</t>
        </is>
      </c>
      <c r="C140" s="20" t="n">
        <v>0</v>
      </c>
      <c r="D140" s="20" t="n">
        <v>0</v>
      </c>
      <c r="E140" s="20" t="n">
        <v>0</v>
      </c>
      <c r="F140" s="20" t="n">
        <v>0</v>
      </c>
      <c r="G140" s="20" t="n">
        <v>0</v>
      </c>
      <c r="H140" s="20" t="n">
        <v>0</v>
      </c>
      <c r="I140" s="20" t="n">
        <v>0</v>
      </c>
      <c r="J140" s="20" t="n">
        <v>0</v>
      </c>
      <c r="K140" s="20" t="n">
        <v>0</v>
      </c>
      <c r="L140" s="20" t="n">
        <v>0</v>
      </c>
      <c r="M140" s="20" t="n">
        <v>0</v>
      </c>
      <c r="N140" s="20" t="n">
        <v>0</v>
      </c>
      <c r="V140" s="20" t="n">
        <v>0</v>
      </c>
      <c r="W140" s="20" t="n">
        <v>0</v>
      </c>
      <c r="X140" s="20" t="n">
        <v>0</v>
      </c>
    </row>
    <row r="141">
      <c r="A141" s="18" t="inlineStr">
        <is>
          <t>부문 · 계</t>
        </is>
      </c>
      <c r="D141" s="20" t="n">
        <v>2328.336</v>
      </c>
      <c r="E141" s="20" t="n">
        <v>2048.933</v>
      </c>
      <c r="H141" s="20" t="n">
        <v>3879.682</v>
      </c>
      <c r="I141" s="20" t="n">
        <v>4247.927</v>
      </c>
      <c r="L141" s="20" t="n">
        <v>4876.762</v>
      </c>
      <c r="M141" s="20" t="n">
        <v>3982.482</v>
      </c>
      <c r="V141" s="20" t="n">
        <v>2048.933</v>
      </c>
      <c r="W141" s="20" t="n">
        <v>4247.927</v>
      </c>
      <c r="X141" s="20" t="n">
        <v>3982.482</v>
      </c>
    </row>
    <row r="142">
      <c r="A142" s="18" t="inlineStr">
        <is>
          <t>부문 · 계</t>
        </is>
      </c>
      <c r="F142" s="20" t="n">
        <v>2034.614</v>
      </c>
      <c r="J142" s="20" t="n">
        <v>4327.243</v>
      </c>
      <c r="N142" s="20" t="n">
        <v>4145.256</v>
      </c>
    </row>
    <row r="143">
      <c r="A143" s="18" t="inlineStr">
        <is>
          <t>부문 · 계</t>
        </is>
      </c>
      <c r="C143" s="20" t="n">
        <v>42.297</v>
      </c>
      <c r="F143" s="20" t="n">
        <v>90.90600000000001</v>
      </c>
      <c r="G143" s="20" t="n">
        <v>133.601</v>
      </c>
      <c r="J143" s="20" t="n">
        <v>155.162</v>
      </c>
      <c r="K143" s="20" t="n">
        <v>168.866</v>
      </c>
      <c r="N143" s="20" t="n">
        <v>209.893</v>
      </c>
    </row>
    <row r="144">
      <c r="A144" s="18" t="inlineStr">
        <is>
          <t>보고부문 합계 · 계</t>
        </is>
      </c>
      <c r="C144" s="20" t="n">
        <v>2745.34</v>
      </c>
      <c r="D144" s="20" t="n">
        <v>2549.689</v>
      </c>
      <c r="E144" s="20" t="n">
        <v>2141.472</v>
      </c>
      <c r="F144" s="20" t="n">
        <v>2125.521</v>
      </c>
      <c r="G144" s="20" t="n">
        <v>1895.617</v>
      </c>
      <c r="H144" s="20" t="n">
        <v>4185.369</v>
      </c>
      <c r="I144" s="20" t="n">
        <v>4496.692</v>
      </c>
      <c r="J144" s="20" t="n">
        <v>4482.406</v>
      </c>
      <c r="K144" s="20" t="n">
        <v>3778.956</v>
      </c>
      <c r="L144" s="20" t="n">
        <v>5069.954</v>
      </c>
      <c r="M144" s="20" t="n">
        <v>4318.239</v>
      </c>
      <c r="N144" s="20" t="n">
        <v>4355.15</v>
      </c>
      <c r="V144" s="20" t="n">
        <v>2141.472</v>
      </c>
      <c r="W144" s="20" t="n">
        <v>4496.692</v>
      </c>
      <c r="X144" s="20" t="n">
        <v>4318.239</v>
      </c>
    </row>
    <row r="145">
      <c r="A145" s="18" t="inlineStr">
        <is>
          <t>조정액 · 계</t>
        </is>
      </c>
      <c r="C145" s="20" t="n">
        <v>0</v>
      </c>
      <c r="D145" s="20" t="n">
        <v>-3.6</v>
      </c>
      <c r="E145" s="20" t="n">
        <v>0</v>
      </c>
      <c r="F145" s="20" t="n">
        <v>-2.9</v>
      </c>
      <c r="G145" s="20" t="n">
        <v>-0.166</v>
      </c>
      <c r="H145" s="20" t="n">
        <v>-2.72</v>
      </c>
      <c r="I145" s="20" t="n">
        <v>-42.229</v>
      </c>
      <c r="J145" s="20" t="n">
        <v>-15.492</v>
      </c>
      <c r="K145" s="20" t="n">
        <v>-7.23</v>
      </c>
      <c r="L145" s="20" t="n">
        <v>-7.297</v>
      </c>
      <c r="M145" s="20" t="n">
        <v>-71.758</v>
      </c>
      <c r="N145" s="20" t="n">
        <v>-0.001</v>
      </c>
      <c r="V145" s="20" t="n">
        <v>0</v>
      </c>
      <c r="W145" s="20" t="n">
        <v>-42.229</v>
      </c>
      <c r="X145" s="20" t="n">
        <v>-71.758</v>
      </c>
    </row>
    <row r="146">
      <c r="A146" s="9" t="inlineStr">
        <is>
          <t>계</t>
        </is>
      </c>
      <c r="C146" s="12" t="n">
        <v>2745.34</v>
      </c>
      <c r="D146" s="12" t="n">
        <v>2546.089</v>
      </c>
      <c r="E146" s="12" t="n">
        <v>2141.472</v>
      </c>
      <c r="F146" s="12" t="n">
        <v>2122.621</v>
      </c>
      <c r="G146" s="12" t="n">
        <v>1895.451</v>
      </c>
      <c r="H146" s="12" t="n">
        <v>4182.649</v>
      </c>
      <c r="I146" s="12" t="n">
        <v>4454.463</v>
      </c>
      <c r="J146" s="12" t="n">
        <v>4466.913</v>
      </c>
      <c r="K146" s="12" t="n">
        <v>3771.727</v>
      </c>
      <c r="L146" s="12" t="n">
        <v>5062.656</v>
      </c>
      <c r="M146" s="12" t="n">
        <v>4246.482</v>
      </c>
      <c r="N146" s="12" t="n">
        <v>4355.148</v>
      </c>
      <c r="V146" s="12" t="n">
        <v>2141.472</v>
      </c>
      <c r="W146" s="12" t="n">
        <v>4454.463</v>
      </c>
      <c r="X146" s="12" t="n">
        <v>4246.482</v>
      </c>
    </row>
    <row r="147">
      <c r="A147" s="18" t="inlineStr">
        <is>
          <t>부문 · 부문 이익(손실)</t>
        </is>
      </c>
      <c r="D147" s="20" t="n">
        <v>503.663</v>
      </c>
      <c r="E147" s="20" t="n">
        <v>404.289</v>
      </c>
      <c r="H147" s="20" t="n">
        <v>380.731</v>
      </c>
      <c r="I147" s="20" t="n">
        <v>338.765</v>
      </c>
      <c r="L147" s="20" t="n">
        <v>855.715</v>
      </c>
      <c r="M147" s="20" t="n">
        <v>536.273</v>
      </c>
      <c r="V147" s="20" t="n">
        <v>404.289</v>
      </c>
      <c r="W147" s="20" t="n">
        <v>338.765</v>
      </c>
      <c r="X147" s="20" t="n">
        <v>536.273</v>
      </c>
    </row>
    <row r="148">
      <c r="A148" s="18" t="inlineStr">
        <is>
          <t>부문 · 부문 이익(손실)</t>
        </is>
      </c>
      <c r="F148" s="20" t="n">
        <v>254.262</v>
      </c>
      <c r="J148" s="20" t="n">
        <v>122.938</v>
      </c>
      <c r="N148" s="20" t="n">
        <v>793.771</v>
      </c>
    </row>
    <row r="149">
      <c r="A149" s="18" t="inlineStr">
        <is>
          <t>부문 · 부문 이익(손실)</t>
        </is>
      </c>
      <c r="C149" s="20" t="n">
        <v>-288.887</v>
      </c>
      <c r="F149" s="20" t="n">
        <v>-322.049</v>
      </c>
      <c r="G149" s="20" t="n">
        <v>-250.002</v>
      </c>
      <c r="J149" s="20" t="n">
        <v>-204.661</v>
      </c>
      <c r="K149" s="20" t="n">
        <v>-255.289</v>
      </c>
      <c r="N149" s="20" t="n">
        <v>-270.908</v>
      </c>
    </row>
    <row r="150">
      <c r="A150" s="18" t="inlineStr">
        <is>
          <t>보고부문 합계 · 부문 이익(손실)</t>
        </is>
      </c>
      <c r="C150" s="20" t="n">
        <v>463.793</v>
      </c>
      <c r="D150" s="20" t="n">
        <v>317.119</v>
      </c>
      <c r="E150" s="20" t="n">
        <v>113.639</v>
      </c>
      <c r="F150" s="20" t="n">
        <v>-67.786</v>
      </c>
      <c r="G150" s="20" t="n">
        <v>-247.387</v>
      </c>
      <c r="H150" s="20" t="n">
        <v>288.181</v>
      </c>
      <c r="I150" s="20" t="n">
        <v>139</v>
      </c>
      <c r="J150" s="20" t="n">
        <v>-81.723</v>
      </c>
      <c r="K150" s="20" t="n">
        <v>-493.116</v>
      </c>
      <c r="L150" s="20" t="n">
        <v>671.723</v>
      </c>
      <c r="M150" s="20" t="n">
        <v>311.833</v>
      </c>
      <c r="N150" s="20" t="n">
        <v>522.862</v>
      </c>
      <c r="V150" s="20" t="n">
        <v>113.639</v>
      </c>
      <c r="W150" s="20" t="n">
        <v>139</v>
      </c>
      <c r="X150" s="20" t="n">
        <v>311.833</v>
      </c>
    </row>
    <row r="151">
      <c r="A151" s="18" t="inlineStr">
        <is>
          <t>조정액 · 부문 이익(손실)</t>
        </is>
      </c>
      <c r="C151" s="20" t="n">
        <v>0</v>
      </c>
      <c r="D151" s="20" t="n">
        <v>0</v>
      </c>
      <c r="E151" s="20" t="n">
        <v>0</v>
      </c>
      <c r="F151" s="20" t="n">
        <v>0</v>
      </c>
      <c r="G151" s="20" t="n">
        <v>0</v>
      </c>
      <c r="H151" s="20" t="n">
        <v>0</v>
      </c>
      <c r="I151" s="20" t="n">
        <v>0</v>
      </c>
      <c r="J151" s="20" t="n">
        <v>0</v>
      </c>
      <c r="K151" s="20" t="n">
        <v>0</v>
      </c>
      <c r="L151" s="20" t="n">
        <v>0</v>
      </c>
      <c r="M151" s="20" t="n">
        <v>0</v>
      </c>
      <c r="N151" s="20" t="n">
        <v>0</v>
      </c>
      <c r="V151" s="20" t="n">
        <v>0</v>
      </c>
      <c r="W151" s="20" t="n">
        <v>0</v>
      </c>
      <c r="X151" s="20" t="n">
        <v>0</v>
      </c>
    </row>
    <row r="152">
      <c r="A152" s="9" t="inlineStr">
        <is>
          <t>부문 이익(손실)</t>
        </is>
      </c>
      <c r="C152" s="12" t="n">
        <v>463.793</v>
      </c>
      <c r="D152" s="12" t="n">
        <v>317.119</v>
      </c>
      <c r="E152" s="12" t="n">
        <v>113.639</v>
      </c>
      <c r="F152" s="12" t="n">
        <v>-67.786</v>
      </c>
      <c r="G152" s="12" t="n">
        <v>-247.387</v>
      </c>
      <c r="H152" s="12" t="n">
        <v>288.181</v>
      </c>
      <c r="I152" s="12" t="n">
        <v>139</v>
      </c>
      <c r="J152" s="12" t="n">
        <v>-81.723</v>
      </c>
      <c r="K152" s="12" t="n">
        <v>-493.116</v>
      </c>
      <c r="L152" s="12" t="n">
        <v>671.723</v>
      </c>
      <c r="M152" s="12" t="n">
        <v>311.833</v>
      </c>
      <c r="N152" s="12" t="n">
        <v>522.862</v>
      </c>
      <c r="V152" s="12" t="n">
        <v>113.639</v>
      </c>
      <c r="W152" s="12" t="n">
        <v>139</v>
      </c>
      <c r="X152" s="12" t="n">
        <v>311.833</v>
      </c>
    </row>
    <row r="153">
      <c r="A153" s="18" t="inlineStr">
        <is>
          <t>부문 · 외부 고객 매출</t>
        </is>
      </c>
      <c r="D153" s="20" t="n">
        <v>2328.336</v>
      </c>
      <c r="E153" s="20" t="n">
        <v>2048.933</v>
      </c>
      <c r="H153" s="20" t="n">
        <v>3879.604</v>
      </c>
      <c r="I153" s="20" t="n">
        <v>4244.639</v>
      </c>
      <c r="L153" s="20" t="n">
        <v>4875.264</v>
      </c>
      <c r="M153" s="20" t="n">
        <v>3981.191</v>
      </c>
      <c r="V153" s="20" t="n">
        <v>2048.933</v>
      </c>
      <c r="W153" s="20" t="n">
        <v>4244.639</v>
      </c>
      <c r="X153" s="20" t="n">
        <v>3981.191</v>
      </c>
    </row>
    <row r="155">
      <c r="A155" s="16" t="inlineStr">
        <is>
          <t>현금흐름표 · 전 항목</t>
        </is>
      </c>
      <c r="B155" s="42" t="inlineStr">
        <is>
          <t>분기 = 결산기 첫날부터 누계(공시 그대로)</t>
        </is>
      </c>
      <c r="C155" s="16" t="n"/>
      <c r="D155" s="16" t="n"/>
      <c r="E155" s="16" t="n"/>
      <c r="F155" s="16" t="n"/>
      <c r="G155" s="16" t="n"/>
      <c r="H155" s="16" t="n"/>
      <c r="I155" s="16" t="n"/>
      <c r="J155" s="16" t="n"/>
      <c r="K155" s="16" t="n"/>
      <c r="L155" s="16" t="n"/>
      <c r="M155" s="16" t="n"/>
      <c r="N155" s="16" t="n"/>
      <c r="O155" s="16" t="n"/>
      <c r="P155" s="16" t="n"/>
      <c r="Q155" s="16" t="n"/>
      <c r="R155" s="16" t="n"/>
      <c r="S155" s="16" t="n"/>
      <c r="T155" s="16" t="n"/>
      <c r="U155" s="16" t="n"/>
      <c r="V155" s="16" t="n"/>
      <c r="W155" s="16" t="n"/>
      <c r="X155" s="16" t="n"/>
      <c r="Y155" s="16" t="n"/>
      <c r="Z155" s="16" t="n"/>
      <c r="AA155" s="16" t="n"/>
      <c r="AB155" s="16" t="n"/>
      <c r="AC155" s="16" t="n"/>
    </row>
    <row r="156">
      <c r="A156" s="5" t="inlineStr">
        <is>
          <t>항목</t>
        </is>
      </c>
      <c r="B156" s="5" t="inlineStr">
        <is>
          <t>참고</t>
        </is>
      </c>
      <c r="C156" s="5" t="inlineStr">
        <is>
          <t>2024.2Q</t>
        </is>
      </c>
      <c r="D156" s="5" t="inlineStr">
        <is>
          <t>2024.3Q</t>
        </is>
      </c>
      <c r="E156" s="5" t="inlineStr">
        <is>
          <t>2024.4Q</t>
        </is>
      </c>
      <c r="F156" s="5" t="inlineStr">
        <is>
          <t>2025.1Q</t>
        </is>
      </c>
      <c r="G156" s="5" t="inlineStr">
        <is>
          <t>2025.2Q</t>
        </is>
      </c>
      <c r="H156" s="5" t="inlineStr">
        <is>
          <t>2025.3Q</t>
        </is>
      </c>
      <c r="I156" s="5" t="inlineStr">
        <is>
          <t>2025.4Q</t>
        </is>
      </c>
      <c r="J156" s="5" t="inlineStr">
        <is>
          <t>2026.1Q</t>
        </is>
      </c>
      <c r="K156" s="5" t="inlineStr">
        <is>
          <t>2026.2Q</t>
        </is>
      </c>
      <c r="L156" s="5" t="inlineStr">
        <is>
          <t>2026.3Q</t>
        </is>
      </c>
      <c r="M156" s="5" t="inlineStr">
        <is>
          <t>2026.4Q</t>
        </is>
      </c>
      <c r="N156" s="5" t="inlineStr">
        <is>
          <t>2027.1Q</t>
        </is>
      </c>
      <c r="O156" s="5" t="inlineStr">
        <is>
          <t>2017</t>
        </is>
      </c>
      <c r="P156" s="5" t="inlineStr">
        <is>
          <t>2018</t>
        </is>
      </c>
      <c r="Q156" s="5" t="inlineStr">
        <is>
          <t>2019</t>
        </is>
      </c>
      <c r="R156" s="5" t="inlineStr">
        <is>
          <t>2020</t>
        </is>
      </c>
      <c r="S156" s="5" t="inlineStr">
        <is>
          <t>2021</t>
        </is>
      </c>
      <c r="T156" s="5" t="inlineStr">
        <is>
          <t>2022</t>
        </is>
      </c>
      <c r="U156" s="5" t="inlineStr">
        <is>
          <t>2023</t>
        </is>
      </c>
      <c r="V156" s="5" t="inlineStr">
        <is>
          <t>2024</t>
        </is>
      </c>
      <c r="W156" s="5" t="inlineStr">
        <is>
          <t>2025</t>
        </is>
      </c>
      <c r="X156" s="5" t="inlineStr">
        <is>
          <t>2026</t>
        </is>
      </c>
      <c r="Y156" s="5" t="inlineStr">
        <is>
          <t>2027(MW)</t>
        </is>
      </c>
      <c r="Z156" s="5" t="inlineStr">
        <is>
          <t>2028(MW)</t>
        </is>
      </c>
      <c r="AA156" s="5" t="inlineStr">
        <is>
          <t>2029(MW)</t>
        </is>
      </c>
      <c r="AB156" s="5" t="inlineStr">
        <is>
          <t>2030(MW)</t>
        </is>
      </c>
      <c r="AC156" s="5" t="inlineStr">
        <is>
          <t>2031(MW)</t>
        </is>
      </c>
    </row>
    <row r="157">
      <c r="A157" s="9" t="inlineStr">
        <is>
          <t>법인세차감전 순이익</t>
        </is>
      </c>
      <c r="C157" s="12" t="n">
        <v>-155.601</v>
      </c>
      <c r="E157" s="12" t="n">
        <v>46.936</v>
      </c>
      <c r="G157" s="12" t="n">
        <v>-956.172</v>
      </c>
      <c r="I157" s="12" t="n">
        <v>-1118.5</v>
      </c>
      <c r="K157" s="12" t="n">
        <v>-2180.327</v>
      </c>
      <c r="M157" s="12" t="n">
        <v>852.567</v>
      </c>
      <c r="O157" s="12" t="n">
        <v>1084.391</v>
      </c>
      <c r="P157" s="12" t="n">
        <v>-141.118</v>
      </c>
      <c r="Q157" s="12" t="n">
        <v>-1671.334</v>
      </c>
      <c r="R157" s="12" t="n">
        <v>718.677</v>
      </c>
      <c r="S157" s="12" t="n">
        <v>2019.231</v>
      </c>
      <c r="T157" s="12" t="n">
        <v>1164.568</v>
      </c>
      <c r="U157" s="12" t="n">
        <v>1806.259</v>
      </c>
      <c r="V157" s="12" t="n">
        <v>46.936</v>
      </c>
      <c r="W157" s="12" t="n">
        <v>-1118.5</v>
      </c>
      <c r="X157" s="12" t="n">
        <v>852.567</v>
      </c>
    </row>
    <row r="158">
      <c r="A158" s="18" t="inlineStr">
        <is>
          <t>감가상각비</t>
        </is>
      </c>
      <c r="C158" s="20" t="n">
        <v>110.441</v>
      </c>
      <c r="E158" s="20" t="n">
        <v>144.83</v>
      </c>
      <c r="G158" s="20" t="n">
        <v>143.738</v>
      </c>
      <c r="I158" s="20" t="n">
        <v>526.454</v>
      </c>
      <c r="K158" s="20" t="n">
        <v>678.211</v>
      </c>
      <c r="M158" s="20" t="n">
        <v>1167.93</v>
      </c>
      <c r="O158" s="20" t="n">
        <v>213.772</v>
      </c>
      <c r="P158" s="20" t="n">
        <v>298.798</v>
      </c>
      <c r="Q158" s="20" t="n">
        <v>461.834</v>
      </c>
      <c r="R158" s="20" t="n">
        <v>382.147</v>
      </c>
      <c r="S158" s="20" t="n">
        <v>626.679</v>
      </c>
      <c r="T158" s="20" t="n">
        <v>536.543</v>
      </c>
      <c r="U158" s="20" t="n">
        <v>269.275</v>
      </c>
      <c r="V158" s="20" t="n">
        <v>144.83</v>
      </c>
      <c r="W158" s="20" t="n">
        <v>526.454</v>
      </c>
      <c r="X158" s="20" t="n">
        <v>1167.93</v>
      </c>
    </row>
    <row r="159">
      <c r="A159" s="18" t="inlineStr">
        <is>
          <t>손해배상금</t>
        </is>
      </c>
      <c r="O159" s="20" t="n">
        <v>0</v>
      </c>
      <c r="P159" s="20" t="n">
        <v>112</v>
      </c>
      <c r="Q159" s="20" t="n">
        <v>0</v>
      </c>
    </row>
    <row r="160">
      <c r="A160" s="18" t="inlineStr">
        <is>
          <t>임대차계약 해약손실</t>
        </is>
      </c>
      <c r="Q160" s="20" t="n">
        <v>0</v>
      </c>
      <c r="R160" s="20" t="n">
        <v>30.199</v>
      </c>
      <c r="S160" s="20" t="n">
        <v>0</v>
      </c>
    </row>
    <row r="161">
      <c r="A161" s="18" t="inlineStr">
        <is>
          <t>신주예약권 환입이익</t>
        </is>
      </c>
      <c r="P161" s="20" t="n">
        <v>0</v>
      </c>
      <c r="Q161" s="20" t="n">
        <v>-128.814</v>
      </c>
      <c r="R161" s="20" t="n">
        <v>0</v>
      </c>
    </row>
    <row r="162">
      <c r="A162" s="18" t="inlineStr">
        <is>
          <t>영업권 상각</t>
        </is>
      </c>
      <c r="R162" s="20" t="n">
        <v>0</v>
      </c>
      <c r="S162" s="20" t="n">
        <v>25.461</v>
      </c>
      <c r="T162" s="20" t="n">
        <v>0</v>
      </c>
    </row>
    <row r="163">
      <c r="A163" s="18" t="inlineStr">
        <is>
          <t>손상차손</t>
        </is>
      </c>
      <c r="C163" s="20" t="n">
        <v>609.1849999999999</v>
      </c>
      <c r="E163" s="20" t="n">
        <v>746.234</v>
      </c>
      <c r="G163" s="20" t="n">
        <v>601.886</v>
      </c>
      <c r="I163" s="20" t="n">
        <v>1121.886</v>
      </c>
      <c r="K163" s="20" t="n">
        <v>1563.462</v>
      </c>
      <c r="M163" s="20" t="n">
        <v>2051.858</v>
      </c>
      <c r="P163" s="20" t="n">
        <v>0</v>
      </c>
      <c r="Q163" s="20" t="n">
        <v>349.763</v>
      </c>
      <c r="R163" s="20" t="n">
        <v>565.0170000000001</v>
      </c>
      <c r="S163" s="20" t="n">
        <v>0</v>
      </c>
      <c r="T163" s="20" t="n">
        <v>285.108</v>
      </c>
      <c r="U163" s="20" t="n">
        <v>386.259</v>
      </c>
      <c r="V163" s="20" t="n">
        <v>746.234</v>
      </c>
      <c r="W163" s="20" t="n">
        <v>1121.886</v>
      </c>
      <c r="X163" s="20" t="n">
        <v>2051.858</v>
      </c>
    </row>
    <row r="164">
      <c r="A164" s="18" t="inlineStr">
        <is>
          <t>이자·배당금 수익</t>
        </is>
      </c>
      <c r="O164" s="20" t="n">
        <v>-1.687</v>
      </c>
      <c r="P164" s="20" t="n">
        <v>-1.029</v>
      </c>
      <c r="Q164" s="20" t="n">
        <v>-10.067</v>
      </c>
      <c r="R164" s="20" t="n">
        <v>-0.034</v>
      </c>
      <c r="S164" s="20" t="n">
        <v>-8.103</v>
      </c>
    </row>
    <row r="165">
      <c r="A165" s="18" t="inlineStr">
        <is>
          <t>Loss Gain On Investments In Partnership Ope CF</t>
        </is>
      </c>
      <c r="O165" s="20" t="n">
        <v>-22.501</v>
      </c>
      <c r="P165" s="20" t="n">
        <v>-2.359</v>
      </c>
    </row>
    <row r="166">
      <c r="A166" s="18" t="inlineStr">
        <is>
          <t>지분법손익</t>
        </is>
      </c>
      <c r="O166" s="20" t="n">
        <v>71.44</v>
      </c>
      <c r="P166" s="20" t="n">
        <v>139.15</v>
      </c>
      <c r="Q166" s="20" t="n">
        <v>713.607</v>
      </c>
      <c r="R166" s="20" t="n">
        <v>-99.798</v>
      </c>
      <c r="S166" s="20" t="n">
        <v>0</v>
      </c>
    </row>
    <row r="167">
      <c r="A167" s="18" t="inlineStr">
        <is>
          <t>주식보상비용</t>
        </is>
      </c>
      <c r="C167" s="20" t="n">
        <v>21.96</v>
      </c>
      <c r="E167" s="20" t="n">
        <v>49.011</v>
      </c>
      <c r="G167" s="20" t="n">
        <v>23.833</v>
      </c>
      <c r="I167" s="20" t="n">
        <v>61.775</v>
      </c>
      <c r="K167" s="20" t="n">
        <v>57.73</v>
      </c>
      <c r="M167" s="20" t="n">
        <v>88.396</v>
      </c>
      <c r="O167" s="20" t="n">
        <v>49.455</v>
      </c>
      <c r="P167" s="20" t="n">
        <v>69.511</v>
      </c>
      <c r="Q167" s="20" t="n">
        <v>10.081</v>
      </c>
      <c r="R167" s="20" t="n">
        <v>11.552</v>
      </c>
      <c r="S167" s="20" t="n">
        <v>41.266</v>
      </c>
      <c r="T167" s="20" t="n">
        <v>41.72</v>
      </c>
      <c r="U167" s="20" t="n">
        <v>40.728</v>
      </c>
      <c r="V167" s="20" t="n">
        <v>49.011</v>
      </c>
      <c r="W167" s="20" t="n">
        <v>61.775</v>
      </c>
      <c r="X167" s="20" t="n">
        <v>88.396</v>
      </c>
    </row>
    <row r="168">
      <c r="A168" s="18" t="inlineStr">
        <is>
          <t>Loss On Business Of Subsidiaries And Affiliates Ope CF</t>
        </is>
      </c>
      <c r="P168" s="20" t="n">
        <v>0</v>
      </c>
      <c r="Q168" s="20" t="n">
        <v>6.141</v>
      </c>
      <c r="R168" s="20" t="n">
        <v>0</v>
      </c>
    </row>
    <row r="169">
      <c r="A169" s="18" t="inlineStr">
        <is>
          <t>이자·배당금 수익</t>
        </is>
      </c>
      <c r="C169" s="20" t="n">
        <v>-3.007</v>
      </c>
      <c r="E169" s="20" t="n">
        <v>-3.031</v>
      </c>
      <c r="G169" s="20" t="n">
        <v>-0.66</v>
      </c>
      <c r="I169" s="20" t="n">
        <v>-3.32</v>
      </c>
      <c r="K169" s="20" t="n">
        <v>-4.362</v>
      </c>
      <c r="M169" s="20" t="n">
        <v>-8.702999999999999</v>
      </c>
      <c r="S169" s="20" t="n">
        <v>-8.103</v>
      </c>
      <c r="T169" s="20" t="n">
        <v>-0.052</v>
      </c>
      <c r="U169" s="20" t="n">
        <v>-3.121</v>
      </c>
      <c r="V169" s="20" t="n">
        <v>-3.031</v>
      </c>
      <c r="W169" s="20" t="n">
        <v>-3.32</v>
      </c>
      <c r="X169" s="20" t="n">
        <v>-8.702999999999999</v>
      </c>
    </row>
    <row r="170">
      <c r="A170" s="18" t="inlineStr">
        <is>
          <t>투자유가증권 평가손익</t>
        </is>
      </c>
      <c r="O170" s="20" t="n">
        <v>8</v>
      </c>
      <c r="P170" s="20" t="n">
        <v>0</v>
      </c>
      <c r="Q170" s="20" t="n">
        <v>94.878</v>
      </c>
      <c r="R170" s="20" t="n">
        <v>0</v>
      </c>
      <c r="S170" s="20" t="n">
        <v>0</v>
      </c>
      <c r="T170" s="20" t="n">
        <v>96.29000000000001</v>
      </c>
      <c r="U170" s="20" t="n">
        <v>0</v>
      </c>
    </row>
    <row r="171">
      <c r="A171" s="18" t="inlineStr">
        <is>
          <t>투자유가증권 매각손익</t>
        </is>
      </c>
      <c r="O171" s="20" t="n">
        <v>-18.766</v>
      </c>
      <c r="P171" s="20" t="n">
        <v>-10</v>
      </c>
      <c r="Q171" s="20" t="n">
        <v>0</v>
      </c>
    </row>
    <row r="172">
      <c r="A172" s="18" t="inlineStr">
        <is>
          <t>지급수수료</t>
        </is>
      </c>
      <c r="C172" s="20" t="n">
        <v>1.379</v>
      </c>
      <c r="E172" s="20" t="n">
        <v>61.97</v>
      </c>
      <c r="I172" s="20" t="n">
        <v>5.969</v>
      </c>
      <c r="M172" s="20" t="n">
        <v>4.174</v>
      </c>
      <c r="O172" s="20" t="n">
        <v>0</v>
      </c>
      <c r="P172" s="20" t="n">
        <v>57.051</v>
      </c>
      <c r="Q172" s="20" t="n">
        <v>9.656000000000001</v>
      </c>
      <c r="R172" s="20" t="n">
        <v>5.553</v>
      </c>
      <c r="S172" s="20" t="n">
        <v>24.155</v>
      </c>
      <c r="T172" s="20" t="n">
        <v>0</v>
      </c>
      <c r="U172" s="20" t="n">
        <v>47.673</v>
      </c>
      <c r="V172" s="20" t="n">
        <v>61.97</v>
      </c>
      <c r="W172" s="20" t="n">
        <v>5.969</v>
      </c>
      <c r="X172" s="20" t="n">
        <v>4.174</v>
      </c>
    </row>
    <row r="173">
      <c r="A173" s="18" t="inlineStr">
        <is>
          <t>이자비용</t>
        </is>
      </c>
      <c r="C173" s="20" t="n">
        <v>20.757</v>
      </c>
      <c r="E173" s="20" t="n">
        <v>44.714</v>
      </c>
      <c r="G173" s="20" t="n">
        <v>38.322</v>
      </c>
      <c r="I173" s="20" t="n">
        <v>77.376</v>
      </c>
      <c r="K173" s="20" t="n">
        <v>39.974</v>
      </c>
      <c r="M173" s="20" t="n">
        <v>75.658</v>
      </c>
      <c r="O173" s="20" t="n">
        <v>14.681</v>
      </c>
      <c r="P173" s="20" t="n">
        <v>27.983</v>
      </c>
      <c r="Q173" s="20" t="n">
        <v>28.846</v>
      </c>
      <c r="R173" s="20" t="n">
        <v>33.923</v>
      </c>
      <c r="S173" s="20" t="n">
        <v>30.295</v>
      </c>
      <c r="T173" s="20" t="n">
        <v>44.747</v>
      </c>
      <c r="U173" s="20" t="n">
        <v>41.437</v>
      </c>
      <c r="V173" s="20" t="n">
        <v>44.714</v>
      </c>
      <c r="W173" s="20" t="n">
        <v>77.376</v>
      </c>
      <c r="X173" s="20" t="n">
        <v>75.658</v>
      </c>
    </row>
    <row r="174">
      <c r="A174" s="18" t="inlineStr">
        <is>
          <t>사채이자</t>
        </is>
      </c>
      <c r="O174" s="20" t="n">
        <v>0.51</v>
      </c>
      <c r="P174" s="20" t="n">
        <v>1.423</v>
      </c>
      <c r="Q174" s="20" t="n">
        <v>2.118</v>
      </c>
      <c r="R174" s="20" t="n">
        <v>1.162</v>
      </c>
      <c r="S174" s="20" t="n">
        <v>0.259</v>
      </c>
      <c r="T174" s="20" t="n">
        <v>0</v>
      </c>
    </row>
    <row r="175">
      <c r="A175" s="18" t="inlineStr">
        <is>
          <t>관계회사 주식 매각손익</t>
        </is>
      </c>
      <c r="I175" s="20" t="n">
        <v>0</v>
      </c>
      <c r="M175" s="20" t="n">
        <v>-2570.414</v>
      </c>
      <c r="O175" s="20" t="n">
        <v>-173.67</v>
      </c>
      <c r="P175" s="20" t="n">
        <v>0</v>
      </c>
      <c r="Q175" s="20" t="n">
        <v>0</v>
      </c>
      <c r="R175" s="20" t="n">
        <v>-692.804</v>
      </c>
      <c r="S175" s="20" t="n">
        <v>0</v>
      </c>
      <c r="W175" s="20" t="n">
        <v>0</v>
      </c>
      <c r="X175" s="20" t="n">
        <v>-2570.414</v>
      </c>
    </row>
    <row r="176">
      <c r="A176" s="18" t="inlineStr">
        <is>
          <t>지분변동손익</t>
        </is>
      </c>
      <c r="O176" s="20" t="n">
        <v>-47.563</v>
      </c>
      <c r="P176" s="20" t="n">
        <v>0</v>
      </c>
    </row>
    <row r="177">
      <c r="A177" s="18" t="inlineStr">
        <is>
          <t>매출채권 증감</t>
        </is>
      </c>
      <c r="C177" s="20" t="n">
        <v>-709.6950000000001</v>
      </c>
      <c r="E177" s="20" t="n">
        <v>-173.265</v>
      </c>
      <c r="G177" s="20" t="n">
        <v>231.006</v>
      </c>
      <c r="I177" s="20" t="n">
        <v>-1348.424</v>
      </c>
      <c r="K177" s="20" t="n">
        <v>939.379</v>
      </c>
      <c r="M177" s="20" t="n">
        <v>732.261</v>
      </c>
      <c r="O177" s="20" t="n">
        <v>-576.877</v>
      </c>
      <c r="P177" s="20" t="n">
        <v>-462.806</v>
      </c>
      <c r="Q177" s="20" t="n">
        <v>423.253</v>
      </c>
      <c r="R177" s="20" t="n">
        <v>-208.438</v>
      </c>
      <c r="S177" s="20" t="n">
        <v>-109.752</v>
      </c>
      <c r="T177" s="20" t="n">
        <v>356.622</v>
      </c>
      <c r="U177" s="20" t="n">
        <v>0.658</v>
      </c>
      <c r="V177" s="20" t="n">
        <v>-173.265</v>
      </c>
      <c r="W177" s="20" t="n">
        <v>-1348.424</v>
      </c>
      <c r="X177" s="20" t="n">
        <v>732.261</v>
      </c>
    </row>
    <row r="178">
      <c r="A178" s="18" t="inlineStr">
        <is>
          <t>재고자산 증감</t>
        </is>
      </c>
      <c r="C178" s="20" t="n">
        <v>-34.309</v>
      </c>
      <c r="E178" s="20" t="n">
        <v>-29.839</v>
      </c>
      <c r="G178" s="20" t="n">
        <v>-28.975</v>
      </c>
      <c r="I178" s="20" t="n">
        <v>-38.694</v>
      </c>
      <c r="K178" s="20" t="n">
        <v>-36.028</v>
      </c>
      <c r="M178" s="20" t="n">
        <v>-49.766</v>
      </c>
      <c r="O178" s="20" t="n">
        <v>-787.371</v>
      </c>
      <c r="P178" s="20" t="n">
        <v>616.652</v>
      </c>
      <c r="Q178" s="20" t="n">
        <v>118.988</v>
      </c>
      <c r="R178" s="20" t="n">
        <v>240.989</v>
      </c>
      <c r="S178" s="20" t="n">
        <v>-7.136</v>
      </c>
      <c r="T178" s="20" t="n">
        <v>-2.809</v>
      </c>
      <c r="U178" s="20" t="n">
        <v>-12.725</v>
      </c>
      <c r="V178" s="20" t="n">
        <v>-29.839</v>
      </c>
      <c r="W178" s="20" t="n">
        <v>-38.694</v>
      </c>
      <c r="X178" s="20" t="n">
        <v>-49.766</v>
      </c>
    </row>
    <row r="179">
      <c r="A179" s="18" t="inlineStr">
        <is>
          <t>미수금 증감</t>
        </is>
      </c>
      <c r="C179" s="20" t="n">
        <v>16.18</v>
      </c>
      <c r="G179" s="20" t="n">
        <v>-7.031</v>
      </c>
      <c r="K179" s="20" t="n">
        <v>-206.131</v>
      </c>
      <c r="O179" s="20" t="n">
        <v>-150.636</v>
      </c>
      <c r="P179" s="20" t="n">
        <v>-255.734</v>
      </c>
      <c r="Q179" s="20" t="n">
        <v>228.332</v>
      </c>
    </row>
    <row r="180">
      <c r="A180" s="18" t="inlineStr">
        <is>
          <t>미수 소비세 증감</t>
        </is>
      </c>
      <c r="C180" s="20" t="n">
        <v>-46.394</v>
      </c>
      <c r="E180" s="20" t="n">
        <v>-170.986</v>
      </c>
      <c r="G180" s="20" t="n">
        <v>178.082</v>
      </c>
      <c r="I180" s="20" t="n">
        <v>178.082</v>
      </c>
      <c r="K180" s="20" t="n">
        <v>0</v>
      </c>
      <c r="M180" s="20" t="n">
        <v>0</v>
      </c>
      <c r="O180" s="20" t="n">
        <v>6.3</v>
      </c>
      <c r="P180" s="20" t="n">
        <v>0</v>
      </c>
      <c r="S180" s="20" t="n">
        <v>0</v>
      </c>
      <c r="T180" s="20" t="n">
        <v>-151.174</v>
      </c>
      <c r="U180" s="20" t="n">
        <v>162.542</v>
      </c>
      <c r="V180" s="20" t="n">
        <v>-170.986</v>
      </c>
      <c r="W180" s="20" t="n">
        <v>178.082</v>
      </c>
      <c r="X180" s="20" t="n">
        <v>0</v>
      </c>
    </row>
    <row r="181">
      <c r="A181" s="18" t="inlineStr">
        <is>
          <t>선급비용 증감</t>
        </is>
      </c>
      <c r="C181" s="20" t="n">
        <v>14.175</v>
      </c>
      <c r="E181" s="20" t="n">
        <v>3.804</v>
      </c>
      <c r="G181" s="20" t="n">
        <v>3.652</v>
      </c>
      <c r="I181" s="20" t="n">
        <v>-306.748</v>
      </c>
      <c r="K181" s="20" t="n">
        <v>214.538</v>
      </c>
      <c r="M181" s="20" t="n">
        <v>337.251</v>
      </c>
      <c r="R181" s="20" t="n">
        <v>-98.64</v>
      </c>
      <c r="S181" s="20" t="n">
        <v>202.024</v>
      </c>
      <c r="T181" s="20" t="n">
        <v>-18.678</v>
      </c>
      <c r="U181" s="20" t="n">
        <v>3.257</v>
      </c>
      <c r="V181" s="20" t="n">
        <v>3.804</v>
      </c>
      <c r="W181" s="20" t="n">
        <v>-306.748</v>
      </c>
      <c r="X181" s="20" t="n">
        <v>337.251</v>
      </c>
    </row>
    <row r="182">
      <c r="A182" s="18" t="inlineStr">
        <is>
          <t>매입채무 증감</t>
        </is>
      </c>
      <c r="C182" s="20" t="n">
        <v>-61.181</v>
      </c>
      <c r="E182" s="20" t="n">
        <v>-120.378</v>
      </c>
      <c r="G182" s="20" t="n">
        <v>-2.393</v>
      </c>
      <c r="I182" s="20" t="n">
        <v>88.27800000000001</v>
      </c>
      <c r="K182" s="20" t="n">
        <v>-30.407</v>
      </c>
      <c r="M182" s="20" t="n">
        <v>-76.72799999999999</v>
      </c>
      <c r="O182" s="20" t="n">
        <v>261.277</v>
      </c>
      <c r="P182" s="20" t="n">
        <v>-12.178</v>
      </c>
      <c r="Q182" s="20" t="n">
        <v>-94.91</v>
      </c>
      <c r="R182" s="20" t="n">
        <v>54.322</v>
      </c>
      <c r="S182" s="20" t="n">
        <v>-61.589</v>
      </c>
      <c r="T182" s="20" t="n">
        <v>-5.678</v>
      </c>
      <c r="U182" s="20" t="n">
        <v>92.113</v>
      </c>
      <c r="V182" s="20" t="n">
        <v>-120.378</v>
      </c>
      <c r="W182" s="20" t="n">
        <v>88.27800000000001</v>
      </c>
      <c r="X182" s="20" t="n">
        <v>-76.72799999999999</v>
      </c>
    </row>
    <row r="183">
      <c r="A183" s="18" t="inlineStr">
        <is>
          <t>미지급금 증감</t>
        </is>
      </c>
      <c r="C183" s="20" t="n">
        <v>56.024</v>
      </c>
      <c r="E183" s="20" t="n">
        <v>49.192</v>
      </c>
      <c r="G183" s="20" t="n">
        <v>-54.954</v>
      </c>
      <c r="I183" s="20" t="n">
        <v>1176.678</v>
      </c>
      <c r="K183" s="20" t="n">
        <v>-67.512</v>
      </c>
      <c r="M183" s="20" t="n">
        <v>-390.122</v>
      </c>
      <c r="O183" s="20" t="n">
        <v>366.824</v>
      </c>
      <c r="P183" s="20" t="n">
        <v>143.408</v>
      </c>
      <c r="Q183" s="20" t="n">
        <v>-243.176</v>
      </c>
      <c r="R183" s="20" t="n">
        <v>-182.392</v>
      </c>
      <c r="S183" s="20" t="n">
        <v>84.377</v>
      </c>
      <c r="T183" s="20" t="n">
        <v>42.453</v>
      </c>
      <c r="U183" s="20" t="n">
        <v>-12.938</v>
      </c>
      <c r="V183" s="20" t="n">
        <v>49.192</v>
      </c>
      <c r="W183" s="20" t="n">
        <v>1176.678</v>
      </c>
      <c r="X183" s="20" t="n">
        <v>-390.122</v>
      </c>
    </row>
    <row r="184">
      <c r="A184" s="18" t="inlineStr">
        <is>
          <t>미지급 소비세 증감</t>
        </is>
      </c>
      <c r="C184" s="20" t="n">
        <v>-56.137</v>
      </c>
      <c r="E184" s="20" t="n">
        <v>-52.935</v>
      </c>
      <c r="G184" s="20" t="n">
        <v>-17.605</v>
      </c>
      <c r="I184" s="20" t="n">
        <v>67.23099999999999</v>
      </c>
      <c r="K184" s="20" t="n">
        <v>-67.28700000000001</v>
      </c>
      <c r="M184" s="20" t="n">
        <v>60.141</v>
      </c>
      <c r="O184" s="20" t="n">
        <v>23.471</v>
      </c>
      <c r="P184" s="20" t="n">
        <v>128.791</v>
      </c>
      <c r="Q184" s="20" t="n">
        <v>-167.871</v>
      </c>
      <c r="R184" s="20" t="n">
        <v>58.883</v>
      </c>
      <c r="S184" s="20" t="n">
        <v>150.506</v>
      </c>
      <c r="T184" s="20" t="n">
        <v>-163.115</v>
      </c>
      <c r="U184" s="20" t="n">
        <v>26.595</v>
      </c>
      <c r="V184" s="20" t="n">
        <v>-52.935</v>
      </c>
      <c r="W184" s="20" t="n">
        <v>67.23099999999999</v>
      </c>
      <c r="X184" s="20" t="n">
        <v>60.141</v>
      </c>
    </row>
    <row r="185">
      <c r="A185" s="18" t="inlineStr">
        <is>
          <t>선수금 증감</t>
        </is>
      </c>
      <c r="C185" s="20" t="n">
        <v>-18.77</v>
      </c>
      <c r="E185" s="20" t="n">
        <v>25.711</v>
      </c>
      <c r="G185" s="20" t="n">
        <v>-44.736</v>
      </c>
      <c r="I185" s="20" t="n">
        <v>-42.519</v>
      </c>
      <c r="K185" s="20" t="n">
        <v>-3.191</v>
      </c>
      <c r="M185" s="20" t="n">
        <v>-1.964</v>
      </c>
      <c r="O185" s="20" t="n">
        <v>484.92</v>
      </c>
      <c r="P185" s="20" t="n">
        <v>-484.866</v>
      </c>
      <c r="Q185" s="20" t="n">
        <v>181.386</v>
      </c>
      <c r="R185" s="20" t="n">
        <v>-169.009</v>
      </c>
      <c r="S185" s="20" t="n">
        <v>136.19</v>
      </c>
      <c r="T185" s="20" t="n">
        <v>-136.19</v>
      </c>
      <c r="U185" s="20" t="n">
        <v>207.569</v>
      </c>
      <c r="V185" s="20" t="n">
        <v>25.711</v>
      </c>
      <c r="W185" s="20" t="n">
        <v>-42.519</v>
      </c>
      <c r="X185" s="20" t="n">
        <v>-1.964</v>
      </c>
    </row>
    <row r="186">
      <c r="A186" s="18" t="inlineStr">
        <is>
          <t>상여충당금 증감</t>
        </is>
      </c>
      <c r="C186" s="20" t="n">
        <v>-61.281</v>
      </c>
      <c r="E186" s="20" t="n">
        <v>-42.6</v>
      </c>
      <c r="G186" s="20" t="n">
        <v>-3.234</v>
      </c>
      <c r="I186" s="20" t="n">
        <v>11.258</v>
      </c>
      <c r="K186" s="20" t="n">
        <v>16.487</v>
      </c>
      <c r="M186" s="20" t="n">
        <v>35.078</v>
      </c>
      <c r="O186" s="20" t="n">
        <v>54.8</v>
      </c>
      <c r="P186" s="20" t="n">
        <v>25.332</v>
      </c>
      <c r="Q186" s="20" t="n">
        <v>6.608</v>
      </c>
      <c r="R186" s="20" t="n">
        <v>18.867</v>
      </c>
      <c r="S186" s="20" t="n">
        <v>103.296</v>
      </c>
      <c r="T186" s="20" t="n">
        <v>0.74</v>
      </c>
      <c r="U186" s="20" t="n">
        <v>0.536</v>
      </c>
      <c r="V186" s="20" t="n">
        <v>-42.6</v>
      </c>
      <c r="W186" s="20" t="n">
        <v>11.258</v>
      </c>
      <c r="X186" s="20" t="n">
        <v>35.078</v>
      </c>
    </row>
    <row r="187">
      <c r="A187" s="18" t="inlineStr">
        <is>
          <t>대손충당금 증감</t>
        </is>
      </c>
      <c r="I187" s="20" t="n">
        <v>0</v>
      </c>
      <c r="M187" s="20" t="n">
        <v>44</v>
      </c>
      <c r="W187" s="20" t="n">
        <v>0</v>
      </c>
      <c r="X187" s="20" t="n">
        <v>44</v>
      </c>
    </row>
    <row r="188">
      <c r="A188" s="18" t="inlineStr">
        <is>
          <t>미지급비용 증감</t>
        </is>
      </c>
      <c r="E188" s="20" t="n">
        <v>-159.349</v>
      </c>
      <c r="I188" s="20" t="n">
        <v>-11.234</v>
      </c>
      <c r="M188" s="20" t="n">
        <v>72.455</v>
      </c>
      <c r="U188" s="20" t="n">
        <v>24.088</v>
      </c>
      <c r="V188" s="20" t="n">
        <v>-159.349</v>
      </c>
      <c r="W188" s="20" t="n">
        <v>-11.234</v>
      </c>
      <c r="X188" s="20" t="n">
        <v>72.455</v>
      </c>
    </row>
    <row r="189">
      <c r="A189" s="18" t="inlineStr">
        <is>
          <t>기타</t>
        </is>
      </c>
      <c r="C189" s="20" t="n">
        <v>-27.113</v>
      </c>
      <c r="E189" s="20" t="n">
        <v>-70.871</v>
      </c>
      <c r="G189" s="20" t="n">
        <v>-24.105</v>
      </c>
      <c r="I189" s="20" t="n">
        <v>102.035</v>
      </c>
      <c r="K189" s="20" t="n">
        <v>-25.323</v>
      </c>
      <c r="M189" s="20" t="n">
        <v>13.76</v>
      </c>
      <c r="O189" s="20" t="n">
        <v>13.385</v>
      </c>
      <c r="P189" s="20" t="n">
        <v>76.15300000000001</v>
      </c>
      <c r="Q189" s="20" t="n">
        <v>139.638</v>
      </c>
      <c r="R189" s="20" t="n">
        <v>-5.698</v>
      </c>
      <c r="S189" s="20" t="n">
        <v>146.124</v>
      </c>
      <c r="T189" s="20" t="n">
        <v>182.111</v>
      </c>
      <c r="U189" s="20" t="n">
        <v>-47.015</v>
      </c>
      <c r="V189" s="20" t="n">
        <v>-70.871</v>
      </c>
      <c r="W189" s="20" t="n">
        <v>102.035</v>
      </c>
      <c r="X189" s="20" t="n">
        <v>13.76</v>
      </c>
    </row>
    <row r="190">
      <c r="A190" s="18" t="inlineStr">
        <is>
          <t>소계</t>
        </is>
      </c>
      <c r="C190" s="20" t="n">
        <v>-324.766</v>
      </c>
      <c r="E190" s="20" t="n">
        <v>349.147</v>
      </c>
      <c r="G190" s="20" t="n">
        <v>80.65300000000001</v>
      </c>
      <c r="I190" s="20" t="n">
        <v>547.586</v>
      </c>
      <c r="K190" s="20" t="n">
        <v>889.21</v>
      </c>
      <c r="M190" s="20" t="n">
        <v>2437.833</v>
      </c>
      <c r="O190" s="20" t="n">
        <v>874.157</v>
      </c>
      <c r="P190" s="20" t="n">
        <v>328.524</v>
      </c>
      <c r="Q190" s="20" t="n">
        <v>230.628</v>
      </c>
      <c r="R190" s="20" t="n">
        <v>664.479</v>
      </c>
      <c r="S190" s="20" t="n">
        <v>3403.286</v>
      </c>
      <c r="T190" s="20" t="n">
        <v>2273.207</v>
      </c>
      <c r="U190" s="20" t="n">
        <v>3033.198</v>
      </c>
      <c r="V190" s="20" t="n">
        <v>349.147</v>
      </c>
      <c r="W190" s="20" t="n">
        <v>547.586</v>
      </c>
      <c r="X190" s="20" t="n">
        <v>2437.833</v>
      </c>
    </row>
    <row r="191">
      <c r="A191" s="18" t="inlineStr">
        <is>
          <t>이자·배당금 수취</t>
        </is>
      </c>
      <c r="C191" s="20" t="n">
        <v>3.264</v>
      </c>
      <c r="G191" s="20" t="n">
        <v>1.055</v>
      </c>
      <c r="K191" s="20" t="n">
        <v>4.575</v>
      </c>
    </row>
    <row r="192">
      <c r="A192" s="18" t="inlineStr">
        <is>
          <t>Receipts Of Dividends And Interest Received Ope CF</t>
        </is>
      </c>
      <c r="E192" s="20" t="n">
        <v>3.979</v>
      </c>
      <c r="I192" s="20" t="n">
        <v>4.098</v>
      </c>
      <c r="M192" s="20" t="n">
        <v>9.236000000000001</v>
      </c>
      <c r="O192" s="20" t="n">
        <v>1.687</v>
      </c>
      <c r="P192" s="20" t="n">
        <v>0.425</v>
      </c>
      <c r="Q192" s="20" t="n">
        <v>24.38</v>
      </c>
      <c r="R192" s="20" t="n">
        <v>1.774</v>
      </c>
      <c r="S192" s="20" t="n">
        <v>9.597</v>
      </c>
      <c r="T192" s="20" t="n">
        <v>0.973</v>
      </c>
      <c r="U192" s="20" t="n">
        <v>5.112</v>
      </c>
      <c r="V192" s="20" t="n">
        <v>3.979</v>
      </c>
      <c r="W192" s="20" t="n">
        <v>4.098</v>
      </c>
      <c r="X192" s="20" t="n">
        <v>9.236000000000001</v>
      </c>
    </row>
    <row r="193">
      <c r="A193" s="18" t="inlineStr">
        <is>
          <t>이자 지급</t>
        </is>
      </c>
      <c r="C193" s="20" t="n">
        <v>-20.801</v>
      </c>
      <c r="E193" s="20" t="n">
        <v>-43.536</v>
      </c>
      <c r="G193" s="20" t="n">
        <v>-39.358</v>
      </c>
      <c r="I193" s="20" t="n">
        <v>-74.776</v>
      </c>
      <c r="K193" s="20" t="n">
        <v>-39.845</v>
      </c>
      <c r="M193" s="20" t="n">
        <v>-75.54600000000001</v>
      </c>
      <c r="O193" s="20" t="n">
        <v>-16.441</v>
      </c>
      <c r="P193" s="20" t="n">
        <v>-25.356</v>
      </c>
      <c r="Q193" s="20" t="n">
        <v>-34.769</v>
      </c>
      <c r="R193" s="20" t="n">
        <v>-33.414</v>
      </c>
      <c r="S193" s="20" t="n">
        <v>-34.594</v>
      </c>
      <c r="T193" s="20" t="n">
        <v>-43.956</v>
      </c>
      <c r="U193" s="20" t="n">
        <v>-37.856</v>
      </c>
      <c r="V193" s="20" t="n">
        <v>-43.536</v>
      </c>
      <c r="W193" s="20" t="n">
        <v>-74.776</v>
      </c>
      <c r="X193" s="20" t="n">
        <v>-75.54600000000001</v>
      </c>
    </row>
    <row r="194">
      <c r="A194" s="18" t="inlineStr">
        <is>
          <t>Compensation For Damage Paid Ope CF</t>
        </is>
      </c>
      <c r="O194" s="20" t="n">
        <v>0</v>
      </c>
      <c r="P194" s="20" t="n">
        <v>-112</v>
      </c>
      <c r="Q194" s="20" t="n">
        <v>0</v>
      </c>
    </row>
    <row r="195">
      <c r="A195" s="18" t="inlineStr">
        <is>
          <t>법인세 납부</t>
        </is>
      </c>
      <c r="C195" s="20" t="n">
        <v>-456.617</v>
      </c>
      <c r="E195" s="20" t="n">
        <v>-782.828</v>
      </c>
      <c r="G195" s="20" t="n">
        <v>-61.147</v>
      </c>
      <c r="I195" s="20" t="n">
        <v>-112.337</v>
      </c>
      <c r="K195" s="20" t="n">
        <v>-99.69799999999999</v>
      </c>
      <c r="M195" s="20" t="n">
        <v>-174.193</v>
      </c>
      <c r="O195" s="20" t="n">
        <v>-13.787</v>
      </c>
      <c r="P195" s="20" t="n">
        <v>-271.027</v>
      </c>
      <c r="Q195" s="20" t="n">
        <v>-141.982</v>
      </c>
      <c r="R195" s="20" t="n">
        <v>-10.731</v>
      </c>
      <c r="S195" s="20" t="n">
        <v>-181.823</v>
      </c>
      <c r="T195" s="20" t="n">
        <v>-635.967</v>
      </c>
      <c r="U195" s="20" t="n">
        <v>-334.675</v>
      </c>
      <c r="V195" s="20" t="n">
        <v>-782.828</v>
      </c>
      <c r="W195" s="20" t="n">
        <v>-112.337</v>
      </c>
      <c r="X195" s="20" t="n">
        <v>-174.193</v>
      </c>
    </row>
    <row r="196">
      <c r="A196" s="18" t="inlineStr">
        <is>
          <t>법인세 환급</t>
        </is>
      </c>
      <c r="C196" s="20" t="n">
        <v>0</v>
      </c>
      <c r="E196" s="20" t="n">
        <v>0</v>
      </c>
      <c r="G196" s="20" t="n">
        <v>269.51</v>
      </c>
      <c r="I196" s="20" t="n">
        <v>269.51</v>
      </c>
      <c r="K196" s="20" t="n">
        <v>0.434</v>
      </c>
      <c r="M196" s="20" t="n">
        <v>0.434</v>
      </c>
      <c r="Q196" s="20" t="n">
        <v>0</v>
      </c>
      <c r="R196" s="20" t="n">
        <v>69.315</v>
      </c>
      <c r="S196" s="20" t="n">
        <v>0</v>
      </c>
      <c r="T196" s="20" t="n">
        <v>8.567</v>
      </c>
      <c r="U196" s="20" t="n">
        <v>0</v>
      </c>
      <c r="V196" s="20" t="n">
        <v>0</v>
      </c>
      <c r="W196" s="20" t="n">
        <v>269.51</v>
      </c>
      <c r="X196" s="20" t="n">
        <v>0.434</v>
      </c>
    </row>
    <row r="197">
      <c r="A197" s="9" t="inlineStr">
        <is>
          <t>영업활동 현금흐름</t>
        </is>
      </c>
      <c r="C197" s="12" t="n">
        <v>-798.921</v>
      </c>
      <c r="E197" s="12" t="n">
        <v>-473.238</v>
      </c>
      <c r="G197" s="12" t="n">
        <v>250.712</v>
      </c>
      <c r="I197" s="12" t="n">
        <v>634.082</v>
      </c>
      <c r="K197" s="12" t="n">
        <v>754.675</v>
      </c>
      <c r="M197" s="12" t="n">
        <v>2197.764</v>
      </c>
      <c r="O197" s="12" t="n">
        <v>845.616</v>
      </c>
      <c r="P197" s="12" t="n">
        <v>-79.43300000000001</v>
      </c>
      <c r="Q197" s="12" t="n">
        <v>78.25700000000001</v>
      </c>
      <c r="R197" s="12" t="n">
        <v>691.423</v>
      </c>
      <c r="S197" s="12" t="n">
        <v>3196.465</v>
      </c>
      <c r="T197" s="12" t="n">
        <v>1602.824</v>
      </c>
      <c r="U197" s="12" t="n">
        <v>2665.778</v>
      </c>
      <c r="V197" s="12" t="n">
        <v>-473.238</v>
      </c>
      <c r="W197" s="12" t="n">
        <v>634.082</v>
      </c>
      <c r="X197" s="12" t="n">
        <v>2197.764</v>
      </c>
    </row>
    <row r="198">
      <c r="A198" s="18" t="inlineStr">
        <is>
          <t>유형자산 취득(설비투자)</t>
        </is>
      </c>
      <c r="C198" s="20" t="n">
        <v>-1.163</v>
      </c>
      <c r="E198" s="20" t="n">
        <v>-2.404</v>
      </c>
      <c r="G198" s="20" t="n">
        <v>-1.028</v>
      </c>
      <c r="I198" s="20" t="n">
        <v>-7.704</v>
      </c>
      <c r="K198" s="20" t="n">
        <v>-6.252</v>
      </c>
      <c r="M198" s="20" t="n">
        <v>-22.436</v>
      </c>
      <c r="O198" s="20" t="n">
        <v>-14.868</v>
      </c>
      <c r="P198" s="20" t="n">
        <v>-32.557</v>
      </c>
      <c r="Q198" s="20" t="n">
        <v>-6.874</v>
      </c>
      <c r="R198" s="20" t="n">
        <v>-18.628</v>
      </c>
      <c r="S198" s="20" t="n">
        <v>-11.742</v>
      </c>
      <c r="T198" s="20" t="n">
        <v>-70.5</v>
      </c>
      <c r="U198" s="20" t="n">
        <v>-21.288</v>
      </c>
      <c r="V198" s="20" t="n">
        <v>-2.404</v>
      </c>
      <c r="W198" s="20" t="n">
        <v>-7.704</v>
      </c>
      <c r="X198" s="20" t="n">
        <v>-22.436</v>
      </c>
    </row>
    <row r="199">
      <c r="A199" s="18" t="inlineStr">
        <is>
          <t>무형자산 취득</t>
        </is>
      </c>
      <c r="C199" s="20" t="n">
        <v>-1007.214</v>
      </c>
      <c r="E199" s="20" t="n">
        <v>-2006.279</v>
      </c>
      <c r="G199" s="20" t="n">
        <v>-987.792</v>
      </c>
      <c r="I199" s="20" t="n">
        <v>-1782.926</v>
      </c>
      <c r="K199" s="20" t="n">
        <v>-319.538</v>
      </c>
      <c r="M199" s="20" t="n">
        <v>-692.735</v>
      </c>
      <c r="O199" s="20" t="n">
        <v>-571.336</v>
      </c>
      <c r="P199" s="20" t="n">
        <v>-737.014</v>
      </c>
      <c r="Q199" s="20" t="n">
        <v>-559.23</v>
      </c>
      <c r="R199" s="20" t="n">
        <v>-505.877</v>
      </c>
      <c r="S199" s="20" t="n">
        <v>-536.254</v>
      </c>
      <c r="T199" s="20" t="n">
        <v>-1704.144</v>
      </c>
      <c r="U199" s="20" t="n">
        <v>-2005.229</v>
      </c>
      <c r="V199" s="20" t="n">
        <v>-2006.279</v>
      </c>
      <c r="W199" s="20" t="n">
        <v>-1782.926</v>
      </c>
      <c r="X199" s="20" t="n">
        <v>-692.735</v>
      </c>
    </row>
    <row r="200">
      <c r="A200" s="18" t="inlineStr">
        <is>
          <t>연결범위 변경 자회사 주식 매각(지출)</t>
        </is>
      </c>
      <c r="P200" s="20" t="n">
        <v>0</v>
      </c>
      <c r="Q200" s="20" t="n">
        <v>-7.625</v>
      </c>
    </row>
    <row r="201">
      <c r="A201" s="18" t="inlineStr">
        <is>
          <t>관계회사 주식 취득</t>
        </is>
      </c>
      <c r="O201" s="20" t="n">
        <v>-50</v>
      </c>
      <c r="P201" s="20" t="n">
        <v>-441</v>
      </c>
      <c r="Q201" s="20" t="n">
        <v>0</v>
      </c>
    </row>
    <row r="202">
      <c r="A202" s="18" t="inlineStr">
        <is>
          <t>투자유가증권 취득</t>
        </is>
      </c>
      <c r="C202" s="20" t="n">
        <v>-10</v>
      </c>
      <c r="E202" s="20" t="n">
        <v>-10</v>
      </c>
      <c r="G202" s="20" t="n">
        <v>0</v>
      </c>
      <c r="I202" s="20" t="n">
        <v>0</v>
      </c>
      <c r="O202" s="20" t="n">
        <v>0</v>
      </c>
      <c r="P202" s="20" t="n">
        <v>-100.094</v>
      </c>
      <c r="Q202" s="20" t="n">
        <v>0</v>
      </c>
      <c r="S202" s="20" t="n">
        <v>0</v>
      </c>
      <c r="T202" s="20" t="n">
        <v>-96.29000000000001</v>
      </c>
      <c r="U202" s="20" t="n">
        <v>-59.92</v>
      </c>
      <c r="V202" s="20" t="n">
        <v>-10</v>
      </c>
      <c r="W202" s="20" t="n">
        <v>0</v>
      </c>
    </row>
    <row r="203">
      <c r="A203" s="18" t="inlineStr">
        <is>
          <t>투자유가증권 매각</t>
        </is>
      </c>
      <c r="O203" s="20" t="n">
        <v>29.026</v>
      </c>
      <c r="P203" s="20" t="n">
        <v>60</v>
      </c>
      <c r="Q203" s="20" t="n">
        <v>0</v>
      </c>
    </row>
    <row r="204">
      <c r="A204" s="18" t="inlineStr">
        <is>
          <t>투자조합 분배 수입</t>
        </is>
      </c>
      <c r="O204" s="20" t="n">
        <v>28.045</v>
      </c>
      <c r="P204" s="20" t="n">
        <v>0</v>
      </c>
    </row>
    <row r="205">
      <c r="A205" s="18" t="inlineStr">
        <is>
          <t>임차보증금 납입</t>
        </is>
      </c>
      <c r="O205" s="20" t="n">
        <v>-33.858</v>
      </c>
      <c r="P205" s="20" t="n">
        <v>-178.912</v>
      </c>
      <c r="Q205" s="20" t="n">
        <v>0</v>
      </c>
    </row>
    <row r="206">
      <c r="A206" s="18" t="inlineStr">
        <is>
          <t>연결범위 변경 자회사 주식 취득</t>
        </is>
      </c>
      <c r="Q206" s="20" t="n">
        <v>0</v>
      </c>
      <c r="R206" s="20" t="n">
        <v>-84</v>
      </c>
      <c r="S206" s="20" t="n">
        <v>-326</v>
      </c>
      <c r="T206" s="20" t="n">
        <v>-129.813</v>
      </c>
      <c r="U206" s="20" t="n">
        <v>0</v>
      </c>
    </row>
    <row r="207">
      <c r="A207" s="18" t="inlineStr">
        <is>
          <t>관계회사 주식 매각</t>
        </is>
      </c>
      <c r="Q207" s="20" t="n">
        <v>0</v>
      </c>
      <c r="R207" s="20" t="n">
        <v>441</v>
      </c>
      <c r="S207" s="20" t="n">
        <v>0</v>
      </c>
    </row>
    <row r="208">
      <c r="A208" s="18" t="inlineStr">
        <is>
          <t>Payments Of Loans Receivable To Subsidiaries And Affiliates Inv CF</t>
        </is>
      </c>
      <c r="O208" s="20" t="n">
        <v>0</v>
      </c>
      <c r="P208" s="20" t="n">
        <v>-490</v>
      </c>
      <c r="Q208" s="20" t="n">
        <v>-539</v>
      </c>
      <c r="R208" s="20" t="n">
        <v>0</v>
      </c>
    </row>
    <row r="209">
      <c r="A209" s="18" t="inlineStr">
        <is>
          <t>Collection Of Loans Receivable From Subsidiaries And Associates Inv CFLine Items</t>
        </is>
      </c>
      <c r="P209" s="20" t="n">
        <v>0</v>
      </c>
      <c r="Q209" s="20" t="n">
        <v>1029</v>
      </c>
    </row>
    <row r="210">
      <c r="A210" s="18" t="inlineStr">
        <is>
          <t>Collection Of Loans Receivable From Subsidiaries And Associates Inv CF</t>
        </is>
      </c>
      <c r="Q210" s="20" t="n">
        <v>1029</v>
      </c>
      <c r="R210" s="20" t="n">
        <v>0</v>
      </c>
    </row>
    <row r="211">
      <c r="A211" s="18" t="inlineStr">
        <is>
          <t>출자금 납입</t>
        </is>
      </c>
      <c r="O211" s="20" t="n">
        <v>0</v>
      </c>
      <c r="P211" s="20" t="n">
        <v>-19.7</v>
      </c>
      <c r="Q211" s="20" t="n">
        <v>-19.8</v>
      </c>
      <c r="R211" s="20" t="n">
        <v>0</v>
      </c>
    </row>
    <row r="212">
      <c r="A212" s="18" t="inlineStr">
        <is>
          <t>임차보증금·보증금 회수</t>
        </is>
      </c>
      <c r="E212" s="20" t="n">
        <v>0</v>
      </c>
      <c r="S212" s="20" t="n">
        <v>0</v>
      </c>
      <c r="T212" s="20" t="n">
        <v>177.31</v>
      </c>
      <c r="U212" s="20" t="n">
        <v>118.734</v>
      </c>
      <c r="V212" s="20" t="n">
        <v>0</v>
      </c>
    </row>
    <row r="213">
      <c r="A213" s="18" t="inlineStr">
        <is>
          <t>임차보증금·보증금 납입</t>
        </is>
      </c>
      <c r="E213" s="20" t="n">
        <v>-0.01</v>
      </c>
      <c r="R213" s="20" t="n">
        <v>0</v>
      </c>
      <c r="S213" s="20" t="n">
        <v>-215.704</v>
      </c>
      <c r="T213" s="20" t="n">
        <v>-4.01</v>
      </c>
      <c r="U213" s="20" t="n">
        <v>-1</v>
      </c>
      <c r="V213" s="20" t="n">
        <v>-0.01</v>
      </c>
    </row>
    <row r="214">
      <c r="A214" s="18" t="inlineStr">
        <is>
          <t>사업양도 수입</t>
        </is>
      </c>
      <c r="S214" s="20" t="n">
        <v>0</v>
      </c>
      <c r="T214" s="20" t="n">
        <v>94.779</v>
      </c>
      <c r="U214" s="20" t="n">
        <v>0</v>
      </c>
    </row>
    <row r="215">
      <c r="A215" s="18" t="inlineStr">
        <is>
          <t>연결범위 변경 자회사 주식 매각</t>
        </is>
      </c>
      <c r="I215" s="20" t="n">
        <v>0</v>
      </c>
      <c r="M215" s="20" t="n">
        <v>2615.549</v>
      </c>
      <c r="O215" s="20" t="n">
        <v>172.39</v>
      </c>
      <c r="P215" s="20" t="n">
        <v>0</v>
      </c>
      <c r="W215" s="20" t="n">
        <v>0</v>
      </c>
      <c r="X215" s="20" t="n">
        <v>2615.549</v>
      </c>
    </row>
    <row r="216">
      <c r="A216" s="18" t="inlineStr">
        <is>
          <t>Proceeds From Development Investment Received Inv CF</t>
        </is>
      </c>
      <c r="C216" s="20" t="n">
        <v>0</v>
      </c>
      <c r="E216" s="20" t="n">
        <v>0</v>
      </c>
      <c r="G216" s="20" t="n">
        <v>380</v>
      </c>
      <c r="I216" s="20" t="n">
        <v>917.1</v>
      </c>
      <c r="K216" s="20" t="n">
        <v>89.999</v>
      </c>
      <c r="M216" s="20" t="n">
        <v>89.999</v>
      </c>
      <c r="V216" s="20" t="n">
        <v>0</v>
      </c>
      <c r="W216" s="20" t="n">
        <v>917.1</v>
      </c>
      <c r="X216" s="20" t="n">
        <v>89.999</v>
      </c>
    </row>
    <row r="217">
      <c r="A217" s="18" t="inlineStr">
        <is>
          <t>기타</t>
        </is>
      </c>
      <c r="C217" s="20" t="n">
        <v>-0.01</v>
      </c>
      <c r="E217" s="20" t="n">
        <v>-30.132</v>
      </c>
      <c r="G217" s="20" t="n">
        <v>0</v>
      </c>
      <c r="I217" s="20" t="n">
        <v>-25.844</v>
      </c>
      <c r="K217" s="20" t="n">
        <v>-122.543</v>
      </c>
      <c r="M217" s="20" t="n">
        <v>-122.643</v>
      </c>
      <c r="O217" s="20" t="n">
        <v>-15</v>
      </c>
      <c r="P217" s="20" t="n">
        <v>-18.927</v>
      </c>
      <c r="Q217" s="20" t="n">
        <v>-27.083</v>
      </c>
      <c r="R217" s="20" t="n">
        <v>66.867</v>
      </c>
      <c r="S217" s="20" t="n">
        <v>-50.469</v>
      </c>
      <c r="T217" s="20" t="n">
        <v>-33.287</v>
      </c>
      <c r="U217" s="20" t="n">
        <v>-48.479</v>
      </c>
      <c r="V217" s="20" t="n">
        <v>-30.132</v>
      </c>
      <c r="W217" s="20" t="n">
        <v>-25.844</v>
      </c>
      <c r="X217" s="20" t="n">
        <v>-122.643</v>
      </c>
    </row>
    <row r="218">
      <c r="A218" s="9" t="inlineStr">
        <is>
          <t>투자활동 현금흐름</t>
        </is>
      </c>
      <c r="C218" s="12" t="n">
        <v>-1018.387</v>
      </c>
      <c r="E218" s="12" t="n">
        <v>-2048.815</v>
      </c>
      <c r="G218" s="12" t="n">
        <v>-608.8200000000001</v>
      </c>
      <c r="I218" s="12" t="n">
        <v>-899.375</v>
      </c>
      <c r="K218" s="12" t="n">
        <v>-358.335</v>
      </c>
      <c r="M218" s="12" t="n">
        <v>1867.732</v>
      </c>
      <c r="O218" s="12" t="n">
        <v>-455.6</v>
      </c>
      <c r="P218" s="12" t="n">
        <v>-1958.207</v>
      </c>
      <c r="Q218" s="12" t="n">
        <v>-122.987</v>
      </c>
      <c r="R218" s="12" t="n">
        <v>-100.638</v>
      </c>
      <c r="S218" s="12" t="n">
        <v>-1140.17</v>
      </c>
      <c r="T218" s="12" t="n">
        <v>-1765.956</v>
      </c>
      <c r="U218" s="12" t="n">
        <v>-2017.183</v>
      </c>
      <c r="V218" s="12" t="n">
        <v>-2048.815</v>
      </c>
      <c r="W218" s="12" t="n">
        <v>-899.375</v>
      </c>
      <c r="X218" s="12" t="n">
        <v>1867.732</v>
      </c>
    </row>
    <row r="219">
      <c r="A219" s="18" t="inlineStr">
        <is>
          <t>단기차입금 순증감</t>
        </is>
      </c>
      <c r="C219" s="20" t="n">
        <v>0</v>
      </c>
      <c r="E219" s="20" t="n">
        <v>0</v>
      </c>
      <c r="O219" s="20" t="n">
        <v>777.5</v>
      </c>
      <c r="P219" s="20" t="n">
        <v>-437.5</v>
      </c>
      <c r="Q219" s="20" t="n">
        <v>-340</v>
      </c>
      <c r="R219" s="20" t="n">
        <v>1080</v>
      </c>
      <c r="S219" s="20" t="n">
        <v>-1080</v>
      </c>
      <c r="T219" s="20" t="n">
        <v>46</v>
      </c>
      <c r="U219" s="20" t="n">
        <v>-46</v>
      </c>
      <c r="V219" s="20" t="n">
        <v>0</v>
      </c>
    </row>
    <row r="220">
      <c r="A220" s="18" t="inlineStr">
        <is>
          <t>장기차입</t>
        </is>
      </c>
      <c r="C220" s="20" t="n">
        <v>400</v>
      </c>
      <c r="E220" s="20" t="n">
        <v>4586</v>
      </c>
      <c r="G220" s="20" t="n">
        <v>0</v>
      </c>
      <c r="I220" s="20" t="n">
        <v>0</v>
      </c>
      <c r="K220" s="20" t="n">
        <v>311</v>
      </c>
      <c r="M220" s="20" t="n">
        <v>311</v>
      </c>
      <c r="O220" s="20" t="n">
        <v>100</v>
      </c>
      <c r="P220" s="20" t="n">
        <v>2978</v>
      </c>
      <c r="Q220" s="20" t="n">
        <v>1088.116</v>
      </c>
      <c r="R220" s="20" t="n">
        <v>0</v>
      </c>
      <c r="S220" s="20" t="n">
        <v>3125.845</v>
      </c>
      <c r="T220" s="20" t="n">
        <v>449</v>
      </c>
      <c r="U220" s="20" t="n">
        <v>2552.958</v>
      </c>
      <c r="V220" s="20" t="n">
        <v>4586</v>
      </c>
      <c r="W220" s="20" t="n">
        <v>0</v>
      </c>
      <c r="X220" s="20" t="n">
        <v>311</v>
      </c>
    </row>
    <row r="221">
      <c r="A221" s="18" t="inlineStr">
        <is>
          <t>장기차입금 상환</t>
        </is>
      </c>
      <c r="C221" s="20" t="n">
        <v>-500.25</v>
      </c>
      <c r="E221" s="20" t="n">
        <v>-2012.35</v>
      </c>
      <c r="G221" s="20" t="n">
        <v>-874.55</v>
      </c>
      <c r="I221" s="20" t="n">
        <v>-1743.85</v>
      </c>
      <c r="K221" s="20" t="n">
        <v>-1059.3</v>
      </c>
      <c r="M221" s="20" t="n">
        <v>-1919.3</v>
      </c>
      <c r="O221" s="20" t="n">
        <v>-359.528</v>
      </c>
      <c r="P221" s="20" t="n">
        <v>-508.605</v>
      </c>
      <c r="Q221" s="20" t="n">
        <v>-879.342</v>
      </c>
      <c r="R221" s="20" t="n">
        <v>-2098.668</v>
      </c>
      <c r="S221" s="20" t="n">
        <v>-1011.663</v>
      </c>
      <c r="T221" s="20" t="n">
        <v>-697</v>
      </c>
      <c r="U221" s="20" t="n">
        <v>-1688.5</v>
      </c>
      <c r="V221" s="20" t="n">
        <v>-2012.35</v>
      </c>
      <c r="W221" s="20" t="n">
        <v>-1743.85</v>
      </c>
      <c r="X221" s="20" t="n">
        <v>-1919.3</v>
      </c>
    </row>
    <row r="222">
      <c r="A222" s="18" t="inlineStr">
        <is>
          <t>사채 발행</t>
        </is>
      </c>
      <c r="O222" s="20" t="n">
        <v>0</v>
      </c>
      <c r="P222" s="20" t="n">
        <v>295.003</v>
      </c>
      <c r="Q222" s="20" t="n">
        <v>0</v>
      </c>
    </row>
    <row r="223">
      <c r="A223" s="18" t="inlineStr">
        <is>
          <t>사채 상환</t>
        </is>
      </c>
      <c r="O223" s="20" t="n">
        <v>-150</v>
      </c>
      <c r="P223" s="20" t="n">
        <v>-51</v>
      </c>
      <c r="Q223" s="20" t="n">
        <v>-102</v>
      </c>
      <c r="R223" s="20" t="n">
        <v>-102</v>
      </c>
      <c r="S223" s="20" t="n">
        <v>-45</v>
      </c>
      <c r="T223" s="20" t="n">
        <v>0</v>
      </c>
    </row>
    <row r="224">
      <c r="A224" s="18" t="inlineStr">
        <is>
          <t>주식 발행</t>
        </is>
      </c>
      <c r="O224" s="20" t="n">
        <v>979.948</v>
      </c>
      <c r="P224" s="20" t="n">
        <v>0</v>
      </c>
    </row>
    <row r="225">
      <c r="A225" s="18" t="inlineStr">
        <is>
          <t>비지배주주 납입</t>
        </is>
      </c>
      <c r="O225" s="20" t="n">
        <v>0</v>
      </c>
      <c r="P225" s="20" t="n">
        <v>31.513</v>
      </c>
      <c r="Q225" s="20" t="n">
        <v>0</v>
      </c>
    </row>
    <row r="226">
      <c r="A226" s="18" t="inlineStr">
        <is>
          <t>자기주식 취득</t>
        </is>
      </c>
      <c r="E226" s="20" t="n">
        <v>0</v>
      </c>
      <c r="S226" s="20" t="n">
        <v>0</v>
      </c>
      <c r="T226" s="20" t="n">
        <v>-149.948</v>
      </c>
      <c r="U226" s="20" t="n">
        <v>-0.024</v>
      </c>
      <c r="V226" s="20" t="n">
        <v>0</v>
      </c>
    </row>
    <row r="227">
      <c r="A227" s="18" t="inlineStr">
        <is>
          <t>배당금 지급</t>
        </is>
      </c>
      <c r="C227" s="20" t="n">
        <v>-144.93</v>
      </c>
      <c r="E227" s="20" t="n">
        <v>-145.077</v>
      </c>
      <c r="G227" s="20" t="n">
        <v>-0.119</v>
      </c>
      <c r="I227" s="20" t="n">
        <v>-0.172</v>
      </c>
      <c r="K227" s="20" t="n">
        <v>-0.014</v>
      </c>
      <c r="M227" s="20" t="n">
        <v>-0.04</v>
      </c>
      <c r="T227" s="20" t="n">
        <v>0</v>
      </c>
      <c r="U227" s="20" t="n">
        <v>-144.781</v>
      </c>
      <c r="V227" s="20" t="n">
        <v>-145.077</v>
      </c>
      <c r="W227" s="20" t="n">
        <v>-0.172</v>
      </c>
      <c r="X227" s="20" t="n">
        <v>-0.04</v>
      </c>
    </row>
    <row r="228">
      <c r="A228" s="18" t="inlineStr">
        <is>
          <t>기타</t>
        </is>
      </c>
      <c r="C228" s="20" t="n">
        <v>-8.573</v>
      </c>
      <c r="E228" s="20" t="n">
        <v>-14.838</v>
      </c>
      <c r="G228" s="20" t="n">
        <v>1.066</v>
      </c>
      <c r="I228" s="20" t="n">
        <v>4.99</v>
      </c>
      <c r="K228" s="20" t="n">
        <v>-3.719</v>
      </c>
      <c r="M228" s="20" t="n">
        <v>-10.637</v>
      </c>
      <c r="O228" s="20" t="n">
        <v>-2.429</v>
      </c>
      <c r="P228" s="20" t="n">
        <v>-19.671</v>
      </c>
      <c r="Q228" s="20" t="n">
        <v>-37.984</v>
      </c>
      <c r="R228" s="20" t="n">
        <v>-67.58</v>
      </c>
      <c r="S228" s="20" t="n">
        <v>-20.291</v>
      </c>
      <c r="T228" s="20" t="n">
        <v>-35.827</v>
      </c>
      <c r="U228" s="20" t="n">
        <v>-14.818</v>
      </c>
      <c r="V228" s="20" t="n">
        <v>-14.838</v>
      </c>
      <c r="W228" s="20" t="n">
        <v>4.99</v>
      </c>
      <c r="X228" s="20" t="n">
        <v>-10.637</v>
      </c>
    </row>
    <row r="229">
      <c r="A229" s="9" t="inlineStr">
        <is>
          <t>재무활동 현금흐름</t>
        </is>
      </c>
      <c r="C229" s="12" t="n">
        <v>-253.754</v>
      </c>
      <c r="E229" s="12" t="n">
        <v>2413.734</v>
      </c>
      <c r="G229" s="12" t="n">
        <v>-873.603</v>
      </c>
      <c r="I229" s="12" t="n">
        <v>-1739.032</v>
      </c>
      <c r="K229" s="12" t="n">
        <v>-752.033</v>
      </c>
      <c r="M229" s="12" t="n">
        <v>-1618.978</v>
      </c>
      <c r="O229" s="12" t="n">
        <v>1345.491</v>
      </c>
      <c r="P229" s="12" t="n">
        <v>2287.74</v>
      </c>
      <c r="Q229" s="12" t="n">
        <v>-271.209</v>
      </c>
      <c r="R229" s="12" t="n">
        <v>-1188.248</v>
      </c>
      <c r="S229" s="12" t="n">
        <v>968.89</v>
      </c>
      <c r="T229" s="12" t="n">
        <v>-387.775</v>
      </c>
      <c r="U229" s="12" t="n">
        <v>658.833</v>
      </c>
      <c r="V229" s="12" t="n">
        <v>2413.734</v>
      </c>
      <c r="W229" s="12" t="n">
        <v>-1739.032</v>
      </c>
      <c r="X229" s="12" t="n">
        <v>-1618.978</v>
      </c>
    </row>
    <row r="230">
      <c r="A230" s="18" t="inlineStr">
        <is>
          <t>현금성자산 환산차이</t>
        </is>
      </c>
      <c r="C230" s="20" t="n">
        <v>-0.003</v>
      </c>
      <c r="E230" s="20" t="n">
        <v>0.708</v>
      </c>
      <c r="G230" s="20" t="n">
        <v>0.218</v>
      </c>
      <c r="I230" s="20" t="n">
        <v>0.213</v>
      </c>
      <c r="K230" s="20" t="n">
        <v>-0.704</v>
      </c>
      <c r="M230" s="20" t="n">
        <v>-0.008999999999999999</v>
      </c>
      <c r="O230" s="20" t="n">
        <v>0.199</v>
      </c>
      <c r="P230" s="20" t="n">
        <v>0.218</v>
      </c>
      <c r="Q230" s="20" t="n">
        <v>-1.413</v>
      </c>
      <c r="R230" s="20" t="n">
        <v>0</v>
      </c>
      <c r="T230" s="20" t="n">
        <v>0</v>
      </c>
      <c r="U230" s="20" t="n">
        <v>0.082</v>
      </c>
      <c r="V230" s="20" t="n">
        <v>0.708</v>
      </c>
      <c r="W230" s="20" t="n">
        <v>0.213</v>
      </c>
      <c r="X230" s="20" t="n">
        <v>-0.008999999999999999</v>
      </c>
    </row>
    <row r="231">
      <c r="A231" s="18" t="inlineStr">
        <is>
          <t>현금성자산 증감</t>
        </is>
      </c>
      <c r="C231" s="20" t="n">
        <v>-2071.066</v>
      </c>
      <c r="E231" s="20" t="n">
        <v>-107.61</v>
      </c>
      <c r="G231" s="20" t="n">
        <v>-1231.493</v>
      </c>
      <c r="I231" s="20" t="n">
        <v>-2004.111</v>
      </c>
      <c r="K231" s="20" t="n">
        <v>-356.397</v>
      </c>
      <c r="M231" s="20" t="n">
        <v>2446.509</v>
      </c>
      <c r="O231" s="20" t="n">
        <v>1735.707</v>
      </c>
      <c r="P231" s="20" t="n">
        <v>250.317</v>
      </c>
      <c r="Q231" s="20" t="n">
        <v>-317.352</v>
      </c>
      <c r="R231" s="20" t="n">
        <v>-597.463</v>
      </c>
      <c r="S231" s="20" t="n">
        <v>3025.185</v>
      </c>
      <c r="T231" s="20" t="n">
        <v>-550.907</v>
      </c>
      <c r="U231" s="20" t="n">
        <v>1307.511</v>
      </c>
      <c r="V231" s="20" t="n">
        <v>-107.61</v>
      </c>
      <c r="W231" s="20" t="n">
        <v>-2004.111</v>
      </c>
      <c r="X231" s="20" t="n">
        <v>2446.509</v>
      </c>
    </row>
    <row r="232">
      <c r="A232" s="18" t="inlineStr">
        <is>
          <t>연결범위 변경에 따른 현금성자산 증감</t>
        </is>
      </c>
      <c r="O232" s="20" t="n">
        <v>-19.409</v>
      </c>
      <c r="P232" s="20" t="n">
        <v>0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27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3793 재무상태표</t>
        </is>
      </c>
    </row>
    <row r="2">
      <c r="A2" s="43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2026.1Q</t>
        </is>
      </c>
      <c r="D3" s="5" t="inlineStr">
        <is>
          <t>2026.2Q</t>
        </is>
      </c>
      <c r="E3" s="5" t="inlineStr">
        <is>
          <t>2026.3Q</t>
        </is>
      </c>
      <c r="F3" s="5" t="inlineStr">
        <is>
          <t>2026.4Q</t>
        </is>
      </c>
      <c r="G3" s="5" t="inlineStr">
        <is>
          <t>2027.1Q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7294.019</v>
      </c>
      <c r="D5" s="12" t="n">
        <v>6621.699</v>
      </c>
      <c r="E5" s="12" t="n">
        <v>6315.685</v>
      </c>
      <c r="F5" s="12" t="n">
        <v>9226.718000000001</v>
      </c>
      <c r="G5" s="12" t="n">
        <v>8568.429</v>
      </c>
      <c r="H5" s="11" t="n">
        <v>6766.009</v>
      </c>
      <c r="I5" s="12" t="n">
        <v>7848.394</v>
      </c>
      <c r="J5" s="12" t="n">
        <v>8366.862999999999</v>
      </c>
      <c r="K5" s="12" t="n">
        <v>7842.218</v>
      </c>
      <c r="L5" s="12" t="n">
        <v>9226.718000000001</v>
      </c>
    </row>
    <row r="6">
      <c r="A6" s="18" t="inlineStr">
        <is>
          <t>현금및현금성자산</t>
        </is>
      </c>
      <c r="B6" s="10" t="n"/>
      <c r="C6" s="19" t="n">
        <v>3927.984</v>
      </c>
      <c r="D6" s="20" t="n">
        <v>3572.376</v>
      </c>
      <c r="E6" s="20" t="n">
        <v>2942.795</v>
      </c>
      <c r="F6" s="20" t="n">
        <v>6375.283</v>
      </c>
      <c r="G6" s="20" t="n">
        <v>5453.472</v>
      </c>
      <c r="H6" s="19" t="n">
        <v>4737.225</v>
      </c>
      <c r="I6" s="20" t="n">
        <v>6044.573</v>
      </c>
      <c r="J6" s="20" t="n">
        <v>5937.126</v>
      </c>
      <c r="K6" s="20" t="n">
        <v>3928.774</v>
      </c>
      <c r="L6" s="20" t="n">
        <v>6375.283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/>
      <c r="I7" s="20" t="n"/>
      <c r="J7" s="20" t="n"/>
      <c r="K7" s="20" t="n"/>
      <c r="L7" s="20" t="n"/>
    </row>
    <row r="8">
      <c r="A8" s="18" t="inlineStr">
        <is>
          <t>매출채권</t>
        </is>
      </c>
      <c r="B8" s="10" t="n"/>
      <c r="C8" s="19" t="n">
        <v>2298.179</v>
      </c>
      <c r="D8" s="20" t="n">
        <v>2066.969</v>
      </c>
      <c r="E8" s="20" t="n">
        <v>2544.486</v>
      </c>
      <c r="F8" s="20" t="n">
        <v>2176.89</v>
      </c>
      <c r="G8" s="20" t="n">
        <v>2126.326</v>
      </c>
      <c r="H8" s="19" t="n">
        <v>1485.317</v>
      </c>
      <c r="I8" s="20" t="n">
        <v>1484.658</v>
      </c>
      <c r="J8" s="20" t="n">
        <v>1657.924</v>
      </c>
      <c r="K8" s="20" t="n">
        <v>3006.348</v>
      </c>
      <c r="L8" s="20" t="n">
        <v>2176.89</v>
      </c>
    </row>
    <row r="9">
      <c r="A9" s="18" t="inlineStr">
        <is>
          <t>재고자산</t>
        </is>
      </c>
      <c r="B9" s="10" t="n"/>
      <c r="C9" s="19" t="n">
        <v>108.202</v>
      </c>
      <c r="D9" s="20" t="n">
        <v>127.606</v>
      </c>
      <c r="E9" s="20" t="n">
        <v>148.537</v>
      </c>
      <c r="F9" s="20" t="n">
        <v>106.561</v>
      </c>
      <c r="G9" s="20" t="n">
        <v>117.54</v>
      </c>
      <c r="H9" s="19" t="n">
        <v>10.144</v>
      </c>
      <c r="I9" s="20" t="n">
        <v>22.75</v>
      </c>
      <c r="J9" s="20" t="n">
        <v>52.679</v>
      </c>
      <c r="K9" s="20" t="n">
        <v>91.506</v>
      </c>
      <c r="L9" s="20" t="n">
        <v>106.561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3595.807</v>
      </c>
      <c r="D11" s="12" t="n">
        <v>3369.379</v>
      </c>
      <c r="E11" s="12" t="n">
        <v>3294.922</v>
      </c>
      <c r="F11" s="12" t="n">
        <v>2649.333</v>
      </c>
      <c r="G11" s="12" t="n">
        <v>2499.367</v>
      </c>
      <c r="H11" s="11" t="n">
        <v>2887.461</v>
      </c>
      <c r="I11" s="12" t="n">
        <v>4378.002</v>
      </c>
      <c r="J11" s="12" t="n">
        <v>5781.559</v>
      </c>
      <c r="K11" s="12" t="n">
        <v>5664.018</v>
      </c>
      <c r="L11" s="12" t="n">
        <v>2649.333</v>
      </c>
    </row>
    <row r="12">
      <c r="A12" s="18" t="inlineStr">
        <is>
          <t>유형자산</t>
        </is>
      </c>
      <c r="B12" s="10" t="n"/>
      <c r="C12" s="19" t="n">
        <v>190.899</v>
      </c>
      <c r="D12" s="20" t="n">
        <v>176.209</v>
      </c>
      <c r="E12" s="20" t="n">
        <v>161.377</v>
      </c>
      <c r="F12" s="20" t="n">
        <v>136.428</v>
      </c>
      <c r="G12" s="20" t="n">
        <v>133.001</v>
      </c>
      <c r="H12" s="19" t="n">
        <v>210.891</v>
      </c>
      <c r="I12" s="20" t="n">
        <v>196.683</v>
      </c>
      <c r="J12" s="20" t="n">
        <v>165.068</v>
      </c>
      <c r="K12" s="20" t="n">
        <v>140.948</v>
      </c>
      <c r="L12" s="20" t="n">
        <v>136.428</v>
      </c>
    </row>
    <row r="13">
      <c r="A13" s="18" t="inlineStr">
        <is>
          <t>무형자산</t>
        </is>
      </c>
      <c r="B13" s="10" t="n"/>
      <c r="C13" s="19" t="n">
        <v>2155.626</v>
      </c>
      <c r="D13" s="20" t="n">
        <v>1936.136</v>
      </c>
      <c r="E13" s="20" t="n">
        <v>1860.331</v>
      </c>
      <c r="F13" s="20" t="n">
        <v>1188.143</v>
      </c>
      <c r="G13" s="20" t="n">
        <v>1003.864</v>
      </c>
      <c r="H13" s="19" t="n">
        <v>1890.751</v>
      </c>
      <c r="I13" s="20" t="n">
        <v>3228.519</v>
      </c>
      <c r="J13" s="20" t="n">
        <v>4377.751</v>
      </c>
      <c r="K13" s="20" t="n">
        <v>4288.315</v>
      </c>
      <c r="L13" s="20" t="n">
        <v>1188.143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10889.826</v>
      </c>
      <c r="D16" s="12" t="n">
        <v>9991.079</v>
      </c>
      <c r="E16" s="12" t="n">
        <v>9610.608</v>
      </c>
      <c r="F16" s="12" t="n">
        <v>11876.052</v>
      </c>
      <c r="G16" s="12" t="n">
        <v>11067.796</v>
      </c>
      <c r="H16" s="11" t="n">
        <v>9653.469999999999</v>
      </c>
      <c r="I16" s="12" t="n">
        <v>12226.397</v>
      </c>
      <c r="J16" s="12" t="n">
        <v>14148.422</v>
      </c>
      <c r="K16" s="12" t="n">
        <v>13506.236</v>
      </c>
      <c r="L16" s="12" t="n">
        <v>11876.052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4955.166</v>
      </c>
      <c r="D18" s="12" t="n">
        <v>5218.143</v>
      </c>
      <c r="E18" s="12" t="n">
        <v>4590.251</v>
      </c>
      <c r="F18" s="12" t="n">
        <v>6063.966</v>
      </c>
      <c r="G18" s="12" t="n">
        <v>5169.658</v>
      </c>
      <c r="H18" s="11" t="n">
        <v>2709.917</v>
      </c>
      <c r="I18" s="12" t="n">
        <v>4300.494</v>
      </c>
      <c r="J18" s="12" t="n">
        <v>3548.1</v>
      </c>
      <c r="K18" s="12" t="n">
        <v>5307.477</v>
      </c>
      <c r="L18" s="12" t="n">
        <v>6063.966</v>
      </c>
    </row>
    <row r="19">
      <c r="A19" s="18" t="inlineStr">
        <is>
          <t>매입채무</t>
        </is>
      </c>
      <c r="B19" s="10" t="n"/>
      <c r="C19" s="19" t="n">
        <v>407.715</v>
      </c>
      <c r="D19" s="20" t="n">
        <v>387.47</v>
      </c>
      <c r="E19" s="20" t="n">
        <v>380.022</v>
      </c>
      <c r="F19" s="20" t="n">
        <v>408.429</v>
      </c>
      <c r="G19" s="20" t="n">
        <v>466.139</v>
      </c>
      <c r="H19" s="19" t="n">
        <v>357.864</v>
      </c>
      <c r="I19" s="20" t="n">
        <v>449.977</v>
      </c>
      <c r="J19" s="20" t="n">
        <v>329.599</v>
      </c>
      <c r="K19" s="20" t="n">
        <v>417.877</v>
      </c>
      <c r="L19" s="20" t="n">
        <v>408.429</v>
      </c>
    </row>
    <row r="20">
      <c r="A20" s="18" t="inlineStr">
        <is>
          <t>단기차입금</t>
        </is>
      </c>
      <c r="B20" s="10" t="n"/>
      <c r="C20" s="19" t="n">
        <v>100</v>
      </c>
      <c r="D20" s="20" t="n">
        <v>100</v>
      </c>
      <c r="E20" s="20" t="n">
        <v>100</v>
      </c>
      <c r="F20" s="20" t="n">
        <v>100</v>
      </c>
      <c r="G20" s="20" t="n">
        <v>100</v>
      </c>
      <c r="H20" s="19" t="n">
        <v>146</v>
      </c>
      <c r="I20" s="20" t="n">
        <v>100</v>
      </c>
      <c r="J20" s="20" t="n">
        <v>100</v>
      </c>
      <c r="K20" s="20" t="n">
        <v>100</v>
      </c>
      <c r="L20" s="20" t="n">
        <v>100</v>
      </c>
    </row>
    <row r="21">
      <c r="A21" s="18" t="inlineStr">
        <is>
          <t>유동성장기부채</t>
        </is>
      </c>
      <c r="B21" s="10" t="n"/>
      <c r="C21" s="19" t="n">
        <v>1738.85</v>
      </c>
      <c r="D21" s="20" t="n">
        <v>1870</v>
      </c>
      <c r="E21" s="20" t="n">
        <v>1870.5</v>
      </c>
      <c r="F21" s="20" t="n">
        <v>2497</v>
      </c>
      <c r="G21" s="20" t="n">
        <v>2223.5</v>
      </c>
      <c r="H21" s="19" t="n">
        <v>808</v>
      </c>
      <c r="I21" s="20" t="n">
        <v>1780.75</v>
      </c>
      <c r="J21" s="20" t="n">
        <v>1743.85</v>
      </c>
      <c r="K21" s="20" t="n">
        <v>1738.6</v>
      </c>
      <c r="L21" s="20" t="n">
        <v>2497</v>
      </c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2998.165</v>
      </c>
      <c r="D23" s="12" t="n">
        <v>2341.113</v>
      </c>
      <c r="E23" s="12" t="n">
        <v>1902.21</v>
      </c>
      <c r="F23" s="12" t="n">
        <v>768.7809999999999</v>
      </c>
      <c r="G23" s="12" t="n">
        <v>628.721</v>
      </c>
      <c r="H23" s="11" t="n">
        <v>2369.478</v>
      </c>
      <c r="I23" s="12" t="n">
        <v>2294.782</v>
      </c>
      <c r="J23" s="12" t="n">
        <v>4932.198</v>
      </c>
      <c r="K23" s="12" t="n">
        <v>3479.621</v>
      </c>
      <c r="L23" s="12" t="n">
        <v>768.7809999999999</v>
      </c>
    </row>
    <row r="24">
      <c r="A24" s="18" t="inlineStr">
        <is>
          <t>장기차입금</t>
        </is>
      </c>
      <c r="B24" s="10" t="n"/>
      <c r="C24" s="19" t="n">
        <v>2453.8</v>
      </c>
      <c r="D24" s="20" t="n">
        <v>2009</v>
      </c>
      <c r="E24" s="20" t="n">
        <v>1578.5</v>
      </c>
      <c r="F24" s="20" t="n">
        <v>522</v>
      </c>
      <c r="G24" s="20" t="n">
        <v>365.5</v>
      </c>
      <c r="H24" s="19" t="n">
        <v>2014</v>
      </c>
      <c r="I24" s="20" t="n">
        <v>1952.75</v>
      </c>
      <c r="J24" s="20" t="n">
        <v>4627.3</v>
      </c>
      <c r="K24" s="20" t="n">
        <v>2888.7</v>
      </c>
      <c r="L24" s="20" t="n">
        <v>522</v>
      </c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/>
      <c r="I25" s="20" t="n"/>
      <c r="J25" s="20" t="n"/>
      <c r="K25" s="20" t="n"/>
      <c r="L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7953.331</v>
      </c>
      <c r="D27" s="12" t="n">
        <v>7559.256</v>
      </c>
      <c r="E27" s="12" t="n">
        <v>6492.461</v>
      </c>
      <c r="F27" s="12" t="n">
        <v>6832.748</v>
      </c>
      <c r="G27" s="12" t="n">
        <v>5798.379</v>
      </c>
      <c r="H27" s="11" t="n">
        <v>5079.395</v>
      </c>
      <c r="I27" s="12" t="n">
        <v>6595.277</v>
      </c>
      <c r="J27" s="12" t="n">
        <v>8480.298000000001</v>
      </c>
      <c r="K27" s="12" t="n">
        <v>8787.099</v>
      </c>
      <c r="L27" s="12" t="n">
        <v>6832.748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2869.639</v>
      </c>
      <c r="D31" s="12" t="n">
        <v>2346.059</v>
      </c>
      <c r="E31" s="12" t="n">
        <v>3020.919</v>
      </c>
      <c r="F31" s="12" t="n">
        <v>4983.316</v>
      </c>
      <c r="G31" s="12" t="n">
        <v>5201.187</v>
      </c>
      <c r="H31" s="11" t="n">
        <v>4522.805</v>
      </c>
      <c r="I31" s="12" t="n">
        <v>5579.115</v>
      </c>
      <c r="J31" s="12" t="n">
        <v>5615.487</v>
      </c>
      <c r="K31" s="12" t="n">
        <v>4669.611</v>
      </c>
      <c r="L31" s="12" t="n">
        <v>4983.316</v>
      </c>
    </row>
    <row r="32">
      <c r="A32" s="18" t="inlineStr">
        <is>
          <t>자본금</t>
        </is>
      </c>
      <c r="B32" s="10" t="n"/>
      <c r="C32" s="19" t="n">
        <v>1880.309</v>
      </c>
      <c r="D32" s="20" t="n">
        <v>1880.309</v>
      </c>
      <c r="E32" s="20" t="n">
        <v>1906.87</v>
      </c>
      <c r="F32" s="20" t="n">
        <v>1906.87</v>
      </c>
      <c r="G32" s="20" t="n">
        <v>1906.87</v>
      </c>
      <c r="H32" s="19" t="n">
        <v>1792.991</v>
      </c>
      <c r="I32" s="20" t="n">
        <v>1811.311</v>
      </c>
      <c r="J32" s="20" t="n">
        <v>1842.36</v>
      </c>
      <c r="K32" s="20" t="n">
        <v>1880.309</v>
      </c>
      <c r="L32" s="20" t="n">
        <v>1906.87</v>
      </c>
    </row>
    <row r="33">
      <c r="A33" s="18" t="inlineStr">
        <is>
          <t>이익잉여금</t>
        </is>
      </c>
      <c r="B33" s="10" t="n"/>
      <c r="C33" s="19" t="n">
        <v>-908.5410000000001</v>
      </c>
      <c r="D33" s="20" t="n">
        <v>-1471.867</v>
      </c>
      <c r="E33" s="20" t="n">
        <v>-850.823</v>
      </c>
      <c r="F33" s="20" t="n">
        <v>1104.196</v>
      </c>
      <c r="G33" s="20" t="n">
        <v>1427.527</v>
      </c>
      <c r="H33" s="19" t="n">
        <v>953.681</v>
      </c>
      <c r="I33" s="20" t="n">
        <v>1967.564</v>
      </c>
      <c r="J33" s="20" t="n">
        <v>1926.096</v>
      </c>
      <c r="K33" s="20" t="n">
        <v>890.527</v>
      </c>
      <c r="L33" s="20" t="n">
        <v>1104.196</v>
      </c>
    </row>
    <row r="34">
      <c r="A34" s="18" t="inlineStr">
        <is>
          <t>비지배지분</t>
        </is>
      </c>
      <c r="B34" s="10" t="n"/>
      <c r="C34" s="19" t="n">
        <v>1.345</v>
      </c>
      <c r="D34" s="20" t="n">
        <v>1.548</v>
      </c>
      <c r="E34" s="20" t="n">
        <v>1.852</v>
      </c>
      <c r="F34" s="20" t="n">
        <v>2.102</v>
      </c>
      <c r="G34" s="20" t="n">
        <v>1.094</v>
      </c>
      <c r="H34" s="19" t="n">
        <v>2.203</v>
      </c>
      <c r="I34" s="20" t="n">
        <v>2.938</v>
      </c>
      <c r="J34" s="20" t="n">
        <v>3.57</v>
      </c>
      <c r="K34" s="20" t="n">
        <v>2.516</v>
      </c>
      <c r="L34" s="20" t="n">
        <v>2.102</v>
      </c>
    </row>
    <row r="35">
      <c r="A35" s="9" t="inlineStr">
        <is>
          <t>자본총계</t>
        </is>
      </c>
      <c r="B35" s="10" t="n"/>
      <c r="C35" s="11" t="n">
        <v>2936.495</v>
      </c>
      <c r="D35" s="12" t="n">
        <v>2431.822</v>
      </c>
      <c r="E35" s="12" t="n">
        <v>3118.146</v>
      </c>
      <c r="F35" s="12" t="n">
        <v>5043.303</v>
      </c>
      <c r="G35" s="12" t="n">
        <v>5269.417</v>
      </c>
      <c r="H35" s="11" t="n">
        <v>4574.075</v>
      </c>
      <c r="I35" s="12" t="n">
        <v>5631.12</v>
      </c>
      <c r="J35" s="12" t="n">
        <v>5668.124</v>
      </c>
      <c r="K35" s="12" t="n">
        <v>4719.137</v>
      </c>
      <c r="L35" s="12" t="n">
        <v>5043.303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/>
      <c r="D37" s="12" t="n">
        <v>1138.045</v>
      </c>
      <c r="E37" s="12" t="n"/>
      <c r="F37" s="12" t="n">
        <v>2197.764</v>
      </c>
      <c r="G37" s="12" t="n"/>
      <c r="H37" s="11" t="n">
        <v>1602.824</v>
      </c>
      <c r="I37" s="12" t="n">
        <v>2665.778</v>
      </c>
      <c r="J37" s="12" t="n">
        <v>-473.238</v>
      </c>
      <c r="K37" s="12" t="n">
        <v>634.082</v>
      </c>
      <c r="L37" s="12" t="n">
        <v>2197.764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/>
      <c r="D38" s="20" t="n">
        <v>1127.6</v>
      </c>
      <c r="E38" s="20" t="n"/>
      <c r="F38" s="20" t="n">
        <v>715.171</v>
      </c>
      <c r="G38" s="20" t="n"/>
      <c r="H38" s="19" t="n">
        <v>1774.644</v>
      </c>
      <c r="I38" s="20" t="n">
        <v>2026.517</v>
      </c>
      <c r="J38" s="20" t="n">
        <v>2008.683</v>
      </c>
      <c r="K38" s="20" t="n">
        <v>1790.63</v>
      </c>
      <c r="L38" s="20" t="n">
        <v>715.171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/>
      <c r="D40" s="20" t="n">
        <v>0.067</v>
      </c>
      <c r="E40" s="20" t="n"/>
      <c r="F40" s="20" t="n">
        <v>0.04</v>
      </c>
      <c r="G40" s="20" t="n"/>
      <c r="H40" s="19" t="n">
        <v>0</v>
      </c>
      <c r="I40" s="20" t="n">
        <v>144.781</v>
      </c>
      <c r="J40" s="20" t="n">
        <v>145.077</v>
      </c>
      <c r="K40" s="20" t="n">
        <v>0.172</v>
      </c>
      <c r="L40" s="20" t="n">
        <v>0.04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4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4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4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4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4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4" t="inlineStr">
        <is>
          <t>이자보상배율</t>
        </is>
      </c>
      <c r="B48" s="10" t="inlineStr">
        <is>
          <t>5x↑ (금융원가 기준)</t>
        </is>
      </c>
      <c r="C48" s="30">
        <f>IFERROR((IF(COUNT('연간'!G25:J25)&lt;4,"",SUM('연간'!G25:J25)))/(IF(COUNT('연간'!G47:J47)&lt;4,"",SUM('연간'!G47:J47))),"")</f>
        <v/>
      </c>
      <c r="D48" s="31">
        <f>IFERROR((IF(COUNT('연간'!H25:K25)&lt;4,"",SUM('연간'!H25:K25)))/(IF(COUNT('연간'!H47:K47)&lt;4,"",SUM('연간'!H47:K47))),"")</f>
        <v/>
      </c>
      <c r="E48" s="31">
        <f>IFERROR((IF(COUNT('연간'!I25:L25)&lt;4,"",SUM('연간'!I25:L25)))/(IF(COUNT('연간'!I47:L47)&lt;4,"",SUM('연간'!I47:L47))),"")</f>
        <v/>
      </c>
      <c r="F48" s="31">
        <f>IFERROR((IF(COUNT('연간'!J25:M25)&lt;4,"",SUM('연간'!J25:M25)))/(IF(COUNT('연간'!J47:M47)&lt;4,"",SUM('연간'!J47:M47))),"")</f>
        <v/>
      </c>
      <c r="G48" s="31">
        <f>IFERROR((IF(COUNT('연간'!K25:N25)&lt;4,"",SUM('연간'!K25:N25)))/(IF(COUNT('연간'!K47:N47)&lt;4,"",SUM('연간'!K47:N47))),"")</f>
        <v/>
      </c>
      <c r="H48" s="30">
        <f>IFERROR(('연간'!T25)/('연간'!T47),"")</f>
        <v/>
      </c>
      <c r="I48" s="31">
        <f>IFERROR(('연간'!U25)/('연간'!U47),"")</f>
        <v/>
      </c>
      <c r="J48" s="31">
        <f>IFERROR(('연간'!V25)/('연간'!V47),"")</f>
        <v/>
      </c>
      <c r="K48" s="31">
        <f>IFERROR(('연간'!W25)/('연간'!W47),"")</f>
        <v/>
      </c>
      <c r="L48" s="31">
        <f>IFERROR(('연간'!X25)/('연간'!X47),"")</f>
        <v/>
      </c>
    </row>
    <row r="49">
      <c r="A49" s="44" t="inlineStr">
        <is>
          <t>차입금 상환연수</t>
        </is>
      </c>
      <c r="B49" s="10" t="inlineStr">
        <is>
          <t>4년↓ (버핏)</t>
        </is>
      </c>
      <c r="C49" s="45">
        <f>IFERROR(IF((IF(COUNT('연간'!G53:J53)&lt;4,"",SUM('연간'!G53:J53)))&lt;=0,"적자",C28/(IF(COUNT('연간'!G53:J53)&lt;4,"",SUM('연간'!G53:J53)))),"")</f>
        <v/>
      </c>
      <c r="D49" s="46">
        <f>IFERROR(IF((IF(COUNT('연간'!H53:K53)&lt;4,"",SUM('연간'!H53:K53)))&lt;=0,"적자",D28/(IF(COUNT('연간'!H53:K53)&lt;4,"",SUM('연간'!H53:K53)))),"")</f>
        <v/>
      </c>
      <c r="E49" s="46">
        <f>IFERROR(IF((IF(COUNT('연간'!I53:L53)&lt;4,"",SUM('연간'!I53:L53)))&lt;=0,"적자",E28/(IF(COUNT('연간'!I53:L53)&lt;4,"",SUM('연간'!I53:L53)))),"")</f>
        <v/>
      </c>
      <c r="F49" s="46">
        <f>IFERROR(IF((IF(COUNT('연간'!J53:M53)&lt;4,"",SUM('연간'!J53:M53)))&lt;=0,"적자",F28/(IF(COUNT('연간'!J53:M53)&lt;4,"",SUM('연간'!J53:M53)))),"")</f>
        <v/>
      </c>
      <c r="G49" s="46">
        <f>IFERROR(IF((IF(COUNT('연간'!K53:N53)&lt;4,"",SUM('연간'!K53:N53)))&lt;=0,"적자",G28/(IF(COUNT('연간'!K53:N53)&lt;4,"",SUM('연간'!K53:N53)))),"")</f>
        <v/>
      </c>
      <c r="H49" s="45">
        <f>IFERROR(IF(('연간'!T53)&lt;=0,"적자",H28/('연간'!T53)),"")</f>
        <v/>
      </c>
      <c r="I49" s="46">
        <f>IFERROR(IF(('연간'!U53)&lt;=0,"적자",I28/('연간'!U53)),"")</f>
        <v/>
      </c>
      <c r="J49" s="46">
        <f>IFERROR(IF(('연간'!V53)&lt;=0,"적자",J28/('연간'!V53)),"")</f>
        <v/>
      </c>
      <c r="K49" s="46">
        <f>IFERROR(IF(('연간'!W53)&lt;=0,"적자",K28/('연간'!W53)),"")</f>
        <v/>
      </c>
      <c r="L49" s="46">
        <f>IFERROR(IF(('연간'!X53)&lt;=0,"적자",L28/('연간'!X53)),"")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4" t="inlineStr">
        <is>
          <t>ROE</t>
        </is>
      </c>
      <c r="B51" s="10" t="inlineStr">
        <is>
          <t>15%↑ (버핏)</t>
        </is>
      </c>
      <c r="C51" s="35">
        <f>IFERROR((IF(COUNT('연간'!G53:J53)&lt;4,"",SUM('연간'!G53:J53)))/C31,"")</f>
        <v/>
      </c>
      <c r="D51" s="36">
        <f>IFERROR((IF(COUNT('연간'!H53:K53)&lt;4,"",SUM('연간'!H53:K53)))/D31,"")</f>
        <v/>
      </c>
      <c r="E51" s="36">
        <f>IFERROR((IF(COUNT('연간'!I53:L53)&lt;4,"",SUM('연간'!I53:L53)))/E31,"")</f>
        <v/>
      </c>
      <c r="F51" s="36">
        <f>IFERROR((IF(COUNT('연간'!J53:M53)&lt;4,"",SUM('연간'!J53:M53)))/F31,"")</f>
        <v/>
      </c>
      <c r="G51" s="36">
        <f>IFERROR((IF(COUNT('연간'!K53:N53)&lt;4,"",SUM('연간'!K53:N53)))/G31,"")</f>
        <v/>
      </c>
      <c r="H51" s="35">
        <f>IFERROR(('연간'!T53)/H31,"")</f>
        <v/>
      </c>
      <c r="I51" s="36">
        <f>IFERROR(('연간'!U53)/I31,"")</f>
        <v/>
      </c>
      <c r="J51" s="36">
        <f>IFERROR(('연간'!V53)/J31,"")</f>
        <v/>
      </c>
      <c r="K51" s="36">
        <f>IFERROR(('연간'!W53)/K31,"")</f>
        <v/>
      </c>
      <c r="L51" s="36">
        <f>IFERROR(('연간'!X53)/L31,"")</f>
        <v/>
      </c>
    </row>
    <row r="52">
      <c r="A52" s="44" t="inlineStr">
        <is>
          <t>ROA</t>
        </is>
      </c>
      <c r="B52" s="10" t="inlineStr">
        <is>
          <t>5%↑</t>
        </is>
      </c>
      <c r="C52" s="35">
        <f>IFERROR((IF(COUNT('연간'!G52:J52)&lt;4,"",SUM('연간'!G52:J52)))/C16,"")</f>
        <v/>
      </c>
      <c r="D52" s="36">
        <f>IFERROR((IF(COUNT('연간'!H52:K52)&lt;4,"",SUM('연간'!H52:K52)))/D16,"")</f>
        <v/>
      </c>
      <c r="E52" s="36">
        <f>IFERROR((IF(COUNT('연간'!I52:L52)&lt;4,"",SUM('연간'!I52:L52)))/E16,"")</f>
        <v/>
      </c>
      <c r="F52" s="36">
        <f>IFERROR((IF(COUNT('연간'!J52:M52)&lt;4,"",SUM('연간'!J52:M52)))/F16,"")</f>
        <v/>
      </c>
      <c r="G52" s="36">
        <f>IFERROR((IF(COUNT('연간'!K52:N52)&lt;4,"",SUM('연간'!K52:N52)))/G16,"")</f>
        <v/>
      </c>
      <c r="H52" s="35">
        <f>IFERROR(('연간'!T52)/H16,"")</f>
        <v/>
      </c>
      <c r="I52" s="36">
        <f>IFERROR(('연간'!U52)/I16,"")</f>
        <v/>
      </c>
      <c r="J52" s="36">
        <f>IFERROR(('연간'!V52)/J16,"")</f>
        <v/>
      </c>
      <c r="K52" s="36">
        <f>IFERROR(('연간'!W52)/K16,"")</f>
        <v/>
      </c>
      <c r="L52" s="36">
        <f>IFERROR(('연간'!X52)/L16,"")</f>
        <v/>
      </c>
    </row>
    <row r="53">
      <c r="A53" s="44" t="inlineStr">
        <is>
          <t>ROIC</t>
        </is>
      </c>
      <c r="B53" s="10" t="inlineStr">
        <is>
          <t>10%↑ (세후영업이익 기준)</t>
        </is>
      </c>
      <c r="C53" s="35">
        <f>IFERROR((IF(COUNT('연간'!G25:J25)&lt;4,"",SUM('연간'!G25:J25)))*(1-0.3)/(C35+C29),"")</f>
        <v/>
      </c>
      <c r="D53" s="36">
        <f>IFERROR((IF(COUNT('연간'!H25:K25)&lt;4,"",SUM('연간'!H25:K25)))*(1-0.3)/(D35+D29),"")</f>
        <v/>
      </c>
      <c r="E53" s="36">
        <f>IFERROR((IF(COUNT('연간'!I25:L25)&lt;4,"",SUM('연간'!I25:L25)))*(1-0.3)/(E35+E29),"")</f>
        <v/>
      </c>
      <c r="F53" s="36">
        <f>IFERROR((IF(COUNT('연간'!J25:M25)&lt;4,"",SUM('연간'!J25:M25)))*(1-0.3)/(F35+F29),"")</f>
        <v/>
      </c>
      <c r="G53" s="36">
        <f>IFERROR((IF(COUNT('연간'!K25:N25)&lt;4,"",SUM('연간'!K25:N25)))*(1-0.3)/(G35+G29),"")</f>
        <v/>
      </c>
      <c r="H53" s="35">
        <f>IFERROR(('연간'!T25)*(1-0.3)/(H35+H29),"")</f>
        <v/>
      </c>
      <c r="I53" s="36">
        <f>IFERROR(('연간'!U25)*(1-0.3)/(I35+I29),"")</f>
        <v/>
      </c>
      <c r="J53" s="36">
        <f>IFERROR(('연간'!V25)*(1-0.3)/(J35+J29),"")</f>
        <v/>
      </c>
      <c r="K53" s="36">
        <f>IFERROR(('연간'!W25)*(1-0.3)/(K35+K29),"")</f>
        <v/>
      </c>
      <c r="L53" s="36">
        <f>IFERROR(('연간'!X25)*(1-0.3)/(L35+L29),"")</f>
        <v/>
      </c>
    </row>
    <row r="54">
      <c r="A54" s="44" t="inlineStr">
        <is>
          <t>매출총이익률 (GPM)</t>
        </is>
      </c>
      <c r="B54" s="10" t="inlineStr">
        <is>
          <t>40%↑ (해자 신호)</t>
        </is>
      </c>
      <c r="C54" s="35">
        <f>IFERROR((IF(COUNT('연간'!G21:J21)&lt;4,"",SUM('연간'!G21:J21)))/(IF(COUNT('연간'!G4:J4)&lt;4,"",SUM('연간'!G4:J4))),"")</f>
        <v/>
      </c>
      <c r="D54" s="36">
        <f>IFERROR((IF(COUNT('연간'!H21:K21)&lt;4,"",SUM('연간'!H21:K21)))/(IF(COUNT('연간'!H4:K4)&lt;4,"",SUM('연간'!H4:K4))),"")</f>
        <v/>
      </c>
      <c r="E54" s="36">
        <f>IFERROR((IF(COUNT('연간'!I21:L21)&lt;4,"",SUM('연간'!I21:L21)))/(IF(COUNT('연간'!I4:L4)&lt;4,"",SUM('연간'!I4:L4))),"")</f>
        <v/>
      </c>
      <c r="F54" s="36">
        <f>IFERROR((IF(COUNT('연간'!J21:M21)&lt;4,"",SUM('연간'!J21:M21)))/(IF(COUNT('연간'!J4:M4)&lt;4,"",SUM('연간'!J4:M4))),"")</f>
        <v/>
      </c>
      <c r="G54" s="36">
        <f>IFERROR((IF(COUNT('연간'!K21:N21)&lt;4,"",SUM('연간'!K21:N21)))/(IF(COUNT('연간'!K4:N4)&lt;4,"",SUM('연간'!K4:N4))),"")</f>
        <v/>
      </c>
      <c r="H54" s="35">
        <f>IFERROR(('연간'!T21)/('연간'!T4),"")</f>
        <v/>
      </c>
      <c r="I54" s="36">
        <f>IFERROR(('연간'!U21)/('연간'!U4),"")</f>
        <v/>
      </c>
      <c r="J54" s="36">
        <f>IFERROR(('연간'!V21)/('연간'!V4),"")</f>
        <v/>
      </c>
      <c r="K54" s="36">
        <f>IFERROR(('연간'!W21)/('연간'!W4),"")</f>
        <v/>
      </c>
      <c r="L54" s="36">
        <f>IFERROR(('연간'!X21)/('연간'!X4),"")</f>
        <v/>
      </c>
    </row>
    <row r="55">
      <c r="A55" s="44" t="inlineStr">
        <is>
          <t>영업이익률 (OPM)</t>
        </is>
      </c>
      <c r="B55" s="10" t="inlineStr">
        <is>
          <t>15%↑</t>
        </is>
      </c>
      <c r="C55" s="35">
        <f>IFERROR((IF(COUNT('연간'!G25:J25)&lt;4,"",SUM('연간'!G25:J25)))/(IF(COUNT('연간'!G4:J4)&lt;4,"",SUM('연간'!G4:J4))),"")</f>
        <v/>
      </c>
      <c r="D55" s="36">
        <f>IFERROR((IF(COUNT('연간'!H25:K25)&lt;4,"",SUM('연간'!H25:K25)))/(IF(COUNT('연간'!H4:K4)&lt;4,"",SUM('연간'!H4:K4))),"")</f>
        <v/>
      </c>
      <c r="E55" s="36">
        <f>IFERROR((IF(COUNT('연간'!I25:L25)&lt;4,"",SUM('연간'!I25:L25)))/(IF(COUNT('연간'!I4:L4)&lt;4,"",SUM('연간'!I4:L4))),"")</f>
        <v/>
      </c>
      <c r="F55" s="36">
        <f>IFERROR((IF(COUNT('연간'!J25:M25)&lt;4,"",SUM('연간'!J25:M25)))/(IF(COUNT('연간'!J4:M4)&lt;4,"",SUM('연간'!J4:M4))),"")</f>
        <v/>
      </c>
      <c r="G55" s="36">
        <f>IFERROR((IF(COUNT('연간'!K25:N25)&lt;4,"",SUM('연간'!K25:N25)))/(IF(COUNT('연간'!K4:N4)&lt;4,"",SUM('연간'!K4:N4))),"")</f>
        <v/>
      </c>
      <c r="H55" s="35">
        <f>IFERROR(('연간'!T25)/('연간'!T4),"")</f>
        <v/>
      </c>
      <c r="I55" s="36">
        <f>IFERROR(('연간'!U25)/('연간'!U4),"")</f>
        <v/>
      </c>
      <c r="J55" s="36">
        <f>IFERROR(('연간'!V25)/('연간'!V4),"")</f>
        <v/>
      </c>
      <c r="K55" s="36">
        <f>IFERROR(('연간'!W25)/('연간'!W4),"")</f>
        <v/>
      </c>
      <c r="L55" s="36">
        <f>IFERROR(('연간'!X25)/('연간'!X4),"")</f>
        <v/>
      </c>
    </row>
    <row r="56">
      <c r="A56" s="44" t="inlineStr">
        <is>
          <t>순이익률</t>
        </is>
      </c>
      <c r="B56" s="10" t="inlineStr">
        <is>
          <t>10%↑</t>
        </is>
      </c>
      <c r="C56" s="35">
        <f>IFERROR((IF(COUNT('연간'!G52:J52)&lt;4,"",SUM('연간'!G52:J52)))/(IF(COUNT('연간'!G4:J4)&lt;4,"",SUM('연간'!G4:J4))),"")</f>
        <v/>
      </c>
      <c r="D56" s="36">
        <f>IFERROR((IF(COUNT('연간'!H52:K52)&lt;4,"",SUM('연간'!H52:K52)))/(IF(COUNT('연간'!H4:K4)&lt;4,"",SUM('연간'!H4:K4))),"")</f>
        <v/>
      </c>
      <c r="E56" s="36">
        <f>IFERROR((IF(COUNT('연간'!I52:L52)&lt;4,"",SUM('연간'!I52:L52)))/(IF(COUNT('연간'!I4:L4)&lt;4,"",SUM('연간'!I4:L4))),"")</f>
        <v/>
      </c>
      <c r="F56" s="36">
        <f>IFERROR((IF(COUNT('연간'!J52:M52)&lt;4,"",SUM('연간'!J52:M52)))/(IF(COUNT('연간'!J4:M4)&lt;4,"",SUM('연간'!J4:M4))),"")</f>
        <v/>
      </c>
      <c r="G56" s="36">
        <f>IFERROR((IF(COUNT('연간'!K52:N52)&lt;4,"",SUM('연간'!K52:N52)))/(IF(COUNT('연간'!K4:N4)&lt;4,"",SUM('연간'!K4:N4))),"")</f>
        <v/>
      </c>
      <c r="H56" s="35">
        <f>IFERROR(('연간'!T52)/('연간'!T4),"")</f>
        <v/>
      </c>
      <c r="I56" s="36">
        <f>IFERROR(('연간'!U52)/('연간'!U4),"")</f>
        <v/>
      </c>
      <c r="J56" s="36">
        <f>IFERROR(('연간'!V52)/('연간'!V4),"")</f>
        <v/>
      </c>
      <c r="K56" s="36">
        <f>IFERROR(('연간'!W52)/('연간'!W4),"")</f>
        <v/>
      </c>
      <c r="L56" s="36">
        <f>IFERROR(('연간'!X52)/('연간'!X4),"")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4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4" t="inlineStr">
        <is>
          <t>매출채권회전일수</t>
        </is>
      </c>
      <c r="B59" s="10" t="inlineStr">
        <is>
          <t>짧을수록↑</t>
        </is>
      </c>
      <c r="C59" s="47">
        <f>IFERROR(C8/(IF(COUNT('연간'!G4:J4)&lt;4,"",SUM('연간'!G4:J4)))*365,"")</f>
        <v/>
      </c>
      <c r="D59" s="48">
        <f>IFERROR(D8/(IF(COUNT('연간'!H4:K4)&lt;4,"",SUM('연간'!H4:K4)))*365,"")</f>
        <v/>
      </c>
      <c r="E59" s="48">
        <f>IFERROR(E8/(IF(COUNT('연간'!I4:L4)&lt;4,"",SUM('연간'!I4:L4)))*365,"")</f>
        <v/>
      </c>
      <c r="F59" s="48">
        <f>IFERROR(F8/(IF(COUNT('연간'!J4:M4)&lt;4,"",SUM('연간'!J4:M4)))*365,"")</f>
        <v/>
      </c>
      <c r="G59" s="48">
        <f>IFERROR(G8/(IF(COUNT('연간'!K4:N4)&lt;4,"",SUM('연간'!K4:N4)))*365,"")</f>
        <v/>
      </c>
      <c r="H59" s="47">
        <f>IFERROR(H8/('연간'!T4)*365,"")</f>
        <v/>
      </c>
      <c r="I59" s="48">
        <f>IFERROR(I8/('연간'!U4)*365,"")</f>
        <v/>
      </c>
      <c r="J59" s="48">
        <f>IFERROR(J8/('연간'!V4)*365,"")</f>
        <v/>
      </c>
      <c r="K59" s="48">
        <f>IFERROR(K8/('연간'!W4)*365,"")</f>
        <v/>
      </c>
      <c r="L59" s="48">
        <f>IFERROR(L8/('연간'!X4)*365,"")</f>
        <v/>
      </c>
    </row>
    <row r="60">
      <c r="A60" s="44" t="inlineStr">
        <is>
          <t>재고자산회전일수</t>
        </is>
      </c>
      <c r="B60" s="10" t="inlineStr">
        <is>
          <t>짧을수록↑</t>
        </is>
      </c>
      <c r="C60" s="47">
        <f>IFERROR(C9/(IF(COUNT('연간'!G20:J20)&lt;4,"",SUM('연간'!G20:J20)))*365,"")</f>
        <v/>
      </c>
      <c r="D60" s="48">
        <f>IFERROR(D9/(IF(COUNT('연간'!H20:K20)&lt;4,"",SUM('연간'!H20:K20)))*365,"")</f>
        <v/>
      </c>
      <c r="E60" s="48">
        <f>IFERROR(E9/(IF(COUNT('연간'!I20:L20)&lt;4,"",SUM('연간'!I20:L20)))*365,"")</f>
        <v/>
      </c>
      <c r="F60" s="48">
        <f>IFERROR(F9/(IF(COUNT('연간'!J20:M20)&lt;4,"",SUM('연간'!J20:M20)))*365,"")</f>
        <v/>
      </c>
      <c r="G60" s="48">
        <f>IFERROR(G9/(IF(COUNT('연간'!K20:N20)&lt;4,"",SUM('연간'!K20:N20)))*365,"")</f>
        <v/>
      </c>
      <c r="H60" s="47">
        <f>IFERROR(H9/('연간'!T20)*365,"")</f>
        <v/>
      </c>
      <c r="I60" s="48">
        <f>IFERROR(I9/('연간'!U20)*365,"")</f>
        <v/>
      </c>
      <c r="J60" s="48">
        <f>IFERROR(J9/('연간'!V20)*365,"")</f>
        <v/>
      </c>
      <c r="K60" s="48">
        <f>IFERROR(K9/('연간'!W20)*365,"")</f>
        <v/>
      </c>
      <c r="L60" s="48">
        <f>IFERROR(L9/('연간'!X20)*365,"")</f>
        <v/>
      </c>
    </row>
    <row r="61">
      <c r="A61" s="44" t="inlineStr">
        <is>
          <t>매입채무회전일수</t>
        </is>
      </c>
      <c r="B61" s="10" t="inlineStr">
        <is>
          <t>길수록 유리</t>
        </is>
      </c>
      <c r="C61" s="47">
        <f>IFERROR(C19/(IF(COUNT('연간'!G20:J20)&lt;4,"",SUM('연간'!G20:J20)))*365,"")</f>
        <v/>
      </c>
      <c r="D61" s="48">
        <f>IFERROR(D19/(IF(COUNT('연간'!H20:K20)&lt;4,"",SUM('연간'!H20:K20)))*365,"")</f>
        <v/>
      </c>
      <c r="E61" s="48">
        <f>IFERROR(E19/(IF(COUNT('연간'!I20:L20)&lt;4,"",SUM('연간'!I20:L20)))*365,"")</f>
        <v/>
      </c>
      <c r="F61" s="48">
        <f>IFERROR(F19/(IF(COUNT('연간'!J20:M20)&lt;4,"",SUM('연간'!J20:M20)))*365,"")</f>
        <v/>
      </c>
      <c r="G61" s="48">
        <f>IFERROR(G19/(IF(COUNT('연간'!K20:N20)&lt;4,"",SUM('연간'!K20:N20)))*365,"")</f>
        <v/>
      </c>
      <c r="H61" s="47">
        <f>IFERROR(H19/('연간'!T20)*365,"")</f>
        <v/>
      </c>
      <c r="I61" s="48">
        <f>IFERROR(I19/('연간'!U20)*365,"")</f>
        <v/>
      </c>
      <c r="J61" s="48">
        <f>IFERROR(J19/('연간'!V20)*365,"")</f>
        <v/>
      </c>
      <c r="K61" s="48">
        <f>IFERROR(K19/('연간'!W20)*365,"")</f>
        <v/>
      </c>
      <c r="L61" s="48">
        <f>IFERROR(L19/('연간'!X20)*365,"")</f>
        <v/>
      </c>
    </row>
    <row r="62">
      <c r="A62" s="44" t="inlineStr">
        <is>
          <t>현금전환주기 (CCC)</t>
        </is>
      </c>
      <c r="B62" s="10" t="inlineStr">
        <is>
          <t>짧을수록↑</t>
        </is>
      </c>
      <c r="C62" s="47">
        <f>IF(OR(C59="",C60="",C61=""),"",IFERROR(C59+C60-C61,""))</f>
        <v/>
      </c>
      <c r="D62" s="48">
        <f>IF(OR(D59="",D60="",D61=""),"",IFERROR(D59+D60-D61,""))</f>
        <v/>
      </c>
      <c r="E62" s="48">
        <f>IF(OR(E59="",E60="",E61=""),"",IFERROR(E59+E60-E61,""))</f>
        <v/>
      </c>
      <c r="F62" s="48">
        <f>IF(OR(F59="",F60="",F61=""),"",IFERROR(F59+F60-F61,""))</f>
        <v/>
      </c>
      <c r="G62" s="48">
        <f>IF(OR(G59="",G60="",G61=""),"",IFERROR(G59+G60-G61,""))</f>
        <v/>
      </c>
      <c r="H62" s="47">
        <f>IF(OR(H59="",H60="",H61=""),"",IFERROR(H59+H60-H61,""))</f>
        <v/>
      </c>
      <c r="I62" s="48">
        <f>IF(OR(I59="",I60="",I61=""),"",IFERROR(I59+I60-I61,""))</f>
        <v/>
      </c>
      <c r="J62" s="48">
        <f>IF(OR(J59="",J60="",J61=""),"",IFERROR(J59+J60-J61,""))</f>
        <v/>
      </c>
      <c r="K62" s="48">
        <f>IF(OR(K59="",K60="",K61=""),"",IFERROR(K59+K60-K61,""))</f>
        <v/>
      </c>
      <c r="L62" s="48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4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IF(C37="","",IFERROR(C37/(IF(COUNT('연간'!G52:J52)&lt;4,"",SUM('연간'!G52:J52))),""))</f>
        <v/>
      </c>
      <c r="D64" s="31">
        <f>IF(D37="","",IFERROR(D37/(IF(COUNT('연간'!H52:K52)&lt;4,"",SUM('연간'!H52:K52))),""))</f>
        <v/>
      </c>
      <c r="E64" s="31">
        <f>IF(E37="","",IFERROR(E37/(IF(COUNT('연간'!I52:L52)&lt;4,"",SUM('연간'!I52:L52))),""))</f>
        <v/>
      </c>
      <c r="F64" s="31">
        <f>IF(F37="","",IFERROR(F37/(IF(COUNT('연간'!J52:M52)&lt;4,"",SUM('연간'!J52:M52))),""))</f>
        <v/>
      </c>
      <c r="G64" s="31">
        <f>IF(G37="","",IFERROR(G37/(IF(COUNT('연간'!K52:N52)&lt;4,"",SUM('연간'!K52:N52))),""))</f>
        <v/>
      </c>
      <c r="H64" s="30">
        <f>IF(H37="","",IFERROR(H37/('연간'!T52),""))</f>
        <v/>
      </c>
      <c r="I64" s="31">
        <f>IF(I37="","",IFERROR(I37/('연간'!U52),""))</f>
        <v/>
      </c>
      <c r="J64" s="31">
        <f>IF(J37="","",IFERROR(J37/('연간'!V52),""))</f>
        <v/>
      </c>
      <c r="K64" s="31">
        <f>IF(K37="","",IFERROR(K37/('연간'!W52),""))</f>
        <v/>
      </c>
      <c r="L64" s="31">
        <f>IF(L37="","",IFERROR(L37/('연간'!X52),""))</f>
        <v/>
      </c>
    </row>
    <row r="65">
      <c r="A65" s="44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4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4" t="inlineStr">
        <is>
          <t>배당성향</t>
        </is>
      </c>
      <c r="B67" s="10" t="inlineStr">
        <is>
          <t>참고</t>
        </is>
      </c>
      <c r="C67" s="35">
        <f>IF(C40="","",IFERROR(C40/(IF(COUNT('연간'!G53:J53)&lt;4,"",SUM('연간'!G53:J53))),""))</f>
        <v/>
      </c>
      <c r="D67" s="36">
        <f>IF(D40="","",IFERROR(D40/(IF(COUNT('연간'!H53:K53)&lt;4,"",SUM('연간'!H53:K53))),""))</f>
        <v/>
      </c>
      <c r="E67" s="36">
        <f>IF(E40="","",IFERROR(E40/(IF(COUNT('연간'!I53:L53)&lt;4,"",SUM('연간'!I53:L53))),""))</f>
        <v/>
      </c>
      <c r="F67" s="36">
        <f>IF(F40="","",IFERROR(F40/(IF(COUNT('연간'!J53:M53)&lt;4,"",SUM('연간'!J53:M53))),""))</f>
        <v/>
      </c>
      <c r="G67" s="36">
        <f>IF(G40="","",IFERROR(G40/(IF(COUNT('연간'!K53:N53)&lt;4,"",SUM('연간'!K53:N53))),""))</f>
        <v/>
      </c>
      <c r="H67" s="35">
        <f>IF(H40="","",IFERROR(H40/('연간'!T53),""))</f>
        <v/>
      </c>
      <c r="I67" s="36">
        <f>IF(I40="","",IFERROR(I40/('연간'!U53),""))</f>
        <v/>
      </c>
      <c r="J67" s="36">
        <f>IF(J40="","",IFERROR(J40/('연간'!V53),""))</f>
        <v/>
      </c>
      <c r="K67" s="36">
        <f>IF(K40="","",IFERROR(K40/('연간'!W53),""))</f>
        <v/>
      </c>
      <c r="L67" s="36">
        <f>IF(L40="","",IFERROR(L40/('연간'!X53),""))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2026.1Q</t>
        </is>
      </c>
      <c r="D70" s="5" t="inlineStr">
        <is>
          <t>2026.2Q</t>
        </is>
      </c>
      <c r="E70" s="5" t="inlineStr">
        <is>
          <t>2026.3Q</t>
        </is>
      </c>
      <c r="F70" s="5" t="inlineStr">
        <is>
          <t>2026.4Q</t>
        </is>
      </c>
      <c r="G70" s="5" t="inlineStr">
        <is>
          <t>2027.1Q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3927.984</v>
      </c>
      <c r="D71" s="20" t="n">
        <v>3572.376</v>
      </c>
      <c r="E71" s="20" t="n">
        <v>2942.795</v>
      </c>
      <c r="F71" s="20" t="n">
        <v>6375.283</v>
      </c>
      <c r="G71" s="20" t="n">
        <v>5453.472</v>
      </c>
      <c r="H71" s="20" t="n">
        <v>4737.225</v>
      </c>
      <c r="I71" s="20" t="n">
        <v>6044.573</v>
      </c>
      <c r="J71" s="20" t="n">
        <v>5937.126</v>
      </c>
      <c r="K71" s="20" t="n">
        <v>3928.774</v>
      </c>
      <c r="L71" s="20" t="n">
        <v>6375.283</v>
      </c>
    </row>
    <row r="72">
      <c r="A72" s="18" t="inlineStr">
        <is>
          <t>매출채권</t>
        </is>
      </c>
      <c r="C72" s="20" t="n">
        <v>2298.179</v>
      </c>
      <c r="D72" s="20" t="n">
        <v>2066.969</v>
      </c>
      <c r="E72" s="20" t="n">
        <v>2544.486</v>
      </c>
      <c r="F72" s="20" t="n">
        <v>2176.89</v>
      </c>
      <c r="G72" s="20" t="n">
        <v>2126.326</v>
      </c>
      <c r="H72" s="20" t="n">
        <v>1485.317</v>
      </c>
      <c r="I72" s="20" t="n">
        <v>1484.658</v>
      </c>
      <c r="J72" s="20" t="n">
        <v>1657.924</v>
      </c>
      <c r="K72" s="20" t="n">
        <v>3006.348</v>
      </c>
      <c r="L72" s="20" t="n">
        <v>2176.89</v>
      </c>
    </row>
    <row r="73">
      <c r="A73" s="18" t="inlineStr">
        <is>
          <t>상품</t>
        </is>
      </c>
      <c r="C73" s="20" t="n">
        <v>11.086</v>
      </c>
      <c r="D73" s="20" t="n">
        <v>9.861000000000001</v>
      </c>
      <c r="E73" s="20" t="n">
        <v>12.418</v>
      </c>
      <c r="F73" s="20" t="n">
        <v>12.729</v>
      </c>
      <c r="G73" s="20" t="n">
        <v>15.538</v>
      </c>
      <c r="H73" s="20" t="n">
        <v>0</v>
      </c>
      <c r="I73" s="20" t="n">
        <v>5.268</v>
      </c>
      <c r="J73" s="20" t="n">
        <v>7.99</v>
      </c>
      <c r="K73" s="20" t="n">
        <v>12.834</v>
      </c>
      <c r="L73" s="20" t="n">
        <v>12.729</v>
      </c>
    </row>
    <row r="74">
      <c r="A74" s="18" t="inlineStr">
        <is>
          <t>재공품</t>
        </is>
      </c>
      <c r="C74" s="20" t="n">
        <v>97.116</v>
      </c>
      <c r="D74" s="20" t="n">
        <v>117.745</v>
      </c>
      <c r="E74" s="20" t="n">
        <v>136.119</v>
      </c>
      <c r="F74" s="20" t="n">
        <v>93.83199999999999</v>
      </c>
      <c r="G74" s="20" t="n">
        <v>102.002</v>
      </c>
      <c r="H74" s="20" t="n">
        <v>10.144</v>
      </c>
      <c r="I74" s="20" t="n">
        <v>17.482</v>
      </c>
      <c r="J74" s="20" t="n">
        <v>44.689</v>
      </c>
      <c r="K74" s="20" t="n">
        <v>78.672</v>
      </c>
      <c r="L74" s="20" t="n">
        <v>93.83199999999999</v>
      </c>
    </row>
    <row r="75">
      <c r="A75" s="18" t="inlineStr">
        <is>
          <t>선급비용</t>
        </is>
      </c>
      <c r="C75" s="20" t="n">
        <v>579.857</v>
      </c>
      <c r="D75" s="20" t="n">
        <v>476.354</v>
      </c>
      <c r="E75" s="20" t="n">
        <v>399.998</v>
      </c>
      <c r="F75" s="20" t="n">
        <v>341.753</v>
      </c>
      <c r="G75" s="20" t="n">
        <v>286.496</v>
      </c>
      <c r="H75" s="20" t="n">
        <v>157.555</v>
      </c>
      <c r="I75" s="20" t="n">
        <v>148.928</v>
      </c>
      <c r="J75" s="20" t="n">
        <v>155.917</v>
      </c>
      <c r="K75" s="20" t="n">
        <v>704.277</v>
      </c>
      <c r="L75" s="20" t="n">
        <v>341.753</v>
      </c>
    </row>
    <row r="76">
      <c r="A76" s="18" t="inlineStr">
        <is>
          <t>기타</t>
        </is>
      </c>
      <c r="C76" s="20" t="n">
        <v>379.794</v>
      </c>
      <c r="D76" s="20" t="n">
        <v>378.391</v>
      </c>
      <c r="E76" s="20" t="n">
        <v>279.867</v>
      </c>
      <c r="F76" s="20" t="n">
        <v>270.228</v>
      </c>
      <c r="G76" s="20" t="n">
        <v>628.592</v>
      </c>
      <c r="H76" s="20" t="n">
        <v>375.766</v>
      </c>
      <c r="I76" s="20" t="n">
        <v>147.482</v>
      </c>
      <c r="J76" s="20" t="n">
        <v>563.215</v>
      </c>
      <c r="K76" s="20" t="n">
        <v>111.31</v>
      </c>
      <c r="L76" s="20" t="n">
        <v>270.228</v>
      </c>
    </row>
    <row r="77">
      <c r="A77" s="18" t="inlineStr">
        <is>
          <t>대손충당금</t>
        </is>
      </c>
      <c r="F77" s="20" t="n">
        <v>-44</v>
      </c>
      <c r="G77" s="20" t="n">
        <v>-44</v>
      </c>
      <c r="K77" s="20" t="n">
        <v>0</v>
      </c>
      <c r="L77" s="20" t="n">
        <v>-44</v>
      </c>
    </row>
    <row r="78">
      <c r="A78" s="9" t="inlineStr">
        <is>
          <t>유동자산 합계</t>
        </is>
      </c>
      <c r="C78" s="12" t="n">
        <v>7294.019</v>
      </c>
      <c r="D78" s="12" t="n">
        <v>6621.699</v>
      </c>
      <c r="E78" s="12" t="n">
        <v>6315.685</v>
      </c>
      <c r="F78" s="12" t="n">
        <v>9226.718000000001</v>
      </c>
      <c r="G78" s="12" t="n">
        <v>8568.429</v>
      </c>
      <c r="H78" s="12" t="n">
        <v>6766.009</v>
      </c>
      <c r="I78" s="12" t="n">
        <v>7848.394</v>
      </c>
      <c r="J78" s="12" t="n">
        <v>8366.862999999999</v>
      </c>
      <c r="K78" s="12" t="n">
        <v>7842.218</v>
      </c>
      <c r="L78" s="12" t="n">
        <v>9226.718000000001</v>
      </c>
    </row>
    <row r="79">
      <c r="A79" s="18" t="inlineStr">
        <is>
          <t>건물</t>
        </is>
      </c>
      <c r="C79" s="20" t="n">
        <v>191.229</v>
      </c>
      <c r="D79" s="20" t="n">
        <v>191.666</v>
      </c>
      <c r="E79" s="20" t="n">
        <v>191.666</v>
      </c>
      <c r="F79" s="20" t="n">
        <v>191.666</v>
      </c>
      <c r="G79" s="20" t="n">
        <v>192.154</v>
      </c>
      <c r="H79" s="20" t="n">
        <v>184.236</v>
      </c>
      <c r="I79" s="20" t="n">
        <v>191.229</v>
      </c>
      <c r="J79" s="20" t="n">
        <v>191.229</v>
      </c>
      <c r="K79" s="20" t="n">
        <v>191.229</v>
      </c>
      <c r="L79" s="20" t="n">
        <v>191.666</v>
      </c>
    </row>
    <row r="80">
      <c r="A80" s="18" t="inlineStr">
        <is>
          <t>감가상각누계액</t>
        </is>
      </c>
      <c r="C80" s="20" t="n">
        <v>-80.541</v>
      </c>
      <c r="D80" s="20" t="n">
        <v>-91.221</v>
      </c>
      <c r="E80" s="20" t="n">
        <v>-101.901</v>
      </c>
      <c r="F80" s="20" t="n">
        <v>-112.582</v>
      </c>
      <c r="G80" s="20" t="n">
        <v>-123.29</v>
      </c>
      <c r="H80" s="20" t="n">
        <v>-13.603</v>
      </c>
      <c r="I80" s="20" t="n">
        <v>-31.029</v>
      </c>
      <c r="J80" s="20" t="n">
        <v>-48.741</v>
      </c>
      <c r="K80" s="20" t="n">
        <v>-69.93300000000001</v>
      </c>
      <c r="L80" s="20" t="n">
        <v>-112.582</v>
      </c>
    </row>
    <row r="81">
      <c r="A81" s="18" t="inlineStr">
        <is>
          <t>건물(순액)</t>
        </is>
      </c>
      <c r="C81" s="20" t="n">
        <v>110.688</v>
      </c>
      <c r="D81" s="20" t="n">
        <v>100.444</v>
      </c>
      <c r="E81" s="20" t="n">
        <v>89.764</v>
      </c>
      <c r="F81" s="20" t="n">
        <v>79.084</v>
      </c>
      <c r="G81" s="20" t="n">
        <v>68.863</v>
      </c>
      <c r="H81" s="20" t="n">
        <v>170.632</v>
      </c>
      <c r="I81" s="20" t="n">
        <v>160.2</v>
      </c>
      <c r="J81" s="20" t="n">
        <v>142.488</v>
      </c>
      <c r="K81" s="20" t="n">
        <v>121.295</v>
      </c>
      <c r="L81" s="20" t="n">
        <v>79.084</v>
      </c>
    </row>
    <row r="82">
      <c r="A82" s="18" t="inlineStr">
        <is>
          <t>공구·기구·비품</t>
        </is>
      </c>
      <c r="C82" s="20" t="n">
        <v>157.327</v>
      </c>
      <c r="D82" s="20" t="n">
        <v>162.897</v>
      </c>
      <c r="E82" s="20" t="n">
        <v>167.519</v>
      </c>
      <c r="F82" s="20" t="n">
        <v>146.29</v>
      </c>
      <c r="G82" s="20" t="n">
        <v>161.244</v>
      </c>
      <c r="H82" s="20" t="n">
        <v>69.03</v>
      </c>
      <c r="I82" s="20" t="n">
        <v>85.502</v>
      </c>
      <c r="J82" s="20" t="n">
        <v>87.90600000000001</v>
      </c>
      <c r="K82" s="20" t="n">
        <v>92.033</v>
      </c>
      <c r="L82" s="20" t="n">
        <v>146.29</v>
      </c>
    </row>
    <row r="83">
      <c r="A83" s="18" t="inlineStr">
        <is>
          <t>감가상각누계액</t>
        </is>
      </c>
      <c r="C83" s="20" t="n">
        <v>-78.76600000000001</v>
      </c>
      <c r="D83" s="20" t="n">
        <v>-88.508</v>
      </c>
      <c r="E83" s="20" t="n">
        <v>-97.00700000000001</v>
      </c>
      <c r="F83" s="20" t="n">
        <v>-89.771</v>
      </c>
      <c r="G83" s="20" t="n">
        <v>-97.657</v>
      </c>
      <c r="H83" s="20" t="n">
        <v>-33.995</v>
      </c>
      <c r="I83" s="20" t="n">
        <v>-53.143</v>
      </c>
      <c r="J83" s="20" t="n">
        <v>-68.34999999999999</v>
      </c>
      <c r="K83" s="20" t="n">
        <v>-74.30500000000001</v>
      </c>
      <c r="L83" s="20" t="n">
        <v>-89.771</v>
      </c>
    </row>
    <row r="84">
      <c r="A84" s="18" t="inlineStr">
        <is>
          <t>공구·기구·비품(순액)</t>
        </is>
      </c>
      <c r="C84" s="20" t="n">
        <v>78.56</v>
      </c>
      <c r="D84" s="20" t="n">
        <v>74.389</v>
      </c>
      <c r="E84" s="20" t="n">
        <v>70.512</v>
      </c>
      <c r="F84" s="20" t="n">
        <v>56.519</v>
      </c>
      <c r="G84" s="20" t="n">
        <v>63.587</v>
      </c>
      <c r="H84" s="20" t="n">
        <v>35.034</v>
      </c>
      <c r="I84" s="20" t="n">
        <v>32.358</v>
      </c>
      <c r="J84" s="20" t="n">
        <v>19.555</v>
      </c>
      <c r="K84" s="20" t="n">
        <v>17.728</v>
      </c>
      <c r="L84" s="20" t="n">
        <v>56.519</v>
      </c>
    </row>
    <row r="85">
      <c r="A85" s="18" t="inlineStr">
        <is>
          <t>리스자산</t>
        </is>
      </c>
      <c r="C85" s="20" t="n">
        <v>7.232</v>
      </c>
      <c r="D85" s="20" t="n">
        <v>7.232</v>
      </c>
      <c r="E85" s="20" t="n">
        <v>7.232</v>
      </c>
      <c r="F85" s="20" t="n">
        <v>7.232</v>
      </c>
      <c r="G85" s="20" t="n">
        <v>7.232</v>
      </c>
      <c r="H85" s="20" t="n">
        <v>7.232</v>
      </c>
      <c r="I85" s="20" t="n">
        <v>7.232</v>
      </c>
      <c r="J85" s="20" t="n">
        <v>7.232</v>
      </c>
      <c r="K85" s="20" t="n">
        <v>7.232</v>
      </c>
      <c r="L85" s="20" t="n">
        <v>7.232</v>
      </c>
    </row>
    <row r="86">
      <c r="A86" s="18" t="inlineStr">
        <is>
          <t>감가상각누계액</t>
        </is>
      </c>
      <c r="C86" s="20" t="n">
        <v>-5.582</v>
      </c>
      <c r="D86" s="20" t="n">
        <v>-5.857</v>
      </c>
      <c r="E86" s="20" t="n">
        <v>-6.132</v>
      </c>
      <c r="F86" s="20" t="n">
        <v>-6.407</v>
      </c>
      <c r="G86" s="20" t="n">
        <v>-6.682</v>
      </c>
      <c r="H86" s="20" t="n">
        <v>-2.007</v>
      </c>
      <c r="I86" s="20" t="n">
        <v>-3.107</v>
      </c>
      <c r="J86" s="20" t="n">
        <v>-4.207</v>
      </c>
      <c r="K86" s="20" t="n">
        <v>-5.307</v>
      </c>
      <c r="L86" s="20" t="n">
        <v>-6.407</v>
      </c>
    </row>
    <row r="87">
      <c r="A87" s="18" t="inlineStr">
        <is>
          <t>리스자산(순액)</t>
        </is>
      </c>
      <c r="C87" s="20" t="n">
        <v>1.65</v>
      </c>
      <c r="D87" s="20" t="n">
        <v>1.375</v>
      </c>
      <c r="E87" s="20" t="n">
        <v>1.1</v>
      </c>
      <c r="F87" s="20" t="n">
        <v>0.825</v>
      </c>
      <c r="G87" s="20" t="n">
        <v>0.55</v>
      </c>
      <c r="H87" s="20" t="n">
        <v>5.225</v>
      </c>
      <c r="I87" s="20" t="n">
        <v>4.125</v>
      </c>
      <c r="J87" s="20" t="n">
        <v>3.025</v>
      </c>
      <c r="K87" s="20" t="n">
        <v>1.925</v>
      </c>
      <c r="L87" s="20" t="n">
        <v>0.825</v>
      </c>
    </row>
    <row r="88">
      <c r="A88" s="18" t="inlineStr">
        <is>
          <t>유형자산 합계</t>
        </is>
      </c>
      <c r="C88" s="20" t="n">
        <v>190.899</v>
      </c>
      <c r="D88" s="20" t="n">
        <v>176.209</v>
      </c>
      <c r="E88" s="20" t="n">
        <v>161.377</v>
      </c>
      <c r="F88" s="20" t="n">
        <v>136.428</v>
      </c>
      <c r="G88" s="20" t="n">
        <v>133.001</v>
      </c>
      <c r="H88" s="20" t="n">
        <v>210.891</v>
      </c>
      <c r="I88" s="20" t="n">
        <v>196.683</v>
      </c>
      <c r="J88" s="20" t="n">
        <v>165.068</v>
      </c>
      <c r="K88" s="20" t="n">
        <v>140.948</v>
      </c>
      <c r="L88" s="20" t="n">
        <v>136.428</v>
      </c>
    </row>
    <row r="89">
      <c r="A89" s="18" t="inlineStr">
        <is>
          <t>소프트웨어</t>
        </is>
      </c>
      <c r="C89" s="20" t="n">
        <v>1584.69</v>
      </c>
      <c r="D89" s="20" t="n">
        <v>1245.732</v>
      </c>
      <c r="E89" s="20" t="n">
        <v>1228.546</v>
      </c>
      <c r="F89" s="20" t="n">
        <v>952.832</v>
      </c>
      <c r="G89" s="20" t="n">
        <v>712.346</v>
      </c>
      <c r="H89" s="20" t="n">
        <v>557.325</v>
      </c>
      <c r="I89" s="20" t="n">
        <v>201.601</v>
      </c>
      <c r="J89" s="20" t="n">
        <v>18.279</v>
      </c>
      <c r="K89" s="20" t="n">
        <v>3683.37</v>
      </c>
      <c r="L89" s="20" t="n">
        <v>952.832</v>
      </c>
    </row>
    <row r="90">
      <c r="A90" s="18" t="inlineStr">
        <is>
          <t>개발 중 소프트웨어</t>
        </is>
      </c>
      <c r="C90" s="20" t="n">
        <v>570.936</v>
      </c>
      <c r="D90" s="20" t="n">
        <v>690.403</v>
      </c>
      <c r="E90" s="20" t="n">
        <v>631.784</v>
      </c>
      <c r="F90" s="20" t="n">
        <v>151.335</v>
      </c>
      <c r="G90" s="20" t="n">
        <v>234.728</v>
      </c>
      <c r="H90" s="20" t="n">
        <v>1333.425</v>
      </c>
      <c r="I90" s="20" t="n">
        <v>3026.917</v>
      </c>
      <c r="J90" s="20" t="n">
        <v>4359.472</v>
      </c>
      <c r="K90" s="20" t="n">
        <v>604.944</v>
      </c>
      <c r="L90" s="20" t="n">
        <v>151.335</v>
      </c>
    </row>
    <row r="91">
      <c r="A91" s="18" t="inlineStr">
        <is>
          <t>기타</t>
        </is>
      </c>
      <c r="F91" s="20" t="n">
        <v>83.97499999999999</v>
      </c>
      <c r="G91" s="20" t="n">
        <v>56.788</v>
      </c>
      <c r="K91" s="20" t="n">
        <v>0</v>
      </c>
      <c r="L91" s="20" t="n">
        <v>83.97499999999999</v>
      </c>
    </row>
    <row r="92">
      <c r="A92" s="18" t="inlineStr">
        <is>
          <t>무형자산 합계</t>
        </is>
      </c>
      <c r="C92" s="20" t="n">
        <v>2155.626</v>
      </c>
      <c r="D92" s="20" t="n">
        <v>1936.136</v>
      </c>
      <c r="E92" s="20" t="n">
        <v>1860.331</v>
      </c>
      <c r="F92" s="20" t="n">
        <v>1188.143</v>
      </c>
      <c r="G92" s="20" t="n">
        <v>1003.864</v>
      </c>
      <c r="H92" s="20" t="n">
        <v>1890.751</v>
      </c>
      <c r="I92" s="20" t="n">
        <v>3228.519</v>
      </c>
      <c r="J92" s="20" t="n">
        <v>4377.751</v>
      </c>
      <c r="K92" s="20" t="n">
        <v>4288.315</v>
      </c>
      <c r="L92" s="20" t="n">
        <v>1188.143</v>
      </c>
    </row>
    <row r="93">
      <c r="A93" s="18" t="inlineStr">
        <is>
          <t>투자유가증권</t>
        </is>
      </c>
      <c r="C93" s="20" t="n">
        <v>20.006</v>
      </c>
      <c r="D93" s="20" t="n">
        <v>20.006</v>
      </c>
      <c r="E93" s="20" t="n">
        <v>20.006</v>
      </c>
      <c r="F93" s="20" t="n">
        <v>20.006</v>
      </c>
      <c r="G93" s="20" t="n">
        <v>20.006</v>
      </c>
      <c r="H93" s="20" t="n">
        <v>0.007</v>
      </c>
      <c r="I93" s="20" t="n">
        <v>59.926</v>
      </c>
      <c r="J93" s="20" t="n">
        <v>69.926</v>
      </c>
      <c r="K93" s="20" t="n">
        <v>20.006</v>
      </c>
      <c r="L93" s="20" t="n">
        <v>20.006</v>
      </c>
    </row>
    <row r="94">
      <c r="A94" s="18" t="inlineStr">
        <is>
          <t>이연법인세자산</t>
        </is>
      </c>
      <c r="C94" s="20" t="n">
        <v>776.851</v>
      </c>
      <c r="D94" s="20" t="n">
        <v>759.486</v>
      </c>
      <c r="E94" s="20" t="n">
        <v>779.9829999999999</v>
      </c>
      <c r="F94" s="20" t="n">
        <v>836.939</v>
      </c>
      <c r="G94" s="20" t="n">
        <v>841.639</v>
      </c>
      <c r="H94" s="20" t="n">
        <v>465.737</v>
      </c>
      <c r="I94" s="20" t="n">
        <v>491.226</v>
      </c>
      <c r="J94" s="20" t="n">
        <v>650.038</v>
      </c>
      <c r="K94" s="20" t="n">
        <v>883.155</v>
      </c>
      <c r="L94" s="20" t="n">
        <v>836.939</v>
      </c>
    </row>
    <row r="95">
      <c r="A95" s="18" t="inlineStr">
        <is>
          <t>임차보증금</t>
        </is>
      </c>
      <c r="H95" s="20" t="n">
        <v>199.404</v>
      </c>
      <c r="I95" s="20" t="n">
        <v>199.404</v>
      </c>
      <c r="J95" s="20" t="n">
        <v>199.404</v>
      </c>
    </row>
    <row r="96">
      <c r="A96" s="18" t="inlineStr">
        <is>
          <t>기타</t>
        </is>
      </c>
      <c r="C96" s="20" t="n">
        <v>452.424</v>
      </c>
      <c r="D96" s="20" t="n">
        <v>477.541</v>
      </c>
      <c r="E96" s="20" t="n">
        <v>473.223</v>
      </c>
      <c r="F96" s="20" t="n">
        <v>467.815</v>
      </c>
      <c r="G96" s="20" t="n">
        <v>500.856</v>
      </c>
      <c r="H96" s="20" t="n">
        <v>120.668</v>
      </c>
      <c r="I96" s="20" t="n">
        <v>202.242</v>
      </c>
      <c r="J96" s="20" t="n">
        <v>518.773</v>
      </c>
      <c r="K96" s="20" t="n">
        <v>331.593</v>
      </c>
      <c r="L96" s="20" t="n">
        <v>467.815</v>
      </c>
    </row>
    <row r="97">
      <c r="A97" s="18" t="inlineStr">
        <is>
          <t>투자 및 기타자산 합계</t>
        </is>
      </c>
      <c r="C97" s="20" t="n">
        <v>1249.281</v>
      </c>
      <c r="D97" s="20" t="n">
        <v>1257.034</v>
      </c>
      <c r="E97" s="20" t="n">
        <v>1273.213</v>
      </c>
      <c r="F97" s="20" t="n">
        <v>1324.761</v>
      </c>
      <c r="G97" s="20" t="n">
        <v>1362.501</v>
      </c>
      <c r="H97" s="20" t="n">
        <v>785.818</v>
      </c>
      <c r="I97" s="20" t="n">
        <v>952.8</v>
      </c>
      <c r="J97" s="20" t="n">
        <v>1238.738</v>
      </c>
      <c r="K97" s="20" t="n">
        <v>1234.755</v>
      </c>
      <c r="L97" s="20" t="n">
        <v>1324.761</v>
      </c>
    </row>
    <row r="98">
      <c r="A98" s="9" t="inlineStr">
        <is>
          <t>비유동자산 합계</t>
        </is>
      </c>
      <c r="C98" s="12" t="n">
        <v>3595.807</v>
      </c>
      <c r="D98" s="12" t="n">
        <v>3369.379</v>
      </c>
      <c r="E98" s="12" t="n">
        <v>3294.922</v>
      </c>
      <c r="F98" s="12" t="n">
        <v>2649.333</v>
      </c>
      <c r="G98" s="12" t="n">
        <v>2499.367</v>
      </c>
      <c r="H98" s="12" t="n">
        <v>2887.461</v>
      </c>
      <c r="I98" s="12" t="n">
        <v>4378.002</v>
      </c>
      <c r="J98" s="12" t="n">
        <v>5781.559</v>
      </c>
      <c r="K98" s="12" t="n">
        <v>5664.018</v>
      </c>
      <c r="L98" s="12" t="n">
        <v>2649.333</v>
      </c>
    </row>
    <row r="99">
      <c r="A99" s="9" t="inlineStr">
        <is>
          <t>자산 합계</t>
        </is>
      </c>
      <c r="C99" s="12" t="n">
        <v>10889.826</v>
      </c>
      <c r="D99" s="12" t="n">
        <v>9991.079</v>
      </c>
      <c r="E99" s="12" t="n">
        <v>9610.608</v>
      </c>
      <c r="F99" s="12" t="n">
        <v>11876.052</v>
      </c>
      <c r="G99" s="12" t="n">
        <v>11067.796</v>
      </c>
      <c r="H99" s="12" t="n">
        <v>9653.469999999999</v>
      </c>
      <c r="I99" s="12" t="n">
        <v>12226.397</v>
      </c>
      <c r="J99" s="12" t="n">
        <v>14148.422</v>
      </c>
      <c r="K99" s="12" t="n">
        <v>13506.236</v>
      </c>
      <c r="L99" s="12" t="n">
        <v>11876.052</v>
      </c>
    </row>
    <row r="100">
      <c r="A100" s="18" t="inlineStr">
        <is>
          <t>매입채무</t>
        </is>
      </c>
      <c r="C100" s="20" t="n">
        <v>407.715</v>
      </c>
      <c r="D100" s="20" t="n">
        <v>387.47</v>
      </c>
      <c r="E100" s="20" t="n">
        <v>380.022</v>
      </c>
      <c r="F100" s="20" t="n">
        <v>408.429</v>
      </c>
      <c r="G100" s="20" t="n">
        <v>466.139</v>
      </c>
      <c r="H100" s="20" t="n">
        <v>357.864</v>
      </c>
      <c r="I100" s="20" t="n">
        <v>449.977</v>
      </c>
      <c r="J100" s="20" t="n">
        <v>329.599</v>
      </c>
      <c r="K100" s="20" t="n">
        <v>417.877</v>
      </c>
      <c r="L100" s="20" t="n">
        <v>408.429</v>
      </c>
    </row>
    <row r="101">
      <c r="A101" s="18" t="inlineStr">
        <is>
          <t>단기차입금</t>
        </is>
      </c>
      <c r="C101" s="20" t="n">
        <v>100</v>
      </c>
      <c r="D101" s="20" t="n">
        <v>100</v>
      </c>
      <c r="E101" s="20" t="n">
        <v>100</v>
      </c>
      <c r="F101" s="20" t="n">
        <v>100</v>
      </c>
      <c r="G101" s="20" t="n">
        <v>100</v>
      </c>
      <c r="H101" s="20" t="n">
        <v>146</v>
      </c>
      <c r="I101" s="20" t="n">
        <v>100</v>
      </c>
      <c r="J101" s="20" t="n">
        <v>100</v>
      </c>
      <c r="K101" s="20" t="n">
        <v>100</v>
      </c>
      <c r="L101" s="20" t="n">
        <v>100</v>
      </c>
    </row>
    <row r="102">
      <c r="A102" s="18" t="inlineStr">
        <is>
          <t>1년 내 상환 장기차입금</t>
        </is>
      </c>
      <c r="C102" s="20" t="n">
        <v>1738.85</v>
      </c>
      <c r="D102" s="20" t="n">
        <v>1870</v>
      </c>
      <c r="E102" s="20" t="n">
        <v>1870.5</v>
      </c>
      <c r="F102" s="20" t="n">
        <v>2497</v>
      </c>
      <c r="G102" s="20" t="n">
        <v>2223.5</v>
      </c>
      <c r="H102" s="20" t="n">
        <v>808</v>
      </c>
      <c r="I102" s="20" t="n">
        <v>1780.75</v>
      </c>
      <c r="J102" s="20" t="n">
        <v>1743.85</v>
      </c>
      <c r="K102" s="20" t="n">
        <v>1738.6</v>
      </c>
      <c r="L102" s="20" t="n">
        <v>2497</v>
      </c>
    </row>
    <row r="103">
      <c r="A103" s="18" t="inlineStr">
        <is>
          <t>리스부채</t>
        </is>
      </c>
      <c r="C103" s="20" t="n">
        <v>1.281</v>
      </c>
      <c r="D103" s="20" t="n">
        <v>1.281</v>
      </c>
      <c r="E103" s="20" t="n">
        <v>1.281</v>
      </c>
      <c r="F103" s="20" t="n">
        <v>0.961</v>
      </c>
      <c r="G103" s="20" t="n">
        <v>0.64</v>
      </c>
      <c r="H103" s="20" t="n">
        <v>1.281</v>
      </c>
      <c r="I103" s="20" t="n">
        <v>1.281</v>
      </c>
      <c r="J103" s="20" t="n">
        <v>1.281</v>
      </c>
      <c r="K103" s="20" t="n">
        <v>1.281</v>
      </c>
      <c r="L103" s="20" t="n">
        <v>0.961</v>
      </c>
    </row>
    <row r="104">
      <c r="A104" s="18" t="inlineStr">
        <is>
          <t>미지급금</t>
        </is>
      </c>
      <c r="C104" s="20" t="n">
        <v>1657.579</v>
      </c>
      <c r="D104" s="20" t="n">
        <v>1763.815</v>
      </c>
      <c r="E104" s="20" t="n">
        <v>1219.029</v>
      </c>
      <c r="F104" s="20" t="n">
        <v>1473.273</v>
      </c>
      <c r="G104" s="20" t="n">
        <v>1307.632</v>
      </c>
      <c r="H104" s="20" t="n">
        <v>579.0359999999999</v>
      </c>
      <c r="I104" s="20" t="n">
        <v>554.851</v>
      </c>
      <c r="J104" s="20" t="n">
        <v>604.044</v>
      </c>
      <c r="K104" s="20" t="n">
        <v>1780.723</v>
      </c>
      <c r="L104" s="20" t="n">
        <v>1473.273</v>
      </c>
    </row>
    <row r="105">
      <c r="A105" s="18" t="inlineStr">
        <is>
          <t>미지급법인세</t>
        </is>
      </c>
      <c r="C105" s="20" t="n">
        <v>33.851</v>
      </c>
      <c r="D105" s="20" t="n">
        <v>72.426</v>
      </c>
      <c r="E105" s="20" t="n">
        <v>54.252</v>
      </c>
      <c r="F105" s="20" t="n">
        <v>493.119</v>
      </c>
      <c r="G105" s="20" t="n">
        <v>155.585</v>
      </c>
      <c r="H105" s="20" t="n">
        <v>142.079</v>
      </c>
      <c r="I105" s="20" t="n">
        <v>481.316</v>
      </c>
      <c r="J105" s="20" t="n">
        <v>61.235</v>
      </c>
      <c r="K105" s="20" t="n">
        <v>120.835</v>
      </c>
      <c r="L105" s="20" t="n">
        <v>493.119</v>
      </c>
    </row>
    <row r="106">
      <c r="A106" s="18" t="inlineStr">
        <is>
          <t>상여충당금</t>
        </is>
      </c>
      <c r="C106" s="20" t="n">
        <v>51.524</v>
      </c>
      <c r="D106" s="20" t="n">
        <v>114.695</v>
      </c>
      <c r="E106" s="20" t="n">
        <v>59.634</v>
      </c>
      <c r="F106" s="20" t="n">
        <v>133.286</v>
      </c>
      <c r="G106" s="20" t="n">
        <v>72.93899999999999</v>
      </c>
      <c r="H106" s="20" t="n">
        <v>138.497</v>
      </c>
      <c r="I106" s="20" t="n">
        <v>129.549</v>
      </c>
      <c r="J106" s="20" t="n">
        <v>86.949</v>
      </c>
      <c r="K106" s="20" t="n">
        <v>98.208</v>
      </c>
      <c r="L106" s="20" t="n">
        <v>133.286</v>
      </c>
    </row>
    <row r="107">
      <c r="A107" s="18" t="inlineStr">
        <is>
          <t>자산복구부채</t>
        </is>
      </c>
      <c r="H107" s="20" t="n">
        <v>0</v>
      </c>
    </row>
    <row r="108">
      <c r="A108" s="18" t="inlineStr">
        <is>
          <t>기타</t>
        </is>
      </c>
      <c r="C108" s="20" t="n">
        <v>964.362</v>
      </c>
      <c r="D108" s="20" t="n">
        <v>908.452</v>
      </c>
      <c r="E108" s="20" t="n">
        <v>905.53</v>
      </c>
      <c r="F108" s="20" t="n">
        <v>957.896</v>
      </c>
      <c r="G108" s="20" t="n">
        <v>843.2190000000001</v>
      </c>
      <c r="H108" s="20" t="n">
        <v>537.158</v>
      </c>
      <c r="I108" s="20" t="n">
        <v>802.766</v>
      </c>
      <c r="J108" s="20" t="n">
        <v>621.14</v>
      </c>
      <c r="K108" s="20" t="n">
        <v>1049.95</v>
      </c>
      <c r="L108" s="20" t="n">
        <v>957.896</v>
      </c>
    </row>
    <row r="109">
      <c r="A109" s="9" t="inlineStr">
        <is>
          <t>유동부채 합계</t>
        </is>
      </c>
      <c r="C109" s="12" t="n">
        <v>4955.166</v>
      </c>
      <c r="D109" s="12" t="n">
        <v>5218.143</v>
      </c>
      <c r="E109" s="12" t="n">
        <v>4590.251</v>
      </c>
      <c r="F109" s="12" t="n">
        <v>6063.966</v>
      </c>
      <c r="G109" s="12" t="n">
        <v>5169.658</v>
      </c>
      <c r="H109" s="12" t="n">
        <v>2709.917</v>
      </c>
      <c r="I109" s="12" t="n">
        <v>4300.494</v>
      </c>
      <c r="J109" s="12" t="n">
        <v>3548.1</v>
      </c>
      <c r="K109" s="12" t="n">
        <v>5307.477</v>
      </c>
      <c r="L109" s="12" t="n">
        <v>6063.966</v>
      </c>
    </row>
    <row r="110">
      <c r="A110" s="18" t="inlineStr">
        <is>
          <t>장기차입금</t>
        </is>
      </c>
      <c r="C110" s="20" t="n">
        <v>2453.8</v>
      </c>
      <c r="D110" s="20" t="n">
        <v>2009</v>
      </c>
      <c r="E110" s="20" t="n">
        <v>1578.5</v>
      </c>
      <c r="F110" s="20" t="n">
        <v>522</v>
      </c>
      <c r="G110" s="20" t="n">
        <v>365.5</v>
      </c>
      <c r="H110" s="20" t="n">
        <v>2014</v>
      </c>
      <c r="I110" s="20" t="n">
        <v>1952.75</v>
      </c>
      <c r="J110" s="20" t="n">
        <v>4627.3</v>
      </c>
      <c r="K110" s="20" t="n">
        <v>2888.7</v>
      </c>
      <c r="L110" s="20" t="n">
        <v>522</v>
      </c>
    </row>
    <row r="111">
      <c r="A111" s="18" t="inlineStr">
        <is>
          <t>리스부채</t>
        </is>
      </c>
      <c r="C111" s="20" t="n">
        <v>0.64</v>
      </c>
      <c r="D111" s="20" t="n">
        <v>0.32</v>
      </c>
      <c r="E111" s="20" t="n">
        <v>0</v>
      </c>
      <c r="F111" s="20" t="n">
        <v>0</v>
      </c>
      <c r="H111" s="20" t="n">
        <v>4.806</v>
      </c>
      <c r="I111" s="20" t="n">
        <v>3.524</v>
      </c>
      <c r="J111" s="20" t="n">
        <v>2.243</v>
      </c>
      <c r="K111" s="20" t="n">
        <v>0.961</v>
      </c>
      <c r="L111" s="20" t="n">
        <v>0</v>
      </c>
    </row>
    <row r="112">
      <c r="A112" s="18" t="inlineStr">
        <is>
          <t>자산복구부채</t>
        </is>
      </c>
      <c r="C112" s="20" t="n">
        <v>100</v>
      </c>
      <c r="D112" s="20" t="n">
        <v>100</v>
      </c>
      <c r="E112" s="20" t="n">
        <v>100</v>
      </c>
      <c r="F112" s="20" t="n">
        <v>100</v>
      </c>
      <c r="G112" s="20" t="n">
        <v>100</v>
      </c>
      <c r="H112" s="20" t="n">
        <v>100</v>
      </c>
      <c r="I112" s="20" t="n">
        <v>100</v>
      </c>
      <c r="J112" s="20" t="n">
        <v>100</v>
      </c>
      <c r="K112" s="20" t="n">
        <v>100</v>
      </c>
      <c r="L112" s="20" t="n">
        <v>100</v>
      </c>
    </row>
    <row r="113">
      <c r="A113" s="18" t="inlineStr">
        <is>
          <t>기타</t>
        </is>
      </c>
      <c r="C113" s="20" t="n">
        <v>443.724</v>
      </c>
      <c r="D113" s="20" t="n">
        <v>231.792</v>
      </c>
      <c r="E113" s="20" t="n">
        <v>223.71</v>
      </c>
      <c r="F113" s="20" t="n">
        <v>146.781</v>
      </c>
      <c r="G113" s="20" t="n">
        <v>163.221</v>
      </c>
      <c r="H113" s="20" t="n">
        <v>250.671</v>
      </c>
      <c r="I113" s="20" t="n">
        <v>238.507</v>
      </c>
      <c r="J113" s="20" t="n">
        <v>202.655</v>
      </c>
      <c r="K113" s="20" t="n">
        <v>489.96</v>
      </c>
      <c r="L113" s="20" t="n">
        <v>146.781</v>
      </c>
    </row>
    <row r="114">
      <c r="A114" s="9" t="inlineStr">
        <is>
          <t>비유동부채 합계</t>
        </is>
      </c>
      <c r="C114" s="12" t="n">
        <v>2998.165</v>
      </c>
      <c r="D114" s="12" t="n">
        <v>2341.113</v>
      </c>
      <c r="E114" s="12" t="n">
        <v>1902.21</v>
      </c>
      <c r="F114" s="12" t="n">
        <v>768.7809999999999</v>
      </c>
      <c r="G114" s="12" t="n">
        <v>628.721</v>
      </c>
      <c r="H114" s="12" t="n">
        <v>2369.478</v>
      </c>
      <c r="I114" s="12" t="n">
        <v>2294.782</v>
      </c>
      <c r="J114" s="12" t="n">
        <v>4932.198</v>
      </c>
      <c r="K114" s="12" t="n">
        <v>3479.621</v>
      </c>
      <c r="L114" s="12" t="n">
        <v>768.7809999999999</v>
      </c>
    </row>
    <row r="115">
      <c r="A115" s="9" t="inlineStr">
        <is>
          <t>부채 합계</t>
        </is>
      </c>
      <c r="C115" s="12" t="n">
        <v>7953.331</v>
      </c>
      <c r="D115" s="12" t="n">
        <v>7559.256</v>
      </c>
      <c r="E115" s="12" t="n">
        <v>6492.461</v>
      </c>
      <c r="F115" s="12" t="n">
        <v>6832.748</v>
      </c>
      <c r="G115" s="12" t="n">
        <v>5798.379</v>
      </c>
      <c r="H115" s="12" t="n">
        <v>5079.395</v>
      </c>
      <c r="I115" s="12" t="n">
        <v>6595.277</v>
      </c>
      <c r="J115" s="12" t="n">
        <v>8480.298000000001</v>
      </c>
      <c r="K115" s="12" t="n">
        <v>8787.099</v>
      </c>
      <c r="L115" s="12" t="n">
        <v>6832.748</v>
      </c>
    </row>
    <row r="116">
      <c r="A116" s="18" t="inlineStr">
        <is>
          <t>자본금</t>
        </is>
      </c>
      <c r="C116" s="20" t="n">
        <v>1880.309</v>
      </c>
      <c r="D116" s="20" t="n">
        <v>1880.309</v>
      </c>
      <c r="E116" s="20" t="n">
        <v>1906.87</v>
      </c>
      <c r="F116" s="20" t="n">
        <v>1906.87</v>
      </c>
      <c r="G116" s="20" t="n">
        <v>1906.87</v>
      </c>
      <c r="H116" s="20" t="n">
        <v>1792.991</v>
      </c>
      <c r="I116" s="20" t="n">
        <v>1811.311</v>
      </c>
      <c r="J116" s="20" t="n">
        <v>1842.36</v>
      </c>
      <c r="K116" s="20" t="n">
        <v>1880.309</v>
      </c>
      <c r="L116" s="20" t="n">
        <v>1906.87</v>
      </c>
    </row>
    <row r="117">
      <c r="A117" s="18" t="inlineStr">
        <is>
          <t>자본잉여금</t>
        </is>
      </c>
      <c r="C117" s="20" t="n">
        <v>2137.862</v>
      </c>
      <c r="D117" s="20" t="n">
        <v>2140.068</v>
      </c>
      <c r="E117" s="20" t="n">
        <v>2166.629</v>
      </c>
      <c r="F117" s="20" t="n">
        <v>2166.629</v>
      </c>
      <c r="G117" s="20" t="n">
        <v>2166.629</v>
      </c>
      <c r="H117" s="20" t="n">
        <v>2050.152</v>
      </c>
      <c r="I117" s="20" t="n">
        <v>2068.472</v>
      </c>
      <c r="J117" s="20" t="n">
        <v>2099.521</v>
      </c>
      <c r="K117" s="20" t="n">
        <v>2137.862</v>
      </c>
      <c r="L117" s="20" t="n">
        <v>2166.629</v>
      </c>
    </row>
    <row r="118">
      <c r="A118" s="18" t="inlineStr">
        <is>
          <t>이익잉여금</t>
        </is>
      </c>
      <c r="C118" s="20" t="n">
        <v>-908.5410000000001</v>
      </c>
      <c r="D118" s="20" t="n">
        <v>-1471.867</v>
      </c>
      <c r="E118" s="20" t="n">
        <v>-850.823</v>
      </c>
      <c r="F118" s="20" t="n">
        <v>1104.196</v>
      </c>
      <c r="G118" s="20" t="n">
        <v>1427.527</v>
      </c>
      <c r="H118" s="20" t="n">
        <v>953.681</v>
      </c>
      <c r="I118" s="20" t="n">
        <v>1967.564</v>
      </c>
      <c r="J118" s="20" t="n">
        <v>1926.096</v>
      </c>
      <c r="K118" s="20" t="n">
        <v>890.527</v>
      </c>
      <c r="L118" s="20" t="n">
        <v>1104.196</v>
      </c>
    </row>
    <row r="119">
      <c r="A119" s="18" t="inlineStr">
        <is>
          <t>자기주식</t>
        </is>
      </c>
      <c r="C119" s="20" t="n">
        <v>-252.033</v>
      </c>
      <c r="D119" s="20" t="n">
        <v>-214.692</v>
      </c>
      <c r="E119" s="20" t="n">
        <v>-214.692</v>
      </c>
      <c r="F119" s="20" t="n">
        <v>-214.692</v>
      </c>
      <c r="G119" s="20" t="n">
        <v>-320.152</v>
      </c>
      <c r="H119" s="20" t="n">
        <v>-274.029</v>
      </c>
      <c r="I119" s="20" t="n">
        <v>-266.237</v>
      </c>
      <c r="J119" s="20" t="n">
        <v>-259.894</v>
      </c>
      <c r="K119" s="20" t="n">
        <v>-252.033</v>
      </c>
      <c r="L119" s="20" t="n">
        <v>-214.692</v>
      </c>
    </row>
    <row r="120">
      <c r="A120" s="9" t="inlineStr">
        <is>
          <t>주주자본 합계</t>
        </is>
      </c>
      <c r="C120" s="12" t="n">
        <v>2857.596</v>
      </c>
      <c r="D120" s="12" t="n">
        <v>2333.817</v>
      </c>
      <c r="E120" s="12" t="n">
        <v>3007.984</v>
      </c>
      <c r="F120" s="12" t="n">
        <v>4963.004</v>
      </c>
      <c r="G120" s="12" t="n">
        <v>5180.874</v>
      </c>
      <c r="H120" s="12" t="n">
        <v>4522.796</v>
      </c>
      <c r="I120" s="12" t="n">
        <v>5581.111</v>
      </c>
      <c r="J120" s="12" t="n">
        <v>5608.084</v>
      </c>
      <c r="K120" s="12" t="n">
        <v>4656.665</v>
      </c>
      <c r="L120" s="12" t="n">
        <v>4963.004</v>
      </c>
    </row>
    <row r="121">
      <c r="A121" s="18" t="inlineStr">
        <is>
          <t>기타유가증권 평가차액</t>
        </is>
      </c>
      <c r="C121" s="20" t="n">
        <v>11.94</v>
      </c>
      <c r="D121" s="20" t="n">
        <v>11.94</v>
      </c>
      <c r="E121" s="20" t="n">
        <v>11.94</v>
      </c>
      <c r="F121" s="20" t="n">
        <v>20.311</v>
      </c>
      <c r="G121" s="20" t="n">
        <v>20.311</v>
      </c>
      <c r="H121" s="20" t="n">
        <v>0.007</v>
      </c>
      <c r="I121" s="20" t="n">
        <v>-2.079</v>
      </c>
      <c r="J121" s="20" t="n">
        <v>6.611</v>
      </c>
      <c r="K121" s="20" t="n">
        <v>11.94</v>
      </c>
      <c r="L121" s="20" t="n">
        <v>20.311</v>
      </c>
    </row>
    <row r="122">
      <c r="A122" s="18" t="inlineStr">
        <is>
          <t>해외사업환산조정</t>
        </is>
      </c>
      <c r="C122" s="20" t="n">
        <v>0.101</v>
      </c>
      <c r="D122" s="20" t="n">
        <v>0.3</v>
      </c>
      <c r="E122" s="20" t="n">
        <v>0.994</v>
      </c>
      <c r="F122" s="20" t="n">
        <v>0</v>
      </c>
      <c r="H122" s="20" t="n">
        <v>0</v>
      </c>
      <c r="I122" s="20" t="n">
        <v>0.082</v>
      </c>
      <c r="J122" s="20" t="n">
        <v>0.79</v>
      </c>
      <c r="K122" s="20" t="n">
        <v>1.004</v>
      </c>
      <c r="L122" s="20" t="n">
        <v>0</v>
      </c>
    </row>
    <row r="123">
      <c r="A123" s="18" t="inlineStr">
        <is>
          <t>기타포괄손익누계액 합계</t>
        </is>
      </c>
      <c r="C123" s="20" t="n">
        <v>12.041</v>
      </c>
      <c r="D123" s="20" t="n">
        <v>12.241</v>
      </c>
      <c r="E123" s="20" t="n">
        <v>12.935</v>
      </c>
      <c r="F123" s="20" t="n">
        <v>20.311</v>
      </c>
      <c r="G123" s="20" t="n">
        <v>20.311</v>
      </c>
      <c r="H123" s="20" t="n">
        <v>0.007</v>
      </c>
      <c r="I123" s="20" t="n">
        <v>-1.997</v>
      </c>
      <c r="J123" s="20" t="n">
        <v>7.402</v>
      </c>
      <c r="K123" s="20" t="n">
        <v>12.945</v>
      </c>
      <c r="L123" s="20" t="n">
        <v>20.311</v>
      </c>
    </row>
    <row r="124">
      <c r="A124" s="18" t="inlineStr">
        <is>
          <t>신주예약권</t>
        </is>
      </c>
      <c r="C124" s="20" t="n">
        <v>65.511</v>
      </c>
      <c r="D124" s="20" t="n">
        <v>84.215</v>
      </c>
      <c r="E124" s="20" t="n">
        <v>95.375</v>
      </c>
      <c r="F124" s="20" t="n">
        <v>57.885</v>
      </c>
      <c r="G124" s="20" t="n">
        <v>67.136</v>
      </c>
      <c r="H124" s="20" t="n">
        <v>49.067</v>
      </c>
      <c r="I124" s="20" t="n">
        <v>49.067</v>
      </c>
      <c r="J124" s="20" t="n">
        <v>49.067</v>
      </c>
      <c r="K124" s="20" t="n">
        <v>47.01</v>
      </c>
      <c r="L124" s="20" t="n">
        <v>57.885</v>
      </c>
    </row>
    <row r="125">
      <c r="A125" s="18" t="inlineStr">
        <is>
          <t>비지배지분</t>
        </is>
      </c>
      <c r="C125" s="20" t="n">
        <v>1.345</v>
      </c>
      <c r="D125" s="20" t="n">
        <v>1.548</v>
      </c>
      <c r="E125" s="20" t="n">
        <v>1.852</v>
      </c>
      <c r="F125" s="20" t="n">
        <v>2.102</v>
      </c>
      <c r="G125" s="20" t="n">
        <v>1.094</v>
      </c>
      <c r="H125" s="20" t="n">
        <v>2.203</v>
      </c>
      <c r="I125" s="20" t="n">
        <v>2.938</v>
      </c>
      <c r="J125" s="20" t="n">
        <v>3.57</v>
      </c>
      <c r="K125" s="20" t="n">
        <v>2.516</v>
      </c>
      <c r="L125" s="20" t="n">
        <v>2.102</v>
      </c>
    </row>
    <row r="126">
      <c r="A126" s="9" t="inlineStr">
        <is>
          <t>순자산 합계</t>
        </is>
      </c>
      <c r="C126" s="12" t="n">
        <v>2936.495</v>
      </c>
      <c r="D126" s="12" t="n">
        <v>2431.822</v>
      </c>
      <c r="E126" s="12" t="n">
        <v>3118.146</v>
      </c>
      <c r="F126" s="12" t="n">
        <v>5043.303</v>
      </c>
      <c r="G126" s="12" t="n">
        <v>5269.417</v>
      </c>
      <c r="H126" s="12" t="n">
        <v>4574.075</v>
      </c>
      <c r="I126" s="12" t="n">
        <v>5631.12</v>
      </c>
      <c r="J126" s="12" t="n">
        <v>5668.124</v>
      </c>
      <c r="K126" s="12" t="n">
        <v>4719.137</v>
      </c>
      <c r="L126" s="12" t="n">
        <v>5043.303</v>
      </c>
    </row>
    <row r="127">
      <c r="A127" s="9" t="inlineStr">
        <is>
          <t>부채·순자산 합계</t>
        </is>
      </c>
      <c r="C127" s="12" t="n">
        <v>10889.826</v>
      </c>
      <c r="D127" s="12" t="n">
        <v>9991.079</v>
      </c>
      <c r="E127" s="12" t="n">
        <v>9610.608</v>
      </c>
      <c r="F127" s="12" t="n">
        <v>11876.052</v>
      </c>
      <c r="G127" s="12" t="n">
        <v>11067.796</v>
      </c>
      <c r="H127" s="12" t="n">
        <v>9653.469999999999</v>
      </c>
      <c r="I127" s="12" t="n">
        <v>12226.397</v>
      </c>
      <c r="J127" s="12" t="n">
        <v>14148.422</v>
      </c>
      <c r="K127" s="12" t="n">
        <v>13506.236</v>
      </c>
      <c r="L127" s="12" t="n">
        <v>11876.052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49" t="inlineStr">
        <is>
          <t>출처 · 쓴 결산단신</t>
        </is>
      </c>
    </row>
    <row r="3">
      <c r="A3" s="50" t="inlineStr">
        <is>
          <t>공시일</t>
        </is>
      </c>
      <c r="B3" s="50" t="inlineStr">
        <is>
          <t>문서</t>
        </is>
      </c>
      <c r="C3" s="50" t="inlineStr">
        <is>
          <t>PDF</t>
        </is>
      </c>
    </row>
    <row r="4">
      <c r="A4" t="inlineStr">
        <is>
          <t>2026-07-29</t>
        </is>
      </c>
      <c r="B4" t="inlineStr">
        <is>
          <t>2027년 3월 결산기 １분기 결산단신</t>
        </is>
      </c>
      <c r="C4" t="inlineStr">
        <is>
          <t>https://www2.jpx.co.jp/disc/37930/140120260729501853.pdf</t>
        </is>
      </c>
    </row>
    <row r="5">
      <c r="A5" t="inlineStr">
        <is>
          <t>2026-05-12</t>
        </is>
      </c>
      <c r="B5" t="inlineStr">
        <is>
          <t>2026년 3월 결산기 연간 결산단신</t>
        </is>
      </c>
      <c r="C5" t="inlineStr">
        <is>
          <t>https://www2.jpx.co.jp/disc/37930/140120260512524455.pdf</t>
        </is>
      </c>
    </row>
    <row r="6">
      <c r="A6" t="inlineStr">
        <is>
          <t>2026-01-29</t>
        </is>
      </c>
      <c r="B6" t="inlineStr">
        <is>
          <t>2026년 3월 결산기 ３분기 결산단신</t>
        </is>
      </c>
      <c r="C6" t="inlineStr">
        <is>
          <t>https://www2.jpx.co.jp/disc/37930/140120260129541104.pdf</t>
        </is>
      </c>
    </row>
    <row r="7">
      <c r="A7" t="inlineStr">
        <is>
          <t>2025-10-29</t>
        </is>
      </c>
      <c r="B7" t="inlineStr">
        <is>
          <t>2026년 3월 결산기 ２분기 결산단신</t>
        </is>
      </c>
      <c r="C7" t="inlineStr">
        <is>
          <t>https://www2.jpx.co.jp/disc/37930/140120251029581112.pdf</t>
        </is>
      </c>
    </row>
    <row r="8">
      <c r="A8" t="inlineStr">
        <is>
          <t>2025-07-29</t>
        </is>
      </c>
      <c r="B8" t="inlineStr">
        <is>
          <t>2026년 3월 결산기 １분기 결산단신</t>
        </is>
      </c>
      <c r="C8" t="inlineStr">
        <is>
          <t>https://www2.jpx.co.jp/disc/37930/140120250729522444.pdf</t>
        </is>
      </c>
    </row>
    <row r="9">
      <c r="A9" t="inlineStr">
        <is>
          <t>2025-05-12</t>
        </is>
      </c>
      <c r="B9" t="inlineStr">
        <is>
          <t>2025년 3월 결산기 연간 결산단신</t>
        </is>
      </c>
      <c r="C9" t="inlineStr">
        <is>
          <t>https://www2.jpx.co.jp/disc/37930/140120250510539527.pdf</t>
        </is>
      </c>
    </row>
    <row r="10">
      <c r="A10" t="inlineStr">
        <is>
          <t>2025-01-30</t>
        </is>
      </c>
      <c r="B10" t="inlineStr">
        <is>
          <t>2025년 3월 결산기 ３분기 결산단신</t>
        </is>
      </c>
      <c r="C10" t="inlineStr">
        <is>
          <t>https://www2.jpx.co.jp/disc/37930/140120250130558340.pdf</t>
        </is>
      </c>
    </row>
    <row r="11">
      <c r="A11" t="inlineStr">
        <is>
          <t>2024-10-29</t>
        </is>
      </c>
      <c r="B11" t="inlineStr">
        <is>
          <t>2025년 3월 결산기 ２분기 결산단신</t>
        </is>
      </c>
      <c r="C11" t="inlineStr">
        <is>
          <t>https://www2.jpx.co.jp/disc/37930/140120241029504943.pdf</t>
        </is>
      </c>
    </row>
    <row r="12">
      <c r="A12" t="inlineStr">
        <is>
          <t>2024-07-30</t>
        </is>
      </c>
      <c r="B12" t="inlineStr">
        <is>
          <t>2025년 3월 결산기 １분기 결산단신</t>
        </is>
      </c>
      <c r="C12" t="inlineStr">
        <is>
          <t>https://www2.jpx.co.jp/disc/37930/140120240730557482.pdf</t>
        </is>
      </c>
    </row>
    <row r="13">
      <c r="A13" t="inlineStr">
        <is>
          <t>2024-05-13</t>
        </is>
      </c>
      <c r="B13" t="inlineStr">
        <is>
          <t>2024년 3월 결산기 연간 결산단신</t>
        </is>
      </c>
      <c r="C13" t="inlineStr">
        <is>
          <t>https://www2.jpx.co.jp/disc/37930/140120240513592123.pdf</t>
        </is>
      </c>
    </row>
    <row r="14">
      <c r="A14" t="inlineStr">
        <is>
          <t>2024-01-30</t>
        </is>
      </c>
      <c r="B14" t="inlineStr">
        <is>
          <t>2024년 3월 결산기 ３분기 결산단신</t>
        </is>
      </c>
      <c r="C14" t="inlineStr">
        <is>
          <t>https://www2.jpx.co.jp/disc/37930/140120240130521635.pdf</t>
        </is>
      </c>
    </row>
    <row r="15">
      <c r="A15" t="inlineStr">
        <is>
          <t>2023-10-26</t>
        </is>
      </c>
      <c r="B15" t="inlineStr">
        <is>
          <t>2024년 3월 결산기 ２분기 결산단신</t>
        </is>
      </c>
      <c r="C15" t="inlineStr">
        <is>
          <t>https://www2.jpx.co.jp/disc/37930/140120231026571950.pdf</t>
        </is>
      </c>
    </row>
    <row r="16">
      <c r="A16" t="inlineStr">
        <is>
          <t>2023-07-27</t>
        </is>
      </c>
      <c r="B16" t="inlineStr">
        <is>
          <t>2024년 3월 결산기 １분기 결산단신</t>
        </is>
      </c>
      <c r="C16" t="inlineStr">
        <is>
          <t>https://www2.jpx.co.jp/disc/37930/140120230727528071.pdf</t>
        </is>
      </c>
    </row>
    <row r="17">
      <c r="A17" t="inlineStr">
        <is>
          <t>2023-05-11</t>
        </is>
      </c>
      <c r="B17" t="inlineStr">
        <is>
          <t>2023년 3월 결산기 연간 결산단신</t>
        </is>
      </c>
      <c r="C17" t="inlineStr">
        <is>
          <t>https://www2.jpx.co.jp/disc/37930/140120230511565588.pdf</t>
        </is>
      </c>
    </row>
    <row r="18">
      <c r="A18" t="inlineStr">
        <is>
          <t>2023-01-30</t>
        </is>
      </c>
      <c r="B18" t="inlineStr">
        <is>
          <t>2023년 3월 결산기 ３분기 결산단신</t>
        </is>
      </c>
      <c r="C18" t="inlineStr">
        <is>
          <t>https://www2.jpx.co.jp/disc/37930/140120230130595609.pdf</t>
        </is>
      </c>
    </row>
    <row r="19">
      <c r="A19" t="inlineStr">
        <is>
          <t>2022-10-27</t>
        </is>
      </c>
      <c r="B19" t="inlineStr">
        <is>
          <t>2023년 3월 결산기 ２분기 결산단신</t>
        </is>
      </c>
      <c r="C19" t="inlineStr">
        <is>
          <t>https://www2.jpx.co.jp/disc/37930/140120221026550313.pdf</t>
        </is>
      </c>
    </row>
    <row r="20">
      <c r="A20" t="inlineStr">
        <is>
          <t>2022-05-12</t>
        </is>
      </c>
      <c r="B20" t="inlineStr">
        <is>
          <t>2022년 3월 결산기 연간 결산단신</t>
        </is>
      </c>
      <c r="C20" t="inlineStr">
        <is>
          <t>https://www2.jpx.co.jp/disc/37930/140120220512542071.pdf</t>
        </is>
      </c>
    </row>
    <row r="21">
      <c r="A21" t="inlineStr">
        <is>
          <t>2021-05-13</t>
        </is>
      </c>
      <c r="B21" t="inlineStr">
        <is>
          <t>2021년 3월 결산기 연간 결산단신</t>
        </is>
      </c>
      <c r="C21" t="inlineStr">
        <is>
          <t>https://www2.jpx.co.jp/disc/37930/140120210406490409.pdf</t>
        </is>
      </c>
    </row>
    <row r="22">
      <c r="A22" t="inlineStr">
        <is>
          <t>2020-05-14</t>
        </is>
      </c>
      <c r="B22" t="inlineStr">
        <is>
          <t>2020년 3월 결산기 연간 결산단신</t>
        </is>
      </c>
      <c r="C22" t="inlineStr">
        <is>
          <t>https://www2.jpx.co.jp/disc/37930/140120200506404856.pdf</t>
        </is>
      </c>
    </row>
    <row r="23">
      <c r="A23" t="inlineStr">
        <is>
          <t>2019-05-13</t>
        </is>
      </c>
      <c r="B23" t="inlineStr">
        <is>
          <t>2019년 3월 결산기 연간 결산단신</t>
        </is>
      </c>
      <c r="C23" t="inlineStr">
        <is>
          <t>https://www2.jpx.co.jp/disc/37930/140120190430414056.pdf</t>
        </is>
      </c>
    </row>
    <row r="24">
      <c r="A24" t="inlineStr">
        <is>
          <t>2018-05-10</t>
        </is>
      </c>
      <c r="B24" t="inlineStr">
        <is>
          <t>연간 결산단신</t>
        </is>
      </c>
      <c r="C24" t="inlineStr">
        <is>
          <t>https://www2.jpx.co.jp/disc/37930/140120180502426993.pdf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2026-10-25T15:15:47Z</dcterms:created>
  <dcterms:modified xmlns:dcterms="http://purl.org/dc/terms/" xmlns:xsi="http://www.w3.org/2001/XMLSchema-instance" xsi:type="dcterms:W3CDTF">2026-10-25T15:15:47Z</dcterms:modified>
</cp:coreProperties>
</file>