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3793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2745.34</v>
      </c>
      <c r="D4" s="12" t="n">
        <v>2546.089</v>
      </c>
      <c r="E4" s="12" t="n">
        <v>2141.472</v>
      </c>
      <c r="F4" s="12" t="n">
        <v>2122.621</v>
      </c>
      <c r="G4" s="12" t="n">
        <v>1895.451</v>
      </c>
      <c r="H4" s="12" t="n">
        <v>4182.649</v>
      </c>
      <c r="I4" s="12" t="n">
        <v>4454.463</v>
      </c>
      <c r="J4" s="12" t="n">
        <v>4466.913</v>
      </c>
      <c r="K4" s="12" t="n">
        <v>3771.727</v>
      </c>
      <c r="L4" s="12" t="n">
        <v>5062.656</v>
      </c>
      <c r="M4" s="12" t="n">
        <v>4246.482</v>
      </c>
      <c r="N4" s="12" t="n">
        <v>4355.148</v>
      </c>
      <c r="O4" s="11" t="n">
        <v>8388.502</v>
      </c>
      <c r="P4" s="12" t="n">
        <v>13192.635</v>
      </c>
      <c r="Q4" s="12" t="n">
        <v>10720.399</v>
      </c>
      <c r="R4" s="12" t="n">
        <v>10150.166</v>
      </c>
      <c r="S4" s="12" t="n">
        <v>11840.739</v>
      </c>
      <c r="T4" s="12" t="n">
        <v>10528.5</v>
      </c>
      <c r="U4" s="12" t="n">
        <v>10800.257</v>
      </c>
      <c r="V4" s="12" t="n">
        <v>9779.099</v>
      </c>
      <c r="W4" s="12" t="n">
        <v>12655.184</v>
      </c>
      <c r="X4" s="12" t="n">
        <v>17547.778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Content Service Reportable Segments</t>
        </is>
      </c>
      <c r="B7" s="10" t="n"/>
      <c r="C7" s="19" t="n"/>
      <c r="D7" s="20" t="n"/>
      <c r="E7" s="20" t="n"/>
      <c r="F7" s="20" t="n">
        <v>2034.614</v>
      </c>
      <c r="G7" s="20" t="n"/>
      <c r="H7" s="20" t="n"/>
      <c r="I7" s="20" t="n"/>
      <c r="J7" s="20" t="n">
        <v>4322.859</v>
      </c>
      <c r="K7" s="20" t="n"/>
      <c r="L7" s="20" t="n"/>
      <c r="M7" s="20" t="n"/>
      <c r="N7" s="20" t="n">
        <v>4145.254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Contents Service Reportable Segments</t>
        </is>
      </c>
      <c r="B10" s="10" t="n"/>
      <c r="C10" s="19" t="n">
        <v>42.297</v>
      </c>
      <c r="D10" s="20" t="n"/>
      <c r="E10" s="20" t="n"/>
      <c r="F10" s="20" t="n">
        <v>88.006</v>
      </c>
      <c r="G10" s="20" t="n">
        <v>133.601</v>
      </c>
      <c r="H10" s="20" t="n"/>
      <c r="I10" s="20" t="n"/>
      <c r="J10" s="20" t="n">
        <v>144.054</v>
      </c>
      <c r="K10" s="20" t="n">
        <v>163.91</v>
      </c>
      <c r="L10" s="20" t="n"/>
      <c r="M10" s="20" t="n"/>
      <c r="N10" s="20" t="n">
        <v>209.893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429.917</v>
      </c>
      <c r="W10" s="20" t="n">
        <v>734.476</v>
      </c>
      <c r="X10" s="20" t="n">
        <v>760.647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Game Service Reportable Segments</t>
        </is>
      </c>
      <c r="B13" s="10" t="n"/>
      <c r="C13" s="19" t="n"/>
      <c r="D13" s="20" t="n">
        <v>2328.336</v>
      </c>
      <c r="E13" s="20" t="n">
        <v>2048.933</v>
      </c>
      <c r="F13" s="20" t="n"/>
      <c r="G13" s="20" t="n"/>
      <c r="H13" s="20" t="n">
        <v>3879.682</v>
      </c>
      <c r="I13" s="20" t="n">
        <v>4247.927</v>
      </c>
      <c r="J13" s="20" t="n"/>
      <c r="K13" s="20" t="n"/>
      <c r="L13" s="20" t="n">
        <v>4876.762</v>
      </c>
      <c r="M13" s="20" t="n">
        <v>3982.482</v>
      </c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9349.181</v>
      </c>
      <c r="W13" s="20" t="n">
        <v>11924.24</v>
      </c>
      <c r="X13" s="20" t="n">
        <v>16796.577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Contens Service Reportable Segments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1599.765</v>
      </c>
      <c r="D20" s="20" t="n">
        <v>1677.428</v>
      </c>
      <c r="E20" s="20" t="n">
        <v>1434.532</v>
      </c>
      <c r="F20" s="20" t="n">
        <v>1498.695</v>
      </c>
      <c r="G20" s="20" t="n">
        <v>1560.56</v>
      </c>
      <c r="H20" s="20" t="n">
        <v>2902.928</v>
      </c>
      <c r="I20" s="20" t="n">
        <v>3215.531</v>
      </c>
      <c r="J20" s="20" t="n">
        <v>3185.395</v>
      </c>
      <c r="K20" s="20" t="n">
        <v>2847.659</v>
      </c>
      <c r="L20" s="20" t="n">
        <v>3216.033</v>
      </c>
      <c r="M20" s="20" t="n">
        <v>2868.859</v>
      </c>
      <c r="N20" s="20" t="n">
        <v>2774.992</v>
      </c>
      <c r="O20" s="19" t="n">
        <v>5332.72</v>
      </c>
      <c r="P20" s="20" t="n">
        <v>10096.962</v>
      </c>
      <c r="Q20" s="20" t="n">
        <v>9286.312</v>
      </c>
      <c r="R20" s="20" t="n">
        <v>7957.907</v>
      </c>
      <c r="S20" s="20" t="n">
        <v>7843.744</v>
      </c>
      <c r="T20" s="20" t="n">
        <v>6731.898</v>
      </c>
      <c r="U20" s="20" t="n">
        <v>6242.019</v>
      </c>
      <c r="V20" s="20" t="n">
        <v>6374.197</v>
      </c>
      <c r="W20" s="20" t="n">
        <v>9177.714</v>
      </c>
      <c r="X20" s="20" t="n">
        <v>12117.946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681.782</v>
      </c>
      <c r="D24" s="20" t="n">
        <v>551.5410000000001</v>
      </c>
      <c r="E24" s="20" t="n">
        <v>593.302</v>
      </c>
      <c r="F24" s="20" t="n">
        <v>691.712</v>
      </c>
      <c r="G24" s="20" t="n">
        <v>582.278</v>
      </c>
      <c r="H24" s="20" t="n">
        <v>991.54</v>
      </c>
      <c r="I24" s="20" t="n">
        <v>1099.931</v>
      </c>
      <c r="J24" s="20" t="n">
        <v>1363.241</v>
      </c>
      <c r="K24" s="20" t="n">
        <v>1417.184</v>
      </c>
      <c r="L24" s="20" t="n">
        <v>1174.899</v>
      </c>
      <c r="M24" s="20" t="n">
        <v>1065.79</v>
      </c>
      <c r="N24" s="20" t="n">
        <v>1057.292</v>
      </c>
      <c r="O24" s="19" t="n">
        <v>2123.66</v>
      </c>
      <c r="P24" s="20" t="n">
        <v>2905.083</v>
      </c>
      <c r="Q24" s="20" t="n">
        <v>2011.545</v>
      </c>
      <c r="R24" s="20" t="n">
        <v>1575.186</v>
      </c>
      <c r="S24" s="20" t="n">
        <v>1944.128</v>
      </c>
      <c r="T24" s="20" t="n">
        <v>2205.491</v>
      </c>
      <c r="U24" s="20" t="n">
        <v>2276.882</v>
      </c>
      <c r="V24" s="20" t="n">
        <v>2501.863</v>
      </c>
      <c r="W24" s="20" t="n">
        <v>3365.461</v>
      </c>
      <c r="X24" s="20" t="n">
        <v>5021.114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463.793</v>
      </c>
      <c r="D25" s="12" t="n">
        <v>317.119</v>
      </c>
      <c r="E25" s="12" t="n">
        <v>113.639</v>
      </c>
      <c r="F25" s="12" t="n">
        <v>-67.786</v>
      </c>
      <c r="G25" s="12" t="n">
        <v>-247.387</v>
      </c>
      <c r="H25" s="12" t="n">
        <v>288.181</v>
      </c>
      <c r="I25" s="12" t="n">
        <v>139</v>
      </c>
      <c r="J25" s="12" t="n">
        <v>-81.723</v>
      </c>
      <c r="K25" s="12" t="n">
        <v>-493.116</v>
      </c>
      <c r="L25" s="12" t="n">
        <v>671.723</v>
      </c>
      <c r="M25" s="12" t="n">
        <v>311.833</v>
      </c>
      <c r="N25" s="12" t="n">
        <v>522.862</v>
      </c>
      <c r="O25" s="11" t="n">
        <v>932.121</v>
      </c>
      <c r="P25" s="12" t="n">
        <v>190.589</v>
      </c>
      <c r="Q25" s="12" t="n">
        <v>-577.458</v>
      </c>
      <c r="R25" s="12" t="n">
        <v>617.072</v>
      </c>
      <c r="S25" s="12" t="n">
        <v>2052.865</v>
      </c>
      <c r="T25" s="12" t="n">
        <v>1591.111</v>
      </c>
      <c r="U25" s="12" t="n">
        <v>2281.354</v>
      </c>
      <c r="V25" s="12" t="n">
        <v>903.038</v>
      </c>
      <c r="W25" s="12" t="n">
        <v>112.008</v>
      </c>
      <c r="X25" s="12" t="n">
        <v>408.717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>
        <v>132.949</v>
      </c>
      <c r="P34" s="20" t="n">
        <v>112.459</v>
      </c>
      <c r="Q34" s="20" t="n">
        <v>103.777</v>
      </c>
      <c r="R34" s="20" t="n">
        <v>78.34999999999999</v>
      </c>
      <c r="S34" s="20" t="n">
        <v>103.697</v>
      </c>
      <c r="T34" s="20" t="n">
        <v>113.793</v>
      </c>
      <c r="U34" s="20" t="n">
        <v>120.582</v>
      </c>
      <c r="V34" s="20" t="n">
        <v>151.096</v>
      </c>
      <c r="W34" s="20" t="n">
        <v>165.902</v>
      </c>
      <c r="X34" s="20" t="n">
        <v>157.428</v>
      </c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>
        <v>215.259</v>
      </c>
      <c r="P36" s="20" t="n">
        <v>139.231</v>
      </c>
      <c r="Q36" s="20" t="n">
        <v>190.891</v>
      </c>
      <c r="R36" s="20" t="n">
        <v>165.785</v>
      </c>
      <c r="S36" s="20" t="n">
        <v>366.142</v>
      </c>
      <c r="T36" s="20" t="n">
        <v>345.24</v>
      </c>
      <c r="U36" s="20" t="n">
        <v>354.539</v>
      </c>
      <c r="V36" s="20" t="n">
        <v>396.002</v>
      </c>
      <c r="W36" s="20" t="n">
        <v>204.734</v>
      </c>
      <c r="X36" s="20" t="n">
        <v>90.908</v>
      </c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/>
      <c r="D41" s="20" t="n"/>
      <c r="E41" s="20" t="n"/>
      <c r="F41" s="20" t="n"/>
      <c r="G41" s="20" t="n"/>
      <c r="H41" s="20" t="n"/>
      <c r="I41" s="20" t="n">
        <v>0</v>
      </c>
      <c r="J41" s="20" t="n"/>
      <c r="K41" s="20" t="n"/>
      <c r="L41" s="20" t="n"/>
      <c r="M41" s="20" t="n">
        <v>2582.999</v>
      </c>
      <c r="N41" s="20" t="n"/>
      <c r="O41" s="19" t="n">
        <v>240</v>
      </c>
      <c r="P41" s="20" t="n">
        <v>0</v>
      </c>
      <c r="Q41" s="20" t="n">
        <v>128.814</v>
      </c>
      <c r="R41" s="20" t="n">
        <v>692.804</v>
      </c>
      <c r="S41" s="20" t="n">
        <v>0</v>
      </c>
      <c r="T41" s="20" t="n">
        <v>4.195</v>
      </c>
      <c r="U41" s="20" t="n">
        <v>0</v>
      </c>
      <c r="V41" s="20" t="n"/>
      <c r="W41" s="20" t="n">
        <v>0</v>
      </c>
      <c r="X41" s="20" t="n">
        <v>2585.514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192.857</v>
      </c>
      <c r="D43" s="20" t="n">
        <v>0</v>
      </c>
      <c r="E43" s="20" t="n">
        <v>137.049</v>
      </c>
      <c r="F43" s="20" t="n">
        <v>0</v>
      </c>
      <c r="G43" s="20" t="n">
        <v>601.886</v>
      </c>
      <c r="H43" s="20" t="n">
        <v>0</v>
      </c>
      <c r="I43" s="20" t="n">
        <v>569.92</v>
      </c>
      <c r="J43" s="20" t="n">
        <v>1563.462</v>
      </c>
      <c r="K43" s="20" t="n">
        <v>0</v>
      </c>
      <c r="L43" s="20" t="n">
        <v>0</v>
      </c>
      <c r="M43" s="20" t="n">
        <v>488.396</v>
      </c>
      <c r="N43" s="20" t="n">
        <v>0</v>
      </c>
      <c r="O43" s="19" t="n">
        <v>0</v>
      </c>
      <c r="P43" s="20" t="n">
        <v>112</v>
      </c>
      <c r="Q43" s="20" t="n">
        <v>450.784</v>
      </c>
      <c r="R43" s="20" t="n">
        <v>610.0170000000001</v>
      </c>
      <c r="S43" s="20" t="n">
        <v>0</v>
      </c>
      <c r="T43" s="20" t="n">
        <v>381.399</v>
      </c>
      <c r="U43" s="20" t="n">
        <v>386.259</v>
      </c>
      <c r="V43" s="20" t="n">
        <v>746.234</v>
      </c>
      <c r="W43" s="20" t="n">
        <v>1171.806</v>
      </c>
      <c r="X43" s="20" t="n">
        <v>2051.858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-1.711</v>
      </c>
      <c r="D45" s="20" t="n">
        <v>0.147</v>
      </c>
      <c r="E45" s="20" t="n">
        <v>-1.673</v>
      </c>
      <c r="F45" s="20" t="n">
        <v>0.04</v>
      </c>
      <c r="G45" s="20" t="n">
        <v>2.912</v>
      </c>
      <c r="H45" s="20" t="n">
        <v>10.443</v>
      </c>
      <c r="I45" s="20" t="n">
        <v>16.671</v>
      </c>
      <c r="J45" s="20" t="n">
        <v>0.534</v>
      </c>
      <c r="K45" s="20" t="n">
        <v>4.707</v>
      </c>
      <c r="L45" s="20" t="n">
        <v>1.151</v>
      </c>
      <c r="M45" s="20" t="n">
        <v>40.692</v>
      </c>
      <c r="N45" s="20" t="n">
        <v>8.262</v>
      </c>
      <c r="O45" s="19" t="n">
        <v>29.329</v>
      </c>
      <c r="P45" s="20" t="n">
        <v>14.582</v>
      </c>
      <c r="Q45" s="20" t="n">
        <v>10.428</v>
      </c>
      <c r="R45" s="20" t="n">
        <v>101.074</v>
      </c>
      <c r="S45" s="20" t="n">
        <v>37.712</v>
      </c>
      <c r="T45" s="20" t="n">
        <v>1.02</v>
      </c>
      <c r="U45" s="20" t="n">
        <v>5.059</v>
      </c>
      <c r="V45" s="20" t="n">
        <v>3.164</v>
      </c>
      <c r="W45" s="20" t="n">
        <v>30.066</v>
      </c>
      <c r="X45" s="20" t="n">
        <v>47.084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10.826</v>
      </c>
      <c r="D47" s="20" t="n">
        <v>41.641</v>
      </c>
      <c r="E47" s="20" t="n">
        <v>48.005</v>
      </c>
      <c r="F47" s="20" t="n">
        <v>20.706</v>
      </c>
      <c r="G47" s="20" t="n">
        <v>21.358</v>
      </c>
      <c r="H47" s="20" t="n">
        <v>22.929</v>
      </c>
      <c r="I47" s="20" t="n">
        <v>23.775</v>
      </c>
      <c r="J47" s="20" t="n">
        <v>26.416</v>
      </c>
      <c r="K47" s="20" t="n">
        <v>20.851</v>
      </c>
      <c r="L47" s="20" t="n">
        <v>15.778</v>
      </c>
      <c r="M47" s="20" t="n">
        <v>73.846</v>
      </c>
      <c r="N47" s="20" t="n">
        <v>18.929</v>
      </c>
      <c r="O47" s="19" t="n">
        <v>117.059</v>
      </c>
      <c r="P47" s="20" t="n">
        <v>234.289</v>
      </c>
      <c r="Q47" s="20" t="n">
        <v>782.333</v>
      </c>
      <c r="R47" s="20" t="n">
        <v>82.25700000000001</v>
      </c>
      <c r="S47" s="20" t="n">
        <v>71.34699999999999</v>
      </c>
      <c r="T47" s="20" t="n">
        <v>50.359</v>
      </c>
      <c r="U47" s="20" t="n">
        <v>93.895</v>
      </c>
      <c r="V47" s="20" t="n">
        <v>113.032</v>
      </c>
      <c r="W47" s="20" t="n">
        <v>88.768</v>
      </c>
      <c r="X47" s="20" t="n">
        <v>136.891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258.398</v>
      </c>
      <c r="D49" s="12" t="n">
        <v>275.625</v>
      </c>
      <c r="E49" s="12" t="n">
        <v>-73.08799999999999</v>
      </c>
      <c r="F49" s="12" t="n">
        <v>-88.452</v>
      </c>
      <c r="G49" s="12" t="n">
        <v>-867.72</v>
      </c>
      <c r="H49" s="12" t="n">
        <v>275.695</v>
      </c>
      <c r="I49" s="12" t="n">
        <v>-438.023</v>
      </c>
      <c r="J49" s="12" t="n">
        <v>-1671.067</v>
      </c>
      <c r="K49" s="12" t="n">
        <v>-509.26</v>
      </c>
      <c r="L49" s="12" t="n">
        <v>659.612</v>
      </c>
      <c r="M49" s="12" t="n">
        <v>2373.282</v>
      </c>
      <c r="N49" s="12" t="n">
        <v>512.1950000000001</v>
      </c>
      <c r="O49" s="11" t="n">
        <v>1084.391</v>
      </c>
      <c r="P49" s="12" t="n">
        <v>-141.118</v>
      </c>
      <c r="Q49" s="12" t="n">
        <v>-1671.334</v>
      </c>
      <c r="R49" s="12" t="n">
        <v>718.677</v>
      </c>
      <c r="S49" s="12" t="n">
        <v>2019.231</v>
      </c>
      <c r="T49" s="12" t="n">
        <v>1164.568</v>
      </c>
      <c r="U49" s="12" t="n">
        <v>1806.259</v>
      </c>
      <c r="V49" s="12" t="n">
        <v>46.936</v>
      </c>
      <c r="W49" s="12" t="n">
        <v>-1118.5</v>
      </c>
      <c r="X49" s="12" t="n">
        <v>852.567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-14.915</v>
      </c>
      <c r="D50" s="20" t="n">
        <v>8.182</v>
      </c>
      <c r="E50" s="20" t="n">
        <v>-80.303</v>
      </c>
      <c r="F50" s="20" t="n">
        <v>64.53</v>
      </c>
      <c r="G50" s="20" t="n">
        <v>0.234</v>
      </c>
      <c r="H50" s="20" t="n">
        <v>77.184</v>
      </c>
      <c r="I50" s="20" t="n">
        <v>-226.767</v>
      </c>
      <c r="J50" s="20" t="n">
        <v>127.279</v>
      </c>
      <c r="K50" s="20" t="n">
        <v>53.862</v>
      </c>
      <c r="L50" s="20" t="n">
        <v>38.265</v>
      </c>
      <c r="M50" s="20" t="n">
        <v>418.011</v>
      </c>
      <c r="N50" s="20" t="n">
        <v>188.393</v>
      </c>
      <c r="O50" s="19" t="n">
        <v>274.46</v>
      </c>
      <c r="P50" s="20" t="n">
        <v>59.005</v>
      </c>
      <c r="Q50" s="20" t="n">
        <v>45.93</v>
      </c>
      <c r="R50" s="20" t="n">
        <v>5.276</v>
      </c>
      <c r="S50" s="20" t="n">
        <v>392.804</v>
      </c>
      <c r="T50" s="20" t="n">
        <v>355.692</v>
      </c>
      <c r="U50" s="20" t="n">
        <v>644.824</v>
      </c>
      <c r="V50" s="20" t="n">
        <v>-60.056</v>
      </c>
      <c r="W50" s="20" t="n">
        <v>-84.819</v>
      </c>
      <c r="X50" s="20" t="n">
        <v>637.417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273.314</v>
      </c>
      <c r="D52" s="12" t="n">
        <v>267.443</v>
      </c>
      <c r="E52" s="12" t="n">
        <v>7.215</v>
      </c>
      <c r="F52" s="12" t="n">
        <v>-152.983</v>
      </c>
      <c r="G52" s="12" t="n">
        <v>-867.954</v>
      </c>
      <c r="H52" s="12" t="n">
        <v>198.511</v>
      </c>
      <c r="I52" s="12" t="n">
        <v>-211.255</v>
      </c>
      <c r="J52" s="12" t="n">
        <v>-1798.346</v>
      </c>
      <c r="K52" s="12" t="n">
        <v>-563.123</v>
      </c>
      <c r="L52" s="12" t="n">
        <v>621.348</v>
      </c>
      <c r="M52" s="12" t="n">
        <v>1955.27</v>
      </c>
      <c r="N52" s="12" t="n">
        <v>323.802</v>
      </c>
      <c r="O52" s="11" t="n">
        <v>809.931</v>
      </c>
      <c r="P52" s="12" t="n">
        <v>-200.123</v>
      </c>
      <c r="Q52" s="12" t="n">
        <v>-1717.265</v>
      </c>
      <c r="R52" s="12" t="n">
        <v>713.4</v>
      </c>
      <c r="S52" s="12" t="n">
        <v>1626.426</v>
      </c>
      <c r="T52" s="12" t="n">
        <v>808.876</v>
      </c>
      <c r="U52" s="12" t="n">
        <v>1161.435</v>
      </c>
      <c r="V52" s="12" t="n">
        <v>106.992</v>
      </c>
      <c r="W52" s="12" t="n">
        <v>-1033.681</v>
      </c>
      <c r="X52" s="12" t="n">
        <v>215.149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272.444</v>
      </c>
      <c r="D53" s="12" t="n">
        <v>266.756</v>
      </c>
      <c r="E53" s="12" t="n">
        <v>6.658</v>
      </c>
      <c r="F53" s="12" t="n">
        <v>-153.628</v>
      </c>
      <c r="G53" s="12" t="n">
        <v>-868.4</v>
      </c>
      <c r="H53" s="12" t="n">
        <v>198.102</v>
      </c>
      <c r="I53" s="12" t="n">
        <v>-211.643</v>
      </c>
      <c r="J53" s="12" t="n">
        <v>-1799.068</v>
      </c>
      <c r="K53" s="12" t="n">
        <v>-563.327</v>
      </c>
      <c r="L53" s="12" t="n">
        <v>621.045</v>
      </c>
      <c r="M53" s="12" t="n">
        <v>1955.019</v>
      </c>
      <c r="N53" s="12" t="n">
        <v>323.33</v>
      </c>
      <c r="O53" s="11" t="n">
        <v>814.575</v>
      </c>
      <c r="P53" s="12" t="n">
        <v>-204.002</v>
      </c>
      <c r="Q53" s="12" t="n">
        <v>-1712.709</v>
      </c>
      <c r="R53" s="12" t="n">
        <v>711.468</v>
      </c>
      <c r="S53" s="12" t="n">
        <v>1624.683</v>
      </c>
      <c r="T53" s="12" t="n">
        <v>807.301</v>
      </c>
      <c r="U53" s="12" t="n">
        <v>1159.125</v>
      </c>
      <c r="V53" s="12" t="n">
        <v>104.051</v>
      </c>
      <c r="W53" s="12" t="n">
        <v>-1035.569</v>
      </c>
      <c r="X53" s="12" t="n">
        <v>213.669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503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29446212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2024.2Q</t>
        </is>
      </c>
      <c r="D86" s="5" t="inlineStr">
        <is>
          <t>2024.3Q</t>
        </is>
      </c>
      <c r="E86" s="5" t="inlineStr">
        <is>
          <t>2024.4Q</t>
        </is>
      </c>
      <c r="F86" s="5" t="inlineStr">
        <is>
          <t>2025.1Q</t>
        </is>
      </c>
      <c r="G86" s="5" t="inlineStr">
        <is>
          <t>2025.2Q</t>
        </is>
      </c>
      <c r="H86" s="5" t="inlineStr">
        <is>
          <t>2025.3Q</t>
        </is>
      </c>
      <c r="I86" s="5" t="inlineStr">
        <is>
          <t>2025.4Q</t>
        </is>
      </c>
      <c r="J86" s="5" t="inlineStr">
        <is>
          <t>2026.1Q</t>
        </is>
      </c>
      <c r="K86" s="5" t="inlineStr">
        <is>
          <t>2026.2Q</t>
        </is>
      </c>
      <c r="L86" s="5" t="inlineStr">
        <is>
          <t>2026.3Q</t>
        </is>
      </c>
      <c r="M86" s="5" t="inlineStr">
        <is>
          <t>2026.4Q</t>
        </is>
      </c>
      <c r="N86" s="5" t="inlineStr">
        <is>
          <t>2027.1Q</t>
        </is>
      </c>
      <c r="O86" s="5" t="inlineStr">
        <is>
          <t>2017</t>
        </is>
      </c>
      <c r="P86" s="5" t="inlineStr">
        <is>
          <t>2018</t>
        </is>
      </c>
      <c r="Q86" s="5" t="inlineStr">
        <is>
          <t>2019</t>
        </is>
      </c>
      <c r="R86" s="5" t="inlineStr">
        <is>
          <t>2020</t>
        </is>
      </c>
      <c r="S86" s="5" t="inlineStr">
        <is>
          <t>2021</t>
        </is>
      </c>
      <c r="T86" s="5" t="inlineStr">
        <is>
          <t>2022</t>
        </is>
      </c>
      <c r="U86" s="5" t="inlineStr">
        <is>
          <t>2023</t>
        </is>
      </c>
      <c r="V86" s="5" t="inlineStr">
        <is>
          <t>2024</t>
        </is>
      </c>
      <c r="W86" s="5" t="inlineStr">
        <is>
          <t>2025</t>
        </is>
      </c>
      <c r="X86" s="5" t="inlineStr">
        <is>
          <t>2026</t>
        </is>
      </c>
      <c r="Y86" s="5" t="inlineStr">
        <is>
          <t>2027(MW)</t>
        </is>
      </c>
      <c r="Z86" s="5" t="inlineStr">
        <is>
          <t>2028(MW)</t>
        </is>
      </c>
      <c r="AA86" s="5" t="inlineStr">
        <is>
          <t>2029(MW)</t>
        </is>
      </c>
      <c r="AB86" s="5" t="inlineStr">
        <is>
          <t>2030(MW)</t>
        </is>
      </c>
      <c r="AC86" s="5" t="inlineStr">
        <is>
          <t>2031(MW)</t>
        </is>
      </c>
    </row>
    <row r="87">
      <c r="A87" s="9" t="inlineStr">
        <is>
          <t>매출액</t>
        </is>
      </c>
      <c r="C87" s="12" t="n">
        <v>2745.34</v>
      </c>
      <c r="D87" s="12" t="n">
        <v>2546.089</v>
      </c>
      <c r="E87" s="12" t="n">
        <v>2141.472</v>
      </c>
      <c r="F87" s="12" t="n">
        <v>2122.621</v>
      </c>
      <c r="G87" s="12" t="n">
        <v>1895.451</v>
      </c>
      <c r="H87" s="12" t="n">
        <v>4182.649</v>
      </c>
      <c r="I87" s="12" t="n">
        <v>4454.463</v>
      </c>
      <c r="J87" s="12" t="n">
        <v>4466.913</v>
      </c>
      <c r="K87" s="12" t="n">
        <v>3771.727</v>
      </c>
      <c r="L87" s="12" t="n">
        <v>5062.656</v>
      </c>
      <c r="M87" s="12" t="n">
        <v>4246.482</v>
      </c>
      <c r="N87" s="12" t="n">
        <v>4355.148</v>
      </c>
      <c r="T87" s="12" t="n">
        <v>2450.48</v>
      </c>
      <c r="U87" s="12" t="n">
        <v>2420.076</v>
      </c>
      <c r="V87" s="12" t="n">
        <v>2141.472</v>
      </c>
      <c r="W87" s="12" t="n">
        <v>4454.463</v>
      </c>
      <c r="X87" s="12" t="n">
        <v>4246.482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T88" s="15">
        <f>IF(OR(T87="",S87=""),"",IF(S87&lt;=0,"",IFERROR(T87/S87-1,"")))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매출원가</t>
        </is>
      </c>
      <c r="C89" s="20" t="n">
        <v>1599.765</v>
      </c>
      <c r="D89" s="20" t="n">
        <v>1677.428</v>
      </c>
      <c r="E89" s="20" t="n">
        <v>1434.532</v>
      </c>
      <c r="F89" s="20" t="n">
        <v>1498.695</v>
      </c>
      <c r="G89" s="20" t="n">
        <v>1560.56</v>
      </c>
      <c r="H89" s="20" t="n">
        <v>2902.928</v>
      </c>
      <c r="I89" s="20" t="n">
        <v>3215.531</v>
      </c>
      <c r="J89" s="20" t="n">
        <v>3185.395</v>
      </c>
      <c r="K89" s="20" t="n">
        <v>2847.659</v>
      </c>
      <c r="L89" s="20" t="n">
        <v>3216.033</v>
      </c>
      <c r="M89" s="20" t="n">
        <v>2868.859</v>
      </c>
      <c r="N89" s="20" t="n">
        <v>2774.992</v>
      </c>
      <c r="T89" s="20" t="n">
        <v>1674.527</v>
      </c>
      <c r="U89" s="20" t="n">
        <v>1549.226</v>
      </c>
      <c r="V89" s="20" t="n">
        <v>1434.532</v>
      </c>
      <c r="W89" s="20" t="n">
        <v>3215.531</v>
      </c>
      <c r="X89" s="20" t="n">
        <v>2868.859</v>
      </c>
    </row>
    <row r="90">
      <c r="A90" s="9" t="inlineStr">
        <is>
          <t>매출총이익</t>
        </is>
      </c>
      <c r="C90" s="12" t="n">
        <v>1145.574</v>
      </c>
      <c r="D90" s="12" t="n">
        <v>868.6609999999999</v>
      </c>
      <c r="E90" s="12" t="n">
        <v>706.9400000000001</v>
      </c>
      <c r="F90" s="12" t="n">
        <v>623.925</v>
      </c>
      <c r="G90" s="12" t="n">
        <v>334.891</v>
      </c>
      <c r="H90" s="12" t="n">
        <v>1279.721</v>
      </c>
      <c r="I90" s="12" t="n">
        <v>1238.933</v>
      </c>
      <c r="J90" s="12" t="n">
        <v>1281.518</v>
      </c>
      <c r="K90" s="12" t="n">
        <v>924.067</v>
      </c>
      <c r="L90" s="12" t="n">
        <v>1846.624</v>
      </c>
      <c r="M90" s="12" t="n">
        <v>1377.622</v>
      </c>
      <c r="N90" s="12" t="n">
        <v>1580.155</v>
      </c>
      <c r="T90" s="12" t="n">
        <v>775.954</v>
      </c>
      <c r="U90" s="12" t="n">
        <v>870.849</v>
      </c>
      <c r="V90" s="12" t="n">
        <v>706.9400000000001</v>
      </c>
      <c r="W90" s="12" t="n">
        <v>1238.933</v>
      </c>
      <c r="X90" s="12" t="n">
        <v>1377.622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판매비와 관리비</t>
        </is>
      </c>
      <c r="C92" s="20" t="n">
        <v>681.782</v>
      </c>
      <c r="D92" s="20" t="n">
        <v>551.5410000000001</v>
      </c>
      <c r="E92" s="20" t="n">
        <v>593.302</v>
      </c>
      <c r="F92" s="20" t="n">
        <v>691.712</v>
      </c>
      <c r="G92" s="20" t="n">
        <v>582.278</v>
      </c>
      <c r="H92" s="20" t="n">
        <v>991.54</v>
      </c>
      <c r="I92" s="20" t="n">
        <v>1099.931</v>
      </c>
      <c r="J92" s="20" t="n">
        <v>1363.241</v>
      </c>
      <c r="K92" s="20" t="n">
        <v>1417.184</v>
      </c>
      <c r="L92" s="20" t="n">
        <v>1174.899</v>
      </c>
      <c r="M92" s="20" t="n">
        <v>1065.79</v>
      </c>
      <c r="N92" s="20" t="n">
        <v>1057.292</v>
      </c>
      <c r="T92" s="20" t="n">
        <v>604.826</v>
      </c>
      <c r="U92" s="20" t="n">
        <v>690.115</v>
      </c>
      <c r="V92" s="20" t="n">
        <v>593.302</v>
      </c>
      <c r="W92" s="20" t="n">
        <v>1099.931</v>
      </c>
      <c r="X92" s="20" t="n">
        <v>1065.79</v>
      </c>
    </row>
    <row r="93">
      <c r="A93" s="9" t="inlineStr">
        <is>
          <t>영업이익(손실)</t>
        </is>
      </c>
      <c r="C93" s="12" t="n">
        <v>463.793</v>
      </c>
      <c r="D93" s="12" t="n">
        <v>317.119</v>
      </c>
      <c r="E93" s="12" t="n">
        <v>113.639</v>
      </c>
      <c r="F93" s="12" t="n">
        <v>-67.786</v>
      </c>
      <c r="G93" s="12" t="n">
        <v>-247.387</v>
      </c>
      <c r="H93" s="12" t="n">
        <v>288.181</v>
      </c>
      <c r="I93" s="12" t="n">
        <v>139</v>
      </c>
      <c r="J93" s="12" t="n">
        <v>-81.723</v>
      </c>
      <c r="K93" s="12" t="n">
        <v>-493.116</v>
      </c>
      <c r="L93" s="12" t="n">
        <v>671.723</v>
      </c>
      <c r="M93" s="12" t="n">
        <v>311.833</v>
      </c>
      <c r="N93" s="12" t="n">
        <v>522.862</v>
      </c>
      <c r="T93" s="12" t="n">
        <v>171.128</v>
      </c>
      <c r="U93" s="12" t="n">
        <v>180.734</v>
      </c>
      <c r="V93" s="12" t="n">
        <v>113.639</v>
      </c>
      <c r="W93" s="12" t="n">
        <v>139</v>
      </c>
      <c r="X93" s="12" t="n">
        <v>311.833</v>
      </c>
    </row>
    <row r="94">
      <c r="A94" s="43" t="inlineStr">
        <is>
          <t>OPM</t>
        </is>
      </c>
      <c r="B94" s="3" t="inlineStr">
        <is>
          <t>영업이익 ÷ 매출</t>
        </is>
      </c>
      <c r="C94" s="15">
        <f>IF(OR(C93="",C87=""),"",IF(C87&lt;=0,"",IFERROR(C93/C87,"")))</f>
        <v/>
      </c>
      <c r="D94" s="15">
        <f>IF(OR(D93="",D87=""),"",IF(D87&lt;=0,"",IFERROR(D93/D87,"")))</f>
        <v/>
      </c>
      <c r="E94" s="15">
        <f>IF(OR(E93="",E87=""),"",IF(E87&lt;=0,"",IFERROR(E93/E87,"")))</f>
        <v/>
      </c>
      <c r="F94" s="15">
        <f>IF(OR(F93="",F87=""),"",IF(F87&lt;=0,"",IFERROR(F93/F87,"")))</f>
        <v/>
      </c>
      <c r="G94" s="15">
        <f>IF(OR(G93="",G87=""),"",IF(G87&lt;=0,"",IFERROR(G93/G87,"")))</f>
        <v/>
      </c>
      <c r="H94" s="15">
        <f>IF(OR(H93="",H87=""),"",IF(H87&lt;=0,"",IFERROR(H93/H87,"")))</f>
        <v/>
      </c>
      <c r="I94" s="15">
        <f>IF(OR(I93="",I87=""),"",IF(I87&lt;=0,"",IFERROR(I93/I87,"")))</f>
        <v/>
      </c>
      <c r="J94" s="15">
        <f>IF(OR(J93="",J87=""),"",IF(J87&lt;=0,"",IFERROR(J93/J87,"")))</f>
        <v/>
      </c>
      <c r="K94" s="15">
        <f>IF(OR(K93="",K87=""),"",IF(K87&lt;=0,"",IFERROR(K93/K87,"")))</f>
        <v/>
      </c>
      <c r="L94" s="15">
        <f>IF(OR(L93="",L87=""),"",IF(L87&lt;=0,"",IFERROR(L93/L87,"")))</f>
        <v/>
      </c>
      <c r="M94" s="15">
        <f>IF(OR(M93="",M87=""),"",IF(M87&lt;=0,"",IFERROR(M93/M87,"")))</f>
        <v/>
      </c>
      <c r="N94" s="15">
        <f>IF(OR(N93="",N87=""),"",IF(N87&lt;=0,"",IFERROR(N93/N87,"")))</f>
        <v/>
      </c>
      <c r="T94" s="15">
        <f>IF(OR(T93="",T87=""),"",IF(T87&lt;=0,"",IFERROR(T93/T87,"")))</f>
        <v/>
      </c>
      <c r="U94" s="15">
        <f>IF(OR(U93="",U87=""),"",IF(U87&lt;=0,"",IFERROR(U93/U87,"")))</f>
        <v/>
      </c>
      <c r="V94" s="15">
        <f>IF(OR(V93="",V87=""),"",IF(V87&lt;=0,"",IFERROR(V93/V87,"")))</f>
        <v/>
      </c>
      <c r="W94" s="15">
        <f>IF(OR(W93="",W87=""),"",IF(W87&lt;=0,"",IFERROR(W93/W87,"")))</f>
        <v/>
      </c>
      <c r="X94" s="15">
        <f>IF(OR(X93="",X87=""),"",IF(X87&lt;=0,"",IFERROR(X93/X87,"")))</f>
        <v/>
      </c>
    </row>
    <row r="95">
      <c r="A95" s="43" t="inlineStr">
        <is>
          <t>YoY</t>
        </is>
      </c>
      <c r="B95" s="3" t="inlineStr">
        <is>
          <t>전년 같은 분기·전년 대비</t>
        </is>
      </c>
      <c r="G95" s="15">
        <f>IF(OR(G93="",C93=""),"",IF(C93&lt;=0,"",IFERROR(G93/C93-1,"")))</f>
        <v/>
      </c>
      <c r="H95" s="15">
        <f>IF(OR(H93="",D93=""),"",IF(D93&lt;=0,"",IFERROR(H93/D93-1,"")))</f>
        <v/>
      </c>
      <c r="I95" s="15">
        <f>IF(OR(I93="",E93=""),"",IF(E93&lt;=0,"",IFERROR(I93/E93-1,"")))</f>
        <v/>
      </c>
      <c r="J95" s="15">
        <f>IF(OR(J93="",F93=""),"",IF(F93&lt;=0,"",IFERROR(J93/F93-1,"")))</f>
        <v/>
      </c>
      <c r="K95" s="15">
        <f>IF(OR(K93="",G93=""),"",IF(G93&lt;=0,"",IFERROR(K93/G93-1,"")))</f>
        <v/>
      </c>
      <c r="L95" s="15">
        <f>IF(OR(L93="",H93=""),"",IF(H93&lt;=0,"",IFERROR(L93/H93-1,"")))</f>
        <v/>
      </c>
      <c r="M95" s="15">
        <f>IF(OR(M93="",I93=""),"",IF(I93&lt;=0,"",IFERROR(M93/I93-1,"")))</f>
        <v/>
      </c>
      <c r="N95" s="15">
        <f>IF(OR(N93="",J93=""),"",IF(J93&lt;=0,"",IFERROR(N93/J93-1,"")))</f>
        <v/>
      </c>
      <c r="T95" s="15">
        <f>IF(OR(T93="",S93=""),"",IF(S93&lt;=0,"",IFERROR(T93/S93-1,"")))</f>
        <v/>
      </c>
      <c r="U95" s="15">
        <f>IF(OR(U93="",T93=""),"",IF(T93&lt;=0,"",IFERROR(U93/T93-1,"")))</f>
        <v/>
      </c>
      <c r="V95" s="15">
        <f>IF(OR(V93="",U93=""),"",IF(U93&lt;=0,"",IFERROR(V93/U93-1,"")))</f>
        <v/>
      </c>
      <c r="W95" s="15">
        <f>IF(OR(W93="",V93=""),"",IF(V93&lt;=0,"",IFERROR(W93/V93-1,"")))</f>
        <v/>
      </c>
      <c r="X95" s="15">
        <f>IF(OR(X93="",W93=""),"",IF(W93&lt;=0,"",IFERROR(X93/W93-1,"")))</f>
        <v/>
      </c>
    </row>
    <row r="96">
      <c r="A96" s="18" t="inlineStr">
        <is>
          <t>이자수익</t>
        </is>
      </c>
      <c r="C96" s="20" t="n">
        <v>0.028</v>
      </c>
      <c r="D96" s="20" t="n">
        <v>0.001</v>
      </c>
      <c r="E96" s="20" t="n">
        <v>0.023</v>
      </c>
      <c r="F96" s="20" t="n">
        <v>0.002</v>
      </c>
      <c r="G96" s="20" t="n">
        <v>0.658</v>
      </c>
      <c r="H96" s="20" t="n">
        <v>0.025</v>
      </c>
      <c r="I96" s="20" t="n">
        <v>2.635</v>
      </c>
      <c r="J96" s="20" t="n">
        <v>0.346</v>
      </c>
      <c r="K96" s="20" t="n">
        <v>4.016</v>
      </c>
      <c r="L96" s="20" t="n">
        <v>0.669</v>
      </c>
      <c r="M96" s="20" t="n">
        <v>3.672</v>
      </c>
      <c r="N96" s="20" t="n">
        <v>0.674</v>
      </c>
      <c r="T96" s="20" t="n">
        <v>0.026</v>
      </c>
      <c r="U96" s="20" t="n">
        <v>0.03</v>
      </c>
      <c r="V96" s="20" t="n">
        <v>0.023</v>
      </c>
      <c r="W96" s="20" t="n">
        <v>2.635</v>
      </c>
      <c r="X96" s="20" t="n">
        <v>3.672</v>
      </c>
    </row>
    <row r="97">
      <c r="A97" s="18" t="inlineStr">
        <is>
          <t>배당금수익</t>
        </is>
      </c>
      <c r="C97" s="20" t="n">
        <v>0</v>
      </c>
      <c r="D97" s="20" t="n">
        <v>0</v>
      </c>
      <c r="E97" s="20" t="n">
        <v>0</v>
      </c>
      <c r="F97" s="20" t="n">
        <v>0</v>
      </c>
      <c r="G97" s="20" t="n">
        <v>0</v>
      </c>
      <c r="H97" s="20" t="n">
        <v>0</v>
      </c>
      <c r="I97" s="20" t="n">
        <v>0</v>
      </c>
      <c r="T97" s="20" t="n">
        <v>0</v>
      </c>
      <c r="U97" s="20" t="n">
        <v>0</v>
      </c>
      <c r="V97" s="20" t="n">
        <v>0</v>
      </c>
      <c r="W97" s="20" t="n">
        <v>0</v>
      </c>
    </row>
    <row r="98">
      <c r="A98" s="18" t="inlineStr">
        <is>
          <t>Interest On Refund NOI</t>
        </is>
      </c>
      <c r="D98" s="20" t="n">
        <v>0</v>
      </c>
      <c r="E98" s="20" t="n">
        <v>0</v>
      </c>
      <c r="H98" s="20" t="n">
        <v>0</v>
      </c>
      <c r="I98" s="20" t="n">
        <v>0</v>
      </c>
      <c r="L98" s="20" t="n">
        <v>0</v>
      </c>
      <c r="M98" s="20" t="n">
        <v>0</v>
      </c>
      <c r="V98" s="20" t="n">
        <v>0</v>
      </c>
      <c r="W98" s="20" t="n">
        <v>0</v>
      </c>
      <c r="X98" s="20" t="n">
        <v>0</v>
      </c>
    </row>
    <row r="99">
      <c r="A99" s="18" t="inlineStr">
        <is>
          <t>Fiduciary Obligation Fee NOI</t>
        </is>
      </c>
      <c r="J99" s="20" t="n">
        <v>0</v>
      </c>
      <c r="N99" s="20" t="n">
        <v>3.4</v>
      </c>
    </row>
    <row r="100">
      <c r="A100" s="18" t="inlineStr">
        <is>
          <t>Gain On Investments In Capital NOI</t>
        </is>
      </c>
      <c r="C100" s="20" t="n">
        <v>-1.731</v>
      </c>
      <c r="D100" s="20" t="n">
        <v>0.125</v>
      </c>
      <c r="F100" s="20" t="n">
        <v>0</v>
      </c>
      <c r="G100" s="20" t="n">
        <v>0</v>
      </c>
      <c r="H100" s="20" t="n">
        <v>0</v>
      </c>
      <c r="J100" s="20" t="n">
        <v>0.183</v>
      </c>
      <c r="K100" s="20" t="n">
        <v>0.029</v>
      </c>
      <c r="N100" s="20" t="n">
        <v>0.139</v>
      </c>
      <c r="U100" s="20" t="n">
        <v>0</v>
      </c>
    </row>
    <row r="101">
      <c r="A101" s="18" t="inlineStr">
        <is>
          <t>외환차익</t>
        </is>
      </c>
      <c r="J101" s="20" t="n">
        <v>0</v>
      </c>
      <c r="N101" s="20" t="n">
        <v>3.529</v>
      </c>
    </row>
    <row r="102">
      <c r="A102" s="18" t="inlineStr">
        <is>
          <t>기타</t>
        </is>
      </c>
      <c r="C102" s="20" t="n">
        <v>-0.008999999999999999</v>
      </c>
      <c r="D102" s="20" t="n">
        <v>0.023</v>
      </c>
      <c r="E102" s="20" t="n">
        <v>0.043</v>
      </c>
      <c r="F102" s="20" t="n">
        <v>0.038</v>
      </c>
      <c r="G102" s="20" t="n">
        <v>0.493</v>
      </c>
      <c r="H102" s="20" t="n">
        <v>0.417</v>
      </c>
      <c r="I102" s="20" t="n">
        <v>-0.332</v>
      </c>
      <c r="J102" s="20" t="n">
        <v>0.004</v>
      </c>
      <c r="K102" s="20" t="n">
        <v>0.662</v>
      </c>
      <c r="L102" s="20" t="n">
        <v>0.695</v>
      </c>
      <c r="M102" s="20" t="n">
        <v>5.76</v>
      </c>
      <c r="N102" s="20" t="n">
        <v>0.518</v>
      </c>
      <c r="T102" s="20" t="n">
        <v>0.083</v>
      </c>
      <c r="U102" s="20" t="n">
        <v>-0.218</v>
      </c>
      <c r="V102" s="20" t="n">
        <v>0.043</v>
      </c>
      <c r="W102" s="20" t="n">
        <v>-0.332</v>
      </c>
      <c r="X102" s="20" t="n">
        <v>5.76</v>
      </c>
    </row>
    <row r="103">
      <c r="A103" s="18" t="inlineStr">
        <is>
          <t>영업외수익 합계</t>
        </is>
      </c>
      <c r="C103" s="20" t="n">
        <v>-1.711</v>
      </c>
      <c r="D103" s="20" t="n">
        <v>0.147</v>
      </c>
      <c r="E103" s="20" t="n">
        <v>-1.673</v>
      </c>
      <c r="F103" s="20" t="n">
        <v>0.04</v>
      </c>
      <c r="G103" s="20" t="n">
        <v>2.912</v>
      </c>
      <c r="H103" s="20" t="n">
        <v>10.443</v>
      </c>
      <c r="I103" s="20" t="n">
        <v>16.671</v>
      </c>
      <c r="J103" s="20" t="n">
        <v>0.534</v>
      </c>
      <c r="K103" s="20" t="n">
        <v>4.707</v>
      </c>
      <c r="L103" s="20" t="n">
        <v>1.151</v>
      </c>
      <c r="M103" s="20" t="n">
        <v>40.692</v>
      </c>
      <c r="N103" s="20" t="n">
        <v>8.262</v>
      </c>
      <c r="T103" s="20" t="n">
        <v>0.718</v>
      </c>
      <c r="U103" s="20" t="n">
        <v>-0.188</v>
      </c>
      <c r="V103" s="20" t="n">
        <v>-1.673</v>
      </c>
      <c r="W103" s="20" t="n">
        <v>16.671</v>
      </c>
      <c r="X103" s="20" t="n">
        <v>40.692</v>
      </c>
    </row>
    <row r="104">
      <c r="A104" s="18" t="inlineStr">
        <is>
          <t>이자비용</t>
        </is>
      </c>
      <c r="C104" s="20" t="n">
        <v>10.091</v>
      </c>
      <c r="D104" s="20" t="n">
        <v>9.807</v>
      </c>
      <c r="E104" s="20" t="n">
        <v>14.15</v>
      </c>
      <c r="F104" s="20" t="n">
        <v>18.981</v>
      </c>
      <c r="G104" s="20" t="n">
        <v>19.341</v>
      </c>
      <c r="H104" s="20" t="n">
        <v>19.175</v>
      </c>
      <c r="I104" s="20" t="n">
        <v>19.879</v>
      </c>
      <c r="J104" s="20" t="n">
        <v>20.919</v>
      </c>
      <c r="K104" s="20" t="n">
        <v>19.055</v>
      </c>
      <c r="L104" s="20" t="n">
        <v>17.7</v>
      </c>
      <c r="M104" s="20" t="n">
        <v>17.984</v>
      </c>
      <c r="N104" s="20" t="n">
        <v>17.423</v>
      </c>
      <c r="T104" s="20" t="n">
        <v>10.651</v>
      </c>
      <c r="U104" s="20" t="n">
        <v>10.453</v>
      </c>
      <c r="V104" s="20" t="n">
        <v>14.15</v>
      </c>
      <c r="W104" s="20" t="n">
        <v>19.879</v>
      </c>
      <c r="X104" s="20" t="n">
        <v>17.984</v>
      </c>
    </row>
    <row r="105">
      <c r="A105" s="18" t="inlineStr">
        <is>
          <t>지급수수료</t>
        </is>
      </c>
      <c r="C105" s="20" t="n">
        <v>0.735</v>
      </c>
      <c r="D105" s="20" t="n">
        <v>31.754</v>
      </c>
      <c r="E105" s="20" t="n">
        <v>31.08</v>
      </c>
      <c r="F105" s="20" t="n">
        <v>0.996</v>
      </c>
      <c r="G105" s="20" t="n">
        <v>0.989</v>
      </c>
      <c r="H105" s="20" t="n">
        <v>0.99</v>
      </c>
      <c r="I105" s="20" t="n">
        <v>2.994</v>
      </c>
      <c r="J105" s="20" t="n">
        <v>1.011</v>
      </c>
      <c r="K105" s="20" t="n">
        <v>1.047</v>
      </c>
      <c r="L105" s="20" t="n">
        <v>1.052</v>
      </c>
      <c r="M105" s="20" t="n">
        <v>1.064</v>
      </c>
      <c r="N105" s="20" t="n">
        <v>1.505</v>
      </c>
      <c r="T105" s="20" t="n">
        <v>1.249</v>
      </c>
      <c r="U105" s="20" t="n">
        <v>0.67</v>
      </c>
      <c r="V105" s="20" t="n">
        <v>31.08</v>
      </c>
      <c r="W105" s="20" t="n">
        <v>2.994</v>
      </c>
      <c r="X105" s="20" t="n">
        <v>1.064</v>
      </c>
    </row>
    <row r="106">
      <c r="A106" s="18" t="inlineStr">
        <is>
          <t>외환차손</t>
        </is>
      </c>
      <c r="F106" s="20" t="n">
        <v>0.156</v>
      </c>
      <c r="J106" s="20" t="n">
        <v>4.484</v>
      </c>
      <c r="N106" s="20" t="n">
        <v>0</v>
      </c>
      <c r="T106" s="20" t="n">
        <v>-0.005</v>
      </c>
      <c r="U106" s="20" t="n">
        <v>0.482</v>
      </c>
    </row>
    <row r="107">
      <c r="A107" s="18" t="inlineStr">
        <is>
          <t>기타</t>
        </is>
      </c>
      <c r="C107" s="20" t="n">
        <v>0</v>
      </c>
      <c r="D107" s="20" t="n">
        <v>0.079</v>
      </c>
      <c r="E107" s="20" t="n">
        <v>1.453</v>
      </c>
      <c r="F107" s="20" t="n">
        <v>0.571</v>
      </c>
      <c r="G107" s="20" t="n">
        <v>1.185</v>
      </c>
      <c r="H107" s="20" t="n">
        <v>2.765</v>
      </c>
      <c r="I107" s="20" t="n">
        <v>0.696</v>
      </c>
      <c r="J107" s="20" t="n">
        <v>0</v>
      </c>
      <c r="K107" s="20" t="n">
        <v>5.233</v>
      </c>
      <c r="L107" s="20" t="n">
        <v>-2.973</v>
      </c>
      <c r="M107" s="20" t="n">
        <v>10.798</v>
      </c>
      <c r="T107" s="20" t="n">
        <v>-0.99</v>
      </c>
      <c r="U107" s="20" t="n">
        <v>1.849</v>
      </c>
      <c r="V107" s="20" t="n">
        <v>1.453</v>
      </c>
      <c r="W107" s="20" t="n">
        <v>0.696</v>
      </c>
      <c r="X107" s="20" t="n">
        <v>10.798</v>
      </c>
    </row>
    <row r="108">
      <c r="A108" s="18" t="inlineStr">
        <is>
          <t>영업외비용 합계</t>
        </is>
      </c>
      <c r="C108" s="20" t="n">
        <v>10.826</v>
      </c>
      <c r="D108" s="20" t="n">
        <v>41.641</v>
      </c>
      <c r="E108" s="20" t="n">
        <v>48.005</v>
      </c>
      <c r="F108" s="20" t="n">
        <v>20.706</v>
      </c>
      <c r="G108" s="20" t="n">
        <v>21.358</v>
      </c>
      <c r="H108" s="20" t="n">
        <v>22.929</v>
      </c>
      <c r="I108" s="20" t="n">
        <v>23.775</v>
      </c>
      <c r="J108" s="20" t="n">
        <v>26.416</v>
      </c>
      <c r="K108" s="20" t="n">
        <v>20.851</v>
      </c>
      <c r="L108" s="20" t="n">
        <v>15.778</v>
      </c>
      <c r="M108" s="20" t="n">
        <v>73.846</v>
      </c>
      <c r="N108" s="20" t="n">
        <v>18.929</v>
      </c>
      <c r="T108" s="20" t="n">
        <v>10.905</v>
      </c>
      <c r="U108" s="20" t="n">
        <v>13.455</v>
      </c>
      <c r="V108" s="20" t="n">
        <v>48.005</v>
      </c>
      <c r="W108" s="20" t="n">
        <v>23.775</v>
      </c>
      <c r="X108" s="20" t="n">
        <v>73.846</v>
      </c>
    </row>
    <row r="109">
      <c r="A109" s="9" t="inlineStr">
        <is>
          <t>경상이익(손실)</t>
        </is>
      </c>
      <c r="C109" s="12" t="n">
        <v>451.256</v>
      </c>
      <c r="D109" s="12" t="n">
        <v>275.626</v>
      </c>
      <c r="E109" s="12" t="n">
        <v>63.961</v>
      </c>
      <c r="F109" s="12" t="n">
        <v>-88.452</v>
      </c>
      <c r="G109" s="12" t="n">
        <v>-265.834</v>
      </c>
      <c r="H109" s="12" t="n">
        <v>275.695</v>
      </c>
      <c r="I109" s="12" t="n">
        <v>131.897</v>
      </c>
      <c r="J109" s="12" t="n">
        <v>-107.604</v>
      </c>
      <c r="K109" s="12" t="n">
        <v>-509.261</v>
      </c>
      <c r="L109" s="12" t="n">
        <v>657.097</v>
      </c>
      <c r="M109" s="12" t="n">
        <v>278.679</v>
      </c>
      <c r="N109" s="12" t="n">
        <v>512.1950000000001</v>
      </c>
      <c r="T109" s="12" t="n">
        <v>160.941</v>
      </c>
      <c r="U109" s="12" t="n">
        <v>167.092</v>
      </c>
      <c r="V109" s="12" t="n">
        <v>63.961</v>
      </c>
      <c r="W109" s="12" t="n">
        <v>131.897</v>
      </c>
      <c r="X109" s="12" t="n">
        <v>278.679</v>
      </c>
    </row>
    <row r="110">
      <c r="A110" s="43" t="inlineStr">
        <is>
          <t>YoY</t>
        </is>
      </c>
      <c r="B110" s="3" t="inlineStr">
        <is>
          <t>전년 같은 분기·전년 대비</t>
        </is>
      </c>
      <c r="G110" s="15">
        <f>IF(OR(G109="",C109=""),"",IF(C109&lt;=0,"",IFERROR(G109/C109-1,"")))</f>
        <v/>
      </c>
      <c r="H110" s="15">
        <f>IF(OR(H109="",D109=""),"",IF(D109&lt;=0,"",IFERROR(H109/D109-1,"")))</f>
        <v/>
      </c>
      <c r="I110" s="15">
        <f>IF(OR(I109="",E109=""),"",IF(E109&lt;=0,"",IFERROR(I109/E109-1,"")))</f>
        <v/>
      </c>
      <c r="J110" s="15">
        <f>IF(OR(J109="",F109=""),"",IF(F109&lt;=0,"",IFERROR(J109/F109-1,"")))</f>
        <v/>
      </c>
      <c r="K110" s="15">
        <f>IF(OR(K109="",G109=""),"",IF(G109&lt;=0,"",IFERROR(K109/G109-1,"")))</f>
        <v/>
      </c>
      <c r="L110" s="15">
        <f>IF(OR(L109="",H109=""),"",IF(H109&lt;=0,"",IFERROR(L109/H109-1,"")))</f>
        <v/>
      </c>
      <c r="M110" s="15">
        <f>IF(OR(M109="",I109=""),"",IF(I109&lt;=0,"",IFERROR(M109/I109-1,"")))</f>
        <v/>
      </c>
      <c r="N110" s="15">
        <f>IF(OR(N109="",J109=""),"",IF(J109&lt;=0,"",IFERROR(N109/J109-1,"")))</f>
        <v/>
      </c>
      <c r="T110" s="15">
        <f>IF(OR(T109="",S109=""),"",IF(S109&lt;=0,"",IFERROR(T109/S109-1,"")))</f>
        <v/>
      </c>
      <c r="U110" s="15">
        <f>IF(OR(U109="",T109=""),"",IF(T109&lt;=0,"",IFERROR(U109/T109-1,"")))</f>
        <v/>
      </c>
      <c r="V110" s="15">
        <f>IF(OR(V109="",U109=""),"",IF(U109&lt;=0,"",IFERROR(V109/U109-1,"")))</f>
        <v/>
      </c>
      <c r="W110" s="15">
        <f>IF(OR(W109="",V109=""),"",IF(V109&lt;=0,"",IFERROR(W109/V109-1,"")))</f>
        <v/>
      </c>
      <c r="X110" s="15">
        <f>IF(OR(X109="",W109=""),"",IF(W109&lt;=0,"",IFERROR(X109/W109-1,"")))</f>
        <v/>
      </c>
    </row>
    <row r="111">
      <c r="A111" s="18" t="inlineStr">
        <is>
          <t>신주예약권 환입이익</t>
        </is>
      </c>
      <c r="T111" s="20" t="n">
        <v>0</v>
      </c>
      <c r="U111" s="20" t="n">
        <v>0</v>
      </c>
    </row>
    <row r="112">
      <c r="A112" s="18" t="inlineStr">
        <is>
          <t>특별이익 합계</t>
        </is>
      </c>
      <c r="I112" s="20" t="n">
        <v>0</v>
      </c>
      <c r="M112" s="20" t="n">
        <v>2582.999</v>
      </c>
      <c r="T112" s="20" t="n">
        <v>0</v>
      </c>
      <c r="U112" s="20" t="n">
        <v>0</v>
      </c>
      <c r="W112" s="20" t="n">
        <v>0</v>
      </c>
      <c r="X112" s="20" t="n">
        <v>2582.999</v>
      </c>
    </row>
    <row r="113">
      <c r="A113" s="18" t="inlineStr">
        <is>
          <t>손상차손</t>
        </is>
      </c>
      <c r="C113" s="20" t="n">
        <v>192.857</v>
      </c>
      <c r="D113" s="20" t="n">
        <v>0</v>
      </c>
      <c r="E113" s="20" t="n">
        <v>137.049</v>
      </c>
      <c r="F113" s="20" t="n">
        <v>0</v>
      </c>
      <c r="G113" s="20" t="n">
        <v>601.886</v>
      </c>
      <c r="H113" s="20" t="n">
        <v>0</v>
      </c>
      <c r="I113" s="20" t="n">
        <v>520</v>
      </c>
      <c r="J113" s="20" t="n">
        <v>1563.462</v>
      </c>
      <c r="K113" s="20" t="n">
        <v>0</v>
      </c>
      <c r="L113" s="20" t="n">
        <v>0</v>
      </c>
      <c r="M113" s="20" t="n">
        <v>488.396</v>
      </c>
      <c r="N113" s="20" t="n">
        <v>0</v>
      </c>
      <c r="T113" s="20" t="n">
        <v>209.709</v>
      </c>
      <c r="U113" s="20" t="n">
        <v>50</v>
      </c>
      <c r="V113" s="20" t="n">
        <v>137.049</v>
      </c>
      <c r="W113" s="20" t="n">
        <v>520</v>
      </c>
      <c r="X113" s="20" t="n">
        <v>488.396</v>
      </c>
    </row>
    <row r="114">
      <c r="A114" s="18" t="inlineStr">
        <is>
          <t>특별손실 합계</t>
        </is>
      </c>
      <c r="C114" s="20" t="n">
        <v>192.857</v>
      </c>
      <c r="D114" s="20" t="n">
        <v>0</v>
      </c>
      <c r="E114" s="20" t="n">
        <v>137.049</v>
      </c>
      <c r="F114" s="20" t="n">
        <v>0</v>
      </c>
      <c r="G114" s="20" t="n">
        <v>601.886</v>
      </c>
      <c r="H114" s="20" t="n">
        <v>0</v>
      </c>
      <c r="I114" s="20" t="n">
        <v>569.92</v>
      </c>
      <c r="J114" s="20" t="n">
        <v>1563.462</v>
      </c>
      <c r="K114" s="20" t="n">
        <v>0</v>
      </c>
      <c r="L114" s="20" t="n">
        <v>0</v>
      </c>
      <c r="M114" s="20" t="n">
        <v>488.396</v>
      </c>
      <c r="N114" s="20" t="n">
        <v>0</v>
      </c>
      <c r="T114" s="20" t="n">
        <v>306</v>
      </c>
      <c r="U114" s="20" t="n">
        <v>50</v>
      </c>
      <c r="V114" s="20" t="n">
        <v>137.049</v>
      </c>
      <c r="W114" s="20" t="n">
        <v>569.92</v>
      </c>
      <c r="X114" s="20" t="n">
        <v>488.396</v>
      </c>
    </row>
    <row r="115">
      <c r="A115" s="9" t="inlineStr">
        <is>
          <t>법인세차감전 중간순이익(손실)</t>
        </is>
      </c>
      <c r="C115" s="12" t="n">
        <v>258.398</v>
      </c>
      <c r="D115" s="12" t="n">
        <v>275.625</v>
      </c>
      <c r="E115" s="12" t="n">
        <v>-73.08799999999999</v>
      </c>
      <c r="F115" s="12" t="n">
        <v>-88.452</v>
      </c>
      <c r="G115" s="12" t="n">
        <v>-867.72</v>
      </c>
      <c r="H115" s="12" t="n">
        <v>275.695</v>
      </c>
      <c r="I115" s="12" t="n">
        <v>-438.023</v>
      </c>
      <c r="J115" s="12" t="n">
        <v>-1671.067</v>
      </c>
      <c r="K115" s="12" t="n">
        <v>-509.26</v>
      </c>
      <c r="L115" s="12" t="n">
        <v>659.612</v>
      </c>
      <c r="M115" s="12" t="n">
        <v>2373.282</v>
      </c>
      <c r="N115" s="12" t="n">
        <v>512.1950000000001</v>
      </c>
      <c r="T115" s="12" t="n">
        <v>-145.059</v>
      </c>
      <c r="U115" s="12" t="n">
        <v>117.091</v>
      </c>
      <c r="V115" s="12" t="n">
        <v>-73.08799999999999</v>
      </c>
      <c r="W115" s="12" t="n">
        <v>-438.023</v>
      </c>
      <c r="X115" s="12" t="n">
        <v>2373.282</v>
      </c>
    </row>
    <row r="116">
      <c r="A116" s="18" t="inlineStr">
        <is>
          <t>법인세·주민세·사업세</t>
        </is>
      </c>
      <c r="C116" s="20" t="n">
        <v>88.31399999999999</v>
      </c>
      <c r="D116" s="20" t="n">
        <v>-31.905</v>
      </c>
      <c r="E116" s="20" t="n">
        <v>26.24</v>
      </c>
      <c r="F116" s="20" t="n">
        <v>22.959</v>
      </c>
      <c r="G116" s="20" t="n">
        <v>42.316</v>
      </c>
      <c r="H116" s="20" t="n">
        <v>60.46</v>
      </c>
      <c r="I116" s="20" t="n">
        <v>24.253</v>
      </c>
      <c r="J116" s="20" t="n">
        <v>20.975</v>
      </c>
      <c r="K116" s="20" t="n">
        <v>36.497</v>
      </c>
      <c r="L116" s="20" t="n">
        <v>58.762</v>
      </c>
      <c r="M116" s="20" t="n">
        <v>492.318</v>
      </c>
      <c r="N116" s="20" t="n">
        <v>193.092</v>
      </c>
      <c r="T116" s="20" t="n">
        <v>83.306</v>
      </c>
      <c r="U116" s="20" t="n">
        <v>155.92</v>
      </c>
      <c r="V116" s="20" t="n">
        <v>26.24</v>
      </c>
      <c r="W116" s="20" t="n">
        <v>24.253</v>
      </c>
      <c r="X116" s="20" t="n">
        <v>492.318</v>
      </c>
    </row>
    <row r="117">
      <c r="A117" s="18" t="inlineStr">
        <is>
          <t>법인세 조정액</t>
        </is>
      </c>
      <c r="C117" s="20" t="n">
        <v>-103.229</v>
      </c>
      <c r="D117" s="20" t="n">
        <v>40.087</v>
      </c>
      <c r="E117" s="20" t="n">
        <v>-106.543</v>
      </c>
      <c r="F117" s="20" t="n">
        <v>41.571</v>
      </c>
      <c r="G117" s="20" t="n">
        <v>-42.082</v>
      </c>
      <c r="H117" s="20" t="n">
        <v>16.723</v>
      </c>
      <c r="I117" s="20" t="n">
        <v>-251.019</v>
      </c>
      <c r="J117" s="20" t="n">
        <v>106.304</v>
      </c>
      <c r="K117" s="20" t="n">
        <v>17.364</v>
      </c>
      <c r="L117" s="20" t="n">
        <v>-20.497</v>
      </c>
      <c r="M117" s="20" t="n">
        <v>-74.306</v>
      </c>
      <c r="N117" s="20" t="n">
        <v>-4.699</v>
      </c>
      <c r="T117" s="20" t="n">
        <v>-182.737</v>
      </c>
      <c r="U117" s="20" t="n">
        <v>-31.773</v>
      </c>
      <c r="V117" s="20" t="n">
        <v>-106.543</v>
      </c>
      <c r="W117" s="20" t="n">
        <v>-251.019</v>
      </c>
      <c r="X117" s="20" t="n">
        <v>-74.306</v>
      </c>
    </row>
    <row r="118">
      <c r="A118" s="18" t="inlineStr">
        <is>
          <t>법인세 등 합계</t>
        </is>
      </c>
      <c r="C118" s="20" t="n">
        <v>-14.915</v>
      </c>
      <c r="D118" s="20" t="n">
        <v>8.182</v>
      </c>
      <c r="E118" s="20" t="n">
        <v>-80.303</v>
      </c>
      <c r="F118" s="20" t="n">
        <v>64.53</v>
      </c>
      <c r="G118" s="20" t="n">
        <v>0.234</v>
      </c>
      <c r="H118" s="20" t="n">
        <v>77.184</v>
      </c>
      <c r="I118" s="20" t="n">
        <v>-226.767</v>
      </c>
      <c r="J118" s="20" t="n">
        <v>127.279</v>
      </c>
      <c r="K118" s="20" t="n">
        <v>53.862</v>
      </c>
      <c r="L118" s="20" t="n">
        <v>38.265</v>
      </c>
      <c r="M118" s="20" t="n">
        <v>418.011</v>
      </c>
      <c r="N118" s="20" t="n">
        <v>188.393</v>
      </c>
      <c r="T118" s="20" t="n">
        <v>-99.432</v>
      </c>
      <c r="U118" s="20" t="n">
        <v>124.145</v>
      </c>
      <c r="V118" s="20" t="n">
        <v>-80.303</v>
      </c>
      <c r="W118" s="20" t="n">
        <v>-226.767</v>
      </c>
      <c r="X118" s="20" t="n">
        <v>418.011</v>
      </c>
    </row>
    <row r="119">
      <c r="A119" s="9" t="inlineStr">
        <is>
          <t>중간순이익(손실)</t>
        </is>
      </c>
      <c r="C119" s="12" t="n">
        <v>273.314</v>
      </c>
      <c r="D119" s="12" t="n">
        <v>267.443</v>
      </c>
      <c r="E119" s="12" t="n">
        <v>7.215</v>
      </c>
      <c r="F119" s="12" t="n">
        <v>-152.983</v>
      </c>
      <c r="G119" s="12" t="n">
        <v>-867.954</v>
      </c>
      <c r="H119" s="12" t="n">
        <v>198.511</v>
      </c>
      <c r="I119" s="12" t="n">
        <v>-211.255</v>
      </c>
      <c r="J119" s="12" t="n">
        <v>-1798.346</v>
      </c>
      <c r="K119" s="12" t="n">
        <v>-563.123</v>
      </c>
      <c r="L119" s="12" t="n">
        <v>621.348</v>
      </c>
      <c r="M119" s="12" t="n">
        <v>1955.27</v>
      </c>
      <c r="N119" s="12" t="n">
        <v>323.802</v>
      </c>
      <c r="T119" s="12" t="n">
        <v>-45.627</v>
      </c>
      <c r="U119" s="12" t="n">
        <v>-7.054</v>
      </c>
      <c r="V119" s="12" t="n">
        <v>7.215</v>
      </c>
      <c r="W119" s="12" t="n">
        <v>-211.255</v>
      </c>
      <c r="X119" s="12" t="n">
        <v>1955.27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IF(OR(G119="",C119=""),"",IF(C119&lt;=0,"",IFERROR(G119/C119-1,"")))</f>
        <v/>
      </c>
      <c r="H120" s="15">
        <f>IF(OR(H119="",D119=""),"",IF(D119&lt;=0,"",IFERROR(H119/D119-1,"")))</f>
        <v/>
      </c>
      <c r="I120" s="15">
        <f>IF(OR(I119="",E119=""),"",IF(E119&lt;=0,"",IFERROR(I119/E119-1,"")))</f>
        <v/>
      </c>
      <c r="J120" s="15">
        <f>IF(OR(J119="",F119=""),"",IF(F119&lt;=0,"",IFERROR(J119/F119-1,"")))</f>
        <v/>
      </c>
      <c r="K120" s="15">
        <f>IF(OR(K119="",G119=""),"",IF(G119&lt;=0,"",IFERROR(K119/G119-1,"")))</f>
        <v/>
      </c>
      <c r="L120" s="15">
        <f>IF(OR(L119="",H119=""),"",IF(H119&lt;=0,"",IFERROR(L119/H119-1,"")))</f>
        <v/>
      </c>
      <c r="M120" s="15">
        <f>IF(OR(M119="",I119=""),"",IF(I119&lt;=0,"",IFERROR(M119/I119-1,"")))</f>
        <v/>
      </c>
      <c r="N120" s="15">
        <f>IF(OR(N119="",J119=""),"",IF(J119&lt;=0,"",IFERROR(N119/J119-1,"")))</f>
        <v/>
      </c>
      <c r="T120" s="15">
        <f>IF(OR(T119="",S119=""),"",IF(S119&lt;=0,"",IFERROR(T119/S119-1,"")))</f>
        <v/>
      </c>
      <c r="U120" s="15">
        <f>IF(OR(U119="",T119=""),"",IF(T119&lt;=0,"",IFERROR(U119/T119-1,"")))</f>
        <v/>
      </c>
      <c r="V120" s="15">
        <f>IF(OR(V119="",U119=""),"",IF(U119&lt;=0,"",IFERROR(V119/U119-1,"")))</f>
        <v/>
      </c>
      <c r="W120" s="15">
        <f>IF(OR(W119="",V119=""),"",IF(V119&lt;=0,"",IFERROR(W119/V119-1,"")))</f>
        <v/>
      </c>
      <c r="X120" s="15">
        <f>IF(OR(X119="",W119=""),"",IF(W119&lt;=0,"",IFERROR(X119/W119-1,"")))</f>
        <v/>
      </c>
    </row>
    <row r="121">
      <c r="A121" s="9" t="inlineStr">
        <is>
          <t>비지배주주 순이익</t>
        </is>
      </c>
      <c r="C121" s="12" t="n">
        <v>0.87</v>
      </c>
      <c r="D121" s="12" t="n">
        <v>0.6870000000000001</v>
      </c>
      <c r="E121" s="12" t="n">
        <v>0.5570000000000001</v>
      </c>
      <c r="F121" s="12" t="n">
        <v>0.644</v>
      </c>
      <c r="G121" s="12" t="n">
        <v>0.446</v>
      </c>
      <c r="H121" s="12" t="n">
        <v>0.41</v>
      </c>
      <c r="I121" s="12" t="n">
        <v>0.387</v>
      </c>
      <c r="J121" s="12" t="n">
        <v>0.722</v>
      </c>
      <c r="K121" s="12" t="n">
        <v>0.203</v>
      </c>
      <c r="L121" s="12" t="n">
        <v>0.304</v>
      </c>
      <c r="M121" s="12" t="n">
        <v>0.25</v>
      </c>
      <c r="N121" s="12" t="n">
        <v>0.472</v>
      </c>
      <c r="T121" s="12" t="n">
        <v>0.328</v>
      </c>
      <c r="U121" s="12" t="n">
        <v>0.544</v>
      </c>
      <c r="V121" s="12" t="n">
        <v>0.5570000000000001</v>
      </c>
      <c r="W121" s="12" t="n">
        <v>0.387</v>
      </c>
      <c r="X121" s="12" t="n">
        <v>0.25</v>
      </c>
    </row>
    <row r="122">
      <c r="A122" s="9" t="inlineStr">
        <is>
          <t>지배주주 귀속 중간순이익(손실)</t>
        </is>
      </c>
      <c r="C122" s="12" t="n">
        <v>272.444</v>
      </c>
      <c r="D122" s="12" t="n">
        <v>266.756</v>
      </c>
      <c r="E122" s="12" t="n">
        <v>6.658</v>
      </c>
      <c r="F122" s="12" t="n">
        <v>-153.628</v>
      </c>
      <c r="G122" s="12" t="n">
        <v>-868.4</v>
      </c>
      <c r="H122" s="12" t="n">
        <v>198.102</v>
      </c>
      <c r="I122" s="12" t="n">
        <v>-211.643</v>
      </c>
      <c r="J122" s="12" t="n">
        <v>-1799.068</v>
      </c>
      <c r="K122" s="12" t="n">
        <v>-563.327</v>
      </c>
      <c r="L122" s="12" t="n">
        <v>621.045</v>
      </c>
      <c r="M122" s="12" t="n">
        <v>1955.019</v>
      </c>
      <c r="N122" s="12" t="n">
        <v>323.33</v>
      </c>
      <c r="T122" s="12" t="n">
        <v>-45.956</v>
      </c>
      <c r="U122" s="12" t="n">
        <v>-7.598</v>
      </c>
      <c r="V122" s="12" t="n">
        <v>6.658</v>
      </c>
      <c r="W122" s="12" t="n">
        <v>-211.643</v>
      </c>
      <c r="X122" s="12" t="n">
        <v>1955.019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IF(OR(G122="",C122=""),"",IF(C122&lt;=0,"",IFERROR(G122/C122-1,"")))</f>
        <v/>
      </c>
      <c r="H123" s="15">
        <f>IF(OR(H122="",D122=""),"",IF(D122&lt;=0,"",IFERROR(H122/D122-1,"")))</f>
        <v/>
      </c>
      <c r="I123" s="15">
        <f>IF(OR(I122="",E122=""),"",IF(E122&lt;=0,"",IFERROR(I122/E122-1,"")))</f>
        <v/>
      </c>
      <c r="J123" s="15">
        <f>IF(OR(J122="",F122=""),"",IF(F122&lt;=0,"",IFERROR(J122/F122-1,"")))</f>
        <v/>
      </c>
      <c r="K123" s="15">
        <f>IF(OR(K122="",G122=""),"",IF(G122&lt;=0,"",IFERROR(K122/G122-1,"")))</f>
        <v/>
      </c>
      <c r="L123" s="15">
        <f>IF(OR(L122="",H122=""),"",IF(H122&lt;=0,"",IFERROR(L122/H122-1,"")))</f>
        <v/>
      </c>
      <c r="M123" s="15">
        <f>IF(OR(M122="",I122=""),"",IF(I122&lt;=0,"",IFERROR(M122/I122-1,"")))</f>
        <v/>
      </c>
      <c r="N123" s="15">
        <f>IF(OR(N122="",J122=""),"",IF(J122&lt;=0,"",IFERROR(N122/J122-1,"")))</f>
        <v/>
      </c>
      <c r="T123" s="15">
        <f>IF(OR(T122="",S122=""),"",IF(S122&lt;=0,"",IFERROR(T122/S122-1,"")))</f>
        <v/>
      </c>
      <c r="U123" s="15">
        <f>IF(OR(U122="",T122=""),"",IF(T122&lt;=0,"",IFERROR(U122/T122-1,"")))</f>
        <v/>
      </c>
      <c r="V123" s="15">
        <f>IF(OR(V122="",U122=""),"",IF(U122&lt;=0,"",IFERROR(V122/U122-1,"")))</f>
        <v/>
      </c>
      <c r="W123" s="15">
        <f>IF(OR(W122="",V122=""),"",IF(V122&lt;=0,"",IFERROR(W122/V122-1,"")))</f>
        <v/>
      </c>
      <c r="X123" s="15">
        <f>IF(OR(X122="",W122=""),"",IF(W122&lt;=0,"",IFERROR(X122/W122-1,"")))</f>
        <v/>
      </c>
    </row>
    <row r="125">
      <c r="A125" s="16" t="inlineStr">
        <is>
          <t>포괄손익 · 전 항목</t>
        </is>
      </c>
      <c r="B125" s="42" t="inlineStr">
        <is>
          <t>분기 = 3개월 단독</t>
        </is>
      </c>
      <c r="C125" s="16" t="n"/>
      <c r="D125" s="16" t="n"/>
      <c r="E125" s="16" t="n"/>
      <c r="F125" s="16" t="n"/>
      <c r="G125" s="16" t="n"/>
      <c r="H125" s="16" t="n"/>
      <c r="I125" s="16" t="n"/>
      <c r="J125" s="16" t="n"/>
      <c r="K125" s="16" t="n"/>
      <c r="L125" s="16" t="n"/>
      <c r="M125" s="16" t="n"/>
      <c r="N125" s="16" t="n"/>
      <c r="O125" s="16" t="n"/>
      <c r="P125" s="16" t="n"/>
      <c r="Q125" s="16" t="n"/>
      <c r="R125" s="16" t="n"/>
      <c r="S125" s="16" t="n"/>
      <c r="T125" s="16" t="n"/>
      <c r="U125" s="16" t="n"/>
      <c r="V125" s="16" t="n"/>
      <c r="W125" s="16" t="n"/>
      <c r="X125" s="16" t="n"/>
      <c r="Y125" s="16" t="n"/>
      <c r="Z125" s="16" t="n"/>
      <c r="AA125" s="16" t="n"/>
      <c r="AB125" s="16" t="n"/>
      <c r="AC125" s="16" t="n"/>
    </row>
    <row r="126">
      <c r="A126" s="5" t="inlineStr">
        <is>
          <t>항목</t>
        </is>
      </c>
      <c r="B126" s="5" t="inlineStr">
        <is>
          <t>참고</t>
        </is>
      </c>
      <c r="C126" s="5" t="inlineStr">
        <is>
          <t>2024.2Q</t>
        </is>
      </c>
      <c r="D126" s="5" t="inlineStr">
        <is>
          <t>2024.3Q</t>
        </is>
      </c>
      <c r="E126" s="5" t="inlineStr">
        <is>
          <t>2024.4Q</t>
        </is>
      </c>
      <c r="F126" s="5" t="inlineStr">
        <is>
          <t>2025.1Q</t>
        </is>
      </c>
      <c r="G126" s="5" t="inlineStr">
        <is>
          <t>2025.2Q</t>
        </is>
      </c>
      <c r="H126" s="5" t="inlineStr">
        <is>
          <t>2025.3Q</t>
        </is>
      </c>
      <c r="I126" s="5" t="inlineStr">
        <is>
          <t>2025.4Q</t>
        </is>
      </c>
      <c r="J126" s="5" t="inlineStr">
        <is>
          <t>2026.1Q</t>
        </is>
      </c>
      <c r="K126" s="5" t="inlineStr">
        <is>
          <t>2026.2Q</t>
        </is>
      </c>
      <c r="L126" s="5" t="inlineStr">
        <is>
          <t>2026.3Q</t>
        </is>
      </c>
      <c r="M126" s="5" t="inlineStr">
        <is>
          <t>2026.4Q</t>
        </is>
      </c>
      <c r="N126" s="5" t="inlineStr">
        <is>
          <t>2027.1Q</t>
        </is>
      </c>
      <c r="O126" s="5" t="inlineStr">
        <is>
          <t>2017</t>
        </is>
      </c>
      <c r="P126" s="5" t="inlineStr">
        <is>
          <t>2018</t>
        </is>
      </c>
      <c r="Q126" s="5" t="inlineStr">
        <is>
          <t>2019</t>
        </is>
      </c>
      <c r="R126" s="5" t="inlineStr">
        <is>
          <t>2020</t>
        </is>
      </c>
      <c r="S126" s="5" t="inlineStr">
        <is>
          <t>2021</t>
        </is>
      </c>
      <c r="T126" s="5" t="inlineStr">
        <is>
          <t>2022</t>
        </is>
      </c>
      <c r="U126" s="5" t="inlineStr">
        <is>
          <t>2023</t>
        </is>
      </c>
      <c r="V126" s="5" t="inlineStr">
        <is>
          <t>2024</t>
        </is>
      </c>
      <c r="W126" s="5" t="inlineStr">
        <is>
          <t>2025</t>
        </is>
      </c>
      <c r="X126" s="5" t="inlineStr">
        <is>
          <t>2026</t>
        </is>
      </c>
      <c r="Y126" s="5" t="inlineStr">
        <is>
          <t>2027(MW)</t>
        </is>
      </c>
      <c r="Z126" s="5" t="inlineStr">
        <is>
          <t>2028(MW)</t>
        </is>
      </c>
      <c r="AA126" s="5" t="inlineStr">
        <is>
          <t>2029(MW)</t>
        </is>
      </c>
      <c r="AB126" s="5" t="inlineStr">
        <is>
          <t>2030(MW)</t>
        </is>
      </c>
      <c r="AC126" s="5" t="inlineStr">
        <is>
          <t>2031(MW)</t>
        </is>
      </c>
    </row>
    <row r="127">
      <c r="A127" s="9" t="inlineStr">
        <is>
          <t>중간순이익(손실)</t>
        </is>
      </c>
      <c r="C127" s="12" t="n">
        <v>273.314</v>
      </c>
      <c r="D127" s="12" t="n">
        <v>267.443</v>
      </c>
      <c r="E127" s="12" t="n">
        <v>7.215</v>
      </c>
      <c r="F127" s="12" t="n">
        <v>-152.983</v>
      </c>
      <c r="G127" s="12" t="n">
        <v>-867.954</v>
      </c>
      <c r="H127" s="12" t="n">
        <v>198.511</v>
      </c>
      <c r="I127" s="12" t="n">
        <v>-211.255</v>
      </c>
      <c r="J127" s="12" t="n">
        <v>-1798.346</v>
      </c>
      <c r="K127" s="12" t="n">
        <v>-563.123</v>
      </c>
      <c r="L127" s="12" t="n">
        <v>621.348</v>
      </c>
      <c r="M127" s="12" t="n">
        <v>1955.27</v>
      </c>
      <c r="N127" s="12" t="n">
        <v>323.802</v>
      </c>
      <c r="T127" s="12" t="n">
        <v>-45.627</v>
      </c>
      <c r="U127" s="12" t="n">
        <v>-7.054</v>
      </c>
      <c r="V127" s="12" t="n">
        <v>7.215</v>
      </c>
      <c r="W127" s="12" t="n">
        <v>-211.255</v>
      </c>
      <c r="X127" s="12" t="n">
        <v>1955.27</v>
      </c>
    </row>
    <row r="128">
      <c r="A128" s="18" t="inlineStr">
        <is>
          <t>기타유가증권 평가차액</t>
        </is>
      </c>
      <c r="C128" s="20" t="n">
        <v>-0.539</v>
      </c>
      <c r="D128" s="20" t="n">
        <v>0</v>
      </c>
      <c r="E128" s="20" t="n">
        <v>7.253</v>
      </c>
      <c r="F128" s="20" t="n">
        <v>21.002</v>
      </c>
      <c r="G128" s="20" t="n">
        <v>-10.929</v>
      </c>
      <c r="H128" s="20" t="n">
        <v>-5.476</v>
      </c>
      <c r="I128" s="20" t="n">
        <v>0.732</v>
      </c>
      <c r="J128" s="20" t="n">
        <v>0</v>
      </c>
      <c r="K128" s="20" t="n">
        <v>0</v>
      </c>
      <c r="L128" s="20" t="n">
        <v>0</v>
      </c>
      <c r="M128" s="20" t="n">
        <v>8.369999999999999</v>
      </c>
      <c r="T128" s="20" t="n">
        <v>0</v>
      </c>
      <c r="U128" s="20" t="n">
        <v>-2.225</v>
      </c>
      <c r="V128" s="20" t="n">
        <v>7.253</v>
      </c>
      <c r="W128" s="20" t="n">
        <v>0.732</v>
      </c>
      <c r="X128" s="20" t="n">
        <v>8.369999999999999</v>
      </c>
    </row>
    <row r="129">
      <c r="A129" s="18" t="inlineStr">
        <is>
          <t>해외사업환산조정</t>
        </is>
      </c>
      <c r="C129" s="20" t="n">
        <v>0</v>
      </c>
      <c r="D129" s="20" t="n">
        <v>0.711</v>
      </c>
      <c r="F129" s="20" t="n">
        <v>0.218</v>
      </c>
      <c r="G129" s="20" t="n">
        <v>0</v>
      </c>
      <c r="H129" s="20" t="n">
        <v>-0.005</v>
      </c>
      <c r="J129" s="20" t="n">
        <v>-0.903</v>
      </c>
      <c r="K129" s="20" t="n">
        <v>0.199</v>
      </c>
      <c r="L129" s="20" t="n">
        <v>0.695</v>
      </c>
      <c r="N129" s="20" t="n">
        <v>0</v>
      </c>
    </row>
    <row r="130">
      <c r="A130" s="18" t="inlineStr">
        <is>
          <t>기타포괄손익 합계</t>
        </is>
      </c>
      <c r="C130" s="20" t="n">
        <v>-0.538</v>
      </c>
      <c r="D130" s="20" t="n">
        <v>0.711</v>
      </c>
      <c r="E130" s="20" t="n">
        <v>7.253</v>
      </c>
      <c r="F130" s="20" t="n">
        <v>21.22</v>
      </c>
      <c r="G130" s="20" t="n">
        <v>-10.929</v>
      </c>
      <c r="H130" s="20" t="n">
        <v>-5.48</v>
      </c>
      <c r="I130" s="20" t="n">
        <v>0.731</v>
      </c>
      <c r="J130" s="20" t="n">
        <v>-0.903</v>
      </c>
      <c r="K130" s="20" t="n">
        <v>0.199</v>
      </c>
      <c r="L130" s="20" t="n">
        <v>0.695</v>
      </c>
      <c r="M130" s="20" t="n">
        <v>7.375</v>
      </c>
      <c r="N130" s="20" t="n">
        <v>0</v>
      </c>
      <c r="T130" s="20" t="n">
        <v>0</v>
      </c>
      <c r="U130" s="20" t="n">
        <v>-1.848</v>
      </c>
      <c r="V130" s="20" t="n">
        <v>7.253</v>
      </c>
      <c r="W130" s="20" t="n">
        <v>0.731</v>
      </c>
      <c r="X130" s="20" t="n">
        <v>7.375</v>
      </c>
    </row>
    <row r="131">
      <c r="A131" s="9" t="inlineStr">
        <is>
          <t>포괄이익</t>
        </is>
      </c>
      <c r="C131" s="12" t="n">
        <v>272.775</v>
      </c>
      <c r="D131" s="12" t="n">
        <v>268.154</v>
      </c>
      <c r="E131" s="12" t="n">
        <v>14.469</v>
      </c>
      <c r="F131" s="12" t="n">
        <v>-131.762</v>
      </c>
      <c r="G131" s="12" t="n">
        <v>-878.883</v>
      </c>
      <c r="H131" s="12" t="n">
        <v>193.03</v>
      </c>
      <c r="I131" s="12" t="n">
        <v>-210.523</v>
      </c>
      <c r="J131" s="12" t="n">
        <v>-1799.249</v>
      </c>
      <c r="K131" s="12" t="n">
        <v>-562.924</v>
      </c>
      <c r="L131" s="12" t="n">
        <v>622.043</v>
      </c>
      <c r="M131" s="12" t="n">
        <v>1962.645</v>
      </c>
      <c r="N131" s="12" t="n">
        <v>323.802</v>
      </c>
      <c r="T131" s="12" t="n">
        <v>-45.627</v>
      </c>
      <c r="U131" s="12" t="n">
        <v>-8.901</v>
      </c>
      <c r="V131" s="12" t="n">
        <v>14.469</v>
      </c>
      <c r="W131" s="12" t="n">
        <v>-210.523</v>
      </c>
      <c r="X131" s="12" t="n">
        <v>1962.645</v>
      </c>
    </row>
    <row r="132">
      <c r="A132" s="9" t="inlineStr">
        <is>
          <t>지배주주 포괄이익</t>
        </is>
      </c>
      <c r="C132" s="12" t="n">
        <v>271.906</v>
      </c>
      <c r="D132" s="12" t="n">
        <v>267.467</v>
      </c>
      <c r="E132" s="12" t="n">
        <v>13.911</v>
      </c>
      <c r="F132" s="12" t="n">
        <v>-132.407</v>
      </c>
      <c r="G132" s="12" t="n">
        <v>-879.329</v>
      </c>
      <c r="H132" s="12" t="n">
        <v>192.621</v>
      </c>
      <c r="I132" s="12" t="n">
        <v>-210.911</v>
      </c>
      <c r="J132" s="12" t="n">
        <v>-1799.972</v>
      </c>
      <c r="K132" s="12" t="n">
        <v>-563.127</v>
      </c>
      <c r="L132" s="12" t="n">
        <v>621.739</v>
      </c>
      <c r="M132" s="12" t="n">
        <v>1962.395</v>
      </c>
      <c r="N132" s="12" t="n">
        <v>323.33</v>
      </c>
      <c r="T132" s="12" t="n">
        <v>-45.956</v>
      </c>
      <c r="U132" s="12" t="n">
        <v>-9.445</v>
      </c>
      <c r="V132" s="12" t="n">
        <v>13.911</v>
      </c>
      <c r="W132" s="12" t="n">
        <v>-210.911</v>
      </c>
      <c r="X132" s="12" t="n">
        <v>1962.395</v>
      </c>
    </row>
    <row r="133">
      <c r="A133" s="9" t="inlineStr">
        <is>
          <t>비지배주주 포괄이익</t>
        </is>
      </c>
      <c r="C133" s="12" t="n">
        <v>0.87</v>
      </c>
      <c r="D133" s="12" t="n">
        <v>0.6870000000000001</v>
      </c>
      <c r="E133" s="12" t="n">
        <v>0.5570000000000001</v>
      </c>
      <c r="F133" s="12" t="n">
        <v>0.644</v>
      </c>
      <c r="G133" s="12" t="n">
        <v>0.446</v>
      </c>
      <c r="H133" s="12" t="n">
        <v>0.41</v>
      </c>
      <c r="I133" s="12" t="n">
        <v>0.387</v>
      </c>
      <c r="J133" s="12" t="n">
        <v>0.722</v>
      </c>
      <c r="K133" s="12" t="n">
        <v>0.203</v>
      </c>
      <c r="L133" s="12" t="n">
        <v>0.304</v>
      </c>
      <c r="M133" s="12" t="n">
        <v>0.25</v>
      </c>
      <c r="N133" s="12" t="n">
        <v>0.472</v>
      </c>
      <c r="T133" s="12" t="n">
        <v>0.328</v>
      </c>
      <c r="U133" s="12" t="n">
        <v>0.544</v>
      </c>
      <c r="V133" s="12" t="n">
        <v>0.5570000000000001</v>
      </c>
      <c r="W133" s="12" t="n">
        <v>0.387</v>
      </c>
      <c r="X133" s="12" t="n">
        <v>0.25</v>
      </c>
    </row>
    <row r="135">
      <c r="A135" s="16" t="inlineStr">
        <is>
          <t>부문 · 전 항목</t>
        </is>
      </c>
      <c r="B135" s="42" t="inlineStr">
        <is>
          <t>부문 · 항목</t>
        </is>
      </c>
      <c r="C135" s="16" t="n"/>
      <c r="D135" s="16" t="n"/>
      <c r="E135" s="16" t="n"/>
      <c r="F135" s="16" t="n"/>
      <c r="G135" s="16" t="n"/>
      <c r="H135" s="16" t="n"/>
      <c r="I135" s="16" t="n"/>
      <c r="J135" s="16" t="n"/>
      <c r="K135" s="16" t="n"/>
      <c r="L135" s="16" t="n"/>
      <c r="M135" s="16" t="n"/>
      <c r="N135" s="16" t="n"/>
      <c r="O135" s="16" t="n"/>
      <c r="P135" s="16" t="n"/>
      <c r="Q135" s="16" t="n"/>
      <c r="R135" s="16" t="n"/>
      <c r="S135" s="16" t="n"/>
      <c r="T135" s="16" t="n"/>
      <c r="U135" s="16" t="n"/>
      <c r="V135" s="16" t="n"/>
      <c r="W135" s="16" t="n"/>
      <c r="X135" s="16" t="n"/>
      <c r="Y135" s="16" t="n"/>
      <c r="Z135" s="16" t="n"/>
      <c r="AA135" s="16" t="n"/>
      <c r="AB135" s="16" t="n"/>
      <c r="AC135" s="16" t="n"/>
    </row>
    <row r="136">
      <c r="A136" s="5" t="inlineStr">
        <is>
          <t>항목</t>
        </is>
      </c>
      <c r="B136" s="5" t="inlineStr">
        <is>
          <t>참고</t>
        </is>
      </c>
      <c r="C136" s="5" t="inlineStr">
        <is>
          <t>2024.2Q</t>
        </is>
      </c>
      <c r="D136" s="5" t="inlineStr">
        <is>
          <t>2024.3Q</t>
        </is>
      </c>
      <c r="E136" s="5" t="inlineStr">
        <is>
          <t>2024.4Q</t>
        </is>
      </c>
      <c r="F136" s="5" t="inlineStr">
        <is>
          <t>2025.1Q</t>
        </is>
      </c>
      <c r="G136" s="5" t="inlineStr">
        <is>
          <t>2025.2Q</t>
        </is>
      </c>
      <c r="H136" s="5" t="inlineStr">
        <is>
          <t>2025.3Q</t>
        </is>
      </c>
      <c r="I136" s="5" t="inlineStr">
        <is>
          <t>2025.4Q</t>
        </is>
      </c>
      <c r="J136" s="5" t="inlineStr">
        <is>
          <t>2026.1Q</t>
        </is>
      </c>
      <c r="K136" s="5" t="inlineStr">
        <is>
          <t>2026.2Q</t>
        </is>
      </c>
      <c r="L136" s="5" t="inlineStr">
        <is>
          <t>2026.3Q</t>
        </is>
      </c>
      <c r="M136" s="5" t="inlineStr">
        <is>
          <t>2026.4Q</t>
        </is>
      </c>
      <c r="N136" s="5" t="inlineStr">
        <is>
          <t>2027.1Q</t>
        </is>
      </c>
      <c r="O136" s="5" t="inlineStr">
        <is>
          <t>2017</t>
        </is>
      </c>
      <c r="P136" s="5" t="inlineStr">
        <is>
          <t>2018</t>
        </is>
      </c>
      <c r="Q136" s="5" t="inlineStr">
        <is>
          <t>2019</t>
        </is>
      </c>
      <c r="R136" s="5" t="inlineStr">
        <is>
          <t>2020</t>
        </is>
      </c>
      <c r="S136" s="5" t="inlineStr">
        <is>
          <t>2021</t>
        </is>
      </c>
      <c r="T136" s="5" t="inlineStr">
        <is>
          <t>2022</t>
        </is>
      </c>
      <c r="U136" s="5" t="inlineStr">
        <is>
          <t>2023</t>
        </is>
      </c>
      <c r="V136" s="5" t="inlineStr">
        <is>
          <t>2024</t>
        </is>
      </c>
      <c r="W136" s="5" t="inlineStr">
        <is>
          <t>2025</t>
        </is>
      </c>
      <c r="X136" s="5" t="inlineStr">
        <is>
          <t>2026</t>
        </is>
      </c>
      <c r="Y136" s="5" t="inlineStr">
        <is>
          <t>2027(MW)</t>
        </is>
      </c>
      <c r="Z136" s="5" t="inlineStr">
        <is>
          <t>2028(MW)</t>
        </is>
      </c>
      <c r="AA136" s="5" t="inlineStr">
        <is>
          <t>2029(MW)</t>
        </is>
      </c>
      <c r="AB136" s="5" t="inlineStr">
        <is>
          <t>2030(MW)</t>
        </is>
      </c>
      <c r="AC136" s="5" t="inlineStr">
        <is>
          <t>2031(MW)</t>
        </is>
      </c>
    </row>
    <row r="137">
      <c r="A137" s="18" t="inlineStr">
        <is>
          <t>부문 · 외부 고객 매출</t>
        </is>
      </c>
      <c r="F137" s="20" t="n">
        <v>2034.614</v>
      </c>
      <c r="J137" s="20" t="n">
        <v>4322.859</v>
      </c>
      <c r="N137" s="20" t="n">
        <v>4145.254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J138" s="15">
        <f>IF(OR(J137="",F137=""),"",IF(F137&lt;=0,"",IFERROR(J137/F137-1,"")))</f>
        <v/>
      </c>
      <c r="N138" s="15">
        <f>IF(OR(N137="",J137=""),"",IF(J137&lt;=0,"",IFERROR(N137/J137-1,"")))</f>
        <v/>
      </c>
    </row>
    <row r="139">
      <c r="A139" s="18" t="inlineStr">
        <is>
          <t>부문 · 외부 고객 매출</t>
        </is>
      </c>
      <c r="C139" s="20" t="n">
        <v>42.297</v>
      </c>
      <c r="F139" s="20" t="n">
        <v>88.006</v>
      </c>
      <c r="G139" s="20" t="n">
        <v>133.601</v>
      </c>
      <c r="J139" s="20" t="n">
        <v>144.054</v>
      </c>
      <c r="K139" s="20" t="n">
        <v>163.91</v>
      </c>
      <c r="N139" s="20" t="n">
        <v>209.893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N140" s="15">
        <f>IF(OR(N139="",J139=""),"",IF(J139&lt;=0,"",IFERROR(N139/J139-1,"")))</f>
        <v/>
      </c>
    </row>
    <row r="141">
      <c r="A141" s="18" t="inlineStr">
        <is>
          <t>보고부문 합계 · 외부 고객 매출</t>
        </is>
      </c>
      <c r="C141" s="20" t="n">
        <v>2745.34</v>
      </c>
      <c r="D141" s="20" t="n">
        <v>2546.089</v>
      </c>
      <c r="E141" s="20" t="n">
        <v>2141.472</v>
      </c>
      <c r="F141" s="20" t="n">
        <v>2122.621</v>
      </c>
      <c r="G141" s="20" t="n">
        <v>1895.451</v>
      </c>
      <c r="H141" s="20" t="n">
        <v>4182.649</v>
      </c>
      <c r="I141" s="20" t="n">
        <v>4454.463</v>
      </c>
      <c r="J141" s="20" t="n">
        <v>4466.913</v>
      </c>
      <c r="K141" s="20" t="n">
        <v>3771.727</v>
      </c>
      <c r="L141" s="20" t="n">
        <v>5062.656</v>
      </c>
      <c r="M141" s="20" t="n">
        <v>4246.482</v>
      </c>
      <c r="N141" s="20" t="n">
        <v>4355.148</v>
      </c>
      <c r="V141" s="20" t="n">
        <v>2141.472</v>
      </c>
      <c r="W141" s="20" t="n">
        <v>4454.463</v>
      </c>
      <c r="X141" s="20" t="n">
        <v>4246.482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조정액 · 외부 고객 매출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9" t="inlineStr">
        <is>
          <t>외부 고객 매출</t>
        </is>
      </c>
      <c r="C144" s="12" t="n">
        <v>2745.34</v>
      </c>
      <c r="D144" s="12" t="n">
        <v>2546.089</v>
      </c>
      <c r="E144" s="12" t="n">
        <v>2141.472</v>
      </c>
      <c r="F144" s="12" t="n">
        <v>2122.621</v>
      </c>
      <c r="G144" s="12" t="n">
        <v>1895.451</v>
      </c>
      <c r="H144" s="12" t="n">
        <v>4182.649</v>
      </c>
      <c r="I144" s="12" t="n">
        <v>4454.463</v>
      </c>
      <c r="J144" s="12" t="n">
        <v>4466.913</v>
      </c>
      <c r="K144" s="12" t="n">
        <v>3771.727</v>
      </c>
      <c r="L144" s="12" t="n">
        <v>5062.656</v>
      </c>
      <c r="M144" s="12" t="n">
        <v>4246.482</v>
      </c>
      <c r="N144" s="12" t="n">
        <v>4355.148</v>
      </c>
      <c r="V144" s="12" t="n">
        <v>2141.472</v>
      </c>
      <c r="W144" s="12" t="n">
        <v>4454.463</v>
      </c>
      <c r="X144" s="12" t="n">
        <v>4246.482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부문 · 부문 간 내부매출·대체</t>
        </is>
      </c>
      <c r="D146" s="20" t="n">
        <v>0</v>
      </c>
      <c r="E146" s="20" t="n">
        <v>0</v>
      </c>
      <c r="H146" s="20" t="n">
        <v>0.077</v>
      </c>
      <c r="I146" s="20" t="n">
        <v>3.288</v>
      </c>
      <c r="L146" s="20" t="n">
        <v>1.498</v>
      </c>
      <c r="M146" s="20" t="n">
        <v>1.291</v>
      </c>
      <c r="V146" s="20" t="n">
        <v>0</v>
      </c>
      <c r="W146" s="20" t="n">
        <v>3.288</v>
      </c>
      <c r="X146" s="20" t="n">
        <v>1.291</v>
      </c>
    </row>
    <row r="147">
      <c r="A147" s="18" t="inlineStr">
        <is>
          <t>부문 · 부문 간 내부매출·대체</t>
        </is>
      </c>
      <c r="F147" s="20" t="n">
        <v>0</v>
      </c>
      <c r="J147" s="20" t="n">
        <v>4.384</v>
      </c>
      <c r="N147" s="20" t="n">
        <v>0.001</v>
      </c>
    </row>
    <row r="148">
      <c r="A148" s="18" t="inlineStr">
        <is>
          <t>부문 · 부문 간 내부매출·대체</t>
        </is>
      </c>
      <c r="C148" s="20" t="n">
        <v>0</v>
      </c>
      <c r="F148" s="20" t="n">
        <v>2.9</v>
      </c>
      <c r="G148" s="20" t="n">
        <v>0</v>
      </c>
      <c r="J148" s="20" t="n">
        <v>11.108</v>
      </c>
      <c r="K148" s="20" t="n">
        <v>4.956</v>
      </c>
      <c r="N148" s="20" t="n">
        <v>0</v>
      </c>
    </row>
    <row r="149">
      <c r="A149" s="18" t="inlineStr">
        <is>
          <t>보고부문 합계 · 부문 간 내부매출·대체</t>
        </is>
      </c>
      <c r="C149" s="20" t="n">
        <v>0</v>
      </c>
      <c r="D149" s="20" t="n">
        <v>3.6</v>
      </c>
      <c r="E149" s="20" t="n">
        <v>0</v>
      </c>
      <c r="F149" s="20" t="n">
        <v>2.9</v>
      </c>
      <c r="G149" s="20" t="n">
        <v>0.166</v>
      </c>
      <c r="H149" s="20" t="n">
        <v>2.72</v>
      </c>
      <c r="I149" s="20" t="n">
        <v>42.229</v>
      </c>
      <c r="J149" s="20" t="n">
        <v>15.492</v>
      </c>
      <c r="K149" s="20" t="n">
        <v>7.23</v>
      </c>
      <c r="L149" s="20" t="n">
        <v>7.297</v>
      </c>
      <c r="M149" s="20" t="n">
        <v>71.758</v>
      </c>
      <c r="N149" s="20" t="n">
        <v>0.001</v>
      </c>
      <c r="V149" s="20" t="n">
        <v>0</v>
      </c>
      <c r="W149" s="20" t="n">
        <v>42.229</v>
      </c>
      <c r="X149" s="20" t="n">
        <v>71.758</v>
      </c>
    </row>
    <row r="150">
      <c r="A150" s="18" t="inlineStr">
        <is>
          <t>조정액 · 부문 간 내부매출·대체</t>
        </is>
      </c>
      <c r="C150" s="20" t="n">
        <v>0</v>
      </c>
      <c r="D150" s="20" t="n">
        <v>-3.6</v>
      </c>
      <c r="E150" s="20" t="n">
        <v>0</v>
      </c>
      <c r="F150" s="20" t="n">
        <v>-2.9</v>
      </c>
      <c r="G150" s="20" t="n">
        <v>-0.166</v>
      </c>
      <c r="H150" s="20" t="n">
        <v>-2.72</v>
      </c>
      <c r="I150" s="20" t="n">
        <v>-42.229</v>
      </c>
      <c r="J150" s="20" t="n">
        <v>-15.492</v>
      </c>
      <c r="K150" s="20" t="n">
        <v>-7.23</v>
      </c>
      <c r="L150" s="20" t="n">
        <v>-7.297</v>
      </c>
      <c r="M150" s="20" t="n">
        <v>-71.758</v>
      </c>
      <c r="N150" s="20" t="n">
        <v>-0.001</v>
      </c>
      <c r="V150" s="20" t="n">
        <v>0</v>
      </c>
      <c r="W150" s="20" t="n">
        <v>-42.229</v>
      </c>
      <c r="X150" s="20" t="n">
        <v>-71.758</v>
      </c>
    </row>
    <row r="151">
      <c r="A151" s="18" t="inlineStr">
        <is>
          <t>부문 간 내부매출·대체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V151" s="20" t="n">
        <v>0</v>
      </c>
      <c r="W151" s="20" t="n">
        <v>0</v>
      </c>
      <c r="X151" s="20" t="n">
        <v>0</v>
      </c>
    </row>
    <row r="152">
      <c r="A152" s="18" t="inlineStr">
        <is>
          <t>부문 · 계</t>
        </is>
      </c>
      <c r="D152" s="20" t="n">
        <v>2328.336</v>
      </c>
      <c r="E152" s="20" t="n">
        <v>2048.933</v>
      </c>
      <c r="H152" s="20" t="n">
        <v>3879.682</v>
      </c>
      <c r="I152" s="20" t="n">
        <v>4247.927</v>
      </c>
      <c r="L152" s="20" t="n">
        <v>4876.762</v>
      </c>
      <c r="M152" s="20" t="n">
        <v>3982.482</v>
      </c>
      <c r="V152" s="20" t="n">
        <v>2048.933</v>
      </c>
      <c r="W152" s="20" t="n">
        <v>4247.927</v>
      </c>
      <c r="X152" s="20" t="n">
        <v>3982.482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부문 · 계</t>
        </is>
      </c>
      <c r="F154" s="20" t="n">
        <v>2034.614</v>
      </c>
      <c r="J154" s="20" t="n">
        <v>4327.243</v>
      </c>
      <c r="N154" s="20" t="n">
        <v>4145.256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J155" s="15">
        <f>IF(OR(J154="",F154=""),"",IF(F154&lt;=0,"",IFERROR(J154/F154-1,"")))</f>
        <v/>
      </c>
      <c r="N155" s="15">
        <f>IF(OR(N154="",J154=""),"",IF(J154&lt;=0,"",IFERROR(N154/J154-1,"")))</f>
        <v/>
      </c>
    </row>
    <row r="156">
      <c r="A156" s="18" t="inlineStr">
        <is>
          <t>부문 · 계</t>
        </is>
      </c>
      <c r="C156" s="20" t="n">
        <v>42.297</v>
      </c>
      <c r="F156" s="20" t="n">
        <v>90.90600000000001</v>
      </c>
      <c r="G156" s="20" t="n">
        <v>133.601</v>
      </c>
      <c r="J156" s="20" t="n">
        <v>155.162</v>
      </c>
      <c r="K156" s="20" t="n">
        <v>168.866</v>
      </c>
      <c r="N156" s="20" t="n">
        <v>209.893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N157" s="15">
        <f>IF(OR(N156="",J156=""),"",IF(J156&lt;=0,"",IFERROR(N156/J156-1,"")))</f>
        <v/>
      </c>
    </row>
    <row r="158">
      <c r="A158" s="18" t="inlineStr">
        <is>
          <t>보고부문 합계 · 계</t>
        </is>
      </c>
      <c r="C158" s="20" t="n">
        <v>2745.34</v>
      </c>
      <c r="D158" s="20" t="n">
        <v>2549.689</v>
      </c>
      <c r="E158" s="20" t="n">
        <v>2141.472</v>
      </c>
      <c r="F158" s="20" t="n">
        <v>2125.521</v>
      </c>
      <c r="G158" s="20" t="n">
        <v>1895.617</v>
      </c>
      <c r="H158" s="20" t="n">
        <v>4185.369</v>
      </c>
      <c r="I158" s="20" t="n">
        <v>4496.692</v>
      </c>
      <c r="J158" s="20" t="n">
        <v>4482.406</v>
      </c>
      <c r="K158" s="20" t="n">
        <v>3778.956</v>
      </c>
      <c r="L158" s="20" t="n">
        <v>5069.954</v>
      </c>
      <c r="M158" s="20" t="n">
        <v>4318.239</v>
      </c>
      <c r="N158" s="20" t="n">
        <v>4355.15</v>
      </c>
      <c r="V158" s="20" t="n">
        <v>2141.472</v>
      </c>
      <c r="W158" s="20" t="n">
        <v>4496.692</v>
      </c>
      <c r="X158" s="20" t="n">
        <v>4318.239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조정액 · 계</t>
        </is>
      </c>
      <c r="C160" s="20" t="n">
        <v>0</v>
      </c>
      <c r="D160" s="20" t="n">
        <v>-3.6</v>
      </c>
      <c r="E160" s="20" t="n">
        <v>0</v>
      </c>
      <c r="F160" s="20" t="n">
        <v>-2.9</v>
      </c>
      <c r="G160" s="20" t="n">
        <v>-0.166</v>
      </c>
      <c r="H160" s="20" t="n">
        <v>-2.72</v>
      </c>
      <c r="I160" s="20" t="n">
        <v>-42.229</v>
      </c>
      <c r="J160" s="20" t="n">
        <v>-15.492</v>
      </c>
      <c r="K160" s="20" t="n">
        <v>-7.23</v>
      </c>
      <c r="L160" s="20" t="n">
        <v>-7.297</v>
      </c>
      <c r="M160" s="20" t="n">
        <v>-71.758</v>
      </c>
      <c r="N160" s="20" t="n">
        <v>-0.001</v>
      </c>
      <c r="V160" s="20" t="n">
        <v>0</v>
      </c>
      <c r="W160" s="20" t="n">
        <v>-42.229</v>
      </c>
      <c r="X160" s="20" t="n">
        <v>-71.758</v>
      </c>
    </row>
    <row r="161">
      <c r="A161" s="9" t="inlineStr">
        <is>
          <t>계</t>
        </is>
      </c>
      <c r="C161" s="12" t="n">
        <v>2745.34</v>
      </c>
      <c r="D161" s="12" t="n">
        <v>2546.089</v>
      </c>
      <c r="E161" s="12" t="n">
        <v>2141.472</v>
      </c>
      <c r="F161" s="12" t="n">
        <v>2122.621</v>
      </c>
      <c r="G161" s="12" t="n">
        <v>1895.451</v>
      </c>
      <c r="H161" s="12" t="n">
        <v>4182.649</v>
      </c>
      <c r="I161" s="12" t="n">
        <v>4454.463</v>
      </c>
      <c r="J161" s="12" t="n">
        <v>4466.913</v>
      </c>
      <c r="K161" s="12" t="n">
        <v>3771.727</v>
      </c>
      <c r="L161" s="12" t="n">
        <v>5062.656</v>
      </c>
      <c r="M161" s="12" t="n">
        <v>4246.482</v>
      </c>
      <c r="N161" s="12" t="n">
        <v>4355.148</v>
      </c>
      <c r="V161" s="12" t="n">
        <v>2141.472</v>
      </c>
      <c r="W161" s="12" t="n">
        <v>4454.463</v>
      </c>
      <c r="X161" s="12" t="n">
        <v>4246.482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부문 · 부문 이익(손실)</t>
        </is>
      </c>
      <c r="D163" s="20" t="n">
        <v>503.663</v>
      </c>
      <c r="E163" s="20" t="n">
        <v>404.289</v>
      </c>
      <c r="H163" s="20" t="n">
        <v>380.731</v>
      </c>
      <c r="I163" s="20" t="n">
        <v>338.765</v>
      </c>
      <c r="L163" s="20" t="n">
        <v>855.715</v>
      </c>
      <c r="M163" s="20" t="n">
        <v>536.273</v>
      </c>
      <c r="V163" s="20" t="n">
        <v>404.289</v>
      </c>
      <c r="W163" s="20" t="n">
        <v>338.765</v>
      </c>
      <c r="X163" s="20" t="n">
        <v>536.273</v>
      </c>
    </row>
    <row r="164">
      <c r="A164" s="43" t="inlineStr">
        <is>
          <t>OPM</t>
        </is>
      </c>
      <c r="B164" s="3" t="inlineStr">
        <is>
          <t>영업이익 ÷ 매출</t>
        </is>
      </c>
      <c r="D164" s="15">
        <f>IF(OR(D163="",D152=""),"",IF(D152&lt;=0,"",IFERROR(D163/D152,"")))</f>
        <v/>
      </c>
      <c r="E164" s="15">
        <f>IF(OR(E163="",E152=""),"",IF(E152&lt;=0,"",IFERROR(E163/E152,"")))</f>
        <v/>
      </c>
      <c r="H164" s="15">
        <f>IF(OR(H163="",H152=""),"",IF(H152&lt;=0,"",IFERROR(H163/H152,"")))</f>
        <v/>
      </c>
      <c r="I164" s="15">
        <f>IF(OR(I163="",I152=""),"",IF(I152&lt;=0,"",IFERROR(I163/I152,"")))</f>
        <v/>
      </c>
      <c r="L164" s="15">
        <f>IF(OR(L163="",L152=""),"",IF(L152&lt;=0,"",IFERROR(L163/L152,"")))</f>
        <v/>
      </c>
      <c r="M164" s="15">
        <f>IF(OR(M163="",M152=""),"",IF(M152&lt;=0,"",IFERROR(M163/M152,"")))</f>
        <v/>
      </c>
      <c r="V164" s="15">
        <f>IF(OR(V163="",V152=""),"",IF(V152&lt;=0,"",IFERROR(V163/V152,"")))</f>
        <v/>
      </c>
      <c r="W164" s="15">
        <f>IF(OR(W163="",W152=""),"",IF(W152&lt;=0,"",IFERROR(W163/W152,"")))</f>
        <v/>
      </c>
      <c r="X164" s="15">
        <f>IF(OR(X163="",X152=""),"",IF(X152&lt;=0,"",IFERROR(X163/X152,"")))</f>
        <v/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H165" s="15">
        <f>IF(OR(H163="",D163=""),"",IF(D163&lt;=0,"",IFERROR(H163/D163-1,"")))</f>
        <v/>
      </c>
      <c r="I165" s="15">
        <f>IF(OR(I163="",E163=""),"",IF(E163&lt;=0,"",IFERROR(I163/E163-1,"")))</f>
        <v/>
      </c>
      <c r="L165" s="15">
        <f>IF(OR(L163="",H163=""),"",IF(H163&lt;=0,"",IFERROR(L163/H163-1,"")))</f>
        <v/>
      </c>
      <c r="M165" s="15">
        <f>IF(OR(M163="",I163=""),"",IF(I163&lt;=0,"",IFERROR(M163/I163-1,"")))</f>
        <v/>
      </c>
      <c r="V165" s="15">
        <f>IF(OR(V163="",U163=""),"",IF(U163&lt;=0,"",IFERROR(V163/U163-1,"")))</f>
        <v/>
      </c>
      <c r="W165" s="15">
        <f>IF(OR(W163="",V163=""),"",IF(V163&lt;=0,"",IFERROR(W163/V163-1,"")))</f>
        <v/>
      </c>
      <c r="X165" s="15">
        <f>IF(OR(X163="",W163=""),"",IF(W163&lt;=0,"",IFERROR(X163/W163-1,"")))</f>
        <v/>
      </c>
    </row>
    <row r="166">
      <c r="A166" s="18" t="inlineStr">
        <is>
          <t>부문 · 부문 이익(손실)</t>
        </is>
      </c>
      <c r="F166" s="20" t="n">
        <v>254.262</v>
      </c>
      <c r="J166" s="20" t="n">
        <v>122.938</v>
      </c>
      <c r="N166" s="20" t="n">
        <v>793.771</v>
      </c>
    </row>
    <row r="167">
      <c r="A167" s="43" t="inlineStr">
        <is>
          <t>OPM</t>
        </is>
      </c>
      <c r="B167" s="3" t="inlineStr">
        <is>
          <t>영업이익 ÷ 매출</t>
        </is>
      </c>
      <c r="F167" s="15">
        <f>IF(OR(F166="",F154=""),"",IF(F154&lt;=0,"",IFERROR(F166/F154,"")))</f>
        <v/>
      </c>
      <c r="J167" s="15">
        <f>IF(OR(J166="",J154=""),"",IF(J154&lt;=0,"",IFERROR(J166/J154,"")))</f>
        <v/>
      </c>
      <c r="N167" s="15">
        <f>IF(OR(N166="",N154=""),"",IF(N154&lt;=0,"",IFERROR(N166/N154,"")))</f>
        <v/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J168" s="15">
        <f>IF(OR(J166="",F166=""),"",IF(F166&lt;=0,"",IFERROR(J166/F166-1,"")))</f>
        <v/>
      </c>
      <c r="N168" s="15">
        <f>IF(OR(N166="",J166=""),"",IF(J166&lt;=0,"",IFERROR(N166/J166-1,"")))</f>
        <v/>
      </c>
    </row>
    <row r="169">
      <c r="A169" s="18" t="inlineStr">
        <is>
          <t>부문 · 부문 이익(손실)</t>
        </is>
      </c>
      <c r="C169" s="20" t="n">
        <v>-288.887</v>
      </c>
      <c r="F169" s="20" t="n">
        <v>-322.049</v>
      </c>
      <c r="G169" s="20" t="n">
        <v>-250.002</v>
      </c>
      <c r="J169" s="20" t="n">
        <v>-204.661</v>
      </c>
      <c r="K169" s="20" t="n">
        <v>-255.289</v>
      </c>
      <c r="N169" s="20" t="n">
        <v>-270.908</v>
      </c>
    </row>
    <row r="170">
      <c r="A170" s="43" t="inlineStr">
        <is>
          <t>OPM</t>
        </is>
      </c>
      <c r="B170" s="3" t="inlineStr">
        <is>
          <t>영업이익 ÷ 매출</t>
        </is>
      </c>
      <c r="C170" s="15">
        <f>IF(OR(C169="",C156=""),"",IF(C156&lt;=0,"",IFERROR(C169/C156,"")))</f>
        <v/>
      </c>
      <c r="F170" s="15">
        <f>IF(OR(F169="",F156=""),"",IF(F156&lt;=0,"",IFERROR(F169/F156,"")))</f>
        <v/>
      </c>
      <c r="G170" s="15">
        <f>IF(OR(G169="",G156=""),"",IF(G156&lt;=0,"",IFERROR(G169/G156,"")))</f>
        <v/>
      </c>
      <c r="J170" s="15">
        <f>IF(OR(J169="",J156=""),"",IF(J156&lt;=0,"",IFERROR(J169/J156,"")))</f>
        <v/>
      </c>
      <c r="K170" s="15">
        <f>IF(OR(K169="",K156=""),"",IF(K156&lt;=0,"",IFERROR(K169/K156,"")))</f>
        <v/>
      </c>
      <c r="N170" s="15">
        <f>IF(OR(N169="",N156=""),"",IF(N156&lt;=0,"",IFERROR(N169/N156,"")))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IF(OR(G169="",C169=""),"",IF(C169&lt;=0,"",IFERROR(G169/C169-1,"")))</f>
        <v/>
      </c>
      <c r="J171" s="15">
        <f>IF(OR(J169="",F169=""),"",IF(F169&lt;=0,"",IFERROR(J169/F169-1,"")))</f>
        <v/>
      </c>
      <c r="K171" s="15">
        <f>IF(OR(K169="",G169=""),"",IF(G169&lt;=0,"",IFERROR(K169/G169-1,"")))</f>
        <v/>
      </c>
      <c r="N171" s="15">
        <f>IF(OR(N169="",J169=""),"",IF(J169&lt;=0,"",IFERROR(N169/J169-1,"")))</f>
        <v/>
      </c>
    </row>
    <row r="172">
      <c r="A172" s="18" t="inlineStr">
        <is>
          <t>보고부문 합계 · 부문 이익(손실)</t>
        </is>
      </c>
      <c r="C172" s="20" t="n">
        <v>463.793</v>
      </c>
      <c r="D172" s="20" t="n">
        <v>317.119</v>
      </c>
      <c r="E172" s="20" t="n">
        <v>113.639</v>
      </c>
      <c r="F172" s="20" t="n">
        <v>-67.786</v>
      </c>
      <c r="G172" s="20" t="n">
        <v>-247.387</v>
      </c>
      <c r="H172" s="20" t="n">
        <v>288.181</v>
      </c>
      <c r="I172" s="20" t="n">
        <v>139</v>
      </c>
      <c r="J172" s="20" t="n">
        <v>-81.723</v>
      </c>
      <c r="K172" s="20" t="n">
        <v>-493.116</v>
      </c>
      <c r="L172" s="20" t="n">
        <v>671.723</v>
      </c>
      <c r="M172" s="20" t="n">
        <v>311.833</v>
      </c>
      <c r="N172" s="20" t="n">
        <v>522.862</v>
      </c>
      <c r="V172" s="20" t="n">
        <v>113.639</v>
      </c>
      <c r="W172" s="20" t="n">
        <v>139</v>
      </c>
      <c r="X172" s="20" t="n">
        <v>311.833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IF(OR(C172="",C158=""),"",IF(C158&lt;=0,"",IFERROR(C172/C158,"")))</f>
        <v/>
      </c>
      <c r="D173" s="15">
        <f>IF(OR(D172="",D158=""),"",IF(D158&lt;=0,"",IFERROR(D172/D158,"")))</f>
        <v/>
      </c>
      <c r="E173" s="15">
        <f>IF(OR(E172="",E158=""),"",IF(E158&lt;=0,"",IFERROR(E172/E158,"")))</f>
        <v/>
      </c>
      <c r="F173" s="15">
        <f>IF(OR(F172="",F158=""),"",IF(F158&lt;=0,"",IFERROR(F172/F158,"")))</f>
        <v/>
      </c>
      <c r="G173" s="15">
        <f>IF(OR(G172="",G158=""),"",IF(G158&lt;=0,"",IFERROR(G172/G158,"")))</f>
        <v/>
      </c>
      <c r="H173" s="15">
        <f>IF(OR(H172="",H158=""),"",IF(H158&lt;=0,"",IFERROR(H172/H158,"")))</f>
        <v/>
      </c>
      <c r="I173" s="15">
        <f>IF(OR(I172="",I158=""),"",IF(I158&lt;=0,"",IFERROR(I172/I158,"")))</f>
        <v/>
      </c>
      <c r="J173" s="15">
        <f>IF(OR(J172="",J158=""),"",IF(J158&lt;=0,"",IFERROR(J172/J158,"")))</f>
        <v/>
      </c>
      <c r="K173" s="15">
        <f>IF(OR(K172="",K158=""),"",IF(K158&lt;=0,"",IFERROR(K172/K158,"")))</f>
        <v/>
      </c>
      <c r="L173" s="15">
        <f>IF(OR(L172="",L158=""),"",IF(L158&lt;=0,"",IFERROR(L172/L158,"")))</f>
        <v/>
      </c>
      <c r="M173" s="15">
        <f>IF(OR(M172="",M158=""),"",IF(M158&lt;=0,"",IFERROR(M172/M158,"")))</f>
        <v/>
      </c>
      <c r="N173" s="15">
        <f>IF(OR(N172="",N158=""),"",IF(N158&lt;=0,"",IFERROR(N172/N158,"")))</f>
        <v/>
      </c>
      <c r="V173" s="15">
        <f>IF(OR(V172="",V158=""),"",IF(V158&lt;=0,"",IFERROR(V172/V158,"")))</f>
        <v/>
      </c>
      <c r="W173" s="15">
        <f>IF(OR(W172="",W158=""),"",IF(W158&lt;=0,"",IFERROR(W172/W158,"")))</f>
        <v/>
      </c>
      <c r="X173" s="15">
        <f>IF(OR(X172="",X158=""),"",IF(X158&lt;=0,"",IFERROR(X172/X158,"")))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H174" s="15">
        <f>IF(OR(H172="",D172=""),"",IF(D172&lt;=0,"",IFERROR(H172/D172-1,"")))</f>
        <v/>
      </c>
      <c r="I174" s="15">
        <f>IF(OR(I172="",E172=""),"",IF(E172&lt;=0,"",IFERROR(I172/E172-1,"")))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L174" s="15">
        <f>IF(OR(L172="",H172=""),"",IF(H172&lt;=0,"",IFERROR(L172/H172-1,"")))</f>
        <v/>
      </c>
      <c r="M174" s="15">
        <f>IF(OR(M172="",I172=""),"",IF(I172&lt;=0,"",IFERROR(M172/I172-1,"")))</f>
        <v/>
      </c>
      <c r="N174" s="15">
        <f>IF(OR(N172="",J172=""),"",IF(J172&lt;=0,"",IFERROR(N172/J172-1,"")))</f>
        <v/>
      </c>
      <c r="V174" s="15">
        <f>IF(OR(V172="",U172=""),"",IF(U172&lt;=0,"",IFERROR(V172/U172-1,"")))</f>
        <v/>
      </c>
      <c r="W174" s="15">
        <f>IF(OR(W172="",V172=""),"",IF(V172&lt;=0,"",IFERROR(W172/V172-1,"")))</f>
        <v/>
      </c>
      <c r="X174" s="15">
        <f>IF(OR(X172="",W172=""),"",IF(W172&lt;=0,"",IFERROR(X172/W172-1,"")))</f>
        <v/>
      </c>
    </row>
    <row r="175">
      <c r="A175" s="18" t="inlineStr">
        <is>
          <t>조정액 · 부문 이익(손실)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9" t="inlineStr">
        <is>
          <t>부문 이익(손실)</t>
        </is>
      </c>
      <c r="C176" s="12" t="n">
        <v>463.793</v>
      </c>
      <c r="D176" s="12" t="n">
        <v>317.119</v>
      </c>
      <c r="E176" s="12" t="n">
        <v>113.639</v>
      </c>
      <c r="F176" s="12" t="n">
        <v>-67.786</v>
      </c>
      <c r="G176" s="12" t="n">
        <v>-247.387</v>
      </c>
      <c r="H176" s="12" t="n">
        <v>288.181</v>
      </c>
      <c r="I176" s="12" t="n">
        <v>139</v>
      </c>
      <c r="J176" s="12" t="n">
        <v>-81.723</v>
      </c>
      <c r="K176" s="12" t="n">
        <v>-493.116</v>
      </c>
      <c r="L176" s="12" t="n">
        <v>671.723</v>
      </c>
      <c r="M176" s="12" t="n">
        <v>311.833</v>
      </c>
      <c r="N176" s="12" t="n">
        <v>522.862</v>
      </c>
      <c r="V176" s="12" t="n">
        <v>113.639</v>
      </c>
      <c r="W176" s="12" t="n">
        <v>139</v>
      </c>
      <c r="X176" s="12" t="n">
        <v>311.833</v>
      </c>
    </row>
    <row r="177">
      <c r="A177" s="43" t="inlineStr">
        <is>
          <t>OPM</t>
        </is>
      </c>
      <c r="B177" s="3" t="inlineStr">
        <is>
          <t>영업이익 ÷ 매출</t>
        </is>
      </c>
      <c r="C177" s="15">
        <f>IF(OR(C176="",C144=""),"",IF(C144&lt;=0,"",IFERROR(C176/C144,"")))</f>
        <v/>
      </c>
      <c r="D177" s="15">
        <f>IF(OR(D176="",D144=""),"",IF(D144&lt;=0,"",IFERROR(D176/D144,"")))</f>
        <v/>
      </c>
      <c r="E177" s="15">
        <f>IF(OR(E176="",E144=""),"",IF(E144&lt;=0,"",IFERROR(E176/E144,"")))</f>
        <v/>
      </c>
      <c r="F177" s="15">
        <f>IF(OR(F176="",F144=""),"",IF(F144&lt;=0,"",IFERROR(F176/F144,"")))</f>
        <v/>
      </c>
      <c r="G177" s="15">
        <f>IF(OR(G176="",G144=""),"",IF(G144&lt;=0,"",IFERROR(G176/G144,"")))</f>
        <v/>
      </c>
      <c r="H177" s="15">
        <f>IF(OR(H176="",H144=""),"",IF(H144&lt;=0,"",IFERROR(H176/H144,"")))</f>
        <v/>
      </c>
      <c r="I177" s="15">
        <f>IF(OR(I176="",I144=""),"",IF(I144&lt;=0,"",IFERROR(I176/I144,"")))</f>
        <v/>
      </c>
      <c r="J177" s="15">
        <f>IF(OR(J176="",J144=""),"",IF(J144&lt;=0,"",IFERROR(J176/J144,"")))</f>
        <v/>
      </c>
      <c r="K177" s="15">
        <f>IF(OR(K176="",K144=""),"",IF(K144&lt;=0,"",IFERROR(K176/K144,"")))</f>
        <v/>
      </c>
      <c r="L177" s="15">
        <f>IF(OR(L176="",L144=""),"",IF(L144&lt;=0,"",IFERROR(L176/L144,"")))</f>
        <v/>
      </c>
      <c r="M177" s="15">
        <f>IF(OR(M176="",M144=""),"",IF(M144&lt;=0,"",IFERROR(M176/M144,"")))</f>
        <v/>
      </c>
      <c r="N177" s="15">
        <f>IF(OR(N176="",N144=""),"",IF(N144&lt;=0,"",IFERROR(N176/N144,"")))</f>
        <v/>
      </c>
      <c r="V177" s="15">
        <f>IF(OR(V176="",V144=""),"",IF(V144&lt;=0,"",IFERROR(V176/V144,"")))</f>
        <v/>
      </c>
      <c r="W177" s="15">
        <f>IF(OR(W176="",W144=""),"",IF(W144&lt;=0,"",IFERROR(W176/W144,"")))</f>
        <v/>
      </c>
      <c r="X177" s="15">
        <f>IF(OR(X176="",X144=""),"",IF(X144&lt;=0,"",IFERROR(X176/X144,"")))</f>
        <v/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IF(OR(G176="",C176=""),"",IF(C176&lt;=0,"",IFERROR(G176/C176-1,"")))</f>
        <v/>
      </c>
      <c r="H178" s="15">
        <f>IF(OR(H176="",D176=""),"",IF(D176&lt;=0,"",IFERROR(H176/D176-1,"")))</f>
        <v/>
      </c>
      <c r="I178" s="15">
        <f>IF(OR(I176="",E176=""),"",IF(E176&lt;=0,"",IFERROR(I176/E176-1,"")))</f>
        <v/>
      </c>
      <c r="J178" s="15">
        <f>IF(OR(J176="",F176=""),"",IF(F176&lt;=0,"",IFERROR(J176/F176-1,"")))</f>
        <v/>
      </c>
      <c r="K178" s="15">
        <f>IF(OR(K176="",G176=""),"",IF(G176&lt;=0,"",IFERROR(K176/G176-1,"")))</f>
        <v/>
      </c>
      <c r="L178" s="15">
        <f>IF(OR(L176="",H176=""),"",IF(H176&lt;=0,"",IFERROR(L176/H176-1,"")))</f>
        <v/>
      </c>
      <c r="M178" s="15">
        <f>IF(OR(M176="",I176=""),"",IF(I176&lt;=0,"",IFERROR(M176/I176-1,"")))</f>
        <v/>
      </c>
      <c r="N178" s="15">
        <f>IF(OR(N176="",J176=""),"",IF(J176&lt;=0,"",IFERROR(N176/J176-1,"")))</f>
        <v/>
      </c>
      <c r="V178" s="15">
        <f>IF(OR(V176="",U176=""),"",IF(U176&lt;=0,"",IFERROR(V176/U176-1,"")))</f>
        <v/>
      </c>
      <c r="W178" s="15">
        <f>IF(OR(W176="",V176=""),"",IF(V176&lt;=0,"",IFERROR(W176/V176-1,"")))</f>
        <v/>
      </c>
      <c r="X178" s="15">
        <f>IF(OR(X176="",W176=""),"",IF(W176&lt;=0,"",IFERROR(X176/W176-1,"")))</f>
        <v/>
      </c>
    </row>
    <row r="179">
      <c r="A179" s="18" t="inlineStr">
        <is>
          <t>부문 · 외부 고객 매출</t>
        </is>
      </c>
      <c r="D179" s="20" t="n">
        <v>2328.336</v>
      </c>
      <c r="E179" s="20" t="n">
        <v>2048.933</v>
      </c>
      <c r="H179" s="20" t="n">
        <v>3879.604</v>
      </c>
      <c r="I179" s="20" t="n">
        <v>4244.639</v>
      </c>
      <c r="L179" s="20" t="n">
        <v>4875.264</v>
      </c>
      <c r="M179" s="20" t="n">
        <v>3981.191</v>
      </c>
      <c r="V179" s="20" t="n">
        <v>2048.933</v>
      </c>
      <c r="W179" s="20" t="n">
        <v>4244.639</v>
      </c>
      <c r="X179" s="20" t="n">
        <v>3981.191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2">
      <c r="A182" s="16" t="inlineStr">
        <is>
          <t>현금흐름표 · 전 항목</t>
        </is>
      </c>
      <c r="B182" s="42" t="inlineStr">
        <is>
          <t>분기 = 결산기 첫날부터 누계(공시 그대로)</t>
        </is>
      </c>
      <c r="C182" s="16" t="n"/>
      <c r="D182" s="16" t="n"/>
      <c r="E182" s="16" t="n"/>
      <c r="F182" s="16" t="n"/>
      <c r="G182" s="16" t="n"/>
      <c r="H182" s="16" t="n"/>
      <c r="I182" s="16" t="n"/>
      <c r="J182" s="16" t="n"/>
      <c r="K182" s="16" t="n"/>
      <c r="L182" s="16" t="n"/>
      <c r="M182" s="16" t="n"/>
      <c r="N182" s="16" t="n"/>
      <c r="O182" s="16" t="n"/>
      <c r="P182" s="16" t="n"/>
      <c r="Q182" s="16" t="n"/>
      <c r="R182" s="16" t="n"/>
      <c r="S182" s="16" t="n"/>
      <c r="T182" s="16" t="n"/>
      <c r="U182" s="16" t="n"/>
      <c r="V182" s="16" t="n"/>
      <c r="W182" s="16" t="n"/>
      <c r="X182" s="16" t="n"/>
      <c r="Y182" s="16" t="n"/>
      <c r="Z182" s="16" t="n"/>
      <c r="AA182" s="16" t="n"/>
      <c r="AB182" s="16" t="n"/>
      <c r="AC182" s="16" t="n"/>
    </row>
    <row r="183">
      <c r="A183" s="5" t="inlineStr">
        <is>
          <t>항목</t>
        </is>
      </c>
      <c r="B183" s="5" t="inlineStr">
        <is>
          <t>참고</t>
        </is>
      </c>
      <c r="C183" s="5" t="inlineStr">
        <is>
          <t>2024.2Q</t>
        </is>
      </c>
      <c r="D183" s="5" t="inlineStr">
        <is>
          <t>2024.3Q</t>
        </is>
      </c>
      <c r="E183" s="5" t="inlineStr">
        <is>
          <t>2024.4Q</t>
        </is>
      </c>
      <c r="F183" s="5" t="inlineStr">
        <is>
          <t>2025.1Q</t>
        </is>
      </c>
      <c r="G183" s="5" t="inlineStr">
        <is>
          <t>2025.2Q</t>
        </is>
      </c>
      <c r="H183" s="5" t="inlineStr">
        <is>
          <t>2025.3Q</t>
        </is>
      </c>
      <c r="I183" s="5" t="inlineStr">
        <is>
          <t>2025.4Q</t>
        </is>
      </c>
      <c r="J183" s="5" t="inlineStr">
        <is>
          <t>2026.1Q</t>
        </is>
      </c>
      <c r="K183" s="5" t="inlineStr">
        <is>
          <t>2026.2Q</t>
        </is>
      </c>
      <c r="L183" s="5" t="inlineStr">
        <is>
          <t>2026.3Q</t>
        </is>
      </c>
      <c r="M183" s="5" t="inlineStr">
        <is>
          <t>2026.4Q</t>
        </is>
      </c>
      <c r="N183" s="5" t="inlineStr">
        <is>
          <t>2027.1Q</t>
        </is>
      </c>
      <c r="O183" s="5" t="inlineStr">
        <is>
          <t>2017</t>
        </is>
      </c>
      <c r="P183" s="5" t="inlineStr">
        <is>
          <t>2018</t>
        </is>
      </c>
      <c r="Q183" s="5" t="inlineStr">
        <is>
          <t>2019</t>
        </is>
      </c>
      <c r="R183" s="5" t="inlineStr">
        <is>
          <t>2020</t>
        </is>
      </c>
      <c r="S183" s="5" t="inlineStr">
        <is>
          <t>2021</t>
        </is>
      </c>
      <c r="T183" s="5" t="inlineStr">
        <is>
          <t>2022</t>
        </is>
      </c>
      <c r="U183" s="5" t="inlineStr">
        <is>
          <t>2023</t>
        </is>
      </c>
      <c r="V183" s="5" t="inlineStr">
        <is>
          <t>2024</t>
        </is>
      </c>
      <c r="W183" s="5" t="inlineStr">
        <is>
          <t>2025</t>
        </is>
      </c>
      <c r="X183" s="5" t="inlineStr">
        <is>
          <t>2026</t>
        </is>
      </c>
      <c r="Y183" s="5" t="inlineStr">
        <is>
          <t>2027(MW)</t>
        </is>
      </c>
      <c r="Z183" s="5" t="inlineStr">
        <is>
          <t>2028(MW)</t>
        </is>
      </c>
      <c r="AA183" s="5" t="inlineStr">
        <is>
          <t>2029(MW)</t>
        </is>
      </c>
      <c r="AB183" s="5" t="inlineStr">
        <is>
          <t>2030(MW)</t>
        </is>
      </c>
      <c r="AC183" s="5" t="inlineStr">
        <is>
          <t>2031(MW)</t>
        </is>
      </c>
    </row>
    <row r="184">
      <c r="A184" s="9" t="inlineStr">
        <is>
          <t>법인세차감전 순이익</t>
        </is>
      </c>
      <c r="C184" s="12" t="n">
        <v>-155.601</v>
      </c>
      <c r="E184" s="12" t="n">
        <v>46.936</v>
      </c>
      <c r="G184" s="12" t="n">
        <v>-956.172</v>
      </c>
      <c r="I184" s="12" t="n">
        <v>-1118.5</v>
      </c>
      <c r="K184" s="12" t="n">
        <v>-2180.327</v>
      </c>
      <c r="M184" s="12" t="n">
        <v>852.567</v>
      </c>
      <c r="O184" s="12" t="n">
        <v>1084.391</v>
      </c>
      <c r="P184" s="12" t="n">
        <v>-141.118</v>
      </c>
      <c r="Q184" s="12" t="n">
        <v>-1671.334</v>
      </c>
      <c r="R184" s="12" t="n">
        <v>718.677</v>
      </c>
      <c r="S184" s="12" t="n">
        <v>2019.231</v>
      </c>
      <c r="T184" s="12" t="n">
        <v>1164.568</v>
      </c>
      <c r="U184" s="12" t="n">
        <v>1806.259</v>
      </c>
      <c r="V184" s="12" t="n">
        <v>46.936</v>
      </c>
      <c r="W184" s="12" t="n">
        <v>-1118.5</v>
      </c>
      <c r="X184" s="12" t="n">
        <v>852.567</v>
      </c>
    </row>
    <row r="185">
      <c r="A185" s="18" t="inlineStr">
        <is>
          <t>감가상각비</t>
        </is>
      </c>
      <c r="C185" s="20" t="n">
        <v>110.441</v>
      </c>
      <c r="E185" s="20" t="n">
        <v>144.83</v>
      </c>
      <c r="G185" s="20" t="n">
        <v>143.738</v>
      </c>
      <c r="I185" s="20" t="n">
        <v>526.454</v>
      </c>
      <c r="K185" s="20" t="n">
        <v>678.211</v>
      </c>
      <c r="M185" s="20" t="n">
        <v>1167.93</v>
      </c>
      <c r="O185" s="20" t="n">
        <v>213.772</v>
      </c>
      <c r="P185" s="20" t="n">
        <v>298.798</v>
      </c>
      <c r="Q185" s="20" t="n">
        <v>461.834</v>
      </c>
      <c r="R185" s="20" t="n">
        <v>382.147</v>
      </c>
      <c r="S185" s="20" t="n">
        <v>626.679</v>
      </c>
      <c r="T185" s="20" t="n">
        <v>536.543</v>
      </c>
      <c r="U185" s="20" t="n">
        <v>269.275</v>
      </c>
      <c r="V185" s="20" t="n">
        <v>144.83</v>
      </c>
      <c r="W185" s="20" t="n">
        <v>526.454</v>
      </c>
      <c r="X185" s="20" t="n">
        <v>1167.93</v>
      </c>
    </row>
    <row r="186">
      <c r="A186" s="18" t="inlineStr">
        <is>
          <t>손해배상금</t>
        </is>
      </c>
      <c r="O186" s="20" t="n">
        <v>0</v>
      </c>
      <c r="P186" s="20" t="n">
        <v>112</v>
      </c>
      <c r="Q186" s="20" t="n">
        <v>0</v>
      </c>
    </row>
    <row r="187">
      <c r="A187" s="18" t="inlineStr">
        <is>
          <t>임대차계약 해약손실</t>
        </is>
      </c>
      <c r="Q187" s="20" t="n">
        <v>0</v>
      </c>
      <c r="R187" s="20" t="n">
        <v>30.199</v>
      </c>
      <c r="S187" s="20" t="n">
        <v>0</v>
      </c>
    </row>
    <row r="188">
      <c r="A188" s="18" t="inlineStr">
        <is>
          <t>신주예약권 환입이익</t>
        </is>
      </c>
      <c r="P188" s="20" t="n">
        <v>0</v>
      </c>
      <c r="Q188" s="20" t="n">
        <v>-128.814</v>
      </c>
      <c r="R188" s="20" t="n">
        <v>0</v>
      </c>
    </row>
    <row r="189">
      <c r="A189" s="18" t="inlineStr">
        <is>
          <t>영업권 상각</t>
        </is>
      </c>
      <c r="R189" s="20" t="n">
        <v>0</v>
      </c>
      <c r="S189" s="20" t="n">
        <v>25.461</v>
      </c>
      <c r="T189" s="20" t="n">
        <v>0</v>
      </c>
    </row>
    <row r="190">
      <c r="A190" s="18" t="inlineStr">
        <is>
          <t>손상차손</t>
        </is>
      </c>
      <c r="C190" s="20" t="n">
        <v>609.1849999999999</v>
      </c>
      <c r="E190" s="20" t="n">
        <v>746.234</v>
      </c>
      <c r="G190" s="20" t="n">
        <v>601.886</v>
      </c>
      <c r="I190" s="20" t="n">
        <v>1121.886</v>
      </c>
      <c r="K190" s="20" t="n">
        <v>1563.462</v>
      </c>
      <c r="M190" s="20" t="n">
        <v>2051.858</v>
      </c>
      <c r="P190" s="20" t="n">
        <v>0</v>
      </c>
      <c r="Q190" s="20" t="n">
        <v>349.763</v>
      </c>
      <c r="R190" s="20" t="n">
        <v>565.0170000000001</v>
      </c>
      <c r="S190" s="20" t="n">
        <v>0</v>
      </c>
      <c r="T190" s="20" t="n">
        <v>285.108</v>
      </c>
      <c r="U190" s="20" t="n">
        <v>386.259</v>
      </c>
      <c r="V190" s="20" t="n">
        <v>746.234</v>
      </c>
      <c r="W190" s="20" t="n">
        <v>1121.886</v>
      </c>
      <c r="X190" s="20" t="n">
        <v>2051.858</v>
      </c>
    </row>
    <row r="191">
      <c r="A191" s="18" t="inlineStr">
        <is>
          <t>이자·배당금 수익</t>
        </is>
      </c>
      <c r="O191" s="20" t="n">
        <v>-1.687</v>
      </c>
      <c r="P191" s="20" t="n">
        <v>-1.029</v>
      </c>
      <c r="Q191" s="20" t="n">
        <v>-10.067</v>
      </c>
      <c r="R191" s="20" t="n">
        <v>-0.034</v>
      </c>
      <c r="S191" s="20" t="n">
        <v>-8.103</v>
      </c>
    </row>
    <row r="192">
      <c r="A192" s="18" t="inlineStr">
        <is>
          <t>투자사업조합 운용 손익(△는 이익)</t>
        </is>
      </c>
      <c r="O192" s="20" t="n">
        <v>-22.501</v>
      </c>
      <c r="P192" s="20" t="n">
        <v>-2.359</v>
      </c>
    </row>
    <row r="193">
      <c r="A193" s="18" t="inlineStr">
        <is>
          <t>지분법손익</t>
        </is>
      </c>
      <c r="O193" s="20" t="n">
        <v>71.44</v>
      </c>
      <c r="P193" s="20" t="n">
        <v>139.15</v>
      </c>
      <c r="Q193" s="20" t="n">
        <v>713.607</v>
      </c>
      <c r="R193" s="20" t="n">
        <v>-99.798</v>
      </c>
      <c r="S193" s="20" t="n">
        <v>0</v>
      </c>
    </row>
    <row r="194">
      <c r="A194" s="18" t="inlineStr">
        <is>
          <t>주식보상비용</t>
        </is>
      </c>
      <c r="C194" s="20" t="n">
        <v>21.96</v>
      </c>
      <c r="E194" s="20" t="n">
        <v>49.011</v>
      </c>
      <c r="G194" s="20" t="n">
        <v>23.833</v>
      </c>
      <c r="I194" s="20" t="n">
        <v>61.775</v>
      </c>
      <c r="K194" s="20" t="n">
        <v>57.73</v>
      </c>
      <c r="M194" s="20" t="n">
        <v>88.396</v>
      </c>
      <c r="O194" s="20" t="n">
        <v>49.455</v>
      </c>
      <c r="P194" s="20" t="n">
        <v>69.511</v>
      </c>
      <c r="Q194" s="20" t="n">
        <v>10.081</v>
      </c>
      <c r="R194" s="20" t="n">
        <v>11.552</v>
      </c>
      <c r="S194" s="20" t="n">
        <v>41.266</v>
      </c>
      <c r="T194" s="20" t="n">
        <v>41.72</v>
      </c>
      <c r="U194" s="20" t="n">
        <v>40.728</v>
      </c>
      <c r="V194" s="20" t="n">
        <v>49.011</v>
      </c>
      <c r="W194" s="20" t="n">
        <v>61.775</v>
      </c>
      <c r="X194" s="20" t="n">
        <v>88.396</v>
      </c>
    </row>
    <row r="195">
      <c r="A195" s="18" t="inlineStr">
        <is>
          <t>Loss On Business Of Subsidiaries And Affiliates Ope CF</t>
        </is>
      </c>
      <c r="P195" s="20" t="n">
        <v>0</v>
      </c>
      <c r="Q195" s="20" t="n">
        <v>6.141</v>
      </c>
      <c r="R195" s="20" t="n">
        <v>0</v>
      </c>
    </row>
    <row r="196">
      <c r="A196" s="18" t="inlineStr">
        <is>
          <t>이자·배당금 수익</t>
        </is>
      </c>
      <c r="C196" s="20" t="n">
        <v>-3.007</v>
      </c>
      <c r="E196" s="20" t="n">
        <v>-3.031</v>
      </c>
      <c r="G196" s="20" t="n">
        <v>-0.66</v>
      </c>
      <c r="I196" s="20" t="n">
        <v>-3.32</v>
      </c>
      <c r="K196" s="20" t="n">
        <v>-4.362</v>
      </c>
      <c r="M196" s="20" t="n">
        <v>-8.702999999999999</v>
      </c>
      <c r="S196" s="20" t="n">
        <v>-8.103</v>
      </c>
      <c r="T196" s="20" t="n">
        <v>-0.052</v>
      </c>
      <c r="U196" s="20" t="n">
        <v>-3.121</v>
      </c>
      <c r="V196" s="20" t="n">
        <v>-3.031</v>
      </c>
      <c r="W196" s="20" t="n">
        <v>-3.32</v>
      </c>
      <c r="X196" s="20" t="n">
        <v>-8.702999999999999</v>
      </c>
    </row>
    <row r="197">
      <c r="A197" s="18" t="inlineStr">
        <is>
          <t>투자유가증권 평가손익</t>
        </is>
      </c>
      <c r="O197" s="20" t="n">
        <v>8</v>
      </c>
      <c r="P197" s="20" t="n">
        <v>0</v>
      </c>
      <c r="Q197" s="20" t="n">
        <v>94.878</v>
      </c>
      <c r="R197" s="20" t="n">
        <v>0</v>
      </c>
      <c r="S197" s="20" t="n">
        <v>0</v>
      </c>
      <c r="T197" s="20" t="n">
        <v>96.29000000000001</v>
      </c>
      <c r="U197" s="20" t="n">
        <v>0</v>
      </c>
    </row>
    <row r="198">
      <c r="A198" s="18" t="inlineStr">
        <is>
          <t>투자유가증권 매각손익</t>
        </is>
      </c>
      <c r="O198" s="20" t="n">
        <v>-18.766</v>
      </c>
      <c r="P198" s="20" t="n">
        <v>-10</v>
      </c>
      <c r="Q198" s="20" t="n">
        <v>0</v>
      </c>
    </row>
    <row r="199">
      <c r="A199" s="18" t="inlineStr">
        <is>
          <t>지급수수료</t>
        </is>
      </c>
      <c r="C199" s="20" t="n">
        <v>1.379</v>
      </c>
      <c r="E199" s="20" t="n">
        <v>61.97</v>
      </c>
      <c r="I199" s="20" t="n">
        <v>5.969</v>
      </c>
      <c r="M199" s="20" t="n">
        <v>4.174</v>
      </c>
      <c r="O199" s="20" t="n">
        <v>0</v>
      </c>
      <c r="P199" s="20" t="n">
        <v>57.051</v>
      </c>
      <c r="Q199" s="20" t="n">
        <v>9.656000000000001</v>
      </c>
      <c r="R199" s="20" t="n">
        <v>5.553</v>
      </c>
      <c r="S199" s="20" t="n">
        <v>24.155</v>
      </c>
      <c r="T199" s="20" t="n">
        <v>0</v>
      </c>
      <c r="U199" s="20" t="n">
        <v>47.673</v>
      </c>
      <c r="V199" s="20" t="n">
        <v>61.97</v>
      </c>
      <c r="W199" s="20" t="n">
        <v>5.969</v>
      </c>
      <c r="X199" s="20" t="n">
        <v>4.174</v>
      </c>
    </row>
    <row r="200">
      <c r="A200" s="18" t="inlineStr">
        <is>
          <t>이자비용</t>
        </is>
      </c>
      <c r="C200" s="20" t="n">
        <v>20.757</v>
      </c>
      <c r="E200" s="20" t="n">
        <v>44.714</v>
      </c>
      <c r="G200" s="20" t="n">
        <v>38.322</v>
      </c>
      <c r="I200" s="20" t="n">
        <v>77.376</v>
      </c>
      <c r="K200" s="20" t="n">
        <v>39.974</v>
      </c>
      <c r="M200" s="20" t="n">
        <v>75.658</v>
      </c>
      <c r="O200" s="20" t="n">
        <v>14.681</v>
      </c>
      <c r="P200" s="20" t="n">
        <v>27.983</v>
      </c>
      <c r="Q200" s="20" t="n">
        <v>28.846</v>
      </c>
      <c r="R200" s="20" t="n">
        <v>33.923</v>
      </c>
      <c r="S200" s="20" t="n">
        <v>30.295</v>
      </c>
      <c r="T200" s="20" t="n">
        <v>44.747</v>
      </c>
      <c r="U200" s="20" t="n">
        <v>41.437</v>
      </c>
      <c r="V200" s="20" t="n">
        <v>44.714</v>
      </c>
      <c r="W200" s="20" t="n">
        <v>77.376</v>
      </c>
      <c r="X200" s="20" t="n">
        <v>75.658</v>
      </c>
    </row>
    <row r="201">
      <c r="A201" s="18" t="inlineStr">
        <is>
          <t>사채이자</t>
        </is>
      </c>
      <c r="O201" s="20" t="n">
        <v>0.51</v>
      </c>
      <c r="P201" s="20" t="n">
        <v>1.423</v>
      </c>
      <c r="Q201" s="20" t="n">
        <v>2.118</v>
      </c>
      <c r="R201" s="20" t="n">
        <v>1.162</v>
      </c>
      <c r="S201" s="20" t="n">
        <v>0.259</v>
      </c>
      <c r="T201" s="20" t="n">
        <v>0</v>
      </c>
    </row>
    <row r="202">
      <c r="A202" s="18" t="inlineStr">
        <is>
          <t>관계회사 주식 매각손익</t>
        </is>
      </c>
      <c r="I202" s="20" t="n">
        <v>0</v>
      </c>
      <c r="M202" s="20" t="n">
        <v>-2570.414</v>
      </c>
      <c r="O202" s="20" t="n">
        <v>-173.67</v>
      </c>
      <c r="P202" s="20" t="n">
        <v>0</v>
      </c>
      <c r="Q202" s="20" t="n">
        <v>0</v>
      </c>
      <c r="R202" s="20" t="n">
        <v>-692.804</v>
      </c>
      <c r="S202" s="20" t="n">
        <v>0</v>
      </c>
      <c r="W202" s="20" t="n">
        <v>0</v>
      </c>
      <c r="X202" s="20" t="n">
        <v>-2570.414</v>
      </c>
    </row>
    <row r="203">
      <c r="A203" s="18" t="inlineStr">
        <is>
          <t>지분변동손익</t>
        </is>
      </c>
      <c r="O203" s="20" t="n">
        <v>-47.563</v>
      </c>
      <c r="P203" s="20" t="n">
        <v>0</v>
      </c>
    </row>
    <row r="204">
      <c r="A204" s="18" t="inlineStr">
        <is>
          <t>매출채권 증감</t>
        </is>
      </c>
      <c r="C204" s="20" t="n">
        <v>-709.6950000000001</v>
      </c>
      <c r="E204" s="20" t="n">
        <v>-173.265</v>
      </c>
      <c r="G204" s="20" t="n">
        <v>231.006</v>
      </c>
      <c r="I204" s="20" t="n">
        <v>-1348.424</v>
      </c>
      <c r="K204" s="20" t="n">
        <v>939.379</v>
      </c>
      <c r="M204" s="20" t="n">
        <v>732.261</v>
      </c>
      <c r="O204" s="20" t="n">
        <v>-576.877</v>
      </c>
      <c r="P204" s="20" t="n">
        <v>-462.806</v>
      </c>
      <c r="Q204" s="20" t="n">
        <v>423.253</v>
      </c>
      <c r="R204" s="20" t="n">
        <v>-208.438</v>
      </c>
      <c r="S204" s="20" t="n">
        <v>-109.752</v>
      </c>
      <c r="T204" s="20" t="n">
        <v>356.622</v>
      </c>
      <c r="U204" s="20" t="n">
        <v>0.658</v>
      </c>
      <c r="V204" s="20" t="n">
        <v>-173.265</v>
      </c>
      <c r="W204" s="20" t="n">
        <v>-1348.424</v>
      </c>
      <c r="X204" s="20" t="n">
        <v>732.261</v>
      </c>
    </row>
    <row r="205">
      <c r="A205" s="18" t="inlineStr">
        <is>
          <t>재고자산 증감</t>
        </is>
      </c>
      <c r="C205" s="20" t="n">
        <v>-34.309</v>
      </c>
      <c r="E205" s="20" t="n">
        <v>-29.839</v>
      </c>
      <c r="G205" s="20" t="n">
        <v>-28.975</v>
      </c>
      <c r="I205" s="20" t="n">
        <v>-38.694</v>
      </c>
      <c r="K205" s="20" t="n">
        <v>-36.028</v>
      </c>
      <c r="M205" s="20" t="n">
        <v>-49.766</v>
      </c>
      <c r="O205" s="20" t="n">
        <v>-787.371</v>
      </c>
      <c r="P205" s="20" t="n">
        <v>616.652</v>
      </c>
      <c r="Q205" s="20" t="n">
        <v>118.988</v>
      </c>
      <c r="R205" s="20" t="n">
        <v>240.989</v>
      </c>
      <c r="S205" s="20" t="n">
        <v>-7.136</v>
      </c>
      <c r="T205" s="20" t="n">
        <v>-2.809</v>
      </c>
      <c r="U205" s="20" t="n">
        <v>-12.725</v>
      </c>
      <c r="V205" s="20" t="n">
        <v>-29.839</v>
      </c>
      <c r="W205" s="20" t="n">
        <v>-38.694</v>
      </c>
      <c r="X205" s="20" t="n">
        <v>-49.766</v>
      </c>
    </row>
    <row r="206">
      <c r="A206" s="18" t="inlineStr">
        <is>
          <t>미수금 증감</t>
        </is>
      </c>
      <c r="C206" s="20" t="n">
        <v>16.18</v>
      </c>
      <c r="G206" s="20" t="n">
        <v>-7.031</v>
      </c>
      <c r="K206" s="20" t="n">
        <v>-206.131</v>
      </c>
      <c r="O206" s="20" t="n">
        <v>-150.636</v>
      </c>
      <c r="P206" s="20" t="n">
        <v>-255.734</v>
      </c>
      <c r="Q206" s="20" t="n">
        <v>228.332</v>
      </c>
    </row>
    <row r="207">
      <c r="A207" s="18" t="inlineStr">
        <is>
          <t>미수 소비세 증감</t>
        </is>
      </c>
      <c r="C207" s="20" t="n">
        <v>-46.394</v>
      </c>
      <c r="E207" s="20" t="n">
        <v>-170.986</v>
      </c>
      <c r="G207" s="20" t="n">
        <v>178.082</v>
      </c>
      <c r="I207" s="20" t="n">
        <v>178.082</v>
      </c>
      <c r="K207" s="20" t="n">
        <v>0</v>
      </c>
      <c r="M207" s="20" t="n">
        <v>0</v>
      </c>
      <c r="O207" s="20" t="n">
        <v>6.3</v>
      </c>
      <c r="P207" s="20" t="n">
        <v>0</v>
      </c>
      <c r="S207" s="20" t="n">
        <v>0</v>
      </c>
      <c r="T207" s="20" t="n">
        <v>-151.174</v>
      </c>
      <c r="U207" s="20" t="n">
        <v>162.542</v>
      </c>
      <c r="V207" s="20" t="n">
        <v>-170.986</v>
      </c>
      <c r="W207" s="20" t="n">
        <v>178.082</v>
      </c>
      <c r="X207" s="20" t="n">
        <v>0</v>
      </c>
    </row>
    <row r="208">
      <c r="A208" s="18" t="inlineStr">
        <is>
          <t>선급비용 증감</t>
        </is>
      </c>
      <c r="C208" s="20" t="n">
        <v>14.175</v>
      </c>
      <c r="E208" s="20" t="n">
        <v>3.804</v>
      </c>
      <c r="G208" s="20" t="n">
        <v>3.652</v>
      </c>
      <c r="I208" s="20" t="n">
        <v>-306.748</v>
      </c>
      <c r="K208" s="20" t="n">
        <v>214.538</v>
      </c>
      <c r="M208" s="20" t="n">
        <v>337.251</v>
      </c>
      <c r="R208" s="20" t="n">
        <v>-98.64</v>
      </c>
      <c r="S208" s="20" t="n">
        <v>202.024</v>
      </c>
      <c r="T208" s="20" t="n">
        <v>-18.678</v>
      </c>
      <c r="U208" s="20" t="n">
        <v>3.257</v>
      </c>
      <c r="V208" s="20" t="n">
        <v>3.804</v>
      </c>
      <c r="W208" s="20" t="n">
        <v>-306.748</v>
      </c>
      <c r="X208" s="20" t="n">
        <v>337.251</v>
      </c>
    </row>
    <row r="209">
      <c r="A209" s="18" t="inlineStr">
        <is>
          <t>매입채무 증감</t>
        </is>
      </c>
      <c r="C209" s="20" t="n">
        <v>-61.181</v>
      </c>
      <c r="E209" s="20" t="n">
        <v>-120.378</v>
      </c>
      <c r="G209" s="20" t="n">
        <v>-2.393</v>
      </c>
      <c r="I209" s="20" t="n">
        <v>88.27800000000001</v>
      </c>
      <c r="K209" s="20" t="n">
        <v>-30.407</v>
      </c>
      <c r="M209" s="20" t="n">
        <v>-76.72799999999999</v>
      </c>
      <c r="O209" s="20" t="n">
        <v>261.277</v>
      </c>
      <c r="P209" s="20" t="n">
        <v>-12.178</v>
      </c>
      <c r="Q209" s="20" t="n">
        <v>-94.91</v>
      </c>
      <c r="R209" s="20" t="n">
        <v>54.322</v>
      </c>
      <c r="S209" s="20" t="n">
        <v>-61.589</v>
      </c>
      <c r="T209" s="20" t="n">
        <v>-5.678</v>
      </c>
      <c r="U209" s="20" t="n">
        <v>92.113</v>
      </c>
      <c r="V209" s="20" t="n">
        <v>-120.378</v>
      </c>
      <c r="W209" s="20" t="n">
        <v>88.27800000000001</v>
      </c>
      <c r="X209" s="20" t="n">
        <v>-76.72799999999999</v>
      </c>
    </row>
    <row r="210">
      <c r="A210" s="18" t="inlineStr">
        <is>
          <t>미지급금 증감</t>
        </is>
      </c>
      <c r="C210" s="20" t="n">
        <v>56.024</v>
      </c>
      <c r="E210" s="20" t="n">
        <v>49.192</v>
      </c>
      <c r="G210" s="20" t="n">
        <v>-54.954</v>
      </c>
      <c r="I210" s="20" t="n">
        <v>1176.678</v>
      </c>
      <c r="K210" s="20" t="n">
        <v>-67.512</v>
      </c>
      <c r="M210" s="20" t="n">
        <v>-390.122</v>
      </c>
      <c r="O210" s="20" t="n">
        <v>366.824</v>
      </c>
      <c r="P210" s="20" t="n">
        <v>143.408</v>
      </c>
      <c r="Q210" s="20" t="n">
        <v>-243.176</v>
      </c>
      <c r="R210" s="20" t="n">
        <v>-182.392</v>
      </c>
      <c r="S210" s="20" t="n">
        <v>84.377</v>
      </c>
      <c r="T210" s="20" t="n">
        <v>42.453</v>
      </c>
      <c r="U210" s="20" t="n">
        <v>-12.938</v>
      </c>
      <c r="V210" s="20" t="n">
        <v>49.192</v>
      </c>
      <c r="W210" s="20" t="n">
        <v>1176.678</v>
      </c>
      <c r="X210" s="20" t="n">
        <v>-390.122</v>
      </c>
    </row>
    <row r="211">
      <c r="A211" s="18" t="inlineStr">
        <is>
          <t>미지급 소비세 증감</t>
        </is>
      </c>
      <c r="C211" s="20" t="n">
        <v>-56.137</v>
      </c>
      <c r="E211" s="20" t="n">
        <v>-52.935</v>
      </c>
      <c r="G211" s="20" t="n">
        <v>-17.605</v>
      </c>
      <c r="I211" s="20" t="n">
        <v>67.23099999999999</v>
      </c>
      <c r="K211" s="20" t="n">
        <v>-67.28700000000001</v>
      </c>
      <c r="M211" s="20" t="n">
        <v>60.141</v>
      </c>
      <c r="O211" s="20" t="n">
        <v>23.471</v>
      </c>
      <c r="P211" s="20" t="n">
        <v>128.791</v>
      </c>
      <c r="Q211" s="20" t="n">
        <v>-167.871</v>
      </c>
      <c r="R211" s="20" t="n">
        <v>58.883</v>
      </c>
      <c r="S211" s="20" t="n">
        <v>150.506</v>
      </c>
      <c r="T211" s="20" t="n">
        <v>-163.115</v>
      </c>
      <c r="U211" s="20" t="n">
        <v>26.595</v>
      </c>
      <c r="V211" s="20" t="n">
        <v>-52.935</v>
      </c>
      <c r="W211" s="20" t="n">
        <v>67.23099999999999</v>
      </c>
      <c r="X211" s="20" t="n">
        <v>60.141</v>
      </c>
    </row>
    <row r="212">
      <c r="A212" s="18" t="inlineStr">
        <is>
          <t>선수금 증감</t>
        </is>
      </c>
      <c r="C212" s="20" t="n">
        <v>-18.77</v>
      </c>
      <c r="E212" s="20" t="n">
        <v>25.711</v>
      </c>
      <c r="G212" s="20" t="n">
        <v>-44.736</v>
      </c>
      <c r="I212" s="20" t="n">
        <v>-42.519</v>
      </c>
      <c r="K212" s="20" t="n">
        <v>-3.191</v>
      </c>
      <c r="M212" s="20" t="n">
        <v>-1.964</v>
      </c>
      <c r="O212" s="20" t="n">
        <v>484.92</v>
      </c>
      <c r="P212" s="20" t="n">
        <v>-484.866</v>
      </c>
      <c r="Q212" s="20" t="n">
        <v>181.386</v>
      </c>
      <c r="R212" s="20" t="n">
        <v>-169.009</v>
      </c>
      <c r="S212" s="20" t="n">
        <v>136.19</v>
      </c>
      <c r="T212" s="20" t="n">
        <v>-136.19</v>
      </c>
      <c r="U212" s="20" t="n">
        <v>207.569</v>
      </c>
      <c r="V212" s="20" t="n">
        <v>25.711</v>
      </c>
      <c r="W212" s="20" t="n">
        <v>-42.519</v>
      </c>
      <c r="X212" s="20" t="n">
        <v>-1.964</v>
      </c>
    </row>
    <row r="213">
      <c r="A213" s="18" t="inlineStr">
        <is>
          <t>상여충당금 증감</t>
        </is>
      </c>
      <c r="C213" s="20" t="n">
        <v>-61.281</v>
      </c>
      <c r="E213" s="20" t="n">
        <v>-42.6</v>
      </c>
      <c r="G213" s="20" t="n">
        <v>-3.234</v>
      </c>
      <c r="I213" s="20" t="n">
        <v>11.258</v>
      </c>
      <c r="K213" s="20" t="n">
        <v>16.487</v>
      </c>
      <c r="M213" s="20" t="n">
        <v>35.078</v>
      </c>
      <c r="O213" s="20" t="n">
        <v>54.8</v>
      </c>
      <c r="P213" s="20" t="n">
        <v>25.332</v>
      </c>
      <c r="Q213" s="20" t="n">
        <v>6.608</v>
      </c>
      <c r="R213" s="20" t="n">
        <v>18.867</v>
      </c>
      <c r="S213" s="20" t="n">
        <v>103.296</v>
      </c>
      <c r="T213" s="20" t="n">
        <v>0.74</v>
      </c>
      <c r="U213" s="20" t="n">
        <v>0.536</v>
      </c>
      <c r="V213" s="20" t="n">
        <v>-42.6</v>
      </c>
      <c r="W213" s="20" t="n">
        <v>11.258</v>
      </c>
      <c r="X213" s="20" t="n">
        <v>35.078</v>
      </c>
    </row>
    <row r="214">
      <c r="A214" s="18" t="inlineStr">
        <is>
          <t>대손충당금 증감</t>
        </is>
      </c>
      <c r="I214" s="20" t="n">
        <v>0</v>
      </c>
      <c r="M214" s="20" t="n">
        <v>44</v>
      </c>
      <c r="W214" s="20" t="n">
        <v>0</v>
      </c>
      <c r="X214" s="20" t="n">
        <v>44</v>
      </c>
    </row>
    <row r="215">
      <c r="A215" s="18" t="inlineStr">
        <is>
          <t>미지급비용 증감</t>
        </is>
      </c>
      <c r="E215" s="20" t="n">
        <v>-159.349</v>
      </c>
      <c r="I215" s="20" t="n">
        <v>-11.234</v>
      </c>
      <c r="M215" s="20" t="n">
        <v>72.455</v>
      </c>
      <c r="U215" s="20" t="n">
        <v>24.088</v>
      </c>
      <c r="V215" s="20" t="n">
        <v>-159.349</v>
      </c>
      <c r="W215" s="20" t="n">
        <v>-11.234</v>
      </c>
      <c r="X215" s="20" t="n">
        <v>72.455</v>
      </c>
    </row>
    <row r="216">
      <c r="A216" s="18" t="inlineStr">
        <is>
          <t>기타</t>
        </is>
      </c>
      <c r="C216" s="20" t="n">
        <v>-27.113</v>
      </c>
      <c r="E216" s="20" t="n">
        <v>-70.871</v>
      </c>
      <c r="G216" s="20" t="n">
        <v>-24.105</v>
      </c>
      <c r="I216" s="20" t="n">
        <v>102.035</v>
      </c>
      <c r="K216" s="20" t="n">
        <v>-25.323</v>
      </c>
      <c r="M216" s="20" t="n">
        <v>13.76</v>
      </c>
      <c r="O216" s="20" t="n">
        <v>13.385</v>
      </c>
      <c r="P216" s="20" t="n">
        <v>76.15300000000001</v>
      </c>
      <c r="Q216" s="20" t="n">
        <v>139.638</v>
      </c>
      <c r="R216" s="20" t="n">
        <v>-5.698</v>
      </c>
      <c r="S216" s="20" t="n">
        <v>146.124</v>
      </c>
      <c r="T216" s="20" t="n">
        <v>182.111</v>
      </c>
      <c r="U216" s="20" t="n">
        <v>-47.015</v>
      </c>
      <c r="V216" s="20" t="n">
        <v>-70.871</v>
      </c>
      <c r="W216" s="20" t="n">
        <v>102.035</v>
      </c>
      <c r="X216" s="20" t="n">
        <v>13.76</v>
      </c>
    </row>
    <row r="217">
      <c r="A217" s="18" t="inlineStr">
        <is>
          <t>소계</t>
        </is>
      </c>
      <c r="C217" s="20" t="n">
        <v>-324.766</v>
      </c>
      <c r="E217" s="20" t="n">
        <v>349.147</v>
      </c>
      <c r="G217" s="20" t="n">
        <v>80.65300000000001</v>
      </c>
      <c r="I217" s="20" t="n">
        <v>547.586</v>
      </c>
      <c r="K217" s="20" t="n">
        <v>889.21</v>
      </c>
      <c r="M217" s="20" t="n">
        <v>2437.833</v>
      </c>
      <c r="O217" s="20" t="n">
        <v>874.157</v>
      </c>
      <c r="P217" s="20" t="n">
        <v>328.524</v>
      </c>
      <c r="Q217" s="20" t="n">
        <v>230.628</v>
      </c>
      <c r="R217" s="20" t="n">
        <v>664.479</v>
      </c>
      <c r="S217" s="20" t="n">
        <v>3403.286</v>
      </c>
      <c r="T217" s="20" t="n">
        <v>2273.207</v>
      </c>
      <c r="U217" s="20" t="n">
        <v>3033.198</v>
      </c>
      <c r="V217" s="20" t="n">
        <v>349.147</v>
      </c>
      <c r="W217" s="20" t="n">
        <v>547.586</v>
      </c>
      <c r="X217" s="20" t="n">
        <v>2437.833</v>
      </c>
    </row>
    <row r="218">
      <c r="A218" s="18" t="inlineStr">
        <is>
          <t>이자·배당금 수취</t>
        </is>
      </c>
      <c r="C218" s="20" t="n">
        <v>3.264</v>
      </c>
      <c r="G218" s="20" t="n">
        <v>1.055</v>
      </c>
      <c r="K218" s="20" t="n">
        <v>4.575</v>
      </c>
    </row>
    <row r="219">
      <c r="A219" s="18" t="inlineStr">
        <is>
          <t>Receipts Of Dividends And Interest Received Ope CF</t>
        </is>
      </c>
      <c r="E219" s="20" t="n">
        <v>3.979</v>
      </c>
      <c r="I219" s="20" t="n">
        <v>4.098</v>
      </c>
      <c r="M219" s="20" t="n">
        <v>9.236000000000001</v>
      </c>
      <c r="O219" s="20" t="n">
        <v>1.687</v>
      </c>
      <c r="P219" s="20" t="n">
        <v>0.425</v>
      </c>
      <c r="Q219" s="20" t="n">
        <v>24.38</v>
      </c>
      <c r="R219" s="20" t="n">
        <v>1.774</v>
      </c>
      <c r="S219" s="20" t="n">
        <v>9.597</v>
      </c>
      <c r="T219" s="20" t="n">
        <v>0.973</v>
      </c>
      <c r="U219" s="20" t="n">
        <v>5.112</v>
      </c>
      <c r="V219" s="20" t="n">
        <v>3.979</v>
      </c>
      <c r="W219" s="20" t="n">
        <v>4.098</v>
      </c>
      <c r="X219" s="20" t="n">
        <v>9.236000000000001</v>
      </c>
    </row>
    <row r="220">
      <c r="A220" s="18" t="inlineStr">
        <is>
          <t>이자 지급</t>
        </is>
      </c>
      <c r="C220" s="20" t="n">
        <v>-20.801</v>
      </c>
      <c r="E220" s="20" t="n">
        <v>-43.536</v>
      </c>
      <c r="G220" s="20" t="n">
        <v>-39.358</v>
      </c>
      <c r="I220" s="20" t="n">
        <v>-74.776</v>
      </c>
      <c r="K220" s="20" t="n">
        <v>-39.845</v>
      </c>
      <c r="M220" s="20" t="n">
        <v>-75.54600000000001</v>
      </c>
      <c r="O220" s="20" t="n">
        <v>-16.441</v>
      </c>
      <c r="P220" s="20" t="n">
        <v>-25.356</v>
      </c>
      <c r="Q220" s="20" t="n">
        <v>-34.769</v>
      </c>
      <c r="R220" s="20" t="n">
        <v>-33.414</v>
      </c>
      <c r="S220" s="20" t="n">
        <v>-34.594</v>
      </c>
      <c r="T220" s="20" t="n">
        <v>-43.956</v>
      </c>
      <c r="U220" s="20" t="n">
        <v>-37.856</v>
      </c>
      <c r="V220" s="20" t="n">
        <v>-43.536</v>
      </c>
      <c r="W220" s="20" t="n">
        <v>-74.776</v>
      </c>
      <c r="X220" s="20" t="n">
        <v>-75.54600000000001</v>
      </c>
    </row>
    <row r="221">
      <c r="A221" s="18" t="inlineStr">
        <is>
          <t>Compensation For Damage Paid Ope CF</t>
        </is>
      </c>
      <c r="O221" s="20" t="n">
        <v>0</v>
      </c>
      <c r="P221" s="20" t="n">
        <v>-112</v>
      </c>
      <c r="Q221" s="20" t="n">
        <v>0</v>
      </c>
    </row>
    <row r="222">
      <c r="A222" s="18" t="inlineStr">
        <is>
          <t>법인세 납부</t>
        </is>
      </c>
      <c r="C222" s="20" t="n">
        <v>-456.617</v>
      </c>
      <c r="E222" s="20" t="n">
        <v>-782.828</v>
      </c>
      <c r="G222" s="20" t="n">
        <v>-61.147</v>
      </c>
      <c r="I222" s="20" t="n">
        <v>-112.337</v>
      </c>
      <c r="K222" s="20" t="n">
        <v>-99.69799999999999</v>
      </c>
      <c r="M222" s="20" t="n">
        <v>-174.193</v>
      </c>
      <c r="O222" s="20" t="n">
        <v>-13.787</v>
      </c>
      <c r="P222" s="20" t="n">
        <v>-271.027</v>
      </c>
      <c r="Q222" s="20" t="n">
        <v>-141.982</v>
      </c>
      <c r="R222" s="20" t="n">
        <v>-10.731</v>
      </c>
      <c r="S222" s="20" t="n">
        <v>-181.823</v>
      </c>
      <c r="T222" s="20" t="n">
        <v>-635.967</v>
      </c>
      <c r="U222" s="20" t="n">
        <v>-334.675</v>
      </c>
      <c r="V222" s="20" t="n">
        <v>-782.828</v>
      </c>
      <c r="W222" s="20" t="n">
        <v>-112.337</v>
      </c>
      <c r="X222" s="20" t="n">
        <v>-174.193</v>
      </c>
    </row>
    <row r="223">
      <c r="A223" s="18" t="inlineStr">
        <is>
          <t>법인세 환급</t>
        </is>
      </c>
      <c r="C223" s="20" t="n">
        <v>0</v>
      </c>
      <c r="E223" s="20" t="n">
        <v>0</v>
      </c>
      <c r="G223" s="20" t="n">
        <v>269.51</v>
      </c>
      <c r="I223" s="20" t="n">
        <v>269.51</v>
      </c>
      <c r="K223" s="20" t="n">
        <v>0.434</v>
      </c>
      <c r="M223" s="20" t="n">
        <v>0.434</v>
      </c>
      <c r="Q223" s="20" t="n">
        <v>0</v>
      </c>
      <c r="R223" s="20" t="n">
        <v>69.315</v>
      </c>
      <c r="S223" s="20" t="n">
        <v>0</v>
      </c>
      <c r="T223" s="20" t="n">
        <v>8.567</v>
      </c>
      <c r="U223" s="20" t="n">
        <v>0</v>
      </c>
      <c r="V223" s="20" t="n">
        <v>0</v>
      </c>
      <c r="W223" s="20" t="n">
        <v>269.51</v>
      </c>
      <c r="X223" s="20" t="n">
        <v>0.434</v>
      </c>
    </row>
    <row r="224">
      <c r="A224" s="9" t="inlineStr">
        <is>
          <t>영업활동 현금흐름</t>
        </is>
      </c>
      <c r="C224" s="12" t="n">
        <v>-798.921</v>
      </c>
      <c r="E224" s="12" t="n">
        <v>-473.238</v>
      </c>
      <c r="G224" s="12" t="n">
        <v>250.712</v>
      </c>
      <c r="I224" s="12" t="n">
        <v>634.082</v>
      </c>
      <c r="K224" s="12" t="n">
        <v>754.675</v>
      </c>
      <c r="M224" s="12" t="n">
        <v>2197.764</v>
      </c>
      <c r="O224" s="12" t="n">
        <v>845.616</v>
      </c>
      <c r="P224" s="12" t="n">
        <v>-79.43300000000001</v>
      </c>
      <c r="Q224" s="12" t="n">
        <v>78.25700000000001</v>
      </c>
      <c r="R224" s="12" t="n">
        <v>691.423</v>
      </c>
      <c r="S224" s="12" t="n">
        <v>3196.465</v>
      </c>
      <c r="T224" s="12" t="n">
        <v>1602.824</v>
      </c>
      <c r="U224" s="12" t="n">
        <v>2665.778</v>
      </c>
      <c r="V224" s="12" t="n">
        <v>-473.238</v>
      </c>
      <c r="W224" s="12" t="n">
        <v>634.082</v>
      </c>
      <c r="X224" s="12" t="n">
        <v>2197.764</v>
      </c>
    </row>
    <row r="225">
      <c r="A225" s="18" t="inlineStr">
        <is>
          <t>유형자산 취득(설비투자)</t>
        </is>
      </c>
      <c r="C225" s="20" t="n">
        <v>-1.163</v>
      </c>
      <c r="E225" s="20" t="n">
        <v>-2.404</v>
      </c>
      <c r="G225" s="20" t="n">
        <v>-1.028</v>
      </c>
      <c r="I225" s="20" t="n">
        <v>-7.704</v>
      </c>
      <c r="K225" s="20" t="n">
        <v>-6.252</v>
      </c>
      <c r="M225" s="20" t="n">
        <v>-22.436</v>
      </c>
      <c r="O225" s="20" t="n">
        <v>-14.868</v>
      </c>
      <c r="P225" s="20" t="n">
        <v>-32.557</v>
      </c>
      <c r="Q225" s="20" t="n">
        <v>-6.874</v>
      </c>
      <c r="R225" s="20" t="n">
        <v>-18.628</v>
      </c>
      <c r="S225" s="20" t="n">
        <v>-11.742</v>
      </c>
      <c r="T225" s="20" t="n">
        <v>-70.5</v>
      </c>
      <c r="U225" s="20" t="n">
        <v>-21.288</v>
      </c>
      <c r="V225" s="20" t="n">
        <v>-2.404</v>
      </c>
      <c r="W225" s="20" t="n">
        <v>-7.704</v>
      </c>
      <c r="X225" s="20" t="n">
        <v>-22.436</v>
      </c>
    </row>
    <row r="226">
      <c r="A226" s="18" t="inlineStr">
        <is>
          <t>무형자산 취득</t>
        </is>
      </c>
      <c r="C226" s="20" t="n">
        <v>-1007.214</v>
      </c>
      <c r="E226" s="20" t="n">
        <v>-2006.279</v>
      </c>
      <c r="G226" s="20" t="n">
        <v>-987.792</v>
      </c>
      <c r="I226" s="20" t="n">
        <v>-1782.926</v>
      </c>
      <c r="K226" s="20" t="n">
        <v>-319.538</v>
      </c>
      <c r="M226" s="20" t="n">
        <v>-692.735</v>
      </c>
      <c r="O226" s="20" t="n">
        <v>-571.336</v>
      </c>
      <c r="P226" s="20" t="n">
        <v>-737.014</v>
      </c>
      <c r="Q226" s="20" t="n">
        <v>-559.23</v>
      </c>
      <c r="R226" s="20" t="n">
        <v>-505.877</v>
      </c>
      <c r="S226" s="20" t="n">
        <v>-536.254</v>
      </c>
      <c r="T226" s="20" t="n">
        <v>-1704.144</v>
      </c>
      <c r="U226" s="20" t="n">
        <v>-2005.229</v>
      </c>
      <c r="V226" s="20" t="n">
        <v>-2006.279</v>
      </c>
      <c r="W226" s="20" t="n">
        <v>-1782.926</v>
      </c>
      <c r="X226" s="20" t="n">
        <v>-692.735</v>
      </c>
    </row>
    <row r="227">
      <c r="A227" s="18" t="inlineStr">
        <is>
          <t>연결범위 변경 자회사 주식 매각(지출)</t>
        </is>
      </c>
      <c r="P227" s="20" t="n">
        <v>0</v>
      </c>
      <c r="Q227" s="20" t="n">
        <v>-7.625</v>
      </c>
    </row>
    <row r="228">
      <c r="A228" s="18" t="inlineStr">
        <is>
          <t>관계회사 주식 취득</t>
        </is>
      </c>
      <c r="O228" s="20" t="n">
        <v>-50</v>
      </c>
      <c r="P228" s="20" t="n">
        <v>-441</v>
      </c>
      <c r="Q228" s="20" t="n">
        <v>0</v>
      </c>
    </row>
    <row r="229">
      <c r="A229" s="18" t="inlineStr">
        <is>
          <t>투자유가증권 취득</t>
        </is>
      </c>
      <c r="C229" s="20" t="n">
        <v>-10</v>
      </c>
      <c r="E229" s="20" t="n">
        <v>-10</v>
      </c>
      <c r="G229" s="20" t="n">
        <v>0</v>
      </c>
      <c r="I229" s="20" t="n">
        <v>0</v>
      </c>
      <c r="O229" s="20" t="n">
        <v>0</v>
      </c>
      <c r="P229" s="20" t="n">
        <v>-100.094</v>
      </c>
      <c r="Q229" s="20" t="n">
        <v>0</v>
      </c>
      <c r="S229" s="20" t="n">
        <v>0</v>
      </c>
      <c r="T229" s="20" t="n">
        <v>-96.29000000000001</v>
      </c>
      <c r="U229" s="20" t="n">
        <v>-59.92</v>
      </c>
      <c r="V229" s="20" t="n">
        <v>-10</v>
      </c>
      <c r="W229" s="20" t="n">
        <v>0</v>
      </c>
    </row>
    <row r="230">
      <c r="A230" s="18" t="inlineStr">
        <is>
          <t>투자유가증권 매각</t>
        </is>
      </c>
      <c r="O230" s="20" t="n">
        <v>29.026</v>
      </c>
      <c r="P230" s="20" t="n">
        <v>60</v>
      </c>
      <c r="Q230" s="20" t="n">
        <v>0</v>
      </c>
    </row>
    <row r="231">
      <c r="A231" s="18" t="inlineStr">
        <is>
          <t>투자조합 분배 수입</t>
        </is>
      </c>
      <c r="O231" s="20" t="n">
        <v>28.045</v>
      </c>
      <c r="P231" s="20" t="n">
        <v>0</v>
      </c>
    </row>
    <row r="232">
      <c r="A232" s="18" t="inlineStr">
        <is>
          <t>임차보증금 납입</t>
        </is>
      </c>
      <c r="O232" s="20" t="n">
        <v>-33.858</v>
      </c>
      <c r="P232" s="20" t="n">
        <v>-178.912</v>
      </c>
      <c r="Q232" s="20" t="n">
        <v>0</v>
      </c>
    </row>
    <row r="233">
      <c r="A233" s="18" t="inlineStr">
        <is>
          <t>연결범위 변경 자회사 주식 취득</t>
        </is>
      </c>
      <c r="Q233" s="20" t="n">
        <v>0</v>
      </c>
      <c r="R233" s="20" t="n">
        <v>-84</v>
      </c>
      <c r="S233" s="20" t="n">
        <v>-326</v>
      </c>
      <c r="T233" s="20" t="n">
        <v>-129.813</v>
      </c>
      <c r="U233" s="20" t="n">
        <v>0</v>
      </c>
    </row>
    <row r="234">
      <c r="A234" s="18" t="inlineStr">
        <is>
          <t>관계회사 주식 매각</t>
        </is>
      </c>
      <c r="Q234" s="20" t="n">
        <v>0</v>
      </c>
      <c r="R234" s="20" t="n">
        <v>441</v>
      </c>
      <c r="S234" s="20" t="n">
        <v>0</v>
      </c>
    </row>
    <row r="235">
      <c r="A235" s="18" t="inlineStr">
        <is>
          <t>Payments Of Loans Receivable To Subsidiaries And Affiliates Inv CF</t>
        </is>
      </c>
      <c r="O235" s="20" t="n">
        <v>0</v>
      </c>
      <c r="P235" s="20" t="n">
        <v>-490</v>
      </c>
      <c r="Q235" s="20" t="n">
        <v>-539</v>
      </c>
      <c r="R235" s="20" t="n">
        <v>0</v>
      </c>
    </row>
    <row r="236">
      <c r="A236" s="18" t="inlineStr">
        <is>
          <t>Collection Of Loans Receivable From Subsidiaries And Associates Inv CFLine Items</t>
        </is>
      </c>
      <c r="P236" s="20" t="n">
        <v>0</v>
      </c>
      <c r="Q236" s="20" t="n">
        <v>1029</v>
      </c>
    </row>
    <row r="237">
      <c r="A237" s="18" t="inlineStr">
        <is>
          <t>Collection Of Loans Receivable From Subsidiaries And Associates Inv CF</t>
        </is>
      </c>
      <c r="Q237" s="20" t="n">
        <v>1029</v>
      </c>
      <c r="R237" s="20" t="n">
        <v>0</v>
      </c>
    </row>
    <row r="238">
      <c r="A238" s="18" t="inlineStr">
        <is>
          <t>출자금 납입</t>
        </is>
      </c>
      <c r="O238" s="20" t="n">
        <v>0</v>
      </c>
      <c r="P238" s="20" t="n">
        <v>-19.7</v>
      </c>
      <c r="Q238" s="20" t="n">
        <v>-19.8</v>
      </c>
      <c r="R238" s="20" t="n">
        <v>0</v>
      </c>
    </row>
    <row r="239">
      <c r="A239" s="18" t="inlineStr">
        <is>
          <t>임차보증금·보증금 회수</t>
        </is>
      </c>
      <c r="E239" s="20" t="n">
        <v>0</v>
      </c>
      <c r="S239" s="20" t="n">
        <v>0</v>
      </c>
      <c r="T239" s="20" t="n">
        <v>177.31</v>
      </c>
      <c r="U239" s="20" t="n">
        <v>118.734</v>
      </c>
      <c r="V239" s="20" t="n">
        <v>0</v>
      </c>
    </row>
    <row r="240">
      <c r="A240" s="18" t="inlineStr">
        <is>
          <t>임차보증금·보증금 납입</t>
        </is>
      </c>
      <c r="E240" s="20" t="n">
        <v>-0.01</v>
      </c>
      <c r="R240" s="20" t="n">
        <v>0</v>
      </c>
      <c r="S240" s="20" t="n">
        <v>-215.704</v>
      </c>
      <c r="T240" s="20" t="n">
        <v>-4.01</v>
      </c>
      <c r="U240" s="20" t="n">
        <v>-1</v>
      </c>
      <c r="V240" s="20" t="n">
        <v>-0.01</v>
      </c>
    </row>
    <row r="241">
      <c r="A241" s="18" t="inlineStr">
        <is>
          <t>사업양도 수입</t>
        </is>
      </c>
      <c r="S241" s="20" t="n">
        <v>0</v>
      </c>
      <c r="T241" s="20" t="n">
        <v>94.779</v>
      </c>
      <c r="U241" s="20" t="n">
        <v>0</v>
      </c>
    </row>
    <row r="242">
      <c r="A242" s="18" t="inlineStr">
        <is>
          <t>연결범위 변경 자회사 주식 매각</t>
        </is>
      </c>
      <c r="I242" s="20" t="n">
        <v>0</v>
      </c>
      <c r="M242" s="20" t="n">
        <v>2615.549</v>
      </c>
      <c r="O242" s="20" t="n">
        <v>172.39</v>
      </c>
      <c r="P242" s="20" t="n">
        <v>0</v>
      </c>
      <c r="W242" s="20" t="n">
        <v>0</v>
      </c>
      <c r="X242" s="20" t="n">
        <v>2615.549</v>
      </c>
    </row>
    <row r="243">
      <c r="A243" s="18" t="inlineStr">
        <is>
          <t>Proceeds From Development Investment Received Inv CF</t>
        </is>
      </c>
      <c r="C243" s="20" t="n">
        <v>0</v>
      </c>
      <c r="E243" s="20" t="n">
        <v>0</v>
      </c>
      <c r="G243" s="20" t="n">
        <v>380</v>
      </c>
      <c r="I243" s="20" t="n">
        <v>917.1</v>
      </c>
      <c r="K243" s="20" t="n">
        <v>89.999</v>
      </c>
      <c r="M243" s="20" t="n">
        <v>89.999</v>
      </c>
      <c r="V243" s="20" t="n">
        <v>0</v>
      </c>
      <c r="W243" s="20" t="n">
        <v>917.1</v>
      </c>
      <c r="X243" s="20" t="n">
        <v>89.999</v>
      </c>
    </row>
    <row r="244">
      <c r="A244" s="18" t="inlineStr">
        <is>
          <t>기타</t>
        </is>
      </c>
      <c r="C244" s="20" t="n">
        <v>-0.01</v>
      </c>
      <c r="E244" s="20" t="n">
        <v>-30.132</v>
      </c>
      <c r="G244" s="20" t="n">
        <v>0</v>
      </c>
      <c r="I244" s="20" t="n">
        <v>-25.844</v>
      </c>
      <c r="K244" s="20" t="n">
        <v>-122.543</v>
      </c>
      <c r="M244" s="20" t="n">
        <v>-122.643</v>
      </c>
      <c r="O244" s="20" t="n">
        <v>-15</v>
      </c>
      <c r="P244" s="20" t="n">
        <v>-18.927</v>
      </c>
      <c r="Q244" s="20" t="n">
        <v>-27.083</v>
      </c>
      <c r="R244" s="20" t="n">
        <v>66.867</v>
      </c>
      <c r="S244" s="20" t="n">
        <v>-50.469</v>
      </c>
      <c r="T244" s="20" t="n">
        <v>-33.287</v>
      </c>
      <c r="U244" s="20" t="n">
        <v>-48.479</v>
      </c>
      <c r="V244" s="20" t="n">
        <v>-30.132</v>
      </c>
      <c r="W244" s="20" t="n">
        <v>-25.844</v>
      </c>
      <c r="X244" s="20" t="n">
        <v>-122.643</v>
      </c>
    </row>
    <row r="245">
      <c r="A245" s="9" t="inlineStr">
        <is>
          <t>투자활동 현금흐름</t>
        </is>
      </c>
      <c r="C245" s="12" t="n">
        <v>-1018.387</v>
      </c>
      <c r="E245" s="12" t="n">
        <v>-2048.815</v>
      </c>
      <c r="G245" s="12" t="n">
        <v>-608.8200000000001</v>
      </c>
      <c r="I245" s="12" t="n">
        <v>-899.375</v>
      </c>
      <c r="K245" s="12" t="n">
        <v>-358.335</v>
      </c>
      <c r="M245" s="12" t="n">
        <v>1867.732</v>
      </c>
      <c r="O245" s="12" t="n">
        <v>-455.6</v>
      </c>
      <c r="P245" s="12" t="n">
        <v>-1958.207</v>
      </c>
      <c r="Q245" s="12" t="n">
        <v>-122.987</v>
      </c>
      <c r="R245" s="12" t="n">
        <v>-100.638</v>
      </c>
      <c r="S245" s="12" t="n">
        <v>-1140.17</v>
      </c>
      <c r="T245" s="12" t="n">
        <v>-1765.956</v>
      </c>
      <c r="U245" s="12" t="n">
        <v>-2017.183</v>
      </c>
      <c r="V245" s="12" t="n">
        <v>-2048.815</v>
      </c>
      <c r="W245" s="12" t="n">
        <v>-899.375</v>
      </c>
      <c r="X245" s="12" t="n">
        <v>1867.732</v>
      </c>
    </row>
    <row r="246">
      <c r="A246" s="18" t="inlineStr">
        <is>
          <t>단기차입금 순증감</t>
        </is>
      </c>
      <c r="C246" s="20" t="n">
        <v>0</v>
      </c>
      <c r="E246" s="20" t="n">
        <v>0</v>
      </c>
      <c r="O246" s="20" t="n">
        <v>777.5</v>
      </c>
      <c r="P246" s="20" t="n">
        <v>-437.5</v>
      </c>
      <c r="Q246" s="20" t="n">
        <v>-340</v>
      </c>
      <c r="R246" s="20" t="n">
        <v>1080</v>
      </c>
      <c r="S246" s="20" t="n">
        <v>-1080</v>
      </c>
      <c r="T246" s="20" t="n">
        <v>46</v>
      </c>
      <c r="U246" s="20" t="n">
        <v>-46</v>
      </c>
      <c r="V246" s="20" t="n">
        <v>0</v>
      </c>
    </row>
    <row r="247">
      <c r="A247" s="18" t="inlineStr">
        <is>
          <t>장기차입</t>
        </is>
      </c>
      <c r="C247" s="20" t="n">
        <v>400</v>
      </c>
      <c r="E247" s="20" t="n">
        <v>4586</v>
      </c>
      <c r="G247" s="20" t="n">
        <v>0</v>
      </c>
      <c r="I247" s="20" t="n">
        <v>0</v>
      </c>
      <c r="K247" s="20" t="n">
        <v>311</v>
      </c>
      <c r="M247" s="20" t="n">
        <v>311</v>
      </c>
      <c r="O247" s="20" t="n">
        <v>100</v>
      </c>
      <c r="P247" s="20" t="n">
        <v>2978</v>
      </c>
      <c r="Q247" s="20" t="n">
        <v>1088.116</v>
      </c>
      <c r="R247" s="20" t="n">
        <v>0</v>
      </c>
      <c r="S247" s="20" t="n">
        <v>3125.845</v>
      </c>
      <c r="T247" s="20" t="n">
        <v>449</v>
      </c>
      <c r="U247" s="20" t="n">
        <v>2552.958</v>
      </c>
      <c r="V247" s="20" t="n">
        <v>4586</v>
      </c>
      <c r="W247" s="20" t="n">
        <v>0</v>
      </c>
      <c r="X247" s="20" t="n">
        <v>311</v>
      </c>
    </row>
    <row r="248">
      <c r="A248" s="18" t="inlineStr">
        <is>
          <t>장기차입금 상환</t>
        </is>
      </c>
      <c r="C248" s="20" t="n">
        <v>-500.25</v>
      </c>
      <c r="E248" s="20" t="n">
        <v>-2012.35</v>
      </c>
      <c r="G248" s="20" t="n">
        <v>-874.55</v>
      </c>
      <c r="I248" s="20" t="n">
        <v>-1743.85</v>
      </c>
      <c r="K248" s="20" t="n">
        <v>-1059.3</v>
      </c>
      <c r="M248" s="20" t="n">
        <v>-1919.3</v>
      </c>
      <c r="O248" s="20" t="n">
        <v>-359.528</v>
      </c>
      <c r="P248" s="20" t="n">
        <v>-508.605</v>
      </c>
      <c r="Q248" s="20" t="n">
        <v>-879.342</v>
      </c>
      <c r="R248" s="20" t="n">
        <v>-2098.668</v>
      </c>
      <c r="S248" s="20" t="n">
        <v>-1011.663</v>
      </c>
      <c r="T248" s="20" t="n">
        <v>-697</v>
      </c>
      <c r="U248" s="20" t="n">
        <v>-1688.5</v>
      </c>
      <c r="V248" s="20" t="n">
        <v>-2012.35</v>
      </c>
      <c r="W248" s="20" t="n">
        <v>-1743.85</v>
      </c>
      <c r="X248" s="20" t="n">
        <v>-1919.3</v>
      </c>
    </row>
    <row r="249">
      <c r="A249" s="18" t="inlineStr">
        <is>
          <t>사채 발행</t>
        </is>
      </c>
      <c r="O249" s="20" t="n">
        <v>0</v>
      </c>
      <c r="P249" s="20" t="n">
        <v>295.003</v>
      </c>
      <c r="Q249" s="20" t="n">
        <v>0</v>
      </c>
    </row>
    <row r="250">
      <c r="A250" s="18" t="inlineStr">
        <is>
          <t>사채 상환</t>
        </is>
      </c>
      <c r="O250" s="20" t="n">
        <v>-150</v>
      </c>
      <c r="P250" s="20" t="n">
        <v>-51</v>
      </c>
      <c r="Q250" s="20" t="n">
        <v>-102</v>
      </c>
      <c r="R250" s="20" t="n">
        <v>-102</v>
      </c>
      <c r="S250" s="20" t="n">
        <v>-45</v>
      </c>
      <c r="T250" s="20" t="n">
        <v>0</v>
      </c>
    </row>
    <row r="251">
      <c r="A251" s="18" t="inlineStr">
        <is>
          <t>주식 발행</t>
        </is>
      </c>
      <c r="O251" s="20" t="n">
        <v>979.948</v>
      </c>
      <c r="P251" s="20" t="n">
        <v>0</v>
      </c>
    </row>
    <row r="252">
      <c r="A252" s="18" t="inlineStr">
        <is>
          <t>비지배주주 납입</t>
        </is>
      </c>
      <c r="O252" s="20" t="n">
        <v>0</v>
      </c>
      <c r="P252" s="20" t="n">
        <v>31.513</v>
      </c>
      <c r="Q252" s="20" t="n">
        <v>0</v>
      </c>
    </row>
    <row r="253">
      <c r="A253" s="18" t="inlineStr">
        <is>
          <t>자기주식 취득</t>
        </is>
      </c>
      <c r="E253" s="20" t="n">
        <v>0</v>
      </c>
      <c r="S253" s="20" t="n">
        <v>0</v>
      </c>
      <c r="T253" s="20" t="n">
        <v>-149.948</v>
      </c>
      <c r="U253" s="20" t="n">
        <v>-0.024</v>
      </c>
      <c r="V253" s="20" t="n">
        <v>0</v>
      </c>
    </row>
    <row r="254">
      <c r="A254" s="18" t="inlineStr">
        <is>
          <t>배당금 지급</t>
        </is>
      </c>
      <c r="C254" s="20" t="n">
        <v>-144.93</v>
      </c>
      <c r="E254" s="20" t="n">
        <v>-145.077</v>
      </c>
      <c r="G254" s="20" t="n">
        <v>-0.119</v>
      </c>
      <c r="I254" s="20" t="n">
        <v>-0.172</v>
      </c>
      <c r="K254" s="20" t="n">
        <v>-0.014</v>
      </c>
      <c r="M254" s="20" t="n">
        <v>-0.04</v>
      </c>
      <c r="T254" s="20" t="n">
        <v>0</v>
      </c>
      <c r="U254" s="20" t="n">
        <v>-144.781</v>
      </c>
      <c r="V254" s="20" t="n">
        <v>-145.077</v>
      </c>
      <c r="W254" s="20" t="n">
        <v>-0.172</v>
      </c>
      <c r="X254" s="20" t="n">
        <v>-0.04</v>
      </c>
    </row>
    <row r="255">
      <c r="A255" s="18" t="inlineStr">
        <is>
          <t>기타</t>
        </is>
      </c>
      <c r="C255" s="20" t="n">
        <v>-8.573</v>
      </c>
      <c r="E255" s="20" t="n">
        <v>-14.838</v>
      </c>
      <c r="G255" s="20" t="n">
        <v>1.066</v>
      </c>
      <c r="I255" s="20" t="n">
        <v>4.99</v>
      </c>
      <c r="K255" s="20" t="n">
        <v>-3.719</v>
      </c>
      <c r="M255" s="20" t="n">
        <v>-10.637</v>
      </c>
      <c r="O255" s="20" t="n">
        <v>-2.429</v>
      </c>
      <c r="P255" s="20" t="n">
        <v>-19.671</v>
      </c>
      <c r="Q255" s="20" t="n">
        <v>-37.984</v>
      </c>
      <c r="R255" s="20" t="n">
        <v>-67.58</v>
      </c>
      <c r="S255" s="20" t="n">
        <v>-20.291</v>
      </c>
      <c r="T255" s="20" t="n">
        <v>-35.827</v>
      </c>
      <c r="U255" s="20" t="n">
        <v>-14.818</v>
      </c>
      <c r="V255" s="20" t="n">
        <v>-14.838</v>
      </c>
      <c r="W255" s="20" t="n">
        <v>4.99</v>
      </c>
      <c r="X255" s="20" t="n">
        <v>-10.637</v>
      </c>
    </row>
    <row r="256">
      <c r="A256" s="9" t="inlineStr">
        <is>
          <t>재무활동 현금흐름</t>
        </is>
      </c>
      <c r="C256" s="12" t="n">
        <v>-253.754</v>
      </c>
      <c r="E256" s="12" t="n">
        <v>2413.734</v>
      </c>
      <c r="G256" s="12" t="n">
        <v>-873.603</v>
      </c>
      <c r="I256" s="12" t="n">
        <v>-1739.032</v>
      </c>
      <c r="K256" s="12" t="n">
        <v>-752.033</v>
      </c>
      <c r="M256" s="12" t="n">
        <v>-1618.978</v>
      </c>
      <c r="O256" s="12" t="n">
        <v>1345.491</v>
      </c>
      <c r="P256" s="12" t="n">
        <v>2287.74</v>
      </c>
      <c r="Q256" s="12" t="n">
        <v>-271.209</v>
      </c>
      <c r="R256" s="12" t="n">
        <v>-1188.248</v>
      </c>
      <c r="S256" s="12" t="n">
        <v>968.89</v>
      </c>
      <c r="T256" s="12" t="n">
        <v>-387.775</v>
      </c>
      <c r="U256" s="12" t="n">
        <v>658.833</v>
      </c>
      <c r="V256" s="12" t="n">
        <v>2413.734</v>
      </c>
      <c r="W256" s="12" t="n">
        <v>-1739.032</v>
      </c>
      <c r="X256" s="12" t="n">
        <v>-1618.978</v>
      </c>
    </row>
    <row r="257">
      <c r="A257" s="18" t="inlineStr">
        <is>
          <t>현금성자산 환산차이</t>
        </is>
      </c>
      <c r="C257" s="20" t="n">
        <v>-0.003</v>
      </c>
      <c r="E257" s="20" t="n">
        <v>0.708</v>
      </c>
      <c r="G257" s="20" t="n">
        <v>0.218</v>
      </c>
      <c r="I257" s="20" t="n">
        <v>0.213</v>
      </c>
      <c r="K257" s="20" t="n">
        <v>-0.704</v>
      </c>
      <c r="M257" s="20" t="n">
        <v>-0.008999999999999999</v>
      </c>
      <c r="O257" s="20" t="n">
        <v>0.199</v>
      </c>
      <c r="P257" s="20" t="n">
        <v>0.218</v>
      </c>
      <c r="Q257" s="20" t="n">
        <v>-1.413</v>
      </c>
      <c r="R257" s="20" t="n">
        <v>0</v>
      </c>
      <c r="T257" s="20" t="n">
        <v>0</v>
      </c>
      <c r="U257" s="20" t="n">
        <v>0.082</v>
      </c>
      <c r="V257" s="20" t="n">
        <v>0.708</v>
      </c>
      <c r="W257" s="20" t="n">
        <v>0.213</v>
      </c>
      <c r="X257" s="20" t="n">
        <v>-0.008999999999999999</v>
      </c>
    </row>
    <row r="258">
      <c r="A258" s="18" t="inlineStr">
        <is>
          <t>현금성자산 증감</t>
        </is>
      </c>
      <c r="C258" s="20" t="n">
        <v>-2071.066</v>
      </c>
      <c r="E258" s="20" t="n">
        <v>-107.61</v>
      </c>
      <c r="G258" s="20" t="n">
        <v>-1231.493</v>
      </c>
      <c r="I258" s="20" t="n">
        <v>-2004.111</v>
      </c>
      <c r="K258" s="20" t="n">
        <v>-356.397</v>
      </c>
      <c r="M258" s="20" t="n">
        <v>2446.509</v>
      </c>
      <c r="O258" s="20" t="n">
        <v>1735.707</v>
      </c>
      <c r="P258" s="20" t="n">
        <v>250.317</v>
      </c>
      <c r="Q258" s="20" t="n">
        <v>-317.352</v>
      </c>
      <c r="R258" s="20" t="n">
        <v>-597.463</v>
      </c>
      <c r="S258" s="20" t="n">
        <v>3025.185</v>
      </c>
      <c r="T258" s="20" t="n">
        <v>-550.907</v>
      </c>
      <c r="U258" s="20" t="n">
        <v>1307.511</v>
      </c>
      <c r="V258" s="20" t="n">
        <v>-107.61</v>
      </c>
      <c r="W258" s="20" t="n">
        <v>-2004.111</v>
      </c>
      <c r="X258" s="20" t="n">
        <v>2446.509</v>
      </c>
    </row>
    <row r="259">
      <c r="A259" s="18" t="inlineStr">
        <is>
          <t>연결범위 변경에 따른 현금성자산 증감</t>
        </is>
      </c>
      <c r="O259" s="20" t="n">
        <v>-19.409</v>
      </c>
      <c r="P25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3793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7294.019</v>
      </c>
      <c r="D5" s="12" t="n">
        <v>6621.699</v>
      </c>
      <c r="E5" s="12" t="n">
        <v>6315.685</v>
      </c>
      <c r="F5" s="12" t="n">
        <v>9226.718000000001</v>
      </c>
      <c r="G5" s="12" t="n">
        <v>8568.429</v>
      </c>
      <c r="H5" s="11" t="n">
        <v>6766.009</v>
      </c>
      <c r="I5" s="12" t="n">
        <v>7848.394</v>
      </c>
      <c r="J5" s="12" t="n">
        <v>8366.862999999999</v>
      </c>
      <c r="K5" s="12" t="n">
        <v>7842.218</v>
      </c>
      <c r="L5" s="12" t="n">
        <v>9226.718000000001</v>
      </c>
    </row>
    <row r="6">
      <c r="A6" s="18" t="inlineStr">
        <is>
          <t>현금및현금성자산</t>
        </is>
      </c>
      <c r="B6" s="10" t="n"/>
      <c r="C6" s="19" t="n">
        <v>3927.984</v>
      </c>
      <c r="D6" s="20" t="n">
        <v>3572.376</v>
      </c>
      <c r="E6" s="20" t="n">
        <v>2942.795</v>
      </c>
      <c r="F6" s="20" t="n">
        <v>6375.283</v>
      </c>
      <c r="G6" s="20" t="n">
        <v>5453.472</v>
      </c>
      <c r="H6" s="19" t="n">
        <v>4737.225</v>
      </c>
      <c r="I6" s="20" t="n">
        <v>6044.573</v>
      </c>
      <c r="J6" s="20" t="n">
        <v>5937.126</v>
      </c>
      <c r="K6" s="20" t="n">
        <v>3928.774</v>
      </c>
      <c r="L6" s="20" t="n">
        <v>6375.283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2298.179</v>
      </c>
      <c r="D8" s="20" t="n">
        <v>2066.969</v>
      </c>
      <c r="E8" s="20" t="n">
        <v>2544.486</v>
      </c>
      <c r="F8" s="20" t="n">
        <v>2176.89</v>
      </c>
      <c r="G8" s="20" t="n">
        <v>2126.326</v>
      </c>
      <c r="H8" s="19" t="n">
        <v>1485.317</v>
      </c>
      <c r="I8" s="20" t="n">
        <v>1484.658</v>
      </c>
      <c r="J8" s="20" t="n">
        <v>1657.924</v>
      </c>
      <c r="K8" s="20" t="n">
        <v>3006.348</v>
      </c>
      <c r="L8" s="20" t="n">
        <v>2176.89</v>
      </c>
    </row>
    <row r="9">
      <c r="A9" s="18" t="inlineStr">
        <is>
          <t>재고자산</t>
        </is>
      </c>
      <c r="B9" s="10" t="n"/>
      <c r="C9" s="19" t="n">
        <v>108.202</v>
      </c>
      <c r="D9" s="20" t="n">
        <v>127.606</v>
      </c>
      <c r="E9" s="20" t="n">
        <v>148.537</v>
      </c>
      <c r="F9" s="20" t="n">
        <v>106.561</v>
      </c>
      <c r="G9" s="20" t="n">
        <v>117.54</v>
      </c>
      <c r="H9" s="19" t="n">
        <v>10.144</v>
      </c>
      <c r="I9" s="20" t="n">
        <v>22.75</v>
      </c>
      <c r="J9" s="20" t="n">
        <v>52.679</v>
      </c>
      <c r="K9" s="20" t="n">
        <v>91.506</v>
      </c>
      <c r="L9" s="20" t="n">
        <v>106.561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3595.807</v>
      </c>
      <c r="D11" s="12" t="n">
        <v>3369.379</v>
      </c>
      <c r="E11" s="12" t="n">
        <v>3294.922</v>
      </c>
      <c r="F11" s="12" t="n">
        <v>2649.333</v>
      </c>
      <c r="G11" s="12" t="n">
        <v>2499.367</v>
      </c>
      <c r="H11" s="11" t="n">
        <v>2887.461</v>
      </c>
      <c r="I11" s="12" t="n">
        <v>4378.002</v>
      </c>
      <c r="J11" s="12" t="n">
        <v>5781.559</v>
      </c>
      <c r="K11" s="12" t="n">
        <v>5664.018</v>
      </c>
      <c r="L11" s="12" t="n">
        <v>2649.333</v>
      </c>
    </row>
    <row r="12">
      <c r="A12" s="18" t="inlineStr">
        <is>
          <t>유형자산</t>
        </is>
      </c>
      <c r="B12" s="10" t="n"/>
      <c r="C12" s="19" t="n">
        <v>190.899</v>
      </c>
      <c r="D12" s="20" t="n">
        <v>176.209</v>
      </c>
      <c r="E12" s="20" t="n">
        <v>161.377</v>
      </c>
      <c r="F12" s="20" t="n">
        <v>136.428</v>
      </c>
      <c r="G12" s="20" t="n">
        <v>133.001</v>
      </c>
      <c r="H12" s="19" t="n">
        <v>210.891</v>
      </c>
      <c r="I12" s="20" t="n">
        <v>196.683</v>
      </c>
      <c r="J12" s="20" t="n">
        <v>165.068</v>
      </c>
      <c r="K12" s="20" t="n">
        <v>140.948</v>
      </c>
      <c r="L12" s="20" t="n">
        <v>136.428</v>
      </c>
    </row>
    <row r="13">
      <c r="A13" s="18" t="inlineStr">
        <is>
          <t>무형자산</t>
        </is>
      </c>
      <c r="B13" s="10" t="n"/>
      <c r="C13" s="19" t="n">
        <v>2155.626</v>
      </c>
      <c r="D13" s="20" t="n">
        <v>1936.136</v>
      </c>
      <c r="E13" s="20" t="n">
        <v>1860.331</v>
      </c>
      <c r="F13" s="20" t="n">
        <v>1188.143</v>
      </c>
      <c r="G13" s="20" t="n">
        <v>1003.864</v>
      </c>
      <c r="H13" s="19" t="n">
        <v>1890.751</v>
      </c>
      <c r="I13" s="20" t="n">
        <v>3228.519</v>
      </c>
      <c r="J13" s="20" t="n">
        <v>4377.751</v>
      </c>
      <c r="K13" s="20" t="n">
        <v>4288.315</v>
      </c>
      <c r="L13" s="20" t="n">
        <v>1188.143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10889.826</v>
      </c>
      <c r="D16" s="12" t="n">
        <v>9991.079</v>
      </c>
      <c r="E16" s="12" t="n">
        <v>9610.608</v>
      </c>
      <c r="F16" s="12" t="n">
        <v>11876.052</v>
      </c>
      <c r="G16" s="12" t="n">
        <v>11067.796</v>
      </c>
      <c r="H16" s="11" t="n">
        <v>9653.469999999999</v>
      </c>
      <c r="I16" s="12" t="n">
        <v>12226.397</v>
      </c>
      <c r="J16" s="12" t="n">
        <v>14148.422</v>
      </c>
      <c r="K16" s="12" t="n">
        <v>13506.236</v>
      </c>
      <c r="L16" s="12" t="n">
        <v>11876.052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4955.166</v>
      </c>
      <c r="D18" s="12" t="n">
        <v>5218.143</v>
      </c>
      <c r="E18" s="12" t="n">
        <v>4590.251</v>
      </c>
      <c r="F18" s="12" t="n">
        <v>6063.966</v>
      </c>
      <c r="G18" s="12" t="n">
        <v>5169.658</v>
      </c>
      <c r="H18" s="11" t="n">
        <v>2709.917</v>
      </c>
      <c r="I18" s="12" t="n">
        <v>4300.494</v>
      </c>
      <c r="J18" s="12" t="n">
        <v>3548.1</v>
      </c>
      <c r="K18" s="12" t="n">
        <v>5307.477</v>
      </c>
      <c r="L18" s="12" t="n">
        <v>6063.966</v>
      </c>
    </row>
    <row r="19">
      <c r="A19" s="18" t="inlineStr">
        <is>
          <t>매입채무</t>
        </is>
      </c>
      <c r="B19" s="10" t="n"/>
      <c r="C19" s="19" t="n">
        <v>407.715</v>
      </c>
      <c r="D19" s="20" t="n">
        <v>387.47</v>
      </c>
      <c r="E19" s="20" t="n">
        <v>380.022</v>
      </c>
      <c r="F19" s="20" t="n">
        <v>408.429</v>
      </c>
      <c r="G19" s="20" t="n">
        <v>466.139</v>
      </c>
      <c r="H19" s="19" t="n">
        <v>357.864</v>
      </c>
      <c r="I19" s="20" t="n">
        <v>449.977</v>
      </c>
      <c r="J19" s="20" t="n">
        <v>329.599</v>
      </c>
      <c r="K19" s="20" t="n">
        <v>417.877</v>
      </c>
      <c r="L19" s="20" t="n">
        <v>408.429</v>
      </c>
    </row>
    <row r="20">
      <c r="A20" s="18" t="inlineStr">
        <is>
          <t>단기차입금</t>
        </is>
      </c>
      <c r="B20" s="10" t="n"/>
      <c r="C20" s="19" t="n">
        <v>100</v>
      </c>
      <c r="D20" s="20" t="n">
        <v>100</v>
      </c>
      <c r="E20" s="20" t="n">
        <v>100</v>
      </c>
      <c r="F20" s="20" t="n">
        <v>100</v>
      </c>
      <c r="G20" s="20" t="n">
        <v>100</v>
      </c>
      <c r="H20" s="19" t="n">
        <v>146</v>
      </c>
      <c r="I20" s="20" t="n">
        <v>100</v>
      </c>
      <c r="J20" s="20" t="n">
        <v>100</v>
      </c>
      <c r="K20" s="20" t="n">
        <v>100</v>
      </c>
      <c r="L20" s="20" t="n">
        <v>100</v>
      </c>
    </row>
    <row r="21">
      <c r="A21" s="18" t="inlineStr">
        <is>
          <t>유동성장기부채</t>
        </is>
      </c>
      <c r="B21" s="10" t="n"/>
      <c r="C21" s="19" t="n">
        <v>1738.85</v>
      </c>
      <c r="D21" s="20" t="n">
        <v>1870</v>
      </c>
      <c r="E21" s="20" t="n">
        <v>1870.5</v>
      </c>
      <c r="F21" s="20" t="n">
        <v>2497</v>
      </c>
      <c r="G21" s="20" t="n">
        <v>2223.5</v>
      </c>
      <c r="H21" s="19" t="n">
        <v>808</v>
      </c>
      <c r="I21" s="20" t="n">
        <v>1780.75</v>
      </c>
      <c r="J21" s="20" t="n">
        <v>1743.85</v>
      </c>
      <c r="K21" s="20" t="n">
        <v>1738.6</v>
      </c>
      <c r="L21" s="20" t="n">
        <v>2497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2998.165</v>
      </c>
      <c r="D23" s="12" t="n">
        <v>2341.113</v>
      </c>
      <c r="E23" s="12" t="n">
        <v>1902.21</v>
      </c>
      <c r="F23" s="12" t="n">
        <v>768.7809999999999</v>
      </c>
      <c r="G23" s="12" t="n">
        <v>628.721</v>
      </c>
      <c r="H23" s="11" t="n">
        <v>2369.478</v>
      </c>
      <c r="I23" s="12" t="n">
        <v>2294.782</v>
      </c>
      <c r="J23" s="12" t="n">
        <v>4932.198</v>
      </c>
      <c r="K23" s="12" t="n">
        <v>3479.621</v>
      </c>
      <c r="L23" s="12" t="n">
        <v>768.7809999999999</v>
      </c>
    </row>
    <row r="24">
      <c r="A24" s="18" t="inlineStr">
        <is>
          <t>장기차입금</t>
        </is>
      </c>
      <c r="B24" s="10" t="n"/>
      <c r="C24" s="19" t="n">
        <v>2453.8</v>
      </c>
      <c r="D24" s="20" t="n">
        <v>2009</v>
      </c>
      <c r="E24" s="20" t="n">
        <v>1578.5</v>
      </c>
      <c r="F24" s="20" t="n">
        <v>522</v>
      </c>
      <c r="G24" s="20" t="n">
        <v>365.5</v>
      </c>
      <c r="H24" s="19" t="n">
        <v>2014</v>
      </c>
      <c r="I24" s="20" t="n">
        <v>1952.75</v>
      </c>
      <c r="J24" s="20" t="n">
        <v>4627.3</v>
      </c>
      <c r="K24" s="20" t="n">
        <v>2888.7</v>
      </c>
      <c r="L24" s="20" t="n">
        <v>522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7953.331</v>
      </c>
      <c r="D27" s="12" t="n">
        <v>7559.256</v>
      </c>
      <c r="E27" s="12" t="n">
        <v>6492.461</v>
      </c>
      <c r="F27" s="12" t="n">
        <v>6832.748</v>
      </c>
      <c r="G27" s="12" t="n">
        <v>5798.379</v>
      </c>
      <c r="H27" s="11" t="n">
        <v>5079.395</v>
      </c>
      <c r="I27" s="12" t="n">
        <v>6595.277</v>
      </c>
      <c r="J27" s="12" t="n">
        <v>8480.298000000001</v>
      </c>
      <c r="K27" s="12" t="n">
        <v>8787.099</v>
      </c>
      <c r="L27" s="12" t="n">
        <v>6832.748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2869.639</v>
      </c>
      <c r="D31" s="12" t="n">
        <v>2346.059</v>
      </c>
      <c r="E31" s="12" t="n">
        <v>3020.919</v>
      </c>
      <c r="F31" s="12" t="n">
        <v>4983.316</v>
      </c>
      <c r="G31" s="12" t="n">
        <v>5201.187</v>
      </c>
      <c r="H31" s="11" t="n">
        <v>4522.805</v>
      </c>
      <c r="I31" s="12" t="n">
        <v>5579.115</v>
      </c>
      <c r="J31" s="12" t="n">
        <v>5615.487</v>
      </c>
      <c r="K31" s="12" t="n">
        <v>4669.611</v>
      </c>
      <c r="L31" s="12" t="n">
        <v>4983.316</v>
      </c>
    </row>
    <row r="32">
      <c r="A32" s="18" t="inlineStr">
        <is>
          <t>자본금</t>
        </is>
      </c>
      <c r="B32" s="10" t="n"/>
      <c r="C32" s="19" t="n">
        <v>1880.309</v>
      </c>
      <c r="D32" s="20" t="n">
        <v>1880.309</v>
      </c>
      <c r="E32" s="20" t="n">
        <v>1906.87</v>
      </c>
      <c r="F32" s="20" t="n">
        <v>1906.87</v>
      </c>
      <c r="G32" s="20" t="n">
        <v>1906.87</v>
      </c>
      <c r="H32" s="19" t="n">
        <v>1792.991</v>
      </c>
      <c r="I32" s="20" t="n">
        <v>1811.311</v>
      </c>
      <c r="J32" s="20" t="n">
        <v>1842.36</v>
      </c>
      <c r="K32" s="20" t="n">
        <v>1880.309</v>
      </c>
      <c r="L32" s="20" t="n">
        <v>1906.87</v>
      </c>
    </row>
    <row r="33">
      <c r="A33" s="18" t="inlineStr">
        <is>
          <t>이익잉여금</t>
        </is>
      </c>
      <c r="B33" s="10" t="n"/>
      <c r="C33" s="19" t="n">
        <v>-908.5410000000001</v>
      </c>
      <c r="D33" s="20" t="n">
        <v>-1471.867</v>
      </c>
      <c r="E33" s="20" t="n">
        <v>-850.823</v>
      </c>
      <c r="F33" s="20" t="n">
        <v>1104.196</v>
      </c>
      <c r="G33" s="20" t="n">
        <v>1427.527</v>
      </c>
      <c r="H33" s="19" t="n">
        <v>953.681</v>
      </c>
      <c r="I33" s="20" t="n">
        <v>1967.564</v>
      </c>
      <c r="J33" s="20" t="n">
        <v>1926.096</v>
      </c>
      <c r="K33" s="20" t="n">
        <v>890.527</v>
      </c>
      <c r="L33" s="20" t="n">
        <v>1104.196</v>
      </c>
    </row>
    <row r="34">
      <c r="A34" s="18" t="inlineStr">
        <is>
          <t>비지배지분</t>
        </is>
      </c>
      <c r="B34" s="10" t="n"/>
      <c r="C34" s="19" t="n">
        <v>1.345</v>
      </c>
      <c r="D34" s="20" t="n">
        <v>1.548</v>
      </c>
      <c r="E34" s="20" t="n">
        <v>1.852</v>
      </c>
      <c r="F34" s="20" t="n">
        <v>2.102</v>
      </c>
      <c r="G34" s="20" t="n">
        <v>1.094</v>
      </c>
      <c r="H34" s="19" t="n">
        <v>2.203</v>
      </c>
      <c r="I34" s="20" t="n">
        <v>2.938</v>
      </c>
      <c r="J34" s="20" t="n">
        <v>3.57</v>
      </c>
      <c r="K34" s="20" t="n">
        <v>2.516</v>
      </c>
      <c r="L34" s="20" t="n">
        <v>2.102</v>
      </c>
    </row>
    <row r="35">
      <c r="A35" s="9" t="inlineStr">
        <is>
          <t>자본총계</t>
        </is>
      </c>
      <c r="B35" s="10" t="n"/>
      <c r="C35" s="11" t="n">
        <v>2936.495</v>
      </c>
      <c r="D35" s="12" t="n">
        <v>2431.822</v>
      </c>
      <c r="E35" s="12" t="n">
        <v>3118.146</v>
      </c>
      <c r="F35" s="12" t="n">
        <v>5043.303</v>
      </c>
      <c r="G35" s="12" t="n">
        <v>5269.417</v>
      </c>
      <c r="H35" s="11" t="n">
        <v>4574.075</v>
      </c>
      <c r="I35" s="12" t="n">
        <v>5631.12</v>
      </c>
      <c r="J35" s="12" t="n">
        <v>5668.124</v>
      </c>
      <c r="K35" s="12" t="n">
        <v>4719.137</v>
      </c>
      <c r="L35" s="12" t="n">
        <v>5043.303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1138.045</v>
      </c>
      <c r="E37" s="12" t="n"/>
      <c r="F37" s="12" t="n">
        <v>2197.764</v>
      </c>
      <c r="G37" s="12" t="n"/>
      <c r="H37" s="11" t="n">
        <v>1602.824</v>
      </c>
      <c r="I37" s="12" t="n">
        <v>2665.778</v>
      </c>
      <c r="J37" s="12" t="n">
        <v>-473.238</v>
      </c>
      <c r="K37" s="12" t="n">
        <v>634.082</v>
      </c>
      <c r="L37" s="12" t="n">
        <v>2197.764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1127.6</v>
      </c>
      <c r="E38" s="20" t="n"/>
      <c r="F38" s="20" t="n">
        <v>715.171</v>
      </c>
      <c r="G38" s="20" t="n"/>
      <c r="H38" s="19" t="n">
        <v>1774.644</v>
      </c>
      <c r="I38" s="20" t="n">
        <v>2026.517</v>
      </c>
      <c r="J38" s="20" t="n">
        <v>2008.683</v>
      </c>
      <c r="K38" s="20" t="n">
        <v>1790.63</v>
      </c>
      <c r="L38" s="20" t="n">
        <v>715.171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0.067</v>
      </c>
      <c r="E40" s="20" t="n"/>
      <c r="F40" s="20" t="n">
        <v>0.04</v>
      </c>
      <c r="G40" s="20" t="n"/>
      <c r="H40" s="19" t="n">
        <v>0</v>
      </c>
      <c r="I40" s="20" t="n">
        <v>144.781</v>
      </c>
      <c r="J40" s="20" t="n">
        <v>145.077</v>
      </c>
      <c r="K40" s="20" t="n">
        <v>0.172</v>
      </c>
      <c r="L40" s="20" t="n">
        <v>0.04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3927.984</v>
      </c>
      <c r="D71" s="20" t="n">
        <v>3572.376</v>
      </c>
      <c r="E71" s="20" t="n">
        <v>2942.795</v>
      </c>
      <c r="F71" s="20" t="n">
        <v>6375.283</v>
      </c>
      <c r="G71" s="20" t="n">
        <v>5453.472</v>
      </c>
      <c r="H71" s="20" t="n">
        <v>4737.225</v>
      </c>
      <c r="I71" s="20" t="n">
        <v>6044.573</v>
      </c>
      <c r="J71" s="20" t="n">
        <v>5937.126</v>
      </c>
      <c r="K71" s="20" t="n">
        <v>3928.774</v>
      </c>
      <c r="L71" s="20" t="n">
        <v>6375.283</v>
      </c>
    </row>
    <row r="72">
      <c r="A72" s="18" t="inlineStr">
        <is>
          <t>매출채권</t>
        </is>
      </c>
      <c r="C72" s="20" t="n">
        <v>2298.179</v>
      </c>
      <c r="D72" s="20" t="n">
        <v>2066.969</v>
      </c>
      <c r="E72" s="20" t="n">
        <v>2544.486</v>
      </c>
      <c r="F72" s="20" t="n">
        <v>2176.89</v>
      </c>
      <c r="G72" s="20" t="n">
        <v>2126.326</v>
      </c>
      <c r="H72" s="20" t="n">
        <v>1485.317</v>
      </c>
      <c r="I72" s="20" t="n">
        <v>1484.658</v>
      </c>
      <c r="J72" s="20" t="n">
        <v>1657.924</v>
      </c>
      <c r="K72" s="20" t="n">
        <v>3006.348</v>
      </c>
      <c r="L72" s="20" t="n">
        <v>2176.89</v>
      </c>
    </row>
    <row r="73">
      <c r="A73" s="18" t="inlineStr">
        <is>
          <t>상품</t>
        </is>
      </c>
      <c r="C73" s="20" t="n">
        <v>11.086</v>
      </c>
      <c r="D73" s="20" t="n">
        <v>9.861000000000001</v>
      </c>
      <c r="E73" s="20" t="n">
        <v>12.418</v>
      </c>
      <c r="F73" s="20" t="n">
        <v>12.729</v>
      </c>
      <c r="G73" s="20" t="n">
        <v>15.538</v>
      </c>
      <c r="H73" s="20" t="n">
        <v>0</v>
      </c>
      <c r="I73" s="20" t="n">
        <v>5.268</v>
      </c>
      <c r="J73" s="20" t="n">
        <v>7.99</v>
      </c>
      <c r="K73" s="20" t="n">
        <v>12.834</v>
      </c>
      <c r="L73" s="20" t="n">
        <v>12.729</v>
      </c>
    </row>
    <row r="74">
      <c r="A74" s="18" t="inlineStr">
        <is>
          <t>재공품</t>
        </is>
      </c>
      <c r="C74" s="20" t="n">
        <v>97.116</v>
      </c>
      <c r="D74" s="20" t="n">
        <v>117.745</v>
      </c>
      <c r="E74" s="20" t="n">
        <v>136.119</v>
      </c>
      <c r="F74" s="20" t="n">
        <v>93.83199999999999</v>
      </c>
      <c r="G74" s="20" t="n">
        <v>102.002</v>
      </c>
      <c r="H74" s="20" t="n">
        <v>10.144</v>
      </c>
      <c r="I74" s="20" t="n">
        <v>17.482</v>
      </c>
      <c r="J74" s="20" t="n">
        <v>44.689</v>
      </c>
      <c r="K74" s="20" t="n">
        <v>78.672</v>
      </c>
      <c r="L74" s="20" t="n">
        <v>93.83199999999999</v>
      </c>
    </row>
    <row r="75">
      <c r="A75" s="18" t="inlineStr">
        <is>
          <t>선급비용</t>
        </is>
      </c>
      <c r="C75" s="20" t="n">
        <v>579.857</v>
      </c>
      <c r="D75" s="20" t="n">
        <v>476.354</v>
      </c>
      <c r="E75" s="20" t="n">
        <v>399.998</v>
      </c>
      <c r="F75" s="20" t="n">
        <v>341.753</v>
      </c>
      <c r="G75" s="20" t="n">
        <v>286.496</v>
      </c>
      <c r="H75" s="20" t="n">
        <v>157.555</v>
      </c>
      <c r="I75" s="20" t="n">
        <v>148.928</v>
      </c>
      <c r="J75" s="20" t="n">
        <v>155.917</v>
      </c>
      <c r="K75" s="20" t="n">
        <v>704.277</v>
      </c>
      <c r="L75" s="20" t="n">
        <v>341.753</v>
      </c>
    </row>
    <row r="76">
      <c r="A76" s="18" t="inlineStr">
        <is>
          <t>기타</t>
        </is>
      </c>
      <c r="C76" s="20" t="n">
        <v>379.794</v>
      </c>
      <c r="D76" s="20" t="n">
        <v>378.391</v>
      </c>
      <c r="E76" s="20" t="n">
        <v>279.867</v>
      </c>
      <c r="F76" s="20" t="n">
        <v>270.228</v>
      </c>
      <c r="G76" s="20" t="n">
        <v>628.592</v>
      </c>
      <c r="H76" s="20" t="n">
        <v>375.766</v>
      </c>
      <c r="I76" s="20" t="n">
        <v>147.482</v>
      </c>
      <c r="J76" s="20" t="n">
        <v>563.215</v>
      </c>
      <c r="K76" s="20" t="n">
        <v>111.31</v>
      </c>
      <c r="L76" s="20" t="n">
        <v>270.228</v>
      </c>
    </row>
    <row r="77">
      <c r="A77" s="18" t="inlineStr">
        <is>
          <t>대손충당금</t>
        </is>
      </c>
      <c r="F77" s="20" t="n">
        <v>-44</v>
      </c>
      <c r="G77" s="20" t="n">
        <v>-44</v>
      </c>
      <c r="K77" s="20" t="n">
        <v>0</v>
      </c>
      <c r="L77" s="20" t="n">
        <v>-44</v>
      </c>
    </row>
    <row r="78">
      <c r="A78" s="9" t="inlineStr">
        <is>
          <t>유동자산 합계</t>
        </is>
      </c>
      <c r="C78" s="12" t="n">
        <v>7294.019</v>
      </c>
      <c r="D78" s="12" t="n">
        <v>6621.699</v>
      </c>
      <c r="E78" s="12" t="n">
        <v>6315.685</v>
      </c>
      <c r="F78" s="12" t="n">
        <v>9226.718000000001</v>
      </c>
      <c r="G78" s="12" t="n">
        <v>8568.429</v>
      </c>
      <c r="H78" s="12" t="n">
        <v>6766.009</v>
      </c>
      <c r="I78" s="12" t="n">
        <v>7848.394</v>
      </c>
      <c r="J78" s="12" t="n">
        <v>8366.862999999999</v>
      </c>
      <c r="K78" s="12" t="n">
        <v>7842.218</v>
      </c>
      <c r="L78" s="12" t="n">
        <v>9226.718000000001</v>
      </c>
    </row>
    <row r="79">
      <c r="A79" s="18" t="inlineStr">
        <is>
          <t>건물</t>
        </is>
      </c>
      <c r="C79" s="20" t="n">
        <v>191.229</v>
      </c>
      <c r="D79" s="20" t="n">
        <v>191.666</v>
      </c>
      <c r="E79" s="20" t="n">
        <v>191.666</v>
      </c>
      <c r="F79" s="20" t="n">
        <v>191.666</v>
      </c>
      <c r="G79" s="20" t="n">
        <v>192.154</v>
      </c>
      <c r="H79" s="20" t="n">
        <v>184.236</v>
      </c>
      <c r="I79" s="20" t="n">
        <v>191.229</v>
      </c>
      <c r="J79" s="20" t="n">
        <v>191.229</v>
      </c>
      <c r="K79" s="20" t="n">
        <v>191.229</v>
      </c>
      <c r="L79" s="20" t="n">
        <v>191.666</v>
      </c>
    </row>
    <row r="80">
      <c r="A80" s="18" t="inlineStr">
        <is>
          <t>감가상각누계액</t>
        </is>
      </c>
      <c r="C80" s="20" t="n">
        <v>-80.541</v>
      </c>
      <c r="D80" s="20" t="n">
        <v>-91.221</v>
      </c>
      <c r="E80" s="20" t="n">
        <v>-101.901</v>
      </c>
      <c r="F80" s="20" t="n">
        <v>-112.582</v>
      </c>
      <c r="G80" s="20" t="n">
        <v>-123.29</v>
      </c>
      <c r="H80" s="20" t="n">
        <v>-13.603</v>
      </c>
      <c r="I80" s="20" t="n">
        <v>-31.029</v>
      </c>
      <c r="J80" s="20" t="n">
        <v>-48.741</v>
      </c>
      <c r="K80" s="20" t="n">
        <v>-69.93300000000001</v>
      </c>
      <c r="L80" s="20" t="n">
        <v>-112.582</v>
      </c>
    </row>
    <row r="81">
      <c r="A81" s="18" t="inlineStr">
        <is>
          <t>건물(순액)</t>
        </is>
      </c>
      <c r="C81" s="20" t="n">
        <v>110.688</v>
      </c>
      <c r="D81" s="20" t="n">
        <v>100.444</v>
      </c>
      <c r="E81" s="20" t="n">
        <v>89.764</v>
      </c>
      <c r="F81" s="20" t="n">
        <v>79.084</v>
      </c>
      <c r="G81" s="20" t="n">
        <v>68.863</v>
      </c>
      <c r="H81" s="20" t="n">
        <v>170.632</v>
      </c>
      <c r="I81" s="20" t="n">
        <v>160.2</v>
      </c>
      <c r="J81" s="20" t="n">
        <v>142.488</v>
      </c>
      <c r="K81" s="20" t="n">
        <v>121.295</v>
      </c>
      <c r="L81" s="20" t="n">
        <v>79.084</v>
      </c>
    </row>
    <row r="82">
      <c r="A82" s="18" t="inlineStr">
        <is>
          <t>공구·기구·비품</t>
        </is>
      </c>
      <c r="C82" s="20" t="n">
        <v>157.327</v>
      </c>
      <c r="D82" s="20" t="n">
        <v>162.897</v>
      </c>
      <c r="E82" s="20" t="n">
        <v>167.519</v>
      </c>
      <c r="F82" s="20" t="n">
        <v>146.29</v>
      </c>
      <c r="G82" s="20" t="n">
        <v>161.244</v>
      </c>
      <c r="H82" s="20" t="n">
        <v>69.03</v>
      </c>
      <c r="I82" s="20" t="n">
        <v>85.502</v>
      </c>
      <c r="J82" s="20" t="n">
        <v>87.90600000000001</v>
      </c>
      <c r="K82" s="20" t="n">
        <v>92.033</v>
      </c>
      <c r="L82" s="20" t="n">
        <v>146.29</v>
      </c>
    </row>
    <row r="83">
      <c r="A83" s="18" t="inlineStr">
        <is>
          <t>감가상각누계액</t>
        </is>
      </c>
      <c r="C83" s="20" t="n">
        <v>-78.76600000000001</v>
      </c>
      <c r="D83" s="20" t="n">
        <v>-88.508</v>
      </c>
      <c r="E83" s="20" t="n">
        <v>-97.00700000000001</v>
      </c>
      <c r="F83" s="20" t="n">
        <v>-89.771</v>
      </c>
      <c r="G83" s="20" t="n">
        <v>-97.657</v>
      </c>
      <c r="H83" s="20" t="n">
        <v>-33.995</v>
      </c>
      <c r="I83" s="20" t="n">
        <v>-53.143</v>
      </c>
      <c r="J83" s="20" t="n">
        <v>-68.34999999999999</v>
      </c>
      <c r="K83" s="20" t="n">
        <v>-74.30500000000001</v>
      </c>
      <c r="L83" s="20" t="n">
        <v>-89.771</v>
      </c>
    </row>
    <row r="84">
      <c r="A84" s="18" t="inlineStr">
        <is>
          <t>공구·기구·비품(순액)</t>
        </is>
      </c>
      <c r="C84" s="20" t="n">
        <v>78.56</v>
      </c>
      <c r="D84" s="20" t="n">
        <v>74.389</v>
      </c>
      <c r="E84" s="20" t="n">
        <v>70.512</v>
      </c>
      <c r="F84" s="20" t="n">
        <v>56.519</v>
      </c>
      <c r="G84" s="20" t="n">
        <v>63.587</v>
      </c>
      <c r="H84" s="20" t="n">
        <v>35.034</v>
      </c>
      <c r="I84" s="20" t="n">
        <v>32.358</v>
      </c>
      <c r="J84" s="20" t="n">
        <v>19.555</v>
      </c>
      <c r="K84" s="20" t="n">
        <v>17.728</v>
      </c>
      <c r="L84" s="20" t="n">
        <v>56.519</v>
      </c>
    </row>
    <row r="85">
      <c r="A85" s="18" t="inlineStr">
        <is>
          <t>리스자산</t>
        </is>
      </c>
      <c r="C85" s="20" t="n">
        <v>7.232</v>
      </c>
      <c r="D85" s="20" t="n">
        <v>7.232</v>
      </c>
      <c r="E85" s="20" t="n">
        <v>7.232</v>
      </c>
      <c r="F85" s="20" t="n">
        <v>7.232</v>
      </c>
      <c r="G85" s="20" t="n">
        <v>7.232</v>
      </c>
      <c r="H85" s="20" t="n">
        <v>7.232</v>
      </c>
      <c r="I85" s="20" t="n">
        <v>7.232</v>
      </c>
      <c r="J85" s="20" t="n">
        <v>7.232</v>
      </c>
      <c r="K85" s="20" t="n">
        <v>7.232</v>
      </c>
      <c r="L85" s="20" t="n">
        <v>7.232</v>
      </c>
    </row>
    <row r="86">
      <c r="A86" s="18" t="inlineStr">
        <is>
          <t>감가상각누계액</t>
        </is>
      </c>
      <c r="C86" s="20" t="n">
        <v>-5.582</v>
      </c>
      <c r="D86" s="20" t="n">
        <v>-5.857</v>
      </c>
      <c r="E86" s="20" t="n">
        <v>-6.132</v>
      </c>
      <c r="F86" s="20" t="n">
        <v>-6.407</v>
      </c>
      <c r="G86" s="20" t="n">
        <v>-6.682</v>
      </c>
      <c r="H86" s="20" t="n">
        <v>-2.007</v>
      </c>
      <c r="I86" s="20" t="n">
        <v>-3.107</v>
      </c>
      <c r="J86" s="20" t="n">
        <v>-4.207</v>
      </c>
      <c r="K86" s="20" t="n">
        <v>-5.307</v>
      </c>
      <c r="L86" s="20" t="n">
        <v>-6.407</v>
      </c>
    </row>
    <row r="87">
      <c r="A87" s="18" t="inlineStr">
        <is>
          <t>리스자산(순액)</t>
        </is>
      </c>
      <c r="C87" s="20" t="n">
        <v>1.65</v>
      </c>
      <c r="D87" s="20" t="n">
        <v>1.375</v>
      </c>
      <c r="E87" s="20" t="n">
        <v>1.1</v>
      </c>
      <c r="F87" s="20" t="n">
        <v>0.825</v>
      </c>
      <c r="G87" s="20" t="n">
        <v>0.55</v>
      </c>
      <c r="H87" s="20" t="n">
        <v>5.225</v>
      </c>
      <c r="I87" s="20" t="n">
        <v>4.125</v>
      </c>
      <c r="J87" s="20" t="n">
        <v>3.025</v>
      </c>
      <c r="K87" s="20" t="n">
        <v>1.925</v>
      </c>
      <c r="L87" s="20" t="n">
        <v>0.825</v>
      </c>
    </row>
    <row r="88">
      <c r="A88" s="18" t="inlineStr">
        <is>
          <t>유형자산 합계</t>
        </is>
      </c>
      <c r="C88" s="20" t="n">
        <v>190.899</v>
      </c>
      <c r="D88" s="20" t="n">
        <v>176.209</v>
      </c>
      <c r="E88" s="20" t="n">
        <v>161.377</v>
      </c>
      <c r="F88" s="20" t="n">
        <v>136.428</v>
      </c>
      <c r="G88" s="20" t="n">
        <v>133.001</v>
      </c>
      <c r="H88" s="20" t="n">
        <v>210.891</v>
      </c>
      <c r="I88" s="20" t="n">
        <v>196.683</v>
      </c>
      <c r="J88" s="20" t="n">
        <v>165.068</v>
      </c>
      <c r="K88" s="20" t="n">
        <v>140.948</v>
      </c>
      <c r="L88" s="20" t="n">
        <v>136.428</v>
      </c>
    </row>
    <row r="89">
      <c r="A89" s="18" t="inlineStr">
        <is>
          <t>소프트웨어</t>
        </is>
      </c>
      <c r="C89" s="20" t="n">
        <v>1584.69</v>
      </c>
      <c r="D89" s="20" t="n">
        <v>1245.732</v>
      </c>
      <c r="E89" s="20" t="n">
        <v>1228.546</v>
      </c>
      <c r="F89" s="20" t="n">
        <v>952.832</v>
      </c>
      <c r="G89" s="20" t="n">
        <v>712.346</v>
      </c>
      <c r="H89" s="20" t="n">
        <v>557.325</v>
      </c>
      <c r="I89" s="20" t="n">
        <v>201.601</v>
      </c>
      <c r="J89" s="20" t="n">
        <v>18.279</v>
      </c>
      <c r="K89" s="20" t="n">
        <v>3683.37</v>
      </c>
      <c r="L89" s="20" t="n">
        <v>952.832</v>
      </c>
    </row>
    <row r="90">
      <c r="A90" s="18" t="inlineStr">
        <is>
          <t>개발 중 소프트웨어</t>
        </is>
      </c>
      <c r="C90" s="20" t="n">
        <v>570.936</v>
      </c>
      <c r="D90" s="20" t="n">
        <v>690.403</v>
      </c>
      <c r="E90" s="20" t="n">
        <v>631.784</v>
      </c>
      <c r="F90" s="20" t="n">
        <v>151.335</v>
      </c>
      <c r="G90" s="20" t="n">
        <v>234.728</v>
      </c>
      <c r="H90" s="20" t="n">
        <v>1333.425</v>
      </c>
      <c r="I90" s="20" t="n">
        <v>3026.917</v>
      </c>
      <c r="J90" s="20" t="n">
        <v>4359.472</v>
      </c>
      <c r="K90" s="20" t="n">
        <v>604.944</v>
      </c>
      <c r="L90" s="20" t="n">
        <v>151.335</v>
      </c>
    </row>
    <row r="91">
      <c r="A91" s="18" t="inlineStr">
        <is>
          <t>기타</t>
        </is>
      </c>
      <c r="F91" s="20" t="n">
        <v>83.97499999999999</v>
      </c>
      <c r="G91" s="20" t="n">
        <v>56.788</v>
      </c>
      <c r="K91" s="20" t="n">
        <v>0</v>
      </c>
      <c r="L91" s="20" t="n">
        <v>83.97499999999999</v>
      </c>
    </row>
    <row r="92">
      <c r="A92" s="18" t="inlineStr">
        <is>
          <t>무형자산 합계</t>
        </is>
      </c>
      <c r="C92" s="20" t="n">
        <v>2155.626</v>
      </c>
      <c r="D92" s="20" t="n">
        <v>1936.136</v>
      </c>
      <c r="E92" s="20" t="n">
        <v>1860.331</v>
      </c>
      <c r="F92" s="20" t="n">
        <v>1188.143</v>
      </c>
      <c r="G92" s="20" t="n">
        <v>1003.864</v>
      </c>
      <c r="H92" s="20" t="n">
        <v>1890.751</v>
      </c>
      <c r="I92" s="20" t="n">
        <v>3228.519</v>
      </c>
      <c r="J92" s="20" t="n">
        <v>4377.751</v>
      </c>
      <c r="K92" s="20" t="n">
        <v>4288.315</v>
      </c>
      <c r="L92" s="20" t="n">
        <v>1188.143</v>
      </c>
    </row>
    <row r="93">
      <c r="A93" s="18" t="inlineStr">
        <is>
          <t>투자유가증권</t>
        </is>
      </c>
      <c r="C93" s="20" t="n">
        <v>20.006</v>
      </c>
      <c r="D93" s="20" t="n">
        <v>20.006</v>
      </c>
      <c r="E93" s="20" t="n">
        <v>20.006</v>
      </c>
      <c r="F93" s="20" t="n">
        <v>20.006</v>
      </c>
      <c r="G93" s="20" t="n">
        <v>20.006</v>
      </c>
      <c r="H93" s="20" t="n">
        <v>0.007</v>
      </c>
      <c r="I93" s="20" t="n">
        <v>59.926</v>
      </c>
      <c r="J93" s="20" t="n">
        <v>69.926</v>
      </c>
      <c r="K93" s="20" t="n">
        <v>20.006</v>
      </c>
      <c r="L93" s="20" t="n">
        <v>20.006</v>
      </c>
    </row>
    <row r="94">
      <c r="A94" s="18" t="inlineStr">
        <is>
          <t>이연법인세자산</t>
        </is>
      </c>
      <c r="C94" s="20" t="n">
        <v>776.851</v>
      </c>
      <c r="D94" s="20" t="n">
        <v>759.486</v>
      </c>
      <c r="E94" s="20" t="n">
        <v>779.9829999999999</v>
      </c>
      <c r="F94" s="20" t="n">
        <v>836.939</v>
      </c>
      <c r="G94" s="20" t="n">
        <v>841.639</v>
      </c>
      <c r="H94" s="20" t="n">
        <v>465.737</v>
      </c>
      <c r="I94" s="20" t="n">
        <v>491.226</v>
      </c>
      <c r="J94" s="20" t="n">
        <v>650.038</v>
      </c>
      <c r="K94" s="20" t="n">
        <v>883.155</v>
      </c>
      <c r="L94" s="20" t="n">
        <v>836.939</v>
      </c>
    </row>
    <row r="95">
      <c r="A95" s="18" t="inlineStr">
        <is>
          <t>임차보증금</t>
        </is>
      </c>
      <c r="H95" s="20" t="n">
        <v>199.404</v>
      </c>
      <c r="I95" s="20" t="n">
        <v>199.404</v>
      </c>
      <c r="J95" s="20" t="n">
        <v>199.404</v>
      </c>
    </row>
    <row r="96">
      <c r="A96" s="18" t="inlineStr">
        <is>
          <t>기타</t>
        </is>
      </c>
      <c r="C96" s="20" t="n">
        <v>452.424</v>
      </c>
      <c r="D96" s="20" t="n">
        <v>477.541</v>
      </c>
      <c r="E96" s="20" t="n">
        <v>473.223</v>
      </c>
      <c r="F96" s="20" t="n">
        <v>467.815</v>
      </c>
      <c r="G96" s="20" t="n">
        <v>500.856</v>
      </c>
      <c r="H96" s="20" t="n">
        <v>120.668</v>
      </c>
      <c r="I96" s="20" t="n">
        <v>202.242</v>
      </c>
      <c r="J96" s="20" t="n">
        <v>518.773</v>
      </c>
      <c r="K96" s="20" t="n">
        <v>331.593</v>
      </c>
      <c r="L96" s="20" t="n">
        <v>467.815</v>
      </c>
    </row>
    <row r="97">
      <c r="A97" s="18" t="inlineStr">
        <is>
          <t>투자 및 기타자산 합계</t>
        </is>
      </c>
      <c r="C97" s="20" t="n">
        <v>1249.281</v>
      </c>
      <c r="D97" s="20" t="n">
        <v>1257.034</v>
      </c>
      <c r="E97" s="20" t="n">
        <v>1273.213</v>
      </c>
      <c r="F97" s="20" t="n">
        <v>1324.761</v>
      </c>
      <c r="G97" s="20" t="n">
        <v>1362.501</v>
      </c>
      <c r="H97" s="20" t="n">
        <v>785.818</v>
      </c>
      <c r="I97" s="20" t="n">
        <v>952.8</v>
      </c>
      <c r="J97" s="20" t="n">
        <v>1238.738</v>
      </c>
      <c r="K97" s="20" t="n">
        <v>1234.755</v>
      </c>
      <c r="L97" s="20" t="n">
        <v>1324.761</v>
      </c>
    </row>
    <row r="98">
      <c r="A98" s="9" t="inlineStr">
        <is>
          <t>비유동자산 합계</t>
        </is>
      </c>
      <c r="C98" s="12" t="n">
        <v>3595.807</v>
      </c>
      <c r="D98" s="12" t="n">
        <v>3369.379</v>
      </c>
      <c r="E98" s="12" t="n">
        <v>3294.922</v>
      </c>
      <c r="F98" s="12" t="n">
        <v>2649.333</v>
      </c>
      <c r="G98" s="12" t="n">
        <v>2499.367</v>
      </c>
      <c r="H98" s="12" t="n">
        <v>2887.461</v>
      </c>
      <c r="I98" s="12" t="n">
        <v>4378.002</v>
      </c>
      <c r="J98" s="12" t="n">
        <v>5781.559</v>
      </c>
      <c r="K98" s="12" t="n">
        <v>5664.018</v>
      </c>
      <c r="L98" s="12" t="n">
        <v>2649.333</v>
      </c>
    </row>
    <row r="99">
      <c r="A99" s="9" t="inlineStr">
        <is>
          <t>자산 합계</t>
        </is>
      </c>
      <c r="C99" s="12" t="n">
        <v>10889.826</v>
      </c>
      <c r="D99" s="12" t="n">
        <v>9991.079</v>
      </c>
      <c r="E99" s="12" t="n">
        <v>9610.608</v>
      </c>
      <c r="F99" s="12" t="n">
        <v>11876.052</v>
      </c>
      <c r="G99" s="12" t="n">
        <v>11067.796</v>
      </c>
      <c r="H99" s="12" t="n">
        <v>9653.469999999999</v>
      </c>
      <c r="I99" s="12" t="n">
        <v>12226.397</v>
      </c>
      <c r="J99" s="12" t="n">
        <v>14148.422</v>
      </c>
      <c r="K99" s="12" t="n">
        <v>13506.236</v>
      </c>
      <c r="L99" s="12" t="n">
        <v>11876.052</v>
      </c>
    </row>
    <row r="100">
      <c r="A100" s="18" t="inlineStr">
        <is>
          <t>매입채무</t>
        </is>
      </c>
      <c r="C100" s="20" t="n">
        <v>407.715</v>
      </c>
      <c r="D100" s="20" t="n">
        <v>387.47</v>
      </c>
      <c r="E100" s="20" t="n">
        <v>380.022</v>
      </c>
      <c r="F100" s="20" t="n">
        <v>408.429</v>
      </c>
      <c r="G100" s="20" t="n">
        <v>466.139</v>
      </c>
      <c r="H100" s="20" t="n">
        <v>357.864</v>
      </c>
      <c r="I100" s="20" t="n">
        <v>449.977</v>
      </c>
      <c r="J100" s="20" t="n">
        <v>329.599</v>
      </c>
      <c r="K100" s="20" t="n">
        <v>417.877</v>
      </c>
      <c r="L100" s="20" t="n">
        <v>408.429</v>
      </c>
    </row>
    <row r="101">
      <c r="A101" s="18" t="inlineStr">
        <is>
          <t>단기차입금</t>
        </is>
      </c>
      <c r="C101" s="20" t="n">
        <v>100</v>
      </c>
      <c r="D101" s="20" t="n">
        <v>100</v>
      </c>
      <c r="E101" s="20" t="n">
        <v>100</v>
      </c>
      <c r="F101" s="20" t="n">
        <v>100</v>
      </c>
      <c r="G101" s="20" t="n">
        <v>100</v>
      </c>
      <c r="H101" s="20" t="n">
        <v>146</v>
      </c>
      <c r="I101" s="20" t="n">
        <v>100</v>
      </c>
      <c r="J101" s="20" t="n">
        <v>100</v>
      </c>
      <c r="K101" s="20" t="n">
        <v>100</v>
      </c>
      <c r="L101" s="20" t="n">
        <v>100</v>
      </c>
    </row>
    <row r="102">
      <c r="A102" s="18" t="inlineStr">
        <is>
          <t>1년 내 상환 장기차입금</t>
        </is>
      </c>
      <c r="C102" s="20" t="n">
        <v>1738.85</v>
      </c>
      <c r="D102" s="20" t="n">
        <v>1870</v>
      </c>
      <c r="E102" s="20" t="n">
        <v>1870.5</v>
      </c>
      <c r="F102" s="20" t="n">
        <v>2497</v>
      </c>
      <c r="G102" s="20" t="n">
        <v>2223.5</v>
      </c>
      <c r="H102" s="20" t="n">
        <v>808</v>
      </c>
      <c r="I102" s="20" t="n">
        <v>1780.75</v>
      </c>
      <c r="J102" s="20" t="n">
        <v>1743.85</v>
      </c>
      <c r="K102" s="20" t="n">
        <v>1738.6</v>
      </c>
      <c r="L102" s="20" t="n">
        <v>2497</v>
      </c>
    </row>
    <row r="103">
      <c r="A103" s="18" t="inlineStr">
        <is>
          <t>리스부채</t>
        </is>
      </c>
      <c r="C103" s="20" t="n">
        <v>1.281</v>
      </c>
      <c r="D103" s="20" t="n">
        <v>1.281</v>
      </c>
      <c r="E103" s="20" t="n">
        <v>1.281</v>
      </c>
      <c r="F103" s="20" t="n">
        <v>0.961</v>
      </c>
      <c r="G103" s="20" t="n">
        <v>0.64</v>
      </c>
      <c r="H103" s="20" t="n">
        <v>1.281</v>
      </c>
      <c r="I103" s="20" t="n">
        <v>1.281</v>
      </c>
      <c r="J103" s="20" t="n">
        <v>1.281</v>
      </c>
      <c r="K103" s="20" t="n">
        <v>1.281</v>
      </c>
      <c r="L103" s="20" t="n">
        <v>0.961</v>
      </c>
    </row>
    <row r="104">
      <c r="A104" s="18" t="inlineStr">
        <is>
          <t>미지급금</t>
        </is>
      </c>
      <c r="C104" s="20" t="n">
        <v>1657.579</v>
      </c>
      <c r="D104" s="20" t="n">
        <v>1763.815</v>
      </c>
      <c r="E104" s="20" t="n">
        <v>1219.029</v>
      </c>
      <c r="F104" s="20" t="n">
        <v>1473.273</v>
      </c>
      <c r="G104" s="20" t="n">
        <v>1307.632</v>
      </c>
      <c r="H104" s="20" t="n">
        <v>579.0359999999999</v>
      </c>
      <c r="I104" s="20" t="n">
        <v>554.851</v>
      </c>
      <c r="J104" s="20" t="n">
        <v>604.044</v>
      </c>
      <c r="K104" s="20" t="n">
        <v>1780.723</v>
      </c>
      <c r="L104" s="20" t="n">
        <v>1473.273</v>
      </c>
    </row>
    <row r="105">
      <c r="A105" s="18" t="inlineStr">
        <is>
          <t>미지급법인세</t>
        </is>
      </c>
      <c r="C105" s="20" t="n">
        <v>33.851</v>
      </c>
      <c r="D105" s="20" t="n">
        <v>72.426</v>
      </c>
      <c r="E105" s="20" t="n">
        <v>54.252</v>
      </c>
      <c r="F105" s="20" t="n">
        <v>493.119</v>
      </c>
      <c r="G105" s="20" t="n">
        <v>155.585</v>
      </c>
      <c r="H105" s="20" t="n">
        <v>142.079</v>
      </c>
      <c r="I105" s="20" t="n">
        <v>481.316</v>
      </c>
      <c r="J105" s="20" t="n">
        <v>61.235</v>
      </c>
      <c r="K105" s="20" t="n">
        <v>120.835</v>
      </c>
      <c r="L105" s="20" t="n">
        <v>493.119</v>
      </c>
    </row>
    <row r="106">
      <c r="A106" s="18" t="inlineStr">
        <is>
          <t>상여충당금</t>
        </is>
      </c>
      <c r="C106" s="20" t="n">
        <v>51.524</v>
      </c>
      <c r="D106" s="20" t="n">
        <v>114.695</v>
      </c>
      <c r="E106" s="20" t="n">
        <v>59.634</v>
      </c>
      <c r="F106" s="20" t="n">
        <v>133.286</v>
      </c>
      <c r="G106" s="20" t="n">
        <v>72.93899999999999</v>
      </c>
      <c r="H106" s="20" t="n">
        <v>138.497</v>
      </c>
      <c r="I106" s="20" t="n">
        <v>129.549</v>
      </c>
      <c r="J106" s="20" t="n">
        <v>86.949</v>
      </c>
      <c r="K106" s="20" t="n">
        <v>98.208</v>
      </c>
      <c r="L106" s="20" t="n">
        <v>133.286</v>
      </c>
    </row>
    <row r="107">
      <c r="A107" s="18" t="inlineStr">
        <is>
          <t>자산복구부채</t>
        </is>
      </c>
      <c r="H107" s="20" t="n">
        <v>0</v>
      </c>
    </row>
    <row r="108">
      <c r="A108" s="18" t="inlineStr">
        <is>
          <t>기타</t>
        </is>
      </c>
      <c r="C108" s="20" t="n">
        <v>964.362</v>
      </c>
      <c r="D108" s="20" t="n">
        <v>908.452</v>
      </c>
      <c r="E108" s="20" t="n">
        <v>905.53</v>
      </c>
      <c r="F108" s="20" t="n">
        <v>957.896</v>
      </c>
      <c r="G108" s="20" t="n">
        <v>843.2190000000001</v>
      </c>
      <c r="H108" s="20" t="n">
        <v>537.158</v>
      </c>
      <c r="I108" s="20" t="n">
        <v>802.766</v>
      </c>
      <c r="J108" s="20" t="n">
        <v>621.14</v>
      </c>
      <c r="K108" s="20" t="n">
        <v>1049.95</v>
      </c>
      <c r="L108" s="20" t="n">
        <v>957.896</v>
      </c>
    </row>
    <row r="109">
      <c r="A109" s="9" t="inlineStr">
        <is>
          <t>유동부채 합계</t>
        </is>
      </c>
      <c r="C109" s="12" t="n">
        <v>4955.166</v>
      </c>
      <c r="D109" s="12" t="n">
        <v>5218.143</v>
      </c>
      <c r="E109" s="12" t="n">
        <v>4590.251</v>
      </c>
      <c r="F109" s="12" t="n">
        <v>6063.966</v>
      </c>
      <c r="G109" s="12" t="n">
        <v>5169.658</v>
      </c>
      <c r="H109" s="12" t="n">
        <v>2709.917</v>
      </c>
      <c r="I109" s="12" t="n">
        <v>4300.494</v>
      </c>
      <c r="J109" s="12" t="n">
        <v>3548.1</v>
      </c>
      <c r="K109" s="12" t="n">
        <v>5307.477</v>
      </c>
      <c r="L109" s="12" t="n">
        <v>6063.966</v>
      </c>
    </row>
    <row r="110">
      <c r="A110" s="18" t="inlineStr">
        <is>
          <t>장기차입금</t>
        </is>
      </c>
      <c r="C110" s="20" t="n">
        <v>2453.8</v>
      </c>
      <c r="D110" s="20" t="n">
        <v>2009</v>
      </c>
      <c r="E110" s="20" t="n">
        <v>1578.5</v>
      </c>
      <c r="F110" s="20" t="n">
        <v>522</v>
      </c>
      <c r="G110" s="20" t="n">
        <v>365.5</v>
      </c>
      <c r="H110" s="20" t="n">
        <v>2014</v>
      </c>
      <c r="I110" s="20" t="n">
        <v>1952.75</v>
      </c>
      <c r="J110" s="20" t="n">
        <v>4627.3</v>
      </c>
      <c r="K110" s="20" t="n">
        <v>2888.7</v>
      </c>
      <c r="L110" s="20" t="n">
        <v>522</v>
      </c>
    </row>
    <row r="111">
      <c r="A111" s="18" t="inlineStr">
        <is>
          <t>리스부채</t>
        </is>
      </c>
      <c r="C111" s="20" t="n">
        <v>0.64</v>
      </c>
      <c r="D111" s="20" t="n">
        <v>0.32</v>
      </c>
      <c r="E111" s="20" t="n">
        <v>0</v>
      </c>
      <c r="F111" s="20" t="n">
        <v>0</v>
      </c>
      <c r="H111" s="20" t="n">
        <v>4.806</v>
      </c>
      <c r="I111" s="20" t="n">
        <v>3.524</v>
      </c>
      <c r="J111" s="20" t="n">
        <v>2.243</v>
      </c>
      <c r="K111" s="20" t="n">
        <v>0.961</v>
      </c>
      <c r="L111" s="20" t="n">
        <v>0</v>
      </c>
    </row>
    <row r="112">
      <c r="A112" s="18" t="inlineStr">
        <is>
          <t>자산복구부채</t>
        </is>
      </c>
      <c r="C112" s="20" t="n">
        <v>100</v>
      </c>
      <c r="D112" s="20" t="n">
        <v>100</v>
      </c>
      <c r="E112" s="20" t="n">
        <v>100</v>
      </c>
      <c r="F112" s="20" t="n">
        <v>100</v>
      </c>
      <c r="G112" s="20" t="n">
        <v>100</v>
      </c>
      <c r="H112" s="20" t="n">
        <v>100</v>
      </c>
      <c r="I112" s="20" t="n">
        <v>100</v>
      </c>
      <c r="J112" s="20" t="n">
        <v>100</v>
      </c>
      <c r="K112" s="20" t="n">
        <v>100</v>
      </c>
      <c r="L112" s="20" t="n">
        <v>100</v>
      </c>
    </row>
    <row r="113">
      <c r="A113" s="18" t="inlineStr">
        <is>
          <t>기타</t>
        </is>
      </c>
      <c r="C113" s="20" t="n">
        <v>443.724</v>
      </c>
      <c r="D113" s="20" t="n">
        <v>231.792</v>
      </c>
      <c r="E113" s="20" t="n">
        <v>223.71</v>
      </c>
      <c r="F113" s="20" t="n">
        <v>146.781</v>
      </c>
      <c r="G113" s="20" t="n">
        <v>163.221</v>
      </c>
      <c r="H113" s="20" t="n">
        <v>250.671</v>
      </c>
      <c r="I113" s="20" t="n">
        <v>238.507</v>
      </c>
      <c r="J113" s="20" t="n">
        <v>202.655</v>
      </c>
      <c r="K113" s="20" t="n">
        <v>489.96</v>
      </c>
      <c r="L113" s="20" t="n">
        <v>146.781</v>
      </c>
    </row>
    <row r="114">
      <c r="A114" s="9" t="inlineStr">
        <is>
          <t>비유동부채 합계</t>
        </is>
      </c>
      <c r="C114" s="12" t="n">
        <v>2998.165</v>
      </c>
      <c r="D114" s="12" t="n">
        <v>2341.113</v>
      </c>
      <c r="E114" s="12" t="n">
        <v>1902.21</v>
      </c>
      <c r="F114" s="12" t="n">
        <v>768.7809999999999</v>
      </c>
      <c r="G114" s="12" t="n">
        <v>628.721</v>
      </c>
      <c r="H114" s="12" t="n">
        <v>2369.478</v>
      </c>
      <c r="I114" s="12" t="n">
        <v>2294.782</v>
      </c>
      <c r="J114" s="12" t="n">
        <v>4932.198</v>
      </c>
      <c r="K114" s="12" t="n">
        <v>3479.621</v>
      </c>
      <c r="L114" s="12" t="n">
        <v>768.7809999999999</v>
      </c>
    </row>
    <row r="115">
      <c r="A115" s="9" t="inlineStr">
        <is>
          <t>부채 합계</t>
        </is>
      </c>
      <c r="C115" s="12" t="n">
        <v>7953.331</v>
      </c>
      <c r="D115" s="12" t="n">
        <v>7559.256</v>
      </c>
      <c r="E115" s="12" t="n">
        <v>6492.461</v>
      </c>
      <c r="F115" s="12" t="n">
        <v>6832.748</v>
      </c>
      <c r="G115" s="12" t="n">
        <v>5798.379</v>
      </c>
      <c r="H115" s="12" t="n">
        <v>5079.395</v>
      </c>
      <c r="I115" s="12" t="n">
        <v>6595.277</v>
      </c>
      <c r="J115" s="12" t="n">
        <v>8480.298000000001</v>
      </c>
      <c r="K115" s="12" t="n">
        <v>8787.099</v>
      </c>
      <c r="L115" s="12" t="n">
        <v>6832.748</v>
      </c>
    </row>
    <row r="116">
      <c r="A116" s="18" t="inlineStr">
        <is>
          <t>자본금</t>
        </is>
      </c>
      <c r="C116" s="20" t="n">
        <v>1880.309</v>
      </c>
      <c r="D116" s="20" t="n">
        <v>1880.309</v>
      </c>
      <c r="E116" s="20" t="n">
        <v>1906.87</v>
      </c>
      <c r="F116" s="20" t="n">
        <v>1906.87</v>
      </c>
      <c r="G116" s="20" t="n">
        <v>1906.87</v>
      </c>
      <c r="H116" s="20" t="n">
        <v>1792.991</v>
      </c>
      <c r="I116" s="20" t="n">
        <v>1811.311</v>
      </c>
      <c r="J116" s="20" t="n">
        <v>1842.36</v>
      </c>
      <c r="K116" s="20" t="n">
        <v>1880.309</v>
      </c>
      <c r="L116" s="20" t="n">
        <v>1906.87</v>
      </c>
    </row>
    <row r="117">
      <c r="A117" s="18" t="inlineStr">
        <is>
          <t>자본잉여금</t>
        </is>
      </c>
      <c r="C117" s="20" t="n">
        <v>2137.862</v>
      </c>
      <c r="D117" s="20" t="n">
        <v>2140.068</v>
      </c>
      <c r="E117" s="20" t="n">
        <v>2166.629</v>
      </c>
      <c r="F117" s="20" t="n">
        <v>2166.629</v>
      </c>
      <c r="G117" s="20" t="n">
        <v>2166.629</v>
      </c>
      <c r="H117" s="20" t="n">
        <v>2050.152</v>
      </c>
      <c r="I117" s="20" t="n">
        <v>2068.472</v>
      </c>
      <c r="J117" s="20" t="n">
        <v>2099.521</v>
      </c>
      <c r="K117" s="20" t="n">
        <v>2137.862</v>
      </c>
      <c r="L117" s="20" t="n">
        <v>2166.629</v>
      </c>
    </row>
    <row r="118">
      <c r="A118" s="18" t="inlineStr">
        <is>
          <t>이익잉여금</t>
        </is>
      </c>
      <c r="C118" s="20" t="n">
        <v>-908.5410000000001</v>
      </c>
      <c r="D118" s="20" t="n">
        <v>-1471.867</v>
      </c>
      <c r="E118" s="20" t="n">
        <v>-850.823</v>
      </c>
      <c r="F118" s="20" t="n">
        <v>1104.196</v>
      </c>
      <c r="G118" s="20" t="n">
        <v>1427.527</v>
      </c>
      <c r="H118" s="20" t="n">
        <v>953.681</v>
      </c>
      <c r="I118" s="20" t="n">
        <v>1967.564</v>
      </c>
      <c r="J118" s="20" t="n">
        <v>1926.096</v>
      </c>
      <c r="K118" s="20" t="n">
        <v>890.527</v>
      </c>
      <c r="L118" s="20" t="n">
        <v>1104.196</v>
      </c>
    </row>
    <row r="119">
      <c r="A119" s="18" t="inlineStr">
        <is>
          <t>자기주식</t>
        </is>
      </c>
      <c r="C119" s="20" t="n">
        <v>-252.033</v>
      </c>
      <c r="D119" s="20" t="n">
        <v>-214.692</v>
      </c>
      <c r="E119" s="20" t="n">
        <v>-214.692</v>
      </c>
      <c r="F119" s="20" t="n">
        <v>-214.692</v>
      </c>
      <c r="G119" s="20" t="n">
        <v>-320.152</v>
      </c>
      <c r="H119" s="20" t="n">
        <v>-274.029</v>
      </c>
      <c r="I119" s="20" t="n">
        <v>-266.237</v>
      </c>
      <c r="J119" s="20" t="n">
        <v>-259.894</v>
      </c>
      <c r="K119" s="20" t="n">
        <v>-252.033</v>
      </c>
      <c r="L119" s="20" t="n">
        <v>-214.692</v>
      </c>
    </row>
    <row r="120">
      <c r="A120" s="9" t="inlineStr">
        <is>
          <t>주주자본 합계</t>
        </is>
      </c>
      <c r="C120" s="12" t="n">
        <v>2857.596</v>
      </c>
      <c r="D120" s="12" t="n">
        <v>2333.817</v>
      </c>
      <c r="E120" s="12" t="n">
        <v>3007.984</v>
      </c>
      <c r="F120" s="12" t="n">
        <v>4963.004</v>
      </c>
      <c r="G120" s="12" t="n">
        <v>5180.874</v>
      </c>
      <c r="H120" s="12" t="n">
        <v>4522.796</v>
      </c>
      <c r="I120" s="12" t="n">
        <v>5581.111</v>
      </c>
      <c r="J120" s="12" t="n">
        <v>5608.084</v>
      </c>
      <c r="K120" s="12" t="n">
        <v>4656.665</v>
      </c>
      <c r="L120" s="12" t="n">
        <v>4963.004</v>
      </c>
    </row>
    <row r="121">
      <c r="A121" s="18" t="inlineStr">
        <is>
          <t>기타유가증권 평가차액</t>
        </is>
      </c>
      <c r="C121" s="20" t="n">
        <v>11.94</v>
      </c>
      <c r="D121" s="20" t="n">
        <v>11.94</v>
      </c>
      <c r="E121" s="20" t="n">
        <v>11.94</v>
      </c>
      <c r="F121" s="20" t="n">
        <v>20.311</v>
      </c>
      <c r="G121" s="20" t="n">
        <v>20.311</v>
      </c>
      <c r="H121" s="20" t="n">
        <v>0.007</v>
      </c>
      <c r="I121" s="20" t="n">
        <v>-2.079</v>
      </c>
      <c r="J121" s="20" t="n">
        <v>6.611</v>
      </c>
      <c r="K121" s="20" t="n">
        <v>11.94</v>
      </c>
      <c r="L121" s="20" t="n">
        <v>20.311</v>
      </c>
    </row>
    <row r="122">
      <c r="A122" s="18" t="inlineStr">
        <is>
          <t>해외사업환산조정</t>
        </is>
      </c>
      <c r="C122" s="20" t="n">
        <v>0.101</v>
      </c>
      <c r="D122" s="20" t="n">
        <v>0.3</v>
      </c>
      <c r="E122" s="20" t="n">
        <v>0.994</v>
      </c>
      <c r="F122" s="20" t="n">
        <v>0</v>
      </c>
      <c r="H122" s="20" t="n">
        <v>0</v>
      </c>
      <c r="I122" s="20" t="n">
        <v>0.082</v>
      </c>
      <c r="J122" s="20" t="n">
        <v>0.79</v>
      </c>
      <c r="K122" s="20" t="n">
        <v>1.004</v>
      </c>
      <c r="L122" s="20" t="n">
        <v>0</v>
      </c>
    </row>
    <row r="123">
      <c r="A123" s="18" t="inlineStr">
        <is>
          <t>기타포괄손익누계액 합계</t>
        </is>
      </c>
      <c r="C123" s="20" t="n">
        <v>12.041</v>
      </c>
      <c r="D123" s="20" t="n">
        <v>12.241</v>
      </c>
      <c r="E123" s="20" t="n">
        <v>12.935</v>
      </c>
      <c r="F123" s="20" t="n">
        <v>20.311</v>
      </c>
      <c r="G123" s="20" t="n">
        <v>20.311</v>
      </c>
      <c r="H123" s="20" t="n">
        <v>0.007</v>
      </c>
      <c r="I123" s="20" t="n">
        <v>-1.997</v>
      </c>
      <c r="J123" s="20" t="n">
        <v>7.402</v>
      </c>
      <c r="K123" s="20" t="n">
        <v>12.945</v>
      </c>
      <c r="L123" s="20" t="n">
        <v>20.311</v>
      </c>
    </row>
    <row r="124">
      <c r="A124" s="18" t="inlineStr">
        <is>
          <t>신주예약권</t>
        </is>
      </c>
      <c r="C124" s="20" t="n">
        <v>65.511</v>
      </c>
      <c r="D124" s="20" t="n">
        <v>84.215</v>
      </c>
      <c r="E124" s="20" t="n">
        <v>95.375</v>
      </c>
      <c r="F124" s="20" t="n">
        <v>57.885</v>
      </c>
      <c r="G124" s="20" t="n">
        <v>67.136</v>
      </c>
      <c r="H124" s="20" t="n">
        <v>49.067</v>
      </c>
      <c r="I124" s="20" t="n">
        <v>49.067</v>
      </c>
      <c r="J124" s="20" t="n">
        <v>49.067</v>
      </c>
      <c r="K124" s="20" t="n">
        <v>47.01</v>
      </c>
      <c r="L124" s="20" t="n">
        <v>57.885</v>
      </c>
    </row>
    <row r="125">
      <c r="A125" s="18" t="inlineStr">
        <is>
          <t>비지배지분</t>
        </is>
      </c>
      <c r="C125" s="20" t="n">
        <v>1.345</v>
      </c>
      <c r="D125" s="20" t="n">
        <v>1.548</v>
      </c>
      <c r="E125" s="20" t="n">
        <v>1.852</v>
      </c>
      <c r="F125" s="20" t="n">
        <v>2.102</v>
      </c>
      <c r="G125" s="20" t="n">
        <v>1.094</v>
      </c>
      <c r="H125" s="20" t="n">
        <v>2.203</v>
      </c>
      <c r="I125" s="20" t="n">
        <v>2.938</v>
      </c>
      <c r="J125" s="20" t="n">
        <v>3.57</v>
      </c>
      <c r="K125" s="20" t="n">
        <v>2.516</v>
      </c>
      <c r="L125" s="20" t="n">
        <v>2.102</v>
      </c>
    </row>
    <row r="126">
      <c r="A126" s="9" t="inlineStr">
        <is>
          <t>순자산 합계</t>
        </is>
      </c>
      <c r="C126" s="12" t="n">
        <v>2936.495</v>
      </c>
      <c r="D126" s="12" t="n">
        <v>2431.822</v>
      </c>
      <c r="E126" s="12" t="n">
        <v>3118.146</v>
      </c>
      <c r="F126" s="12" t="n">
        <v>5043.303</v>
      </c>
      <c r="G126" s="12" t="n">
        <v>5269.417</v>
      </c>
      <c r="H126" s="12" t="n">
        <v>4574.075</v>
      </c>
      <c r="I126" s="12" t="n">
        <v>5631.12</v>
      </c>
      <c r="J126" s="12" t="n">
        <v>5668.124</v>
      </c>
      <c r="K126" s="12" t="n">
        <v>4719.137</v>
      </c>
      <c r="L126" s="12" t="n">
        <v>5043.303</v>
      </c>
    </row>
    <row r="127">
      <c r="A127" s="9" t="inlineStr">
        <is>
          <t>부채·순자산 합계</t>
        </is>
      </c>
      <c r="C127" s="12" t="n">
        <v>10889.826</v>
      </c>
      <c r="D127" s="12" t="n">
        <v>9991.079</v>
      </c>
      <c r="E127" s="12" t="n">
        <v>9610.608</v>
      </c>
      <c r="F127" s="12" t="n">
        <v>11876.052</v>
      </c>
      <c r="G127" s="12" t="n">
        <v>11067.796</v>
      </c>
      <c r="H127" s="12" t="n">
        <v>9653.469999999999</v>
      </c>
      <c r="I127" s="12" t="n">
        <v>12226.397</v>
      </c>
      <c r="J127" s="12" t="n">
        <v>14148.422</v>
      </c>
      <c r="K127" s="12" t="n">
        <v>13506.236</v>
      </c>
      <c r="L127" s="12" t="n">
        <v>11876.052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2026-07-29</t>
        </is>
      </c>
      <c r="B4" t="inlineStr">
        <is>
          <t>2027년 3월 결산기 １분기 결산단신</t>
        </is>
      </c>
      <c r="C4" t="inlineStr">
        <is>
          <t>https://www2.jpx.co.jp/disc/37930/140120260729501853.pdf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https://www2.jpx.co.jp/disc/37930/140120260512524455.pdf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https://www2.jpx.co.jp/disc/37930/140120260129541104.pdf</t>
        </is>
      </c>
    </row>
    <row r="7">
      <c r="A7" t="inlineStr">
        <is>
          <t>2025-10-29</t>
        </is>
      </c>
      <c r="B7" t="inlineStr">
        <is>
          <t>2026년 3월 결산기 ２분기 결산단신</t>
        </is>
      </c>
      <c r="C7" t="inlineStr">
        <is>
          <t>https://www2.jpx.co.jp/disc/37930/140120251029581112.pdf</t>
        </is>
      </c>
    </row>
    <row r="8">
      <c r="A8" t="inlineStr">
        <is>
          <t>2025-07-29</t>
        </is>
      </c>
      <c r="B8" t="inlineStr">
        <is>
          <t>2026년 3월 결산기 １분기 결산단신</t>
        </is>
      </c>
      <c r="C8" t="inlineStr">
        <is>
          <t>https://www2.jpx.co.jp/disc/37930/140120250729522444.pdf</t>
        </is>
      </c>
    </row>
    <row r="9">
      <c r="A9" t="inlineStr">
        <is>
          <t>2025-05-12</t>
        </is>
      </c>
      <c r="B9" t="inlineStr">
        <is>
          <t>2025년 3월 결산기 연간 결산단신</t>
        </is>
      </c>
      <c r="C9" t="inlineStr">
        <is>
          <t>https://www2.jpx.co.jp/disc/37930/140120250510539527.pdf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https://www2.jpx.co.jp/disc/37930/140120250130558340.pdf</t>
        </is>
      </c>
    </row>
    <row r="11">
      <c r="A11" t="inlineStr">
        <is>
          <t>2024-10-29</t>
        </is>
      </c>
      <c r="B11" t="inlineStr">
        <is>
          <t>2025년 3월 결산기 ２분기 결산단신</t>
        </is>
      </c>
      <c r="C11" t="inlineStr">
        <is>
          <t>https://www2.jpx.co.jp/disc/37930/140120241029504943.pdf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https://www2.jpx.co.jp/disc/37930/140120240730557482.pdf</t>
        </is>
      </c>
    </row>
    <row r="13">
      <c r="A13" t="inlineStr">
        <is>
          <t>2024-05-13</t>
        </is>
      </c>
      <c r="B13" t="inlineStr">
        <is>
          <t>2024년 3월 결산기 연간 결산단신</t>
        </is>
      </c>
      <c r="C13" t="inlineStr">
        <is>
          <t>https://www2.jpx.co.jp/disc/37930/140120240513592123.pdf</t>
        </is>
      </c>
    </row>
    <row r="14">
      <c r="A14" t="inlineStr">
        <is>
          <t>2024-01-30</t>
        </is>
      </c>
      <c r="B14" t="inlineStr">
        <is>
          <t>2024년 3월 결산기 ３분기 결산단신</t>
        </is>
      </c>
      <c r="C14" t="inlineStr">
        <is>
          <t>https://www2.jpx.co.jp/disc/37930/140120240130521635.pdf</t>
        </is>
      </c>
    </row>
    <row r="15">
      <c r="A15" t="inlineStr">
        <is>
          <t>2023-10-26</t>
        </is>
      </c>
      <c r="B15" t="inlineStr">
        <is>
          <t>2024년 3월 결산기 ２분기 결산단신</t>
        </is>
      </c>
      <c r="C15" t="inlineStr">
        <is>
          <t>https://www2.jpx.co.jp/disc/37930/140120231026571950.pdf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https://www2.jpx.co.jp/disc/37930/140120230727528071.pdf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https://www2.jpx.co.jp/disc/37930/140120230511565588.pdf</t>
        </is>
      </c>
    </row>
    <row r="18">
      <c r="A18" t="inlineStr">
        <is>
          <t>2023-01-30</t>
        </is>
      </c>
      <c r="B18" t="inlineStr">
        <is>
          <t>2023년 3월 결산기 ３분기 결산단신</t>
        </is>
      </c>
      <c r="C18" t="inlineStr">
        <is>
          <t>https://www2.jpx.co.jp/disc/37930/140120230130595609.pdf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https://www2.jpx.co.jp/disc/37930/140120221026550313.pdf</t>
        </is>
      </c>
    </row>
    <row r="20">
      <c r="A20" t="inlineStr">
        <is>
          <t>2022-05-12</t>
        </is>
      </c>
      <c r="B20" t="inlineStr">
        <is>
          <t>2022년 3월 결산기 연간 결산단신</t>
        </is>
      </c>
      <c r="C20" t="inlineStr">
        <is>
          <t>https://www2.jpx.co.jp/disc/37930/140120220512542071.pdf</t>
        </is>
      </c>
    </row>
    <row r="21">
      <c r="A21" t="inlineStr">
        <is>
          <t>2021-05-13</t>
        </is>
      </c>
      <c r="B21" t="inlineStr">
        <is>
          <t>2021년 3월 결산기 연간 결산단신</t>
        </is>
      </c>
      <c r="C21" t="inlineStr">
        <is>
          <t>https://www2.jpx.co.jp/disc/37930/140120210406490409.pdf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https://www2.jpx.co.jp/disc/37930/140120200506404856.pdf</t>
        </is>
      </c>
    </row>
    <row r="23">
      <c r="A23" t="inlineStr">
        <is>
          <t>2019-05-13</t>
        </is>
      </c>
      <c r="B23" t="inlineStr">
        <is>
          <t>2019년 3월 결산기 연간 결산단신</t>
        </is>
      </c>
      <c r="C23" t="inlineStr">
        <is>
          <t>https://www2.jpx.co.jp/disc/37930/140120190430414056.pdf</t>
        </is>
      </c>
    </row>
    <row r="24">
      <c r="A24" t="inlineStr">
        <is>
          <t>2018-05-10</t>
        </is>
      </c>
      <c r="B24" t="inlineStr">
        <is>
          <t>연간 결산단신</t>
        </is>
      </c>
      <c r="C24" t="inlineStr">
        <is>
          <t>https://www2.jpx.co.jp/disc/37930/140120180502426993.pdf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2026-10-26T10:53:51Z</dcterms:created>
  <dcterms:modified xmlns:dcterms="http://purl.org/dc/terms/" xmlns:xsi="http://www.w3.org/2001/XMLSchema-instance" xsi:type="dcterms:W3CDTF">2026-10-26T10:53:52Z</dcterms:modified>
</cp:coreProperties>
</file>