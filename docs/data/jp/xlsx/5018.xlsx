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손익계산서" sheetId="1" state="visible" r:id="rId1"/>
    <sheet xmlns:r="http://schemas.openxmlformats.org/officeDocument/2006/relationships" name="포괄손익" sheetId="2" state="visible" r:id="rId2"/>
    <sheet xmlns:r="http://schemas.openxmlformats.org/officeDocument/2006/relationships" name="재무상태표" sheetId="3" state="visible" r:id="rId3"/>
    <sheet xmlns:r="http://schemas.openxmlformats.org/officeDocument/2006/relationships" name="현금흐름표" sheetId="4" state="visible" r:id="rId4"/>
    <sheet xmlns:r="http://schemas.openxmlformats.org/officeDocument/2006/relationships" name="부문" sheetId="5" state="visible" r:id="rId5"/>
    <sheet xmlns:r="http://schemas.openxmlformats.org/officeDocument/2006/relationships" name="출처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\(#,##0.0\);&quot;-&quot;"/>
    <numFmt numFmtId="165" formatCode="0.0%;\-0.0%;&quot;-&quot;"/>
  </numFmts>
  <fonts count="8">
    <font>
      <name val="Calibri"/>
      <family val="2"/>
      <color theme="1"/>
      <sz val="11"/>
      <scheme val="minor"/>
    </font>
    <font>
      <name val="맑은 고딕"/>
      <b val="1"/>
      <sz val="20"/>
    </font>
    <font>
      <name val="맑은 고딕"/>
      <color rgb="FFFF0000"/>
      <sz val="9"/>
    </font>
    <font>
      <name val="맑은 고딕"/>
      <color rgb="FF808080"/>
      <sz val="9"/>
    </font>
    <font>
      <name val="맑은 고딕"/>
      <b val="1"/>
      <sz val="10"/>
    </font>
    <font>
      <name val="맑은 고딕"/>
      <b val="1"/>
      <sz val="11"/>
    </font>
    <font>
      <name val="맑은 고딕"/>
      <color rgb="FF808080"/>
      <sz val="11"/>
    </font>
    <font>
      <name val="맑은 고딕"/>
      <sz val="11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center" vertical="center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40" customWidth="1" min="31" max="31"/>
  </cols>
  <sheetData>
    <row r="1">
      <c r="A1" s="1" t="inlineStr">
        <is>
          <t>모레스코 손익계산서</t>
        </is>
      </c>
    </row>
    <row r="2">
      <c r="A2" s="2" t="inlineStr">
        <is>
          <t>결산기 기준(27.2Q = 2027년 결산기 2분기) · 2월 결산 · 연결 · 분기 단독(누계 차분) · 오른쪽 FY = 연간</t>
        </is>
      </c>
      <c r="B2" s="3" t="inlineStr">
        <is>
          <t>(단위: 억엔)</t>
        </is>
      </c>
    </row>
    <row r="3">
      <c r="A3" s="4" t="inlineStr">
        <is>
          <t>항목</t>
        </is>
      </c>
      <c r="B3" s="4" t="inlineStr">
        <is>
          <t>참고</t>
        </is>
      </c>
      <c r="C3" s="4" t="inlineStr">
        <is>
          <t>22.3Q</t>
        </is>
      </c>
      <c r="D3" s="4" t="inlineStr">
        <is>
          <t>22.4Q</t>
        </is>
      </c>
      <c r="E3" s="4" t="inlineStr">
        <is>
          <t>23.1Q</t>
        </is>
      </c>
      <c r="F3" s="4" t="inlineStr">
        <is>
          <t>23.2Q</t>
        </is>
      </c>
      <c r="G3" s="4" t="inlineStr">
        <is>
          <t>23.3Q</t>
        </is>
      </c>
      <c r="H3" s="4" t="inlineStr">
        <is>
          <t>23.4Q</t>
        </is>
      </c>
      <c r="I3" s="4" t="inlineStr">
        <is>
          <t>24.1Q</t>
        </is>
      </c>
      <c r="J3" s="4" t="inlineStr">
        <is>
          <t>24.2Q</t>
        </is>
      </c>
      <c r="K3" s="4" t="inlineStr">
        <is>
          <t>24.3Q</t>
        </is>
      </c>
      <c r="L3" s="4" t="inlineStr">
        <is>
          <t>24.4Q</t>
        </is>
      </c>
      <c r="M3" s="4" t="inlineStr">
        <is>
          <t>25.1Q</t>
        </is>
      </c>
      <c r="N3" s="4" t="inlineStr">
        <is>
          <t>25.2Q</t>
        </is>
      </c>
      <c r="O3" s="4" t="inlineStr">
        <is>
          <t>25.3Q</t>
        </is>
      </c>
      <c r="P3" s="4" t="inlineStr">
        <is>
          <t>25.4Q</t>
        </is>
      </c>
      <c r="Q3" s="4" t="inlineStr">
        <is>
          <t>26.1Q</t>
        </is>
      </c>
      <c r="R3" s="4" t="inlineStr">
        <is>
          <t>26.2Q</t>
        </is>
      </c>
      <c r="S3" s="4" t="inlineStr">
        <is>
          <t>26.3Q</t>
        </is>
      </c>
      <c r="T3" s="4" t="inlineStr">
        <is>
          <t>26.4Q</t>
        </is>
      </c>
      <c r="U3" s="4" t="inlineStr">
        <is>
          <t>27.1Q</t>
        </is>
      </c>
      <c r="V3" s="4" t="inlineStr">
        <is>
          <t>27.2Q</t>
        </is>
      </c>
      <c r="W3" s="4" t="inlineStr">
        <is>
          <t>FY19</t>
        </is>
      </c>
      <c r="X3" s="4" t="inlineStr">
        <is>
          <t>FY20</t>
        </is>
      </c>
      <c r="Y3" s="4" t="inlineStr">
        <is>
          <t>FY21</t>
        </is>
      </c>
      <c r="Z3" s="4" t="inlineStr">
        <is>
          <t>FY22</t>
        </is>
      </c>
      <c r="AA3" s="4" t="inlineStr">
        <is>
          <t>FY23</t>
        </is>
      </c>
      <c r="AB3" s="4" t="inlineStr">
        <is>
          <t>FY24</t>
        </is>
      </c>
      <c r="AC3" s="4" t="inlineStr">
        <is>
          <t>FY25</t>
        </is>
      </c>
      <c r="AD3" s="4" t="inlineStr">
        <is>
          <t>FY26</t>
        </is>
      </c>
      <c r="AE3" s="4" t="inlineStr">
        <is>
          <t>출처</t>
        </is>
      </c>
    </row>
    <row r="4">
      <c r="A4" s="5" t="inlineStr">
        <is>
          <t>매출액</t>
        </is>
      </c>
      <c r="C4" s="6" t="n">
        <v>70.48999999999999</v>
      </c>
      <c r="D4" s="6" t="n">
        <v>68.84999999999999</v>
      </c>
      <c r="E4" s="6" t="n">
        <v>70.5</v>
      </c>
      <c r="F4" s="6" t="n">
        <v>74.73</v>
      </c>
      <c r="G4" s="6" t="n">
        <v>79.56</v>
      </c>
      <c r="H4" s="6" t="n">
        <v>78.54000000000001</v>
      </c>
      <c r="I4" s="6" t="n">
        <v>75.95999999999999</v>
      </c>
      <c r="J4" s="6" t="n">
        <v>77.90000000000001</v>
      </c>
      <c r="K4" s="6" t="n">
        <v>83.45</v>
      </c>
      <c r="L4" s="6" t="n">
        <v>81.55</v>
      </c>
      <c r="M4" s="6" t="n">
        <v>82.54000000000001</v>
      </c>
      <c r="N4" s="6" t="n">
        <v>88.48</v>
      </c>
      <c r="O4" s="6" t="n">
        <v>88.15000000000001</v>
      </c>
      <c r="P4" s="6" t="n">
        <v>84.56999999999999</v>
      </c>
      <c r="Q4" s="6" t="n">
        <v>85.16</v>
      </c>
      <c r="R4" s="6" t="n">
        <v>83.48999999999999</v>
      </c>
      <c r="S4" s="6" t="n">
        <v>87.08</v>
      </c>
      <c r="T4" s="6" t="n">
        <v>92.98</v>
      </c>
      <c r="U4" s="6" t="n">
        <v>93.06</v>
      </c>
      <c r="V4" s="6" t="n">
        <v>103.19</v>
      </c>
      <c r="W4" s="6" t="n">
        <v>288.06</v>
      </c>
      <c r="X4" s="6" t="n">
        <v>270.64</v>
      </c>
      <c r="Y4" s="6" t="n">
        <v>244.79</v>
      </c>
      <c r="Z4" s="6" t="n">
        <v>273</v>
      </c>
      <c r="AA4" s="6" t="n">
        <v>303.33</v>
      </c>
      <c r="AB4" s="6" t="n">
        <v>318.86</v>
      </c>
      <c r="AC4" s="6" t="n">
        <v>343.74</v>
      </c>
      <c r="AD4" s="6" t="n">
        <v>348.71</v>
      </c>
      <c r="AE4" s="7" t="inlineStr">
        <is>
          <t>결산단신 XBRL(거래소 공시, TDnet·JPX 보관소). 쓴 문서: 2026-10-15, 2026-07-09, 2026-04-14, 2026-01-13 외 26건 — '출처' 시트에 전부</t>
        </is>
      </c>
    </row>
    <row r="5">
      <c r="A5" s="8" t="inlineStr">
        <is>
          <t>YoY</t>
        </is>
      </c>
      <c r="G5" s="9">
        <f>IF(OR(G4="",C4=""),"",IFERROR(G4/C4-1,""))</f>
        <v/>
      </c>
      <c r="H5" s="9">
        <f>IF(OR(H4="",D4=""),"",IFERROR(H4/D4-1,""))</f>
        <v/>
      </c>
      <c r="I5" s="9">
        <f>IF(OR(I4="",E4=""),"",IFERROR(I4/E4-1,""))</f>
        <v/>
      </c>
      <c r="J5" s="9">
        <f>IF(OR(J4="",F4=""),"",IFERROR(J4/F4-1,""))</f>
        <v/>
      </c>
      <c r="K5" s="9">
        <f>IF(OR(K4="",G4=""),"",IFERROR(K4/G4-1,""))</f>
        <v/>
      </c>
      <c r="L5" s="9">
        <f>IF(OR(L4="",H4=""),"",IFERROR(L4/H4-1,""))</f>
        <v/>
      </c>
      <c r="M5" s="9">
        <f>IF(OR(M4="",I4=""),"",IFERROR(M4/I4-1,""))</f>
        <v/>
      </c>
      <c r="N5" s="9">
        <f>IF(OR(N4="",J4=""),"",IFERROR(N4/J4-1,""))</f>
        <v/>
      </c>
      <c r="O5" s="9">
        <f>IF(OR(O4="",K4=""),"",IFERROR(O4/K4-1,""))</f>
        <v/>
      </c>
      <c r="P5" s="9">
        <f>IF(OR(P4="",L4=""),"",IFERROR(P4/L4-1,""))</f>
        <v/>
      </c>
      <c r="Q5" s="9">
        <f>IF(OR(Q4="",M4=""),"",IFERROR(Q4/M4-1,""))</f>
        <v/>
      </c>
      <c r="R5" s="9">
        <f>IF(OR(R4="",N4=""),"",IFERROR(R4/N4-1,""))</f>
        <v/>
      </c>
      <c r="S5" s="9">
        <f>IF(OR(S4="",O4=""),"",IFERROR(S4/O4-1,""))</f>
        <v/>
      </c>
      <c r="T5" s="9">
        <f>IF(OR(T4="",P4=""),"",IFERROR(T4/P4-1,""))</f>
        <v/>
      </c>
      <c r="U5" s="9">
        <f>IF(OR(U4="",Q4=""),"",IFERROR(U4/Q4-1,""))</f>
        <v/>
      </c>
      <c r="V5" s="9">
        <f>IF(OR(V4="",R4=""),"",IFERROR(V4/R4-1,""))</f>
        <v/>
      </c>
      <c r="X5" s="9">
        <f>IF(OR(X4="",W4=""),"",IFERROR(X4/W4-1,""))</f>
        <v/>
      </c>
      <c r="Y5" s="9">
        <f>IF(OR(Y4="",X4=""),"",IFERROR(Y4/X4-1,""))</f>
        <v/>
      </c>
      <c r="Z5" s="9">
        <f>IF(OR(Z4="",Y4=""),"",IFERROR(Z4/Y4-1,""))</f>
        <v/>
      </c>
      <c r="AA5" s="9">
        <f>IF(OR(AA4="",Z4=""),"",IFERROR(AA4/Z4-1,""))</f>
        <v/>
      </c>
      <c r="AB5" s="9">
        <f>IF(OR(AB4="",AA4=""),"",IFERROR(AB4/AA4-1,""))</f>
        <v/>
      </c>
      <c r="AC5" s="9">
        <f>IF(OR(AC4="",AB4=""),"",IFERROR(AC4/AB4-1,""))</f>
        <v/>
      </c>
      <c r="AD5" s="9">
        <f>IF(OR(AD4="",AC4=""),"",IFERROR(AD4/AC4-1,""))</f>
        <v/>
      </c>
    </row>
    <row r="6">
      <c r="A6" s="5" t="inlineStr">
        <is>
          <t>매출원가</t>
        </is>
      </c>
      <c r="C6" s="6" t="n">
        <v>48.21</v>
      </c>
      <c r="D6" s="6" t="n">
        <v>49.32</v>
      </c>
      <c r="E6" s="6" t="n">
        <v>49.97</v>
      </c>
      <c r="F6" s="6" t="n">
        <v>54.87</v>
      </c>
      <c r="G6" s="6" t="n">
        <v>58.07</v>
      </c>
      <c r="H6" s="6" t="n">
        <v>59.13</v>
      </c>
      <c r="I6" s="6" t="n">
        <v>55.13</v>
      </c>
      <c r="J6" s="6" t="n">
        <v>56.75</v>
      </c>
      <c r="K6" s="6" t="n">
        <v>59.2</v>
      </c>
      <c r="L6" s="6" t="n">
        <v>57.94</v>
      </c>
      <c r="M6" s="6" t="n">
        <v>59.25</v>
      </c>
      <c r="N6" s="6" t="n">
        <v>62.76</v>
      </c>
      <c r="O6" s="6" t="n">
        <v>62.14</v>
      </c>
      <c r="P6" s="6" t="n">
        <v>59.99</v>
      </c>
      <c r="Q6" s="6" t="n">
        <v>59.08</v>
      </c>
      <c r="R6" s="6" t="n">
        <v>58.35</v>
      </c>
      <c r="S6" s="6" t="n">
        <v>58.13</v>
      </c>
      <c r="T6" s="6" t="n">
        <v>63.58</v>
      </c>
      <c r="U6" s="6" t="n">
        <v>59.55</v>
      </c>
      <c r="V6" s="6" t="n">
        <v>65.20999999999999</v>
      </c>
      <c r="W6" s="6" t="n">
        <v>194.87</v>
      </c>
      <c r="X6" s="6" t="n">
        <v>183.3</v>
      </c>
      <c r="Y6" s="6" t="n">
        <v>166.4</v>
      </c>
      <c r="Z6" s="6" t="n">
        <v>185.75</v>
      </c>
      <c r="AA6" s="6" t="n">
        <v>222.04</v>
      </c>
      <c r="AB6" s="6" t="n">
        <v>229.02</v>
      </c>
      <c r="AC6" s="6" t="n">
        <v>244.14</v>
      </c>
      <c r="AD6" s="6" t="n">
        <v>239.14</v>
      </c>
    </row>
    <row r="7">
      <c r="A7" s="5" t="inlineStr">
        <is>
          <t>매출총이익</t>
        </is>
      </c>
      <c r="C7" s="6" t="n">
        <v>22.28</v>
      </c>
      <c r="D7" s="6" t="n">
        <v>19.53</v>
      </c>
      <c r="E7" s="6" t="n">
        <v>20.53</v>
      </c>
      <c r="F7" s="6" t="n">
        <v>19.86</v>
      </c>
      <c r="G7" s="6" t="n">
        <v>21.49</v>
      </c>
      <c r="H7" s="6" t="n">
        <v>19.41</v>
      </c>
      <c r="I7" s="6" t="n">
        <v>20.83</v>
      </c>
      <c r="J7" s="6" t="n">
        <v>21.14</v>
      </c>
      <c r="K7" s="6" t="n">
        <v>24.26</v>
      </c>
      <c r="L7" s="6" t="n">
        <v>23.61</v>
      </c>
      <c r="M7" s="6" t="n">
        <v>23.3</v>
      </c>
      <c r="N7" s="6" t="n">
        <v>25.71</v>
      </c>
      <c r="O7" s="6" t="n">
        <v>26.01</v>
      </c>
      <c r="P7" s="6" t="n">
        <v>24.58</v>
      </c>
      <c r="Q7" s="6" t="n">
        <v>26.08</v>
      </c>
      <c r="R7" s="6" t="n">
        <v>25.14</v>
      </c>
      <c r="S7" s="6" t="n">
        <v>28.95</v>
      </c>
      <c r="T7" s="6" t="n">
        <v>29.4</v>
      </c>
      <c r="U7" s="6" t="n">
        <v>33.51</v>
      </c>
      <c r="V7" s="6" t="n">
        <v>37.98</v>
      </c>
      <c r="W7" s="6" t="n">
        <v>93.19</v>
      </c>
      <c r="X7" s="6" t="n">
        <v>87.34</v>
      </c>
      <c r="Y7" s="6" t="n">
        <v>78.38</v>
      </c>
      <c r="Z7" s="6" t="n">
        <v>87.25</v>
      </c>
      <c r="AA7" s="6" t="n">
        <v>81.29000000000001</v>
      </c>
      <c r="AB7" s="6" t="n">
        <v>89.84</v>
      </c>
      <c r="AC7" s="6" t="n">
        <v>99.59999999999999</v>
      </c>
      <c r="AD7" s="6" t="n">
        <v>109.57</v>
      </c>
    </row>
    <row r="8">
      <c r="A8" s="8" t="inlineStr">
        <is>
          <t>매출총이익률</t>
        </is>
      </c>
      <c r="C8" s="9">
        <f>IF(OR(C7="",C4=""),"",IFERROR(C7/C4,""))</f>
        <v/>
      </c>
      <c r="D8" s="9">
        <f>IF(OR(D7="",D4=""),"",IFERROR(D7/D4,""))</f>
        <v/>
      </c>
      <c r="E8" s="9">
        <f>IF(OR(E7="",E4=""),"",IFERROR(E7/E4,""))</f>
        <v/>
      </c>
      <c r="F8" s="9">
        <f>IF(OR(F7="",F4=""),"",IFERROR(F7/F4,""))</f>
        <v/>
      </c>
      <c r="G8" s="9">
        <f>IF(OR(G7="",G4=""),"",IFERROR(G7/G4,""))</f>
        <v/>
      </c>
      <c r="H8" s="9">
        <f>IF(OR(H7="",H4=""),"",IFERROR(H7/H4,""))</f>
        <v/>
      </c>
      <c r="I8" s="9">
        <f>IF(OR(I7="",I4=""),"",IFERROR(I7/I4,""))</f>
        <v/>
      </c>
      <c r="J8" s="9">
        <f>IF(OR(J7="",J4=""),"",IFERROR(J7/J4,""))</f>
        <v/>
      </c>
      <c r="K8" s="9">
        <f>IF(OR(K7="",K4=""),"",IFERROR(K7/K4,""))</f>
        <v/>
      </c>
      <c r="L8" s="9">
        <f>IF(OR(L7="",L4=""),"",IFERROR(L7/L4,""))</f>
        <v/>
      </c>
      <c r="M8" s="9">
        <f>IF(OR(M7="",M4=""),"",IFERROR(M7/M4,""))</f>
        <v/>
      </c>
      <c r="N8" s="9">
        <f>IF(OR(N7="",N4=""),"",IFERROR(N7/N4,""))</f>
        <v/>
      </c>
      <c r="O8" s="9">
        <f>IF(OR(O7="",O4=""),"",IFERROR(O7/O4,""))</f>
        <v/>
      </c>
      <c r="P8" s="9">
        <f>IF(OR(P7="",P4=""),"",IFERROR(P7/P4,""))</f>
        <v/>
      </c>
      <c r="Q8" s="9">
        <f>IF(OR(Q7="",Q4=""),"",IFERROR(Q7/Q4,""))</f>
        <v/>
      </c>
      <c r="R8" s="9">
        <f>IF(OR(R7="",R4=""),"",IFERROR(R7/R4,""))</f>
        <v/>
      </c>
      <c r="S8" s="9">
        <f>IF(OR(S7="",S4=""),"",IFERROR(S7/S4,""))</f>
        <v/>
      </c>
      <c r="T8" s="9">
        <f>IF(OR(T7="",T4=""),"",IFERROR(T7/T4,""))</f>
        <v/>
      </c>
      <c r="U8" s="9">
        <f>IF(OR(U7="",U4=""),"",IFERROR(U7/U4,""))</f>
        <v/>
      </c>
      <c r="V8" s="9">
        <f>IF(OR(V7="",V4=""),"",IFERROR(V7/V4,""))</f>
        <v/>
      </c>
      <c r="W8" s="9">
        <f>IF(OR(W7="",W4=""),"",IFERROR(W7/W4,""))</f>
        <v/>
      </c>
      <c r="X8" s="9">
        <f>IF(OR(X7="",X4=""),"",IFERROR(X7/X4,""))</f>
        <v/>
      </c>
      <c r="Y8" s="9">
        <f>IF(OR(Y7="",Y4=""),"",IFERROR(Y7/Y4,""))</f>
        <v/>
      </c>
      <c r="Z8" s="9">
        <f>IF(OR(Z7="",Z4=""),"",IFERROR(Z7/Z4,""))</f>
        <v/>
      </c>
      <c r="AA8" s="9">
        <f>IF(OR(AA7="",AA4=""),"",IFERROR(AA7/AA4,""))</f>
        <v/>
      </c>
      <c r="AB8" s="9">
        <f>IF(OR(AB7="",AB4=""),"",IFERROR(AB7/AB4,""))</f>
        <v/>
      </c>
      <c r="AC8" s="9">
        <f>IF(OR(AC7="",AC4=""),"",IFERROR(AC7/AC4,""))</f>
        <v/>
      </c>
      <c r="AD8" s="9">
        <f>IF(OR(AD7="",AD4=""),"",IFERROR(AD7/AD4,""))</f>
        <v/>
      </c>
    </row>
    <row r="9">
      <c r="A9" s="10" t="inlineStr">
        <is>
          <t>판매비와 관리비</t>
        </is>
      </c>
      <c r="C9" s="11" t="n">
        <v>17.76</v>
      </c>
      <c r="D9" s="11" t="n">
        <v>18.94</v>
      </c>
      <c r="E9" s="11" t="n">
        <v>18.52</v>
      </c>
      <c r="F9" s="11" t="n">
        <v>18.92</v>
      </c>
      <c r="G9" s="11" t="n">
        <v>19.33</v>
      </c>
      <c r="H9" s="11" t="n">
        <v>19.29</v>
      </c>
      <c r="I9" s="11" t="n">
        <v>18.26</v>
      </c>
      <c r="J9" s="11" t="n">
        <v>18.43</v>
      </c>
      <c r="K9" s="11" t="n">
        <v>19.03</v>
      </c>
      <c r="L9" s="11" t="n">
        <v>21.87</v>
      </c>
      <c r="M9" s="11" t="n">
        <v>21.4</v>
      </c>
      <c r="N9" s="11" t="n">
        <v>20.9</v>
      </c>
      <c r="O9" s="11" t="n">
        <v>21.6</v>
      </c>
      <c r="P9" s="11" t="n">
        <v>21.79</v>
      </c>
      <c r="Q9" s="11" t="n">
        <v>20.88</v>
      </c>
      <c r="R9" s="11" t="n">
        <v>20.85</v>
      </c>
      <c r="S9" s="11" t="n">
        <v>21.73</v>
      </c>
      <c r="T9" s="11" t="n">
        <v>22.44</v>
      </c>
      <c r="U9" s="11" t="n">
        <v>22.8</v>
      </c>
      <c r="V9" s="11" t="n">
        <v>24.11</v>
      </c>
      <c r="W9" s="11" t="n">
        <v>73.69</v>
      </c>
      <c r="X9" s="11" t="n">
        <v>74.56</v>
      </c>
      <c r="Y9" s="11" t="n">
        <v>69.95999999999999</v>
      </c>
      <c r="Z9" s="11" t="n">
        <v>72.91</v>
      </c>
      <c r="AA9" s="11" t="n">
        <v>76.06</v>
      </c>
      <c r="AB9" s="11" t="n">
        <v>77.59</v>
      </c>
      <c r="AC9" s="11" t="n">
        <v>85.69</v>
      </c>
      <c r="AD9" s="11" t="n">
        <v>85.90000000000001</v>
      </c>
    </row>
    <row r="10">
      <c r="A10" s="5" t="inlineStr">
        <is>
          <t>영업이익</t>
        </is>
      </c>
      <c r="C10" s="6" t="n">
        <v>4.52</v>
      </c>
      <c r="D10" s="6" t="n">
        <v>0.59</v>
      </c>
      <c r="E10" s="6" t="n">
        <v>2.01</v>
      </c>
      <c r="F10" s="6" t="n">
        <v>0.9399999999999999</v>
      </c>
      <c r="G10" s="6" t="n">
        <v>2.16</v>
      </c>
      <c r="H10" s="6" t="n">
        <v>0.12</v>
      </c>
      <c r="I10" s="6" t="n">
        <v>2.57</v>
      </c>
      <c r="J10" s="6" t="n">
        <v>2.71</v>
      </c>
      <c r="K10" s="6" t="n">
        <v>5.22</v>
      </c>
      <c r="L10" s="6" t="n">
        <v>1.75</v>
      </c>
      <c r="M10" s="6" t="n">
        <v>1.89</v>
      </c>
      <c r="N10" s="6" t="n">
        <v>4.82</v>
      </c>
      <c r="O10" s="6" t="n">
        <v>4.41</v>
      </c>
      <c r="P10" s="6" t="n">
        <v>2.79</v>
      </c>
      <c r="Q10" s="6" t="n">
        <v>5.2</v>
      </c>
      <c r="R10" s="6" t="n">
        <v>4.29</v>
      </c>
      <c r="S10" s="6" t="n">
        <v>7.22</v>
      </c>
      <c r="T10" s="6" t="n">
        <v>6.96</v>
      </c>
      <c r="U10" s="6" t="n">
        <v>10.71</v>
      </c>
      <c r="V10" s="6" t="n">
        <v>13.86</v>
      </c>
      <c r="W10" s="6" t="n">
        <v>19.5</v>
      </c>
      <c r="X10" s="6" t="n">
        <v>12.79</v>
      </c>
      <c r="Y10" s="6" t="n">
        <v>8.42</v>
      </c>
      <c r="Z10" s="6" t="n">
        <v>14.34</v>
      </c>
      <c r="AA10" s="6" t="n">
        <v>5.23</v>
      </c>
      <c r="AB10" s="6" t="n">
        <v>12.25</v>
      </c>
      <c r="AC10" s="6" t="n">
        <v>13.91</v>
      </c>
      <c r="AD10" s="6" t="n">
        <v>23.67</v>
      </c>
    </row>
    <row r="11">
      <c r="A11" s="8" t="inlineStr">
        <is>
          <t>영업이익률</t>
        </is>
      </c>
      <c r="C11" s="9">
        <f>IF(OR(C10="",C4=""),"",IFERROR(C10/C4,""))</f>
        <v/>
      </c>
      <c r="D11" s="9">
        <f>IF(OR(D10="",D4=""),"",IFERROR(D10/D4,""))</f>
        <v/>
      </c>
      <c r="E11" s="9">
        <f>IF(OR(E10="",E4=""),"",IFERROR(E10/E4,""))</f>
        <v/>
      </c>
      <c r="F11" s="9">
        <f>IF(OR(F10="",F4=""),"",IFERROR(F10/F4,""))</f>
        <v/>
      </c>
      <c r="G11" s="9">
        <f>IF(OR(G10="",G4=""),"",IFERROR(G10/G4,""))</f>
        <v/>
      </c>
      <c r="H11" s="9">
        <f>IF(OR(H10="",H4=""),"",IFERROR(H10/H4,""))</f>
        <v/>
      </c>
      <c r="I11" s="9">
        <f>IF(OR(I10="",I4=""),"",IFERROR(I10/I4,""))</f>
        <v/>
      </c>
      <c r="J11" s="9">
        <f>IF(OR(J10="",J4=""),"",IFERROR(J10/J4,""))</f>
        <v/>
      </c>
      <c r="K11" s="9">
        <f>IF(OR(K10="",K4=""),"",IFERROR(K10/K4,""))</f>
        <v/>
      </c>
      <c r="L11" s="9">
        <f>IF(OR(L10="",L4=""),"",IFERROR(L10/L4,""))</f>
        <v/>
      </c>
      <c r="M11" s="9">
        <f>IF(OR(M10="",M4=""),"",IFERROR(M10/M4,""))</f>
        <v/>
      </c>
      <c r="N11" s="9">
        <f>IF(OR(N10="",N4=""),"",IFERROR(N10/N4,""))</f>
        <v/>
      </c>
      <c r="O11" s="9">
        <f>IF(OR(O10="",O4=""),"",IFERROR(O10/O4,""))</f>
        <v/>
      </c>
      <c r="P11" s="9">
        <f>IF(OR(P10="",P4=""),"",IFERROR(P10/P4,""))</f>
        <v/>
      </c>
      <c r="Q11" s="9">
        <f>IF(OR(Q10="",Q4=""),"",IFERROR(Q10/Q4,""))</f>
        <v/>
      </c>
      <c r="R11" s="9">
        <f>IF(OR(R10="",R4=""),"",IFERROR(R10/R4,""))</f>
        <v/>
      </c>
      <c r="S11" s="9">
        <f>IF(OR(S10="",S4=""),"",IFERROR(S10/S4,""))</f>
        <v/>
      </c>
      <c r="T11" s="9">
        <f>IF(OR(T10="",T4=""),"",IFERROR(T10/T4,""))</f>
        <v/>
      </c>
      <c r="U11" s="9">
        <f>IF(OR(U10="",U4=""),"",IFERROR(U10/U4,""))</f>
        <v/>
      </c>
      <c r="V11" s="9">
        <f>IF(OR(V10="",V4=""),"",IFERROR(V10/V4,""))</f>
        <v/>
      </c>
      <c r="W11" s="9">
        <f>IF(OR(W10="",W4=""),"",IFERROR(W10/W4,""))</f>
        <v/>
      </c>
      <c r="X11" s="9">
        <f>IF(OR(X10="",X4=""),"",IFERROR(X10/X4,""))</f>
        <v/>
      </c>
      <c r="Y11" s="9">
        <f>IF(OR(Y10="",Y4=""),"",IFERROR(Y10/Y4,""))</f>
        <v/>
      </c>
      <c r="Z11" s="9">
        <f>IF(OR(Z10="",Z4=""),"",IFERROR(Z10/Z4,""))</f>
        <v/>
      </c>
      <c r="AA11" s="9">
        <f>IF(OR(AA10="",AA4=""),"",IFERROR(AA10/AA4,""))</f>
        <v/>
      </c>
      <c r="AB11" s="9">
        <f>IF(OR(AB10="",AB4=""),"",IFERROR(AB10/AB4,""))</f>
        <v/>
      </c>
      <c r="AC11" s="9">
        <f>IF(OR(AC10="",AC4=""),"",IFERROR(AC10/AC4,""))</f>
        <v/>
      </c>
      <c r="AD11" s="9">
        <f>IF(OR(AD10="",AD4=""),"",IFERROR(AD10/AD4,""))</f>
        <v/>
      </c>
    </row>
    <row r="12">
      <c r="A12" s="8" t="inlineStr">
        <is>
          <t>YoY</t>
        </is>
      </c>
      <c r="G12" s="9">
        <f>IF(OR(G10="",C10=""),"",IFERROR(G10/C10-1,""))</f>
        <v/>
      </c>
      <c r="H12" s="9">
        <f>IF(OR(H10="",D10=""),"",IFERROR(H10/D10-1,""))</f>
        <v/>
      </c>
      <c r="I12" s="9">
        <f>IF(OR(I10="",E10=""),"",IFERROR(I10/E10-1,""))</f>
        <v/>
      </c>
      <c r="J12" s="9">
        <f>IF(OR(J10="",F10=""),"",IFERROR(J10/F10-1,""))</f>
        <v/>
      </c>
      <c r="K12" s="9">
        <f>IF(OR(K10="",G10=""),"",IFERROR(K10/G10-1,""))</f>
        <v/>
      </c>
      <c r="L12" s="9">
        <f>IF(OR(L10="",H10=""),"",IFERROR(L10/H10-1,""))</f>
        <v/>
      </c>
      <c r="M12" s="9">
        <f>IF(OR(M10="",I10=""),"",IFERROR(M10/I10-1,""))</f>
        <v/>
      </c>
      <c r="N12" s="9">
        <f>IF(OR(N10="",J10=""),"",IFERROR(N10/J10-1,""))</f>
        <v/>
      </c>
      <c r="O12" s="9">
        <f>IF(OR(O10="",K10=""),"",IFERROR(O10/K10-1,""))</f>
        <v/>
      </c>
      <c r="P12" s="9">
        <f>IF(OR(P10="",L10=""),"",IFERROR(P10/L10-1,""))</f>
        <v/>
      </c>
      <c r="Q12" s="9">
        <f>IF(OR(Q10="",M10=""),"",IFERROR(Q10/M10-1,""))</f>
        <v/>
      </c>
      <c r="R12" s="9">
        <f>IF(OR(R10="",N10=""),"",IFERROR(R10/N10-1,""))</f>
        <v/>
      </c>
      <c r="S12" s="9">
        <f>IF(OR(S10="",O10=""),"",IFERROR(S10/O10-1,""))</f>
        <v/>
      </c>
      <c r="T12" s="9">
        <f>IF(OR(T10="",P10=""),"",IFERROR(T10/P10-1,""))</f>
        <v/>
      </c>
      <c r="U12" s="9">
        <f>IF(OR(U10="",Q10=""),"",IFERROR(U10/Q10-1,""))</f>
        <v/>
      </c>
      <c r="V12" s="9">
        <f>IF(OR(V10="",R10=""),"",IFERROR(V10/R10-1,""))</f>
        <v/>
      </c>
      <c r="X12" s="9">
        <f>IF(OR(X10="",W10=""),"",IFERROR(X10/W10-1,""))</f>
        <v/>
      </c>
      <c r="Y12" s="9">
        <f>IF(OR(Y10="",X10=""),"",IFERROR(Y10/X10-1,""))</f>
        <v/>
      </c>
      <c r="Z12" s="9">
        <f>IF(OR(Z10="",Y10=""),"",IFERROR(Z10/Y10-1,""))</f>
        <v/>
      </c>
      <c r="AA12" s="9">
        <f>IF(OR(AA10="",Z10=""),"",IFERROR(AA10/Z10-1,""))</f>
        <v/>
      </c>
      <c r="AB12" s="9">
        <f>IF(OR(AB10="",AA10=""),"",IFERROR(AB10/AA10-1,""))</f>
        <v/>
      </c>
      <c r="AC12" s="9">
        <f>IF(OR(AC10="",AB10=""),"",IFERROR(AC10/AB10-1,""))</f>
        <v/>
      </c>
      <c r="AD12" s="9">
        <f>IF(OR(AD10="",AC10=""),"",IFERROR(AD10/AC10-1,""))</f>
        <v/>
      </c>
    </row>
    <row r="13">
      <c r="A13" s="10" t="inlineStr">
        <is>
          <t>이자수익</t>
        </is>
      </c>
      <c r="C13" s="11" t="n">
        <v>0.09</v>
      </c>
      <c r="D13" s="11" t="n">
        <v>0.02</v>
      </c>
      <c r="E13" s="11" t="n">
        <v>0.06</v>
      </c>
      <c r="F13" s="11" t="n">
        <v>0.05</v>
      </c>
      <c r="G13" s="11" t="n">
        <v>0.04</v>
      </c>
      <c r="H13" s="11" t="n">
        <v>0.06</v>
      </c>
      <c r="I13" s="11" t="n">
        <v>0.03</v>
      </c>
      <c r="J13" s="11" t="n">
        <v>0.04</v>
      </c>
      <c r="K13" s="11" t="n">
        <v>0.03</v>
      </c>
      <c r="L13" s="11" t="n">
        <v>0.15</v>
      </c>
      <c r="M13" s="11" t="n">
        <v>0.07000000000000001</v>
      </c>
      <c r="N13" s="11" t="n">
        <v>0.11</v>
      </c>
      <c r="O13" s="11" t="n">
        <v>0.09</v>
      </c>
      <c r="P13" s="11" t="n">
        <v>0.11</v>
      </c>
      <c r="Q13" s="11" t="n">
        <v>0.07000000000000001</v>
      </c>
      <c r="R13" s="11" t="n">
        <v>0.11</v>
      </c>
      <c r="S13" s="11" t="n">
        <v>0.13</v>
      </c>
      <c r="T13" s="11" t="n">
        <v>0.07000000000000001</v>
      </c>
      <c r="U13" s="11" t="n">
        <v>0.1</v>
      </c>
      <c r="V13" s="11" t="n">
        <v>0.12</v>
      </c>
      <c r="W13" s="11" t="n">
        <v>0.17</v>
      </c>
      <c r="X13" s="11" t="n">
        <v>0.27</v>
      </c>
      <c r="Y13" s="11" t="n">
        <v>0.21</v>
      </c>
      <c r="Z13" s="11" t="n">
        <v>0.23</v>
      </c>
      <c r="AA13" s="11" t="n">
        <v>0.21</v>
      </c>
      <c r="AB13" s="11" t="n">
        <v>0.25</v>
      </c>
      <c r="AC13" s="11" t="n">
        <v>0.38</v>
      </c>
      <c r="AD13" s="11" t="n">
        <v>0.38</v>
      </c>
    </row>
    <row r="14">
      <c r="A14" s="10" t="inlineStr">
        <is>
          <t>배당금수익</t>
        </is>
      </c>
      <c r="C14" s="11" t="n">
        <v>0</v>
      </c>
      <c r="D14" s="11" t="n">
        <v>0.04</v>
      </c>
      <c r="E14" s="11" t="n">
        <v>0.01</v>
      </c>
      <c r="F14" s="11" t="n">
        <v>0.13</v>
      </c>
      <c r="G14" s="11" t="n">
        <v>0</v>
      </c>
      <c r="H14" s="11" t="n">
        <v>0.05</v>
      </c>
      <c r="I14" s="11" t="n">
        <v>0.01</v>
      </c>
      <c r="J14" s="11" t="n">
        <v>0.14</v>
      </c>
      <c r="K14" s="11" t="n">
        <v>0</v>
      </c>
      <c r="L14" s="11" t="n">
        <v>0.07000000000000001</v>
      </c>
      <c r="M14" s="11" t="n">
        <v>0.02</v>
      </c>
      <c r="N14" s="11" t="n">
        <v>0.16</v>
      </c>
      <c r="O14" s="11" t="n">
        <v>0</v>
      </c>
      <c r="P14" s="11" t="n">
        <v>0.07000000000000001</v>
      </c>
      <c r="Q14" s="11" t="n">
        <v>0.02</v>
      </c>
      <c r="R14" s="11" t="n">
        <v>0.2</v>
      </c>
      <c r="S14" s="11" t="n">
        <v>0</v>
      </c>
      <c r="T14" s="11" t="n">
        <v>0.09</v>
      </c>
      <c r="U14" s="11" t="n">
        <v>0.02</v>
      </c>
      <c r="V14" s="11" t="n">
        <v>0.22</v>
      </c>
      <c r="W14" s="11" t="n">
        <v>0.14</v>
      </c>
      <c r="X14" s="11" t="n">
        <v>0.13</v>
      </c>
      <c r="Y14" s="11" t="n">
        <v>0.14</v>
      </c>
      <c r="Z14" s="11" t="n">
        <v>0.14</v>
      </c>
      <c r="AA14" s="11" t="n">
        <v>0.19</v>
      </c>
      <c r="AB14" s="11" t="n">
        <v>0.22</v>
      </c>
      <c r="AC14" s="11" t="n">
        <v>0.25</v>
      </c>
      <c r="AD14" s="11" t="n">
        <v>0.31</v>
      </c>
    </row>
    <row r="15">
      <c r="A15" s="10" t="inlineStr">
        <is>
          <t>지분법이익</t>
        </is>
      </c>
      <c r="C15" s="11" t="n">
        <v>0.36</v>
      </c>
      <c r="D15" s="11" t="n">
        <v>1.13</v>
      </c>
      <c r="E15" s="11" t="n">
        <v>0.43</v>
      </c>
      <c r="F15" s="11" t="n">
        <v>0.1</v>
      </c>
      <c r="G15" s="11" t="n">
        <v>0.42</v>
      </c>
      <c r="H15" s="11" t="n">
        <v>0.53</v>
      </c>
      <c r="I15" s="11" t="n">
        <v>0.27</v>
      </c>
      <c r="J15" s="11" t="n">
        <v>0.36</v>
      </c>
      <c r="K15" s="11" t="n">
        <v>2.03</v>
      </c>
      <c r="L15" s="11" t="n">
        <v>0.48</v>
      </c>
      <c r="M15" s="11" t="n">
        <v>0.41</v>
      </c>
      <c r="N15" s="11" t="n">
        <v>0.51</v>
      </c>
      <c r="O15" s="11" t="n">
        <v>0.65</v>
      </c>
      <c r="P15" s="11" t="n">
        <v>0.64</v>
      </c>
      <c r="Q15" s="11" t="n">
        <v>0.39</v>
      </c>
      <c r="R15" s="11" t="n">
        <v>0.46</v>
      </c>
      <c r="S15" s="11" t="n">
        <v>0.52</v>
      </c>
      <c r="T15" s="11" t="n">
        <v>1.21</v>
      </c>
      <c r="U15" s="11" t="n">
        <v>0.59</v>
      </c>
      <c r="V15" s="11" t="n">
        <v>0.66</v>
      </c>
      <c r="W15" s="11" t="n">
        <v>2.7</v>
      </c>
      <c r="X15" s="11" t="n">
        <v>2.63</v>
      </c>
      <c r="Y15" s="11" t="n">
        <v>2.55</v>
      </c>
      <c r="Z15" s="11" t="n">
        <v>2.39</v>
      </c>
      <c r="AA15" s="11" t="n">
        <v>1.48</v>
      </c>
      <c r="AB15" s="11" t="n">
        <v>3.14</v>
      </c>
      <c r="AC15" s="11" t="n">
        <v>2.21</v>
      </c>
      <c r="AD15" s="11" t="n">
        <v>2.58</v>
      </c>
    </row>
    <row r="16">
      <c r="A16" s="10" t="inlineStr">
        <is>
          <t>외환차익</t>
        </is>
      </c>
      <c r="C16" s="11" t="n">
        <v>0.54</v>
      </c>
      <c r="D16" s="11" t="n">
        <v>0.86</v>
      </c>
      <c r="E16" s="11" t="n">
        <v>2.1</v>
      </c>
      <c r="F16" s="11" t="n">
        <v>2.44</v>
      </c>
      <c r="G16" s="11" t="n">
        <v>0.28</v>
      </c>
      <c r="H16" s="11" t="n">
        <v>-1.87</v>
      </c>
      <c r="I16" s="11" t="n">
        <v>0.7</v>
      </c>
      <c r="J16" s="11" t="n">
        <v>1.98</v>
      </c>
      <c r="K16" s="11" t="n">
        <v>0.24</v>
      </c>
      <c r="L16" s="11" t="n">
        <v>-0.41</v>
      </c>
      <c r="M16" s="11" t="n">
        <v>1.45</v>
      </c>
      <c r="N16" s="11" t="n">
        <v>0.04</v>
      </c>
      <c r="O16" s="11" t="n">
        <v>-1.38</v>
      </c>
      <c r="P16" s="11" t="n">
        <v>0.86</v>
      </c>
      <c r="Q16" s="11" t="n">
        <v>0</v>
      </c>
      <c r="R16" s="11" t="n">
        <v>0</v>
      </c>
      <c r="S16" s="11" t="n">
        <v>0</v>
      </c>
      <c r="T16" s="11" t="n">
        <v>0</v>
      </c>
      <c r="Y16" s="11" t="n">
        <v>0</v>
      </c>
      <c r="Z16" s="11" t="n">
        <v>2.47</v>
      </c>
      <c r="AA16" s="11" t="n">
        <v>2.95</v>
      </c>
      <c r="AB16" s="11" t="n">
        <v>2.51</v>
      </c>
      <c r="AC16" s="11" t="n">
        <v>0.97</v>
      </c>
      <c r="AD16" s="11" t="n">
        <v>0</v>
      </c>
    </row>
    <row r="17">
      <c r="A17" s="10" t="inlineStr">
        <is>
          <t>보조금 수입</t>
        </is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0.57</v>
      </c>
      <c r="N17" s="11" t="n">
        <v>0</v>
      </c>
      <c r="O17" s="11" t="n">
        <v>0.4</v>
      </c>
      <c r="P17" s="11" t="n">
        <v>0</v>
      </c>
      <c r="Q17" s="11" t="n">
        <v>0.23</v>
      </c>
      <c r="R17" s="11" t="n">
        <v>0.19</v>
      </c>
      <c r="S17" s="11" t="n">
        <v>0.29</v>
      </c>
      <c r="T17" s="11" t="n">
        <v>0.01</v>
      </c>
      <c r="U17" s="11" t="n">
        <v>0.04</v>
      </c>
      <c r="V17" s="11" t="n">
        <v>0.98</v>
      </c>
      <c r="AB17" s="11" t="n">
        <v>0</v>
      </c>
      <c r="AC17" s="11" t="n">
        <v>0.97</v>
      </c>
      <c r="AD17" s="11" t="n">
        <v>0.72</v>
      </c>
    </row>
    <row r="18">
      <c r="A18" s="10" t="inlineStr">
        <is>
          <t>기타</t>
        </is>
      </c>
      <c r="C18" s="11" t="n">
        <v>0.31</v>
      </c>
      <c r="D18" s="11" t="n">
        <v>0.17</v>
      </c>
      <c r="E18" s="11" t="n">
        <v>0.17</v>
      </c>
      <c r="F18" s="11" t="n">
        <v>0.11</v>
      </c>
      <c r="G18" s="11" t="n">
        <v>0.18</v>
      </c>
      <c r="H18" s="11" t="n">
        <v>0.3</v>
      </c>
      <c r="I18" s="11" t="n">
        <v>0.42</v>
      </c>
      <c r="J18" s="11" t="n">
        <v>0.14</v>
      </c>
      <c r="K18" s="11" t="n">
        <v>0.16</v>
      </c>
      <c r="L18" s="11" t="n">
        <v>0.31</v>
      </c>
      <c r="M18" s="11" t="n">
        <v>0.26</v>
      </c>
      <c r="N18" s="11" t="n">
        <v>0.36</v>
      </c>
      <c r="O18" s="11" t="n">
        <v>-0.1</v>
      </c>
      <c r="P18" s="11" t="n">
        <v>0.17</v>
      </c>
      <c r="Q18" s="11" t="n">
        <v>0.09</v>
      </c>
      <c r="R18" s="11" t="n">
        <v>0.14</v>
      </c>
      <c r="S18" s="11" t="n">
        <v>0.13</v>
      </c>
      <c r="T18" s="11" t="n">
        <v>0.17</v>
      </c>
      <c r="U18" s="11" t="n">
        <v>0.11</v>
      </c>
      <c r="V18" s="11" t="n">
        <v>0.11</v>
      </c>
      <c r="W18" s="11" t="n">
        <v>0.85</v>
      </c>
      <c r="X18" s="11" t="n">
        <v>0.79</v>
      </c>
      <c r="Y18" s="11" t="n">
        <v>0.63</v>
      </c>
      <c r="Z18" s="11" t="n">
        <v>0.79</v>
      </c>
      <c r="AA18" s="11" t="n">
        <v>0.76</v>
      </c>
      <c r="AB18" s="11" t="n">
        <v>1.03</v>
      </c>
      <c r="AC18" s="11" t="n">
        <v>0.6899999999999999</v>
      </c>
      <c r="AD18" s="11" t="n">
        <v>0.53</v>
      </c>
    </row>
    <row r="19">
      <c r="A19" s="5" t="inlineStr">
        <is>
          <t>영업외수익 합계</t>
        </is>
      </c>
      <c r="C19" s="6" t="n">
        <v>1.31</v>
      </c>
      <c r="D19" s="6" t="n">
        <v>2.22</v>
      </c>
      <c r="E19" s="6" t="n">
        <v>2.77</v>
      </c>
      <c r="F19" s="6" t="n">
        <v>2.83</v>
      </c>
      <c r="G19" s="6" t="n">
        <v>0.92</v>
      </c>
      <c r="H19" s="6" t="n">
        <v>-0.93</v>
      </c>
      <c r="I19" s="6" t="n">
        <v>1.44</v>
      </c>
      <c r="J19" s="6" t="n">
        <v>2.66</v>
      </c>
      <c r="K19" s="6" t="n">
        <v>2.46</v>
      </c>
      <c r="L19" s="6" t="n">
        <v>0.58</v>
      </c>
      <c r="M19" s="6" t="n">
        <v>2.77</v>
      </c>
      <c r="N19" s="6" t="n">
        <v>1.19</v>
      </c>
      <c r="O19" s="6" t="n">
        <v>-0.34</v>
      </c>
      <c r="P19" s="6" t="n">
        <v>1.85</v>
      </c>
      <c r="Q19" s="6" t="n">
        <v>0.79</v>
      </c>
      <c r="R19" s="6" t="n">
        <v>1.12</v>
      </c>
      <c r="S19" s="6" t="n">
        <v>1.06</v>
      </c>
      <c r="T19" s="6" t="n">
        <v>1.55</v>
      </c>
      <c r="U19" s="6" t="n">
        <v>0.85</v>
      </c>
      <c r="V19" s="6" t="n">
        <v>2.22</v>
      </c>
      <c r="W19" s="6" t="n">
        <v>3.87</v>
      </c>
      <c r="X19" s="6" t="n">
        <v>3.82</v>
      </c>
      <c r="Y19" s="6" t="n">
        <v>3.53</v>
      </c>
      <c r="Z19" s="6" t="n">
        <v>6.02</v>
      </c>
      <c r="AA19" s="6" t="n">
        <v>5.59</v>
      </c>
      <c r="AB19" s="6" t="n">
        <v>7.14</v>
      </c>
      <c r="AC19" s="6" t="n">
        <v>5.47</v>
      </c>
      <c r="AD19" s="6" t="n">
        <v>4.52</v>
      </c>
    </row>
    <row r="20">
      <c r="A20" s="10" t="inlineStr">
        <is>
          <t>이자비용</t>
        </is>
      </c>
      <c r="C20" s="11" t="n">
        <v>0.1</v>
      </c>
      <c r="D20" s="11" t="n">
        <v>-0.02</v>
      </c>
      <c r="E20" s="11" t="n">
        <v>0.02</v>
      </c>
      <c r="F20" s="11" t="n">
        <v>0.02</v>
      </c>
      <c r="G20" s="11" t="n">
        <v>0.04</v>
      </c>
      <c r="H20" s="11" t="n">
        <v>0.05</v>
      </c>
      <c r="I20" s="11" t="n">
        <v>0</v>
      </c>
      <c r="J20" s="11" t="n">
        <v>0</v>
      </c>
      <c r="K20" s="11" t="n">
        <v>0</v>
      </c>
      <c r="L20" s="11" t="n">
        <v>0.12</v>
      </c>
      <c r="M20" s="11" t="n">
        <v>0.15</v>
      </c>
      <c r="N20" s="11" t="n">
        <v>0.21</v>
      </c>
      <c r="O20" s="11" t="n">
        <v>0.15</v>
      </c>
      <c r="P20" s="11" t="n">
        <v>0.16</v>
      </c>
      <c r="Q20" s="11" t="n">
        <v>0.14</v>
      </c>
      <c r="R20" s="11" t="n">
        <v>0.15</v>
      </c>
      <c r="S20" s="11" t="n">
        <v>0.1</v>
      </c>
      <c r="T20" s="11" t="n">
        <v>0.07000000000000001</v>
      </c>
      <c r="U20" s="11" t="n">
        <v>0.11</v>
      </c>
      <c r="V20" s="11" t="n">
        <v>0.14</v>
      </c>
      <c r="W20" s="11" t="n">
        <v>0.18</v>
      </c>
      <c r="X20" s="11" t="n">
        <v>0.17</v>
      </c>
      <c r="Y20" s="11" t="n">
        <v>0.14</v>
      </c>
      <c r="Z20" s="11" t="n">
        <v>0.12</v>
      </c>
      <c r="AA20" s="11" t="n">
        <v>0.13</v>
      </c>
      <c r="AB20" s="11" t="n">
        <v>0.12</v>
      </c>
      <c r="AC20" s="11" t="n">
        <v>0.67</v>
      </c>
      <c r="AD20" s="11" t="n">
        <v>0.46</v>
      </c>
    </row>
    <row r="21">
      <c r="A21" s="10" t="inlineStr">
        <is>
          <t>파생상품 평가손실</t>
        </is>
      </c>
      <c r="E21" s="11" t="n">
        <v>0.03</v>
      </c>
      <c r="F21" s="11" t="n">
        <v>-0.01</v>
      </c>
      <c r="I21" s="11" t="n">
        <v>0.01</v>
      </c>
      <c r="J21" s="11" t="n">
        <v>0</v>
      </c>
    </row>
    <row r="22">
      <c r="A22" s="10" t="inlineStr">
        <is>
          <t>외환차손</t>
        </is>
      </c>
      <c r="C22" s="11" t="n">
        <v>0</v>
      </c>
      <c r="D22" s="11" t="n">
        <v>0</v>
      </c>
      <c r="M22" s="11" t="n">
        <v>0</v>
      </c>
      <c r="N22" s="11" t="n">
        <v>0</v>
      </c>
      <c r="O22" s="11" t="n">
        <v>0</v>
      </c>
      <c r="P22" s="11" t="n">
        <v>0</v>
      </c>
      <c r="Q22" s="11" t="n">
        <v>1.39</v>
      </c>
      <c r="R22" s="11" t="n">
        <v>0.4</v>
      </c>
      <c r="S22" s="11" t="n">
        <v>-0.63</v>
      </c>
      <c r="T22" s="11" t="n">
        <v>-0.62</v>
      </c>
      <c r="U22" s="11" t="n">
        <v>0.21</v>
      </c>
      <c r="V22" s="11" t="n">
        <v>-0.21</v>
      </c>
      <c r="W22" s="11" t="n">
        <v>0.43</v>
      </c>
      <c r="X22" s="11" t="n">
        <v>0.64</v>
      </c>
      <c r="Y22" s="11" t="n">
        <v>1.25</v>
      </c>
      <c r="Z22" s="11" t="n">
        <v>0</v>
      </c>
      <c r="AC22" s="11" t="n">
        <v>0</v>
      </c>
      <c r="AD22" s="11" t="n">
        <v>0.54</v>
      </c>
    </row>
    <row r="23">
      <c r="A23" s="10" t="inlineStr">
        <is>
          <t>고정자산 제각손실</t>
        </is>
      </c>
      <c r="H23" s="11" t="n">
        <v>0.03</v>
      </c>
      <c r="L23" s="11" t="n">
        <v>0.01</v>
      </c>
      <c r="W23" s="11" t="n">
        <v>0.58</v>
      </c>
      <c r="X23" s="11" t="n">
        <v>0</v>
      </c>
      <c r="Y23" s="11" t="n">
        <v>0.1</v>
      </c>
      <c r="Z23" s="11" t="n">
        <v>0.05</v>
      </c>
      <c r="AA23" s="11" t="n">
        <v>0.05</v>
      </c>
      <c r="AB23" s="11" t="n">
        <v>0.07000000000000001</v>
      </c>
      <c r="AC23" s="11" t="n">
        <v>0.01</v>
      </c>
      <c r="AD23" s="11" t="n">
        <v>0.01</v>
      </c>
    </row>
    <row r="24">
      <c r="A24" s="10" t="inlineStr">
        <is>
          <t>개업비 상각</t>
        </is>
      </c>
      <c r="AA24" s="11" t="n">
        <v>0</v>
      </c>
      <c r="AB24" s="11" t="n">
        <v>0.67</v>
      </c>
      <c r="AC24" s="11" t="n">
        <v>0</v>
      </c>
    </row>
    <row r="25">
      <c r="A25" s="10" t="inlineStr">
        <is>
          <t>기타</t>
        </is>
      </c>
      <c r="C25" s="11" t="n">
        <v>0.04</v>
      </c>
      <c r="D25" s="11" t="n">
        <v>0</v>
      </c>
      <c r="E25" s="11" t="n">
        <v>0.01</v>
      </c>
      <c r="F25" s="11" t="n">
        <v>0.02</v>
      </c>
      <c r="G25" s="11" t="n">
        <v>0.06</v>
      </c>
      <c r="H25" s="11" t="n">
        <v>0.09</v>
      </c>
      <c r="I25" s="11" t="n">
        <v>0.05</v>
      </c>
      <c r="J25" s="11" t="n">
        <v>-0.01</v>
      </c>
      <c r="K25" s="11" t="n">
        <v>0.04</v>
      </c>
      <c r="L25" s="11" t="n">
        <v>0.19</v>
      </c>
      <c r="M25" s="11" t="n">
        <v>0.02</v>
      </c>
      <c r="N25" s="11" t="n">
        <v>0.64</v>
      </c>
      <c r="O25" s="11" t="n">
        <v>-0.02</v>
      </c>
      <c r="P25" s="11" t="n">
        <v>-0.15</v>
      </c>
      <c r="Q25" s="11" t="n">
        <v>0.05</v>
      </c>
      <c r="R25" s="11" t="n">
        <v>0.07000000000000001</v>
      </c>
      <c r="S25" s="11" t="n">
        <v>0.03</v>
      </c>
      <c r="T25" s="11" t="n">
        <v>0</v>
      </c>
      <c r="U25" s="11" t="n">
        <v>0.07000000000000001</v>
      </c>
      <c r="V25" s="11" t="n">
        <v>0.03</v>
      </c>
      <c r="W25" s="11" t="n">
        <v>0.16</v>
      </c>
      <c r="X25" s="11" t="n">
        <v>0.11</v>
      </c>
      <c r="Y25" s="11" t="n">
        <v>0.16</v>
      </c>
      <c r="Z25" s="11" t="n">
        <v>0.09</v>
      </c>
      <c r="AA25" s="11" t="n">
        <v>0.18</v>
      </c>
      <c r="AB25" s="11" t="n">
        <v>0.27</v>
      </c>
      <c r="AC25" s="11" t="n">
        <v>0.49</v>
      </c>
      <c r="AD25" s="11" t="n">
        <v>0.15</v>
      </c>
    </row>
    <row r="26">
      <c r="A26" s="10" t="inlineStr">
        <is>
          <t>영업외비용 합계</t>
        </is>
      </c>
      <c r="C26" s="11" t="n">
        <v>0.14</v>
      </c>
      <c r="D26" s="11" t="n">
        <v>0.03</v>
      </c>
      <c r="E26" s="11" t="n">
        <v>0.07000000000000001</v>
      </c>
      <c r="F26" s="11" t="n">
        <v>0.02</v>
      </c>
      <c r="G26" s="11" t="n">
        <v>0.1</v>
      </c>
      <c r="H26" s="11" t="n">
        <v>0.17</v>
      </c>
      <c r="I26" s="11" t="n">
        <v>0.05</v>
      </c>
      <c r="J26" s="11" t="n">
        <v>-0.01</v>
      </c>
      <c r="K26" s="11" t="n">
        <v>0.04</v>
      </c>
      <c r="L26" s="11" t="n">
        <v>1.05</v>
      </c>
      <c r="M26" s="11" t="n">
        <v>0.17</v>
      </c>
      <c r="N26" s="11" t="n">
        <v>0.85</v>
      </c>
      <c r="O26" s="11" t="n">
        <v>0.13</v>
      </c>
      <c r="P26" s="11" t="n">
        <v>0.02</v>
      </c>
      <c r="Q26" s="11" t="n">
        <v>1.58</v>
      </c>
      <c r="R26" s="11" t="n">
        <v>0.61</v>
      </c>
      <c r="S26" s="11" t="n">
        <v>-0.5</v>
      </c>
      <c r="T26" s="11" t="n">
        <v>-0.54</v>
      </c>
      <c r="U26" s="11" t="n">
        <v>0.39</v>
      </c>
      <c r="V26" s="11" t="n">
        <v>-0.04</v>
      </c>
      <c r="W26" s="11" t="n">
        <v>1.35</v>
      </c>
      <c r="X26" s="11" t="n">
        <v>0.93</v>
      </c>
      <c r="Y26" s="11" t="n">
        <v>1.66</v>
      </c>
      <c r="Z26" s="11" t="n">
        <v>0.26</v>
      </c>
      <c r="AA26" s="11" t="n">
        <v>0.36</v>
      </c>
      <c r="AB26" s="11" t="n">
        <v>1.13</v>
      </c>
      <c r="AC26" s="11" t="n">
        <v>1.17</v>
      </c>
      <c r="AD26" s="11" t="n">
        <v>1.15</v>
      </c>
    </row>
    <row r="27">
      <c r="A27" s="5" t="inlineStr">
        <is>
          <t>경상이익</t>
        </is>
      </c>
      <c r="C27" s="6" t="n">
        <v>5.69</v>
      </c>
      <c r="D27" s="6" t="n">
        <v>2.79</v>
      </c>
      <c r="E27" s="6" t="n">
        <v>4.71</v>
      </c>
      <c r="F27" s="6" t="n">
        <v>3.75</v>
      </c>
      <c r="G27" s="6" t="n">
        <v>2.98</v>
      </c>
      <c r="H27" s="6" t="n">
        <v>-0.98</v>
      </c>
      <c r="I27" s="6" t="n">
        <v>3.95</v>
      </c>
      <c r="J27" s="6" t="n">
        <v>5.38</v>
      </c>
      <c r="K27" s="6" t="n">
        <v>7.66</v>
      </c>
      <c r="L27" s="6" t="n">
        <v>1.27</v>
      </c>
      <c r="M27" s="6" t="n">
        <v>4.5</v>
      </c>
      <c r="N27" s="6" t="n">
        <v>5.15</v>
      </c>
      <c r="O27" s="6" t="n">
        <v>3.94</v>
      </c>
      <c r="P27" s="6" t="n">
        <v>4.62</v>
      </c>
      <c r="Q27" s="6" t="n">
        <v>4.41</v>
      </c>
      <c r="R27" s="6" t="n">
        <v>4.81</v>
      </c>
      <c r="S27" s="6" t="n">
        <v>8.76</v>
      </c>
      <c r="T27" s="6" t="n">
        <v>9.06</v>
      </c>
      <c r="U27" s="6" t="n">
        <v>11.17</v>
      </c>
      <c r="V27" s="6" t="n">
        <v>16.12</v>
      </c>
      <c r="W27" s="6" t="n">
        <v>22.02</v>
      </c>
      <c r="X27" s="6" t="n">
        <v>15.68</v>
      </c>
      <c r="Y27" s="6" t="n">
        <v>10.3</v>
      </c>
      <c r="Z27" s="6" t="n">
        <v>20.11</v>
      </c>
      <c r="AA27" s="6" t="n">
        <v>10.46</v>
      </c>
      <c r="AB27" s="6" t="n">
        <v>18.26</v>
      </c>
      <c r="AC27" s="6" t="n">
        <v>18.21</v>
      </c>
      <c r="AD27" s="6" t="n">
        <v>27.04</v>
      </c>
    </row>
    <row r="28">
      <c r="A28" s="8" t="inlineStr">
        <is>
          <t>경상이익률</t>
        </is>
      </c>
      <c r="C28" s="9">
        <f>IF(OR(C27="",C4=""),"",IFERROR(C27/C4,""))</f>
        <v/>
      </c>
      <c r="D28" s="9">
        <f>IF(OR(D27="",D4=""),"",IFERROR(D27/D4,""))</f>
        <v/>
      </c>
      <c r="E28" s="9">
        <f>IF(OR(E27="",E4=""),"",IFERROR(E27/E4,""))</f>
        <v/>
      </c>
      <c r="F28" s="9">
        <f>IF(OR(F27="",F4=""),"",IFERROR(F27/F4,""))</f>
        <v/>
      </c>
      <c r="G28" s="9">
        <f>IF(OR(G27="",G4=""),"",IFERROR(G27/G4,""))</f>
        <v/>
      </c>
      <c r="H28" s="9">
        <f>IF(OR(H27="",H4=""),"",IFERROR(H27/H4,""))</f>
        <v/>
      </c>
      <c r="I28" s="9">
        <f>IF(OR(I27="",I4=""),"",IFERROR(I27/I4,""))</f>
        <v/>
      </c>
      <c r="J28" s="9">
        <f>IF(OR(J27="",J4=""),"",IFERROR(J27/J4,""))</f>
        <v/>
      </c>
      <c r="K28" s="9">
        <f>IF(OR(K27="",K4=""),"",IFERROR(K27/K4,""))</f>
        <v/>
      </c>
      <c r="L28" s="9">
        <f>IF(OR(L27="",L4=""),"",IFERROR(L27/L4,""))</f>
        <v/>
      </c>
      <c r="M28" s="9">
        <f>IF(OR(M27="",M4=""),"",IFERROR(M27/M4,""))</f>
        <v/>
      </c>
      <c r="N28" s="9">
        <f>IF(OR(N27="",N4=""),"",IFERROR(N27/N4,""))</f>
        <v/>
      </c>
      <c r="O28" s="9">
        <f>IF(OR(O27="",O4=""),"",IFERROR(O27/O4,""))</f>
        <v/>
      </c>
      <c r="P28" s="9">
        <f>IF(OR(P27="",P4=""),"",IFERROR(P27/P4,""))</f>
        <v/>
      </c>
      <c r="Q28" s="9">
        <f>IF(OR(Q27="",Q4=""),"",IFERROR(Q27/Q4,""))</f>
        <v/>
      </c>
      <c r="R28" s="9">
        <f>IF(OR(R27="",R4=""),"",IFERROR(R27/R4,""))</f>
        <v/>
      </c>
      <c r="S28" s="9">
        <f>IF(OR(S27="",S4=""),"",IFERROR(S27/S4,""))</f>
        <v/>
      </c>
      <c r="T28" s="9">
        <f>IF(OR(T27="",T4=""),"",IFERROR(T27/T4,""))</f>
        <v/>
      </c>
      <c r="U28" s="9">
        <f>IF(OR(U27="",U4=""),"",IFERROR(U27/U4,""))</f>
        <v/>
      </c>
      <c r="V28" s="9">
        <f>IF(OR(V27="",V4=""),"",IFERROR(V27/V4,""))</f>
        <v/>
      </c>
      <c r="W28" s="9">
        <f>IF(OR(W27="",W4=""),"",IFERROR(W27/W4,""))</f>
        <v/>
      </c>
      <c r="X28" s="9">
        <f>IF(OR(X27="",X4=""),"",IFERROR(X27/X4,""))</f>
        <v/>
      </c>
      <c r="Y28" s="9">
        <f>IF(OR(Y27="",Y4=""),"",IFERROR(Y27/Y4,""))</f>
        <v/>
      </c>
      <c r="Z28" s="9">
        <f>IF(OR(Z27="",Z4=""),"",IFERROR(Z27/Z4,""))</f>
        <v/>
      </c>
      <c r="AA28" s="9">
        <f>IF(OR(AA27="",AA4=""),"",IFERROR(AA27/AA4,""))</f>
        <v/>
      </c>
      <c r="AB28" s="9">
        <f>IF(OR(AB27="",AB4=""),"",IFERROR(AB27/AB4,""))</f>
        <v/>
      </c>
      <c r="AC28" s="9">
        <f>IF(OR(AC27="",AC4=""),"",IFERROR(AC27/AC4,""))</f>
        <v/>
      </c>
      <c r="AD28" s="9">
        <f>IF(OR(AD27="",AD4=""),"",IFERROR(AD27/AD4,""))</f>
        <v/>
      </c>
    </row>
    <row r="29">
      <c r="A29" s="10" t="inlineStr">
        <is>
          <t>투자유가증권 매각이익</t>
        </is>
      </c>
      <c r="W29" s="11" t="n">
        <v>0.76</v>
      </c>
      <c r="X29" s="11" t="n">
        <v>0</v>
      </c>
    </row>
    <row r="30">
      <c r="A30" s="10" t="inlineStr">
        <is>
          <t>고정자산 매각이익</t>
        </is>
      </c>
      <c r="C30" s="11" t="n">
        <v>0</v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Y30" s="11" t="n">
        <v>0</v>
      </c>
      <c r="Z30" s="11" t="n">
        <v>8.33</v>
      </c>
      <c r="AA30" s="11" t="n">
        <v>0</v>
      </c>
    </row>
    <row r="31">
      <c r="A31" s="10" t="inlineStr">
        <is>
          <t>부의 영업권 발생이익</t>
        </is>
      </c>
      <c r="H31" s="11" t="n">
        <v>0</v>
      </c>
      <c r="L31" s="11" t="n">
        <v>0</v>
      </c>
      <c r="P31" s="11" t="n">
        <v>0</v>
      </c>
      <c r="AA31" s="11" t="n">
        <v>0</v>
      </c>
      <c r="AB31" s="11" t="n">
        <v>2.85</v>
      </c>
      <c r="AC31" s="11" t="n">
        <v>0</v>
      </c>
    </row>
    <row r="32">
      <c r="A32" s="10" t="inlineStr">
        <is>
          <t>특별이익 합계</t>
        </is>
      </c>
      <c r="C32" s="11" t="n">
        <v>0</v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L32" s="11" t="n">
        <v>0</v>
      </c>
      <c r="P32" s="11" t="n">
        <v>0</v>
      </c>
      <c r="W32" s="11" t="n">
        <v>0.76</v>
      </c>
      <c r="X32" s="11" t="n">
        <v>0</v>
      </c>
      <c r="Y32" s="11" t="n">
        <v>0</v>
      </c>
      <c r="Z32" s="11" t="n">
        <v>8.33</v>
      </c>
      <c r="AA32" s="11" t="n">
        <v>0</v>
      </c>
      <c r="AB32" s="11" t="n">
        <v>2.85</v>
      </c>
      <c r="AC32" s="11" t="n">
        <v>0</v>
      </c>
    </row>
    <row r="33">
      <c r="A33" s="10" t="inlineStr">
        <is>
          <t>손상차손</t>
        </is>
      </c>
      <c r="D33" s="11" t="n">
        <v>0</v>
      </c>
      <c r="X33" s="11" t="n">
        <v>0</v>
      </c>
      <c r="Y33" s="11" t="n">
        <v>1.19</v>
      </c>
      <c r="Z33" s="11" t="n">
        <v>0</v>
      </c>
      <c r="AA33" s="11" t="n">
        <v>0</v>
      </c>
      <c r="AB33" s="11" t="n">
        <v>0.31</v>
      </c>
      <c r="AC33" s="11" t="n">
        <v>1.88</v>
      </c>
      <c r="AD33" s="11" t="n">
        <v>0.29</v>
      </c>
    </row>
    <row r="34">
      <c r="A34" s="10" t="inlineStr">
        <is>
          <t>투자유가증권 평가손실</t>
        </is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0.47</v>
      </c>
      <c r="N34" s="11" t="n">
        <v>0</v>
      </c>
      <c r="O34" s="11" t="n">
        <v>0</v>
      </c>
      <c r="P34" s="11" t="n">
        <v>0.01</v>
      </c>
      <c r="Q34" s="11" t="n">
        <v>0.03</v>
      </c>
      <c r="R34" s="11" t="n">
        <v>0</v>
      </c>
      <c r="S34" s="11" t="n">
        <v>0</v>
      </c>
      <c r="T34" s="11" t="n">
        <v>0</v>
      </c>
      <c r="U34" s="11" t="n">
        <v>0</v>
      </c>
      <c r="V34" s="11" t="n">
        <v>0</v>
      </c>
      <c r="AB34" s="11" t="n">
        <v>0</v>
      </c>
      <c r="AC34" s="11" t="n">
        <v>0.48</v>
      </c>
      <c r="AD34" s="11" t="n">
        <v>0.03</v>
      </c>
    </row>
    <row r="35">
      <c r="A35" s="10" t="inlineStr">
        <is>
          <t>단계적 취득 차손</t>
        </is>
      </c>
      <c r="H35" s="11" t="n">
        <v>0</v>
      </c>
      <c r="L35" s="11" t="n">
        <v>-0.09</v>
      </c>
      <c r="P35" s="11" t="n">
        <v>0</v>
      </c>
      <c r="AA35" s="11" t="n">
        <v>0</v>
      </c>
      <c r="AB35" s="11" t="n">
        <v>0.25</v>
      </c>
      <c r="AC35" s="11" t="n">
        <v>0</v>
      </c>
    </row>
    <row r="36">
      <c r="A36" s="10" t="inlineStr">
        <is>
          <t>관계회사 정리손실 충당금 전입</t>
        </is>
      </c>
      <c r="AC36" s="11" t="n">
        <v>0</v>
      </c>
      <c r="AD36" s="11" t="n">
        <v>0.61</v>
      </c>
    </row>
    <row r="37">
      <c r="A37" s="10" t="inlineStr">
        <is>
          <t>특별손실 합계</t>
        </is>
      </c>
      <c r="D37" s="11" t="n">
        <v>0</v>
      </c>
      <c r="H37" s="11" t="n">
        <v>0</v>
      </c>
      <c r="I37" s="11" t="n">
        <v>0</v>
      </c>
      <c r="J37" s="11" t="n">
        <v>0</v>
      </c>
      <c r="K37" s="11" t="n">
        <v>0.34</v>
      </c>
      <c r="L37" s="11" t="n">
        <v>0.22</v>
      </c>
      <c r="M37" s="11" t="n">
        <v>0.47</v>
      </c>
      <c r="N37" s="11" t="n">
        <v>0</v>
      </c>
      <c r="O37" s="11" t="n">
        <v>0</v>
      </c>
      <c r="P37" s="11" t="n">
        <v>1.89</v>
      </c>
      <c r="Q37" s="11" t="n">
        <v>0.03</v>
      </c>
      <c r="R37" s="11" t="n">
        <v>0</v>
      </c>
      <c r="S37" s="11" t="n">
        <v>0</v>
      </c>
      <c r="T37" s="11" t="n">
        <v>0.89</v>
      </c>
      <c r="U37" s="11" t="n">
        <v>0</v>
      </c>
      <c r="V37" s="11" t="n">
        <v>3.84</v>
      </c>
      <c r="X37" s="11" t="n">
        <v>0</v>
      </c>
      <c r="Y37" s="11" t="n">
        <v>1.19</v>
      </c>
      <c r="Z37" s="11" t="n">
        <v>0</v>
      </c>
      <c r="AA37" s="11" t="n">
        <v>0</v>
      </c>
      <c r="AB37" s="11" t="n">
        <v>0.5600000000000001</v>
      </c>
      <c r="AC37" s="11" t="n">
        <v>2.36</v>
      </c>
      <c r="AD37" s="11" t="n">
        <v>0.92</v>
      </c>
    </row>
    <row r="38">
      <c r="A38" s="10" t="inlineStr">
        <is>
          <t>법인세차감전 순이익</t>
        </is>
      </c>
      <c r="C38" s="11" t="n">
        <v>5.69</v>
      </c>
      <c r="D38" s="11" t="n">
        <v>2.79</v>
      </c>
      <c r="E38" s="11" t="n">
        <v>4.71</v>
      </c>
      <c r="F38" s="11" t="n">
        <v>3.75</v>
      </c>
      <c r="G38" s="11" t="n">
        <v>2.98</v>
      </c>
      <c r="H38" s="11" t="n">
        <v>-0.98</v>
      </c>
      <c r="I38" s="11" t="n">
        <v>3.95</v>
      </c>
      <c r="J38" s="11" t="n">
        <v>5.38</v>
      </c>
      <c r="K38" s="11" t="n">
        <v>10.16</v>
      </c>
      <c r="L38" s="11" t="n">
        <v>1.06</v>
      </c>
      <c r="M38" s="11" t="n">
        <v>4.02</v>
      </c>
      <c r="N38" s="11" t="n">
        <v>5.15</v>
      </c>
      <c r="O38" s="11" t="n">
        <v>3.95</v>
      </c>
      <c r="P38" s="11" t="n">
        <v>2.73</v>
      </c>
      <c r="Q38" s="11" t="n">
        <v>4.38</v>
      </c>
      <c r="R38" s="11" t="n">
        <v>4.81</v>
      </c>
      <c r="S38" s="11" t="n">
        <v>8.77</v>
      </c>
      <c r="T38" s="11" t="n">
        <v>8.16</v>
      </c>
      <c r="U38" s="11" t="n">
        <v>11.17</v>
      </c>
      <c r="V38" s="11" t="n">
        <v>12.29</v>
      </c>
      <c r="W38" s="11" t="n">
        <v>22.78</v>
      </c>
      <c r="X38" s="11" t="n">
        <v>15.68</v>
      </c>
      <c r="Y38" s="11" t="n">
        <v>9.109999999999999</v>
      </c>
      <c r="Z38" s="11" t="n">
        <v>28.44</v>
      </c>
      <c r="AA38" s="11" t="n">
        <v>10.46</v>
      </c>
      <c r="AB38" s="11" t="n">
        <v>20.55</v>
      </c>
      <c r="AC38" s="11" t="n">
        <v>15.85</v>
      </c>
      <c r="AD38" s="11" t="n">
        <v>26.12</v>
      </c>
    </row>
    <row r="39">
      <c r="A39" s="10" t="inlineStr">
        <is>
          <t>법인세·주민세·사업세</t>
        </is>
      </c>
      <c r="C39" s="11" t="n">
        <v>2.28</v>
      </c>
      <c r="D39" s="11" t="n">
        <v>-2.3</v>
      </c>
      <c r="E39" s="11" t="n">
        <v>1.97</v>
      </c>
      <c r="F39" s="11" t="n">
        <v>0.99</v>
      </c>
      <c r="G39" s="11" t="n">
        <v>1.6</v>
      </c>
      <c r="H39" s="11" t="n">
        <v>1.31</v>
      </c>
      <c r="I39" s="11" t="n">
        <v>1.85</v>
      </c>
      <c r="J39" s="11" t="n">
        <v>0.46</v>
      </c>
      <c r="K39" s="11" t="n">
        <v>2.05</v>
      </c>
      <c r="L39" s="11" t="n">
        <v>0.98</v>
      </c>
      <c r="M39" s="11" t="n">
        <v>1.64</v>
      </c>
      <c r="N39" s="11" t="n">
        <v>0.55</v>
      </c>
      <c r="O39" s="11" t="n">
        <v>1.89</v>
      </c>
      <c r="P39" s="11" t="n">
        <v>0.44</v>
      </c>
      <c r="Q39" s="11" t="n">
        <v>2.37</v>
      </c>
      <c r="R39" s="11" t="n">
        <v>0.74</v>
      </c>
      <c r="S39" s="11" t="n">
        <v>1.98</v>
      </c>
      <c r="T39" s="11" t="n">
        <v>1.36</v>
      </c>
      <c r="U39" s="11" t="n">
        <v>3.98</v>
      </c>
      <c r="V39" s="11" t="n">
        <v>3.59</v>
      </c>
      <c r="W39" s="11" t="n">
        <v>6.07</v>
      </c>
      <c r="X39" s="11" t="n">
        <v>5.19</v>
      </c>
      <c r="Y39" s="11" t="n">
        <v>2.75</v>
      </c>
      <c r="Z39" s="11" t="n">
        <v>6.53</v>
      </c>
      <c r="AA39" s="11" t="n">
        <v>5.87</v>
      </c>
      <c r="AB39" s="11" t="n">
        <v>5.34</v>
      </c>
      <c r="AC39" s="11" t="n">
        <v>4.52</v>
      </c>
      <c r="AD39" s="11" t="n">
        <v>6.45</v>
      </c>
    </row>
    <row r="40">
      <c r="A40" s="10" t="inlineStr">
        <is>
          <t>법인세 조정액</t>
        </is>
      </c>
      <c r="C40" s="11" t="n">
        <v>-0.7</v>
      </c>
      <c r="D40" s="11" t="n">
        <v>3.76</v>
      </c>
      <c r="E40" s="11" t="n">
        <v>-0.82</v>
      </c>
      <c r="F40" s="11" t="n">
        <v>0.71</v>
      </c>
      <c r="G40" s="11" t="n">
        <v>-0.97</v>
      </c>
      <c r="H40" s="11" t="n">
        <v>-1.59</v>
      </c>
      <c r="I40" s="11" t="n">
        <v>-0.6</v>
      </c>
      <c r="J40" s="11" t="n">
        <v>0.91</v>
      </c>
      <c r="K40" s="11" t="n">
        <v>-0.13</v>
      </c>
      <c r="L40" s="11" t="n">
        <v>0.54</v>
      </c>
      <c r="M40" s="11" t="n">
        <v>-0.53</v>
      </c>
      <c r="N40" s="11" t="n">
        <v>1.07</v>
      </c>
      <c r="O40" s="11" t="n">
        <v>-0.95</v>
      </c>
      <c r="P40" s="11" t="n">
        <v>0</v>
      </c>
      <c r="Q40" s="11" t="n">
        <v>-0.64</v>
      </c>
      <c r="R40" s="11" t="n">
        <v>1.06</v>
      </c>
      <c r="S40" s="11" t="n">
        <v>-0.44</v>
      </c>
      <c r="T40" s="11" t="n">
        <v>2.34</v>
      </c>
      <c r="U40" s="11" t="n">
        <v>-1</v>
      </c>
      <c r="V40" s="11" t="n">
        <v>-0.55</v>
      </c>
      <c r="W40" s="11" t="n">
        <v>-0.31</v>
      </c>
      <c r="X40" s="11" t="n">
        <v>0.21</v>
      </c>
      <c r="Y40" s="11" t="n">
        <v>-0.35</v>
      </c>
      <c r="Z40" s="11" t="n">
        <v>1.78</v>
      </c>
      <c r="AA40" s="11" t="n">
        <v>-2.67</v>
      </c>
      <c r="AB40" s="11" t="n">
        <v>0.72</v>
      </c>
      <c r="AC40" s="11" t="n">
        <v>-0.41</v>
      </c>
      <c r="AD40" s="11" t="n">
        <v>2.32</v>
      </c>
    </row>
    <row r="41">
      <c r="A41" s="10" t="inlineStr">
        <is>
          <t>법인세 등 합계</t>
        </is>
      </c>
      <c r="C41" s="11" t="n">
        <v>1.58</v>
      </c>
      <c r="D41" s="11" t="n">
        <v>1.46</v>
      </c>
      <c r="E41" s="11" t="n">
        <v>1.16</v>
      </c>
      <c r="F41" s="11" t="n">
        <v>1.7</v>
      </c>
      <c r="G41" s="11" t="n">
        <v>0.61</v>
      </c>
      <c r="H41" s="11" t="n">
        <v>-0.27</v>
      </c>
      <c r="I41" s="11" t="n">
        <v>1.25</v>
      </c>
      <c r="J41" s="11" t="n">
        <v>1.37</v>
      </c>
      <c r="K41" s="11" t="n">
        <v>1.93</v>
      </c>
      <c r="L41" s="11" t="n">
        <v>1.51</v>
      </c>
      <c r="M41" s="11" t="n">
        <v>1.11</v>
      </c>
      <c r="N41" s="11" t="n">
        <v>1.63</v>
      </c>
      <c r="O41" s="11" t="n">
        <v>0.93</v>
      </c>
      <c r="P41" s="11" t="n">
        <v>0.44</v>
      </c>
      <c r="Q41" s="11" t="n">
        <v>1.73</v>
      </c>
      <c r="R41" s="11" t="n">
        <v>1.8</v>
      </c>
      <c r="S41" s="11" t="n">
        <v>1.53</v>
      </c>
      <c r="T41" s="11" t="n">
        <v>3.71</v>
      </c>
      <c r="U41" s="11" t="n">
        <v>2.98</v>
      </c>
      <c r="V41" s="11" t="n">
        <v>3.04</v>
      </c>
      <c r="W41" s="11" t="n">
        <v>5.76</v>
      </c>
      <c r="X41" s="11" t="n">
        <v>5.4</v>
      </c>
      <c r="Y41" s="11" t="n">
        <v>2.4</v>
      </c>
      <c r="Z41" s="11" t="n">
        <v>8.31</v>
      </c>
      <c r="AA41" s="11" t="n">
        <v>3.2</v>
      </c>
      <c r="AB41" s="11" t="n">
        <v>6.06</v>
      </c>
      <c r="AC41" s="11" t="n">
        <v>4.11</v>
      </c>
      <c r="AD41" s="11" t="n">
        <v>8.77</v>
      </c>
    </row>
    <row r="42">
      <c r="A42" s="5" t="inlineStr">
        <is>
          <t>순이익</t>
        </is>
      </c>
      <c r="C42" s="6" t="n">
        <v>4.11</v>
      </c>
      <c r="D42" s="6" t="n">
        <v>1.33</v>
      </c>
      <c r="E42" s="6" t="n">
        <v>3.56</v>
      </c>
      <c r="F42" s="6" t="n">
        <v>2.04</v>
      </c>
      <c r="G42" s="6" t="n">
        <v>2.36</v>
      </c>
      <c r="H42" s="6" t="n">
        <v>-0.7</v>
      </c>
      <c r="I42" s="6" t="n">
        <v>2.7</v>
      </c>
      <c r="J42" s="6" t="n">
        <v>4.01</v>
      </c>
      <c r="K42" s="6" t="n">
        <v>8.23</v>
      </c>
      <c r="L42" s="6" t="n">
        <v>-0.45</v>
      </c>
      <c r="M42" s="6" t="n">
        <v>2.91</v>
      </c>
      <c r="N42" s="6" t="n">
        <v>3.53</v>
      </c>
      <c r="O42" s="6" t="n">
        <v>3.01</v>
      </c>
      <c r="P42" s="6" t="n">
        <v>2.29</v>
      </c>
      <c r="Q42" s="6" t="n">
        <v>2.65</v>
      </c>
      <c r="R42" s="6" t="n">
        <v>3.01</v>
      </c>
      <c r="S42" s="6" t="n">
        <v>7.23</v>
      </c>
      <c r="T42" s="6" t="n">
        <v>4.46</v>
      </c>
      <c r="U42" s="6" t="n">
        <v>8.19</v>
      </c>
      <c r="V42" s="6" t="n">
        <v>9.25</v>
      </c>
      <c r="W42" s="6" t="n">
        <v>17.02</v>
      </c>
      <c r="X42" s="6" t="n">
        <v>10.28</v>
      </c>
      <c r="Y42" s="6" t="n">
        <v>6.7</v>
      </c>
      <c r="Z42" s="6" t="n">
        <v>20.13</v>
      </c>
      <c r="AA42" s="6" t="n">
        <v>7.26</v>
      </c>
      <c r="AB42" s="6" t="n">
        <v>14.49</v>
      </c>
      <c r="AC42" s="6" t="n">
        <v>11.74</v>
      </c>
      <c r="AD42" s="6" t="n">
        <v>17.35</v>
      </c>
    </row>
    <row r="43">
      <c r="A43" s="5" t="inlineStr">
        <is>
          <t>비지배주주 순이익</t>
        </is>
      </c>
      <c r="C43" s="6" t="n">
        <v>0.4</v>
      </c>
      <c r="D43" s="6" t="n">
        <v>0.55</v>
      </c>
      <c r="E43" s="6" t="n">
        <v>0.38</v>
      </c>
      <c r="F43" s="6" t="n">
        <v>0.18</v>
      </c>
      <c r="G43" s="6" t="n">
        <v>0.22</v>
      </c>
      <c r="H43" s="6" t="n">
        <v>0.34</v>
      </c>
      <c r="I43" s="6" t="n">
        <v>0.47</v>
      </c>
      <c r="J43" s="6" t="n">
        <v>0.55</v>
      </c>
      <c r="K43" s="6" t="n">
        <v>0.57</v>
      </c>
      <c r="L43" s="6" t="n">
        <v>0.06</v>
      </c>
      <c r="M43" s="6" t="n">
        <v>0.42</v>
      </c>
      <c r="N43" s="6" t="n">
        <v>0.26</v>
      </c>
      <c r="O43" s="6" t="n">
        <v>0.58</v>
      </c>
      <c r="P43" s="6" t="n">
        <v>0.35</v>
      </c>
      <c r="Q43" s="6" t="n">
        <v>0.28</v>
      </c>
      <c r="R43" s="6" t="n">
        <v>0.32</v>
      </c>
      <c r="S43" s="6" t="n">
        <v>0.55</v>
      </c>
      <c r="T43" s="6" t="n">
        <v>0.95</v>
      </c>
      <c r="U43" s="6" t="n">
        <v>0.88</v>
      </c>
      <c r="V43" s="6" t="n">
        <v>1.41</v>
      </c>
      <c r="W43" s="6" t="n">
        <v>2.64</v>
      </c>
      <c r="X43" s="6" t="n">
        <v>2.51</v>
      </c>
      <c r="Y43" s="6" t="n">
        <v>1.53</v>
      </c>
      <c r="Z43" s="6" t="n">
        <v>2.05</v>
      </c>
      <c r="AA43" s="6" t="n">
        <v>1.12</v>
      </c>
      <c r="AB43" s="6" t="n">
        <v>1.65</v>
      </c>
      <c r="AC43" s="6" t="n">
        <v>1.61</v>
      </c>
      <c r="AD43" s="6" t="n">
        <v>2.1</v>
      </c>
    </row>
    <row r="44">
      <c r="A44" s="5" t="inlineStr">
        <is>
          <t>지배주주 순이익</t>
        </is>
      </c>
      <c r="C44" s="6" t="n">
        <v>3.71</v>
      </c>
      <c r="D44" s="6" t="n">
        <v>0.78</v>
      </c>
      <c r="E44" s="6" t="n">
        <v>3.17</v>
      </c>
      <c r="F44" s="6" t="n">
        <v>1.87</v>
      </c>
      <c r="G44" s="6" t="n">
        <v>2.15</v>
      </c>
      <c r="H44" s="6" t="n">
        <v>-1.04</v>
      </c>
      <c r="I44" s="6" t="n">
        <v>2.24</v>
      </c>
      <c r="J44" s="6" t="n">
        <v>3.45</v>
      </c>
      <c r="K44" s="6" t="n">
        <v>7.66</v>
      </c>
      <c r="L44" s="6" t="n">
        <v>-0.52</v>
      </c>
      <c r="M44" s="6" t="n">
        <v>2.5</v>
      </c>
      <c r="N44" s="6" t="n">
        <v>3.26</v>
      </c>
      <c r="O44" s="6" t="n">
        <v>2.43</v>
      </c>
      <c r="P44" s="6" t="n">
        <v>1.94</v>
      </c>
      <c r="Q44" s="6" t="n">
        <v>2.37</v>
      </c>
      <c r="R44" s="6" t="n">
        <v>2.69</v>
      </c>
      <c r="S44" s="6" t="n">
        <v>6.69</v>
      </c>
      <c r="T44" s="6" t="n">
        <v>3.5</v>
      </c>
      <c r="U44" s="6" t="n">
        <v>7.31</v>
      </c>
      <c r="V44" s="6" t="n">
        <v>7.85</v>
      </c>
      <c r="W44" s="6" t="n">
        <v>14.38</v>
      </c>
      <c r="X44" s="6" t="n">
        <v>7.76</v>
      </c>
      <c r="Y44" s="6" t="n">
        <v>5.18</v>
      </c>
      <c r="Z44" s="6" t="n">
        <v>18.08</v>
      </c>
      <c r="AA44" s="6" t="n">
        <v>6.15</v>
      </c>
      <c r="AB44" s="6" t="n">
        <v>12.83</v>
      </c>
      <c r="AC44" s="6" t="n">
        <v>10.13</v>
      </c>
      <c r="AD44" s="6" t="n">
        <v>15.25</v>
      </c>
    </row>
    <row r="45">
      <c r="A45" s="8" t="inlineStr">
        <is>
          <t>순이익률</t>
        </is>
      </c>
      <c r="C45" s="9">
        <f>IF(OR(C44="",C4=""),"",IFERROR(C44/C4,""))</f>
        <v/>
      </c>
      <c r="D45" s="9">
        <f>IF(OR(D44="",D4=""),"",IFERROR(D44/D4,""))</f>
        <v/>
      </c>
      <c r="E45" s="9">
        <f>IF(OR(E44="",E4=""),"",IFERROR(E44/E4,""))</f>
        <v/>
      </c>
      <c r="F45" s="9">
        <f>IF(OR(F44="",F4=""),"",IFERROR(F44/F4,""))</f>
        <v/>
      </c>
      <c r="G45" s="9">
        <f>IF(OR(G44="",G4=""),"",IFERROR(G44/G4,""))</f>
        <v/>
      </c>
      <c r="H45" s="9">
        <f>IF(OR(H44="",H4=""),"",IFERROR(H44/H4,""))</f>
        <v/>
      </c>
      <c r="I45" s="9">
        <f>IF(OR(I44="",I4=""),"",IFERROR(I44/I4,""))</f>
        <v/>
      </c>
      <c r="J45" s="9">
        <f>IF(OR(J44="",J4=""),"",IFERROR(J44/J4,""))</f>
        <v/>
      </c>
      <c r="K45" s="9">
        <f>IF(OR(K44="",K4=""),"",IFERROR(K44/K4,""))</f>
        <v/>
      </c>
      <c r="L45" s="9">
        <f>IF(OR(L44="",L4=""),"",IFERROR(L44/L4,""))</f>
        <v/>
      </c>
      <c r="M45" s="9">
        <f>IF(OR(M44="",M4=""),"",IFERROR(M44/M4,""))</f>
        <v/>
      </c>
      <c r="N45" s="9">
        <f>IF(OR(N44="",N4=""),"",IFERROR(N44/N4,""))</f>
        <v/>
      </c>
      <c r="O45" s="9">
        <f>IF(OR(O44="",O4=""),"",IFERROR(O44/O4,""))</f>
        <v/>
      </c>
      <c r="P45" s="9">
        <f>IF(OR(P44="",P4=""),"",IFERROR(P44/P4,""))</f>
        <v/>
      </c>
      <c r="Q45" s="9">
        <f>IF(OR(Q44="",Q4=""),"",IFERROR(Q44/Q4,""))</f>
        <v/>
      </c>
      <c r="R45" s="9">
        <f>IF(OR(R44="",R4=""),"",IFERROR(R44/R4,""))</f>
        <v/>
      </c>
      <c r="S45" s="9">
        <f>IF(OR(S44="",S4=""),"",IFERROR(S44/S4,""))</f>
        <v/>
      </c>
      <c r="T45" s="9">
        <f>IF(OR(T44="",T4=""),"",IFERROR(T44/T4,""))</f>
        <v/>
      </c>
      <c r="U45" s="9">
        <f>IF(OR(U44="",U4=""),"",IFERROR(U44/U4,""))</f>
        <v/>
      </c>
      <c r="V45" s="9">
        <f>IF(OR(V44="",V4=""),"",IFERROR(V44/V4,""))</f>
        <v/>
      </c>
      <c r="W45" s="9">
        <f>IF(OR(W44="",W4=""),"",IFERROR(W44/W4,""))</f>
        <v/>
      </c>
      <c r="X45" s="9">
        <f>IF(OR(X44="",X4=""),"",IFERROR(X44/X4,""))</f>
        <v/>
      </c>
      <c r="Y45" s="9">
        <f>IF(OR(Y44="",Y4=""),"",IFERROR(Y44/Y4,""))</f>
        <v/>
      </c>
      <c r="Z45" s="9">
        <f>IF(OR(Z44="",Z4=""),"",IFERROR(Z44/Z4,""))</f>
        <v/>
      </c>
      <c r="AA45" s="9">
        <f>IF(OR(AA44="",AA4=""),"",IFERROR(AA44/AA4,""))</f>
        <v/>
      </c>
      <c r="AB45" s="9">
        <f>IF(OR(AB44="",AB4=""),"",IFERROR(AB44/AB4,""))</f>
        <v/>
      </c>
      <c r="AC45" s="9">
        <f>IF(OR(AC44="",AC4=""),"",IFERROR(AC44/AC4,""))</f>
        <v/>
      </c>
      <c r="AD45" s="9">
        <f>IF(OR(AD44="",AD4=""),"",IFERROR(AD44/AD4,""))</f>
        <v/>
      </c>
    </row>
    <row r="46">
      <c r="A46" s="8" t="inlineStr">
        <is>
          <t>YoY</t>
        </is>
      </c>
      <c r="G46" s="9">
        <f>IF(OR(G44="",C44=""),"",IFERROR(G44/C44-1,""))</f>
        <v/>
      </c>
      <c r="H46" s="9">
        <f>IF(OR(H44="",D44=""),"",IFERROR(H44/D44-1,""))</f>
        <v/>
      </c>
      <c r="I46" s="9">
        <f>IF(OR(I44="",E44=""),"",IFERROR(I44/E44-1,""))</f>
        <v/>
      </c>
      <c r="J46" s="9">
        <f>IF(OR(J44="",F44=""),"",IFERROR(J44/F44-1,""))</f>
        <v/>
      </c>
      <c r="K46" s="9">
        <f>IF(OR(K44="",G44=""),"",IFERROR(K44/G44-1,""))</f>
        <v/>
      </c>
      <c r="L46" s="9">
        <f>IF(OR(L44="",H44=""),"",IFERROR(L44/H44-1,""))</f>
        <v/>
      </c>
      <c r="M46" s="9">
        <f>IF(OR(M44="",I44=""),"",IFERROR(M44/I44-1,""))</f>
        <v/>
      </c>
      <c r="N46" s="9">
        <f>IF(OR(N44="",J44=""),"",IFERROR(N44/J44-1,""))</f>
        <v/>
      </c>
      <c r="O46" s="9">
        <f>IF(OR(O44="",K44=""),"",IFERROR(O44/K44-1,""))</f>
        <v/>
      </c>
      <c r="P46" s="9">
        <f>IF(OR(P44="",L44=""),"",IFERROR(P44/L44-1,""))</f>
        <v/>
      </c>
      <c r="Q46" s="9">
        <f>IF(OR(Q44="",M44=""),"",IFERROR(Q44/M44-1,""))</f>
        <v/>
      </c>
      <c r="R46" s="9">
        <f>IF(OR(R44="",N44=""),"",IFERROR(R44/N44-1,""))</f>
        <v/>
      </c>
      <c r="S46" s="9">
        <f>IF(OR(S44="",O44=""),"",IFERROR(S44/O44-1,""))</f>
        <v/>
      </c>
      <c r="T46" s="9">
        <f>IF(OR(T44="",P44=""),"",IFERROR(T44/P44-1,""))</f>
        <v/>
      </c>
      <c r="U46" s="9">
        <f>IF(OR(U44="",Q44=""),"",IFERROR(U44/Q44-1,""))</f>
        <v/>
      </c>
      <c r="V46" s="9">
        <f>IF(OR(V44="",R44=""),"",IFERROR(V44/R44-1,""))</f>
        <v/>
      </c>
      <c r="X46" s="9">
        <f>IF(OR(X44="",W44=""),"",IFERROR(X44/W44-1,""))</f>
        <v/>
      </c>
      <c r="Y46" s="9">
        <f>IF(OR(Y44="",X44=""),"",IFERROR(Y44/X44-1,""))</f>
        <v/>
      </c>
      <c r="Z46" s="9">
        <f>IF(OR(Z44="",Y44=""),"",IFERROR(Z44/Y44-1,""))</f>
        <v/>
      </c>
      <c r="AA46" s="9">
        <f>IF(OR(AA44="",Z44=""),"",IFERROR(AA44/Z44-1,""))</f>
        <v/>
      </c>
      <c r="AB46" s="9">
        <f>IF(OR(AB44="",AA44=""),"",IFERROR(AB44/AA44-1,""))</f>
        <v/>
      </c>
      <c r="AC46" s="9">
        <f>IF(OR(AC44="",AB44=""),"",IFERROR(AC44/AB44-1,""))</f>
        <v/>
      </c>
      <c r="AD46" s="9">
        <f>IF(OR(AD44="",AC44=""),"",IFERROR(AD44/AC44-1,""))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40" customWidth="1" min="31" max="31"/>
  </cols>
  <sheetData>
    <row r="1">
      <c r="A1" s="1" t="inlineStr">
        <is>
          <t>모레스코 포괄손익</t>
        </is>
      </c>
    </row>
    <row r="2">
      <c r="A2" s="2" t="inlineStr">
        <is>
          <t>결산기 기준(27.2Q = 2027년 결산기 2분기) · 2월 결산 · 연결 · 분기 단독(누계 차분) · 오른쪽 FY = 연간</t>
        </is>
      </c>
      <c r="B2" s="3" t="inlineStr">
        <is>
          <t>(단위: 억엔)</t>
        </is>
      </c>
    </row>
    <row r="3">
      <c r="A3" s="4" t="inlineStr">
        <is>
          <t>항목</t>
        </is>
      </c>
      <c r="B3" s="4" t="inlineStr">
        <is>
          <t>참고</t>
        </is>
      </c>
      <c r="C3" s="4" t="inlineStr">
        <is>
          <t>22.3Q</t>
        </is>
      </c>
      <c r="D3" s="4" t="inlineStr">
        <is>
          <t>22.4Q</t>
        </is>
      </c>
      <c r="E3" s="4" t="inlineStr">
        <is>
          <t>23.1Q</t>
        </is>
      </c>
      <c r="F3" s="4" t="inlineStr">
        <is>
          <t>23.2Q</t>
        </is>
      </c>
      <c r="G3" s="4" t="inlineStr">
        <is>
          <t>23.3Q</t>
        </is>
      </c>
      <c r="H3" s="4" t="inlineStr">
        <is>
          <t>23.4Q</t>
        </is>
      </c>
      <c r="I3" s="4" t="inlineStr">
        <is>
          <t>24.1Q</t>
        </is>
      </c>
      <c r="J3" s="4" t="inlineStr">
        <is>
          <t>24.2Q</t>
        </is>
      </c>
      <c r="K3" s="4" t="inlineStr">
        <is>
          <t>24.3Q</t>
        </is>
      </c>
      <c r="L3" s="4" t="inlineStr">
        <is>
          <t>24.4Q</t>
        </is>
      </c>
      <c r="M3" s="4" t="inlineStr">
        <is>
          <t>25.1Q</t>
        </is>
      </c>
      <c r="N3" s="4" t="inlineStr">
        <is>
          <t>25.2Q</t>
        </is>
      </c>
      <c r="O3" s="4" t="inlineStr">
        <is>
          <t>25.3Q</t>
        </is>
      </c>
      <c r="P3" s="4" t="inlineStr">
        <is>
          <t>25.4Q</t>
        </is>
      </c>
      <c r="Q3" s="4" t="inlineStr">
        <is>
          <t>26.1Q</t>
        </is>
      </c>
      <c r="R3" s="4" t="inlineStr">
        <is>
          <t>26.2Q</t>
        </is>
      </c>
      <c r="S3" s="4" t="inlineStr">
        <is>
          <t>26.3Q</t>
        </is>
      </c>
      <c r="T3" s="4" t="inlineStr">
        <is>
          <t>26.4Q</t>
        </is>
      </c>
      <c r="U3" s="4" t="inlineStr">
        <is>
          <t>27.1Q</t>
        </is>
      </c>
      <c r="V3" s="4" t="inlineStr">
        <is>
          <t>27.2Q</t>
        </is>
      </c>
      <c r="W3" s="4" t="inlineStr">
        <is>
          <t>FY19</t>
        </is>
      </c>
      <c r="X3" s="4" t="inlineStr">
        <is>
          <t>FY20</t>
        </is>
      </c>
      <c r="Y3" s="4" t="inlineStr">
        <is>
          <t>FY21</t>
        </is>
      </c>
      <c r="Z3" s="4" t="inlineStr">
        <is>
          <t>FY22</t>
        </is>
      </c>
      <c r="AA3" s="4" t="inlineStr">
        <is>
          <t>FY23</t>
        </is>
      </c>
      <c r="AB3" s="4" t="inlineStr">
        <is>
          <t>FY24</t>
        </is>
      </c>
      <c r="AC3" s="4" t="inlineStr">
        <is>
          <t>FY25</t>
        </is>
      </c>
      <c r="AD3" s="4" t="inlineStr">
        <is>
          <t>FY26</t>
        </is>
      </c>
      <c r="AE3" s="4" t="inlineStr">
        <is>
          <t>출처</t>
        </is>
      </c>
    </row>
    <row r="4">
      <c r="A4" s="5" t="inlineStr">
        <is>
          <t>순이익</t>
        </is>
      </c>
      <c r="C4" s="6" t="n">
        <v>4.11</v>
      </c>
      <c r="D4" s="6" t="n">
        <v>1.33</v>
      </c>
      <c r="E4" s="6" t="n">
        <v>3.56</v>
      </c>
      <c r="F4" s="6" t="n">
        <v>2.04</v>
      </c>
      <c r="G4" s="6" t="n">
        <v>2.36</v>
      </c>
      <c r="H4" s="6" t="n">
        <v>-0.7</v>
      </c>
      <c r="I4" s="6" t="n">
        <v>2.7</v>
      </c>
      <c r="J4" s="6" t="n">
        <v>4.01</v>
      </c>
      <c r="K4" s="6" t="n">
        <v>8.23</v>
      </c>
      <c r="L4" s="6" t="n">
        <v>-0.45</v>
      </c>
      <c r="M4" s="6" t="n">
        <v>2.91</v>
      </c>
      <c r="N4" s="6" t="n">
        <v>3.53</v>
      </c>
      <c r="O4" s="6" t="n">
        <v>3.01</v>
      </c>
      <c r="P4" s="6" t="n">
        <v>2.29</v>
      </c>
      <c r="Q4" s="6" t="n">
        <v>2.65</v>
      </c>
      <c r="R4" s="6" t="n">
        <v>3.01</v>
      </c>
      <c r="S4" s="6" t="n">
        <v>7.23</v>
      </c>
      <c r="T4" s="6" t="n">
        <v>4.46</v>
      </c>
      <c r="U4" s="6" t="n">
        <v>8.19</v>
      </c>
      <c r="V4" s="6" t="n">
        <v>9.25</v>
      </c>
      <c r="W4" s="6" t="n">
        <v>17.02</v>
      </c>
      <c r="X4" s="6" t="n">
        <v>10.28</v>
      </c>
      <c r="Y4" s="6" t="n">
        <v>6.7</v>
      </c>
      <c r="Z4" s="6" t="n">
        <v>20.13</v>
      </c>
      <c r="AA4" s="6" t="n">
        <v>7.26</v>
      </c>
      <c r="AB4" s="6" t="n">
        <v>14.49</v>
      </c>
      <c r="AC4" s="6" t="n">
        <v>11.74</v>
      </c>
      <c r="AD4" s="6" t="n">
        <v>17.35</v>
      </c>
      <c r="AE4" s="7" t="inlineStr">
        <is>
          <t>결산단신 XBRL(거래소 공시, TDnet·JPX 보관소). 쓴 문서: 2026-10-15, 2026-07-09, 2026-04-14, 2026-01-13 외 26건 — '출처' 시트에 전부</t>
        </is>
      </c>
    </row>
    <row r="5">
      <c r="A5" s="10" t="inlineStr">
        <is>
          <t>기타유가증권 평가차액</t>
        </is>
      </c>
      <c r="C5" s="11" t="n">
        <v>0.01</v>
      </c>
      <c r="D5" s="11" t="n">
        <v>0.07000000000000001</v>
      </c>
      <c r="E5" s="11" t="n">
        <v>0.07000000000000001</v>
      </c>
      <c r="F5" s="11" t="n">
        <v>0.19</v>
      </c>
      <c r="G5" s="11" t="n">
        <v>0.01</v>
      </c>
      <c r="H5" s="11" t="n">
        <v>0.09</v>
      </c>
      <c r="I5" s="11" t="n">
        <v>-0.03</v>
      </c>
      <c r="J5" s="11" t="n">
        <v>0.32</v>
      </c>
      <c r="K5" s="11" t="n">
        <v>0.05</v>
      </c>
      <c r="L5" s="11" t="n">
        <v>0.26</v>
      </c>
      <c r="M5" s="11" t="n">
        <v>-0.08</v>
      </c>
      <c r="N5" s="11" t="n">
        <v>-0.01</v>
      </c>
      <c r="O5" s="11" t="n">
        <v>0.13</v>
      </c>
      <c r="P5" s="11" t="n">
        <v>0.12</v>
      </c>
      <c r="Q5" s="11" t="n">
        <v>-0.03</v>
      </c>
      <c r="R5" s="11" t="n">
        <v>0.38</v>
      </c>
      <c r="S5" s="11" t="n">
        <v>0.31</v>
      </c>
      <c r="T5" s="11" t="n">
        <v>0.92</v>
      </c>
      <c r="U5" s="11" t="n">
        <v>-0.36</v>
      </c>
      <c r="V5" s="11" t="n">
        <v>0.33</v>
      </c>
      <c r="W5" s="11" t="n">
        <v>-0.72</v>
      </c>
      <c r="X5" s="11" t="n">
        <v>-0.24</v>
      </c>
      <c r="Y5" s="11" t="n">
        <v>0.13</v>
      </c>
      <c r="Z5" s="11" t="n">
        <v>0.17</v>
      </c>
      <c r="AA5" s="11" t="n">
        <v>0.36</v>
      </c>
      <c r="AB5" s="11" t="n">
        <v>0.6</v>
      </c>
      <c r="AC5" s="11" t="n">
        <v>0.16</v>
      </c>
      <c r="AD5" s="11" t="n">
        <v>1.58</v>
      </c>
    </row>
    <row r="6">
      <c r="A6" s="10" t="inlineStr">
        <is>
          <t>해외사업환산조정</t>
        </is>
      </c>
      <c r="C6" s="11" t="n">
        <v>0.26</v>
      </c>
      <c r="D6" s="11" t="n">
        <v>3.14</v>
      </c>
      <c r="E6" s="11" t="n">
        <v>4.85</v>
      </c>
      <c r="F6" s="11" t="n">
        <v>5.37</v>
      </c>
      <c r="G6" s="11" t="n">
        <v>0.52</v>
      </c>
      <c r="H6" s="11" t="n">
        <v>-6.04</v>
      </c>
      <c r="I6" s="11" t="n">
        <v>2.4</v>
      </c>
      <c r="J6" s="11" t="n">
        <v>3.96</v>
      </c>
      <c r="K6" s="11" t="n">
        <v>1.56</v>
      </c>
      <c r="L6" s="11" t="n">
        <v>-3.68</v>
      </c>
      <c r="M6" s="11" t="n">
        <v>5.03</v>
      </c>
      <c r="N6" s="11" t="n">
        <v>6.38</v>
      </c>
      <c r="O6" s="11" t="n">
        <v>-8.050000000000001</v>
      </c>
      <c r="P6" s="11" t="n">
        <v>7.66</v>
      </c>
      <c r="Q6" s="11" t="n">
        <v>-7.13</v>
      </c>
      <c r="R6" s="11" t="n">
        <v>-1.99</v>
      </c>
      <c r="S6" s="11" t="n">
        <v>3.56</v>
      </c>
      <c r="T6" s="11" t="n">
        <v>7.48</v>
      </c>
      <c r="U6" s="11" t="n">
        <v>2.56</v>
      </c>
      <c r="V6" s="11" t="n">
        <v>1.89</v>
      </c>
      <c r="W6" s="11" t="n">
        <v>-4.42</v>
      </c>
      <c r="X6" s="11" t="n">
        <v>-0.13</v>
      </c>
      <c r="Y6" s="11" t="n">
        <v>-1.69</v>
      </c>
      <c r="Z6" s="11" t="n">
        <v>7.31</v>
      </c>
      <c r="AA6" s="11" t="n">
        <v>4.7</v>
      </c>
      <c r="AB6" s="11" t="n">
        <v>4.24</v>
      </c>
      <c r="AC6" s="11" t="n">
        <v>11.02</v>
      </c>
      <c r="AD6" s="11" t="n">
        <v>1.92</v>
      </c>
    </row>
    <row r="7">
      <c r="A7" s="10" t="inlineStr">
        <is>
          <t>퇴직급여 조정액</t>
        </is>
      </c>
      <c r="C7" s="11" t="n">
        <v>0.01</v>
      </c>
      <c r="D7" s="11" t="n">
        <v>0.38</v>
      </c>
      <c r="E7" s="11" t="n">
        <v>-0.02</v>
      </c>
      <c r="F7" s="11" t="n">
        <v>-0.02</v>
      </c>
      <c r="G7" s="11" t="n">
        <v>-0.02</v>
      </c>
      <c r="H7" s="11" t="n">
        <v>1.09</v>
      </c>
      <c r="I7" s="11" t="n">
        <v>-0.07000000000000001</v>
      </c>
      <c r="J7" s="11" t="n">
        <v>-0.07000000000000001</v>
      </c>
      <c r="K7" s="11" t="n">
        <v>-0.06</v>
      </c>
      <c r="L7" s="11" t="n">
        <v>3.21</v>
      </c>
      <c r="M7" s="11" t="n">
        <v>-0.12</v>
      </c>
      <c r="N7" s="11" t="n">
        <v>-0.13</v>
      </c>
      <c r="O7" s="11" t="n">
        <v>-0.12</v>
      </c>
      <c r="P7" s="11" t="n">
        <v>0.6</v>
      </c>
      <c r="Q7" s="11" t="n">
        <v>-0.2</v>
      </c>
      <c r="R7" s="11" t="n">
        <v>-0.12</v>
      </c>
      <c r="S7" s="11" t="n">
        <v>-0.13</v>
      </c>
      <c r="T7" s="11" t="n">
        <v>3.71</v>
      </c>
      <c r="U7" s="11" t="n">
        <v>-0.2</v>
      </c>
      <c r="V7" s="11" t="n">
        <v>-0.2</v>
      </c>
      <c r="W7" s="11" t="n">
        <v>0.15</v>
      </c>
      <c r="X7" s="11" t="n">
        <v>-0.27</v>
      </c>
      <c r="Y7" s="11" t="n">
        <v>1.64</v>
      </c>
      <c r="Z7" s="11" t="n">
        <v>0.41</v>
      </c>
      <c r="AA7" s="11" t="n">
        <v>1.03</v>
      </c>
      <c r="AB7" s="11" t="n">
        <v>3.01</v>
      </c>
      <c r="AC7" s="11" t="n">
        <v>0.23</v>
      </c>
      <c r="AD7" s="11" t="n">
        <v>3.26</v>
      </c>
    </row>
    <row r="8">
      <c r="A8" s="10" t="inlineStr">
        <is>
          <t>지분법 적용회사 지분 해당액</t>
        </is>
      </c>
      <c r="C8" s="11" t="n">
        <v>0.03</v>
      </c>
      <c r="D8" s="11" t="n">
        <v>0.15</v>
      </c>
      <c r="E8" s="11" t="n">
        <v>0.22</v>
      </c>
      <c r="F8" s="11" t="n">
        <v>0.2</v>
      </c>
      <c r="G8" s="11" t="n">
        <v>0</v>
      </c>
      <c r="H8" s="11" t="n">
        <v>-0.25</v>
      </c>
      <c r="I8" s="11" t="n">
        <v>0.07000000000000001</v>
      </c>
      <c r="J8" s="11" t="n">
        <v>0.09</v>
      </c>
      <c r="K8" s="11" t="n">
        <v>0.15</v>
      </c>
      <c r="L8" s="11" t="n">
        <v>0</v>
      </c>
      <c r="M8" s="11" t="n">
        <v>0.54</v>
      </c>
      <c r="N8" s="11" t="n">
        <v>0.72</v>
      </c>
      <c r="O8" s="11" t="n">
        <v>-0.96</v>
      </c>
      <c r="P8" s="11" t="n">
        <v>0.75</v>
      </c>
      <c r="Q8" s="11" t="n">
        <v>-0.6899999999999999</v>
      </c>
      <c r="R8" s="11" t="n">
        <v>-0.25</v>
      </c>
      <c r="S8" s="11" t="n">
        <v>0.44</v>
      </c>
      <c r="T8" s="11" t="n">
        <v>1.02</v>
      </c>
      <c r="U8" s="11" t="n">
        <v>0.55</v>
      </c>
      <c r="V8" s="11" t="n">
        <v>0.54</v>
      </c>
      <c r="W8" s="11" t="n">
        <v>-0.31</v>
      </c>
      <c r="X8" s="11" t="n">
        <v>-0.11</v>
      </c>
      <c r="Y8" s="11" t="n">
        <v>0.05</v>
      </c>
      <c r="Z8" s="11" t="n">
        <v>0.47</v>
      </c>
      <c r="AA8" s="11" t="n">
        <v>0.17</v>
      </c>
      <c r="AB8" s="11" t="n">
        <v>0.31</v>
      </c>
      <c r="AC8" s="11" t="n">
        <v>1.05</v>
      </c>
      <c r="AD8" s="11" t="n">
        <v>0.52</v>
      </c>
    </row>
    <row r="9">
      <c r="A9" s="10" t="inlineStr">
        <is>
          <t>기타포괄손익 합계</t>
        </is>
      </c>
      <c r="C9" s="11" t="n">
        <v>0.31</v>
      </c>
      <c r="D9" s="11" t="n">
        <v>3.74</v>
      </c>
      <c r="E9" s="11" t="n">
        <v>5.12</v>
      </c>
      <c r="F9" s="11" t="n">
        <v>5.74</v>
      </c>
      <c r="G9" s="11" t="n">
        <v>0.51</v>
      </c>
      <c r="H9" s="11" t="n">
        <v>-5.1</v>
      </c>
      <c r="I9" s="11" t="n">
        <v>2.38</v>
      </c>
      <c r="J9" s="11" t="n">
        <v>4.29</v>
      </c>
      <c r="K9" s="11" t="n">
        <v>1.69</v>
      </c>
      <c r="L9" s="11" t="n">
        <v>-0.2</v>
      </c>
      <c r="M9" s="11" t="n">
        <v>5.37</v>
      </c>
      <c r="N9" s="11" t="n">
        <v>6.96</v>
      </c>
      <c r="O9" s="11" t="n">
        <v>-9</v>
      </c>
      <c r="P9" s="11" t="n">
        <v>9.130000000000001</v>
      </c>
      <c r="Q9" s="11" t="n">
        <v>-8.050000000000001</v>
      </c>
      <c r="R9" s="11" t="n">
        <v>-1.98</v>
      </c>
      <c r="S9" s="11" t="n">
        <v>4.18</v>
      </c>
      <c r="T9" s="11" t="n">
        <v>13.13</v>
      </c>
      <c r="U9" s="11" t="n">
        <v>2.56</v>
      </c>
      <c r="V9" s="11" t="n">
        <v>2.55</v>
      </c>
      <c r="W9" s="11" t="n">
        <v>-5.3</v>
      </c>
      <c r="X9" s="11" t="n">
        <v>-0.75</v>
      </c>
      <c r="Y9" s="11" t="n">
        <v>0.12</v>
      </c>
      <c r="Z9" s="11" t="n">
        <v>8.359999999999999</v>
      </c>
      <c r="AA9" s="11" t="n">
        <v>6.27</v>
      </c>
      <c r="AB9" s="11" t="n">
        <v>8.16</v>
      </c>
      <c r="AC9" s="11" t="n">
        <v>12.46</v>
      </c>
      <c r="AD9" s="11" t="n">
        <v>7.28</v>
      </c>
    </row>
    <row r="10">
      <c r="A10" s="10" t="inlineStr">
        <is>
          <t>포괄이익</t>
        </is>
      </c>
      <c r="C10" s="11" t="n">
        <v>4.42</v>
      </c>
      <c r="D10" s="11" t="n">
        <v>5.06</v>
      </c>
      <c r="E10" s="11" t="n">
        <v>8.68</v>
      </c>
      <c r="F10" s="11" t="n">
        <v>7.79</v>
      </c>
      <c r="G10" s="11" t="n">
        <v>2.87</v>
      </c>
      <c r="H10" s="11" t="n">
        <v>-5.81</v>
      </c>
      <c r="I10" s="11" t="n">
        <v>5.08</v>
      </c>
      <c r="J10" s="11" t="n">
        <v>8.300000000000001</v>
      </c>
      <c r="K10" s="11" t="n">
        <v>9.93</v>
      </c>
      <c r="L10" s="11" t="n">
        <v>-0.66</v>
      </c>
      <c r="M10" s="11" t="n">
        <v>8.279999999999999</v>
      </c>
      <c r="N10" s="11" t="n">
        <v>10.49</v>
      </c>
      <c r="O10" s="11" t="n">
        <v>-5.99</v>
      </c>
      <c r="P10" s="11" t="n">
        <v>11.41</v>
      </c>
      <c r="Q10" s="11" t="n">
        <v>-5.4</v>
      </c>
      <c r="R10" s="11" t="n">
        <v>1.03</v>
      </c>
      <c r="S10" s="11" t="n">
        <v>11.42</v>
      </c>
      <c r="T10" s="11" t="n">
        <v>17.58</v>
      </c>
      <c r="U10" s="11" t="n">
        <v>10.74</v>
      </c>
      <c r="V10" s="11" t="n">
        <v>11.82</v>
      </c>
      <c r="W10" s="11" t="n">
        <v>11.72</v>
      </c>
      <c r="X10" s="11" t="n">
        <v>9.529999999999999</v>
      </c>
      <c r="Y10" s="11" t="n">
        <v>6.83</v>
      </c>
      <c r="Z10" s="11" t="n">
        <v>28.48</v>
      </c>
      <c r="AA10" s="11" t="n">
        <v>13.53</v>
      </c>
      <c r="AB10" s="11" t="n">
        <v>22.65</v>
      </c>
      <c r="AC10" s="11" t="n">
        <v>24.19</v>
      </c>
      <c r="AD10" s="11" t="n">
        <v>24.63</v>
      </c>
    </row>
    <row r="11">
      <c r="A11" s="10" t="inlineStr">
        <is>
          <t>지배주주 포괄이익</t>
        </is>
      </c>
      <c r="C11" s="11" t="n">
        <v>3.92</v>
      </c>
      <c r="D11" s="11" t="n">
        <v>3.76</v>
      </c>
      <c r="E11" s="11" t="n">
        <v>7.18</v>
      </c>
      <c r="F11" s="11" t="n">
        <v>6.34</v>
      </c>
      <c r="G11" s="11" t="n">
        <v>2.56</v>
      </c>
      <c r="H11" s="11" t="n">
        <v>-4.82</v>
      </c>
      <c r="I11" s="11" t="n">
        <v>3.95</v>
      </c>
      <c r="J11" s="11" t="n">
        <v>6.68</v>
      </c>
      <c r="K11" s="11" t="n">
        <v>9.15</v>
      </c>
      <c r="L11" s="11" t="n">
        <v>-0.16</v>
      </c>
      <c r="M11" s="11" t="n">
        <v>7.03</v>
      </c>
      <c r="N11" s="11" t="n">
        <v>9.210000000000001</v>
      </c>
      <c r="O11" s="11" t="n">
        <v>-5.48</v>
      </c>
      <c r="P11" s="11" t="n">
        <v>9.84</v>
      </c>
      <c r="Q11" s="11" t="n">
        <v>-4.17</v>
      </c>
      <c r="R11" s="11" t="n">
        <v>0.97</v>
      </c>
      <c r="S11" s="11" t="n">
        <v>10.2</v>
      </c>
      <c r="T11" s="11" t="n">
        <v>14.91</v>
      </c>
      <c r="U11" s="11" t="n">
        <v>9.619999999999999</v>
      </c>
      <c r="V11" s="11" t="n">
        <v>10.37</v>
      </c>
      <c r="W11" s="11" t="n">
        <v>9.91</v>
      </c>
      <c r="X11" s="11" t="n">
        <v>6.91</v>
      </c>
      <c r="Y11" s="11" t="n">
        <v>5.88</v>
      </c>
      <c r="Z11" s="11" t="n">
        <v>24.8</v>
      </c>
      <c r="AA11" s="11" t="n">
        <v>11.26</v>
      </c>
      <c r="AB11" s="11" t="n">
        <v>19.62</v>
      </c>
      <c r="AC11" s="11" t="n">
        <v>20.6</v>
      </c>
      <c r="AD11" s="11" t="n">
        <v>21.91</v>
      </c>
    </row>
    <row r="12">
      <c r="A12" s="10" t="inlineStr">
        <is>
          <t>비지배주주 포괄이익</t>
        </is>
      </c>
      <c r="C12" s="11" t="n">
        <v>0.5</v>
      </c>
      <c r="D12" s="11" t="n">
        <v>1.3</v>
      </c>
      <c r="E12" s="11" t="n">
        <v>1.5</v>
      </c>
      <c r="F12" s="11" t="n">
        <v>1.44</v>
      </c>
      <c r="G12" s="11" t="n">
        <v>0.31</v>
      </c>
      <c r="H12" s="11" t="n">
        <v>-0.98</v>
      </c>
      <c r="I12" s="11" t="n">
        <v>1.13</v>
      </c>
      <c r="J12" s="11" t="n">
        <v>1.63</v>
      </c>
      <c r="K12" s="11" t="n">
        <v>0.77</v>
      </c>
      <c r="L12" s="11" t="n">
        <v>-0.5</v>
      </c>
      <c r="M12" s="11" t="n">
        <v>1.25</v>
      </c>
      <c r="N12" s="11" t="n">
        <v>1.28</v>
      </c>
      <c r="O12" s="11" t="n">
        <v>-0.5</v>
      </c>
      <c r="P12" s="11" t="n">
        <v>1.56</v>
      </c>
      <c r="Q12" s="11" t="n">
        <v>-1.23</v>
      </c>
      <c r="R12" s="11" t="n">
        <v>0.06</v>
      </c>
      <c r="S12" s="11" t="n">
        <v>1.21</v>
      </c>
      <c r="T12" s="11" t="n">
        <v>2.69</v>
      </c>
      <c r="U12" s="11" t="n">
        <v>1.12</v>
      </c>
      <c r="V12" s="11" t="n">
        <v>1.44</v>
      </c>
      <c r="W12" s="11" t="n">
        <v>1.8</v>
      </c>
      <c r="X12" s="11" t="n">
        <v>2.62</v>
      </c>
      <c r="Y12" s="11" t="n">
        <v>0.95</v>
      </c>
      <c r="Z12" s="11" t="n">
        <v>3.68</v>
      </c>
      <c r="AA12" s="11" t="n">
        <v>2.27</v>
      </c>
      <c r="AB12" s="11" t="n">
        <v>3.03</v>
      </c>
      <c r="AC12" s="11" t="n">
        <v>3.59</v>
      </c>
      <c r="AD12" s="11" t="n">
        <v>2.73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40" customWidth="1" min="31" max="31"/>
  </cols>
  <sheetData>
    <row r="1">
      <c r="A1" s="1" t="inlineStr">
        <is>
          <t>모레스코 재무상태표</t>
        </is>
      </c>
    </row>
    <row r="2">
      <c r="A2" s="2" t="inlineStr">
        <is>
          <t>결산기 기준(27.2Q = 2027년 결산기 2분기) · 2월 결산 · 연결 · 분기 말 잔액 · 오른쪽 FY = 연간</t>
        </is>
      </c>
      <c r="B2" s="3" t="inlineStr">
        <is>
          <t>(단위: 억엔)</t>
        </is>
      </c>
    </row>
    <row r="3">
      <c r="A3" s="4" t="inlineStr">
        <is>
          <t>항목</t>
        </is>
      </c>
      <c r="B3" s="4" t="inlineStr">
        <is>
          <t>참고</t>
        </is>
      </c>
      <c r="C3" s="4" t="inlineStr">
        <is>
          <t>22.3Q</t>
        </is>
      </c>
      <c r="D3" s="4" t="inlineStr">
        <is>
          <t>22.4Q</t>
        </is>
      </c>
      <c r="E3" s="4" t="inlineStr">
        <is>
          <t>23.1Q</t>
        </is>
      </c>
      <c r="F3" s="4" t="inlineStr">
        <is>
          <t>23.2Q</t>
        </is>
      </c>
      <c r="G3" s="4" t="inlineStr">
        <is>
          <t>23.3Q</t>
        </is>
      </c>
      <c r="H3" s="4" t="inlineStr">
        <is>
          <t>23.4Q</t>
        </is>
      </c>
      <c r="I3" s="4" t="inlineStr">
        <is>
          <t>24.1Q</t>
        </is>
      </c>
      <c r="J3" s="4" t="inlineStr">
        <is>
          <t>24.2Q</t>
        </is>
      </c>
      <c r="K3" s="4" t="inlineStr">
        <is>
          <t>24.3Q</t>
        </is>
      </c>
      <c r="L3" s="4" t="inlineStr">
        <is>
          <t>24.4Q</t>
        </is>
      </c>
      <c r="M3" s="4" t="inlineStr">
        <is>
          <t>25.1Q</t>
        </is>
      </c>
      <c r="N3" s="4" t="inlineStr">
        <is>
          <t>25.2Q</t>
        </is>
      </c>
      <c r="O3" s="4" t="inlineStr">
        <is>
          <t>25.3Q</t>
        </is>
      </c>
      <c r="P3" s="4" t="inlineStr">
        <is>
          <t>25.4Q</t>
        </is>
      </c>
      <c r="Q3" s="4" t="inlineStr">
        <is>
          <t>26.1Q</t>
        </is>
      </c>
      <c r="R3" s="4" t="inlineStr">
        <is>
          <t>26.2Q</t>
        </is>
      </c>
      <c r="S3" s="4" t="inlineStr">
        <is>
          <t>26.3Q</t>
        </is>
      </c>
      <c r="T3" s="4" t="inlineStr">
        <is>
          <t>26.4Q</t>
        </is>
      </c>
      <c r="U3" s="4" t="inlineStr">
        <is>
          <t>27.1Q</t>
        </is>
      </c>
      <c r="V3" s="4" t="inlineStr">
        <is>
          <t>27.2Q</t>
        </is>
      </c>
      <c r="W3" s="4" t="inlineStr">
        <is>
          <t>FY19</t>
        </is>
      </c>
      <c r="X3" s="4" t="inlineStr">
        <is>
          <t>FY20</t>
        </is>
      </c>
      <c r="Y3" s="4" t="inlineStr">
        <is>
          <t>FY21</t>
        </is>
      </c>
      <c r="Z3" s="4" t="inlineStr">
        <is>
          <t>FY22</t>
        </is>
      </c>
      <c r="AA3" s="4" t="inlineStr">
        <is>
          <t>FY23</t>
        </is>
      </c>
      <c r="AB3" s="4" t="inlineStr">
        <is>
          <t>FY24</t>
        </is>
      </c>
      <c r="AC3" s="4" t="inlineStr">
        <is>
          <t>FY25</t>
        </is>
      </c>
      <c r="AD3" s="4" t="inlineStr">
        <is>
          <t>FY26</t>
        </is>
      </c>
      <c r="AE3" s="4" t="inlineStr">
        <is>
          <t>출처</t>
        </is>
      </c>
    </row>
    <row r="4">
      <c r="A4" s="10" t="inlineStr">
        <is>
          <t>현금 및 예금</t>
        </is>
      </c>
      <c r="C4" s="11" t="n">
        <v>40.9</v>
      </c>
      <c r="D4" s="11" t="n">
        <v>40.01</v>
      </c>
      <c r="E4" s="11" t="n">
        <v>38.12</v>
      </c>
      <c r="F4" s="11" t="n">
        <v>41.66</v>
      </c>
      <c r="G4" s="11" t="n">
        <v>41.72</v>
      </c>
      <c r="H4" s="11" t="n">
        <v>42.56</v>
      </c>
      <c r="I4" s="11" t="n">
        <v>39.35</v>
      </c>
      <c r="J4" s="11" t="n">
        <v>37.56</v>
      </c>
      <c r="K4" s="11" t="n">
        <v>59.52</v>
      </c>
      <c r="L4" s="11" t="n">
        <v>56.36</v>
      </c>
      <c r="M4" s="11" t="n">
        <v>49.93</v>
      </c>
      <c r="N4" s="11" t="n">
        <v>50.64</v>
      </c>
      <c r="O4" s="11" t="n">
        <v>52.53</v>
      </c>
      <c r="P4" s="11" t="n">
        <v>55.08</v>
      </c>
      <c r="Q4" s="11" t="n">
        <v>54.96</v>
      </c>
      <c r="R4" s="11" t="n">
        <v>50.68</v>
      </c>
      <c r="S4" s="11" t="n">
        <v>57.46</v>
      </c>
      <c r="T4" s="11" t="n">
        <v>69.14</v>
      </c>
      <c r="U4" s="11" t="n">
        <v>60.05</v>
      </c>
      <c r="V4" s="11" t="n">
        <v>59.71</v>
      </c>
      <c r="W4" s="11" t="n">
        <v>33.77</v>
      </c>
      <c r="X4" s="11" t="n">
        <v>35.76</v>
      </c>
      <c r="Y4" s="11" t="n">
        <v>41.08</v>
      </c>
      <c r="Z4" s="11" t="n">
        <v>40.01</v>
      </c>
      <c r="AA4" s="11" t="n">
        <v>42.56</v>
      </c>
      <c r="AB4" s="11" t="n">
        <v>56.36</v>
      </c>
      <c r="AC4" s="11" t="n">
        <v>55.08</v>
      </c>
      <c r="AD4" s="11" t="n">
        <v>69.14</v>
      </c>
      <c r="AE4" s="7" t="inlineStr">
        <is>
          <t>결산단신 XBRL(거래소 공시, TDnet·JPX 보관소). 쓴 문서: 2026-10-15, 2026-07-09, 2026-04-14, 2026-01-13 외 26건 — '출처' 시트에 전부</t>
        </is>
      </c>
    </row>
    <row r="5">
      <c r="A5" s="10" t="inlineStr">
        <is>
          <t>받을어음</t>
        </is>
      </c>
      <c r="D5" s="11" t="n">
        <v>0</v>
      </c>
      <c r="H5" s="11" t="n">
        <v>12.35</v>
      </c>
      <c r="L5" s="11" t="n">
        <v>1.94</v>
      </c>
      <c r="P5" s="11" t="n">
        <v>1.13</v>
      </c>
      <c r="T5" s="11" t="n">
        <v>0.45</v>
      </c>
      <c r="Z5" s="11" t="n">
        <v>0</v>
      </c>
      <c r="AA5" s="11" t="n">
        <v>12.35</v>
      </c>
      <c r="AB5" s="11" t="n">
        <v>1.94</v>
      </c>
      <c r="AC5" s="11" t="n">
        <v>1.13</v>
      </c>
      <c r="AD5" s="11" t="n">
        <v>0.45</v>
      </c>
    </row>
    <row r="6">
      <c r="A6" s="10" t="inlineStr">
        <is>
          <t>받을어음·매출채권</t>
        </is>
      </c>
      <c r="C6" s="11" t="n">
        <v>68</v>
      </c>
      <c r="D6" s="11" t="n">
        <v>68.44</v>
      </c>
      <c r="E6" s="11" t="n">
        <v>70.45999999999999</v>
      </c>
      <c r="F6" s="11" t="n">
        <v>75.23999999999999</v>
      </c>
      <c r="G6" s="11" t="n">
        <v>78.31</v>
      </c>
      <c r="H6" s="11" t="n">
        <v>75.95</v>
      </c>
      <c r="I6" s="11" t="n">
        <v>74.62</v>
      </c>
      <c r="J6" s="11" t="n">
        <v>74.53</v>
      </c>
      <c r="K6" s="11" t="n">
        <v>80.16</v>
      </c>
      <c r="L6" s="11" t="n">
        <v>79.42</v>
      </c>
      <c r="M6" s="11" t="n">
        <v>82.37</v>
      </c>
      <c r="N6" s="11" t="n">
        <v>88.55</v>
      </c>
      <c r="O6" s="11" t="n">
        <v>89.18000000000001</v>
      </c>
      <c r="P6" s="11" t="n">
        <v>70.05</v>
      </c>
      <c r="Q6" s="11" t="n">
        <v>71.59999999999999</v>
      </c>
      <c r="R6" s="11" t="n">
        <v>68.95999999999999</v>
      </c>
      <c r="S6" s="11" t="n">
        <v>71.02</v>
      </c>
      <c r="T6" s="11" t="n">
        <v>73.29000000000001</v>
      </c>
      <c r="U6" s="11" t="n">
        <v>76.31</v>
      </c>
      <c r="V6" s="11" t="n">
        <v>79.87</v>
      </c>
      <c r="W6" s="11" t="n">
        <v>68.63</v>
      </c>
      <c r="X6" s="11" t="n">
        <v>67.2</v>
      </c>
      <c r="Y6" s="11" t="n">
        <v>66.43000000000001</v>
      </c>
      <c r="Z6" s="11" t="n">
        <v>68.44</v>
      </c>
      <c r="AA6" s="11" t="n">
        <v>75.95</v>
      </c>
      <c r="AB6" s="11" t="n">
        <v>79.42</v>
      </c>
      <c r="AC6" s="11" t="n">
        <v>70.05</v>
      </c>
      <c r="AD6" s="11" t="n">
        <v>73.29000000000001</v>
      </c>
    </row>
    <row r="7">
      <c r="A7" s="10" t="inlineStr">
        <is>
          <t>전자기록채권</t>
        </is>
      </c>
      <c r="L7" s="11" t="n">
        <v>11.29</v>
      </c>
      <c r="P7" s="11" t="n">
        <v>11.26</v>
      </c>
      <c r="Q7" s="11" t="n">
        <v>11.47</v>
      </c>
      <c r="R7" s="11" t="n">
        <v>12.6</v>
      </c>
      <c r="S7" s="11" t="n">
        <v>11.85</v>
      </c>
      <c r="T7" s="11" t="n">
        <v>13.33</v>
      </c>
      <c r="U7" s="11" t="n">
        <v>12.73</v>
      </c>
      <c r="V7" s="11" t="n">
        <v>14.25</v>
      </c>
      <c r="AB7" s="11" t="n">
        <v>11.29</v>
      </c>
      <c r="AC7" s="11" t="n">
        <v>11.26</v>
      </c>
      <c r="AD7" s="11" t="n">
        <v>13.33</v>
      </c>
    </row>
    <row r="8">
      <c r="A8" s="10" t="inlineStr">
        <is>
          <t>매출채권</t>
        </is>
      </c>
      <c r="D8" s="11" t="n">
        <v>0</v>
      </c>
      <c r="H8" s="11" t="n">
        <v>63.6</v>
      </c>
      <c r="L8" s="11" t="n">
        <v>66.18000000000001</v>
      </c>
      <c r="P8" s="11" t="n">
        <v>68.92</v>
      </c>
      <c r="T8" s="11" t="n">
        <v>72.84</v>
      </c>
      <c r="Z8" s="11" t="n">
        <v>0</v>
      </c>
      <c r="AA8" s="11" t="n">
        <v>63.6</v>
      </c>
      <c r="AB8" s="11" t="n">
        <v>66.18000000000001</v>
      </c>
      <c r="AC8" s="11" t="n">
        <v>68.92</v>
      </c>
      <c r="AD8" s="11" t="n">
        <v>72.84</v>
      </c>
    </row>
    <row r="9">
      <c r="A9" s="10" t="inlineStr">
        <is>
          <t>상품·제품</t>
        </is>
      </c>
      <c r="C9" s="11" t="n">
        <v>27.39</v>
      </c>
      <c r="D9" s="11" t="n">
        <v>29.35</v>
      </c>
      <c r="E9" s="11" t="n">
        <v>31.47</v>
      </c>
      <c r="F9" s="11" t="n">
        <v>31.6</v>
      </c>
      <c r="G9" s="11" t="n">
        <v>34.07</v>
      </c>
      <c r="H9" s="11" t="n">
        <v>32.76</v>
      </c>
      <c r="I9" s="11" t="n">
        <v>36.64</v>
      </c>
      <c r="J9" s="11" t="n">
        <v>35.24</v>
      </c>
      <c r="K9" s="11" t="n">
        <v>38.73</v>
      </c>
      <c r="L9" s="11" t="n">
        <v>36.93</v>
      </c>
      <c r="M9" s="11" t="n">
        <v>40.46</v>
      </c>
      <c r="N9" s="11" t="n">
        <v>37.55</v>
      </c>
      <c r="O9" s="11" t="n">
        <v>38.12</v>
      </c>
      <c r="P9" s="11" t="n">
        <v>40.44</v>
      </c>
      <c r="Q9" s="11" t="n">
        <v>39.6</v>
      </c>
      <c r="R9" s="11" t="n">
        <v>37.31</v>
      </c>
      <c r="S9" s="11" t="n">
        <v>38.59</v>
      </c>
      <c r="T9" s="11" t="n">
        <v>37.74</v>
      </c>
      <c r="U9" s="11" t="n">
        <v>37.92</v>
      </c>
      <c r="V9" s="11" t="n">
        <v>42.41</v>
      </c>
      <c r="W9" s="11" t="n">
        <v>25.97</v>
      </c>
      <c r="X9" s="11" t="n">
        <v>27.14</v>
      </c>
      <c r="Y9" s="11" t="n">
        <v>25.24</v>
      </c>
      <c r="Z9" s="11" t="n">
        <v>29.35</v>
      </c>
      <c r="AA9" s="11" t="n">
        <v>32.76</v>
      </c>
      <c r="AB9" s="11" t="n">
        <v>36.93</v>
      </c>
      <c r="AC9" s="11" t="n">
        <v>40.44</v>
      </c>
      <c r="AD9" s="11" t="n">
        <v>37.74</v>
      </c>
    </row>
    <row r="10">
      <c r="A10" s="10" t="inlineStr">
        <is>
          <t>원재료·저장품</t>
        </is>
      </c>
      <c r="C10" s="11" t="n">
        <v>23.04</v>
      </c>
      <c r="D10" s="11" t="n">
        <v>23.91</v>
      </c>
      <c r="E10" s="11" t="n">
        <v>25.8</v>
      </c>
      <c r="F10" s="11" t="n">
        <v>29.42</v>
      </c>
      <c r="G10" s="11" t="n">
        <v>29.04</v>
      </c>
      <c r="H10" s="11" t="n">
        <v>30.3</v>
      </c>
      <c r="I10" s="11" t="n">
        <v>27.87</v>
      </c>
      <c r="J10" s="11" t="n">
        <v>28.54</v>
      </c>
      <c r="K10" s="11" t="n">
        <v>26.32</v>
      </c>
      <c r="L10" s="11" t="n">
        <v>29.94</v>
      </c>
      <c r="M10" s="11" t="n">
        <v>29.89</v>
      </c>
      <c r="N10" s="11" t="n">
        <v>32</v>
      </c>
      <c r="O10" s="11" t="n">
        <v>28.44</v>
      </c>
      <c r="P10" s="11" t="n">
        <v>30.82</v>
      </c>
      <c r="Q10" s="11" t="n">
        <v>29.79</v>
      </c>
      <c r="R10" s="11" t="n">
        <v>28.19</v>
      </c>
      <c r="S10" s="11" t="n">
        <v>28.54</v>
      </c>
      <c r="T10" s="11" t="n">
        <v>31.18</v>
      </c>
      <c r="U10" s="11" t="n">
        <v>34.07</v>
      </c>
      <c r="V10" s="11" t="n">
        <v>36.03</v>
      </c>
      <c r="W10" s="11" t="n">
        <v>20.69</v>
      </c>
      <c r="X10" s="11" t="n">
        <v>20.65</v>
      </c>
      <c r="Y10" s="11" t="n">
        <v>17.18</v>
      </c>
      <c r="Z10" s="11" t="n">
        <v>23.91</v>
      </c>
      <c r="AA10" s="11" t="n">
        <v>30.3</v>
      </c>
      <c r="AB10" s="11" t="n">
        <v>29.94</v>
      </c>
      <c r="AC10" s="11" t="n">
        <v>30.82</v>
      </c>
      <c r="AD10" s="11" t="n">
        <v>31.18</v>
      </c>
    </row>
    <row r="11">
      <c r="A11" s="10" t="inlineStr">
        <is>
          <t>기타</t>
        </is>
      </c>
      <c r="C11" s="11" t="n">
        <v>3.68</v>
      </c>
      <c r="D11" s="11" t="n">
        <v>4.61</v>
      </c>
      <c r="E11" s="11" t="n">
        <v>6.07</v>
      </c>
      <c r="F11" s="11" t="n">
        <v>5.21</v>
      </c>
      <c r="G11" s="11" t="n">
        <v>6.41</v>
      </c>
      <c r="H11" s="11" t="n">
        <v>6.75</v>
      </c>
      <c r="I11" s="11" t="n">
        <v>5.86</v>
      </c>
      <c r="J11" s="11" t="n">
        <v>5.87</v>
      </c>
      <c r="K11" s="11" t="n">
        <v>14.3</v>
      </c>
      <c r="L11" s="11" t="n">
        <v>7.5</v>
      </c>
      <c r="M11" s="11" t="n">
        <v>7.47</v>
      </c>
      <c r="N11" s="11" t="n">
        <v>4.83</v>
      </c>
      <c r="O11" s="11" t="n">
        <v>4.36</v>
      </c>
      <c r="P11" s="11" t="n">
        <v>5.11</v>
      </c>
      <c r="Q11" s="11" t="n">
        <v>5.74</v>
      </c>
      <c r="R11" s="11" t="n">
        <v>6.05</v>
      </c>
      <c r="S11" s="11" t="n">
        <v>6.82</v>
      </c>
      <c r="T11" s="11" t="n">
        <v>6.72</v>
      </c>
      <c r="U11" s="11" t="n">
        <v>6.77</v>
      </c>
      <c r="V11" s="11" t="n">
        <v>7.1</v>
      </c>
      <c r="W11" s="11" t="n">
        <v>3.19</v>
      </c>
      <c r="X11" s="11" t="n">
        <v>3.83</v>
      </c>
      <c r="Y11" s="11" t="n">
        <v>3.38</v>
      </c>
      <c r="Z11" s="11" t="n">
        <v>4.61</v>
      </c>
      <c r="AA11" s="11" t="n">
        <v>6.75</v>
      </c>
      <c r="AB11" s="11" t="n">
        <v>7.5</v>
      </c>
      <c r="AC11" s="11" t="n">
        <v>5.11</v>
      </c>
      <c r="AD11" s="11" t="n">
        <v>6.72</v>
      </c>
    </row>
    <row r="12">
      <c r="A12" s="10" t="inlineStr">
        <is>
          <t>대손충당금</t>
        </is>
      </c>
      <c r="C12" s="11" t="n">
        <v>-0.26</v>
      </c>
      <c r="D12" s="11" t="n">
        <v>-0.25</v>
      </c>
      <c r="E12" s="11" t="n">
        <v>-0.27</v>
      </c>
      <c r="F12" s="11" t="n">
        <v>-0.28</v>
      </c>
      <c r="G12" s="11" t="n">
        <v>-0.28</v>
      </c>
      <c r="H12" s="11" t="n">
        <v>-0.22</v>
      </c>
      <c r="I12" s="11" t="n">
        <v>-0.21</v>
      </c>
      <c r="J12" s="11" t="n">
        <v>-0.21</v>
      </c>
      <c r="K12" s="11" t="n">
        <v>-0.3</v>
      </c>
      <c r="L12" s="11" t="n">
        <v>-0.25</v>
      </c>
      <c r="M12" s="11" t="n">
        <v>-0.17</v>
      </c>
      <c r="N12" s="11" t="n">
        <v>-0.16</v>
      </c>
      <c r="O12" s="11" t="n">
        <v>-0.14</v>
      </c>
      <c r="P12" s="11" t="n">
        <v>-0.16</v>
      </c>
      <c r="Q12" s="11" t="n">
        <v>-0.17</v>
      </c>
      <c r="R12" s="11" t="n">
        <v>-0.17</v>
      </c>
      <c r="S12" s="11" t="n">
        <v>-0.17</v>
      </c>
      <c r="T12" s="11" t="n">
        <v>-0.1</v>
      </c>
      <c r="U12" s="11" t="n">
        <v>-0.11</v>
      </c>
      <c r="V12" s="11" t="n">
        <v>-0.11</v>
      </c>
      <c r="W12" s="11" t="n">
        <v>-0.22</v>
      </c>
      <c r="X12" s="11" t="n">
        <v>-0.23</v>
      </c>
      <c r="Y12" s="11" t="n">
        <v>-0.27</v>
      </c>
      <c r="Z12" s="11" t="n">
        <v>-0.25</v>
      </c>
      <c r="AA12" s="11" t="n">
        <v>-0.22</v>
      </c>
      <c r="AB12" s="11" t="n">
        <v>-0.25</v>
      </c>
      <c r="AC12" s="11" t="n">
        <v>-0.16</v>
      </c>
      <c r="AD12" s="11" t="n">
        <v>-0.1</v>
      </c>
    </row>
    <row r="13">
      <c r="A13" s="10" t="inlineStr">
        <is>
          <t>유동자산 합계</t>
        </is>
      </c>
      <c r="C13" s="11" t="n">
        <v>162.76</v>
      </c>
      <c r="D13" s="11" t="n">
        <v>166.07</v>
      </c>
      <c r="E13" s="11" t="n">
        <v>171.65</v>
      </c>
      <c r="F13" s="11" t="n">
        <v>182.85</v>
      </c>
      <c r="G13" s="11" t="n">
        <v>189.28</v>
      </c>
      <c r="H13" s="11" t="n">
        <v>188.1</v>
      </c>
      <c r="I13" s="11" t="n">
        <v>184.12</v>
      </c>
      <c r="J13" s="11" t="n">
        <v>181.53</v>
      </c>
      <c r="K13" s="11" t="n">
        <v>218.72</v>
      </c>
      <c r="L13" s="11" t="n">
        <v>209.89</v>
      </c>
      <c r="M13" s="11" t="n">
        <v>209.95</v>
      </c>
      <c r="N13" s="11" t="n">
        <v>213.42</v>
      </c>
      <c r="O13" s="11" t="n">
        <v>212.5</v>
      </c>
      <c r="P13" s="11" t="n">
        <v>212.6</v>
      </c>
      <c r="Q13" s="11" t="n">
        <v>212.99</v>
      </c>
      <c r="R13" s="11" t="n">
        <v>203.62</v>
      </c>
      <c r="S13" s="11" t="n">
        <v>214.11</v>
      </c>
      <c r="T13" s="11" t="n">
        <v>231.29</v>
      </c>
      <c r="U13" s="11" t="n">
        <v>227.72</v>
      </c>
      <c r="V13" s="11" t="n">
        <v>239.25</v>
      </c>
      <c r="W13" s="11" t="n">
        <v>152.02</v>
      </c>
      <c r="X13" s="11" t="n">
        <v>154.36</v>
      </c>
      <c r="Y13" s="11" t="n">
        <v>153.04</v>
      </c>
      <c r="Z13" s="11" t="n">
        <v>166.07</v>
      </c>
      <c r="AA13" s="11" t="n">
        <v>188.1</v>
      </c>
      <c r="AB13" s="11" t="n">
        <v>209.89</v>
      </c>
      <c r="AC13" s="11" t="n">
        <v>212.6</v>
      </c>
      <c r="AD13" s="11" t="n">
        <v>231.29</v>
      </c>
    </row>
    <row r="14">
      <c r="A14" s="10" t="inlineStr">
        <is>
          <t>건물·구축물</t>
        </is>
      </c>
      <c r="D14" s="11" t="n">
        <v>68.67</v>
      </c>
      <c r="H14" s="11" t="n">
        <v>74.02</v>
      </c>
      <c r="L14" s="11" t="n">
        <v>90.77</v>
      </c>
      <c r="P14" s="11" t="n">
        <v>96.90000000000001</v>
      </c>
      <c r="T14" s="11" t="n">
        <v>98.09</v>
      </c>
      <c r="W14" s="11" t="n">
        <v>63.83</v>
      </c>
      <c r="X14" s="11" t="n">
        <v>69.5</v>
      </c>
      <c r="Y14" s="11" t="n">
        <v>69.19</v>
      </c>
      <c r="Z14" s="11" t="n">
        <v>68.67</v>
      </c>
      <c r="AA14" s="11" t="n">
        <v>74.02</v>
      </c>
      <c r="AB14" s="11" t="n">
        <v>90.77</v>
      </c>
      <c r="AC14" s="11" t="n">
        <v>96.90000000000001</v>
      </c>
      <c r="AD14" s="11" t="n">
        <v>98.09</v>
      </c>
    </row>
    <row r="15">
      <c r="A15" s="10" t="inlineStr">
        <is>
          <t>감가상각누계액</t>
        </is>
      </c>
      <c r="D15" s="11" t="n">
        <v>-33.27</v>
      </c>
      <c r="H15" s="11" t="n">
        <v>-35.16</v>
      </c>
      <c r="L15" s="11" t="n">
        <v>-40.72</v>
      </c>
      <c r="P15" s="11" t="n">
        <v>-45.07</v>
      </c>
      <c r="T15" s="11" t="n">
        <v>-48.65</v>
      </c>
      <c r="W15" s="11" t="n">
        <v>-29.25</v>
      </c>
      <c r="X15" s="11" t="n">
        <v>-31.6</v>
      </c>
      <c r="Y15" s="11" t="n">
        <v>-33.67</v>
      </c>
      <c r="Z15" s="11" t="n">
        <v>-33.27</v>
      </c>
      <c r="AA15" s="11" t="n">
        <v>-35.16</v>
      </c>
      <c r="AB15" s="11" t="n">
        <v>-40.72</v>
      </c>
      <c r="AC15" s="11" t="n">
        <v>-45.07</v>
      </c>
      <c r="AD15" s="11" t="n">
        <v>-48.65</v>
      </c>
    </row>
    <row r="16">
      <c r="A16" s="10" t="inlineStr">
        <is>
          <t>건물·구축물(순액)</t>
        </is>
      </c>
      <c r="C16" s="11" t="n">
        <v>33.77</v>
      </c>
      <c r="D16" s="11" t="n">
        <v>35.4</v>
      </c>
      <c r="E16" s="11" t="n">
        <v>35.56</v>
      </c>
      <c r="F16" s="11" t="n">
        <v>35.77</v>
      </c>
      <c r="G16" s="11" t="n">
        <v>40.53</v>
      </c>
      <c r="H16" s="11" t="n">
        <v>38.86</v>
      </c>
      <c r="I16" s="11" t="n">
        <v>38.76</v>
      </c>
      <c r="J16" s="11" t="n">
        <v>39</v>
      </c>
      <c r="K16" s="11" t="n">
        <v>38.71</v>
      </c>
      <c r="L16" s="11" t="n">
        <v>50.05</v>
      </c>
      <c r="M16" s="11" t="n">
        <v>50.73</v>
      </c>
      <c r="N16" s="11" t="n">
        <v>51.86</v>
      </c>
      <c r="O16" s="11" t="n">
        <v>51.34</v>
      </c>
      <c r="P16" s="11" t="n">
        <v>51.83</v>
      </c>
      <c r="Q16" s="11" t="n">
        <v>49.75</v>
      </c>
      <c r="R16" s="11" t="n">
        <v>48.69</v>
      </c>
      <c r="S16" s="11" t="n">
        <v>48.96</v>
      </c>
      <c r="T16" s="11" t="n">
        <v>49.44</v>
      </c>
      <c r="U16" s="11" t="n">
        <v>49.09</v>
      </c>
      <c r="V16" s="11" t="n">
        <v>48.47</v>
      </c>
      <c r="W16" s="11" t="n">
        <v>34.58</v>
      </c>
      <c r="X16" s="11" t="n">
        <v>37.91</v>
      </c>
      <c r="Y16" s="11" t="n">
        <v>35.52</v>
      </c>
      <c r="Z16" s="11" t="n">
        <v>35.4</v>
      </c>
      <c r="AA16" s="11" t="n">
        <v>38.86</v>
      </c>
      <c r="AB16" s="11" t="n">
        <v>50.05</v>
      </c>
      <c r="AC16" s="11" t="n">
        <v>51.83</v>
      </c>
      <c r="AD16" s="11" t="n">
        <v>49.44</v>
      </c>
    </row>
    <row r="17">
      <c r="A17" s="10" t="inlineStr">
        <is>
          <t>기계장치·운반구</t>
        </is>
      </c>
      <c r="D17" s="11" t="n">
        <v>105.13</v>
      </c>
      <c r="H17" s="11" t="n">
        <v>107.93</v>
      </c>
      <c r="L17" s="11" t="n">
        <v>118.81</v>
      </c>
      <c r="P17" s="11" t="n">
        <v>122.64</v>
      </c>
      <c r="T17" s="11" t="n">
        <v>125.12</v>
      </c>
      <c r="W17" s="11" t="n">
        <v>92.09</v>
      </c>
      <c r="X17" s="11" t="n">
        <v>98.09999999999999</v>
      </c>
      <c r="Y17" s="11" t="n">
        <v>98.31999999999999</v>
      </c>
      <c r="Z17" s="11" t="n">
        <v>105.13</v>
      </c>
      <c r="AA17" s="11" t="n">
        <v>107.93</v>
      </c>
      <c r="AB17" s="11" t="n">
        <v>118.81</v>
      </c>
      <c r="AC17" s="11" t="n">
        <v>122.64</v>
      </c>
      <c r="AD17" s="11" t="n">
        <v>125.12</v>
      </c>
    </row>
    <row r="18">
      <c r="A18" s="10" t="inlineStr">
        <is>
          <t>감가상각누계액</t>
        </is>
      </c>
      <c r="D18" s="11" t="n">
        <v>-84.78</v>
      </c>
      <c r="H18" s="11" t="n">
        <v>-89.78</v>
      </c>
      <c r="L18" s="11" t="n">
        <v>-95.68000000000001</v>
      </c>
      <c r="P18" s="11" t="n">
        <v>-101.24</v>
      </c>
      <c r="T18" s="11" t="n">
        <v>-106.46</v>
      </c>
      <c r="W18" s="11" t="n">
        <v>-74.27</v>
      </c>
      <c r="X18" s="11" t="n">
        <v>-77.23999999999999</v>
      </c>
      <c r="Y18" s="11" t="n">
        <v>-80.28</v>
      </c>
      <c r="Z18" s="11" t="n">
        <v>-84.78</v>
      </c>
      <c r="AA18" s="11" t="n">
        <v>-89.78</v>
      </c>
      <c r="AB18" s="11" t="n">
        <v>-95.68000000000001</v>
      </c>
      <c r="AC18" s="11" t="n">
        <v>-101.24</v>
      </c>
      <c r="AD18" s="11" t="n">
        <v>-106.46</v>
      </c>
    </row>
    <row r="19">
      <c r="A19" s="10" t="inlineStr">
        <is>
          <t>기계장치·운반구(순액)</t>
        </is>
      </c>
      <c r="C19" s="11" t="n">
        <v>16.36</v>
      </c>
      <c r="D19" s="11" t="n">
        <v>20.35</v>
      </c>
      <c r="E19" s="11" t="n">
        <v>20.37</v>
      </c>
      <c r="F19" s="11" t="n">
        <v>20.49</v>
      </c>
      <c r="G19" s="11" t="n">
        <v>19.83</v>
      </c>
      <c r="H19" s="11" t="n">
        <v>18.15</v>
      </c>
      <c r="I19" s="11" t="n">
        <v>17.82</v>
      </c>
      <c r="J19" s="11" t="n">
        <v>17.82</v>
      </c>
      <c r="K19" s="11" t="n">
        <v>17.87</v>
      </c>
      <c r="L19" s="11" t="n">
        <v>23.13</v>
      </c>
      <c r="M19" s="11" t="n">
        <v>22.89</v>
      </c>
      <c r="N19" s="11" t="n">
        <v>23.07</v>
      </c>
      <c r="O19" s="11" t="n">
        <v>22.7</v>
      </c>
      <c r="P19" s="11" t="n">
        <v>21.41</v>
      </c>
      <c r="Q19" s="11" t="n">
        <v>19.94</v>
      </c>
      <c r="R19" s="11" t="n">
        <v>18.93</v>
      </c>
      <c r="S19" s="11" t="n">
        <v>18.73</v>
      </c>
      <c r="T19" s="11" t="n">
        <v>18.66</v>
      </c>
      <c r="U19" s="11" t="n">
        <v>17.97</v>
      </c>
      <c r="V19" s="11" t="n">
        <v>16.32</v>
      </c>
      <c r="W19" s="11" t="n">
        <v>17.82</v>
      </c>
      <c r="X19" s="11" t="n">
        <v>20.85</v>
      </c>
      <c r="Y19" s="11" t="n">
        <v>18.04</v>
      </c>
      <c r="Z19" s="11" t="n">
        <v>20.35</v>
      </c>
      <c r="AA19" s="11" t="n">
        <v>18.15</v>
      </c>
      <c r="AB19" s="11" t="n">
        <v>23.13</v>
      </c>
      <c r="AC19" s="11" t="n">
        <v>21.41</v>
      </c>
      <c r="AD19" s="11" t="n">
        <v>18.66</v>
      </c>
    </row>
    <row r="20">
      <c r="A20" s="10" t="inlineStr">
        <is>
          <t>토지</t>
        </is>
      </c>
      <c r="C20" s="11" t="n">
        <v>19.51</v>
      </c>
      <c r="D20" s="11" t="n">
        <v>19.54</v>
      </c>
      <c r="E20" s="11" t="n">
        <v>19.6</v>
      </c>
      <c r="F20" s="11" t="n">
        <v>19.67</v>
      </c>
      <c r="G20" s="11" t="n">
        <v>19.69</v>
      </c>
      <c r="H20" s="11" t="n">
        <v>19.63</v>
      </c>
      <c r="I20" s="11" t="n">
        <v>19.66</v>
      </c>
      <c r="J20" s="11" t="n">
        <v>19.73</v>
      </c>
      <c r="K20" s="11" t="n">
        <v>19.73</v>
      </c>
      <c r="L20" s="11" t="n">
        <v>22.55</v>
      </c>
      <c r="M20" s="11" t="n">
        <v>22.77</v>
      </c>
      <c r="N20" s="11" t="n">
        <v>23</v>
      </c>
      <c r="O20" s="11" t="n">
        <v>24.92</v>
      </c>
      <c r="P20" s="11" t="n">
        <v>25.28</v>
      </c>
      <c r="Q20" s="11" t="n">
        <v>25.03</v>
      </c>
      <c r="R20" s="11" t="n">
        <v>24.93</v>
      </c>
      <c r="S20" s="11" t="n">
        <v>25.05</v>
      </c>
      <c r="T20" s="11" t="n">
        <v>25.27</v>
      </c>
      <c r="U20" s="11" t="n">
        <v>25.33</v>
      </c>
      <c r="V20" s="11" t="n">
        <v>25.37</v>
      </c>
      <c r="W20" s="11" t="n">
        <v>24.23</v>
      </c>
      <c r="X20" s="11" t="n">
        <v>24.28</v>
      </c>
      <c r="Y20" s="11" t="n">
        <v>24.22</v>
      </c>
      <c r="Z20" s="11" t="n">
        <v>19.54</v>
      </c>
      <c r="AA20" s="11" t="n">
        <v>19.63</v>
      </c>
      <c r="AB20" s="11" t="n">
        <v>22.55</v>
      </c>
      <c r="AC20" s="11" t="n">
        <v>25.28</v>
      </c>
      <c r="AD20" s="11" t="n">
        <v>25.27</v>
      </c>
    </row>
    <row r="21">
      <c r="A21" s="10" t="inlineStr">
        <is>
          <t>리스자산</t>
        </is>
      </c>
      <c r="D21" s="11" t="n">
        <v>1.89</v>
      </c>
      <c r="H21" s="11" t="n">
        <v>2.3</v>
      </c>
      <c r="L21" s="11" t="n">
        <v>2.62</v>
      </c>
      <c r="P21" s="11" t="n">
        <v>2.89</v>
      </c>
      <c r="T21" s="11" t="n">
        <v>2.34</v>
      </c>
      <c r="W21" s="11" t="n">
        <v>1.74</v>
      </c>
      <c r="X21" s="11" t="n">
        <v>1.86</v>
      </c>
      <c r="Y21" s="11" t="n">
        <v>1.89</v>
      </c>
      <c r="Z21" s="11" t="n">
        <v>1.89</v>
      </c>
      <c r="AA21" s="11" t="n">
        <v>2.3</v>
      </c>
      <c r="AB21" s="11" t="n">
        <v>2.62</v>
      </c>
      <c r="AC21" s="11" t="n">
        <v>2.89</v>
      </c>
      <c r="AD21" s="11" t="n">
        <v>2.34</v>
      </c>
    </row>
    <row r="22">
      <c r="A22" s="10" t="inlineStr">
        <is>
          <t>감가상각누계액</t>
        </is>
      </c>
      <c r="D22" s="11" t="n">
        <v>-1.34</v>
      </c>
      <c r="H22" s="11" t="n">
        <v>-1.48</v>
      </c>
      <c r="L22" s="11" t="n">
        <v>-1.7</v>
      </c>
      <c r="P22" s="11" t="n">
        <v>-1.89</v>
      </c>
      <c r="T22" s="11" t="n">
        <v>-1.35</v>
      </c>
      <c r="W22" s="11" t="n">
        <v>-0.87</v>
      </c>
      <c r="X22" s="11" t="n">
        <v>-1.2</v>
      </c>
      <c r="Y22" s="11" t="n">
        <v>-1.33</v>
      </c>
      <c r="Z22" s="11" t="n">
        <v>-1.34</v>
      </c>
      <c r="AA22" s="11" t="n">
        <v>-1.48</v>
      </c>
      <c r="AB22" s="11" t="n">
        <v>-1.7</v>
      </c>
      <c r="AC22" s="11" t="n">
        <v>-1.89</v>
      </c>
      <c r="AD22" s="11" t="n">
        <v>-1.35</v>
      </c>
    </row>
    <row r="23">
      <c r="A23" s="10" t="inlineStr">
        <is>
          <t>리스자산(순액)</t>
        </is>
      </c>
      <c r="D23" s="11" t="n">
        <v>0.55</v>
      </c>
      <c r="H23" s="11" t="n">
        <v>0.82</v>
      </c>
      <c r="L23" s="11" t="n">
        <v>0.92</v>
      </c>
      <c r="P23" s="11" t="n">
        <v>1</v>
      </c>
      <c r="T23" s="11" t="n">
        <v>0.99</v>
      </c>
      <c r="W23" s="11" t="n">
        <v>0.87</v>
      </c>
      <c r="X23" s="11" t="n">
        <v>0.66</v>
      </c>
      <c r="Y23" s="11" t="n">
        <v>0.5600000000000001</v>
      </c>
      <c r="Z23" s="11" t="n">
        <v>0.55</v>
      </c>
      <c r="AA23" s="11" t="n">
        <v>0.82</v>
      </c>
      <c r="AB23" s="11" t="n">
        <v>0.92</v>
      </c>
      <c r="AC23" s="11" t="n">
        <v>1</v>
      </c>
      <c r="AD23" s="11" t="n">
        <v>0.99</v>
      </c>
    </row>
    <row r="24">
      <c r="A24" s="10" t="inlineStr">
        <is>
          <t>건설중인자산</t>
        </is>
      </c>
      <c r="D24" s="11" t="n">
        <v>2.94</v>
      </c>
      <c r="H24" s="11" t="n">
        <v>4.91</v>
      </c>
      <c r="L24" s="11" t="n">
        <v>0.33</v>
      </c>
      <c r="P24" s="11" t="n">
        <v>0.27</v>
      </c>
      <c r="T24" s="11" t="n">
        <v>0.59</v>
      </c>
      <c r="W24" s="11" t="n">
        <v>8.19</v>
      </c>
      <c r="X24" s="11" t="n">
        <v>0.34</v>
      </c>
      <c r="Y24" s="11" t="n">
        <v>1.55</v>
      </c>
      <c r="Z24" s="11" t="n">
        <v>2.94</v>
      </c>
      <c r="AA24" s="11" t="n">
        <v>4.91</v>
      </c>
      <c r="AB24" s="11" t="n">
        <v>0.33</v>
      </c>
      <c r="AC24" s="11" t="n">
        <v>0.27</v>
      </c>
      <c r="AD24" s="11" t="n">
        <v>0.59</v>
      </c>
    </row>
    <row r="25">
      <c r="A25" s="10" t="inlineStr">
        <is>
          <t>기타</t>
        </is>
      </c>
      <c r="D25" s="11" t="n">
        <v>30.04</v>
      </c>
      <c r="H25" s="11" t="n">
        <v>31.43</v>
      </c>
      <c r="L25" s="11" t="n">
        <v>33.56</v>
      </c>
      <c r="P25" s="11" t="n">
        <v>35.05</v>
      </c>
      <c r="T25" s="11" t="n">
        <v>36.27</v>
      </c>
      <c r="W25" s="11" t="n">
        <v>27.57</v>
      </c>
      <c r="X25" s="11" t="n">
        <v>28.73</v>
      </c>
      <c r="Y25" s="11" t="n">
        <v>29.61</v>
      </c>
      <c r="Z25" s="11" t="n">
        <v>30.04</v>
      </c>
      <c r="AA25" s="11" t="n">
        <v>31.43</v>
      </c>
      <c r="AB25" s="11" t="n">
        <v>33.56</v>
      </c>
      <c r="AC25" s="11" t="n">
        <v>35.05</v>
      </c>
      <c r="AD25" s="11" t="n">
        <v>36.27</v>
      </c>
    </row>
    <row r="26">
      <c r="A26" s="10" t="inlineStr">
        <is>
          <t>감가상각누계액</t>
        </is>
      </c>
      <c r="D26" s="11" t="n">
        <v>-25.79</v>
      </c>
      <c r="H26" s="11" t="n">
        <v>-27.7</v>
      </c>
      <c r="L26" s="11" t="n">
        <v>-29.14</v>
      </c>
      <c r="P26" s="11" t="n">
        <v>-30.69</v>
      </c>
      <c r="T26" s="11" t="n">
        <v>-31.9</v>
      </c>
      <c r="W26" s="11" t="n">
        <v>-20.94</v>
      </c>
      <c r="X26" s="11" t="n">
        <v>-22.43</v>
      </c>
      <c r="Y26" s="11" t="n">
        <v>-24.31</v>
      </c>
      <c r="Z26" s="11" t="n">
        <v>-25.79</v>
      </c>
      <c r="AA26" s="11" t="n">
        <v>-27.7</v>
      </c>
      <c r="AB26" s="11" t="n">
        <v>-29.14</v>
      </c>
      <c r="AC26" s="11" t="n">
        <v>-30.69</v>
      </c>
      <c r="AD26" s="11" t="n">
        <v>-31.9</v>
      </c>
    </row>
    <row r="27">
      <c r="A27" s="10" t="inlineStr">
        <is>
          <t>기타(순액)</t>
        </is>
      </c>
      <c r="C27" s="11" t="n">
        <v>9.9</v>
      </c>
      <c r="D27" s="11" t="n">
        <v>4.25</v>
      </c>
      <c r="E27" s="11" t="n">
        <v>7.77</v>
      </c>
      <c r="F27" s="11" t="n">
        <v>8.02</v>
      </c>
      <c r="G27" s="11" t="n">
        <v>5.33</v>
      </c>
      <c r="H27" s="11" t="n">
        <v>3.73</v>
      </c>
      <c r="I27" s="11" t="n">
        <v>10.42</v>
      </c>
      <c r="J27" s="11" t="n">
        <v>14.59</v>
      </c>
      <c r="K27" s="11" t="n">
        <v>19.09</v>
      </c>
      <c r="L27" s="11" t="n">
        <v>4.42</v>
      </c>
      <c r="M27" s="11" t="n">
        <v>6.41</v>
      </c>
      <c r="N27" s="11" t="n">
        <v>6.61</v>
      </c>
      <c r="O27" s="11" t="n">
        <v>5.99</v>
      </c>
      <c r="P27" s="11" t="n">
        <v>4.36</v>
      </c>
      <c r="Q27" s="11" t="n">
        <v>5.44</v>
      </c>
      <c r="R27" s="11" t="n">
        <v>5.24</v>
      </c>
      <c r="S27" s="11" t="n">
        <v>5.37</v>
      </c>
      <c r="T27" s="11" t="n">
        <v>5.95</v>
      </c>
      <c r="U27" s="11" t="n">
        <v>5.73</v>
      </c>
      <c r="V27" s="11" t="n">
        <v>5.84</v>
      </c>
      <c r="W27" s="11" t="n">
        <v>6.63</v>
      </c>
      <c r="X27" s="11" t="n">
        <v>6.31</v>
      </c>
      <c r="Y27" s="11" t="n">
        <v>5.29</v>
      </c>
      <c r="Z27" s="11" t="n">
        <v>4.25</v>
      </c>
      <c r="AA27" s="11" t="n">
        <v>3.73</v>
      </c>
      <c r="AB27" s="11" t="n">
        <v>4.42</v>
      </c>
      <c r="AC27" s="11" t="n">
        <v>4.36</v>
      </c>
      <c r="AD27" s="11" t="n">
        <v>5.95</v>
      </c>
    </row>
    <row r="28">
      <c r="A28" s="10" t="inlineStr">
        <is>
          <t>유형자산 합계</t>
        </is>
      </c>
      <c r="C28" s="11" t="n">
        <v>79.54000000000001</v>
      </c>
      <c r="D28" s="11" t="n">
        <v>83.04000000000001</v>
      </c>
      <c r="E28" s="11" t="n">
        <v>83.3</v>
      </c>
      <c r="F28" s="11" t="n">
        <v>83.95</v>
      </c>
      <c r="G28" s="11" t="n">
        <v>85.37</v>
      </c>
      <c r="H28" s="11" t="n">
        <v>86.09999999999999</v>
      </c>
      <c r="I28" s="11" t="n">
        <v>86.66</v>
      </c>
      <c r="J28" s="11" t="n">
        <v>91.14</v>
      </c>
      <c r="K28" s="11" t="n">
        <v>95.40000000000001</v>
      </c>
      <c r="L28" s="11" t="n">
        <v>101.4</v>
      </c>
      <c r="M28" s="11" t="n">
        <v>102.8</v>
      </c>
      <c r="N28" s="11" t="n">
        <v>104.53</v>
      </c>
      <c r="O28" s="11" t="n">
        <v>104.95</v>
      </c>
      <c r="P28" s="11" t="n">
        <v>104.14</v>
      </c>
      <c r="Q28" s="11" t="n">
        <v>100.15</v>
      </c>
      <c r="R28" s="11" t="n">
        <v>97.8</v>
      </c>
      <c r="S28" s="11" t="n">
        <v>98.09999999999999</v>
      </c>
      <c r="T28" s="11" t="n">
        <v>99.31999999999999</v>
      </c>
      <c r="U28" s="11" t="n">
        <v>98.12</v>
      </c>
      <c r="V28" s="11" t="n">
        <v>95.98999999999999</v>
      </c>
      <c r="W28" s="11" t="n">
        <v>92.31</v>
      </c>
      <c r="X28" s="11" t="n">
        <v>90.34</v>
      </c>
      <c r="Y28" s="11" t="n">
        <v>85.18000000000001</v>
      </c>
      <c r="Z28" s="11" t="n">
        <v>83.04000000000001</v>
      </c>
      <c r="AA28" s="11" t="n">
        <v>86.09999999999999</v>
      </c>
      <c r="AB28" s="11" t="n">
        <v>101.4</v>
      </c>
      <c r="AC28" s="11" t="n">
        <v>104.14</v>
      </c>
      <c r="AD28" s="11" t="n">
        <v>99.31999999999999</v>
      </c>
    </row>
    <row r="29">
      <c r="A29" s="10" t="inlineStr">
        <is>
          <t>영업권</t>
        </is>
      </c>
      <c r="C29" s="11" t="n">
        <v>2.51</v>
      </c>
      <c r="D29" s="11" t="n">
        <v>2.19</v>
      </c>
      <c r="E29" s="11" t="n">
        <v>1.87</v>
      </c>
      <c r="F29" s="11" t="n">
        <v>1.56</v>
      </c>
      <c r="G29" s="11" t="n">
        <v>1.24</v>
      </c>
      <c r="H29" s="11" t="n">
        <v>0.92</v>
      </c>
      <c r="I29" s="11" t="n">
        <v>0.6</v>
      </c>
      <c r="J29" s="11" t="n">
        <v>0.36</v>
      </c>
      <c r="K29" s="11" t="n">
        <v>0.26</v>
      </c>
      <c r="L29" s="11" t="n">
        <v>5.43</v>
      </c>
      <c r="M29" s="11" t="n">
        <v>5.57</v>
      </c>
      <c r="N29" s="11" t="n">
        <v>5.73</v>
      </c>
      <c r="O29" s="11" t="n">
        <v>4.97</v>
      </c>
      <c r="P29" s="11" t="n">
        <v>5.43</v>
      </c>
      <c r="Q29" s="11" t="n">
        <v>5.02</v>
      </c>
      <c r="R29" s="11" t="n">
        <v>4.74</v>
      </c>
      <c r="S29" s="11" t="n">
        <v>4.76</v>
      </c>
      <c r="T29" s="11" t="n">
        <v>4.88</v>
      </c>
      <c r="U29" s="11" t="n">
        <v>4.86</v>
      </c>
      <c r="V29" s="11" t="n">
        <v>4.81</v>
      </c>
      <c r="W29" s="11" t="n">
        <v>6.02</v>
      </c>
      <c r="X29" s="11" t="n">
        <v>4.74</v>
      </c>
      <c r="Y29" s="11" t="n">
        <v>3.47</v>
      </c>
      <c r="Z29" s="11" t="n">
        <v>2.19</v>
      </c>
      <c r="AA29" s="11" t="n">
        <v>0.92</v>
      </c>
      <c r="AB29" s="11" t="n">
        <v>5.43</v>
      </c>
      <c r="AC29" s="11" t="n">
        <v>5.43</v>
      </c>
      <c r="AD29" s="11" t="n">
        <v>4.88</v>
      </c>
    </row>
    <row r="30">
      <c r="A30" s="10" t="inlineStr">
        <is>
          <t>리스자산</t>
        </is>
      </c>
      <c r="D30" s="11" t="n">
        <v>0.01</v>
      </c>
      <c r="H30" s="11" t="n">
        <v>0.45</v>
      </c>
      <c r="L30" s="11" t="n">
        <v>0.35</v>
      </c>
      <c r="P30" s="11" t="n">
        <v>0.26</v>
      </c>
      <c r="T30" s="11" t="n">
        <v>0.17</v>
      </c>
      <c r="W30" s="11" t="n">
        <v>0.07000000000000001</v>
      </c>
      <c r="X30" s="11" t="n">
        <v>0.05</v>
      </c>
      <c r="Y30" s="11" t="n">
        <v>0.03</v>
      </c>
      <c r="Z30" s="11" t="n">
        <v>0.01</v>
      </c>
      <c r="AA30" s="11" t="n">
        <v>0.45</v>
      </c>
      <c r="AB30" s="11" t="n">
        <v>0.35</v>
      </c>
      <c r="AC30" s="11" t="n">
        <v>0.26</v>
      </c>
      <c r="AD30" s="11" t="n">
        <v>0.17</v>
      </c>
    </row>
    <row r="31">
      <c r="A31" s="10" t="inlineStr">
        <is>
          <t>기타</t>
        </is>
      </c>
      <c r="C31" s="11" t="n">
        <v>4.21</v>
      </c>
      <c r="D31" s="11" t="n">
        <v>4.12</v>
      </c>
      <c r="E31" s="11" t="n">
        <v>4.26</v>
      </c>
      <c r="F31" s="11" t="n">
        <v>4.94</v>
      </c>
      <c r="G31" s="11" t="n">
        <v>5.2</v>
      </c>
      <c r="H31" s="11" t="n">
        <v>4.52</v>
      </c>
      <c r="I31" s="11" t="n">
        <v>6.89</v>
      </c>
      <c r="J31" s="11" t="n">
        <v>7.08</v>
      </c>
      <c r="K31" s="11" t="n">
        <v>7.09</v>
      </c>
      <c r="L31" s="11" t="n">
        <v>6.5</v>
      </c>
      <c r="M31" s="11" t="n">
        <v>7.82</v>
      </c>
      <c r="N31" s="11" t="n">
        <v>8.15</v>
      </c>
      <c r="O31" s="11" t="n">
        <v>7.82</v>
      </c>
      <c r="P31" s="11" t="n">
        <v>8.02</v>
      </c>
      <c r="Q31" s="11" t="n">
        <v>7.87</v>
      </c>
      <c r="R31" s="11" t="n">
        <v>7.72</v>
      </c>
      <c r="S31" s="11" t="n">
        <v>7.68</v>
      </c>
      <c r="T31" s="11" t="n">
        <v>7.95</v>
      </c>
      <c r="U31" s="11" t="n">
        <v>7.97</v>
      </c>
      <c r="V31" s="11" t="n">
        <v>7.68</v>
      </c>
      <c r="W31" s="11" t="n">
        <v>6.66</v>
      </c>
      <c r="X31" s="11" t="n">
        <v>5.67</v>
      </c>
      <c r="Y31" s="11" t="n">
        <v>4.42</v>
      </c>
      <c r="Z31" s="11" t="n">
        <v>4.12</v>
      </c>
      <c r="AA31" s="11" t="n">
        <v>4.52</v>
      </c>
      <c r="AB31" s="11" t="n">
        <v>6.5</v>
      </c>
      <c r="AC31" s="11" t="n">
        <v>8.02</v>
      </c>
      <c r="AD31" s="11" t="n">
        <v>7.95</v>
      </c>
    </row>
    <row r="32">
      <c r="A32" s="10" t="inlineStr">
        <is>
          <t>무형자산 합계</t>
        </is>
      </c>
      <c r="C32" s="11" t="n">
        <v>6.72</v>
      </c>
      <c r="D32" s="11" t="n">
        <v>6.33</v>
      </c>
      <c r="E32" s="11" t="n">
        <v>6.14</v>
      </c>
      <c r="F32" s="11" t="n">
        <v>6.49</v>
      </c>
      <c r="G32" s="11" t="n">
        <v>6.43</v>
      </c>
      <c r="H32" s="11" t="n">
        <v>5.89</v>
      </c>
      <c r="I32" s="11" t="n">
        <v>7.49</v>
      </c>
      <c r="J32" s="11" t="n">
        <v>7.44</v>
      </c>
      <c r="K32" s="11" t="n">
        <v>7.35</v>
      </c>
      <c r="L32" s="11" t="n">
        <v>12.28</v>
      </c>
      <c r="M32" s="11" t="n">
        <v>13.38</v>
      </c>
      <c r="N32" s="11" t="n">
        <v>13.88</v>
      </c>
      <c r="O32" s="11" t="n">
        <v>12.79</v>
      </c>
      <c r="P32" s="11" t="n">
        <v>13.72</v>
      </c>
      <c r="Q32" s="11" t="n">
        <v>12.88</v>
      </c>
      <c r="R32" s="11" t="n">
        <v>12.47</v>
      </c>
      <c r="S32" s="11" t="n">
        <v>12.44</v>
      </c>
      <c r="T32" s="11" t="n">
        <v>12.83</v>
      </c>
      <c r="U32" s="11" t="n">
        <v>12.82</v>
      </c>
      <c r="V32" s="11" t="n">
        <v>12.49</v>
      </c>
      <c r="W32" s="11" t="n">
        <v>12.75</v>
      </c>
      <c r="X32" s="11" t="n">
        <v>10.46</v>
      </c>
      <c r="Y32" s="11" t="n">
        <v>7.92</v>
      </c>
      <c r="Z32" s="11" t="n">
        <v>6.33</v>
      </c>
      <c r="AA32" s="11" t="n">
        <v>5.89</v>
      </c>
      <c r="AB32" s="11" t="n">
        <v>12.28</v>
      </c>
      <c r="AC32" s="11" t="n">
        <v>13.72</v>
      </c>
      <c r="AD32" s="11" t="n">
        <v>12.83</v>
      </c>
    </row>
    <row r="33">
      <c r="A33" s="10" t="inlineStr">
        <is>
          <t>투자유가증권</t>
        </is>
      </c>
      <c r="D33" s="11" t="n">
        <v>3.67</v>
      </c>
      <c r="H33" s="11" t="n">
        <v>5.2</v>
      </c>
      <c r="L33" s="11" t="n">
        <v>6.11</v>
      </c>
      <c r="P33" s="11" t="n">
        <v>6.54</v>
      </c>
      <c r="T33" s="11" t="n">
        <v>8.94</v>
      </c>
      <c r="W33" s="11" t="n">
        <v>2.74</v>
      </c>
      <c r="X33" s="11" t="n">
        <v>2.68</v>
      </c>
      <c r="Y33" s="11" t="n">
        <v>3.39</v>
      </c>
      <c r="Z33" s="11" t="n">
        <v>3.67</v>
      </c>
      <c r="AA33" s="11" t="n">
        <v>5.2</v>
      </c>
      <c r="AB33" s="11" t="n">
        <v>6.11</v>
      </c>
      <c r="AC33" s="11" t="n">
        <v>6.54</v>
      </c>
      <c r="AD33" s="11" t="n">
        <v>8.94</v>
      </c>
    </row>
    <row r="34">
      <c r="A34" s="10" t="inlineStr">
        <is>
          <t>출자금</t>
        </is>
      </c>
      <c r="D34" s="11" t="n">
        <v>19.15</v>
      </c>
      <c r="H34" s="11" t="n">
        <v>20.78</v>
      </c>
      <c r="L34" s="11" t="n">
        <v>19.4</v>
      </c>
      <c r="P34" s="11" t="n">
        <v>22.8</v>
      </c>
      <c r="T34" s="11" t="n">
        <v>25.61</v>
      </c>
      <c r="W34" s="11" t="n">
        <v>13.51</v>
      </c>
      <c r="X34" s="11" t="n">
        <v>14.55</v>
      </c>
      <c r="Y34" s="11" t="n">
        <v>16.56</v>
      </c>
      <c r="Z34" s="11" t="n">
        <v>19.15</v>
      </c>
      <c r="AA34" s="11" t="n">
        <v>20.78</v>
      </c>
      <c r="AB34" s="11" t="n">
        <v>19.4</v>
      </c>
      <c r="AC34" s="11" t="n">
        <v>22.8</v>
      </c>
      <c r="AD34" s="11" t="n">
        <v>25.61</v>
      </c>
    </row>
    <row r="35">
      <c r="A35" s="10" t="inlineStr">
        <is>
          <t>이연법인세자산</t>
        </is>
      </c>
      <c r="W35" s="11" t="n">
        <v>0.52</v>
      </c>
      <c r="X35" s="11" t="n">
        <v>0.61</v>
      </c>
    </row>
    <row r="36">
      <c r="A36" s="10" t="inlineStr">
        <is>
          <t>이연법인세자산</t>
        </is>
      </c>
      <c r="D36" s="11" t="n">
        <v>0.29</v>
      </c>
      <c r="H36" s="11" t="n">
        <v>0.75</v>
      </c>
      <c r="L36" s="11" t="n">
        <v>2.18</v>
      </c>
      <c r="P36" s="11" t="n">
        <v>2.29</v>
      </c>
      <c r="T36" s="11" t="n">
        <v>2.23</v>
      </c>
      <c r="X36" s="11" t="n">
        <v>0.61</v>
      </c>
      <c r="Y36" s="11" t="n">
        <v>0.31</v>
      </c>
      <c r="Z36" s="11" t="n">
        <v>0.29</v>
      </c>
      <c r="AA36" s="11" t="n">
        <v>0.75</v>
      </c>
      <c r="AB36" s="11" t="n">
        <v>2.18</v>
      </c>
      <c r="AC36" s="11" t="n">
        <v>2.29</v>
      </c>
      <c r="AD36" s="11" t="n">
        <v>2.23</v>
      </c>
    </row>
    <row r="37">
      <c r="A37" s="10" t="inlineStr">
        <is>
          <t>퇴직급여자산</t>
        </is>
      </c>
      <c r="D37" s="11" t="n">
        <v>9.76</v>
      </c>
      <c r="H37" s="11" t="n">
        <v>11.6</v>
      </c>
      <c r="L37" s="11" t="n">
        <v>17</v>
      </c>
      <c r="P37" s="11" t="n">
        <v>18.52</v>
      </c>
      <c r="T37" s="11" t="n">
        <v>24.58</v>
      </c>
      <c r="W37" s="11" t="n">
        <v>5.72</v>
      </c>
      <c r="X37" s="11" t="n">
        <v>5.75</v>
      </c>
      <c r="Y37" s="11" t="n">
        <v>8.41</v>
      </c>
      <c r="Z37" s="11" t="n">
        <v>9.76</v>
      </c>
      <c r="AA37" s="11" t="n">
        <v>11.6</v>
      </c>
      <c r="AB37" s="11" t="n">
        <v>17</v>
      </c>
      <c r="AC37" s="11" t="n">
        <v>18.52</v>
      </c>
      <c r="AD37" s="11" t="n">
        <v>24.58</v>
      </c>
    </row>
    <row r="38">
      <c r="A38" s="10" t="inlineStr">
        <is>
          <t>기타</t>
        </is>
      </c>
      <c r="D38" s="11" t="n">
        <v>1.79</v>
      </c>
      <c r="H38" s="11" t="n">
        <v>1.68</v>
      </c>
      <c r="L38" s="11" t="n">
        <v>2.28</v>
      </c>
      <c r="P38" s="11" t="n">
        <v>2.38</v>
      </c>
      <c r="T38" s="11" t="n">
        <v>2.04</v>
      </c>
      <c r="W38" s="11" t="n">
        <v>2.99</v>
      </c>
      <c r="X38" s="11" t="n">
        <v>2.54</v>
      </c>
      <c r="Y38" s="11" t="n">
        <v>2.26</v>
      </c>
      <c r="Z38" s="11" t="n">
        <v>1.79</v>
      </c>
      <c r="AA38" s="11" t="n">
        <v>1.68</v>
      </c>
      <c r="AB38" s="11" t="n">
        <v>2.28</v>
      </c>
      <c r="AC38" s="11" t="n">
        <v>2.38</v>
      </c>
      <c r="AD38" s="11" t="n">
        <v>2.04</v>
      </c>
    </row>
    <row r="39">
      <c r="A39" s="10" t="inlineStr">
        <is>
          <t>대손충당금</t>
        </is>
      </c>
      <c r="D39" s="11" t="n">
        <v>-0</v>
      </c>
      <c r="H39" s="11" t="n">
        <v>-0</v>
      </c>
      <c r="L39" s="11" t="n">
        <v>-0.01</v>
      </c>
      <c r="P39" s="11" t="n">
        <v>-0.01</v>
      </c>
      <c r="T39" s="11" t="n">
        <v>-0</v>
      </c>
      <c r="W39" s="11" t="n">
        <v>-0</v>
      </c>
      <c r="X39" s="11" t="n">
        <v>-0</v>
      </c>
      <c r="Y39" s="11" t="n">
        <v>-0</v>
      </c>
      <c r="Z39" s="11" t="n">
        <v>-0</v>
      </c>
      <c r="AA39" s="11" t="n">
        <v>-0</v>
      </c>
      <c r="AB39" s="11" t="n">
        <v>-0.01</v>
      </c>
      <c r="AC39" s="11" t="n">
        <v>-0.01</v>
      </c>
      <c r="AD39" s="11" t="n">
        <v>-0</v>
      </c>
    </row>
    <row r="40">
      <c r="A40" s="10" t="inlineStr">
        <is>
          <t>투자 및 기타자산</t>
        </is>
      </c>
      <c r="C40" s="11" t="n">
        <v>33.2</v>
      </c>
      <c r="D40" s="11" t="n">
        <v>34.65</v>
      </c>
      <c r="E40" s="11" t="n">
        <v>35.83</v>
      </c>
      <c r="F40" s="11" t="n">
        <v>37.64</v>
      </c>
      <c r="G40" s="11" t="n">
        <v>38.2</v>
      </c>
      <c r="H40" s="11" t="n">
        <v>40.02</v>
      </c>
      <c r="I40" s="11" t="n">
        <v>40.68</v>
      </c>
      <c r="J40" s="11" t="n">
        <v>41.66</v>
      </c>
      <c r="K40" s="11" t="n">
        <v>43.7</v>
      </c>
      <c r="L40" s="11" t="n">
        <v>46.95</v>
      </c>
      <c r="M40" s="11" t="n">
        <v>47.54</v>
      </c>
      <c r="N40" s="11" t="n">
        <v>49.31</v>
      </c>
      <c r="O40" s="11" t="n">
        <v>48.53</v>
      </c>
      <c r="P40" s="11" t="n">
        <v>52.51</v>
      </c>
      <c r="Q40" s="11" t="n">
        <v>51.81</v>
      </c>
      <c r="R40" s="11" t="n">
        <v>51.86</v>
      </c>
      <c r="S40" s="11" t="n">
        <v>53.57</v>
      </c>
      <c r="T40" s="11" t="n">
        <v>63.38</v>
      </c>
      <c r="U40" s="11" t="n">
        <v>63.55</v>
      </c>
      <c r="V40" s="11" t="n">
        <v>65.53</v>
      </c>
      <c r="W40" s="11" t="n">
        <v>25.48</v>
      </c>
      <c r="X40" s="11" t="n">
        <v>26.13</v>
      </c>
      <c r="Y40" s="11" t="n">
        <v>30.93</v>
      </c>
      <c r="Z40" s="11" t="n">
        <v>34.65</v>
      </c>
      <c r="AA40" s="11" t="n">
        <v>40.02</v>
      </c>
      <c r="AB40" s="11" t="n">
        <v>46.95</v>
      </c>
      <c r="AC40" s="11" t="n">
        <v>52.51</v>
      </c>
      <c r="AD40" s="11" t="n">
        <v>63.38</v>
      </c>
    </row>
    <row r="41">
      <c r="A41" s="10" t="inlineStr">
        <is>
          <t>비유동자산 합계</t>
        </is>
      </c>
      <c r="C41" s="11" t="n">
        <v>119.47</v>
      </c>
      <c r="D41" s="11" t="n">
        <v>124.01</v>
      </c>
      <c r="E41" s="11" t="n">
        <v>125.27</v>
      </c>
      <c r="F41" s="11" t="n">
        <v>128.08</v>
      </c>
      <c r="G41" s="11" t="n">
        <v>130.01</v>
      </c>
      <c r="H41" s="11" t="n">
        <v>132.02</v>
      </c>
      <c r="I41" s="11" t="n">
        <v>134.83</v>
      </c>
      <c r="J41" s="11" t="n">
        <v>140.24</v>
      </c>
      <c r="K41" s="11" t="n">
        <v>146.45</v>
      </c>
      <c r="L41" s="11" t="n">
        <v>160.63</v>
      </c>
      <c r="M41" s="11" t="n">
        <v>163.72</v>
      </c>
      <c r="N41" s="11" t="n">
        <v>167.72</v>
      </c>
      <c r="O41" s="11" t="n">
        <v>166.28</v>
      </c>
      <c r="P41" s="11" t="n">
        <v>170.37</v>
      </c>
      <c r="Q41" s="11" t="n">
        <v>164.84</v>
      </c>
      <c r="R41" s="11" t="n">
        <v>162.12</v>
      </c>
      <c r="S41" s="11" t="n">
        <v>164.11</v>
      </c>
      <c r="T41" s="11" t="n">
        <v>175.53</v>
      </c>
      <c r="U41" s="11" t="n">
        <v>174.49</v>
      </c>
      <c r="V41" s="11" t="n">
        <v>174.01</v>
      </c>
      <c r="W41" s="11" t="n">
        <v>130.54</v>
      </c>
      <c r="X41" s="11" t="n">
        <v>126.93</v>
      </c>
      <c r="Y41" s="11" t="n">
        <v>124.03</v>
      </c>
      <c r="Z41" s="11" t="n">
        <v>124.01</v>
      </c>
      <c r="AA41" s="11" t="n">
        <v>132.02</v>
      </c>
      <c r="AB41" s="11" t="n">
        <v>160.63</v>
      </c>
      <c r="AC41" s="11" t="n">
        <v>170.37</v>
      </c>
      <c r="AD41" s="11" t="n">
        <v>175.53</v>
      </c>
    </row>
    <row r="42">
      <c r="A42" s="10" t="inlineStr">
        <is>
          <t>개업비</t>
        </is>
      </c>
      <c r="D42" s="11" t="n">
        <v>0</v>
      </c>
      <c r="H42" s="11" t="n">
        <v>0.06</v>
      </c>
      <c r="L42" s="11" t="n">
        <v>0</v>
      </c>
      <c r="Z42" s="11" t="n">
        <v>0</v>
      </c>
      <c r="AA42" s="11" t="n">
        <v>0.06</v>
      </c>
      <c r="AB42" s="11" t="n">
        <v>0</v>
      </c>
    </row>
    <row r="43">
      <c r="A43" s="10" t="inlineStr">
        <is>
          <t>이연자산 합계</t>
        </is>
      </c>
      <c r="D43" s="11" t="n">
        <v>0</v>
      </c>
      <c r="H43" s="11" t="n">
        <v>0.06</v>
      </c>
      <c r="I43" s="11" t="n">
        <v>0.18</v>
      </c>
      <c r="J43" s="11" t="n">
        <v>0.32</v>
      </c>
      <c r="K43" s="11" t="n">
        <v>0.42</v>
      </c>
      <c r="L43" s="11" t="n">
        <v>0</v>
      </c>
      <c r="Z43" s="11" t="n">
        <v>0</v>
      </c>
      <c r="AA43" s="11" t="n">
        <v>0.06</v>
      </c>
      <c r="AB43" s="11" t="n">
        <v>0</v>
      </c>
    </row>
    <row r="44">
      <c r="A44" s="10" t="inlineStr">
        <is>
          <t>자산 합계</t>
        </is>
      </c>
      <c r="C44" s="11" t="n">
        <v>282.23</v>
      </c>
      <c r="D44" s="11" t="n">
        <v>290.08</v>
      </c>
      <c r="E44" s="11" t="n">
        <v>296.91</v>
      </c>
      <c r="F44" s="11" t="n">
        <v>310.92</v>
      </c>
      <c r="G44" s="11" t="n">
        <v>319.29</v>
      </c>
      <c r="H44" s="11" t="n">
        <v>320.17</v>
      </c>
      <c r="I44" s="11" t="n">
        <v>319.13</v>
      </c>
      <c r="J44" s="11" t="n">
        <v>322.08</v>
      </c>
      <c r="K44" s="11" t="n">
        <v>365.59</v>
      </c>
      <c r="L44" s="11" t="n">
        <v>370.53</v>
      </c>
      <c r="M44" s="11" t="n">
        <v>373.67</v>
      </c>
      <c r="N44" s="11" t="n">
        <v>381.14</v>
      </c>
      <c r="O44" s="11" t="n">
        <v>378.78</v>
      </c>
      <c r="P44" s="11" t="n">
        <v>382.97</v>
      </c>
      <c r="Q44" s="11" t="n">
        <v>377.83</v>
      </c>
      <c r="R44" s="11" t="n">
        <v>365.74</v>
      </c>
      <c r="S44" s="11" t="n">
        <v>378.22</v>
      </c>
      <c r="T44" s="11" t="n">
        <v>406.83</v>
      </c>
      <c r="U44" s="11" t="n">
        <v>402.21</v>
      </c>
      <c r="V44" s="11" t="n">
        <v>413.27</v>
      </c>
      <c r="W44" s="11" t="n">
        <v>282.56</v>
      </c>
      <c r="X44" s="11" t="n">
        <v>281.29</v>
      </c>
      <c r="Y44" s="11" t="n">
        <v>277.07</v>
      </c>
      <c r="Z44" s="11" t="n">
        <v>290.08</v>
      </c>
      <c r="AA44" s="11" t="n">
        <v>320.17</v>
      </c>
      <c r="AB44" s="11" t="n">
        <v>370.53</v>
      </c>
      <c r="AC44" s="11" t="n">
        <v>382.97</v>
      </c>
      <c r="AD44" s="11" t="n">
        <v>406.83</v>
      </c>
    </row>
    <row r="45">
      <c r="A45" s="10" t="inlineStr">
        <is>
          <t>지급어음·매입채무</t>
        </is>
      </c>
      <c r="C45" s="11" t="n">
        <v>41.51</v>
      </c>
      <c r="D45" s="11" t="n">
        <v>43.08</v>
      </c>
      <c r="E45" s="11" t="n">
        <v>44.19</v>
      </c>
      <c r="F45" s="11" t="n">
        <v>49.26</v>
      </c>
      <c r="G45" s="11" t="n">
        <v>51.73</v>
      </c>
      <c r="H45" s="11" t="n">
        <v>51.44</v>
      </c>
      <c r="I45" s="11" t="n">
        <v>48.28</v>
      </c>
      <c r="J45" s="11" t="n">
        <v>44.67</v>
      </c>
      <c r="K45" s="11" t="n">
        <v>45.81</v>
      </c>
      <c r="L45" s="11" t="n">
        <v>44.69</v>
      </c>
      <c r="M45" s="11" t="n">
        <v>48.97</v>
      </c>
      <c r="N45" s="11" t="n">
        <v>51.14</v>
      </c>
      <c r="O45" s="11" t="n">
        <v>51</v>
      </c>
      <c r="P45" s="11" t="n">
        <v>45.44</v>
      </c>
      <c r="Q45" s="11" t="n">
        <v>44.68</v>
      </c>
      <c r="R45" s="11" t="n">
        <v>42.56</v>
      </c>
      <c r="S45" s="11" t="n">
        <v>44.3</v>
      </c>
      <c r="T45" s="11" t="n">
        <v>45.67</v>
      </c>
      <c r="U45" s="11" t="n">
        <v>45.25</v>
      </c>
      <c r="V45" s="11" t="n">
        <v>49.81</v>
      </c>
      <c r="W45" s="11" t="n">
        <v>45.27</v>
      </c>
      <c r="X45" s="11" t="n">
        <v>40.72</v>
      </c>
      <c r="Y45" s="11" t="n">
        <v>39.75</v>
      </c>
      <c r="Z45" s="11" t="n">
        <v>43.08</v>
      </c>
      <c r="AA45" s="11" t="n">
        <v>51.44</v>
      </c>
      <c r="AB45" s="11" t="n">
        <v>44.69</v>
      </c>
      <c r="AC45" s="11" t="n">
        <v>45.44</v>
      </c>
      <c r="AD45" s="11" t="n">
        <v>45.67</v>
      </c>
    </row>
    <row r="46">
      <c r="A46" s="10" t="inlineStr">
        <is>
          <t>전자기록채무</t>
        </is>
      </c>
      <c r="L46" s="11" t="n">
        <v>4.39</v>
      </c>
      <c r="P46" s="11" t="n">
        <v>4.56</v>
      </c>
      <c r="Q46" s="11" t="n">
        <v>5.55</v>
      </c>
      <c r="R46" s="11" t="n">
        <v>4.96</v>
      </c>
      <c r="S46" s="11" t="n">
        <v>5.32</v>
      </c>
      <c r="T46" s="11" t="n">
        <v>5.14</v>
      </c>
      <c r="U46" s="11" t="n">
        <v>5.44</v>
      </c>
      <c r="V46" s="11" t="n">
        <v>5.28</v>
      </c>
      <c r="AB46" s="11" t="n">
        <v>4.39</v>
      </c>
      <c r="AC46" s="11" t="n">
        <v>4.56</v>
      </c>
      <c r="AD46" s="11" t="n">
        <v>5.14</v>
      </c>
    </row>
    <row r="47">
      <c r="A47" s="10" t="inlineStr">
        <is>
          <t>계약부채</t>
        </is>
      </c>
      <c r="D47" s="11" t="n">
        <v>0</v>
      </c>
      <c r="H47" s="11" t="n">
        <v>0.9399999999999999</v>
      </c>
      <c r="L47" s="11" t="n">
        <v>0.77</v>
      </c>
      <c r="P47" s="11" t="n">
        <v>0.48</v>
      </c>
      <c r="T47" s="11" t="n">
        <v>1.57</v>
      </c>
      <c r="Z47" s="11" t="n">
        <v>0</v>
      </c>
      <c r="AA47" s="11" t="n">
        <v>0.9399999999999999</v>
      </c>
      <c r="AB47" s="11" t="n">
        <v>0.77</v>
      </c>
      <c r="AC47" s="11" t="n">
        <v>0.48</v>
      </c>
      <c r="AD47" s="11" t="n">
        <v>1.57</v>
      </c>
    </row>
    <row r="48">
      <c r="A48" s="10" t="inlineStr">
        <is>
          <t>단기차입금</t>
        </is>
      </c>
      <c r="C48" s="11" t="n">
        <v>5.53</v>
      </c>
      <c r="D48" s="11" t="n">
        <v>5.6</v>
      </c>
      <c r="E48" s="11" t="n">
        <v>8.57</v>
      </c>
      <c r="F48" s="11" t="n">
        <v>15.46</v>
      </c>
      <c r="G48" s="11" t="n">
        <v>15.49</v>
      </c>
      <c r="H48" s="11" t="n">
        <v>23.81</v>
      </c>
      <c r="I48" s="11" t="n">
        <v>21.45</v>
      </c>
      <c r="J48" s="11" t="n">
        <v>20.96</v>
      </c>
      <c r="K48" s="11" t="n">
        <v>28.06</v>
      </c>
      <c r="L48" s="11" t="n">
        <v>30.4</v>
      </c>
      <c r="M48" s="11" t="n">
        <v>28.92</v>
      </c>
      <c r="N48" s="11" t="n">
        <v>28.98</v>
      </c>
      <c r="O48" s="11" t="n">
        <v>33.62</v>
      </c>
      <c r="P48" s="11" t="n">
        <v>31.77</v>
      </c>
      <c r="Q48" s="11" t="n">
        <v>35.37</v>
      </c>
      <c r="R48" s="11" t="n">
        <v>30.39</v>
      </c>
      <c r="S48" s="11" t="n">
        <v>28</v>
      </c>
      <c r="T48" s="11" t="n">
        <v>34.52</v>
      </c>
      <c r="U48" s="11" t="n">
        <v>26.51</v>
      </c>
      <c r="V48" s="11" t="n">
        <v>21.35</v>
      </c>
      <c r="W48" s="11" t="n">
        <v>21.73</v>
      </c>
      <c r="X48" s="11" t="n">
        <v>23.41</v>
      </c>
      <c r="Y48" s="11" t="n">
        <v>25.44</v>
      </c>
      <c r="Z48" s="11" t="n">
        <v>5.6</v>
      </c>
      <c r="AA48" s="11" t="n">
        <v>23.81</v>
      </c>
      <c r="AB48" s="11" t="n">
        <v>30.4</v>
      </c>
      <c r="AC48" s="11" t="n">
        <v>31.77</v>
      </c>
      <c r="AD48" s="11" t="n">
        <v>34.52</v>
      </c>
    </row>
    <row r="49">
      <c r="A49" s="10" t="inlineStr">
        <is>
          <t>리스부채</t>
        </is>
      </c>
      <c r="D49" s="11" t="n">
        <v>0.36</v>
      </c>
      <c r="W49" s="11" t="n">
        <v>0.27</v>
      </c>
      <c r="X49" s="11" t="n">
        <v>0.27</v>
      </c>
      <c r="Y49" s="11" t="n">
        <v>0.26</v>
      </c>
      <c r="Z49" s="11" t="n">
        <v>0.36</v>
      </c>
    </row>
    <row r="50">
      <c r="A50" s="10" t="inlineStr">
        <is>
          <t>미지급법인세</t>
        </is>
      </c>
      <c r="C50" s="11" t="n">
        <v>7.12</v>
      </c>
      <c r="D50" s="11" t="n">
        <v>4.27</v>
      </c>
      <c r="E50" s="11" t="n">
        <v>2.08</v>
      </c>
      <c r="F50" s="11" t="n">
        <v>1.85</v>
      </c>
      <c r="G50" s="11" t="n">
        <v>1.07</v>
      </c>
      <c r="H50" s="11" t="n">
        <v>1.83</v>
      </c>
      <c r="I50" s="11" t="n">
        <v>1.62</v>
      </c>
      <c r="J50" s="11" t="n">
        <v>1.23</v>
      </c>
      <c r="K50" s="11" t="n">
        <v>4.15</v>
      </c>
      <c r="L50" s="11" t="n">
        <v>2.68</v>
      </c>
      <c r="M50" s="11" t="n">
        <v>2.81</v>
      </c>
      <c r="N50" s="11" t="n">
        <v>2.04</v>
      </c>
      <c r="O50" s="11" t="n">
        <v>2.12</v>
      </c>
      <c r="P50" s="11" t="n">
        <v>2.33</v>
      </c>
      <c r="Q50" s="11" t="n">
        <v>2.32</v>
      </c>
      <c r="R50" s="11" t="n">
        <v>1.94</v>
      </c>
      <c r="S50" s="11" t="n">
        <v>2.68</v>
      </c>
      <c r="T50" s="11" t="n">
        <v>3.79</v>
      </c>
      <c r="U50" s="11" t="n">
        <v>4.38</v>
      </c>
      <c r="V50" s="11" t="n">
        <v>6.32</v>
      </c>
      <c r="W50" s="11" t="n">
        <v>2.76</v>
      </c>
      <c r="X50" s="11" t="n">
        <v>1.61</v>
      </c>
      <c r="Y50" s="11" t="n">
        <v>1.09</v>
      </c>
      <c r="Z50" s="11" t="n">
        <v>4.27</v>
      </c>
      <c r="AA50" s="11" t="n">
        <v>1.83</v>
      </c>
      <c r="AB50" s="11" t="n">
        <v>2.68</v>
      </c>
      <c r="AC50" s="11" t="n">
        <v>2.33</v>
      </c>
      <c r="AD50" s="11" t="n">
        <v>3.79</v>
      </c>
    </row>
    <row r="51">
      <c r="A51" s="10" t="inlineStr">
        <is>
          <t>상여충당금</t>
        </is>
      </c>
      <c r="C51" s="11" t="n">
        <v>2.77</v>
      </c>
      <c r="D51" s="11" t="n">
        <v>5.29</v>
      </c>
      <c r="E51" s="11" t="n">
        <v>2.74</v>
      </c>
      <c r="F51" s="11" t="n">
        <v>5.35</v>
      </c>
      <c r="G51" s="11" t="n">
        <v>2.91</v>
      </c>
      <c r="H51" s="11" t="n">
        <v>4.64</v>
      </c>
      <c r="I51" s="11" t="n">
        <v>2.35</v>
      </c>
      <c r="J51" s="11" t="n">
        <v>4.6</v>
      </c>
      <c r="K51" s="11" t="n">
        <v>2.68</v>
      </c>
      <c r="L51" s="11" t="n">
        <v>5</v>
      </c>
      <c r="M51" s="11" t="n">
        <v>2.52</v>
      </c>
      <c r="N51" s="11" t="n">
        <v>5.01</v>
      </c>
      <c r="O51" s="11" t="n">
        <v>2.87</v>
      </c>
      <c r="P51" s="11" t="n">
        <v>5.37</v>
      </c>
      <c r="Q51" s="11" t="n">
        <v>2.61</v>
      </c>
      <c r="R51" s="11" t="n">
        <v>5.39</v>
      </c>
      <c r="S51" s="11" t="n">
        <v>3.07</v>
      </c>
      <c r="T51" s="11" t="n">
        <v>5.47</v>
      </c>
      <c r="U51" s="11" t="n">
        <v>2.91</v>
      </c>
      <c r="V51" s="11" t="n">
        <v>6.71</v>
      </c>
      <c r="W51" s="11" t="n">
        <v>4.55</v>
      </c>
      <c r="X51" s="11" t="n">
        <v>4.4</v>
      </c>
      <c r="Y51" s="11" t="n">
        <v>4.41</v>
      </c>
      <c r="Z51" s="11" t="n">
        <v>5.29</v>
      </c>
      <c r="AA51" s="11" t="n">
        <v>4.64</v>
      </c>
      <c r="AB51" s="11" t="n">
        <v>5</v>
      </c>
      <c r="AC51" s="11" t="n">
        <v>5.37</v>
      </c>
      <c r="AD51" s="11" t="n">
        <v>5.47</v>
      </c>
    </row>
    <row r="52">
      <c r="A52" s="10" t="inlineStr">
        <is>
          <t>관계회사 정리손실 충당금</t>
        </is>
      </c>
      <c r="P52" s="11" t="n">
        <v>0</v>
      </c>
      <c r="T52" s="11" t="n">
        <v>0.65</v>
      </c>
      <c r="U52" s="11" t="n">
        <v>0.68</v>
      </c>
      <c r="V52" s="11" t="n">
        <v>0.7</v>
      </c>
      <c r="AC52" s="11" t="n">
        <v>0</v>
      </c>
      <c r="AD52" s="11" t="n">
        <v>0.65</v>
      </c>
    </row>
    <row r="53">
      <c r="A53" s="10" t="inlineStr">
        <is>
          <t>기타</t>
        </is>
      </c>
      <c r="C53" s="11" t="n">
        <v>14.64</v>
      </c>
      <c r="D53" s="11" t="n">
        <v>14.37</v>
      </c>
      <c r="E53" s="11" t="n">
        <v>15.69</v>
      </c>
      <c r="F53" s="11" t="n">
        <v>8.91</v>
      </c>
      <c r="G53" s="11" t="n">
        <v>18.46</v>
      </c>
      <c r="H53" s="11" t="n">
        <v>13.34</v>
      </c>
      <c r="I53" s="11" t="n">
        <v>13.89</v>
      </c>
      <c r="J53" s="11" t="n">
        <v>10.46</v>
      </c>
      <c r="K53" s="11" t="n">
        <v>14.93</v>
      </c>
      <c r="L53" s="11" t="n">
        <v>10.66</v>
      </c>
      <c r="M53" s="11" t="n">
        <v>17.24</v>
      </c>
      <c r="N53" s="11" t="n">
        <v>12.48</v>
      </c>
      <c r="O53" s="11" t="n">
        <v>17.96</v>
      </c>
      <c r="P53" s="11" t="n">
        <v>13.67</v>
      </c>
      <c r="Q53" s="11" t="n">
        <v>19.32</v>
      </c>
      <c r="R53" s="11" t="n">
        <v>12.12</v>
      </c>
      <c r="S53" s="11" t="n">
        <v>19.4</v>
      </c>
      <c r="T53" s="11" t="n">
        <v>16.89</v>
      </c>
      <c r="U53" s="11" t="n">
        <v>17.98</v>
      </c>
      <c r="V53" s="11" t="n">
        <v>14.3</v>
      </c>
      <c r="W53" s="11" t="n">
        <v>16.45</v>
      </c>
      <c r="X53" s="11" t="n">
        <v>10.22</v>
      </c>
      <c r="Y53" s="11" t="n">
        <v>10.26</v>
      </c>
      <c r="Z53" s="11" t="n">
        <v>14.37</v>
      </c>
      <c r="AA53" s="11" t="n">
        <v>13.34</v>
      </c>
      <c r="AB53" s="11" t="n">
        <v>10.66</v>
      </c>
      <c r="AC53" s="11" t="n">
        <v>13.67</v>
      </c>
      <c r="AD53" s="11" t="n">
        <v>16.89</v>
      </c>
    </row>
    <row r="54">
      <c r="A54" s="10" t="inlineStr">
        <is>
          <t>유동부채 합계</t>
        </is>
      </c>
      <c r="C54" s="11" t="n">
        <v>71.56999999999999</v>
      </c>
      <c r="D54" s="11" t="n">
        <v>72.59999999999999</v>
      </c>
      <c r="E54" s="11" t="n">
        <v>73.28</v>
      </c>
      <c r="F54" s="11" t="n">
        <v>80.83</v>
      </c>
      <c r="G54" s="11" t="n">
        <v>89.67</v>
      </c>
      <c r="H54" s="11" t="n">
        <v>95.98999999999999</v>
      </c>
      <c r="I54" s="11" t="n">
        <v>87.59999999999999</v>
      </c>
      <c r="J54" s="11" t="n">
        <v>81.92</v>
      </c>
      <c r="K54" s="11" t="n">
        <v>95.63</v>
      </c>
      <c r="L54" s="11" t="n">
        <v>98.59999999999999</v>
      </c>
      <c r="M54" s="11" t="n">
        <v>100.46</v>
      </c>
      <c r="N54" s="11" t="n">
        <v>99.65000000000001</v>
      </c>
      <c r="O54" s="11" t="n">
        <v>107.58</v>
      </c>
      <c r="P54" s="11" t="n">
        <v>103.62</v>
      </c>
      <c r="Q54" s="11" t="n">
        <v>109.86</v>
      </c>
      <c r="R54" s="11" t="n">
        <v>97.36</v>
      </c>
      <c r="S54" s="11" t="n">
        <v>102.76</v>
      </c>
      <c r="T54" s="11" t="n">
        <v>112.13</v>
      </c>
      <c r="U54" s="11" t="n">
        <v>103.14</v>
      </c>
      <c r="V54" s="11" t="n">
        <v>104.47</v>
      </c>
      <c r="W54" s="11" t="n">
        <v>91.03</v>
      </c>
      <c r="X54" s="11" t="n">
        <v>80.63</v>
      </c>
      <c r="Y54" s="11" t="n">
        <v>81.20999999999999</v>
      </c>
      <c r="Z54" s="11" t="n">
        <v>72.59999999999999</v>
      </c>
      <c r="AA54" s="11" t="n">
        <v>95.98999999999999</v>
      </c>
      <c r="AB54" s="11" t="n">
        <v>98.59999999999999</v>
      </c>
      <c r="AC54" s="11" t="n">
        <v>103.62</v>
      </c>
      <c r="AD54" s="11" t="n">
        <v>112.13</v>
      </c>
    </row>
    <row r="55">
      <c r="A55" s="10" t="inlineStr">
        <is>
          <t>장기차입금</t>
        </is>
      </c>
      <c r="C55" s="11" t="n">
        <v>4.3</v>
      </c>
      <c r="D55" s="11" t="n">
        <v>3.5</v>
      </c>
      <c r="E55" s="11" t="n">
        <v>4.57</v>
      </c>
      <c r="F55" s="11" t="n">
        <v>3.82</v>
      </c>
      <c r="G55" s="11" t="n">
        <v>3.07</v>
      </c>
      <c r="H55" s="11" t="n">
        <v>4.72</v>
      </c>
      <c r="I55" s="11" t="n">
        <v>9.42</v>
      </c>
      <c r="J55" s="11" t="n">
        <v>8.869999999999999</v>
      </c>
      <c r="K55" s="11" t="n">
        <v>29.94</v>
      </c>
      <c r="L55" s="11" t="n">
        <v>30.65</v>
      </c>
      <c r="M55" s="11" t="n">
        <v>27.62</v>
      </c>
      <c r="N55" s="11" t="n">
        <v>24.51</v>
      </c>
      <c r="O55" s="11" t="n">
        <v>22.61</v>
      </c>
      <c r="P55" s="11" t="n">
        <v>19.4</v>
      </c>
      <c r="Q55" s="11" t="n">
        <v>16.03</v>
      </c>
      <c r="R55" s="11" t="n">
        <v>14.38</v>
      </c>
      <c r="S55" s="11" t="n">
        <v>12.73</v>
      </c>
      <c r="T55" s="11" t="n">
        <v>11.08</v>
      </c>
      <c r="U55" s="11" t="n">
        <v>9.43</v>
      </c>
      <c r="V55" s="11" t="n">
        <v>7.77</v>
      </c>
      <c r="W55" s="11" t="n">
        <v>7.75</v>
      </c>
      <c r="X55" s="11" t="n">
        <v>12.44</v>
      </c>
      <c r="Y55" s="11" t="n">
        <v>7.75</v>
      </c>
      <c r="Z55" s="11" t="n">
        <v>3.5</v>
      </c>
      <c r="AA55" s="11" t="n">
        <v>4.72</v>
      </c>
      <c r="AB55" s="11" t="n">
        <v>30.65</v>
      </c>
      <c r="AC55" s="11" t="n">
        <v>19.4</v>
      </c>
      <c r="AD55" s="11" t="n">
        <v>11.08</v>
      </c>
    </row>
    <row r="56">
      <c r="A56" s="10" t="inlineStr">
        <is>
          <t>리스부채</t>
        </is>
      </c>
      <c r="D56" s="11" t="n">
        <v>0.22</v>
      </c>
      <c r="W56" s="11" t="n">
        <v>0.47</v>
      </c>
      <c r="X56" s="11" t="n">
        <v>0.26</v>
      </c>
      <c r="Y56" s="11" t="n">
        <v>0.18</v>
      </c>
      <c r="Z56" s="11" t="n">
        <v>0.22</v>
      </c>
    </row>
    <row r="57">
      <c r="A57" s="10" t="inlineStr">
        <is>
          <t>퇴직급여부채</t>
        </is>
      </c>
      <c r="C57" s="11" t="n">
        <v>5.17</v>
      </c>
      <c r="D57" s="11" t="n">
        <v>5.31</v>
      </c>
      <c r="E57" s="11" t="n">
        <v>5.35</v>
      </c>
      <c r="F57" s="11" t="n">
        <v>5.5</v>
      </c>
      <c r="G57" s="11" t="n">
        <v>5.55</v>
      </c>
      <c r="H57" s="11" t="n">
        <v>4.98</v>
      </c>
      <c r="I57" s="11" t="n">
        <v>5.15</v>
      </c>
      <c r="J57" s="11" t="n">
        <v>5.17</v>
      </c>
      <c r="K57" s="11" t="n">
        <v>5.25</v>
      </c>
      <c r="L57" s="11" t="n">
        <v>5.43</v>
      </c>
      <c r="M57" s="11" t="n">
        <v>5.52</v>
      </c>
      <c r="N57" s="11" t="n">
        <v>5.58</v>
      </c>
      <c r="O57" s="11" t="n">
        <v>5.69</v>
      </c>
      <c r="P57" s="11" t="n">
        <v>5.48</v>
      </c>
      <c r="Q57" s="11" t="n">
        <v>5.38</v>
      </c>
      <c r="R57" s="11" t="n">
        <v>5.24</v>
      </c>
      <c r="S57" s="11" t="n">
        <v>5.39</v>
      </c>
      <c r="T57" s="11" t="n">
        <v>5.24</v>
      </c>
      <c r="U57" s="11" t="n">
        <v>5.22</v>
      </c>
      <c r="V57" s="11" t="n">
        <v>5.17</v>
      </c>
      <c r="W57" s="11" t="n">
        <v>4.29</v>
      </c>
      <c r="X57" s="11" t="n">
        <v>4.57</v>
      </c>
      <c r="Y57" s="11" t="n">
        <v>4.94</v>
      </c>
      <c r="Z57" s="11" t="n">
        <v>5.31</v>
      </c>
      <c r="AA57" s="11" t="n">
        <v>4.98</v>
      </c>
      <c r="AB57" s="11" t="n">
        <v>5.43</v>
      </c>
      <c r="AC57" s="11" t="n">
        <v>5.48</v>
      </c>
      <c r="AD57" s="11" t="n">
        <v>5.24</v>
      </c>
    </row>
    <row r="58">
      <c r="A58" s="10" t="inlineStr">
        <is>
          <t>기타</t>
        </is>
      </c>
      <c r="C58" s="11" t="n">
        <v>0.74</v>
      </c>
      <c r="D58" s="11" t="n">
        <v>3.16</v>
      </c>
      <c r="E58" s="11" t="n">
        <v>2.51</v>
      </c>
      <c r="F58" s="11" t="n">
        <v>3.61</v>
      </c>
      <c r="G58" s="11" t="n">
        <v>2.8</v>
      </c>
      <c r="H58" s="11" t="n">
        <v>2.08</v>
      </c>
      <c r="I58" s="11" t="n">
        <v>1.52</v>
      </c>
      <c r="J58" s="11" t="n">
        <v>2.31</v>
      </c>
      <c r="K58" s="11" t="n">
        <v>2.89</v>
      </c>
      <c r="L58" s="11" t="n">
        <v>4.63</v>
      </c>
      <c r="M58" s="11" t="n">
        <v>4.19</v>
      </c>
      <c r="N58" s="11" t="n">
        <v>4.9</v>
      </c>
      <c r="O58" s="11" t="n">
        <v>4.22</v>
      </c>
      <c r="P58" s="11" t="n">
        <v>4.38</v>
      </c>
      <c r="Q58" s="11" t="n">
        <v>4.32</v>
      </c>
      <c r="R58" s="11" t="n">
        <v>5.4</v>
      </c>
      <c r="S58" s="11" t="n">
        <v>4.4</v>
      </c>
      <c r="T58" s="11" t="n">
        <v>9.529999999999999</v>
      </c>
      <c r="U58" s="11" t="n">
        <v>8.25</v>
      </c>
      <c r="V58" s="11" t="n">
        <v>7.69</v>
      </c>
      <c r="W58" s="11" t="n">
        <v>1.27</v>
      </c>
      <c r="X58" s="11" t="n">
        <v>1.29</v>
      </c>
      <c r="Y58" s="11" t="n">
        <v>1.36</v>
      </c>
      <c r="Z58" s="11" t="n">
        <v>3.16</v>
      </c>
      <c r="AA58" s="11" t="n">
        <v>2.08</v>
      </c>
      <c r="AB58" s="11" t="n">
        <v>4.63</v>
      </c>
      <c r="AC58" s="11" t="n">
        <v>4.38</v>
      </c>
      <c r="AD58" s="11" t="n">
        <v>9.529999999999999</v>
      </c>
    </row>
    <row r="59">
      <c r="A59" s="10" t="inlineStr">
        <is>
          <t>비유동부채 합계</t>
        </is>
      </c>
      <c r="C59" s="11" t="n">
        <v>10.2</v>
      </c>
      <c r="D59" s="11" t="n">
        <v>11.97</v>
      </c>
      <c r="E59" s="11" t="n">
        <v>12.42</v>
      </c>
      <c r="F59" s="11" t="n">
        <v>12.92</v>
      </c>
      <c r="G59" s="11" t="n">
        <v>11.41</v>
      </c>
      <c r="H59" s="11" t="n">
        <v>11.79</v>
      </c>
      <c r="I59" s="11" t="n">
        <v>16.09</v>
      </c>
      <c r="J59" s="11" t="n">
        <v>16.35</v>
      </c>
      <c r="K59" s="11" t="n">
        <v>38.08</v>
      </c>
      <c r="L59" s="11" t="n">
        <v>40.71</v>
      </c>
      <c r="M59" s="11" t="n">
        <v>37.32</v>
      </c>
      <c r="N59" s="11" t="n">
        <v>34.99</v>
      </c>
      <c r="O59" s="11" t="n">
        <v>32.51</v>
      </c>
      <c r="P59" s="11" t="n">
        <v>29.26</v>
      </c>
      <c r="Q59" s="11" t="n">
        <v>25.73</v>
      </c>
      <c r="R59" s="11" t="n">
        <v>25.02</v>
      </c>
      <c r="S59" s="11" t="n">
        <v>22.52</v>
      </c>
      <c r="T59" s="11" t="n">
        <v>25.86</v>
      </c>
      <c r="U59" s="11" t="n">
        <v>22.9</v>
      </c>
      <c r="V59" s="11" t="n">
        <v>20.62</v>
      </c>
      <c r="W59" s="11" t="n">
        <v>13.78</v>
      </c>
      <c r="X59" s="11" t="n">
        <v>18.56</v>
      </c>
      <c r="Y59" s="11" t="n">
        <v>14.24</v>
      </c>
      <c r="Z59" s="11" t="n">
        <v>11.97</v>
      </c>
      <c r="AA59" s="11" t="n">
        <v>11.79</v>
      </c>
      <c r="AB59" s="11" t="n">
        <v>40.71</v>
      </c>
      <c r="AC59" s="11" t="n">
        <v>29.26</v>
      </c>
      <c r="AD59" s="11" t="n">
        <v>25.86</v>
      </c>
    </row>
    <row r="60">
      <c r="A60" s="10" t="inlineStr">
        <is>
          <t>부채 합계</t>
        </is>
      </c>
      <c r="C60" s="11" t="n">
        <v>81.78</v>
      </c>
      <c r="D60" s="11" t="n">
        <v>84.56999999999999</v>
      </c>
      <c r="E60" s="11" t="n">
        <v>85.7</v>
      </c>
      <c r="F60" s="11" t="n">
        <v>93.75</v>
      </c>
      <c r="G60" s="11" t="n">
        <v>101.08</v>
      </c>
      <c r="H60" s="11" t="n">
        <v>107.78</v>
      </c>
      <c r="I60" s="11" t="n">
        <v>103.69</v>
      </c>
      <c r="J60" s="11" t="n">
        <v>98.27</v>
      </c>
      <c r="K60" s="11" t="n">
        <v>133.71</v>
      </c>
      <c r="L60" s="11" t="n">
        <v>139.31</v>
      </c>
      <c r="M60" s="11" t="n">
        <v>137.78</v>
      </c>
      <c r="N60" s="11" t="n">
        <v>134.63</v>
      </c>
      <c r="O60" s="11" t="n">
        <v>140.1</v>
      </c>
      <c r="P60" s="11" t="n">
        <v>132.88</v>
      </c>
      <c r="Q60" s="11" t="n">
        <v>135.59</v>
      </c>
      <c r="R60" s="11" t="n">
        <v>122.38</v>
      </c>
      <c r="S60" s="11" t="n">
        <v>125.29</v>
      </c>
      <c r="T60" s="11" t="n">
        <v>137.99</v>
      </c>
      <c r="U60" s="11" t="n">
        <v>126.04</v>
      </c>
      <c r="V60" s="11" t="n">
        <v>125.1</v>
      </c>
      <c r="W60" s="11" t="n">
        <v>104.8</v>
      </c>
      <c r="X60" s="11" t="n">
        <v>99.19</v>
      </c>
      <c r="Y60" s="11" t="n">
        <v>95.45</v>
      </c>
      <c r="Z60" s="11" t="n">
        <v>84.56999999999999</v>
      </c>
      <c r="AA60" s="11" t="n">
        <v>107.78</v>
      </c>
      <c r="AB60" s="11" t="n">
        <v>139.31</v>
      </c>
      <c r="AC60" s="11" t="n">
        <v>132.88</v>
      </c>
      <c r="AD60" s="11" t="n">
        <v>137.99</v>
      </c>
    </row>
    <row r="61">
      <c r="A61" s="10" t="inlineStr">
        <is>
          <t>자본금</t>
        </is>
      </c>
      <c r="C61" s="11" t="n">
        <v>21.18</v>
      </c>
      <c r="D61" s="11" t="n">
        <v>21.18</v>
      </c>
      <c r="E61" s="11" t="n">
        <v>21.18</v>
      </c>
      <c r="F61" s="11" t="n">
        <v>21.18</v>
      </c>
      <c r="G61" s="11" t="n">
        <v>21.18</v>
      </c>
      <c r="H61" s="11" t="n">
        <v>21.18</v>
      </c>
      <c r="I61" s="11" t="n">
        <v>21.18</v>
      </c>
      <c r="J61" s="11" t="n">
        <v>21.18</v>
      </c>
      <c r="K61" s="11" t="n">
        <v>21.18</v>
      </c>
      <c r="L61" s="11" t="n">
        <v>21.18</v>
      </c>
      <c r="M61" s="11" t="n">
        <v>21.18</v>
      </c>
      <c r="N61" s="11" t="n">
        <v>21.18</v>
      </c>
      <c r="O61" s="11" t="n">
        <v>21.18</v>
      </c>
      <c r="P61" s="11" t="n">
        <v>21.18</v>
      </c>
      <c r="Q61" s="11" t="n">
        <v>21.18</v>
      </c>
      <c r="R61" s="11" t="n">
        <v>21.18</v>
      </c>
      <c r="S61" s="11" t="n">
        <v>21.18</v>
      </c>
      <c r="T61" s="11" t="n">
        <v>21.18</v>
      </c>
      <c r="U61" s="11" t="n">
        <v>21.18</v>
      </c>
      <c r="V61" s="11" t="n">
        <v>21.18</v>
      </c>
      <c r="W61" s="11" t="n">
        <v>21.18</v>
      </c>
      <c r="X61" s="11" t="n">
        <v>21.18</v>
      </c>
      <c r="Y61" s="11" t="n">
        <v>21.18</v>
      </c>
      <c r="Z61" s="11" t="n">
        <v>21.18</v>
      </c>
      <c r="AA61" s="11" t="n">
        <v>21.18</v>
      </c>
      <c r="AB61" s="11" t="n">
        <v>21.18</v>
      </c>
      <c r="AC61" s="11" t="n">
        <v>21.18</v>
      </c>
      <c r="AD61" s="11" t="n">
        <v>21.18</v>
      </c>
    </row>
    <row r="62">
      <c r="A62" s="10" t="inlineStr">
        <is>
          <t>자본잉여금</t>
        </is>
      </c>
      <c r="C62" s="11" t="n">
        <v>19.76</v>
      </c>
      <c r="D62" s="11" t="n">
        <v>19.76</v>
      </c>
      <c r="E62" s="11" t="n">
        <v>19.76</v>
      </c>
      <c r="F62" s="11" t="n">
        <v>19.76</v>
      </c>
      <c r="G62" s="11" t="n">
        <v>19.76</v>
      </c>
      <c r="H62" s="11" t="n">
        <v>19.76</v>
      </c>
      <c r="I62" s="11" t="n">
        <v>19.76</v>
      </c>
      <c r="J62" s="11" t="n">
        <v>19.76</v>
      </c>
      <c r="K62" s="11" t="n">
        <v>19.71</v>
      </c>
      <c r="L62" s="11" t="n">
        <v>19.71</v>
      </c>
      <c r="M62" s="11" t="n">
        <v>19.71</v>
      </c>
      <c r="N62" s="11" t="n">
        <v>19.72</v>
      </c>
      <c r="O62" s="11" t="n">
        <v>19.72</v>
      </c>
      <c r="P62" s="11" t="n">
        <v>19.72</v>
      </c>
      <c r="Q62" s="11" t="n">
        <v>19.72</v>
      </c>
      <c r="R62" s="11" t="n">
        <v>19.72</v>
      </c>
      <c r="S62" s="11" t="n">
        <v>19.72</v>
      </c>
      <c r="T62" s="11" t="n">
        <v>19.78</v>
      </c>
      <c r="U62" s="11" t="n">
        <v>19.78</v>
      </c>
      <c r="V62" s="11" t="n">
        <v>19.84</v>
      </c>
      <c r="W62" s="11" t="n">
        <v>19.79</v>
      </c>
      <c r="X62" s="11" t="n">
        <v>19.79</v>
      </c>
      <c r="Y62" s="11" t="n">
        <v>19.76</v>
      </c>
      <c r="Z62" s="11" t="n">
        <v>19.76</v>
      </c>
      <c r="AA62" s="11" t="n">
        <v>19.76</v>
      </c>
      <c r="AB62" s="11" t="n">
        <v>19.71</v>
      </c>
      <c r="AC62" s="11" t="n">
        <v>19.72</v>
      </c>
      <c r="AD62" s="11" t="n">
        <v>19.78</v>
      </c>
    </row>
    <row r="63">
      <c r="A63" s="10" t="inlineStr">
        <is>
          <t>이익잉여금</t>
        </is>
      </c>
      <c r="C63" s="11" t="n">
        <v>134.4</v>
      </c>
      <c r="D63" s="11" t="n">
        <v>135.17</v>
      </c>
      <c r="E63" s="11" t="n">
        <v>136.47</v>
      </c>
      <c r="F63" s="11" t="n">
        <v>138.34</v>
      </c>
      <c r="G63" s="11" t="n">
        <v>138.64</v>
      </c>
      <c r="H63" s="11" t="n">
        <v>137.6</v>
      </c>
      <c r="I63" s="11" t="n">
        <v>137.99</v>
      </c>
      <c r="J63" s="11" t="n">
        <v>141.45</v>
      </c>
      <c r="K63" s="11" t="n">
        <v>147.26</v>
      </c>
      <c r="L63" s="11" t="n">
        <v>146.74</v>
      </c>
      <c r="M63" s="11" t="n">
        <v>146.93</v>
      </c>
      <c r="N63" s="11" t="n">
        <v>150.19</v>
      </c>
      <c r="O63" s="11" t="n">
        <v>150.79</v>
      </c>
      <c r="P63" s="11" t="n">
        <v>152.73</v>
      </c>
      <c r="Q63" s="11" t="n">
        <v>152.81</v>
      </c>
      <c r="R63" s="11" t="n">
        <v>155.49</v>
      </c>
      <c r="S63" s="11" t="n">
        <v>160.35</v>
      </c>
      <c r="T63" s="11" t="n">
        <v>163.85</v>
      </c>
      <c r="U63" s="11" t="n">
        <v>167.95</v>
      </c>
      <c r="V63" s="11" t="n">
        <v>175.79</v>
      </c>
      <c r="W63" s="11" t="n">
        <v>117.01</v>
      </c>
      <c r="X63" s="11" t="n">
        <v>119.98</v>
      </c>
      <c r="Y63" s="11" t="n">
        <v>121.32</v>
      </c>
      <c r="Z63" s="11" t="n">
        <v>135.17</v>
      </c>
      <c r="AA63" s="11" t="n">
        <v>137.6</v>
      </c>
      <c r="AB63" s="11" t="n">
        <v>146.74</v>
      </c>
      <c r="AC63" s="11" t="n">
        <v>152.73</v>
      </c>
      <c r="AD63" s="11" t="n">
        <v>163.85</v>
      </c>
    </row>
    <row r="64">
      <c r="A64" s="10" t="inlineStr">
        <is>
          <t>자기주식</t>
        </is>
      </c>
      <c r="C64" s="11" t="n">
        <v>-3.84</v>
      </c>
      <c r="D64" s="11" t="n">
        <v>-3.84</v>
      </c>
      <c r="E64" s="11" t="n">
        <v>-3.84</v>
      </c>
      <c r="F64" s="11" t="n">
        <v>-5.67</v>
      </c>
      <c r="G64" s="11" t="n">
        <v>-5.67</v>
      </c>
      <c r="H64" s="11" t="n">
        <v>-5.67</v>
      </c>
      <c r="I64" s="11" t="n">
        <v>-5.67</v>
      </c>
      <c r="J64" s="11" t="n">
        <v>-5.61</v>
      </c>
      <c r="K64" s="11" t="n">
        <v>-5.61</v>
      </c>
      <c r="L64" s="11" t="n">
        <v>-5.61</v>
      </c>
      <c r="M64" s="11" t="n">
        <v>-6.61</v>
      </c>
      <c r="N64" s="11" t="n">
        <v>-6.49</v>
      </c>
      <c r="O64" s="11" t="n">
        <v>-6.49</v>
      </c>
      <c r="P64" s="11" t="n">
        <v>-6.49</v>
      </c>
      <c r="Q64" s="11" t="n">
        <v>-6.49</v>
      </c>
      <c r="R64" s="11" t="n">
        <v>-6.41</v>
      </c>
      <c r="S64" s="11" t="n">
        <v>-6.41</v>
      </c>
      <c r="T64" s="11" t="n">
        <v>-6.41</v>
      </c>
      <c r="U64" s="11" t="n">
        <v>-6.41</v>
      </c>
      <c r="V64" s="11" t="n">
        <v>-6.28</v>
      </c>
      <c r="W64" s="11" t="n">
        <v>-1.72</v>
      </c>
      <c r="X64" s="11" t="n">
        <v>-1.57</v>
      </c>
      <c r="Y64" s="11" t="n">
        <v>-3.9</v>
      </c>
      <c r="Z64" s="11" t="n">
        <v>-3.84</v>
      </c>
      <c r="AA64" s="11" t="n">
        <v>-5.67</v>
      </c>
      <c r="AB64" s="11" t="n">
        <v>-5.61</v>
      </c>
      <c r="AC64" s="11" t="n">
        <v>-6.49</v>
      </c>
      <c r="AD64" s="11" t="n">
        <v>-6.41</v>
      </c>
    </row>
    <row r="65">
      <c r="A65" s="10" t="inlineStr">
        <is>
          <t>주주자본 합계</t>
        </is>
      </c>
      <c r="C65" s="11" t="n">
        <v>171.5</v>
      </c>
      <c r="D65" s="11" t="n">
        <v>172.27</v>
      </c>
      <c r="E65" s="11" t="n">
        <v>173.57</v>
      </c>
      <c r="F65" s="11" t="n">
        <v>173.61</v>
      </c>
      <c r="G65" s="11" t="n">
        <v>173.92</v>
      </c>
      <c r="H65" s="11" t="n">
        <v>172.87</v>
      </c>
      <c r="I65" s="11" t="n">
        <v>173.27</v>
      </c>
      <c r="J65" s="11" t="n">
        <v>176.78</v>
      </c>
      <c r="K65" s="11" t="n">
        <v>182.54</v>
      </c>
      <c r="L65" s="11" t="n">
        <v>182.02</v>
      </c>
      <c r="M65" s="11" t="n">
        <v>181.21</v>
      </c>
      <c r="N65" s="11" t="n">
        <v>184.6</v>
      </c>
      <c r="O65" s="11" t="n">
        <v>185.2</v>
      </c>
      <c r="P65" s="11" t="n">
        <v>187.14</v>
      </c>
      <c r="Q65" s="11" t="n">
        <v>187.22</v>
      </c>
      <c r="R65" s="11" t="n">
        <v>189.98</v>
      </c>
      <c r="S65" s="11" t="n">
        <v>194.84</v>
      </c>
      <c r="T65" s="11" t="n">
        <v>198.41</v>
      </c>
      <c r="U65" s="11" t="n">
        <v>202.5</v>
      </c>
      <c r="V65" s="11" t="n">
        <v>210.54</v>
      </c>
      <c r="W65" s="11" t="n">
        <v>156.26</v>
      </c>
      <c r="X65" s="11" t="n">
        <v>159.39</v>
      </c>
      <c r="Y65" s="11" t="n">
        <v>158.36</v>
      </c>
      <c r="Z65" s="11" t="n">
        <v>172.27</v>
      </c>
      <c r="AA65" s="11" t="n">
        <v>172.87</v>
      </c>
      <c r="AB65" s="11" t="n">
        <v>182.02</v>
      </c>
      <c r="AC65" s="11" t="n">
        <v>187.14</v>
      </c>
      <c r="AD65" s="11" t="n">
        <v>198.41</v>
      </c>
    </row>
    <row r="66">
      <c r="A66" s="10" t="inlineStr">
        <is>
          <t>기타유가증권 평가차액</t>
        </is>
      </c>
      <c r="C66" s="11" t="n">
        <v>0.32</v>
      </c>
      <c r="D66" s="11" t="n">
        <v>0.38</v>
      </c>
      <c r="E66" s="11" t="n">
        <v>0.46</v>
      </c>
      <c r="F66" s="11" t="n">
        <v>0.61</v>
      </c>
      <c r="G66" s="11" t="n">
        <v>0.61</v>
      </c>
      <c r="H66" s="11" t="n">
        <v>0.74</v>
      </c>
      <c r="I66" s="11" t="n">
        <v>0.71</v>
      </c>
      <c r="J66" s="11" t="n">
        <v>0.99</v>
      </c>
      <c r="K66" s="11" t="n">
        <v>1.03</v>
      </c>
      <c r="L66" s="11" t="n">
        <v>1.27</v>
      </c>
      <c r="M66" s="11" t="n">
        <v>1.19</v>
      </c>
      <c r="N66" s="11" t="n">
        <v>1.17</v>
      </c>
      <c r="O66" s="11" t="n">
        <v>1.33</v>
      </c>
      <c r="P66" s="11" t="n">
        <v>1.45</v>
      </c>
      <c r="Q66" s="11" t="n">
        <v>1.42</v>
      </c>
      <c r="R66" s="11" t="n">
        <v>1.81</v>
      </c>
      <c r="S66" s="11" t="n">
        <v>2.04</v>
      </c>
      <c r="T66" s="11" t="n">
        <v>2.88</v>
      </c>
      <c r="U66" s="11" t="n">
        <v>2.62</v>
      </c>
      <c r="V66" s="11" t="n">
        <v>2.95</v>
      </c>
      <c r="W66" s="11" t="n">
        <v>0.32</v>
      </c>
      <c r="X66" s="11" t="n">
        <v>0.15</v>
      </c>
      <c r="Y66" s="11" t="n">
        <v>0.27</v>
      </c>
      <c r="Z66" s="11" t="n">
        <v>0.38</v>
      </c>
      <c r="AA66" s="11" t="n">
        <v>0.74</v>
      </c>
      <c r="AB66" s="11" t="n">
        <v>1.27</v>
      </c>
      <c r="AC66" s="11" t="n">
        <v>1.45</v>
      </c>
      <c r="AD66" s="11" t="n">
        <v>2.88</v>
      </c>
    </row>
    <row r="67">
      <c r="A67" s="10" t="inlineStr">
        <is>
          <t>해외사업환산조정</t>
        </is>
      </c>
      <c r="C67" s="11" t="n">
        <v>2.5</v>
      </c>
      <c r="D67" s="11" t="n">
        <v>5.05</v>
      </c>
      <c r="E67" s="11" t="n">
        <v>9</v>
      </c>
      <c r="F67" s="11" t="n">
        <v>13.35</v>
      </c>
      <c r="G67" s="11" t="n">
        <v>13.78</v>
      </c>
      <c r="H67" s="11" t="n">
        <v>8.789999999999999</v>
      </c>
      <c r="I67" s="11" t="n">
        <v>10.59</v>
      </c>
      <c r="J67" s="11" t="n">
        <v>13.61</v>
      </c>
      <c r="K67" s="11" t="n">
        <v>15.12</v>
      </c>
      <c r="L67" s="11" t="n">
        <v>12</v>
      </c>
      <c r="M67" s="11" t="n">
        <v>16.74</v>
      </c>
      <c r="N67" s="11" t="n">
        <v>22.83</v>
      </c>
      <c r="O67" s="11" t="n">
        <v>14.88</v>
      </c>
      <c r="P67" s="11" t="n">
        <v>22.1</v>
      </c>
      <c r="Q67" s="11" t="n">
        <v>15.79</v>
      </c>
      <c r="R67" s="11" t="n">
        <v>13.81</v>
      </c>
      <c r="S67" s="11" t="n">
        <v>17.21</v>
      </c>
      <c r="T67" s="11" t="n">
        <v>24.09</v>
      </c>
      <c r="U67" s="11" t="n">
        <v>26.87</v>
      </c>
      <c r="V67" s="11" t="n">
        <v>29.26</v>
      </c>
      <c r="W67" s="11" t="n">
        <v>0.33</v>
      </c>
      <c r="X67" s="11" t="n">
        <v>-0.1</v>
      </c>
      <c r="Y67" s="11" t="n">
        <v>-1.17</v>
      </c>
      <c r="Z67" s="11" t="n">
        <v>5.05</v>
      </c>
      <c r="AA67" s="11" t="n">
        <v>8.789999999999999</v>
      </c>
      <c r="AB67" s="11" t="n">
        <v>12</v>
      </c>
      <c r="AC67" s="11" t="n">
        <v>22.1</v>
      </c>
      <c r="AD67" s="11" t="n">
        <v>24.09</v>
      </c>
    </row>
    <row r="68">
      <c r="A68" s="10" t="inlineStr">
        <is>
          <t>퇴직급여 조정누계액</t>
        </is>
      </c>
      <c r="C68" s="11" t="n">
        <v>1.55</v>
      </c>
      <c r="D68" s="11" t="n">
        <v>1.91</v>
      </c>
      <c r="E68" s="11" t="n">
        <v>1.9</v>
      </c>
      <c r="F68" s="11" t="n">
        <v>1.88</v>
      </c>
      <c r="G68" s="11" t="n">
        <v>1.86</v>
      </c>
      <c r="H68" s="11" t="n">
        <v>2.93</v>
      </c>
      <c r="I68" s="11" t="n">
        <v>2.87</v>
      </c>
      <c r="J68" s="11" t="n">
        <v>2.8</v>
      </c>
      <c r="K68" s="11" t="n">
        <v>2.73</v>
      </c>
      <c r="L68" s="11" t="n">
        <v>5.97</v>
      </c>
      <c r="M68" s="11" t="n">
        <v>5.85</v>
      </c>
      <c r="N68" s="11" t="n">
        <v>5.72</v>
      </c>
      <c r="O68" s="11" t="n">
        <v>5.6</v>
      </c>
      <c r="P68" s="11" t="n">
        <v>6.16</v>
      </c>
      <c r="Q68" s="11" t="n">
        <v>5.96</v>
      </c>
      <c r="R68" s="11" t="n">
        <v>5.84</v>
      </c>
      <c r="S68" s="11" t="n">
        <v>5.72</v>
      </c>
      <c r="T68" s="11" t="n">
        <v>9.390000000000001</v>
      </c>
      <c r="U68" s="11" t="n">
        <v>9.199999999999999</v>
      </c>
      <c r="V68" s="11" t="n">
        <v>9</v>
      </c>
      <c r="W68" s="11" t="n">
        <v>0.13</v>
      </c>
      <c r="X68" s="11" t="n">
        <v>-0.13</v>
      </c>
      <c r="Y68" s="11" t="n">
        <v>1.52</v>
      </c>
      <c r="Z68" s="11" t="n">
        <v>1.91</v>
      </c>
      <c r="AA68" s="11" t="n">
        <v>2.93</v>
      </c>
      <c r="AB68" s="11" t="n">
        <v>5.97</v>
      </c>
      <c r="AC68" s="11" t="n">
        <v>6.16</v>
      </c>
      <c r="AD68" s="11" t="n">
        <v>9.390000000000001</v>
      </c>
    </row>
    <row r="69">
      <c r="A69" s="10" t="inlineStr">
        <is>
          <t>기타포괄손익누계액 합계</t>
        </is>
      </c>
      <c r="C69" s="11" t="n">
        <v>4.36</v>
      </c>
      <c r="D69" s="11" t="n">
        <v>7.35</v>
      </c>
      <c r="E69" s="11" t="n">
        <v>11.35</v>
      </c>
      <c r="F69" s="11" t="n">
        <v>15.83</v>
      </c>
      <c r="G69" s="11" t="n">
        <v>16.25</v>
      </c>
      <c r="H69" s="11" t="n">
        <v>12.46</v>
      </c>
      <c r="I69" s="11" t="n">
        <v>14.17</v>
      </c>
      <c r="J69" s="11" t="n">
        <v>17.39</v>
      </c>
      <c r="K69" s="11" t="n">
        <v>18.88</v>
      </c>
      <c r="L69" s="11" t="n">
        <v>19.24</v>
      </c>
      <c r="M69" s="11" t="n">
        <v>23.78</v>
      </c>
      <c r="N69" s="11" t="n">
        <v>29.72</v>
      </c>
      <c r="O69" s="11" t="n">
        <v>21.81</v>
      </c>
      <c r="P69" s="11" t="n">
        <v>29.72</v>
      </c>
      <c r="Q69" s="11" t="n">
        <v>23.17</v>
      </c>
      <c r="R69" s="11" t="n">
        <v>21.46</v>
      </c>
      <c r="S69" s="11" t="n">
        <v>24.97</v>
      </c>
      <c r="T69" s="11" t="n">
        <v>36.37</v>
      </c>
      <c r="U69" s="11" t="n">
        <v>38.68</v>
      </c>
      <c r="V69" s="11" t="n">
        <v>41.21</v>
      </c>
      <c r="W69" s="11" t="n">
        <v>0.78</v>
      </c>
      <c r="X69" s="11" t="n">
        <v>-0.07000000000000001</v>
      </c>
      <c r="Y69" s="11" t="n">
        <v>0.63</v>
      </c>
      <c r="Z69" s="11" t="n">
        <v>7.35</v>
      </c>
      <c r="AA69" s="11" t="n">
        <v>12.46</v>
      </c>
      <c r="AB69" s="11" t="n">
        <v>19.24</v>
      </c>
      <c r="AC69" s="11" t="n">
        <v>29.72</v>
      </c>
      <c r="AD69" s="11" t="n">
        <v>36.37</v>
      </c>
    </row>
    <row r="70">
      <c r="A70" s="10" t="inlineStr">
        <is>
          <t>비지배지분</t>
        </is>
      </c>
      <c r="C70" s="11" t="n">
        <v>24.6</v>
      </c>
      <c r="D70" s="11" t="n">
        <v>25.89</v>
      </c>
      <c r="E70" s="11" t="n">
        <v>26.29</v>
      </c>
      <c r="F70" s="11" t="n">
        <v>27.73</v>
      </c>
      <c r="G70" s="11" t="n">
        <v>28.04</v>
      </c>
      <c r="H70" s="11" t="n">
        <v>27.06</v>
      </c>
      <c r="I70" s="11" t="n">
        <v>28.01</v>
      </c>
      <c r="J70" s="11" t="n">
        <v>29.63</v>
      </c>
      <c r="K70" s="11" t="n">
        <v>30.46</v>
      </c>
      <c r="L70" s="11" t="n">
        <v>29.96</v>
      </c>
      <c r="M70" s="11" t="n">
        <v>30.9</v>
      </c>
      <c r="N70" s="11" t="n">
        <v>32.18</v>
      </c>
      <c r="O70" s="11" t="n">
        <v>31.68</v>
      </c>
      <c r="P70" s="11" t="n">
        <v>33.24</v>
      </c>
      <c r="Q70" s="11" t="n">
        <v>31.85</v>
      </c>
      <c r="R70" s="11" t="n">
        <v>31.92</v>
      </c>
      <c r="S70" s="11" t="n">
        <v>33.13</v>
      </c>
      <c r="T70" s="11" t="n">
        <v>34.06</v>
      </c>
      <c r="U70" s="11" t="n">
        <v>34.98</v>
      </c>
      <c r="V70" s="11" t="n">
        <v>36.42</v>
      </c>
      <c r="W70" s="11" t="n">
        <v>20.72</v>
      </c>
      <c r="X70" s="11" t="n">
        <v>22.78</v>
      </c>
      <c r="Y70" s="11" t="n">
        <v>22.64</v>
      </c>
      <c r="Z70" s="11" t="n">
        <v>25.89</v>
      </c>
      <c r="AA70" s="11" t="n">
        <v>27.06</v>
      </c>
      <c r="AB70" s="11" t="n">
        <v>29.96</v>
      </c>
      <c r="AC70" s="11" t="n">
        <v>33.24</v>
      </c>
      <c r="AD70" s="11" t="n">
        <v>34.06</v>
      </c>
    </row>
    <row r="71">
      <c r="A71" s="10" t="inlineStr">
        <is>
          <t>순자산 합계</t>
        </is>
      </c>
      <c r="C71" s="11" t="n">
        <v>200.46</v>
      </c>
      <c r="D71" s="11" t="n">
        <v>205.51</v>
      </c>
      <c r="E71" s="11" t="n">
        <v>211.21</v>
      </c>
      <c r="F71" s="11" t="n">
        <v>217.17</v>
      </c>
      <c r="G71" s="11" t="n">
        <v>218.2</v>
      </c>
      <c r="H71" s="11" t="n">
        <v>212.4</v>
      </c>
      <c r="I71" s="11" t="n">
        <v>215.44</v>
      </c>
      <c r="J71" s="11" t="n">
        <v>223.81</v>
      </c>
      <c r="K71" s="11" t="n">
        <v>231.88</v>
      </c>
      <c r="L71" s="11" t="n">
        <v>231.22</v>
      </c>
      <c r="M71" s="11" t="n">
        <v>235.88</v>
      </c>
      <c r="N71" s="11" t="n">
        <v>246.5</v>
      </c>
      <c r="O71" s="11" t="n">
        <v>238.68</v>
      </c>
      <c r="P71" s="11" t="n">
        <v>250.09</v>
      </c>
      <c r="Q71" s="11" t="n">
        <v>242.24</v>
      </c>
      <c r="R71" s="11" t="n">
        <v>243.36</v>
      </c>
      <c r="S71" s="11" t="n">
        <v>252.93</v>
      </c>
      <c r="T71" s="11" t="n">
        <v>268.83</v>
      </c>
      <c r="U71" s="11" t="n">
        <v>276.17</v>
      </c>
      <c r="V71" s="11" t="n">
        <v>288.17</v>
      </c>
      <c r="W71" s="11" t="n">
        <v>177.75</v>
      </c>
      <c r="X71" s="11" t="n">
        <v>182.09</v>
      </c>
      <c r="Y71" s="11" t="n">
        <v>181.63</v>
      </c>
      <c r="Z71" s="11" t="n">
        <v>205.51</v>
      </c>
      <c r="AA71" s="11" t="n">
        <v>212.4</v>
      </c>
      <c r="AB71" s="11" t="n">
        <v>231.22</v>
      </c>
      <c r="AC71" s="11" t="n">
        <v>250.09</v>
      </c>
      <c r="AD71" s="11" t="n">
        <v>268.83</v>
      </c>
    </row>
    <row r="72">
      <c r="A72" s="10" t="inlineStr">
        <is>
          <t>부채·순자산 합계</t>
        </is>
      </c>
      <c r="C72" s="11" t="n">
        <v>282.23</v>
      </c>
      <c r="D72" s="11" t="n">
        <v>290.08</v>
      </c>
      <c r="E72" s="11" t="n">
        <v>296.91</v>
      </c>
      <c r="F72" s="11" t="n">
        <v>310.92</v>
      </c>
      <c r="G72" s="11" t="n">
        <v>319.29</v>
      </c>
      <c r="H72" s="11" t="n">
        <v>320.17</v>
      </c>
      <c r="I72" s="11" t="n">
        <v>319.13</v>
      </c>
      <c r="J72" s="11" t="n">
        <v>322.08</v>
      </c>
      <c r="K72" s="11" t="n">
        <v>365.59</v>
      </c>
      <c r="L72" s="11" t="n">
        <v>370.53</v>
      </c>
      <c r="M72" s="11" t="n">
        <v>373.67</v>
      </c>
      <c r="N72" s="11" t="n">
        <v>381.14</v>
      </c>
      <c r="O72" s="11" t="n">
        <v>378.78</v>
      </c>
      <c r="P72" s="11" t="n">
        <v>382.97</v>
      </c>
      <c r="Q72" s="11" t="n">
        <v>377.83</v>
      </c>
      <c r="R72" s="11" t="n">
        <v>365.74</v>
      </c>
      <c r="S72" s="11" t="n">
        <v>378.22</v>
      </c>
      <c r="T72" s="11" t="n">
        <v>406.83</v>
      </c>
      <c r="U72" s="11" t="n">
        <v>402.21</v>
      </c>
      <c r="V72" s="11" t="n">
        <v>413.27</v>
      </c>
      <c r="W72" s="11" t="n">
        <v>282.56</v>
      </c>
      <c r="X72" s="11" t="n">
        <v>281.29</v>
      </c>
      <c r="Y72" s="11" t="n">
        <v>277.07</v>
      </c>
      <c r="Z72" s="11" t="n">
        <v>290.08</v>
      </c>
      <c r="AA72" s="11" t="n">
        <v>320.17</v>
      </c>
      <c r="AB72" s="11" t="n">
        <v>370.53</v>
      </c>
      <c r="AC72" s="11" t="n">
        <v>382.97</v>
      </c>
      <c r="AD72" s="11" t="n">
        <v>406.83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40" customWidth="1" min="31" max="31"/>
  </cols>
  <sheetData>
    <row r="1">
      <c r="A1" s="1" t="inlineStr">
        <is>
          <t>모레스코 현금흐름표</t>
        </is>
      </c>
    </row>
    <row r="2">
      <c r="A2" s="2" t="inlineStr">
        <is>
          <t>결산기 기준(27.2Q = 2027년 결산기 2분기) · 2월 결산 · 연결 · 누계(그 분기까지) · 오른쪽 FY = 연간</t>
        </is>
      </c>
      <c r="B2" s="3" t="inlineStr">
        <is>
          <t>(단위: 억엔)</t>
        </is>
      </c>
    </row>
    <row r="3">
      <c r="A3" s="4" t="inlineStr">
        <is>
          <t>항목</t>
        </is>
      </c>
      <c r="B3" s="4" t="inlineStr">
        <is>
          <t>참고</t>
        </is>
      </c>
      <c r="C3" s="4" t="inlineStr">
        <is>
          <t>22.3Q</t>
        </is>
      </c>
      <c r="D3" s="4" t="inlineStr">
        <is>
          <t>22.4Q</t>
        </is>
      </c>
      <c r="E3" s="4" t="inlineStr">
        <is>
          <t>23.1Q</t>
        </is>
      </c>
      <c r="F3" s="4" t="inlineStr">
        <is>
          <t>23.2Q</t>
        </is>
      </c>
      <c r="G3" s="4" t="inlineStr">
        <is>
          <t>23.3Q</t>
        </is>
      </c>
      <c r="H3" s="4" t="inlineStr">
        <is>
          <t>23.4Q</t>
        </is>
      </c>
      <c r="I3" s="4" t="inlineStr">
        <is>
          <t>24.1Q</t>
        </is>
      </c>
      <c r="J3" s="4" t="inlineStr">
        <is>
          <t>24.2Q</t>
        </is>
      </c>
      <c r="K3" s="4" t="inlineStr">
        <is>
          <t>24.3Q</t>
        </is>
      </c>
      <c r="L3" s="4" t="inlineStr">
        <is>
          <t>24.4Q</t>
        </is>
      </c>
      <c r="M3" s="4" t="inlineStr">
        <is>
          <t>25.1Q</t>
        </is>
      </c>
      <c r="N3" s="4" t="inlineStr">
        <is>
          <t>25.2Q</t>
        </is>
      </c>
      <c r="O3" s="4" t="inlineStr">
        <is>
          <t>25.3Q</t>
        </is>
      </c>
      <c r="P3" s="4" t="inlineStr">
        <is>
          <t>25.4Q</t>
        </is>
      </c>
      <c r="Q3" s="4" t="inlineStr">
        <is>
          <t>26.1Q</t>
        </is>
      </c>
      <c r="R3" s="4" t="inlineStr">
        <is>
          <t>26.2Q</t>
        </is>
      </c>
      <c r="S3" s="4" t="inlineStr">
        <is>
          <t>26.3Q</t>
        </is>
      </c>
      <c r="T3" s="4" t="inlineStr">
        <is>
          <t>26.4Q</t>
        </is>
      </c>
      <c r="U3" s="4" t="inlineStr">
        <is>
          <t>27.1Q</t>
        </is>
      </c>
      <c r="V3" s="4" t="inlineStr">
        <is>
          <t>27.2Q</t>
        </is>
      </c>
      <c r="W3" s="4" t="inlineStr">
        <is>
          <t>FY19</t>
        </is>
      </c>
      <c r="X3" s="4" t="inlineStr">
        <is>
          <t>FY20</t>
        </is>
      </c>
      <c r="Y3" s="4" t="inlineStr">
        <is>
          <t>FY21</t>
        </is>
      </c>
      <c r="Z3" s="4" t="inlineStr">
        <is>
          <t>FY22</t>
        </is>
      </c>
      <c r="AA3" s="4" t="inlineStr">
        <is>
          <t>FY23</t>
        </is>
      </c>
      <c r="AB3" s="4" t="inlineStr">
        <is>
          <t>FY24</t>
        </is>
      </c>
      <c r="AC3" s="4" t="inlineStr">
        <is>
          <t>FY25</t>
        </is>
      </c>
      <c r="AD3" s="4" t="inlineStr">
        <is>
          <t>FY26</t>
        </is>
      </c>
      <c r="AE3" s="4" t="inlineStr">
        <is>
          <t>출처</t>
        </is>
      </c>
    </row>
    <row r="4">
      <c r="A4" s="10" t="inlineStr">
        <is>
          <t>법인세차감전 순이익</t>
        </is>
      </c>
      <c r="D4" s="11" t="n">
        <v>28.44</v>
      </c>
      <c r="F4" s="11" t="n">
        <v>8.460000000000001</v>
      </c>
      <c r="H4" s="11" t="n">
        <v>10.46</v>
      </c>
      <c r="J4" s="11" t="n">
        <v>9.33</v>
      </c>
      <c r="L4" s="11" t="n">
        <v>20.55</v>
      </c>
      <c r="N4" s="11" t="n">
        <v>9.17</v>
      </c>
      <c r="P4" s="11" t="n">
        <v>15.85</v>
      </c>
      <c r="R4" s="11" t="n">
        <v>9.19</v>
      </c>
      <c r="T4" s="11" t="n">
        <v>26.12</v>
      </c>
      <c r="V4" s="11" t="n">
        <v>23.46</v>
      </c>
      <c r="W4" s="11" t="n">
        <v>22.78</v>
      </c>
      <c r="X4" s="11" t="n">
        <v>15.68</v>
      </c>
      <c r="Y4" s="11" t="n">
        <v>9.109999999999999</v>
      </c>
      <c r="Z4" s="11" t="n">
        <v>28.44</v>
      </c>
      <c r="AA4" s="11" t="n">
        <v>10.46</v>
      </c>
      <c r="AB4" s="11" t="n">
        <v>20.55</v>
      </c>
      <c r="AC4" s="11" t="n">
        <v>15.85</v>
      </c>
      <c r="AD4" s="11" t="n">
        <v>26.12</v>
      </c>
      <c r="AE4" s="7" t="inlineStr">
        <is>
          <t>결산단신 XBRL(거래소 공시, TDnet·JPX 보관소). 쓴 문서: 2026-10-15, 2026-07-09, 2026-04-14, 2026-01-13 외 26건 — '출처' 시트에 전부</t>
        </is>
      </c>
    </row>
    <row r="5">
      <c r="A5" s="10" t="inlineStr">
        <is>
          <t>감가상각비</t>
        </is>
      </c>
      <c r="D5" s="11" t="n">
        <v>12.1</v>
      </c>
      <c r="F5" s="11" t="n">
        <v>6.12</v>
      </c>
      <c r="H5" s="11" t="n">
        <v>12.36</v>
      </c>
      <c r="J5" s="11" t="n">
        <v>5.56</v>
      </c>
      <c r="L5" s="11" t="n">
        <v>11.88</v>
      </c>
      <c r="N5" s="11" t="n">
        <v>6.43</v>
      </c>
      <c r="P5" s="11" t="n">
        <v>12.95</v>
      </c>
      <c r="R5" s="11" t="n">
        <v>5.99</v>
      </c>
      <c r="T5" s="11" t="n">
        <v>12.23</v>
      </c>
      <c r="V5" s="11" t="n">
        <v>6.04</v>
      </c>
      <c r="W5" s="11" t="n">
        <v>12.51</v>
      </c>
      <c r="X5" s="11" t="n">
        <v>13.48</v>
      </c>
      <c r="Y5" s="11" t="n">
        <v>13.28</v>
      </c>
      <c r="Z5" s="11" t="n">
        <v>12.1</v>
      </c>
      <c r="AA5" s="11" t="n">
        <v>12.36</v>
      </c>
      <c r="AB5" s="11" t="n">
        <v>11.88</v>
      </c>
      <c r="AC5" s="11" t="n">
        <v>12.95</v>
      </c>
      <c r="AD5" s="11" t="n">
        <v>12.23</v>
      </c>
    </row>
    <row r="6">
      <c r="A6" s="10" t="inlineStr">
        <is>
          <t>손상차손</t>
        </is>
      </c>
      <c r="H6" s="11" t="n">
        <v>0</v>
      </c>
      <c r="L6" s="11" t="n">
        <v>0.31</v>
      </c>
      <c r="P6" s="11" t="n">
        <v>1.88</v>
      </c>
      <c r="T6" s="11" t="n">
        <v>0.29</v>
      </c>
      <c r="AA6" s="11" t="n">
        <v>0</v>
      </c>
      <c r="AB6" s="11" t="n">
        <v>0.31</v>
      </c>
      <c r="AC6" s="11" t="n">
        <v>1.88</v>
      </c>
      <c r="AD6" s="11" t="n">
        <v>0.29</v>
      </c>
    </row>
    <row r="7">
      <c r="A7" s="10" t="inlineStr">
        <is>
          <t>관계회사 정리손실 충당금 전입</t>
        </is>
      </c>
      <c r="P7" s="11" t="n">
        <v>0</v>
      </c>
      <c r="T7" s="11" t="n">
        <v>0.61</v>
      </c>
      <c r="AC7" s="11" t="n">
        <v>0</v>
      </c>
      <c r="AD7" s="11" t="n">
        <v>0.61</v>
      </c>
    </row>
    <row r="8">
      <c r="A8" s="10" t="inlineStr">
        <is>
          <t>지분법손익</t>
        </is>
      </c>
      <c r="D8" s="11" t="n">
        <v>-2.39</v>
      </c>
      <c r="F8" s="11" t="n">
        <v>-0.53</v>
      </c>
      <c r="H8" s="11" t="n">
        <v>-1.48</v>
      </c>
      <c r="J8" s="11" t="n">
        <v>-0.63</v>
      </c>
      <c r="L8" s="11" t="n">
        <v>-3.14</v>
      </c>
      <c r="N8" s="11" t="n">
        <v>-0.92</v>
      </c>
      <c r="P8" s="11" t="n">
        <v>-2.21</v>
      </c>
      <c r="R8" s="11" t="n">
        <v>-0.85</v>
      </c>
      <c r="T8" s="11" t="n">
        <v>-2.58</v>
      </c>
      <c r="V8" s="11" t="n">
        <v>-1.25</v>
      </c>
      <c r="W8" s="11" t="n">
        <v>-2.7</v>
      </c>
      <c r="X8" s="11" t="n">
        <v>-2.63</v>
      </c>
      <c r="Y8" s="11" t="n">
        <v>-2.55</v>
      </c>
      <c r="Z8" s="11" t="n">
        <v>-2.39</v>
      </c>
      <c r="AA8" s="11" t="n">
        <v>-1.48</v>
      </c>
      <c r="AB8" s="11" t="n">
        <v>-3.14</v>
      </c>
      <c r="AC8" s="11" t="n">
        <v>-2.21</v>
      </c>
      <c r="AD8" s="11" t="n">
        <v>-2.58</v>
      </c>
    </row>
    <row r="9">
      <c r="A9" s="10" t="inlineStr">
        <is>
          <t>유형자산 매각손익</t>
        </is>
      </c>
      <c r="D9" s="11" t="n">
        <v>-8.42</v>
      </c>
      <c r="F9" s="11" t="n">
        <v>-0.02</v>
      </c>
      <c r="H9" s="11" t="n">
        <v>-0.1</v>
      </c>
      <c r="J9" s="11" t="n">
        <v>-0.04</v>
      </c>
      <c r="L9" s="11" t="n">
        <v>-0.09</v>
      </c>
      <c r="N9" s="11" t="n">
        <v>-0.06</v>
      </c>
      <c r="P9" s="11" t="n">
        <v>-0.09</v>
      </c>
      <c r="R9" s="11" t="n">
        <v>-0.07000000000000001</v>
      </c>
      <c r="T9" s="11" t="n">
        <v>-0.11</v>
      </c>
      <c r="V9" s="11" t="n">
        <v>0.01</v>
      </c>
      <c r="Y9" s="11" t="n">
        <v>-0.05</v>
      </c>
      <c r="Z9" s="11" t="n">
        <v>-8.42</v>
      </c>
      <c r="AA9" s="11" t="n">
        <v>-0.1</v>
      </c>
      <c r="AB9" s="11" t="n">
        <v>-0.09</v>
      </c>
      <c r="AC9" s="11" t="n">
        <v>-0.09</v>
      </c>
      <c r="AD9" s="11" t="n">
        <v>-0.11</v>
      </c>
    </row>
    <row r="10">
      <c r="A10" s="10" t="inlineStr">
        <is>
          <t>퇴직급여 자산·부채 증감</t>
        </is>
      </c>
      <c r="F10" s="11" t="n">
        <v>-0.28</v>
      </c>
    </row>
    <row r="11">
      <c r="A11" s="10" t="inlineStr">
        <is>
          <t>퇴직급여 자산·부채 증감</t>
        </is>
      </c>
      <c r="F11" s="11" t="n">
        <v>-0.28</v>
      </c>
      <c r="J11" s="11" t="n">
        <v>-0.23</v>
      </c>
    </row>
    <row r="12">
      <c r="A12" s="10" t="inlineStr">
        <is>
          <t>퇴직급여 자산·부채 증감</t>
        </is>
      </c>
      <c r="D12" s="11" t="n">
        <v>-1.03</v>
      </c>
      <c r="H12" s="11" t="n">
        <v>-2.25</v>
      </c>
      <c r="L12" s="11" t="n">
        <v>-5.02</v>
      </c>
      <c r="P12" s="11" t="n">
        <v>-1.57</v>
      </c>
      <c r="T12" s="11" t="n">
        <v>-6.32</v>
      </c>
      <c r="W12" s="11" t="n">
        <v>-0.47</v>
      </c>
      <c r="X12" s="11" t="n">
        <v>0.22</v>
      </c>
      <c r="Y12" s="11" t="n">
        <v>-2.24</v>
      </c>
      <c r="Z12" s="11" t="n">
        <v>-1.03</v>
      </c>
      <c r="AA12" s="11" t="n">
        <v>-2.25</v>
      </c>
      <c r="AB12" s="11" t="n">
        <v>-5.02</v>
      </c>
      <c r="AC12" s="11" t="n">
        <v>-1.57</v>
      </c>
      <c r="AD12" s="11" t="n">
        <v>-6.32</v>
      </c>
    </row>
    <row r="13">
      <c r="A13" s="10" t="inlineStr">
        <is>
          <t>투자유가증권 평가손익</t>
        </is>
      </c>
      <c r="J13" s="11" t="n">
        <v>0</v>
      </c>
      <c r="L13" s="11" t="n">
        <v>0</v>
      </c>
      <c r="N13" s="11" t="n">
        <v>0.47</v>
      </c>
      <c r="P13" s="11" t="n">
        <v>0.48</v>
      </c>
      <c r="R13" s="11" t="n">
        <v>0.03</v>
      </c>
      <c r="T13" s="11" t="n">
        <v>0.03</v>
      </c>
      <c r="V13" s="11" t="n">
        <v>0</v>
      </c>
      <c r="AB13" s="11" t="n">
        <v>0</v>
      </c>
      <c r="AC13" s="11" t="n">
        <v>0.48</v>
      </c>
      <c r="AD13" s="11" t="n">
        <v>0.03</v>
      </c>
    </row>
    <row r="14">
      <c r="A14" s="10" t="inlineStr">
        <is>
          <t>관계회사 정리손실</t>
        </is>
      </c>
      <c r="R14" s="11" t="n">
        <v>0</v>
      </c>
      <c r="V14" s="11" t="n">
        <v>3.84</v>
      </c>
    </row>
    <row r="15">
      <c r="A15" s="10" t="inlineStr">
        <is>
          <t>퇴직급여 자산·부채 증감</t>
        </is>
      </c>
      <c r="J15" s="11" t="n">
        <v>-0.23</v>
      </c>
      <c r="N15" s="11" t="n">
        <v>-0.29</v>
      </c>
      <c r="R15" s="11" t="n">
        <v>-0.51</v>
      </c>
      <c r="V15" s="11" t="n">
        <v>-0.4</v>
      </c>
    </row>
    <row r="16">
      <c r="A16" s="10" t="inlineStr">
        <is>
          <t>상여충당금 증감</t>
        </is>
      </c>
      <c r="D16" s="11" t="n">
        <v>0.85</v>
      </c>
      <c r="F16" s="11" t="n">
        <v>0.04</v>
      </c>
      <c r="H16" s="11" t="n">
        <v>-0.66</v>
      </c>
      <c r="J16" s="11" t="n">
        <v>-0.05</v>
      </c>
      <c r="L16" s="11" t="n">
        <v>0.36</v>
      </c>
      <c r="N16" s="11" t="n">
        <v>-0.01</v>
      </c>
      <c r="P16" s="11" t="n">
        <v>0.35</v>
      </c>
      <c r="R16" s="11" t="n">
        <v>0.04</v>
      </c>
      <c r="T16" s="11" t="n">
        <v>0.09</v>
      </c>
      <c r="V16" s="11" t="n">
        <v>1.23</v>
      </c>
      <c r="W16" s="11" t="n">
        <v>-0.09</v>
      </c>
      <c r="X16" s="11" t="n">
        <v>-0.14</v>
      </c>
      <c r="Y16" s="11" t="n">
        <v>0.01</v>
      </c>
      <c r="Z16" s="11" t="n">
        <v>0.85</v>
      </c>
      <c r="AA16" s="11" t="n">
        <v>-0.66</v>
      </c>
      <c r="AB16" s="11" t="n">
        <v>0.36</v>
      </c>
      <c r="AC16" s="11" t="n">
        <v>0.35</v>
      </c>
      <c r="AD16" s="11" t="n">
        <v>0.09</v>
      </c>
    </row>
    <row r="17">
      <c r="A17" s="10" t="inlineStr">
        <is>
          <t>대손충당금 증감</t>
        </is>
      </c>
      <c r="D17" s="11" t="n">
        <v>-0.03</v>
      </c>
      <c r="F17" s="11" t="n">
        <v>0.01</v>
      </c>
      <c r="H17" s="11" t="n">
        <v>-0.04</v>
      </c>
      <c r="J17" s="11" t="n">
        <v>-0.02</v>
      </c>
      <c r="L17" s="11" t="n">
        <v>0.03</v>
      </c>
      <c r="N17" s="11" t="n">
        <v>-0.1</v>
      </c>
      <c r="P17" s="11" t="n">
        <v>-0.09</v>
      </c>
      <c r="R17" s="11" t="n">
        <v>0.01</v>
      </c>
      <c r="T17" s="11" t="n">
        <v>-0.07000000000000001</v>
      </c>
      <c r="V17" s="11" t="n">
        <v>0</v>
      </c>
      <c r="W17" s="11" t="n">
        <v>-0.02</v>
      </c>
      <c r="X17" s="11" t="n">
        <v>0</v>
      </c>
      <c r="Y17" s="11" t="n">
        <v>0.04</v>
      </c>
      <c r="Z17" s="11" t="n">
        <v>-0.03</v>
      </c>
      <c r="AA17" s="11" t="n">
        <v>-0.04</v>
      </c>
      <c r="AB17" s="11" t="n">
        <v>0.03</v>
      </c>
      <c r="AC17" s="11" t="n">
        <v>-0.09</v>
      </c>
      <c r="AD17" s="11" t="n">
        <v>-0.07000000000000001</v>
      </c>
    </row>
    <row r="18">
      <c r="A18" s="10" t="inlineStr">
        <is>
          <t>이자·배당금 수익</t>
        </is>
      </c>
      <c r="D18" s="11" t="n">
        <v>-0.37</v>
      </c>
      <c r="F18" s="11" t="n">
        <v>-0.24</v>
      </c>
      <c r="H18" s="11" t="n">
        <v>-0.4</v>
      </c>
      <c r="J18" s="11" t="n">
        <v>-0.22</v>
      </c>
      <c r="L18" s="11" t="n">
        <v>-0.47</v>
      </c>
      <c r="N18" s="11" t="n">
        <v>-0.36</v>
      </c>
      <c r="P18" s="11" t="n">
        <v>-0.63</v>
      </c>
      <c r="R18" s="11" t="n">
        <v>-0.4</v>
      </c>
      <c r="T18" s="11" t="n">
        <v>-0.6899999999999999</v>
      </c>
      <c r="V18" s="11" t="n">
        <v>-0.45</v>
      </c>
      <c r="W18" s="11" t="n">
        <v>-0.32</v>
      </c>
      <c r="X18" s="11" t="n">
        <v>-0.4</v>
      </c>
      <c r="Y18" s="11" t="n">
        <v>-0.35</v>
      </c>
      <c r="Z18" s="11" t="n">
        <v>-0.37</v>
      </c>
      <c r="AA18" s="11" t="n">
        <v>-0.4</v>
      </c>
      <c r="AB18" s="11" t="n">
        <v>-0.47</v>
      </c>
      <c r="AC18" s="11" t="n">
        <v>-0.63</v>
      </c>
      <c r="AD18" s="11" t="n">
        <v>-0.6899999999999999</v>
      </c>
    </row>
    <row r="19">
      <c r="A19" s="10" t="inlineStr">
        <is>
          <t>이자비용</t>
        </is>
      </c>
      <c r="D19" s="11" t="n">
        <v>0.12</v>
      </c>
      <c r="F19" s="11" t="n">
        <v>0.04</v>
      </c>
      <c r="H19" s="11" t="n">
        <v>0.13</v>
      </c>
      <c r="J19" s="11" t="n">
        <v>0</v>
      </c>
      <c r="L19" s="11" t="n">
        <v>0.12</v>
      </c>
      <c r="N19" s="11" t="n">
        <v>0.36</v>
      </c>
      <c r="P19" s="11" t="n">
        <v>0.67</v>
      </c>
      <c r="R19" s="11" t="n">
        <v>0.29</v>
      </c>
      <c r="T19" s="11" t="n">
        <v>0.46</v>
      </c>
      <c r="V19" s="11" t="n">
        <v>0.25</v>
      </c>
      <c r="W19" s="11" t="n">
        <v>0.18</v>
      </c>
      <c r="X19" s="11" t="n">
        <v>0.17</v>
      </c>
      <c r="Y19" s="11" t="n">
        <v>0.14</v>
      </c>
      <c r="Z19" s="11" t="n">
        <v>0.12</v>
      </c>
      <c r="AA19" s="11" t="n">
        <v>0.13</v>
      </c>
      <c r="AB19" s="11" t="n">
        <v>0.12</v>
      </c>
      <c r="AC19" s="11" t="n">
        <v>0.67</v>
      </c>
      <c r="AD19" s="11" t="n">
        <v>0.46</v>
      </c>
    </row>
    <row r="20">
      <c r="A20" s="10" t="inlineStr">
        <is>
          <t>매출채권 증감</t>
        </is>
      </c>
      <c r="D20" s="11" t="n">
        <v>0.75</v>
      </c>
      <c r="F20" s="11" t="n">
        <v>-2.98</v>
      </c>
      <c r="H20" s="11" t="n">
        <v>-5.7</v>
      </c>
      <c r="J20" s="11" t="n">
        <v>3.68</v>
      </c>
      <c r="L20" s="11" t="n">
        <v>6.23</v>
      </c>
      <c r="N20" s="11" t="n">
        <v>-4.87</v>
      </c>
      <c r="P20" s="11" t="n">
        <v>1.65</v>
      </c>
      <c r="R20" s="11" t="n">
        <v>-2.91</v>
      </c>
      <c r="T20" s="11" t="n">
        <v>-4.78</v>
      </c>
      <c r="V20" s="11" t="n">
        <v>-6.35</v>
      </c>
      <c r="W20" s="11" t="n">
        <v>-0.11</v>
      </c>
      <c r="X20" s="11" t="n">
        <v>1.38</v>
      </c>
      <c r="Y20" s="11" t="n">
        <v>0.43</v>
      </c>
      <c r="Z20" s="11" t="n">
        <v>0.75</v>
      </c>
      <c r="AA20" s="11" t="n">
        <v>-5.7</v>
      </c>
      <c r="AB20" s="11" t="n">
        <v>6.23</v>
      </c>
      <c r="AC20" s="11" t="n">
        <v>1.65</v>
      </c>
      <c r="AD20" s="11" t="n">
        <v>-4.78</v>
      </c>
    </row>
    <row r="21">
      <c r="A21" s="10" t="inlineStr">
        <is>
          <t>재고자산 증감</t>
        </is>
      </c>
      <c r="D21" s="11" t="n">
        <v>-9</v>
      </c>
      <c r="F21" s="11" t="n">
        <v>-4.18</v>
      </c>
      <c r="H21" s="11" t="n">
        <v>-7.98</v>
      </c>
      <c r="J21" s="11" t="n">
        <v>1.8</v>
      </c>
      <c r="L21" s="11" t="n">
        <v>0.44</v>
      </c>
      <c r="N21" s="11" t="n">
        <v>0.23</v>
      </c>
      <c r="P21" s="11" t="n">
        <v>-1.42</v>
      </c>
      <c r="R21" s="11" t="n">
        <v>3.26</v>
      </c>
      <c r="T21" s="11" t="n">
        <v>2.07</v>
      </c>
      <c r="V21" s="11" t="n">
        <v>-9.279999999999999</v>
      </c>
      <c r="W21" s="11" t="n">
        <v>-5.73</v>
      </c>
      <c r="X21" s="11" t="n">
        <v>-0.82</v>
      </c>
      <c r="Y21" s="11" t="n">
        <v>4.59</v>
      </c>
      <c r="Z21" s="11" t="n">
        <v>-9</v>
      </c>
      <c r="AA21" s="11" t="n">
        <v>-7.98</v>
      </c>
      <c r="AB21" s="11" t="n">
        <v>0.44</v>
      </c>
      <c r="AC21" s="11" t="n">
        <v>-1.42</v>
      </c>
      <c r="AD21" s="11" t="n">
        <v>2.07</v>
      </c>
    </row>
    <row r="22">
      <c r="A22" s="10" t="inlineStr">
        <is>
          <t>매입채무 증감</t>
        </is>
      </c>
      <c r="D22" s="11" t="n">
        <v>1.91</v>
      </c>
      <c r="F22" s="11" t="n">
        <v>3.89</v>
      </c>
      <c r="H22" s="11" t="n">
        <v>7.27</v>
      </c>
      <c r="J22" s="11" t="n">
        <v>-7.97</v>
      </c>
      <c r="L22" s="11" t="n">
        <v>-4.3</v>
      </c>
      <c r="N22" s="11" t="n">
        <v>-0.21</v>
      </c>
      <c r="P22" s="11" t="n">
        <v>-0.87</v>
      </c>
      <c r="R22" s="11" t="n">
        <v>-1.6</v>
      </c>
      <c r="T22" s="11" t="n">
        <v>0.7</v>
      </c>
      <c r="V22" s="11" t="n">
        <v>4</v>
      </c>
      <c r="W22" s="11" t="n">
        <v>3.79</v>
      </c>
      <c r="X22" s="11" t="n">
        <v>-4.56</v>
      </c>
      <c r="Y22" s="11" t="n">
        <v>-0.73</v>
      </c>
      <c r="Z22" s="11" t="n">
        <v>1.91</v>
      </c>
      <c r="AA22" s="11" t="n">
        <v>7.27</v>
      </c>
      <c r="AB22" s="11" t="n">
        <v>-4.3</v>
      </c>
      <c r="AC22" s="11" t="n">
        <v>-0.87</v>
      </c>
      <c r="AD22" s="11" t="n">
        <v>0.7</v>
      </c>
    </row>
    <row r="23">
      <c r="A23" s="10" t="inlineStr">
        <is>
          <t>미지급 소비세 증감</t>
        </is>
      </c>
      <c r="F23" s="11" t="n">
        <v>-0.97</v>
      </c>
      <c r="J23" s="11" t="n">
        <v>0.66</v>
      </c>
    </row>
    <row r="24">
      <c r="A24" s="10" t="inlineStr">
        <is>
          <t>부의 영업권 발생이익</t>
        </is>
      </c>
      <c r="H24" s="11" t="n">
        <v>0</v>
      </c>
      <c r="L24" s="11" t="n">
        <v>-2.85</v>
      </c>
      <c r="P24" s="11" t="n">
        <v>0</v>
      </c>
      <c r="AA24" s="11" t="n">
        <v>0</v>
      </c>
      <c r="AB24" s="11" t="n">
        <v>-2.85</v>
      </c>
      <c r="AC24" s="11" t="n">
        <v>0</v>
      </c>
    </row>
    <row r="25">
      <c r="A25" s="10" t="inlineStr">
        <is>
          <t>보조금 수입</t>
        </is>
      </c>
      <c r="L25" s="11" t="n">
        <v>0</v>
      </c>
      <c r="P25" s="11" t="n">
        <v>-0.97</v>
      </c>
      <c r="R25" s="11" t="n">
        <v>0</v>
      </c>
      <c r="T25" s="11" t="n">
        <v>-0.72</v>
      </c>
      <c r="V25" s="11" t="n">
        <v>-1.02</v>
      </c>
      <c r="AB25" s="11" t="n">
        <v>0</v>
      </c>
      <c r="AC25" s="11" t="n">
        <v>-0.97</v>
      </c>
      <c r="AD25" s="11" t="n">
        <v>-0.72</v>
      </c>
    </row>
    <row r="26">
      <c r="A26" s="10" t="inlineStr">
        <is>
          <t>기타</t>
        </is>
      </c>
      <c r="D26" s="11" t="n">
        <v>1.44</v>
      </c>
      <c r="F26" s="11" t="n">
        <v>0.26</v>
      </c>
      <c r="H26" s="11" t="n">
        <v>0.8100000000000001</v>
      </c>
      <c r="J26" s="11" t="n">
        <v>0.75</v>
      </c>
      <c r="L26" s="11" t="n">
        <v>11.33</v>
      </c>
      <c r="N26" s="11" t="n">
        <v>3.01</v>
      </c>
      <c r="P26" s="11" t="n">
        <v>5.08</v>
      </c>
      <c r="R26" s="11" t="n">
        <v>-0.43</v>
      </c>
      <c r="T26" s="11" t="n">
        <v>5.94</v>
      </c>
      <c r="V26" s="11" t="n">
        <v>-3.26</v>
      </c>
      <c r="W26" s="11" t="n">
        <v>-0.29</v>
      </c>
      <c r="X26" s="11" t="n">
        <v>0.44</v>
      </c>
      <c r="Y26" s="11" t="n">
        <v>1.73</v>
      </c>
      <c r="Z26" s="11" t="n">
        <v>1.44</v>
      </c>
      <c r="AA26" s="11" t="n">
        <v>0.8100000000000001</v>
      </c>
      <c r="AB26" s="11" t="n">
        <v>11.33</v>
      </c>
      <c r="AC26" s="11" t="n">
        <v>5.08</v>
      </c>
      <c r="AD26" s="11" t="n">
        <v>5.94</v>
      </c>
    </row>
    <row r="27">
      <c r="A27" s="10" t="inlineStr">
        <is>
          <t>소계</t>
        </is>
      </c>
      <c r="D27" s="11" t="n">
        <v>24.37</v>
      </c>
      <c r="F27" s="11" t="n">
        <v>9.609999999999999</v>
      </c>
      <c r="H27" s="11" t="n">
        <v>12.42</v>
      </c>
      <c r="J27" s="11" t="n">
        <v>11.97</v>
      </c>
      <c r="L27" s="11" t="n">
        <v>35.38</v>
      </c>
      <c r="N27" s="11" t="n">
        <v>12.87</v>
      </c>
      <c r="P27" s="11" t="n">
        <v>31.04</v>
      </c>
      <c r="R27" s="11" t="n">
        <v>12.05</v>
      </c>
      <c r="T27" s="11" t="n">
        <v>33.25</v>
      </c>
      <c r="V27" s="11" t="n">
        <v>16.8</v>
      </c>
      <c r="W27" s="11" t="n">
        <v>29.53</v>
      </c>
      <c r="X27" s="11" t="n">
        <v>22.82</v>
      </c>
      <c r="Y27" s="11" t="n">
        <v>23.42</v>
      </c>
      <c r="Z27" s="11" t="n">
        <v>24.37</v>
      </c>
      <c r="AA27" s="11" t="n">
        <v>12.42</v>
      </c>
      <c r="AB27" s="11" t="n">
        <v>35.38</v>
      </c>
      <c r="AC27" s="11" t="n">
        <v>31.04</v>
      </c>
      <c r="AD27" s="11" t="n">
        <v>33.25</v>
      </c>
    </row>
    <row r="28">
      <c r="A28" s="10" t="inlineStr">
        <is>
          <t>이자·배당금 수취</t>
        </is>
      </c>
      <c r="D28" s="11" t="n">
        <v>2.41</v>
      </c>
      <c r="F28" s="11" t="n">
        <v>1.08</v>
      </c>
      <c r="H28" s="11" t="n">
        <v>1.23</v>
      </c>
      <c r="J28" s="11" t="n">
        <v>1.02</v>
      </c>
      <c r="L28" s="11" t="n">
        <v>1.26</v>
      </c>
      <c r="N28" s="11" t="n">
        <v>0.89</v>
      </c>
      <c r="P28" s="11" t="n">
        <v>1.16</v>
      </c>
      <c r="R28" s="11" t="n">
        <v>0.4</v>
      </c>
      <c r="T28" s="11" t="n">
        <v>1.32</v>
      </c>
      <c r="V28" s="11" t="n">
        <v>1.3</v>
      </c>
      <c r="W28" s="11" t="n">
        <v>1.48</v>
      </c>
      <c r="X28" s="11" t="n">
        <v>1.44</v>
      </c>
      <c r="Y28" s="11" t="n">
        <v>1.12</v>
      </c>
      <c r="Z28" s="11" t="n">
        <v>2.41</v>
      </c>
      <c r="AA28" s="11" t="n">
        <v>1.23</v>
      </c>
      <c r="AB28" s="11" t="n">
        <v>1.26</v>
      </c>
      <c r="AC28" s="11" t="n">
        <v>1.16</v>
      </c>
      <c r="AD28" s="11" t="n">
        <v>1.32</v>
      </c>
    </row>
    <row r="29">
      <c r="A29" s="10" t="inlineStr">
        <is>
          <t>이자 지급</t>
        </is>
      </c>
      <c r="D29" s="11" t="n">
        <v>-0.12</v>
      </c>
      <c r="F29" s="11" t="n">
        <v>-0.04</v>
      </c>
      <c r="H29" s="11" t="n">
        <v>-0.13</v>
      </c>
      <c r="J29" s="11" t="n">
        <v>-0</v>
      </c>
      <c r="L29" s="11" t="n">
        <v>0.03</v>
      </c>
      <c r="N29" s="11" t="n">
        <v>-0.36</v>
      </c>
      <c r="P29" s="11" t="n">
        <v>-0.64</v>
      </c>
      <c r="R29" s="11" t="n">
        <v>-0.31</v>
      </c>
      <c r="T29" s="11" t="n">
        <v>-0.48</v>
      </c>
      <c r="V29" s="11" t="n">
        <v>-0.25</v>
      </c>
      <c r="W29" s="11" t="n">
        <v>-0.17</v>
      </c>
      <c r="X29" s="11" t="n">
        <v>-0.21</v>
      </c>
      <c r="Y29" s="11" t="n">
        <v>-0.14</v>
      </c>
      <c r="Z29" s="11" t="n">
        <v>-0.12</v>
      </c>
      <c r="AA29" s="11" t="n">
        <v>-0.13</v>
      </c>
      <c r="AB29" s="11" t="n">
        <v>0.03</v>
      </c>
      <c r="AC29" s="11" t="n">
        <v>-0.64</v>
      </c>
      <c r="AD29" s="11" t="n">
        <v>-0.48</v>
      </c>
    </row>
    <row r="30">
      <c r="A30" s="10" t="inlineStr">
        <is>
          <t>법인세 납부</t>
        </is>
      </c>
      <c r="D30" s="11" t="n">
        <v>-3.33</v>
      </c>
      <c r="F30" s="11" t="n">
        <v>-5.3</v>
      </c>
      <c r="H30" s="11" t="n">
        <v>-8.369999999999999</v>
      </c>
      <c r="J30" s="11" t="n">
        <v>-2.94</v>
      </c>
      <c r="L30" s="11" t="n">
        <v>-7.33</v>
      </c>
      <c r="N30" s="11" t="n">
        <v>-2.66</v>
      </c>
      <c r="P30" s="11" t="n">
        <v>-5.02</v>
      </c>
      <c r="R30" s="11" t="n">
        <v>-3.15</v>
      </c>
      <c r="T30" s="11" t="n">
        <v>-5.09</v>
      </c>
      <c r="V30" s="11" t="n">
        <v>-4.87</v>
      </c>
      <c r="W30" s="11" t="n">
        <v>-4.85</v>
      </c>
      <c r="X30" s="11" t="n">
        <v>-6.34</v>
      </c>
      <c r="Y30" s="11" t="n">
        <v>-3.52</v>
      </c>
      <c r="Z30" s="11" t="n">
        <v>-3.33</v>
      </c>
      <c r="AA30" s="11" t="n">
        <v>-8.369999999999999</v>
      </c>
      <c r="AB30" s="11" t="n">
        <v>-7.33</v>
      </c>
      <c r="AC30" s="11" t="n">
        <v>-5.02</v>
      </c>
      <c r="AD30" s="11" t="n">
        <v>-5.09</v>
      </c>
    </row>
    <row r="31">
      <c r="A31" s="10" t="inlineStr">
        <is>
          <t>보조금 수취</t>
        </is>
      </c>
      <c r="L31" s="11" t="n">
        <v>0</v>
      </c>
      <c r="P31" s="11" t="n">
        <v>0.97</v>
      </c>
      <c r="R31" s="11" t="n">
        <v>0</v>
      </c>
      <c r="T31" s="11" t="n">
        <v>0.82</v>
      </c>
      <c r="V31" s="11" t="n">
        <v>1.02</v>
      </c>
      <c r="AB31" s="11" t="n">
        <v>0</v>
      </c>
      <c r="AC31" s="11" t="n">
        <v>0.97</v>
      </c>
      <c r="AD31" s="11" t="n">
        <v>0.82</v>
      </c>
    </row>
    <row r="32">
      <c r="A32" s="10" t="inlineStr">
        <is>
          <t>영업활동 현금흐름</t>
        </is>
      </c>
      <c r="D32" s="11" t="n">
        <v>23.33</v>
      </c>
      <c r="F32" s="11" t="n">
        <v>5.35</v>
      </c>
      <c r="H32" s="11" t="n">
        <v>5.15</v>
      </c>
      <c r="J32" s="11" t="n">
        <v>10.04</v>
      </c>
      <c r="L32" s="11" t="n">
        <v>29.34</v>
      </c>
      <c r="N32" s="11" t="n">
        <v>10.74</v>
      </c>
      <c r="P32" s="11" t="n">
        <v>27.51</v>
      </c>
      <c r="R32" s="11" t="n">
        <v>8.99</v>
      </c>
      <c r="T32" s="11" t="n">
        <v>29.82</v>
      </c>
      <c r="V32" s="11" t="n">
        <v>14.02</v>
      </c>
      <c r="W32" s="11" t="n">
        <v>25.99</v>
      </c>
      <c r="X32" s="11" t="n">
        <v>17.71</v>
      </c>
      <c r="Y32" s="11" t="n">
        <v>20.88</v>
      </c>
      <c r="Z32" s="11" t="n">
        <v>23.33</v>
      </c>
      <c r="AA32" s="11" t="n">
        <v>5.15</v>
      </c>
      <c r="AB32" s="11" t="n">
        <v>29.34</v>
      </c>
      <c r="AC32" s="11" t="n">
        <v>27.51</v>
      </c>
      <c r="AD32" s="11" t="n">
        <v>29.82</v>
      </c>
    </row>
    <row r="33">
      <c r="A33" s="10" t="inlineStr">
        <is>
          <t>정기예금 순증감</t>
        </is>
      </c>
      <c r="D33" s="11" t="n">
        <v>1.01</v>
      </c>
      <c r="F33" s="11" t="n">
        <v>0.65</v>
      </c>
      <c r="H33" s="11" t="n">
        <v>2.82</v>
      </c>
      <c r="J33" s="11" t="n">
        <v>0</v>
      </c>
      <c r="L33" s="11" t="n">
        <v>0</v>
      </c>
      <c r="N33" s="11" t="n">
        <v>0.7</v>
      </c>
      <c r="P33" s="11" t="n">
        <v>0.7</v>
      </c>
      <c r="R33" s="11" t="n">
        <v>-0.1</v>
      </c>
      <c r="T33" s="11" t="n">
        <v>0</v>
      </c>
      <c r="V33" s="11" t="n">
        <v>0</v>
      </c>
      <c r="W33" s="11" t="n">
        <v>-1.66</v>
      </c>
      <c r="X33" s="11" t="n">
        <v>0.79</v>
      </c>
      <c r="Y33" s="11" t="n">
        <v>-0.66</v>
      </c>
      <c r="Z33" s="11" t="n">
        <v>1.01</v>
      </c>
      <c r="AA33" s="11" t="n">
        <v>2.82</v>
      </c>
      <c r="AB33" s="11" t="n">
        <v>0</v>
      </c>
      <c r="AC33" s="11" t="n">
        <v>0.7</v>
      </c>
      <c r="AD33" s="11" t="n">
        <v>0</v>
      </c>
    </row>
    <row r="34">
      <c r="A34" s="10" t="inlineStr">
        <is>
          <t>유형자산 취득(설비투자)</t>
        </is>
      </c>
      <c r="D34" s="11" t="n">
        <v>-9.34</v>
      </c>
      <c r="F34" s="11" t="n">
        <v>-7.44</v>
      </c>
      <c r="H34" s="11" t="n">
        <v>-12.83</v>
      </c>
      <c r="J34" s="11" t="n">
        <v>-10.62</v>
      </c>
      <c r="L34" s="11" t="n">
        <v>-24.52</v>
      </c>
      <c r="N34" s="11" t="n">
        <v>-2.53</v>
      </c>
      <c r="P34" s="11" t="n">
        <v>-9.69</v>
      </c>
      <c r="R34" s="11" t="n">
        <v>-4</v>
      </c>
      <c r="T34" s="11" t="n">
        <v>-6.87</v>
      </c>
      <c r="V34" s="11" t="n">
        <v>-2.99</v>
      </c>
      <c r="W34" s="11" t="n">
        <v>-18.5</v>
      </c>
      <c r="X34" s="11" t="n">
        <v>-15.78</v>
      </c>
      <c r="Y34" s="11" t="n">
        <v>-4.65</v>
      </c>
      <c r="Z34" s="11" t="n">
        <v>-9.34</v>
      </c>
      <c r="AA34" s="11" t="n">
        <v>-12.83</v>
      </c>
      <c r="AB34" s="11" t="n">
        <v>-24.52</v>
      </c>
      <c r="AC34" s="11" t="n">
        <v>-9.69</v>
      </c>
      <c r="AD34" s="11" t="n">
        <v>-6.87</v>
      </c>
    </row>
    <row r="35">
      <c r="A35" s="10" t="inlineStr">
        <is>
          <t>유형자산 매각</t>
        </is>
      </c>
      <c r="D35" s="11" t="n">
        <v>15.11</v>
      </c>
      <c r="F35" s="11" t="n">
        <v>0.02</v>
      </c>
      <c r="H35" s="11" t="n">
        <v>0.1</v>
      </c>
      <c r="J35" s="11" t="n">
        <v>0.05</v>
      </c>
      <c r="L35" s="11" t="n">
        <v>0.41</v>
      </c>
      <c r="N35" s="11" t="n">
        <v>0.07000000000000001</v>
      </c>
      <c r="P35" s="11" t="n">
        <v>0.09</v>
      </c>
      <c r="R35" s="11" t="n">
        <v>0.07000000000000001</v>
      </c>
      <c r="T35" s="11" t="n">
        <v>0.12</v>
      </c>
      <c r="V35" s="11" t="n">
        <v>0.01</v>
      </c>
      <c r="Y35" s="11" t="n">
        <v>0.06</v>
      </c>
      <c r="Z35" s="11" t="n">
        <v>15.11</v>
      </c>
      <c r="AA35" s="11" t="n">
        <v>0.1</v>
      </c>
      <c r="AB35" s="11" t="n">
        <v>0.41</v>
      </c>
      <c r="AC35" s="11" t="n">
        <v>0.09</v>
      </c>
      <c r="AD35" s="11" t="n">
        <v>0.12</v>
      </c>
    </row>
    <row r="36">
      <c r="A36" s="10" t="inlineStr">
        <is>
          <t>무형자산 취득</t>
        </is>
      </c>
      <c r="D36" s="11" t="n">
        <v>-0.31</v>
      </c>
      <c r="F36" s="11" t="n">
        <v>-0.21</v>
      </c>
      <c r="H36" s="11" t="n">
        <v>-0.6</v>
      </c>
      <c r="J36" s="11" t="n">
        <v>-2.13</v>
      </c>
      <c r="L36" s="11" t="n">
        <v>-2.65</v>
      </c>
      <c r="N36" s="11" t="n">
        <v>-1.04</v>
      </c>
      <c r="P36" s="11" t="n">
        <v>-1.75</v>
      </c>
      <c r="R36" s="11" t="n">
        <v>-0.33</v>
      </c>
      <c r="T36" s="11" t="n">
        <v>-0.38</v>
      </c>
      <c r="V36" s="11" t="n">
        <v>-0.35</v>
      </c>
      <c r="W36" s="11" t="n">
        <v>-0.55</v>
      </c>
      <c r="X36" s="11" t="n">
        <v>-0.41</v>
      </c>
      <c r="Y36" s="11" t="n">
        <v>-0.25</v>
      </c>
      <c r="Z36" s="11" t="n">
        <v>-0.31</v>
      </c>
      <c r="AA36" s="11" t="n">
        <v>-0.6</v>
      </c>
      <c r="AB36" s="11" t="n">
        <v>-2.65</v>
      </c>
      <c r="AC36" s="11" t="n">
        <v>-1.75</v>
      </c>
      <c r="AD36" s="11" t="n">
        <v>-0.38</v>
      </c>
    </row>
    <row r="37">
      <c r="A37" s="10" t="inlineStr">
        <is>
          <t>투자유가증권 취득</t>
        </is>
      </c>
      <c r="D37" s="11" t="n">
        <v>-0.03</v>
      </c>
      <c r="F37" s="11" t="n">
        <v>-0.02</v>
      </c>
      <c r="H37" s="11" t="n">
        <v>-1.04</v>
      </c>
      <c r="J37" s="11" t="n">
        <v>-0.03</v>
      </c>
      <c r="L37" s="11" t="n">
        <v>-0.05</v>
      </c>
      <c r="N37" s="11" t="n">
        <v>-0.03</v>
      </c>
      <c r="P37" s="11" t="n">
        <v>-0.6899999999999999</v>
      </c>
      <c r="R37" s="11" t="n">
        <v>-0.03</v>
      </c>
      <c r="T37" s="11" t="n">
        <v>-0.06</v>
      </c>
      <c r="V37" s="11" t="n">
        <v>-0.03</v>
      </c>
      <c r="W37" s="11" t="n">
        <v>-0.07000000000000001</v>
      </c>
      <c r="X37" s="11" t="n">
        <v>-0.27</v>
      </c>
      <c r="Y37" s="11" t="n">
        <v>-0.52</v>
      </c>
      <c r="Z37" s="11" t="n">
        <v>-0.03</v>
      </c>
      <c r="AA37" s="11" t="n">
        <v>-1.04</v>
      </c>
      <c r="AB37" s="11" t="n">
        <v>-0.05</v>
      </c>
      <c r="AC37" s="11" t="n">
        <v>-0.6899999999999999</v>
      </c>
      <c r="AD37" s="11" t="n">
        <v>-0.06</v>
      </c>
    </row>
    <row r="38">
      <c r="A38" s="10" t="inlineStr">
        <is>
          <t>투자유가증권 매각</t>
        </is>
      </c>
      <c r="W38" s="11" t="n">
        <v>1.23</v>
      </c>
      <c r="X38" s="11" t="n">
        <v>0.04</v>
      </c>
      <c r="Y38" s="11" t="n">
        <v>0</v>
      </c>
    </row>
    <row r="39">
      <c r="A39" s="10" t="inlineStr">
        <is>
          <t>대여금 순증감</t>
        </is>
      </c>
      <c r="W39" s="11" t="n">
        <v>-0</v>
      </c>
      <c r="X39" s="11" t="n">
        <v>0.01</v>
      </c>
      <c r="Y39" s="11" t="n">
        <v>0</v>
      </c>
    </row>
    <row r="40">
      <c r="A40" s="10" t="inlineStr">
        <is>
          <t>사업양수 지출</t>
        </is>
      </c>
      <c r="H40" s="11" t="n">
        <v>0</v>
      </c>
      <c r="L40" s="11" t="n">
        <v>-13</v>
      </c>
      <c r="P40" s="11" t="n">
        <v>0</v>
      </c>
      <c r="AA40" s="11" t="n">
        <v>0</v>
      </c>
      <c r="AB40" s="11" t="n">
        <v>-13</v>
      </c>
      <c r="AC40" s="11" t="n">
        <v>0</v>
      </c>
    </row>
    <row r="41">
      <c r="A41" s="10" t="inlineStr">
        <is>
          <t>연결범위 변경 자회사 주식 취득</t>
        </is>
      </c>
      <c r="H41" s="11" t="n">
        <v>0</v>
      </c>
      <c r="L41" s="11" t="n">
        <v>-2.32</v>
      </c>
      <c r="P41" s="11" t="n">
        <v>0</v>
      </c>
      <c r="AA41" s="11" t="n">
        <v>0</v>
      </c>
      <c r="AB41" s="11" t="n">
        <v>-2.32</v>
      </c>
      <c r="AC41" s="11" t="n">
        <v>0</v>
      </c>
    </row>
    <row r="42">
      <c r="A42" s="10" t="inlineStr">
        <is>
          <t>기타</t>
        </is>
      </c>
      <c r="D42" s="11" t="n">
        <v>-0.4</v>
      </c>
      <c r="F42" s="11" t="n">
        <v>-0.18</v>
      </c>
      <c r="H42" s="11" t="n">
        <v>-0.16</v>
      </c>
      <c r="J42" s="11" t="n">
        <v>-0.32</v>
      </c>
      <c r="L42" s="11" t="n">
        <v>-0.37</v>
      </c>
      <c r="N42" s="11" t="n">
        <v>-0.12</v>
      </c>
      <c r="P42" s="11" t="n">
        <v>-0.8100000000000001</v>
      </c>
      <c r="R42" s="11" t="n">
        <v>-0.08</v>
      </c>
      <c r="T42" s="11" t="n">
        <v>-0.09</v>
      </c>
      <c r="V42" s="11" t="n">
        <v>-0.01</v>
      </c>
      <c r="W42" s="11" t="n">
        <v>-1.04</v>
      </c>
      <c r="X42" s="11" t="n">
        <v>-0.28</v>
      </c>
      <c r="Y42" s="11" t="n">
        <v>-0.57</v>
      </c>
      <c r="Z42" s="11" t="n">
        <v>-0.4</v>
      </c>
      <c r="AA42" s="11" t="n">
        <v>-0.16</v>
      </c>
      <c r="AB42" s="11" t="n">
        <v>-0.37</v>
      </c>
      <c r="AC42" s="11" t="n">
        <v>-0.8100000000000001</v>
      </c>
      <c r="AD42" s="11" t="n">
        <v>-0.09</v>
      </c>
    </row>
    <row r="43">
      <c r="A43" s="10" t="inlineStr">
        <is>
          <t>투자활동 현금흐름</t>
        </is>
      </c>
      <c r="D43" s="11" t="n">
        <v>6.03</v>
      </c>
      <c r="F43" s="11" t="n">
        <v>-7.18</v>
      </c>
      <c r="H43" s="11" t="n">
        <v>-11.72</v>
      </c>
      <c r="J43" s="11" t="n">
        <v>-13.05</v>
      </c>
      <c r="L43" s="11" t="n">
        <v>-42.5</v>
      </c>
      <c r="N43" s="11" t="n">
        <v>-2.95</v>
      </c>
      <c r="P43" s="11" t="n">
        <v>-12.14</v>
      </c>
      <c r="R43" s="11" t="n">
        <v>-4.48</v>
      </c>
      <c r="T43" s="11" t="n">
        <v>-7.29</v>
      </c>
      <c r="V43" s="11" t="n">
        <v>-3.37</v>
      </c>
      <c r="W43" s="11" t="n">
        <v>-20.6</v>
      </c>
      <c r="X43" s="11" t="n">
        <v>-15.89</v>
      </c>
      <c r="Y43" s="11" t="n">
        <v>-6.6</v>
      </c>
      <c r="Z43" s="11" t="n">
        <v>6.03</v>
      </c>
      <c r="AA43" s="11" t="n">
        <v>-11.72</v>
      </c>
      <c r="AB43" s="11" t="n">
        <v>-42.5</v>
      </c>
      <c r="AC43" s="11" t="n">
        <v>-12.14</v>
      </c>
      <c r="AD43" s="11" t="n">
        <v>-7.29</v>
      </c>
    </row>
    <row r="44">
      <c r="A44" s="10" t="inlineStr">
        <is>
          <t>단기차입금 순증감</t>
        </is>
      </c>
      <c r="D44" s="11" t="n">
        <v>-19.55</v>
      </c>
      <c r="F44" s="11" t="n">
        <v>10.31</v>
      </c>
      <c r="H44" s="11" t="n">
        <v>18.84</v>
      </c>
      <c r="J44" s="11" t="n">
        <v>-3.71</v>
      </c>
      <c r="L44" s="11" t="n">
        <v>2.71</v>
      </c>
      <c r="N44" s="11" t="n">
        <v>-1.01</v>
      </c>
      <c r="P44" s="11" t="n">
        <v>-1.54</v>
      </c>
      <c r="R44" s="11" t="n">
        <v>2.22</v>
      </c>
      <c r="T44" s="11" t="n">
        <v>6.29</v>
      </c>
      <c r="V44" s="11" t="n">
        <v>-13.17</v>
      </c>
      <c r="W44" s="11" t="n">
        <v>5.69</v>
      </c>
      <c r="X44" s="11" t="n">
        <v>0</v>
      </c>
      <c r="Y44" s="11" t="n">
        <v>4.56</v>
      </c>
      <c r="Z44" s="11" t="n">
        <v>-19.55</v>
      </c>
      <c r="AA44" s="11" t="n">
        <v>18.84</v>
      </c>
      <c r="AB44" s="11" t="n">
        <v>2.71</v>
      </c>
      <c r="AC44" s="11" t="n">
        <v>-1.54</v>
      </c>
      <c r="AD44" s="11" t="n">
        <v>6.29</v>
      </c>
    </row>
    <row r="45">
      <c r="A45" s="10" t="inlineStr">
        <is>
          <t>장기차입</t>
        </is>
      </c>
      <c r="D45" s="11" t="n">
        <v>0</v>
      </c>
      <c r="F45" s="11" t="n">
        <v>2</v>
      </c>
      <c r="H45" s="11" t="n">
        <v>5</v>
      </c>
      <c r="J45" s="11" t="n">
        <v>7</v>
      </c>
      <c r="L45" s="11" t="n">
        <v>35.36</v>
      </c>
      <c r="N45" s="11" t="n">
        <v>0</v>
      </c>
      <c r="P45" s="11" t="n">
        <v>0</v>
      </c>
      <c r="W45" s="11" t="n">
        <v>0</v>
      </c>
      <c r="X45" s="11" t="n">
        <v>14</v>
      </c>
      <c r="Y45" s="11" t="n">
        <v>0</v>
      </c>
      <c r="Z45" s="11" t="n">
        <v>0</v>
      </c>
      <c r="AA45" s="11" t="n">
        <v>5</v>
      </c>
      <c r="AB45" s="11" t="n">
        <v>35.36</v>
      </c>
      <c r="AC45" s="11" t="n">
        <v>0</v>
      </c>
    </row>
    <row r="46">
      <c r="A46" s="10" t="inlineStr">
        <is>
          <t>장기차입금 상환</t>
        </is>
      </c>
      <c r="D46" s="11" t="n">
        <v>-4.69</v>
      </c>
      <c r="F46" s="11" t="n">
        <v>-2.38</v>
      </c>
      <c r="H46" s="11" t="n">
        <v>-4.43</v>
      </c>
      <c r="J46" s="11" t="n">
        <v>-2.15</v>
      </c>
      <c r="L46" s="11" t="n">
        <v>-5.75</v>
      </c>
      <c r="N46" s="11" t="n">
        <v>-7.38</v>
      </c>
      <c r="P46" s="11" t="n">
        <v>-8.99</v>
      </c>
      <c r="R46" s="11" t="n">
        <v>-8.17</v>
      </c>
      <c r="T46" s="11" t="n">
        <v>-11.59</v>
      </c>
      <c r="V46" s="11" t="n">
        <v>-3.32</v>
      </c>
      <c r="W46" s="11" t="n">
        <v>-7.09</v>
      </c>
      <c r="X46" s="11" t="n">
        <v>-7.61</v>
      </c>
      <c r="Y46" s="11" t="n">
        <v>-7.24</v>
      </c>
      <c r="Z46" s="11" t="n">
        <v>-4.69</v>
      </c>
      <c r="AA46" s="11" t="n">
        <v>-4.43</v>
      </c>
      <c r="AB46" s="11" t="n">
        <v>-5.75</v>
      </c>
      <c r="AC46" s="11" t="n">
        <v>-8.99</v>
      </c>
      <c r="AD46" s="11" t="n">
        <v>-11.59</v>
      </c>
    </row>
    <row r="47">
      <c r="A47" s="10" t="inlineStr">
        <is>
          <t>자기주식 취득</t>
        </is>
      </c>
      <c r="D47" s="11" t="n">
        <v>0</v>
      </c>
      <c r="F47" s="11" t="n">
        <v>-1.94</v>
      </c>
      <c r="H47" s="11" t="n">
        <v>-1.94</v>
      </c>
      <c r="J47" s="11" t="n">
        <v>0</v>
      </c>
      <c r="L47" s="11" t="n">
        <v>0</v>
      </c>
      <c r="N47" s="11" t="n">
        <v>-1</v>
      </c>
      <c r="P47" s="11" t="n">
        <v>-1</v>
      </c>
      <c r="R47" s="11" t="n">
        <v>-0</v>
      </c>
      <c r="T47" s="11" t="n">
        <v>-0</v>
      </c>
      <c r="V47" s="11" t="n">
        <v>-0</v>
      </c>
      <c r="W47" s="11" t="n">
        <v>-1.72</v>
      </c>
      <c r="X47" s="11" t="n">
        <v>0</v>
      </c>
      <c r="Y47" s="11" t="n">
        <v>-2.44</v>
      </c>
      <c r="Z47" s="11" t="n">
        <v>0</v>
      </c>
      <c r="AA47" s="11" t="n">
        <v>-1.94</v>
      </c>
      <c r="AB47" s="11" t="n">
        <v>0</v>
      </c>
      <c r="AC47" s="11" t="n">
        <v>-1</v>
      </c>
      <c r="AD47" s="11" t="n">
        <v>-0</v>
      </c>
    </row>
    <row r="48">
      <c r="A48" s="10" t="inlineStr">
        <is>
          <t>배당금 지급</t>
        </is>
      </c>
      <c r="D48" s="11" t="n">
        <v>-4.24</v>
      </c>
      <c r="F48" s="11" t="n">
        <v>-1.88</v>
      </c>
      <c r="H48" s="11" t="n">
        <v>-3.72</v>
      </c>
      <c r="J48" s="11" t="n">
        <v>-1.85</v>
      </c>
      <c r="L48" s="11" t="n">
        <v>-3.69</v>
      </c>
      <c r="N48" s="11" t="n">
        <v>-2.31</v>
      </c>
      <c r="P48" s="11" t="n">
        <v>-4.14</v>
      </c>
      <c r="R48" s="11" t="n">
        <v>-2.29</v>
      </c>
      <c r="T48" s="11" t="n">
        <v>-4.13</v>
      </c>
      <c r="V48" s="11" t="n">
        <v>-3.21</v>
      </c>
      <c r="W48" s="11" t="n">
        <v>-4.84</v>
      </c>
      <c r="X48" s="11" t="n">
        <v>-4.79</v>
      </c>
      <c r="Y48" s="11" t="n">
        <v>-3.85</v>
      </c>
      <c r="Z48" s="11" t="n">
        <v>-4.24</v>
      </c>
      <c r="AA48" s="11" t="n">
        <v>-3.72</v>
      </c>
      <c r="AB48" s="11" t="n">
        <v>-3.69</v>
      </c>
      <c r="AC48" s="11" t="n">
        <v>-4.14</v>
      </c>
      <c r="AD48" s="11" t="n">
        <v>-4.13</v>
      </c>
    </row>
    <row r="49">
      <c r="A49" s="10" t="inlineStr">
        <is>
          <t>비지배주주 배당금 지급</t>
        </is>
      </c>
      <c r="D49" s="11" t="n">
        <v>-0.59</v>
      </c>
      <c r="F49" s="11" t="n">
        <v>-1.11</v>
      </c>
      <c r="H49" s="11" t="n">
        <v>-1.11</v>
      </c>
      <c r="J49" s="11" t="n">
        <v>-0.19</v>
      </c>
      <c r="L49" s="11" t="n">
        <v>-0.19</v>
      </c>
      <c r="N49" s="11" t="n">
        <v>-0.31</v>
      </c>
      <c r="P49" s="11" t="n">
        <v>-0.31</v>
      </c>
      <c r="R49" s="11" t="n">
        <v>-0.15</v>
      </c>
      <c r="T49" s="11" t="n">
        <v>-0.15</v>
      </c>
      <c r="V49" s="11" t="n">
        <v>-0.2</v>
      </c>
      <c r="W49" s="11" t="n">
        <v>-0.83</v>
      </c>
      <c r="X49" s="11" t="n">
        <v>-0.54</v>
      </c>
      <c r="Y49" s="11" t="n">
        <v>-0.62</v>
      </c>
      <c r="Z49" s="11" t="n">
        <v>-0.59</v>
      </c>
      <c r="AA49" s="11" t="n">
        <v>-1.11</v>
      </c>
      <c r="AB49" s="11" t="n">
        <v>-0.19</v>
      </c>
      <c r="AC49" s="11" t="n">
        <v>-0.31</v>
      </c>
      <c r="AD49" s="11" t="n">
        <v>-0.15</v>
      </c>
    </row>
    <row r="50">
      <c r="A50" s="10" t="inlineStr">
        <is>
          <t>기타</t>
        </is>
      </c>
      <c r="D50" s="11" t="n">
        <v>-0.3</v>
      </c>
      <c r="F50" s="11" t="n">
        <v>-0.13</v>
      </c>
      <c r="H50" s="11" t="n">
        <v>-0.36</v>
      </c>
      <c r="J50" s="11" t="n">
        <v>-0.25</v>
      </c>
      <c r="L50" s="11" t="n">
        <v>-0.25</v>
      </c>
      <c r="N50" s="11" t="n">
        <v>-0.15</v>
      </c>
      <c r="P50" s="11" t="n">
        <v>-0.79</v>
      </c>
      <c r="R50" s="11" t="n">
        <v>-0.39</v>
      </c>
      <c r="T50" s="11" t="n">
        <v>-0.6899999999999999</v>
      </c>
      <c r="V50" s="11" t="n">
        <v>-0.5</v>
      </c>
      <c r="W50" s="11" t="n">
        <v>-0.71</v>
      </c>
      <c r="X50" s="11" t="n">
        <v>-0.28</v>
      </c>
      <c r="Y50" s="11" t="n">
        <v>-0.6</v>
      </c>
      <c r="Z50" s="11" t="n">
        <v>-0.3</v>
      </c>
      <c r="AA50" s="11" t="n">
        <v>-0.36</v>
      </c>
      <c r="AB50" s="11" t="n">
        <v>-0.25</v>
      </c>
      <c r="AC50" s="11" t="n">
        <v>-0.79</v>
      </c>
      <c r="AD50" s="11" t="n">
        <v>-0.6899999999999999</v>
      </c>
    </row>
    <row r="51">
      <c r="A51" s="10" t="inlineStr">
        <is>
          <t>재무활동 현금흐름</t>
        </is>
      </c>
      <c r="D51" s="11" t="n">
        <v>-29.37</v>
      </c>
      <c r="F51" s="11" t="n">
        <v>4.87</v>
      </c>
      <c r="H51" s="11" t="n">
        <v>12.27</v>
      </c>
      <c r="J51" s="11" t="n">
        <v>-1.15</v>
      </c>
      <c r="L51" s="11" t="n">
        <v>28.19</v>
      </c>
      <c r="N51" s="11" t="n">
        <v>-12.16</v>
      </c>
      <c r="P51" s="11" t="n">
        <v>-16.77</v>
      </c>
      <c r="R51" s="11" t="n">
        <v>-8.789999999999999</v>
      </c>
      <c r="T51" s="11" t="n">
        <v>-10.27</v>
      </c>
      <c r="V51" s="11" t="n">
        <v>-20.39</v>
      </c>
      <c r="W51" s="11" t="n">
        <v>-9.49</v>
      </c>
      <c r="X51" s="11" t="n">
        <v>0.78</v>
      </c>
      <c r="Y51" s="11" t="n">
        <v>-10.19</v>
      </c>
      <c r="Z51" s="11" t="n">
        <v>-29.37</v>
      </c>
      <c r="AA51" s="11" t="n">
        <v>12.27</v>
      </c>
      <c r="AB51" s="11" t="n">
        <v>28.19</v>
      </c>
      <c r="AC51" s="11" t="n">
        <v>-16.77</v>
      </c>
      <c r="AD51" s="11" t="n">
        <v>-10.27</v>
      </c>
    </row>
    <row r="52">
      <c r="A52" s="10" t="inlineStr">
        <is>
          <t>현금성자산 환산차이</t>
        </is>
      </c>
      <c r="D52" s="11" t="n">
        <v>-0.2</v>
      </c>
      <c r="F52" s="11" t="n">
        <v>-0.77</v>
      </c>
      <c r="H52" s="11" t="n">
        <v>-0.38</v>
      </c>
      <c r="J52" s="11" t="n">
        <v>-0.84</v>
      </c>
      <c r="L52" s="11" t="n">
        <v>-1.23</v>
      </c>
      <c r="N52" s="11" t="n">
        <v>-0.66</v>
      </c>
      <c r="P52" s="11" t="n">
        <v>0.82</v>
      </c>
      <c r="R52" s="11" t="n">
        <v>-0.22</v>
      </c>
      <c r="T52" s="11" t="n">
        <v>1.81</v>
      </c>
      <c r="V52" s="11" t="n">
        <v>0.31</v>
      </c>
      <c r="W52" s="11" t="n">
        <v>-0.9</v>
      </c>
      <c r="X52" s="11" t="n">
        <v>0.23</v>
      </c>
      <c r="Y52" s="11" t="n">
        <v>0.54</v>
      </c>
      <c r="Z52" s="11" t="n">
        <v>-0.2</v>
      </c>
      <c r="AA52" s="11" t="n">
        <v>-0.38</v>
      </c>
      <c r="AB52" s="11" t="n">
        <v>-1.23</v>
      </c>
      <c r="AC52" s="11" t="n">
        <v>0.82</v>
      </c>
      <c r="AD52" s="11" t="n">
        <v>1.81</v>
      </c>
    </row>
    <row r="53">
      <c r="A53" s="10" t="inlineStr">
        <is>
          <t>현금성자산 증감</t>
        </is>
      </c>
      <c r="D53" s="11" t="n">
        <v>-0.21</v>
      </c>
      <c r="F53" s="11" t="n">
        <v>2.27</v>
      </c>
      <c r="H53" s="11" t="n">
        <v>5.32</v>
      </c>
      <c r="J53" s="11" t="n">
        <v>-5</v>
      </c>
      <c r="L53" s="11" t="n">
        <v>13.8</v>
      </c>
      <c r="N53" s="11" t="n">
        <v>-5.02</v>
      </c>
      <c r="P53" s="11" t="n">
        <v>-0.58</v>
      </c>
      <c r="R53" s="11" t="n">
        <v>-4.5</v>
      </c>
      <c r="T53" s="11" t="n">
        <v>14.06</v>
      </c>
      <c r="V53" s="11" t="n">
        <v>-9.43</v>
      </c>
      <c r="W53" s="11" t="n">
        <v>-5</v>
      </c>
      <c r="X53" s="11" t="n">
        <v>2.82</v>
      </c>
      <c r="Y53" s="11" t="n">
        <v>4.63</v>
      </c>
      <c r="Z53" s="11" t="n">
        <v>-0.21</v>
      </c>
      <c r="AA53" s="11" t="n">
        <v>5.32</v>
      </c>
      <c r="AB53" s="11" t="n">
        <v>13.8</v>
      </c>
      <c r="AC53" s="11" t="n">
        <v>-0.58</v>
      </c>
      <c r="AD53" s="11" t="n">
        <v>14.06</v>
      </c>
    </row>
    <row r="54">
      <c r="A54" s="10" t="inlineStr">
        <is>
          <t>신규 연결 현금성자산 증가</t>
        </is>
      </c>
      <c r="H54" s="11" t="n">
        <v>0</v>
      </c>
      <c r="L54" s="11" t="n">
        <v>2.31</v>
      </c>
      <c r="AA54" s="11" t="n">
        <v>0</v>
      </c>
      <c r="AB54" s="11" t="n">
        <v>2.31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40" customWidth="1" min="31" max="31"/>
  </cols>
  <sheetData>
    <row r="1">
      <c r="A1" s="1" t="inlineStr">
        <is>
          <t>모레스코 부문</t>
        </is>
      </c>
    </row>
    <row r="2">
      <c r="A2" s="2" t="inlineStr">
        <is>
          <t>결산기 기준(27.2Q = 2027년 결산기 2분기) · 2월 결산 · 연결 · 분기 단독(누계 차분) · 오른쪽 FY = 연간</t>
        </is>
      </c>
      <c r="B2" s="3" t="inlineStr">
        <is>
          <t>(단위: 억엔)</t>
        </is>
      </c>
    </row>
    <row r="3">
      <c r="A3" s="4" t="inlineStr">
        <is>
          <t>항목</t>
        </is>
      </c>
      <c r="B3" s="4" t="inlineStr">
        <is>
          <t>참고</t>
        </is>
      </c>
      <c r="C3" s="4" t="inlineStr">
        <is>
          <t>22.3Q</t>
        </is>
      </c>
      <c r="D3" s="4" t="inlineStr">
        <is>
          <t>22.4Q</t>
        </is>
      </c>
      <c r="E3" s="4" t="inlineStr">
        <is>
          <t>23.1Q</t>
        </is>
      </c>
      <c r="F3" s="4" t="inlineStr">
        <is>
          <t>23.2Q</t>
        </is>
      </c>
      <c r="G3" s="4" t="inlineStr">
        <is>
          <t>23.3Q</t>
        </is>
      </c>
      <c r="H3" s="4" t="inlineStr">
        <is>
          <t>23.4Q</t>
        </is>
      </c>
      <c r="I3" s="4" t="inlineStr">
        <is>
          <t>24.1Q</t>
        </is>
      </c>
      <c r="J3" s="4" t="inlineStr">
        <is>
          <t>24.2Q</t>
        </is>
      </c>
      <c r="K3" s="4" t="inlineStr">
        <is>
          <t>24.3Q</t>
        </is>
      </c>
      <c r="L3" s="4" t="inlineStr">
        <is>
          <t>24.4Q</t>
        </is>
      </c>
      <c r="M3" s="4" t="inlineStr">
        <is>
          <t>25.1Q</t>
        </is>
      </c>
      <c r="N3" s="4" t="inlineStr">
        <is>
          <t>25.2Q</t>
        </is>
      </c>
      <c r="O3" s="4" t="inlineStr">
        <is>
          <t>25.3Q</t>
        </is>
      </c>
      <c r="P3" s="4" t="inlineStr">
        <is>
          <t>25.4Q</t>
        </is>
      </c>
      <c r="Q3" s="4" t="inlineStr">
        <is>
          <t>26.1Q</t>
        </is>
      </c>
      <c r="R3" s="4" t="inlineStr">
        <is>
          <t>26.2Q</t>
        </is>
      </c>
      <c r="S3" s="4" t="inlineStr">
        <is>
          <t>26.3Q</t>
        </is>
      </c>
      <c r="T3" s="4" t="inlineStr">
        <is>
          <t>26.4Q</t>
        </is>
      </c>
      <c r="U3" s="4" t="inlineStr">
        <is>
          <t>27.1Q</t>
        </is>
      </c>
      <c r="V3" s="4" t="inlineStr">
        <is>
          <t>27.2Q</t>
        </is>
      </c>
      <c r="W3" s="4" t="inlineStr">
        <is>
          <t>FY19</t>
        </is>
      </c>
      <c r="X3" s="4" t="inlineStr">
        <is>
          <t>FY20</t>
        </is>
      </c>
      <c r="Y3" s="4" t="inlineStr">
        <is>
          <t>FY21</t>
        </is>
      </c>
      <c r="Z3" s="4" t="inlineStr">
        <is>
          <t>FY22</t>
        </is>
      </c>
      <c r="AA3" s="4" t="inlineStr">
        <is>
          <t>FY23</t>
        </is>
      </c>
      <c r="AB3" s="4" t="inlineStr">
        <is>
          <t>FY24</t>
        </is>
      </c>
      <c r="AC3" s="4" t="inlineStr">
        <is>
          <t>FY25</t>
        </is>
      </c>
      <c r="AD3" s="4" t="inlineStr">
        <is>
          <t>FY26</t>
        </is>
      </c>
      <c r="AE3" s="4" t="inlineStr">
        <is>
          <t>출처</t>
        </is>
      </c>
    </row>
    <row r="4">
      <c r="A4" s="10" t="inlineStr">
        <is>
          <t>ReportableSegmentsMember · 외부 고객 매출</t>
        </is>
      </c>
      <c r="K4" s="11" t="n">
        <v>83.45</v>
      </c>
      <c r="L4" s="11" t="n">
        <v>81.55</v>
      </c>
      <c r="M4" s="11" t="n">
        <v>82.54000000000001</v>
      </c>
      <c r="N4" s="11" t="n">
        <v>88.48</v>
      </c>
      <c r="O4" s="11" t="n">
        <v>88.15000000000001</v>
      </c>
      <c r="P4" s="11" t="n">
        <v>84.56999999999999</v>
      </c>
      <c r="Q4" s="11" t="n">
        <v>85.16</v>
      </c>
      <c r="R4" s="11" t="n">
        <v>83.48999999999999</v>
      </c>
      <c r="S4" s="11" t="n">
        <v>87.08</v>
      </c>
      <c r="T4" s="11" t="n">
        <v>92.98</v>
      </c>
      <c r="U4" s="11" t="n">
        <v>93.06</v>
      </c>
      <c r="V4" s="11" t="n">
        <v>103.19</v>
      </c>
      <c r="AB4" s="11" t="n">
        <v>318.86</v>
      </c>
      <c r="AC4" s="11" t="n">
        <v>343.74</v>
      </c>
      <c r="AD4" s="11" t="n">
        <v>348.71</v>
      </c>
      <c r="AE4" s="7" t="inlineStr">
        <is>
          <t>결산단신 XBRL(거래소 공시, TDnet·JPX 보관소). 쓴 문서: 2026-10-15, 2026-07-09, 2026-04-14, 2026-01-13 외 26건 — '출처' 시트에 전부</t>
        </is>
      </c>
    </row>
    <row r="5">
      <c r="A5" s="10" t="inlineStr">
        <is>
          <t>ReconcilingItemsMember · 외부 고객 매출</t>
        </is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n">
        <v>0</v>
      </c>
      <c r="T5" s="11" t="n">
        <v>0</v>
      </c>
      <c r="U5" s="11" t="n">
        <v>0</v>
      </c>
      <c r="V5" s="11" t="n">
        <v>0</v>
      </c>
      <c r="AB5" s="11" t="n">
        <v>0</v>
      </c>
      <c r="AC5" s="11" t="n">
        <v>0</v>
      </c>
      <c r="AD5" s="11" t="n">
        <v>0</v>
      </c>
    </row>
    <row r="6">
      <c r="A6" s="10" t="inlineStr">
        <is>
          <t>EntityTotalMember · 외부 고객 매출</t>
        </is>
      </c>
      <c r="Q6" s="11" t="n">
        <v>85.16</v>
      </c>
      <c r="U6" s="11" t="n">
        <v>93.06</v>
      </c>
    </row>
    <row r="7">
      <c r="A7" s="10" t="inlineStr">
        <is>
          <t>JapanReportableSegmentMember · 부문 간 내부매출·대체</t>
        </is>
      </c>
      <c r="M7" s="11" t="n">
        <v>4.36</v>
      </c>
      <c r="Q7" s="11" t="n">
        <v>3.81</v>
      </c>
      <c r="U7" s="11" t="n">
        <v>4.24</v>
      </c>
    </row>
    <row r="8">
      <c r="A8" s="10" t="inlineStr">
        <is>
          <t>ChinaReportableSegmentMember · 부문 간 내부매출·대체</t>
        </is>
      </c>
      <c r="M8" s="11" t="n">
        <v>1.09</v>
      </c>
      <c r="Q8" s="11" t="n">
        <v>0.87</v>
      </c>
      <c r="U8" s="11" t="n">
        <v>0.71</v>
      </c>
    </row>
    <row r="9">
      <c r="A9" s="10" t="inlineStr">
        <is>
          <t>SoutheastSouthAsiaReportableSegmentMember · 부문 간 내부매출·대체</t>
        </is>
      </c>
      <c r="M9" s="11" t="n">
        <v>0.02</v>
      </c>
      <c r="Q9" s="11" t="n">
        <v>0.05</v>
      </c>
      <c r="U9" s="11" t="n">
        <v>0.01</v>
      </c>
    </row>
    <row r="10">
      <c r="A10" s="10" t="inlineStr">
        <is>
          <t>NorthAmericaReportableSegmentMember · 부문 간 내부매출·대체</t>
        </is>
      </c>
      <c r="M10" s="11" t="n">
        <v>0</v>
      </c>
      <c r="Q10" s="11" t="n">
        <v>0.02</v>
      </c>
      <c r="U10" s="11" t="n">
        <v>0</v>
      </c>
    </row>
    <row r="11">
      <c r="A11" s="5" t="inlineStr">
        <is>
          <t>외부 고객 매출</t>
        </is>
      </c>
      <c r="K11" s="6" t="n">
        <v>83.45</v>
      </c>
      <c r="L11" s="6" t="n">
        <v>81.55</v>
      </c>
      <c r="M11" s="6" t="n">
        <v>82.54000000000001</v>
      </c>
      <c r="N11" s="6" t="n">
        <v>88.48</v>
      </c>
      <c r="O11" s="6" t="n">
        <v>88.15000000000001</v>
      </c>
      <c r="P11" s="6" t="n">
        <v>84.56999999999999</v>
      </c>
      <c r="Q11" s="6" t="n">
        <v>85.16</v>
      </c>
      <c r="R11" s="6" t="n">
        <v>83.48999999999999</v>
      </c>
      <c r="S11" s="6" t="n">
        <v>87.08</v>
      </c>
      <c r="T11" s="6" t="n">
        <v>92.98</v>
      </c>
      <c r="AB11" s="6" t="n">
        <v>318.86</v>
      </c>
      <c r="AC11" s="6" t="n">
        <v>343.74</v>
      </c>
      <c r="AD11" s="6" t="n">
        <v>348.71</v>
      </c>
    </row>
    <row r="12">
      <c r="A12" s="10" t="inlineStr">
        <is>
          <t>JapanReportableSegmentMember · 부문 간 내부매출·대체</t>
        </is>
      </c>
      <c r="AB12" s="11" t="n">
        <v>14.91</v>
      </c>
      <c r="AC12" s="11" t="n">
        <v>17.07</v>
      </c>
      <c r="AD12" s="11" t="n">
        <v>15.54</v>
      </c>
    </row>
    <row r="13">
      <c r="A13" s="10" t="inlineStr">
        <is>
          <t>ChinaReportableSegmentMember · 부문 간 내부매출·대체</t>
        </is>
      </c>
      <c r="AB13" s="11" t="n">
        <v>4.2</v>
      </c>
      <c r="AC13" s="11" t="n">
        <v>5.36</v>
      </c>
      <c r="AD13" s="11" t="n">
        <v>4.76</v>
      </c>
    </row>
    <row r="14">
      <c r="A14" s="10" t="inlineStr">
        <is>
          <t>SoutheastSouthAsiaReportableSegmentMember · 부문 간 내부매출·대체</t>
        </is>
      </c>
      <c r="AB14" s="11" t="n">
        <v>0.47</v>
      </c>
      <c r="AC14" s="11" t="n">
        <v>0.08</v>
      </c>
      <c r="AD14" s="11" t="n">
        <v>0.09</v>
      </c>
    </row>
    <row r="15">
      <c r="A15" s="10" t="inlineStr">
        <is>
          <t>NorthAmericaReportableSegmentMember · 부문 간 내부매출·대체</t>
        </is>
      </c>
      <c r="AB15" s="11" t="n">
        <v>0.08</v>
      </c>
      <c r="AC15" s="11" t="n">
        <v>0.16</v>
      </c>
      <c r="AD15" s="11" t="n">
        <v>0.02</v>
      </c>
    </row>
    <row r="16">
      <c r="A16" s="10" t="inlineStr">
        <is>
          <t>ReportableSegmentsMember · 부문 간 내부매출·대체</t>
        </is>
      </c>
      <c r="K16" s="11" t="n">
        <v>5.24</v>
      </c>
      <c r="L16" s="11" t="n">
        <v>5.2</v>
      </c>
      <c r="M16" s="11" t="n">
        <v>5.47</v>
      </c>
      <c r="N16" s="11" t="n">
        <v>5.66</v>
      </c>
      <c r="O16" s="11" t="n">
        <v>5.63</v>
      </c>
      <c r="P16" s="11" t="n">
        <v>5.92</v>
      </c>
      <c r="Q16" s="11" t="n">
        <v>4.75</v>
      </c>
      <c r="R16" s="11" t="n">
        <v>4.45</v>
      </c>
      <c r="S16" s="11" t="n">
        <v>5.37</v>
      </c>
      <c r="T16" s="11" t="n">
        <v>5.84</v>
      </c>
      <c r="U16" s="11" t="n">
        <v>4.96</v>
      </c>
      <c r="V16" s="11" t="n">
        <v>4.96</v>
      </c>
      <c r="AB16" s="11" t="n">
        <v>19.66</v>
      </c>
      <c r="AC16" s="11" t="n">
        <v>22.68</v>
      </c>
      <c r="AD16" s="11" t="n">
        <v>20.41</v>
      </c>
    </row>
    <row r="17">
      <c r="A17" s="10" t="inlineStr">
        <is>
          <t>ReconcilingItemsMember · 부문 간 내부매출·대체</t>
        </is>
      </c>
      <c r="K17" s="11" t="n">
        <v>-5.24</v>
      </c>
      <c r="L17" s="11" t="n">
        <v>-5.2</v>
      </c>
      <c r="M17" s="11" t="n">
        <v>-5.47</v>
      </c>
      <c r="N17" s="11" t="n">
        <v>-5.66</v>
      </c>
      <c r="O17" s="11" t="n">
        <v>-5.63</v>
      </c>
      <c r="P17" s="11" t="n">
        <v>-5.92</v>
      </c>
      <c r="Q17" s="11" t="n">
        <v>-4.75</v>
      </c>
      <c r="R17" s="11" t="n">
        <v>-4.45</v>
      </c>
      <c r="S17" s="11" t="n">
        <v>-5.37</v>
      </c>
      <c r="T17" s="11" t="n">
        <v>-5.84</v>
      </c>
      <c r="U17" s="11" t="n">
        <v>-4.96</v>
      </c>
      <c r="V17" s="11" t="n">
        <v>-4.96</v>
      </c>
      <c r="AB17" s="11" t="n">
        <v>-19.66</v>
      </c>
      <c r="AC17" s="11" t="n">
        <v>-22.68</v>
      </c>
      <c r="AD17" s="11" t="n">
        <v>-20.41</v>
      </c>
    </row>
    <row r="18">
      <c r="A18" s="10" t="inlineStr">
        <is>
          <t>EntityTotalMember · 부문 간 내부매출·대체</t>
        </is>
      </c>
      <c r="Q18" s="11" t="n">
        <v>0</v>
      </c>
      <c r="U18" s="11" t="n">
        <v>0</v>
      </c>
    </row>
    <row r="19">
      <c r="A19" s="10" t="inlineStr">
        <is>
          <t>JapanReportableSegmentMember · 계</t>
        </is>
      </c>
      <c r="M19" s="11" t="n">
        <v>56.49</v>
      </c>
      <c r="Q19" s="11" t="n">
        <v>57.84</v>
      </c>
      <c r="U19" s="11" t="n">
        <v>67.92</v>
      </c>
    </row>
    <row r="20">
      <c r="A20" s="10" t="inlineStr">
        <is>
          <t>ChinaReportableSegmentMember · 계</t>
        </is>
      </c>
      <c r="M20" s="11" t="n">
        <v>9.33</v>
      </c>
      <c r="Q20" s="11" t="n">
        <v>9.81</v>
      </c>
      <c r="U20" s="11" t="n">
        <v>10.17</v>
      </c>
    </row>
    <row r="21">
      <c r="A21" s="10" t="inlineStr">
        <is>
          <t>SoutheastSouthAsiaReportableSegmentMember · 계</t>
        </is>
      </c>
      <c r="M21" s="11" t="n">
        <v>16.37</v>
      </c>
      <c r="Q21" s="11" t="n">
        <v>17.28</v>
      </c>
      <c r="U21" s="11" t="n">
        <v>15.54</v>
      </c>
    </row>
    <row r="22">
      <c r="A22" s="10" t="inlineStr">
        <is>
          <t>NorthAmericaReportableSegmentMember · 계</t>
        </is>
      </c>
      <c r="M22" s="11" t="n">
        <v>5.83</v>
      </c>
      <c r="Q22" s="11" t="n">
        <v>4.97</v>
      </c>
      <c r="U22" s="11" t="n">
        <v>4.39</v>
      </c>
    </row>
    <row r="23">
      <c r="A23" s="10" t="inlineStr">
        <is>
          <t>부문 간 내부매출·대체</t>
        </is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AB23" s="11" t="n">
        <v>0</v>
      </c>
      <c r="AC23" s="11" t="n">
        <v>0</v>
      </c>
      <c r="AD23" s="11" t="n">
        <v>0</v>
      </c>
    </row>
    <row r="24">
      <c r="A24" s="10" t="inlineStr">
        <is>
          <t>JapanReportableSegmentMember · 계</t>
        </is>
      </c>
      <c r="AB24" s="11" t="n">
        <v>217.2</v>
      </c>
      <c r="AC24" s="11" t="n">
        <v>233.48</v>
      </c>
      <c r="AD24" s="11" t="n">
        <v>238.03</v>
      </c>
    </row>
    <row r="25">
      <c r="A25" s="10" t="inlineStr">
        <is>
          <t>ChinaReportableSegmentMember · 계</t>
        </is>
      </c>
      <c r="AB25" s="11" t="n">
        <v>39.56</v>
      </c>
      <c r="AC25" s="11" t="n">
        <v>42.94</v>
      </c>
      <c r="AD25" s="11" t="n">
        <v>42.87</v>
      </c>
    </row>
    <row r="26">
      <c r="A26" s="10" t="inlineStr">
        <is>
          <t>SoutheastSouthAsiaReportableSegmentMember · 계</t>
        </is>
      </c>
      <c r="AB26" s="11" t="n">
        <v>67.84</v>
      </c>
      <c r="AC26" s="11" t="n">
        <v>68.7</v>
      </c>
      <c r="AD26" s="11" t="n">
        <v>67.70999999999999</v>
      </c>
    </row>
    <row r="27">
      <c r="A27" s="10" t="inlineStr">
        <is>
          <t>NorthAmericaReportableSegmentMember · 계</t>
        </is>
      </c>
      <c r="AB27" s="11" t="n">
        <v>13.92</v>
      </c>
      <c r="AC27" s="11" t="n">
        <v>21.29</v>
      </c>
      <c r="AD27" s="11" t="n">
        <v>20.51</v>
      </c>
    </row>
    <row r="28">
      <c r="A28" s="10" t="inlineStr">
        <is>
          <t>ReportableSegmentsMember · 계</t>
        </is>
      </c>
      <c r="K28" s="11" t="n">
        <v>88.7</v>
      </c>
      <c r="L28" s="11" t="n">
        <v>86.75</v>
      </c>
      <c r="M28" s="11" t="n">
        <v>88.02</v>
      </c>
      <c r="N28" s="11" t="n">
        <v>94.13</v>
      </c>
      <c r="O28" s="11" t="n">
        <v>93.78</v>
      </c>
      <c r="P28" s="11" t="n">
        <v>90.48</v>
      </c>
      <c r="Q28" s="11" t="n">
        <v>89.90000000000001</v>
      </c>
      <c r="R28" s="11" t="n">
        <v>87.95</v>
      </c>
      <c r="S28" s="11" t="n">
        <v>92.44</v>
      </c>
      <c r="T28" s="11" t="n">
        <v>98.83</v>
      </c>
      <c r="U28" s="11" t="n">
        <v>98.02</v>
      </c>
      <c r="V28" s="11" t="n">
        <v>108.15</v>
      </c>
      <c r="AB28" s="11" t="n">
        <v>338.52</v>
      </c>
      <c r="AC28" s="11" t="n">
        <v>366.41</v>
      </c>
      <c r="AD28" s="11" t="n">
        <v>369.12</v>
      </c>
    </row>
    <row r="29">
      <c r="A29" s="10" t="inlineStr">
        <is>
          <t>ReconcilingItemsMember · 계</t>
        </is>
      </c>
      <c r="K29" s="11" t="n">
        <v>-5.24</v>
      </c>
      <c r="L29" s="11" t="n">
        <v>-5.2</v>
      </c>
      <c r="M29" s="11" t="n">
        <v>-5.47</v>
      </c>
      <c r="N29" s="11" t="n">
        <v>-5.66</v>
      </c>
      <c r="O29" s="11" t="n">
        <v>-5.63</v>
      </c>
      <c r="P29" s="11" t="n">
        <v>-5.92</v>
      </c>
      <c r="Q29" s="11" t="n">
        <v>-4.75</v>
      </c>
      <c r="R29" s="11" t="n">
        <v>-4.45</v>
      </c>
      <c r="S29" s="11" t="n">
        <v>-5.37</v>
      </c>
      <c r="T29" s="11" t="n">
        <v>-5.84</v>
      </c>
      <c r="U29" s="11" t="n">
        <v>-4.96</v>
      </c>
      <c r="V29" s="11" t="n">
        <v>-4.96</v>
      </c>
      <c r="AB29" s="11" t="n">
        <v>-19.66</v>
      </c>
      <c r="AC29" s="11" t="n">
        <v>-22.68</v>
      </c>
      <c r="AD29" s="11" t="n">
        <v>-20.41</v>
      </c>
    </row>
    <row r="30">
      <c r="A30" s="10" t="inlineStr">
        <is>
          <t>EntityTotalMember · 계</t>
        </is>
      </c>
      <c r="Q30" s="11" t="n">
        <v>85.16</v>
      </c>
      <c r="U30" s="11" t="n">
        <v>93.06</v>
      </c>
    </row>
    <row r="31">
      <c r="A31" s="10" t="inlineStr">
        <is>
          <t>JapanReportableSegmentMember · 부문 이익</t>
        </is>
      </c>
      <c r="M31" s="11" t="n">
        <v>0.8</v>
      </c>
      <c r="Q31" s="11" t="n">
        <v>3.06</v>
      </c>
      <c r="U31" s="11" t="n">
        <v>8.19</v>
      </c>
    </row>
    <row r="32">
      <c r="A32" s="10" t="inlineStr">
        <is>
          <t>ChinaReportableSegmentMember · 부문 이익</t>
        </is>
      </c>
      <c r="M32" s="11" t="n">
        <v>-0.13</v>
      </c>
      <c r="Q32" s="11" t="n">
        <v>0.84</v>
      </c>
      <c r="U32" s="11" t="n">
        <v>1.09</v>
      </c>
    </row>
    <row r="33">
      <c r="A33" s="10" t="inlineStr">
        <is>
          <t>SoutheastSouthAsiaReportableSegmentMember · 부문 이익</t>
        </is>
      </c>
      <c r="M33" s="11" t="n">
        <v>0.58</v>
      </c>
      <c r="Q33" s="11" t="n">
        <v>0.54</v>
      </c>
      <c r="U33" s="11" t="n">
        <v>1.67</v>
      </c>
    </row>
    <row r="34">
      <c r="A34" s="10" t="inlineStr">
        <is>
          <t>NorthAmericaReportableSegmentMember · 부문 이익</t>
        </is>
      </c>
      <c r="M34" s="11" t="n">
        <v>0.57</v>
      </c>
      <c r="Q34" s="11" t="n">
        <v>0.45</v>
      </c>
      <c r="U34" s="11" t="n">
        <v>-0.15</v>
      </c>
    </row>
    <row r="35">
      <c r="A35" s="5" t="inlineStr">
        <is>
          <t>계</t>
        </is>
      </c>
      <c r="K35" s="6" t="n">
        <v>83.45</v>
      </c>
      <c r="L35" s="6" t="n">
        <v>81.55</v>
      </c>
      <c r="M35" s="6" t="n">
        <v>82.54000000000001</v>
      </c>
      <c r="N35" s="6" t="n">
        <v>88.48</v>
      </c>
      <c r="O35" s="6" t="n">
        <v>88.15000000000001</v>
      </c>
      <c r="P35" s="6" t="n">
        <v>84.56999999999999</v>
      </c>
      <c r="Q35" s="6" t="n">
        <v>85.16</v>
      </c>
      <c r="R35" s="6" t="n">
        <v>83.48999999999999</v>
      </c>
      <c r="S35" s="6" t="n">
        <v>87.08</v>
      </c>
      <c r="T35" s="6" t="n">
        <v>92.98</v>
      </c>
      <c r="AB35" s="6" t="n">
        <v>318.86</v>
      </c>
      <c r="AC35" s="6" t="n">
        <v>343.74</v>
      </c>
      <c r="AD35" s="6" t="n">
        <v>348.71</v>
      </c>
    </row>
    <row r="36">
      <c r="A36" s="10" t="inlineStr">
        <is>
          <t>JapanReportableSegmentMember · 부문 이익</t>
        </is>
      </c>
      <c r="AB36" s="11" t="n">
        <v>5.86</v>
      </c>
      <c r="AC36" s="11" t="n">
        <v>8.710000000000001</v>
      </c>
      <c r="AD36" s="11" t="n">
        <v>15.26</v>
      </c>
    </row>
    <row r="37">
      <c r="A37" s="10" t="inlineStr">
        <is>
          <t>ChinaReportableSegmentMember · 부문 이익</t>
        </is>
      </c>
      <c r="AB37" s="11" t="n">
        <v>1.18</v>
      </c>
      <c r="AC37" s="11" t="n">
        <v>2.14</v>
      </c>
      <c r="AD37" s="11" t="n">
        <v>3.36</v>
      </c>
    </row>
    <row r="38">
      <c r="A38" s="10" t="inlineStr">
        <is>
          <t>SoutheastSouthAsiaReportableSegmentMember · 부문 이익</t>
        </is>
      </c>
      <c r="AB38" s="11" t="n">
        <v>3.09</v>
      </c>
      <c r="AC38" s="11" t="n">
        <v>2.19</v>
      </c>
      <c r="AD38" s="11" t="n">
        <v>3.43</v>
      </c>
    </row>
    <row r="39">
      <c r="A39" s="10" t="inlineStr">
        <is>
          <t>NorthAmericaReportableSegmentMember · 부문 이익</t>
        </is>
      </c>
      <c r="AB39" s="11" t="n">
        <v>1.81</v>
      </c>
      <c r="AC39" s="11" t="n">
        <v>1.07</v>
      </c>
      <c r="AD39" s="11" t="n">
        <v>1.56</v>
      </c>
    </row>
    <row r="40">
      <c r="A40" s="10" t="inlineStr">
        <is>
          <t>ReportableSegmentsMember · 부문 이익</t>
        </is>
      </c>
      <c r="K40" s="11" t="n">
        <v>5.21</v>
      </c>
      <c r="L40" s="11" t="n">
        <v>1.48</v>
      </c>
      <c r="M40" s="11" t="n">
        <v>1.83</v>
      </c>
      <c r="N40" s="11" t="n">
        <v>4.9</v>
      </c>
      <c r="O40" s="11" t="n">
        <v>4.51</v>
      </c>
      <c r="P40" s="11" t="n">
        <v>2.87</v>
      </c>
      <c r="Q40" s="11" t="n">
        <v>4.89</v>
      </c>
      <c r="R40" s="11" t="n">
        <v>4.37</v>
      </c>
      <c r="S40" s="11" t="n">
        <v>7.23</v>
      </c>
      <c r="T40" s="11" t="n">
        <v>7.13</v>
      </c>
      <c r="U40" s="11" t="n">
        <v>10.81</v>
      </c>
      <c r="V40" s="11" t="n">
        <v>13.62</v>
      </c>
      <c r="AB40" s="11" t="n">
        <v>11.94</v>
      </c>
      <c r="AC40" s="11" t="n">
        <v>14.11</v>
      </c>
      <c r="AD40" s="11" t="n">
        <v>23.62</v>
      </c>
    </row>
    <row r="41">
      <c r="A41" s="10" t="inlineStr">
        <is>
          <t>ReconcilingItemsMember · 부문 이익</t>
        </is>
      </c>
      <c r="K41" s="11" t="n">
        <v>0.01</v>
      </c>
      <c r="L41" s="11" t="n">
        <v>0.27</v>
      </c>
      <c r="M41" s="11" t="n">
        <v>0.06</v>
      </c>
      <c r="N41" s="11" t="n">
        <v>-0.08</v>
      </c>
      <c r="O41" s="11" t="n">
        <v>-0.1</v>
      </c>
      <c r="P41" s="11" t="n">
        <v>-0.08</v>
      </c>
      <c r="Q41" s="11" t="n">
        <v>0.31</v>
      </c>
      <c r="R41" s="11" t="n">
        <v>-0.07000000000000001</v>
      </c>
      <c r="S41" s="11" t="n">
        <v>-0.02</v>
      </c>
      <c r="T41" s="11" t="n">
        <v>-0.16</v>
      </c>
      <c r="U41" s="11" t="n">
        <v>-0.1</v>
      </c>
      <c r="V41" s="11" t="n">
        <v>0.25</v>
      </c>
      <c r="AB41" s="11" t="n">
        <v>0.31</v>
      </c>
      <c r="AC41" s="11" t="n">
        <v>-0.2</v>
      </c>
      <c r="AD41" s="11" t="n">
        <v>0.06</v>
      </c>
    </row>
    <row r="42">
      <c r="A42" s="10" t="inlineStr">
        <is>
          <t>EntityTotalMember · 부문 이익</t>
        </is>
      </c>
      <c r="Q42" s="11" t="n">
        <v>5.2</v>
      </c>
      <c r="U42" s="11" t="n">
        <v>10.71</v>
      </c>
    </row>
    <row r="43">
      <c r="A43" s="5" t="inlineStr">
        <is>
          <t>부문 이익</t>
        </is>
      </c>
      <c r="K43" s="6" t="n">
        <v>5.22</v>
      </c>
      <c r="L43" s="6" t="n">
        <v>1.75</v>
      </c>
      <c r="M43" s="6" t="n">
        <v>1.89</v>
      </c>
      <c r="N43" s="6" t="n">
        <v>4.82</v>
      </c>
      <c r="O43" s="6" t="n">
        <v>4.41</v>
      </c>
      <c r="P43" s="6" t="n">
        <v>2.79</v>
      </c>
      <c r="Q43" s="6" t="n">
        <v>5.2</v>
      </c>
      <c r="R43" s="6" t="n">
        <v>4.29</v>
      </c>
      <c r="S43" s="6" t="n">
        <v>7.22</v>
      </c>
      <c r="T43" s="6" t="n">
        <v>6.96</v>
      </c>
      <c r="AB43" s="6" t="n">
        <v>12.25</v>
      </c>
      <c r="AC43" s="6" t="n">
        <v>13.91</v>
      </c>
      <c r="AD43" s="6" t="n">
        <v>23.67</v>
      </c>
    </row>
    <row r="44">
      <c r="A44" s="10" t="inlineStr">
        <is>
          <t>JapanReportableSegmentMember · 감가상각비</t>
        </is>
      </c>
      <c r="AB44" s="11" t="n">
        <v>6.86</v>
      </c>
      <c r="AC44" s="11" t="n">
        <v>6.53</v>
      </c>
      <c r="AD44" s="11" t="n">
        <v>6.13</v>
      </c>
    </row>
    <row r="45">
      <c r="A45" s="10" t="inlineStr">
        <is>
          <t>ChinaReportableSegmentMember · 감가상각비</t>
        </is>
      </c>
      <c r="AB45" s="11" t="n">
        <v>1.42</v>
      </c>
      <c r="AC45" s="11" t="n">
        <v>2.63</v>
      </c>
      <c r="AD45" s="11" t="n">
        <v>2.47</v>
      </c>
    </row>
    <row r="46">
      <c r="A46" s="10" t="inlineStr">
        <is>
          <t>SoutheastSouthAsiaReportableSegmentMember · 감가상각비</t>
        </is>
      </c>
      <c r="AB46" s="11" t="n">
        <v>2.3</v>
      </c>
      <c r="AC46" s="11" t="n">
        <v>2.41</v>
      </c>
      <c r="AD46" s="11" t="n">
        <v>2.32</v>
      </c>
    </row>
    <row r="47">
      <c r="A47" s="10" t="inlineStr">
        <is>
          <t>NorthAmericaReportableSegmentMember · 감가상각비</t>
        </is>
      </c>
      <c r="AB47" s="11" t="n">
        <v>0.23</v>
      </c>
      <c r="AC47" s="11" t="n">
        <v>0.51</v>
      </c>
      <c r="AD47" s="11" t="n">
        <v>0.43</v>
      </c>
    </row>
    <row r="48">
      <c r="A48" s="10" t="inlineStr">
        <is>
          <t>ReportableSegmentsMember · 감가상각비</t>
        </is>
      </c>
      <c r="AB48" s="11" t="n">
        <v>10.8</v>
      </c>
      <c r="AC48" s="11" t="n">
        <v>12.08</v>
      </c>
      <c r="AD48" s="11" t="n">
        <v>11.35</v>
      </c>
    </row>
    <row r="49">
      <c r="A49" s="10" t="inlineStr">
        <is>
          <t>ReconcilingItemsMember · 감가상각비</t>
        </is>
      </c>
      <c r="AB49" s="11" t="n">
        <v>0</v>
      </c>
      <c r="AC49" s="11" t="n">
        <v>0</v>
      </c>
      <c r="AD49" s="11" t="n">
        <v>0</v>
      </c>
    </row>
    <row r="50">
      <c r="A50" s="10" t="inlineStr">
        <is>
          <t>감가상각비</t>
        </is>
      </c>
      <c r="AB50" s="11" t="n">
        <v>10.8</v>
      </c>
      <c r="AC50" s="11" t="n">
        <v>12.08</v>
      </c>
      <c r="AD50" s="11" t="n">
        <v>11.35</v>
      </c>
    </row>
    <row r="51">
      <c r="A51" s="10" t="inlineStr">
        <is>
          <t>JapanReportableSegmentMember · 영업권 상각</t>
        </is>
      </c>
      <c r="AB51" s="11" t="n">
        <v>0.76</v>
      </c>
      <c r="AC51" s="11" t="n">
        <v>0.16</v>
      </c>
      <c r="AD51" s="11" t="n">
        <v>0</v>
      </c>
    </row>
    <row r="52">
      <c r="A52" s="10" t="inlineStr">
        <is>
          <t>ChinaReportableSegmentMember · 영업권 상각</t>
        </is>
      </c>
      <c r="AB52" s="11" t="n">
        <v>0</v>
      </c>
      <c r="AC52" s="11" t="n">
        <v>0</v>
      </c>
      <c r="AD52" s="11" t="n">
        <v>0</v>
      </c>
    </row>
    <row r="53">
      <c r="A53" s="10" t="inlineStr">
        <is>
          <t>SoutheastSouthAsiaReportableSegmentMember · 영업권 상각</t>
        </is>
      </c>
      <c r="AB53" s="11" t="n">
        <v>0</v>
      </c>
      <c r="AC53" s="11" t="n">
        <v>0</v>
      </c>
      <c r="AD53" s="11" t="n">
        <v>0</v>
      </c>
    </row>
    <row r="54">
      <c r="A54" s="10" t="inlineStr">
        <is>
          <t>NorthAmericaReportableSegmentMember · 영업권 상각</t>
        </is>
      </c>
      <c r="AB54" s="11" t="n">
        <v>0.07000000000000001</v>
      </c>
      <c r="AC54" s="11" t="n">
        <v>0.5</v>
      </c>
      <c r="AD54" s="11" t="n">
        <v>0.47</v>
      </c>
    </row>
    <row r="55">
      <c r="A55" s="10" t="inlineStr">
        <is>
          <t>ReportableSegmentsMember · 영업권 상각</t>
        </is>
      </c>
      <c r="AB55" s="11" t="n">
        <v>0.83</v>
      </c>
      <c r="AC55" s="11" t="n">
        <v>0.67</v>
      </c>
      <c r="AD55" s="11" t="n">
        <v>0.47</v>
      </c>
    </row>
    <row r="56">
      <c r="A56" s="10" t="inlineStr">
        <is>
          <t>ReconcilingItemsMember · 영업권 상각</t>
        </is>
      </c>
      <c r="AB56" s="11" t="n">
        <v>0</v>
      </c>
      <c r="AC56" s="11" t="n">
        <v>0</v>
      </c>
      <c r="AD56" s="11" t="n">
        <v>0</v>
      </c>
    </row>
    <row r="57">
      <c r="A57" s="10" t="inlineStr">
        <is>
          <t>영업권 상각</t>
        </is>
      </c>
      <c r="AB57" s="11" t="n">
        <v>0.83</v>
      </c>
      <c r="AC57" s="11" t="n">
        <v>0.67</v>
      </c>
      <c r="AD57" s="11" t="n">
        <v>0.47</v>
      </c>
    </row>
    <row r="58">
      <c r="A58" s="10" t="inlineStr">
        <is>
          <t>JapanReportableSegmentMember · 지분법 적용회사 투자액</t>
        </is>
      </c>
      <c r="AB58" s="11" t="n">
        <v>19.39</v>
      </c>
      <c r="AC58" s="11" t="n">
        <v>22.79</v>
      </c>
      <c r="AD58" s="11" t="n">
        <v>25.6</v>
      </c>
    </row>
    <row r="59">
      <c r="A59" s="10" t="inlineStr">
        <is>
          <t>ChinaReportableSegmentMember · 지분법 적용회사 투자액</t>
        </is>
      </c>
      <c r="AB59" s="11" t="n">
        <v>0</v>
      </c>
      <c r="AC59" s="11" t="n">
        <v>0</v>
      </c>
      <c r="AD59" s="11" t="n">
        <v>0</v>
      </c>
    </row>
    <row r="60">
      <c r="A60" s="10" t="inlineStr">
        <is>
          <t>SoutheastSouthAsiaReportableSegmentMember · 지분법 적용회사 투자액</t>
        </is>
      </c>
      <c r="AB60" s="11" t="n">
        <v>0</v>
      </c>
      <c r="AC60" s="11" t="n">
        <v>0</v>
      </c>
      <c r="AD60" s="11" t="n">
        <v>0</v>
      </c>
    </row>
    <row r="61">
      <c r="A61" s="10" t="inlineStr">
        <is>
          <t>NorthAmericaReportableSegmentMember · 지분법 적용회사 투자액</t>
        </is>
      </c>
      <c r="AB61" s="11" t="n">
        <v>0</v>
      </c>
      <c r="AC61" s="11" t="n">
        <v>0</v>
      </c>
      <c r="AD61" s="11" t="n">
        <v>0</v>
      </c>
    </row>
    <row r="62">
      <c r="A62" s="10" t="inlineStr">
        <is>
          <t>ReportableSegmentsMember · 지분법 적용회사 투자액</t>
        </is>
      </c>
      <c r="AB62" s="11" t="n">
        <v>19.39</v>
      </c>
      <c r="AC62" s="11" t="n">
        <v>22.79</v>
      </c>
      <c r="AD62" s="11" t="n">
        <v>25.6</v>
      </c>
    </row>
    <row r="63">
      <c r="A63" s="10" t="inlineStr">
        <is>
          <t>ReconcilingItemsMember · 지분법 적용회사 투자액</t>
        </is>
      </c>
      <c r="AB63" s="11" t="n">
        <v>0</v>
      </c>
      <c r="AC63" s="11" t="n">
        <v>0</v>
      </c>
      <c r="AD63" s="11" t="n">
        <v>0</v>
      </c>
    </row>
    <row r="64">
      <c r="A64" s="10" t="inlineStr">
        <is>
          <t>지분법 적용회사 투자액</t>
        </is>
      </c>
      <c r="AB64" s="11" t="n">
        <v>19.39</v>
      </c>
      <c r="AC64" s="11" t="n">
        <v>22.79</v>
      </c>
      <c r="AD64" s="11" t="n">
        <v>25.6</v>
      </c>
    </row>
    <row r="65">
      <c r="A65" s="10" t="inlineStr">
        <is>
          <t>JapanReportableSegmentMember · 유형·무형자산 증가액</t>
        </is>
      </c>
      <c r="AB65" s="11" t="n">
        <v>4.75</v>
      </c>
      <c r="AC65" s="11" t="n">
        <v>12.3</v>
      </c>
      <c r="AD65" s="11" t="n">
        <v>4.84</v>
      </c>
    </row>
    <row r="66">
      <c r="A66" s="10" t="inlineStr">
        <is>
          <t>ChinaReportableSegmentMember · 유형·무형자산 증가액</t>
        </is>
      </c>
      <c r="AB66" s="11" t="n">
        <v>15.1</v>
      </c>
      <c r="AC66" s="11" t="n">
        <v>0.31</v>
      </c>
      <c r="AD66" s="11" t="n">
        <v>0.13</v>
      </c>
    </row>
    <row r="67">
      <c r="A67" s="10" t="inlineStr">
        <is>
          <t>SoutheastSouthAsiaReportableSegmentMember · 유형·무형자산 증가액</t>
        </is>
      </c>
      <c r="AB67" s="11" t="n">
        <v>1.87</v>
      </c>
      <c r="AC67" s="11" t="n">
        <v>1.01</v>
      </c>
      <c r="AD67" s="11" t="n">
        <v>1.07</v>
      </c>
    </row>
    <row r="68">
      <c r="A68" s="10" t="inlineStr">
        <is>
          <t>NorthAmericaReportableSegmentMember · 유형·무형자산 증가액</t>
        </is>
      </c>
      <c r="AB68" s="11" t="n">
        <v>10.54</v>
      </c>
      <c r="AC68" s="11" t="n">
        <v>0.29</v>
      </c>
      <c r="AD68" s="11" t="n">
        <v>0.12</v>
      </c>
    </row>
    <row r="69">
      <c r="A69" s="10" t="inlineStr">
        <is>
          <t>ReportableSegmentsMember · 유형·무형자산 증가액</t>
        </is>
      </c>
      <c r="AB69" s="11" t="n">
        <v>32.26</v>
      </c>
      <c r="AC69" s="11" t="n">
        <v>13.91</v>
      </c>
      <c r="AD69" s="11" t="n">
        <v>6.15</v>
      </c>
    </row>
    <row r="70">
      <c r="A70" s="10" t="inlineStr">
        <is>
          <t>ReconcilingItemsMember · 유형·무형자산 증가액</t>
        </is>
      </c>
      <c r="AB70" s="11" t="n">
        <v>0</v>
      </c>
      <c r="AC70" s="11" t="n">
        <v>0</v>
      </c>
      <c r="AD70" s="11" t="n">
        <v>0</v>
      </c>
    </row>
    <row r="71">
      <c r="A71" s="10" t="inlineStr">
        <is>
          <t>유형·무형자산 증가액</t>
        </is>
      </c>
      <c r="AB71" s="11" t="n">
        <v>32.26</v>
      </c>
      <c r="AC71" s="11" t="n">
        <v>13.91</v>
      </c>
      <c r="AD71" s="11" t="n">
        <v>6.15</v>
      </c>
    </row>
    <row r="72">
      <c r="A72" s="10" t="inlineStr">
        <is>
          <t>JapanReportableSegmentMember · 외부 고객 매출</t>
        </is>
      </c>
      <c r="M72" s="11" t="n">
        <v>52.13</v>
      </c>
      <c r="Q72" s="11" t="n">
        <v>54.03</v>
      </c>
      <c r="U72" s="11" t="n">
        <v>63.68</v>
      </c>
    </row>
    <row r="73">
      <c r="A73" s="10" t="inlineStr">
        <is>
          <t>ChinaReportableSegmentMember · 외부 고객 매출</t>
        </is>
      </c>
      <c r="M73" s="11" t="n">
        <v>8.24</v>
      </c>
      <c r="Q73" s="11" t="n">
        <v>8.94</v>
      </c>
      <c r="U73" s="11" t="n">
        <v>9.460000000000001</v>
      </c>
    </row>
    <row r="74">
      <c r="A74" s="10" t="inlineStr">
        <is>
          <t>SoutheastSouthAsiaReportableSegmentMember · 외부 고객 매출</t>
        </is>
      </c>
      <c r="M74" s="11" t="n">
        <v>16.34</v>
      </c>
      <c r="Q74" s="11" t="n">
        <v>17.23</v>
      </c>
      <c r="U74" s="11" t="n">
        <v>15.53</v>
      </c>
    </row>
    <row r="75">
      <c r="A75" s="10" t="inlineStr">
        <is>
          <t>NorthAmericaReportableSegmentMember · 외부 고객 매출</t>
        </is>
      </c>
      <c r="M75" s="11" t="n">
        <v>5.83</v>
      </c>
      <c r="Q75" s="11" t="n">
        <v>4.95</v>
      </c>
      <c r="U75" s="11" t="n">
        <v>4.39</v>
      </c>
    </row>
    <row r="76">
      <c r="A76" s="10" t="inlineStr">
        <is>
          <t>JapanReportableSegmentMember · 외부 고객 매출</t>
        </is>
      </c>
      <c r="AB76" s="11" t="n">
        <v>202.29</v>
      </c>
      <c r="AC76" s="11" t="n">
        <v>216.4</v>
      </c>
      <c r="AD76" s="11" t="n">
        <v>222.49</v>
      </c>
    </row>
    <row r="77">
      <c r="A77" s="10" t="inlineStr">
        <is>
          <t>ChinaReportableSegmentMember · 외부 고객 매출</t>
        </is>
      </c>
      <c r="AB77" s="11" t="n">
        <v>35.36</v>
      </c>
      <c r="AC77" s="11" t="n">
        <v>37.58</v>
      </c>
      <c r="AD77" s="11" t="n">
        <v>38.11</v>
      </c>
    </row>
    <row r="78">
      <c r="A78" s="10" t="inlineStr">
        <is>
          <t>SoutheastSouthAsiaReportableSegmentMember · 외부 고객 매출</t>
        </is>
      </c>
      <c r="AB78" s="11" t="n">
        <v>67.37</v>
      </c>
      <c r="AC78" s="11" t="n">
        <v>68.62</v>
      </c>
      <c r="AD78" s="11" t="n">
        <v>67.62</v>
      </c>
    </row>
    <row r="79">
      <c r="A79" s="10" t="inlineStr">
        <is>
          <t>NorthAmericaReportableSegmentMember · 외부 고객 매출</t>
        </is>
      </c>
      <c r="AB79" s="11" t="n">
        <v>13.84</v>
      </c>
      <c r="AC79" s="11" t="n">
        <v>21.13</v>
      </c>
      <c r="AD79" s="11" t="n">
        <v>20.5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1" t="inlineStr">
        <is>
          <t>출처 · 쓴 결산단신</t>
        </is>
      </c>
    </row>
    <row r="3">
      <c r="A3" s="12" t="inlineStr">
        <is>
          <t>공시일</t>
        </is>
      </c>
      <c r="B3" s="12" t="inlineStr">
        <is>
          <t>문서</t>
        </is>
      </c>
      <c r="C3" s="12" t="inlineStr">
        <is>
          <t>PDF</t>
        </is>
      </c>
    </row>
    <row r="4">
      <c r="A4" t="inlineStr">
        <is>
          <t>2026-10-15</t>
        </is>
      </c>
      <c r="B4" t="inlineStr">
        <is>
          <t>2027년 2월 결산기 ２분기 결산단신</t>
        </is>
      </c>
      <c r="C4" t="inlineStr">
        <is>
          <t>https://www2.jpx.co.jp/disc/50180/140120261013549333.pdf</t>
        </is>
      </c>
    </row>
    <row r="5">
      <c r="A5" t="inlineStr">
        <is>
          <t>2026-07-09</t>
        </is>
      </c>
      <c r="B5" t="inlineStr">
        <is>
          <t>2027년 2월 결산기 １분기 결산단신</t>
        </is>
      </c>
      <c r="C5" t="inlineStr">
        <is>
          <t>https://www2.jpx.co.jp/disc/50180/140120260707589166.pdf</t>
        </is>
      </c>
    </row>
    <row r="6">
      <c r="A6" t="inlineStr">
        <is>
          <t>2026-04-14</t>
        </is>
      </c>
      <c r="B6" t="inlineStr">
        <is>
          <t>2026년 2월 결산기 연간 결산단신</t>
        </is>
      </c>
      <c r="C6" t="inlineStr">
        <is>
          <t>https://www2.jpx.co.jp/disc/50180/140120260413502213.pdf</t>
        </is>
      </c>
    </row>
    <row r="7">
      <c r="A7" t="inlineStr">
        <is>
          <t>2026-01-13</t>
        </is>
      </c>
      <c r="B7" t="inlineStr">
        <is>
          <t>2026년 2월 결산기 ３분기 결산단신</t>
        </is>
      </c>
      <c r="C7" t="inlineStr">
        <is>
          <t>https://www2.jpx.co.jp/disc/50180/140120260113532104.pdf</t>
        </is>
      </c>
    </row>
    <row r="8">
      <c r="A8" t="inlineStr">
        <is>
          <t>2025-10-14</t>
        </is>
      </c>
      <c r="B8" t="inlineStr">
        <is>
          <t>2026년 2월 결산기 ２분기 결산단신</t>
        </is>
      </c>
      <c r="C8" t="inlineStr">
        <is>
          <t>https://www2.jpx.co.jp/disc/50180/140120251008570155.pdf</t>
        </is>
      </c>
    </row>
    <row r="9">
      <c r="A9" t="inlineStr">
        <is>
          <t>2025-07-10</t>
        </is>
      </c>
      <c r="B9" t="inlineStr">
        <is>
          <t>2026년 2월 결산기 １분기 결산단신</t>
        </is>
      </c>
      <c r="C9" t="inlineStr">
        <is>
          <t>https://www2.jpx.co.jp/disc/50180/140120250709510833.pdf</t>
        </is>
      </c>
    </row>
    <row r="10">
      <c r="A10" t="inlineStr">
        <is>
          <t>2025-04-11</t>
        </is>
      </c>
      <c r="B10" t="inlineStr">
        <is>
          <t>2025년 2월 결산기 연간 결산단신</t>
        </is>
      </c>
      <c r="C10" t="inlineStr">
        <is>
          <t>https://www2.jpx.co.jp/disc/50180/140120250410512772.pdf</t>
        </is>
      </c>
    </row>
    <row r="11">
      <c r="A11" t="inlineStr">
        <is>
          <t>2025-01-14</t>
        </is>
      </c>
      <c r="B11" t="inlineStr">
        <is>
          <t>2025년 2월 결산기 ３분기 결산단신</t>
        </is>
      </c>
      <c r="C11" t="inlineStr">
        <is>
          <t>https://www2.jpx.co.jp/disc/50180/140120250110549509.pdf</t>
        </is>
      </c>
    </row>
    <row r="12">
      <c r="A12" t="inlineStr">
        <is>
          <t>2024-10-11</t>
        </is>
      </c>
      <c r="B12" t="inlineStr">
        <is>
          <t>2025년 2월 결산기 ２분기 결산단신</t>
        </is>
      </c>
      <c r="C12" t="inlineStr">
        <is>
          <t>https://www2.jpx.co.jp/disc/50180/140120241009595619.pdf</t>
        </is>
      </c>
    </row>
    <row r="13">
      <c r="A13" t="inlineStr">
        <is>
          <t>2024-07-12</t>
        </is>
      </c>
      <c r="B13" t="inlineStr">
        <is>
          <t>2025년 2월 결산기 １분기 결산단신</t>
        </is>
      </c>
      <c r="C13" t="inlineStr">
        <is>
          <t>https://www2.jpx.co.jp/disc/50180/140120240711548183.pdf</t>
        </is>
      </c>
    </row>
    <row r="14">
      <c r="A14" t="inlineStr">
        <is>
          <t>2024-04-12</t>
        </is>
      </c>
      <c r="B14" t="inlineStr">
        <is>
          <t>2024년 2월 결산기 연간 결산단신</t>
        </is>
      </c>
      <c r="C14" t="inlineStr">
        <is>
          <t>https://www2.jpx.co.jp/disc/50180/140120240412570013.pdf</t>
        </is>
      </c>
    </row>
    <row r="15">
      <c r="A15" t="inlineStr">
        <is>
          <t>2024-01-15</t>
        </is>
      </c>
      <c r="B15" t="inlineStr">
        <is>
          <t>2024년 2월 결산기 ３분기 결산단신</t>
        </is>
      </c>
      <c r="C15" t="inlineStr">
        <is>
          <t>https://www2.jpx.co.jp/disc/50180/140120240115515157.pdf</t>
        </is>
      </c>
    </row>
    <row r="16">
      <c r="A16" t="inlineStr">
        <is>
          <t>2023-10-12</t>
        </is>
      </c>
      <c r="B16" t="inlineStr">
        <is>
          <t>2024년 2월 결산기 ２분기 결산단신</t>
        </is>
      </c>
      <c r="C16" t="inlineStr">
        <is>
          <t>https://www2.jpx.co.jp/disc/50180/140120231011565188.pdf</t>
        </is>
      </c>
    </row>
    <row r="17">
      <c r="A17" t="inlineStr">
        <is>
          <t>2023-07-12</t>
        </is>
      </c>
      <c r="B17" t="inlineStr">
        <is>
          <t>2024년 2월 결산기 １분기 결산단신</t>
        </is>
      </c>
      <c r="C17" t="inlineStr">
        <is>
          <t>https://www2.jpx.co.jp/disc/50180/140120230711520396.pdf</t>
        </is>
      </c>
    </row>
    <row r="18">
      <c r="A18" t="inlineStr">
        <is>
          <t>2023-04-11</t>
        </is>
      </c>
      <c r="B18" t="inlineStr">
        <is>
          <t>2023년 2월 결산기 연간 결산단신</t>
        </is>
      </c>
      <c r="C18" t="inlineStr">
        <is>
          <t>https://www2.jpx.co.jp/disc/50180/140120230410545035.pdf</t>
        </is>
      </c>
    </row>
    <row r="19">
      <c r="A19" t="inlineStr">
        <is>
          <t>2023-01-13</t>
        </is>
      </c>
      <c r="B19" t="inlineStr">
        <is>
          <t>2023년 2월 결산기 ３분기 결산단신</t>
        </is>
      </c>
      <c r="C19" t="inlineStr">
        <is>
          <t>https://www2.jpx.co.jp/disc/50180/140120230112588204.pdf</t>
        </is>
      </c>
    </row>
    <row r="20">
      <c r="A20" t="inlineStr">
        <is>
          <t>2022-10-13</t>
        </is>
      </c>
      <c r="B20" t="inlineStr">
        <is>
          <t>2023년 2월 결산기 ２분기 결산단신</t>
        </is>
      </c>
      <c r="C20" t="inlineStr">
        <is>
          <t>https://www2.jpx.co.jp/disc/50180/140120221012543355.pdf</t>
        </is>
      </c>
    </row>
    <row r="21">
      <c r="A21" t="inlineStr">
        <is>
          <t>2022-07-13</t>
        </is>
      </c>
      <c r="B21" t="inlineStr">
        <is>
          <t>2023년 2월 결산기 １분기 결산단신</t>
        </is>
      </c>
      <c r="C21" t="inlineStr">
        <is>
          <t>https://www2.jpx.co.jp/disc/50180/140120220712598366.pdf</t>
        </is>
      </c>
    </row>
    <row r="22">
      <c r="A22" t="inlineStr">
        <is>
          <t>2022-04-12</t>
        </is>
      </c>
      <c r="B22" t="inlineStr">
        <is>
          <t>2022년 2월 결산기 연간 결산단신</t>
        </is>
      </c>
      <c r="C22" t="inlineStr">
        <is>
          <t>https://www2.jpx.co.jp/disc/50180/140120220411519752.pdf</t>
        </is>
      </c>
    </row>
    <row r="23">
      <c r="A23" t="inlineStr">
        <is>
          <t>2022-01-13</t>
        </is>
      </c>
      <c r="B23" t="inlineStr">
        <is>
          <t>2022년 2월 결산기 ３분기 결산단신</t>
        </is>
      </c>
      <c r="C23" t="inlineStr">
        <is>
          <t>https://www2.jpx.co.jp/disc/50180/140120220112566203.pdf</t>
        </is>
      </c>
    </row>
    <row r="24">
      <c r="A24" t="inlineStr">
        <is>
          <t>2021-10-13</t>
        </is>
      </c>
      <c r="B24" t="inlineStr">
        <is>
          <t>2022년 2월 결산기 ２분기 결산단신</t>
        </is>
      </c>
      <c r="C24" t="inlineStr">
        <is>
          <t>https://www2.jpx.co.jp/disc/50180/140120211012409590.pdf</t>
        </is>
      </c>
    </row>
    <row r="25">
      <c r="A25" t="inlineStr">
        <is>
          <t>2021-07-13</t>
        </is>
      </c>
      <c r="B25" t="inlineStr">
        <is>
          <t>2022년 2월 결산기 １분기 결산단신</t>
        </is>
      </c>
      <c r="C25" t="inlineStr">
        <is>
          <t>https://www2.jpx.co.jp/disc/50180/140120210712464796.pdf</t>
        </is>
      </c>
    </row>
    <row r="26">
      <c r="A26" t="inlineStr">
        <is>
          <t>2021-04-13</t>
        </is>
      </c>
      <c r="B26" t="inlineStr">
        <is>
          <t>2021년 2월 결산기 연간 결산단신</t>
        </is>
      </c>
      <c r="C26" t="inlineStr">
        <is>
          <t>https://www2.jpx.co.jp/disc/50180/140120210412493063.pdf</t>
        </is>
      </c>
    </row>
    <row r="27">
      <c r="A27" t="inlineStr">
        <is>
          <t>2021-01-13</t>
        </is>
      </c>
      <c r="B27" t="inlineStr">
        <is>
          <t>2021년 2월 결산기 ３분기 결산단신</t>
        </is>
      </c>
      <c r="C27" t="inlineStr">
        <is>
          <t>https://www2.jpx.co.jp/disc/50180/140120210112442901.pdf</t>
        </is>
      </c>
    </row>
    <row r="28">
      <c r="A28" t="inlineStr">
        <is>
          <t>2020-10-13</t>
        </is>
      </c>
      <c r="B28" t="inlineStr">
        <is>
          <t>2021년 2월 결산기 ２분기 결산단신</t>
        </is>
      </c>
      <c r="C28" t="inlineStr">
        <is>
          <t>https://www2.jpx.co.jp/disc/50180/140120201012402452.pdf</t>
        </is>
      </c>
    </row>
    <row r="29">
      <c r="A29" t="inlineStr">
        <is>
          <t>2020-07-14</t>
        </is>
      </c>
      <c r="B29" t="inlineStr">
        <is>
          <t>2021년 2월 결산기 １분기 결산단신</t>
        </is>
      </c>
      <c r="C29" t="inlineStr">
        <is>
          <t>https://www2.jpx.co.jp/disc/50180/140120200710460897.pdf</t>
        </is>
      </c>
    </row>
    <row r="30">
      <c r="A30" t="inlineStr">
        <is>
          <t>2020-04-13</t>
        </is>
      </c>
      <c r="B30" t="inlineStr">
        <is>
          <t>2020년 2월 결산기 연간 결산단신</t>
        </is>
      </c>
      <c r="C30" t="inlineStr">
        <is>
          <t>https://www2.jpx.co.jp/disc/50180/140120200413492795.pdf</t>
        </is>
      </c>
    </row>
    <row r="31">
      <c r="A31" t="inlineStr">
        <is>
          <t>2020-01-14</t>
        </is>
      </c>
      <c r="B31" t="inlineStr">
        <is>
          <t>2020년 2월 결산기 ３분기 결산단신</t>
        </is>
      </c>
      <c r="C31" t="inlineStr">
        <is>
          <t>https://www2.jpx.co.jp/disc/50180/140120200113446131.pdf</t>
        </is>
      </c>
    </row>
    <row r="32">
      <c r="A32" t="inlineStr">
        <is>
          <t>2019-10-11</t>
        </is>
      </c>
      <c r="B32" t="inlineStr">
        <is>
          <t>2020년 2월 결산기 ２분기 결산단신</t>
        </is>
      </c>
      <c r="C32" t="inlineStr">
        <is>
          <t>https://www2.jpx.co.jp/disc/50180/140120191010406703.pdf</t>
        </is>
      </c>
    </row>
    <row r="33">
      <c r="A33" t="inlineStr">
        <is>
          <t>2019-07-09</t>
        </is>
      </c>
      <c r="B33" t="inlineStr">
        <is>
          <t>2020년 2월 결산기 １분기 결산단신</t>
        </is>
      </c>
      <c r="C33" t="inlineStr">
        <is>
          <t>https://www2.jpx.co.jp/disc/50180/140120190708468670.pdf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2026-10-25T06:59:08Z</dcterms:created>
  <dcterms:modified xmlns:dcterms="http://purl.org/dc/terms/" xmlns:xsi="http://www.w3.org/2001/XMLSchema-instance" xsi:type="dcterms:W3CDTF">2026-10-25T06:59:09Z</dcterms:modified>
</cp:coreProperties>
</file>