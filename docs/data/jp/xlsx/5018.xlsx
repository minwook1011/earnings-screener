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6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모레스코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8345</v>
      </c>
      <c r="D4" s="12" t="n">
        <v>8155</v>
      </c>
      <c r="E4" s="12" t="n">
        <v>8254</v>
      </c>
      <c r="F4" s="12" t="n">
        <v>8848</v>
      </c>
      <c r="G4" s="12" t="n">
        <v>8815</v>
      </c>
      <c r="H4" s="12" t="n">
        <v>8457</v>
      </c>
      <c r="I4" s="12" t="n">
        <v>8516</v>
      </c>
      <c r="J4" s="12" t="n">
        <v>8349</v>
      </c>
      <c r="K4" s="12" t="n">
        <v>8708</v>
      </c>
      <c r="L4" s="12" t="n">
        <v>9298</v>
      </c>
      <c r="M4" s="12" t="n">
        <v>9306</v>
      </c>
      <c r="N4" s="12" t="n">
        <v>10319</v>
      </c>
      <c r="O4" s="11" t="n">
        <v>26674</v>
      </c>
      <c r="P4" s="12" t="n">
        <v>27922</v>
      </c>
      <c r="Q4" s="12" t="n">
        <v>28806</v>
      </c>
      <c r="R4" s="12" t="n">
        <v>27064</v>
      </c>
      <c r="S4" s="12" t="n">
        <v>24479</v>
      </c>
      <c r="T4" s="12" t="n">
        <v>27300</v>
      </c>
      <c r="U4" s="12" t="n">
        <v>30333</v>
      </c>
      <c r="V4" s="12" t="n">
        <v>31886</v>
      </c>
      <c r="W4" s="12" t="n">
        <v>34374</v>
      </c>
      <c r="X4" s="12" t="n">
        <v>34871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JapanReportableSegmentMember</t>
        </is>
      </c>
      <c r="B7" s="10" t="n"/>
      <c r="C7" s="19" t="n">
        <v>5329</v>
      </c>
      <c r="D7" s="20" t="n">
        <v>4934</v>
      </c>
      <c r="E7" s="20" t="n">
        <v>5213</v>
      </c>
      <c r="F7" s="20" t="n">
        <v>5583</v>
      </c>
      <c r="G7" s="20" t="n">
        <v>5558</v>
      </c>
      <c r="H7" s="20" t="n">
        <v>5286</v>
      </c>
      <c r="I7" s="20" t="n">
        <v>5403</v>
      </c>
      <c r="J7" s="20" t="n">
        <v>5385</v>
      </c>
      <c r="K7" s="20" t="n">
        <v>5561</v>
      </c>
      <c r="L7" s="20" t="n">
        <v>5900</v>
      </c>
      <c r="M7" s="20" t="n">
        <v>6368</v>
      </c>
      <c r="N7" s="20" t="n">
        <v>6876</v>
      </c>
      <c r="O7" s="19" t="n"/>
      <c r="P7" s="20" t="n"/>
      <c r="Q7" s="20" t="n"/>
      <c r="R7" s="20" t="n"/>
      <c r="S7" s="20" t="n"/>
      <c r="T7" s="20" t="n"/>
      <c r="U7" s="20" t="n"/>
      <c r="V7" s="20" t="n">
        <v>20229</v>
      </c>
      <c r="W7" s="20" t="n">
        <v>21640</v>
      </c>
      <c r="X7" s="20" t="n">
        <v>22249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ChinaReportableSegmentMember</t>
        </is>
      </c>
      <c r="B10" s="10" t="n"/>
      <c r="C10" s="19" t="n">
        <v>1010</v>
      </c>
      <c r="D10" s="20" t="n">
        <v>1004</v>
      </c>
      <c r="E10" s="20" t="n">
        <v>824</v>
      </c>
      <c r="F10" s="20" t="n">
        <v>947</v>
      </c>
      <c r="G10" s="20" t="n">
        <v>1014</v>
      </c>
      <c r="H10" s="20" t="n">
        <v>973</v>
      </c>
      <c r="I10" s="20" t="n">
        <v>894</v>
      </c>
      <c r="J10" s="20" t="n">
        <v>873</v>
      </c>
      <c r="K10" s="20" t="n">
        <v>1007</v>
      </c>
      <c r="L10" s="20" t="n">
        <v>1037</v>
      </c>
      <c r="M10" s="20" t="n">
        <v>946</v>
      </c>
      <c r="N10" s="20" t="n">
        <v>1091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3536</v>
      </c>
      <c r="W10" s="20" t="n">
        <v>3758</v>
      </c>
      <c r="X10" s="20" t="n">
        <v>3811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SoutheastSouthAsiaReportableSegmentMember</t>
        </is>
      </c>
      <c r="B13" s="10" t="n"/>
      <c r="C13" s="19" t="n">
        <v>1718</v>
      </c>
      <c r="D13" s="20" t="n">
        <v>1706</v>
      </c>
      <c r="E13" s="20" t="n">
        <v>1634</v>
      </c>
      <c r="F13" s="20" t="n">
        <v>1688</v>
      </c>
      <c r="G13" s="20" t="n">
        <v>1767</v>
      </c>
      <c r="H13" s="20" t="n">
        <v>1773</v>
      </c>
      <c r="I13" s="20" t="n">
        <v>1723</v>
      </c>
      <c r="J13" s="20" t="n">
        <v>1537</v>
      </c>
      <c r="K13" s="20" t="n">
        <v>1689</v>
      </c>
      <c r="L13" s="20" t="n">
        <v>1813</v>
      </c>
      <c r="M13" s="20" t="n">
        <v>1553</v>
      </c>
      <c r="N13" s="20" t="n">
        <v>1853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6737</v>
      </c>
      <c r="W13" s="20" t="n">
        <v>6862</v>
      </c>
      <c r="X13" s="20" t="n">
        <v>6762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NorthAmericaReportableSegmentMember</t>
        </is>
      </c>
      <c r="B16" s="10" t="n"/>
      <c r="C16" s="19" t="n">
        <v>288</v>
      </c>
      <c r="D16" s="20" t="n">
        <v>512</v>
      </c>
      <c r="E16" s="20" t="n">
        <v>583</v>
      </c>
      <c r="F16" s="20" t="n">
        <v>630</v>
      </c>
      <c r="G16" s="20" t="n">
        <v>476</v>
      </c>
      <c r="H16" s="20" t="n">
        <v>424</v>
      </c>
      <c r="I16" s="20" t="n">
        <v>495</v>
      </c>
      <c r="J16" s="20" t="n">
        <v>555</v>
      </c>
      <c r="K16" s="20" t="n">
        <v>450</v>
      </c>
      <c r="L16" s="20" t="n">
        <v>550</v>
      </c>
      <c r="M16" s="20" t="n">
        <v>439</v>
      </c>
      <c r="N16" s="20" t="n">
        <v>498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1384</v>
      </c>
      <c r="W16" s="20" t="n">
        <v>2113</v>
      </c>
      <c r="X16" s="20" t="n">
        <v>2050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>
        <v>8516</v>
      </c>
      <c r="J19" s="20" t="n"/>
      <c r="K19" s="20" t="n"/>
      <c r="L19" s="20" t="n"/>
      <c r="M19" s="20" t="n">
        <v>9306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5920</v>
      </c>
      <c r="D23" s="20" t="n">
        <v>5794</v>
      </c>
      <c r="E23" s="20" t="n">
        <v>5925</v>
      </c>
      <c r="F23" s="20" t="n">
        <v>6276</v>
      </c>
      <c r="G23" s="20" t="n">
        <v>6214</v>
      </c>
      <c r="H23" s="20" t="n">
        <v>5999</v>
      </c>
      <c r="I23" s="20" t="n">
        <v>5908</v>
      </c>
      <c r="J23" s="20" t="n">
        <v>5835</v>
      </c>
      <c r="K23" s="20" t="n">
        <v>5813</v>
      </c>
      <c r="L23" s="20" t="n">
        <v>6358</v>
      </c>
      <c r="M23" s="20" t="n">
        <v>5955</v>
      </c>
      <c r="N23" s="20" t="n">
        <v>6521</v>
      </c>
      <c r="O23" s="19" t="n">
        <v>17439</v>
      </c>
      <c r="P23" s="20" t="n">
        <v>18406</v>
      </c>
      <c r="Q23" s="20" t="n">
        <v>19487</v>
      </c>
      <c r="R23" s="20" t="n">
        <v>18330</v>
      </c>
      <c r="S23" s="20" t="n">
        <v>16640</v>
      </c>
      <c r="T23" s="20" t="n">
        <v>18575</v>
      </c>
      <c r="U23" s="20" t="n">
        <v>22204</v>
      </c>
      <c r="V23" s="20" t="n">
        <v>22902</v>
      </c>
      <c r="W23" s="20" t="n">
        <v>24414</v>
      </c>
      <c r="X23" s="20" t="n">
        <v>23914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1903</v>
      </c>
      <c r="D29" s="20" t="n">
        <v>2187</v>
      </c>
      <c r="E29" s="20" t="n">
        <v>2140</v>
      </c>
      <c r="F29" s="20" t="n">
        <v>2090</v>
      </c>
      <c r="G29" s="20" t="n">
        <v>2160</v>
      </c>
      <c r="H29" s="20" t="n">
        <v>2179</v>
      </c>
      <c r="I29" s="20" t="n">
        <v>2088</v>
      </c>
      <c r="J29" s="20" t="n">
        <v>2085</v>
      </c>
      <c r="K29" s="20" t="n">
        <v>2173</v>
      </c>
      <c r="L29" s="20" t="n">
        <v>2244</v>
      </c>
      <c r="M29" s="20" t="n">
        <v>2280</v>
      </c>
      <c r="N29" s="20" t="n">
        <v>2411</v>
      </c>
      <c r="O29" s="19" t="n">
        <v>6861</v>
      </c>
      <c r="P29" s="20" t="n">
        <v>7187</v>
      </c>
      <c r="Q29" s="20" t="n">
        <v>7369</v>
      </c>
      <c r="R29" s="20" t="n">
        <v>7456</v>
      </c>
      <c r="S29" s="20" t="n">
        <v>6996</v>
      </c>
      <c r="T29" s="20" t="n">
        <v>7291</v>
      </c>
      <c r="U29" s="20" t="n">
        <v>7606</v>
      </c>
      <c r="V29" s="20" t="n">
        <v>7759</v>
      </c>
      <c r="W29" s="20" t="n">
        <v>8569</v>
      </c>
      <c r="X29" s="20" t="n">
        <v>8590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522</v>
      </c>
      <c r="D31" s="12" t="n">
        <v>175</v>
      </c>
      <c r="E31" s="12" t="n">
        <v>189</v>
      </c>
      <c r="F31" s="12" t="n">
        <v>482</v>
      </c>
      <c r="G31" s="12" t="n">
        <v>441</v>
      </c>
      <c r="H31" s="12" t="n">
        <v>279</v>
      </c>
      <c r="I31" s="12" t="n">
        <v>520</v>
      </c>
      <c r="J31" s="12" t="n">
        <v>429</v>
      </c>
      <c r="K31" s="12" t="n">
        <v>722</v>
      </c>
      <c r="L31" s="12" t="n">
        <v>696</v>
      </c>
      <c r="M31" s="12" t="n">
        <v>1071</v>
      </c>
      <c r="N31" s="12" t="n">
        <v>1386</v>
      </c>
      <c r="O31" s="11" t="n">
        <v>2374</v>
      </c>
      <c r="P31" s="12" t="n">
        <v>2330</v>
      </c>
      <c r="Q31" s="12" t="n">
        <v>1950</v>
      </c>
      <c r="R31" s="12" t="n">
        <v>1279</v>
      </c>
      <c r="S31" s="12" t="n">
        <v>842</v>
      </c>
      <c r="T31" s="12" t="n">
        <v>1434</v>
      </c>
      <c r="U31" s="12" t="n">
        <v>523</v>
      </c>
      <c r="V31" s="12" t="n">
        <v>1225</v>
      </c>
      <c r="W31" s="12" t="n">
        <v>1391</v>
      </c>
      <c r="X31" s="12" t="n">
        <v>2367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/>
      <c r="D47" s="20" t="n">
        <v>0</v>
      </c>
      <c r="E47" s="20" t="n"/>
      <c r="F47" s="20" t="n"/>
      <c r="G47" s="20" t="n"/>
      <c r="H47" s="20" t="n">
        <v>0</v>
      </c>
      <c r="I47" s="20" t="n"/>
      <c r="J47" s="20" t="n"/>
      <c r="K47" s="20" t="n"/>
      <c r="L47" s="20" t="n"/>
      <c r="M47" s="20" t="n"/>
      <c r="N47" s="20" t="n"/>
      <c r="O47" s="19" t="n"/>
      <c r="P47" s="20" t="n">
        <v>0</v>
      </c>
      <c r="Q47" s="20" t="n">
        <v>76</v>
      </c>
      <c r="R47" s="20" t="n">
        <v>0</v>
      </c>
      <c r="S47" s="20" t="n">
        <v>0</v>
      </c>
      <c r="T47" s="20" t="n">
        <v>833</v>
      </c>
      <c r="U47" s="20" t="n">
        <v>0</v>
      </c>
      <c r="V47" s="20" t="n">
        <v>285</v>
      </c>
      <c r="W47" s="20" t="n">
        <v>0</v>
      </c>
      <c r="X47" s="20" t="n"/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34</v>
      </c>
      <c r="D49" s="20" t="n">
        <v>22</v>
      </c>
      <c r="E49" s="20" t="n">
        <v>47</v>
      </c>
      <c r="F49" s="20" t="n">
        <v>0</v>
      </c>
      <c r="G49" s="20" t="n">
        <v>0</v>
      </c>
      <c r="H49" s="20" t="n">
        <v>189</v>
      </c>
      <c r="I49" s="20" t="n">
        <v>3</v>
      </c>
      <c r="J49" s="20" t="n">
        <v>0</v>
      </c>
      <c r="K49" s="20" t="n">
        <v>0</v>
      </c>
      <c r="L49" s="20" t="n">
        <v>89</v>
      </c>
      <c r="M49" s="20" t="n">
        <v>0</v>
      </c>
      <c r="N49" s="20" t="n">
        <v>384</v>
      </c>
      <c r="O49" s="19" t="n"/>
      <c r="P49" s="20" t="n"/>
      <c r="Q49" s="20" t="n"/>
      <c r="R49" s="20" t="n">
        <v>0</v>
      </c>
      <c r="S49" s="20" t="n">
        <v>119</v>
      </c>
      <c r="T49" s="20" t="n">
        <v>0</v>
      </c>
      <c r="U49" s="20" t="n">
        <v>0</v>
      </c>
      <c r="V49" s="20" t="n">
        <v>56</v>
      </c>
      <c r="W49" s="20" t="n">
        <v>236</v>
      </c>
      <c r="X49" s="20" t="n">
        <v>92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246</v>
      </c>
      <c r="D51" s="20" t="n">
        <v>58</v>
      </c>
      <c r="E51" s="20" t="n">
        <v>277</v>
      </c>
      <c r="F51" s="20" t="n">
        <v>119</v>
      </c>
      <c r="G51" s="20" t="n">
        <v>-34</v>
      </c>
      <c r="H51" s="20" t="n">
        <v>185</v>
      </c>
      <c r="I51" s="20" t="n">
        <v>79</v>
      </c>
      <c r="J51" s="20" t="n">
        <v>112</v>
      </c>
      <c r="K51" s="20" t="n">
        <v>106</v>
      </c>
      <c r="L51" s="20" t="n">
        <v>155</v>
      </c>
      <c r="M51" s="20" t="n">
        <v>85</v>
      </c>
      <c r="N51" s="20" t="n">
        <v>222</v>
      </c>
      <c r="O51" s="19" t="n">
        <v>452</v>
      </c>
      <c r="P51" s="20" t="n">
        <v>372</v>
      </c>
      <c r="Q51" s="20" t="n">
        <v>387</v>
      </c>
      <c r="R51" s="20" t="n">
        <v>382</v>
      </c>
      <c r="S51" s="20" t="n">
        <v>353</v>
      </c>
      <c r="T51" s="20" t="n">
        <v>602</v>
      </c>
      <c r="U51" s="20" t="n">
        <v>559</v>
      </c>
      <c r="V51" s="20" t="n">
        <v>714</v>
      </c>
      <c r="W51" s="20" t="n">
        <v>547</v>
      </c>
      <c r="X51" s="20" t="n">
        <v>452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4</v>
      </c>
      <c r="D53" s="20" t="n">
        <v>105</v>
      </c>
      <c r="E53" s="20" t="n">
        <v>17</v>
      </c>
      <c r="F53" s="20" t="n">
        <v>85</v>
      </c>
      <c r="G53" s="20" t="n">
        <v>13</v>
      </c>
      <c r="H53" s="20" t="n">
        <v>2</v>
      </c>
      <c r="I53" s="20" t="n">
        <v>158</v>
      </c>
      <c r="J53" s="20" t="n">
        <v>61</v>
      </c>
      <c r="K53" s="20" t="n">
        <v>-50</v>
      </c>
      <c r="L53" s="20" t="n">
        <v>-54</v>
      </c>
      <c r="M53" s="20" t="n">
        <v>39</v>
      </c>
      <c r="N53" s="20" t="n">
        <v>-4</v>
      </c>
      <c r="O53" s="19" t="n">
        <v>169</v>
      </c>
      <c r="P53" s="20" t="n">
        <v>102</v>
      </c>
      <c r="Q53" s="20" t="n">
        <v>135</v>
      </c>
      <c r="R53" s="20" t="n">
        <v>93</v>
      </c>
      <c r="S53" s="20" t="n">
        <v>166</v>
      </c>
      <c r="T53" s="20" t="n">
        <v>26</v>
      </c>
      <c r="U53" s="20" t="n">
        <v>36</v>
      </c>
      <c r="V53" s="20" t="n">
        <v>113</v>
      </c>
      <c r="W53" s="20" t="n">
        <v>117</v>
      </c>
      <c r="X53" s="20" t="n">
        <v>115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1016</v>
      </c>
      <c r="D55" s="12" t="n">
        <v>106</v>
      </c>
      <c r="E55" s="12" t="n">
        <v>402</v>
      </c>
      <c r="F55" s="12" t="n">
        <v>515</v>
      </c>
      <c r="G55" s="12" t="n">
        <v>395</v>
      </c>
      <c r="H55" s="12" t="n">
        <v>273</v>
      </c>
      <c r="I55" s="12" t="n">
        <v>438</v>
      </c>
      <c r="J55" s="12" t="n">
        <v>481</v>
      </c>
      <c r="K55" s="12" t="n">
        <v>877</v>
      </c>
      <c r="L55" s="12" t="n">
        <v>816</v>
      </c>
      <c r="M55" s="12" t="n">
        <v>1117</v>
      </c>
      <c r="N55" s="12" t="n">
        <v>1229</v>
      </c>
      <c r="O55" s="11" t="n">
        <v>2658</v>
      </c>
      <c r="P55" s="12" t="n">
        <v>2600</v>
      </c>
      <c r="Q55" s="12" t="n">
        <v>2278</v>
      </c>
      <c r="R55" s="12" t="n">
        <v>1568</v>
      </c>
      <c r="S55" s="12" t="n">
        <v>911</v>
      </c>
      <c r="T55" s="12" t="n">
        <v>2844</v>
      </c>
      <c r="U55" s="12" t="n">
        <v>1046</v>
      </c>
      <c r="V55" s="12" t="n">
        <v>2055</v>
      </c>
      <c r="W55" s="12" t="n">
        <v>1585</v>
      </c>
      <c r="X55" s="12" t="n">
        <v>2612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193</v>
      </c>
      <c r="D57" s="20" t="n">
        <v>151</v>
      </c>
      <c r="E57" s="20" t="n">
        <v>111</v>
      </c>
      <c r="F57" s="20" t="n">
        <v>163</v>
      </c>
      <c r="G57" s="20" t="n">
        <v>93</v>
      </c>
      <c r="H57" s="20" t="n">
        <v>44</v>
      </c>
      <c r="I57" s="20" t="n">
        <v>173</v>
      </c>
      <c r="J57" s="20" t="n">
        <v>180</v>
      </c>
      <c r="K57" s="20" t="n">
        <v>153</v>
      </c>
      <c r="L57" s="20" t="n">
        <v>371</v>
      </c>
      <c r="M57" s="20" t="n">
        <v>298</v>
      </c>
      <c r="N57" s="20" t="n">
        <v>304</v>
      </c>
      <c r="O57" s="19" t="n">
        <v>743</v>
      </c>
      <c r="P57" s="20" t="n">
        <v>663</v>
      </c>
      <c r="Q57" s="20" t="n">
        <v>576</v>
      </c>
      <c r="R57" s="20" t="n">
        <v>540</v>
      </c>
      <c r="S57" s="20" t="n">
        <v>240</v>
      </c>
      <c r="T57" s="20" t="n">
        <v>831</v>
      </c>
      <c r="U57" s="20" t="n">
        <v>320</v>
      </c>
      <c r="V57" s="20" t="n">
        <v>606</v>
      </c>
      <c r="W57" s="20" t="n">
        <v>411</v>
      </c>
      <c r="X57" s="20" t="n">
        <v>877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823</v>
      </c>
      <c r="D59" s="12" t="n">
        <v>-45</v>
      </c>
      <c r="E59" s="12" t="n">
        <v>291</v>
      </c>
      <c r="F59" s="12" t="n">
        <v>353</v>
      </c>
      <c r="G59" s="12" t="n">
        <v>301</v>
      </c>
      <c r="H59" s="12" t="n">
        <v>229</v>
      </c>
      <c r="I59" s="12" t="n">
        <v>265</v>
      </c>
      <c r="J59" s="12" t="n">
        <v>301</v>
      </c>
      <c r="K59" s="12" t="n">
        <v>723</v>
      </c>
      <c r="L59" s="12" t="n">
        <v>446</v>
      </c>
      <c r="M59" s="12" t="n">
        <v>819</v>
      </c>
      <c r="N59" s="12" t="n">
        <v>925</v>
      </c>
      <c r="O59" s="11" t="n">
        <v>1915</v>
      </c>
      <c r="P59" s="12" t="n">
        <v>1936</v>
      </c>
      <c r="Q59" s="12" t="n">
        <v>1702</v>
      </c>
      <c r="R59" s="12" t="n">
        <v>1028</v>
      </c>
      <c r="S59" s="12" t="n">
        <v>670</v>
      </c>
      <c r="T59" s="12" t="n">
        <v>2013</v>
      </c>
      <c r="U59" s="12" t="n">
        <v>726</v>
      </c>
      <c r="V59" s="12" t="n">
        <v>1449</v>
      </c>
      <c r="W59" s="12" t="n">
        <v>1174</v>
      </c>
      <c r="X59" s="12" t="n">
        <v>1735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766</v>
      </c>
      <c r="D61" s="12" t="n">
        <v>-52</v>
      </c>
      <c r="E61" s="12" t="n">
        <v>250</v>
      </c>
      <c r="F61" s="12" t="n">
        <v>326</v>
      </c>
      <c r="G61" s="12" t="n">
        <v>243</v>
      </c>
      <c r="H61" s="12" t="n">
        <v>194</v>
      </c>
      <c r="I61" s="12" t="n">
        <v>237</v>
      </c>
      <c r="J61" s="12" t="n">
        <v>269</v>
      </c>
      <c r="K61" s="12" t="n">
        <v>669</v>
      </c>
      <c r="L61" s="12" t="n">
        <v>350</v>
      </c>
      <c r="M61" s="12" t="n">
        <v>731</v>
      </c>
      <c r="N61" s="12" t="n">
        <v>785</v>
      </c>
      <c r="O61" s="11" t="n">
        <v>1600</v>
      </c>
      <c r="P61" s="12" t="n">
        <v>1623</v>
      </c>
      <c r="Q61" s="12" t="n">
        <v>1438</v>
      </c>
      <c r="R61" s="12" t="n">
        <v>776</v>
      </c>
      <c r="S61" s="12" t="n">
        <v>518</v>
      </c>
      <c r="T61" s="12" t="n">
        <v>1808</v>
      </c>
      <c r="U61" s="12" t="n">
        <v>615</v>
      </c>
      <c r="V61" s="12" t="n">
        <v>1283</v>
      </c>
      <c r="W61" s="12" t="n">
        <v>1013</v>
      </c>
      <c r="X61" s="12" t="n">
        <v>1525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(2026.10.28)</t>
        </is>
      </c>
      <c r="B65" s="27" t="n">
        <v>2883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9696500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2026.10.28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2024.3Q</t>
        </is>
      </c>
      <c r="D95" s="5" t="inlineStr">
        <is>
          <t>2024.4Q</t>
        </is>
      </c>
      <c r="E95" s="5" t="inlineStr">
        <is>
          <t>2025.1Q</t>
        </is>
      </c>
      <c r="F95" s="5" t="inlineStr">
        <is>
          <t>2025.2Q</t>
        </is>
      </c>
      <c r="G95" s="5" t="inlineStr">
        <is>
          <t>2025.3Q</t>
        </is>
      </c>
      <c r="H95" s="5" t="inlineStr">
        <is>
          <t>2025.4Q</t>
        </is>
      </c>
      <c r="I95" s="5" t="inlineStr">
        <is>
          <t>2026.1Q</t>
        </is>
      </c>
      <c r="J95" s="5" t="inlineStr">
        <is>
          <t>2026.2Q</t>
        </is>
      </c>
      <c r="K95" s="5" t="inlineStr">
        <is>
          <t>2026.3Q</t>
        </is>
      </c>
      <c r="L95" s="5" t="inlineStr">
        <is>
          <t>2026.4Q</t>
        </is>
      </c>
      <c r="M95" s="5" t="inlineStr">
        <is>
          <t>2027.1Q</t>
        </is>
      </c>
      <c r="N95" s="5" t="inlineStr">
        <is>
          <t>2027.2Q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8345</v>
      </c>
      <c r="D96" s="12" t="n">
        <v>8155</v>
      </c>
      <c r="E96" s="12" t="n">
        <v>8254</v>
      </c>
      <c r="F96" s="12" t="n">
        <v>8848</v>
      </c>
      <c r="G96" s="12" t="n">
        <v>8815</v>
      </c>
      <c r="H96" s="12" t="n">
        <v>8457</v>
      </c>
      <c r="I96" s="12" t="n">
        <v>8516</v>
      </c>
      <c r="J96" s="12" t="n">
        <v>8349</v>
      </c>
      <c r="K96" s="12" t="n">
        <v>8708</v>
      </c>
      <c r="L96" s="12" t="n">
        <v>9298</v>
      </c>
      <c r="M96" s="12" t="n">
        <v>9306</v>
      </c>
      <c r="N96" s="12" t="n">
        <v>10319</v>
      </c>
      <c r="T96" s="12" t="n">
        <v>6885</v>
      </c>
      <c r="U96" s="12" t="n">
        <v>7854</v>
      </c>
      <c r="V96" s="12" t="n">
        <v>8155</v>
      </c>
      <c r="W96" s="12" t="n">
        <v>8457</v>
      </c>
      <c r="X96" s="12" t="n">
        <v>9298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T97" s="15">
        <f>IF(OR(T96="",S96=""),"",IF(S96&lt;=0,"",IFERROR(T96/S96-1,"")))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5920</v>
      </c>
      <c r="D98" s="20" t="n">
        <v>5794</v>
      </c>
      <c r="E98" s="20" t="n">
        <v>5925</v>
      </c>
      <c r="F98" s="20" t="n">
        <v>6276</v>
      </c>
      <c r="G98" s="20" t="n">
        <v>6214</v>
      </c>
      <c r="H98" s="20" t="n">
        <v>5999</v>
      </c>
      <c r="I98" s="20" t="n">
        <v>5908</v>
      </c>
      <c r="J98" s="20" t="n">
        <v>5835</v>
      </c>
      <c r="K98" s="20" t="n">
        <v>5813</v>
      </c>
      <c r="L98" s="20" t="n">
        <v>6358</v>
      </c>
      <c r="M98" s="20" t="n">
        <v>5955</v>
      </c>
      <c r="N98" s="20" t="n">
        <v>6521</v>
      </c>
      <c r="T98" s="20" t="n">
        <v>4932</v>
      </c>
      <c r="U98" s="20" t="n">
        <v>5913</v>
      </c>
      <c r="V98" s="20" t="n">
        <v>5794</v>
      </c>
      <c r="W98" s="20" t="n">
        <v>5999</v>
      </c>
      <c r="X98" s="20" t="n">
        <v>6358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T99" s="15">
        <f>IF(OR(T98="",S98=""),"",IF(T98*S98&lt;=0,"",IFERROR(T98/S98-1,"")))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2426</v>
      </c>
      <c r="D100" s="12" t="n">
        <v>2361</v>
      </c>
      <c r="E100" s="12" t="n">
        <v>2330</v>
      </c>
      <c r="F100" s="12" t="n">
        <v>2571</v>
      </c>
      <c r="G100" s="12" t="n">
        <v>2601</v>
      </c>
      <c r="H100" s="12" t="n">
        <v>2458</v>
      </c>
      <c r="I100" s="12" t="n">
        <v>2608</v>
      </c>
      <c r="J100" s="12" t="n">
        <v>2514</v>
      </c>
      <c r="K100" s="12" t="n">
        <v>2895</v>
      </c>
      <c r="L100" s="12" t="n">
        <v>2940</v>
      </c>
      <c r="M100" s="12" t="n">
        <v>3351</v>
      </c>
      <c r="N100" s="12" t="n">
        <v>3798</v>
      </c>
      <c r="T100" s="12" t="n">
        <v>1953</v>
      </c>
      <c r="U100" s="12" t="n">
        <v>1941</v>
      </c>
      <c r="V100" s="12" t="n">
        <v>2361</v>
      </c>
      <c r="W100" s="12" t="n">
        <v>2458</v>
      </c>
      <c r="X100" s="12" t="n">
        <v>2940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T101" s="15">
        <f>IF(OR(T100="",S100=""),"",IF(S100&lt;=0,"",IFERROR(T100/S100-1,"")))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1903</v>
      </c>
      <c r="D102" s="20" t="n">
        <v>2187</v>
      </c>
      <c r="E102" s="20" t="n">
        <v>2140</v>
      </c>
      <c r="F102" s="20" t="n">
        <v>2090</v>
      </c>
      <c r="G102" s="20" t="n">
        <v>2160</v>
      </c>
      <c r="H102" s="20" t="n">
        <v>2179</v>
      </c>
      <c r="I102" s="20" t="n">
        <v>2088</v>
      </c>
      <c r="J102" s="20" t="n">
        <v>2085</v>
      </c>
      <c r="K102" s="20" t="n">
        <v>2173</v>
      </c>
      <c r="L102" s="20" t="n">
        <v>2244</v>
      </c>
      <c r="M102" s="20" t="n">
        <v>2280</v>
      </c>
      <c r="N102" s="20" t="n">
        <v>2411</v>
      </c>
      <c r="T102" s="20" t="n">
        <v>1894</v>
      </c>
      <c r="U102" s="20" t="n">
        <v>1929</v>
      </c>
      <c r="V102" s="20" t="n">
        <v>2187</v>
      </c>
      <c r="W102" s="20" t="n">
        <v>2179</v>
      </c>
      <c r="X102" s="20" t="n">
        <v>2244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T103" s="15">
        <f>IF(OR(T102="",S102=""),"",IF(T102*S102&lt;=0,"",IFERROR(T102/S102-1,"")))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522</v>
      </c>
      <c r="D104" s="12" t="n">
        <v>175</v>
      </c>
      <c r="E104" s="12" t="n">
        <v>189</v>
      </c>
      <c r="F104" s="12" t="n">
        <v>482</v>
      </c>
      <c r="G104" s="12" t="n">
        <v>441</v>
      </c>
      <c r="H104" s="12" t="n">
        <v>279</v>
      </c>
      <c r="I104" s="12" t="n">
        <v>520</v>
      </c>
      <c r="J104" s="12" t="n">
        <v>429</v>
      </c>
      <c r="K104" s="12" t="n">
        <v>722</v>
      </c>
      <c r="L104" s="12" t="n">
        <v>696</v>
      </c>
      <c r="M104" s="12" t="n">
        <v>1071</v>
      </c>
      <c r="N104" s="12" t="n">
        <v>1386</v>
      </c>
      <c r="T104" s="12" t="n">
        <v>59</v>
      </c>
      <c r="U104" s="12" t="n">
        <v>12</v>
      </c>
      <c r="V104" s="12" t="n">
        <v>175</v>
      </c>
      <c r="W104" s="12" t="n">
        <v>279</v>
      </c>
      <c r="X104" s="12" t="n">
        <v>696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IF(OR(C104="",C96=""),"",IF(C96&lt;=0,"",IFERROR(C104/C96,"")))</f>
        <v/>
      </c>
      <c r="D105" s="15">
        <f>IF(OR(D104="",D96=""),"",IF(D96&lt;=0,"",IFERROR(D104/D96,"")))</f>
        <v/>
      </c>
      <c r="E105" s="15">
        <f>IF(OR(E104="",E96=""),"",IF(E96&lt;=0,"",IFERROR(E104/E96,"")))</f>
        <v/>
      </c>
      <c r="F105" s="15">
        <f>IF(OR(F104="",F96=""),"",IF(F96&lt;=0,"",IFERROR(F104/F96,"")))</f>
        <v/>
      </c>
      <c r="G105" s="15">
        <f>IF(OR(G104="",G96=""),"",IF(G96&lt;=0,"",IFERROR(G104/G96,"")))</f>
        <v/>
      </c>
      <c r="H105" s="15">
        <f>IF(OR(H104="",H96=""),"",IF(H96&lt;=0,"",IFERROR(H104/H96,"")))</f>
        <v/>
      </c>
      <c r="I105" s="15">
        <f>IF(OR(I104="",I96=""),"",IF(I96&lt;=0,"",IFERROR(I104/I96,"")))</f>
        <v/>
      </c>
      <c r="J105" s="15">
        <f>IF(OR(J104="",J96=""),"",IF(J96&lt;=0,"",IFERROR(J104/J96,"")))</f>
        <v/>
      </c>
      <c r="K105" s="15">
        <f>IF(OR(K104="",K96=""),"",IF(K96&lt;=0,"",IFERROR(K104/K96,"")))</f>
        <v/>
      </c>
      <c r="L105" s="15">
        <f>IF(OR(L104="",L96=""),"",IF(L96&lt;=0,"",IFERROR(L104/L96,"")))</f>
        <v/>
      </c>
      <c r="M105" s="15">
        <f>IF(OR(M104="",M96=""),"",IF(M96&lt;=0,"",IFERROR(M104/M96,"")))</f>
        <v/>
      </c>
      <c r="N105" s="15">
        <f>IF(OR(N104="",N96=""),"",IF(N96&lt;=0,"",IFERROR(N104/N96,"")))</f>
        <v/>
      </c>
      <c r="T105" s="15">
        <f>IF(OR(T104="",T96=""),"",IF(T96&lt;=0,"",IFERROR(T104/T96,"")))</f>
        <v/>
      </c>
      <c r="U105" s="15">
        <f>IF(OR(U104="",U96=""),"",IF(U96&lt;=0,"",IFERROR(U104/U96,"")))</f>
        <v/>
      </c>
      <c r="V105" s="15">
        <f>IF(OR(V104="",V96=""),"",IF(V96&lt;=0,"",IFERROR(V104/V96,"")))</f>
        <v/>
      </c>
      <c r="W105" s="15">
        <f>IF(OR(W104="",W96=""),"",IF(W96&lt;=0,"",IFERROR(W104/W96,"")))</f>
        <v/>
      </c>
      <c r="X105" s="15">
        <f>IF(OR(X104="",X96=""),"",IF(X96&lt;=0,"",IFERROR(X104/X96,"")))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T106" s="15">
        <f>IF(OR(T104="",S104=""),"",IF(S104&lt;=0,"",IFERROR(T104/S104-1,"")))</f>
        <v/>
      </c>
      <c r="U106" s="15">
        <f>IF(OR(U104="",T104=""),"",IF(T104&lt;=0,"",IFERROR(U104/T104-1,"")))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이자수익</t>
        </is>
      </c>
      <c r="C107" s="20" t="n">
        <v>3</v>
      </c>
      <c r="D107" s="20" t="n">
        <v>15</v>
      </c>
      <c r="E107" s="20" t="n">
        <v>7</v>
      </c>
      <c r="F107" s="20" t="n">
        <v>11</v>
      </c>
      <c r="G107" s="20" t="n">
        <v>9</v>
      </c>
      <c r="H107" s="20" t="n">
        <v>11</v>
      </c>
      <c r="I107" s="20" t="n">
        <v>7</v>
      </c>
      <c r="J107" s="20" t="n">
        <v>11</v>
      </c>
      <c r="K107" s="20" t="n">
        <v>13</v>
      </c>
      <c r="L107" s="20" t="n">
        <v>7</v>
      </c>
      <c r="M107" s="20" t="n">
        <v>10</v>
      </c>
      <c r="N107" s="20" t="n">
        <v>12</v>
      </c>
      <c r="T107" s="20" t="n">
        <v>2</v>
      </c>
      <c r="U107" s="20" t="n">
        <v>6</v>
      </c>
      <c r="V107" s="20" t="n">
        <v>15</v>
      </c>
      <c r="W107" s="20" t="n">
        <v>11</v>
      </c>
      <c r="X107" s="20" t="n">
        <v>7</v>
      </c>
    </row>
    <row r="108">
      <c r="A108" s="18" t="inlineStr">
        <is>
          <t>배당금수익</t>
        </is>
      </c>
      <c r="C108" s="20" t="n">
        <v>0</v>
      </c>
      <c r="D108" s="20" t="n">
        <v>7</v>
      </c>
      <c r="E108" s="20" t="n">
        <v>2</v>
      </c>
      <c r="F108" s="20" t="n">
        <v>16</v>
      </c>
      <c r="G108" s="20" t="n">
        <v>0</v>
      </c>
      <c r="H108" s="20" t="n">
        <v>7</v>
      </c>
      <c r="I108" s="20" t="n">
        <v>2</v>
      </c>
      <c r="J108" s="20" t="n">
        <v>20</v>
      </c>
      <c r="K108" s="20" t="n">
        <v>0</v>
      </c>
      <c r="L108" s="20" t="n">
        <v>9</v>
      </c>
      <c r="M108" s="20" t="n">
        <v>2</v>
      </c>
      <c r="N108" s="20" t="n">
        <v>22</v>
      </c>
      <c r="T108" s="20" t="n">
        <v>4</v>
      </c>
      <c r="U108" s="20" t="n">
        <v>5</v>
      </c>
      <c r="V108" s="20" t="n">
        <v>7</v>
      </c>
      <c r="W108" s="20" t="n">
        <v>7</v>
      </c>
      <c r="X108" s="20" t="n">
        <v>9</v>
      </c>
    </row>
    <row r="109">
      <c r="A109" s="18" t="inlineStr">
        <is>
          <t>지분법이익</t>
        </is>
      </c>
      <c r="C109" s="20" t="n">
        <v>203</v>
      </c>
      <c r="D109" s="20" t="n">
        <v>48</v>
      </c>
      <c r="E109" s="20" t="n">
        <v>41</v>
      </c>
      <c r="F109" s="20" t="n">
        <v>51</v>
      </c>
      <c r="G109" s="20" t="n">
        <v>65</v>
      </c>
      <c r="H109" s="20" t="n">
        <v>64</v>
      </c>
      <c r="I109" s="20" t="n">
        <v>39</v>
      </c>
      <c r="J109" s="20" t="n">
        <v>46</v>
      </c>
      <c r="K109" s="20" t="n">
        <v>52</v>
      </c>
      <c r="L109" s="20" t="n">
        <v>121</v>
      </c>
      <c r="M109" s="20" t="n">
        <v>59</v>
      </c>
      <c r="N109" s="20" t="n">
        <v>66</v>
      </c>
      <c r="T109" s="20" t="n">
        <v>113</v>
      </c>
      <c r="U109" s="20" t="n">
        <v>53</v>
      </c>
      <c r="V109" s="20" t="n">
        <v>48</v>
      </c>
      <c r="W109" s="20" t="n">
        <v>64</v>
      </c>
      <c r="X109" s="20" t="n">
        <v>121</v>
      </c>
    </row>
    <row r="110">
      <c r="A110" s="18" t="inlineStr">
        <is>
          <t>외환차익</t>
        </is>
      </c>
      <c r="C110" s="20" t="n">
        <v>24</v>
      </c>
      <c r="D110" s="20" t="n">
        <v>-41</v>
      </c>
      <c r="E110" s="20" t="n">
        <v>145</v>
      </c>
      <c r="F110" s="20" t="n">
        <v>4</v>
      </c>
      <c r="G110" s="20" t="n">
        <v>-138</v>
      </c>
      <c r="H110" s="20" t="n">
        <v>86</v>
      </c>
      <c r="I110" s="20" t="n">
        <v>0</v>
      </c>
      <c r="J110" s="20" t="n">
        <v>0</v>
      </c>
      <c r="K110" s="20" t="n">
        <v>0</v>
      </c>
      <c r="L110" s="20" t="n">
        <v>0</v>
      </c>
      <c r="T110" s="20" t="n">
        <v>86</v>
      </c>
      <c r="U110" s="20" t="n">
        <v>-187</v>
      </c>
      <c r="V110" s="20" t="n">
        <v>-41</v>
      </c>
      <c r="W110" s="20" t="n">
        <v>86</v>
      </c>
      <c r="X110" s="20" t="n">
        <v>0</v>
      </c>
    </row>
    <row r="111">
      <c r="A111" s="18" t="inlineStr">
        <is>
          <t>보조금 수입</t>
        </is>
      </c>
      <c r="C111" s="20" t="n">
        <v>0</v>
      </c>
      <c r="D111" s="20" t="n">
        <v>0</v>
      </c>
      <c r="E111" s="20" t="n">
        <v>57</v>
      </c>
      <c r="F111" s="20" t="n">
        <v>0</v>
      </c>
      <c r="G111" s="20" t="n">
        <v>40</v>
      </c>
      <c r="H111" s="20" t="n">
        <v>0</v>
      </c>
      <c r="I111" s="20" t="n">
        <v>23</v>
      </c>
      <c r="J111" s="20" t="n">
        <v>19</v>
      </c>
      <c r="K111" s="20" t="n">
        <v>29</v>
      </c>
      <c r="L111" s="20" t="n">
        <v>1</v>
      </c>
      <c r="M111" s="20" t="n">
        <v>4</v>
      </c>
      <c r="N111" s="20" t="n">
        <v>98</v>
      </c>
      <c r="V111" s="20" t="n">
        <v>0</v>
      </c>
      <c r="W111" s="20" t="n">
        <v>0</v>
      </c>
      <c r="X111" s="20" t="n">
        <v>1</v>
      </c>
    </row>
    <row r="112">
      <c r="A112" s="18" t="inlineStr">
        <is>
          <t>기타</t>
        </is>
      </c>
      <c r="C112" s="20" t="n">
        <v>16</v>
      </c>
      <c r="D112" s="20" t="n">
        <v>31</v>
      </c>
      <c r="E112" s="20" t="n">
        <v>26</v>
      </c>
      <c r="F112" s="20" t="n">
        <v>36</v>
      </c>
      <c r="G112" s="20" t="n">
        <v>-10</v>
      </c>
      <c r="H112" s="20" t="n">
        <v>17</v>
      </c>
      <c r="I112" s="20" t="n">
        <v>9</v>
      </c>
      <c r="J112" s="20" t="n">
        <v>14</v>
      </c>
      <c r="K112" s="20" t="n">
        <v>13</v>
      </c>
      <c r="L112" s="20" t="n">
        <v>17</v>
      </c>
      <c r="M112" s="20" t="n">
        <v>11</v>
      </c>
      <c r="N112" s="20" t="n">
        <v>11</v>
      </c>
      <c r="T112" s="20" t="n">
        <v>17</v>
      </c>
      <c r="U112" s="20" t="n">
        <v>30</v>
      </c>
      <c r="V112" s="20" t="n">
        <v>31</v>
      </c>
      <c r="W112" s="20" t="n">
        <v>17</v>
      </c>
      <c r="X112" s="20" t="n">
        <v>17</v>
      </c>
    </row>
    <row r="113">
      <c r="A113" s="18" t="inlineStr">
        <is>
          <t>영업외수익 합계</t>
        </is>
      </c>
      <c r="C113" s="20" t="n">
        <v>246</v>
      </c>
      <c r="D113" s="20" t="n">
        <v>58</v>
      </c>
      <c r="E113" s="20" t="n">
        <v>277</v>
      </c>
      <c r="F113" s="20" t="n">
        <v>119</v>
      </c>
      <c r="G113" s="20" t="n">
        <v>-34</v>
      </c>
      <c r="H113" s="20" t="n">
        <v>185</v>
      </c>
      <c r="I113" s="20" t="n">
        <v>79</v>
      </c>
      <c r="J113" s="20" t="n">
        <v>112</v>
      </c>
      <c r="K113" s="20" t="n">
        <v>106</v>
      </c>
      <c r="L113" s="20" t="n">
        <v>155</v>
      </c>
      <c r="M113" s="20" t="n">
        <v>85</v>
      </c>
      <c r="N113" s="20" t="n">
        <v>222</v>
      </c>
      <c r="T113" s="20" t="n">
        <v>222</v>
      </c>
      <c r="U113" s="20" t="n">
        <v>-93</v>
      </c>
      <c r="V113" s="20" t="n">
        <v>58</v>
      </c>
      <c r="W113" s="20" t="n">
        <v>185</v>
      </c>
      <c r="X113" s="20" t="n">
        <v>155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IF(OR(G113="",C113=""),"",IF(G113*C113&lt;=0,"",IFERROR(G113/C113-1,"")))</f>
        <v/>
      </c>
      <c r="H114" s="15">
        <f>IF(OR(H113="",D113=""),"",IF(H113*D113&lt;=0,"",IFERROR(H113/D113-1,"")))</f>
        <v/>
      </c>
      <c r="I114" s="15">
        <f>IF(OR(I113="",E113=""),"",IF(I113*E113&lt;=0,"",IFERROR(I113/E113-1,"")))</f>
        <v/>
      </c>
      <c r="J114" s="15">
        <f>IF(OR(J113="",F113=""),"",IF(J113*F113&lt;=0,"",IFERROR(J113/F113-1,"")))</f>
        <v/>
      </c>
      <c r="K114" s="15">
        <f>IF(OR(K113="",G113=""),"",IF(K113*G113&lt;=0,"",IFERROR(K113/G113-1,"")))</f>
        <v/>
      </c>
      <c r="L114" s="15">
        <f>IF(OR(L113="",H113=""),"",IF(L113*H113&lt;=0,"",IFERROR(L113/H113-1,"")))</f>
        <v/>
      </c>
      <c r="M114" s="15">
        <f>IF(OR(M113="",I113=""),"",IF(M113*I113&lt;=0,"",IFERROR(M113/I113-1,"")))</f>
        <v/>
      </c>
      <c r="N114" s="15">
        <f>IF(OR(N113="",J113=""),"",IF(N113*J113&lt;=0,"",IFERROR(N113/J113-1,"")))</f>
        <v/>
      </c>
      <c r="T114" s="15">
        <f>IF(OR(T113="",S113=""),"",IF(T113*S113&lt;=0,"",IFERROR(T113/S113-1,"")))</f>
        <v/>
      </c>
      <c r="U114" s="15">
        <f>IF(OR(U113="",T113=""),"",IF(U113*T113&lt;=0,"",IFERROR(U113/T113-1,"")))</f>
        <v/>
      </c>
      <c r="V114" s="15">
        <f>IF(OR(V113="",U113=""),"",IF(V113*U113&lt;=0,"",IFERROR(V113/U113-1,"")))</f>
        <v/>
      </c>
      <c r="W114" s="15">
        <f>IF(OR(W113="",V113=""),"",IF(W113*V113&lt;=0,"",IFERROR(W113/V113-1,"")))</f>
        <v/>
      </c>
      <c r="X114" s="15">
        <f>IF(OR(X113="",W113=""),"",IF(X113*W113&lt;=0,"",IFERROR(X113/W113-1,"")))</f>
        <v/>
      </c>
    </row>
    <row r="115">
      <c r="A115" s="18" t="inlineStr">
        <is>
          <t>이자비용</t>
        </is>
      </c>
      <c r="C115" s="20" t="n">
        <v>0</v>
      </c>
      <c r="D115" s="20" t="n">
        <v>12</v>
      </c>
      <c r="E115" s="20" t="n">
        <v>15</v>
      </c>
      <c r="F115" s="20" t="n">
        <v>21</v>
      </c>
      <c r="G115" s="20" t="n">
        <v>15</v>
      </c>
      <c r="H115" s="20" t="n">
        <v>16</v>
      </c>
      <c r="I115" s="20" t="n">
        <v>14</v>
      </c>
      <c r="J115" s="20" t="n">
        <v>15</v>
      </c>
      <c r="K115" s="20" t="n">
        <v>10</v>
      </c>
      <c r="L115" s="20" t="n">
        <v>7</v>
      </c>
      <c r="M115" s="20" t="n">
        <v>11</v>
      </c>
      <c r="N115" s="20" t="n">
        <v>14</v>
      </c>
      <c r="T115" s="20" t="n">
        <v>-2</v>
      </c>
      <c r="U115" s="20" t="n">
        <v>5</v>
      </c>
      <c r="V115" s="20" t="n">
        <v>12</v>
      </c>
      <c r="W115" s="20" t="n">
        <v>16</v>
      </c>
      <c r="X115" s="20" t="n">
        <v>7</v>
      </c>
    </row>
    <row r="116">
      <c r="A116" s="18" t="inlineStr">
        <is>
          <t>외환차손</t>
        </is>
      </c>
      <c r="E116" s="20" t="n">
        <v>0</v>
      </c>
      <c r="F116" s="20" t="n">
        <v>0</v>
      </c>
      <c r="G116" s="20" t="n">
        <v>0</v>
      </c>
      <c r="H116" s="20" t="n">
        <v>0</v>
      </c>
      <c r="I116" s="20" t="n">
        <v>139</v>
      </c>
      <c r="J116" s="20" t="n">
        <v>40</v>
      </c>
      <c r="K116" s="20" t="n">
        <v>-63</v>
      </c>
      <c r="L116" s="20" t="n">
        <v>-62</v>
      </c>
      <c r="M116" s="20" t="n">
        <v>21</v>
      </c>
      <c r="N116" s="20" t="n">
        <v>-21</v>
      </c>
      <c r="W116" s="20" t="n">
        <v>0</v>
      </c>
      <c r="X116" s="20" t="n">
        <v>-62</v>
      </c>
    </row>
    <row r="117">
      <c r="A117" s="18" t="inlineStr">
        <is>
          <t>고정자산 제각손실</t>
        </is>
      </c>
      <c r="D117" s="20" t="n">
        <v>1</v>
      </c>
      <c r="U117" s="20" t="n">
        <v>3</v>
      </c>
      <c r="V117" s="20" t="n">
        <v>1</v>
      </c>
    </row>
    <row r="118">
      <c r="A118" s="18" t="inlineStr">
        <is>
          <t>기타</t>
        </is>
      </c>
      <c r="C118" s="20" t="n">
        <v>4</v>
      </c>
      <c r="D118" s="20" t="n">
        <v>19</v>
      </c>
      <c r="E118" s="20" t="n">
        <v>2</v>
      </c>
      <c r="F118" s="20" t="n">
        <v>64</v>
      </c>
      <c r="G118" s="20" t="n">
        <v>-2</v>
      </c>
      <c r="H118" s="20" t="n">
        <v>-15</v>
      </c>
      <c r="I118" s="20" t="n">
        <v>5</v>
      </c>
      <c r="J118" s="20" t="n">
        <v>7</v>
      </c>
      <c r="K118" s="20" t="n">
        <v>3</v>
      </c>
      <c r="L118" s="20" t="n">
        <v>0</v>
      </c>
      <c r="M118" s="20" t="n">
        <v>7</v>
      </c>
      <c r="N118" s="20" t="n">
        <v>3</v>
      </c>
      <c r="T118" s="20" t="n">
        <v>0</v>
      </c>
      <c r="U118" s="20" t="n">
        <v>9</v>
      </c>
      <c r="V118" s="20" t="n">
        <v>19</v>
      </c>
      <c r="W118" s="20" t="n">
        <v>-15</v>
      </c>
      <c r="X118" s="20" t="n">
        <v>0</v>
      </c>
    </row>
    <row r="119">
      <c r="A119" s="18" t="inlineStr">
        <is>
          <t>영업외비용 합계</t>
        </is>
      </c>
      <c r="C119" s="20" t="n">
        <v>4</v>
      </c>
      <c r="D119" s="20" t="n">
        <v>105</v>
      </c>
      <c r="E119" s="20" t="n">
        <v>17</v>
      </c>
      <c r="F119" s="20" t="n">
        <v>85</v>
      </c>
      <c r="G119" s="20" t="n">
        <v>13</v>
      </c>
      <c r="H119" s="20" t="n">
        <v>2</v>
      </c>
      <c r="I119" s="20" t="n">
        <v>158</v>
      </c>
      <c r="J119" s="20" t="n">
        <v>61</v>
      </c>
      <c r="K119" s="20" t="n">
        <v>-50</v>
      </c>
      <c r="L119" s="20" t="n">
        <v>-54</v>
      </c>
      <c r="M119" s="20" t="n">
        <v>39</v>
      </c>
      <c r="N119" s="20" t="n">
        <v>-4</v>
      </c>
      <c r="T119" s="20" t="n">
        <v>3</v>
      </c>
      <c r="U119" s="20" t="n">
        <v>17</v>
      </c>
      <c r="V119" s="20" t="n">
        <v>105</v>
      </c>
      <c r="W119" s="20" t="n">
        <v>2</v>
      </c>
      <c r="X119" s="20" t="n">
        <v>-54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IF(OR(G119="",C119=""),"",IF(G119*C119&lt;=0,"",IFERROR(G119/C119-1,"")))</f>
        <v/>
      </c>
      <c r="H120" s="15">
        <f>IF(OR(H119="",D119=""),"",IF(H119*D119&lt;=0,"",IFERROR(H119/D119-1,"")))</f>
        <v/>
      </c>
      <c r="I120" s="15">
        <f>IF(OR(I119="",E119=""),"",IF(I119*E119&lt;=0,"",IFERROR(I119/E119-1,"")))</f>
        <v/>
      </c>
      <c r="J120" s="15">
        <f>IF(OR(J119="",F119=""),"",IF(J119*F119&lt;=0,"",IFERROR(J119/F119-1,"")))</f>
        <v/>
      </c>
      <c r="K120" s="15">
        <f>IF(OR(K119="",G119=""),"",IF(K119*G119&lt;=0,"",IFERROR(K119/G119-1,"")))</f>
        <v/>
      </c>
      <c r="L120" s="15">
        <f>IF(OR(L119="",H119=""),"",IF(L119*H119&lt;=0,"",IFERROR(L119/H119-1,"")))</f>
        <v/>
      </c>
      <c r="M120" s="15">
        <f>IF(OR(M119="",I119=""),"",IF(M119*I119&lt;=0,"",IFERROR(M119/I119-1,"")))</f>
        <v/>
      </c>
      <c r="N120" s="15">
        <f>IF(OR(N119="",J119=""),"",IF(N119*J119&lt;=0,"",IFERROR(N119/J119-1,"")))</f>
        <v/>
      </c>
      <c r="T120" s="15">
        <f>IF(OR(T119="",S119=""),"",IF(T119*S119&lt;=0,"",IFERROR(T119/S119-1,"")))</f>
        <v/>
      </c>
      <c r="U120" s="15">
        <f>IF(OR(U119="",T119=""),"",IF(U119*T119&lt;=0,"",IFERROR(U119/T119-1,"")))</f>
        <v/>
      </c>
      <c r="V120" s="15">
        <f>IF(OR(V119="",U119=""),"",IF(V119*U119&lt;=0,"",IFERROR(V119/U119-1,"")))</f>
        <v/>
      </c>
      <c r="W120" s="15">
        <f>IF(OR(W119="",V119=""),"",IF(W119*V119&lt;=0,"",IFERROR(W119/V119-1,"")))</f>
        <v/>
      </c>
      <c r="X120" s="15">
        <f>IF(OR(X119="",W119=""),"",IF(X119*W119&lt;=0,"",IFERROR(X119/W119-1,"")))</f>
        <v/>
      </c>
    </row>
    <row r="121">
      <c r="A121" s="9" t="inlineStr">
        <is>
          <t>경상이익</t>
        </is>
      </c>
      <c r="C121" s="12" t="n">
        <v>766</v>
      </c>
      <c r="D121" s="12" t="n">
        <v>127</v>
      </c>
      <c r="E121" s="12" t="n">
        <v>450</v>
      </c>
      <c r="F121" s="12" t="n">
        <v>515</v>
      </c>
      <c r="G121" s="12" t="n">
        <v>394</v>
      </c>
      <c r="H121" s="12" t="n">
        <v>462</v>
      </c>
      <c r="I121" s="12" t="n">
        <v>441</v>
      </c>
      <c r="J121" s="12" t="n">
        <v>481</v>
      </c>
      <c r="K121" s="12" t="n">
        <v>876</v>
      </c>
      <c r="L121" s="12" t="n">
        <v>906</v>
      </c>
      <c r="M121" s="12" t="n">
        <v>1117</v>
      </c>
      <c r="N121" s="12" t="n">
        <v>1612</v>
      </c>
      <c r="T121" s="12" t="n">
        <v>279</v>
      </c>
      <c r="U121" s="12" t="n">
        <v>-98</v>
      </c>
      <c r="V121" s="12" t="n">
        <v>127</v>
      </c>
      <c r="W121" s="12" t="n">
        <v>462</v>
      </c>
      <c r="X121" s="12" t="n">
        <v>906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T122" s="15">
        <f>IF(OR(T121="",S121=""),"",IF(S121&lt;=0,"",IFERROR(T121/S121-1,"")))</f>
        <v/>
      </c>
      <c r="U122" s="15">
        <f>IF(OR(U121="",T121=""),"",IF(T121&lt;=0,"",IFERROR(U121/T121-1,"")))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3">
      <c r="A123" s="18" t="inlineStr">
        <is>
          <t>고정자산 매각이익</t>
        </is>
      </c>
      <c r="T123" s="20" t="n">
        <v>0</v>
      </c>
      <c r="U123" s="20" t="n">
        <v>0</v>
      </c>
    </row>
    <row r="124">
      <c r="A124" s="18" t="inlineStr">
        <is>
          <t>부의 영업권 발생이익</t>
        </is>
      </c>
      <c r="D124" s="20" t="n">
        <v>0</v>
      </c>
      <c r="H124" s="20" t="n">
        <v>0</v>
      </c>
      <c r="U124" s="20" t="n">
        <v>0</v>
      </c>
      <c r="V124" s="20" t="n">
        <v>0</v>
      </c>
      <c r="W124" s="20" t="n">
        <v>0</v>
      </c>
    </row>
    <row r="125">
      <c r="A125" s="18" t="inlineStr">
        <is>
          <t>특별이익 합계</t>
        </is>
      </c>
      <c r="D125" s="20" t="n">
        <v>0</v>
      </c>
      <c r="H125" s="20" t="n">
        <v>0</v>
      </c>
      <c r="T125" s="20" t="n">
        <v>0</v>
      </c>
      <c r="U125" s="20" t="n">
        <v>0</v>
      </c>
      <c r="V125" s="20" t="n">
        <v>0</v>
      </c>
      <c r="W125" s="20" t="n">
        <v>0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H126" s="15">
        <f>IF(OR(H125="",D125=""),"",IF(H125*D125&lt;=0,"",IFERROR(H125/D125-1,"")))</f>
        <v/>
      </c>
      <c r="T126" s="15">
        <f>IF(OR(T125="",S125=""),"",IF(T125*S125&lt;=0,"",IFERROR(T125/S125-1,"")))</f>
        <v/>
      </c>
      <c r="U126" s="15">
        <f>IF(OR(U125="",T125=""),"",IF(U125*T125&lt;=0,"",IFERROR(U125/T125-1,"")))</f>
        <v/>
      </c>
      <c r="V126" s="15">
        <f>IF(OR(V125="",U125=""),"",IF(V125*U125&lt;=0,"",IFERROR(V125/U125-1,"")))</f>
        <v/>
      </c>
      <c r="W126" s="15">
        <f>IF(OR(W125="",V125=""),"",IF(W125*V125&lt;=0,"",IFERROR(W125/V125-1,"")))</f>
        <v/>
      </c>
    </row>
    <row r="127">
      <c r="A127" s="18" t="inlineStr">
        <is>
          <t>투자유가증권 평가손실</t>
        </is>
      </c>
      <c r="C127" s="20" t="n">
        <v>0</v>
      </c>
      <c r="D127" s="20" t="n">
        <v>0</v>
      </c>
      <c r="E127" s="20" t="n">
        <v>47</v>
      </c>
      <c r="F127" s="20" t="n">
        <v>0</v>
      </c>
      <c r="G127" s="20" t="n">
        <v>0</v>
      </c>
      <c r="H127" s="20" t="n">
        <v>1</v>
      </c>
      <c r="I127" s="20" t="n">
        <v>3</v>
      </c>
      <c r="J127" s="20" t="n">
        <v>0</v>
      </c>
      <c r="K127" s="20" t="n">
        <v>0</v>
      </c>
      <c r="L127" s="20" t="n">
        <v>0</v>
      </c>
      <c r="M127" s="20" t="n">
        <v>0</v>
      </c>
      <c r="N127" s="20" t="n">
        <v>0</v>
      </c>
      <c r="V127" s="20" t="n">
        <v>0</v>
      </c>
      <c r="W127" s="20" t="n">
        <v>1</v>
      </c>
      <c r="X127" s="20" t="n">
        <v>0</v>
      </c>
    </row>
    <row r="128">
      <c r="A128" s="18" t="inlineStr">
        <is>
          <t>단계적 취득 차손</t>
        </is>
      </c>
      <c r="D128" s="20" t="n">
        <v>-9</v>
      </c>
      <c r="H128" s="20" t="n">
        <v>0</v>
      </c>
      <c r="U128" s="20" t="n">
        <v>0</v>
      </c>
      <c r="V128" s="20" t="n">
        <v>-9</v>
      </c>
      <c r="W128" s="20" t="n">
        <v>0</v>
      </c>
    </row>
    <row r="129">
      <c r="A129" s="18" t="inlineStr">
        <is>
          <t>특별손실 합계</t>
        </is>
      </c>
      <c r="C129" s="20" t="n">
        <v>34</v>
      </c>
      <c r="D129" s="20" t="n">
        <v>22</v>
      </c>
      <c r="E129" s="20" t="n">
        <v>47</v>
      </c>
      <c r="F129" s="20" t="n">
        <v>0</v>
      </c>
      <c r="G129" s="20" t="n">
        <v>0</v>
      </c>
      <c r="H129" s="20" t="n">
        <v>189</v>
      </c>
      <c r="I129" s="20" t="n">
        <v>3</v>
      </c>
      <c r="J129" s="20" t="n">
        <v>0</v>
      </c>
      <c r="K129" s="20" t="n">
        <v>0</v>
      </c>
      <c r="L129" s="20" t="n">
        <v>89</v>
      </c>
      <c r="M129" s="20" t="n">
        <v>0</v>
      </c>
      <c r="N129" s="20" t="n">
        <v>384</v>
      </c>
      <c r="U129" s="20" t="n">
        <v>0</v>
      </c>
      <c r="V129" s="20" t="n">
        <v>22</v>
      </c>
      <c r="W129" s="20" t="n">
        <v>189</v>
      </c>
      <c r="X129" s="20" t="n">
        <v>89</v>
      </c>
    </row>
    <row r="130">
      <c r="A130" s="43" t="inlineStr">
        <is>
          <t>YoY</t>
        </is>
      </c>
      <c r="B130" s="3" t="inlineStr">
        <is>
          <t>전년 같은 분기·전년 대비</t>
        </is>
      </c>
      <c r="G130" s="15">
        <f>IF(OR(G129="",C129=""),"",IF(G129*C129&lt;=0,"",IFERROR(G129/C129-1,"")))</f>
        <v/>
      </c>
      <c r="H130" s="15">
        <f>IF(OR(H129="",D129=""),"",IF(H129*D129&lt;=0,"",IFERROR(H129/D129-1,"")))</f>
        <v/>
      </c>
      <c r="I130" s="15">
        <f>IF(OR(I129="",E129=""),"",IF(I129*E129&lt;=0,"",IFERROR(I129/E129-1,"")))</f>
        <v/>
      </c>
      <c r="J130" s="15">
        <f>IF(OR(J129="",F129=""),"",IF(J129*F129&lt;=0,"",IFERROR(J129/F129-1,"")))</f>
        <v/>
      </c>
      <c r="K130" s="15">
        <f>IF(OR(K129="",G129=""),"",IF(K129*G129&lt;=0,"",IFERROR(K129/G129-1,"")))</f>
        <v/>
      </c>
      <c r="L130" s="15">
        <f>IF(OR(L129="",H129=""),"",IF(L129*H129&lt;=0,"",IFERROR(L129/H129-1,"")))</f>
        <v/>
      </c>
      <c r="M130" s="15">
        <f>IF(OR(M129="",I129=""),"",IF(M129*I129&lt;=0,"",IFERROR(M129/I129-1,"")))</f>
        <v/>
      </c>
      <c r="N130" s="15">
        <f>IF(OR(N129="",J129=""),"",IF(N129*J129&lt;=0,"",IFERROR(N129/J129-1,"")))</f>
        <v/>
      </c>
      <c r="U130" s="15">
        <f>IF(OR(U129="",T129=""),"",IF(U129*T129&lt;=0,"",IFERROR(U129/T129-1,"")))</f>
        <v/>
      </c>
      <c r="V130" s="15">
        <f>IF(OR(V129="",U129=""),"",IF(V129*U129&lt;=0,"",IFERROR(V129/U129-1,"")))</f>
        <v/>
      </c>
      <c r="W130" s="15">
        <f>IF(OR(W129="",V129=""),"",IF(W129*V129&lt;=0,"",IFERROR(W129/V129-1,"")))</f>
        <v/>
      </c>
      <c r="X130" s="15">
        <f>IF(OR(X129="",W129=""),"",IF(X129*W129&lt;=0,"",IFERROR(X129/W129-1,"")))</f>
        <v/>
      </c>
    </row>
    <row r="131">
      <c r="A131" s="9" t="inlineStr">
        <is>
          <t>법인세차감전 순이익</t>
        </is>
      </c>
      <c r="C131" s="12" t="n">
        <v>1016</v>
      </c>
      <c r="D131" s="12" t="n">
        <v>106</v>
      </c>
      <c r="E131" s="12" t="n">
        <v>402</v>
      </c>
      <c r="F131" s="12" t="n">
        <v>515</v>
      </c>
      <c r="G131" s="12" t="n">
        <v>395</v>
      </c>
      <c r="H131" s="12" t="n">
        <v>273</v>
      </c>
      <c r="I131" s="12" t="n">
        <v>438</v>
      </c>
      <c r="J131" s="12" t="n">
        <v>481</v>
      </c>
      <c r="K131" s="12" t="n">
        <v>877</v>
      </c>
      <c r="L131" s="12" t="n">
        <v>816</v>
      </c>
      <c r="M131" s="12" t="n">
        <v>1117</v>
      </c>
      <c r="N131" s="12" t="n">
        <v>1229</v>
      </c>
      <c r="T131" s="12" t="n">
        <v>279</v>
      </c>
      <c r="U131" s="12" t="n">
        <v>-98</v>
      </c>
      <c r="V131" s="12" t="n">
        <v>106</v>
      </c>
      <c r="W131" s="12" t="n">
        <v>273</v>
      </c>
      <c r="X131" s="12" t="n">
        <v>816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T132" s="15">
        <f>IF(OR(T131="",S131=""),"",IF(S131&lt;=0,"",IFERROR(T131/S131-1,"")))</f>
        <v/>
      </c>
      <c r="U132" s="15">
        <f>IF(OR(U131="",T131=""),"",IF(T131&lt;=0,"",IFERROR(U131/T131-1,"")))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18" t="inlineStr">
        <is>
          <t>법인세·주민세·사업세</t>
        </is>
      </c>
      <c r="C133" s="20" t="n">
        <v>205</v>
      </c>
      <c r="D133" s="20" t="n">
        <v>98</v>
      </c>
      <c r="E133" s="20" t="n">
        <v>164</v>
      </c>
      <c r="F133" s="20" t="n">
        <v>55</v>
      </c>
      <c r="G133" s="20" t="n">
        <v>189</v>
      </c>
      <c r="H133" s="20" t="n">
        <v>44</v>
      </c>
      <c r="I133" s="20" t="n">
        <v>237</v>
      </c>
      <c r="J133" s="20" t="n">
        <v>74</v>
      </c>
      <c r="K133" s="20" t="n">
        <v>198</v>
      </c>
      <c r="L133" s="20" t="n">
        <v>136</v>
      </c>
      <c r="M133" s="20" t="n">
        <v>398</v>
      </c>
      <c r="N133" s="20" t="n">
        <v>359</v>
      </c>
      <c r="T133" s="20" t="n">
        <v>-230</v>
      </c>
      <c r="U133" s="20" t="n">
        <v>131</v>
      </c>
      <c r="V133" s="20" t="n">
        <v>98</v>
      </c>
      <c r="W133" s="20" t="n">
        <v>44</v>
      </c>
      <c r="X133" s="20" t="n">
        <v>136</v>
      </c>
    </row>
    <row r="134">
      <c r="A134" s="18" t="inlineStr">
        <is>
          <t>법인세 조정액</t>
        </is>
      </c>
      <c r="C134" s="20" t="n">
        <v>-13</v>
      </c>
      <c r="D134" s="20" t="n">
        <v>54</v>
      </c>
      <c r="E134" s="20" t="n">
        <v>-53</v>
      </c>
      <c r="F134" s="20" t="n">
        <v>107</v>
      </c>
      <c r="G134" s="20" t="n">
        <v>-95</v>
      </c>
      <c r="H134" s="20" t="n">
        <v>0</v>
      </c>
      <c r="I134" s="20" t="n">
        <v>-64</v>
      </c>
      <c r="J134" s="20" t="n">
        <v>106</v>
      </c>
      <c r="K134" s="20" t="n">
        <v>-44</v>
      </c>
      <c r="L134" s="20" t="n">
        <v>234</v>
      </c>
      <c r="M134" s="20" t="n">
        <v>-100</v>
      </c>
      <c r="N134" s="20" t="n">
        <v>-55</v>
      </c>
      <c r="T134" s="20" t="n">
        <v>376</v>
      </c>
      <c r="U134" s="20" t="n">
        <v>-159</v>
      </c>
      <c r="V134" s="20" t="n">
        <v>54</v>
      </c>
      <c r="W134" s="20" t="n">
        <v>0</v>
      </c>
      <c r="X134" s="20" t="n">
        <v>234</v>
      </c>
    </row>
    <row r="135">
      <c r="A135" s="18" t="inlineStr">
        <is>
          <t>법인세 등 합계</t>
        </is>
      </c>
      <c r="C135" s="20" t="n">
        <v>193</v>
      </c>
      <c r="D135" s="20" t="n">
        <v>151</v>
      </c>
      <c r="E135" s="20" t="n">
        <v>111</v>
      </c>
      <c r="F135" s="20" t="n">
        <v>163</v>
      </c>
      <c r="G135" s="20" t="n">
        <v>93</v>
      </c>
      <c r="H135" s="20" t="n">
        <v>44</v>
      </c>
      <c r="I135" s="20" t="n">
        <v>173</v>
      </c>
      <c r="J135" s="20" t="n">
        <v>180</v>
      </c>
      <c r="K135" s="20" t="n">
        <v>153</v>
      </c>
      <c r="L135" s="20" t="n">
        <v>371</v>
      </c>
      <c r="M135" s="20" t="n">
        <v>298</v>
      </c>
      <c r="N135" s="20" t="n">
        <v>304</v>
      </c>
      <c r="T135" s="20" t="n">
        <v>146</v>
      </c>
      <c r="U135" s="20" t="n">
        <v>-27</v>
      </c>
      <c r="V135" s="20" t="n">
        <v>151</v>
      </c>
      <c r="W135" s="20" t="n">
        <v>44</v>
      </c>
      <c r="X135" s="20" t="n">
        <v>371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G136" s="15">
        <f>IF(OR(G135="",C135=""),"",IF(G135*C135&lt;=0,"",IFERROR(G135/C135-1,"")))</f>
        <v/>
      </c>
      <c r="H136" s="15">
        <f>IF(OR(H135="",D135=""),"",IF(H135*D135&lt;=0,"",IFERROR(H135/D135-1,"")))</f>
        <v/>
      </c>
      <c r="I136" s="15">
        <f>IF(OR(I135="",E135=""),"",IF(I135*E135&lt;=0,"",IFERROR(I135/E135-1,"")))</f>
        <v/>
      </c>
      <c r="J136" s="15">
        <f>IF(OR(J135="",F135=""),"",IF(J135*F135&lt;=0,"",IFERROR(J135/F135-1,"")))</f>
        <v/>
      </c>
      <c r="K136" s="15">
        <f>IF(OR(K135="",G135=""),"",IF(K135*G135&lt;=0,"",IFERROR(K135/G135-1,"")))</f>
        <v/>
      </c>
      <c r="L136" s="15">
        <f>IF(OR(L135="",H135=""),"",IF(L135*H135&lt;=0,"",IFERROR(L135/H135-1,"")))</f>
        <v/>
      </c>
      <c r="M136" s="15">
        <f>IF(OR(M135="",I135=""),"",IF(M135*I135&lt;=0,"",IFERROR(M135/I135-1,"")))</f>
        <v/>
      </c>
      <c r="N136" s="15">
        <f>IF(OR(N135="",J135=""),"",IF(N135*J135&lt;=0,"",IFERROR(N135/J135-1,"")))</f>
        <v/>
      </c>
      <c r="T136" s="15">
        <f>IF(OR(T135="",S135=""),"",IF(T135*S135&lt;=0,"",IFERROR(T135/S135-1,"")))</f>
        <v/>
      </c>
      <c r="U136" s="15">
        <f>IF(OR(U135="",T135=""),"",IF(U135*T135&lt;=0,"",IFERROR(U135/T135-1,"")))</f>
        <v/>
      </c>
      <c r="V136" s="15">
        <f>IF(OR(V135="",U135=""),"",IF(V135*U135&lt;=0,"",IFERROR(V135/U135-1,"")))</f>
        <v/>
      </c>
      <c r="W136" s="15">
        <f>IF(OR(W135="",V135=""),"",IF(W135*V135&lt;=0,"",IFERROR(W135/V135-1,"")))</f>
        <v/>
      </c>
      <c r="X136" s="15">
        <f>IF(OR(X135="",W135=""),"",IF(X135*W135&lt;=0,"",IFERROR(X135/W135-1,"")))</f>
        <v/>
      </c>
    </row>
    <row r="137">
      <c r="A137" s="9" t="inlineStr">
        <is>
          <t>순이익</t>
        </is>
      </c>
      <c r="C137" s="12" t="n">
        <v>823</v>
      </c>
      <c r="D137" s="12" t="n">
        <v>-45</v>
      </c>
      <c r="E137" s="12" t="n">
        <v>291</v>
      </c>
      <c r="F137" s="12" t="n">
        <v>353</v>
      </c>
      <c r="G137" s="12" t="n">
        <v>301</v>
      </c>
      <c r="H137" s="12" t="n">
        <v>229</v>
      </c>
      <c r="I137" s="12" t="n">
        <v>265</v>
      </c>
      <c r="J137" s="12" t="n">
        <v>301</v>
      </c>
      <c r="K137" s="12" t="n">
        <v>723</v>
      </c>
      <c r="L137" s="12" t="n">
        <v>446</v>
      </c>
      <c r="M137" s="12" t="n">
        <v>819</v>
      </c>
      <c r="N137" s="12" t="n">
        <v>925</v>
      </c>
      <c r="T137" s="12" t="n">
        <v>133</v>
      </c>
      <c r="U137" s="12" t="n">
        <v>-70</v>
      </c>
      <c r="V137" s="12" t="n">
        <v>-45</v>
      </c>
      <c r="W137" s="12" t="n">
        <v>229</v>
      </c>
      <c r="X137" s="12" t="n">
        <v>446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T138" s="15">
        <f>IF(OR(T137="",S137=""),"",IF(S137&lt;=0,"",IFERROR(T137/S137-1,"")))</f>
        <v/>
      </c>
      <c r="U138" s="15">
        <f>IF(OR(U137="",T137=""),"",IF(T137&lt;=0,"",IFERROR(U137/T137-1,"")))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9" t="inlineStr">
        <is>
          <t>비지배주주 순이익</t>
        </is>
      </c>
      <c r="C139" s="12" t="n">
        <v>57</v>
      </c>
      <c r="D139" s="12" t="n">
        <v>6</v>
      </c>
      <c r="E139" s="12" t="n">
        <v>42</v>
      </c>
      <c r="F139" s="12" t="n">
        <v>26</v>
      </c>
      <c r="G139" s="12" t="n">
        <v>58</v>
      </c>
      <c r="H139" s="12" t="n">
        <v>35</v>
      </c>
      <c r="I139" s="12" t="n">
        <v>28</v>
      </c>
      <c r="J139" s="12" t="n">
        <v>32</v>
      </c>
      <c r="K139" s="12" t="n">
        <v>55</v>
      </c>
      <c r="L139" s="12" t="n">
        <v>95</v>
      </c>
      <c r="M139" s="12" t="n">
        <v>88</v>
      </c>
      <c r="N139" s="12" t="n">
        <v>141</v>
      </c>
      <c r="T139" s="12" t="n">
        <v>55</v>
      </c>
      <c r="U139" s="12" t="n">
        <v>34</v>
      </c>
      <c r="V139" s="12" t="n">
        <v>6</v>
      </c>
      <c r="W139" s="12" t="n">
        <v>35</v>
      </c>
      <c r="X139" s="12" t="n">
        <v>95</v>
      </c>
    </row>
    <row r="140">
      <c r="A140" s="9" t="inlineStr">
        <is>
          <t>지배주주 순이익</t>
        </is>
      </c>
      <c r="C140" s="12" t="n">
        <v>766</v>
      </c>
      <c r="D140" s="12" t="n">
        <v>-52</v>
      </c>
      <c r="E140" s="12" t="n">
        <v>250</v>
      </c>
      <c r="F140" s="12" t="n">
        <v>326</v>
      </c>
      <c r="G140" s="12" t="n">
        <v>243</v>
      </c>
      <c r="H140" s="12" t="n">
        <v>194</v>
      </c>
      <c r="I140" s="12" t="n">
        <v>237</v>
      </c>
      <c r="J140" s="12" t="n">
        <v>269</v>
      </c>
      <c r="K140" s="12" t="n">
        <v>669</v>
      </c>
      <c r="L140" s="12" t="n">
        <v>350</v>
      </c>
      <c r="M140" s="12" t="n">
        <v>731</v>
      </c>
      <c r="N140" s="12" t="n">
        <v>785</v>
      </c>
      <c r="T140" s="12" t="n">
        <v>78</v>
      </c>
      <c r="U140" s="12" t="n">
        <v>-104</v>
      </c>
      <c r="V140" s="12" t="n">
        <v>-52</v>
      </c>
      <c r="W140" s="12" t="n">
        <v>194</v>
      </c>
      <c r="X140" s="12" t="n">
        <v>350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IF(OR(G140="",C140=""),"",IF(C140&lt;=0,"",IFERROR(G140/C140-1,"")))</f>
        <v/>
      </c>
      <c r="H141" s="15">
        <f>IF(OR(H140="",D140=""),"",IF(D140&lt;=0,"",IFERROR(H140/D140-1,"")))</f>
        <v/>
      </c>
      <c r="I141" s="15">
        <f>IF(OR(I140="",E140=""),"",IF(E140&lt;=0,"",IFERROR(I140/E140-1,"")))</f>
        <v/>
      </c>
      <c r="J141" s="15">
        <f>IF(OR(J140="",F140=""),"",IF(F140&lt;=0,"",IFERROR(J140/F140-1,"")))</f>
        <v/>
      </c>
      <c r="K141" s="15">
        <f>IF(OR(K140="",G140=""),"",IF(G140&lt;=0,"",IFERROR(K140/G140-1,"")))</f>
        <v/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T141" s="15">
        <f>IF(OR(T140="",S140=""),"",IF(S140&lt;=0,"",IFERROR(T140/S140-1,"")))</f>
        <v/>
      </c>
      <c r="U141" s="15">
        <f>IF(OR(U140="",T140=""),"",IF(T140&lt;=0,"",IFERROR(U140/T140-1,"")))</f>
        <v/>
      </c>
      <c r="V141" s="15">
        <f>IF(OR(V140="",U140=""),"",IF(U140&lt;=0,"",IFERROR(V140/U140-1,"")))</f>
        <v/>
      </c>
      <c r="W141" s="15">
        <f>IF(OR(W140="",V140=""),"",IF(V140&lt;=0,"",IFERROR(W140/V140-1,"")))</f>
        <v/>
      </c>
      <c r="X141" s="15">
        <f>IF(OR(X140="",W140=""),"",IF(W140&lt;=0,"",IFERROR(X140/W140-1,"")))</f>
        <v/>
      </c>
    </row>
    <row r="143">
      <c r="A143" s="16" t="inlineStr">
        <is>
          <t>포괄손익 · 전 항목</t>
        </is>
      </c>
      <c r="B143" s="42" t="inlineStr">
        <is>
          <t>분기 = 3개월 단독</t>
        </is>
      </c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  <c r="AA143" s="16" t="n"/>
      <c r="AB143" s="16" t="n"/>
      <c r="AC143" s="16" t="n"/>
    </row>
    <row r="144">
      <c r="A144" s="5" t="inlineStr">
        <is>
          <t>항목</t>
        </is>
      </c>
      <c r="B144" s="5" t="inlineStr">
        <is>
          <t>참고</t>
        </is>
      </c>
      <c r="C144" s="5" t="inlineStr">
        <is>
          <t>2024.3Q</t>
        </is>
      </c>
      <c r="D144" s="5" t="inlineStr">
        <is>
          <t>2024.4Q</t>
        </is>
      </c>
      <c r="E144" s="5" t="inlineStr">
        <is>
          <t>2025.1Q</t>
        </is>
      </c>
      <c r="F144" s="5" t="inlineStr">
        <is>
          <t>2025.2Q</t>
        </is>
      </c>
      <c r="G144" s="5" t="inlineStr">
        <is>
          <t>2025.3Q</t>
        </is>
      </c>
      <c r="H144" s="5" t="inlineStr">
        <is>
          <t>2025.4Q</t>
        </is>
      </c>
      <c r="I144" s="5" t="inlineStr">
        <is>
          <t>2026.1Q</t>
        </is>
      </c>
      <c r="J144" s="5" t="inlineStr">
        <is>
          <t>2026.2Q</t>
        </is>
      </c>
      <c r="K144" s="5" t="inlineStr">
        <is>
          <t>2026.3Q</t>
        </is>
      </c>
      <c r="L144" s="5" t="inlineStr">
        <is>
          <t>2026.4Q</t>
        </is>
      </c>
      <c r="M144" s="5" t="inlineStr">
        <is>
          <t>2027.1Q</t>
        </is>
      </c>
      <c r="N144" s="5" t="inlineStr">
        <is>
          <t>2027.2Q</t>
        </is>
      </c>
      <c r="O144" s="5" t="inlineStr">
        <is>
          <t>2017</t>
        </is>
      </c>
      <c r="P144" s="5" t="inlineStr">
        <is>
          <t>2018</t>
        </is>
      </c>
      <c r="Q144" s="5" t="inlineStr">
        <is>
          <t>2019</t>
        </is>
      </c>
      <c r="R144" s="5" t="inlineStr">
        <is>
          <t>2020</t>
        </is>
      </c>
      <c r="S144" s="5" t="inlineStr">
        <is>
          <t>2021</t>
        </is>
      </c>
      <c r="T144" s="5" t="inlineStr">
        <is>
          <t>2022</t>
        </is>
      </c>
      <c r="U144" s="5" t="inlineStr">
        <is>
          <t>2023</t>
        </is>
      </c>
      <c r="V144" s="5" t="inlineStr">
        <is>
          <t>2024</t>
        </is>
      </c>
      <c r="W144" s="5" t="inlineStr">
        <is>
          <t>2025</t>
        </is>
      </c>
      <c r="X144" s="5" t="inlineStr">
        <is>
          <t>2026</t>
        </is>
      </c>
      <c r="Y144" s="5" t="inlineStr">
        <is>
          <t>2027(MW)</t>
        </is>
      </c>
      <c r="Z144" s="5" t="inlineStr">
        <is>
          <t>2028(MW)</t>
        </is>
      </c>
      <c r="AA144" s="5" t="inlineStr">
        <is>
          <t>2029(MW)</t>
        </is>
      </c>
      <c r="AB144" s="5" t="inlineStr">
        <is>
          <t>2030(MW)</t>
        </is>
      </c>
      <c r="AC144" s="5" t="inlineStr">
        <is>
          <t>2031(MW)</t>
        </is>
      </c>
    </row>
    <row r="145">
      <c r="A145" s="9" t="inlineStr">
        <is>
          <t>순이익</t>
        </is>
      </c>
      <c r="C145" s="12" t="n">
        <v>823</v>
      </c>
      <c r="D145" s="12" t="n">
        <v>-45</v>
      </c>
      <c r="E145" s="12" t="n">
        <v>291</v>
      </c>
      <c r="F145" s="12" t="n">
        <v>353</v>
      </c>
      <c r="G145" s="12" t="n">
        <v>301</v>
      </c>
      <c r="H145" s="12" t="n">
        <v>229</v>
      </c>
      <c r="I145" s="12" t="n">
        <v>265</v>
      </c>
      <c r="J145" s="12" t="n">
        <v>301</v>
      </c>
      <c r="K145" s="12" t="n">
        <v>723</v>
      </c>
      <c r="L145" s="12" t="n">
        <v>446</v>
      </c>
      <c r="M145" s="12" t="n">
        <v>819</v>
      </c>
      <c r="N145" s="12" t="n">
        <v>925</v>
      </c>
      <c r="T145" s="12" t="n">
        <v>133</v>
      </c>
      <c r="U145" s="12" t="n">
        <v>-70</v>
      </c>
      <c r="V145" s="12" t="n">
        <v>-45</v>
      </c>
      <c r="W145" s="12" t="n">
        <v>229</v>
      </c>
      <c r="X145" s="12" t="n">
        <v>446</v>
      </c>
    </row>
    <row r="146">
      <c r="A146" s="18" t="inlineStr">
        <is>
          <t>기타유가증권 평가차액</t>
        </is>
      </c>
      <c r="C146" s="20" t="n">
        <v>5</v>
      </c>
      <c r="D146" s="20" t="n">
        <v>26</v>
      </c>
      <c r="E146" s="20" t="n">
        <v>-8</v>
      </c>
      <c r="F146" s="20" t="n">
        <v>-1</v>
      </c>
      <c r="G146" s="20" t="n">
        <v>13</v>
      </c>
      <c r="H146" s="20" t="n">
        <v>12</v>
      </c>
      <c r="I146" s="20" t="n">
        <v>-3</v>
      </c>
      <c r="J146" s="20" t="n">
        <v>38</v>
      </c>
      <c r="K146" s="20" t="n">
        <v>31</v>
      </c>
      <c r="L146" s="20" t="n">
        <v>92</v>
      </c>
      <c r="M146" s="20" t="n">
        <v>-36</v>
      </c>
      <c r="N146" s="20" t="n">
        <v>33</v>
      </c>
      <c r="T146" s="20" t="n">
        <v>7</v>
      </c>
      <c r="U146" s="20" t="n">
        <v>9</v>
      </c>
      <c r="V146" s="20" t="n">
        <v>26</v>
      </c>
      <c r="W146" s="20" t="n">
        <v>12</v>
      </c>
      <c r="X146" s="20" t="n">
        <v>92</v>
      </c>
    </row>
    <row r="147">
      <c r="A147" s="18" t="inlineStr">
        <is>
          <t>해외사업환산조정</t>
        </is>
      </c>
      <c r="C147" s="20" t="n">
        <v>156</v>
      </c>
      <c r="D147" s="20" t="n">
        <v>-368</v>
      </c>
      <c r="E147" s="20" t="n">
        <v>503</v>
      </c>
      <c r="F147" s="20" t="n">
        <v>638</v>
      </c>
      <c r="G147" s="20" t="n">
        <v>-805</v>
      </c>
      <c r="H147" s="20" t="n">
        <v>766</v>
      </c>
      <c r="I147" s="20" t="n">
        <v>-713</v>
      </c>
      <c r="J147" s="20" t="n">
        <v>-199</v>
      </c>
      <c r="K147" s="20" t="n">
        <v>356</v>
      </c>
      <c r="L147" s="20" t="n">
        <v>748</v>
      </c>
      <c r="M147" s="20" t="n">
        <v>256</v>
      </c>
      <c r="N147" s="20" t="n">
        <v>189</v>
      </c>
      <c r="T147" s="20" t="n">
        <v>314</v>
      </c>
      <c r="U147" s="20" t="n">
        <v>-604</v>
      </c>
      <c r="V147" s="20" t="n">
        <v>-368</v>
      </c>
      <c r="W147" s="20" t="n">
        <v>766</v>
      </c>
      <c r="X147" s="20" t="n">
        <v>748</v>
      </c>
    </row>
    <row r="148">
      <c r="A148" s="18" t="inlineStr">
        <is>
          <t>퇴직급여 조정액</t>
        </is>
      </c>
      <c r="C148" s="20" t="n">
        <v>-6</v>
      </c>
      <c r="D148" s="20" t="n">
        <v>321</v>
      </c>
      <c r="E148" s="20" t="n">
        <v>-12</v>
      </c>
      <c r="F148" s="20" t="n">
        <v>-13</v>
      </c>
      <c r="G148" s="20" t="n">
        <v>-12</v>
      </c>
      <c r="H148" s="20" t="n">
        <v>60</v>
      </c>
      <c r="I148" s="20" t="n">
        <v>-20</v>
      </c>
      <c r="J148" s="20" t="n">
        <v>-12</v>
      </c>
      <c r="K148" s="20" t="n">
        <v>-13</v>
      </c>
      <c r="L148" s="20" t="n">
        <v>371</v>
      </c>
      <c r="M148" s="20" t="n">
        <v>-20</v>
      </c>
      <c r="N148" s="20" t="n">
        <v>-20</v>
      </c>
      <c r="T148" s="20" t="n">
        <v>38</v>
      </c>
      <c r="U148" s="20" t="n">
        <v>109</v>
      </c>
      <c r="V148" s="20" t="n">
        <v>321</v>
      </c>
      <c r="W148" s="20" t="n">
        <v>60</v>
      </c>
      <c r="X148" s="20" t="n">
        <v>371</v>
      </c>
    </row>
    <row r="149">
      <c r="A149" s="18" t="inlineStr">
        <is>
          <t>지분법 적용회사 지분 해당액</t>
        </is>
      </c>
      <c r="C149" s="20" t="n">
        <v>15</v>
      </c>
      <c r="D149" s="20" t="n">
        <v>0</v>
      </c>
      <c r="E149" s="20" t="n">
        <v>54</v>
      </c>
      <c r="F149" s="20" t="n">
        <v>72</v>
      </c>
      <c r="G149" s="20" t="n">
        <v>-96</v>
      </c>
      <c r="H149" s="20" t="n">
        <v>75</v>
      </c>
      <c r="I149" s="20" t="n">
        <v>-69</v>
      </c>
      <c r="J149" s="20" t="n">
        <v>-25</v>
      </c>
      <c r="K149" s="20" t="n">
        <v>44</v>
      </c>
      <c r="L149" s="20" t="n">
        <v>102</v>
      </c>
      <c r="M149" s="20" t="n">
        <v>55</v>
      </c>
      <c r="N149" s="20" t="n">
        <v>54</v>
      </c>
      <c r="T149" s="20" t="n">
        <v>15</v>
      </c>
      <c r="U149" s="20" t="n">
        <v>-25</v>
      </c>
      <c r="V149" s="20" t="n">
        <v>0</v>
      </c>
      <c r="W149" s="20" t="n">
        <v>75</v>
      </c>
      <c r="X149" s="20" t="n">
        <v>102</v>
      </c>
    </row>
    <row r="150">
      <c r="A150" s="18" t="inlineStr">
        <is>
          <t>기타포괄손익 합계</t>
        </is>
      </c>
      <c r="C150" s="20" t="n">
        <v>169</v>
      </c>
      <c r="D150" s="20" t="n">
        <v>-20</v>
      </c>
      <c r="E150" s="20" t="n">
        <v>537</v>
      </c>
      <c r="F150" s="20" t="n">
        <v>696</v>
      </c>
      <c r="G150" s="20" t="n">
        <v>-900</v>
      </c>
      <c r="H150" s="20" t="n">
        <v>913</v>
      </c>
      <c r="I150" s="20" t="n">
        <v>-805</v>
      </c>
      <c r="J150" s="20" t="n">
        <v>-198</v>
      </c>
      <c r="K150" s="20" t="n">
        <v>418</v>
      </c>
      <c r="L150" s="20" t="n">
        <v>1313</v>
      </c>
      <c r="M150" s="20" t="n">
        <v>256</v>
      </c>
      <c r="N150" s="20" t="n">
        <v>255</v>
      </c>
      <c r="T150" s="20" t="n">
        <v>374</v>
      </c>
      <c r="U150" s="20" t="n">
        <v>-510</v>
      </c>
      <c r="V150" s="20" t="n">
        <v>-20</v>
      </c>
      <c r="W150" s="20" t="n">
        <v>913</v>
      </c>
      <c r="X150" s="20" t="n">
        <v>1313</v>
      </c>
    </row>
    <row r="151">
      <c r="A151" s="9" t="inlineStr">
        <is>
          <t>포괄이익</t>
        </is>
      </c>
      <c r="C151" s="12" t="n">
        <v>993</v>
      </c>
      <c r="D151" s="12" t="n">
        <v>-66</v>
      </c>
      <c r="E151" s="12" t="n">
        <v>828</v>
      </c>
      <c r="F151" s="12" t="n">
        <v>1049</v>
      </c>
      <c r="G151" s="12" t="n">
        <v>-599</v>
      </c>
      <c r="H151" s="12" t="n">
        <v>1141</v>
      </c>
      <c r="I151" s="12" t="n">
        <v>-540</v>
      </c>
      <c r="J151" s="12" t="n">
        <v>103</v>
      </c>
      <c r="K151" s="12" t="n">
        <v>1142</v>
      </c>
      <c r="L151" s="12" t="n">
        <v>1758</v>
      </c>
      <c r="M151" s="12" t="n">
        <v>1074</v>
      </c>
      <c r="N151" s="12" t="n">
        <v>1182</v>
      </c>
      <c r="T151" s="12" t="n">
        <v>506</v>
      </c>
      <c r="U151" s="12" t="n">
        <v>-581</v>
      </c>
      <c r="V151" s="12" t="n">
        <v>-66</v>
      </c>
      <c r="W151" s="12" t="n">
        <v>1141</v>
      </c>
      <c r="X151" s="12" t="n">
        <v>1758</v>
      </c>
    </row>
    <row r="152">
      <c r="A152" s="9" t="inlineStr">
        <is>
          <t>지배주주 포괄이익</t>
        </is>
      </c>
      <c r="C152" s="12" t="n">
        <v>915</v>
      </c>
      <c r="D152" s="12" t="n">
        <v>-16</v>
      </c>
      <c r="E152" s="12" t="n">
        <v>703</v>
      </c>
      <c r="F152" s="12" t="n">
        <v>921</v>
      </c>
      <c r="G152" s="12" t="n">
        <v>-548</v>
      </c>
      <c r="H152" s="12" t="n">
        <v>984</v>
      </c>
      <c r="I152" s="12" t="n">
        <v>-417</v>
      </c>
      <c r="J152" s="12" t="n">
        <v>97</v>
      </c>
      <c r="K152" s="12" t="n">
        <v>1020</v>
      </c>
      <c r="L152" s="12" t="n">
        <v>1491</v>
      </c>
      <c r="M152" s="12" t="n">
        <v>962</v>
      </c>
      <c r="N152" s="12" t="n">
        <v>1037</v>
      </c>
      <c r="T152" s="12" t="n">
        <v>376</v>
      </c>
      <c r="U152" s="12" t="n">
        <v>-482</v>
      </c>
      <c r="V152" s="12" t="n">
        <v>-16</v>
      </c>
      <c r="W152" s="12" t="n">
        <v>984</v>
      </c>
      <c r="X152" s="12" t="n">
        <v>1491</v>
      </c>
    </row>
    <row r="153">
      <c r="A153" s="9" t="inlineStr">
        <is>
          <t>비지배주주 포괄이익</t>
        </is>
      </c>
      <c r="C153" s="12" t="n">
        <v>77</v>
      </c>
      <c r="D153" s="12" t="n">
        <v>-50</v>
      </c>
      <c r="E153" s="12" t="n">
        <v>125</v>
      </c>
      <c r="F153" s="12" t="n">
        <v>128</v>
      </c>
      <c r="G153" s="12" t="n">
        <v>-50</v>
      </c>
      <c r="H153" s="12" t="n">
        <v>156</v>
      </c>
      <c r="I153" s="12" t="n">
        <v>-123</v>
      </c>
      <c r="J153" s="12" t="n">
        <v>6</v>
      </c>
      <c r="K153" s="12" t="n">
        <v>121</v>
      </c>
      <c r="L153" s="12" t="n">
        <v>269</v>
      </c>
      <c r="M153" s="12" t="n">
        <v>112</v>
      </c>
      <c r="N153" s="12" t="n">
        <v>144</v>
      </c>
      <c r="T153" s="12" t="n">
        <v>130</v>
      </c>
      <c r="U153" s="12" t="n">
        <v>-98</v>
      </c>
      <c r="V153" s="12" t="n">
        <v>-50</v>
      </c>
      <c r="W153" s="12" t="n">
        <v>156</v>
      </c>
      <c r="X153" s="12" t="n">
        <v>269</v>
      </c>
    </row>
    <row r="155">
      <c r="A155" s="16" t="inlineStr">
        <is>
          <t>부문 · 전 항목</t>
        </is>
      </c>
      <c r="B155" s="42" t="inlineStr">
        <is>
          <t>부문 · 항목</t>
        </is>
      </c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</row>
    <row r="156">
      <c r="A156" s="5" t="inlineStr">
        <is>
          <t>항목</t>
        </is>
      </c>
      <c r="B156" s="5" t="inlineStr">
        <is>
          <t>참고</t>
        </is>
      </c>
      <c r="C156" s="5" t="inlineStr">
        <is>
          <t>2024.3Q</t>
        </is>
      </c>
      <c r="D156" s="5" t="inlineStr">
        <is>
          <t>2024.4Q</t>
        </is>
      </c>
      <c r="E156" s="5" t="inlineStr">
        <is>
          <t>2025.1Q</t>
        </is>
      </c>
      <c r="F156" s="5" t="inlineStr">
        <is>
          <t>2025.2Q</t>
        </is>
      </c>
      <c r="G156" s="5" t="inlineStr">
        <is>
          <t>2025.3Q</t>
        </is>
      </c>
      <c r="H156" s="5" t="inlineStr">
        <is>
          <t>2025.4Q</t>
        </is>
      </c>
      <c r="I156" s="5" t="inlineStr">
        <is>
          <t>2026.1Q</t>
        </is>
      </c>
      <c r="J156" s="5" t="inlineStr">
        <is>
          <t>2026.2Q</t>
        </is>
      </c>
      <c r="K156" s="5" t="inlineStr">
        <is>
          <t>2026.3Q</t>
        </is>
      </c>
      <c r="L156" s="5" t="inlineStr">
        <is>
          <t>2026.4Q</t>
        </is>
      </c>
      <c r="M156" s="5" t="inlineStr">
        <is>
          <t>2027.1Q</t>
        </is>
      </c>
      <c r="N156" s="5" t="inlineStr">
        <is>
          <t>2027.2Q</t>
        </is>
      </c>
      <c r="O156" s="5" t="inlineStr">
        <is>
          <t>2017</t>
        </is>
      </c>
      <c r="P156" s="5" t="inlineStr">
        <is>
          <t>2018</t>
        </is>
      </c>
      <c r="Q156" s="5" t="inlineStr">
        <is>
          <t>2019</t>
        </is>
      </c>
      <c r="R156" s="5" t="inlineStr">
        <is>
          <t>2020</t>
        </is>
      </c>
      <c r="S156" s="5" t="inlineStr">
        <is>
          <t>2021</t>
        </is>
      </c>
      <c r="T156" s="5" t="inlineStr">
        <is>
          <t>2022</t>
        </is>
      </c>
      <c r="U156" s="5" t="inlineStr">
        <is>
          <t>2023</t>
        </is>
      </c>
      <c r="V156" s="5" t="inlineStr">
        <is>
          <t>2024</t>
        </is>
      </c>
      <c r="W156" s="5" t="inlineStr">
        <is>
          <t>2025</t>
        </is>
      </c>
      <c r="X156" s="5" t="inlineStr">
        <is>
          <t>2026</t>
        </is>
      </c>
      <c r="Y156" s="5" t="inlineStr">
        <is>
          <t>2027(MW)</t>
        </is>
      </c>
      <c r="Z156" s="5" t="inlineStr">
        <is>
          <t>2028(MW)</t>
        </is>
      </c>
      <c r="AA156" s="5" t="inlineStr">
        <is>
          <t>2029(MW)</t>
        </is>
      </c>
      <c r="AB156" s="5" t="inlineStr">
        <is>
          <t>2030(MW)</t>
        </is>
      </c>
      <c r="AC156" s="5" t="inlineStr">
        <is>
          <t>2031(MW)</t>
        </is>
      </c>
    </row>
    <row r="157">
      <c r="A157" s="18" t="inlineStr">
        <is>
          <t>JapanReportableSegmentMember · 외부 고객 매출</t>
        </is>
      </c>
      <c r="C157" s="20" t="n">
        <v>5329</v>
      </c>
      <c r="D157" s="20" t="n">
        <v>4934</v>
      </c>
      <c r="E157" s="20" t="n">
        <v>5213</v>
      </c>
      <c r="F157" s="20" t="n">
        <v>5583</v>
      </c>
      <c r="G157" s="20" t="n">
        <v>5558</v>
      </c>
      <c r="H157" s="20" t="n">
        <v>5286</v>
      </c>
      <c r="I157" s="20" t="n">
        <v>5403</v>
      </c>
      <c r="J157" s="20" t="n">
        <v>5385</v>
      </c>
      <c r="K157" s="20" t="n">
        <v>5561</v>
      </c>
      <c r="L157" s="20" t="n">
        <v>5900</v>
      </c>
      <c r="M157" s="20" t="n">
        <v>6368</v>
      </c>
      <c r="N157" s="20" t="n">
        <v>6876</v>
      </c>
      <c r="V157" s="20" t="n">
        <v>4934</v>
      </c>
      <c r="W157" s="20" t="n">
        <v>5286</v>
      </c>
      <c r="X157" s="20" t="n">
        <v>5900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ChinaReportableSegmentMember · 외부 고객 매출</t>
        </is>
      </c>
      <c r="C159" s="20" t="n">
        <v>1010</v>
      </c>
      <c r="D159" s="20" t="n">
        <v>1004</v>
      </c>
      <c r="E159" s="20" t="n">
        <v>824</v>
      </c>
      <c r="F159" s="20" t="n">
        <v>947</v>
      </c>
      <c r="G159" s="20" t="n">
        <v>1014</v>
      </c>
      <c r="H159" s="20" t="n">
        <v>973</v>
      </c>
      <c r="I159" s="20" t="n">
        <v>894</v>
      </c>
      <c r="J159" s="20" t="n">
        <v>873</v>
      </c>
      <c r="K159" s="20" t="n">
        <v>1007</v>
      </c>
      <c r="L159" s="20" t="n">
        <v>1037</v>
      </c>
      <c r="M159" s="20" t="n">
        <v>946</v>
      </c>
      <c r="N159" s="20" t="n">
        <v>1091</v>
      </c>
      <c r="V159" s="20" t="n">
        <v>1004</v>
      </c>
      <c r="W159" s="20" t="n">
        <v>973</v>
      </c>
      <c r="X159" s="20" t="n">
        <v>1037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SoutheastSouthAsiaReportableSegmentMember · 외부 고객 매출</t>
        </is>
      </c>
      <c r="C161" s="20" t="n">
        <v>1718</v>
      </c>
      <c r="D161" s="20" t="n">
        <v>1706</v>
      </c>
      <c r="E161" s="20" t="n">
        <v>1634</v>
      </c>
      <c r="F161" s="20" t="n">
        <v>1688</v>
      </c>
      <c r="G161" s="20" t="n">
        <v>1767</v>
      </c>
      <c r="H161" s="20" t="n">
        <v>1773</v>
      </c>
      <c r="I161" s="20" t="n">
        <v>1723</v>
      </c>
      <c r="J161" s="20" t="n">
        <v>1537</v>
      </c>
      <c r="K161" s="20" t="n">
        <v>1689</v>
      </c>
      <c r="L161" s="20" t="n">
        <v>1813</v>
      </c>
      <c r="M161" s="20" t="n">
        <v>1553</v>
      </c>
      <c r="N161" s="20" t="n">
        <v>1853</v>
      </c>
      <c r="V161" s="20" t="n">
        <v>1706</v>
      </c>
      <c r="W161" s="20" t="n">
        <v>1773</v>
      </c>
      <c r="X161" s="20" t="n">
        <v>1813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NorthAmericaReportableSegmentMember · 외부 고객 매출</t>
        </is>
      </c>
      <c r="C163" s="20" t="n">
        <v>288</v>
      </c>
      <c r="D163" s="20" t="n">
        <v>512</v>
      </c>
      <c r="E163" s="20" t="n">
        <v>583</v>
      </c>
      <c r="F163" s="20" t="n">
        <v>630</v>
      </c>
      <c r="G163" s="20" t="n">
        <v>476</v>
      </c>
      <c r="H163" s="20" t="n">
        <v>424</v>
      </c>
      <c r="I163" s="20" t="n">
        <v>495</v>
      </c>
      <c r="J163" s="20" t="n">
        <v>555</v>
      </c>
      <c r="K163" s="20" t="n">
        <v>450</v>
      </c>
      <c r="L163" s="20" t="n">
        <v>550</v>
      </c>
      <c r="M163" s="20" t="n">
        <v>439</v>
      </c>
      <c r="N163" s="20" t="n">
        <v>498</v>
      </c>
      <c r="V163" s="20" t="n">
        <v>512</v>
      </c>
      <c r="W163" s="20" t="n">
        <v>424</v>
      </c>
      <c r="X163" s="20" t="n">
        <v>550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보고부문 합계 · 외부 고객 매출</t>
        </is>
      </c>
      <c r="C165" s="20" t="n">
        <v>8345</v>
      </c>
      <c r="D165" s="20" t="n">
        <v>8155</v>
      </c>
      <c r="E165" s="20" t="n">
        <v>8254</v>
      </c>
      <c r="F165" s="20" t="n">
        <v>8848</v>
      </c>
      <c r="G165" s="20" t="n">
        <v>8815</v>
      </c>
      <c r="H165" s="20" t="n">
        <v>8457</v>
      </c>
      <c r="I165" s="20" t="n">
        <v>8516</v>
      </c>
      <c r="J165" s="20" t="n">
        <v>8349</v>
      </c>
      <c r="K165" s="20" t="n">
        <v>8708</v>
      </c>
      <c r="L165" s="20" t="n">
        <v>9298</v>
      </c>
      <c r="M165" s="20" t="n">
        <v>9306</v>
      </c>
      <c r="N165" s="20" t="n">
        <v>10319</v>
      </c>
      <c r="V165" s="20" t="n">
        <v>8155</v>
      </c>
      <c r="W165" s="20" t="n">
        <v>8457</v>
      </c>
      <c r="X165" s="20" t="n">
        <v>9298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조정액 · 외부 고객 매출</t>
        </is>
      </c>
      <c r="C167" s="20" t="n">
        <v>0</v>
      </c>
      <c r="D167" s="20" t="n">
        <v>0</v>
      </c>
      <c r="E167" s="20" t="n">
        <v>0</v>
      </c>
      <c r="F167" s="20" t="n">
        <v>0</v>
      </c>
      <c r="G167" s="20" t="n">
        <v>0</v>
      </c>
      <c r="H167" s="20" t="n">
        <v>0</v>
      </c>
      <c r="I167" s="20" t="n">
        <v>0</v>
      </c>
      <c r="J167" s="20" t="n">
        <v>0</v>
      </c>
      <c r="K167" s="20" t="n">
        <v>0</v>
      </c>
      <c r="L167" s="20" t="n">
        <v>0</v>
      </c>
      <c r="M167" s="20" t="n">
        <v>0</v>
      </c>
      <c r="N167" s="20" t="n">
        <v>0</v>
      </c>
      <c r="V167" s="20" t="n">
        <v>0</v>
      </c>
      <c r="W167" s="20" t="n">
        <v>0</v>
      </c>
      <c r="X167" s="20" t="n">
        <v>0</v>
      </c>
    </row>
    <row r="168">
      <c r="A168" s="18" t="inlineStr">
        <is>
          <t>EntityTotalMember · 외부 고객 매출</t>
        </is>
      </c>
      <c r="I168" s="20" t="n">
        <v>8516</v>
      </c>
      <c r="M168" s="20" t="n">
        <v>9306</v>
      </c>
    </row>
    <row r="169">
      <c r="A169" s="9" t="inlineStr">
        <is>
          <t>외부 고객 매출</t>
        </is>
      </c>
      <c r="C169" s="12" t="n">
        <v>8345</v>
      </c>
      <c r="D169" s="12" t="n">
        <v>8155</v>
      </c>
      <c r="E169" s="12" t="n">
        <v>8254</v>
      </c>
      <c r="F169" s="12" t="n">
        <v>8848</v>
      </c>
      <c r="G169" s="12" t="n">
        <v>8815</v>
      </c>
      <c r="H169" s="12" t="n">
        <v>8457</v>
      </c>
      <c r="I169" s="12" t="n">
        <v>8516</v>
      </c>
      <c r="J169" s="12" t="n">
        <v>8349</v>
      </c>
      <c r="K169" s="12" t="n">
        <v>8708</v>
      </c>
      <c r="L169" s="12" t="n">
        <v>9298</v>
      </c>
      <c r="V169" s="12" t="n">
        <v>8155</v>
      </c>
      <c r="W169" s="12" t="n">
        <v>8457</v>
      </c>
      <c r="X169" s="12" t="n">
        <v>9298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JapanReportableSegmentMember · 부문 간 내부매출·대체</t>
        </is>
      </c>
      <c r="C171" s="20" t="n">
        <v>426</v>
      </c>
      <c r="D171" s="20" t="n">
        <v>388</v>
      </c>
      <c r="E171" s="20" t="n">
        <v>436</v>
      </c>
      <c r="F171" s="20" t="n">
        <v>406</v>
      </c>
      <c r="G171" s="20" t="n">
        <v>452</v>
      </c>
      <c r="H171" s="20" t="n">
        <v>413</v>
      </c>
      <c r="I171" s="20" t="n">
        <v>381</v>
      </c>
      <c r="J171" s="20" t="n">
        <v>346</v>
      </c>
      <c r="K171" s="20" t="n">
        <v>421</v>
      </c>
      <c r="L171" s="20" t="n">
        <v>406</v>
      </c>
      <c r="M171" s="20" t="n">
        <v>424</v>
      </c>
      <c r="N171" s="20" t="n">
        <v>425</v>
      </c>
      <c r="V171" s="20" t="n">
        <v>388</v>
      </c>
      <c r="W171" s="20" t="n">
        <v>413</v>
      </c>
      <c r="X171" s="20" t="n">
        <v>406</v>
      </c>
    </row>
    <row r="172">
      <c r="A172" s="18" t="inlineStr">
        <is>
          <t>ChinaReportableSegmentMember · 부문 간 내부매출·대체</t>
        </is>
      </c>
      <c r="C172" s="20" t="n">
        <v>98</v>
      </c>
      <c r="D172" s="20" t="n">
        <v>131</v>
      </c>
      <c r="E172" s="20" t="n">
        <v>109</v>
      </c>
      <c r="F172" s="20" t="n">
        <v>149</v>
      </c>
      <c r="G172" s="20" t="n">
        <v>102</v>
      </c>
      <c r="H172" s="20" t="n">
        <v>176</v>
      </c>
      <c r="I172" s="20" t="n">
        <v>87</v>
      </c>
      <c r="J172" s="20" t="n">
        <v>98</v>
      </c>
      <c r="K172" s="20" t="n">
        <v>114</v>
      </c>
      <c r="L172" s="20" t="n">
        <v>177</v>
      </c>
      <c r="M172" s="20" t="n">
        <v>71</v>
      </c>
      <c r="N172" s="20" t="n">
        <v>60</v>
      </c>
      <c r="V172" s="20" t="n">
        <v>131</v>
      </c>
      <c r="W172" s="20" t="n">
        <v>176</v>
      </c>
      <c r="X172" s="20" t="n">
        <v>177</v>
      </c>
    </row>
    <row r="173">
      <c r="A173" s="18" t="inlineStr">
        <is>
          <t>SoutheastSouthAsiaReportableSegmentMember · 부문 간 내부매출·대체</t>
        </is>
      </c>
      <c r="C173" s="20" t="n">
        <v>0</v>
      </c>
      <c r="D173" s="20" t="n">
        <v>1</v>
      </c>
      <c r="E173" s="20" t="n">
        <v>2</v>
      </c>
      <c r="F173" s="20" t="n">
        <v>3</v>
      </c>
      <c r="G173" s="20" t="n">
        <v>1</v>
      </c>
      <c r="H173" s="20" t="n">
        <v>2</v>
      </c>
      <c r="I173" s="20" t="n">
        <v>5</v>
      </c>
      <c r="J173" s="20" t="n">
        <v>1</v>
      </c>
      <c r="K173" s="20" t="n">
        <v>2</v>
      </c>
      <c r="L173" s="20" t="n">
        <v>1</v>
      </c>
      <c r="M173" s="20" t="n">
        <v>1</v>
      </c>
      <c r="N173" s="20" t="n">
        <v>1</v>
      </c>
      <c r="V173" s="20" t="n">
        <v>1</v>
      </c>
      <c r="W173" s="20" t="n">
        <v>2</v>
      </c>
      <c r="X173" s="20" t="n">
        <v>1</v>
      </c>
    </row>
    <row r="174">
      <c r="A174" s="18" t="inlineStr">
        <is>
          <t>NorthAmericaReportableSegmentMember · 부문 간 내부매출·대체</t>
        </is>
      </c>
      <c r="C174" s="20" t="n">
        <v>0</v>
      </c>
      <c r="D174" s="20" t="n">
        <v>1</v>
      </c>
      <c r="E174" s="20" t="n">
        <v>0</v>
      </c>
      <c r="F174" s="20" t="n">
        <v>8</v>
      </c>
      <c r="G174" s="20" t="n">
        <v>8</v>
      </c>
      <c r="H174" s="20" t="n">
        <v>0</v>
      </c>
      <c r="I174" s="20" t="n">
        <v>2</v>
      </c>
      <c r="J174" s="20" t="n">
        <v>0</v>
      </c>
      <c r="K174" s="20" t="n">
        <v>0</v>
      </c>
      <c r="L174" s="20" t="n">
        <v>0</v>
      </c>
      <c r="M174" s="20" t="n">
        <v>0</v>
      </c>
      <c r="N174" s="20" t="n">
        <v>9</v>
      </c>
      <c r="V174" s="20" t="n">
        <v>1</v>
      </c>
      <c r="W174" s="20" t="n">
        <v>0</v>
      </c>
      <c r="X174" s="20" t="n">
        <v>0</v>
      </c>
    </row>
    <row r="175">
      <c r="A175" s="18" t="inlineStr">
        <is>
          <t>보고부문 합계 · 부문 간 내부매출·대체</t>
        </is>
      </c>
      <c r="C175" s="20" t="n">
        <v>524</v>
      </c>
      <c r="D175" s="20" t="n">
        <v>520</v>
      </c>
      <c r="E175" s="20" t="n">
        <v>547</v>
      </c>
      <c r="F175" s="20" t="n">
        <v>566</v>
      </c>
      <c r="G175" s="20" t="n">
        <v>563</v>
      </c>
      <c r="H175" s="20" t="n">
        <v>592</v>
      </c>
      <c r="I175" s="20" t="n">
        <v>475</v>
      </c>
      <c r="J175" s="20" t="n">
        <v>445</v>
      </c>
      <c r="K175" s="20" t="n">
        <v>537</v>
      </c>
      <c r="L175" s="20" t="n">
        <v>584</v>
      </c>
      <c r="M175" s="20" t="n">
        <v>496</v>
      </c>
      <c r="N175" s="20" t="n">
        <v>496</v>
      </c>
      <c r="V175" s="20" t="n">
        <v>520</v>
      </c>
      <c r="W175" s="20" t="n">
        <v>592</v>
      </c>
      <c r="X175" s="20" t="n">
        <v>584</v>
      </c>
    </row>
    <row r="176">
      <c r="A176" s="18" t="inlineStr">
        <is>
          <t>조정액 · 부문 간 내부매출·대체</t>
        </is>
      </c>
      <c r="C176" s="20" t="n">
        <v>-524</v>
      </c>
      <c r="D176" s="20" t="n">
        <v>-520</v>
      </c>
      <c r="E176" s="20" t="n">
        <v>-547</v>
      </c>
      <c r="F176" s="20" t="n">
        <v>-566</v>
      </c>
      <c r="G176" s="20" t="n">
        <v>-563</v>
      </c>
      <c r="H176" s="20" t="n">
        <v>-592</v>
      </c>
      <c r="I176" s="20" t="n">
        <v>-475</v>
      </c>
      <c r="J176" s="20" t="n">
        <v>-445</v>
      </c>
      <c r="K176" s="20" t="n">
        <v>-537</v>
      </c>
      <c r="L176" s="20" t="n">
        <v>-584</v>
      </c>
      <c r="M176" s="20" t="n">
        <v>-496</v>
      </c>
      <c r="N176" s="20" t="n">
        <v>-496</v>
      </c>
      <c r="V176" s="20" t="n">
        <v>-520</v>
      </c>
      <c r="W176" s="20" t="n">
        <v>-592</v>
      </c>
      <c r="X176" s="20" t="n">
        <v>-584</v>
      </c>
    </row>
    <row r="177">
      <c r="A177" s="18" t="inlineStr">
        <is>
          <t>EntityTotalMember · 부문 간 내부매출·대체</t>
        </is>
      </c>
      <c r="I177" s="20" t="n">
        <v>0</v>
      </c>
      <c r="M177" s="20" t="n">
        <v>0</v>
      </c>
    </row>
    <row r="178">
      <c r="A178" s="18" t="inlineStr">
        <is>
          <t>부문 간 내부매출·대체</t>
        </is>
      </c>
      <c r="C178" s="20" t="n">
        <v>0</v>
      </c>
      <c r="D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V178" s="20" t="n">
        <v>0</v>
      </c>
      <c r="W178" s="20" t="n">
        <v>0</v>
      </c>
      <c r="X178" s="20" t="n">
        <v>0</v>
      </c>
    </row>
    <row r="179">
      <c r="A179" s="18" t="inlineStr">
        <is>
          <t>JapanReportableSegmentMember · 계</t>
        </is>
      </c>
      <c r="C179" s="20" t="n">
        <v>5756</v>
      </c>
      <c r="D179" s="20" t="n">
        <v>5321</v>
      </c>
      <c r="E179" s="20" t="n">
        <v>5649</v>
      </c>
      <c r="F179" s="20" t="n">
        <v>5989</v>
      </c>
      <c r="G179" s="20" t="n">
        <v>6010</v>
      </c>
      <c r="H179" s="20" t="n">
        <v>5700</v>
      </c>
      <c r="I179" s="20" t="n">
        <v>5784</v>
      </c>
      <c r="J179" s="20" t="n">
        <v>5731</v>
      </c>
      <c r="K179" s="20" t="n">
        <v>5982</v>
      </c>
      <c r="L179" s="20" t="n">
        <v>6306</v>
      </c>
      <c r="M179" s="20" t="n">
        <v>6792</v>
      </c>
      <c r="N179" s="20" t="n">
        <v>7302</v>
      </c>
      <c r="V179" s="20" t="n">
        <v>5321</v>
      </c>
      <c r="W179" s="20" t="n">
        <v>5700</v>
      </c>
      <c r="X179" s="20" t="n">
        <v>6306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L180" s="15">
        <f>IF(OR(L179="",H179=""),"",IF(H179&lt;=0,"",IFERROR(L179/H179-1,"")))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  <c r="X180" s="15">
        <f>IF(OR(X179="",W179=""),"",IF(W179&lt;=0,"",IFERROR(X179/W179-1,"")))</f>
        <v/>
      </c>
    </row>
    <row r="181">
      <c r="A181" s="18" t="inlineStr">
        <is>
          <t>ChinaReportableSegmentMember · 계</t>
        </is>
      </c>
      <c r="C181" s="20" t="n">
        <v>1107</v>
      </c>
      <c r="D181" s="20" t="n">
        <v>1135</v>
      </c>
      <c r="E181" s="20" t="n">
        <v>933</v>
      </c>
      <c r="F181" s="20" t="n">
        <v>1096</v>
      </c>
      <c r="G181" s="20" t="n">
        <v>1116</v>
      </c>
      <c r="H181" s="20" t="n">
        <v>1149</v>
      </c>
      <c r="I181" s="20" t="n">
        <v>981</v>
      </c>
      <c r="J181" s="20" t="n">
        <v>971</v>
      </c>
      <c r="K181" s="20" t="n">
        <v>1121</v>
      </c>
      <c r="L181" s="20" t="n">
        <v>1214</v>
      </c>
      <c r="M181" s="20" t="n">
        <v>1017</v>
      </c>
      <c r="N181" s="20" t="n">
        <v>1151</v>
      </c>
      <c r="V181" s="20" t="n">
        <v>1135</v>
      </c>
      <c r="W181" s="20" t="n">
        <v>1149</v>
      </c>
      <c r="X181" s="20" t="n">
        <v>1214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N182" s="15">
        <f>IF(OR(N181="",J181=""),"",IF(J181&lt;=0,"",IFERROR(N181/J181-1,"")))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SoutheastSouthAsiaReportableSegmentMember · 계</t>
        </is>
      </c>
      <c r="C183" s="20" t="n">
        <v>1719</v>
      </c>
      <c r="D183" s="20" t="n">
        <v>1706</v>
      </c>
      <c r="E183" s="20" t="n">
        <v>1637</v>
      </c>
      <c r="F183" s="20" t="n">
        <v>1690</v>
      </c>
      <c r="G183" s="20" t="n">
        <v>1768</v>
      </c>
      <c r="H183" s="20" t="n">
        <v>1775</v>
      </c>
      <c r="I183" s="20" t="n">
        <v>1728</v>
      </c>
      <c r="J183" s="20" t="n">
        <v>1538</v>
      </c>
      <c r="K183" s="20" t="n">
        <v>1691</v>
      </c>
      <c r="L183" s="20" t="n">
        <v>1814</v>
      </c>
      <c r="M183" s="20" t="n">
        <v>1554</v>
      </c>
      <c r="N183" s="20" t="n">
        <v>1854</v>
      </c>
      <c r="V183" s="20" t="n">
        <v>1706</v>
      </c>
      <c r="W183" s="20" t="n">
        <v>1775</v>
      </c>
      <c r="X183" s="20" t="n">
        <v>1814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IF(OR(G183="",C183=""),"",IF(C183&lt;=0,"",IFERROR(G183/C183-1,"")))</f>
        <v/>
      </c>
      <c r="H184" s="15">
        <f>IF(OR(H183="",D183=""),"",IF(D183&lt;=0,"",IFERROR(H183/D183-1,"")))</f>
        <v/>
      </c>
      <c r="I184" s="15">
        <f>IF(OR(I183="",E183=""),"",IF(E183&lt;=0,"",IFERROR(I183/E183-1,"")))</f>
        <v/>
      </c>
      <c r="J184" s="15">
        <f>IF(OR(J183="",F183=""),"",IF(F183&lt;=0,"",IFERROR(J183/F183-1,"")))</f>
        <v/>
      </c>
      <c r="K184" s="15">
        <f>IF(OR(K183="",G183=""),"",IF(G183&lt;=0,"",IFERROR(K183/G183-1,"")))</f>
        <v/>
      </c>
      <c r="L184" s="15">
        <f>IF(OR(L183="",H183=""),"",IF(H183&lt;=0,"",IFERROR(L183/H183-1,"")))</f>
        <v/>
      </c>
      <c r="M184" s="15">
        <f>IF(OR(M183="",I183=""),"",IF(I183&lt;=0,"",IFERROR(M183/I183-1,"")))</f>
        <v/>
      </c>
      <c r="N184" s="15">
        <f>IF(OR(N183="",J183=""),"",IF(J183&lt;=0,"",IFERROR(N183/J183-1,"")))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  <c r="X184" s="15">
        <f>IF(OR(X183="",W183=""),"",IF(W183&lt;=0,"",IFERROR(X183/W183-1,"")))</f>
        <v/>
      </c>
    </row>
    <row r="185">
      <c r="A185" s="18" t="inlineStr">
        <is>
          <t>NorthAmericaReportableSegmentMember · 계</t>
        </is>
      </c>
      <c r="C185" s="20" t="n">
        <v>287</v>
      </c>
      <c r="D185" s="20" t="n">
        <v>513</v>
      </c>
      <c r="E185" s="20" t="n">
        <v>583</v>
      </c>
      <c r="F185" s="20" t="n">
        <v>638</v>
      </c>
      <c r="G185" s="20" t="n">
        <v>483</v>
      </c>
      <c r="H185" s="20" t="n">
        <v>425</v>
      </c>
      <c r="I185" s="20" t="n">
        <v>497</v>
      </c>
      <c r="J185" s="20" t="n">
        <v>555</v>
      </c>
      <c r="K185" s="20" t="n">
        <v>450</v>
      </c>
      <c r="L185" s="20" t="n">
        <v>549</v>
      </c>
      <c r="M185" s="20" t="n">
        <v>439</v>
      </c>
      <c r="N185" s="20" t="n">
        <v>507</v>
      </c>
      <c r="V185" s="20" t="n">
        <v>513</v>
      </c>
      <c r="W185" s="20" t="n">
        <v>425</v>
      </c>
      <c r="X185" s="20" t="n">
        <v>549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IF(OR(G185="",C185=""),"",IF(C185&lt;=0,"",IFERROR(G185/C185-1,"")))</f>
        <v/>
      </c>
      <c r="H186" s="15">
        <f>IF(OR(H185="",D185=""),"",IF(D185&lt;=0,"",IFERROR(H185/D185-1,"")))</f>
        <v/>
      </c>
      <c r="I186" s="15">
        <f>IF(OR(I185="",E185=""),"",IF(E185&lt;=0,"",IFERROR(I185/E185-1,"")))</f>
        <v/>
      </c>
      <c r="J186" s="15">
        <f>IF(OR(J185="",F185=""),"",IF(F185&lt;=0,"",IFERROR(J185/F185-1,"")))</f>
        <v/>
      </c>
      <c r="K186" s="15">
        <f>IF(OR(K185="",G185=""),"",IF(G185&lt;=0,"",IFERROR(K185/G185-1,"")))</f>
        <v/>
      </c>
      <c r="L186" s="15">
        <f>IF(OR(L185="",H185=""),"",IF(H185&lt;=0,"",IFERROR(L185/H185-1,"")))</f>
        <v/>
      </c>
      <c r="M186" s="15">
        <f>IF(OR(M185="",I185=""),"",IF(I185&lt;=0,"",IFERROR(M185/I185-1,"")))</f>
        <v/>
      </c>
      <c r="N186" s="15">
        <f>IF(OR(N185="",J185=""),"",IF(J185&lt;=0,"",IFERROR(N185/J185-1,"")))</f>
        <v/>
      </c>
      <c r="V186" s="15">
        <f>IF(OR(V185="",U185=""),"",IF(U185&lt;=0,"",IFERROR(V185/U185-1,"")))</f>
        <v/>
      </c>
      <c r="W186" s="15">
        <f>IF(OR(W185="",V185=""),"",IF(V185&lt;=0,"",IFERROR(W185/V185-1,"")))</f>
        <v/>
      </c>
      <c r="X186" s="15">
        <f>IF(OR(X185="",W185=""),"",IF(W185&lt;=0,"",IFERROR(X185/W185-1,"")))</f>
        <v/>
      </c>
    </row>
    <row r="187">
      <c r="A187" s="18" t="inlineStr">
        <is>
          <t>보고부문 합계 · 계</t>
        </is>
      </c>
      <c r="C187" s="20" t="n">
        <v>8870</v>
      </c>
      <c r="D187" s="20" t="n">
        <v>8675</v>
      </c>
      <c r="E187" s="20" t="n">
        <v>8802</v>
      </c>
      <c r="F187" s="20" t="n">
        <v>9413</v>
      </c>
      <c r="G187" s="20" t="n">
        <v>9378</v>
      </c>
      <c r="H187" s="20" t="n">
        <v>9048</v>
      </c>
      <c r="I187" s="20" t="n">
        <v>8990</v>
      </c>
      <c r="J187" s="20" t="n">
        <v>8795</v>
      </c>
      <c r="K187" s="20" t="n">
        <v>9244</v>
      </c>
      <c r="L187" s="20" t="n">
        <v>9883</v>
      </c>
      <c r="M187" s="20" t="n">
        <v>9802</v>
      </c>
      <c r="N187" s="20" t="n">
        <v>10815</v>
      </c>
      <c r="V187" s="20" t="n">
        <v>8675</v>
      </c>
      <c r="W187" s="20" t="n">
        <v>9048</v>
      </c>
      <c r="X187" s="20" t="n">
        <v>9883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IF(OR(G187="",C187=""),"",IF(C187&lt;=0,"",IFERROR(G187/C187-1,"")))</f>
        <v/>
      </c>
      <c r="H188" s="15">
        <f>IF(OR(H187="",D187=""),"",IF(D187&lt;=0,"",IFERROR(H187/D187-1,"")))</f>
        <v/>
      </c>
      <c r="I188" s="15">
        <f>IF(OR(I187="",E187=""),"",IF(E187&lt;=0,"",IFERROR(I187/E187-1,"")))</f>
        <v/>
      </c>
      <c r="J188" s="15">
        <f>IF(OR(J187="",F187=""),"",IF(F187&lt;=0,"",IFERROR(J187/F187-1,"")))</f>
        <v/>
      </c>
      <c r="K188" s="15">
        <f>IF(OR(K187="",G187=""),"",IF(G187&lt;=0,"",IFERROR(K187/G187-1,"")))</f>
        <v/>
      </c>
      <c r="L188" s="15">
        <f>IF(OR(L187="",H187=""),"",IF(H187&lt;=0,"",IFERROR(L187/H187-1,"")))</f>
        <v/>
      </c>
      <c r="M188" s="15">
        <f>IF(OR(M187="",I187=""),"",IF(I187&lt;=0,"",IFERROR(M187/I187-1,"")))</f>
        <v/>
      </c>
      <c r="N188" s="15">
        <f>IF(OR(N187="",J187=""),"",IF(J187&lt;=0,"",IFERROR(N187/J187-1,"")))</f>
        <v/>
      </c>
      <c r="V188" s="15">
        <f>IF(OR(V187="",U187=""),"",IF(U187&lt;=0,"",IFERROR(V187/U187-1,"")))</f>
        <v/>
      </c>
      <c r="W188" s="15">
        <f>IF(OR(W187="",V187=""),"",IF(V187&lt;=0,"",IFERROR(W187/V187-1,"")))</f>
        <v/>
      </c>
      <c r="X188" s="15">
        <f>IF(OR(X187="",W187=""),"",IF(W187&lt;=0,"",IFERROR(X187/W187-1,"")))</f>
        <v/>
      </c>
    </row>
    <row r="189">
      <c r="A189" s="18" t="inlineStr">
        <is>
          <t>조정액 · 계</t>
        </is>
      </c>
      <c r="C189" s="20" t="n">
        <v>-524</v>
      </c>
      <c r="D189" s="20" t="n">
        <v>-520</v>
      </c>
      <c r="E189" s="20" t="n">
        <v>-547</v>
      </c>
      <c r="F189" s="20" t="n">
        <v>-566</v>
      </c>
      <c r="G189" s="20" t="n">
        <v>-563</v>
      </c>
      <c r="H189" s="20" t="n">
        <v>-592</v>
      </c>
      <c r="I189" s="20" t="n">
        <v>-475</v>
      </c>
      <c r="J189" s="20" t="n">
        <v>-445</v>
      </c>
      <c r="K189" s="20" t="n">
        <v>-537</v>
      </c>
      <c r="L189" s="20" t="n">
        <v>-584</v>
      </c>
      <c r="M189" s="20" t="n">
        <v>-496</v>
      </c>
      <c r="N189" s="20" t="n">
        <v>-496</v>
      </c>
      <c r="V189" s="20" t="n">
        <v>-520</v>
      </c>
      <c r="W189" s="20" t="n">
        <v>-592</v>
      </c>
      <c r="X189" s="20" t="n">
        <v>-584</v>
      </c>
    </row>
    <row r="190">
      <c r="A190" s="18" t="inlineStr">
        <is>
          <t>EntityTotalMember · 계</t>
        </is>
      </c>
      <c r="I190" s="20" t="n">
        <v>8516</v>
      </c>
      <c r="M190" s="20" t="n">
        <v>9306</v>
      </c>
    </row>
    <row r="191">
      <c r="A191" s="9" t="inlineStr">
        <is>
          <t>계</t>
        </is>
      </c>
      <c r="C191" s="12" t="n">
        <v>8345</v>
      </c>
      <c r="D191" s="12" t="n">
        <v>8155</v>
      </c>
      <c r="E191" s="12" t="n">
        <v>8254</v>
      </c>
      <c r="F191" s="12" t="n">
        <v>8848</v>
      </c>
      <c r="G191" s="12" t="n">
        <v>8815</v>
      </c>
      <c r="H191" s="12" t="n">
        <v>8457</v>
      </c>
      <c r="I191" s="12" t="n">
        <v>8516</v>
      </c>
      <c r="J191" s="12" t="n">
        <v>8349</v>
      </c>
      <c r="K191" s="12" t="n">
        <v>8708</v>
      </c>
      <c r="L191" s="12" t="n">
        <v>9298</v>
      </c>
      <c r="V191" s="12" t="n">
        <v>8155</v>
      </c>
      <c r="W191" s="12" t="n">
        <v>8457</v>
      </c>
      <c r="X191" s="12" t="n">
        <v>9298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IF(OR(G191="",C191=""),"",IF(C191&lt;=0,"",IFERROR(G191/C191-1,"")))</f>
        <v/>
      </c>
      <c r="H192" s="15">
        <f>IF(OR(H191="",D191=""),"",IF(D191&lt;=0,"",IFERROR(H191/D191-1,"")))</f>
        <v/>
      </c>
      <c r="I192" s="15">
        <f>IF(OR(I191="",E191=""),"",IF(E191&lt;=0,"",IFERROR(I191/E191-1,"")))</f>
        <v/>
      </c>
      <c r="J192" s="15">
        <f>IF(OR(J191="",F191=""),"",IF(F191&lt;=0,"",IFERROR(J191/F191-1,"")))</f>
        <v/>
      </c>
      <c r="K192" s="15">
        <f>IF(OR(K191="",G191=""),"",IF(G191&lt;=0,"",IFERROR(K191/G191-1,"")))</f>
        <v/>
      </c>
      <c r="L192" s="15">
        <f>IF(OR(L191="",H191=""),"",IF(H191&lt;=0,"",IFERROR(L191/H191-1,"")))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  <c r="X192" s="15">
        <f>IF(OR(X191="",W191=""),"",IF(W191&lt;=0,"",IFERROR(X191/W191-1,"")))</f>
        <v/>
      </c>
    </row>
    <row r="193">
      <c r="A193" s="18" t="inlineStr">
        <is>
          <t>JapanReportableSegmentMember · 부문 이익</t>
        </is>
      </c>
      <c r="C193" s="20" t="n">
        <v>329</v>
      </c>
      <c r="D193" s="20" t="n">
        <v>41</v>
      </c>
      <c r="E193" s="20" t="n">
        <v>80</v>
      </c>
      <c r="F193" s="20" t="n">
        <v>295</v>
      </c>
      <c r="G193" s="20" t="n">
        <v>316</v>
      </c>
      <c r="H193" s="20" t="n">
        <v>180</v>
      </c>
      <c r="I193" s="20" t="n">
        <v>306</v>
      </c>
      <c r="J193" s="20" t="n">
        <v>277</v>
      </c>
      <c r="K193" s="20" t="n">
        <v>560</v>
      </c>
      <c r="L193" s="20" t="n">
        <v>383</v>
      </c>
      <c r="M193" s="20" t="n">
        <v>819</v>
      </c>
      <c r="N193" s="20" t="n">
        <v>966</v>
      </c>
      <c r="V193" s="20" t="n">
        <v>41</v>
      </c>
      <c r="W193" s="20" t="n">
        <v>180</v>
      </c>
      <c r="X193" s="20" t="n">
        <v>383</v>
      </c>
    </row>
    <row r="194">
      <c r="A194" s="43" t="inlineStr">
        <is>
          <t>OPM</t>
        </is>
      </c>
      <c r="B194" s="3" t="inlineStr">
        <is>
          <t>영업이익 ÷ 매출</t>
        </is>
      </c>
      <c r="C194" s="15">
        <f>IF(OR(C193="",C179=""),"",IF(C179&lt;=0,"",IFERROR(C193/C179,"")))</f>
        <v/>
      </c>
      <c r="D194" s="15">
        <f>IF(OR(D193="",D179=""),"",IF(D179&lt;=0,"",IFERROR(D193/D179,"")))</f>
        <v/>
      </c>
      <c r="E194" s="15">
        <f>IF(OR(E193="",E179=""),"",IF(E179&lt;=0,"",IFERROR(E193/E179,"")))</f>
        <v/>
      </c>
      <c r="F194" s="15">
        <f>IF(OR(F193="",F179=""),"",IF(F179&lt;=0,"",IFERROR(F193/F179,"")))</f>
        <v/>
      </c>
      <c r="G194" s="15">
        <f>IF(OR(G193="",G179=""),"",IF(G179&lt;=0,"",IFERROR(G193/G179,"")))</f>
        <v/>
      </c>
      <c r="H194" s="15">
        <f>IF(OR(H193="",H179=""),"",IF(H179&lt;=0,"",IFERROR(H193/H179,"")))</f>
        <v/>
      </c>
      <c r="I194" s="15">
        <f>IF(OR(I193="",I179=""),"",IF(I179&lt;=0,"",IFERROR(I193/I179,"")))</f>
        <v/>
      </c>
      <c r="J194" s="15">
        <f>IF(OR(J193="",J179=""),"",IF(J179&lt;=0,"",IFERROR(J193/J179,"")))</f>
        <v/>
      </c>
      <c r="K194" s="15">
        <f>IF(OR(K193="",K179=""),"",IF(K179&lt;=0,"",IFERROR(K193/K179,"")))</f>
        <v/>
      </c>
      <c r="L194" s="15">
        <f>IF(OR(L193="",L179=""),"",IF(L179&lt;=0,"",IFERROR(L193/L179,"")))</f>
        <v/>
      </c>
      <c r="M194" s="15">
        <f>IF(OR(M193="",M179=""),"",IF(M179&lt;=0,"",IFERROR(M193/M179,"")))</f>
        <v/>
      </c>
      <c r="N194" s="15">
        <f>IF(OR(N193="",N179=""),"",IF(N179&lt;=0,"",IFERROR(N193/N179,"")))</f>
        <v/>
      </c>
      <c r="V194" s="15">
        <f>IF(OR(V193="",V179=""),"",IF(V179&lt;=0,"",IFERROR(V193/V179,"")))</f>
        <v/>
      </c>
      <c r="W194" s="15">
        <f>IF(OR(W193="",W179=""),"",IF(W179&lt;=0,"",IFERROR(W193/W179,"")))</f>
        <v/>
      </c>
      <c r="X194" s="15">
        <f>IF(OR(X193="",X179=""),"",IF(X179&lt;=0,"",IFERROR(X193/X179,"")))</f>
        <v/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IF(OR(G193="",C193=""),"",IF(C193&lt;=0,"",IFERROR(G193/C193-1,"")))</f>
        <v/>
      </c>
      <c r="H195" s="15">
        <f>IF(OR(H193="",D193=""),"",IF(D193&lt;=0,"",IFERROR(H193/D193-1,"")))</f>
        <v/>
      </c>
      <c r="I195" s="15">
        <f>IF(OR(I193="",E193=""),"",IF(E193&lt;=0,"",IFERROR(I193/E193-1,"")))</f>
        <v/>
      </c>
      <c r="J195" s="15">
        <f>IF(OR(J193="",F193=""),"",IF(F193&lt;=0,"",IFERROR(J193/F193-1,"")))</f>
        <v/>
      </c>
      <c r="K195" s="15">
        <f>IF(OR(K193="",G193=""),"",IF(G193&lt;=0,"",IFERROR(K193/G193-1,"")))</f>
        <v/>
      </c>
      <c r="L195" s="15">
        <f>IF(OR(L193="",H193=""),"",IF(H193&lt;=0,"",IFERROR(L193/H193-1,"")))</f>
        <v/>
      </c>
      <c r="M195" s="15">
        <f>IF(OR(M193="",I193=""),"",IF(I193&lt;=0,"",IFERROR(M193/I193-1,"")))</f>
        <v/>
      </c>
      <c r="N195" s="15">
        <f>IF(OR(N193="",J193=""),"",IF(J193&lt;=0,"",IFERROR(N193/J193-1,"")))</f>
        <v/>
      </c>
      <c r="V195" s="15">
        <f>IF(OR(V193="",U193=""),"",IF(U193&lt;=0,"",IFERROR(V193/U193-1,"")))</f>
        <v/>
      </c>
      <c r="W195" s="15">
        <f>IF(OR(W193="",V193=""),"",IF(V193&lt;=0,"",IFERROR(W193/V193-1,"")))</f>
        <v/>
      </c>
      <c r="X195" s="15">
        <f>IF(OR(X193="",W193=""),"",IF(W193&lt;=0,"",IFERROR(X193/W193-1,"")))</f>
        <v/>
      </c>
    </row>
    <row r="196">
      <c r="A196" s="18" t="inlineStr">
        <is>
          <t>ChinaReportableSegmentMember · 부문 이익</t>
        </is>
      </c>
      <c r="C196" s="20" t="n">
        <v>80</v>
      </c>
      <c r="D196" s="20" t="n">
        <v>-42</v>
      </c>
      <c r="E196" s="20" t="n">
        <v>-13</v>
      </c>
      <c r="F196" s="20" t="n">
        <v>64</v>
      </c>
      <c r="G196" s="20" t="n">
        <v>77</v>
      </c>
      <c r="H196" s="20" t="n">
        <v>86</v>
      </c>
      <c r="I196" s="20" t="n">
        <v>84</v>
      </c>
      <c r="J196" s="20" t="n">
        <v>55</v>
      </c>
      <c r="K196" s="20" t="n">
        <v>35</v>
      </c>
      <c r="L196" s="20" t="n">
        <v>162</v>
      </c>
      <c r="M196" s="20" t="n">
        <v>109</v>
      </c>
      <c r="N196" s="20" t="n">
        <v>94</v>
      </c>
      <c r="V196" s="20" t="n">
        <v>-42</v>
      </c>
      <c r="W196" s="20" t="n">
        <v>86</v>
      </c>
      <c r="X196" s="20" t="n">
        <v>162</v>
      </c>
    </row>
    <row r="197">
      <c r="A197" s="43" t="inlineStr">
        <is>
          <t>OPM</t>
        </is>
      </c>
      <c r="B197" s="3" t="inlineStr">
        <is>
          <t>영업이익 ÷ 매출</t>
        </is>
      </c>
      <c r="C197" s="15">
        <f>IF(OR(C196="",C181=""),"",IF(C181&lt;=0,"",IFERROR(C196/C181,"")))</f>
        <v/>
      </c>
      <c r="D197" s="15">
        <f>IF(OR(D196="",D181=""),"",IF(D181&lt;=0,"",IFERROR(D196/D181,"")))</f>
        <v/>
      </c>
      <c r="E197" s="15">
        <f>IF(OR(E196="",E181=""),"",IF(E181&lt;=0,"",IFERROR(E196/E181,"")))</f>
        <v/>
      </c>
      <c r="F197" s="15">
        <f>IF(OR(F196="",F181=""),"",IF(F181&lt;=0,"",IFERROR(F196/F181,"")))</f>
        <v/>
      </c>
      <c r="G197" s="15">
        <f>IF(OR(G196="",G181=""),"",IF(G181&lt;=0,"",IFERROR(G196/G181,"")))</f>
        <v/>
      </c>
      <c r="H197" s="15">
        <f>IF(OR(H196="",H181=""),"",IF(H181&lt;=0,"",IFERROR(H196/H181,"")))</f>
        <v/>
      </c>
      <c r="I197" s="15">
        <f>IF(OR(I196="",I181=""),"",IF(I181&lt;=0,"",IFERROR(I196/I181,"")))</f>
        <v/>
      </c>
      <c r="J197" s="15">
        <f>IF(OR(J196="",J181=""),"",IF(J181&lt;=0,"",IFERROR(J196/J181,"")))</f>
        <v/>
      </c>
      <c r="K197" s="15">
        <f>IF(OR(K196="",K181=""),"",IF(K181&lt;=0,"",IFERROR(K196/K181,"")))</f>
        <v/>
      </c>
      <c r="L197" s="15">
        <f>IF(OR(L196="",L181=""),"",IF(L181&lt;=0,"",IFERROR(L196/L181,"")))</f>
        <v/>
      </c>
      <c r="M197" s="15">
        <f>IF(OR(M196="",M181=""),"",IF(M181&lt;=0,"",IFERROR(M196/M181,"")))</f>
        <v/>
      </c>
      <c r="N197" s="15">
        <f>IF(OR(N196="",N181=""),"",IF(N181&lt;=0,"",IFERROR(N196/N181,"")))</f>
        <v/>
      </c>
      <c r="V197" s="15">
        <f>IF(OR(V196="",V181=""),"",IF(V181&lt;=0,"",IFERROR(V196/V181,"")))</f>
        <v/>
      </c>
      <c r="W197" s="15">
        <f>IF(OR(W196="",W181=""),"",IF(W181&lt;=0,"",IFERROR(W196/W181,"")))</f>
        <v/>
      </c>
      <c r="X197" s="15">
        <f>IF(OR(X196="",X181=""),"",IF(X181&lt;=0,"",IFERROR(X196/X181,"")))</f>
        <v/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IF(OR(G196="",C196=""),"",IF(C196&lt;=0,"",IFERROR(G196/C196-1,"")))</f>
        <v/>
      </c>
      <c r="H198" s="15">
        <f>IF(OR(H196="",D196=""),"",IF(D196&lt;=0,"",IFERROR(H196/D196-1,"")))</f>
        <v/>
      </c>
      <c r="I198" s="15">
        <f>IF(OR(I196="",E196=""),"",IF(E196&lt;=0,"",IFERROR(I196/E196-1,"")))</f>
        <v/>
      </c>
      <c r="J198" s="15">
        <f>IF(OR(J196="",F196=""),"",IF(F196&lt;=0,"",IFERROR(J196/F196-1,"")))</f>
        <v/>
      </c>
      <c r="K198" s="15">
        <f>IF(OR(K196="",G196=""),"",IF(G196&lt;=0,"",IFERROR(K196/G196-1,"")))</f>
        <v/>
      </c>
      <c r="L198" s="15">
        <f>IF(OR(L196="",H196=""),"",IF(H196&lt;=0,"",IFERROR(L196/H196-1,"")))</f>
        <v/>
      </c>
      <c r="M198" s="15">
        <f>IF(OR(M196="",I196=""),"",IF(I196&lt;=0,"",IFERROR(M196/I196-1,"")))</f>
        <v/>
      </c>
      <c r="N198" s="15">
        <f>IF(OR(N196="",J196=""),"",IF(J196&lt;=0,"",IFERROR(N196/J196-1,"")))</f>
        <v/>
      </c>
      <c r="V198" s="15">
        <f>IF(OR(V196="",U196=""),"",IF(U196&lt;=0,"",IFERROR(V196/U196-1,"")))</f>
        <v/>
      </c>
      <c r="W198" s="15">
        <f>IF(OR(W196="",V196=""),"",IF(V196&lt;=0,"",IFERROR(W196/V196-1,"")))</f>
        <v/>
      </c>
      <c r="X198" s="15">
        <f>IF(OR(X196="",W196=""),"",IF(W196&lt;=0,"",IFERROR(X196/W196-1,"")))</f>
        <v/>
      </c>
    </row>
    <row r="199">
      <c r="A199" s="18" t="inlineStr">
        <is>
          <t>SoutheastSouthAsiaReportableSegmentMember · 부문 이익</t>
        </is>
      </c>
      <c r="C199" s="20" t="n">
        <v>81</v>
      </c>
      <c r="D199" s="20" t="n">
        <v>79</v>
      </c>
      <c r="E199" s="20" t="n">
        <v>58</v>
      </c>
      <c r="F199" s="20" t="n">
        <v>59</v>
      </c>
      <c r="G199" s="20" t="n">
        <v>70</v>
      </c>
      <c r="H199" s="20" t="n">
        <v>32</v>
      </c>
      <c r="I199" s="20" t="n">
        <v>54</v>
      </c>
      <c r="J199" s="20" t="n">
        <v>48</v>
      </c>
      <c r="K199" s="20" t="n">
        <v>111</v>
      </c>
      <c r="L199" s="20" t="n">
        <v>130</v>
      </c>
      <c r="M199" s="20" t="n">
        <v>167</v>
      </c>
      <c r="N199" s="20" t="n">
        <v>313</v>
      </c>
      <c r="V199" s="20" t="n">
        <v>79</v>
      </c>
      <c r="W199" s="20" t="n">
        <v>32</v>
      </c>
      <c r="X199" s="20" t="n">
        <v>130</v>
      </c>
    </row>
    <row r="200">
      <c r="A200" s="43" t="inlineStr">
        <is>
          <t>OPM</t>
        </is>
      </c>
      <c r="B200" s="3" t="inlineStr">
        <is>
          <t>영업이익 ÷ 매출</t>
        </is>
      </c>
      <c r="C200" s="15">
        <f>IF(OR(C199="",C183=""),"",IF(C183&lt;=0,"",IFERROR(C199/C183,"")))</f>
        <v/>
      </c>
      <c r="D200" s="15">
        <f>IF(OR(D199="",D183=""),"",IF(D183&lt;=0,"",IFERROR(D199/D183,"")))</f>
        <v/>
      </c>
      <c r="E200" s="15">
        <f>IF(OR(E199="",E183=""),"",IF(E183&lt;=0,"",IFERROR(E199/E183,"")))</f>
        <v/>
      </c>
      <c r="F200" s="15">
        <f>IF(OR(F199="",F183=""),"",IF(F183&lt;=0,"",IFERROR(F199/F183,"")))</f>
        <v/>
      </c>
      <c r="G200" s="15">
        <f>IF(OR(G199="",G183=""),"",IF(G183&lt;=0,"",IFERROR(G199/G183,"")))</f>
        <v/>
      </c>
      <c r="H200" s="15">
        <f>IF(OR(H199="",H183=""),"",IF(H183&lt;=0,"",IFERROR(H199/H183,"")))</f>
        <v/>
      </c>
      <c r="I200" s="15">
        <f>IF(OR(I199="",I183=""),"",IF(I183&lt;=0,"",IFERROR(I199/I183,"")))</f>
        <v/>
      </c>
      <c r="J200" s="15">
        <f>IF(OR(J199="",J183=""),"",IF(J183&lt;=0,"",IFERROR(J199/J183,"")))</f>
        <v/>
      </c>
      <c r="K200" s="15">
        <f>IF(OR(K199="",K183=""),"",IF(K183&lt;=0,"",IFERROR(K199/K183,"")))</f>
        <v/>
      </c>
      <c r="L200" s="15">
        <f>IF(OR(L199="",L183=""),"",IF(L183&lt;=0,"",IFERROR(L199/L183,"")))</f>
        <v/>
      </c>
      <c r="M200" s="15">
        <f>IF(OR(M199="",M183=""),"",IF(M183&lt;=0,"",IFERROR(M199/M183,"")))</f>
        <v/>
      </c>
      <c r="N200" s="15">
        <f>IF(OR(N199="",N183=""),"",IF(N183&lt;=0,"",IFERROR(N199/N183,"")))</f>
        <v/>
      </c>
      <c r="V200" s="15">
        <f>IF(OR(V199="",V183=""),"",IF(V183&lt;=0,"",IFERROR(V199/V183,"")))</f>
        <v/>
      </c>
      <c r="W200" s="15">
        <f>IF(OR(W199="",W183=""),"",IF(W183&lt;=0,"",IFERROR(W199/W183,"")))</f>
        <v/>
      </c>
      <c r="X200" s="15">
        <f>IF(OR(X199="",X183=""),"",IF(X183&lt;=0,"",IFERROR(X199/X183,"")))</f>
        <v/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IF(OR(G199="",C199=""),"",IF(C199&lt;=0,"",IFERROR(G199/C199-1,"")))</f>
        <v/>
      </c>
      <c r="H201" s="15">
        <f>IF(OR(H199="",D199=""),"",IF(D199&lt;=0,"",IFERROR(H199/D199-1,"")))</f>
        <v/>
      </c>
      <c r="I201" s="15">
        <f>IF(OR(I199="",E199=""),"",IF(E199&lt;=0,"",IFERROR(I199/E199-1,"")))</f>
        <v/>
      </c>
      <c r="J201" s="15">
        <f>IF(OR(J199="",F199=""),"",IF(F199&lt;=0,"",IFERROR(J199/F199-1,"")))</f>
        <v/>
      </c>
      <c r="K201" s="15">
        <f>IF(OR(K199="",G199=""),"",IF(G199&lt;=0,"",IFERROR(K199/G199-1,"")))</f>
        <v/>
      </c>
      <c r="L201" s="15">
        <f>IF(OR(L199="",H199=""),"",IF(H199&lt;=0,"",IFERROR(L199/H199-1,"")))</f>
        <v/>
      </c>
      <c r="M201" s="15">
        <f>IF(OR(M199="",I199=""),"",IF(I199&lt;=0,"",IFERROR(M199/I199-1,"")))</f>
        <v/>
      </c>
      <c r="N201" s="15">
        <f>IF(OR(N199="",J199=""),"",IF(J199&lt;=0,"",IFERROR(N199/J199-1,"")))</f>
        <v/>
      </c>
      <c r="V201" s="15">
        <f>IF(OR(V199="",U199=""),"",IF(U199&lt;=0,"",IFERROR(V199/U199-1,"")))</f>
        <v/>
      </c>
      <c r="W201" s="15">
        <f>IF(OR(W199="",V199=""),"",IF(V199&lt;=0,"",IFERROR(W199/V199-1,"")))</f>
        <v/>
      </c>
      <c r="X201" s="15">
        <f>IF(OR(X199="",W199=""),"",IF(W199&lt;=0,"",IFERROR(X199/W199-1,"")))</f>
        <v/>
      </c>
    </row>
    <row r="202">
      <c r="A202" s="18" t="inlineStr">
        <is>
          <t>NorthAmericaReportableSegmentMember · 부문 이익</t>
        </is>
      </c>
      <c r="C202" s="20" t="n">
        <v>32</v>
      </c>
      <c r="D202" s="20" t="n">
        <v>69</v>
      </c>
      <c r="E202" s="20" t="n">
        <v>57</v>
      </c>
      <c r="F202" s="20" t="n">
        <v>72</v>
      </c>
      <c r="G202" s="20" t="n">
        <v>-10</v>
      </c>
      <c r="H202" s="20" t="n">
        <v>-12</v>
      </c>
      <c r="I202" s="20" t="n">
        <v>45</v>
      </c>
      <c r="J202" s="20" t="n">
        <v>57</v>
      </c>
      <c r="K202" s="20" t="n">
        <v>17</v>
      </c>
      <c r="L202" s="20" t="n">
        <v>37</v>
      </c>
      <c r="M202" s="20" t="n">
        <v>-15</v>
      </c>
      <c r="N202" s="20" t="n">
        <v>-10</v>
      </c>
      <c r="V202" s="20" t="n">
        <v>69</v>
      </c>
      <c r="W202" s="20" t="n">
        <v>-12</v>
      </c>
      <c r="X202" s="20" t="n">
        <v>37</v>
      </c>
    </row>
    <row r="203">
      <c r="A203" s="43" t="inlineStr">
        <is>
          <t>OPM</t>
        </is>
      </c>
      <c r="B203" s="3" t="inlineStr">
        <is>
          <t>영업이익 ÷ 매출</t>
        </is>
      </c>
      <c r="C203" s="15">
        <f>IF(OR(C202="",C185=""),"",IF(C185&lt;=0,"",IFERROR(C202/C185,"")))</f>
        <v/>
      </c>
      <c r="D203" s="15">
        <f>IF(OR(D202="",D185=""),"",IF(D185&lt;=0,"",IFERROR(D202/D185,"")))</f>
        <v/>
      </c>
      <c r="E203" s="15">
        <f>IF(OR(E202="",E185=""),"",IF(E185&lt;=0,"",IFERROR(E202/E185,"")))</f>
        <v/>
      </c>
      <c r="F203" s="15">
        <f>IF(OR(F202="",F185=""),"",IF(F185&lt;=0,"",IFERROR(F202/F185,"")))</f>
        <v/>
      </c>
      <c r="G203" s="15">
        <f>IF(OR(G202="",G185=""),"",IF(G185&lt;=0,"",IFERROR(G202/G185,"")))</f>
        <v/>
      </c>
      <c r="H203" s="15">
        <f>IF(OR(H202="",H185=""),"",IF(H185&lt;=0,"",IFERROR(H202/H185,"")))</f>
        <v/>
      </c>
      <c r="I203" s="15">
        <f>IF(OR(I202="",I185=""),"",IF(I185&lt;=0,"",IFERROR(I202/I185,"")))</f>
        <v/>
      </c>
      <c r="J203" s="15">
        <f>IF(OR(J202="",J185=""),"",IF(J185&lt;=0,"",IFERROR(J202/J185,"")))</f>
        <v/>
      </c>
      <c r="K203" s="15">
        <f>IF(OR(K202="",K185=""),"",IF(K185&lt;=0,"",IFERROR(K202/K185,"")))</f>
        <v/>
      </c>
      <c r="L203" s="15">
        <f>IF(OR(L202="",L185=""),"",IF(L185&lt;=0,"",IFERROR(L202/L185,"")))</f>
        <v/>
      </c>
      <c r="M203" s="15">
        <f>IF(OR(M202="",M185=""),"",IF(M185&lt;=0,"",IFERROR(M202/M185,"")))</f>
        <v/>
      </c>
      <c r="N203" s="15">
        <f>IF(OR(N202="",N185=""),"",IF(N185&lt;=0,"",IFERROR(N202/N185,"")))</f>
        <v/>
      </c>
      <c r="V203" s="15">
        <f>IF(OR(V202="",V185=""),"",IF(V185&lt;=0,"",IFERROR(V202/V185,"")))</f>
        <v/>
      </c>
      <c r="W203" s="15">
        <f>IF(OR(W202="",W185=""),"",IF(W185&lt;=0,"",IFERROR(W202/W185,"")))</f>
        <v/>
      </c>
      <c r="X203" s="15">
        <f>IF(OR(X202="",X185=""),"",IF(X185&lt;=0,"",IFERROR(X202/X185,"")))</f>
        <v/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IF(OR(G202="",C202=""),"",IF(C202&lt;=0,"",IFERROR(G202/C202-1,"")))</f>
        <v/>
      </c>
      <c r="H204" s="15">
        <f>IF(OR(H202="",D202=""),"",IF(D202&lt;=0,"",IFERROR(H202/D202-1,"")))</f>
        <v/>
      </c>
      <c r="I204" s="15">
        <f>IF(OR(I202="",E202=""),"",IF(E202&lt;=0,"",IFERROR(I202/E202-1,"")))</f>
        <v/>
      </c>
      <c r="J204" s="15">
        <f>IF(OR(J202="",F202=""),"",IF(F202&lt;=0,"",IFERROR(J202/F202-1,"")))</f>
        <v/>
      </c>
      <c r="K204" s="15">
        <f>IF(OR(K202="",G202=""),"",IF(G202&lt;=0,"",IFERROR(K202/G202-1,"")))</f>
        <v/>
      </c>
      <c r="L204" s="15">
        <f>IF(OR(L202="",H202=""),"",IF(H202&lt;=0,"",IFERROR(L202/H202-1,"")))</f>
        <v/>
      </c>
      <c r="M204" s="15">
        <f>IF(OR(M202="",I202=""),"",IF(I202&lt;=0,"",IFERROR(M202/I202-1,"")))</f>
        <v/>
      </c>
      <c r="N204" s="15">
        <f>IF(OR(N202="",J202=""),"",IF(J202&lt;=0,"",IFERROR(N202/J202-1,"")))</f>
        <v/>
      </c>
      <c r="V204" s="15">
        <f>IF(OR(V202="",U202=""),"",IF(U202&lt;=0,"",IFERROR(V202/U202-1,"")))</f>
        <v/>
      </c>
      <c r="W204" s="15">
        <f>IF(OR(W202="",V202=""),"",IF(V202&lt;=0,"",IFERROR(W202/V202-1,"")))</f>
        <v/>
      </c>
      <c r="X204" s="15">
        <f>IF(OR(X202="",W202=""),"",IF(W202&lt;=0,"",IFERROR(X202/W202-1,"")))</f>
        <v/>
      </c>
    </row>
    <row r="205">
      <c r="A205" s="18" t="inlineStr">
        <is>
          <t>보고부문 합계 · 부문 이익</t>
        </is>
      </c>
      <c r="C205" s="20" t="n">
        <v>521</v>
      </c>
      <c r="D205" s="20" t="n">
        <v>148</v>
      </c>
      <c r="E205" s="20" t="n">
        <v>183</v>
      </c>
      <c r="F205" s="20" t="n">
        <v>490</v>
      </c>
      <c r="G205" s="20" t="n">
        <v>451</v>
      </c>
      <c r="H205" s="20" t="n">
        <v>287</v>
      </c>
      <c r="I205" s="20" t="n">
        <v>489</v>
      </c>
      <c r="J205" s="20" t="n">
        <v>437</v>
      </c>
      <c r="K205" s="20" t="n">
        <v>723</v>
      </c>
      <c r="L205" s="20" t="n">
        <v>713</v>
      </c>
      <c r="M205" s="20" t="n">
        <v>1081</v>
      </c>
      <c r="N205" s="20" t="n">
        <v>1362</v>
      </c>
      <c r="V205" s="20" t="n">
        <v>148</v>
      </c>
      <c r="W205" s="20" t="n">
        <v>287</v>
      </c>
      <c r="X205" s="20" t="n">
        <v>713</v>
      </c>
    </row>
    <row r="206">
      <c r="A206" s="43" t="inlineStr">
        <is>
          <t>OPM</t>
        </is>
      </c>
      <c r="B206" s="3" t="inlineStr">
        <is>
          <t>영업이익 ÷ 매출</t>
        </is>
      </c>
      <c r="C206" s="15">
        <f>IF(OR(C205="",C187=""),"",IF(C187&lt;=0,"",IFERROR(C205/C187,"")))</f>
        <v/>
      </c>
      <c r="D206" s="15">
        <f>IF(OR(D205="",D187=""),"",IF(D187&lt;=0,"",IFERROR(D205/D187,"")))</f>
        <v/>
      </c>
      <c r="E206" s="15">
        <f>IF(OR(E205="",E187=""),"",IF(E187&lt;=0,"",IFERROR(E205/E187,"")))</f>
        <v/>
      </c>
      <c r="F206" s="15">
        <f>IF(OR(F205="",F187=""),"",IF(F187&lt;=0,"",IFERROR(F205/F187,"")))</f>
        <v/>
      </c>
      <c r="G206" s="15">
        <f>IF(OR(G205="",G187=""),"",IF(G187&lt;=0,"",IFERROR(G205/G187,"")))</f>
        <v/>
      </c>
      <c r="H206" s="15">
        <f>IF(OR(H205="",H187=""),"",IF(H187&lt;=0,"",IFERROR(H205/H187,"")))</f>
        <v/>
      </c>
      <c r="I206" s="15">
        <f>IF(OR(I205="",I187=""),"",IF(I187&lt;=0,"",IFERROR(I205/I187,"")))</f>
        <v/>
      </c>
      <c r="J206" s="15">
        <f>IF(OR(J205="",J187=""),"",IF(J187&lt;=0,"",IFERROR(J205/J187,"")))</f>
        <v/>
      </c>
      <c r="K206" s="15">
        <f>IF(OR(K205="",K187=""),"",IF(K187&lt;=0,"",IFERROR(K205/K187,"")))</f>
        <v/>
      </c>
      <c r="L206" s="15">
        <f>IF(OR(L205="",L187=""),"",IF(L187&lt;=0,"",IFERROR(L205/L187,"")))</f>
        <v/>
      </c>
      <c r="M206" s="15">
        <f>IF(OR(M205="",M187=""),"",IF(M187&lt;=0,"",IFERROR(M205/M187,"")))</f>
        <v/>
      </c>
      <c r="N206" s="15">
        <f>IF(OR(N205="",N187=""),"",IF(N187&lt;=0,"",IFERROR(N205/N187,"")))</f>
        <v/>
      </c>
      <c r="V206" s="15">
        <f>IF(OR(V205="",V187=""),"",IF(V187&lt;=0,"",IFERROR(V205/V187,"")))</f>
        <v/>
      </c>
      <c r="W206" s="15">
        <f>IF(OR(W205="",W187=""),"",IF(W187&lt;=0,"",IFERROR(W205/W187,"")))</f>
        <v/>
      </c>
      <c r="X206" s="15">
        <f>IF(OR(X205="",X187=""),"",IF(X187&lt;=0,"",IFERROR(X205/X187,"")))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IF(OR(G205="",C205=""),"",IF(C205&lt;=0,"",IFERROR(G205/C205-1,"")))</f>
        <v/>
      </c>
      <c r="H207" s="15">
        <f>IF(OR(H205="",D205=""),"",IF(D205&lt;=0,"",IFERROR(H205/D205-1,"")))</f>
        <v/>
      </c>
      <c r="I207" s="15">
        <f>IF(OR(I205="",E205=""),"",IF(E205&lt;=0,"",IFERROR(I205/E205-1,"")))</f>
        <v/>
      </c>
      <c r="J207" s="15">
        <f>IF(OR(J205="",F205=""),"",IF(F205&lt;=0,"",IFERROR(J205/F205-1,"")))</f>
        <v/>
      </c>
      <c r="K207" s="15">
        <f>IF(OR(K205="",G205=""),"",IF(G205&lt;=0,"",IFERROR(K205/G205-1,"")))</f>
        <v/>
      </c>
      <c r="L207" s="15">
        <f>IF(OR(L205="",H205=""),"",IF(H205&lt;=0,"",IFERROR(L205/H205-1,"")))</f>
        <v/>
      </c>
      <c r="M207" s="15">
        <f>IF(OR(M205="",I205=""),"",IF(I205&lt;=0,"",IFERROR(M205/I205-1,"")))</f>
        <v/>
      </c>
      <c r="N207" s="15">
        <f>IF(OR(N205="",J205=""),"",IF(J205&lt;=0,"",IFERROR(N205/J205-1,"")))</f>
        <v/>
      </c>
      <c r="V207" s="15">
        <f>IF(OR(V205="",U205=""),"",IF(U205&lt;=0,"",IFERROR(V205/U205-1,"")))</f>
        <v/>
      </c>
      <c r="W207" s="15">
        <f>IF(OR(W205="",V205=""),"",IF(V205&lt;=0,"",IFERROR(W205/V205-1,"")))</f>
        <v/>
      </c>
      <c r="X207" s="15">
        <f>IF(OR(X205="",W205=""),"",IF(W205&lt;=0,"",IFERROR(X205/W205-1,"")))</f>
        <v/>
      </c>
    </row>
    <row r="208">
      <c r="A208" s="18" t="inlineStr">
        <is>
          <t>조정액 · 부문 이익</t>
        </is>
      </c>
      <c r="C208" s="20" t="n">
        <v>1</v>
      </c>
      <c r="D208" s="20" t="n">
        <v>27</v>
      </c>
      <c r="E208" s="20" t="n">
        <v>6</v>
      </c>
      <c r="F208" s="20" t="n">
        <v>-8</v>
      </c>
      <c r="G208" s="20" t="n">
        <v>-10</v>
      </c>
      <c r="H208" s="20" t="n">
        <v>-8</v>
      </c>
      <c r="I208" s="20" t="n">
        <v>31</v>
      </c>
      <c r="J208" s="20" t="n">
        <v>-7</v>
      </c>
      <c r="K208" s="20" t="n">
        <v>-2</v>
      </c>
      <c r="L208" s="20" t="n">
        <v>-16</v>
      </c>
      <c r="M208" s="20" t="n">
        <v>-10</v>
      </c>
      <c r="N208" s="20" t="n">
        <v>25</v>
      </c>
      <c r="V208" s="20" t="n">
        <v>27</v>
      </c>
      <c r="W208" s="20" t="n">
        <v>-8</v>
      </c>
      <c r="X208" s="20" t="n">
        <v>-16</v>
      </c>
    </row>
    <row r="209">
      <c r="A209" s="18" t="inlineStr">
        <is>
          <t>EntityTotalMember · 부문 이익</t>
        </is>
      </c>
      <c r="I209" s="20" t="n">
        <v>520</v>
      </c>
      <c r="M209" s="20" t="n">
        <v>1071</v>
      </c>
    </row>
    <row r="210">
      <c r="A210" s="9" t="inlineStr">
        <is>
          <t>부문 이익</t>
        </is>
      </c>
      <c r="C210" s="12" t="n">
        <v>522</v>
      </c>
      <c r="D210" s="12" t="n">
        <v>175</v>
      </c>
      <c r="E210" s="12" t="n">
        <v>189</v>
      </c>
      <c r="F210" s="12" t="n">
        <v>482</v>
      </c>
      <c r="G210" s="12" t="n">
        <v>441</v>
      </c>
      <c r="H210" s="12" t="n">
        <v>279</v>
      </c>
      <c r="I210" s="12" t="n">
        <v>520</v>
      </c>
      <c r="J210" s="12" t="n">
        <v>429</v>
      </c>
      <c r="K210" s="12" t="n">
        <v>722</v>
      </c>
      <c r="L210" s="12" t="n">
        <v>696</v>
      </c>
      <c r="V210" s="12" t="n">
        <v>175</v>
      </c>
      <c r="W210" s="12" t="n">
        <v>279</v>
      </c>
      <c r="X210" s="12" t="n">
        <v>696</v>
      </c>
    </row>
    <row r="211">
      <c r="A211" s="43" t="inlineStr">
        <is>
          <t>OPM</t>
        </is>
      </c>
      <c r="B211" s="3" t="inlineStr">
        <is>
          <t>영업이익 ÷ 매출</t>
        </is>
      </c>
      <c r="C211" s="15">
        <f>IF(OR(C210="",C169=""),"",IF(C169&lt;=0,"",IFERROR(C210/C169,"")))</f>
        <v/>
      </c>
      <c r="D211" s="15">
        <f>IF(OR(D210="",D169=""),"",IF(D169&lt;=0,"",IFERROR(D210/D169,"")))</f>
        <v/>
      </c>
      <c r="E211" s="15">
        <f>IF(OR(E210="",E169=""),"",IF(E169&lt;=0,"",IFERROR(E210/E169,"")))</f>
        <v/>
      </c>
      <c r="F211" s="15">
        <f>IF(OR(F210="",F169=""),"",IF(F169&lt;=0,"",IFERROR(F210/F169,"")))</f>
        <v/>
      </c>
      <c r="G211" s="15">
        <f>IF(OR(G210="",G169=""),"",IF(G169&lt;=0,"",IFERROR(G210/G169,"")))</f>
        <v/>
      </c>
      <c r="H211" s="15">
        <f>IF(OR(H210="",H169=""),"",IF(H169&lt;=0,"",IFERROR(H210/H169,"")))</f>
        <v/>
      </c>
      <c r="I211" s="15">
        <f>IF(OR(I210="",I169=""),"",IF(I169&lt;=0,"",IFERROR(I210/I169,"")))</f>
        <v/>
      </c>
      <c r="J211" s="15">
        <f>IF(OR(J210="",J169=""),"",IF(J169&lt;=0,"",IFERROR(J210/J169,"")))</f>
        <v/>
      </c>
      <c r="K211" s="15">
        <f>IF(OR(K210="",K169=""),"",IF(K169&lt;=0,"",IFERROR(K210/K169,"")))</f>
        <v/>
      </c>
      <c r="L211" s="15">
        <f>IF(OR(L210="",L169=""),"",IF(L169&lt;=0,"",IFERROR(L210/L169,"")))</f>
        <v/>
      </c>
      <c r="V211" s="15">
        <f>IF(OR(V210="",V169=""),"",IF(V169&lt;=0,"",IFERROR(V210/V169,"")))</f>
        <v/>
      </c>
      <c r="W211" s="15">
        <f>IF(OR(W210="",W169=""),"",IF(W169&lt;=0,"",IFERROR(W210/W169,"")))</f>
        <v/>
      </c>
      <c r="X211" s="15">
        <f>IF(OR(X210="",X169=""),"",IF(X169&lt;=0,"",IFERROR(X210/X169,"")))</f>
        <v/>
      </c>
    </row>
    <row r="212">
      <c r="A212" s="43" t="inlineStr">
        <is>
          <t>YoY</t>
        </is>
      </c>
      <c r="B212" s="3" t="inlineStr">
        <is>
          <t>전년 같은 분기·전년 대비</t>
        </is>
      </c>
      <c r="G212" s="15">
        <f>IF(OR(G210="",C210=""),"",IF(C210&lt;=0,"",IFERROR(G210/C210-1,"")))</f>
        <v/>
      </c>
      <c r="H212" s="15">
        <f>IF(OR(H210="",D210=""),"",IF(D210&lt;=0,"",IFERROR(H210/D210-1,"")))</f>
        <v/>
      </c>
      <c r="I212" s="15">
        <f>IF(OR(I210="",E210=""),"",IF(E210&lt;=0,"",IFERROR(I210/E210-1,"")))</f>
        <v/>
      </c>
      <c r="J212" s="15">
        <f>IF(OR(J210="",F210=""),"",IF(F210&lt;=0,"",IFERROR(J210/F210-1,"")))</f>
        <v/>
      </c>
      <c r="K212" s="15">
        <f>IF(OR(K210="",G210=""),"",IF(G210&lt;=0,"",IFERROR(K210/G210-1,"")))</f>
        <v/>
      </c>
      <c r="L212" s="15">
        <f>IF(OR(L210="",H210=""),"",IF(H210&lt;=0,"",IFERROR(L210/H210-1,"")))</f>
        <v/>
      </c>
      <c r="V212" s="15">
        <f>IF(OR(V210="",U210=""),"",IF(U210&lt;=0,"",IFERROR(V210/U210-1,"")))</f>
        <v/>
      </c>
      <c r="W212" s="15">
        <f>IF(OR(W210="",V210=""),"",IF(V210&lt;=0,"",IFERROR(W210/V210-1,"")))</f>
        <v/>
      </c>
      <c r="X212" s="15">
        <f>IF(OR(X210="",W210=""),"",IF(W210&lt;=0,"",IFERROR(X210/W210-1,"")))</f>
        <v/>
      </c>
    </row>
    <row r="214">
      <c r="A214" s="16" t="inlineStr">
        <is>
          <t>현금흐름표 · 전 항목</t>
        </is>
      </c>
      <c r="B214" s="42" t="inlineStr">
        <is>
          <t>분기 = 결산기 첫날부터 누계(공시 그대로)</t>
        </is>
      </c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  <c r="AA214" s="16" t="n"/>
      <c r="AB214" s="16" t="n"/>
      <c r="AC214" s="16" t="n"/>
    </row>
    <row r="215">
      <c r="A215" s="5" t="inlineStr">
        <is>
          <t>항목</t>
        </is>
      </c>
      <c r="B215" s="5" t="inlineStr">
        <is>
          <t>참고</t>
        </is>
      </c>
      <c r="C215" s="5" t="inlineStr">
        <is>
          <t>2024.3Q</t>
        </is>
      </c>
      <c r="D215" s="5" t="inlineStr">
        <is>
          <t>2024.4Q</t>
        </is>
      </c>
      <c r="E215" s="5" t="inlineStr">
        <is>
          <t>2025.1Q</t>
        </is>
      </c>
      <c r="F215" s="5" t="inlineStr">
        <is>
          <t>2025.2Q</t>
        </is>
      </c>
      <c r="G215" s="5" t="inlineStr">
        <is>
          <t>2025.3Q</t>
        </is>
      </c>
      <c r="H215" s="5" t="inlineStr">
        <is>
          <t>2025.4Q</t>
        </is>
      </c>
      <c r="I215" s="5" t="inlineStr">
        <is>
          <t>2026.1Q</t>
        </is>
      </c>
      <c r="J215" s="5" t="inlineStr">
        <is>
          <t>2026.2Q</t>
        </is>
      </c>
      <c r="K215" s="5" t="inlineStr">
        <is>
          <t>2026.3Q</t>
        </is>
      </c>
      <c r="L215" s="5" t="inlineStr">
        <is>
          <t>2026.4Q</t>
        </is>
      </c>
      <c r="M215" s="5" t="inlineStr">
        <is>
          <t>2027.1Q</t>
        </is>
      </c>
      <c r="N215" s="5" t="inlineStr">
        <is>
          <t>2027.2Q</t>
        </is>
      </c>
      <c r="O215" s="5" t="inlineStr">
        <is>
          <t>2017</t>
        </is>
      </c>
      <c r="P215" s="5" t="inlineStr">
        <is>
          <t>2018</t>
        </is>
      </c>
      <c r="Q215" s="5" t="inlineStr">
        <is>
          <t>2019</t>
        </is>
      </c>
      <c r="R215" s="5" t="inlineStr">
        <is>
          <t>2020</t>
        </is>
      </c>
      <c r="S215" s="5" t="inlineStr">
        <is>
          <t>2021</t>
        </is>
      </c>
      <c r="T215" s="5" t="inlineStr">
        <is>
          <t>2022</t>
        </is>
      </c>
      <c r="U215" s="5" t="inlineStr">
        <is>
          <t>2023</t>
        </is>
      </c>
      <c r="V215" s="5" t="inlineStr">
        <is>
          <t>2024</t>
        </is>
      </c>
      <c r="W215" s="5" t="inlineStr">
        <is>
          <t>2025</t>
        </is>
      </c>
      <c r="X215" s="5" t="inlineStr">
        <is>
          <t>2026</t>
        </is>
      </c>
      <c r="Y215" s="5" t="inlineStr">
        <is>
          <t>2027(MW)</t>
        </is>
      </c>
      <c r="Z215" s="5" t="inlineStr">
        <is>
          <t>2028(MW)</t>
        </is>
      </c>
      <c r="AA215" s="5" t="inlineStr">
        <is>
          <t>2029(MW)</t>
        </is>
      </c>
      <c r="AB215" s="5" t="inlineStr">
        <is>
          <t>2030(MW)</t>
        </is>
      </c>
      <c r="AC215" s="5" t="inlineStr">
        <is>
          <t>2031(MW)</t>
        </is>
      </c>
    </row>
    <row r="216">
      <c r="A216" s="9" t="inlineStr">
        <is>
          <t>법인세차감전 순이익</t>
        </is>
      </c>
      <c r="D216" s="12" t="n">
        <v>2055</v>
      </c>
      <c r="F216" s="12" t="n">
        <v>917</v>
      </c>
      <c r="H216" s="12" t="n">
        <v>1585</v>
      </c>
      <c r="J216" s="12" t="n">
        <v>919</v>
      </c>
      <c r="L216" s="12" t="n">
        <v>2612</v>
      </c>
      <c r="N216" s="12" t="n">
        <v>2346</v>
      </c>
      <c r="O216" s="12" t="n">
        <v>2658</v>
      </c>
      <c r="P216" s="12" t="n">
        <v>2600</v>
      </c>
      <c r="Q216" s="12" t="n">
        <v>2278</v>
      </c>
      <c r="R216" s="12" t="n">
        <v>1568</v>
      </c>
      <c r="S216" s="12" t="n">
        <v>911</v>
      </c>
      <c r="T216" s="12" t="n">
        <v>2844</v>
      </c>
      <c r="U216" s="12" t="n">
        <v>1046</v>
      </c>
      <c r="V216" s="12" t="n">
        <v>2055</v>
      </c>
      <c r="W216" s="12" t="n">
        <v>1585</v>
      </c>
      <c r="X216" s="12" t="n">
        <v>2612</v>
      </c>
    </row>
    <row r="217">
      <c r="A217" s="18" t="inlineStr">
        <is>
          <t>감가상각비</t>
        </is>
      </c>
      <c r="D217" s="20" t="n">
        <v>1188</v>
      </c>
      <c r="F217" s="20" t="n">
        <v>643</v>
      </c>
      <c r="H217" s="20" t="n">
        <v>1295</v>
      </c>
      <c r="J217" s="20" t="n">
        <v>599</v>
      </c>
      <c r="L217" s="20" t="n">
        <v>1223</v>
      </c>
      <c r="N217" s="20" t="n">
        <v>604</v>
      </c>
      <c r="O217" s="20" t="n">
        <v>1074</v>
      </c>
      <c r="P217" s="20" t="n">
        <v>1171</v>
      </c>
      <c r="Q217" s="20" t="n">
        <v>1251</v>
      </c>
      <c r="R217" s="20" t="n">
        <v>1348</v>
      </c>
      <c r="S217" s="20" t="n">
        <v>1328</v>
      </c>
      <c r="T217" s="20" t="n">
        <v>1210</v>
      </c>
      <c r="U217" s="20" t="n">
        <v>1236</v>
      </c>
      <c r="V217" s="20" t="n">
        <v>1188</v>
      </c>
      <c r="W217" s="20" t="n">
        <v>1295</v>
      </c>
      <c r="X217" s="20" t="n">
        <v>1223</v>
      </c>
    </row>
    <row r="218">
      <c r="A218" s="18" t="inlineStr">
        <is>
          <t>손상차손</t>
        </is>
      </c>
      <c r="D218" s="20" t="n">
        <v>31</v>
      </c>
      <c r="H218" s="20" t="n">
        <v>188</v>
      </c>
      <c r="L218" s="20" t="n">
        <v>29</v>
      </c>
      <c r="U218" s="20" t="n">
        <v>0</v>
      </c>
      <c r="V218" s="20" t="n">
        <v>31</v>
      </c>
      <c r="W218" s="20" t="n">
        <v>188</v>
      </c>
      <c r="X218" s="20" t="n">
        <v>29</v>
      </c>
    </row>
    <row r="219">
      <c r="A219" s="18" t="inlineStr">
        <is>
          <t>관계회사 정리손실 충당금 전입</t>
        </is>
      </c>
      <c r="H219" s="20" t="n">
        <v>0</v>
      </c>
      <c r="L219" s="20" t="n">
        <v>61</v>
      </c>
      <c r="W219" s="20" t="n">
        <v>0</v>
      </c>
      <c r="X219" s="20" t="n">
        <v>61</v>
      </c>
    </row>
    <row r="220">
      <c r="A220" s="18" t="inlineStr">
        <is>
          <t>지분법손익</t>
        </is>
      </c>
      <c r="D220" s="20" t="n">
        <v>-314</v>
      </c>
      <c r="F220" s="20" t="n">
        <v>-92</v>
      </c>
      <c r="H220" s="20" t="n">
        <v>-221</v>
      </c>
      <c r="J220" s="20" t="n">
        <v>-85</v>
      </c>
      <c r="L220" s="20" t="n">
        <v>-258</v>
      </c>
      <c r="N220" s="20" t="n">
        <v>-125</v>
      </c>
      <c r="O220" s="20" t="n">
        <v>-294</v>
      </c>
      <c r="P220" s="20" t="n">
        <v>-278</v>
      </c>
      <c r="Q220" s="20" t="n">
        <v>-270</v>
      </c>
      <c r="R220" s="20" t="n">
        <v>-263</v>
      </c>
      <c r="S220" s="20" t="n">
        <v>-255</v>
      </c>
      <c r="T220" s="20" t="n">
        <v>-239</v>
      </c>
      <c r="U220" s="20" t="n">
        <v>-148</v>
      </c>
      <c r="V220" s="20" t="n">
        <v>-314</v>
      </c>
      <c r="W220" s="20" t="n">
        <v>-221</v>
      </c>
      <c r="X220" s="20" t="n">
        <v>-258</v>
      </c>
    </row>
    <row r="221">
      <c r="A221" s="18" t="inlineStr">
        <is>
          <t>유형자산 매각손익</t>
        </is>
      </c>
      <c r="D221" s="20" t="n">
        <v>-9</v>
      </c>
      <c r="F221" s="20" t="n">
        <v>-6</v>
      </c>
      <c r="H221" s="20" t="n">
        <v>-9</v>
      </c>
      <c r="J221" s="20" t="n">
        <v>-7</v>
      </c>
      <c r="L221" s="20" t="n">
        <v>-11</v>
      </c>
      <c r="N221" s="20" t="n">
        <v>1</v>
      </c>
      <c r="S221" s="20" t="n">
        <v>-5</v>
      </c>
      <c r="T221" s="20" t="n">
        <v>-842</v>
      </c>
      <c r="U221" s="20" t="n">
        <v>-10</v>
      </c>
      <c r="V221" s="20" t="n">
        <v>-9</v>
      </c>
      <c r="W221" s="20" t="n">
        <v>-9</v>
      </c>
      <c r="X221" s="20" t="n">
        <v>-11</v>
      </c>
    </row>
    <row r="222">
      <c r="A222" s="18" t="inlineStr">
        <is>
          <t>투자유가증권 평가손익</t>
        </is>
      </c>
      <c r="D222" s="20" t="n">
        <v>0</v>
      </c>
      <c r="F222" s="20" t="n">
        <v>47</v>
      </c>
      <c r="H222" s="20" t="n">
        <v>48</v>
      </c>
      <c r="J222" s="20" t="n">
        <v>3</v>
      </c>
      <c r="L222" s="20" t="n">
        <v>3</v>
      </c>
      <c r="N222" s="20" t="n">
        <v>0</v>
      </c>
      <c r="V222" s="20" t="n">
        <v>0</v>
      </c>
      <c r="W222" s="20" t="n">
        <v>48</v>
      </c>
      <c r="X222" s="20" t="n">
        <v>3</v>
      </c>
    </row>
    <row r="223">
      <c r="A223" s="18" t="inlineStr">
        <is>
          <t>관계회사 정리손실</t>
        </is>
      </c>
      <c r="J223" s="20" t="n">
        <v>0</v>
      </c>
      <c r="N223" s="20" t="n">
        <v>384</v>
      </c>
    </row>
    <row r="224">
      <c r="A224" s="18" t="inlineStr">
        <is>
          <t>퇴직급여 자산·부채 증감</t>
        </is>
      </c>
      <c r="D224" s="20" t="n">
        <v>-502</v>
      </c>
      <c r="F224" s="20" t="n">
        <v>-29</v>
      </c>
      <c r="H224" s="20" t="n">
        <v>-157</v>
      </c>
      <c r="J224" s="20" t="n">
        <v>-51</v>
      </c>
      <c r="L224" s="20" t="n">
        <v>-632</v>
      </c>
      <c r="N224" s="20" t="n">
        <v>-40</v>
      </c>
      <c r="O224" s="20" t="n">
        <v>-172</v>
      </c>
      <c r="P224" s="20" t="n">
        <v>-97</v>
      </c>
      <c r="Q224" s="20" t="n">
        <v>-47</v>
      </c>
      <c r="R224" s="20" t="n">
        <v>22</v>
      </c>
      <c r="S224" s="20" t="n">
        <v>-224</v>
      </c>
      <c r="T224" s="20" t="n">
        <v>-103</v>
      </c>
      <c r="U224" s="20" t="n">
        <v>-225</v>
      </c>
      <c r="V224" s="20" t="n">
        <v>-502</v>
      </c>
      <c r="W224" s="20" t="n">
        <v>-157</v>
      </c>
      <c r="X224" s="20" t="n">
        <v>-632</v>
      </c>
    </row>
    <row r="225">
      <c r="A225" s="18" t="inlineStr">
        <is>
          <t>상여충당금 증감</t>
        </is>
      </c>
      <c r="D225" s="20" t="n">
        <v>36</v>
      </c>
      <c r="F225" s="20" t="n">
        <v>-1</v>
      </c>
      <c r="H225" s="20" t="n">
        <v>35</v>
      </c>
      <c r="J225" s="20" t="n">
        <v>4</v>
      </c>
      <c r="L225" s="20" t="n">
        <v>9</v>
      </c>
      <c r="N225" s="20" t="n">
        <v>123</v>
      </c>
      <c r="O225" s="20" t="n">
        <v>40</v>
      </c>
      <c r="P225" s="20" t="n">
        <v>-41</v>
      </c>
      <c r="Q225" s="20" t="n">
        <v>-9</v>
      </c>
      <c r="R225" s="20" t="n">
        <v>-14</v>
      </c>
      <c r="S225" s="20" t="n">
        <v>1</v>
      </c>
      <c r="T225" s="20" t="n">
        <v>85</v>
      </c>
      <c r="U225" s="20" t="n">
        <v>-66</v>
      </c>
      <c r="V225" s="20" t="n">
        <v>36</v>
      </c>
      <c r="W225" s="20" t="n">
        <v>35</v>
      </c>
      <c r="X225" s="20" t="n">
        <v>9</v>
      </c>
    </row>
    <row r="226">
      <c r="A226" s="18" t="inlineStr">
        <is>
          <t>대손충당금 증감</t>
        </is>
      </c>
      <c r="D226" s="20" t="n">
        <v>3</v>
      </c>
      <c r="F226" s="20" t="n">
        <v>-10</v>
      </c>
      <c r="H226" s="20" t="n">
        <v>-9</v>
      </c>
      <c r="J226" s="20" t="n">
        <v>1</v>
      </c>
      <c r="L226" s="20" t="n">
        <v>-7</v>
      </c>
      <c r="N226" s="20" t="n">
        <v>0</v>
      </c>
      <c r="O226" s="20" t="n">
        <v>-25</v>
      </c>
      <c r="P226" s="20" t="n">
        <v>-3</v>
      </c>
      <c r="Q226" s="20" t="n">
        <v>-2</v>
      </c>
      <c r="R226" s="20" t="n">
        <v>0</v>
      </c>
      <c r="S226" s="20" t="n">
        <v>4</v>
      </c>
      <c r="T226" s="20" t="n">
        <v>-3</v>
      </c>
      <c r="U226" s="20" t="n">
        <v>-4</v>
      </c>
      <c r="V226" s="20" t="n">
        <v>3</v>
      </c>
      <c r="W226" s="20" t="n">
        <v>-9</v>
      </c>
      <c r="X226" s="20" t="n">
        <v>-7</v>
      </c>
    </row>
    <row r="227">
      <c r="A227" s="18" t="inlineStr">
        <is>
          <t>이자·배당금 수익</t>
        </is>
      </c>
      <c r="D227" s="20" t="n">
        <v>-47</v>
      </c>
      <c r="F227" s="20" t="n">
        <v>-36</v>
      </c>
      <c r="H227" s="20" t="n">
        <v>-63</v>
      </c>
      <c r="J227" s="20" t="n">
        <v>-40</v>
      </c>
      <c r="L227" s="20" t="n">
        <v>-69</v>
      </c>
      <c r="N227" s="20" t="n">
        <v>-45</v>
      </c>
      <c r="O227" s="20" t="n">
        <v>-33</v>
      </c>
      <c r="P227" s="20" t="n">
        <v>-31</v>
      </c>
      <c r="Q227" s="20" t="n">
        <v>-32</v>
      </c>
      <c r="R227" s="20" t="n">
        <v>-40</v>
      </c>
      <c r="S227" s="20" t="n">
        <v>-35</v>
      </c>
      <c r="T227" s="20" t="n">
        <v>-37</v>
      </c>
      <c r="U227" s="20" t="n">
        <v>-40</v>
      </c>
      <c r="V227" s="20" t="n">
        <v>-47</v>
      </c>
      <c r="W227" s="20" t="n">
        <v>-63</v>
      </c>
      <c r="X227" s="20" t="n">
        <v>-69</v>
      </c>
    </row>
    <row r="228">
      <c r="A228" s="18" t="inlineStr">
        <is>
          <t>이자비용</t>
        </is>
      </c>
      <c r="D228" s="20" t="n">
        <v>12</v>
      </c>
      <c r="F228" s="20" t="n">
        <v>36</v>
      </c>
      <c r="H228" s="20" t="n">
        <v>67</v>
      </c>
      <c r="J228" s="20" t="n">
        <v>29</v>
      </c>
      <c r="L228" s="20" t="n">
        <v>46</v>
      </c>
      <c r="N228" s="20" t="n">
        <v>25</v>
      </c>
      <c r="O228" s="20" t="n">
        <v>22</v>
      </c>
      <c r="P228" s="20" t="n">
        <v>23</v>
      </c>
      <c r="Q228" s="20" t="n">
        <v>18</v>
      </c>
      <c r="R228" s="20" t="n">
        <v>17</v>
      </c>
      <c r="S228" s="20" t="n">
        <v>14</v>
      </c>
      <c r="T228" s="20" t="n">
        <v>12</v>
      </c>
      <c r="U228" s="20" t="n">
        <v>13</v>
      </c>
      <c r="V228" s="20" t="n">
        <v>12</v>
      </c>
      <c r="W228" s="20" t="n">
        <v>67</v>
      </c>
      <c r="X228" s="20" t="n">
        <v>46</v>
      </c>
    </row>
    <row r="229">
      <c r="A229" s="18" t="inlineStr">
        <is>
          <t>매출채권 증감</t>
        </is>
      </c>
      <c r="D229" s="20" t="n">
        <v>623</v>
      </c>
      <c r="F229" s="20" t="n">
        <v>-487</v>
      </c>
      <c r="H229" s="20" t="n">
        <v>165</v>
      </c>
      <c r="J229" s="20" t="n">
        <v>-291</v>
      </c>
      <c r="L229" s="20" t="n">
        <v>-478</v>
      </c>
      <c r="N229" s="20" t="n">
        <v>-635</v>
      </c>
      <c r="O229" s="20" t="n">
        <v>-557</v>
      </c>
      <c r="P229" s="20" t="n">
        <v>-185</v>
      </c>
      <c r="Q229" s="20" t="n">
        <v>-11</v>
      </c>
      <c r="R229" s="20" t="n">
        <v>138</v>
      </c>
      <c r="S229" s="20" t="n">
        <v>43</v>
      </c>
      <c r="T229" s="20" t="n">
        <v>75</v>
      </c>
      <c r="U229" s="20" t="n">
        <v>-570</v>
      </c>
      <c r="V229" s="20" t="n">
        <v>623</v>
      </c>
      <c r="W229" s="20" t="n">
        <v>165</v>
      </c>
      <c r="X229" s="20" t="n">
        <v>-478</v>
      </c>
    </row>
    <row r="230">
      <c r="A230" s="18" t="inlineStr">
        <is>
          <t>재고자산 증감</t>
        </is>
      </c>
      <c r="D230" s="20" t="n">
        <v>44</v>
      </c>
      <c r="F230" s="20" t="n">
        <v>23</v>
      </c>
      <c r="H230" s="20" t="n">
        <v>-142</v>
      </c>
      <c r="J230" s="20" t="n">
        <v>326</v>
      </c>
      <c r="L230" s="20" t="n">
        <v>207</v>
      </c>
      <c r="N230" s="20" t="n">
        <v>-928</v>
      </c>
      <c r="O230" s="20" t="n">
        <v>64</v>
      </c>
      <c r="P230" s="20" t="n">
        <v>-293</v>
      </c>
      <c r="Q230" s="20" t="n">
        <v>-573</v>
      </c>
      <c r="R230" s="20" t="n">
        <v>-82</v>
      </c>
      <c r="S230" s="20" t="n">
        <v>459</v>
      </c>
      <c r="T230" s="20" t="n">
        <v>-900</v>
      </c>
      <c r="U230" s="20" t="n">
        <v>-798</v>
      </c>
      <c r="V230" s="20" t="n">
        <v>44</v>
      </c>
      <c r="W230" s="20" t="n">
        <v>-142</v>
      </c>
      <c r="X230" s="20" t="n">
        <v>207</v>
      </c>
    </row>
    <row r="231">
      <c r="A231" s="18" t="inlineStr">
        <is>
          <t>매입채무 증감</t>
        </is>
      </c>
      <c r="D231" s="20" t="n">
        <v>-430</v>
      </c>
      <c r="F231" s="20" t="n">
        <v>-21</v>
      </c>
      <c r="H231" s="20" t="n">
        <v>-87</v>
      </c>
      <c r="J231" s="20" t="n">
        <v>-160</v>
      </c>
      <c r="L231" s="20" t="n">
        <v>70</v>
      </c>
      <c r="N231" s="20" t="n">
        <v>400</v>
      </c>
      <c r="O231" s="20" t="n">
        <v>-68</v>
      </c>
      <c r="P231" s="20" t="n">
        <v>-28</v>
      </c>
      <c r="Q231" s="20" t="n">
        <v>379</v>
      </c>
      <c r="R231" s="20" t="n">
        <v>-456</v>
      </c>
      <c r="S231" s="20" t="n">
        <v>-73</v>
      </c>
      <c r="T231" s="20" t="n">
        <v>191</v>
      </c>
      <c r="U231" s="20" t="n">
        <v>727</v>
      </c>
      <c r="V231" s="20" t="n">
        <v>-430</v>
      </c>
      <c r="W231" s="20" t="n">
        <v>-87</v>
      </c>
      <c r="X231" s="20" t="n">
        <v>70</v>
      </c>
    </row>
    <row r="232">
      <c r="A232" s="18" t="inlineStr">
        <is>
          <t>부의 영업권 발생이익</t>
        </is>
      </c>
      <c r="D232" s="20" t="n">
        <v>-285</v>
      </c>
      <c r="H232" s="20" t="n">
        <v>0</v>
      </c>
      <c r="U232" s="20" t="n">
        <v>0</v>
      </c>
      <c r="V232" s="20" t="n">
        <v>-285</v>
      </c>
      <c r="W232" s="20" t="n">
        <v>0</v>
      </c>
    </row>
    <row r="233">
      <c r="A233" s="18" t="inlineStr">
        <is>
          <t>보조금 수입</t>
        </is>
      </c>
      <c r="D233" s="20" t="n">
        <v>0</v>
      </c>
      <c r="H233" s="20" t="n">
        <v>-97</v>
      </c>
      <c r="J233" s="20" t="n">
        <v>0</v>
      </c>
      <c r="L233" s="20" t="n">
        <v>-72</v>
      </c>
      <c r="N233" s="20" t="n">
        <v>-102</v>
      </c>
      <c r="V233" s="20" t="n">
        <v>0</v>
      </c>
      <c r="W233" s="20" t="n">
        <v>-97</v>
      </c>
      <c r="X233" s="20" t="n">
        <v>-72</v>
      </c>
    </row>
    <row r="234">
      <c r="A234" s="18" t="inlineStr">
        <is>
          <t>기타</t>
        </is>
      </c>
      <c r="D234" s="20" t="n">
        <v>1133</v>
      </c>
      <c r="F234" s="20" t="n">
        <v>301</v>
      </c>
      <c r="H234" s="20" t="n">
        <v>508</v>
      </c>
      <c r="J234" s="20" t="n">
        <v>-43</v>
      </c>
      <c r="L234" s="20" t="n">
        <v>594</v>
      </c>
      <c r="N234" s="20" t="n">
        <v>-326</v>
      </c>
      <c r="O234" s="20" t="n">
        <v>497</v>
      </c>
      <c r="P234" s="20" t="n">
        <v>-39</v>
      </c>
      <c r="Q234" s="20" t="n">
        <v>-29</v>
      </c>
      <c r="R234" s="20" t="n">
        <v>44</v>
      </c>
      <c r="S234" s="20" t="n">
        <v>173</v>
      </c>
      <c r="T234" s="20" t="n">
        <v>144</v>
      </c>
      <c r="U234" s="20" t="n">
        <v>81</v>
      </c>
      <c r="V234" s="20" t="n">
        <v>1133</v>
      </c>
      <c r="W234" s="20" t="n">
        <v>508</v>
      </c>
      <c r="X234" s="20" t="n">
        <v>594</v>
      </c>
    </row>
    <row r="235">
      <c r="A235" s="18" t="inlineStr">
        <is>
          <t>소계</t>
        </is>
      </c>
      <c r="D235" s="20" t="n">
        <v>3538</v>
      </c>
      <c r="F235" s="20" t="n">
        <v>1287</v>
      </c>
      <c r="H235" s="20" t="n">
        <v>3104</v>
      </c>
      <c r="J235" s="20" t="n">
        <v>1205</v>
      </c>
      <c r="L235" s="20" t="n">
        <v>3325</v>
      </c>
      <c r="N235" s="20" t="n">
        <v>1680</v>
      </c>
      <c r="O235" s="20" t="n">
        <v>3207</v>
      </c>
      <c r="P235" s="20" t="n">
        <v>2800</v>
      </c>
      <c r="Q235" s="20" t="n">
        <v>2953</v>
      </c>
      <c r="R235" s="20" t="n">
        <v>2282</v>
      </c>
      <c r="S235" s="20" t="n">
        <v>2342</v>
      </c>
      <c r="T235" s="20" t="n">
        <v>2437</v>
      </c>
      <c r="U235" s="20" t="n">
        <v>1242</v>
      </c>
      <c r="V235" s="20" t="n">
        <v>3538</v>
      </c>
      <c r="W235" s="20" t="n">
        <v>3104</v>
      </c>
      <c r="X235" s="20" t="n">
        <v>3325</v>
      </c>
    </row>
    <row r="236">
      <c r="A236" s="18" t="inlineStr">
        <is>
          <t>이자·배당금 수취</t>
        </is>
      </c>
      <c r="D236" s="20" t="n">
        <v>126</v>
      </c>
      <c r="F236" s="20" t="n">
        <v>89</v>
      </c>
      <c r="H236" s="20" t="n">
        <v>116</v>
      </c>
      <c r="J236" s="20" t="n">
        <v>40</v>
      </c>
      <c r="L236" s="20" t="n">
        <v>132</v>
      </c>
      <c r="N236" s="20" t="n">
        <v>130</v>
      </c>
      <c r="O236" s="20" t="n">
        <v>159</v>
      </c>
      <c r="P236" s="20" t="n">
        <v>320</v>
      </c>
      <c r="Q236" s="20" t="n">
        <v>148</v>
      </c>
      <c r="R236" s="20" t="n">
        <v>144</v>
      </c>
      <c r="S236" s="20" t="n">
        <v>112</v>
      </c>
      <c r="T236" s="20" t="n">
        <v>241</v>
      </c>
      <c r="U236" s="20" t="n">
        <v>123</v>
      </c>
      <c r="V236" s="20" t="n">
        <v>126</v>
      </c>
      <c r="W236" s="20" t="n">
        <v>116</v>
      </c>
      <c r="X236" s="20" t="n">
        <v>132</v>
      </c>
    </row>
    <row r="237">
      <c r="A237" s="18" t="inlineStr">
        <is>
          <t>이자 지급</t>
        </is>
      </c>
      <c r="D237" s="20" t="n">
        <v>3</v>
      </c>
      <c r="F237" s="20" t="n">
        <v>-36</v>
      </c>
      <c r="H237" s="20" t="n">
        <v>-64</v>
      </c>
      <c r="J237" s="20" t="n">
        <v>-31</v>
      </c>
      <c r="L237" s="20" t="n">
        <v>-48</v>
      </c>
      <c r="N237" s="20" t="n">
        <v>-25</v>
      </c>
      <c r="O237" s="20" t="n">
        <v>-22</v>
      </c>
      <c r="P237" s="20" t="n">
        <v>-22</v>
      </c>
      <c r="Q237" s="20" t="n">
        <v>-17</v>
      </c>
      <c r="R237" s="20" t="n">
        <v>-21</v>
      </c>
      <c r="S237" s="20" t="n">
        <v>-14</v>
      </c>
      <c r="T237" s="20" t="n">
        <v>-12</v>
      </c>
      <c r="U237" s="20" t="n">
        <v>-13</v>
      </c>
      <c r="V237" s="20" t="n">
        <v>3</v>
      </c>
      <c r="W237" s="20" t="n">
        <v>-64</v>
      </c>
      <c r="X237" s="20" t="n">
        <v>-48</v>
      </c>
    </row>
    <row r="238">
      <c r="A238" s="18" t="inlineStr">
        <is>
          <t>법인세 납부</t>
        </is>
      </c>
      <c r="D238" s="20" t="n">
        <v>-733</v>
      </c>
      <c r="F238" s="20" t="n">
        <v>-266</v>
      </c>
      <c r="H238" s="20" t="n">
        <v>-502</v>
      </c>
      <c r="J238" s="20" t="n">
        <v>-315</v>
      </c>
      <c r="L238" s="20" t="n">
        <v>-509</v>
      </c>
      <c r="N238" s="20" t="n">
        <v>-487</v>
      </c>
      <c r="O238" s="20" t="n">
        <v>-502</v>
      </c>
      <c r="P238" s="20" t="n">
        <v>-723</v>
      </c>
      <c r="Q238" s="20" t="n">
        <v>-485</v>
      </c>
      <c r="R238" s="20" t="n">
        <v>-634</v>
      </c>
      <c r="S238" s="20" t="n">
        <v>-352</v>
      </c>
      <c r="T238" s="20" t="n">
        <v>-333</v>
      </c>
      <c r="U238" s="20" t="n">
        <v>-837</v>
      </c>
      <c r="V238" s="20" t="n">
        <v>-733</v>
      </c>
      <c r="W238" s="20" t="n">
        <v>-502</v>
      </c>
      <c r="X238" s="20" t="n">
        <v>-509</v>
      </c>
    </row>
    <row r="239">
      <c r="A239" s="18" t="inlineStr">
        <is>
          <t>보조금 수취</t>
        </is>
      </c>
      <c r="D239" s="20" t="n">
        <v>0</v>
      </c>
      <c r="H239" s="20" t="n">
        <v>97</v>
      </c>
      <c r="J239" s="20" t="n">
        <v>0</v>
      </c>
      <c r="L239" s="20" t="n">
        <v>82</v>
      </c>
      <c r="N239" s="20" t="n">
        <v>102</v>
      </c>
      <c r="V239" s="20" t="n">
        <v>0</v>
      </c>
      <c r="W239" s="20" t="n">
        <v>97</v>
      </c>
      <c r="X239" s="20" t="n">
        <v>82</v>
      </c>
    </row>
    <row r="240">
      <c r="A240" s="9" t="inlineStr">
        <is>
          <t>영업활동 현금흐름</t>
        </is>
      </c>
      <c r="D240" s="12" t="n">
        <v>2934</v>
      </c>
      <c r="F240" s="12" t="n">
        <v>1074</v>
      </c>
      <c r="H240" s="12" t="n">
        <v>2751</v>
      </c>
      <c r="J240" s="12" t="n">
        <v>899</v>
      </c>
      <c r="L240" s="12" t="n">
        <v>2982</v>
      </c>
      <c r="N240" s="12" t="n">
        <v>1402</v>
      </c>
      <c r="O240" s="12" t="n">
        <v>2842</v>
      </c>
      <c r="P240" s="12" t="n">
        <v>2376</v>
      </c>
      <c r="Q240" s="12" t="n">
        <v>2599</v>
      </c>
      <c r="R240" s="12" t="n">
        <v>1771</v>
      </c>
      <c r="S240" s="12" t="n">
        <v>2088</v>
      </c>
      <c r="T240" s="12" t="n">
        <v>2333</v>
      </c>
      <c r="U240" s="12" t="n">
        <v>515</v>
      </c>
      <c r="V240" s="12" t="n">
        <v>2934</v>
      </c>
      <c r="W240" s="12" t="n">
        <v>2751</v>
      </c>
      <c r="X240" s="12" t="n">
        <v>2982</v>
      </c>
    </row>
    <row r="241">
      <c r="A241" s="18" t="inlineStr">
        <is>
          <t>정기예금 순증감</t>
        </is>
      </c>
      <c r="D241" s="20" t="n">
        <v>0</v>
      </c>
      <c r="F241" s="20" t="n">
        <v>70</v>
      </c>
      <c r="H241" s="20" t="n">
        <v>70</v>
      </c>
      <c r="J241" s="20" t="n">
        <v>-10</v>
      </c>
      <c r="L241" s="20" t="n">
        <v>0</v>
      </c>
      <c r="N241" s="20" t="n">
        <v>0</v>
      </c>
      <c r="O241" s="20" t="n">
        <v>216</v>
      </c>
      <c r="P241" s="20" t="n">
        <v>-163</v>
      </c>
      <c r="Q241" s="20" t="n">
        <v>-166</v>
      </c>
      <c r="R241" s="20" t="n">
        <v>79</v>
      </c>
      <c r="S241" s="20" t="n">
        <v>-66</v>
      </c>
      <c r="T241" s="20" t="n">
        <v>101</v>
      </c>
      <c r="U241" s="20" t="n">
        <v>282</v>
      </c>
      <c r="V241" s="20" t="n">
        <v>0</v>
      </c>
      <c r="W241" s="20" t="n">
        <v>70</v>
      </c>
      <c r="X241" s="20" t="n">
        <v>0</v>
      </c>
    </row>
    <row r="242">
      <c r="A242" s="18" t="inlineStr">
        <is>
          <t>유형자산 취득(설비투자)</t>
        </is>
      </c>
      <c r="D242" s="20" t="n">
        <v>-2452</v>
      </c>
      <c r="F242" s="20" t="n">
        <v>-253</v>
      </c>
      <c r="H242" s="20" t="n">
        <v>-969</v>
      </c>
      <c r="J242" s="20" t="n">
        <v>-400</v>
      </c>
      <c r="L242" s="20" t="n">
        <v>-687</v>
      </c>
      <c r="N242" s="20" t="n">
        <v>-299</v>
      </c>
      <c r="O242" s="20" t="n">
        <v>-1135</v>
      </c>
      <c r="P242" s="20" t="n">
        <v>-753</v>
      </c>
      <c r="Q242" s="20" t="n">
        <v>-1850</v>
      </c>
      <c r="R242" s="20" t="n">
        <v>-1578</v>
      </c>
      <c r="S242" s="20" t="n">
        <v>-465</v>
      </c>
      <c r="T242" s="20" t="n">
        <v>-934</v>
      </c>
      <c r="U242" s="20" t="n">
        <v>-1283</v>
      </c>
      <c r="V242" s="20" t="n">
        <v>-2452</v>
      </c>
      <c r="W242" s="20" t="n">
        <v>-969</v>
      </c>
      <c r="X242" s="20" t="n">
        <v>-687</v>
      </c>
    </row>
    <row r="243">
      <c r="A243" s="18" t="inlineStr">
        <is>
          <t>유형자산 매각</t>
        </is>
      </c>
      <c r="D243" s="20" t="n">
        <v>41</v>
      </c>
      <c r="F243" s="20" t="n">
        <v>7</v>
      </c>
      <c r="H243" s="20" t="n">
        <v>9</v>
      </c>
      <c r="J243" s="20" t="n">
        <v>7</v>
      </c>
      <c r="L243" s="20" t="n">
        <v>12</v>
      </c>
      <c r="N243" s="20" t="n">
        <v>1</v>
      </c>
      <c r="S243" s="20" t="n">
        <v>6</v>
      </c>
      <c r="T243" s="20" t="n">
        <v>1511</v>
      </c>
      <c r="U243" s="20" t="n">
        <v>10</v>
      </c>
      <c r="V243" s="20" t="n">
        <v>41</v>
      </c>
      <c r="W243" s="20" t="n">
        <v>9</v>
      </c>
      <c r="X243" s="20" t="n">
        <v>12</v>
      </c>
    </row>
    <row r="244">
      <c r="A244" s="18" t="inlineStr">
        <is>
          <t>무형자산 취득</t>
        </is>
      </c>
      <c r="D244" s="20" t="n">
        <v>-265</v>
      </c>
      <c r="F244" s="20" t="n">
        <v>-104</v>
      </c>
      <c r="H244" s="20" t="n">
        <v>-175</v>
      </c>
      <c r="J244" s="20" t="n">
        <v>-33</v>
      </c>
      <c r="L244" s="20" t="n">
        <v>-38</v>
      </c>
      <c r="N244" s="20" t="n">
        <v>-35</v>
      </c>
      <c r="O244" s="20" t="n">
        <v>-80</v>
      </c>
      <c r="P244" s="20" t="n">
        <v>-229</v>
      </c>
      <c r="Q244" s="20" t="n">
        <v>-55</v>
      </c>
      <c r="R244" s="20" t="n">
        <v>-41</v>
      </c>
      <c r="S244" s="20" t="n">
        <v>-25</v>
      </c>
      <c r="T244" s="20" t="n">
        <v>-31</v>
      </c>
      <c r="U244" s="20" t="n">
        <v>-60</v>
      </c>
      <c r="V244" s="20" t="n">
        <v>-265</v>
      </c>
      <c r="W244" s="20" t="n">
        <v>-175</v>
      </c>
      <c r="X244" s="20" t="n">
        <v>-38</v>
      </c>
    </row>
    <row r="245">
      <c r="A245" s="18" t="inlineStr">
        <is>
          <t>투자유가증권 취득</t>
        </is>
      </c>
      <c r="D245" s="20" t="n">
        <v>-5</v>
      </c>
      <c r="F245" s="20" t="n">
        <v>-3</v>
      </c>
      <c r="H245" s="20" t="n">
        <v>-69</v>
      </c>
      <c r="J245" s="20" t="n">
        <v>-3</v>
      </c>
      <c r="L245" s="20" t="n">
        <v>-6</v>
      </c>
      <c r="N245" s="20" t="n">
        <v>-3</v>
      </c>
      <c r="O245" s="20" t="n">
        <v>-2</v>
      </c>
      <c r="P245" s="20" t="n">
        <v>-5</v>
      </c>
      <c r="Q245" s="20" t="n">
        <v>-7</v>
      </c>
      <c r="R245" s="20" t="n">
        <v>-27</v>
      </c>
      <c r="S245" s="20" t="n">
        <v>-52</v>
      </c>
      <c r="T245" s="20" t="n">
        <v>-3</v>
      </c>
      <c r="U245" s="20" t="n">
        <v>-104</v>
      </c>
      <c r="V245" s="20" t="n">
        <v>-5</v>
      </c>
      <c r="W245" s="20" t="n">
        <v>-69</v>
      </c>
      <c r="X245" s="20" t="n">
        <v>-6</v>
      </c>
    </row>
    <row r="246">
      <c r="A246" s="18" t="inlineStr">
        <is>
          <t>투자유가증권 매각</t>
        </is>
      </c>
      <c r="P246" s="20" t="n">
        <v>20</v>
      </c>
      <c r="Q246" s="20" t="n">
        <v>123</v>
      </c>
      <c r="R246" s="20" t="n">
        <v>4</v>
      </c>
      <c r="S246" s="20" t="n">
        <v>0</v>
      </c>
    </row>
    <row r="247">
      <c r="A247" s="18" t="inlineStr">
        <is>
          <t>대여금 순증감</t>
        </is>
      </c>
      <c r="O247" s="20" t="n">
        <v>2</v>
      </c>
      <c r="P247" s="20" t="n">
        <v>1</v>
      </c>
      <c r="Q247" s="20" t="n">
        <v>-0</v>
      </c>
      <c r="R247" s="20" t="n">
        <v>1</v>
      </c>
      <c r="S247" s="20" t="n">
        <v>0</v>
      </c>
    </row>
    <row r="248">
      <c r="A248" s="18" t="inlineStr">
        <is>
          <t>사업양수 지출</t>
        </is>
      </c>
      <c r="D248" s="20" t="n">
        <v>-1300</v>
      </c>
      <c r="H248" s="20" t="n">
        <v>0</v>
      </c>
      <c r="U248" s="20" t="n">
        <v>0</v>
      </c>
      <c r="V248" s="20" t="n">
        <v>-1300</v>
      </c>
      <c r="W248" s="20" t="n">
        <v>0</v>
      </c>
    </row>
    <row r="249">
      <c r="A249" s="18" t="inlineStr">
        <is>
          <t>연결범위 변경 자회사 주식 취득</t>
        </is>
      </c>
      <c r="D249" s="20" t="n">
        <v>-232</v>
      </c>
      <c r="H249" s="20" t="n">
        <v>0</v>
      </c>
      <c r="U249" s="20" t="n">
        <v>0</v>
      </c>
      <c r="V249" s="20" t="n">
        <v>-232</v>
      </c>
      <c r="W249" s="20" t="n">
        <v>0</v>
      </c>
    </row>
    <row r="250">
      <c r="A250" s="18" t="inlineStr">
        <is>
          <t>기타</t>
        </is>
      </c>
      <c r="D250" s="20" t="n">
        <v>-37</v>
      </c>
      <c r="F250" s="20" t="n">
        <v>-12</v>
      </c>
      <c r="H250" s="20" t="n">
        <v>-81</v>
      </c>
      <c r="J250" s="20" t="n">
        <v>-8</v>
      </c>
      <c r="L250" s="20" t="n">
        <v>-9</v>
      </c>
      <c r="N250" s="20" t="n">
        <v>-1</v>
      </c>
      <c r="O250" s="20" t="n">
        <v>-106</v>
      </c>
      <c r="P250" s="20" t="n">
        <v>-9</v>
      </c>
      <c r="Q250" s="20" t="n">
        <v>-104</v>
      </c>
      <c r="R250" s="20" t="n">
        <v>-28</v>
      </c>
      <c r="S250" s="20" t="n">
        <v>-57</v>
      </c>
      <c r="T250" s="20" t="n">
        <v>-40</v>
      </c>
      <c r="U250" s="20" t="n">
        <v>-16</v>
      </c>
      <c r="V250" s="20" t="n">
        <v>-37</v>
      </c>
      <c r="W250" s="20" t="n">
        <v>-81</v>
      </c>
      <c r="X250" s="20" t="n">
        <v>-9</v>
      </c>
    </row>
    <row r="251">
      <c r="A251" s="9" t="inlineStr">
        <is>
          <t>투자활동 현금흐름</t>
        </is>
      </c>
      <c r="D251" s="12" t="n">
        <v>-4250</v>
      </c>
      <c r="F251" s="12" t="n">
        <v>-295</v>
      </c>
      <c r="H251" s="12" t="n">
        <v>-1214</v>
      </c>
      <c r="J251" s="12" t="n">
        <v>-448</v>
      </c>
      <c r="L251" s="12" t="n">
        <v>-729</v>
      </c>
      <c r="N251" s="12" t="n">
        <v>-337</v>
      </c>
      <c r="O251" s="12" t="n">
        <v>-1104</v>
      </c>
      <c r="P251" s="12" t="n">
        <v>-1138</v>
      </c>
      <c r="Q251" s="12" t="n">
        <v>-2060</v>
      </c>
      <c r="R251" s="12" t="n">
        <v>-1589</v>
      </c>
      <c r="S251" s="12" t="n">
        <v>-660</v>
      </c>
      <c r="T251" s="12" t="n">
        <v>603</v>
      </c>
      <c r="U251" s="12" t="n">
        <v>-1172</v>
      </c>
      <c r="V251" s="12" t="n">
        <v>-4250</v>
      </c>
      <c r="W251" s="12" t="n">
        <v>-1214</v>
      </c>
      <c r="X251" s="12" t="n">
        <v>-729</v>
      </c>
    </row>
    <row r="252">
      <c r="A252" s="18" t="inlineStr">
        <is>
          <t>단기차입금 순증감</t>
        </is>
      </c>
      <c r="D252" s="20" t="n">
        <v>271</v>
      </c>
      <c r="F252" s="20" t="n">
        <v>-101</v>
      </c>
      <c r="H252" s="20" t="n">
        <v>-154</v>
      </c>
      <c r="J252" s="20" t="n">
        <v>222</v>
      </c>
      <c r="L252" s="20" t="n">
        <v>629</v>
      </c>
      <c r="N252" s="20" t="n">
        <v>-1317</v>
      </c>
      <c r="O252" s="20" t="n">
        <v>-593</v>
      </c>
      <c r="P252" s="20" t="n">
        <v>210</v>
      </c>
      <c r="Q252" s="20" t="n">
        <v>569</v>
      </c>
      <c r="R252" s="20" t="n">
        <v>0</v>
      </c>
      <c r="S252" s="20" t="n">
        <v>456</v>
      </c>
      <c r="T252" s="20" t="n">
        <v>-1955</v>
      </c>
      <c r="U252" s="20" t="n">
        <v>1884</v>
      </c>
      <c r="V252" s="20" t="n">
        <v>271</v>
      </c>
      <c r="W252" s="20" t="n">
        <v>-154</v>
      </c>
      <c r="X252" s="20" t="n">
        <v>629</v>
      </c>
    </row>
    <row r="253">
      <c r="A253" s="18" t="inlineStr">
        <is>
          <t>장기차입</t>
        </is>
      </c>
      <c r="D253" s="20" t="n">
        <v>3536</v>
      </c>
      <c r="F253" s="20" t="n">
        <v>0</v>
      </c>
      <c r="H253" s="20" t="n">
        <v>0</v>
      </c>
      <c r="O253" s="20" t="n">
        <v>650</v>
      </c>
      <c r="P253" s="20" t="n">
        <v>900</v>
      </c>
      <c r="Q253" s="20" t="n">
        <v>0</v>
      </c>
      <c r="R253" s="20" t="n">
        <v>1400</v>
      </c>
      <c r="S253" s="20" t="n">
        <v>0</v>
      </c>
      <c r="T253" s="20" t="n">
        <v>0</v>
      </c>
      <c r="U253" s="20" t="n">
        <v>500</v>
      </c>
      <c r="V253" s="20" t="n">
        <v>3536</v>
      </c>
      <c r="W253" s="20" t="n">
        <v>0</v>
      </c>
    </row>
    <row r="254">
      <c r="A254" s="18" t="inlineStr">
        <is>
          <t>장기차입금 상환</t>
        </is>
      </c>
      <c r="D254" s="20" t="n">
        <v>-575</v>
      </c>
      <c r="F254" s="20" t="n">
        <v>-738</v>
      </c>
      <c r="H254" s="20" t="n">
        <v>-899</v>
      </c>
      <c r="J254" s="20" t="n">
        <v>-817</v>
      </c>
      <c r="L254" s="20" t="n">
        <v>-1159</v>
      </c>
      <c r="N254" s="20" t="n">
        <v>-332</v>
      </c>
      <c r="O254" s="20" t="n">
        <v>-891</v>
      </c>
      <c r="P254" s="20" t="n">
        <v>-932</v>
      </c>
      <c r="Q254" s="20" t="n">
        <v>-709</v>
      </c>
      <c r="R254" s="20" t="n">
        <v>-761</v>
      </c>
      <c r="S254" s="20" t="n">
        <v>-724</v>
      </c>
      <c r="T254" s="20" t="n">
        <v>-469</v>
      </c>
      <c r="U254" s="20" t="n">
        <v>-443</v>
      </c>
      <c r="V254" s="20" t="n">
        <v>-575</v>
      </c>
      <c r="W254" s="20" t="n">
        <v>-899</v>
      </c>
      <c r="X254" s="20" t="n">
        <v>-1159</v>
      </c>
    </row>
    <row r="255">
      <c r="A255" s="18" t="inlineStr">
        <is>
          <t>자기주식 취득</t>
        </is>
      </c>
      <c r="D255" s="20" t="n">
        <v>0</v>
      </c>
      <c r="F255" s="20" t="n">
        <v>-100</v>
      </c>
      <c r="H255" s="20" t="n">
        <v>-100</v>
      </c>
      <c r="J255" s="20" t="n">
        <v>-0</v>
      </c>
      <c r="L255" s="20" t="n">
        <v>-0</v>
      </c>
      <c r="N255" s="20" t="n">
        <v>-0</v>
      </c>
      <c r="P255" s="20" t="n">
        <v>0</v>
      </c>
      <c r="Q255" s="20" t="n">
        <v>-172</v>
      </c>
      <c r="R255" s="20" t="n">
        <v>0</v>
      </c>
      <c r="S255" s="20" t="n">
        <v>-244</v>
      </c>
      <c r="T255" s="20" t="n">
        <v>0</v>
      </c>
      <c r="U255" s="20" t="n">
        <v>-194</v>
      </c>
      <c r="V255" s="20" t="n">
        <v>0</v>
      </c>
      <c r="W255" s="20" t="n">
        <v>-100</v>
      </c>
      <c r="X255" s="20" t="n">
        <v>-0</v>
      </c>
    </row>
    <row r="256">
      <c r="A256" s="18" t="inlineStr">
        <is>
          <t>배당금 지급</t>
        </is>
      </c>
      <c r="D256" s="20" t="n">
        <v>-369</v>
      </c>
      <c r="F256" s="20" t="n">
        <v>-231</v>
      </c>
      <c r="H256" s="20" t="n">
        <v>-414</v>
      </c>
      <c r="J256" s="20" t="n">
        <v>-229</v>
      </c>
      <c r="L256" s="20" t="n">
        <v>-413</v>
      </c>
      <c r="N256" s="20" t="n">
        <v>-321</v>
      </c>
      <c r="O256" s="20" t="n">
        <v>-386</v>
      </c>
      <c r="P256" s="20" t="n">
        <v>-436</v>
      </c>
      <c r="Q256" s="20" t="n">
        <v>-484</v>
      </c>
      <c r="R256" s="20" t="n">
        <v>-479</v>
      </c>
      <c r="S256" s="20" t="n">
        <v>-385</v>
      </c>
      <c r="T256" s="20" t="n">
        <v>-424</v>
      </c>
      <c r="U256" s="20" t="n">
        <v>-372</v>
      </c>
      <c r="V256" s="20" t="n">
        <v>-369</v>
      </c>
      <c r="W256" s="20" t="n">
        <v>-414</v>
      </c>
      <c r="X256" s="20" t="n">
        <v>-413</v>
      </c>
    </row>
    <row r="257">
      <c r="A257" s="18" t="inlineStr">
        <is>
          <t>비지배주주 배당금 지급</t>
        </is>
      </c>
      <c r="D257" s="20" t="n">
        <v>-19</v>
      </c>
      <c r="F257" s="20" t="n">
        <v>-31</v>
      </c>
      <c r="H257" s="20" t="n">
        <v>-31</v>
      </c>
      <c r="J257" s="20" t="n">
        <v>-15</v>
      </c>
      <c r="L257" s="20" t="n">
        <v>-15</v>
      </c>
      <c r="N257" s="20" t="n">
        <v>-20</v>
      </c>
      <c r="O257" s="20" t="n">
        <v>-41</v>
      </c>
      <c r="P257" s="20" t="n">
        <v>-62</v>
      </c>
      <c r="Q257" s="20" t="n">
        <v>-83</v>
      </c>
      <c r="R257" s="20" t="n">
        <v>-54</v>
      </c>
      <c r="S257" s="20" t="n">
        <v>-62</v>
      </c>
      <c r="T257" s="20" t="n">
        <v>-59</v>
      </c>
      <c r="U257" s="20" t="n">
        <v>-111</v>
      </c>
      <c r="V257" s="20" t="n">
        <v>-19</v>
      </c>
      <c r="W257" s="20" t="n">
        <v>-31</v>
      </c>
      <c r="X257" s="20" t="n">
        <v>-15</v>
      </c>
    </row>
    <row r="258">
      <c r="A258" s="18" t="inlineStr">
        <is>
          <t>기타</t>
        </is>
      </c>
      <c r="D258" s="20" t="n">
        <v>-25</v>
      </c>
      <c r="F258" s="20" t="n">
        <v>-15</v>
      </c>
      <c r="H258" s="20" t="n">
        <v>-79</v>
      </c>
      <c r="J258" s="20" t="n">
        <v>-39</v>
      </c>
      <c r="L258" s="20" t="n">
        <v>-69</v>
      </c>
      <c r="N258" s="20" t="n">
        <v>-50</v>
      </c>
      <c r="O258" s="20" t="n">
        <v>-34</v>
      </c>
      <c r="P258" s="20" t="n">
        <v>-26</v>
      </c>
      <c r="Q258" s="20" t="n">
        <v>-71</v>
      </c>
      <c r="R258" s="20" t="n">
        <v>-28</v>
      </c>
      <c r="S258" s="20" t="n">
        <v>-60</v>
      </c>
      <c r="T258" s="20" t="n">
        <v>-30</v>
      </c>
      <c r="U258" s="20" t="n">
        <v>-36</v>
      </c>
      <c r="V258" s="20" t="n">
        <v>-25</v>
      </c>
      <c r="W258" s="20" t="n">
        <v>-79</v>
      </c>
      <c r="X258" s="20" t="n">
        <v>-69</v>
      </c>
    </row>
    <row r="259">
      <c r="A259" s="9" t="inlineStr">
        <is>
          <t>재무활동 현금흐름</t>
        </is>
      </c>
      <c r="D259" s="12" t="n">
        <v>2819</v>
      </c>
      <c r="F259" s="12" t="n">
        <v>-1216</v>
      </c>
      <c r="H259" s="12" t="n">
        <v>-1677</v>
      </c>
      <c r="J259" s="12" t="n">
        <v>-879</v>
      </c>
      <c r="L259" s="12" t="n">
        <v>-1027</v>
      </c>
      <c r="N259" s="12" t="n">
        <v>-2039</v>
      </c>
      <c r="O259" s="12" t="n">
        <v>-1296</v>
      </c>
      <c r="P259" s="12" t="n">
        <v>-346</v>
      </c>
      <c r="Q259" s="12" t="n">
        <v>-949</v>
      </c>
      <c r="R259" s="12" t="n">
        <v>78</v>
      </c>
      <c r="S259" s="12" t="n">
        <v>-1019</v>
      </c>
      <c r="T259" s="12" t="n">
        <v>-2937</v>
      </c>
      <c r="U259" s="12" t="n">
        <v>1227</v>
      </c>
      <c r="V259" s="12" t="n">
        <v>2819</v>
      </c>
      <c r="W259" s="12" t="n">
        <v>-1677</v>
      </c>
      <c r="X259" s="12" t="n">
        <v>-1027</v>
      </c>
    </row>
    <row r="260">
      <c r="A260" s="18" t="inlineStr">
        <is>
          <t>현금성자산 환산차이</t>
        </is>
      </c>
      <c r="D260" s="20" t="n">
        <v>-123</v>
      </c>
      <c r="F260" s="20" t="n">
        <v>-66</v>
      </c>
      <c r="H260" s="20" t="n">
        <v>82</v>
      </c>
      <c r="J260" s="20" t="n">
        <v>-22</v>
      </c>
      <c r="L260" s="20" t="n">
        <v>181</v>
      </c>
      <c r="N260" s="20" t="n">
        <v>31</v>
      </c>
      <c r="O260" s="20" t="n">
        <v>-3</v>
      </c>
      <c r="P260" s="20" t="n">
        <v>57</v>
      </c>
      <c r="Q260" s="20" t="n">
        <v>-90</v>
      </c>
      <c r="R260" s="20" t="n">
        <v>23</v>
      </c>
      <c r="S260" s="20" t="n">
        <v>54</v>
      </c>
      <c r="T260" s="20" t="n">
        <v>-20</v>
      </c>
      <c r="U260" s="20" t="n">
        <v>-38</v>
      </c>
      <c r="V260" s="20" t="n">
        <v>-123</v>
      </c>
      <c r="W260" s="20" t="n">
        <v>82</v>
      </c>
      <c r="X260" s="20" t="n">
        <v>181</v>
      </c>
    </row>
    <row r="261">
      <c r="A261" s="18" t="inlineStr">
        <is>
          <t>현금성자산 증감</t>
        </is>
      </c>
      <c r="D261" s="20" t="n">
        <v>1380</v>
      </c>
      <c r="F261" s="20" t="n">
        <v>-502</v>
      </c>
      <c r="H261" s="20" t="n">
        <v>-58</v>
      </c>
      <c r="J261" s="20" t="n">
        <v>-450</v>
      </c>
      <c r="L261" s="20" t="n">
        <v>1406</v>
      </c>
      <c r="N261" s="20" t="n">
        <v>-943</v>
      </c>
      <c r="O261" s="20" t="n">
        <v>438</v>
      </c>
      <c r="P261" s="20" t="n">
        <v>949</v>
      </c>
      <c r="Q261" s="20" t="n">
        <v>-500</v>
      </c>
      <c r="R261" s="20" t="n">
        <v>282</v>
      </c>
      <c r="S261" s="20" t="n">
        <v>463</v>
      </c>
      <c r="T261" s="20" t="n">
        <v>-21</v>
      </c>
      <c r="U261" s="20" t="n">
        <v>532</v>
      </c>
      <c r="V261" s="20" t="n">
        <v>1380</v>
      </c>
      <c r="W261" s="20" t="n">
        <v>-58</v>
      </c>
      <c r="X261" s="20" t="n">
        <v>1406</v>
      </c>
    </row>
    <row r="262">
      <c r="A262" s="18" t="inlineStr">
        <is>
          <t>신규 연결 현금성자산 증가</t>
        </is>
      </c>
      <c r="D262" s="20" t="n">
        <v>231</v>
      </c>
      <c r="U262" s="20" t="n">
        <v>0</v>
      </c>
      <c r="V262" s="20" t="n">
        <v>231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모레스코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20362</v>
      </c>
      <c r="D5" s="12" t="n">
        <v>21411</v>
      </c>
      <c r="E5" s="12" t="n">
        <v>23129</v>
      </c>
      <c r="F5" s="12" t="n">
        <v>22772</v>
      </c>
      <c r="G5" s="12" t="n">
        <v>23925</v>
      </c>
      <c r="H5" s="11" t="n">
        <v>16607</v>
      </c>
      <c r="I5" s="12" t="n">
        <v>18810</v>
      </c>
      <c r="J5" s="12" t="n">
        <v>20989</v>
      </c>
      <c r="K5" s="12" t="n">
        <v>21260</v>
      </c>
      <c r="L5" s="12" t="n">
        <v>23129</v>
      </c>
    </row>
    <row r="6">
      <c r="A6" s="18" t="inlineStr">
        <is>
          <t>현금및현금성자산</t>
        </is>
      </c>
      <c r="B6" s="10" t="n"/>
      <c r="C6" s="19" t="n">
        <v>5068</v>
      </c>
      <c r="D6" s="20" t="n">
        <v>5746</v>
      </c>
      <c r="E6" s="20" t="n">
        <v>6914</v>
      </c>
      <c r="F6" s="20" t="n">
        <v>6005</v>
      </c>
      <c r="G6" s="20" t="n">
        <v>5971</v>
      </c>
      <c r="H6" s="19" t="n">
        <v>4001</v>
      </c>
      <c r="I6" s="20" t="n">
        <v>4256</v>
      </c>
      <c r="J6" s="20" t="n">
        <v>5636</v>
      </c>
      <c r="K6" s="20" t="n">
        <v>5508</v>
      </c>
      <c r="L6" s="20" t="n">
        <v>6914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6896</v>
      </c>
      <c r="D8" s="20" t="n">
        <v>7102</v>
      </c>
      <c r="E8" s="20" t="n">
        <v>7329</v>
      </c>
      <c r="F8" s="20" t="n">
        <v>7631</v>
      </c>
      <c r="G8" s="20" t="n">
        <v>7987</v>
      </c>
      <c r="H8" s="19" t="n">
        <v>6844</v>
      </c>
      <c r="I8" s="20" t="n">
        <v>7595</v>
      </c>
      <c r="J8" s="20" t="n">
        <v>7942</v>
      </c>
      <c r="K8" s="20" t="n">
        <v>7005</v>
      </c>
      <c r="L8" s="20" t="n">
        <v>7329</v>
      </c>
    </row>
    <row r="9">
      <c r="A9" s="18" t="inlineStr">
        <is>
          <t>재고자산</t>
        </is>
      </c>
      <c r="B9" s="10" t="n"/>
      <c r="C9" s="19" t="n">
        <v>6550</v>
      </c>
      <c r="D9" s="20" t="n">
        <v>6713</v>
      </c>
      <c r="E9" s="20" t="n">
        <v>6892</v>
      </c>
      <c r="F9" s="20" t="n">
        <v>7199</v>
      </c>
      <c r="G9" s="20" t="n">
        <v>7844</v>
      </c>
      <c r="H9" s="19" t="n">
        <v>5326</v>
      </c>
      <c r="I9" s="20" t="n">
        <v>6306</v>
      </c>
      <c r="J9" s="20" t="n">
        <v>6687</v>
      </c>
      <c r="K9" s="20" t="n">
        <v>7126</v>
      </c>
      <c r="L9" s="20" t="n">
        <v>6892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16212</v>
      </c>
      <c r="D11" s="12" t="n">
        <v>16411</v>
      </c>
      <c r="E11" s="12" t="n">
        <v>17553</v>
      </c>
      <c r="F11" s="12" t="n">
        <v>17449</v>
      </c>
      <c r="G11" s="12" t="n">
        <v>17401</v>
      </c>
      <c r="H11" s="11" t="n">
        <v>12401</v>
      </c>
      <c r="I11" s="12" t="n">
        <v>13202</v>
      </c>
      <c r="J11" s="12" t="n">
        <v>16063</v>
      </c>
      <c r="K11" s="12" t="n">
        <v>17037</v>
      </c>
      <c r="L11" s="12" t="n">
        <v>17553</v>
      </c>
    </row>
    <row r="12">
      <c r="A12" s="18" t="inlineStr">
        <is>
          <t>유형자산</t>
        </is>
      </c>
      <c r="B12" s="10" t="n"/>
      <c r="C12" s="19" t="n">
        <v>9780</v>
      </c>
      <c r="D12" s="20" t="n">
        <v>9810</v>
      </c>
      <c r="E12" s="20" t="n">
        <v>9932</v>
      </c>
      <c r="F12" s="20" t="n">
        <v>9812</v>
      </c>
      <c r="G12" s="20" t="n">
        <v>9599</v>
      </c>
      <c r="H12" s="19" t="n">
        <v>8304</v>
      </c>
      <c r="I12" s="20" t="n">
        <v>8610</v>
      </c>
      <c r="J12" s="20" t="n">
        <v>10140</v>
      </c>
      <c r="K12" s="20" t="n">
        <v>10414</v>
      </c>
      <c r="L12" s="20" t="n">
        <v>9932</v>
      </c>
    </row>
    <row r="13">
      <c r="A13" s="18" t="inlineStr">
        <is>
          <t>무형자산</t>
        </is>
      </c>
      <c r="B13" s="10" t="n"/>
      <c r="C13" s="19" t="n">
        <v>1247</v>
      </c>
      <c r="D13" s="20" t="n">
        <v>1244</v>
      </c>
      <c r="E13" s="20" t="n">
        <v>1283</v>
      </c>
      <c r="F13" s="20" t="n">
        <v>1282</v>
      </c>
      <c r="G13" s="20" t="n">
        <v>1249</v>
      </c>
      <c r="H13" s="19" t="n">
        <v>633</v>
      </c>
      <c r="I13" s="20" t="n">
        <v>589</v>
      </c>
      <c r="J13" s="20" t="n">
        <v>1228</v>
      </c>
      <c r="K13" s="20" t="n">
        <v>1372</v>
      </c>
      <c r="L13" s="20" t="n">
        <v>1283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36574</v>
      </c>
      <c r="D16" s="12" t="n">
        <v>37822</v>
      </c>
      <c r="E16" s="12" t="n">
        <v>40683</v>
      </c>
      <c r="F16" s="12" t="n">
        <v>40221</v>
      </c>
      <c r="G16" s="12" t="n">
        <v>41327</v>
      </c>
      <c r="H16" s="11" t="n">
        <v>29008</v>
      </c>
      <c r="I16" s="12" t="n">
        <v>32017</v>
      </c>
      <c r="J16" s="12" t="n">
        <v>37053</v>
      </c>
      <c r="K16" s="12" t="n">
        <v>38297</v>
      </c>
      <c r="L16" s="12" t="n">
        <v>40683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9736</v>
      </c>
      <c r="D18" s="12" t="n">
        <v>10276</v>
      </c>
      <c r="E18" s="12" t="n">
        <v>11213</v>
      </c>
      <c r="F18" s="12" t="n">
        <v>10314</v>
      </c>
      <c r="G18" s="12" t="n">
        <v>10447</v>
      </c>
      <c r="H18" s="11" t="n">
        <v>7260</v>
      </c>
      <c r="I18" s="12" t="n">
        <v>9599</v>
      </c>
      <c r="J18" s="12" t="n">
        <v>9860</v>
      </c>
      <c r="K18" s="12" t="n">
        <v>10362</v>
      </c>
      <c r="L18" s="12" t="n">
        <v>11213</v>
      </c>
    </row>
    <row r="19">
      <c r="A19" s="18" t="inlineStr">
        <is>
          <t>매입채무</t>
        </is>
      </c>
      <c r="B19" s="10" t="n"/>
      <c r="C19" s="19" t="n">
        <v>4256</v>
      </c>
      <c r="D19" s="20" t="n">
        <v>4430</v>
      </c>
      <c r="E19" s="20" t="n">
        <v>4567</v>
      </c>
      <c r="F19" s="20" t="n">
        <v>4525</v>
      </c>
      <c r="G19" s="20" t="n">
        <v>4981</v>
      </c>
      <c r="H19" s="19" t="n">
        <v>4308</v>
      </c>
      <c r="I19" s="20" t="n">
        <v>5144</v>
      </c>
      <c r="J19" s="20" t="n">
        <v>4469</v>
      </c>
      <c r="K19" s="20" t="n">
        <v>4544</v>
      </c>
      <c r="L19" s="20" t="n">
        <v>4567</v>
      </c>
    </row>
    <row r="20">
      <c r="A20" s="18" t="inlineStr">
        <is>
          <t>단기차입금</t>
        </is>
      </c>
      <c r="B20" s="10" t="n"/>
      <c r="C20" s="19" t="n">
        <v>3039</v>
      </c>
      <c r="D20" s="20" t="n">
        <v>2800</v>
      </c>
      <c r="E20" s="20" t="n">
        <v>3452</v>
      </c>
      <c r="F20" s="20" t="n">
        <v>2651</v>
      </c>
      <c r="G20" s="20" t="n">
        <v>2135</v>
      </c>
      <c r="H20" s="19" t="n">
        <v>560</v>
      </c>
      <c r="I20" s="20" t="n">
        <v>2381</v>
      </c>
      <c r="J20" s="20" t="n">
        <v>3040</v>
      </c>
      <c r="K20" s="20" t="n">
        <v>3177</v>
      </c>
      <c r="L20" s="20" t="n">
        <v>3452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2502</v>
      </c>
      <c r="D23" s="12" t="n">
        <v>2252</v>
      </c>
      <c r="E23" s="12" t="n">
        <v>2586</v>
      </c>
      <c r="F23" s="12" t="n">
        <v>2290</v>
      </c>
      <c r="G23" s="12" t="n">
        <v>2062</v>
      </c>
      <c r="H23" s="11" t="n">
        <v>1197</v>
      </c>
      <c r="I23" s="12" t="n">
        <v>1179</v>
      </c>
      <c r="J23" s="12" t="n">
        <v>4071</v>
      </c>
      <c r="K23" s="12" t="n">
        <v>2926</v>
      </c>
      <c r="L23" s="12" t="n">
        <v>2586</v>
      </c>
    </row>
    <row r="24">
      <c r="A24" s="18" t="inlineStr">
        <is>
          <t>장기차입금</t>
        </is>
      </c>
      <c r="B24" s="10" t="n"/>
      <c r="C24" s="19" t="n">
        <v>1438</v>
      </c>
      <c r="D24" s="20" t="n">
        <v>1273</v>
      </c>
      <c r="E24" s="20" t="n">
        <v>1108</v>
      </c>
      <c r="F24" s="20" t="n">
        <v>943</v>
      </c>
      <c r="G24" s="20" t="n">
        <v>777</v>
      </c>
      <c r="H24" s="19" t="n">
        <v>350</v>
      </c>
      <c r="I24" s="20" t="n">
        <v>472</v>
      </c>
      <c r="J24" s="20" t="n">
        <v>3065</v>
      </c>
      <c r="K24" s="20" t="n">
        <v>1940</v>
      </c>
      <c r="L24" s="20" t="n">
        <v>1108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12238</v>
      </c>
      <c r="D27" s="12" t="n">
        <v>12529</v>
      </c>
      <c r="E27" s="12" t="n">
        <v>13799</v>
      </c>
      <c r="F27" s="12" t="n">
        <v>12604</v>
      </c>
      <c r="G27" s="12" t="n">
        <v>12510</v>
      </c>
      <c r="H27" s="11" t="n">
        <v>8457</v>
      </c>
      <c r="I27" s="12" t="n">
        <v>10778</v>
      </c>
      <c r="J27" s="12" t="n">
        <v>13931</v>
      </c>
      <c r="K27" s="12" t="n">
        <v>13288</v>
      </c>
      <c r="L27" s="12" t="n">
        <v>13799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21144</v>
      </c>
      <c r="D31" s="12" t="n">
        <v>21980</v>
      </c>
      <c r="E31" s="12" t="n">
        <v>23477</v>
      </c>
      <c r="F31" s="12" t="n">
        <v>24119</v>
      </c>
      <c r="G31" s="12" t="n">
        <v>25175</v>
      </c>
      <c r="H31" s="11" t="n">
        <v>17962</v>
      </c>
      <c r="I31" s="12" t="n">
        <v>18534</v>
      </c>
      <c r="J31" s="12" t="n">
        <v>20126</v>
      </c>
      <c r="K31" s="12" t="n">
        <v>21685</v>
      </c>
      <c r="L31" s="12" t="n">
        <v>23477</v>
      </c>
    </row>
    <row r="32">
      <c r="A32" s="18" t="inlineStr">
        <is>
          <t>자본금</t>
        </is>
      </c>
      <c r="B32" s="10" t="n"/>
      <c r="C32" s="19" t="n">
        <v>2118</v>
      </c>
      <c r="D32" s="20" t="n">
        <v>2118</v>
      </c>
      <c r="E32" s="20" t="n">
        <v>2118</v>
      </c>
      <c r="F32" s="20" t="n">
        <v>2118</v>
      </c>
      <c r="G32" s="20" t="n">
        <v>2118</v>
      </c>
      <c r="H32" s="19" t="n">
        <v>2118</v>
      </c>
      <c r="I32" s="20" t="n">
        <v>2118</v>
      </c>
      <c r="J32" s="20" t="n">
        <v>2118</v>
      </c>
      <c r="K32" s="20" t="n">
        <v>2118</v>
      </c>
      <c r="L32" s="20" t="n">
        <v>2118</v>
      </c>
    </row>
    <row r="33">
      <c r="A33" s="18" t="inlineStr">
        <is>
          <t>이익잉여금</t>
        </is>
      </c>
      <c r="B33" s="10" t="n"/>
      <c r="C33" s="19" t="n">
        <v>15549</v>
      </c>
      <c r="D33" s="20" t="n">
        <v>16035</v>
      </c>
      <c r="E33" s="20" t="n">
        <v>16385</v>
      </c>
      <c r="F33" s="20" t="n">
        <v>16795</v>
      </c>
      <c r="G33" s="20" t="n">
        <v>17579</v>
      </c>
      <c r="H33" s="19" t="n">
        <v>13517</v>
      </c>
      <c r="I33" s="20" t="n">
        <v>13760</v>
      </c>
      <c r="J33" s="20" t="n">
        <v>14674</v>
      </c>
      <c r="K33" s="20" t="n">
        <v>15273</v>
      </c>
      <c r="L33" s="20" t="n">
        <v>16385</v>
      </c>
    </row>
    <row r="34">
      <c r="A34" s="18" t="inlineStr">
        <is>
          <t>비지배지분</t>
        </is>
      </c>
      <c r="B34" s="10" t="n"/>
      <c r="C34" s="19" t="n">
        <v>3192</v>
      </c>
      <c r="D34" s="20" t="n">
        <v>3313</v>
      </c>
      <c r="E34" s="20" t="n">
        <v>3406</v>
      </c>
      <c r="F34" s="20" t="n">
        <v>3498</v>
      </c>
      <c r="G34" s="20" t="n">
        <v>3642</v>
      </c>
      <c r="H34" s="19" t="n">
        <v>2589</v>
      </c>
      <c r="I34" s="20" t="n">
        <v>2706</v>
      </c>
      <c r="J34" s="20" t="n">
        <v>2996</v>
      </c>
      <c r="K34" s="20" t="n">
        <v>3324</v>
      </c>
      <c r="L34" s="20" t="n">
        <v>3406</v>
      </c>
    </row>
    <row r="35">
      <c r="A35" s="9" t="inlineStr">
        <is>
          <t>자본총계</t>
        </is>
      </c>
      <c r="B35" s="10" t="n"/>
      <c r="C35" s="11" t="n">
        <v>24336</v>
      </c>
      <c r="D35" s="12" t="n">
        <v>25293</v>
      </c>
      <c r="E35" s="12" t="n">
        <v>26883</v>
      </c>
      <c r="F35" s="12" t="n">
        <v>27617</v>
      </c>
      <c r="G35" s="12" t="n">
        <v>28817</v>
      </c>
      <c r="H35" s="11" t="n">
        <v>20551</v>
      </c>
      <c r="I35" s="12" t="n">
        <v>21240</v>
      </c>
      <c r="J35" s="12" t="n">
        <v>23122</v>
      </c>
      <c r="K35" s="12" t="n">
        <v>25009</v>
      </c>
      <c r="L35" s="12" t="n">
        <v>26883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2576</v>
      </c>
      <c r="D37" s="12" t="n"/>
      <c r="E37" s="12" t="n">
        <v>2982</v>
      </c>
      <c r="F37" s="12" t="n"/>
      <c r="G37" s="12" t="n">
        <v>3485</v>
      </c>
      <c r="H37" s="11" t="n">
        <v>2333</v>
      </c>
      <c r="I37" s="12" t="n">
        <v>515</v>
      </c>
      <c r="J37" s="12" t="n">
        <v>2934</v>
      </c>
      <c r="K37" s="12" t="n">
        <v>2751</v>
      </c>
      <c r="L37" s="12" t="n">
        <v>2982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1220</v>
      </c>
      <c r="D38" s="20" t="n"/>
      <c r="E38" s="20" t="n">
        <v>725</v>
      </c>
      <c r="F38" s="20" t="n"/>
      <c r="G38" s="20" t="n">
        <v>626</v>
      </c>
      <c r="H38" s="19" t="n">
        <v>965</v>
      </c>
      <c r="I38" s="20" t="n">
        <v>1343</v>
      </c>
      <c r="J38" s="20" t="n">
        <v>2717</v>
      </c>
      <c r="K38" s="20" t="n">
        <v>1144</v>
      </c>
      <c r="L38" s="20" t="n">
        <v>725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412</v>
      </c>
      <c r="D40" s="20" t="n"/>
      <c r="E40" s="20" t="n">
        <v>413</v>
      </c>
      <c r="F40" s="20" t="n"/>
      <c r="G40" s="20" t="n">
        <v>505</v>
      </c>
      <c r="H40" s="19" t="n">
        <v>424</v>
      </c>
      <c r="I40" s="20" t="n">
        <v>372</v>
      </c>
      <c r="J40" s="20" t="n">
        <v>369</v>
      </c>
      <c r="K40" s="20" t="n">
        <v>414</v>
      </c>
      <c r="L40" s="20" t="n">
        <v>413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5068</v>
      </c>
      <c r="D71" s="20" t="n">
        <v>5746</v>
      </c>
      <c r="E71" s="20" t="n">
        <v>6914</v>
      </c>
      <c r="F71" s="20" t="n">
        <v>6005</v>
      </c>
      <c r="G71" s="20" t="n">
        <v>5971</v>
      </c>
      <c r="H71" s="20" t="n">
        <v>4001</v>
      </c>
      <c r="I71" s="20" t="n">
        <v>4256</v>
      </c>
      <c r="J71" s="20" t="n">
        <v>5636</v>
      </c>
      <c r="K71" s="20" t="n">
        <v>5508</v>
      </c>
      <c r="L71" s="20" t="n">
        <v>6914</v>
      </c>
    </row>
    <row r="72">
      <c r="A72" s="18" t="inlineStr">
        <is>
          <t>받을어음</t>
        </is>
      </c>
      <c r="E72" s="20" t="n">
        <v>45</v>
      </c>
      <c r="H72" s="20" t="n">
        <v>0</v>
      </c>
      <c r="I72" s="20" t="n">
        <v>1235</v>
      </c>
      <c r="J72" s="20" t="n">
        <v>194</v>
      </c>
      <c r="K72" s="20" t="n">
        <v>113</v>
      </c>
      <c r="L72" s="20" t="n">
        <v>45</v>
      </c>
    </row>
    <row r="73">
      <c r="A73" s="18" t="inlineStr">
        <is>
          <t>받을어음·매출채권</t>
        </is>
      </c>
      <c r="C73" s="20" t="n">
        <v>6896</v>
      </c>
      <c r="D73" s="20" t="n">
        <v>7102</v>
      </c>
      <c r="E73" s="20" t="n">
        <v>7329</v>
      </c>
      <c r="F73" s="20" t="n">
        <v>7631</v>
      </c>
      <c r="G73" s="20" t="n">
        <v>7987</v>
      </c>
      <c r="H73" s="20" t="n">
        <v>6844</v>
      </c>
      <c r="I73" s="20" t="n">
        <v>7595</v>
      </c>
      <c r="J73" s="20" t="n">
        <v>7942</v>
      </c>
      <c r="K73" s="20" t="n">
        <v>7005</v>
      </c>
      <c r="L73" s="20" t="n">
        <v>7329</v>
      </c>
    </row>
    <row r="74">
      <c r="A74" s="18" t="inlineStr">
        <is>
          <t>전자기록채권</t>
        </is>
      </c>
      <c r="C74" s="20" t="n">
        <v>1260</v>
      </c>
      <c r="D74" s="20" t="n">
        <v>1185</v>
      </c>
      <c r="E74" s="20" t="n">
        <v>1333</v>
      </c>
      <c r="F74" s="20" t="n">
        <v>1273</v>
      </c>
      <c r="G74" s="20" t="n">
        <v>1425</v>
      </c>
      <c r="J74" s="20" t="n">
        <v>1129</v>
      </c>
      <c r="K74" s="20" t="n">
        <v>1126</v>
      </c>
      <c r="L74" s="20" t="n">
        <v>1333</v>
      </c>
    </row>
    <row r="75">
      <c r="A75" s="18" t="inlineStr">
        <is>
          <t>매출채권</t>
        </is>
      </c>
      <c r="E75" s="20" t="n">
        <v>7284</v>
      </c>
      <c r="H75" s="20" t="n">
        <v>0</v>
      </c>
      <c r="I75" s="20" t="n">
        <v>6360</v>
      </c>
      <c r="J75" s="20" t="n">
        <v>6618</v>
      </c>
      <c r="K75" s="20" t="n">
        <v>6892</v>
      </c>
      <c r="L75" s="20" t="n">
        <v>7284</v>
      </c>
    </row>
    <row r="76">
      <c r="A76" s="18" t="inlineStr">
        <is>
          <t>상품·제품</t>
        </is>
      </c>
      <c r="C76" s="20" t="n">
        <v>3731</v>
      </c>
      <c r="D76" s="20" t="n">
        <v>3859</v>
      </c>
      <c r="E76" s="20" t="n">
        <v>3774</v>
      </c>
      <c r="F76" s="20" t="n">
        <v>3792</v>
      </c>
      <c r="G76" s="20" t="n">
        <v>4241</v>
      </c>
      <c r="H76" s="20" t="n">
        <v>2935</v>
      </c>
      <c r="I76" s="20" t="n">
        <v>3276</v>
      </c>
      <c r="J76" s="20" t="n">
        <v>3693</v>
      </c>
      <c r="K76" s="20" t="n">
        <v>4044</v>
      </c>
      <c r="L76" s="20" t="n">
        <v>3774</v>
      </c>
    </row>
    <row r="77">
      <c r="A77" s="18" t="inlineStr">
        <is>
          <t>원재료·저장품</t>
        </is>
      </c>
      <c r="C77" s="20" t="n">
        <v>2819</v>
      </c>
      <c r="D77" s="20" t="n">
        <v>2854</v>
      </c>
      <c r="E77" s="20" t="n">
        <v>3118</v>
      </c>
      <c r="F77" s="20" t="n">
        <v>3407</v>
      </c>
      <c r="G77" s="20" t="n">
        <v>3603</v>
      </c>
      <c r="H77" s="20" t="n">
        <v>2391</v>
      </c>
      <c r="I77" s="20" t="n">
        <v>3030</v>
      </c>
      <c r="J77" s="20" t="n">
        <v>2994</v>
      </c>
      <c r="K77" s="20" t="n">
        <v>3082</v>
      </c>
      <c r="L77" s="20" t="n">
        <v>3118</v>
      </c>
    </row>
    <row r="78">
      <c r="A78" s="18" t="inlineStr">
        <is>
          <t>기타</t>
        </is>
      </c>
      <c r="C78" s="20" t="n">
        <v>605</v>
      </c>
      <c r="D78" s="20" t="n">
        <v>682</v>
      </c>
      <c r="E78" s="20" t="n">
        <v>672</v>
      </c>
      <c r="F78" s="20" t="n">
        <v>677</v>
      </c>
      <c r="G78" s="20" t="n">
        <v>710</v>
      </c>
      <c r="H78" s="20" t="n">
        <v>461</v>
      </c>
      <c r="I78" s="20" t="n">
        <v>675</v>
      </c>
      <c r="J78" s="20" t="n">
        <v>750</v>
      </c>
      <c r="K78" s="20" t="n">
        <v>511</v>
      </c>
      <c r="L78" s="20" t="n">
        <v>672</v>
      </c>
    </row>
    <row r="79">
      <c r="A79" s="18" t="inlineStr">
        <is>
          <t>대손충당금</t>
        </is>
      </c>
      <c r="C79" s="20" t="n">
        <v>-17</v>
      </c>
      <c r="D79" s="20" t="n">
        <v>-17</v>
      </c>
      <c r="E79" s="20" t="n">
        <v>-10</v>
      </c>
      <c r="F79" s="20" t="n">
        <v>-11</v>
      </c>
      <c r="G79" s="20" t="n">
        <v>-11</v>
      </c>
      <c r="H79" s="20" t="n">
        <v>-25</v>
      </c>
      <c r="I79" s="20" t="n">
        <v>-22</v>
      </c>
      <c r="J79" s="20" t="n">
        <v>-25</v>
      </c>
      <c r="K79" s="20" t="n">
        <v>-16</v>
      </c>
      <c r="L79" s="20" t="n">
        <v>-10</v>
      </c>
    </row>
    <row r="80">
      <c r="A80" s="9" t="inlineStr">
        <is>
          <t>유동자산 합계</t>
        </is>
      </c>
      <c r="C80" s="12" t="n">
        <v>20362</v>
      </c>
      <c r="D80" s="12" t="n">
        <v>21411</v>
      </c>
      <c r="E80" s="12" t="n">
        <v>23129</v>
      </c>
      <c r="F80" s="12" t="n">
        <v>22772</v>
      </c>
      <c r="G80" s="12" t="n">
        <v>23925</v>
      </c>
      <c r="H80" s="12" t="n">
        <v>16607</v>
      </c>
      <c r="I80" s="12" t="n">
        <v>18810</v>
      </c>
      <c r="J80" s="12" t="n">
        <v>20989</v>
      </c>
      <c r="K80" s="12" t="n">
        <v>21260</v>
      </c>
      <c r="L80" s="12" t="n">
        <v>23129</v>
      </c>
    </row>
    <row r="81">
      <c r="A81" s="18" t="inlineStr">
        <is>
          <t>건물·구축물</t>
        </is>
      </c>
      <c r="E81" s="20" t="n">
        <v>9809</v>
      </c>
      <c r="H81" s="20" t="n">
        <v>6867</v>
      </c>
      <c r="I81" s="20" t="n">
        <v>7402</v>
      </c>
      <c r="J81" s="20" t="n">
        <v>9077</v>
      </c>
      <c r="K81" s="20" t="n">
        <v>9690</v>
      </c>
      <c r="L81" s="20" t="n">
        <v>9809</v>
      </c>
    </row>
    <row r="82">
      <c r="A82" s="18" t="inlineStr">
        <is>
          <t>감가상각누계액</t>
        </is>
      </c>
      <c r="E82" s="20" t="n">
        <v>-4865</v>
      </c>
      <c r="H82" s="20" t="n">
        <v>-3327</v>
      </c>
      <c r="I82" s="20" t="n">
        <v>-3516</v>
      </c>
      <c r="J82" s="20" t="n">
        <v>-4072</v>
      </c>
      <c r="K82" s="20" t="n">
        <v>-4507</v>
      </c>
      <c r="L82" s="20" t="n">
        <v>-4865</v>
      </c>
    </row>
    <row r="83">
      <c r="A83" s="18" t="inlineStr">
        <is>
          <t>건물·구축물(순액)</t>
        </is>
      </c>
      <c r="C83" s="20" t="n">
        <v>4869</v>
      </c>
      <c r="D83" s="20" t="n">
        <v>4896</v>
      </c>
      <c r="E83" s="20" t="n">
        <v>4944</v>
      </c>
      <c r="F83" s="20" t="n">
        <v>4909</v>
      </c>
      <c r="G83" s="20" t="n">
        <v>4847</v>
      </c>
      <c r="H83" s="20" t="n">
        <v>3540</v>
      </c>
      <c r="I83" s="20" t="n">
        <v>3886</v>
      </c>
      <c r="J83" s="20" t="n">
        <v>5005</v>
      </c>
      <c r="K83" s="20" t="n">
        <v>5183</v>
      </c>
      <c r="L83" s="20" t="n">
        <v>4944</v>
      </c>
    </row>
    <row r="84">
      <c r="A84" s="18" t="inlineStr">
        <is>
          <t>기계장치·운반구</t>
        </is>
      </c>
      <c r="E84" s="20" t="n">
        <v>12512</v>
      </c>
      <c r="H84" s="20" t="n">
        <v>10513</v>
      </c>
      <c r="I84" s="20" t="n">
        <v>10793</v>
      </c>
      <c r="J84" s="20" t="n">
        <v>11881</v>
      </c>
      <c r="K84" s="20" t="n">
        <v>12264</v>
      </c>
      <c r="L84" s="20" t="n">
        <v>12512</v>
      </c>
    </row>
    <row r="85">
      <c r="A85" s="18" t="inlineStr">
        <is>
          <t>감가상각누계액</t>
        </is>
      </c>
      <c r="E85" s="20" t="n">
        <v>-10646</v>
      </c>
      <c r="H85" s="20" t="n">
        <v>-8478</v>
      </c>
      <c r="I85" s="20" t="n">
        <v>-8978</v>
      </c>
      <c r="J85" s="20" t="n">
        <v>-9568</v>
      </c>
      <c r="K85" s="20" t="n">
        <v>-10124</v>
      </c>
      <c r="L85" s="20" t="n">
        <v>-10646</v>
      </c>
    </row>
    <row r="86">
      <c r="A86" s="18" t="inlineStr">
        <is>
          <t>기계장치·운반구(순액)</t>
        </is>
      </c>
      <c r="C86" s="20" t="n">
        <v>1893</v>
      </c>
      <c r="D86" s="20" t="n">
        <v>1873</v>
      </c>
      <c r="E86" s="20" t="n">
        <v>1866</v>
      </c>
      <c r="F86" s="20" t="n">
        <v>1797</v>
      </c>
      <c r="G86" s="20" t="n">
        <v>1632</v>
      </c>
      <c r="H86" s="20" t="n">
        <v>2035</v>
      </c>
      <c r="I86" s="20" t="n">
        <v>1815</v>
      </c>
      <c r="J86" s="20" t="n">
        <v>2313</v>
      </c>
      <c r="K86" s="20" t="n">
        <v>2141</v>
      </c>
      <c r="L86" s="20" t="n">
        <v>1866</v>
      </c>
    </row>
    <row r="87">
      <c r="A87" s="18" t="inlineStr">
        <is>
          <t>토지</t>
        </is>
      </c>
      <c r="C87" s="20" t="n">
        <v>2493</v>
      </c>
      <c r="D87" s="20" t="n">
        <v>2505</v>
      </c>
      <c r="E87" s="20" t="n">
        <v>2527</v>
      </c>
      <c r="F87" s="20" t="n">
        <v>2533</v>
      </c>
      <c r="G87" s="20" t="n">
        <v>2537</v>
      </c>
      <c r="H87" s="20" t="n">
        <v>1954</v>
      </c>
      <c r="I87" s="20" t="n">
        <v>1963</v>
      </c>
      <c r="J87" s="20" t="n">
        <v>2255</v>
      </c>
      <c r="K87" s="20" t="n">
        <v>2528</v>
      </c>
      <c r="L87" s="20" t="n">
        <v>2527</v>
      </c>
    </row>
    <row r="88">
      <c r="A88" s="18" t="inlineStr">
        <is>
          <t>리스자산</t>
        </is>
      </c>
      <c r="E88" s="20" t="n">
        <v>234</v>
      </c>
      <c r="H88" s="20" t="n">
        <v>189</v>
      </c>
      <c r="I88" s="20" t="n">
        <v>230</v>
      </c>
      <c r="J88" s="20" t="n">
        <v>262</v>
      </c>
      <c r="K88" s="20" t="n">
        <v>289</v>
      </c>
      <c r="L88" s="20" t="n">
        <v>234</v>
      </c>
    </row>
    <row r="89">
      <c r="A89" s="18" t="inlineStr">
        <is>
          <t>감가상각누계액</t>
        </is>
      </c>
      <c r="E89" s="20" t="n">
        <v>-135</v>
      </c>
      <c r="H89" s="20" t="n">
        <v>-134</v>
      </c>
      <c r="I89" s="20" t="n">
        <v>-148</v>
      </c>
      <c r="J89" s="20" t="n">
        <v>-170</v>
      </c>
      <c r="K89" s="20" t="n">
        <v>-189</v>
      </c>
      <c r="L89" s="20" t="n">
        <v>-135</v>
      </c>
    </row>
    <row r="90">
      <c r="A90" s="18" t="inlineStr">
        <is>
          <t>리스자산(순액)</t>
        </is>
      </c>
      <c r="E90" s="20" t="n">
        <v>99</v>
      </c>
      <c r="H90" s="20" t="n">
        <v>55</v>
      </c>
      <c r="I90" s="20" t="n">
        <v>82</v>
      </c>
      <c r="J90" s="20" t="n">
        <v>92</v>
      </c>
      <c r="K90" s="20" t="n">
        <v>100</v>
      </c>
      <c r="L90" s="20" t="n">
        <v>99</v>
      </c>
    </row>
    <row r="91">
      <c r="A91" s="18" t="inlineStr">
        <is>
          <t>건설중인자산</t>
        </is>
      </c>
      <c r="E91" s="20" t="n">
        <v>59</v>
      </c>
      <c r="H91" s="20" t="n">
        <v>294</v>
      </c>
      <c r="I91" s="20" t="n">
        <v>491</v>
      </c>
      <c r="J91" s="20" t="n">
        <v>33</v>
      </c>
      <c r="K91" s="20" t="n">
        <v>27</v>
      </c>
      <c r="L91" s="20" t="n">
        <v>59</v>
      </c>
    </row>
    <row r="92">
      <c r="A92" s="18" t="inlineStr">
        <is>
          <t>기타</t>
        </is>
      </c>
      <c r="E92" s="20" t="n">
        <v>3627</v>
      </c>
      <c r="H92" s="20" t="n">
        <v>3004</v>
      </c>
      <c r="I92" s="20" t="n">
        <v>3143</v>
      </c>
      <c r="J92" s="20" t="n">
        <v>3356</v>
      </c>
      <c r="K92" s="20" t="n">
        <v>3505</v>
      </c>
      <c r="L92" s="20" t="n">
        <v>3627</v>
      </c>
    </row>
    <row r="93">
      <c r="A93" s="18" t="inlineStr">
        <is>
          <t>감가상각누계액</t>
        </is>
      </c>
      <c r="E93" s="20" t="n">
        <v>-3190</v>
      </c>
      <c r="H93" s="20" t="n">
        <v>-2579</v>
      </c>
      <c r="I93" s="20" t="n">
        <v>-2770</v>
      </c>
      <c r="J93" s="20" t="n">
        <v>-2914</v>
      </c>
      <c r="K93" s="20" t="n">
        <v>-3069</v>
      </c>
      <c r="L93" s="20" t="n">
        <v>-3190</v>
      </c>
    </row>
    <row r="94">
      <c r="A94" s="18" t="inlineStr">
        <is>
          <t>기타(순액)</t>
        </is>
      </c>
      <c r="C94" s="20" t="n">
        <v>524</v>
      </c>
      <c r="D94" s="20" t="n">
        <v>537</v>
      </c>
      <c r="E94" s="20" t="n">
        <v>595</v>
      </c>
      <c r="F94" s="20" t="n">
        <v>573</v>
      </c>
      <c r="G94" s="20" t="n">
        <v>584</v>
      </c>
      <c r="H94" s="20" t="n">
        <v>425</v>
      </c>
      <c r="I94" s="20" t="n">
        <v>373</v>
      </c>
      <c r="J94" s="20" t="n">
        <v>442</v>
      </c>
      <c r="K94" s="20" t="n">
        <v>436</v>
      </c>
      <c r="L94" s="20" t="n">
        <v>595</v>
      </c>
    </row>
    <row r="95">
      <c r="A95" s="18" t="inlineStr">
        <is>
          <t>유형자산 합계</t>
        </is>
      </c>
      <c r="C95" s="20" t="n">
        <v>9780</v>
      </c>
      <c r="D95" s="20" t="n">
        <v>9810</v>
      </c>
      <c r="E95" s="20" t="n">
        <v>9932</v>
      </c>
      <c r="F95" s="20" t="n">
        <v>9812</v>
      </c>
      <c r="G95" s="20" t="n">
        <v>9599</v>
      </c>
      <c r="H95" s="20" t="n">
        <v>8304</v>
      </c>
      <c r="I95" s="20" t="n">
        <v>8610</v>
      </c>
      <c r="J95" s="20" t="n">
        <v>10140</v>
      </c>
      <c r="K95" s="20" t="n">
        <v>10414</v>
      </c>
      <c r="L95" s="20" t="n">
        <v>9932</v>
      </c>
    </row>
    <row r="96">
      <c r="A96" s="18" t="inlineStr">
        <is>
          <t>영업권</t>
        </is>
      </c>
      <c r="C96" s="20" t="n">
        <v>474</v>
      </c>
      <c r="D96" s="20" t="n">
        <v>476</v>
      </c>
      <c r="E96" s="20" t="n">
        <v>488</v>
      </c>
      <c r="F96" s="20" t="n">
        <v>486</v>
      </c>
      <c r="G96" s="20" t="n">
        <v>481</v>
      </c>
      <c r="H96" s="20" t="n">
        <v>219</v>
      </c>
      <c r="I96" s="20" t="n">
        <v>92</v>
      </c>
      <c r="J96" s="20" t="n">
        <v>543</v>
      </c>
      <c r="K96" s="20" t="n">
        <v>543</v>
      </c>
      <c r="L96" s="20" t="n">
        <v>488</v>
      </c>
    </row>
    <row r="97">
      <c r="A97" s="18" t="inlineStr">
        <is>
          <t>리스자산</t>
        </is>
      </c>
      <c r="E97" s="20" t="n">
        <v>17</v>
      </c>
      <c r="H97" s="20" t="n">
        <v>1</v>
      </c>
      <c r="I97" s="20" t="n">
        <v>45</v>
      </c>
      <c r="J97" s="20" t="n">
        <v>35</v>
      </c>
      <c r="K97" s="20" t="n">
        <v>26</v>
      </c>
      <c r="L97" s="20" t="n">
        <v>17</v>
      </c>
    </row>
    <row r="98">
      <c r="A98" s="18" t="inlineStr">
        <is>
          <t>기타</t>
        </is>
      </c>
      <c r="C98" s="20" t="n">
        <v>772</v>
      </c>
      <c r="D98" s="20" t="n">
        <v>768</v>
      </c>
      <c r="E98" s="20" t="n">
        <v>795</v>
      </c>
      <c r="F98" s="20" t="n">
        <v>797</v>
      </c>
      <c r="G98" s="20" t="n">
        <v>768</v>
      </c>
      <c r="H98" s="20" t="n">
        <v>412</v>
      </c>
      <c r="I98" s="20" t="n">
        <v>452</v>
      </c>
      <c r="J98" s="20" t="n">
        <v>650</v>
      </c>
      <c r="K98" s="20" t="n">
        <v>802</v>
      </c>
      <c r="L98" s="20" t="n">
        <v>795</v>
      </c>
    </row>
    <row r="99">
      <c r="A99" s="18" t="inlineStr">
        <is>
          <t>무형자산 합계</t>
        </is>
      </c>
      <c r="C99" s="20" t="n">
        <v>1247</v>
      </c>
      <c r="D99" s="20" t="n">
        <v>1244</v>
      </c>
      <c r="E99" s="20" t="n">
        <v>1283</v>
      </c>
      <c r="F99" s="20" t="n">
        <v>1282</v>
      </c>
      <c r="G99" s="20" t="n">
        <v>1249</v>
      </c>
      <c r="H99" s="20" t="n">
        <v>633</v>
      </c>
      <c r="I99" s="20" t="n">
        <v>589</v>
      </c>
      <c r="J99" s="20" t="n">
        <v>1228</v>
      </c>
      <c r="K99" s="20" t="n">
        <v>1372</v>
      </c>
      <c r="L99" s="20" t="n">
        <v>1283</v>
      </c>
    </row>
    <row r="100">
      <c r="A100" s="18" t="inlineStr">
        <is>
          <t>투자유가증권</t>
        </is>
      </c>
      <c r="E100" s="20" t="n">
        <v>894</v>
      </c>
      <c r="H100" s="20" t="n">
        <v>367</v>
      </c>
      <c r="I100" s="20" t="n">
        <v>520</v>
      </c>
      <c r="J100" s="20" t="n">
        <v>611</v>
      </c>
      <c r="K100" s="20" t="n">
        <v>654</v>
      </c>
      <c r="L100" s="20" t="n">
        <v>894</v>
      </c>
    </row>
    <row r="101">
      <c r="A101" s="18" t="inlineStr">
        <is>
          <t>출자금</t>
        </is>
      </c>
      <c r="E101" s="20" t="n">
        <v>2561</v>
      </c>
      <c r="H101" s="20" t="n">
        <v>1915</v>
      </c>
      <c r="I101" s="20" t="n">
        <v>2078</v>
      </c>
      <c r="J101" s="20" t="n">
        <v>1940</v>
      </c>
      <c r="K101" s="20" t="n">
        <v>2280</v>
      </c>
      <c r="L101" s="20" t="n">
        <v>2561</v>
      </c>
    </row>
    <row r="102">
      <c r="A102" s="18" t="inlineStr">
        <is>
          <t>이연법인세자산</t>
        </is>
      </c>
      <c r="E102" s="20" t="n">
        <v>223</v>
      </c>
      <c r="H102" s="20" t="n">
        <v>29</v>
      </c>
      <c r="I102" s="20" t="n">
        <v>75</v>
      </c>
      <c r="J102" s="20" t="n">
        <v>218</v>
      </c>
      <c r="K102" s="20" t="n">
        <v>229</v>
      </c>
      <c r="L102" s="20" t="n">
        <v>223</v>
      </c>
    </row>
    <row r="103">
      <c r="A103" s="18" t="inlineStr">
        <is>
          <t>퇴직급여자산</t>
        </is>
      </c>
      <c r="E103" s="20" t="n">
        <v>2458</v>
      </c>
      <c r="H103" s="20" t="n">
        <v>976</v>
      </c>
      <c r="I103" s="20" t="n">
        <v>1160</v>
      </c>
      <c r="J103" s="20" t="n">
        <v>1700</v>
      </c>
      <c r="K103" s="20" t="n">
        <v>1852</v>
      </c>
      <c r="L103" s="20" t="n">
        <v>2458</v>
      </c>
    </row>
    <row r="104">
      <c r="A104" s="18" t="inlineStr">
        <is>
          <t>기타</t>
        </is>
      </c>
      <c r="E104" s="20" t="n">
        <v>204</v>
      </c>
      <c r="H104" s="20" t="n">
        <v>179</v>
      </c>
      <c r="I104" s="20" t="n">
        <v>168</v>
      </c>
      <c r="J104" s="20" t="n">
        <v>228</v>
      </c>
      <c r="K104" s="20" t="n">
        <v>238</v>
      </c>
      <c r="L104" s="20" t="n">
        <v>204</v>
      </c>
    </row>
    <row r="105">
      <c r="A105" s="18" t="inlineStr">
        <is>
          <t>대손충당금</t>
        </is>
      </c>
      <c r="E105" s="20" t="n">
        <v>-0</v>
      </c>
      <c r="H105" s="20" t="n">
        <v>-0</v>
      </c>
      <c r="I105" s="20" t="n">
        <v>-0</v>
      </c>
      <c r="J105" s="20" t="n">
        <v>-1</v>
      </c>
      <c r="K105" s="20" t="n">
        <v>-1</v>
      </c>
      <c r="L105" s="20" t="n">
        <v>-0</v>
      </c>
    </row>
    <row r="106">
      <c r="A106" s="18" t="inlineStr">
        <is>
          <t>투자 및 기타자산</t>
        </is>
      </c>
      <c r="C106" s="20" t="n">
        <v>5186</v>
      </c>
      <c r="D106" s="20" t="n">
        <v>5357</v>
      </c>
      <c r="E106" s="20" t="n">
        <v>6338</v>
      </c>
      <c r="F106" s="20" t="n">
        <v>6355</v>
      </c>
      <c r="G106" s="20" t="n">
        <v>6553</v>
      </c>
      <c r="H106" s="20" t="n">
        <v>3465</v>
      </c>
      <c r="I106" s="20" t="n">
        <v>4002</v>
      </c>
      <c r="J106" s="20" t="n">
        <v>4695</v>
      </c>
      <c r="K106" s="20" t="n">
        <v>5251</v>
      </c>
      <c r="L106" s="20" t="n">
        <v>6338</v>
      </c>
    </row>
    <row r="107">
      <c r="A107" s="9" t="inlineStr">
        <is>
          <t>비유동자산 합계</t>
        </is>
      </c>
      <c r="C107" s="12" t="n">
        <v>16212</v>
      </c>
      <c r="D107" s="12" t="n">
        <v>16411</v>
      </c>
      <c r="E107" s="12" t="n">
        <v>17553</v>
      </c>
      <c r="F107" s="12" t="n">
        <v>17449</v>
      </c>
      <c r="G107" s="12" t="n">
        <v>17401</v>
      </c>
      <c r="H107" s="12" t="n">
        <v>12401</v>
      </c>
      <c r="I107" s="12" t="n">
        <v>13202</v>
      </c>
      <c r="J107" s="12" t="n">
        <v>16063</v>
      </c>
      <c r="K107" s="12" t="n">
        <v>17037</v>
      </c>
      <c r="L107" s="12" t="n">
        <v>17553</v>
      </c>
    </row>
    <row r="108">
      <c r="A108" s="18" t="inlineStr">
        <is>
          <t>개업비</t>
        </is>
      </c>
      <c r="H108" s="20" t="n">
        <v>0</v>
      </c>
      <c r="I108" s="20" t="n">
        <v>6</v>
      </c>
      <c r="J108" s="20" t="n">
        <v>0</v>
      </c>
    </row>
    <row r="109">
      <c r="A109" s="18" t="inlineStr">
        <is>
          <t>이연자산 합계</t>
        </is>
      </c>
      <c r="H109" s="20" t="n">
        <v>0</v>
      </c>
      <c r="I109" s="20" t="n">
        <v>6</v>
      </c>
      <c r="J109" s="20" t="n">
        <v>0</v>
      </c>
    </row>
    <row r="110">
      <c r="A110" s="9" t="inlineStr">
        <is>
          <t>자산 합계</t>
        </is>
      </c>
      <c r="C110" s="12" t="n">
        <v>36574</v>
      </c>
      <c r="D110" s="12" t="n">
        <v>37822</v>
      </c>
      <c r="E110" s="12" t="n">
        <v>40683</v>
      </c>
      <c r="F110" s="12" t="n">
        <v>40221</v>
      </c>
      <c r="G110" s="12" t="n">
        <v>41327</v>
      </c>
      <c r="H110" s="12" t="n">
        <v>29008</v>
      </c>
      <c r="I110" s="12" t="n">
        <v>32017</v>
      </c>
      <c r="J110" s="12" t="n">
        <v>37053</v>
      </c>
      <c r="K110" s="12" t="n">
        <v>38297</v>
      </c>
      <c r="L110" s="12" t="n">
        <v>40683</v>
      </c>
    </row>
    <row r="111">
      <c r="A111" s="18" t="inlineStr">
        <is>
          <t>지급어음·매입채무</t>
        </is>
      </c>
      <c r="C111" s="20" t="n">
        <v>4256</v>
      </c>
      <c r="D111" s="20" t="n">
        <v>4430</v>
      </c>
      <c r="E111" s="20" t="n">
        <v>4567</v>
      </c>
      <c r="F111" s="20" t="n">
        <v>4525</v>
      </c>
      <c r="G111" s="20" t="n">
        <v>4981</v>
      </c>
      <c r="H111" s="20" t="n">
        <v>4308</v>
      </c>
      <c r="I111" s="20" t="n">
        <v>5144</v>
      </c>
      <c r="J111" s="20" t="n">
        <v>4469</v>
      </c>
      <c r="K111" s="20" t="n">
        <v>4544</v>
      </c>
      <c r="L111" s="20" t="n">
        <v>4567</v>
      </c>
    </row>
    <row r="112">
      <c r="A112" s="18" t="inlineStr">
        <is>
          <t>전자기록채무</t>
        </is>
      </c>
      <c r="C112" s="20" t="n">
        <v>496</v>
      </c>
      <c r="D112" s="20" t="n">
        <v>532</v>
      </c>
      <c r="E112" s="20" t="n">
        <v>514</v>
      </c>
      <c r="F112" s="20" t="n">
        <v>544</v>
      </c>
      <c r="G112" s="20" t="n">
        <v>528</v>
      </c>
      <c r="J112" s="20" t="n">
        <v>439</v>
      </c>
      <c r="K112" s="20" t="n">
        <v>456</v>
      </c>
      <c r="L112" s="20" t="n">
        <v>514</v>
      </c>
    </row>
    <row r="113">
      <c r="A113" s="18" t="inlineStr">
        <is>
          <t>계약부채</t>
        </is>
      </c>
      <c r="E113" s="20" t="n">
        <v>157</v>
      </c>
      <c r="H113" s="20" t="n">
        <v>0</v>
      </c>
      <c r="I113" s="20" t="n">
        <v>94</v>
      </c>
      <c r="J113" s="20" t="n">
        <v>77</v>
      </c>
      <c r="K113" s="20" t="n">
        <v>48</v>
      </c>
      <c r="L113" s="20" t="n">
        <v>157</v>
      </c>
    </row>
    <row r="114">
      <c r="A114" s="18" t="inlineStr">
        <is>
          <t>단기차입금</t>
        </is>
      </c>
      <c r="C114" s="20" t="n">
        <v>3039</v>
      </c>
      <c r="D114" s="20" t="n">
        <v>2800</v>
      </c>
      <c r="E114" s="20" t="n">
        <v>3452</v>
      </c>
      <c r="F114" s="20" t="n">
        <v>2651</v>
      </c>
      <c r="G114" s="20" t="n">
        <v>2135</v>
      </c>
      <c r="H114" s="20" t="n">
        <v>560</v>
      </c>
      <c r="I114" s="20" t="n">
        <v>2381</v>
      </c>
      <c r="J114" s="20" t="n">
        <v>3040</v>
      </c>
      <c r="K114" s="20" t="n">
        <v>3177</v>
      </c>
      <c r="L114" s="20" t="n">
        <v>3452</v>
      </c>
    </row>
    <row r="115">
      <c r="A115" s="18" t="inlineStr">
        <is>
          <t>리스부채</t>
        </is>
      </c>
      <c r="H115" s="20" t="n">
        <v>36</v>
      </c>
    </row>
    <row r="116">
      <c r="A116" s="18" t="inlineStr">
        <is>
          <t>미지급법인세</t>
        </is>
      </c>
      <c r="C116" s="20" t="n">
        <v>194</v>
      </c>
      <c r="D116" s="20" t="n">
        <v>268</v>
      </c>
      <c r="E116" s="20" t="n">
        <v>379</v>
      </c>
      <c r="F116" s="20" t="n">
        <v>438</v>
      </c>
      <c r="G116" s="20" t="n">
        <v>632</v>
      </c>
      <c r="H116" s="20" t="n">
        <v>427</v>
      </c>
      <c r="I116" s="20" t="n">
        <v>183</v>
      </c>
      <c r="J116" s="20" t="n">
        <v>268</v>
      </c>
      <c r="K116" s="20" t="n">
        <v>233</v>
      </c>
      <c r="L116" s="20" t="n">
        <v>379</v>
      </c>
    </row>
    <row r="117">
      <c r="A117" s="18" t="inlineStr">
        <is>
          <t>상여충당금</t>
        </is>
      </c>
      <c r="C117" s="20" t="n">
        <v>539</v>
      </c>
      <c r="D117" s="20" t="n">
        <v>307</v>
      </c>
      <c r="E117" s="20" t="n">
        <v>547</v>
      </c>
      <c r="F117" s="20" t="n">
        <v>291</v>
      </c>
      <c r="G117" s="20" t="n">
        <v>671</v>
      </c>
      <c r="H117" s="20" t="n">
        <v>529</v>
      </c>
      <c r="I117" s="20" t="n">
        <v>464</v>
      </c>
      <c r="J117" s="20" t="n">
        <v>500</v>
      </c>
      <c r="K117" s="20" t="n">
        <v>537</v>
      </c>
      <c r="L117" s="20" t="n">
        <v>547</v>
      </c>
    </row>
    <row r="118">
      <c r="A118" s="18" t="inlineStr">
        <is>
          <t>관계회사 정리손실 충당금</t>
        </is>
      </c>
      <c r="E118" s="20" t="n">
        <v>65</v>
      </c>
      <c r="F118" s="20" t="n">
        <v>68</v>
      </c>
      <c r="G118" s="20" t="n">
        <v>70</v>
      </c>
      <c r="K118" s="20" t="n">
        <v>0</v>
      </c>
      <c r="L118" s="20" t="n">
        <v>65</v>
      </c>
    </row>
    <row r="119">
      <c r="A119" s="18" t="inlineStr">
        <is>
          <t>기타</t>
        </is>
      </c>
      <c r="C119" s="20" t="n">
        <v>1212</v>
      </c>
      <c r="D119" s="20" t="n">
        <v>1940</v>
      </c>
      <c r="E119" s="20" t="n">
        <v>1689</v>
      </c>
      <c r="F119" s="20" t="n">
        <v>1798</v>
      </c>
      <c r="G119" s="20" t="n">
        <v>1430</v>
      </c>
      <c r="H119" s="20" t="n">
        <v>1437</v>
      </c>
      <c r="I119" s="20" t="n">
        <v>1334</v>
      </c>
      <c r="J119" s="20" t="n">
        <v>1066</v>
      </c>
      <c r="K119" s="20" t="n">
        <v>1367</v>
      </c>
      <c r="L119" s="20" t="n">
        <v>1689</v>
      </c>
    </row>
    <row r="120">
      <c r="A120" s="9" t="inlineStr">
        <is>
          <t>유동부채 합계</t>
        </is>
      </c>
      <c r="C120" s="12" t="n">
        <v>9736</v>
      </c>
      <c r="D120" s="12" t="n">
        <v>10276</v>
      </c>
      <c r="E120" s="12" t="n">
        <v>11213</v>
      </c>
      <c r="F120" s="12" t="n">
        <v>10314</v>
      </c>
      <c r="G120" s="12" t="n">
        <v>10447</v>
      </c>
      <c r="H120" s="12" t="n">
        <v>7260</v>
      </c>
      <c r="I120" s="12" t="n">
        <v>9599</v>
      </c>
      <c r="J120" s="12" t="n">
        <v>9860</v>
      </c>
      <c r="K120" s="12" t="n">
        <v>10362</v>
      </c>
      <c r="L120" s="12" t="n">
        <v>11213</v>
      </c>
    </row>
    <row r="121">
      <c r="A121" s="18" t="inlineStr">
        <is>
          <t>장기차입금</t>
        </is>
      </c>
      <c r="C121" s="20" t="n">
        <v>1438</v>
      </c>
      <c r="D121" s="20" t="n">
        <v>1273</v>
      </c>
      <c r="E121" s="20" t="n">
        <v>1108</v>
      </c>
      <c r="F121" s="20" t="n">
        <v>943</v>
      </c>
      <c r="G121" s="20" t="n">
        <v>777</v>
      </c>
      <c r="H121" s="20" t="n">
        <v>350</v>
      </c>
      <c r="I121" s="20" t="n">
        <v>472</v>
      </c>
      <c r="J121" s="20" t="n">
        <v>3065</v>
      </c>
      <c r="K121" s="20" t="n">
        <v>1940</v>
      </c>
      <c r="L121" s="20" t="n">
        <v>1108</v>
      </c>
    </row>
    <row r="122">
      <c r="A122" s="18" t="inlineStr">
        <is>
          <t>리스부채</t>
        </is>
      </c>
      <c r="H122" s="20" t="n">
        <v>22</v>
      </c>
    </row>
    <row r="123">
      <c r="A123" s="18" t="inlineStr">
        <is>
          <t>퇴직급여부채</t>
        </is>
      </c>
      <c r="C123" s="20" t="n">
        <v>524</v>
      </c>
      <c r="D123" s="20" t="n">
        <v>539</v>
      </c>
      <c r="E123" s="20" t="n">
        <v>524</v>
      </c>
      <c r="F123" s="20" t="n">
        <v>522</v>
      </c>
      <c r="G123" s="20" t="n">
        <v>517</v>
      </c>
      <c r="H123" s="20" t="n">
        <v>531</v>
      </c>
      <c r="I123" s="20" t="n">
        <v>498</v>
      </c>
      <c r="J123" s="20" t="n">
        <v>543</v>
      </c>
      <c r="K123" s="20" t="n">
        <v>548</v>
      </c>
      <c r="L123" s="20" t="n">
        <v>524</v>
      </c>
    </row>
    <row r="124">
      <c r="A124" s="18" t="inlineStr">
        <is>
          <t>기타</t>
        </is>
      </c>
      <c r="C124" s="20" t="n">
        <v>540</v>
      </c>
      <c r="D124" s="20" t="n">
        <v>440</v>
      </c>
      <c r="E124" s="20" t="n">
        <v>953</v>
      </c>
      <c r="F124" s="20" t="n">
        <v>825</v>
      </c>
      <c r="G124" s="20" t="n">
        <v>769</v>
      </c>
      <c r="H124" s="20" t="n">
        <v>316</v>
      </c>
      <c r="I124" s="20" t="n">
        <v>208</v>
      </c>
      <c r="J124" s="20" t="n">
        <v>463</v>
      </c>
      <c r="K124" s="20" t="n">
        <v>438</v>
      </c>
      <c r="L124" s="20" t="n">
        <v>953</v>
      </c>
    </row>
    <row r="125">
      <c r="A125" s="9" t="inlineStr">
        <is>
          <t>비유동부채 합계</t>
        </is>
      </c>
      <c r="C125" s="12" t="n">
        <v>2502</v>
      </c>
      <c r="D125" s="12" t="n">
        <v>2252</v>
      </c>
      <c r="E125" s="12" t="n">
        <v>2586</v>
      </c>
      <c r="F125" s="12" t="n">
        <v>2290</v>
      </c>
      <c r="G125" s="12" t="n">
        <v>2062</v>
      </c>
      <c r="H125" s="12" t="n">
        <v>1197</v>
      </c>
      <c r="I125" s="12" t="n">
        <v>1179</v>
      </c>
      <c r="J125" s="12" t="n">
        <v>4071</v>
      </c>
      <c r="K125" s="12" t="n">
        <v>2926</v>
      </c>
      <c r="L125" s="12" t="n">
        <v>2586</v>
      </c>
    </row>
    <row r="126">
      <c r="A126" s="9" t="inlineStr">
        <is>
          <t>부채 합계</t>
        </is>
      </c>
      <c r="C126" s="12" t="n">
        <v>12238</v>
      </c>
      <c r="D126" s="12" t="n">
        <v>12529</v>
      </c>
      <c r="E126" s="12" t="n">
        <v>13799</v>
      </c>
      <c r="F126" s="12" t="n">
        <v>12604</v>
      </c>
      <c r="G126" s="12" t="n">
        <v>12510</v>
      </c>
      <c r="H126" s="12" t="n">
        <v>8457</v>
      </c>
      <c r="I126" s="12" t="n">
        <v>10778</v>
      </c>
      <c r="J126" s="12" t="n">
        <v>13931</v>
      </c>
      <c r="K126" s="12" t="n">
        <v>13288</v>
      </c>
      <c r="L126" s="12" t="n">
        <v>13799</v>
      </c>
    </row>
    <row r="127">
      <c r="A127" s="18" t="inlineStr">
        <is>
          <t>자본금</t>
        </is>
      </c>
      <c r="C127" s="20" t="n">
        <v>2118</v>
      </c>
      <c r="D127" s="20" t="n">
        <v>2118</v>
      </c>
      <c r="E127" s="20" t="n">
        <v>2118</v>
      </c>
      <c r="F127" s="20" t="n">
        <v>2118</v>
      </c>
      <c r="G127" s="20" t="n">
        <v>2118</v>
      </c>
      <c r="H127" s="20" t="n">
        <v>2118</v>
      </c>
      <c r="I127" s="20" t="n">
        <v>2118</v>
      </c>
      <c r="J127" s="20" t="n">
        <v>2118</v>
      </c>
      <c r="K127" s="20" t="n">
        <v>2118</v>
      </c>
      <c r="L127" s="20" t="n">
        <v>2118</v>
      </c>
    </row>
    <row r="128">
      <c r="A128" s="18" t="inlineStr">
        <is>
          <t>자본잉여금</t>
        </is>
      </c>
      <c r="C128" s="20" t="n">
        <v>1972</v>
      </c>
      <c r="D128" s="20" t="n">
        <v>1972</v>
      </c>
      <c r="E128" s="20" t="n">
        <v>1978</v>
      </c>
      <c r="F128" s="20" t="n">
        <v>1978</v>
      </c>
      <c r="G128" s="20" t="n">
        <v>1984</v>
      </c>
      <c r="H128" s="20" t="n">
        <v>1976</v>
      </c>
      <c r="I128" s="20" t="n">
        <v>1976</v>
      </c>
      <c r="J128" s="20" t="n">
        <v>1971</v>
      </c>
      <c r="K128" s="20" t="n">
        <v>1972</v>
      </c>
      <c r="L128" s="20" t="n">
        <v>1978</v>
      </c>
    </row>
    <row r="129">
      <c r="A129" s="18" t="inlineStr">
        <is>
          <t>이익잉여금</t>
        </is>
      </c>
      <c r="C129" s="20" t="n">
        <v>15549</v>
      </c>
      <c r="D129" s="20" t="n">
        <v>16035</v>
      </c>
      <c r="E129" s="20" t="n">
        <v>16385</v>
      </c>
      <c r="F129" s="20" t="n">
        <v>16795</v>
      </c>
      <c r="G129" s="20" t="n">
        <v>17579</v>
      </c>
      <c r="H129" s="20" t="n">
        <v>13517</v>
      </c>
      <c r="I129" s="20" t="n">
        <v>13760</v>
      </c>
      <c r="J129" s="20" t="n">
        <v>14674</v>
      </c>
      <c r="K129" s="20" t="n">
        <v>15273</v>
      </c>
      <c r="L129" s="20" t="n">
        <v>16385</v>
      </c>
    </row>
    <row r="130">
      <c r="A130" s="18" t="inlineStr">
        <is>
          <t>자기주식</t>
        </is>
      </c>
      <c r="C130" s="20" t="n">
        <v>-641</v>
      </c>
      <c r="D130" s="20" t="n">
        <v>-641</v>
      </c>
      <c r="E130" s="20" t="n">
        <v>-641</v>
      </c>
      <c r="F130" s="20" t="n">
        <v>-641</v>
      </c>
      <c r="G130" s="20" t="n">
        <v>-628</v>
      </c>
      <c r="H130" s="20" t="n">
        <v>-384</v>
      </c>
      <c r="I130" s="20" t="n">
        <v>-567</v>
      </c>
      <c r="J130" s="20" t="n">
        <v>-561</v>
      </c>
      <c r="K130" s="20" t="n">
        <v>-649</v>
      </c>
      <c r="L130" s="20" t="n">
        <v>-641</v>
      </c>
    </row>
    <row r="131">
      <c r="A131" s="9" t="inlineStr">
        <is>
          <t>주주자본 합계</t>
        </is>
      </c>
      <c r="C131" s="12" t="n">
        <v>18998</v>
      </c>
      <c r="D131" s="12" t="n">
        <v>19484</v>
      </c>
      <c r="E131" s="12" t="n">
        <v>19841</v>
      </c>
      <c r="F131" s="12" t="n">
        <v>20250</v>
      </c>
      <c r="G131" s="12" t="n">
        <v>21054</v>
      </c>
      <c r="H131" s="12" t="n">
        <v>17227</v>
      </c>
      <c r="I131" s="12" t="n">
        <v>17287</v>
      </c>
      <c r="J131" s="12" t="n">
        <v>18202</v>
      </c>
      <c r="K131" s="12" t="n">
        <v>18714</v>
      </c>
      <c r="L131" s="12" t="n">
        <v>19841</v>
      </c>
    </row>
    <row r="132">
      <c r="A132" s="18" t="inlineStr">
        <is>
          <t>기타유가증권 평가차액</t>
        </is>
      </c>
      <c r="C132" s="20" t="n">
        <v>181</v>
      </c>
      <c r="D132" s="20" t="n">
        <v>204</v>
      </c>
      <c r="E132" s="20" t="n">
        <v>288</v>
      </c>
      <c r="F132" s="20" t="n">
        <v>262</v>
      </c>
      <c r="G132" s="20" t="n">
        <v>295</v>
      </c>
      <c r="H132" s="20" t="n">
        <v>38</v>
      </c>
      <c r="I132" s="20" t="n">
        <v>74</v>
      </c>
      <c r="J132" s="20" t="n">
        <v>127</v>
      </c>
      <c r="K132" s="20" t="n">
        <v>145</v>
      </c>
      <c r="L132" s="20" t="n">
        <v>288</v>
      </c>
    </row>
    <row r="133">
      <c r="A133" s="18" t="inlineStr">
        <is>
          <t>해외사업환산조정</t>
        </is>
      </c>
      <c r="C133" s="20" t="n">
        <v>1381</v>
      </c>
      <c r="D133" s="20" t="n">
        <v>1721</v>
      </c>
      <c r="E133" s="20" t="n">
        <v>2409</v>
      </c>
      <c r="F133" s="20" t="n">
        <v>2687</v>
      </c>
      <c r="G133" s="20" t="n">
        <v>2926</v>
      </c>
      <c r="H133" s="20" t="n">
        <v>505</v>
      </c>
      <c r="I133" s="20" t="n">
        <v>879</v>
      </c>
      <c r="J133" s="20" t="n">
        <v>1200</v>
      </c>
      <c r="K133" s="20" t="n">
        <v>2210</v>
      </c>
      <c r="L133" s="20" t="n">
        <v>2409</v>
      </c>
    </row>
    <row r="134">
      <c r="A134" s="18" t="inlineStr">
        <is>
          <t>퇴직급여 조정누계액</t>
        </is>
      </c>
      <c r="C134" s="20" t="n">
        <v>584</v>
      </c>
      <c r="D134" s="20" t="n">
        <v>572</v>
      </c>
      <c r="E134" s="20" t="n">
        <v>939</v>
      </c>
      <c r="F134" s="20" t="n">
        <v>920</v>
      </c>
      <c r="G134" s="20" t="n">
        <v>900</v>
      </c>
      <c r="H134" s="20" t="n">
        <v>191</v>
      </c>
      <c r="I134" s="20" t="n">
        <v>293</v>
      </c>
      <c r="J134" s="20" t="n">
        <v>597</v>
      </c>
      <c r="K134" s="20" t="n">
        <v>616</v>
      </c>
      <c r="L134" s="20" t="n">
        <v>939</v>
      </c>
    </row>
    <row r="135">
      <c r="A135" s="18" t="inlineStr">
        <is>
          <t>기타포괄손익누계액 합계</t>
        </is>
      </c>
      <c r="C135" s="20" t="n">
        <v>2146</v>
      </c>
      <c r="D135" s="20" t="n">
        <v>2497</v>
      </c>
      <c r="E135" s="20" t="n">
        <v>3637</v>
      </c>
      <c r="F135" s="20" t="n">
        <v>3868</v>
      </c>
      <c r="G135" s="20" t="n">
        <v>4121</v>
      </c>
      <c r="H135" s="20" t="n">
        <v>735</v>
      </c>
      <c r="I135" s="20" t="n">
        <v>1246</v>
      </c>
      <c r="J135" s="20" t="n">
        <v>1924</v>
      </c>
      <c r="K135" s="20" t="n">
        <v>2972</v>
      </c>
      <c r="L135" s="20" t="n">
        <v>3637</v>
      </c>
    </row>
    <row r="136">
      <c r="A136" s="18" t="inlineStr">
        <is>
          <t>비지배지분</t>
        </is>
      </c>
      <c r="C136" s="20" t="n">
        <v>3192</v>
      </c>
      <c r="D136" s="20" t="n">
        <v>3313</v>
      </c>
      <c r="E136" s="20" t="n">
        <v>3406</v>
      </c>
      <c r="F136" s="20" t="n">
        <v>3498</v>
      </c>
      <c r="G136" s="20" t="n">
        <v>3642</v>
      </c>
      <c r="H136" s="20" t="n">
        <v>2589</v>
      </c>
      <c r="I136" s="20" t="n">
        <v>2706</v>
      </c>
      <c r="J136" s="20" t="n">
        <v>2996</v>
      </c>
      <c r="K136" s="20" t="n">
        <v>3324</v>
      </c>
      <c r="L136" s="20" t="n">
        <v>3406</v>
      </c>
    </row>
    <row r="137">
      <c r="A137" s="9" t="inlineStr">
        <is>
          <t>순자산 합계</t>
        </is>
      </c>
      <c r="C137" s="12" t="n">
        <v>24336</v>
      </c>
      <c r="D137" s="12" t="n">
        <v>25293</v>
      </c>
      <c r="E137" s="12" t="n">
        <v>26883</v>
      </c>
      <c r="F137" s="12" t="n">
        <v>27617</v>
      </c>
      <c r="G137" s="12" t="n">
        <v>28817</v>
      </c>
      <c r="H137" s="12" t="n">
        <v>20551</v>
      </c>
      <c r="I137" s="12" t="n">
        <v>21240</v>
      </c>
      <c r="J137" s="12" t="n">
        <v>23122</v>
      </c>
      <c r="K137" s="12" t="n">
        <v>25009</v>
      </c>
      <c r="L137" s="12" t="n">
        <v>26883</v>
      </c>
    </row>
    <row r="138">
      <c r="A138" s="9" t="inlineStr">
        <is>
          <t>부채·순자산 합계</t>
        </is>
      </c>
      <c r="C138" s="12" t="n">
        <v>36574</v>
      </c>
      <c r="D138" s="12" t="n">
        <v>37822</v>
      </c>
      <c r="E138" s="12" t="n">
        <v>40683</v>
      </c>
      <c r="F138" s="12" t="n">
        <v>40221</v>
      </c>
      <c r="G138" s="12" t="n">
        <v>41327</v>
      </c>
      <c r="H138" s="12" t="n">
        <v>29008</v>
      </c>
      <c r="I138" s="12" t="n">
        <v>32017</v>
      </c>
      <c r="J138" s="12" t="n">
        <v>37053</v>
      </c>
      <c r="K138" s="12" t="n">
        <v>38297</v>
      </c>
      <c r="L138" s="12" t="n">
        <v>40683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https://www2.jpx.co.jp/disc/50180/140120261013549333.pdf</t>
        </is>
      </c>
    </row>
    <row r="5">
      <c r="A5" t="inlineStr">
        <is>
          <t>2026-07-09</t>
        </is>
      </c>
      <c r="B5" t="inlineStr">
        <is>
          <t>2027년 2월 결산기 １분기 결산단신</t>
        </is>
      </c>
      <c r="C5" t="inlineStr">
        <is>
          <t>https://www2.jpx.co.jp/disc/50180/140120260707589166.pdf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https://www2.jpx.co.jp/disc/50180/140120260413502213.pdf</t>
        </is>
      </c>
    </row>
    <row r="7">
      <c r="A7" t="inlineStr">
        <is>
          <t>2026-01-13</t>
        </is>
      </c>
      <c r="B7" t="inlineStr">
        <is>
          <t>2026년 2월 결산기 ３분기 결산단신</t>
        </is>
      </c>
      <c r="C7" t="inlineStr">
        <is>
          <t>https://www2.jpx.co.jp/disc/50180/140120260113532104.pdf</t>
        </is>
      </c>
    </row>
    <row r="8">
      <c r="A8" t="inlineStr">
        <is>
          <t>2025-10-14</t>
        </is>
      </c>
      <c r="B8" t="inlineStr">
        <is>
          <t>2026년 2월 결산기 ２분기 결산단신</t>
        </is>
      </c>
      <c r="C8" t="inlineStr">
        <is>
          <t>https://www2.jpx.co.jp/disc/50180/140120251008570155.pdf</t>
        </is>
      </c>
    </row>
    <row r="9">
      <c r="A9" t="inlineStr">
        <is>
          <t>2025-07-10</t>
        </is>
      </c>
      <c r="B9" t="inlineStr">
        <is>
          <t>2026년 2월 결산기 １분기 결산단신</t>
        </is>
      </c>
      <c r="C9" t="inlineStr">
        <is>
          <t>https://www2.jpx.co.jp/disc/50180/140120250709510833.pdf</t>
        </is>
      </c>
    </row>
    <row r="10">
      <c r="A10" t="inlineStr">
        <is>
          <t>2025-04-11</t>
        </is>
      </c>
      <c r="B10" t="inlineStr">
        <is>
          <t>2025년 2월 결산기 연간 결산단신</t>
        </is>
      </c>
      <c r="C10" t="inlineStr">
        <is>
          <t>https://www2.jpx.co.jp/disc/50180/140120250410512772.pdf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https://www2.jpx.co.jp/disc/50180/140120250110549509.pdf</t>
        </is>
      </c>
    </row>
    <row r="12">
      <c r="A12" t="inlineStr">
        <is>
          <t>2024-10-11</t>
        </is>
      </c>
      <c r="B12" t="inlineStr">
        <is>
          <t>2025년 2월 결산기 ２분기 결산단신</t>
        </is>
      </c>
      <c r="C12" t="inlineStr">
        <is>
          <t>https://www2.jpx.co.jp/disc/50180/140120241009595619.pdf</t>
        </is>
      </c>
    </row>
    <row r="13">
      <c r="A13" t="inlineStr">
        <is>
          <t>2024-07-12</t>
        </is>
      </c>
      <c r="B13" t="inlineStr">
        <is>
          <t>2025년 2월 결산기 １분기 결산단신</t>
        </is>
      </c>
      <c r="C13" t="inlineStr">
        <is>
          <t>https://www2.jpx.co.jp/disc/50180/140120240711548183.pdf</t>
        </is>
      </c>
    </row>
    <row r="14">
      <c r="A14" t="inlineStr">
        <is>
          <t>2024-04-12</t>
        </is>
      </c>
      <c r="B14" t="inlineStr">
        <is>
          <t>2024년 2월 결산기 연간 결산단신</t>
        </is>
      </c>
      <c r="C14" t="inlineStr">
        <is>
          <t>https://www2.jpx.co.jp/disc/50180/140120240412570013.pdf</t>
        </is>
      </c>
    </row>
    <row r="15">
      <c r="A15" t="inlineStr">
        <is>
          <t>2024-01-15</t>
        </is>
      </c>
      <c r="B15" t="inlineStr">
        <is>
          <t>2024년 2월 결산기 ３분기 결산단신</t>
        </is>
      </c>
      <c r="C15" t="inlineStr">
        <is>
          <t>https://www2.jpx.co.jp/disc/50180/140120240115515157.pdf</t>
        </is>
      </c>
    </row>
    <row r="16">
      <c r="A16" t="inlineStr">
        <is>
          <t>2023-10-12</t>
        </is>
      </c>
      <c r="B16" t="inlineStr">
        <is>
          <t>2024년 2월 결산기 ２분기 결산단신</t>
        </is>
      </c>
      <c r="C16" t="inlineStr">
        <is>
          <t>https://www2.jpx.co.jp/disc/50180/140120231011565188.pdf</t>
        </is>
      </c>
    </row>
    <row r="17">
      <c r="A17" t="inlineStr">
        <is>
          <t>2023-07-12</t>
        </is>
      </c>
      <c r="B17" t="inlineStr">
        <is>
          <t>2024년 2월 결산기 １분기 결산단신</t>
        </is>
      </c>
      <c r="C17" t="inlineStr">
        <is>
          <t>https://www2.jpx.co.jp/disc/50180/140120230711520396.pdf</t>
        </is>
      </c>
    </row>
    <row r="18">
      <c r="A18" t="inlineStr">
        <is>
          <t>2023-04-11</t>
        </is>
      </c>
      <c r="B18" t="inlineStr">
        <is>
          <t>2023년 2월 결산기 연간 결산단신</t>
        </is>
      </c>
      <c r="C18" t="inlineStr">
        <is>
          <t>https://www2.jpx.co.jp/disc/50180/140120230410545035.pdf</t>
        </is>
      </c>
    </row>
    <row r="19">
      <c r="A19" t="inlineStr">
        <is>
          <t>2023-01-13</t>
        </is>
      </c>
      <c r="B19" t="inlineStr">
        <is>
          <t>2023년 2월 결산기 ３분기 결산단신</t>
        </is>
      </c>
      <c r="C19" t="inlineStr">
        <is>
          <t>https://www2.jpx.co.jp/disc/50180/140120230112588204.pdf</t>
        </is>
      </c>
    </row>
    <row r="20">
      <c r="A20" t="inlineStr">
        <is>
          <t>2022-04-12</t>
        </is>
      </c>
      <c r="B20" t="inlineStr">
        <is>
          <t>2022년 2월 결산기 연간 결산단신</t>
        </is>
      </c>
      <c r="C20" t="inlineStr">
        <is>
          <t>https://www2.jpx.co.jp/disc/50180/140120220411519752.pdf</t>
        </is>
      </c>
    </row>
    <row r="21">
      <c r="A21" t="inlineStr">
        <is>
          <t>2021-04-13</t>
        </is>
      </c>
      <c r="B21" t="inlineStr">
        <is>
          <t>2021년 2월 결산기 연간 결산단신</t>
        </is>
      </c>
      <c r="C21" t="inlineStr">
        <is>
          <t>https://www2.jpx.co.jp/disc/50180/140120210412493063.pdf</t>
        </is>
      </c>
    </row>
    <row r="22">
      <c r="A22" t="inlineStr">
        <is>
          <t>2020-04-13</t>
        </is>
      </c>
      <c r="B22" t="inlineStr">
        <is>
          <t>2020년 2월 결산기 연간 결산단신</t>
        </is>
      </c>
      <c r="C22" t="inlineStr">
        <is>
          <t>https://www2.jpx.co.jp/disc/50180/140120200413492795.pdf</t>
        </is>
      </c>
    </row>
    <row r="23">
      <c r="A23" t="inlineStr">
        <is>
          <t>2019-04-12</t>
        </is>
      </c>
      <c r="B23" t="inlineStr">
        <is>
          <t>2019년 2월 결산기 연간 결산단신</t>
        </is>
      </c>
      <c r="C23" t="inlineStr">
        <is>
          <t>https://www2.jpx.co.jp/disc/50180/140120190411403177.pdf</t>
        </is>
      </c>
    </row>
    <row r="24">
      <c r="A24" t="inlineStr">
        <is>
          <t>2018-04-12</t>
        </is>
      </c>
      <c r="B24" t="inlineStr">
        <is>
          <t>연간 결산단신</t>
        </is>
      </c>
      <c r="C24" t="inlineStr">
        <is>
          <t>https://www2.jpx.co.jp/disc/50180/140120180411409164.pdf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2026-10-28T07:03:35Z</dcterms:created>
  <dcterms:modified xmlns:dcterms="http://purl.org/dc/terms/" xmlns:xsi="http://www.w3.org/2001/XMLSchema-instance" xsi:type="dcterms:W3CDTF">2026-10-28T07:03:36Z</dcterms:modified>
</cp:coreProperties>
</file>