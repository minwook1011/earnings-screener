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5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미크리드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1590</v>
      </c>
      <c r="D4" s="12" t="n">
        <v>1443</v>
      </c>
      <c r="E4" s="12" t="n">
        <v>1594</v>
      </c>
      <c r="F4" s="12" t="n">
        <v>1718</v>
      </c>
      <c r="G4" s="12" t="n">
        <v>1837</v>
      </c>
      <c r="H4" s="12" t="n">
        <v>1627</v>
      </c>
      <c r="I4" s="12" t="n">
        <v>1807</v>
      </c>
      <c r="J4" s="12" t="n">
        <v>1951</v>
      </c>
      <c r="K4" s="12" t="n">
        <v>2033</v>
      </c>
      <c r="L4" s="12" t="n">
        <v>1880</v>
      </c>
      <c r="M4" s="12" t="n">
        <v>2037</v>
      </c>
      <c r="N4" s="12" t="n">
        <v>2267</v>
      </c>
      <c r="O4" s="11" t="n"/>
      <c r="P4" s="12" t="n"/>
      <c r="Q4" s="12" t="n">
        <v>4061</v>
      </c>
      <c r="R4" s="12" t="n">
        <v>4073</v>
      </c>
      <c r="S4" s="12" t="n">
        <v>2782</v>
      </c>
      <c r="T4" s="12" t="n">
        <v>3029</v>
      </c>
      <c r="U4" s="12" t="n">
        <v>4668</v>
      </c>
      <c r="V4" s="12" t="n">
        <v>5936</v>
      </c>
      <c r="W4" s="12" t="n">
        <v>6776</v>
      </c>
      <c r="X4" s="12" t="n">
        <v>7671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1037</v>
      </c>
      <c r="D11" s="22" t="n">
        <v>958</v>
      </c>
      <c r="E11" s="22" t="n">
        <v>1040</v>
      </c>
      <c r="F11" s="22" t="n">
        <v>1134</v>
      </c>
      <c r="G11" s="22" t="n">
        <v>1197</v>
      </c>
      <c r="H11" s="22" t="n">
        <v>1080</v>
      </c>
      <c r="I11" s="22" t="n">
        <v>1184</v>
      </c>
      <c r="J11" s="22" t="n">
        <v>1277</v>
      </c>
      <c r="K11" s="22" t="n">
        <v>1339</v>
      </c>
      <c r="L11" s="22" t="n">
        <v>1264</v>
      </c>
      <c r="M11" s="22" t="n">
        <v>1342</v>
      </c>
      <c r="N11" s="22" t="n">
        <v>1491</v>
      </c>
      <c r="O11" s="21" t="n"/>
      <c r="P11" s="22" t="n"/>
      <c r="Q11" s="22" t="n">
        <v>2696</v>
      </c>
      <c r="R11" s="22" t="n">
        <v>2701</v>
      </c>
      <c r="S11" s="22" t="n">
        <v>1842</v>
      </c>
      <c r="T11" s="22" t="n">
        <v>2012</v>
      </c>
      <c r="U11" s="22" t="n">
        <v>3081</v>
      </c>
      <c r="V11" s="22" t="n">
        <v>3894</v>
      </c>
      <c r="W11" s="22" t="n">
        <v>4451</v>
      </c>
      <c r="X11" s="22" t="n">
        <v>5064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415</v>
      </c>
      <c r="D17" s="22" t="n">
        <v>470</v>
      </c>
      <c r="E17" s="22" t="n">
        <v>462</v>
      </c>
      <c r="F17" s="22" t="n">
        <v>485</v>
      </c>
      <c r="G17" s="22" t="n">
        <v>480</v>
      </c>
      <c r="H17" s="22" t="n">
        <v>525</v>
      </c>
      <c r="I17" s="22" t="n">
        <v>507</v>
      </c>
      <c r="J17" s="22" t="n">
        <v>550</v>
      </c>
      <c r="K17" s="22" t="n">
        <v>541</v>
      </c>
      <c r="L17" s="22" t="n">
        <v>601</v>
      </c>
      <c r="M17" s="22" t="n">
        <v>595</v>
      </c>
      <c r="N17" s="22" t="n">
        <v>640</v>
      </c>
      <c r="O17" s="21" t="n"/>
      <c r="P17" s="22" t="n"/>
      <c r="Q17" s="22" t="n">
        <v>1224</v>
      </c>
      <c r="R17" s="22" t="n">
        <v>1220</v>
      </c>
      <c r="S17" s="22" t="n">
        <v>1068</v>
      </c>
      <c r="T17" s="22" t="n">
        <v>1076</v>
      </c>
      <c r="U17" s="22" t="n">
        <v>1393</v>
      </c>
      <c r="V17" s="22" t="n">
        <v>1720</v>
      </c>
      <c r="W17" s="22" t="n">
        <v>1952</v>
      </c>
      <c r="X17" s="22" t="n">
        <v>2199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138</v>
      </c>
      <c r="D19" s="12" t="n">
        <v>16</v>
      </c>
      <c r="E19" s="12" t="n">
        <v>90</v>
      </c>
      <c r="F19" s="12" t="n">
        <v>100</v>
      </c>
      <c r="G19" s="12" t="n">
        <v>160</v>
      </c>
      <c r="H19" s="12" t="n">
        <v>22</v>
      </c>
      <c r="I19" s="12" t="n">
        <v>116</v>
      </c>
      <c r="J19" s="12" t="n">
        <v>123</v>
      </c>
      <c r="K19" s="12" t="n">
        <v>152</v>
      </c>
      <c r="L19" s="12" t="n">
        <v>16</v>
      </c>
      <c r="M19" s="12" t="n">
        <v>99</v>
      </c>
      <c r="N19" s="12" t="n">
        <v>137</v>
      </c>
      <c r="O19" s="11" t="n"/>
      <c r="P19" s="12" t="n"/>
      <c r="Q19" s="12" t="n">
        <v>140</v>
      </c>
      <c r="R19" s="12" t="n">
        <v>152</v>
      </c>
      <c r="S19" s="12" t="n">
        <v>-127</v>
      </c>
      <c r="T19" s="12" t="n">
        <v>-59</v>
      </c>
      <c r="U19" s="12" t="n">
        <v>194</v>
      </c>
      <c r="V19" s="12" t="n">
        <v>322</v>
      </c>
      <c r="W19" s="12" t="n">
        <v>372</v>
      </c>
      <c r="X19" s="12" t="n">
        <v>407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/>
      <c r="R37" s="22" t="n"/>
      <c r="S37" s="22" t="n"/>
      <c r="T37" s="22" t="n"/>
      <c r="U37" s="22" t="n">
        <v>0</v>
      </c>
      <c r="V37" s="22" t="n">
        <v>6</v>
      </c>
      <c r="W37" s="22" t="n">
        <v>6</v>
      </c>
      <c r="X37" s="22" t="n">
        <v>2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0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1</v>
      </c>
      <c r="I39" s="22" t="n">
        <v>0</v>
      </c>
      <c r="J39" s="22" t="n">
        <v>1</v>
      </c>
      <c r="K39" s="22" t="n">
        <v>0</v>
      </c>
      <c r="L39" s="22" t="n">
        <v>2</v>
      </c>
      <c r="M39" s="22" t="n">
        <v>1</v>
      </c>
      <c r="N39" s="22" t="n">
        <v>1</v>
      </c>
      <c r="O39" s="21" t="n"/>
      <c r="P39" s="22" t="n"/>
      <c r="Q39" s="22" t="n">
        <v>1</v>
      </c>
      <c r="R39" s="22" t="n">
        <v>1</v>
      </c>
      <c r="S39" s="22" t="n">
        <v>6</v>
      </c>
      <c r="T39" s="22" t="n">
        <v>2</v>
      </c>
      <c r="U39" s="22" t="n">
        <v>2</v>
      </c>
      <c r="V39" s="22" t="n">
        <v>0</v>
      </c>
      <c r="W39" s="22" t="n">
        <v>1</v>
      </c>
      <c r="X39" s="22" t="n">
        <v>3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1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137</v>
      </c>
      <c r="D43" s="12" t="n">
        <v>10</v>
      </c>
      <c r="E43" s="12" t="n">
        <v>91</v>
      </c>
      <c r="F43" s="12" t="n">
        <v>100</v>
      </c>
      <c r="G43" s="12" t="n">
        <v>159</v>
      </c>
      <c r="H43" s="12" t="n">
        <v>16</v>
      </c>
      <c r="I43" s="12" t="n">
        <v>116</v>
      </c>
      <c r="J43" s="12" t="n">
        <v>125</v>
      </c>
      <c r="K43" s="12" t="n">
        <v>152</v>
      </c>
      <c r="L43" s="12" t="n">
        <v>15</v>
      </c>
      <c r="M43" s="12" t="n">
        <v>100</v>
      </c>
      <c r="N43" s="12" t="n">
        <v>114</v>
      </c>
      <c r="O43" s="11" t="n"/>
      <c r="P43" s="12" t="n"/>
      <c r="Q43" s="12" t="n">
        <v>141</v>
      </c>
      <c r="R43" s="12" t="n">
        <v>153</v>
      </c>
      <c r="S43" s="12" t="n">
        <v>-121</v>
      </c>
      <c r="T43" s="12" t="n">
        <v>-57</v>
      </c>
      <c r="U43" s="12" t="n">
        <v>196</v>
      </c>
      <c r="V43" s="12" t="n">
        <v>316</v>
      </c>
      <c r="W43" s="12" t="n">
        <v>366</v>
      </c>
      <c r="X43" s="12" t="n">
        <v>408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48</v>
      </c>
      <c r="D45" s="22" t="n">
        <v>-13</v>
      </c>
      <c r="E45" s="22" t="n">
        <v>31</v>
      </c>
      <c r="F45" s="22" t="n">
        <v>35</v>
      </c>
      <c r="G45" s="22" t="n">
        <v>55</v>
      </c>
      <c r="H45" s="22" t="n">
        <v>-13</v>
      </c>
      <c r="I45" s="22" t="n">
        <v>40</v>
      </c>
      <c r="J45" s="22" t="n">
        <v>43</v>
      </c>
      <c r="K45" s="22" t="n">
        <v>53</v>
      </c>
      <c r="L45" s="22" t="n">
        <v>-8</v>
      </c>
      <c r="M45" s="22" t="n">
        <v>31</v>
      </c>
      <c r="N45" s="22" t="n">
        <v>36</v>
      </c>
      <c r="O45" s="21" t="n"/>
      <c r="P45" s="22" t="n"/>
      <c r="Q45" s="22" t="n">
        <v>31</v>
      </c>
      <c r="R45" s="22" t="n">
        <v>48</v>
      </c>
      <c r="S45" s="22" t="n">
        <v>-35</v>
      </c>
      <c r="T45" s="22" t="n">
        <v>-19</v>
      </c>
      <c r="U45" s="22" t="n">
        <v>61</v>
      </c>
      <c r="V45" s="22" t="n">
        <v>93</v>
      </c>
      <c r="W45" s="22" t="n">
        <v>108</v>
      </c>
      <c r="X45" s="22" t="n">
        <v>128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90</v>
      </c>
      <c r="D47" s="12" t="n">
        <v>22</v>
      </c>
      <c r="E47" s="12" t="n">
        <v>59</v>
      </c>
      <c r="F47" s="12" t="n">
        <v>65</v>
      </c>
      <c r="G47" s="12" t="n">
        <v>105</v>
      </c>
      <c r="H47" s="12" t="n">
        <v>29</v>
      </c>
      <c r="I47" s="12" t="n">
        <v>76</v>
      </c>
      <c r="J47" s="12" t="n">
        <v>81</v>
      </c>
      <c r="K47" s="12" t="n">
        <v>100</v>
      </c>
      <c r="L47" s="12" t="n">
        <v>22</v>
      </c>
      <c r="M47" s="12" t="n">
        <v>68</v>
      </c>
      <c r="N47" s="12" t="n">
        <v>78</v>
      </c>
      <c r="O47" s="11" t="n"/>
      <c r="P47" s="12" t="n"/>
      <c r="Q47" s="12" t="n">
        <v>110</v>
      </c>
      <c r="R47" s="12" t="n">
        <v>105</v>
      </c>
      <c r="S47" s="12" t="n">
        <v>-85</v>
      </c>
      <c r="T47" s="12" t="n">
        <v>-37</v>
      </c>
      <c r="U47" s="12" t="n">
        <v>134</v>
      </c>
      <c r="V47" s="12" t="n">
        <v>222</v>
      </c>
      <c r="W47" s="12" t="n">
        <v>258</v>
      </c>
      <c r="X47" s="12" t="n">
        <v>279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90</v>
      </c>
      <c r="D49" s="12" t="n">
        <v>22</v>
      </c>
      <c r="E49" s="12" t="n">
        <v>59</v>
      </c>
      <c r="F49" s="12" t="n">
        <v>65</v>
      </c>
      <c r="G49" s="12" t="n">
        <v>105</v>
      </c>
      <c r="H49" s="12" t="n">
        <v>29</v>
      </c>
      <c r="I49" s="12" t="n">
        <v>76</v>
      </c>
      <c r="J49" s="12" t="n">
        <v>81</v>
      </c>
      <c r="K49" s="12" t="n">
        <v>100</v>
      </c>
      <c r="L49" s="12" t="n">
        <v>22</v>
      </c>
      <c r="M49" s="12" t="n">
        <v>68</v>
      </c>
      <c r="N49" s="12" t="n">
        <v>78</v>
      </c>
      <c r="O49" s="11" t="n"/>
      <c r="P49" s="12" t="n"/>
      <c r="Q49" s="12" t="n">
        <v>110</v>
      </c>
      <c r="R49" s="12" t="n">
        <v>105</v>
      </c>
      <c r="S49" s="12" t="n">
        <v>-85</v>
      </c>
      <c r="T49" s="12" t="n">
        <v>-37</v>
      </c>
      <c r="U49" s="12" t="n">
        <v>134</v>
      </c>
      <c r="V49" s="12" t="n">
        <v>222</v>
      </c>
      <c r="W49" s="12" t="n">
        <v>258</v>
      </c>
      <c r="X49" s="12" t="n">
        <v>279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1590</v>
      </c>
      <c r="D84" s="12" t="n">
        <v>1443</v>
      </c>
      <c r="E84" s="12" t="n">
        <v>1594</v>
      </c>
      <c r="F84" s="12" t="n">
        <v>1718</v>
      </c>
      <c r="G84" s="12" t="n">
        <v>1837</v>
      </c>
      <c r="H84" s="12" t="n">
        <v>1627</v>
      </c>
      <c r="I84" s="12" t="n">
        <v>1807</v>
      </c>
      <c r="J84" s="12" t="n">
        <v>1951</v>
      </c>
      <c r="K84" s="12" t="n">
        <v>2033</v>
      </c>
      <c r="L84" s="12" t="n">
        <v>1880</v>
      </c>
      <c r="M84" s="12" t="n">
        <v>2037</v>
      </c>
      <c r="N84" s="12" t="n">
        <v>2267</v>
      </c>
      <c r="T84" s="12" t="n">
        <v>739</v>
      </c>
      <c r="U84" s="12" t="n">
        <v>1245</v>
      </c>
      <c r="V84" s="12" t="n">
        <v>1443</v>
      </c>
      <c r="W84" s="12" t="n">
        <v>1627</v>
      </c>
      <c r="X84" s="12" t="n">
        <v>1880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1037</v>
      </c>
      <c r="D86" s="22" t="n">
        <v>958</v>
      </c>
      <c r="E86" s="22" t="n">
        <v>1040</v>
      </c>
      <c r="F86" s="22" t="n">
        <v>1134</v>
      </c>
      <c r="G86" s="22" t="n">
        <v>1197</v>
      </c>
      <c r="H86" s="22" t="n">
        <v>1080</v>
      </c>
      <c r="I86" s="22" t="n">
        <v>1184</v>
      </c>
      <c r="J86" s="22" t="n">
        <v>1277</v>
      </c>
      <c r="K86" s="22" t="n">
        <v>1339</v>
      </c>
      <c r="L86" s="22" t="n">
        <v>1264</v>
      </c>
      <c r="M86" s="22" t="n">
        <v>1342</v>
      </c>
      <c r="N86" s="22" t="n">
        <v>1491</v>
      </c>
      <c r="T86" s="22" t="n">
        <v>495</v>
      </c>
      <c r="U86" s="22" t="n">
        <v>819</v>
      </c>
      <c r="V86" s="22" t="n">
        <v>958</v>
      </c>
      <c r="W86" s="22" t="n">
        <v>1080</v>
      </c>
      <c r="X86" s="22" t="n">
        <v>1264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553</v>
      </c>
      <c r="D88" s="12" t="n">
        <v>486</v>
      </c>
      <c r="E88" s="12" t="n">
        <v>553</v>
      </c>
      <c r="F88" s="12" t="n">
        <v>584</v>
      </c>
      <c r="G88" s="12" t="n">
        <v>640</v>
      </c>
      <c r="H88" s="12" t="n">
        <v>547</v>
      </c>
      <c r="I88" s="12" t="n">
        <v>623</v>
      </c>
      <c r="J88" s="12" t="n">
        <v>673</v>
      </c>
      <c r="K88" s="12" t="n">
        <v>694</v>
      </c>
      <c r="L88" s="12" t="n">
        <v>616</v>
      </c>
      <c r="M88" s="12" t="n">
        <v>694</v>
      </c>
      <c r="N88" s="12" t="n">
        <v>777</v>
      </c>
      <c r="T88" s="12" t="n">
        <v>245</v>
      </c>
      <c r="U88" s="12" t="n">
        <v>427</v>
      </c>
      <c r="V88" s="12" t="n">
        <v>486</v>
      </c>
      <c r="W88" s="12" t="n">
        <v>547</v>
      </c>
      <c r="X88" s="12" t="n">
        <v>616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415</v>
      </c>
      <c r="D90" s="22" t="n">
        <v>470</v>
      </c>
      <c r="E90" s="22" t="n">
        <v>462</v>
      </c>
      <c r="F90" s="22" t="n">
        <v>485</v>
      </c>
      <c r="G90" s="22" t="n">
        <v>480</v>
      </c>
      <c r="H90" s="22" t="n">
        <v>525</v>
      </c>
      <c r="I90" s="22" t="n">
        <v>507</v>
      </c>
      <c r="J90" s="22" t="n">
        <v>550</v>
      </c>
      <c r="K90" s="22" t="n">
        <v>541</v>
      </c>
      <c r="L90" s="22" t="n">
        <v>601</v>
      </c>
      <c r="M90" s="22" t="n">
        <v>595</v>
      </c>
      <c r="N90" s="22" t="n">
        <v>640</v>
      </c>
      <c r="T90" s="22" t="n">
        <v>268</v>
      </c>
      <c r="U90" s="22" t="n">
        <v>389</v>
      </c>
      <c r="V90" s="22" t="n">
        <v>470</v>
      </c>
      <c r="W90" s="22" t="n">
        <v>525</v>
      </c>
      <c r="X90" s="22" t="n">
        <v>601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138</v>
      </c>
      <c r="D92" s="12" t="n">
        <v>16</v>
      </c>
      <c r="E92" s="12" t="n">
        <v>90</v>
      </c>
      <c r="F92" s="12" t="n">
        <v>100</v>
      </c>
      <c r="G92" s="12" t="n">
        <v>160</v>
      </c>
      <c r="H92" s="12" t="n">
        <v>22</v>
      </c>
      <c r="I92" s="12" t="n">
        <v>116</v>
      </c>
      <c r="J92" s="12" t="n">
        <v>123</v>
      </c>
      <c r="K92" s="12" t="n">
        <v>152</v>
      </c>
      <c r="L92" s="12" t="n">
        <v>16</v>
      </c>
      <c r="M92" s="12" t="n">
        <v>99</v>
      </c>
      <c r="N92" s="12" t="n">
        <v>137</v>
      </c>
      <c r="T92" s="12" t="n">
        <v>-24</v>
      </c>
      <c r="U92" s="12" t="n">
        <v>38</v>
      </c>
      <c r="V92" s="12" t="n">
        <v>16</v>
      </c>
      <c r="W92" s="12" t="n">
        <v>22</v>
      </c>
      <c r="X92" s="12" t="n">
        <v>16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1</v>
      </c>
      <c r="L95" s="22" t="n">
        <v>1</v>
      </c>
      <c r="M95" s="22" t="n">
        <v>0</v>
      </c>
      <c r="N95" s="22" t="n">
        <v>2</v>
      </c>
      <c r="T95" s="22" t="n">
        <v>0</v>
      </c>
      <c r="U95" s="22" t="n">
        <v>0</v>
      </c>
      <c r="V95" s="22" t="n">
        <v>0</v>
      </c>
      <c r="W95" s="22" t="n">
        <v>0</v>
      </c>
      <c r="X95" s="22" t="n">
        <v>1</v>
      </c>
    </row>
    <row r="96">
      <c r="A96" s="20" t="inlineStr">
        <is>
          <t>상각채권 추심이익</t>
        </is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</row>
    <row r="97">
      <c r="A97" s="20" t="inlineStr">
        <is>
          <t>보조금 수입</t>
        </is>
      </c>
      <c r="C97" s="22" t="n">
        <v>0</v>
      </c>
      <c r="D97" s="22" t="n">
        <v>0</v>
      </c>
      <c r="T97" s="22" t="n">
        <v>0</v>
      </c>
      <c r="U97" s="22" t="n">
        <v>0</v>
      </c>
      <c r="V97" s="22" t="n">
        <v>0</v>
      </c>
    </row>
    <row r="98">
      <c r="A98" s="20" t="inlineStr">
        <is>
          <t>정보제공료</t>
        </is>
      </c>
      <c r="C98" s="22" t="n">
        <v>0</v>
      </c>
      <c r="E98" s="22" t="n">
        <v>0</v>
      </c>
      <c r="I98" s="22" t="n">
        <v>0</v>
      </c>
      <c r="M98" s="22" t="n">
        <v>0</v>
      </c>
    </row>
    <row r="99">
      <c r="A99" s="20" t="inlineStr">
        <is>
          <t>미지급 배당금 시효소멸 이익</t>
        </is>
      </c>
      <c r="I99" s="22" t="n">
        <v>0</v>
      </c>
      <c r="M99" s="22" t="n">
        <v>0</v>
      </c>
    </row>
    <row r="100">
      <c r="A100" s="20" t="inlineStr">
        <is>
          <t>기타</t>
        </is>
      </c>
      <c r="C100" s="22" t="n">
        <v>0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K100" s="22" t="n">
        <v>0</v>
      </c>
      <c r="L100" s="22" t="n">
        <v>0</v>
      </c>
      <c r="T100" s="22" t="n">
        <v>0</v>
      </c>
      <c r="U100" s="22" t="n">
        <v>0</v>
      </c>
      <c r="V100" s="22" t="n">
        <v>0</v>
      </c>
      <c r="W100" s="22" t="n">
        <v>0</v>
      </c>
      <c r="X100" s="22" t="n">
        <v>0</v>
      </c>
    </row>
    <row r="101">
      <c r="A101" s="20" t="inlineStr">
        <is>
          <t>영업외수익 합계</t>
        </is>
      </c>
      <c r="C101" s="22" t="n">
        <v>0</v>
      </c>
      <c r="D101" s="22" t="n">
        <v>0</v>
      </c>
      <c r="E101" s="22" t="n">
        <v>0</v>
      </c>
      <c r="F101" s="22" t="n">
        <v>0</v>
      </c>
      <c r="G101" s="22" t="n">
        <v>0</v>
      </c>
      <c r="H101" s="22" t="n">
        <v>1</v>
      </c>
      <c r="I101" s="22" t="n">
        <v>0</v>
      </c>
      <c r="J101" s="22" t="n">
        <v>1</v>
      </c>
      <c r="K101" s="22" t="n">
        <v>0</v>
      </c>
      <c r="L101" s="22" t="n">
        <v>2</v>
      </c>
      <c r="M101" s="22" t="n">
        <v>1</v>
      </c>
      <c r="N101" s="22" t="n">
        <v>1</v>
      </c>
      <c r="T101" s="22" t="n">
        <v>0</v>
      </c>
      <c r="U101" s="22" t="n">
        <v>0</v>
      </c>
      <c r="V101" s="22" t="n">
        <v>0</v>
      </c>
      <c r="W101" s="22" t="n">
        <v>1</v>
      </c>
      <c r="X101" s="22" t="n">
        <v>2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9" t="inlineStr">
        <is>
          <t>경상이익</t>
        </is>
      </c>
      <c r="C103" s="12" t="n">
        <v>137</v>
      </c>
      <c r="D103" s="12" t="n">
        <v>16</v>
      </c>
      <c r="E103" s="12" t="n">
        <v>91</v>
      </c>
      <c r="F103" s="12" t="n">
        <v>100</v>
      </c>
      <c r="G103" s="12" t="n">
        <v>159</v>
      </c>
      <c r="H103" s="12" t="n">
        <v>23</v>
      </c>
      <c r="I103" s="12" t="n">
        <v>116</v>
      </c>
      <c r="J103" s="12" t="n">
        <v>125</v>
      </c>
      <c r="K103" s="12" t="n">
        <v>152</v>
      </c>
      <c r="L103" s="12" t="n">
        <v>17</v>
      </c>
      <c r="M103" s="12" t="n">
        <v>100</v>
      </c>
      <c r="N103" s="12" t="n">
        <v>139</v>
      </c>
      <c r="T103" s="12" t="n">
        <v>-24</v>
      </c>
      <c r="U103" s="12" t="n">
        <v>38</v>
      </c>
      <c r="V103" s="12" t="n">
        <v>16</v>
      </c>
      <c r="W103" s="12" t="n">
        <v>23</v>
      </c>
      <c r="X103" s="12" t="n">
        <v>17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IF(OR(G103="",C103=""),"",IF(C103&lt;=0,"",IFERROR(G103/C103-1,"")))</f>
        <v/>
      </c>
      <c r="H104" s="17">
        <f>IF(OR(H103="",D103=""),"",IF(D103&lt;=0,"",IFERROR(H103/D103-1,"")))</f>
        <v/>
      </c>
      <c r="I104" s="17">
        <f>IF(OR(I103="",E103=""),"",IF(E103&lt;=0,"",IFERROR(I103/E103-1,"")))</f>
        <v/>
      </c>
      <c r="J104" s="17">
        <f>IF(OR(J103="",F103=""),"",IF(F103&lt;=0,"",IFERROR(J103/F103-1,"")))</f>
        <v/>
      </c>
      <c r="K104" s="17">
        <f>IF(OR(K103="",G103=""),"",IF(G103&lt;=0,"",IFERROR(K103/G103-1,"")))</f>
        <v/>
      </c>
      <c r="L104" s="17">
        <f>IF(OR(L103="",H103=""),"",IF(H103&lt;=0,"",IFERROR(L103/H103-1,"")))</f>
        <v/>
      </c>
      <c r="M104" s="17">
        <f>IF(OR(M103="",I103=""),"",IF(I103&lt;=0,"",IFERROR(M103/I103-1,"")))</f>
        <v/>
      </c>
      <c r="N104" s="17">
        <f>IF(OR(N103="",J103=""),"",IF(J103&lt;=0,"",IFERROR(N103/J103-1,"")))</f>
        <v/>
      </c>
      <c r="T104" s="17">
        <f>IF(OR(T103="",S103=""),"",IF(S103&lt;=0,"",IFERROR(T103/S103-1,"")))</f>
        <v/>
      </c>
      <c r="U104" s="17">
        <f>IF(OR(U103="",T103=""),"",IF(T103&lt;=0,"",IFERROR(U103/T103-1,"")))</f>
        <v/>
      </c>
      <c r="V104" s="17">
        <f>IF(OR(V103="",U103=""),"",IF(U103&lt;=0,"",IFERROR(V103/U103-1,"")))</f>
        <v/>
      </c>
      <c r="W104" s="17">
        <f>IF(OR(W103="",V103=""),"",IF(V103&lt;=0,"",IFERROR(W103/V103-1,"")))</f>
        <v/>
      </c>
      <c r="X104" s="17">
        <f>IF(OR(X103="",W103=""),"",IF(W103&lt;=0,"",IFERROR(X103/W103-1,"")))</f>
        <v/>
      </c>
    </row>
    <row r="105">
      <c r="A105" s="9" t="inlineStr">
        <is>
          <t>법인세차감전 순이익</t>
        </is>
      </c>
      <c r="C105" s="12" t="n">
        <v>137</v>
      </c>
      <c r="D105" s="12" t="n">
        <v>10</v>
      </c>
      <c r="E105" s="12" t="n">
        <v>91</v>
      </c>
      <c r="F105" s="12" t="n">
        <v>100</v>
      </c>
      <c r="G105" s="12" t="n">
        <v>159</v>
      </c>
      <c r="H105" s="12" t="n">
        <v>16</v>
      </c>
      <c r="I105" s="12" t="n">
        <v>116</v>
      </c>
      <c r="J105" s="12" t="n">
        <v>125</v>
      </c>
      <c r="K105" s="12" t="n">
        <v>152</v>
      </c>
      <c r="L105" s="12" t="n">
        <v>15</v>
      </c>
      <c r="M105" s="12" t="n">
        <v>100</v>
      </c>
      <c r="N105" s="12" t="n">
        <v>114</v>
      </c>
      <c r="T105" s="12" t="n">
        <v>-24</v>
      </c>
      <c r="U105" s="12" t="n">
        <v>38</v>
      </c>
      <c r="V105" s="12" t="n">
        <v>10</v>
      </c>
      <c r="W105" s="12" t="n">
        <v>16</v>
      </c>
      <c r="X105" s="12" t="n">
        <v>15</v>
      </c>
    </row>
    <row r="106">
      <c r="A106" s="45" t="inlineStr">
        <is>
          <t>YoY</t>
        </is>
      </c>
      <c r="B106" s="3" t="inlineStr">
        <is>
          <t>전년 같은 분기·전년 대비</t>
        </is>
      </c>
      <c r="G106" s="17">
        <f>IF(OR(G105="",C105=""),"",IF(C105&lt;=0,"",IFERROR(G105/C105-1,"")))</f>
        <v/>
      </c>
      <c r="H106" s="17">
        <f>IF(OR(H105="",D105=""),"",IF(D105&lt;=0,"",IFERROR(H105/D105-1,"")))</f>
        <v/>
      </c>
      <c r="I106" s="17">
        <f>IF(OR(I105="",E105=""),"",IF(E105&lt;=0,"",IFERROR(I105/E105-1,"")))</f>
        <v/>
      </c>
      <c r="J106" s="17">
        <f>IF(OR(J105="",F105=""),"",IF(F105&lt;=0,"",IFERROR(J105/F105-1,"")))</f>
        <v/>
      </c>
      <c r="K106" s="17">
        <f>IF(OR(K105="",G105=""),"",IF(G105&lt;=0,"",IFERROR(K105/G105-1,"")))</f>
        <v/>
      </c>
      <c r="L106" s="17">
        <f>IF(OR(L105="",H105=""),"",IF(H105&lt;=0,"",IFERROR(L105/H105-1,"")))</f>
        <v/>
      </c>
      <c r="M106" s="17">
        <f>IF(OR(M105="",I105=""),"",IF(I105&lt;=0,"",IFERROR(M105/I105-1,"")))</f>
        <v/>
      </c>
      <c r="N106" s="17">
        <f>IF(OR(N105="",J105=""),"",IF(J105&lt;=0,"",IFERROR(N105/J105-1,"")))</f>
        <v/>
      </c>
      <c r="T106" s="17">
        <f>IF(OR(T105="",S105=""),"",IF(S105&lt;=0,"",IFERROR(T105/S105-1,"")))</f>
        <v/>
      </c>
      <c r="U106" s="17">
        <f>IF(OR(U105="",T105=""),"",IF(T105&lt;=0,"",IFERROR(U105/T105-1,"")))</f>
        <v/>
      </c>
      <c r="V106" s="17">
        <f>IF(OR(V105="",U105=""),"",IF(U105&lt;=0,"",IFERROR(V105/U105-1,"")))</f>
        <v/>
      </c>
      <c r="W106" s="17">
        <f>IF(OR(W105="",V105=""),"",IF(V105&lt;=0,"",IFERROR(W105/V105-1,"")))</f>
        <v/>
      </c>
      <c r="X106" s="17">
        <f>IF(OR(X105="",W105=""),"",IF(W105&lt;=0,"",IFERROR(X105/W105-1,"")))</f>
        <v/>
      </c>
    </row>
    <row r="107">
      <c r="A107" s="20" t="inlineStr">
        <is>
          <t>법인세 등</t>
        </is>
      </c>
      <c r="C107" s="22" t="n">
        <v>48</v>
      </c>
      <c r="D107" s="22" t="n">
        <v>-13</v>
      </c>
      <c r="E107" s="22" t="n">
        <v>31</v>
      </c>
      <c r="F107" s="22" t="n">
        <v>35</v>
      </c>
      <c r="G107" s="22" t="n">
        <v>55</v>
      </c>
      <c r="H107" s="22" t="n">
        <v>-13</v>
      </c>
      <c r="I107" s="22" t="n">
        <v>40</v>
      </c>
      <c r="J107" s="22" t="n">
        <v>43</v>
      </c>
      <c r="K107" s="22" t="n">
        <v>53</v>
      </c>
      <c r="L107" s="22" t="n">
        <v>-8</v>
      </c>
      <c r="M107" s="22" t="n">
        <v>31</v>
      </c>
      <c r="N107" s="22" t="n">
        <v>36</v>
      </c>
      <c r="T107" s="22" t="n">
        <v>-8</v>
      </c>
      <c r="U107" s="22" t="n">
        <v>6</v>
      </c>
      <c r="V107" s="22" t="n">
        <v>-13</v>
      </c>
      <c r="W107" s="22" t="n">
        <v>-13</v>
      </c>
      <c r="X107" s="22" t="n">
        <v>-8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IF(OR(G107="",C107=""),"",IF(G107*C107&lt;=0,"",IFERROR(G107/C107-1,"")))</f>
        <v/>
      </c>
      <c r="H108" s="17">
        <f>IF(OR(H107="",D107=""),"",IF(H107*D107&lt;=0,"",IFERROR(H107/D107-1,"")))</f>
        <v/>
      </c>
      <c r="I108" s="17">
        <f>IF(OR(I107="",E107=""),"",IF(I107*E107&lt;=0,"",IFERROR(I107/E107-1,"")))</f>
        <v/>
      </c>
      <c r="J108" s="17">
        <f>IF(OR(J107="",F107=""),"",IF(J107*F107&lt;=0,"",IFERROR(J107/F107-1,"")))</f>
        <v/>
      </c>
      <c r="K108" s="17">
        <f>IF(OR(K107="",G107=""),"",IF(K107*G107&lt;=0,"",IFERROR(K107/G107-1,"")))</f>
        <v/>
      </c>
      <c r="L108" s="17">
        <f>IF(OR(L107="",H107=""),"",IF(L107*H107&lt;=0,"",IFERROR(L107/H107-1,"")))</f>
        <v/>
      </c>
      <c r="M108" s="17">
        <f>IF(OR(M107="",I107=""),"",IF(M107*I107&lt;=0,"",IFERROR(M107/I107-1,"")))</f>
        <v/>
      </c>
      <c r="N108" s="17">
        <f>IF(OR(N107="",J107=""),"",IF(N107*J107&lt;=0,"",IFERROR(N107/J107-1,"")))</f>
        <v/>
      </c>
      <c r="T108" s="17">
        <f>IF(OR(T107="",S107=""),"",IF(T107*S107&lt;=0,"",IFERROR(T107/S107-1,"")))</f>
        <v/>
      </c>
      <c r="U108" s="17">
        <f>IF(OR(U107="",T107=""),"",IF(U107*T107&lt;=0,"",IFERROR(U107/T107-1,"")))</f>
        <v/>
      </c>
      <c r="V108" s="17">
        <f>IF(OR(V107="",U107=""),"",IF(V107*U107&lt;=0,"",IFERROR(V107/U107-1,"")))</f>
        <v/>
      </c>
      <c r="W108" s="17">
        <f>IF(OR(W107="",V107=""),"",IF(W107*V107&lt;=0,"",IFERROR(W107/V107-1,"")))</f>
        <v/>
      </c>
      <c r="X108" s="17">
        <f>IF(OR(X107="",W107=""),"",IF(X107*W107&lt;=0,"",IFERROR(X107/W107-1,"")))</f>
        <v/>
      </c>
    </row>
    <row r="109">
      <c r="A109" s="9" t="inlineStr">
        <is>
          <t>순이익</t>
        </is>
      </c>
      <c r="C109" s="12" t="n">
        <v>90</v>
      </c>
      <c r="D109" s="12" t="n">
        <v>22</v>
      </c>
      <c r="E109" s="12" t="n">
        <v>59</v>
      </c>
      <c r="F109" s="12" t="n">
        <v>65</v>
      </c>
      <c r="G109" s="12" t="n">
        <v>105</v>
      </c>
      <c r="H109" s="12" t="n">
        <v>29</v>
      </c>
      <c r="I109" s="12" t="n">
        <v>76</v>
      </c>
      <c r="J109" s="12" t="n">
        <v>81</v>
      </c>
      <c r="K109" s="12" t="n">
        <v>100</v>
      </c>
      <c r="L109" s="12" t="n">
        <v>22</v>
      </c>
      <c r="M109" s="12" t="n">
        <v>68</v>
      </c>
      <c r="N109" s="12" t="n">
        <v>78</v>
      </c>
      <c r="T109" s="12" t="n">
        <v>-16</v>
      </c>
      <c r="U109" s="12" t="n">
        <v>31</v>
      </c>
      <c r="V109" s="12" t="n">
        <v>22</v>
      </c>
      <c r="W109" s="12" t="n">
        <v>29</v>
      </c>
      <c r="X109" s="12" t="n">
        <v>22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IF(OR(G109="",C109=""),"",IF(C109&lt;=0,"",IFERROR(G109/C109-1,"")))</f>
        <v/>
      </c>
      <c r="H110" s="17">
        <f>IF(OR(H109="",D109=""),"",IF(D109&lt;=0,"",IFERROR(H109/D109-1,"")))</f>
        <v/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T110" s="17">
        <f>IF(OR(T109="",S109=""),"",IF(S109&lt;=0,"",IFERROR(T109/S109-1,"")))</f>
        <v/>
      </c>
      <c r="U110" s="17">
        <f>IF(OR(U109="",T109=""),"",IF(T109&lt;=0,"",IFERROR(U109/T109-1,"")))</f>
        <v/>
      </c>
      <c r="V110" s="17">
        <f>IF(OR(V109="",U109=""),"",IF(U109&lt;=0,"",IFERROR(V109/U109-1,"")))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2">
      <c r="A112" s="18" t="inlineStr">
        <is>
          <t>현금흐름표 · 전 항목</t>
        </is>
      </c>
      <c r="B112" s="44" t="inlineStr">
        <is>
          <t>분기 = 결산기 첫날부터 누계(공시 그대로)</t>
        </is>
      </c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</row>
    <row r="113">
      <c r="A113" s="5" t="inlineStr">
        <is>
          <t>항목</t>
        </is>
      </c>
      <c r="B113" s="5" t="inlineStr">
        <is>
          <t>참고</t>
        </is>
      </c>
      <c r="C113" s="5" t="inlineStr">
        <is>
          <t>2024.3Q</t>
        </is>
      </c>
      <c r="D113" s="5" t="inlineStr">
        <is>
          <t>2024.4Q</t>
        </is>
      </c>
      <c r="E113" s="5" t="inlineStr">
        <is>
          <t>2025.1Q</t>
        </is>
      </c>
      <c r="F113" s="5" t="inlineStr">
        <is>
          <t>2025.2Q</t>
        </is>
      </c>
      <c r="G113" s="5" t="inlineStr">
        <is>
          <t>2025.3Q</t>
        </is>
      </c>
      <c r="H113" s="5" t="inlineStr">
        <is>
          <t>2025.4Q</t>
        </is>
      </c>
      <c r="I113" s="5" t="inlineStr">
        <is>
          <t>2026.1Q</t>
        </is>
      </c>
      <c r="J113" s="5" t="inlineStr">
        <is>
          <t>2026.2Q</t>
        </is>
      </c>
      <c r="K113" s="5" t="inlineStr">
        <is>
          <t>2026.3Q</t>
        </is>
      </c>
      <c r="L113" s="5" t="inlineStr">
        <is>
          <t>2026.4Q</t>
        </is>
      </c>
      <c r="M113" s="5" t="inlineStr">
        <is>
          <t>2027.1Q</t>
        </is>
      </c>
      <c r="N113" s="5" t="inlineStr">
        <is>
          <t>2027.2Q</t>
        </is>
      </c>
      <c r="O113" s="5" t="inlineStr">
        <is>
          <t>2017</t>
        </is>
      </c>
      <c r="P113" s="5" t="inlineStr">
        <is>
          <t>2018</t>
        </is>
      </c>
      <c r="Q113" s="5" t="inlineStr">
        <is>
          <t>2019</t>
        </is>
      </c>
      <c r="R113" s="5" t="inlineStr">
        <is>
          <t>2020</t>
        </is>
      </c>
      <c r="S113" s="5" t="inlineStr">
        <is>
          <t>2021</t>
        </is>
      </c>
      <c r="T113" s="5" t="inlineStr">
        <is>
          <t>2022</t>
        </is>
      </c>
      <c r="U113" s="5" t="inlineStr">
        <is>
          <t>2023</t>
        </is>
      </c>
      <c r="V113" s="5" t="inlineStr">
        <is>
          <t>2024</t>
        </is>
      </c>
      <c r="W113" s="5" t="inlineStr">
        <is>
          <t>2025</t>
        </is>
      </c>
      <c r="X113" s="5" t="inlineStr">
        <is>
          <t>2026</t>
        </is>
      </c>
      <c r="Y113" s="5" t="inlineStr">
        <is>
          <t>2027(MW)</t>
        </is>
      </c>
      <c r="Z113" s="5" t="inlineStr">
        <is>
          <t>2028(MW)</t>
        </is>
      </c>
      <c r="AA113" s="5" t="inlineStr">
        <is>
          <t>2029(MW)</t>
        </is>
      </c>
      <c r="AB113" s="5" t="inlineStr">
        <is>
          <t>2030(MW)</t>
        </is>
      </c>
      <c r="AC113" s="5" t="inlineStr">
        <is>
          <t>2031(MW)</t>
        </is>
      </c>
    </row>
    <row r="114">
      <c r="A114" s="9" t="inlineStr">
        <is>
          <t>법인세차감전 순이익</t>
        </is>
      </c>
      <c r="D114" s="12" t="n">
        <v>316</v>
      </c>
      <c r="F114" s="12" t="n">
        <v>191</v>
      </c>
      <c r="H114" s="12" t="n">
        <v>366</v>
      </c>
      <c r="J114" s="12" t="n">
        <v>241</v>
      </c>
      <c r="L114" s="12" t="n">
        <v>408</v>
      </c>
      <c r="N114" s="12" t="n">
        <v>214</v>
      </c>
      <c r="Q114" s="12" t="n">
        <v>141</v>
      </c>
      <c r="R114" s="12" t="n">
        <v>153</v>
      </c>
      <c r="S114" s="12" t="n">
        <v>-121</v>
      </c>
      <c r="T114" s="12" t="n">
        <v>-57</v>
      </c>
      <c r="U114" s="12" t="n">
        <v>196</v>
      </c>
      <c r="V114" s="12" t="n">
        <v>316</v>
      </c>
      <c r="W114" s="12" t="n">
        <v>366</v>
      </c>
      <c r="X114" s="12" t="n">
        <v>408</v>
      </c>
    </row>
    <row r="115">
      <c r="A115" s="20" t="inlineStr">
        <is>
          <t>감가상각비</t>
        </is>
      </c>
      <c r="D115" s="22" t="n">
        <v>72</v>
      </c>
      <c r="F115" s="22" t="n">
        <v>27</v>
      </c>
      <c r="H115" s="22" t="n">
        <v>59</v>
      </c>
      <c r="J115" s="22" t="n">
        <v>28</v>
      </c>
      <c r="L115" s="22" t="n">
        <v>60</v>
      </c>
      <c r="N115" s="22" t="n">
        <v>31</v>
      </c>
      <c r="Q115" s="22" t="n">
        <v>30</v>
      </c>
      <c r="R115" s="22" t="n">
        <v>60</v>
      </c>
      <c r="S115" s="22" t="n">
        <v>63</v>
      </c>
      <c r="T115" s="22" t="n">
        <v>64</v>
      </c>
      <c r="U115" s="22" t="n">
        <v>74</v>
      </c>
      <c r="V115" s="22" t="n">
        <v>72</v>
      </c>
      <c r="W115" s="22" t="n">
        <v>59</v>
      </c>
      <c r="X115" s="22" t="n">
        <v>60</v>
      </c>
    </row>
    <row r="116">
      <c r="A116" s="20" t="inlineStr">
        <is>
          <t>고정자산 제각손실</t>
        </is>
      </c>
      <c r="D116" s="22" t="n">
        <v>6</v>
      </c>
      <c r="H116" s="22" t="n">
        <v>6</v>
      </c>
      <c r="L116" s="22" t="n">
        <v>2</v>
      </c>
      <c r="U116" s="22" t="n">
        <v>0</v>
      </c>
      <c r="V116" s="22" t="n">
        <v>6</v>
      </c>
      <c r="W116" s="22" t="n">
        <v>6</v>
      </c>
      <c r="X116" s="22" t="n">
        <v>2</v>
      </c>
    </row>
    <row r="117">
      <c r="A117" s="20" t="inlineStr">
        <is>
          <t>손상차손</t>
        </is>
      </c>
      <c r="J117" s="22" t="n">
        <v>0</v>
      </c>
      <c r="N117" s="22" t="n">
        <v>24</v>
      </c>
    </row>
    <row r="118">
      <c r="A118" s="20" t="inlineStr">
        <is>
          <t>대손충당금 증감</t>
        </is>
      </c>
      <c r="D118" s="22" t="n">
        <v>1</v>
      </c>
      <c r="F118" s="22" t="n">
        <v>-0</v>
      </c>
      <c r="H118" s="22" t="n">
        <v>0</v>
      </c>
      <c r="J118" s="22" t="n">
        <v>-0</v>
      </c>
      <c r="L118" s="22" t="n">
        <v>-0</v>
      </c>
      <c r="N118" s="22" t="n">
        <v>0</v>
      </c>
      <c r="Q118" s="22" t="n">
        <v>-0</v>
      </c>
      <c r="R118" s="22" t="n">
        <v>-1</v>
      </c>
      <c r="S118" s="22" t="n">
        <v>-2</v>
      </c>
      <c r="T118" s="22" t="n">
        <v>-0</v>
      </c>
      <c r="U118" s="22" t="n">
        <v>1</v>
      </c>
      <c r="V118" s="22" t="n">
        <v>1</v>
      </c>
      <c r="W118" s="22" t="n">
        <v>0</v>
      </c>
      <c r="X118" s="22" t="n">
        <v>-0</v>
      </c>
    </row>
    <row r="119">
      <c r="A119" s="20" t="inlineStr">
        <is>
          <t>상여충당금 증감</t>
        </is>
      </c>
      <c r="Q119" s="22" t="n">
        <v>0</v>
      </c>
      <c r="R119" s="22" t="n">
        <v>0</v>
      </c>
      <c r="S119" s="22" t="n">
        <v>-0</v>
      </c>
      <c r="T119" s="22" t="n">
        <v>0</v>
      </c>
    </row>
    <row r="120">
      <c r="A120" s="20" t="inlineStr">
        <is>
          <t>퇴직급여충당금 증감액</t>
        </is>
      </c>
      <c r="D120" s="22" t="n">
        <v>4</v>
      </c>
      <c r="F120" s="22" t="n">
        <v>2</v>
      </c>
      <c r="H120" s="22" t="n">
        <v>2</v>
      </c>
      <c r="J120" s="22" t="n">
        <v>2</v>
      </c>
      <c r="L120" s="22" t="n">
        <v>5</v>
      </c>
      <c r="N120" s="22" t="n">
        <v>1</v>
      </c>
      <c r="Q120" s="22" t="n">
        <v>2</v>
      </c>
      <c r="R120" s="22" t="n">
        <v>2</v>
      </c>
      <c r="S120" s="22" t="n">
        <v>2</v>
      </c>
      <c r="T120" s="22" t="n">
        <v>3</v>
      </c>
      <c r="U120" s="22" t="n">
        <v>3</v>
      </c>
      <c r="V120" s="22" t="n">
        <v>4</v>
      </c>
      <c r="W120" s="22" t="n">
        <v>2</v>
      </c>
      <c r="X120" s="22" t="n">
        <v>5</v>
      </c>
    </row>
    <row r="121">
      <c r="A121" s="20" t="inlineStr">
        <is>
          <t>이자·배당금 수익</t>
        </is>
      </c>
      <c r="D121" s="22" t="n">
        <v>-0</v>
      </c>
      <c r="F121" s="22" t="n">
        <v>-0</v>
      </c>
      <c r="H121" s="22" t="n">
        <v>-0</v>
      </c>
      <c r="J121" s="22" t="n">
        <v>-0</v>
      </c>
      <c r="L121" s="22" t="n">
        <v>-2</v>
      </c>
      <c r="N121" s="22" t="n">
        <v>-2</v>
      </c>
      <c r="Q121" s="22" t="n">
        <v>-0</v>
      </c>
      <c r="R121" s="22" t="n">
        <v>-0</v>
      </c>
      <c r="S121" s="22" t="n">
        <v>-0</v>
      </c>
      <c r="T121" s="22" t="n">
        <v>-0</v>
      </c>
      <c r="U121" s="22" t="n">
        <v>-0</v>
      </c>
      <c r="V121" s="22" t="n">
        <v>-0</v>
      </c>
      <c r="W121" s="22" t="n">
        <v>-0</v>
      </c>
      <c r="X121" s="22" t="n">
        <v>-2</v>
      </c>
    </row>
    <row r="122">
      <c r="A122" s="20" t="inlineStr">
        <is>
          <t>매출채권 증감</t>
        </is>
      </c>
      <c r="D122" s="22" t="n">
        <v>-58</v>
      </c>
      <c r="F122" s="22" t="n">
        <v>-27</v>
      </c>
      <c r="H122" s="22" t="n">
        <v>-74</v>
      </c>
      <c r="J122" s="22" t="n">
        <v>-36</v>
      </c>
      <c r="L122" s="22" t="n">
        <v>-128</v>
      </c>
      <c r="N122" s="22" t="n">
        <v>-77</v>
      </c>
      <c r="Q122" s="22" t="n">
        <v>20</v>
      </c>
      <c r="R122" s="22" t="n">
        <v>99</v>
      </c>
      <c r="S122" s="22" t="n">
        <v>79</v>
      </c>
      <c r="T122" s="22" t="n">
        <v>-48</v>
      </c>
      <c r="U122" s="22" t="n">
        <v>-287</v>
      </c>
      <c r="V122" s="22" t="n">
        <v>-58</v>
      </c>
      <c r="W122" s="22" t="n">
        <v>-74</v>
      </c>
      <c r="X122" s="22" t="n">
        <v>-128</v>
      </c>
    </row>
    <row r="123">
      <c r="A123" s="20" t="inlineStr">
        <is>
          <t>재고자산 증감</t>
        </is>
      </c>
      <c r="D123" s="22" t="n">
        <v>-34</v>
      </c>
      <c r="F123" s="22" t="n">
        <v>6</v>
      </c>
      <c r="H123" s="22" t="n">
        <v>-5</v>
      </c>
      <c r="J123" s="22" t="n">
        <v>-6</v>
      </c>
      <c r="L123" s="22" t="n">
        <v>-33</v>
      </c>
      <c r="N123" s="22" t="n">
        <v>-24</v>
      </c>
      <c r="Q123" s="22" t="n">
        <v>19</v>
      </c>
      <c r="R123" s="22" t="n">
        <v>-1</v>
      </c>
      <c r="S123" s="22" t="n">
        <v>23</v>
      </c>
      <c r="T123" s="22" t="n">
        <v>-44</v>
      </c>
      <c r="U123" s="22" t="n">
        <v>-26</v>
      </c>
      <c r="V123" s="22" t="n">
        <v>-34</v>
      </c>
      <c r="W123" s="22" t="n">
        <v>-5</v>
      </c>
      <c r="X123" s="22" t="n">
        <v>-33</v>
      </c>
    </row>
    <row r="124">
      <c r="A124" s="20" t="inlineStr">
        <is>
          <t>매입채무 증감</t>
        </is>
      </c>
      <c r="D124" s="22" t="n">
        <v>81</v>
      </c>
      <c r="F124" s="22" t="n">
        <v>-11</v>
      </c>
      <c r="H124" s="22" t="n">
        <v>48</v>
      </c>
      <c r="J124" s="22" t="n">
        <v>2</v>
      </c>
      <c r="L124" s="22" t="n">
        <v>140</v>
      </c>
      <c r="N124" s="22" t="n">
        <v>7</v>
      </c>
      <c r="Q124" s="22" t="n">
        <v>-26</v>
      </c>
      <c r="R124" s="22" t="n">
        <v>-63</v>
      </c>
      <c r="S124" s="22" t="n">
        <v>-50</v>
      </c>
      <c r="T124" s="22" t="n">
        <v>79</v>
      </c>
      <c r="U124" s="22" t="n">
        <v>160</v>
      </c>
      <c r="V124" s="22" t="n">
        <v>81</v>
      </c>
      <c r="W124" s="22" t="n">
        <v>48</v>
      </c>
      <c r="X124" s="22" t="n">
        <v>140</v>
      </c>
    </row>
    <row r="125">
      <c r="A125" s="20" t="inlineStr">
        <is>
          <t>미지급금 증감</t>
        </is>
      </c>
      <c r="D125" s="22" t="n">
        <v>27</v>
      </c>
      <c r="H125" s="22" t="n">
        <v>-3</v>
      </c>
      <c r="L125" s="22" t="n">
        <v>36</v>
      </c>
      <c r="Q125" s="22" t="n">
        <v>39</v>
      </c>
      <c r="R125" s="22" t="n">
        <v>-64</v>
      </c>
      <c r="S125" s="22" t="n">
        <v>-14</v>
      </c>
      <c r="T125" s="22" t="n">
        <v>10</v>
      </c>
      <c r="U125" s="22" t="n">
        <v>28</v>
      </c>
      <c r="V125" s="22" t="n">
        <v>27</v>
      </c>
      <c r="W125" s="22" t="n">
        <v>-3</v>
      </c>
      <c r="X125" s="22" t="n">
        <v>36</v>
      </c>
    </row>
    <row r="126">
      <c r="A126" s="20" t="inlineStr">
        <is>
          <t>미지급비용 증감</t>
        </is>
      </c>
      <c r="D126" s="22" t="n">
        <v>4</v>
      </c>
      <c r="H126" s="22" t="n">
        <v>-2</v>
      </c>
      <c r="L126" s="22" t="n">
        <v>-0</v>
      </c>
      <c r="Q126" s="22" t="n">
        <v>1</v>
      </c>
      <c r="R126" s="22" t="n">
        <v>-0</v>
      </c>
      <c r="S126" s="22" t="n">
        <v>0</v>
      </c>
      <c r="T126" s="22" t="n">
        <v>0</v>
      </c>
      <c r="U126" s="22" t="n">
        <v>3</v>
      </c>
      <c r="V126" s="22" t="n">
        <v>4</v>
      </c>
      <c r="W126" s="22" t="n">
        <v>-2</v>
      </c>
      <c r="X126" s="22" t="n">
        <v>-0</v>
      </c>
    </row>
    <row r="127">
      <c r="A127" s="20" t="inlineStr">
        <is>
          <t>미수 소비세 증감</t>
        </is>
      </c>
      <c r="D127" s="22" t="n">
        <v>0</v>
      </c>
      <c r="Q127" s="22" t="n">
        <v>-7</v>
      </c>
      <c r="R127" s="22" t="n">
        <v>7</v>
      </c>
      <c r="S127" s="22" t="n">
        <v>-20</v>
      </c>
      <c r="T127" s="22" t="n">
        <v>14</v>
      </c>
      <c r="U127" s="22" t="n">
        <v>6</v>
      </c>
      <c r="V127" s="22" t="n">
        <v>0</v>
      </c>
    </row>
    <row r="128">
      <c r="A128" s="20" t="inlineStr">
        <is>
          <t>미지급 소비세 증감</t>
        </is>
      </c>
      <c r="D128" s="22" t="n">
        <v>-1</v>
      </c>
      <c r="H128" s="22" t="n">
        <v>-1</v>
      </c>
      <c r="L128" s="22" t="n">
        <v>5</v>
      </c>
      <c r="Q128" s="22" t="n">
        <v>-6</v>
      </c>
      <c r="R128" s="22" t="n">
        <v>10</v>
      </c>
      <c r="S128" s="22" t="n">
        <v>-10</v>
      </c>
      <c r="T128" s="22" t="n">
        <v>0</v>
      </c>
      <c r="U128" s="22" t="n">
        <v>11</v>
      </c>
      <c r="V128" s="22" t="n">
        <v>-1</v>
      </c>
      <c r="W128" s="22" t="n">
        <v>-1</v>
      </c>
      <c r="X128" s="22" t="n">
        <v>5</v>
      </c>
    </row>
    <row r="129">
      <c r="A129" s="20" t="inlineStr">
        <is>
          <t>예수금 증감</t>
        </is>
      </c>
      <c r="D129" s="22" t="n">
        <v>1</v>
      </c>
      <c r="H129" s="22" t="n">
        <v>4</v>
      </c>
      <c r="L129" s="22" t="n">
        <v>-2</v>
      </c>
      <c r="Q129" s="22" t="n">
        <v>0</v>
      </c>
      <c r="R129" s="22" t="n">
        <v>-0</v>
      </c>
      <c r="S129" s="22" t="n">
        <v>0</v>
      </c>
      <c r="T129" s="22" t="n">
        <v>-0</v>
      </c>
      <c r="U129" s="22" t="n">
        <v>6</v>
      </c>
      <c r="V129" s="22" t="n">
        <v>1</v>
      </c>
      <c r="W129" s="22" t="n">
        <v>4</v>
      </c>
      <c r="X129" s="22" t="n">
        <v>-2</v>
      </c>
    </row>
    <row r="130">
      <c r="A130" s="20" t="inlineStr">
        <is>
          <t>파산갱생채권 증감</t>
        </is>
      </c>
      <c r="D130" s="22" t="n">
        <v>-0</v>
      </c>
      <c r="H130" s="22" t="n">
        <v>-0</v>
      </c>
      <c r="L130" s="22" t="n">
        <v>-0</v>
      </c>
      <c r="Q130" s="22" t="n">
        <v>0</v>
      </c>
      <c r="R130" s="22" t="n">
        <v>-0</v>
      </c>
      <c r="S130" s="22" t="n">
        <v>-0</v>
      </c>
      <c r="T130" s="22" t="n">
        <v>-0</v>
      </c>
      <c r="U130" s="22" t="n">
        <v>-0</v>
      </c>
      <c r="V130" s="22" t="n">
        <v>-0</v>
      </c>
      <c r="W130" s="22" t="n">
        <v>-0</v>
      </c>
      <c r="X130" s="22" t="n">
        <v>-0</v>
      </c>
    </row>
    <row r="131">
      <c r="A131" s="20" t="inlineStr">
        <is>
          <t>선급비용 증감</t>
        </is>
      </c>
      <c r="D131" s="22" t="n">
        <v>-1</v>
      </c>
      <c r="H131" s="22" t="n">
        <v>5</v>
      </c>
      <c r="L131" s="22" t="n">
        <v>-2</v>
      </c>
      <c r="Q131" s="22" t="n">
        <v>-2</v>
      </c>
      <c r="R131" s="22" t="n">
        <v>-0</v>
      </c>
      <c r="S131" s="22" t="n">
        <v>-0</v>
      </c>
      <c r="T131" s="22" t="n">
        <v>0</v>
      </c>
      <c r="U131" s="22" t="n">
        <v>-2</v>
      </c>
      <c r="V131" s="22" t="n">
        <v>-1</v>
      </c>
      <c r="W131" s="22" t="n">
        <v>5</v>
      </c>
      <c r="X131" s="22" t="n">
        <v>-2</v>
      </c>
    </row>
    <row r="132">
      <c r="A132" s="20" t="inlineStr">
        <is>
          <t>미수금 증감</t>
        </is>
      </c>
      <c r="D132" s="22" t="n">
        <v>-1</v>
      </c>
      <c r="F132" s="22" t="n">
        <v>-2</v>
      </c>
      <c r="H132" s="22" t="n">
        <v>-0</v>
      </c>
      <c r="J132" s="22" t="n">
        <v>-2</v>
      </c>
      <c r="L132" s="22" t="n">
        <v>-0</v>
      </c>
      <c r="N132" s="22" t="n">
        <v>-2</v>
      </c>
      <c r="Q132" s="22" t="n">
        <v>-9</v>
      </c>
      <c r="R132" s="22" t="n">
        <v>9</v>
      </c>
      <c r="S132" s="22" t="n">
        <v>-3</v>
      </c>
      <c r="T132" s="22" t="n">
        <v>-1</v>
      </c>
      <c r="U132" s="22" t="n">
        <v>-4</v>
      </c>
      <c r="V132" s="22" t="n">
        <v>-1</v>
      </c>
      <c r="W132" s="22" t="n">
        <v>-0</v>
      </c>
      <c r="X132" s="22" t="n">
        <v>-0</v>
      </c>
    </row>
    <row r="133">
      <c r="A133" s="20" t="inlineStr">
        <is>
          <t>기타 자산·부채 증감액</t>
        </is>
      </c>
      <c r="D133" s="22" t="n">
        <v>8</v>
      </c>
      <c r="H133" s="22" t="n">
        <v>2</v>
      </c>
      <c r="L133" s="22" t="n">
        <v>6</v>
      </c>
      <c r="Q133" s="22" t="n">
        <v>-1</v>
      </c>
      <c r="R133" s="22" t="n">
        <v>-0</v>
      </c>
      <c r="S133" s="22" t="n">
        <v>0</v>
      </c>
      <c r="T133" s="22" t="n">
        <v>-0</v>
      </c>
      <c r="U133" s="22" t="n">
        <v>0</v>
      </c>
      <c r="V133" s="22" t="n">
        <v>8</v>
      </c>
      <c r="W133" s="22" t="n">
        <v>2</v>
      </c>
      <c r="X133" s="22" t="n">
        <v>6</v>
      </c>
    </row>
    <row r="134">
      <c r="A134" s="20" t="inlineStr">
        <is>
          <t>기타</t>
        </is>
      </c>
      <c r="F134" s="22" t="n">
        <v>-40</v>
      </c>
      <c r="J134" s="22" t="n">
        <v>-27</v>
      </c>
      <c r="N134" s="22" t="n">
        <v>-14</v>
      </c>
    </row>
    <row r="135">
      <c r="A135" s="20" t="inlineStr">
        <is>
          <t>소계</t>
        </is>
      </c>
      <c r="D135" s="22" t="n">
        <v>427</v>
      </c>
      <c r="F135" s="22" t="n">
        <v>145</v>
      </c>
      <c r="H135" s="22" t="n">
        <v>408</v>
      </c>
      <c r="J135" s="22" t="n">
        <v>200</v>
      </c>
      <c r="L135" s="22" t="n">
        <v>495</v>
      </c>
      <c r="N135" s="22" t="n">
        <v>159</v>
      </c>
      <c r="Q135" s="22" t="n">
        <v>202</v>
      </c>
      <c r="R135" s="22" t="n">
        <v>210</v>
      </c>
      <c r="S135" s="22" t="n">
        <v>-54</v>
      </c>
      <c r="T135" s="22" t="n">
        <v>19</v>
      </c>
      <c r="U135" s="22" t="n">
        <v>174</v>
      </c>
      <c r="V135" s="22" t="n">
        <v>427</v>
      </c>
      <c r="W135" s="22" t="n">
        <v>408</v>
      </c>
      <c r="X135" s="22" t="n">
        <v>495</v>
      </c>
    </row>
    <row r="136">
      <c r="A136" s="20" t="inlineStr">
        <is>
          <t>이자·배당금 수취</t>
        </is>
      </c>
      <c r="D136" s="22" t="n">
        <v>0</v>
      </c>
      <c r="F136" s="22" t="n">
        <v>0</v>
      </c>
      <c r="H136" s="22" t="n">
        <v>0</v>
      </c>
      <c r="J136" s="22" t="n">
        <v>0</v>
      </c>
      <c r="L136" s="22" t="n">
        <v>2</v>
      </c>
      <c r="N136" s="22" t="n">
        <v>2</v>
      </c>
      <c r="Q136" s="22" t="n">
        <v>0</v>
      </c>
      <c r="R136" s="22" t="n">
        <v>0</v>
      </c>
      <c r="S136" s="22" t="n">
        <v>0</v>
      </c>
      <c r="T136" s="22" t="n">
        <v>0</v>
      </c>
      <c r="U136" s="22" t="n">
        <v>0</v>
      </c>
      <c r="V136" s="22" t="n">
        <v>0</v>
      </c>
      <c r="W136" s="22" t="n">
        <v>0</v>
      </c>
      <c r="X136" s="22" t="n">
        <v>2</v>
      </c>
    </row>
    <row r="137">
      <c r="A137" s="20" t="inlineStr">
        <is>
          <t>법인세 납부</t>
        </is>
      </c>
      <c r="D137" s="22" t="n">
        <v>-49</v>
      </c>
      <c r="F137" s="22" t="n">
        <v>-91</v>
      </c>
      <c r="H137" s="22" t="n">
        <v>-145</v>
      </c>
      <c r="J137" s="22" t="n">
        <v>-48</v>
      </c>
      <c r="L137" s="22" t="n">
        <v>-99</v>
      </c>
      <c r="N137" s="22" t="n">
        <v>-82</v>
      </c>
      <c r="Q137" s="22" t="n">
        <v>-49</v>
      </c>
      <c r="R137" s="22" t="n">
        <v>-23</v>
      </c>
      <c r="S137" s="22" t="n">
        <v>-48</v>
      </c>
      <c r="T137" s="22" t="n">
        <v>-0</v>
      </c>
      <c r="U137" s="22" t="n">
        <v>-0</v>
      </c>
      <c r="V137" s="22" t="n">
        <v>-49</v>
      </c>
      <c r="W137" s="22" t="n">
        <v>-145</v>
      </c>
      <c r="X137" s="22" t="n">
        <v>-99</v>
      </c>
    </row>
    <row r="138">
      <c r="A138" s="20" t="inlineStr">
        <is>
          <t>법인세 환급</t>
        </is>
      </c>
      <c r="D138" s="22" t="n">
        <v>0</v>
      </c>
      <c r="S138" s="22" t="n">
        <v>0</v>
      </c>
      <c r="T138" s="22" t="n">
        <v>46</v>
      </c>
      <c r="U138" s="22" t="n">
        <v>0</v>
      </c>
      <c r="V138" s="22" t="n">
        <v>0</v>
      </c>
    </row>
    <row r="139">
      <c r="A139" s="9" t="inlineStr">
        <is>
          <t>영업활동 현금흐름</t>
        </is>
      </c>
      <c r="D139" s="12" t="n">
        <v>378</v>
      </c>
      <c r="F139" s="12" t="n">
        <v>53</v>
      </c>
      <c r="H139" s="12" t="n">
        <v>262</v>
      </c>
      <c r="J139" s="12" t="n">
        <v>152</v>
      </c>
      <c r="L139" s="12" t="n">
        <v>398</v>
      </c>
      <c r="N139" s="12" t="n">
        <v>78</v>
      </c>
      <c r="Q139" s="12" t="n">
        <v>154</v>
      </c>
      <c r="R139" s="12" t="n">
        <v>187</v>
      </c>
      <c r="S139" s="12" t="n">
        <v>-102</v>
      </c>
      <c r="T139" s="12" t="n">
        <v>66</v>
      </c>
      <c r="U139" s="12" t="n">
        <v>174</v>
      </c>
      <c r="V139" s="12" t="n">
        <v>378</v>
      </c>
      <c r="W139" s="12" t="n">
        <v>262</v>
      </c>
      <c r="X139" s="12" t="n">
        <v>398</v>
      </c>
    </row>
    <row r="140">
      <c r="A140" s="20" t="inlineStr">
        <is>
          <t>유형자산 취득(설비투자)</t>
        </is>
      </c>
      <c r="D140" s="22" t="n">
        <v>-22</v>
      </c>
      <c r="F140" s="22" t="n">
        <v>-56</v>
      </c>
      <c r="H140" s="22" t="n">
        <v>-63</v>
      </c>
      <c r="J140" s="22" t="n">
        <v>-0</v>
      </c>
      <c r="L140" s="22" t="n">
        <v>-5</v>
      </c>
      <c r="N140" s="22" t="n">
        <v>-6</v>
      </c>
      <c r="Q140" s="22" t="n">
        <v>-31</v>
      </c>
      <c r="R140" s="22" t="n">
        <v>-1</v>
      </c>
      <c r="S140" s="22" t="n">
        <v>-4</v>
      </c>
      <c r="T140" s="22" t="n">
        <v>-1</v>
      </c>
      <c r="U140" s="22" t="n">
        <v>-20</v>
      </c>
      <c r="V140" s="22" t="n">
        <v>-22</v>
      </c>
      <c r="W140" s="22" t="n">
        <v>-63</v>
      </c>
      <c r="X140" s="22" t="n">
        <v>-5</v>
      </c>
    </row>
    <row r="141">
      <c r="A141" s="20" t="inlineStr">
        <is>
          <t>무형자산 취득</t>
        </is>
      </c>
      <c r="D141" s="22" t="n">
        <v>-44</v>
      </c>
      <c r="F141" s="22" t="n">
        <v>-25</v>
      </c>
      <c r="H141" s="22" t="n">
        <v>-76</v>
      </c>
      <c r="J141" s="22" t="n">
        <v>-19</v>
      </c>
      <c r="L141" s="22" t="n">
        <v>-81</v>
      </c>
      <c r="N141" s="22" t="n">
        <v>-3</v>
      </c>
      <c r="Q141" s="22" t="n">
        <v>-201</v>
      </c>
      <c r="R141" s="22" t="n">
        <v>-29</v>
      </c>
      <c r="S141" s="22" t="n">
        <v>-25</v>
      </c>
      <c r="T141" s="22" t="n">
        <v>-35</v>
      </c>
      <c r="U141" s="22" t="n">
        <v>-45</v>
      </c>
      <c r="V141" s="22" t="n">
        <v>-44</v>
      </c>
      <c r="W141" s="22" t="n">
        <v>-76</v>
      </c>
      <c r="X141" s="22" t="n">
        <v>-81</v>
      </c>
    </row>
    <row r="142">
      <c r="A142" s="20" t="inlineStr">
        <is>
          <t>보험적립금 적립</t>
        </is>
      </c>
      <c r="D142" s="22" t="n">
        <v>-6</v>
      </c>
      <c r="H142" s="22" t="n">
        <v>-6</v>
      </c>
      <c r="L142" s="22" t="n">
        <v>-6</v>
      </c>
      <c r="Q142" s="22" t="n">
        <v>-6</v>
      </c>
      <c r="R142" s="22" t="n">
        <v>-6</v>
      </c>
      <c r="S142" s="22" t="n">
        <v>-6</v>
      </c>
      <c r="T142" s="22" t="n">
        <v>-6</v>
      </c>
      <c r="U142" s="22" t="n">
        <v>-6</v>
      </c>
      <c r="V142" s="22" t="n">
        <v>-6</v>
      </c>
      <c r="W142" s="22" t="n">
        <v>-6</v>
      </c>
      <c r="X142" s="22" t="n">
        <v>-6</v>
      </c>
    </row>
    <row r="143">
      <c r="A143" s="20" t="inlineStr">
        <is>
          <t>임차보증금·보증금 납입</t>
        </is>
      </c>
      <c r="D143" s="22" t="n">
        <v>-21</v>
      </c>
      <c r="H143" s="22" t="n">
        <v>0</v>
      </c>
      <c r="U143" s="22" t="n">
        <v>0</v>
      </c>
      <c r="V143" s="22" t="n">
        <v>-21</v>
      </c>
      <c r="W143" s="22" t="n">
        <v>0</v>
      </c>
    </row>
    <row r="144">
      <c r="A144" s="20" t="inlineStr">
        <is>
          <t>임차보증금·보증금 회수</t>
        </is>
      </c>
      <c r="D144" s="22" t="n">
        <v>0</v>
      </c>
      <c r="F144" s="22" t="n">
        <v>8</v>
      </c>
      <c r="H144" s="22" t="n">
        <v>8</v>
      </c>
      <c r="J144" s="22" t="n">
        <v>0</v>
      </c>
      <c r="L144" s="22" t="n">
        <v>0</v>
      </c>
      <c r="V144" s="22" t="n">
        <v>0</v>
      </c>
      <c r="W144" s="22" t="n">
        <v>8</v>
      </c>
      <c r="X144" s="22" t="n">
        <v>0</v>
      </c>
    </row>
    <row r="145">
      <c r="A145" s="20" t="inlineStr">
        <is>
          <t>기타</t>
        </is>
      </c>
      <c r="D145" s="22" t="n">
        <v>0</v>
      </c>
      <c r="F145" s="22" t="n">
        <v>-3</v>
      </c>
      <c r="H145" s="22" t="n">
        <v>-3</v>
      </c>
      <c r="J145" s="22" t="n">
        <v>0</v>
      </c>
      <c r="L145" s="22" t="n">
        <v>0</v>
      </c>
      <c r="V145" s="22" t="n">
        <v>0</v>
      </c>
      <c r="W145" s="22" t="n">
        <v>-3</v>
      </c>
      <c r="X145" s="22" t="n">
        <v>0</v>
      </c>
    </row>
    <row r="146">
      <c r="A146" s="9" t="inlineStr">
        <is>
          <t>투자활동 현금흐름</t>
        </is>
      </c>
      <c r="D146" s="12" t="n">
        <v>-94</v>
      </c>
      <c r="F146" s="12" t="n">
        <v>-76</v>
      </c>
      <c r="H146" s="12" t="n">
        <v>-139</v>
      </c>
      <c r="J146" s="12" t="n">
        <v>-20</v>
      </c>
      <c r="L146" s="12" t="n">
        <v>-92</v>
      </c>
      <c r="N146" s="12" t="n">
        <v>-9</v>
      </c>
      <c r="Q146" s="12" t="n">
        <v>-238</v>
      </c>
      <c r="R146" s="12" t="n">
        <v>-36</v>
      </c>
      <c r="S146" s="12" t="n">
        <v>-36</v>
      </c>
      <c r="T146" s="12" t="n">
        <v>-43</v>
      </c>
      <c r="U146" s="12" t="n">
        <v>-72</v>
      </c>
      <c r="V146" s="12" t="n">
        <v>-94</v>
      </c>
      <c r="W146" s="12" t="n">
        <v>-139</v>
      </c>
      <c r="X146" s="12" t="n">
        <v>-92</v>
      </c>
    </row>
    <row r="147">
      <c r="A147" s="20" t="inlineStr">
        <is>
          <t>주식 발행</t>
        </is>
      </c>
      <c r="D147" s="22" t="n">
        <v>6</v>
      </c>
      <c r="F147" s="22" t="n">
        <v>0</v>
      </c>
      <c r="H147" s="22" t="n">
        <v>0</v>
      </c>
      <c r="J147" s="22" t="n">
        <v>0</v>
      </c>
      <c r="N147" s="22" t="n">
        <v>2</v>
      </c>
      <c r="Q147" s="22" t="n">
        <v>0</v>
      </c>
      <c r="R147" s="22" t="n">
        <v>55</v>
      </c>
      <c r="S147" s="22" t="n">
        <v>23</v>
      </c>
      <c r="T147" s="22" t="n">
        <v>0</v>
      </c>
      <c r="U147" s="22" t="n">
        <v>0</v>
      </c>
      <c r="V147" s="22" t="n">
        <v>6</v>
      </c>
      <c r="W147" s="22" t="n">
        <v>0</v>
      </c>
    </row>
    <row r="148">
      <c r="A148" s="20" t="inlineStr">
        <is>
          <t>리스부채 상환</t>
        </is>
      </c>
      <c r="D148" s="22" t="n">
        <v>0</v>
      </c>
      <c r="Q148" s="22" t="n">
        <v>-0</v>
      </c>
      <c r="R148" s="22" t="n">
        <v>-0</v>
      </c>
      <c r="S148" s="22" t="n">
        <v>-0</v>
      </c>
      <c r="T148" s="22" t="n">
        <v>-0</v>
      </c>
      <c r="U148" s="22" t="n">
        <v>-0</v>
      </c>
      <c r="V148" s="22" t="n">
        <v>0</v>
      </c>
    </row>
    <row r="149">
      <c r="A149" s="20" t="inlineStr">
        <is>
          <t>자기주식 취득</t>
        </is>
      </c>
      <c r="D149" s="22" t="n">
        <v>-0</v>
      </c>
      <c r="F149" s="22" t="n">
        <v>0</v>
      </c>
      <c r="H149" s="22" t="n">
        <v>0</v>
      </c>
      <c r="S149" s="22" t="n">
        <v>0</v>
      </c>
      <c r="T149" s="22" t="n">
        <v>-0</v>
      </c>
      <c r="U149" s="22" t="n">
        <v>-0</v>
      </c>
      <c r="V149" s="22" t="n">
        <v>-0</v>
      </c>
      <c r="W149" s="22" t="n">
        <v>0</v>
      </c>
    </row>
    <row r="150">
      <c r="A150" s="20" t="inlineStr">
        <is>
          <t>배당금 지급</t>
        </is>
      </c>
      <c r="D150" s="22" t="n">
        <v>-48</v>
      </c>
      <c r="F150" s="22" t="n">
        <v>-22</v>
      </c>
      <c r="H150" s="22" t="n">
        <v>-47</v>
      </c>
      <c r="J150" s="22" t="n">
        <v>-27</v>
      </c>
      <c r="L150" s="22" t="n">
        <v>-54</v>
      </c>
      <c r="N150" s="22" t="n">
        <v>-28</v>
      </c>
      <c r="Q150" s="22" t="n">
        <v>-12</v>
      </c>
      <c r="R150" s="22" t="n">
        <v>-23</v>
      </c>
      <c r="S150" s="22" t="n">
        <v>-7</v>
      </c>
      <c r="T150" s="22" t="n">
        <v>0</v>
      </c>
      <c r="U150" s="22" t="n">
        <v>0</v>
      </c>
      <c r="V150" s="22" t="n">
        <v>-48</v>
      </c>
      <c r="W150" s="22" t="n">
        <v>-47</v>
      </c>
      <c r="X150" s="22" t="n">
        <v>-54</v>
      </c>
    </row>
    <row r="151">
      <c r="A151" s="9" t="inlineStr">
        <is>
          <t>재무활동 현금흐름</t>
        </is>
      </c>
      <c r="D151" s="12" t="n">
        <v>-42</v>
      </c>
      <c r="F151" s="12" t="n">
        <v>-22</v>
      </c>
      <c r="H151" s="12" t="n">
        <v>-47</v>
      </c>
      <c r="J151" s="12" t="n">
        <v>-27</v>
      </c>
      <c r="L151" s="12" t="n">
        <v>-54</v>
      </c>
      <c r="N151" s="12" t="n">
        <v>-25</v>
      </c>
      <c r="Q151" s="12" t="n">
        <v>-13</v>
      </c>
      <c r="R151" s="12" t="n">
        <v>31</v>
      </c>
      <c r="S151" s="12" t="n">
        <v>15</v>
      </c>
      <c r="T151" s="12" t="n">
        <v>-0</v>
      </c>
      <c r="U151" s="12" t="n">
        <v>-0</v>
      </c>
      <c r="V151" s="12" t="n">
        <v>-42</v>
      </c>
      <c r="W151" s="12" t="n">
        <v>-47</v>
      </c>
      <c r="X151" s="12" t="n">
        <v>-54</v>
      </c>
    </row>
    <row r="152">
      <c r="A152" s="20" t="inlineStr">
        <is>
          <t>현금성자산 증감</t>
        </is>
      </c>
      <c r="D152" s="22" t="n">
        <v>240</v>
      </c>
      <c r="F152" s="22" t="n">
        <v>-44</v>
      </c>
      <c r="H152" s="22" t="n">
        <v>75</v>
      </c>
      <c r="J152" s="22" t="n">
        <v>105</v>
      </c>
      <c r="L152" s="22" t="n">
        <v>250</v>
      </c>
      <c r="N152" s="22" t="n">
        <v>43</v>
      </c>
      <c r="Q152" s="22" t="n">
        <v>-97</v>
      </c>
      <c r="R152" s="22" t="n">
        <v>181</v>
      </c>
      <c r="S152" s="22" t="n">
        <v>-124</v>
      </c>
      <c r="T152" s="22" t="n">
        <v>22</v>
      </c>
      <c r="U152" s="22" t="n">
        <v>101</v>
      </c>
      <c r="V152" s="22" t="n">
        <v>240</v>
      </c>
      <c r="W152" s="22" t="n">
        <v>75</v>
      </c>
      <c r="X152" s="22" t="n">
        <v>250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미크리드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2139</v>
      </c>
      <c r="D5" s="12" t="n">
        <v>2457</v>
      </c>
      <c r="E5" s="12" t="n">
        <v>2393</v>
      </c>
      <c r="F5" s="12" t="n">
        <v>2253</v>
      </c>
      <c r="G5" s="12" t="n">
        <v>2550</v>
      </c>
      <c r="H5" s="11" t="n">
        <v>1074</v>
      </c>
      <c r="I5" s="12" t="n">
        <v>1488</v>
      </c>
      <c r="J5" s="12" t="n">
        <v>1833</v>
      </c>
      <c r="K5" s="12" t="n">
        <v>1975</v>
      </c>
      <c r="L5" s="12" t="n">
        <v>2393</v>
      </c>
    </row>
    <row r="6">
      <c r="A6" s="20" t="inlineStr">
        <is>
          <t>현금및현금성자산</t>
        </is>
      </c>
      <c r="B6" s="10" t="n"/>
      <c r="C6" s="21" t="n">
        <v>1023</v>
      </c>
      <c r="D6" s="22" t="n">
        <v>1110</v>
      </c>
      <c r="E6" s="22" t="n">
        <v>1168</v>
      </c>
      <c r="F6" s="22" t="n">
        <v>1098</v>
      </c>
      <c r="G6" s="22" t="n">
        <v>1212</v>
      </c>
      <c r="H6" s="21" t="n">
        <v>499</v>
      </c>
      <c r="I6" s="22" t="n">
        <v>601</v>
      </c>
      <c r="J6" s="22" t="n">
        <v>842</v>
      </c>
      <c r="K6" s="22" t="n">
        <v>918</v>
      </c>
      <c r="L6" s="22" t="n">
        <v>1168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861</v>
      </c>
      <c r="D8" s="22" t="n">
        <v>1021</v>
      </c>
      <c r="E8" s="22" t="n">
        <v>953</v>
      </c>
      <c r="F8" s="22" t="n">
        <v>880</v>
      </c>
      <c r="G8" s="22" t="n">
        <v>1031</v>
      </c>
      <c r="H8" s="21" t="n">
        <v>403</v>
      </c>
      <c r="I8" s="22" t="n">
        <v>691</v>
      </c>
      <c r="J8" s="22" t="n">
        <v>749</v>
      </c>
      <c r="K8" s="22" t="n">
        <v>824</v>
      </c>
      <c r="L8" s="22" t="n">
        <v>953</v>
      </c>
    </row>
    <row r="9">
      <c r="A9" s="20" t="inlineStr">
        <is>
          <t>재고자산</t>
        </is>
      </c>
      <c r="B9" s="10" t="n"/>
      <c r="C9" s="21" t="n">
        <v>226</v>
      </c>
      <c r="D9" s="22" t="n">
        <v>310</v>
      </c>
      <c r="E9" s="22" t="n">
        <v>254</v>
      </c>
      <c r="F9" s="22" t="n">
        <v>255</v>
      </c>
      <c r="G9" s="22" t="n">
        <v>278</v>
      </c>
      <c r="H9" s="21" t="n">
        <v>153</v>
      </c>
      <c r="I9" s="22" t="n">
        <v>179</v>
      </c>
      <c r="J9" s="22" t="n">
        <v>214</v>
      </c>
      <c r="K9" s="22" t="n">
        <v>220</v>
      </c>
      <c r="L9" s="22" t="n">
        <v>254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374</v>
      </c>
      <c r="D11" s="12" t="n">
        <v>373</v>
      </c>
      <c r="E11" s="12" t="n">
        <v>387</v>
      </c>
      <c r="F11" s="12" t="n">
        <v>374</v>
      </c>
      <c r="G11" s="12" t="n">
        <v>341</v>
      </c>
      <c r="H11" s="11" t="n">
        <v>228</v>
      </c>
      <c r="I11" s="12" t="n">
        <v>197</v>
      </c>
      <c r="J11" s="12" t="n">
        <v>232</v>
      </c>
      <c r="K11" s="12" t="n">
        <v>349</v>
      </c>
      <c r="L11" s="12" t="n">
        <v>387</v>
      </c>
    </row>
    <row r="12">
      <c r="A12" s="20" t="inlineStr">
        <is>
          <t>유형자산</t>
        </is>
      </c>
      <c r="B12" s="10" t="n"/>
      <c r="C12" s="21" t="n">
        <v>113</v>
      </c>
      <c r="D12" s="22" t="n">
        <v>110</v>
      </c>
      <c r="E12" s="22" t="n">
        <v>108</v>
      </c>
      <c r="F12" s="22" t="n">
        <v>106</v>
      </c>
      <c r="G12" s="22" t="n">
        <v>110</v>
      </c>
      <c r="H12" s="21" t="n">
        <v>12</v>
      </c>
      <c r="I12" s="22" t="n">
        <v>22</v>
      </c>
      <c r="J12" s="22" t="n">
        <v>40</v>
      </c>
      <c r="K12" s="22" t="n">
        <v>122</v>
      </c>
      <c r="L12" s="22" t="n">
        <v>108</v>
      </c>
    </row>
    <row r="13">
      <c r="A13" s="20" t="inlineStr">
        <is>
          <t>무형자산</t>
        </is>
      </c>
      <c r="B13" s="10" t="n"/>
      <c r="C13" s="21" t="n">
        <v>167</v>
      </c>
      <c r="D13" s="22" t="n">
        <v>170</v>
      </c>
      <c r="E13" s="22" t="n">
        <v>174</v>
      </c>
      <c r="F13" s="22" t="n">
        <v>163</v>
      </c>
      <c r="G13" s="22" t="n">
        <v>127</v>
      </c>
      <c r="H13" s="21" t="n">
        <v>134</v>
      </c>
      <c r="I13" s="22" t="n">
        <v>116</v>
      </c>
      <c r="J13" s="22" t="n">
        <v>100</v>
      </c>
      <c r="K13" s="22" t="n">
        <v>134</v>
      </c>
      <c r="L13" s="22" t="n">
        <v>174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2513</v>
      </c>
      <c r="D16" s="12" t="n">
        <v>2830</v>
      </c>
      <c r="E16" s="12" t="n">
        <v>2780</v>
      </c>
      <c r="F16" s="12" t="n">
        <v>2627</v>
      </c>
      <c r="G16" s="12" t="n">
        <v>2892</v>
      </c>
      <c r="H16" s="11" t="n">
        <v>1302</v>
      </c>
      <c r="I16" s="12" t="n">
        <v>1685</v>
      </c>
      <c r="J16" s="12" t="n">
        <v>2066</v>
      </c>
      <c r="K16" s="12" t="n">
        <v>2325</v>
      </c>
      <c r="L16" s="12" t="n">
        <v>2780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903</v>
      </c>
      <c r="D18" s="12" t="n">
        <v>1147</v>
      </c>
      <c r="E18" s="12" t="n">
        <v>1074</v>
      </c>
      <c r="F18" s="12" t="n">
        <v>876</v>
      </c>
      <c r="G18" s="12" t="n">
        <v>1048</v>
      </c>
      <c r="H18" s="11" t="n">
        <v>418</v>
      </c>
      <c r="I18" s="12" t="n">
        <v>662</v>
      </c>
      <c r="J18" s="12" t="n">
        <v>853</v>
      </c>
      <c r="K18" s="12" t="n">
        <v>858</v>
      </c>
      <c r="L18" s="12" t="n">
        <v>1074</v>
      </c>
    </row>
    <row r="19">
      <c r="A19" s="20" t="inlineStr">
        <is>
          <t>매입채무</t>
        </is>
      </c>
      <c r="B19" s="10" t="n"/>
      <c r="C19" s="21" t="n">
        <v>623</v>
      </c>
      <c r="D19" s="22" t="n">
        <v>867</v>
      </c>
      <c r="E19" s="22" t="n">
        <v>761</v>
      </c>
      <c r="F19" s="22" t="n">
        <v>651</v>
      </c>
      <c r="G19" s="22" t="n">
        <v>769</v>
      </c>
      <c r="H19" s="21" t="n">
        <v>329</v>
      </c>
      <c r="I19" s="22" t="n">
        <v>490</v>
      </c>
      <c r="J19" s="22" t="n">
        <v>572</v>
      </c>
      <c r="K19" s="22" t="n">
        <v>620</v>
      </c>
      <c r="L19" s="22" t="n">
        <v>761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75</v>
      </c>
      <c r="D23" s="12" t="n">
        <v>77</v>
      </c>
      <c r="E23" s="12" t="n">
        <v>79</v>
      </c>
      <c r="F23" s="12" t="n">
        <v>81</v>
      </c>
      <c r="G23" s="12" t="n">
        <v>80</v>
      </c>
      <c r="H23" s="11" t="n">
        <v>16</v>
      </c>
      <c r="I23" s="12" t="n">
        <v>20</v>
      </c>
      <c r="J23" s="12" t="n">
        <v>30</v>
      </c>
      <c r="K23" s="12" t="n">
        <v>72</v>
      </c>
      <c r="L23" s="12" t="n">
        <v>79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979</v>
      </c>
      <c r="D27" s="12" t="n">
        <v>1225</v>
      </c>
      <c r="E27" s="12" t="n">
        <v>1153</v>
      </c>
      <c r="F27" s="12" t="n">
        <v>957</v>
      </c>
      <c r="G27" s="12" t="n">
        <v>1129</v>
      </c>
      <c r="H27" s="11" t="n">
        <v>435</v>
      </c>
      <c r="I27" s="12" t="n">
        <v>682</v>
      </c>
      <c r="J27" s="12" t="n">
        <v>883</v>
      </c>
      <c r="K27" s="12" t="n">
        <v>931</v>
      </c>
      <c r="L27" s="12" t="n">
        <v>1153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1533</v>
      </c>
      <c r="D31" s="12" t="n">
        <v>1605</v>
      </c>
      <c r="E31" s="12" t="n">
        <v>1627</v>
      </c>
      <c r="F31" s="12" t="n">
        <v>1670</v>
      </c>
      <c r="G31" s="12" t="n">
        <v>1763</v>
      </c>
      <c r="H31" s="11" t="n">
        <v>867</v>
      </c>
      <c r="I31" s="12" t="n">
        <v>1002</v>
      </c>
      <c r="J31" s="12" t="n">
        <v>1182</v>
      </c>
      <c r="K31" s="12" t="n">
        <v>1393</v>
      </c>
      <c r="L31" s="12" t="n">
        <v>1627</v>
      </c>
    </row>
    <row r="32">
      <c r="A32" s="20" t="inlineStr">
        <is>
          <t>자본금</t>
        </is>
      </c>
      <c r="B32" s="10" t="n"/>
      <c r="C32" s="21" t="n">
        <v>98</v>
      </c>
      <c r="D32" s="22" t="n">
        <v>98</v>
      </c>
      <c r="E32" s="22" t="n">
        <v>98</v>
      </c>
      <c r="F32" s="22" t="n">
        <v>99</v>
      </c>
      <c r="G32" s="22" t="n">
        <v>106</v>
      </c>
      <c r="H32" s="21" t="n">
        <v>89</v>
      </c>
      <c r="I32" s="22" t="n">
        <v>90</v>
      </c>
      <c r="J32" s="22" t="n">
        <v>93</v>
      </c>
      <c r="K32" s="22" t="n">
        <v>93</v>
      </c>
      <c r="L32" s="22" t="n">
        <v>98</v>
      </c>
    </row>
    <row r="33">
      <c r="A33" s="20" t="inlineStr">
        <is>
          <t>이익잉여금</t>
        </is>
      </c>
      <c r="B33" s="10" t="n"/>
      <c r="C33" s="21" t="n">
        <v>991</v>
      </c>
      <c r="D33" s="22" t="n">
        <v>1063</v>
      </c>
      <c r="E33" s="22" t="n">
        <v>1085</v>
      </c>
      <c r="F33" s="22" t="n">
        <v>1125</v>
      </c>
      <c r="G33" s="22" t="n">
        <v>1203</v>
      </c>
      <c r="H33" s="21" t="n">
        <v>341</v>
      </c>
      <c r="I33" s="22" t="n">
        <v>476</v>
      </c>
      <c r="J33" s="22" t="n">
        <v>649</v>
      </c>
      <c r="K33" s="22" t="n">
        <v>860</v>
      </c>
      <c r="L33" s="22" t="n">
        <v>1085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1533</v>
      </c>
      <c r="D35" s="12" t="n">
        <v>1605</v>
      </c>
      <c r="E35" s="12" t="n">
        <v>1627</v>
      </c>
      <c r="F35" s="12" t="n">
        <v>1670</v>
      </c>
      <c r="G35" s="12" t="n">
        <v>1763</v>
      </c>
      <c r="H35" s="11" t="n">
        <v>867</v>
      </c>
      <c r="I35" s="12" t="n">
        <v>1002</v>
      </c>
      <c r="J35" s="12" t="n">
        <v>1182</v>
      </c>
      <c r="K35" s="12" t="n">
        <v>1393</v>
      </c>
      <c r="L35" s="12" t="n">
        <v>1627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361</v>
      </c>
      <c r="D37" s="12" t="n"/>
      <c r="E37" s="12" t="n">
        <v>398</v>
      </c>
      <c r="F37" s="12" t="n"/>
      <c r="G37" s="12" t="n">
        <v>324</v>
      </c>
      <c r="H37" s="11" t="n">
        <v>66</v>
      </c>
      <c r="I37" s="12" t="n">
        <v>174</v>
      </c>
      <c r="J37" s="12" t="n">
        <v>378</v>
      </c>
      <c r="K37" s="12" t="n">
        <v>262</v>
      </c>
      <c r="L37" s="12" t="n">
        <v>398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77</v>
      </c>
      <c r="D38" s="22" t="n"/>
      <c r="E38" s="22" t="n">
        <v>86</v>
      </c>
      <c r="F38" s="22" t="n"/>
      <c r="G38" s="22" t="n">
        <v>76</v>
      </c>
      <c r="H38" s="21" t="n">
        <v>36</v>
      </c>
      <c r="I38" s="22" t="n">
        <v>65</v>
      </c>
      <c r="J38" s="22" t="n">
        <v>66</v>
      </c>
      <c r="K38" s="22" t="n">
        <v>139</v>
      </c>
      <c r="L38" s="22" t="n">
        <v>86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52</v>
      </c>
      <c r="D40" s="22" t="n"/>
      <c r="E40" s="22" t="n">
        <v>54</v>
      </c>
      <c r="F40" s="22" t="n"/>
      <c r="G40" s="22" t="n">
        <v>55</v>
      </c>
      <c r="H40" s="21" t="n">
        <v>0</v>
      </c>
      <c r="I40" s="22" t="n">
        <v>0</v>
      </c>
      <c r="J40" s="22" t="n">
        <v>48</v>
      </c>
      <c r="K40" s="22" t="n">
        <v>47</v>
      </c>
      <c r="L40" s="22" t="n">
        <v>54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1023</v>
      </c>
      <c r="D71" s="22" t="n">
        <v>1110</v>
      </c>
      <c r="E71" s="22" t="n">
        <v>1168</v>
      </c>
      <c r="F71" s="22" t="n">
        <v>1098</v>
      </c>
      <c r="G71" s="22" t="n">
        <v>1212</v>
      </c>
      <c r="H71" s="22" t="n">
        <v>499</v>
      </c>
      <c r="I71" s="22" t="n">
        <v>601</v>
      </c>
      <c r="J71" s="22" t="n">
        <v>842</v>
      </c>
      <c r="K71" s="22" t="n">
        <v>918</v>
      </c>
      <c r="L71" s="22" t="n">
        <v>1168</v>
      </c>
    </row>
    <row r="72">
      <c r="A72" s="20" t="inlineStr">
        <is>
          <t>매출채권</t>
        </is>
      </c>
      <c r="C72" s="22" t="n">
        <v>861</v>
      </c>
      <c r="D72" s="22" t="n">
        <v>1021</v>
      </c>
      <c r="E72" s="22" t="n">
        <v>953</v>
      </c>
      <c r="F72" s="22" t="n">
        <v>880</v>
      </c>
      <c r="G72" s="22" t="n">
        <v>1031</v>
      </c>
      <c r="H72" s="22" t="n">
        <v>403</v>
      </c>
      <c r="I72" s="22" t="n">
        <v>691</v>
      </c>
      <c r="J72" s="22" t="n">
        <v>749</v>
      </c>
      <c r="K72" s="22" t="n">
        <v>824</v>
      </c>
      <c r="L72" s="22" t="n">
        <v>953</v>
      </c>
    </row>
    <row r="73">
      <c r="A73" s="20" t="inlineStr">
        <is>
          <t>상품·제품</t>
        </is>
      </c>
      <c r="C73" s="22" t="n">
        <v>225</v>
      </c>
      <c r="D73" s="22" t="n">
        <v>310</v>
      </c>
      <c r="E73" s="22" t="n">
        <v>253</v>
      </c>
      <c r="F73" s="22" t="n">
        <v>255</v>
      </c>
      <c r="G73" s="22" t="n">
        <v>276</v>
      </c>
      <c r="H73" s="22" t="n">
        <v>152</v>
      </c>
      <c r="I73" s="22" t="n">
        <v>178</v>
      </c>
      <c r="J73" s="22" t="n">
        <v>212</v>
      </c>
      <c r="K73" s="22" t="n">
        <v>219</v>
      </c>
      <c r="L73" s="22" t="n">
        <v>253</v>
      </c>
    </row>
    <row r="74">
      <c r="A74" s="20" t="inlineStr">
        <is>
          <t>원재료·저장품</t>
        </is>
      </c>
      <c r="C74" s="22" t="n">
        <v>1</v>
      </c>
      <c r="D74" s="22" t="n">
        <v>0</v>
      </c>
      <c r="E74" s="22" t="n">
        <v>1</v>
      </c>
      <c r="F74" s="22" t="n">
        <v>0</v>
      </c>
      <c r="G74" s="22" t="n">
        <v>2</v>
      </c>
      <c r="H74" s="22" t="n">
        <v>1</v>
      </c>
      <c r="I74" s="22" t="n">
        <v>1</v>
      </c>
      <c r="J74" s="22" t="n">
        <v>2</v>
      </c>
      <c r="K74" s="22" t="n">
        <v>1</v>
      </c>
      <c r="L74" s="22" t="n">
        <v>1</v>
      </c>
    </row>
    <row r="75">
      <c r="A75" s="20" t="inlineStr">
        <is>
          <t>선급비용</t>
        </is>
      </c>
      <c r="C75" s="22" t="n">
        <v>16</v>
      </c>
      <c r="D75" s="22" t="n">
        <v>11</v>
      </c>
      <c r="E75" s="22" t="n">
        <v>9</v>
      </c>
      <c r="F75" s="22" t="n">
        <v>10</v>
      </c>
      <c r="G75" s="22" t="n">
        <v>19</v>
      </c>
      <c r="H75" s="22" t="n">
        <v>5</v>
      </c>
      <c r="I75" s="22" t="n">
        <v>7</v>
      </c>
      <c r="J75" s="22" t="n">
        <v>10</v>
      </c>
      <c r="K75" s="22" t="n">
        <v>4</v>
      </c>
      <c r="L75" s="22" t="n">
        <v>9</v>
      </c>
    </row>
    <row r="76">
      <c r="A76" s="20" t="inlineStr">
        <is>
          <t>미수금</t>
        </is>
      </c>
      <c r="C76" s="22" t="n">
        <v>15</v>
      </c>
      <c r="D76" s="22" t="n">
        <v>8</v>
      </c>
      <c r="E76" s="22" t="n">
        <v>12</v>
      </c>
      <c r="F76" s="22" t="n">
        <v>8</v>
      </c>
      <c r="G76" s="22" t="n">
        <v>15</v>
      </c>
      <c r="H76" s="22" t="n">
        <v>6</v>
      </c>
      <c r="I76" s="22" t="n">
        <v>10</v>
      </c>
      <c r="J76" s="22" t="n">
        <v>12</v>
      </c>
      <c r="K76" s="22" t="n">
        <v>12</v>
      </c>
      <c r="L76" s="22" t="n">
        <v>12</v>
      </c>
    </row>
    <row r="77">
      <c r="A77" s="20" t="inlineStr">
        <is>
          <t>미수 소비세</t>
        </is>
      </c>
      <c r="H77" s="22" t="n">
        <v>6</v>
      </c>
      <c r="I77" s="22" t="n">
        <v>0</v>
      </c>
    </row>
    <row r="78">
      <c r="A78" s="20" t="inlineStr">
        <is>
          <t>미수 환급법인세</t>
        </is>
      </c>
      <c r="H78" s="22" t="n">
        <v>0</v>
      </c>
      <c r="I78" s="22" t="n">
        <v>0</v>
      </c>
    </row>
    <row r="79">
      <c r="A79" s="20" t="inlineStr">
        <is>
          <t>기타</t>
        </is>
      </c>
      <c r="C79" s="22" t="n">
        <v>0</v>
      </c>
      <c r="D79" s="22" t="n">
        <v>0</v>
      </c>
      <c r="E79" s="22" t="n">
        <v>0</v>
      </c>
      <c r="F79" s="22" t="n">
        <v>3</v>
      </c>
      <c r="G79" s="22" t="n">
        <v>0</v>
      </c>
      <c r="H79" s="22" t="n">
        <v>0</v>
      </c>
      <c r="I79" s="22" t="n">
        <v>0</v>
      </c>
      <c r="J79" s="22" t="n">
        <v>8</v>
      </c>
      <c r="K79" s="22" t="n">
        <v>0</v>
      </c>
      <c r="L79" s="22" t="n">
        <v>0</v>
      </c>
    </row>
    <row r="80">
      <c r="A80" s="20" t="inlineStr">
        <is>
          <t>대손충당금</t>
        </is>
      </c>
      <c r="C80" s="22" t="n">
        <v>-5</v>
      </c>
      <c r="D80" s="22" t="n">
        <v>-6</v>
      </c>
      <c r="E80" s="22" t="n">
        <v>-5</v>
      </c>
      <c r="F80" s="22" t="n">
        <v>-6</v>
      </c>
      <c r="G80" s="22" t="n">
        <v>-6</v>
      </c>
      <c r="H80" s="22" t="n">
        <v>-1</v>
      </c>
      <c r="I80" s="22" t="n">
        <v>-3</v>
      </c>
      <c r="J80" s="22" t="n">
        <v>-5</v>
      </c>
      <c r="K80" s="22" t="n">
        <v>-5</v>
      </c>
      <c r="L80" s="22" t="n">
        <v>-5</v>
      </c>
    </row>
    <row r="81">
      <c r="A81" s="9" t="inlineStr">
        <is>
          <t>유동자산 합계</t>
        </is>
      </c>
      <c r="C81" s="12" t="n">
        <v>2139</v>
      </c>
      <c r="D81" s="12" t="n">
        <v>2457</v>
      </c>
      <c r="E81" s="12" t="n">
        <v>2393</v>
      </c>
      <c r="F81" s="12" t="n">
        <v>2253</v>
      </c>
      <c r="G81" s="12" t="n">
        <v>2550</v>
      </c>
      <c r="H81" s="12" t="n">
        <v>1074</v>
      </c>
      <c r="I81" s="12" t="n">
        <v>1488</v>
      </c>
      <c r="J81" s="12" t="n">
        <v>1833</v>
      </c>
      <c r="K81" s="12" t="n">
        <v>1975</v>
      </c>
      <c r="L81" s="12" t="n">
        <v>2393</v>
      </c>
    </row>
    <row r="82">
      <c r="A82" s="20" t="inlineStr">
        <is>
          <t>건물</t>
        </is>
      </c>
      <c r="E82" s="22" t="n">
        <v>106</v>
      </c>
      <c r="H82" s="22" t="n">
        <v>7</v>
      </c>
      <c r="I82" s="22" t="n">
        <v>7</v>
      </c>
      <c r="J82" s="22" t="n">
        <v>18</v>
      </c>
      <c r="K82" s="22" t="n">
        <v>106</v>
      </c>
      <c r="L82" s="22" t="n">
        <v>106</v>
      </c>
    </row>
    <row r="83">
      <c r="A83" s="20" t="inlineStr">
        <is>
          <t>감가상각누계액</t>
        </is>
      </c>
      <c r="E83" s="22" t="n">
        <v>-16</v>
      </c>
      <c r="H83" s="22" t="n">
        <v>-4</v>
      </c>
      <c r="I83" s="22" t="n">
        <v>-5</v>
      </c>
      <c r="J83" s="22" t="n">
        <v>-3</v>
      </c>
      <c r="K83" s="22" t="n">
        <v>-9</v>
      </c>
      <c r="L83" s="22" t="n">
        <v>-16</v>
      </c>
    </row>
    <row r="84">
      <c r="A84" s="20" t="inlineStr">
        <is>
          <t>건물(순액)</t>
        </is>
      </c>
      <c r="E84" s="22" t="n">
        <v>89</v>
      </c>
      <c r="H84" s="22" t="n">
        <v>2</v>
      </c>
      <c r="I84" s="22" t="n">
        <v>1</v>
      </c>
      <c r="J84" s="22" t="n">
        <v>14</v>
      </c>
      <c r="K84" s="22" t="n">
        <v>96</v>
      </c>
      <c r="L84" s="22" t="n">
        <v>89</v>
      </c>
    </row>
    <row r="85">
      <c r="A85" s="20" t="inlineStr">
        <is>
          <t>기계장치</t>
        </is>
      </c>
      <c r="E85" s="22" t="n">
        <v>3</v>
      </c>
      <c r="J85" s="22" t="n">
        <v>0</v>
      </c>
      <c r="K85" s="22" t="n">
        <v>3</v>
      </c>
      <c r="L85" s="22" t="n">
        <v>3</v>
      </c>
    </row>
    <row r="86">
      <c r="A86" s="20" t="inlineStr">
        <is>
          <t>감가상각누계액</t>
        </is>
      </c>
      <c r="E86" s="22" t="n">
        <v>-1</v>
      </c>
      <c r="J86" s="22" t="n">
        <v>0</v>
      </c>
      <c r="K86" s="22" t="n">
        <v>-0</v>
      </c>
      <c r="L86" s="22" t="n">
        <v>-1</v>
      </c>
    </row>
    <row r="87">
      <c r="A87" s="20" t="inlineStr">
        <is>
          <t>기계장치(순액)</t>
        </is>
      </c>
      <c r="E87" s="22" t="n">
        <v>2</v>
      </c>
      <c r="J87" s="22" t="n">
        <v>0</v>
      </c>
      <c r="K87" s="22" t="n">
        <v>2</v>
      </c>
      <c r="L87" s="22" t="n">
        <v>2</v>
      </c>
    </row>
    <row r="88">
      <c r="A88" s="20" t="inlineStr">
        <is>
          <t>공구·기구·비품</t>
        </is>
      </c>
      <c r="E88" s="22" t="n">
        <v>98</v>
      </c>
      <c r="H88" s="22" t="n">
        <v>60</v>
      </c>
      <c r="I88" s="22" t="n">
        <v>81</v>
      </c>
      <c r="J88" s="22" t="n">
        <v>90</v>
      </c>
      <c r="K88" s="22" t="n">
        <v>94</v>
      </c>
      <c r="L88" s="22" t="n">
        <v>98</v>
      </c>
    </row>
    <row r="89">
      <c r="A89" s="20" t="inlineStr">
        <is>
          <t>감가상각누계액</t>
        </is>
      </c>
      <c r="E89" s="22" t="n">
        <v>-81</v>
      </c>
      <c r="H89" s="22" t="n">
        <v>-51</v>
      </c>
      <c r="I89" s="22" t="n">
        <v>-61</v>
      </c>
      <c r="J89" s="22" t="n">
        <v>-65</v>
      </c>
      <c r="K89" s="22" t="n">
        <v>-72</v>
      </c>
      <c r="L89" s="22" t="n">
        <v>-81</v>
      </c>
    </row>
    <row r="90">
      <c r="A90" s="20" t="inlineStr">
        <is>
          <t>공구·기구·비품(순액)</t>
        </is>
      </c>
      <c r="E90" s="22" t="n">
        <v>16</v>
      </c>
      <c r="H90" s="22" t="n">
        <v>9</v>
      </c>
      <c r="I90" s="22" t="n">
        <v>20</v>
      </c>
      <c r="J90" s="22" t="n">
        <v>25</v>
      </c>
      <c r="K90" s="22" t="n">
        <v>22</v>
      </c>
      <c r="L90" s="22" t="n">
        <v>16</v>
      </c>
    </row>
    <row r="91">
      <c r="A91" s="20" t="inlineStr">
        <is>
          <t>리스자산</t>
        </is>
      </c>
      <c r="H91" s="22" t="n">
        <v>4</v>
      </c>
      <c r="I91" s="22" t="n">
        <v>4</v>
      </c>
      <c r="J91" s="22" t="n">
        <v>0</v>
      </c>
    </row>
    <row r="92">
      <c r="A92" s="20" t="inlineStr">
        <is>
          <t>감가상각누계액</t>
        </is>
      </c>
      <c r="H92" s="22" t="n">
        <v>-3</v>
      </c>
      <c r="I92" s="22" t="n">
        <v>-4</v>
      </c>
      <c r="J92" s="22" t="n">
        <v>0</v>
      </c>
    </row>
    <row r="93">
      <c r="A93" s="20" t="inlineStr">
        <is>
          <t>리스자산(순액)</t>
        </is>
      </c>
      <c r="H93" s="22" t="n">
        <v>0</v>
      </c>
      <c r="I93" s="22" t="n">
        <v>0</v>
      </c>
      <c r="J93" s="22" t="n">
        <v>0</v>
      </c>
    </row>
    <row r="94">
      <c r="A94" s="20" t="inlineStr">
        <is>
          <t>유형자산</t>
        </is>
      </c>
      <c r="C94" s="22" t="n">
        <v>113</v>
      </c>
      <c r="D94" s="22" t="n">
        <v>110</v>
      </c>
      <c r="E94" s="22" t="n">
        <v>108</v>
      </c>
      <c r="F94" s="22" t="n">
        <v>106</v>
      </c>
      <c r="G94" s="22" t="n">
        <v>110</v>
      </c>
      <c r="H94" s="22" t="n">
        <v>12</v>
      </c>
      <c r="I94" s="22" t="n">
        <v>22</v>
      </c>
      <c r="J94" s="22" t="n">
        <v>40</v>
      </c>
      <c r="K94" s="22" t="n">
        <v>122</v>
      </c>
      <c r="L94" s="22" t="n">
        <v>108</v>
      </c>
    </row>
    <row r="95">
      <c r="A95" s="20" t="inlineStr">
        <is>
          <t>소프트웨어</t>
        </is>
      </c>
      <c r="C95" s="22" t="n">
        <v>126</v>
      </c>
      <c r="D95" s="22" t="n">
        <v>129</v>
      </c>
      <c r="E95" s="22" t="n">
        <v>135</v>
      </c>
      <c r="F95" s="22" t="n">
        <v>124</v>
      </c>
      <c r="G95" s="22" t="n">
        <v>115</v>
      </c>
      <c r="H95" s="22" t="n">
        <v>134</v>
      </c>
      <c r="I95" s="22" t="n">
        <v>108</v>
      </c>
      <c r="J95" s="22" t="n">
        <v>100</v>
      </c>
      <c r="K95" s="22" t="n">
        <v>121</v>
      </c>
      <c r="L95" s="22" t="n">
        <v>135</v>
      </c>
    </row>
    <row r="96">
      <c r="A96" s="20" t="inlineStr">
        <is>
          <t>개발 중 소프트웨어</t>
        </is>
      </c>
      <c r="H96" s="22" t="n">
        <v>0</v>
      </c>
      <c r="I96" s="22" t="n">
        <v>8</v>
      </c>
      <c r="J96" s="22" t="n">
        <v>0</v>
      </c>
    </row>
    <row r="97">
      <c r="A97" s="20" t="inlineStr">
        <is>
          <t>기타</t>
        </is>
      </c>
      <c r="C97" s="22" t="n">
        <v>40</v>
      </c>
      <c r="D97" s="22" t="n">
        <v>40</v>
      </c>
      <c r="E97" s="22" t="n">
        <v>39</v>
      </c>
      <c r="F97" s="22" t="n">
        <v>39</v>
      </c>
      <c r="G97" s="22" t="n">
        <v>11</v>
      </c>
      <c r="J97" s="22" t="n">
        <v>0</v>
      </c>
      <c r="K97" s="22" t="n">
        <v>13</v>
      </c>
      <c r="L97" s="22" t="n">
        <v>39</v>
      </c>
    </row>
    <row r="98">
      <c r="A98" s="20" t="inlineStr">
        <is>
          <t>무형자산 합계</t>
        </is>
      </c>
      <c r="C98" s="22" t="n">
        <v>167</v>
      </c>
      <c r="D98" s="22" t="n">
        <v>170</v>
      </c>
      <c r="E98" s="22" t="n">
        <v>174</v>
      </c>
      <c r="F98" s="22" t="n">
        <v>163</v>
      </c>
      <c r="G98" s="22" t="n">
        <v>127</v>
      </c>
      <c r="H98" s="22" t="n">
        <v>134</v>
      </c>
      <c r="I98" s="22" t="n">
        <v>116</v>
      </c>
      <c r="J98" s="22" t="n">
        <v>100</v>
      </c>
      <c r="K98" s="22" t="n">
        <v>134</v>
      </c>
      <c r="L98" s="22" t="n">
        <v>174</v>
      </c>
    </row>
    <row r="99">
      <c r="A99" s="20" t="inlineStr">
        <is>
          <t>파산갱생채권 등</t>
        </is>
      </c>
      <c r="C99" s="22" t="n">
        <v>0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L99" s="22" t="n">
        <v>0</v>
      </c>
    </row>
    <row r="100">
      <c r="A100" s="20" t="inlineStr">
        <is>
          <t>이연법인세자산</t>
        </is>
      </c>
      <c r="C100" s="22" t="n">
        <v>16</v>
      </c>
      <c r="D100" s="22" t="n">
        <v>16</v>
      </c>
      <c r="E100" s="22" t="n">
        <v>21</v>
      </c>
      <c r="F100" s="22" t="n">
        <v>21</v>
      </c>
      <c r="G100" s="22" t="n">
        <v>21</v>
      </c>
      <c r="H100" s="22" t="n">
        <v>35</v>
      </c>
      <c r="I100" s="22" t="n">
        <v>7</v>
      </c>
      <c r="J100" s="22" t="n">
        <v>21</v>
      </c>
      <c r="K100" s="22" t="n">
        <v>16</v>
      </c>
      <c r="L100" s="22" t="n">
        <v>21</v>
      </c>
    </row>
    <row r="101">
      <c r="A101" s="20" t="inlineStr">
        <is>
          <t>기타</t>
        </is>
      </c>
      <c r="C101" s="22" t="n">
        <v>76</v>
      </c>
      <c r="D101" s="22" t="n">
        <v>76</v>
      </c>
      <c r="E101" s="22" t="n">
        <v>82</v>
      </c>
      <c r="F101" s="22" t="n">
        <v>82</v>
      </c>
      <c r="G101" s="22" t="n">
        <v>82</v>
      </c>
      <c r="H101" s="22" t="n">
        <v>45</v>
      </c>
      <c r="I101" s="22" t="n">
        <v>51</v>
      </c>
      <c r="J101" s="22" t="n">
        <v>70</v>
      </c>
      <c r="K101" s="22" t="n">
        <v>76</v>
      </c>
      <c r="L101" s="22" t="n">
        <v>82</v>
      </c>
    </row>
    <row r="102">
      <c r="A102" s="20" t="inlineStr">
        <is>
          <t>대손충당금</t>
        </is>
      </c>
      <c r="C102" s="22" t="n">
        <v>-0</v>
      </c>
      <c r="D102" s="22" t="n">
        <v>-0</v>
      </c>
      <c r="E102" s="22" t="n">
        <v>-0</v>
      </c>
      <c r="F102" s="22" t="n">
        <v>-0</v>
      </c>
      <c r="G102" s="22" t="n">
        <v>-0</v>
      </c>
      <c r="H102" s="22" t="n">
        <v>-0</v>
      </c>
      <c r="I102" s="22" t="n">
        <v>-0</v>
      </c>
      <c r="J102" s="22" t="n">
        <v>-0</v>
      </c>
      <c r="K102" s="22" t="n">
        <v>-0</v>
      </c>
      <c r="L102" s="22" t="n">
        <v>-0</v>
      </c>
    </row>
    <row r="103">
      <c r="A103" s="20" t="inlineStr">
        <is>
          <t>투자 및 기타자산 합계</t>
        </is>
      </c>
      <c r="C103" s="22" t="n">
        <v>92</v>
      </c>
      <c r="D103" s="22" t="n">
        <v>92</v>
      </c>
      <c r="E103" s="22" t="n">
        <v>103</v>
      </c>
      <c r="F103" s="22" t="n">
        <v>103</v>
      </c>
      <c r="G103" s="22" t="n">
        <v>103</v>
      </c>
      <c r="H103" s="22" t="n">
        <v>81</v>
      </c>
      <c r="I103" s="22" t="n">
        <v>58</v>
      </c>
      <c r="J103" s="22" t="n">
        <v>92</v>
      </c>
      <c r="K103" s="22" t="n">
        <v>92</v>
      </c>
      <c r="L103" s="22" t="n">
        <v>103</v>
      </c>
    </row>
    <row r="104">
      <c r="A104" s="9" t="inlineStr">
        <is>
          <t>비유동자산 합계</t>
        </is>
      </c>
      <c r="C104" s="12" t="n">
        <v>374</v>
      </c>
      <c r="D104" s="12" t="n">
        <v>373</v>
      </c>
      <c r="E104" s="12" t="n">
        <v>387</v>
      </c>
      <c r="F104" s="12" t="n">
        <v>374</v>
      </c>
      <c r="G104" s="12" t="n">
        <v>341</v>
      </c>
      <c r="H104" s="12" t="n">
        <v>228</v>
      </c>
      <c r="I104" s="12" t="n">
        <v>197</v>
      </c>
      <c r="J104" s="12" t="n">
        <v>232</v>
      </c>
      <c r="K104" s="12" t="n">
        <v>349</v>
      </c>
      <c r="L104" s="12" t="n">
        <v>387</v>
      </c>
    </row>
    <row r="105">
      <c r="A105" s="9" t="inlineStr">
        <is>
          <t>자산 합계</t>
        </is>
      </c>
      <c r="C105" s="12" t="n">
        <v>2513</v>
      </c>
      <c r="D105" s="12" t="n">
        <v>2830</v>
      </c>
      <c r="E105" s="12" t="n">
        <v>2780</v>
      </c>
      <c r="F105" s="12" t="n">
        <v>2627</v>
      </c>
      <c r="G105" s="12" t="n">
        <v>2892</v>
      </c>
      <c r="H105" s="12" t="n">
        <v>1302</v>
      </c>
      <c r="I105" s="12" t="n">
        <v>1685</v>
      </c>
      <c r="J105" s="12" t="n">
        <v>2066</v>
      </c>
      <c r="K105" s="12" t="n">
        <v>2325</v>
      </c>
      <c r="L105" s="12" t="n">
        <v>2780</v>
      </c>
    </row>
    <row r="106">
      <c r="A106" s="20" t="inlineStr">
        <is>
          <t>매입채무</t>
        </is>
      </c>
      <c r="C106" s="22" t="n">
        <v>623</v>
      </c>
      <c r="D106" s="22" t="n">
        <v>867</v>
      </c>
      <c r="E106" s="22" t="n">
        <v>761</v>
      </c>
      <c r="F106" s="22" t="n">
        <v>651</v>
      </c>
      <c r="G106" s="22" t="n">
        <v>769</v>
      </c>
      <c r="H106" s="22" t="n">
        <v>329</v>
      </c>
      <c r="I106" s="22" t="n">
        <v>490</v>
      </c>
      <c r="J106" s="22" t="n">
        <v>572</v>
      </c>
      <c r="K106" s="22" t="n">
        <v>620</v>
      </c>
      <c r="L106" s="22" t="n">
        <v>761</v>
      </c>
    </row>
    <row r="107">
      <c r="A107" s="20" t="inlineStr">
        <is>
          <t>리스부채</t>
        </is>
      </c>
      <c r="H107" s="22" t="n">
        <v>0</v>
      </c>
      <c r="I107" s="22" t="n">
        <v>0</v>
      </c>
    </row>
    <row r="108">
      <c r="A108" s="20" t="inlineStr">
        <is>
          <t>미지급금</t>
        </is>
      </c>
      <c r="C108" s="22" t="n">
        <v>174</v>
      </c>
      <c r="D108" s="22" t="n">
        <v>176</v>
      </c>
      <c r="E108" s="22" t="n">
        <v>195</v>
      </c>
      <c r="F108" s="22" t="n">
        <v>166</v>
      </c>
      <c r="G108" s="22" t="n">
        <v>181</v>
      </c>
      <c r="H108" s="22" t="n">
        <v>82</v>
      </c>
      <c r="I108" s="22" t="n">
        <v>111</v>
      </c>
      <c r="J108" s="22" t="n">
        <v>154</v>
      </c>
      <c r="K108" s="22" t="n">
        <v>156</v>
      </c>
      <c r="L108" s="22" t="n">
        <v>195</v>
      </c>
    </row>
    <row r="109">
      <c r="A109" s="20" t="inlineStr">
        <is>
          <t>미지급비용</t>
        </is>
      </c>
      <c r="C109" s="22" t="n">
        <v>2</v>
      </c>
      <c r="D109" s="22" t="n">
        <v>2</v>
      </c>
      <c r="E109" s="22" t="n">
        <v>7</v>
      </c>
      <c r="F109" s="22" t="n">
        <v>3</v>
      </c>
      <c r="G109" s="22" t="n">
        <v>3</v>
      </c>
      <c r="H109" s="22" t="n">
        <v>1</v>
      </c>
      <c r="I109" s="22" t="n">
        <v>5</v>
      </c>
      <c r="J109" s="22" t="n">
        <v>10</v>
      </c>
      <c r="K109" s="22" t="n">
        <v>7</v>
      </c>
      <c r="L109" s="22" t="n">
        <v>7</v>
      </c>
    </row>
    <row r="110">
      <c r="A110" s="20" t="inlineStr">
        <is>
          <t>미지급법인세</t>
        </is>
      </c>
      <c r="C110" s="22" t="n">
        <v>83</v>
      </c>
      <c r="D110" s="22" t="n">
        <v>84</v>
      </c>
      <c r="E110" s="22" t="n">
        <v>82</v>
      </c>
      <c r="F110" s="22" t="n">
        <v>35</v>
      </c>
      <c r="G110" s="22" t="n">
        <v>75</v>
      </c>
      <c r="H110" s="22" t="n">
        <v>0</v>
      </c>
      <c r="I110" s="22" t="n">
        <v>33</v>
      </c>
      <c r="J110" s="22" t="n">
        <v>91</v>
      </c>
      <c r="K110" s="22" t="n">
        <v>48</v>
      </c>
      <c r="L110" s="22" t="n">
        <v>82</v>
      </c>
    </row>
    <row r="111">
      <c r="A111" s="20" t="inlineStr">
        <is>
          <t>미지급 소비세</t>
        </is>
      </c>
      <c r="C111" s="22" t="n">
        <v>11</v>
      </c>
      <c r="D111" s="22" t="n">
        <v>10</v>
      </c>
      <c r="E111" s="22" t="n">
        <v>12</v>
      </c>
      <c r="F111" s="22" t="n">
        <v>9</v>
      </c>
      <c r="G111" s="22" t="n">
        <v>9</v>
      </c>
      <c r="H111" s="22" t="n">
        <v>0</v>
      </c>
      <c r="I111" s="22" t="n">
        <v>11</v>
      </c>
      <c r="J111" s="22" t="n">
        <v>9</v>
      </c>
      <c r="K111" s="22" t="n">
        <v>6</v>
      </c>
      <c r="L111" s="22" t="n">
        <v>12</v>
      </c>
    </row>
    <row r="112">
      <c r="A112" s="20" t="inlineStr">
        <is>
          <t>예수금</t>
        </is>
      </c>
      <c r="C112" s="22" t="n">
        <v>3</v>
      </c>
      <c r="D112" s="22" t="n">
        <v>3</v>
      </c>
      <c r="E112" s="22" t="n">
        <v>12</v>
      </c>
      <c r="F112" s="22" t="n">
        <v>7</v>
      </c>
      <c r="G112" s="22" t="n">
        <v>4</v>
      </c>
      <c r="H112" s="22" t="n">
        <v>2</v>
      </c>
      <c r="I112" s="22" t="n">
        <v>8</v>
      </c>
      <c r="J112" s="22" t="n">
        <v>10</v>
      </c>
      <c r="K112" s="22" t="n">
        <v>14</v>
      </c>
      <c r="L112" s="22" t="n">
        <v>12</v>
      </c>
    </row>
    <row r="113">
      <c r="A113" s="20" t="inlineStr">
        <is>
          <t>자산복구부채</t>
        </is>
      </c>
      <c r="I113" s="22" t="n">
        <v>0</v>
      </c>
      <c r="J113" s="22" t="n">
        <v>3</v>
      </c>
      <c r="K113" s="22" t="n">
        <v>0</v>
      </c>
    </row>
    <row r="114">
      <c r="A114" s="20" t="inlineStr">
        <is>
          <t>기타</t>
        </is>
      </c>
      <c r="C114" s="22" t="n">
        <v>4</v>
      </c>
      <c r="D114" s="22" t="n">
        <v>2</v>
      </c>
      <c r="E114" s="22" t="n">
        <v>2</v>
      </c>
      <c r="F114" s="22" t="n">
        <v>3</v>
      </c>
      <c r="G114" s="22" t="n">
        <v>3</v>
      </c>
      <c r="H114" s="22" t="n">
        <v>1</v>
      </c>
      <c r="I114" s="22" t="n">
        <v>1</v>
      </c>
      <c r="J114" s="22" t="n">
        <v>2</v>
      </c>
      <c r="K114" s="22" t="n">
        <v>3</v>
      </c>
      <c r="L114" s="22" t="n">
        <v>2</v>
      </c>
    </row>
    <row r="115">
      <c r="A115" s="9" t="inlineStr">
        <is>
          <t>유동부채 합계</t>
        </is>
      </c>
      <c r="C115" s="12" t="n">
        <v>903</v>
      </c>
      <c r="D115" s="12" t="n">
        <v>1147</v>
      </c>
      <c r="E115" s="12" t="n">
        <v>1074</v>
      </c>
      <c r="F115" s="12" t="n">
        <v>876</v>
      </c>
      <c r="G115" s="12" t="n">
        <v>1048</v>
      </c>
      <c r="H115" s="12" t="n">
        <v>418</v>
      </c>
      <c r="I115" s="12" t="n">
        <v>662</v>
      </c>
      <c r="J115" s="12" t="n">
        <v>853</v>
      </c>
      <c r="K115" s="12" t="n">
        <v>858</v>
      </c>
      <c r="L115" s="12" t="n">
        <v>1074</v>
      </c>
    </row>
    <row r="116">
      <c r="A116" s="20" t="inlineStr">
        <is>
          <t>리스부채</t>
        </is>
      </c>
      <c r="H116" s="22" t="n">
        <v>0</v>
      </c>
    </row>
    <row r="117">
      <c r="A117" s="20" t="inlineStr">
        <is>
          <t>퇴직급여충당금</t>
        </is>
      </c>
      <c r="C117" s="22" t="n">
        <v>27</v>
      </c>
      <c r="D117" s="22" t="n">
        <v>29</v>
      </c>
      <c r="E117" s="22" t="n">
        <v>30</v>
      </c>
      <c r="F117" s="22" t="n">
        <v>32</v>
      </c>
      <c r="G117" s="22" t="n">
        <v>32</v>
      </c>
      <c r="H117" s="22" t="n">
        <v>14</v>
      </c>
      <c r="I117" s="22" t="n">
        <v>18</v>
      </c>
      <c r="J117" s="22" t="n">
        <v>22</v>
      </c>
      <c r="K117" s="22" t="n">
        <v>24</v>
      </c>
      <c r="L117" s="22" t="n">
        <v>30</v>
      </c>
    </row>
    <row r="118">
      <c r="A118" s="20" t="inlineStr">
        <is>
          <t>자산복구부채</t>
        </is>
      </c>
      <c r="C118" s="22" t="n">
        <v>48</v>
      </c>
      <c r="D118" s="22" t="n">
        <v>48</v>
      </c>
      <c r="E118" s="22" t="n">
        <v>48</v>
      </c>
      <c r="F118" s="22" t="n">
        <v>48</v>
      </c>
      <c r="G118" s="22" t="n">
        <v>48</v>
      </c>
      <c r="H118" s="22" t="n">
        <v>1</v>
      </c>
      <c r="I118" s="22" t="n">
        <v>1</v>
      </c>
      <c r="J118" s="22" t="n">
        <v>7</v>
      </c>
      <c r="K118" s="22" t="n">
        <v>47</v>
      </c>
      <c r="L118" s="22" t="n">
        <v>48</v>
      </c>
    </row>
    <row r="119">
      <c r="A119" s="9" t="inlineStr">
        <is>
          <t>비유동부채 합계</t>
        </is>
      </c>
      <c r="C119" s="12" t="n">
        <v>75</v>
      </c>
      <c r="D119" s="12" t="n">
        <v>77</v>
      </c>
      <c r="E119" s="12" t="n">
        <v>79</v>
      </c>
      <c r="F119" s="12" t="n">
        <v>81</v>
      </c>
      <c r="G119" s="12" t="n">
        <v>80</v>
      </c>
      <c r="H119" s="12" t="n">
        <v>16</v>
      </c>
      <c r="I119" s="12" t="n">
        <v>20</v>
      </c>
      <c r="J119" s="12" t="n">
        <v>30</v>
      </c>
      <c r="K119" s="12" t="n">
        <v>72</v>
      </c>
      <c r="L119" s="12" t="n">
        <v>79</v>
      </c>
    </row>
    <row r="120">
      <c r="A120" s="9" t="inlineStr">
        <is>
          <t>부채 합계</t>
        </is>
      </c>
      <c r="C120" s="12" t="n">
        <v>979</v>
      </c>
      <c r="D120" s="12" t="n">
        <v>1225</v>
      </c>
      <c r="E120" s="12" t="n">
        <v>1153</v>
      </c>
      <c r="F120" s="12" t="n">
        <v>957</v>
      </c>
      <c r="G120" s="12" t="n">
        <v>1129</v>
      </c>
      <c r="H120" s="12" t="n">
        <v>435</v>
      </c>
      <c r="I120" s="12" t="n">
        <v>682</v>
      </c>
      <c r="J120" s="12" t="n">
        <v>883</v>
      </c>
      <c r="K120" s="12" t="n">
        <v>931</v>
      </c>
      <c r="L120" s="12" t="n">
        <v>1153</v>
      </c>
    </row>
    <row r="121">
      <c r="A121" s="20" t="inlineStr">
        <is>
          <t>자본금</t>
        </is>
      </c>
      <c r="C121" s="22" t="n">
        <v>98</v>
      </c>
      <c r="D121" s="22" t="n">
        <v>98</v>
      </c>
      <c r="E121" s="22" t="n">
        <v>98</v>
      </c>
      <c r="F121" s="22" t="n">
        <v>99</v>
      </c>
      <c r="G121" s="22" t="n">
        <v>106</v>
      </c>
      <c r="H121" s="22" t="n">
        <v>89</v>
      </c>
      <c r="I121" s="22" t="n">
        <v>90</v>
      </c>
      <c r="J121" s="22" t="n">
        <v>93</v>
      </c>
      <c r="K121" s="22" t="n">
        <v>93</v>
      </c>
      <c r="L121" s="22" t="n">
        <v>98</v>
      </c>
    </row>
    <row r="122">
      <c r="A122" s="20" t="inlineStr">
        <is>
          <t>자본준비금</t>
        </is>
      </c>
      <c r="E122" s="22" t="n">
        <v>444</v>
      </c>
      <c r="H122" s="22" t="n">
        <v>436</v>
      </c>
      <c r="I122" s="22" t="n">
        <v>436</v>
      </c>
      <c r="J122" s="22" t="n">
        <v>439</v>
      </c>
      <c r="K122" s="22" t="n">
        <v>439</v>
      </c>
      <c r="L122" s="22" t="n">
        <v>444</v>
      </c>
    </row>
    <row r="123">
      <c r="A123" s="20" t="inlineStr">
        <is>
          <t>자본잉여금</t>
        </is>
      </c>
      <c r="C123" s="22" t="n">
        <v>444</v>
      </c>
      <c r="D123" s="22" t="n">
        <v>444</v>
      </c>
      <c r="E123" s="22" t="n">
        <v>444</v>
      </c>
      <c r="F123" s="22" t="n">
        <v>445</v>
      </c>
      <c r="G123" s="22" t="n">
        <v>453</v>
      </c>
      <c r="H123" s="22" t="n">
        <v>436</v>
      </c>
      <c r="I123" s="22" t="n">
        <v>436</v>
      </c>
      <c r="J123" s="22" t="n">
        <v>439</v>
      </c>
      <c r="K123" s="22" t="n">
        <v>439</v>
      </c>
      <c r="L123" s="22" t="n">
        <v>444</v>
      </c>
    </row>
    <row r="124">
      <c r="A124" s="20" t="inlineStr">
        <is>
          <t>이익준비금</t>
        </is>
      </c>
      <c r="E124" s="22" t="n">
        <v>2</v>
      </c>
      <c r="H124" s="22" t="n">
        <v>2</v>
      </c>
      <c r="I124" s="22" t="n">
        <v>2</v>
      </c>
      <c r="J124" s="22" t="n">
        <v>2</v>
      </c>
      <c r="K124" s="22" t="n">
        <v>2</v>
      </c>
      <c r="L124" s="22" t="n">
        <v>2</v>
      </c>
    </row>
    <row r="125">
      <c r="A125" s="20" t="inlineStr">
        <is>
          <t>이월이익잉여금</t>
        </is>
      </c>
      <c r="E125" s="22" t="n">
        <v>1082</v>
      </c>
      <c r="H125" s="22" t="n">
        <v>338</v>
      </c>
      <c r="I125" s="22" t="n">
        <v>473</v>
      </c>
      <c r="J125" s="22" t="n">
        <v>646</v>
      </c>
      <c r="K125" s="22" t="n">
        <v>857</v>
      </c>
      <c r="L125" s="22" t="n">
        <v>1082</v>
      </c>
    </row>
    <row r="126">
      <c r="A126" s="20" t="inlineStr">
        <is>
          <t>이익잉여금</t>
        </is>
      </c>
      <c r="C126" s="22" t="n">
        <v>991</v>
      </c>
      <c r="D126" s="22" t="n">
        <v>1063</v>
      </c>
      <c r="E126" s="22" t="n">
        <v>1085</v>
      </c>
      <c r="F126" s="22" t="n">
        <v>1125</v>
      </c>
      <c r="G126" s="22" t="n">
        <v>1203</v>
      </c>
      <c r="H126" s="22" t="n">
        <v>341</v>
      </c>
      <c r="I126" s="22" t="n">
        <v>476</v>
      </c>
      <c r="J126" s="22" t="n">
        <v>649</v>
      </c>
      <c r="K126" s="22" t="n">
        <v>860</v>
      </c>
      <c r="L126" s="22" t="n">
        <v>1085</v>
      </c>
    </row>
    <row r="127">
      <c r="A127" s="20" t="inlineStr">
        <is>
          <t>자기주식</t>
        </is>
      </c>
      <c r="C127" s="22" t="n">
        <v>-0</v>
      </c>
      <c r="D127" s="22" t="n">
        <v>-0</v>
      </c>
      <c r="E127" s="22" t="n">
        <v>-0</v>
      </c>
      <c r="F127" s="22" t="n">
        <v>-0</v>
      </c>
      <c r="G127" s="22" t="n">
        <v>-0</v>
      </c>
      <c r="H127" s="22" t="n">
        <v>-0</v>
      </c>
      <c r="I127" s="22" t="n">
        <v>-0</v>
      </c>
      <c r="J127" s="22" t="n">
        <v>-0</v>
      </c>
      <c r="K127" s="22" t="n">
        <v>-0</v>
      </c>
      <c r="L127" s="22" t="n">
        <v>-0</v>
      </c>
    </row>
    <row r="128">
      <c r="A128" s="9" t="inlineStr">
        <is>
          <t>주주자본 합계</t>
        </is>
      </c>
      <c r="C128" s="12" t="n">
        <v>1533</v>
      </c>
      <c r="D128" s="12" t="n">
        <v>1605</v>
      </c>
      <c r="E128" s="12" t="n">
        <v>1627</v>
      </c>
      <c r="F128" s="12" t="n">
        <v>1670</v>
      </c>
      <c r="G128" s="12" t="n">
        <v>1763</v>
      </c>
      <c r="H128" s="12" t="n">
        <v>867</v>
      </c>
      <c r="I128" s="12" t="n">
        <v>1002</v>
      </c>
      <c r="J128" s="12" t="n">
        <v>1182</v>
      </c>
      <c r="K128" s="12" t="n">
        <v>1393</v>
      </c>
      <c r="L128" s="12" t="n">
        <v>1627</v>
      </c>
    </row>
    <row r="129">
      <c r="A129" s="9" t="inlineStr">
        <is>
          <t>순자산 합계</t>
        </is>
      </c>
      <c r="C129" s="12" t="n">
        <v>1533</v>
      </c>
      <c r="D129" s="12" t="n">
        <v>1605</v>
      </c>
      <c r="E129" s="12" t="n">
        <v>1627</v>
      </c>
      <c r="F129" s="12" t="n">
        <v>1670</v>
      </c>
      <c r="G129" s="12" t="n">
        <v>1763</v>
      </c>
      <c r="H129" s="12" t="n">
        <v>867</v>
      </c>
      <c r="I129" s="12" t="n">
        <v>1002</v>
      </c>
      <c r="J129" s="12" t="n">
        <v>1182</v>
      </c>
      <c r="K129" s="12" t="n">
        <v>1393</v>
      </c>
      <c r="L129" s="12" t="n">
        <v>1627</v>
      </c>
    </row>
    <row r="130">
      <c r="A130" s="9" t="inlineStr">
        <is>
          <t>부채·순자산 합계</t>
        </is>
      </c>
      <c r="C130" s="12" t="n">
        <v>2513</v>
      </c>
      <c r="D130" s="12" t="n">
        <v>2830</v>
      </c>
      <c r="E130" s="12" t="n">
        <v>2780</v>
      </c>
      <c r="F130" s="12" t="n">
        <v>2627</v>
      </c>
      <c r="G130" s="12" t="n">
        <v>2892</v>
      </c>
      <c r="H130" s="12" t="n">
        <v>1302</v>
      </c>
      <c r="I130" s="12" t="n">
        <v>1685</v>
      </c>
      <c r="J130" s="12" t="n">
        <v>2066</v>
      </c>
      <c r="K130" s="12" t="n">
        <v>2325</v>
      </c>
      <c r="L130" s="12" t="n">
        <v>2780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2" t="inlineStr">
        <is>
          <t>미크리드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quarter · q standalone</t>
        </is>
      </c>
      <c r="B4" s="54" t="n"/>
      <c r="C4" s="54" t="n"/>
      <c r="D4" s="54" t="n"/>
      <c r="E4" s="54" t="n"/>
      <c r="F4" s="54" t="n"/>
      <c r="G4" s="54" t="n"/>
    </row>
    <row r="5">
      <c r="A5" s="55" t="inlineStr">
        <is>
          <t>항목</t>
        </is>
      </c>
      <c r="B5" s="55" t="inlineStr">
        <is>
          <t>값</t>
        </is>
      </c>
      <c r="G5" s="55" t="inlineStr">
        <is>
          <t>출처</t>
        </is>
      </c>
    </row>
    <row r="6">
      <c r="A6" s="56" t="inlineStr">
        <is>
          <t>매출</t>
        </is>
      </c>
      <c r="B6" s="57" t="n">
        <v>22.67</v>
      </c>
      <c r="G6" s="58" t="inlineStr">
        <is>
          <t>2단계 보고서 자료(회사 설명회 자료·공시)</t>
        </is>
      </c>
    </row>
    <row r="7">
      <c r="A7" s="56" t="inlineStr">
        <is>
          <t>영업이익</t>
        </is>
      </c>
      <c r="B7" s="57" t="n">
        <v>1.37</v>
      </c>
    </row>
    <row r="8">
      <c r="A8" s="56" t="inlineStr">
        <is>
          <t>ordinary</t>
        </is>
      </c>
      <c r="B8" s="57" t="n">
        <v>1.39</v>
      </c>
    </row>
    <row r="9">
      <c r="A9" s="56" t="inlineStr">
        <is>
          <t>순이익</t>
        </is>
      </c>
      <c r="B9" s="57" t="n">
        <v>0.78</v>
      </c>
    </row>
    <row r="10">
      <c r="A10" s="56" t="inlineStr">
        <is>
          <t>매출 YoY %</t>
        </is>
      </c>
      <c r="B10" s="57" t="n">
        <v>16.2</v>
      </c>
    </row>
    <row r="11">
      <c r="A11" s="56" t="inlineStr">
        <is>
          <t>영업이익 YoY %</t>
        </is>
      </c>
      <c r="B11" s="57" t="n">
        <v>11.4</v>
      </c>
    </row>
    <row r="13">
      <c r="A13" s="54" t="inlineStr">
        <is>
          <t>this quarter · 상반기</t>
        </is>
      </c>
      <c r="B13" s="54" t="n"/>
      <c r="C13" s="54" t="n"/>
      <c r="D13" s="54" t="n"/>
      <c r="E13" s="54" t="n"/>
      <c r="F13" s="54" t="n"/>
      <c r="G13" s="54" t="n"/>
    </row>
    <row r="14">
      <c r="A14" s="55" t="inlineStr">
        <is>
          <t>항목</t>
        </is>
      </c>
      <c r="B14" s="55" t="inlineStr">
        <is>
          <t>값</t>
        </is>
      </c>
      <c r="G14" s="55" t="inlineStr">
        <is>
          <t>출처</t>
        </is>
      </c>
    </row>
    <row r="15">
      <c r="A15" s="56" t="inlineStr">
        <is>
          <t>매출</t>
        </is>
      </c>
      <c r="B15" s="57" t="n">
        <v>43.04</v>
      </c>
      <c r="G15" s="58" t="inlineStr">
        <is>
          <t>2단계 보고서 자료(회사 설명회 자료·공시)</t>
        </is>
      </c>
    </row>
    <row r="16">
      <c r="A16" s="56" t="inlineStr">
        <is>
          <t>매출 YoY</t>
        </is>
      </c>
      <c r="B16" s="57" t="n">
        <v>14.5</v>
      </c>
    </row>
    <row r="17">
      <c r="A17" s="56" t="inlineStr">
        <is>
          <t>gp</t>
        </is>
      </c>
      <c r="B17" s="57" t="n">
        <v>14.71</v>
      </c>
    </row>
    <row r="18">
      <c r="A18" s="56" t="inlineStr">
        <is>
          <t>매출총이익률</t>
        </is>
      </c>
      <c r="B18" s="57" t="n">
        <v>34.2</v>
      </c>
    </row>
    <row r="19">
      <c r="A19" s="56" t="inlineStr">
        <is>
          <t>매출총이익률 prior</t>
        </is>
      </c>
      <c r="B19" s="57" t="n">
        <v>34.5</v>
      </c>
    </row>
    <row r="20">
      <c r="A20" s="56" t="inlineStr">
        <is>
          <t>sga</t>
        </is>
      </c>
      <c r="B20" s="57" t="n">
        <v>12.35</v>
      </c>
    </row>
    <row r="21">
      <c r="A21" s="56" t="inlineStr">
        <is>
          <t>sga prior</t>
        </is>
      </c>
      <c r="B21" s="57" t="n">
        <v>10.57</v>
      </c>
    </row>
    <row r="22">
      <c r="A22" s="56" t="inlineStr">
        <is>
          <t>영업이익</t>
        </is>
      </c>
      <c r="B22" s="57" t="n">
        <v>2.36</v>
      </c>
    </row>
    <row r="23">
      <c r="A23" s="56" t="inlineStr">
        <is>
          <t>영업이익 YoY</t>
        </is>
      </c>
      <c r="B23" s="57" t="n">
        <v>-1.6</v>
      </c>
    </row>
    <row r="24">
      <c r="A24" s="56" t="inlineStr">
        <is>
          <t>ordinary</t>
        </is>
      </c>
      <c r="B24" s="57" t="n">
        <v>2.39</v>
      </c>
    </row>
    <row r="25">
      <c r="A25" s="56" t="inlineStr">
        <is>
          <t>impairment special loss</t>
        </is>
      </c>
      <c r="B25" s="57" t="n">
        <v>0.24</v>
      </c>
    </row>
    <row r="26">
      <c r="A26" s="56" t="inlineStr">
        <is>
          <t>pbt</t>
        </is>
      </c>
      <c r="B26" s="57" t="n">
        <v>2.14</v>
      </c>
    </row>
    <row r="27">
      <c r="A27" s="56" t="inlineStr">
        <is>
          <t>tax</t>
        </is>
      </c>
      <c r="B27" s="57" t="n">
        <v>0.67</v>
      </c>
    </row>
    <row r="28">
      <c r="A28" s="56" t="inlineStr">
        <is>
          <t>순이익</t>
        </is>
      </c>
      <c r="B28" s="57" t="n">
        <v>1.46</v>
      </c>
    </row>
    <row r="29">
      <c r="A29" s="56" t="inlineStr">
        <is>
          <t>순이익 YoY</t>
        </is>
      </c>
      <c r="B29" s="57" t="n">
        <v>-7.2</v>
      </c>
    </row>
    <row r="30">
      <c r="A30" s="56" t="inlineStr">
        <is>
          <t>EPS</t>
        </is>
      </c>
      <c r="B30" s="57" t="n">
        <v>22.03</v>
      </c>
    </row>
    <row r="32">
      <c r="A32" s="54" t="inlineStr">
        <is>
          <t>this quarter · 월차 매출 YoY % 상반기</t>
        </is>
      </c>
      <c r="B32" s="54" t="n"/>
      <c r="C32" s="54" t="n"/>
      <c r="D32" s="54" t="n"/>
      <c r="E32" s="54" t="n"/>
      <c r="F32" s="54" t="n"/>
      <c r="G32" s="54" t="n"/>
    </row>
    <row r="33">
      <c r="A33" s="55" t="inlineStr">
        <is>
          <t>항목</t>
        </is>
      </c>
      <c r="B33" s="55" t="inlineStr">
        <is>
          <t>값</t>
        </is>
      </c>
      <c r="G33" s="55" t="inlineStr">
        <is>
          <t>출처</t>
        </is>
      </c>
    </row>
    <row r="34">
      <c r="A34" s="56" t="inlineStr">
        <is>
          <t>4월</t>
        </is>
      </c>
      <c r="B34" s="57" t="n">
        <v>13.2</v>
      </c>
      <c r="G34" s="58" t="inlineStr">
        <is>
          <t>2단계 보고서 자료(회사 설명회 자료·공시)</t>
        </is>
      </c>
    </row>
    <row r="35">
      <c r="A35" s="56" t="inlineStr">
        <is>
          <t>5월</t>
        </is>
      </c>
      <c r="B35" s="57" t="n">
        <v>15</v>
      </c>
    </row>
    <row r="36">
      <c r="A36" s="56" t="inlineStr">
        <is>
          <t>6월</t>
        </is>
      </c>
      <c r="B36" s="57" t="n">
        <v>9.699999999999999</v>
      </c>
    </row>
    <row r="37">
      <c r="A37" s="56" t="inlineStr">
        <is>
          <t>7월</t>
        </is>
      </c>
      <c r="B37" s="57" t="n">
        <v>15.7</v>
      </c>
    </row>
    <row r="38">
      <c r="A38" s="56" t="inlineStr">
        <is>
          <t>8월</t>
        </is>
      </c>
      <c r="B38" s="57" t="n">
        <v>14.4</v>
      </c>
    </row>
    <row r="39">
      <c r="A39" s="56" t="inlineStr">
        <is>
          <t>9월</t>
        </is>
      </c>
      <c r="B39" s="57" t="n">
        <v>18.9</v>
      </c>
    </row>
    <row r="41">
      <c r="A41" s="54" t="inlineStr">
        <is>
          <t>this quarter · 고객 수 월차 avg 상반기</t>
        </is>
      </c>
      <c r="B41" s="54" t="n"/>
      <c r="C41" s="54" t="n"/>
      <c r="D41" s="54" t="n"/>
      <c r="E41" s="54" t="n"/>
      <c r="F41" s="54" t="n"/>
      <c r="G41" s="54" t="n"/>
    </row>
    <row r="42">
      <c r="A42" s="55" t="inlineStr">
        <is>
          <t>항목</t>
        </is>
      </c>
      <c r="B42" s="55" t="inlineStr">
        <is>
          <t>값</t>
        </is>
      </c>
      <c r="G42" s="55" t="inlineStr">
        <is>
          <t>출처</t>
        </is>
      </c>
    </row>
    <row r="43">
      <c r="A43" s="56" t="inlineStr">
        <is>
          <t>합계</t>
        </is>
      </c>
      <c r="B43" s="59" t="n">
        <v>16161</v>
      </c>
      <c r="G43" s="58" t="inlineStr">
        <is>
          <t>2단계 보고서 자료(회사 설명회 자료·공시)</t>
        </is>
      </c>
    </row>
    <row r="44">
      <c r="A44" s="56" t="inlineStr">
        <is>
          <t>합계 prior</t>
        </is>
      </c>
      <c r="B44" s="59" t="n">
        <v>13934</v>
      </c>
    </row>
    <row r="45">
      <c r="A45" s="56" t="inlineStr">
        <is>
          <t>합계 YoY</t>
        </is>
      </c>
      <c r="B45" s="57" t="n">
        <v>16</v>
      </c>
    </row>
    <row r="46">
      <c r="A46" s="56" t="inlineStr">
        <is>
          <t>기존점</t>
        </is>
      </c>
      <c r="B46" s="59" t="n">
        <v>14067</v>
      </c>
    </row>
    <row r="47">
      <c r="A47" s="56" t="inlineStr">
        <is>
          <t>기존점 prior</t>
        </is>
      </c>
      <c r="B47" s="59" t="n">
        <v>12486</v>
      </c>
    </row>
    <row r="48">
      <c r="A48" s="56" t="inlineStr">
        <is>
          <t>new</t>
        </is>
      </c>
      <c r="B48" s="59" t="n">
        <v>2094</v>
      </c>
    </row>
    <row r="49">
      <c r="A49" s="56" t="inlineStr">
        <is>
          <t>new prior</t>
        </is>
      </c>
      <c r="B49" s="59" t="n">
        <v>1448</v>
      </c>
    </row>
    <row r="50">
      <c r="A50" s="56" t="inlineStr">
        <is>
          <t>new YoY</t>
        </is>
      </c>
      <c r="B50" s="57" t="n">
        <v>44.6</v>
      </c>
    </row>
    <row r="52">
      <c r="A52" s="54" t="inlineStr">
        <is>
          <t>this quarter · 고객 수 by FY 월차 avg</t>
        </is>
      </c>
      <c r="B52" s="54" t="n"/>
      <c r="C52" s="54" t="n"/>
      <c r="D52" s="54" t="n"/>
      <c r="E52" s="54" t="n"/>
      <c r="F52" s="54" t="n"/>
      <c r="G52" s="54" t="n"/>
    </row>
    <row r="53">
      <c r="A53" s="55" t="inlineStr">
        <is>
          <t>항목</t>
        </is>
      </c>
      <c r="B53" s="55" t="inlineStr">
        <is>
          <t>값</t>
        </is>
      </c>
      <c r="G53" s="55" t="inlineStr">
        <is>
          <t>출처</t>
        </is>
      </c>
    </row>
    <row r="54">
      <c r="A54" s="56" t="inlineStr">
        <is>
          <t>FY22</t>
        </is>
      </c>
      <c r="B54" s="59" t="n">
        <v>8064</v>
      </c>
      <c r="G54" s="58" t="inlineStr">
        <is>
          <t>2단계 보고서 자료(회사 설명회 자료·공시)</t>
        </is>
      </c>
    </row>
    <row r="55">
      <c r="A55" s="56" t="inlineStr">
        <is>
          <t>FY23</t>
        </is>
      </c>
      <c r="B55" s="59" t="n">
        <v>10643</v>
      </c>
    </row>
    <row r="56">
      <c r="A56" s="56" t="inlineStr">
        <is>
          <t>FY24</t>
        </is>
      </c>
      <c r="B56" s="59" t="n">
        <v>11769</v>
      </c>
    </row>
    <row r="57">
      <c r="A57" s="56" t="inlineStr">
        <is>
          <t>FY25</t>
        </is>
      </c>
      <c r="B57" s="59" t="n">
        <v>13092</v>
      </c>
    </row>
    <row r="58">
      <c r="A58" s="56" t="inlineStr">
        <is>
          <t>FY26</t>
        </is>
      </c>
      <c r="B58" s="59" t="n">
        <v>14196</v>
      </c>
    </row>
    <row r="59">
      <c r="A59" s="56" t="inlineStr">
        <is>
          <t>FY27_4~9월</t>
        </is>
      </c>
      <c r="B59" s="59" t="n">
        <v>16161</v>
      </c>
    </row>
    <row r="61">
      <c r="A61" s="54" t="inlineStr">
        <is>
          <t>bs annual</t>
        </is>
      </c>
      <c r="B61" s="54" t="n"/>
      <c r="C61" s="54" t="n"/>
      <c r="D61" s="54" t="n"/>
      <c r="E61" s="54" t="n"/>
      <c r="F61" s="54" t="n"/>
      <c r="G61" s="54" t="n"/>
    </row>
    <row r="62">
      <c r="A62" s="55" t="inlineStr">
        <is>
          <t>항목</t>
        </is>
      </c>
      <c r="B62" s="55" t="inlineStr">
        <is>
          <t>2022</t>
        </is>
      </c>
      <c r="C62" s="55" t="inlineStr">
        <is>
          <t>2023</t>
        </is>
      </c>
      <c r="D62" s="55" t="inlineStr">
        <is>
          <t>2024</t>
        </is>
      </c>
      <c r="E62" s="55" t="inlineStr">
        <is>
          <t>2025</t>
        </is>
      </c>
      <c r="F62" s="55" t="inlineStr">
        <is>
          <t>2026</t>
        </is>
      </c>
      <c r="G62" s="55" t="inlineStr">
        <is>
          <t>출처</t>
        </is>
      </c>
    </row>
    <row r="63">
      <c r="A63" s="56" t="inlineStr">
        <is>
          <t>labels</t>
        </is>
      </c>
      <c r="B63" s="59" t="n">
        <v>2022</v>
      </c>
      <c r="C63" s="59" t="n">
        <v>2023</v>
      </c>
      <c r="D63" s="59" t="n">
        <v>2024</v>
      </c>
      <c r="E63" s="59" t="n">
        <v>2025</v>
      </c>
      <c r="F63" s="59" t="n">
        <v>2026</v>
      </c>
      <c r="G63" s="58" t="inlineStr">
        <is>
          <t>2단계 보고서 자료(회사 설명회 자료·공시)</t>
        </is>
      </c>
    </row>
    <row r="64">
      <c r="A64" s="56" t="inlineStr">
        <is>
          <t>current assets</t>
        </is>
      </c>
      <c r="B64" s="57" t="n">
        <v>10.7</v>
      </c>
      <c r="C64" s="57" t="n">
        <v>14.9</v>
      </c>
      <c r="D64" s="57" t="n">
        <v>18.3</v>
      </c>
      <c r="E64" s="57" t="n">
        <v>19.8</v>
      </c>
      <c r="F64" s="57" t="n">
        <v>23.9</v>
      </c>
    </row>
    <row r="65">
      <c r="A65" s="56" t="inlineStr">
        <is>
          <t>cash</t>
        </is>
      </c>
      <c r="B65" s="57" t="n">
        <v>5</v>
      </c>
      <c r="C65" s="57" t="n">
        <v>6</v>
      </c>
      <c r="D65" s="57" t="n">
        <v>8.4</v>
      </c>
      <c r="E65" s="57" t="n">
        <v>9.199999999999999</v>
      </c>
      <c r="F65" s="57" t="n">
        <v>11.7</v>
      </c>
    </row>
    <row r="66">
      <c r="A66" s="56" t="inlineStr">
        <is>
          <t>st fin</t>
        </is>
      </c>
      <c r="B66" s="60" t="n"/>
      <c r="C66" s="60" t="n"/>
      <c r="D66" s="60" t="n"/>
      <c r="E66" s="60" t="n"/>
      <c r="F66" s="60" t="n"/>
    </row>
    <row r="67">
      <c r="A67" s="56" t="inlineStr">
        <is>
          <t>receivables</t>
        </is>
      </c>
      <c r="B67" s="57" t="n">
        <v>4</v>
      </c>
      <c r="C67" s="57" t="n">
        <v>6.9</v>
      </c>
      <c r="D67" s="57" t="n">
        <v>7.5</v>
      </c>
      <c r="E67" s="57" t="n">
        <v>8.199999999999999</v>
      </c>
      <c r="F67" s="57" t="n">
        <v>9.5</v>
      </c>
    </row>
    <row r="68">
      <c r="A68" s="56" t="inlineStr">
        <is>
          <t>inventory</t>
        </is>
      </c>
      <c r="B68" s="57" t="n">
        <v>1.5</v>
      </c>
      <c r="C68" s="57" t="n">
        <v>1.8</v>
      </c>
      <c r="D68" s="57" t="n">
        <v>2.1</v>
      </c>
      <c r="E68" s="57" t="n">
        <v>2.2</v>
      </c>
      <c r="F68" s="57" t="n">
        <v>2.5</v>
      </c>
    </row>
    <row r="69">
      <c r="A69" s="56" t="inlineStr">
        <is>
          <t>noncurrent assets</t>
        </is>
      </c>
      <c r="B69" s="57" t="n">
        <v>2.3</v>
      </c>
      <c r="C69" s="57" t="n">
        <v>2</v>
      </c>
      <c r="D69" s="57" t="n">
        <v>2.3</v>
      </c>
      <c r="E69" s="57" t="n">
        <v>3.5</v>
      </c>
      <c r="F69" s="57" t="n">
        <v>3.9</v>
      </c>
    </row>
    <row r="70">
      <c r="A70" s="56" t="inlineStr">
        <is>
          <t>ppe</t>
        </is>
      </c>
      <c r="B70" s="57" t="n">
        <v>0.1</v>
      </c>
      <c r="C70" s="57" t="n">
        <v>0.2</v>
      </c>
      <c r="D70" s="57" t="n">
        <v>0.4</v>
      </c>
      <c r="E70" s="57" t="n">
        <v>1.2</v>
      </c>
      <c r="F70" s="57" t="n">
        <v>1.1</v>
      </c>
    </row>
    <row r="71">
      <c r="A71" s="56" t="inlineStr">
        <is>
          <t>intangibles</t>
        </is>
      </c>
      <c r="B71" s="57" t="n">
        <v>1.3</v>
      </c>
      <c r="C71" s="57" t="n">
        <v>1.2</v>
      </c>
      <c r="D71" s="57" t="n">
        <v>1</v>
      </c>
      <c r="E71" s="57" t="n">
        <v>1.3</v>
      </c>
      <c r="F71" s="57" t="n">
        <v>1.7</v>
      </c>
    </row>
    <row r="72">
      <c r="A72" s="56" t="inlineStr">
        <is>
          <t>inv property</t>
        </is>
      </c>
      <c r="B72" s="60" t="n"/>
      <c r="C72" s="60" t="n"/>
      <c r="D72" s="60" t="n"/>
      <c r="E72" s="60" t="n"/>
      <c r="F72" s="60" t="n"/>
    </row>
    <row r="73">
      <c r="A73" s="56" t="inlineStr">
        <is>
          <t>합계 assets</t>
        </is>
      </c>
      <c r="B73" s="57" t="n">
        <v>13</v>
      </c>
      <c r="C73" s="57" t="n">
        <v>16.9</v>
      </c>
      <c r="D73" s="57" t="n">
        <v>20.7</v>
      </c>
      <c r="E73" s="57" t="n">
        <v>23.2</v>
      </c>
      <c r="F73" s="57" t="n">
        <v>27.8</v>
      </c>
    </row>
    <row r="74">
      <c r="A74" s="56" t="inlineStr">
        <is>
          <t>current liab</t>
        </is>
      </c>
      <c r="B74" s="57" t="n">
        <v>4.2</v>
      </c>
      <c r="C74" s="57" t="n">
        <v>6.6</v>
      </c>
      <c r="D74" s="57" t="n">
        <v>8.5</v>
      </c>
      <c r="E74" s="57" t="n">
        <v>8.6</v>
      </c>
      <c r="F74" s="57" t="n">
        <v>10.7</v>
      </c>
    </row>
    <row r="75">
      <c r="A75" s="56" t="inlineStr">
        <is>
          <t>payables</t>
        </is>
      </c>
      <c r="B75" s="57" t="n">
        <v>3.3</v>
      </c>
      <c r="C75" s="57" t="n">
        <v>4.9</v>
      </c>
      <c r="D75" s="57" t="n">
        <v>5.7</v>
      </c>
      <c r="E75" s="57" t="n">
        <v>6.2</v>
      </c>
      <c r="F75" s="57" t="n">
        <v>7.6</v>
      </c>
    </row>
    <row r="76">
      <c r="A76" s="56" t="inlineStr">
        <is>
          <t>st debt</t>
        </is>
      </c>
      <c r="B76" s="60" t="n"/>
      <c r="C76" s="60" t="n"/>
      <c r="D76" s="60" t="n"/>
      <c r="E76" s="60" t="n"/>
      <c r="F76" s="60" t="n"/>
    </row>
    <row r="77">
      <c r="A77" s="56" t="inlineStr">
        <is>
          <t>noncurrent liab</t>
        </is>
      </c>
      <c r="B77" s="57" t="n">
        <v>0.2</v>
      </c>
      <c r="C77" s="57" t="n">
        <v>0.2</v>
      </c>
      <c r="D77" s="57" t="n">
        <v>0.3</v>
      </c>
      <c r="E77" s="57" t="n">
        <v>0.7</v>
      </c>
      <c r="F77" s="57" t="n">
        <v>0.8</v>
      </c>
    </row>
    <row r="78">
      <c r="A78" s="56" t="inlineStr">
        <is>
          <t>lt debt</t>
        </is>
      </c>
      <c r="B78" s="60" t="n"/>
      <c r="C78" s="60" t="n"/>
      <c r="D78" s="60" t="n"/>
      <c r="E78" s="60" t="n"/>
      <c r="F78" s="60" t="n"/>
    </row>
    <row r="79">
      <c r="A79" s="56" t="inlineStr">
        <is>
          <t>bonds</t>
        </is>
      </c>
      <c r="B79" s="60" t="n"/>
      <c r="C79" s="60" t="n"/>
      <c r="D79" s="60" t="n"/>
      <c r="E79" s="60" t="n"/>
      <c r="F79" s="60" t="n"/>
    </row>
    <row r="80">
      <c r="A80" s="56" t="inlineStr">
        <is>
          <t>합계 liab</t>
        </is>
      </c>
      <c r="B80" s="57" t="n">
        <v>4.3</v>
      </c>
      <c r="C80" s="57" t="n">
        <v>6.8</v>
      </c>
      <c r="D80" s="57" t="n">
        <v>8.800000000000001</v>
      </c>
      <c r="E80" s="57" t="n">
        <v>9.300000000000001</v>
      </c>
      <c r="F80" s="57" t="n">
        <v>11.5</v>
      </c>
    </row>
    <row r="81">
      <c r="A81" s="56" t="inlineStr">
        <is>
          <t>capital stock</t>
        </is>
      </c>
      <c r="B81" s="57" t="n">
        <v>0.9</v>
      </c>
      <c r="C81" s="57" t="n">
        <v>0.9</v>
      </c>
      <c r="D81" s="57" t="n">
        <v>0.9</v>
      </c>
      <c r="E81" s="57" t="n">
        <v>0.9</v>
      </c>
      <c r="F81" s="57" t="n">
        <v>1</v>
      </c>
    </row>
    <row r="82">
      <c r="A82" s="56" t="inlineStr">
        <is>
          <t>retained</t>
        </is>
      </c>
      <c r="B82" s="57" t="n">
        <v>3.4</v>
      </c>
      <c r="C82" s="57" t="n">
        <v>4.8</v>
      </c>
      <c r="D82" s="57" t="n">
        <v>6.5</v>
      </c>
      <c r="E82" s="57" t="n">
        <v>8.6</v>
      </c>
      <c r="F82" s="57" t="n">
        <v>10.8</v>
      </c>
    </row>
    <row r="83">
      <c r="A83" s="56" t="inlineStr">
        <is>
          <t>nci</t>
        </is>
      </c>
      <c r="B83" s="60" t="n"/>
      <c r="C83" s="60" t="n"/>
      <c r="D83" s="60" t="n"/>
      <c r="E83" s="60" t="n"/>
      <c r="F83" s="60" t="n"/>
    </row>
    <row r="84">
      <c r="A84" s="56" t="inlineStr">
        <is>
          <t>합계 equity</t>
        </is>
      </c>
      <c r="B84" s="57" t="n">
        <v>8.699999999999999</v>
      </c>
      <c r="C84" s="57" t="n">
        <v>10</v>
      </c>
      <c r="D84" s="57" t="n">
        <v>11.8</v>
      </c>
      <c r="E84" s="57" t="n">
        <v>13.9</v>
      </c>
      <c r="F84" s="57" t="n">
        <v>16.3</v>
      </c>
    </row>
    <row r="85">
      <c r="A85" s="56" t="inlineStr">
        <is>
          <t>current ltd</t>
        </is>
      </c>
      <c r="B85" s="60" t="n"/>
      <c r="C85" s="60" t="n"/>
      <c r="D85" s="60" t="n"/>
      <c r="E85" s="60" t="n"/>
      <c r="F85" s="60" t="n"/>
    </row>
    <row r="86">
      <c r="A86" s="56" t="inlineStr">
        <is>
          <t>equity owner</t>
        </is>
      </c>
      <c r="B86" s="57" t="n">
        <v>8.699999999999999</v>
      </c>
      <c r="C86" s="57" t="n">
        <v>10</v>
      </c>
      <c r="D86" s="57" t="n">
        <v>11.8</v>
      </c>
      <c r="E86" s="57" t="n">
        <v>13.9</v>
      </c>
      <c r="F86" s="57" t="n">
        <v>16.3</v>
      </c>
    </row>
    <row r="88">
      <c r="A88" s="54" t="inlineStr">
        <is>
          <t>cf annual</t>
        </is>
      </c>
      <c r="B88" s="54" t="n"/>
      <c r="C88" s="54" t="n"/>
      <c r="D88" s="54" t="n"/>
      <c r="E88" s="54" t="n"/>
      <c r="F88" s="54" t="n"/>
      <c r="G88" s="54" t="n"/>
    </row>
    <row r="89">
      <c r="A89" s="55" t="inlineStr">
        <is>
          <t>항목</t>
        </is>
      </c>
      <c r="B89" s="55" t="inlineStr">
        <is>
          <t>2022</t>
        </is>
      </c>
      <c r="C89" s="55" t="inlineStr">
        <is>
          <t>2023</t>
        </is>
      </c>
      <c r="D89" s="55" t="inlineStr">
        <is>
          <t>2024</t>
        </is>
      </c>
      <c r="E89" s="55" t="inlineStr">
        <is>
          <t>2025</t>
        </is>
      </c>
      <c r="F89" s="55" t="inlineStr">
        <is>
          <t>2026</t>
        </is>
      </c>
      <c r="G89" s="55" t="inlineStr">
        <is>
          <t>출처</t>
        </is>
      </c>
    </row>
    <row r="90">
      <c r="A90" s="56" t="inlineStr">
        <is>
          <t>labels</t>
        </is>
      </c>
      <c r="B90" s="59" t="n">
        <v>2022</v>
      </c>
      <c r="C90" s="59" t="n">
        <v>2023</v>
      </c>
      <c r="D90" s="59" t="n">
        <v>2024</v>
      </c>
      <c r="E90" s="59" t="n">
        <v>2025</v>
      </c>
      <c r="F90" s="59" t="n">
        <v>2026</v>
      </c>
      <c r="G90" s="58" t="inlineStr">
        <is>
          <t>2단계 보고서 자료(회사 설명회 자료·공시)</t>
        </is>
      </c>
    </row>
    <row r="91">
      <c r="A91" s="56" t="inlineStr">
        <is>
          <t>ocf</t>
        </is>
      </c>
      <c r="B91" s="57" t="n">
        <v>0.7</v>
      </c>
      <c r="C91" s="57" t="n">
        <v>1.7</v>
      </c>
      <c r="D91" s="57" t="n">
        <v>3.8</v>
      </c>
      <c r="E91" s="57" t="n">
        <v>2.6</v>
      </c>
      <c r="F91" s="57" t="n">
        <v>4</v>
      </c>
    </row>
    <row r="92">
      <c r="A92" s="56" t="inlineStr">
        <is>
          <t>설비투자</t>
        </is>
      </c>
      <c r="B92" s="57" t="n">
        <v>0.4</v>
      </c>
      <c r="C92" s="57" t="n">
        <v>0.7</v>
      </c>
      <c r="D92" s="57" t="n">
        <v>0.7</v>
      </c>
      <c r="E92" s="57" t="n">
        <v>1.4</v>
      </c>
      <c r="F92" s="57" t="n">
        <v>0.9</v>
      </c>
    </row>
    <row r="93">
      <c r="A93" s="56" t="inlineStr">
        <is>
          <t>dividends</t>
        </is>
      </c>
      <c r="B93" s="57" t="n">
        <v>0</v>
      </c>
      <c r="C93" s="57" t="n">
        <v>0</v>
      </c>
      <c r="D93" s="57" t="n">
        <v>0.5</v>
      </c>
      <c r="E93" s="57" t="n">
        <v>0.5</v>
      </c>
      <c r="F93" s="57" t="n">
        <v>0.5</v>
      </c>
    </row>
    <row r="95">
      <c r="A95" s="54" t="inlineStr">
        <is>
          <t>annual EPS dps · FY2022</t>
        </is>
      </c>
      <c r="B95" s="54" t="n"/>
      <c r="C95" s="54" t="n"/>
      <c r="D95" s="54" t="n"/>
      <c r="E95" s="54" t="n"/>
      <c r="F95" s="54" t="n"/>
      <c r="G95" s="54" t="n"/>
    </row>
    <row r="96">
      <c r="A96" s="55" t="inlineStr">
        <is>
          <t>항목</t>
        </is>
      </c>
      <c r="B96" s="55" t="inlineStr">
        <is>
          <t>값</t>
        </is>
      </c>
      <c r="G96" s="55" t="inlineStr">
        <is>
          <t>출처</t>
        </is>
      </c>
    </row>
    <row r="97">
      <c r="A97" s="56" t="inlineStr">
        <is>
          <t>EPS</t>
        </is>
      </c>
      <c r="B97" s="57" t="n">
        <v>-17.37</v>
      </c>
      <c r="G97" s="58" t="inlineStr">
        <is>
          <t>2단계 보고서 자료(회사 설명회 자료·공시)</t>
        </is>
      </c>
    </row>
    <row r="98">
      <c r="A98" s="56" t="inlineStr">
        <is>
          <t>dps</t>
        </is>
      </c>
      <c r="B98" s="59" t="n">
        <v>0</v>
      </c>
    </row>
    <row r="100">
      <c r="A100" s="54" t="inlineStr">
        <is>
          <t>annual EPS dps · FY2023</t>
        </is>
      </c>
      <c r="B100" s="54" t="n"/>
      <c r="C100" s="54" t="n"/>
      <c r="D100" s="54" t="n"/>
      <c r="E100" s="54" t="n"/>
      <c r="F100" s="54" t="n"/>
      <c r="G100" s="54" t="n"/>
    </row>
    <row r="101">
      <c r="A101" s="55" t="inlineStr">
        <is>
          <t>항목</t>
        </is>
      </c>
      <c r="B101" s="55" t="inlineStr">
        <is>
          <t>값</t>
        </is>
      </c>
      <c r="G101" s="55" t="inlineStr">
        <is>
          <t>출처</t>
        </is>
      </c>
    </row>
    <row r="102">
      <c r="A102" s="56" t="inlineStr">
        <is>
          <t>EPS</t>
        </is>
      </c>
      <c r="B102" s="57" t="n">
        <v>61.85</v>
      </c>
      <c r="G102" s="58" t="inlineStr">
        <is>
          <t>2단계 보고서 자료(회사 설명회 자료·공시)</t>
        </is>
      </c>
    </row>
    <row r="103">
      <c r="A103" s="56" t="inlineStr">
        <is>
          <t>dps</t>
        </is>
      </c>
      <c r="B103" s="57" t="n">
        <v>12.4</v>
      </c>
    </row>
    <row r="105">
      <c r="A105" s="54" t="inlineStr">
        <is>
          <t>annual EPS dps · FY2025</t>
        </is>
      </c>
      <c r="B105" s="54" t="n"/>
      <c r="C105" s="54" t="n"/>
      <c r="D105" s="54" t="n"/>
      <c r="E105" s="54" t="n"/>
      <c r="F105" s="54" t="n"/>
      <c r="G105" s="54" t="n"/>
    </row>
    <row r="106">
      <c r="A106" s="55" t="inlineStr">
        <is>
          <t>항목</t>
        </is>
      </c>
      <c r="B106" s="55" t="inlineStr">
        <is>
          <t>값</t>
        </is>
      </c>
      <c r="G106" s="55" t="inlineStr">
        <is>
          <t>출처</t>
        </is>
      </c>
    </row>
    <row r="107">
      <c r="A107" s="56" t="inlineStr">
        <is>
          <t>EPS</t>
        </is>
      </c>
      <c r="B107" s="57" t="n">
        <v>39.17</v>
      </c>
      <c r="G107" s="58" t="inlineStr">
        <is>
          <t>2단계 보고서 자료(회사 설명회 자료·공시)</t>
        </is>
      </c>
    </row>
    <row r="108">
      <c r="A108" s="56" t="inlineStr">
        <is>
          <t>dps</t>
        </is>
      </c>
      <c r="B108" s="57" t="n">
        <v>7.9</v>
      </c>
    </row>
    <row r="110">
      <c r="A110" s="54" t="inlineStr">
        <is>
          <t>annual EPS dps · FY2026</t>
        </is>
      </c>
      <c r="B110" s="54" t="n"/>
      <c r="C110" s="54" t="n"/>
      <c r="D110" s="54" t="n"/>
      <c r="E110" s="54" t="n"/>
      <c r="F110" s="54" t="n"/>
      <c r="G110" s="54" t="n"/>
    </row>
    <row r="111">
      <c r="A111" s="55" t="inlineStr">
        <is>
          <t>항목</t>
        </is>
      </c>
      <c r="B111" s="55" t="inlineStr">
        <is>
          <t>값</t>
        </is>
      </c>
      <c r="G111" s="55" t="inlineStr">
        <is>
          <t>출처</t>
        </is>
      </c>
    </row>
    <row r="112">
      <c r="A112" s="56" t="inlineStr">
        <is>
          <t>EPS</t>
        </is>
      </c>
      <c r="B112" s="57" t="n">
        <v>42.3</v>
      </c>
      <c r="G112" s="58" t="inlineStr">
        <is>
          <t>2단계 보고서 자료(회사 설명회 자료·공시)</t>
        </is>
      </c>
    </row>
    <row r="113">
      <c r="A113" s="56" t="inlineStr">
        <is>
          <t>dps</t>
        </is>
      </c>
      <c r="B113" s="57" t="n">
        <v>8.5</v>
      </c>
    </row>
    <row r="115">
      <c r="A115" s="54" t="inlineStr">
        <is>
          <t>annual EPS dps · FY2027 guide</t>
        </is>
      </c>
      <c r="B115" s="54" t="n"/>
      <c r="C115" s="54" t="n"/>
      <c r="D115" s="54" t="n"/>
      <c r="E115" s="54" t="n"/>
      <c r="F115" s="54" t="n"/>
      <c r="G115" s="54" t="n"/>
    </row>
    <row r="116">
      <c r="A116" s="55" t="inlineStr">
        <is>
          <t>항목</t>
        </is>
      </c>
      <c r="B116" s="55" t="inlineStr">
        <is>
          <t>값</t>
        </is>
      </c>
      <c r="G116" s="55" t="inlineStr">
        <is>
          <t>출처</t>
        </is>
      </c>
    </row>
    <row r="117">
      <c r="A117" s="56" t="inlineStr">
        <is>
          <t>EPS</t>
        </is>
      </c>
      <c r="B117" s="57" t="n">
        <v>45.13</v>
      </c>
      <c r="G117" s="58" t="inlineStr">
        <is>
          <t>2단계 보고서 자료(회사 설명회 자료·공시)</t>
        </is>
      </c>
    </row>
    <row r="118">
      <c r="A118" s="56" t="inlineStr">
        <is>
          <t>dps</t>
        </is>
      </c>
      <c r="B118" s="57" t="n">
        <v>9.1</v>
      </c>
    </row>
    <row r="120">
      <c r="A120" s="54" t="inlineStr">
        <is>
          <t>비교 기업 fc EPS latest</t>
        </is>
      </c>
      <c r="B120" s="54" t="n"/>
      <c r="C120" s="54" t="n"/>
      <c r="D120" s="54" t="n"/>
      <c r="E120" s="54" t="n"/>
      <c r="F120" s="54" t="n"/>
      <c r="G120" s="54" t="n"/>
    </row>
    <row r="121">
      <c r="A121" s="55" t="inlineStr">
        <is>
          <t>항목</t>
        </is>
      </c>
      <c r="B121" s="55" t="inlineStr">
        <is>
          <t>값</t>
        </is>
      </c>
      <c r="G121" s="55" t="inlineStr">
        <is>
          <t>출처</t>
        </is>
      </c>
    </row>
    <row r="122">
      <c r="A122" s="56" t="inlineStr">
        <is>
          <t>7481</t>
        </is>
      </c>
      <c r="B122" s="57" t="n">
        <v>344.55</v>
      </c>
      <c r="G122" s="58" t="inlineStr">
        <is>
          <t>2단계 보고서 자료(회사 설명회 자료·공시)</t>
        </is>
      </c>
    </row>
    <row r="123">
      <c r="A123" s="56" t="inlineStr">
        <is>
          <t>2708</t>
        </is>
      </c>
      <c r="B123" s="57" t="n">
        <v>302.62</v>
      </c>
    </row>
    <row r="124">
      <c r="A124" s="56" t="inlineStr">
        <is>
          <t>8142</t>
        </is>
      </c>
      <c r="B124" s="57" t="n">
        <v>150.54</v>
      </c>
    </row>
    <row r="125">
      <c r="A125" s="56" t="inlineStr">
        <is>
          <t>3160</t>
        </is>
      </c>
      <c r="B125" s="57" t="n">
        <v>28.02</v>
      </c>
    </row>
    <row r="127">
      <c r="A127" s="54" t="inlineStr">
        <is>
          <t>reactions next day %</t>
        </is>
      </c>
      <c r="B127" s="54" t="n"/>
      <c r="C127" s="54" t="n"/>
      <c r="D127" s="54" t="n"/>
      <c r="E127" s="54" t="n"/>
      <c r="F127" s="54" t="n"/>
      <c r="G127" s="54" t="n"/>
    </row>
    <row r="128">
      <c r="A128" s="55" t="inlineStr">
        <is>
          <t>항목</t>
        </is>
      </c>
      <c r="B128" s="55" t="inlineStr">
        <is>
          <t>기준일</t>
        </is>
      </c>
      <c r="C128" s="55" t="inlineStr">
        <is>
          <t>다음날</t>
        </is>
      </c>
      <c r="D128" s="55" t="inlineStr">
        <is>
          <t>등락%</t>
        </is>
      </c>
      <c r="G128" s="55" t="inlineStr">
        <is>
          <t>출처</t>
        </is>
      </c>
    </row>
    <row r="129">
      <c r="A129" s="56" t="inlineStr">
        <is>
          <t>2025-01-30</t>
        </is>
      </c>
      <c r="B129" s="60" t="inlineStr">
        <is>
          <t>2025-01-30</t>
        </is>
      </c>
      <c r="C129" s="60" t="inlineStr">
        <is>
          <t>2025-01-31</t>
        </is>
      </c>
      <c r="D129" s="57" t="n">
        <v>-9.5</v>
      </c>
      <c r="G129" s="58" t="inlineStr">
        <is>
          <t>2단계 보고서 자료(회사 설명회 자료·공시)</t>
        </is>
      </c>
    </row>
    <row r="130">
      <c r="A130" s="56" t="inlineStr">
        <is>
          <t>2025-05-15</t>
        </is>
      </c>
      <c r="B130" s="60" t="inlineStr">
        <is>
          <t>2025-05-15</t>
        </is>
      </c>
      <c r="C130" s="60" t="inlineStr">
        <is>
          <t>2025-05-16</t>
        </is>
      </c>
      <c r="D130" s="57" t="n">
        <v>-3</v>
      </c>
    </row>
    <row r="131">
      <c r="A131" s="56" t="inlineStr">
        <is>
          <t>2025-07-31</t>
        </is>
      </c>
      <c r="B131" s="60" t="inlineStr">
        <is>
          <t>2025-07-31</t>
        </is>
      </c>
      <c r="C131" s="60" t="inlineStr">
        <is>
          <t>2025-08-01</t>
        </is>
      </c>
      <c r="D131" s="57" t="n">
        <v>-0.2</v>
      </c>
    </row>
    <row r="132">
      <c r="A132" s="56" t="inlineStr">
        <is>
          <t>2025-10-30</t>
        </is>
      </c>
      <c r="B132" s="60" t="inlineStr">
        <is>
          <t>2025-10-30</t>
        </is>
      </c>
      <c r="C132" s="60" t="inlineStr">
        <is>
          <t>2025-10-31</t>
        </is>
      </c>
      <c r="D132" s="57" t="n">
        <v>-2.1</v>
      </c>
    </row>
    <row r="133">
      <c r="A133" s="56" t="inlineStr">
        <is>
          <t>2026-01-29</t>
        </is>
      </c>
      <c r="B133" s="60" t="inlineStr">
        <is>
          <t>2026-01-29</t>
        </is>
      </c>
      <c r="C133" s="60" t="inlineStr">
        <is>
          <t>2026-01-30</t>
        </is>
      </c>
      <c r="D133" s="57" t="n">
        <v>-5.4</v>
      </c>
    </row>
    <row r="134">
      <c r="A134" s="56" t="inlineStr">
        <is>
          <t>2026-05-14</t>
        </is>
      </c>
      <c r="B134" s="60" t="inlineStr">
        <is>
          <t>2026-05-14</t>
        </is>
      </c>
      <c r="C134" s="60" t="inlineStr">
        <is>
          <t>2026-05-15</t>
        </is>
      </c>
      <c r="D134" s="57" t="n">
        <v>-1.6</v>
      </c>
    </row>
    <row r="135">
      <c r="A135" s="56" t="inlineStr">
        <is>
          <t>2026-07-30</t>
        </is>
      </c>
      <c r="B135" s="60" t="inlineStr">
        <is>
          <t>2026-07-30</t>
        </is>
      </c>
      <c r="C135" s="60" t="inlineStr">
        <is>
          <t>2026-07-31</t>
        </is>
      </c>
      <c r="D135" s="57" t="n">
        <v>-2.3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2026-10-29</t>
        </is>
      </c>
      <c r="B4" t="inlineStr">
        <is>
          <t>2027년 3월 결산기 ２분기 결산단신</t>
        </is>
      </c>
      <c r="C4" t="inlineStr">
        <is>
          <t>https://www2.jpx.co.jp/disc/76870/140120261027557180.pdf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https://www2.jpx.co.jp/disc/76870/140120260729502099.pdf</t>
        </is>
      </c>
    </row>
    <row r="6">
      <c r="A6" t="inlineStr">
        <is>
          <t>2026-05-14</t>
        </is>
      </c>
      <c r="B6" t="inlineStr">
        <is>
          <t>2026년 3월 결산기 연간 결산단신</t>
        </is>
      </c>
      <c r="C6" t="inlineStr">
        <is>
          <t>https://www2.jpx.co.jp/disc/76870/140120260514532193.pdf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https://www2.jpx.co.jp/disc/76870/140120260128539919.pdf</t>
        </is>
      </c>
    </row>
    <row r="8">
      <c r="A8" t="inlineStr">
        <is>
          <t>2025-10-30</t>
        </is>
      </c>
      <c r="B8" t="inlineStr">
        <is>
          <t>2026년 3월 결산기 ２분기 결산단신</t>
        </is>
      </c>
      <c r="C8" t="inlineStr">
        <is>
          <t>https://www2.jpx.co.jp/disc/76870/140120251029581669.pdf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https://www2.jpx.co.jp/disc/76870/140120250730523999.pdf</t>
        </is>
      </c>
    </row>
    <row r="10">
      <c r="A10" t="inlineStr">
        <is>
          <t>2025-05-15</t>
        </is>
      </c>
      <c r="B10" t="inlineStr">
        <is>
          <t>2025년 3월 결산기 연간 결산단신</t>
        </is>
      </c>
      <c r="C10" t="inlineStr">
        <is>
          <t>https://www2.jpx.co.jp/disc/76870/140120250515552793.pdf</t>
        </is>
      </c>
    </row>
    <row r="11">
      <c r="A11" t="inlineStr">
        <is>
          <t>2025-01-30</t>
        </is>
      </c>
      <c r="B11" t="inlineStr">
        <is>
          <t>2025년 3월 결산기 ３분기 결산단신</t>
        </is>
      </c>
      <c r="C11" t="inlineStr">
        <is>
          <t>https://www2.jpx.co.jp/disc/76870/140120250129557661.pdf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https://www2.jpx.co.jp/disc/76870/140120241028503431.pdf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https://www2.jpx.co.jp/disc/76870/140120240726555763.pdf</t>
        </is>
      </c>
    </row>
    <row r="14">
      <c r="A14" t="inlineStr">
        <is>
          <t>2024-05-15</t>
        </is>
      </c>
      <c r="B14" t="inlineStr">
        <is>
          <t>2024년 3월 결산기 연간 결산단신</t>
        </is>
      </c>
      <c r="C14" t="inlineStr">
        <is>
          <t>https://www2.jpx.co.jp/disc/76870/140120240515597685.pdf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https://www2.jpx.co.jp/disc/76870/140120240131523361.pdf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https://www2.jpx.co.jp/disc/76870/140120231030575228.pdf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https://www2.jpx.co.jp/disc/76870/140120230727527739.pdf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https://www2.jpx.co.jp/disc/76870/140120230511566665.pdf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https://www2.jpx.co.jp/disc/76870/140120230131596670.pdf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https://www2.jpx.co.jp/disc/76870/140120220513545878.pdf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https://www2.jpx.co.jp/disc/76870/140120210513417628.pdf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https://www2.jpx.co.jp/disc/76870/140120200514414748.pdf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2026-10-29T07:53:21Z</dcterms:created>
  <dcterms:modified xmlns:dcterms="http://purl.org/dc/terms/" xmlns:xsi="http://www.w3.org/2001/XMLSchema-instance" xsi:type="dcterms:W3CDTF">2026-10-29T07:53:22Z</dcterms:modified>
</cp:coreProperties>
</file>