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3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NTT데이터인트라마트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2614.873</v>
      </c>
      <c r="D4" s="12" t="n">
        <v>2941.324</v>
      </c>
      <c r="E4" s="12" t="n">
        <v>2665.949</v>
      </c>
      <c r="F4" s="12" t="n">
        <v>2838.64</v>
      </c>
      <c r="G4" s="12" t="n">
        <v>2977.992</v>
      </c>
      <c r="H4" s="12" t="n">
        <v>3346.825</v>
      </c>
      <c r="I4" s="12" t="n">
        <v>3307.172</v>
      </c>
      <c r="J4" s="12" t="n">
        <v>3118.842</v>
      </c>
      <c r="K4" s="12" t="n">
        <v>3906.381</v>
      </c>
      <c r="L4" s="12" t="n">
        <v>4324.394</v>
      </c>
      <c r="M4" s="12" t="n">
        <v>3774.708</v>
      </c>
      <c r="N4" s="12" t="n">
        <v>3786.924</v>
      </c>
      <c r="O4" s="11" t="n">
        <v>5209.524</v>
      </c>
      <c r="P4" s="12" t="n">
        <v>5322.445</v>
      </c>
      <c r="Q4" s="12" t="n">
        <v>6490.223</v>
      </c>
      <c r="R4" s="12" t="n">
        <v>6915.347</v>
      </c>
      <c r="S4" s="12" t="n">
        <v>5912.604</v>
      </c>
      <c r="T4" s="12" t="n">
        <v>7653.784</v>
      </c>
      <c r="U4" s="12" t="n">
        <v>7966.701</v>
      </c>
      <c r="V4" s="12" t="n">
        <v>9257.866</v>
      </c>
      <c r="W4" s="12" t="n">
        <v>11829.406</v>
      </c>
      <c r="X4" s="12" t="n">
        <v>14656.789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소프트웨어 사업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서비스 사업</t>
        </is>
      </c>
      <c r="B10" s="10" t="n"/>
      <c r="C10" s="19" t="n">
        <v>1484.744</v>
      </c>
      <c r="D10" s="20" t="n">
        <v>1568.706</v>
      </c>
      <c r="E10" s="20" t="n">
        <v>1447.372</v>
      </c>
      <c r="F10" s="20" t="n">
        <v>1553.851</v>
      </c>
      <c r="G10" s="20" t="n">
        <v>1703.988</v>
      </c>
      <c r="H10" s="20" t="n">
        <v>1877.357</v>
      </c>
      <c r="I10" s="20" t="n">
        <v>1820.026</v>
      </c>
      <c r="J10" s="20" t="n">
        <v>1635.69</v>
      </c>
      <c r="K10" s="20" t="n">
        <v>2334.116</v>
      </c>
      <c r="L10" s="20" t="n">
        <v>2583.923</v>
      </c>
      <c r="M10" s="20" t="n">
        <v>2153.345</v>
      </c>
      <c r="N10" s="20" t="n">
        <v>2142.812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4495.53</v>
      </c>
      <c r="W10" s="20" t="n">
        <v>6582.568</v>
      </c>
      <c r="X10" s="20" t="n">
        <v>8373.754999999999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소프트웨어 사업</t>
        </is>
      </c>
      <c r="B13" s="10" t="n"/>
      <c r="C13" s="19" t="n"/>
      <c r="D13" s="20" t="n">
        <v>1374.086</v>
      </c>
      <c r="E13" s="20" t="n">
        <v>1220.227</v>
      </c>
      <c r="F13" s="20" t="n"/>
      <c r="G13" s="20" t="n"/>
      <c r="H13" s="20" t="n">
        <v>1471.86</v>
      </c>
      <c r="I13" s="20" t="n">
        <v>1489.558</v>
      </c>
      <c r="J13" s="20" t="n"/>
      <c r="K13" s="20" t="n"/>
      <c r="L13" s="20" t="n">
        <v>1742.373</v>
      </c>
      <c r="M13" s="20" t="n">
        <v>1622.785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4768.161</v>
      </c>
      <c r="W13" s="20" t="n">
        <v>5255.056</v>
      </c>
      <c r="X13" s="20" t="n">
        <v>6291.083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1667.909</v>
      </c>
      <c r="D17" s="20" t="n">
        <v>1793.192</v>
      </c>
      <c r="E17" s="20" t="n">
        <v>1691.776</v>
      </c>
      <c r="F17" s="20" t="n">
        <v>1695.694</v>
      </c>
      <c r="G17" s="20" t="n">
        <v>1846.295</v>
      </c>
      <c r="H17" s="20" t="n">
        <v>1992.407</v>
      </c>
      <c r="I17" s="20" t="n">
        <v>1987.96</v>
      </c>
      <c r="J17" s="20" t="n">
        <v>1797.486</v>
      </c>
      <c r="K17" s="20" t="n">
        <v>2510.271</v>
      </c>
      <c r="L17" s="20" t="n">
        <v>2774.657</v>
      </c>
      <c r="M17" s="20" t="n">
        <v>2288.751</v>
      </c>
      <c r="N17" s="20" t="n">
        <v>2306.678</v>
      </c>
      <c r="O17" s="19" t="n">
        <v>2973.147</v>
      </c>
      <c r="P17" s="20" t="n">
        <v>2862.302</v>
      </c>
      <c r="Q17" s="20" t="n">
        <v>3715.317</v>
      </c>
      <c r="R17" s="20" t="n">
        <v>3876.124</v>
      </c>
      <c r="S17" s="20" t="n">
        <v>3484.178</v>
      </c>
      <c r="T17" s="20" t="n">
        <v>4369.804</v>
      </c>
      <c r="U17" s="20" t="n">
        <v>4406.557</v>
      </c>
      <c r="V17" s="20" t="n">
        <v>5562.593</v>
      </c>
      <c r="W17" s="20" t="n">
        <v>7226.172</v>
      </c>
      <c r="X17" s="20" t="n">
        <v>9070.374</v>
      </c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942.415</v>
      </c>
      <c r="D23" s="20" t="n">
        <v>811.359</v>
      </c>
      <c r="E23" s="20" t="n">
        <v>1022.93</v>
      </c>
      <c r="F23" s="20" t="n">
        <v>941.575</v>
      </c>
      <c r="G23" s="20" t="n">
        <v>1055.483</v>
      </c>
      <c r="H23" s="20" t="n">
        <v>1031.516</v>
      </c>
      <c r="I23" s="20" t="n">
        <v>1022.249</v>
      </c>
      <c r="J23" s="20" t="n">
        <v>933.928</v>
      </c>
      <c r="K23" s="20" t="n">
        <v>1113.767</v>
      </c>
      <c r="L23" s="20" t="n">
        <v>1135.412</v>
      </c>
      <c r="M23" s="20" t="n">
        <v>1101.747</v>
      </c>
      <c r="N23" s="20" t="n">
        <v>1035.903</v>
      </c>
      <c r="O23" s="19" t="n">
        <v>1639.156</v>
      </c>
      <c r="P23" s="20" t="n">
        <v>1833.288</v>
      </c>
      <c r="Q23" s="20" t="n">
        <v>2088.043</v>
      </c>
      <c r="R23" s="20" t="n">
        <v>2318.425</v>
      </c>
      <c r="S23" s="20" t="n">
        <v>2259.985</v>
      </c>
      <c r="T23" s="20" t="n">
        <v>2440.486</v>
      </c>
      <c r="U23" s="20" t="n">
        <v>2749.587</v>
      </c>
      <c r="V23" s="20" t="n">
        <v>3318.937</v>
      </c>
      <c r="W23" s="20" t="n">
        <v>4051.504</v>
      </c>
      <c r="X23" s="20" t="n">
        <v>4205.356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4.55</v>
      </c>
      <c r="D25" s="12" t="n">
        <v>336.772</v>
      </c>
      <c r="E25" s="12" t="n">
        <v>-48.757</v>
      </c>
      <c r="F25" s="12" t="n">
        <v>201.37</v>
      </c>
      <c r="G25" s="12" t="n">
        <v>76.215</v>
      </c>
      <c r="H25" s="12" t="n">
        <v>322.901</v>
      </c>
      <c r="I25" s="12" t="n">
        <v>296.962</v>
      </c>
      <c r="J25" s="12" t="n">
        <v>387.428</v>
      </c>
      <c r="K25" s="12" t="n">
        <v>282.343</v>
      </c>
      <c r="L25" s="12" t="n">
        <v>414.325</v>
      </c>
      <c r="M25" s="12" t="n">
        <v>384.21</v>
      </c>
      <c r="N25" s="12" t="n">
        <v>444.342</v>
      </c>
      <c r="O25" s="11" t="n">
        <v>597.22</v>
      </c>
      <c r="P25" s="12" t="n">
        <v>626.854</v>
      </c>
      <c r="Q25" s="12" t="n">
        <v>686.862</v>
      </c>
      <c r="R25" s="12" t="n">
        <v>720.796</v>
      </c>
      <c r="S25" s="12" t="n">
        <v>168.441</v>
      </c>
      <c r="T25" s="12" t="n">
        <v>843.4930000000001</v>
      </c>
      <c r="U25" s="12" t="n">
        <v>810.557</v>
      </c>
      <c r="V25" s="12" t="n">
        <v>376.335</v>
      </c>
      <c r="W25" s="12" t="n">
        <v>551.729</v>
      </c>
      <c r="X25" s="12" t="n">
        <v>1381.058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/>
      <c r="D41" s="20" t="n">
        <v>0</v>
      </c>
      <c r="E41" s="20" t="n"/>
      <c r="F41" s="20" t="n"/>
      <c r="G41" s="20" t="n"/>
      <c r="H41" s="20" t="n">
        <v>0</v>
      </c>
      <c r="I41" s="20" t="n">
        <v>0</v>
      </c>
      <c r="J41" s="20" t="n">
        <v>0</v>
      </c>
      <c r="K41" s="20" t="n"/>
      <c r="L41" s="20" t="n"/>
      <c r="M41" s="20" t="n">
        <v>35.999</v>
      </c>
      <c r="N41" s="20" t="n">
        <v>0</v>
      </c>
      <c r="O41" s="19" t="n"/>
      <c r="P41" s="20" t="n"/>
      <c r="Q41" s="20" t="n"/>
      <c r="R41" s="20" t="n"/>
      <c r="S41" s="20" t="n"/>
      <c r="T41" s="20" t="n"/>
      <c r="U41" s="20" t="n">
        <v>0</v>
      </c>
      <c r="V41" s="20" t="n">
        <v>99.562</v>
      </c>
      <c r="W41" s="20" t="n">
        <v>0</v>
      </c>
      <c r="X41" s="20" t="n"/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/>
      <c r="D43" s="20" t="n"/>
      <c r="E43" s="20" t="n"/>
      <c r="F43" s="20" t="n"/>
      <c r="G43" s="20" t="n">
        <v>0</v>
      </c>
      <c r="H43" s="20" t="n">
        <v>81.58</v>
      </c>
      <c r="I43" s="20" t="n"/>
      <c r="J43" s="20" t="n"/>
      <c r="K43" s="20" t="n">
        <v>0.696</v>
      </c>
      <c r="L43" s="20" t="n">
        <v>0</v>
      </c>
      <c r="M43" s="20" t="n"/>
      <c r="N43" s="20" t="n"/>
      <c r="O43" s="19" t="n"/>
      <c r="P43" s="20" t="n"/>
      <c r="Q43" s="20" t="n"/>
      <c r="R43" s="20" t="n"/>
      <c r="S43" s="20" t="n"/>
      <c r="T43" s="20" t="n">
        <v>0</v>
      </c>
      <c r="U43" s="20" t="n">
        <v>229.547</v>
      </c>
      <c r="V43" s="20" t="n">
        <v>0</v>
      </c>
      <c r="W43" s="20" t="n">
        <v>81.58</v>
      </c>
      <c r="X43" s="20" t="n">
        <v>6.724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13.042</v>
      </c>
      <c r="D45" s="20" t="n">
        <v>1.72</v>
      </c>
      <c r="E45" s="20" t="n">
        <v>12.062</v>
      </c>
      <c r="F45" s="20" t="n">
        <v>-2.945</v>
      </c>
      <c r="G45" s="20" t="n">
        <v>32.569</v>
      </c>
      <c r="H45" s="20" t="n">
        <v>7.643</v>
      </c>
      <c r="I45" s="20" t="n">
        <v>16.552</v>
      </c>
      <c r="J45" s="20" t="n">
        <v>-3.112</v>
      </c>
      <c r="K45" s="20" t="n">
        <v>25.023</v>
      </c>
      <c r="L45" s="20" t="n">
        <v>6.607</v>
      </c>
      <c r="M45" s="20" t="n">
        <v>13.756</v>
      </c>
      <c r="N45" s="20" t="n">
        <v>-2.627</v>
      </c>
      <c r="O45" s="19" t="n">
        <v>8.378</v>
      </c>
      <c r="P45" s="20" t="n">
        <v>7.876</v>
      </c>
      <c r="Q45" s="20" t="n">
        <v>25.537</v>
      </c>
      <c r="R45" s="20" t="n">
        <v>9.393000000000001</v>
      </c>
      <c r="S45" s="20" t="n">
        <v>10.964</v>
      </c>
      <c r="T45" s="20" t="n">
        <v>17.435</v>
      </c>
      <c r="U45" s="20" t="n">
        <v>17.701</v>
      </c>
      <c r="V45" s="20" t="n">
        <v>36.537</v>
      </c>
      <c r="W45" s="20" t="n">
        <v>49.329</v>
      </c>
      <c r="X45" s="20" t="n">
        <v>45.07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6.754</v>
      </c>
      <c r="D47" s="20" t="n">
        <v>2.861</v>
      </c>
      <c r="E47" s="20" t="n">
        <v>0.63</v>
      </c>
      <c r="F47" s="20" t="n">
        <v>0.926</v>
      </c>
      <c r="G47" s="20" t="n">
        <v>-0.856</v>
      </c>
      <c r="H47" s="20" t="n">
        <v>0.453</v>
      </c>
      <c r="I47" s="20" t="n">
        <v>6.246</v>
      </c>
      <c r="J47" s="20" t="n">
        <v>-6.145</v>
      </c>
      <c r="K47" s="20" t="n">
        <v>0.5</v>
      </c>
      <c r="L47" s="20" t="n">
        <v>10.554</v>
      </c>
      <c r="M47" s="20" t="n">
        <v>0.255</v>
      </c>
      <c r="N47" s="20" t="n">
        <v>0.783</v>
      </c>
      <c r="O47" s="19" t="n">
        <v>100.87</v>
      </c>
      <c r="P47" s="20" t="n">
        <v>11.82</v>
      </c>
      <c r="Q47" s="20" t="n">
        <v>21.156</v>
      </c>
      <c r="R47" s="20" t="n">
        <v>7.354</v>
      </c>
      <c r="S47" s="20" t="n">
        <v>9.042999999999999</v>
      </c>
      <c r="T47" s="20" t="n">
        <v>49.414</v>
      </c>
      <c r="U47" s="20" t="n">
        <v>63.213</v>
      </c>
      <c r="V47" s="20" t="n">
        <v>10.832</v>
      </c>
      <c r="W47" s="20" t="n">
        <v>1.153</v>
      </c>
      <c r="X47" s="20" t="n">
        <v>11.155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110.4</v>
      </c>
      <c r="D49" s="12" t="n">
        <v>335.632</v>
      </c>
      <c r="E49" s="12" t="n">
        <v>-37.325</v>
      </c>
      <c r="F49" s="12" t="n">
        <v>197.498</v>
      </c>
      <c r="G49" s="12" t="n">
        <v>109.641</v>
      </c>
      <c r="H49" s="12" t="n">
        <v>248.511</v>
      </c>
      <c r="I49" s="12" t="n">
        <v>307.268</v>
      </c>
      <c r="J49" s="12" t="n">
        <v>384.432</v>
      </c>
      <c r="K49" s="12" t="n">
        <v>306.17</v>
      </c>
      <c r="L49" s="12" t="n">
        <v>410.378</v>
      </c>
      <c r="M49" s="12" t="n">
        <v>433.711</v>
      </c>
      <c r="N49" s="12" t="n">
        <v>440.932</v>
      </c>
      <c r="O49" s="11" t="n">
        <v>504.728</v>
      </c>
      <c r="P49" s="12" t="n">
        <v>622.91</v>
      </c>
      <c r="Q49" s="12" t="n">
        <v>691.2430000000001</v>
      </c>
      <c r="R49" s="12" t="n">
        <v>722.8339999999999</v>
      </c>
      <c r="S49" s="12" t="n">
        <v>170.362</v>
      </c>
      <c r="T49" s="12" t="n">
        <v>811.514</v>
      </c>
      <c r="U49" s="12" t="n">
        <v>535.496</v>
      </c>
      <c r="V49" s="12" t="n">
        <v>501.603</v>
      </c>
      <c r="W49" s="12" t="n">
        <v>518.325</v>
      </c>
      <c r="X49" s="12" t="n">
        <v>1408.248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23.585</v>
      </c>
      <c r="D51" s="20" t="n">
        <v>90.664</v>
      </c>
      <c r="E51" s="20" t="n">
        <v>-5.765</v>
      </c>
      <c r="F51" s="20" t="n">
        <v>69.342</v>
      </c>
      <c r="G51" s="20" t="n">
        <v>56.78</v>
      </c>
      <c r="H51" s="20" t="n">
        <v>56.659</v>
      </c>
      <c r="I51" s="20" t="n">
        <v>97.59999999999999</v>
      </c>
      <c r="J51" s="20" t="n">
        <v>155.956</v>
      </c>
      <c r="K51" s="20" t="n">
        <v>126.017</v>
      </c>
      <c r="L51" s="20" t="n">
        <v>114.038</v>
      </c>
      <c r="M51" s="20" t="n">
        <v>126.645</v>
      </c>
      <c r="N51" s="20" t="n">
        <v>156.302</v>
      </c>
      <c r="O51" s="19" t="n">
        <v>159.607</v>
      </c>
      <c r="P51" s="20" t="n">
        <v>193.692</v>
      </c>
      <c r="Q51" s="20" t="n">
        <v>203.807</v>
      </c>
      <c r="R51" s="20" t="n">
        <v>197.004</v>
      </c>
      <c r="S51" s="20" t="n">
        <v>63.017</v>
      </c>
      <c r="T51" s="20" t="n">
        <v>261.498</v>
      </c>
      <c r="U51" s="20" t="n">
        <v>136.056</v>
      </c>
      <c r="V51" s="20" t="n">
        <v>151.474</v>
      </c>
      <c r="W51" s="20" t="n">
        <v>177.016</v>
      </c>
      <c r="X51" s="20" t="n">
        <v>493.611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86.81399999999999</v>
      </c>
      <c r="D53" s="12" t="n">
        <v>244.968</v>
      </c>
      <c r="E53" s="12" t="n">
        <v>-31.559</v>
      </c>
      <c r="F53" s="12" t="n">
        <v>128.154</v>
      </c>
      <c r="G53" s="12" t="n">
        <v>52.861</v>
      </c>
      <c r="H53" s="12" t="n">
        <v>191.853</v>
      </c>
      <c r="I53" s="12" t="n">
        <v>209.668</v>
      </c>
      <c r="J53" s="12" t="n">
        <v>228.476</v>
      </c>
      <c r="K53" s="12" t="n">
        <v>180.153</v>
      </c>
      <c r="L53" s="12" t="n">
        <v>296.34</v>
      </c>
      <c r="M53" s="12" t="n">
        <v>307.065</v>
      </c>
      <c r="N53" s="12" t="n">
        <v>284.63</v>
      </c>
      <c r="O53" s="11" t="n">
        <v>345.121</v>
      </c>
      <c r="P53" s="12" t="n">
        <v>429.217</v>
      </c>
      <c r="Q53" s="12" t="n">
        <v>487.435</v>
      </c>
      <c r="R53" s="12" t="n">
        <v>525.83</v>
      </c>
      <c r="S53" s="12" t="n">
        <v>107.344</v>
      </c>
      <c r="T53" s="12" t="n">
        <v>550.015</v>
      </c>
      <c r="U53" s="12" t="n">
        <v>399.44</v>
      </c>
      <c r="V53" s="12" t="n">
        <v>350.128</v>
      </c>
      <c r="W53" s="12" t="n">
        <v>341.309</v>
      </c>
      <c r="X53" s="12" t="n">
        <v>914.6369999999999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86.81399999999999</v>
      </c>
      <c r="D55" s="12" t="n">
        <v>244.968</v>
      </c>
      <c r="E55" s="12" t="n">
        <v>-31.559</v>
      </c>
      <c r="F55" s="12" t="n">
        <v>128.154</v>
      </c>
      <c r="G55" s="12" t="n">
        <v>52.861</v>
      </c>
      <c r="H55" s="12" t="n">
        <v>191.853</v>
      </c>
      <c r="I55" s="12" t="n">
        <v>209.668</v>
      </c>
      <c r="J55" s="12" t="n">
        <v>228.476</v>
      </c>
      <c r="K55" s="12" t="n">
        <v>180.153</v>
      </c>
      <c r="L55" s="12" t="n">
        <v>296.34</v>
      </c>
      <c r="M55" s="12" t="n">
        <v>307.065</v>
      </c>
      <c r="N55" s="12" t="n">
        <v>284.63</v>
      </c>
      <c r="O55" s="11" t="n">
        <v>350.802</v>
      </c>
      <c r="P55" s="12" t="n">
        <v>429.217</v>
      </c>
      <c r="Q55" s="12" t="n">
        <v>487.435</v>
      </c>
      <c r="R55" s="12" t="n">
        <v>525.83</v>
      </c>
      <c r="S55" s="12" t="n">
        <v>107.344</v>
      </c>
      <c r="T55" s="12" t="n">
        <v>550.015</v>
      </c>
      <c r="U55" s="12" t="n">
        <v>399.44</v>
      </c>
      <c r="V55" s="12" t="n">
        <v>350.128</v>
      </c>
      <c r="W55" s="12" t="n">
        <v>341.309</v>
      </c>
      <c r="X55" s="12" t="n">
        <v>914.6369999999999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(2026.10.28)</t>
        </is>
      </c>
      <c r="B59" s="27" t="n">
        <v>3710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4955000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2026.10.28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2024.3Q</t>
        </is>
      </c>
      <c r="D89" s="5" t="inlineStr">
        <is>
          <t>2024.4Q</t>
        </is>
      </c>
      <c r="E89" s="5" t="inlineStr">
        <is>
          <t>2025.1Q</t>
        </is>
      </c>
      <c r="F89" s="5" t="inlineStr">
        <is>
          <t>2025.2Q</t>
        </is>
      </c>
      <c r="G89" s="5" t="inlineStr">
        <is>
          <t>2025.3Q</t>
        </is>
      </c>
      <c r="H89" s="5" t="inlineStr">
        <is>
          <t>2025.4Q</t>
        </is>
      </c>
      <c r="I89" s="5" t="inlineStr">
        <is>
          <t>2026.1Q</t>
        </is>
      </c>
      <c r="J89" s="5" t="inlineStr">
        <is>
          <t>2026.2Q</t>
        </is>
      </c>
      <c r="K89" s="5" t="inlineStr">
        <is>
          <t>2026.3Q</t>
        </is>
      </c>
      <c r="L89" s="5" t="inlineStr">
        <is>
          <t>2026.4Q</t>
        </is>
      </c>
      <c r="M89" s="5" t="inlineStr">
        <is>
          <t>2027.1Q</t>
        </is>
      </c>
      <c r="N89" s="5" t="inlineStr">
        <is>
          <t>2027.2Q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2614.873</v>
      </c>
      <c r="D90" s="12" t="n">
        <v>2941.324</v>
      </c>
      <c r="E90" s="12" t="n">
        <v>2665.949</v>
      </c>
      <c r="F90" s="12" t="n">
        <v>2838.64</v>
      </c>
      <c r="G90" s="12" t="n">
        <v>2977.992</v>
      </c>
      <c r="H90" s="12" t="n">
        <v>3346.825</v>
      </c>
      <c r="I90" s="12" t="n">
        <v>3307.172</v>
      </c>
      <c r="J90" s="12" t="n">
        <v>3118.842</v>
      </c>
      <c r="K90" s="12" t="n">
        <v>3906.381</v>
      </c>
      <c r="L90" s="12" t="n">
        <v>4324.394</v>
      </c>
      <c r="M90" s="12" t="n">
        <v>3774.708</v>
      </c>
      <c r="N90" s="12" t="n">
        <v>3786.924</v>
      </c>
      <c r="U90" s="12" t="n">
        <v>2321.583</v>
      </c>
      <c r="V90" s="12" t="n">
        <v>2941.324</v>
      </c>
      <c r="W90" s="12" t="n">
        <v>3346.825</v>
      </c>
      <c r="X90" s="12" t="n">
        <v>4324.394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1667.909</v>
      </c>
      <c r="D92" s="20" t="n">
        <v>1793.192</v>
      </c>
      <c r="E92" s="20" t="n">
        <v>1691.776</v>
      </c>
      <c r="F92" s="20" t="n">
        <v>1695.694</v>
      </c>
      <c r="G92" s="20" t="n">
        <v>1846.295</v>
      </c>
      <c r="H92" s="20" t="n">
        <v>1992.407</v>
      </c>
      <c r="I92" s="20" t="n">
        <v>1987.96</v>
      </c>
      <c r="J92" s="20" t="n">
        <v>1797.486</v>
      </c>
      <c r="K92" s="20" t="n">
        <v>2510.271</v>
      </c>
      <c r="L92" s="20" t="n">
        <v>2774.657</v>
      </c>
      <c r="M92" s="20" t="n">
        <v>2288.751</v>
      </c>
      <c r="N92" s="20" t="n">
        <v>2306.678</v>
      </c>
      <c r="U92" s="20" t="n">
        <v>1238.158</v>
      </c>
      <c r="V92" s="20" t="n">
        <v>1793.192</v>
      </c>
      <c r="W92" s="20" t="n">
        <v>1992.407</v>
      </c>
      <c r="X92" s="20" t="n">
        <v>2774.657</v>
      </c>
    </row>
    <row r="93">
      <c r="A93" s="43" t="inlineStr">
        <is>
          <t>YoY</t>
        </is>
      </c>
      <c r="B93" s="3" t="inlineStr">
        <is>
          <t>전년 같은 분기·전년 대비</t>
        </is>
      </c>
      <c r="G93" s="15">
        <f>IF(OR(G92="",C92=""),"",IF(G92*C92&lt;=0,"",IFERROR(G92/C92-1,"")))</f>
        <v/>
      </c>
      <c r="H93" s="15">
        <f>IF(OR(H92="",D92=""),"",IF(H92*D92&lt;=0,"",IFERROR(H92/D92-1,"")))</f>
        <v/>
      </c>
      <c r="I93" s="15">
        <f>IF(OR(I92="",E92=""),"",IF(I92*E92&lt;=0,"",IFERROR(I92/E92-1,"")))</f>
        <v/>
      </c>
      <c r="J93" s="15">
        <f>IF(OR(J92="",F92=""),"",IF(J92*F92&lt;=0,"",IFERROR(J92/F92-1,"")))</f>
        <v/>
      </c>
      <c r="K93" s="15">
        <f>IF(OR(K92="",G92=""),"",IF(K92*G92&lt;=0,"",IFERROR(K92/G92-1,"")))</f>
        <v/>
      </c>
      <c r="L93" s="15">
        <f>IF(OR(L92="",H92=""),"",IF(L92*H92&lt;=0,"",IFERROR(L92/H92-1,"")))</f>
        <v/>
      </c>
      <c r="M93" s="15">
        <f>IF(OR(M92="",I92=""),"",IF(M92*I92&lt;=0,"",IFERROR(M92/I92-1,"")))</f>
        <v/>
      </c>
      <c r="N93" s="15">
        <f>IF(OR(N92="",J92=""),"",IF(N92*J92&lt;=0,"",IFERROR(N92/J92-1,"")))</f>
        <v/>
      </c>
      <c r="U93" s="15">
        <f>IF(OR(U92="",T92=""),"",IF(U92*T92&lt;=0,"",IFERROR(U92/T92-1,"")))</f>
        <v/>
      </c>
      <c r="V93" s="15">
        <f>IF(OR(V92="",U92=""),"",IF(V92*U92&lt;=0,"",IFERROR(V92/U92-1,"")))</f>
        <v/>
      </c>
      <c r="W93" s="15">
        <f>IF(OR(W92="",V92=""),"",IF(W92*V92&lt;=0,"",IFERROR(W92/V92-1,"")))</f>
        <v/>
      </c>
      <c r="X93" s="15">
        <f>IF(OR(X92="",W92=""),"",IF(X92*W92&lt;=0,"",IFERROR(X92/W92-1,"")))</f>
        <v/>
      </c>
    </row>
    <row r="94">
      <c r="A94" s="9" t="inlineStr">
        <is>
          <t>매출총이익</t>
        </is>
      </c>
      <c r="C94" s="12" t="n">
        <v>946.9640000000001</v>
      </c>
      <c r="D94" s="12" t="n">
        <v>1148.132</v>
      </c>
      <c r="E94" s="12" t="n">
        <v>974.172</v>
      </c>
      <c r="F94" s="12" t="n">
        <v>1142.946</v>
      </c>
      <c r="G94" s="12" t="n">
        <v>1131.698</v>
      </c>
      <c r="H94" s="12" t="n">
        <v>1354.417</v>
      </c>
      <c r="I94" s="12" t="n">
        <v>1319.211</v>
      </c>
      <c r="J94" s="12" t="n">
        <v>1321.357</v>
      </c>
      <c r="K94" s="12" t="n">
        <v>1396.11</v>
      </c>
      <c r="L94" s="12" t="n">
        <v>1549.737</v>
      </c>
      <c r="M94" s="12" t="n">
        <v>1485.957</v>
      </c>
      <c r="N94" s="12" t="n">
        <v>1480.245</v>
      </c>
      <c r="U94" s="12" t="n">
        <v>1083.426</v>
      </c>
      <c r="V94" s="12" t="n">
        <v>1148.132</v>
      </c>
      <c r="W94" s="12" t="n">
        <v>1354.417</v>
      </c>
      <c r="X94" s="12" t="n">
        <v>1549.737</v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IF(OR(G94="",C94=""),"",IF(C94&lt;=0,"",IFERROR(G94/C94-1,"")))</f>
        <v/>
      </c>
      <c r="H95" s="15">
        <f>IF(OR(H94="",D94=""),"",IF(D94&lt;=0,"",IFERROR(H94/D94-1,"")))</f>
        <v/>
      </c>
      <c r="I95" s="15">
        <f>IF(OR(I94="",E94=""),"",IF(E94&lt;=0,"",IFERROR(I94/E94-1,"")))</f>
        <v/>
      </c>
      <c r="J95" s="15">
        <f>IF(OR(J94="",F94=""),"",IF(F94&lt;=0,"",IFERROR(J94/F94-1,"")))</f>
        <v/>
      </c>
      <c r="K95" s="15">
        <f>IF(OR(K94="",G94=""),"",IF(G94&lt;=0,"",IFERROR(K94/G94-1,"")))</f>
        <v/>
      </c>
      <c r="L95" s="15">
        <f>IF(OR(L94="",H94=""),"",IF(H94&lt;=0,"",IFERROR(L94/H94-1,"")))</f>
        <v/>
      </c>
      <c r="M95" s="15">
        <f>IF(OR(M94="",I94=""),"",IF(I94&lt;=0,"",IFERROR(M94/I94-1,"")))</f>
        <v/>
      </c>
      <c r="N95" s="15">
        <f>IF(OR(N94="",J94=""),"",IF(J94&lt;=0,"",IFERROR(N94/J94-1,"")))</f>
        <v/>
      </c>
      <c r="U95" s="15">
        <f>IF(OR(U94="",T94=""),"",IF(T94&lt;=0,"",IFERROR(U94/T94-1,"")))</f>
        <v/>
      </c>
      <c r="V95" s="15">
        <f>IF(OR(V94="",U94=""),"",IF(U94&lt;=0,"",IFERROR(V94/U94-1,"")))</f>
        <v/>
      </c>
      <c r="W95" s="15">
        <f>IF(OR(W94="",V94=""),"",IF(V94&lt;=0,"",IFERROR(W94/V94-1,"")))</f>
        <v/>
      </c>
      <c r="X95" s="15">
        <f>IF(OR(X94="",W94=""),"",IF(W94&lt;=0,"",IFERROR(X94/W94-1,"")))</f>
        <v/>
      </c>
    </row>
    <row r="96">
      <c r="A96" s="18" t="inlineStr">
        <is>
          <t>판매비와 관리비</t>
        </is>
      </c>
      <c r="C96" s="20" t="n">
        <v>942.415</v>
      </c>
      <c r="D96" s="20" t="n">
        <v>811.359</v>
      </c>
      <c r="E96" s="20" t="n">
        <v>1022.93</v>
      </c>
      <c r="F96" s="20" t="n">
        <v>941.575</v>
      </c>
      <c r="G96" s="20" t="n">
        <v>1055.483</v>
      </c>
      <c r="H96" s="20" t="n">
        <v>1031.516</v>
      </c>
      <c r="I96" s="20" t="n">
        <v>1022.249</v>
      </c>
      <c r="J96" s="20" t="n">
        <v>933.928</v>
      </c>
      <c r="K96" s="20" t="n">
        <v>1113.767</v>
      </c>
      <c r="L96" s="20" t="n">
        <v>1135.412</v>
      </c>
      <c r="M96" s="20" t="n">
        <v>1101.747</v>
      </c>
      <c r="N96" s="20" t="n">
        <v>1035.903</v>
      </c>
      <c r="U96" s="20" t="n">
        <v>691.992</v>
      </c>
      <c r="V96" s="20" t="n">
        <v>811.359</v>
      </c>
      <c r="W96" s="20" t="n">
        <v>1031.516</v>
      </c>
      <c r="X96" s="20" t="n">
        <v>1135.412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IF(OR(G96="",C96=""),"",IF(G96*C96&lt;=0,"",IFERROR(G96/C96-1,"")))</f>
        <v/>
      </c>
      <c r="H97" s="15">
        <f>IF(OR(H96="",D96=""),"",IF(H96*D96&lt;=0,"",IFERROR(H96/D96-1,"")))</f>
        <v/>
      </c>
      <c r="I97" s="15">
        <f>IF(OR(I96="",E96=""),"",IF(I96*E96&lt;=0,"",IFERROR(I96/E96-1,"")))</f>
        <v/>
      </c>
      <c r="J97" s="15">
        <f>IF(OR(J96="",F96=""),"",IF(J96*F96&lt;=0,"",IFERROR(J96/F96-1,"")))</f>
        <v/>
      </c>
      <c r="K97" s="15">
        <f>IF(OR(K96="",G96=""),"",IF(K96*G96&lt;=0,"",IFERROR(K96/G96-1,"")))</f>
        <v/>
      </c>
      <c r="L97" s="15">
        <f>IF(OR(L96="",H96=""),"",IF(L96*H96&lt;=0,"",IFERROR(L96/H96-1,"")))</f>
        <v/>
      </c>
      <c r="M97" s="15">
        <f>IF(OR(M96="",I96=""),"",IF(M96*I96&lt;=0,"",IFERROR(M96/I96-1,"")))</f>
        <v/>
      </c>
      <c r="N97" s="15">
        <f>IF(OR(N96="",J96=""),"",IF(N96*J96&lt;=0,"",IFERROR(N96/J96-1,"")))</f>
        <v/>
      </c>
      <c r="U97" s="15">
        <f>IF(OR(U96="",T96=""),"",IF(U96*T96&lt;=0,"",IFERROR(U96/T96-1,"")))</f>
        <v/>
      </c>
      <c r="V97" s="15">
        <f>IF(OR(V96="",U96=""),"",IF(V96*U96&lt;=0,"",IFERROR(V96/U96-1,"")))</f>
        <v/>
      </c>
      <c r="W97" s="15">
        <f>IF(OR(W96="",V96=""),"",IF(W96*V96&lt;=0,"",IFERROR(W96/V96-1,"")))</f>
        <v/>
      </c>
      <c r="X97" s="15">
        <f>IF(OR(X96="",W96=""),"",IF(X96*W96&lt;=0,"",IFERROR(X96/W96-1,"")))</f>
        <v/>
      </c>
    </row>
    <row r="98">
      <c r="A98" s="9" t="inlineStr">
        <is>
          <t>영업이익</t>
        </is>
      </c>
      <c r="C98" s="12" t="n">
        <v>4.55</v>
      </c>
      <c r="D98" s="12" t="n">
        <v>336.772</v>
      </c>
      <c r="E98" s="12" t="n">
        <v>-48.757</v>
      </c>
      <c r="F98" s="12" t="n">
        <v>201.37</v>
      </c>
      <c r="G98" s="12" t="n">
        <v>76.215</v>
      </c>
      <c r="H98" s="12" t="n">
        <v>322.901</v>
      </c>
      <c r="I98" s="12" t="n">
        <v>296.962</v>
      </c>
      <c r="J98" s="12" t="n">
        <v>387.428</v>
      </c>
      <c r="K98" s="12" t="n">
        <v>282.343</v>
      </c>
      <c r="L98" s="12" t="n">
        <v>414.325</v>
      </c>
      <c r="M98" s="12" t="n">
        <v>384.21</v>
      </c>
      <c r="N98" s="12" t="n">
        <v>444.342</v>
      </c>
      <c r="U98" s="12" t="n">
        <v>391.435</v>
      </c>
      <c r="V98" s="12" t="n">
        <v>336.772</v>
      </c>
      <c r="W98" s="12" t="n">
        <v>322.901</v>
      </c>
      <c r="X98" s="12" t="n">
        <v>414.325</v>
      </c>
    </row>
    <row r="99">
      <c r="A99" s="43" t="inlineStr">
        <is>
          <t>OPM</t>
        </is>
      </c>
      <c r="B99" s="3" t="inlineStr">
        <is>
          <t>영업이익 ÷ 매출</t>
        </is>
      </c>
      <c r="C99" s="15">
        <f>IF(OR(C98="",C90=""),"",IF(C90&lt;=0,"",IFERROR(C98/C90,"")))</f>
        <v/>
      </c>
      <c r="D99" s="15">
        <f>IF(OR(D98="",D90=""),"",IF(D90&lt;=0,"",IFERROR(D98/D90,"")))</f>
        <v/>
      </c>
      <c r="E99" s="15">
        <f>IF(OR(E98="",E90=""),"",IF(E90&lt;=0,"",IFERROR(E98/E90,"")))</f>
        <v/>
      </c>
      <c r="F99" s="15">
        <f>IF(OR(F98="",F90=""),"",IF(F90&lt;=0,"",IFERROR(F98/F90,"")))</f>
        <v/>
      </c>
      <c r="G99" s="15">
        <f>IF(OR(G98="",G90=""),"",IF(G90&lt;=0,"",IFERROR(G98/G90,"")))</f>
        <v/>
      </c>
      <c r="H99" s="15">
        <f>IF(OR(H98="",H90=""),"",IF(H90&lt;=0,"",IFERROR(H98/H90,"")))</f>
        <v/>
      </c>
      <c r="I99" s="15">
        <f>IF(OR(I98="",I90=""),"",IF(I90&lt;=0,"",IFERROR(I98/I90,"")))</f>
        <v/>
      </c>
      <c r="J99" s="15">
        <f>IF(OR(J98="",J90=""),"",IF(J90&lt;=0,"",IFERROR(J98/J90,"")))</f>
        <v/>
      </c>
      <c r="K99" s="15">
        <f>IF(OR(K98="",K90=""),"",IF(K90&lt;=0,"",IFERROR(K98/K90,"")))</f>
        <v/>
      </c>
      <c r="L99" s="15">
        <f>IF(OR(L98="",L90=""),"",IF(L90&lt;=0,"",IFERROR(L98/L90,"")))</f>
        <v/>
      </c>
      <c r="M99" s="15">
        <f>IF(OR(M98="",M90=""),"",IF(M90&lt;=0,"",IFERROR(M98/M90,"")))</f>
        <v/>
      </c>
      <c r="N99" s="15">
        <f>IF(OR(N98="",N90=""),"",IF(N90&lt;=0,"",IFERROR(N98/N90,"")))</f>
        <v/>
      </c>
      <c r="U99" s="15">
        <f>IF(OR(U98="",U90=""),"",IF(U90&lt;=0,"",IFERROR(U98/U90,"")))</f>
        <v/>
      </c>
      <c r="V99" s="15">
        <f>IF(OR(V98="",V90=""),"",IF(V90&lt;=0,"",IFERROR(V98/V90,"")))</f>
        <v/>
      </c>
      <c r="W99" s="15">
        <f>IF(OR(W98="",W90=""),"",IF(W90&lt;=0,"",IFERROR(W98/W90,"")))</f>
        <v/>
      </c>
      <c r="X99" s="15">
        <f>IF(OR(X98="",X90=""),"",IF(X90&lt;=0,"",IFERROR(X98/X90,"")))</f>
        <v/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IF(OR(G98="",C98=""),"",IF(C98&lt;=0,"",IFERROR(G98/C98-1,"")))</f>
        <v/>
      </c>
      <c r="H100" s="15">
        <f>IF(OR(H98="",D98=""),"",IF(D98&lt;=0,"",IFERROR(H98/D98-1,"")))</f>
        <v/>
      </c>
      <c r="I100" s="15">
        <f>IF(OR(I98="",E98=""),"",IF(E98&lt;=0,"",IFERROR(I98/E98-1,"")))</f>
        <v/>
      </c>
      <c r="J100" s="15">
        <f>IF(OR(J98="",F98=""),"",IF(F98&lt;=0,"",IFERROR(J98/F98-1,"")))</f>
        <v/>
      </c>
      <c r="K100" s="15">
        <f>IF(OR(K98="",G98=""),"",IF(G98&lt;=0,"",IFERROR(K98/G98-1,"")))</f>
        <v/>
      </c>
      <c r="L100" s="15">
        <f>IF(OR(L98="",H98=""),"",IF(H98&lt;=0,"",IFERROR(L98/H98-1,"")))</f>
        <v/>
      </c>
      <c r="M100" s="15">
        <f>IF(OR(M98="",I98=""),"",IF(I98&lt;=0,"",IFERROR(M98/I98-1,"")))</f>
        <v/>
      </c>
      <c r="N100" s="15">
        <f>IF(OR(N98="",J98=""),"",IF(J98&lt;=0,"",IFERROR(N98/J98-1,"")))</f>
        <v/>
      </c>
      <c r="U100" s="15">
        <f>IF(OR(U98="",T98=""),"",IF(T98&lt;=0,"",IFERROR(U98/T98-1,"")))</f>
        <v/>
      </c>
      <c r="V100" s="15">
        <f>IF(OR(V98="",U98=""),"",IF(U98&lt;=0,"",IFERROR(V98/U98-1,"")))</f>
        <v/>
      </c>
      <c r="W100" s="15">
        <f>IF(OR(W98="",V98=""),"",IF(V98&lt;=0,"",IFERROR(W98/V98-1,"")))</f>
        <v/>
      </c>
      <c r="X100" s="15">
        <f>IF(OR(X98="",W98=""),"",IF(W98&lt;=0,"",IFERROR(X98/W98-1,"")))</f>
        <v/>
      </c>
    </row>
    <row r="101">
      <c r="A101" s="18" t="inlineStr">
        <is>
          <t>이자수익</t>
        </is>
      </c>
      <c r="C101" s="20" t="n">
        <v>0.55</v>
      </c>
      <c r="D101" s="20" t="n">
        <v>0.046</v>
      </c>
      <c r="E101" s="20" t="n">
        <v>0.589</v>
      </c>
      <c r="F101" s="20" t="n">
        <v>0.048</v>
      </c>
      <c r="G101" s="20" t="n">
        <v>0.592</v>
      </c>
      <c r="H101" s="20" t="n">
        <v>0.296</v>
      </c>
      <c r="I101" s="20" t="n">
        <v>0.598</v>
      </c>
      <c r="J101" s="20" t="n">
        <v>0.635</v>
      </c>
      <c r="K101" s="20" t="n">
        <v>0.838</v>
      </c>
      <c r="L101" s="20" t="n">
        <v>0.512</v>
      </c>
      <c r="M101" s="20" t="n">
        <v>0.401</v>
      </c>
      <c r="N101" s="20" t="n">
        <v>1.201</v>
      </c>
      <c r="U101" s="20" t="n">
        <v>0</v>
      </c>
      <c r="V101" s="20" t="n">
        <v>0.046</v>
      </c>
      <c r="W101" s="20" t="n">
        <v>0.296</v>
      </c>
      <c r="X101" s="20" t="n">
        <v>0.512</v>
      </c>
    </row>
    <row r="102">
      <c r="A102" s="18" t="inlineStr">
        <is>
          <t>배당금수익</t>
        </is>
      </c>
      <c r="C102" s="20" t="n">
        <v>0</v>
      </c>
      <c r="D102" s="20" t="n">
        <v>0</v>
      </c>
      <c r="E102" s="20" t="n">
        <v>2.143</v>
      </c>
      <c r="F102" s="20" t="n">
        <v>0</v>
      </c>
      <c r="G102" s="20" t="n">
        <v>0</v>
      </c>
      <c r="H102" s="20" t="n">
        <v>0</v>
      </c>
      <c r="I102" s="20" t="n">
        <v>4.544</v>
      </c>
      <c r="J102" s="20" t="n">
        <v>0</v>
      </c>
      <c r="K102" s="20" t="n">
        <v>0</v>
      </c>
      <c r="L102" s="20" t="n">
        <v>0</v>
      </c>
      <c r="M102" s="20" t="n">
        <v>3.45</v>
      </c>
      <c r="N102" s="20" t="n">
        <v>0</v>
      </c>
      <c r="U102" s="20" t="n">
        <v>0</v>
      </c>
      <c r="V102" s="20" t="n">
        <v>0</v>
      </c>
      <c r="W102" s="20" t="n">
        <v>0</v>
      </c>
      <c r="X102" s="20" t="n">
        <v>0</v>
      </c>
    </row>
    <row r="103">
      <c r="A103" s="18" t="inlineStr">
        <is>
          <t>협찬금 수입</t>
        </is>
      </c>
      <c r="D103" s="20" t="n">
        <v>0.9</v>
      </c>
      <c r="H103" s="20" t="n">
        <v>1.2</v>
      </c>
      <c r="L103" s="20" t="n">
        <v>0</v>
      </c>
      <c r="U103" s="20" t="n">
        <v>0</v>
      </c>
      <c r="V103" s="20" t="n">
        <v>0.9</v>
      </c>
      <c r="W103" s="20" t="n">
        <v>1.2</v>
      </c>
      <c r="X103" s="20" t="n">
        <v>0</v>
      </c>
    </row>
    <row r="104">
      <c r="A104" s="18" t="inlineStr">
        <is>
          <t>지분법이익</t>
        </is>
      </c>
      <c r="C104" s="20" t="n">
        <v>-10.252</v>
      </c>
      <c r="D104" s="20" t="n">
        <v>0</v>
      </c>
      <c r="E104" s="20" t="n">
        <v>9.115</v>
      </c>
      <c r="F104" s="20" t="n">
        <v>-3.983</v>
      </c>
      <c r="G104" s="20" t="n">
        <v>11.645</v>
      </c>
      <c r="H104" s="20" t="n">
        <v>5.802</v>
      </c>
      <c r="I104" s="20" t="n">
        <v>6.217</v>
      </c>
      <c r="J104" s="20" t="n">
        <v>-4.605</v>
      </c>
      <c r="K104" s="20" t="n">
        <v>1.261</v>
      </c>
      <c r="L104" s="20" t="n">
        <v>4.808</v>
      </c>
      <c r="M104" s="20" t="n">
        <v>8.619</v>
      </c>
      <c r="N104" s="20" t="n">
        <v>-4.833</v>
      </c>
      <c r="V104" s="20" t="n">
        <v>0</v>
      </c>
      <c r="W104" s="20" t="n">
        <v>5.802</v>
      </c>
      <c r="X104" s="20" t="n">
        <v>4.808</v>
      </c>
    </row>
    <row r="105">
      <c r="A105" s="18" t="inlineStr">
        <is>
          <t>보조금 수입</t>
        </is>
      </c>
      <c r="D105" s="20" t="n">
        <v>0</v>
      </c>
      <c r="E105" s="20" t="n">
        <v>0</v>
      </c>
      <c r="F105" s="20" t="n">
        <v>0</v>
      </c>
      <c r="G105" s="20" t="n">
        <v>0</v>
      </c>
      <c r="H105" s="20" t="n">
        <v>0</v>
      </c>
      <c r="I105" s="20" t="n">
        <v>4.725</v>
      </c>
      <c r="J105" s="20" t="n">
        <v>0</v>
      </c>
      <c r="K105" s="20" t="n">
        <v>0</v>
      </c>
      <c r="L105" s="20" t="n">
        <v>0</v>
      </c>
      <c r="M105" s="20" t="n">
        <v>0</v>
      </c>
      <c r="N105" s="20" t="n">
        <v>0</v>
      </c>
      <c r="U105" s="20" t="n">
        <v>0</v>
      </c>
      <c r="V105" s="20" t="n">
        <v>0</v>
      </c>
      <c r="W105" s="20" t="n">
        <v>0</v>
      </c>
      <c r="X105" s="20" t="n">
        <v>0</v>
      </c>
    </row>
    <row r="106">
      <c r="A106" s="18" t="inlineStr">
        <is>
          <t>보험 해약환급금</t>
        </is>
      </c>
      <c r="D106" s="20" t="n">
        <v>0</v>
      </c>
      <c r="H106" s="20" t="n">
        <v>0</v>
      </c>
      <c r="U106" s="20" t="n">
        <v>0</v>
      </c>
      <c r="V106" s="20" t="n">
        <v>0</v>
      </c>
      <c r="W106" s="20" t="n">
        <v>0</v>
      </c>
    </row>
    <row r="107">
      <c r="A107" s="18" t="inlineStr">
        <is>
          <t>외환차익</t>
        </is>
      </c>
      <c r="C107" s="20" t="n">
        <v>-2.404</v>
      </c>
      <c r="D107" s="20" t="n">
        <v>0.548</v>
      </c>
      <c r="E107" s="20" t="n">
        <v>0</v>
      </c>
      <c r="F107" s="20" t="n">
        <v>0</v>
      </c>
      <c r="G107" s="20" t="n">
        <v>0</v>
      </c>
      <c r="H107" s="20" t="n">
        <v>0</v>
      </c>
      <c r="L107" s="20" t="n">
        <v>-0.147</v>
      </c>
      <c r="U107" s="20" t="n">
        <v>-4.025</v>
      </c>
      <c r="V107" s="20" t="n">
        <v>0.548</v>
      </c>
      <c r="W107" s="20" t="n">
        <v>0</v>
      </c>
      <c r="X107" s="20" t="n">
        <v>-0.147</v>
      </c>
    </row>
    <row r="108">
      <c r="A108" s="18" t="inlineStr">
        <is>
          <t>기타</t>
        </is>
      </c>
      <c r="C108" s="20" t="n">
        <v>0.213</v>
      </c>
      <c r="D108" s="20" t="n">
        <v>0.226</v>
      </c>
      <c r="E108" s="20" t="n">
        <v>0.214</v>
      </c>
      <c r="F108" s="20" t="n">
        <v>0.99</v>
      </c>
      <c r="G108" s="20" t="n">
        <v>0.311</v>
      </c>
      <c r="H108" s="20" t="n">
        <v>0.346</v>
      </c>
      <c r="I108" s="20" t="n">
        <v>0.467</v>
      </c>
      <c r="J108" s="20" t="n">
        <v>0.857</v>
      </c>
      <c r="K108" s="20" t="n">
        <v>-0.386</v>
      </c>
      <c r="L108" s="20" t="n">
        <v>1.434</v>
      </c>
      <c r="M108" s="20" t="n">
        <v>1.286</v>
      </c>
      <c r="N108" s="20" t="n">
        <v>1.004</v>
      </c>
      <c r="U108" s="20" t="n">
        <v>-0.002</v>
      </c>
      <c r="V108" s="20" t="n">
        <v>0.226</v>
      </c>
      <c r="W108" s="20" t="n">
        <v>0.346</v>
      </c>
      <c r="X108" s="20" t="n">
        <v>1.434</v>
      </c>
    </row>
    <row r="109">
      <c r="A109" s="18" t="inlineStr">
        <is>
          <t>영업외수익 합계</t>
        </is>
      </c>
      <c r="C109" s="20" t="n">
        <v>13.042</v>
      </c>
      <c r="D109" s="20" t="n">
        <v>1.72</v>
      </c>
      <c r="E109" s="20" t="n">
        <v>12.062</v>
      </c>
      <c r="F109" s="20" t="n">
        <v>-2.945</v>
      </c>
      <c r="G109" s="20" t="n">
        <v>32.569</v>
      </c>
      <c r="H109" s="20" t="n">
        <v>7.643</v>
      </c>
      <c r="I109" s="20" t="n">
        <v>16.552</v>
      </c>
      <c r="J109" s="20" t="n">
        <v>-3.112</v>
      </c>
      <c r="K109" s="20" t="n">
        <v>25.023</v>
      </c>
      <c r="L109" s="20" t="n">
        <v>6.607</v>
      </c>
      <c r="M109" s="20" t="n">
        <v>13.756</v>
      </c>
      <c r="N109" s="20" t="n">
        <v>-2.627</v>
      </c>
      <c r="U109" s="20" t="n">
        <v>-26.928</v>
      </c>
      <c r="V109" s="20" t="n">
        <v>1.72</v>
      </c>
      <c r="W109" s="20" t="n">
        <v>7.643</v>
      </c>
      <c r="X109" s="20" t="n">
        <v>6.607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IF(OR(G109="",C109=""),"",IF(G109*C109&lt;=0,"",IFERROR(G109/C109-1,"")))</f>
        <v/>
      </c>
      <c r="H110" s="15">
        <f>IF(OR(H109="",D109=""),"",IF(H109*D109&lt;=0,"",IFERROR(H109/D109-1,"")))</f>
        <v/>
      </c>
      <c r="I110" s="15">
        <f>IF(OR(I109="",E109=""),"",IF(I109*E109&lt;=0,"",IFERROR(I109/E109-1,"")))</f>
        <v/>
      </c>
      <c r="J110" s="15">
        <f>IF(OR(J109="",F109=""),"",IF(J109*F109&lt;=0,"",IFERROR(J109/F109-1,"")))</f>
        <v/>
      </c>
      <c r="K110" s="15">
        <f>IF(OR(K109="",G109=""),"",IF(K109*G109&lt;=0,"",IFERROR(K109/G109-1,"")))</f>
        <v/>
      </c>
      <c r="L110" s="15">
        <f>IF(OR(L109="",H109=""),"",IF(L109*H109&lt;=0,"",IFERROR(L109/H109-1,"")))</f>
        <v/>
      </c>
      <c r="M110" s="15">
        <f>IF(OR(M109="",I109=""),"",IF(M109*I109&lt;=0,"",IFERROR(M109/I109-1,"")))</f>
        <v/>
      </c>
      <c r="N110" s="15">
        <f>IF(OR(N109="",J109=""),"",IF(N109*J109&lt;=0,"",IFERROR(N109/J109-1,"")))</f>
        <v/>
      </c>
      <c r="U110" s="15">
        <f>IF(OR(U109="",T109=""),"",IF(U109*T109&lt;=0,"",IFERROR(U109/T109-1,"")))</f>
        <v/>
      </c>
      <c r="V110" s="15">
        <f>IF(OR(V109="",U109=""),"",IF(V109*U109&lt;=0,"",IFERROR(V109/U109-1,"")))</f>
        <v/>
      </c>
      <c r="W110" s="15">
        <f>IF(OR(W109="",V109=""),"",IF(W109*V109&lt;=0,"",IFERROR(W109/V109-1,"")))</f>
        <v/>
      </c>
      <c r="X110" s="15">
        <f>IF(OR(X109="",W109=""),"",IF(X109*W109&lt;=0,"",IFERROR(X109/W109-1,"")))</f>
        <v/>
      </c>
    </row>
    <row r="111">
      <c r="A111" s="18" t="inlineStr">
        <is>
          <t>이자비용</t>
        </is>
      </c>
      <c r="E111" s="20" t="n">
        <v>0.045</v>
      </c>
      <c r="F111" s="20" t="n">
        <v>0.034</v>
      </c>
      <c r="I111" s="20" t="n">
        <v>0</v>
      </c>
      <c r="J111" s="20" t="n">
        <v>0</v>
      </c>
    </row>
    <row r="112">
      <c r="A112" s="18" t="inlineStr">
        <is>
          <t>고정자산 제각손실</t>
        </is>
      </c>
      <c r="C112" s="20" t="n">
        <v>0</v>
      </c>
      <c r="D112" s="20" t="n">
        <v>0</v>
      </c>
      <c r="G112" s="20" t="n">
        <v>0</v>
      </c>
      <c r="H112" s="20" t="n">
        <v>0</v>
      </c>
      <c r="K112" s="20" t="n">
        <v>0.601</v>
      </c>
      <c r="L112" s="20" t="n">
        <v>6.054</v>
      </c>
      <c r="U112" s="20" t="n">
        <v>7.336</v>
      </c>
      <c r="V112" s="20" t="n">
        <v>0</v>
      </c>
      <c r="W112" s="20" t="n">
        <v>0</v>
      </c>
      <c r="X112" s="20" t="n">
        <v>6.054</v>
      </c>
    </row>
    <row r="113">
      <c r="A113" s="18" t="inlineStr">
        <is>
          <t>지분법손실</t>
        </is>
      </c>
      <c r="C113" s="20" t="n">
        <v>6.654</v>
      </c>
      <c r="D113" s="20" t="n">
        <v>2.795</v>
      </c>
      <c r="H113" s="20" t="n">
        <v>0</v>
      </c>
      <c r="U113" s="20" t="n">
        <v>32.137</v>
      </c>
      <c r="V113" s="20" t="n">
        <v>2.795</v>
      </c>
      <c r="W113" s="20" t="n">
        <v>0</v>
      </c>
    </row>
    <row r="114">
      <c r="A114" s="18" t="inlineStr">
        <is>
          <t>투자유가증권 평가손실</t>
        </is>
      </c>
      <c r="D114" s="20" t="n">
        <v>0</v>
      </c>
      <c r="U114" s="20" t="n">
        <v>0</v>
      </c>
      <c r="V114" s="20" t="n">
        <v>0</v>
      </c>
    </row>
    <row r="115">
      <c r="A115" s="18" t="inlineStr">
        <is>
          <t>투자유가증권 매각손실</t>
        </is>
      </c>
      <c r="E115" s="20" t="n">
        <v>0</v>
      </c>
      <c r="I115" s="20" t="n">
        <v>6.028</v>
      </c>
      <c r="M115" s="20" t="n">
        <v>0</v>
      </c>
    </row>
    <row r="116">
      <c r="A116" s="18" t="inlineStr">
        <is>
          <t>외환차손</t>
        </is>
      </c>
      <c r="C116" s="20" t="n">
        <v>0</v>
      </c>
      <c r="D116" s="20" t="n">
        <v>0</v>
      </c>
      <c r="E116" s="20" t="n">
        <v>0.584</v>
      </c>
      <c r="F116" s="20" t="n">
        <v>0.893</v>
      </c>
      <c r="G116" s="20" t="n">
        <v>-0.87</v>
      </c>
      <c r="H116" s="20" t="n">
        <v>0.448</v>
      </c>
      <c r="I116" s="20" t="n">
        <v>0.217</v>
      </c>
      <c r="J116" s="20" t="n">
        <v>-0.116</v>
      </c>
      <c r="K116" s="20" t="n">
        <v>-0.101</v>
      </c>
      <c r="L116" s="20" t="n">
        <v>0</v>
      </c>
      <c r="M116" s="20" t="n">
        <v>0.255</v>
      </c>
      <c r="N116" s="20" t="n">
        <v>-0.249</v>
      </c>
      <c r="V116" s="20" t="n">
        <v>0</v>
      </c>
      <c r="W116" s="20" t="n">
        <v>0.448</v>
      </c>
      <c r="X116" s="20" t="n">
        <v>0</v>
      </c>
    </row>
    <row r="117">
      <c r="A117" s="18" t="inlineStr">
        <is>
          <t>영업외비용 합계</t>
        </is>
      </c>
      <c r="C117" s="20" t="n">
        <v>6.754</v>
      </c>
      <c r="D117" s="20" t="n">
        <v>2.861</v>
      </c>
      <c r="E117" s="20" t="n">
        <v>0.63</v>
      </c>
      <c r="F117" s="20" t="n">
        <v>0.926</v>
      </c>
      <c r="G117" s="20" t="n">
        <v>-0.856</v>
      </c>
      <c r="H117" s="20" t="n">
        <v>0.453</v>
      </c>
      <c r="I117" s="20" t="n">
        <v>6.246</v>
      </c>
      <c r="J117" s="20" t="n">
        <v>-6.145</v>
      </c>
      <c r="K117" s="20" t="n">
        <v>0.5</v>
      </c>
      <c r="L117" s="20" t="n">
        <v>10.554</v>
      </c>
      <c r="M117" s="20" t="n">
        <v>0.255</v>
      </c>
      <c r="N117" s="20" t="n">
        <v>0.783</v>
      </c>
      <c r="U117" s="20" t="n">
        <v>39.473</v>
      </c>
      <c r="V117" s="20" t="n">
        <v>2.861</v>
      </c>
      <c r="W117" s="20" t="n">
        <v>0.453</v>
      </c>
      <c r="X117" s="20" t="n">
        <v>10.554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9" t="inlineStr">
        <is>
          <t>경상이익</t>
        </is>
      </c>
      <c r="C119" s="12" t="n">
        <v>10.838</v>
      </c>
      <c r="D119" s="12" t="n">
        <v>335.632</v>
      </c>
      <c r="E119" s="12" t="n">
        <v>-37.325</v>
      </c>
      <c r="F119" s="12" t="n">
        <v>197.498</v>
      </c>
      <c r="G119" s="12" t="n">
        <v>109.641</v>
      </c>
      <c r="H119" s="12" t="n">
        <v>330.092</v>
      </c>
      <c r="I119" s="12" t="n">
        <v>307.268</v>
      </c>
      <c r="J119" s="12" t="n">
        <v>390.461</v>
      </c>
      <c r="K119" s="12" t="n">
        <v>306.866</v>
      </c>
      <c r="L119" s="12" t="n">
        <v>410.378</v>
      </c>
      <c r="M119" s="12" t="n">
        <v>397.711</v>
      </c>
      <c r="N119" s="12" t="n">
        <v>440.932</v>
      </c>
      <c r="U119" s="12" t="n">
        <v>325.032</v>
      </c>
      <c r="V119" s="12" t="n">
        <v>335.632</v>
      </c>
      <c r="W119" s="12" t="n">
        <v>330.092</v>
      </c>
      <c r="X119" s="12" t="n">
        <v>410.378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IF(OR(G119="",C119=""),"",IF(C119&lt;=0,"",IFERROR(G119/C119-1,"")))</f>
        <v/>
      </c>
      <c r="H120" s="15">
        <f>IF(OR(H119="",D119=""),"",IF(D119&lt;=0,"",IFERROR(H119/D119-1,"")))</f>
        <v/>
      </c>
      <c r="I120" s="15">
        <f>IF(OR(I119="",E119=""),"",IF(E119&lt;=0,"",IFERROR(I119/E119-1,"")))</f>
        <v/>
      </c>
      <c r="J120" s="15">
        <f>IF(OR(J119="",F119=""),"",IF(F119&lt;=0,"",IFERROR(J119/F119-1,"")))</f>
        <v/>
      </c>
      <c r="K120" s="15">
        <f>IF(OR(K119="",G119=""),"",IF(G119&lt;=0,"",IFERROR(K119/G119-1,"")))</f>
        <v/>
      </c>
      <c r="L120" s="15">
        <f>IF(OR(L119="",H119=""),"",IF(H119&lt;=0,"",IFERROR(L119/H119-1,"")))</f>
        <v/>
      </c>
      <c r="M120" s="15">
        <f>IF(OR(M119="",I119=""),"",IF(I119&lt;=0,"",IFERROR(M119/I119-1,"")))</f>
        <v/>
      </c>
      <c r="N120" s="15">
        <f>IF(OR(N119="",J119=""),"",IF(J119&lt;=0,"",IFERROR(N119/J119-1,"")))</f>
        <v/>
      </c>
      <c r="U120" s="15">
        <f>IF(OR(U119="",T119=""),"",IF(T119&lt;=0,"",IFERROR(U119/T119-1,"")))</f>
        <v/>
      </c>
      <c r="V120" s="15">
        <f>IF(OR(V119="",U119=""),"",IF(U119&lt;=0,"",IFERROR(V119/U119-1,"")))</f>
        <v/>
      </c>
      <c r="W120" s="15">
        <f>IF(OR(W119="",V119=""),"",IF(V119&lt;=0,"",IFERROR(W119/V119-1,"")))</f>
        <v/>
      </c>
      <c r="X120" s="15">
        <f>IF(OR(X119="",W119=""),"",IF(W119&lt;=0,"",IFERROR(X119/W119-1,"")))</f>
        <v/>
      </c>
    </row>
    <row r="121">
      <c r="A121" s="18" t="inlineStr">
        <is>
          <t>단계적 취득 차익</t>
        </is>
      </c>
      <c r="D121" s="20" t="n">
        <v>0</v>
      </c>
      <c r="H121" s="20" t="n">
        <v>0</v>
      </c>
      <c r="U121" s="20" t="n">
        <v>0</v>
      </c>
      <c r="V121" s="20" t="n">
        <v>0</v>
      </c>
      <c r="W121" s="20" t="n">
        <v>0</v>
      </c>
    </row>
    <row r="122">
      <c r="A122" s="18" t="inlineStr">
        <is>
          <t>투자유가증권 매각이익</t>
        </is>
      </c>
      <c r="I122" s="20" t="n">
        <v>0</v>
      </c>
      <c r="J122" s="20" t="n">
        <v>0</v>
      </c>
      <c r="M122" s="20" t="n">
        <v>35.999</v>
      </c>
      <c r="N122" s="20" t="n">
        <v>0</v>
      </c>
    </row>
    <row r="123">
      <c r="A123" s="18" t="inlineStr">
        <is>
          <t>특별이익 합계</t>
        </is>
      </c>
      <c r="D123" s="20" t="n">
        <v>0</v>
      </c>
      <c r="H123" s="20" t="n">
        <v>0</v>
      </c>
      <c r="I123" s="20" t="n">
        <v>0</v>
      </c>
      <c r="J123" s="20" t="n">
        <v>0</v>
      </c>
      <c r="M123" s="20" t="n">
        <v>35.999</v>
      </c>
      <c r="N123" s="20" t="n">
        <v>0</v>
      </c>
      <c r="U123" s="20" t="n">
        <v>0</v>
      </c>
      <c r="V123" s="20" t="n">
        <v>0</v>
      </c>
      <c r="W123" s="20" t="n">
        <v>0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</row>
    <row r="125">
      <c r="A125" s="18" t="inlineStr">
        <is>
          <t>관계회사 주식 매각손실</t>
        </is>
      </c>
      <c r="G125" s="20" t="n">
        <v>0</v>
      </c>
      <c r="H125" s="20" t="n">
        <v>0</v>
      </c>
      <c r="K125" s="20" t="n">
        <v>0</v>
      </c>
      <c r="L125" s="20" t="n">
        <v>0</v>
      </c>
      <c r="W125" s="20" t="n">
        <v>0</v>
      </c>
      <c r="X125" s="20" t="n">
        <v>0</v>
      </c>
    </row>
    <row r="126">
      <c r="A126" s="18" t="inlineStr">
        <is>
          <t>투자유가증권 상환손실</t>
        </is>
      </c>
      <c r="H126" s="20" t="n">
        <v>0</v>
      </c>
      <c r="L126" s="20" t="n">
        <v>0</v>
      </c>
      <c r="W126" s="20" t="n">
        <v>0</v>
      </c>
      <c r="X126" s="20" t="n">
        <v>0</v>
      </c>
    </row>
    <row r="127">
      <c r="A127" s="18" t="inlineStr">
        <is>
          <t>특별손실 합계</t>
        </is>
      </c>
      <c r="G127" s="20" t="n">
        <v>0</v>
      </c>
      <c r="H127" s="20" t="n">
        <v>81.58</v>
      </c>
      <c r="K127" s="20" t="n">
        <v>0.696</v>
      </c>
      <c r="L127" s="20" t="n">
        <v>0</v>
      </c>
      <c r="W127" s="20" t="n">
        <v>81.58</v>
      </c>
      <c r="X127" s="20" t="n">
        <v>0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IF(OR(G127="",C127=""),"",IF(G127*C127&lt;=0,"",IFERROR(G127/C127-1,"")))</f>
        <v/>
      </c>
      <c r="H128" s="15">
        <f>IF(OR(H127="",D127=""),"",IF(H127*D127&lt;=0,"",IFERROR(H127/D127-1,"")))</f>
        <v/>
      </c>
      <c r="K128" s="15">
        <f>IF(OR(K127="",G127=""),"",IF(K127*G127&lt;=0,"",IFERROR(K127/G127-1,"")))</f>
        <v/>
      </c>
      <c r="L128" s="15">
        <f>IF(OR(L127="",H127=""),"",IF(L127*H127&lt;=0,"",IFERROR(L127/H127-1,"")))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9" t="inlineStr">
        <is>
          <t>법인세차감전 순이익</t>
        </is>
      </c>
      <c r="C129" s="12" t="n">
        <v>110.4</v>
      </c>
      <c r="D129" s="12" t="n">
        <v>335.632</v>
      </c>
      <c r="E129" s="12" t="n">
        <v>-37.325</v>
      </c>
      <c r="F129" s="12" t="n">
        <v>197.498</v>
      </c>
      <c r="G129" s="12" t="n">
        <v>109.641</v>
      </c>
      <c r="H129" s="12" t="n">
        <v>248.511</v>
      </c>
      <c r="I129" s="12" t="n">
        <v>307.268</v>
      </c>
      <c r="J129" s="12" t="n">
        <v>384.432</v>
      </c>
      <c r="K129" s="12" t="n">
        <v>306.17</v>
      </c>
      <c r="L129" s="12" t="n">
        <v>410.378</v>
      </c>
      <c r="M129" s="12" t="n">
        <v>433.711</v>
      </c>
      <c r="N129" s="12" t="n">
        <v>440.932</v>
      </c>
      <c r="U129" s="12" t="n">
        <v>95.48399999999999</v>
      </c>
      <c r="V129" s="12" t="n">
        <v>335.632</v>
      </c>
      <c r="W129" s="12" t="n">
        <v>248.511</v>
      </c>
      <c r="X129" s="12" t="n">
        <v>410.378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IF(OR(G129="",C129=""),"",IF(C129&lt;=0,"",IFERROR(G129/C129-1,"")))</f>
        <v/>
      </c>
      <c r="H130" s="15">
        <f>IF(OR(H129="",D129=""),"",IF(D129&lt;=0,"",IFERROR(H129/D129-1,"")))</f>
        <v/>
      </c>
      <c r="I130" s="15">
        <f>IF(OR(I129="",E129=""),"",IF(E129&lt;=0,"",IFERROR(I129/E129-1,"")))</f>
        <v/>
      </c>
      <c r="J130" s="15">
        <f>IF(OR(J129="",F129=""),"",IF(F129&lt;=0,"",IFERROR(J129/F129-1,"")))</f>
        <v/>
      </c>
      <c r="K130" s="15">
        <f>IF(OR(K129="",G129=""),"",IF(G129&lt;=0,"",IFERROR(K129/G129-1,"")))</f>
        <v/>
      </c>
      <c r="L130" s="15">
        <f>IF(OR(L129="",H129=""),"",IF(H129&lt;=0,"",IFERROR(L129/H129-1,"")))</f>
        <v/>
      </c>
      <c r="M130" s="15">
        <f>IF(OR(M129="",I129=""),"",IF(I129&lt;=0,"",IFERROR(M129/I129-1,"")))</f>
        <v/>
      </c>
      <c r="N130" s="15">
        <f>IF(OR(N129="",J129=""),"",IF(J129&lt;=0,"",IFERROR(N129/J129-1,"")))</f>
        <v/>
      </c>
      <c r="U130" s="15">
        <f>IF(OR(U129="",T129=""),"",IF(T129&lt;=0,"",IFERROR(U129/T129-1,"")))</f>
        <v/>
      </c>
      <c r="V130" s="15">
        <f>IF(OR(V129="",U129=""),"",IF(U129&lt;=0,"",IFERROR(V129/U129-1,"")))</f>
        <v/>
      </c>
      <c r="W130" s="15">
        <f>IF(OR(W129="",V129=""),"",IF(V129&lt;=0,"",IFERROR(W129/V129-1,"")))</f>
        <v/>
      </c>
      <c r="X130" s="15">
        <f>IF(OR(X129="",W129=""),"",IF(W129&lt;=0,"",IFERROR(X129/W129-1,"")))</f>
        <v/>
      </c>
    </row>
    <row r="131">
      <c r="A131" s="18" t="inlineStr">
        <is>
          <t>법인세 등</t>
        </is>
      </c>
      <c r="C131" s="20" t="n">
        <v>23.585</v>
      </c>
      <c r="D131" s="20" t="n">
        <v>90.664</v>
      </c>
      <c r="E131" s="20" t="n">
        <v>-5.765</v>
      </c>
      <c r="F131" s="20" t="n">
        <v>69.342</v>
      </c>
      <c r="G131" s="20" t="n">
        <v>56.78</v>
      </c>
      <c r="H131" s="20" t="n">
        <v>56.659</v>
      </c>
      <c r="I131" s="20" t="n">
        <v>97.59999999999999</v>
      </c>
      <c r="J131" s="20" t="n">
        <v>155.956</v>
      </c>
      <c r="K131" s="20" t="n">
        <v>126.017</v>
      </c>
      <c r="L131" s="20" t="n">
        <v>114.038</v>
      </c>
      <c r="M131" s="20" t="n">
        <v>126.645</v>
      </c>
      <c r="N131" s="20" t="n">
        <v>156.302</v>
      </c>
      <c r="U131" s="20" t="n">
        <v>-1.994</v>
      </c>
      <c r="V131" s="20" t="n">
        <v>90.664</v>
      </c>
      <c r="W131" s="20" t="n">
        <v>56.659</v>
      </c>
      <c r="X131" s="20" t="n">
        <v>114.038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M132" s="15">
        <f>IF(OR(M131="",I131=""),"",IF(M131*I131&lt;=0,"",IFERROR(M131/I131-1,"")))</f>
        <v/>
      </c>
      <c r="N132" s="15">
        <f>IF(OR(N131="",J131=""),"",IF(N131*J131&lt;=0,"",IFERROR(N131/J131-1,"")))</f>
        <v/>
      </c>
      <c r="U132" s="15">
        <f>IF(OR(U131="",T131=""),"",IF(U131*T131&lt;=0,"",IFERROR(U131/T131-1,"")))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  <c r="X132" s="15">
        <f>IF(OR(X131="",W131=""),"",IF(X131*W131&lt;=0,"",IFERROR(X131/W131-1,"")))</f>
        <v/>
      </c>
    </row>
    <row r="133">
      <c r="A133" s="9" t="inlineStr">
        <is>
          <t>순이익</t>
        </is>
      </c>
      <c r="C133" s="12" t="n">
        <v>86.81399999999999</v>
      </c>
      <c r="D133" s="12" t="n">
        <v>244.968</v>
      </c>
      <c r="E133" s="12" t="n">
        <v>-31.559</v>
      </c>
      <c r="F133" s="12" t="n">
        <v>128.154</v>
      </c>
      <c r="G133" s="12" t="n">
        <v>52.861</v>
      </c>
      <c r="H133" s="12" t="n">
        <v>191.853</v>
      </c>
      <c r="I133" s="12" t="n">
        <v>209.668</v>
      </c>
      <c r="J133" s="12" t="n">
        <v>228.476</v>
      </c>
      <c r="K133" s="12" t="n">
        <v>180.153</v>
      </c>
      <c r="L133" s="12" t="n">
        <v>296.34</v>
      </c>
      <c r="M133" s="12" t="n">
        <v>307.065</v>
      </c>
      <c r="N133" s="12" t="n">
        <v>284.63</v>
      </c>
      <c r="U133" s="12" t="n">
        <v>97.479</v>
      </c>
      <c r="V133" s="12" t="n">
        <v>244.968</v>
      </c>
      <c r="W133" s="12" t="n">
        <v>191.853</v>
      </c>
      <c r="X133" s="12" t="n">
        <v>296.34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U134" s="15">
        <f>IF(OR(U133="",T133=""),"",IF(T133&lt;=0,"",IFERROR(U133/T133-1,"")))</f>
        <v/>
      </c>
      <c r="V134" s="15">
        <f>IF(OR(V133="",U133=""),"",IF(U133&lt;=0,"",IFERROR(V133/U133-1,"")))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5">
      <c r="A135" s="9" t="inlineStr">
        <is>
          <t>지배주주 순이익</t>
        </is>
      </c>
      <c r="C135" s="12" t="n">
        <v>86.81399999999999</v>
      </c>
      <c r="D135" s="12" t="n">
        <v>244.968</v>
      </c>
      <c r="E135" s="12" t="n">
        <v>-31.559</v>
      </c>
      <c r="F135" s="12" t="n">
        <v>128.154</v>
      </c>
      <c r="G135" s="12" t="n">
        <v>52.861</v>
      </c>
      <c r="H135" s="12" t="n">
        <v>191.853</v>
      </c>
      <c r="I135" s="12" t="n">
        <v>209.668</v>
      </c>
      <c r="J135" s="12" t="n">
        <v>228.476</v>
      </c>
      <c r="K135" s="12" t="n">
        <v>180.153</v>
      </c>
      <c r="L135" s="12" t="n">
        <v>296.34</v>
      </c>
      <c r="M135" s="12" t="n">
        <v>307.065</v>
      </c>
      <c r="N135" s="12" t="n">
        <v>284.63</v>
      </c>
      <c r="U135" s="12" t="n">
        <v>97.479</v>
      </c>
      <c r="V135" s="12" t="n">
        <v>244.968</v>
      </c>
      <c r="W135" s="12" t="n">
        <v>191.853</v>
      </c>
      <c r="X135" s="12" t="n">
        <v>296.34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U136" s="15">
        <f>IF(OR(U135="",T135=""),"",IF(T135&lt;=0,"",IFERROR(U135/T135-1,"")))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7">
      <c r="A137" s="18" t="inlineStr">
        <is>
          <t>기타유가증권 평가차액</t>
        </is>
      </c>
      <c r="C137" s="20" t="n">
        <v>0.28</v>
      </c>
      <c r="D137" s="20" t="n">
        <v>-0.326</v>
      </c>
      <c r="E137" s="20" t="n">
        <v>-0.435</v>
      </c>
      <c r="F137" s="20" t="n">
        <v>0.356</v>
      </c>
      <c r="G137" s="20" t="n">
        <v>-0.08500000000000001</v>
      </c>
      <c r="H137" s="20" t="n">
        <v>-0.073</v>
      </c>
      <c r="I137" s="20" t="n">
        <v>0.277</v>
      </c>
      <c r="J137" s="20" t="n">
        <v>0.066</v>
      </c>
      <c r="K137" s="20" t="n">
        <v>0.505</v>
      </c>
      <c r="L137" s="20" t="n">
        <v>0.07099999999999999</v>
      </c>
      <c r="M137" s="20" t="n">
        <v>0.201</v>
      </c>
      <c r="N137" s="20" t="n">
        <v>-0.026</v>
      </c>
      <c r="U137" s="20" t="n">
        <v>0</v>
      </c>
      <c r="V137" s="20" t="n">
        <v>-0.326</v>
      </c>
      <c r="W137" s="20" t="n">
        <v>-0.073</v>
      </c>
      <c r="X137" s="20" t="n">
        <v>0.07099999999999999</v>
      </c>
    </row>
    <row r="138">
      <c r="A138" s="18" t="inlineStr">
        <is>
          <t>해외사업환산조정</t>
        </is>
      </c>
      <c r="C138" s="20" t="n">
        <v>1.63</v>
      </c>
      <c r="D138" s="20" t="n">
        <v>-0.308</v>
      </c>
      <c r="E138" s="20" t="n">
        <v>0.529</v>
      </c>
      <c r="F138" s="20" t="n">
        <v>0.711</v>
      </c>
      <c r="G138" s="20" t="n">
        <v>-0.929</v>
      </c>
      <c r="H138" s="20" t="n">
        <v>0.712</v>
      </c>
      <c r="I138" s="20" t="n">
        <v>-0.608</v>
      </c>
      <c r="J138" s="20" t="n">
        <v>-0.225</v>
      </c>
      <c r="K138" s="20" t="n">
        <v>0.389</v>
      </c>
      <c r="L138" s="20" t="n">
        <v>0.832</v>
      </c>
      <c r="M138" s="20" t="n">
        <v>0.352</v>
      </c>
      <c r="N138" s="20" t="n">
        <v>0.357</v>
      </c>
      <c r="U138" s="20" t="n">
        <v>0.959</v>
      </c>
      <c r="V138" s="20" t="n">
        <v>-0.308</v>
      </c>
      <c r="W138" s="20" t="n">
        <v>0.712</v>
      </c>
      <c r="X138" s="20" t="n">
        <v>0.832</v>
      </c>
    </row>
    <row r="139">
      <c r="A139" s="18" t="inlineStr">
        <is>
          <t>기타포괄손익 합계</t>
        </is>
      </c>
      <c r="C139" s="20" t="n">
        <v>1.91</v>
      </c>
      <c r="D139" s="20" t="n">
        <v>-0.634</v>
      </c>
      <c r="E139" s="20" t="n">
        <v>0.093</v>
      </c>
      <c r="F139" s="20" t="n">
        <v>1.068</v>
      </c>
      <c r="G139" s="20" t="n">
        <v>-1.015</v>
      </c>
      <c r="H139" s="20" t="n">
        <v>0.639</v>
      </c>
      <c r="I139" s="20" t="n">
        <v>-0.33</v>
      </c>
      <c r="J139" s="20" t="n">
        <v>-0.16</v>
      </c>
      <c r="K139" s="20" t="n">
        <v>0.893</v>
      </c>
      <c r="L139" s="20" t="n">
        <v>-7.31</v>
      </c>
      <c r="M139" s="20" t="n">
        <v>0.554</v>
      </c>
      <c r="N139" s="20" t="n">
        <v>-12.606</v>
      </c>
      <c r="U139" s="20" t="n">
        <v>0.959</v>
      </c>
      <c r="V139" s="20" t="n">
        <v>-0.634</v>
      </c>
      <c r="W139" s="20" t="n">
        <v>0.639</v>
      </c>
      <c r="X139" s="20" t="n">
        <v>-7.31</v>
      </c>
    </row>
    <row r="140">
      <c r="A140" s="9" t="inlineStr">
        <is>
          <t>포괄이익</t>
        </is>
      </c>
      <c r="C140" s="12" t="n">
        <v>88.72499999999999</v>
      </c>
      <c r="D140" s="12" t="n">
        <v>244.334</v>
      </c>
      <c r="E140" s="12" t="n">
        <v>-31.465</v>
      </c>
      <c r="F140" s="12" t="n">
        <v>129.222</v>
      </c>
      <c r="G140" s="12" t="n">
        <v>51.845</v>
      </c>
      <c r="H140" s="12" t="n">
        <v>192.492</v>
      </c>
      <c r="I140" s="12" t="n">
        <v>209.337</v>
      </c>
      <c r="J140" s="12" t="n">
        <v>228.316</v>
      </c>
      <c r="K140" s="12" t="n">
        <v>181.048</v>
      </c>
      <c r="L140" s="12" t="n">
        <v>289.029</v>
      </c>
      <c r="M140" s="12" t="n">
        <v>307.62</v>
      </c>
      <c r="N140" s="12" t="n">
        <v>272.023</v>
      </c>
      <c r="U140" s="12" t="n">
        <v>98.437</v>
      </c>
      <c r="V140" s="12" t="n">
        <v>244.334</v>
      </c>
      <c r="W140" s="12" t="n">
        <v>192.492</v>
      </c>
      <c r="X140" s="12" t="n">
        <v>289.029</v>
      </c>
    </row>
    <row r="141">
      <c r="A141" s="9" t="inlineStr">
        <is>
          <t>지배주주 포괄이익</t>
        </is>
      </c>
      <c r="C141" s="12" t="n">
        <v>88.72499999999999</v>
      </c>
      <c r="D141" s="12" t="n">
        <v>244.334</v>
      </c>
      <c r="E141" s="12" t="n">
        <v>-31.465</v>
      </c>
      <c r="F141" s="12" t="n">
        <v>129.222</v>
      </c>
      <c r="G141" s="12" t="n">
        <v>51.845</v>
      </c>
      <c r="H141" s="12" t="n">
        <v>192.492</v>
      </c>
      <c r="I141" s="12" t="n">
        <v>209.337</v>
      </c>
      <c r="J141" s="12" t="n">
        <v>228.316</v>
      </c>
      <c r="K141" s="12" t="n">
        <v>181.048</v>
      </c>
      <c r="L141" s="12" t="n">
        <v>289.029</v>
      </c>
      <c r="M141" s="12" t="n">
        <v>307.62</v>
      </c>
      <c r="N141" s="12" t="n">
        <v>272.023</v>
      </c>
      <c r="U141" s="12" t="n">
        <v>98.437</v>
      </c>
      <c r="V141" s="12" t="n">
        <v>244.334</v>
      </c>
      <c r="W141" s="12" t="n">
        <v>192.492</v>
      </c>
      <c r="X141" s="12" t="n">
        <v>289.029</v>
      </c>
    </row>
    <row r="143">
      <c r="A143" s="16" t="inlineStr">
        <is>
          <t>부문 · 전 항목</t>
        </is>
      </c>
      <c r="B143" s="42" t="inlineStr">
        <is>
          <t>부문 · 항목</t>
        </is>
      </c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</row>
    <row r="144">
      <c r="A144" s="5" t="inlineStr">
        <is>
          <t>항목</t>
        </is>
      </c>
      <c r="B144" s="5" t="inlineStr">
        <is>
          <t>참고</t>
        </is>
      </c>
      <c r="C144" s="5" t="inlineStr">
        <is>
          <t>2024.3Q</t>
        </is>
      </c>
      <c r="D144" s="5" t="inlineStr">
        <is>
          <t>2024.4Q</t>
        </is>
      </c>
      <c r="E144" s="5" t="inlineStr">
        <is>
          <t>2025.1Q</t>
        </is>
      </c>
      <c r="F144" s="5" t="inlineStr">
        <is>
          <t>2025.2Q</t>
        </is>
      </c>
      <c r="G144" s="5" t="inlineStr">
        <is>
          <t>2025.3Q</t>
        </is>
      </c>
      <c r="H144" s="5" t="inlineStr">
        <is>
          <t>2025.4Q</t>
        </is>
      </c>
      <c r="I144" s="5" t="inlineStr">
        <is>
          <t>2026.1Q</t>
        </is>
      </c>
      <c r="J144" s="5" t="inlineStr">
        <is>
          <t>2026.2Q</t>
        </is>
      </c>
      <c r="K144" s="5" t="inlineStr">
        <is>
          <t>2026.3Q</t>
        </is>
      </c>
      <c r="L144" s="5" t="inlineStr">
        <is>
          <t>2026.4Q</t>
        </is>
      </c>
      <c r="M144" s="5" t="inlineStr">
        <is>
          <t>2027.1Q</t>
        </is>
      </c>
      <c r="N144" s="5" t="inlineStr">
        <is>
          <t>2027.2Q</t>
        </is>
      </c>
      <c r="O144" s="5" t="inlineStr">
        <is>
          <t>2017</t>
        </is>
      </c>
      <c r="P144" s="5" t="inlineStr">
        <is>
          <t>2018</t>
        </is>
      </c>
      <c r="Q144" s="5" t="inlineStr">
        <is>
          <t>2019</t>
        </is>
      </c>
      <c r="R144" s="5" t="inlineStr">
        <is>
          <t>2020</t>
        </is>
      </c>
      <c r="S144" s="5" t="inlineStr">
        <is>
          <t>2021</t>
        </is>
      </c>
      <c r="T144" s="5" t="inlineStr">
        <is>
          <t>2022</t>
        </is>
      </c>
      <c r="U144" s="5" t="inlineStr">
        <is>
          <t>2023</t>
        </is>
      </c>
      <c r="V144" s="5" t="inlineStr">
        <is>
          <t>2024</t>
        </is>
      </c>
      <c r="W144" s="5" t="inlineStr">
        <is>
          <t>2025</t>
        </is>
      </c>
      <c r="X144" s="5" t="inlineStr">
        <is>
          <t>2026</t>
        </is>
      </c>
      <c r="Y144" s="5" t="inlineStr">
        <is>
          <t>2027(MW)</t>
        </is>
      </c>
      <c r="Z144" s="5" t="inlineStr">
        <is>
          <t>2028(MW)</t>
        </is>
      </c>
      <c r="AA144" s="5" t="inlineStr">
        <is>
          <t>2029(MW)</t>
        </is>
      </c>
      <c r="AB144" s="5" t="inlineStr">
        <is>
          <t>2030(MW)</t>
        </is>
      </c>
      <c r="AC144" s="5" t="inlineStr">
        <is>
          <t>2031(MW)</t>
        </is>
      </c>
    </row>
    <row r="145">
      <c r="A145" s="18" t="inlineStr">
        <is>
          <t>서비스 사업 · 외부 고객 매출</t>
        </is>
      </c>
      <c r="C145" s="20" t="n">
        <v>1484.744</v>
      </c>
      <c r="D145" s="20" t="n">
        <v>1568.706</v>
      </c>
      <c r="E145" s="20" t="n">
        <v>1447.372</v>
      </c>
      <c r="F145" s="20" t="n">
        <v>1553.851</v>
      </c>
      <c r="G145" s="20" t="n">
        <v>1703.988</v>
      </c>
      <c r="H145" s="20" t="n">
        <v>1877.357</v>
      </c>
      <c r="I145" s="20" t="n">
        <v>1820.026</v>
      </c>
      <c r="J145" s="20" t="n">
        <v>1635.69</v>
      </c>
      <c r="K145" s="20" t="n">
        <v>2334.116</v>
      </c>
      <c r="L145" s="20" t="n">
        <v>2583.923</v>
      </c>
      <c r="M145" s="20" t="n">
        <v>2153.345</v>
      </c>
      <c r="N145" s="20" t="n">
        <v>2142.812</v>
      </c>
      <c r="V145" s="20" t="n">
        <v>1568.706</v>
      </c>
      <c r="W145" s="20" t="n">
        <v>1877.357</v>
      </c>
      <c r="X145" s="20" t="n">
        <v>2583.923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18" t="inlineStr">
        <is>
          <t>합계 · 외부 고객 매출</t>
        </is>
      </c>
      <c r="C147" s="20" t="n">
        <v>2614.873</v>
      </c>
      <c r="D147" s="20" t="n">
        <v>2941.324</v>
      </c>
      <c r="E147" s="20" t="n">
        <v>2665.949</v>
      </c>
      <c r="F147" s="20" t="n">
        <v>2838.64</v>
      </c>
      <c r="G147" s="20" t="n">
        <v>2977.992</v>
      </c>
      <c r="H147" s="20" t="n">
        <v>3346.825</v>
      </c>
      <c r="I147" s="20" t="n">
        <v>3307.172</v>
      </c>
      <c r="J147" s="20" t="n">
        <v>3118.842</v>
      </c>
      <c r="K147" s="20" t="n">
        <v>3906.381</v>
      </c>
      <c r="L147" s="20" t="n">
        <v>4324.394</v>
      </c>
      <c r="M147" s="20" t="n">
        <v>3774.708</v>
      </c>
      <c r="N147" s="20" t="n">
        <v>3786.924</v>
      </c>
      <c r="V147" s="20" t="n">
        <v>2941.324</v>
      </c>
      <c r="W147" s="20" t="n">
        <v>3346.825</v>
      </c>
      <c r="X147" s="20" t="n">
        <v>4324.394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18" t="inlineStr">
        <is>
          <t>소프트웨어 사업 · 부문 간 내부매출·대체</t>
        </is>
      </c>
      <c r="D149" s="20" t="n">
        <v>1.469</v>
      </c>
      <c r="E149" s="20" t="n">
        <v>1.649</v>
      </c>
      <c r="H149" s="20" t="n">
        <v>2.393</v>
      </c>
      <c r="I149" s="20" t="n">
        <v>2.412</v>
      </c>
      <c r="L149" s="20" t="n">
        <v>1.902</v>
      </c>
      <c r="M149" s="20" t="n">
        <v>1.422</v>
      </c>
      <c r="V149" s="20" t="n">
        <v>1.469</v>
      </c>
      <c r="W149" s="20" t="n">
        <v>2.393</v>
      </c>
      <c r="X149" s="20" t="n">
        <v>1.902</v>
      </c>
    </row>
    <row r="150">
      <c r="A150" s="18" t="inlineStr">
        <is>
          <t>서비스 사업 · 부문 간 내부매출·대체</t>
        </is>
      </c>
      <c r="C150" s="20" t="n">
        <v>7.996</v>
      </c>
      <c r="D150" s="20" t="n">
        <v>2.596</v>
      </c>
      <c r="E150" s="20" t="n">
        <v>2.48</v>
      </c>
      <c r="F150" s="20" t="n">
        <v>-2.48</v>
      </c>
      <c r="G150" s="20" t="n">
        <v>8.573</v>
      </c>
      <c r="H150" s="20" t="n">
        <v>2.831</v>
      </c>
      <c r="I150" s="20" t="n">
        <v>0.227</v>
      </c>
      <c r="J150" s="20" t="n">
        <v>0.131</v>
      </c>
      <c r="K150" s="20" t="n">
        <v>2.824</v>
      </c>
      <c r="L150" s="20" t="n">
        <v>4.323</v>
      </c>
      <c r="M150" s="20" t="n">
        <v>3.985</v>
      </c>
      <c r="N150" s="20" t="n">
        <v>9.183999999999999</v>
      </c>
      <c r="V150" s="20" t="n">
        <v>2.596</v>
      </c>
      <c r="W150" s="20" t="n">
        <v>2.831</v>
      </c>
      <c r="X150" s="20" t="n">
        <v>4.323</v>
      </c>
    </row>
    <row r="151">
      <c r="A151" s="18" t="inlineStr">
        <is>
          <t>합계 · 부문 간 내부매출·대체</t>
        </is>
      </c>
      <c r="C151" s="20" t="n">
        <v>8.984999999999999</v>
      </c>
      <c r="D151" s="20" t="n">
        <v>4.065</v>
      </c>
      <c r="E151" s="20" t="n">
        <v>4.13</v>
      </c>
      <c r="F151" s="20" t="n">
        <v>-0.772</v>
      </c>
      <c r="G151" s="20" t="n">
        <v>11.041</v>
      </c>
      <c r="H151" s="20" t="n">
        <v>5.224</v>
      </c>
      <c r="I151" s="20" t="n">
        <v>2.64</v>
      </c>
      <c r="J151" s="20" t="n">
        <v>1.963</v>
      </c>
      <c r="K151" s="20" t="n">
        <v>4.727</v>
      </c>
      <c r="L151" s="20" t="n">
        <v>6.225</v>
      </c>
      <c r="M151" s="20" t="n">
        <v>5.407</v>
      </c>
      <c r="N151" s="20" t="n">
        <v>10.367</v>
      </c>
      <c r="V151" s="20" t="n">
        <v>4.065</v>
      </c>
      <c r="W151" s="20" t="n">
        <v>5.224</v>
      </c>
      <c r="X151" s="20" t="n">
        <v>6.225</v>
      </c>
    </row>
    <row r="152">
      <c r="A152" s="18" t="inlineStr">
        <is>
          <t>소프트웨어 사업 · 계</t>
        </is>
      </c>
      <c r="D152" s="20" t="n">
        <v>1374.086</v>
      </c>
      <c r="E152" s="20" t="n">
        <v>1220.227</v>
      </c>
      <c r="H152" s="20" t="n">
        <v>1471.86</v>
      </c>
      <c r="I152" s="20" t="n">
        <v>1489.558</v>
      </c>
      <c r="L152" s="20" t="n">
        <v>1742.373</v>
      </c>
      <c r="M152" s="20" t="n">
        <v>1622.785</v>
      </c>
      <c r="V152" s="20" t="n">
        <v>1374.086</v>
      </c>
      <c r="W152" s="20" t="n">
        <v>1471.86</v>
      </c>
      <c r="X152" s="20" t="n">
        <v>1742.373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H153" s="15">
        <f>IF(OR(H152="",D152=""),"",IF(D152&lt;=0,"",IFERROR(H152/D152-1,"")))</f>
        <v/>
      </c>
      <c r="I153" s="15">
        <f>IF(OR(I152="",E152=""),"",IF(E152&lt;=0,"",IFERROR(I152/E152-1,"")))</f>
        <v/>
      </c>
      <c r="L153" s="15">
        <f>IF(OR(L152="",H152=""),"",IF(H152&lt;=0,"",IFERROR(L152/H152-1,"")))</f>
        <v/>
      </c>
      <c r="M153" s="15">
        <f>IF(OR(M152="",I152=""),"",IF(I152&lt;=0,"",IFERROR(M152/I152-1,"")))</f>
        <v/>
      </c>
      <c r="V153" s="15">
        <f>IF(OR(V152="",U152=""),"",IF(U152&lt;=0,"",IFERROR(V152/U152-1,"")))</f>
        <v/>
      </c>
      <c r="W153" s="15">
        <f>IF(OR(W152="",V152=""),"",IF(V152&lt;=0,"",IFERROR(W152/V152-1,"")))</f>
        <v/>
      </c>
      <c r="X153" s="15">
        <f>IF(OR(X152="",W152=""),"",IF(W152&lt;=0,"",IFERROR(X152/W152-1,"")))</f>
        <v/>
      </c>
    </row>
    <row r="154">
      <c r="A154" s="18" t="inlineStr">
        <is>
          <t>서비스 사업 · 계</t>
        </is>
      </c>
      <c r="C154" s="20" t="n">
        <v>1492.74</v>
      </c>
      <c r="D154" s="20" t="n">
        <v>1571.303</v>
      </c>
      <c r="E154" s="20" t="n">
        <v>1449.852</v>
      </c>
      <c r="F154" s="20" t="n">
        <v>1551.371</v>
      </c>
      <c r="G154" s="20" t="n">
        <v>1712.561</v>
      </c>
      <c r="H154" s="20" t="n">
        <v>1880.189</v>
      </c>
      <c r="I154" s="20" t="n">
        <v>1820.254</v>
      </c>
      <c r="J154" s="20" t="n">
        <v>1635.821</v>
      </c>
      <c r="K154" s="20" t="n">
        <v>2336.94</v>
      </c>
      <c r="L154" s="20" t="n">
        <v>2588.245</v>
      </c>
      <c r="M154" s="20" t="n">
        <v>2157.33</v>
      </c>
      <c r="N154" s="20" t="n">
        <v>2151.997</v>
      </c>
      <c r="V154" s="20" t="n">
        <v>1571.303</v>
      </c>
      <c r="W154" s="20" t="n">
        <v>1880.189</v>
      </c>
      <c r="X154" s="20" t="n">
        <v>2588.245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18" t="inlineStr">
        <is>
          <t>합계 · 계</t>
        </is>
      </c>
      <c r="C156" s="20" t="n">
        <v>2623.859</v>
      </c>
      <c r="D156" s="20" t="n">
        <v>2945.389</v>
      </c>
      <c r="E156" s="20" t="n">
        <v>2670.079</v>
      </c>
      <c r="F156" s="20" t="n">
        <v>2837.869</v>
      </c>
      <c r="G156" s="20" t="n">
        <v>2989.032</v>
      </c>
      <c r="H156" s="20" t="n">
        <v>3352.049</v>
      </c>
      <c r="I156" s="20" t="n">
        <v>3309.812</v>
      </c>
      <c r="J156" s="20" t="n">
        <v>3120.806</v>
      </c>
      <c r="K156" s="20" t="n">
        <v>3911.107</v>
      </c>
      <c r="L156" s="20" t="n">
        <v>4330.619</v>
      </c>
      <c r="M156" s="20" t="n">
        <v>3780.116</v>
      </c>
      <c r="N156" s="20" t="n">
        <v>3797.291</v>
      </c>
      <c r="V156" s="20" t="n">
        <v>2945.389</v>
      </c>
      <c r="W156" s="20" t="n">
        <v>3352.049</v>
      </c>
      <c r="X156" s="20" t="n">
        <v>4330.619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소프트웨어 사업 · 부문 이익</t>
        </is>
      </c>
      <c r="D158" s="20" t="n">
        <v>287.754</v>
      </c>
      <c r="E158" s="20" t="n">
        <v>191.071</v>
      </c>
      <c r="H158" s="20" t="n">
        <v>335.421</v>
      </c>
      <c r="I158" s="20" t="n">
        <v>420.281</v>
      </c>
      <c r="L158" s="20" t="n">
        <v>404.39</v>
      </c>
      <c r="M158" s="20" t="n">
        <v>496.265</v>
      </c>
      <c r="V158" s="20" t="n">
        <v>287.754</v>
      </c>
      <c r="W158" s="20" t="n">
        <v>335.421</v>
      </c>
      <c r="X158" s="20" t="n">
        <v>404.39</v>
      </c>
    </row>
    <row r="159">
      <c r="A159" s="43" t="inlineStr">
        <is>
          <t>OPM</t>
        </is>
      </c>
      <c r="B159" s="3" t="inlineStr">
        <is>
          <t>영업이익 ÷ 매출</t>
        </is>
      </c>
      <c r="D159" s="15">
        <f>IF(OR(D158="",D152=""),"",IF(D152&lt;=0,"",IFERROR(D158/D152,"")))</f>
        <v/>
      </c>
      <c r="E159" s="15">
        <f>IF(OR(E158="",E152=""),"",IF(E152&lt;=0,"",IFERROR(E158/E152,"")))</f>
        <v/>
      </c>
      <c r="H159" s="15">
        <f>IF(OR(H158="",H152=""),"",IF(H152&lt;=0,"",IFERROR(H158/H152,"")))</f>
        <v/>
      </c>
      <c r="I159" s="15">
        <f>IF(OR(I158="",I152=""),"",IF(I152&lt;=0,"",IFERROR(I158/I152,"")))</f>
        <v/>
      </c>
      <c r="L159" s="15">
        <f>IF(OR(L158="",L152=""),"",IF(L152&lt;=0,"",IFERROR(L158/L152,"")))</f>
        <v/>
      </c>
      <c r="M159" s="15">
        <f>IF(OR(M158="",M152=""),"",IF(M152&lt;=0,"",IFERROR(M158/M152,"")))</f>
        <v/>
      </c>
      <c r="V159" s="15">
        <f>IF(OR(V158="",V152=""),"",IF(V152&lt;=0,"",IFERROR(V158/V152,"")))</f>
        <v/>
      </c>
      <c r="W159" s="15">
        <f>IF(OR(W158="",W152=""),"",IF(W152&lt;=0,"",IFERROR(W158/W152,"")))</f>
        <v/>
      </c>
      <c r="X159" s="15">
        <f>IF(OR(X158="",X152=""),"",IF(X152&lt;=0,"",IFERROR(X158/X152,"")))</f>
        <v/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H160" s="15">
        <f>IF(OR(H158="",D158=""),"",IF(D158&lt;=0,"",IFERROR(H158/D158-1,"")))</f>
        <v/>
      </c>
      <c r="I160" s="15">
        <f>IF(OR(I158="",E158=""),"",IF(E158&lt;=0,"",IFERROR(I158/E158-1,"")))</f>
        <v/>
      </c>
      <c r="L160" s="15">
        <f>IF(OR(L158="",H158=""),"",IF(H158&lt;=0,"",IFERROR(L158/H158-1,"")))</f>
        <v/>
      </c>
      <c r="M160" s="15">
        <f>IF(OR(M158="",I158=""),"",IF(I158&lt;=0,"",IFERROR(M158/I158-1,"")))</f>
        <v/>
      </c>
      <c r="V160" s="15">
        <f>IF(OR(V158="",U158=""),"",IF(U158&lt;=0,"",IFERROR(V158/U158-1,"")))</f>
        <v/>
      </c>
      <c r="W160" s="15">
        <f>IF(OR(W158="",V158=""),"",IF(V158&lt;=0,"",IFERROR(W158/V158-1,"")))</f>
        <v/>
      </c>
      <c r="X160" s="15">
        <f>IF(OR(X158="",W158=""),"",IF(W158&lt;=0,"",IFERROR(X158/W158-1,"")))</f>
        <v/>
      </c>
    </row>
    <row r="161">
      <c r="A161" s="18" t="inlineStr">
        <is>
          <t>서비스 사업 · 부문 이익</t>
        </is>
      </c>
      <c r="C161" s="20" t="n">
        <v>256.524</v>
      </c>
      <c r="D161" s="20" t="n">
        <v>307.333</v>
      </c>
      <c r="E161" s="20" t="n">
        <v>112.926</v>
      </c>
      <c r="F161" s="20" t="n">
        <v>210.449</v>
      </c>
      <c r="G161" s="20" t="n">
        <v>218.781</v>
      </c>
      <c r="H161" s="20" t="n">
        <v>335.084</v>
      </c>
      <c r="I161" s="20" t="n">
        <v>226.05</v>
      </c>
      <c r="J161" s="20" t="n">
        <v>235.765</v>
      </c>
      <c r="K161" s="20" t="n">
        <v>280.093</v>
      </c>
      <c r="L161" s="20" t="n">
        <v>371.672</v>
      </c>
      <c r="M161" s="20" t="n">
        <v>292.2</v>
      </c>
      <c r="N161" s="20" t="n">
        <v>290.286</v>
      </c>
      <c r="V161" s="20" t="n">
        <v>307.333</v>
      </c>
      <c r="W161" s="20" t="n">
        <v>335.084</v>
      </c>
      <c r="X161" s="20" t="n">
        <v>371.672</v>
      </c>
    </row>
    <row r="162">
      <c r="A162" s="43" t="inlineStr">
        <is>
          <t>OPM</t>
        </is>
      </c>
      <c r="B162" s="3" t="inlineStr">
        <is>
          <t>영업이익 ÷ 매출</t>
        </is>
      </c>
      <c r="C162" s="15">
        <f>IF(OR(C161="",C154=""),"",IF(C154&lt;=0,"",IFERROR(C161/C154,"")))</f>
        <v/>
      </c>
      <c r="D162" s="15">
        <f>IF(OR(D161="",D154=""),"",IF(D154&lt;=0,"",IFERROR(D161/D154,"")))</f>
        <v/>
      </c>
      <c r="E162" s="15">
        <f>IF(OR(E161="",E154=""),"",IF(E154&lt;=0,"",IFERROR(E161/E154,"")))</f>
        <v/>
      </c>
      <c r="F162" s="15">
        <f>IF(OR(F161="",F154=""),"",IF(F154&lt;=0,"",IFERROR(F161/F154,"")))</f>
        <v/>
      </c>
      <c r="G162" s="15">
        <f>IF(OR(G161="",G154=""),"",IF(G154&lt;=0,"",IFERROR(G161/G154,"")))</f>
        <v/>
      </c>
      <c r="H162" s="15">
        <f>IF(OR(H161="",H154=""),"",IF(H154&lt;=0,"",IFERROR(H161/H154,"")))</f>
        <v/>
      </c>
      <c r="I162" s="15">
        <f>IF(OR(I161="",I154=""),"",IF(I154&lt;=0,"",IFERROR(I161/I154,"")))</f>
        <v/>
      </c>
      <c r="J162" s="15">
        <f>IF(OR(J161="",J154=""),"",IF(J154&lt;=0,"",IFERROR(J161/J154,"")))</f>
        <v/>
      </c>
      <c r="K162" s="15">
        <f>IF(OR(K161="",K154=""),"",IF(K154&lt;=0,"",IFERROR(K161/K154,"")))</f>
        <v/>
      </c>
      <c r="L162" s="15">
        <f>IF(OR(L161="",L154=""),"",IF(L154&lt;=0,"",IFERROR(L161/L154,"")))</f>
        <v/>
      </c>
      <c r="M162" s="15">
        <f>IF(OR(M161="",M154=""),"",IF(M154&lt;=0,"",IFERROR(M161/M154,"")))</f>
        <v/>
      </c>
      <c r="N162" s="15">
        <f>IF(OR(N161="",N154=""),"",IF(N154&lt;=0,"",IFERROR(N161/N154,"")))</f>
        <v/>
      </c>
      <c r="V162" s="15">
        <f>IF(OR(V161="",V154=""),"",IF(V154&lt;=0,"",IFERROR(V161/V154,"")))</f>
        <v/>
      </c>
      <c r="W162" s="15">
        <f>IF(OR(W161="",W154=""),"",IF(W154&lt;=0,"",IFERROR(W161/W154,"")))</f>
        <v/>
      </c>
      <c r="X162" s="15">
        <f>IF(OR(X161="",X154=""),"",IF(X154&lt;=0,"",IFERROR(X161/X154,"")))</f>
        <v/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IF(OR(G161="",C161=""),"",IF(C161&lt;=0,"",IFERROR(G161/C161-1,"")))</f>
        <v/>
      </c>
      <c r="H163" s="15">
        <f>IF(OR(H161="",D161=""),"",IF(D161&lt;=0,"",IFERROR(H161/D161-1,"")))</f>
        <v/>
      </c>
      <c r="I163" s="15">
        <f>IF(OR(I161="",E161=""),"",IF(E161&lt;=0,"",IFERROR(I161/E161-1,"")))</f>
        <v/>
      </c>
      <c r="J163" s="15">
        <f>IF(OR(J161="",F161=""),"",IF(F161&lt;=0,"",IFERROR(J161/F161-1,"")))</f>
        <v/>
      </c>
      <c r="K163" s="15">
        <f>IF(OR(K161="",G161=""),"",IF(G161&lt;=0,"",IFERROR(K161/G161-1,"")))</f>
        <v/>
      </c>
      <c r="L163" s="15">
        <f>IF(OR(L161="",H161=""),"",IF(H161&lt;=0,"",IFERROR(L161/H161-1,"")))</f>
        <v/>
      </c>
      <c r="M163" s="15">
        <f>IF(OR(M161="",I161=""),"",IF(I161&lt;=0,"",IFERROR(M161/I161-1,"")))</f>
        <v/>
      </c>
      <c r="N163" s="15">
        <f>IF(OR(N161="",J161=""),"",IF(J161&lt;=0,"",IFERROR(N161/J161-1,"")))</f>
        <v/>
      </c>
      <c r="V163" s="15">
        <f>IF(OR(V161="",U161=""),"",IF(U161&lt;=0,"",IFERROR(V161/U161-1,"")))</f>
        <v/>
      </c>
      <c r="W163" s="15">
        <f>IF(OR(W161="",V161=""),"",IF(V161&lt;=0,"",IFERROR(W161/V161-1,"")))</f>
        <v/>
      </c>
      <c r="X163" s="15">
        <f>IF(OR(X161="",W161=""),"",IF(W161&lt;=0,"",IFERROR(X161/W161-1,"")))</f>
        <v/>
      </c>
    </row>
    <row r="164">
      <c r="A164" s="18" t="inlineStr">
        <is>
          <t>합계 · 부문 이익</t>
        </is>
      </c>
      <c r="C164" s="20" t="n">
        <v>288.585</v>
      </c>
      <c r="D164" s="20" t="n">
        <v>595.086</v>
      </c>
      <c r="E164" s="20" t="n">
        <v>303.998</v>
      </c>
      <c r="F164" s="20" t="n">
        <v>511.159</v>
      </c>
      <c r="G164" s="20" t="n">
        <v>413.894</v>
      </c>
      <c r="H164" s="20" t="n">
        <v>670.505</v>
      </c>
      <c r="I164" s="20" t="n">
        <v>646.332</v>
      </c>
      <c r="J164" s="20" t="n">
        <v>720.634</v>
      </c>
      <c r="K164" s="20" t="n">
        <v>636.357</v>
      </c>
      <c r="L164" s="20" t="n">
        <v>776.062</v>
      </c>
      <c r="M164" s="20" t="n">
        <v>788.465</v>
      </c>
      <c r="N164" s="20" t="n">
        <v>809.366</v>
      </c>
      <c r="V164" s="20" t="n">
        <v>595.086</v>
      </c>
      <c r="W164" s="20" t="n">
        <v>670.505</v>
      </c>
      <c r="X164" s="20" t="n">
        <v>776.062</v>
      </c>
    </row>
    <row r="165">
      <c r="A165" s="43" t="inlineStr">
        <is>
          <t>OPM</t>
        </is>
      </c>
      <c r="B165" s="3" t="inlineStr">
        <is>
          <t>영업이익 ÷ 매출</t>
        </is>
      </c>
      <c r="C165" s="15">
        <f>IF(OR(C164="",C156=""),"",IF(C156&lt;=0,"",IFERROR(C164/C156,"")))</f>
        <v/>
      </c>
      <c r="D165" s="15">
        <f>IF(OR(D164="",D156=""),"",IF(D156&lt;=0,"",IFERROR(D164/D156,"")))</f>
        <v/>
      </c>
      <c r="E165" s="15">
        <f>IF(OR(E164="",E156=""),"",IF(E156&lt;=0,"",IFERROR(E164/E156,"")))</f>
        <v/>
      </c>
      <c r="F165" s="15">
        <f>IF(OR(F164="",F156=""),"",IF(F156&lt;=0,"",IFERROR(F164/F156,"")))</f>
        <v/>
      </c>
      <c r="G165" s="15">
        <f>IF(OR(G164="",G156=""),"",IF(G156&lt;=0,"",IFERROR(G164/G156,"")))</f>
        <v/>
      </c>
      <c r="H165" s="15">
        <f>IF(OR(H164="",H156=""),"",IF(H156&lt;=0,"",IFERROR(H164/H156,"")))</f>
        <v/>
      </c>
      <c r="I165" s="15">
        <f>IF(OR(I164="",I156=""),"",IF(I156&lt;=0,"",IFERROR(I164/I156,"")))</f>
        <v/>
      </c>
      <c r="J165" s="15">
        <f>IF(OR(J164="",J156=""),"",IF(J156&lt;=0,"",IFERROR(J164/J156,"")))</f>
        <v/>
      </c>
      <c r="K165" s="15">
        <f>IF(OR(K164="",K156=""),"",IF(K156&lt;=0,"",IFERROR(K164/K156,"")))</f>
        <v/>
      </c>
      <c r="L165" s="15">
        <f>IF(OR(L164="",L156=""),"",IF(L156&lt;=0,"",IFERROR(L164/L156,"")))</f>
        <v/>
      </c>
      <c r="M165" s="15">
        <f>IF(OR(M164="",M156=""),"",IF(M156&lt;=0,"",IFERROR(M164/M156,"")))</f>
        <v/>
      </c>
      <c r="N165" s="15">
        <f>IF(OR(N164="",N156=""),"",IF(N156&lt;=0,"",IFERROR(N164/N156,"")))</f>
        <v/>
      </c>
      <c r="V165" s="15">
        <f>IF(OR(V164="",V156=""),"",IF(V156&lt;=0,"",IFERROR(V164/V156,"")))</f>
        <v/>
      </c>
      <c r="W165" s="15">
        <f>IF(OR(W164="",W156=""),"",IF(W156&lt;=0,"",IFERROR(W164/W156,"")))</f>
        <v/>
      </c>
      <c r="X165" s="15">
        <f>IF(OR(X164="",X156=""),"",IF(X156&lt;=0,"",IFERROR(X164/X156,"")))</f>
        <v/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IF(OR(G164="",C164=""),"",IF(C164&lt;=0,"",IFERROR(G164/C164-1,"")))</f>
        <v/>
      </c>
      <c r="H166" s="15">
        <f>IF(OR(H164="",D164=""),"",IF(D164&lt;=0,"",IFERROR(H164/D164-1,"")))</f>
        <v/>
      </c>
      <c r="I166" s="15">
        <f>IF(OR(I164="",E164=""),"",IF(E164&lt;=0,"",IFERROR(I164/E164-1,"")))</f>
        <v/>
      </c>
      <c r="J166" s="15">
        <f>IF(OR(J164="",F164=""),"",IF(F164&lt;=0,"",IFERROR(J164/F164-1,"")))</f>
        <v/>
      </c>
      <c r="K166" s="15">
        <f>IF(OR(K164="",G164=""),"",IF(G164&lt;=0,"",IFERROR(K164/G164-1,"")))</f>
        <v/>
      </c>
      <c r="L166" s="15">
        <f>IF(OR(L164="",H164=""),"",IF(H164&lt;=0,"",IFERROR(L164/H164-1,"")))</f>
        <v/>
      </c>
      <c r="M166" s="15">
        <f>IF(OR(M164="",I164=""),"",IF(I164&lt;=0,"",IFERROR(M164/I164-1,"")))</f>
        <v/>
      </c>
      <c r="N166" s="15">
        <f>IF(OR(N164="",J164=""),"",IF(J164&lt;=0,"",IFERROR(N164/J164-1,"")))</f>
        <v/>
      </c>
      <c r="V166" s="15">
        <f>IF(OR(V164="",U164=""),"",IF(U164&lt;=0,"",IFERROR(V164/U164-1,"")))</f>
        <v/>
      </c>
      <c r="W166" s="15">
        <f>IF(OR(W164="",V164=""),"",IF(V164&lt;=0,"",IFERROR(W164/V164-1,"")))</f>
        <v/>
      </c>
      <c r="X166" s="15">
        <f>IF(OR(X164="",W164=""),"",IF(W164&lt;=0,"",IFERROR(X164/W164-1,"")))</f>
        <v/>
      </c>
    </row>
    <row r="167">
      <c r="A167" s="18" t="inlineStr">
        <is>
          <t>소프트웨어 사업 · 외부 고객 매출</t>
        </is>
      </c>
      <c r="D167" s="20" t="n">
        <v>1372.618</v>
      </c>
      <c r="E167" s="20" t="n">
        <v>1218.577</v>
      </c>
      <c r="H167" s="20" t="n">
        <v>1469.468</v>
      </c>
      <c r="I167" s="20" t="n">
        <v>1487.145</v>
      </c>
      <c r="L167" s="20" t="n">
        <v>1740.47</v>
      </c>
      <c r="M167" s="20" t="n">
        <v>1621.362</v>
      </c>
      <c r="V167" s="20" t="n">
        <v>1372.618</v>
      </c>
      <c r="W167" s="20" t="n">
        <v>1469.468</v>
      </c>
      <c r="X167" s="20" t="n">
        <v>1740.47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70">
      <c r="A170" s="16" t="inlineStr">
        <is>
          <t>현금흐름표 · 전 항목</t>
        </is>
      </c>
      <c r="B170" s="42" t="inlineStr">
        <is>
          <t>분기 = 결산기 첫날부터 누계(공시 그대로)</t>
        </is>
      </c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</row>
    <row r="171">
      <c r="A171" s="5" t="inlineStr">
        <is>
          <t>항목</t>
        </is>
      </c>
      <c r="B171" s="5" t="inlineStr">
        <is>
          <t>참고</t>
        </is>
      </c>
      <c r="C171" s="5" t="inlineStr">
        <is>
          <t>2024.3Q</t>
        </is>
      </c>
      <c r="D171" s="5" t="inlineStr">
        <is>
          <t>2024.4Q</t>
        </is>
      </c>
      <c r="E171" s="5" t="inlineStr">
        <is>
          <t>2025.1Q</t>
        </is>
      </c>
      <c r="F171" s="5" t="inlineStr">
        <is>
          <t>2025.2Q</t>
        </is>
      </c>
      <c r="G171" s="5" t="inlineStr">
        <is>
          <t>2025.3Q</t>
        </is>
      </c>
      <c r="H171" s="5" t="inlineStr">
        <is>
          <t>2025.4Q</t>
        </is>
      </c>
      <c r="I171" s="5" t="inlineStr">
        <is>
          <t>2026.1Q</t>
        </is>
      </c>
      <c r="J171" s="5" t="inlineStr">
        <is>
          <t>2026.2Q</t>
        </is>
      </c>
      <c r="K171" s="5" t="inlineStr">
        <is>
          <t>2026.3Q</t>
        </is>
      </c>
      <c r="L171" s="5" t="inlineStr">
        <is>
          <t>2026.4Q</t>
        </is>
      </c>
      <c r="M171" s="5" t="inlineStr">
        <is>
          <t>2027.1Q</t>
        </is>
      </c>
      <c r="N171" s="5" t="inlineStr">
        <is>
          <t>2027.2Q</t>
        </is>
      </c>
      <c r="O171" s="5" t="inlineStr">
        <is>
          <t>2017</t>
        </is>
      </c>
      <c r="P171" s="5" t="inlineStr">
        <is>
          <t>2018</t>
        </is>
      </c>
      <c r="Q171" s="5" t="inlineStr">
        <is>
          <t>2019</t>
        </is>
      </c>
      <c r="R171" s="5" t="inlineStr">
        <is>
          <t>2020</t>
        </is>
      </c>
      <c r="S171" s="5" t="inlineStr">
        <is>
          <t>2021</t>
        </is>
      </c>
      <c r="T171" s="5" t="inlineStr">
        <is>
          <t>2022</t>
        </is>
      </c>
      <c r="U171" s="5" t="inlineStr">
        <is>
          <t>2023</t>
        </is>
      </c>
      <c r="V171" s="5" t="inlineStr">
        <is>
          <t>2024</t>
        </is>
      </c>
      <c r="W171" s="5" t="inlineStr">
        <is>
          <t>2025</t>
        </is>
      </c>
      <c r="X171" s="5" t="inlineStr">
        <is>
          <t>2026</t>
        </is>
      </c>
      <c r="Y171" s="5" t="inlineStr">
        <is>
          <t>2027(MW)</t>
        </is>
      </c>
      <c r="Z171" s="5" t="inlineStr">
        <is>
          <t>2028(MW)</t>
        </is>
      </c>
      <c r="AA171" s="5" t="inlineStr">
        <is>
          <t>2029(MW)</t>
        </is>
      </c>
      <c r="AB171" s="5" t="inlineStr">
        <is>
          <t>2030(MW)</t>
        </is>
      </c>
      <c r="AC171" s="5" t="inlineStr">
        <is>
          <t>2031(MW)</t>
        </is>
      </c>
    </row>
    <row r="172">
      <c r="A172" s="9" t="inlineStr">
        <is>
          <t>법인세차감전 순이익</t>
        </is>
      </c>
      <c r="D172" s="12" t="n">
        <v>501.603</v>
      </c>
      <c r="H172" s="12" t="n">
        <v>518.325</v>
      </c>
      <c r="L172" s="12" t="n">
        <v>1408.248</v>
      </c>
      <c r="O172" s="12" t="n">
        <v>504.728</v>
      </c>
      <c r="P172" s="12" t="n">
        <v>622.91</v>
      </c>
      <c r="Q172" s="12" t="n">
        <v>691.2430000000001</v>
      </c>
      <c r="R172" s="12" t="n">
        <v>722.8339999999999</v>
      </c>
      <c r="S172" s="12" t="n">
        <v>170.362</v>
      </c>
      <c r="T172" s="12" t="n">
        <v>811.514</v>
      </c>
      <c r="U172" s="12" t="n">
        <v>535.496</v>
      </c>
      <c r="V172" s="12" t="n">
        <v>501.603</v>
      </c>
      <c r="W172" s="12" t="n">
        <v>518.325</v>
      </c>
      <c r="X172" s="12" t="n">
        <v>1408.248</v>
      </c>
    </row>
    <row r="173">
      <c r="A173" s="18" t="inlineStr">
        <is>
          <t>감가상각비</t>
        </is>
      </c>
      <c r="D173" s="20" t="n">
        <v>775.237</v>
      </c>
      <c r="H173" s="20" t="n">
        <v>845.907</v>
      </c>
      <c r="L173" s="20" t="n">
        <v>1036.068</v>
      </c>
      <c r="O173" s="20" t="n">
        <v>500.911</v>
      </c>
      <c r="P173" s="20" t="n">
        <v>519.996</v>
      </c>
      <c r="Q173" s="20" t="n">
        <v>420.488</v>
      </c>
      <c r="R173" s="20" t="n">
        <v>494.566</v>
      </c>
      <c r="S173" s="20" t="n">
        <v>654.437</v>
      </c>
      <c r="T173" s="20" t="n">
        <v>698.912</v>
      </c>
      <c r="U173" s="20" t="n">
        <v>734.175</v>
      </c>
      <c r="V173" s="20" t="n">
        <v>775.237</v>
      </c>
      <c r="W173" s="20" t="n">
        <v>845.907</v>
      </c>
      <c r="X173" s="20" t="n">
        <v>1036.068</v>
      </c>
    </row>
    <row r="174">
      <c r="A174" s="18" t="inlineStr">
        <is>
          <t>손상차손</t>
        </is>
      </c>
      <c r="D174" s="20" t="n">
        <v>0</v>
      </c>
      <c r="H174" s="20" t="n">
        <v>81.58</v>
      </c>
      <c r="L174" s="20" t="n">
        <v>0</v>
      </c>
      <c r="T174" s="20" t="n">
        <v>0</v>
      </c>
      <c r="U174" s="20" t="n">
        <v>229.547</v>
      </c>
      <c r="V174" s="20" t="n">
        <v>0</v>
      </c>
      <c r="W174" s="20" t="n">
        <v>81.58</v>
      </c>
      <c r="X174" s="20" t="n">
        <v>0</v>
      </c>
    </row>
    <row r="175">
      <c r="A175" s="18" t="inlineStr">
        <is>
          <t>영업권 상각</t>
        </is>
      </c>
      <c r="D175" s="20" t="n">
        <v>47.12</v>
      </c>
      <c r="H175" s="20" t="n">
        <v>77.28</v>
      </c>
      <c r="L175" s="20" t="n">
        <v>77.28</v>
      </c>
      <c r="U175" s="20" t="n">
        <v>0</v>
      </c>
      <c r="V175" s="20" t="n">
        <v>47.12</v>
      </c>
      <c r="W175" s="20" t="n">
        <v>77.28</v>
      </c>
      <c r="X175" s="20" t="n">
        <v>77.28</v>
      </c>
    </row>
    <row r="176">
      <c r="A176" s="18" t="inlineStr">
        <is>
          <t>퇴직급여부채 증감</t>
        </is>
      </c>
      <c r="D176" s="20" t="n">
        <v>15.641</v>
      </c>
      <c r="H176" s="20" t="n">
        <v>163.731</v>
      </c>
      <c r="L176" s="20" t="n">
        <v>20.008</v>
      </c>
      <c r="O176" s="20" t="n">
        <v>16.877</v>
      </c>
      <c r="P176" s="20" t="n">
        <v>56.728</v>
      </c>
      <c r="Q176" s="20" t="n">
        <v>55.833</v>
      </c>
      <c r="R176" s="20" t="n">
        <v>43.271</v>
      </c>
      <c r="S176" s="20" t="n">
        <v>39.126</v>
      </c>
      <c r="T176" s="20" t="n">
        <v>72.61</v>
      </c>
      <c r="U176" s="20" t="n">
        <v>-17.123</v>
      </c>
      <c r="V176" s="20" t="n">
        <v>15.641</v>
      </c>
      <c r="W176" s="20" t="n">
        <v>163.731</v>
      </c>
      <c r="X176" s="20" t="n">
        <v>20.008</v>
      </c>
    </row>
    <row r="177">
      <c r="A177" s="18" t="inlineStr">
        <is>
          <t>퇴직급여자산 증감</t>
        </is>
      </c>
      <c r="H177" s="20" t="n">
        <v>0</v>
      </c>
      <c r="L177" s="20" t="n">
        <v>-1.644</v>
      </c>
      <c r="W177" s="20" t="n">
        <v>0</v>
      </c>
      <c r="X177" s="20" t="n">
        <v>-1.644</v>
      </c>
    </row>
    <row r="178">
      <c r="A178" s="18" t="inlineStr">
        <is>
          <t>임원 퇴직위로 충당금 증감</t>
        </is>
      </c>
      <c r="D178" s="20" t="n">
        <v>3.652</v>
      </c>
      <c r="H178" s="20" t="n">
        <v>-11.904</v>
      </c>
      <c r="L178" s="20" t="n">
        <v>-217.248</v>
      </c>
      <c r="U178" s="20" t="n">
        <v>0</v>
      </c>
      <c r="V178" s="20" t="n">
        <v>3.652</v>
      </c>
      <c r="W178" s="20" t="n">
        <v>-11.904</v>
      </c>
      <c r="X178" s="20" t="n">
        <v>-217.248</v>
      </c>
    </row>
    <row r="179">
      <c r="A179" s="18" t="inlineStr">
        <is>
          <t>완성공사 보증 충당금 증감액</t>
        </is>
      </c>
      <c r="D179" s="20" t="n">
        <v>-50.15</v>
      </c>
      <c r="H179" s="20" t="n">
        <v>0</v>
      </c>
      <c r="T179" s="20" t="n">
        <v>0</v>
      </c>
      <c r="U179" s="20" t="n">
        <v>50.15</v>
      </c>
      <c r="V179" s="20" t="n">
        <v>-50.15</v>
      </c>
      <c r="W179" s="20" t="n">
        <v>0</v>
      </c>
    </row>
    <row r="180">
      <c r="A180" s="18" t="inlineStr">
        <is>
          <t>이자·배당금 수익</t>
        </is>
      </c>
      <c r="D180" s="20" t="n">
        <v>-9.305</v>
      </c>
      <c r="H180" s="20" t="n">
        <v>-3.668</v>
      </c>
      <c r="L180" s="20" t="n">
        <v>-6.616</v>
      </c>
      <c r="O180" s="20" t="n">
        <v>-0.07000000000000001</v>
      </c>
      <c r="P180" s="20" t="n">
        <v>-0.06900000000000001</v>
      </c>
      <c r="Q180" s="20" t="n">
        <v>-0.945</v>
      </c>
      <c r="R180" s="20" t="n">
        <v>-1.544</v>
      </c>
      <c r="S180" s="20" t="n">
        <v>-0.135</v>
      </c>
      <c r="T180" s="20" t="n">
        <v>-0.537</v>
      </c>
      <c r="U180" s="20" t="n">
        <v>-6.066</v>
      </c>
      <c r="V180" s="20" t="n">
        <v>-9.305</v>
      </c>
      <c r="W180" s="20" t="n">
        <v>-3.668</v>
      </c>
      <c r="X180" s="20" t="n">
        <v>-6.616</v>
      </c>
    </row>
    <row r="181">
      <c r="A181" s="18" t="inlineStr">
        <is>
          <t>화해금 수령</t>
        </is>
      </c>
      <c r="P181" s="20" t="n">
        <v>0</v>
      </c>
      <c r="Q181" s="20" t="n">
        <v>-9.047000000000001</v>
      </c>
      <c r="R181" s="20" t="n">
        <v>0</v>
      </c>
    </row>
    <row r="182">
      <c r="A182" s="18" t="inlineStr">
        <is>
          <t>이자비용</t>
        </is>
      </c>
      <c r="D182" s="20" t="n">
        <v>0.164</v>
      </c>
      <c r="H182" s="20" t="n">
        <v>0.097</v>
      </c>
      <c r="L182" s="20" t="n">
        <v>0</v>
      </c>
      <c r="U182" s="20" t="n">
        <v>0</v>
      </c>
      <c r="V182" s="20" t="n">
        <v>0.164</v>
      </c>
      <c r="W182" s="20" t="n">
        <v>0.097</v>
      </c>
      <c r="X182" s="20" t="n">
        <v>0</v>
      </c>
    </row>
    <row r="183">
      <c r="A183" s="18" t="inlineStr">
        <is>
          <t>지분법손익</t>
        </is>
      </c>
      <c r="D183" s="20" t="n">
        <v>9.449</v>
      </c>
      <c r="H183" s="20" t="n">
        <v>-22.579</v>
      </c>
      <c r="L183" s="20" t="n">
        <v>-7.681</v>
      </c>
      <c r="P183" s="20" t="n">
        <v>0</v>
      </c>
      <c r="Q183" s="20" t="n">
        <v>-8.397</v>
      </c>
      <c r="R183" s="20" t="n">
        <v>0.798</v>
      </c>
      <c r="S183" s="20" t="n">
        <v>6.901</v>
      </c>
      <c r="T183" s="20" t="n">
        <v>8.657999999999999</v>
      </c>
      <c r="U183" s="20" t="n">
        <v>32.137</v>
      </c>
      <c r="V183" s="20" t="n">
        <v>9.449</v>
      </c>
      <c r="W183" s="20" t="n">
        <v>-22.579</v>
      </c>
      <c r="X183" s="20" t="n">
        <v>-7.681</v>
      </c>
    </row>
    <row r="184">
      <c r="A184" s="18" t="inlineStr">
        <is>
          <t>투자유가증권 평가손익</t>
        </is>
      </c>
      <c r="D184" s="20" t="n">
        <v>0</v>
      </c>
      <c r="S184" s="20" t="n">
        <v>0</v>
      </c>
      <c r="T184" s="20" t="n">
        <v>33.877</v>
      </c>
      <c r="U184" s="20" t="n">
        <v>19.459</v>
      </c>
      <c r="V184" s="20" t="n">
        <v>0</v>
      </c>
    </row>
    <row r="185">
      <c r="A185" s="18" t="inlineStr">
        <is>
          <t>외환차손익</t>
        </is>
      </c>
      <c r="D185" s="20" t="n">
        <v>-0.696</v>
      </c>
      <c r="H185" s="20" t="n">
        <v>-0.133</v>
      </c>
      <c r="L185" s="20" t="n">
        <v>0.124</v>
      </c>
      <c r="O185" s="20" t="n">
        <v>3.072</v>
      </c>
      <c r="P185" s="20" t="n">
        <v>-1.631</v>
      </c>
      <c r="Q185" s="20" t="n">
        <v>0.577</v>
      </c>
      <c r="R185" s="20" t="n">
        <v>2.181</v>
      </c>
      <c r="S185" s="20" t="n">
        <v>0.293</v>
      </c>
      <c r="T185" s="20" t="n">
        <v>-5.498</v>
      </c>
      <c r="U185" s="20" t="n">
        <v>-3.656</v>
      </c>
      <c r="V185" s="20" t="n">
        <v>-0.696</v>
      </c>
      <c r="W185" s="20" t="n">
        <v>-0.133</v>
      </c>
      <c r="X185" s="20" t="n">
        <v>0.124</v>
      </c>
    </row>
    <row r="186">
      <c r="A186" s="18" t="inlineStr">
        <is>
          <t>고정자산 제각손실</t>
        </is>
      </c>
      <c r="D186" s="20" t="n">
        <v>1.217</v>
      </c>
      <c r="H186" s="20" t="n">
        <v>0</v>
      </c>
      <c r="L186" s="20" t="n">
        <v>6.655</v>
      </c>
      <c r="O186" s="20" t="n">
        <v>30.892</v>
      </c>
      <c r="P186" s="20" t="n">
        <v>11.418</v>
      </c>
      <c r="Q186" s="20" t="n">
        <v>11.814</v>
      </c>
      <c r="R186" s="20" t="n">
        <v>0.854</v>
      </c>
      <c r="S186" s="20" t="n">
        <v>0.204</v>
      </c>
      <c r="T186" s="20" t="n">
        <v>0</v>
      </c>
      <c r="U186" s="20" t="n">
        <v>11.617</v>
      </c>
      <c r="V186" s="20" t="n">
        <v>1.217</v>
      </c>
      <c r="W186" s="20" t="n">
        <v>0</v>
      </c>
      <c r="X186" s="20" t="n">
        <v>6.655</v>
      </c>
    </row>
    <row r="187">
      <c r="A187" s="18" t="inlineStr">
        <is>
          <t>특별퇴직금</t>
        </is>
      </c>
      <c r="O187" s="20" t="n">
        <v>60.589</v>
      </c>
      <c r="P187" s="20" t="n">
        <v>0</v>
      </c>
    </row>
    <row r="188">
      <c r="A188" s="18" t="inlineStr">
        <is>
          <t>단계적 취득 차손익</t>
        </is>
      </c>
      <c r="D188" s="20" t="n">
        <v>-99.562</v>
      </c>
      <c r="H188" s="20" t="n">
        <v>0</v>
      </c>
      <c r="U188" s="20" t="n">
        <v>0</v>
      </c>
      <c r="V188" s="20" t="n">
        <v>-99.562</v>
      </c>
      <c r="W188" s="20" t="n">
        <v>0</v>
      </c>
    </row>
    <row r="189">
      <c r="A189" s="18" t="inlineStr">
        <is>
          <t>골프회원권 평가손실</t>
        </is>
      </c>
      <c r="H189" s="20" t="n">
        <v>0</v>
      </c>
      <c r="L189" s="20" t="n">
        <v>4.499</v>
      </c>
      <c r="W189" s="20" t="n">
        <v>0</v>
      </c>
      <c r="X189" s="20" t="n">
        <v>4.499</v>
      </c>
    </row>
    <row r="190">
      <c r="A190" s="18" t="inlineStr">
        <is>
          <t>관계회사 주식 매각손익</t>
        </is>
      </c>
      <c r="H190" s="20" t="n">
        <v>0</v>
      </c>
      <c r="L190" s="20" t="n">
        <v>6.028</v>
      </c>
      <c r="W190" s="20" t="n">
        <v>0</v>
      </c>
      <c r="X190" s="20" t="n">
        <v>6.028</v>
      </c>
    </row>
    <row r="191">
      <c r="A191" s="18" t="inlineStr">
        <is>
          <t>투자유가증권 상환손익</t>
        </is>
      </c>
      <c r="H191" s="20" t="n">
        <v>0</v>
      </c>
      <c r="L191" s="20" t="n">
        <v>0.696</v>
      </c>
      <c r="W191" s="20" t="n">
        <v>0</v>
      </c>
      <c r="X191" s="20" t="n">
        <v>0.696</v>
      </c>
    </row>
    <row r="192">
      <c r="A192" s="18" t="inlineStr">
        <is>
          <t>매출채권 증감</t>
        </is>
      </c>
      <c r="D192" s="20" t="n">
        <v>-262.72</v>
      </c>
      <c r="H192" s="20" t="n">
        <v>98.792</v>
      </c>
      <c r="L192" s="20" t="n">
        <v>-1773.138</v>
      </c>
      <c r="O192" s="20" t="n">
        <v>78.83199999999999</v>
      </c>
      <c r="P192" s="20" t="n">
        <v>-95.751</v>
      </c>
      <c r="Q192" s="20" t="n">
        <v>-162.77</v>
      </c>
      <c r="R192" s="20" t="n">
        <v>-14.895</v>
      </c>
      <c r="S192" s="20" t="n">
        <v>18.413</v>
      </c>
      <c r="T192" s="20" t="n">
        <v>-140.962</v>
      </c>
      <c r="U192" s="20" t="n">
        <v>87.72499999999999</v>
      </c>
      <c r="V192" s="20" t="n">
        <v>-262.72</v>
      </c>
      <c r="W192" s="20" t="n">
        <v>98.792</v>
      </c>
      <c r="X192" s="20" t="n">
        <v>-1773.138</v>
      </c>
    </row>
    <row r="193">
      <c r="A193" s="18" t="inlineStr">
        <is>
          <t>계약자산 증감액</t>
        </is>
      </c>
      <c r="D193" s="20" t="n">
        <v>-60.437</v>
      </c>
      <c r="H193" s="20" t="n">
        <v>-420.739</v>
      </c>
      <c r="L193" s="20" t="n">
        <v>-245.951</v>
      </c>
      <c r="S193" s="20" t="n">
        <v>0</v>
      </c>
      <c r="T193" s="20" t="n">
        <v>-103.876</v>
      </c>
      <c r="U193" s="20" t="n">
        <v>-17.862</v>
      </c>
      <c r="V193" s="20" t="n">
        <v>-60.437</v>
      </c>
      <c r="W193" s="20" t="n">
        <v>-420.739</v>
      </c>
      <c r="X193" s="20" t="n">
        <v>-245.951</v>
      </c>
    </row>
    <row r="194">
      <c r="A194" s="18" t="inlineStr">
        <is>
          <t>재고자산 증감</t>
        </is>
      </c>
      <c r="D194" s="20" t="n">
        <v>0.882</v>
      </c>
      <c r="H194" s="20" t="n">
        <v>-0.021</v>
      </c>
      <c r="L194" s="20" t="n">
        <v>0.45</v>
      </c>
      <c r="O194" s="20" t="n">
        <v>42.585</v>
      </c>
      <c r="P194" s="20" t="n">
        <v>-24.711</v>
      </c>
      <c r="Q194" s="20" t="n">
        <v>3.461</v>
      </c>
      <c r="R194" s="20" t="n">
        <v>26.884</v>
      </c>
      <c r="S194" s="20" t="n">
        <v>-9.970000000000001</v>
      </c>
      <c r="T194" s="20" t="n">
        <v>27.535</v>
      </c>
      <c r="U194" s="20" t="n">
        <v>2.472</v>
      </c>
      <c r="V194" s="20" t="n">
        <v>0.882</v>
      </c>
      <c r="W194" s="20" t="n">
        <v>-0.021</v>
      </c>
      <c r="X194" s="20" t="n">
        <v>0.45</v>
      </c>
    </row>
    <row r="195">
      <c r="A195" s="18" t="inlineStr">
        <is>
          <t>매입채무 증감</t>
        </is>
      </c>
      <c r="D195" s="20" t="n">
        <v>46.493</v>
      </c>
      <c r="H195" s="20" t="n">
        <v>-11.139</v>
      </c>
      <c r="L195" s="20" t="n">
        <v>633.758</v>
      </c>
      <c r="O195" s="20" t="n">
        <v>-6.232</v>
      </c>
      <c r="P195" s="20" t="n">
        <v>38.325</v>
      </c>
      <c r="Q195" s="20" t="n">
        <v>38.684</v>
      </c>
      <c r="R195" s="20" t="n">
        <v>62.031</v>
      </c>
      <c r="S195" s="20" t="n">
        <v>-44.128</v>
      </c>
      <c r="T195" s="20" t="n">
        <v>240.353</v>
      </c>
      <c r="U195" s="20" t="n">
        <v>-197.573</v>
      </c>
      <c r="V195" s="20" t="n">
        <v>46.493</v>
      </c>
      <c r="W195" s="20" t="n">
        <v>-11.139</v>
      </c>
      <c r="X195" s="20" t="n">
        <v>633.758</v>
      </c>
    </row>
    <row r="196">
      <c r="A196" s="18" t="inlineStr">
        <is>
          <t>미지급금 증감</t>
        </is>
      </c>
      <c r="D196" s="20" t="n">
        <v>-34.315</v>
      </c>
      <c r="H196" s="20" t="n">
        <v>13.587</v>
      </c>
      <c r="L196" s="20" t="n">
        <v>20.097</v>
      </c>
      <c r="S196" s="20" t="n">
        <v>21.051</v>
      </c>
      <c r="T196" s="20" t="n">
        <v>202.889</v>
      </c>
      <c r="U196" s="20" t="n">
        <v>-76.541</v>
      </c>
      <c r="V196" s="20" t="n">
        <v>-34.315</v>
      </c>
      <c r="W196" s="20" t="n">
        <v>13.587</v>
      </c>
      <c r="X196" s="20" t="n">
        <v>20.097</v>
      </c>
    </row>
    <row r="197">
      <c r="A197" s="18" t="inlineStr">
        <is>
          <t>미지급 소비세 증감</t>
        </is>
      </c>
      <c r="D197" s="20" t="n">
        <v>36.965</v>
      </c>
      <c r="H197" s="20" t="n">
        <v>39.861</v>
      </c>
      <c r="L197" s="20" t="n">
        <v>149.979</v>
      </c>
      <c r="S197" s="20" t="n">
        <v>-56.003</v>
      </c>
      <c r="T197" s="20" t="n">
        <v>144.375</v>
      </c>
      <c r="U197" s="20" t="n">
        <v>-155.111</v>
      </c>
      <c r="V197" s="20" t="n">
        <v>36.965</v>
      </c>
      <c r="W197" s="20" t="n">
        <v>39.861</v>
      </c>
      <c r="X197" s="20" t="n">
        <v>149.979</v>
      </c>
    </row>
    <row r="198">
      <c r="A198" s="18" t="inlineStr">
        <is>
          <t>선수금 증감</t>
        </is>
      </c>
      <c r="O198" s="20" t="n">
        <v>90.402</v>
      </c>
      <c r="P198" s="20" t="n">
        <v>27.553</v>
      </c>
      <c r="Q198" s="20" t="n">
        <v>95.15600000000001</v>
      </c>
      <c r="R198" s="20" t="n">
        <v>59.986</v>
      </c>
      <c r="S198" s="20" t="n">
        <v>4.996</v>
      </c>
      <c r="T198" s="20" t="n">
        <v>-1004.608</v>
      </c>
      <c r="U198" s="20" t="n">
        <v>0</v>
      </c>
    </row>
    <row r="199">
      <c r="A199" s="18" t="inlineStr">
        <is>
          <t>계약부채 증감</t>
        </is>
      </c>
      <c r="S199" s="20" t="n">
        <v>0</v>
      </c>
      <c r="T199" s="20" t="n">
        <v>1038.534</v>
      </c>
      <c r="U199" s="20" t="n">
        <v>150.12</v>
      </c>
    </row>
    <row r="200">
      <c r="A200" s="18" t="inlineStr">
        <is>
          <t>계약부채 증감</t>
        </is>
      </c>
      <c r="D200" s="20" t="n">
        <v>108.651</v>
      </c>
      <c r="H200" s="20" t="n">
        <v>283.048</v>
      </c>
      <c r="L200" s="20" t="n">
        <v>164.208</v>
      </c>
      <c r="U200" s="20" t="n">
        <v>150.12</v>
      </c>
      <c r="V200" s="20" t="n">
        <v>108.651</v>
      </c>
      <c r="W200" s="20" t="n">
        <v>283.048</v>
      </c>
      <c r="X200" s="20" t="n">
        <v>164.208</v>
      </c>
    </row>
    <row r="201">
      <c r="A201" s="18" t="inlineStr">
        <is>
          <t>기타</t>
        </is>
      </c>
      <c r="D201" s="20" t="n">
        <v>21.91</v>
      </c>
      <c r="H201" s="20" t="n">
        <v>-185.136</v>
      </c>
      <c r="L201" s="20" t="n">
        <v>-87.515</v>
      </c>
      <c r="O201" s="20" t="n">
        <v>3.602</v>
      </c>
      <c r="P201" s="20" t="n">
        <v>78.20099999999999</v>
      </c>
      <c r="Q201" s="20" t="n">
        <v>26.123</v>
      </c>
      <c r="R201" s="20" t="n">
        <v>-5.019</v>
      </c>
      <c r="S201" s="20" t="n">
        <v>-18.338</v>
      </c>
      <c r="T201" s="20" t="n">
        <v>-15.369</v>
      </c>
      <c r="U201" s="20" t="n">
        <v>-28.198</v>
      </c>
      <c r="V201" s="20" t="n">
        <v>21.91</v>
      </c>
      <c r="W201" s="20" t="n">
        <v>-185.136</v>
      </c>
      <c r="X201" s="20" t="n">
        <v>-87.515</v>
      </c>
    </row>
    <row r="202">
      <c r="A202" s="18" t="inlineStr">
        <is>
          <t>소계</t>
        </is>
      </c>
      <c r="D202" s="20" t="n">
        <v>1051.801</v>
      </c>
      <c r="H202" s="20" t="n">
        <v>1466.89</v>
      </c>
      <c r="L202" s="20" t="n">
        <v>1188.311</v>
      </c>
      <c r="O202" s="20" t="n">
        <v>1326.192</v>
      </c>
      <c r="P202" s="20" t="n">
        <v>1232.97</v>
      </c>
      <c r="Q202" s="20" t="n">
        <v>1162.222</v>
      </c>
      <c r="R202" s="20" t="n">
        <v>1391.95</v>
      </c>
      <c r="S202" s="20" t="n">
        <v>787.21</v>
      </c>
      <c r="T202" s="20" t="n">
        <v>2008.409</v>
      </c>
      <c r="U202" s="20" t="n">
        <v>1350.769</v>
      </c>
      <c r="V202" s="20" t="n">
        <v>1051.801</v>
      </c>
      <c r="W202" s="20" t="n">
        <v>1466.89</v>
      </c>
      <c r="X202" s="20" t="n">
        <v>1188.311</v>
      </c>
    </row>
    <row r="203">
      <c r="A203" s="18" t="inlineStr">
        <is>
          <t>이자·배당금 수취</t>
        </is>
      </c>
      <c r="D203" s="20" t="n">
        <v>9.305</v>
      </c>
      <c r="H203" s="20" t="n">
        <v>3.668</v>
      </c>
      <c r="L203" s="20" t="n">
        <v>6.616</v>
      </c>
      <c r="O203" s="20" t="n">
        <v>0.07000000000000001</v>
      </c>
      <c r="P203" s="20" t="n">
        <v>0.06900000000000001</v>
      </c>
      <c r="Q203" s="20" t="n">
        <v>0.045</v>
      </c>
      <c r="R203" s="20" t="n">
        <v>0.044</v>
      </c>
      <c r="S203" s="20" t="n">
        <v>0.135</v>
      </c>
      <c r="T203" s="20" t="n">
        <v>0.537</v>
      </c>
      <c r="U203" s="20" t="n">
        <v>6.066</v>
      </c>
      <c r="V203" s="20" t="n">
        <v>9.305</v>
      </c>
      <c r="W203" s="20" t="n">
        <v>3.668</v>
      </c>
      <c r="X203" s="20" t="n">
        <v>6.616</v>
      </c>
    </row>
    <row r="204">
      <c r="A204" s="18" t="inlineStr">
        <is>
          <t>특별퇴직금 지급액</t>
        </is>
      </c>
      <c r="O204" s="20" t="n">
        <v>-60.589</v>
      </c>
      <c r="P204" s="20" t="n">
        <v>0</v>
      </c>
    </row>
    <row r="205">
      <c r="A205" s="18" t="inlineStr">
        <is>
          <t>이자 지급</t>
        </is>
      </c>
      <c r="D205" s="20" t="n">
        <v>-0.164</v>
      </c>
      <c r="H205" s="20" t="n">
        <v>-0.097</v>
      </c>
      <c r="L205" s="20" t="n">
        <v>0</v>
      </c>
      <c r="U205" s="20" t="n">
        <v>0</v>
      </c>
      <c r="V205" s="20" t="n">
        <v>-0.164</v>
      </c>
      <c r="W205" s="20" t="n">
        <v>-0.097</v>
      </c>
      <c r="X205" s="20" t="n">
        <v>0</v>
      </c>
    </row>
    <row r="206">
      <c r="A206" s="18" t="inlineStr">
        <is>
          <t>지분법 적용 회사로부터의 배당금 수령액</t>
        </is>
      </c>
      <c r="D206" s="20" t="n">
        <v>1.5</v>
      </c>
      <c r="H206" s="20" t="n">
        <v>1.2</v>
      </c>
      <c r="L206" s="20" t="n">
        <v>2.6</v>
      </c>
      <c r="P206" s="20" t="n">
        <v>0</v>
      </c>
      <c r="Q206" s="20" t="n">
        <v>0.9</v>
      </c>
      <c r="R206" s="20" t="n">
        <v>1.5</v>
      </c>
      <c r="S206" s="20" t="n">
        <v>1.2</v>
      </c>
      <c r="T206" s="20" t="n">
        <v>1.32</v>
      </c>
      <c r="U206" s="20" t="n">
        <v>1.5</v>
      </c>
      <c r="V206" s="20" t="n">
        <v>1.5</v>
      </c>
      <c r="W206" s="20" t="n">
        <v>1.2</v>
      </c>
      <c r="X206" s="20" t="n">
        <v>2.6</v>
      </c>
    </row>
    <row r="207">
      <c r="A207" s="18" t="inlineStr">
        <is>
          <t>화해금 수취액</t>
        </is>
      </c>
      <c r="P207" s="20" t="n">
        <v>0</v>
      </c>
      <c r="Q207" s="20" t="n">
        <v>9.047000000000001</v>
      </c>
      <c r="R207" s="20" t="n">
        <v>0</v>
      </c>
    </row>
    <row r="208">
      <c r="A208" s="18" t="inlineStr">
        <is>
          <t>법인세 납부</t>
        </is>
      </c>
      <c r="D208" s="20" t="n">
        <v>-185.858</v>
      </c>
      <c r="H208" s="20" t="n">
        <v>-110.61</v>
      </c>
      <c r="L208" s="20" t="n">
        <v>-282.507</v>
      </c>
      <c r="O208" s="20" t="n">
        <v>-212.224</v>
      </c>
      <c r="P208" s="20" t="n">
        <v>-166.537</v>
      </c>
      <c r="Q208" s="20" t="n">
        <v>-250.487</v>
      </c>
      <c r="R208" s="20" t="n">
        <v>-241.43</v>
      </c>
      <c r="S208" s="20" t="n">
        <v>-232.632</v>
      </c>
      <c r="T208" s="20" t="n">
        <v>-29.569</v>
      </c>
      <c r="U208" s="20" t="n">
        <v>-447.728</v>
      </c>
      <c r="V208" s="20" t="n">
        <v>-185.858</v>
      </c>
      <c r="W208" s="20" t="n">
        <v>-110.61</v>
      </c>
      <c r="X208" s="20" t="n">
        <v>-282.507</v>
      </c>
    </row>
    <row r="209">
      <c r="A209" s="18" t="inlineStr">
        <is>
          <t>법인세 환급</t>
        </is>
      </c>
      <c r="D209" s="20" t="n">
        <v>0</v>
      </c>
      <c r="H209" s="20" t="n">
        <v>32.705</v>
      </c>
      <c r="L209" s="20" t="n">
        <v>0</v>
      </c>
      <c r="V209" s="20" t="n">
        <v>0</v>
      </c>
      <c r="W209" s="20" t="n">
        <v>32.705</v>
      </c>
      <c r="X209" s="20" t="n">
        <v>0</v>
      </c>
    </row>
    <row r="210">
      <c r="A210" s="9" t="inlineStr">
        <is>
          <t>영업활동 현금흐름</t>
        </is>
      </c>
      <c r="D210" s="12" t="n">
        <v>876.5839999999999</v>
      </c>
      <c r="H210" s="12" t="n">
        <v>1393.757</v>
      </c>
      <c r="L210" s="12" t="n">
        <v>915.02</v>
      </c>
      <c r="O210" s="12" t="n">
        <v>1053.449</v>
      </c>
      <c r="P210" s="12" t="n">
        <v>1066.502</v>
      </c>
      <c r="Q210" s="12" t="n">
        <v>921.727</v>
      </c>
      <c r="R210" s="12" t="n">
        <v>1152.064</v>
      </c>
      <c r="S210" s="12" t="n">
        <v>555.913</v>
      </c>
      <c r="T210" s="12" t="n">
        <v>1980.698</v>
      </c>
      <c r="U210" s="12" t="n">
        <v>910.6079999999999</v>
      </c>
      <c r="V210" s="12" t="n">
        <v>876.5839999999999</v>
      </c>
      <c r="W210" s="12" t="n">
        <v>1393.757</v>
      </c>
      <c r="X210" s="12" t="n">
        <v>915.02</v>
      </c>
    </row>
    <row r="211">
      <c r="A211" s="18" t="inlineStr">
        <is>
          <t>유형자산 취득(설비투자)</t>
        </is>
      </c>
      <c r="D211" s="20" t="n">
        <v>-98.935</v>
      </c>
      <c r="H211" s="20" t="n">
        <v>-41.889</v>
      </c>
      <c r="L211" s="20" t="n">
        <v>-6.741</v>
      </c>
      <c r="O211" s="20" t="n">
        <v>-15.47</v>
      </c>
      <c r="P211" s="20" t="n">
        <v>-13.692</v>
      </c>
      <c r="Q211" s="20" t="n">
        <v>-97.008</v>
      </c>
      <c r="R211" s="20" t="n">
        <v>-12.062</v>
      </c>
      <c r="S211" s="20" t="n">
        <v>-3.742</v>
      </c>
      <c r="T211" s="20" t="n">
        <v>-7.181</v>
      </c>
      <c r="U211" s="20" t="n">
        <v>-81.093</v>
      </c>
      <c r="V211" s="20" t="n">
        <v>-98.935</v>
      </c>
      <c r="W211" s="20" t="n">
        <v>-41.889</v>
      </c>
      <c r="X211" s="20" t="n">
        <v>-6.741</v>
      </c>
    </row>
    <row r="212">
      <c r="A212" s="18" t="inlineStr">
        <is>
          <t>무형자산 취득</t>
        </is>
      </c>
      <c r="D212" s="20" t="n">
        <v>-1017.542</v>
      </c>
      <c r="H212" s="20" t="n">
        <v>-1140.986</v>
      </c>
      <c r="L212" s="20" t="n">
        <v>-1033.005</v>
      </c>
      <c r="O212" s="20" t="n">
        <v>-514.663</v>
      </c>
      <c r="P212" s="20" t="n">
        <v>-433.342</v>
      </c>
      <c r="Q212" s="20" t="n">
        <v>-479.914</v>
      </c>
      <c r="R212" s="20" t="n">
        <v>-723.153</v>
      </c>
      <c r="S212" s="20" t="n">
        <v>-818.441</v>
      </c>
      <c r="T212" s="20" t="n">
        <v>-832.535</v>
      </c>
      <c r="U212" s="20" t="n">
        <v>-1223.557</v>
      </c>
      <c r="V212" s="20" t="n">
        <v>-1017.542</v>
      </c>
      <c r="W212" s="20" t="n">
        <v>-1140.986</v>
      </c>
      <c r="X212" s="20" t="n">
        <v>-1033.005</v>
      </c>
    </row>
    <row r="213">
      <c r="A213" s="18" t="inlineStr">
        <is>
          <t>투자유가증권 취득</t>
        </is>
      </c>
      <c r="O213" s="20" t="n">
        <v>0</v>
      </c>
      <c r="P213" s="20" t="n">
        <v>-69.2</v>
      </c>
      <c r="Q213" s="20" t="n">
        <v>0</v>
      </c>
      <c r="R213" s="20" t="n">
        <v>-136</v>
      </c>
      <c r="S213" s="20" t="n">
        <v>0</v>
      </c>
      <c r="T213" s="20" t="n">
        <v>-60</v>
      </c>
      <c r="U213" s="20" t="n">
        <v>0</v>
      </c>
    </row>
    <row r="214">
      <c r="A214" s="18" t="inlineStr">
        <is>
          <t>정기예금 예입</t>
        </is>
      </c>
      <c r="D214" s="20" t="n">
        <v>-0.303</v>
      </c>
      <c r="H214" s="20" t="n">
        <v>-0.604</v>
      </c>
      <c r="L214" s="20" t="n">
        <v>-0.826</v>
      </c>
      <c r="U214" s="20" t="n">
        <v>0</v>
      </c>
      <c r="V214" s="20" t="n">
        <v>-0.303</v>
      </c>
      <c r="W214" s="20" t="n">
        <v>-0.604</v>
      </c>
      <c r="X214" s="20" t="n">
        <v>-0.826</v>
      </c>
    </row>
    <row r="215">
      <c r="A215" s="18" t="inlineStr">
        <is>
          <t>연결범위 변경 자회사 주식 취득</t>
        </is>
      </c>
      <c r="D215" s="20" t="n">
        <v>-379.547</v>
      </c>
      <c r="H215" s="20" t="n">
        <v>0</v>
      </c>
      <c r="U215" s="20" t="n">
        <v>0</v>
      </c>
      <c r="V215" s="20" t="n">
        <v>-379.547</v>
      </c>
      <c r="W215" s="20" t="n">
        <v>0</v>
      </c>
    </row>
    <row r="216">
      <c r="A216" s="18" t="inlineStr">
        <is>
          <t>사업양수 지출</t>
        </is>
      </c>
      <c r="D216" s="20" t="n">
        <v>-220</v>
      </c>
      <c r="H216" s="20" t="n">
        <v>0</v>
      </c>
      <c r="U216" s="20" t="n">
        <v>0</v>
      </c>
      <c r="V216" s="20" t="n">
        <v>-220</v>
      </c>
      <c r="W216" s="20" t="n">
        <v>0</v>
      </c>
    </row>
    <row r="217">
      <c r="A217" s="18" t="inlineStr">
        <is>
          <t>자산복구부채 이행 지출</t>
        </is>
      </c>
      <c r="D217" s="20" t="n">
        <v>-57.109</v>
      </c>
      <c r="H217" s="20" t="n">
        <v>0</v>
      </c>
      <c r="U217" s="20" t="n">
        <v>0</v>
      </c>
      <c r="V217" s="20" t="n">
        <v>-57.109</v>
      </c>
      <c r="W217" s="20" t="n">
        <v>0</v>
      </c>
    </row>
    <row r="218">
      <c r="A218" s="18" t="inlineStr">
        <is>
          <t>임차보증금·보증금 납입</t>
        </is>
      </c>
      <c r="D218" s="20" t="n">
        <v>-112.347</v>
      </c>
      <c r="H218" s="20" t="n">
        <v>-12.27</v>
      </c>
      <c r="L218" s="20" t="n">
        <v>-40.077</v>
      </c>
      <c r="O218" s="20" t="n">
        <v>-2.226</v>
      </c>
      <c r="P218" s="20" t="n">
        <v>-16.26</v>
      </c>
      <c r="Q218" s="20" t="n">
        <v>-80.667</v>
      </c>
      <c r="R218" s="20" t="n">
        <v>-20.153</v>
      </c>
      <c r="S218" s="20" t="n">
        <v>-0.1</v>
      </c>
      <c r="T218" s="20" t="n">
        <v>-0.592</v>
      </c>
      <c r="U218" s="20" t="n">
        <v>-9.266</v>
      </c>
      <c r="V218" s="20" t="n">
        <v>-112.347</v>
      </c>
      <c r="W218" s="20" t="n">
        <v>-12.27</v>
      </c>
      <c r="X218" s="20" t="n">
        <v>-40.077</v>
      </c>
    </row>
    <row r="219">
      <c r="A219" s="18" t="inlineStr">
        <is>
          <t>임차보증금 회수</t>
        </is>
      </c>
      <c r="D219" s="20" t="n">
        <v>81.51600000000001</v>
      </c>
      <c r="H219" s="20" t="n">
        <v>0.5669999999999999</v>
      </c>
      <c r="L219" s="20" t="n">
        <v>0</v>
      </c>
      <c r="O219" s="20" t="n">
        <v>6.243</v>
      </c>
      <c r="P219" s="20" t="n">
        <v>0.666</v>
      </c>
      <c r="Q219" s="20" t="n">
        <v>2.891</v>
      </c>
      <c r="R219" s="20" t="n">
        <v>15.599</v>
      </c>
      <c r="S219" s="20" t="n">
        <v>0.06</v>
      </c>
      <c r="T219" s="20" t="n">
        <v>0.368</v>
      </c>
      <c r="U219" s="20" t="n">
        <v>0.42</v>
      </c>
      <c r="V219" s="20" t="n">
        <v>81.51600000000001</v>
      </c>
      <c r="W219" s="20" t="n">
        <v>0.5669999999999999</v>
      </c>
      <c r="X219" s="20" t="n">
        <v>0</v>
      </c>
    </row>
    <row r="220">
      <c r="A220" s="18" t="inlineStr">
        <is>
          <t>관계회사 주식 취득</t>
        </is>
      </c>
      <c r="D220" s="20" t="n">
        <v>0</v>
      </c>
      <c r="H220" s="20" t="n">
        <v>-5</v>
      </c>
      <c r="L220" s="20" t="n">
        <v>0</v>
      </c>
      <c r="V220" s="20" t="n">
        <v>0</v>
      </c>
      <c r="W220" s="20" t="n">
        <v>-5</v>
      </c>
      <c r="X220" s="20" t="n">
        <v>0</v>
      </c>
    </row>
    <row r="221">
      <c r="A221" s="18" t="inlineStr">
        <is>
          <t>보험적립금 해약</t>
        </is>
      </c>
      <c r="D221" s="20" t="n">
        <v>106.582</v>
      </c>
      <c r="H221" s="20" t="n">
        <v>0</v>
      </c>
      <c r="U221" s="20" t="n">
        <v>0</v>
      </c>
      <c r="V221" s="20" t="n">
        <v>106.582</v>
      </c>
      <c r="W221" s="20" t="n">
        <v>0</v>
      </c>
    </row>
    <row r="222">
      <c r="A222" s="18" t="inlineStr">
        <is>
          <t>관계회사 주식 매각</t>
        </is>
      </c>
      <c r="H222" s="20" t="n">
        <v>0</v>
      </c>
      <c r="L222" s="20" t="n">
        <v>50.82</v>
      </c>
      <c r="W222" s="20" t="n">
        <v>0</v>
      </c>
      <c r="X222" s="20" t="n">
        <v>50.82</v>
      </c>
    </row>
    <row r="223">
      <c r="A223" s="18" t="inlineStr">
        <is>
          <t>투자유가증권 상환</t>
        </is>
      </c>
      <c r="H223" s="20" t="n">
        <v>0</v>
      </c>
      <c r="L223" s="20" t="n">
        <v>100</v>
      </c>
      <c r="W223" s="20" t="n">
        <v>0</v>
      </c>
      <c r="X223" s="20" t="n">
        <v>100</v>
      </c>
    </row>
    <row r="224">
      <c r="A224" s="9" t="inlineStr">
        <is>
          <t>투자활동 현금흐름</t>
        </is>
      </c>
      <c r="D224" s="12" t="n">
        <v>-1697.687</v>
      </c>
      <c r="H224" s="12" t="n">
        <v>-1200.184</v>
      </c>
      <c r="L224" s="12" t="n">
        <v>-929.83</v>
      </c>
      <c r="O224" s="12" t="n">
        <v>-526.116</v>
      </c>
      <c r="P224" s="12" t="n">
        <v>-531.828</v>
      </c>
      <c r="Q224" s="12" t="n">
        <v>-654.7</v>
      </c>
      <c r="R224" s="12" t="n">
        <v>-875.77</v>
      </c>
      <c r="S224" s="12" t="n">
        <v>-822.223</v>
      </c>
      <c r="T224" s="12" t="n">
        <v>-899.941</v>
      </c>
      <c r="U224" s="12" t="n">
        <v>-1313.497</v>
      </c>
      <c r="V224" s="12" t="n">
        <v>-1697.687</v>
      </c>
      <c r="W224" s="12" t="n">
        <v>-1200.184</v>
      </c>
      <c r="X224" s="12" t="n">
        <v>-929.83</v>
      </c>
    </row>
    <row r="225">
      <c r="A225" s="18" t="inlineStr">
        <is>
          <t>단기차입금 상환</t>
        </is>
      </c>
      <c r="D225" s="20" t="n">
        <v>-15</v>
      </c>
      <c r="H225" s="20" t="n">
        <v>0</v>
      </c>
      <c r="U225" s="20" t="n">
        <v>0</v>
      </c>
      <c r="V225" s="20" t="n">
        <v>-15</v>
      </c>
      <c r="W225" s="20" t="n">
        <v>0</v>
      </c>
    </row>
    <row r="226">
      <c r="A226" s="18" t="inlineStr">
        <is>
          <t>장기차입금 상환</t>
        </is>
      </c>
      <c r="D226" s="20" t="n">
        <v>-37.893</v>
      </c>
      <c r="H226" s="20" t="n">
        <v>-45.428</v>
      </c>
      <c r="L226" s="20" t="n">
        <v>0</v>
      </c>
      <c r="U226" s="20" t="n">
        <v>0</v>
      </c>
      <c r="V226" s="20" t="n">
        <v>-37.893</v>
      </c>
      <c r="W226" s="20" t="n">
        <v>-45.428</v>
      </c>
      <c r="X226" s="20" t="n">
        <v>0</v>
      </c>
    </row>
    <row r="227">
      <c r="A227" s="18" t="inlineStr">
        <is>
          <t>자기주식 취득</t>
        </is>
      </c>
      <c r="D227" s="20" t="n">
        <v>-0.07199999999999999</v>
      </c>
      <c r="H227" s="20" t="n">
        <v>-0.076</v>
      </c>
      <c r="L227" s="20" t="n">
        <v>-0.01</v>
      </c>
      <c r="P227" s="20" t="n">
        <v>0</v>
      </c>
      <c r="Q227" s="20" t="n">
        <v>-0.705</v>
      </c>
      <c r="R227" s="20" t="n">
        <v>-397.809</v>
      </c>
      <c r="S227" s="20" t="n">
        <v>-0.139</v>
      </c>
      <c r="T227" s="20" t="n">
        <v>0</v>
      </c>
      <c r="U227" s="20" t="n">
        <v>-0.043</v>
      </c>
      <c r="V227" s="20" t="n">
        <v>-0.07199999999999999</v>
      </c>
      <c r="W227" s="20" t="n">
        <v>-0.076</v>
      </c>
      <c r="X227" s="20" t="n">
        <v>-0.01</v>
      </c>
    </row>
    <row r="228">
      <c r="A228" s="18" t="inlineStr">
        <is>
          <t>배당금 지급</t>
        </is>
      </c>
      <c r="D228" s="20" t="n">
        <v>-169.383</v>
      </c>
      <c r="H228" s="20" t="n">
        <v>-169.736</v>
      </c>
      <c r="L228" s="20" t="n">
        <v>-169.894</v>
      </c>
      <c r="O228" s="20" t="n">
        <v>-42.043</v>
      </c>
      <c r="P228" s="20" t="n">
        <v>-56.935</v>
      </c>
      <c r="Q228" s="20" t="n">
        <v>-84.131</v>
      </c>
      <c r="R228" s="20" t="n">
        <v>-108.87</v>
      </c>
      <c r="S228" s="20" t="n">
        <v>-121.299</v>
      </c>
      <c r="T228" s="20" t="n">
        <v>-53.253</v>
      </c>
      <c r="U228" s="20" t="n">
        <v>-169.606</v>
      </c>
      <c r="V228" s="20" t="n">
        <v>-169.383</v>
      </c>
      <c r="W228" s="20" t="n">
        <v>-169.736</v>
      </c>
      <c r="X228" s="20" t="n">
        <v>-169.894</v>
      </c>
    </row>
    <row r="229">
      <c r="A229" s="9" t="inlineStr">
        <is>
          <t>재무활동 현금흐름</t>
        </is>
      </c>
      <c r="D229" s="12" t="n">
        <v>-222.348</v>
      </c>
      <c r="H229" s="12" t="n">
        <v>-215.24</v>
      </c>
      <c r="L229" s="12" t="n">
        <v>-169.905</v>
      </c>
      <c r="O229" s="12" t="n">
        <v>-42.043</v>
      </c>
      <c r="P229" s="12" t="n">
        <v>-56.935</v>
      </c>
      <c r="Q229" s="12" t="n">
        <v>-84.836</v>
      </c>
      <c r="R229" s="12" t="n">
        <v>-506.68</v>
      </c>
      <c r="S229" s="12" t="n">
        <v>-121.439</v>
      </c>
      <c r="T229" s="12" t="n">
        <v>-53.253</v>
      </c>
      <c r="U229" s="12" t="n">
        <v>-169.65</v>
      </c>
      <c r="V229" s="12" t="n">
        <v>-222.348</v>
      </c>
      <c r="W229" s="12" t="n">
        <v>-215.24</v>
      </c>
      <c r="X229" s="12" t="n">
        <v>-169.905</v>
      </c>
    </row>
    <row r="230">
      <c r="A230" s="18" t="inlineStr">
        <is>
          <t>현금성자산 환산차이</t>
        </is>
      </c>
      <c r="D230" s="20" t="n">
        <v>0.774</v>
      </c>
      <c r="H230" s="20" t="n">
        <v>1.191</v>
      </c>
      <c r="L230" s="20" t="n">
        <v>0.275</v>
      </c>
      <c r="O230" s="20" t="n">
        <v>-3.398</v>
      </c>
      <c r="P230" s="20" t="n">
        <v>0.305</v>
      </c>
      <c r="Q230" s="20" t="n">
        <v>-0.5629999999999999</v>
      </c>
      <c r="R230" s="20" t="n">
        <v>1.359</v>
      </c>
      <c r="S230" s="20" t="n">
        <v>-0.993</v>
      </c>
      <c r="T230" s="20" t="n">
        <v>0.973</v>
      </c>
      <c r="U230" s="20" t="n">
        <v>1.75</v>
      </c>
      <c r="V230" s="20" t="n">
        <v>0.774</v>
      </c>
      <c r="W230" s="20" t="n">
        <v>1.191</v>
      </c>
      <c r="X230" s="20" t="n">
        <v>0.275</v>
      </c>
    </row>
    <row r="231">
      <c r="A231" s="18" t="inlineStr">
        <is>
          <t>현금성자산 증감</t>
        </is>
      </c>
      <c r="D231" s="20" t="n">
        <v>-1042.677</v>
      </c>
      <c r="H231" s="20" t="n">
        <v>-20.475</v>
      </c>
      <c r="L231" s="20" t="n">
        <v>-184.44</v>
      </c>
      <c r="O231" s="20" t="n">
        <v>481.89</v>
      </c>
      <c r="P231" s="20" t="n">
        <v>478.043</v>
      </c>
      <c r="Q231" s="20" t="n">
        <v>181.627</v>
      </c>
      <c r="R231" s="20" t="n">
        <v>-229.026</v>
      </c>
      <c r="S231" s="20" t="n">
        <v>-388.743</v>
      </c>
      <c r="T231" s="20" t="n">
        <v>1028.477</v>
      </c>
      <c r="U231" s="20" t="n">
        <v>-570.789</v>
      </c>
      <c r="V231" s="20" t="n">
        <v>-1042.677</v>
      </c>
      <c r="W231" s="20" t="n">
        <v>-20.475</v>
      </c>
      <c r="X231" s="20" t="n">
        <v>-184.44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NTT데이터인트라마트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6094.86</v>
      </c>
      <c r="D5" s="12" t="n">
        <v>6248.304</v>
      </c>
      <c r="E5" s="12" t="n">
        <v>7107.011</v>
      </c>
      <c r="F5" s="12" t="n">
        <v>7148.868</v>
      </c>
      <c r="G5" s="12" t="n">
        <v>7250.071</v>
      </c>
      <c r="H5" s="11" t="n">
        <v>5354.384</v>
      </c>
      <c r="I5" s="12" t="n">
        <v>4745.248</v>
      </c>
      <c r="J5" s="12" t="n">
        <v>4752.826</v>
      </c>
      <c r="K5" s="12" t="n">
        <v>5120.576</v>
      </c>
      <c r="L5" s="12" t="n">
        <v>7107.011</v>
      </c>
    </row>
    <row r="6">
      <c r="A6" s="18" t="inlineStr">
        <is>
          <t>현금및현금성자산</t>
        </is>
      </c>
      <c r="B6" s="10" t="n"/>
      <c r="C6" s="19" t="n">
        <v>3119.979</v>
      </c>
      <c r="D6" s="20" t="n">
        <v>2734.799</v>
      </c>
      <c r="E6" s="20" t="n">
        <v>2336.373</v>
      </c>
      <c r="F6" s="20" t="n">
        <v>4516.913</v>
      </c>
      <c r="G6" s="20" t="n">
        <v>3766.691</v>
      </c>
      <c r="H6" s="19" t="n">
        <v>3885.489</v>
      </c>
      <c r="I6" s="20" t="n">
        <v>3314.7</v>
      </c>
      <c r="J6" s="20" t="n">
        <v>2539.858</v>
      </c>
      <c r="K6" s="20" t="n">
        <v>2519.987</v>
      </c>
      <c r="L6" s="20" t="n">
        <v>2336.373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921.448</v>
      </c>
      <c r="D8" s="20" t="n">
        <v>875.689</v>
      </c>
      <c r="E8" s="20" t="n">
        <v>3297.109</v>
      </c>
      <c r="F8" s="20" t="n">
        <v>960.575</v>
      </c>
      <c r="G8" s="20" t="n">
        <v>1010.571</v>
      </c>
      <c r="H8" s="19" t="n">
        <v>1173.978</v>
      </c>
      <c r="I8" s="20" t="n">
        <v>1086.747</v>
      </c>
      <c r="J8" s="20" t="n">
        <v>1622.763</v>
      </c>
      <c r="K8" s="20" t="n">
        <v>1523.971</v>
      </c>
      <c r="L8" s="20" t="n">
        <v>3297.109</v>
      </c>
    </row>
    <row r="9">
      <c r="A9" s="18" t="inlineStr">
        <is>
          <t>재고자산</t>
        </is>
      </c>
      <c r="B9" s="10" t="n"/>
      <c r="C9" s="19" t="n">
        <v>7.799</v>
      </c>
      <c r="D9" s="20" t="n">
        <v>7.773</v>
      </c>
      <c r="E9" s="20" t="n">
        <v>7.572</v>
      </c>
      <c r="F9" s="20" t="n">
        <v>7.519</v>
      </c>
      <c r="G9" s="20" t="n">
        <v>7.467</v>
      </c>
      <c r="H9" s="19" t="n">
        <v>2.472</v>
      </c>
      <c r="I9" s="20" t="n">
        <v>0</v>
      </c>
      <c r="J9" s="20" t="n">
        <v>8.000999999999999</v>
      </c>
      <c r="K9" s="20" t="n">
        <v>8.022</v>
      </c>
      <c r="L9" s="20" t="n">
        <v>7.572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4006.633</v>
      </c>
      <c r="D11" s="12" t="n">
        <v>3985.555</v>
      </c>
      <c r="E11" s="12" t="n">
        <v>3889.04</v>
      </c>
      <c r="F11" s="12" t="n">
        <v>3922.502</v>
      </c>
      <c r="G11" s="12" t="n">
        <v>3926.715</v>
      </c>
      <c r="H11" s="11" t="n">
        <v>2301.854</v>
      </c>
      <c r="I11" s="12" t="n">
        <v>2732.318</v>
      </c>
      <c r="J11" s="12" t="n">
        <v>3777.58</v>
      </c>
      <c r="K11" s="12" t="n">
        <v>4151.946</v>
      </c>
      <c r="L11" s="12" t="n">
        <v>3889.04</v>
      </c>
    </row>
    <row r="12">
      <c r="A12" s="18" t="inlineStr">
        <is>
          <t>유형자산</t>
        </is>
      </c>
      <c r="B12" s="10" t="n"/>
      <c r="C12" s="19" t="n">
        <v>269.053</v>
      </c>
      <c r="D12" s="20" t="n">
        <v>261.488</v>
      </c>
      <c r="E12" s="20" t="n">
        <v>256.664</v>
      </c>
      <c r="F12" s="20" t="n">
        <v>249.973</v>
      </c>
      <c r="G12" s="20" t="n">
        <v>248.517</v>
      </c>
      <c r="H12" s="19" t="n">
        <v>144.345</v>
      </c>
      <c r="I12" s="20" t="n">
        <v>176.035</v>
      </c>
      <c r="J12" s="20" t="n">
        <v>270.57</v>
      </c>
      <c r="K12" s="20" t="n">
        <v>285.555</v>
      </c>
      <c r="L12" s="20" t="n">
        <v>256.664</v>
      </c>
    </row>
    <row r="13">
      <c r="A13" s="18" t="inlineStr">
        <is>
          <t>무형자산</t>
        </is>
      </c>
      <c r="B13" s="10" t="n"/>
      <c r="C13" s="19" t="n">
        <v>2544.27</v>
      </c>
      <c r="D13" s="20" t="n">
        <v>2649.802</v>
      </c>
      <c r="E13" s="20" t="n">
        <v>2529.708</v>
      </c>
      <c r="F13" s="20" t="n">
        <v>2565.207</v>
      </c>
      <c r="G13" s="20" t="n">
        <v>2597.161</v>
      </c>
      <c r="H13" s="19" t="n">
        <v>1449.227</v>
      </c>
      <c r="I13" s="20" t="n">
        <v>1815.406</v>
      </c>
      <c r="J13" s="20" t="n">
        <v>2400.603</v>
      </c>
      <c r="K13" s="20" t="n">
        <v>2570.908</v>
      </c>
      <c r="L13" s="20" t="n">
        <v>2529.708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10101.493</v>
      </c>
      <c r="D16" s="12" t="n">
        <v>10233.86</v>
      </c>
      <c r="E16" s="12" t="n">
        <v>10996.051</v>
      </c>
      <c r="F16" s="12" t="n">
        <v>11071.37</v>
      </c>
      <c r="G16" s="12" t="n">
        <v>11176.786</v>
      </c>
      <c r="H16" s="11" t="n">
        <v>7656.239</v>
      </c>
      <c r="I16" s="12" t="n">
        <v>7477.567</v>
      </c>
      <c r="J16" s="12" t="n">
        <v>8530.406000000001</v>
      </c>
      <c r="K16" s="12" t="n">
        <v>9272.522999999999</v>
      </c>
      <c r="L16" s="12" t="n">
        <v>10996.051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3728.118</v>
      </c>
      <c r="D18" s="12" t="n">
        <v>3662.028</v>
      </c>
      <c r="E18" s="12" t="n">
        <v>4176.598</v>
      </c>
      <c r="F18" s="12" t="n">
        <v>4235.675</v>
      </c>
      <c r="G18" s="12" t="n">
        <v>4023.033</v>
      </c>
      <c r="H18" s="11" t="n">
        <v>2515.827</v>
      </c>
      <c r="I18" s="12" t="n">
        <v>2165.917</v>
      </c>
      <c r="J18" s="12" t="n">
        <v>2635.246</v>
      </c>
      <c r="K18" s="12" t="n">
        <v>3245.413</v>
      </c>
      <c r="L18" s="12" t="n">
        <v>4176.598</v>
      </c>
    </row>
    <row r="19">
      <c r="A19" s="18" t="inlineStr">
        <is>
          <t>매입채무</t>
        </is>
      </c>
      <c r="B19" s="10" t="n"/>
      <c r="C19" s="19" t="n">
        <v>458.664</v>
      </c>
      <c r="D19" s="20" t="n">
        <v>647.463</v>
      </c>
      <c r="E19" s="20" t="n">
        <v>1200.265</v>
      </c>
      <c r="F19" s="20" t="n">
        <v>586.014</v>
      </c>
      <c r="G19" s="20" t="n">
        <v>533.532</v>
      </c>
      <c r="H19" s="19" t="n">
        <v>568.134</v>
      </c>
      <c r="I19" s="20" t="n">
        <v>422.123</v>
      </c>
      <c r="J19" s="20" t="n">
        <v>569.759</v>
      </c>
      <c r="K19" s="20" t="n">
        <v>557.465</v>
      </c>
      <c r="L19" s="20" t="n">
        <v>1200.265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>
        <v>0</v>
      </c>
      <c r="J21" s="20" t="n">
        <v>45.428</v>
      </c>
      <c r="K21" s="20" t="n">
        <v>0</v>
      </c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966.151</v>
      </c>
      <c r="D23" s="12" t="n">
        <v>983.561</v>
      </c>
      <c r="E23" s="12" t="n">
        <v>942.154</v>
      </c>
      <c r="F23" s="12" t="n">
        <v>972.3</v>
      </c>
      <c r="G23" s="12" t="n">
        <v>997.357</v>
      </c>
      <c r="H23" s="11" t="n">
        <v>643.402</v>
      </c>
      <c r="I23" s="12" t="n">
        <v>586.049</v>
      </c>
      <c r="J23" s="12" t="n">
        <v>972.313</v>
      </c>
      <c r="K23" s="12" t="n">
        <v>909.172</v>
      </c>
      <c r="L23" s="12" t="n">
        <v>942.154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4694.27</v>
      </c>
      <c r="D27" s="12" t="n">
        <v>4645.589</v>
      </c>
      <c r="E27" s="12" t="n">
        <v>5118.752</v>
      </c>
      <c r="F27" s="12" t="n">
        <v>5207.975</v>
      </c>
      <c r="G27" s="12" t="n">
        <v>5020.39</v>
      </c>
      <c r="H27" s="11" t="n">
        <v>3159.23</v>
      </c>
      <c r="I27" s="12" t="n">
        <v>2751.967</v>
      </c>
      <c r="J27" s="12" t="n">
        <v>3607.559</v>
      </c>
      <c r="K27" s="12" t="n">
        <v>4154.585</v>
      </c>
      <c r="L27" s="12" t="n">
        <v>5118.752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5407.223</v>
      </c>
      <c r="D31" s="12" t="n">
        <v>5588.27</v>
      </c>
      <c r="E31" s="12" t="n">
        <v>5877.299</v>
      </c>
      <c r="F31" s="12" t="n">
        <v>5863.395</v>
      </c>
      <c r="G31" s="12" t="n">
        <v>6156.396</v>
      </c>
      <c r="H31" s="11" t="n">
        <v>4497.009</v>
      </c>
      <c r="I31" s="12" t="n">
        <v>4725.6</v>
      </c>
      <c r="J31" s="12" t="n">
        <v>4922.847</v>
      </c>
      <c r="K31" s="12" t="n">
        <v>5117.937</v>
      </c>
      <c r="L31" s="12" t="n">
        <v>5877.299</v>
      </c>
    </row>
    <row r="32">
      <c r="A32" s="18" t="inlineStr">
        <is>
          <t>자본금</t>
        </is>
      </c>
      <c r="B32" s="10" t="n"/>
      <c r="C32" s="19" t="n">
        <v>738.756</v>
      </c>
      <c r="D32" s="20" t="n">
        <v>738.756</v>
      </c>
      <c r="E32" s="20" t="n">
        <v>738.756</v>
      </c>
      <c r="F32" s="20" t="n">
        <v>738.756</v>
      </c>
      <c r="G32" s="20" t="n">
        <v>738.756</v>
      </c>
      <c r="H32" s="19" t="n">
        <v>738.756</v>
      </c>
      <c r="I32" s="20" t="n">
        <v>738.756</v>
      </c>
      <c r="J32" s="20" t="n">
        <v>738.756</v>
      </c>
      <c r="K32" s="20" t="n">
        <v>738.756</v>
      </c>
      <c r="L32" s="20" t="n">
        <v>738.756</v>
      </c>
    </row>
    <row r="33">
      <c r="A33" s="18" t="inlineStr">
        <is>
          <t>이익잉여금</t>
        </is>
      </c>
      <c r="B33" s="10" t="n"/>
      <c r="C33" s="19" t="n">
        <v>4268.763</v>
      </c>
      <c r="D33" s="20" t="n">
        <v>4448.916</v>
      </c>
      <c r="E33" s="20" t="n">
        <v>4743.64</v>
      </c>
      <c r="F33" s="20" t="n">
        <v>4729.181</v>
      </c>
      <c r="G33" s="20" t="n">
        <v>5012.564</v>
      </c>
      <c r="H33" s="19" t="n">
        <v>3456.126</v>
      </c>
      <c r="I33" s="20" t="n">
        <v>3686.001</v>
      </c>
      <c r="J33" s="20" t="n">
        <v>3847.656</v>
      </c>
      <c r="K33" s="20" t="n">
        <v>3999.325</v>
      </c>
      <c r="L33" s="20" t="n">
        <v>4743.64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5407.223</v>
      </c>
      <c r="D35" s="12" t="n">
        <v>5588.27</v>
      </c>
      <c r="E35" s="12" t="n">
        <v>5877.299</v>
      </c>
      <c r="F35" s="12" t="n">
        <v>5863.395</v>
      </c>
      <c r="G35" s="12" t="n">
        <v>6156.396</v>
      </c>
      <c r="H35" s="11" t="n">
        <v>4497.009</v>
      </c>
      <c r="I35" s="12" t="n">
        <v>4725.6</v>
      </c>
      <c r="J35" s="12" t="n">
        <v>4922.847</v>
      </c>
      <c r="K35" s="12" t="n">
        <v>5117.937</v>
      </c>
      <c r="L35" s="12" t="n">
        <v>5877.299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915.02</v>
      </c>
      <c r="F37" s="12" t="n"/>
      <c r="G37" s="12" t="n"/>
      <c r="H37" s="11" t="n">
        <v>1980.698</v>
      </c>
      <c r="I37" s="12" t="n">
        <v>910.6079999999999</v>
      </c>
      <c r="J37" s="12" t="n">
        <v>876.5839999999999</v>
      </c>
      <c r="K37" s="12" t="n">
        <v>1393.757</v>
      </c>
      <c r="L37" s="12" t="n">
        <v>915.02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1039.746</v>
      </c>
      <c r="F38" s="20" t="n"/>
      <c r="G38" s="20" t="n"/>
      <c r="H38" s="19" t="n">
        <v>839.716</v>
      </c>
      <c r="I38" s="20" t="n">
        <v>1304.65</v>
      </c>
      <c r="J38" s="20" t="n">
        <v>1116.477</v>
      </c>
      <c r="K38" s="20" t="n">
        <v>1182.875</v>
      </c>
      <c r="L38" s="20" t="n">
        <v>1039.746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169.894</v>
      </c>
      <c r="F40" s="20" t="n"/>
      <c r="G40" s="20" t="n"/>
      <c r="H40" s="19" t="n">
        <v>53.253</v>
      </c>
      <c r="I40" s="20" t="n">
        <v>169.606</v>
      </c>
      <c r="J40" s="20" t="n">
        <v>169.383</v>
      </c>
      <c r="K40" s="20" t="n">
        <v>169.736</v>
      </c>
      <c r="L40" s="20" t="n">
        <v>169.894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IFERROR(IF((IF(COUNT('연간'!G55:J55)&lt;4,"",SUM('연간'!G55:J55)))&lt;=0,"적자",C28/(IF(COUNT('연간'!G55:J55)&lt;4,"",SUM('연간'!G55:J55)))),"")</f>
        <v/>
      </c>
      <c r="D49" s="47">
        <f>IFERROR(IF((IF(COUNT('연간'!H55:K55)&lt;4,"",SUM('연간'!H55:K55)))&lt;=0,"적자",D28/(IF(COUNT('연간'!H55:K55)&lt;4,"",SUM('연간'!H55:K55)))),"")</f>
        <v/>
      </c>
      <c r="E49" s="47">
        <f>IFERROR(IF((IF(COUNT('연간'!I55:L55)&lt;4,"",SUM('연간'!I55:L55)))&lt;=0,"적자",E28/(IF(COUNT('연간'!I55:L55)&lt;4,"",SUM('연간'!I55:L55)))),"")</f>
        <v/>
      </c>
      <c r="F49" s="47">
        <f>IFERROR(IF((IF(COUNT('연간'!J55:M55)&lt;4,"",SUM('연간'!J55:M55)))&lt;=0,"적자",F28/(IF(COUNT('연간'!J55:M55)&lt;4,"",SUM('연간'!J55:M55)))),"")</f>
        <v/>
      </c>
      <c r="G49" s="47">
        <f>IFERROR(IF((IF(COUNT('연간'!K55:N55)&lt;4,"",SUM('연간'!K55:N55)))&lt;=0,"적자",G28/(IF(COUNT('연간'!K55:N55)&lt;4,"",SUM('연간'!K55:N55)))),"")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  <c r="L49" s="47">
        <f>IFERROR(IF(('연간'!X55)&lt;=0,"적자",L28/('연간'!X55)),"")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IFERROR((IF(COUNT('연간'!G55:J55)&lt;4,"",SUM('연간'!G55:J55)))/C31,"")</f>
        <v/>
      </c>
      <c r="D51" s="36">
        <f>IFERROR((IF(COUNT('연간'!H55:K55)&lt;4,"",SUM('연간'!H55:K55)))/D31,"")</f>
        <v/>
      </c>
      <c r="E51" s="36">
        <f>IFERROR((IF(COUNT('연간'!I55:L55)&lt;4,"",SUM('연간'!I55:L55)))/E31,"")</f>
        <v/>
      </c>
      <c r="F51" s="36">
        <f>IFERROR((IF(COUNT('연간'!J55:M55)&lt;4,"",SUM('연간'!J55:M55)))/F31,"")</f>
        <v/>
      </c>
      <c r="G51" s="36">
        <f>IFERROR((IF(COUNT('연간'!K55:N55)&lt;4,"",SUM('연간'!K55:N55)))/G31,"")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  <c r="L51" s="36">
        <f>IFERROR(('연간'!X55)/L31,"")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IFERROR((IF(COUNT('연간'!G53:J53)&lt;4,"",SUM('연간'!G53:J53)))/C16,"")</f>
        <v/>
      </c>
      <c r="D52" s="36">
        <f>IFERROR((IF(COUNT('연간'!H53:K53)&lt;4,"",SUM('연간'!H53:K53)))/D16,"")</f>
        <v/>
      </c>
      <c r="E52" s="36">
        <f>IFERROR((IF(COUNT('연간'!I53:L53)&lt;4,"",SUM('연간'!I53:L53)))/E16,"")</f>
        <v/>
      </c>
      <c r="F52" s="36">
        <f>IFERROR((IF(COUNT('연간'!J53:M53)&lt;4,"",SUM('연간'!J53:M53)))/F16,"")</f>
        <v/>
      </c>
      <c r="G52" s="36">
        <f>IFERROR((IF(COUNT('연간'!K53:N53)&lt;4,"",SUM('연간'!K53:N53)))/G16,"")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  <c r="L52" s="36">
        <f>IFERROR(('연간'!X53)/L16,"")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IFERROR((IF(COUNT('연간'!G19:J19)&lt;4,"",SUM('연간'!G19:J19)))/(IF(COUNT('연간'!G4:J4)&lt;4,"",SUM('연간'!G4:J4))),"")</f>
        <v/>
      </c>
      <c r="D54" s="36">
        <f>IFERROR((IF(COUNT('연간'!H19:K19)&lt;4,"",SUM('연간'!H19:K19)))/(IF(COUNT('연간'!H4:K4)&lt;4,"",SUM('연간'!H4:K4))),"")</f>
        <v/>
      </c>
      <c r="E54" s="36">
        <f>IFERROR((IF(COUNT('연간'!I19:L19)&lt;4,"",SUM('연간'!I19:L19)))/(IF(COUNT('연간'!I4:L4)&lt;4,"",SUM('연간'!I4:L4))),"")</f>
        <v/>
      </c>
      <c r="F54" s="36">
        <f>IFERROR((IF(COUNT('연간'!J19:M19)&lt;4,"",SUM('연간'!J19:M19)))/(IF(COUNT('연간'!J4:M4)&lt;4,"",SUM('연간'!J4:M4))),"")</f>
        <v/>
      </c>
      <c r="G54" s="36">
        <f>IFERROR((IF(COUNT('연간'!K19:N19)&lt;4,"",SUM('연간'!K19:N19)))/(IF(COUNT('연간'!K4:N4)&lt;4,"",SUM('연간'!K4:N4))),"")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  <c r="L54" s="36">
        <f>IFERROR(('연간'!X19)/('연간'!X4),"")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IFERROR((IF(COUNT('연간'!G53:J53)&lt;4,"",SUM('연간'!G53:J53)))/(IF(COUNT('연간'!G4:J4)&lt;4,"",SUM('연간'!G4:J4))),"")</f>
        <v/>
      </c>
      <c r="D56" s="36">
        <f>IFERROR((IF(COUNT('연간'!H53:K53)&lt;4,"",SUM('연간'!H53:K53)))/(IF(COUNT('연간'!H4:K4)&lt;4,"",SUM('연간'!H4:K4))),"")</f>
        <v/>
      </c>
      <c r="E56" s="36">
        <f>IFERROR((IF(COUNT('연간'!I53:L53)&lt;4,"",SUM('연간'!I53:L53)))/(IF(COUNT('연간'!I4:L4)&lt;4,"",SUM('연간'!I4:L4))),"")</f>
        <v/>
      </c>
      <c r="F56" s="36">
        <f>IFERROR((IF(COUNT('연간'!J53:M53)&lt;4,"",SUM('연간'!J53:M53)))/(IF(COUNT('연간'!J4:M4)&lt;4,"",SUM('연간'!J4:M4))),"")</f>
        <v/>
      </c>
      <c r="G56" s="36">
        <f>IFERROR((IF(COUNT('연간'!K53:N53)&lt;4,"",SUM('연간'!K53:N53)))/(IF(COUNT('연간'!K4:N4)&lt;4,"",SUM('연간'!K4:N4))),"")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  <c r="L56" s="36">
        <f>IFERROR(('연간'!X53)/('연간'!X4),"")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IF(C37="","",IFERROR(C37/(IF(COUNT('연간'!G53:J53)&lt;4,"",SUM('연간'!G53:J53))),""))</f>
        <v/>
      </c>
      <c r="D64" s="31">
        <f>IF(D37="","",IFERROR(D37/(IF(COUNT('연간'!H53:K53)&lt;4,"",SUM('연간'!H53:K53))),""))</f>
        <v/>
      </c>
      <c r="E64" s="31">
        <f>IF(E37="","",IFERROR(E37/(IF(COUNT('연간'!I53:L53)&lt;4,"",SUM('연간'!I53:L53))),""))</f>
        <v/>
      </c>
      <c r="F64" s="31">
        <f>IF(F37="","",IFERROR(F37/(IF(COUNT('연간'!J53:M53)&lt;4,"",SUM('연간'!J53:M53))),""))</f>
        <v/>
      </c>
      <c r="G64" s="31">
        <f>IF(G37="","",IFERROR(G37/(IF(COUNT('연간'!K53:N53)&lt;4,"",SUM('연간'!K53:N53))),""))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  <c r="L64" s="31">
        <f>IF(L37="","",IFERROR(L37/('연간'!X53),""))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IF(C40="","",IFERROR(C40/(IF(COUNT('연간'!G55:J55)&lt;4,"",SUM('연간'!G55:J55))),""))</f>
        <v/>
      </c>
      <c r="D67" s="36">
        <f>IF(D40="","",IFERROR(D40/(IF(COUNT('연간'!H55:K55)&lt;4,"",SUM('연간'!H55:K55))),""))</f>
        <v/>
      </c>
      <c r="E67" s="36">
        <f>IF(E40="","",IFERROR(E40/(IF(COUNT('연간'!I55:L55)&lt;4,"",SUM('연간'!I55:L55))),""))</f>
        <v/>
      </c>
      <c r="F67" s="36">
        <f>IF(F40="","",IFERROR(F40/(IF(COUNT('연간'!J55:M55)&lt;4,"",SUM('연간'!J55:M55))),""))</f>
        <v/>
      </c>
      <c r="G67" s="36">
        <f>IF(G40="","",IFERROR(G40/(IF(COUNT('연간'!K55:N55)&lt;4,"",SUM('연간'!K55:N55))),""))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  <c r="L67" s="36">
        <f>IF(L40="","",IFERROR(L40/('연간'!X55),""))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3119.979</v>
      </c>
      <c r="D71" s="20" t="n">
        <v>2734.799</v>
      </c>
      <c r="E71" s="20" t="n">
        <v>2336.373</v>
      </c>
      <c r="F71" s="20" t="n">
        <v>4516.913</v>
      </c>
      <c r="G71" s="20" t="n">
        <v>3766.691</v>
      </c>
      <c r="H71" s="20" t="n">
        <v>3885.489</v>
      </c>
      <c r="I71" s="20" t="n">
        <v>3314.7</v>
      </c>
      <c r="J71" s="20" t="n">
        <v>2539.858</v>
      </c>
      <c r="K71" s="20" t="n">
        <v>2519.987</v>
      </c>
      <c r="L71" s="20" t="n">
        <v>2336.373</v>
      </c>
    </row>
    <row r="72">
      <c r="A72" s="18" t="inlineStr">
        <is>
          <t>매출채권</t>
        </is>
      </c>
      <c r="C72" s="20" t="n">
        <v>921.448</v>
      </c>
      <c r="D72" s="20" t="n">
        <v>875.689</v>
      </c>
      <c r="E72" s="20" t="n">
        <v>3297.109</v>
      </c>
      <c r="F72" s="20" t="n">
        <v>960.575</v>
      </c>
      <c r="G72" s="20" t="n">
        <v>1010.571</v>
      </c>
      <c r="H72" s="20" t="n">
        <v>1173.978</v>
      </c>
      <c r="I72" s="20" t="n">
        <v>1086.747</v>
      </c>
      <c r="J72" s="20" t="n">
        <v>1622.763</v>
      </c>
      <c r="K72" s="20" t="n">
        <v>1523.971</v>
      </c>
      <c r="L72" s="20" t="n">
        <v>3297.109</v>
      </c>
    </row>
    <row r="73">
      <c r="A73" s="18" t="inlineStr">
        <is>
          <t>계약자산</t>
        </is>
      </c>
      <c r="C73" s="20" t="n">
        <v>1224.638</v>
      </c>
      <c r="D73" s="20" t="n">
        <v>1870.297</v>
      </c>
      <c r="E73" s="20" t="n">
        <v>908.996</v>
      </c>
      <c r="F73" s="20" t="n">
        <v>824.374</v>
      </c>
      <c r="G73" s="20" t="n">
        <v>1641.468</v>
      </c>
      <c r="H73" s="20" t="n">
        <v>103.876</v>
      </c>
      <c r="I73" s="20" t="n">
        <v>121.738</v>
      </c>
      <c r="J73" s="20" t="n">
        <v>242.305</v>
      </c>
      <c r="K73" s="20" t="n">
        <v>663.045</v>
      </c>
      <c r="L73" s="20" t="n">
        <v>908.996</v>
      </c>
    </row>
    <row r="74">
      <c r="A74" s="18" t="inlineStr">
        <is>
          <t>재고자산</t>
        </is>
      </c>
      <c r="C74" s="20" t="n">
        <v>7.799</v>
      </c>
      <c r="D74" s="20" t="n">
        <v>7.773</v>
      </c>
      <c r="E74" s="20" t="n">
        <v>7.572</v>
      </c>
      <c r="F74" s="20" t="n">
        <v>7.519</v>
      </c>
      <c r="G74" s="20" t="n">
        <v>7.467</v>
      </c>
      <c r="H74" s="20" t="n">
        <v>2.472</v>
      </c>
      <c r="I74" s="20" t="n">
        <v>0</v>
      </c>
      <c r="J74" s="20" t="n">
        <v>8.000999999999999</v>
      </c>
      <c r="K74" s="20" t="n">
        <v>8.022</v>
      </c>
      <c r="L74" s="20" t="n">
        <v>7.572</v>
      </c>
    </row>
    <row r="75">
      <c r="A75" s="18" t="inlineStr">
        <is>
          <t>기타</t>
        </is>
      </c>
      <c r="C75" s="20" t="n">
        <v>820.994</v>
      </c>
      <c r="D75" s="20" t="n">
        <v>759.744</v>
      </c>
      <c r="E75" s="20" t="n">
        <v>556.9589999999999</v>
      </c>
      <c r="F75" s="20" t="n">
        <v>839.485</v>
      </c>
      <c r="G75" s="20" t="n">
        <v>823.872</v>
      </c>
      <c r="H75" s="20" t="n">
        <v>188.568</v>
      </c>
      <c r="I75" s="20" t="n">
        <v>222.062</v>
      </c>
      <c r="J75" s="20" t="n">
        <v>339.897</v>
      </c>
      <c r="K75" s="20" t="n">
        <v>405.55</v>
      </c>
      <c r="L75" s="20" t="n">
        <v>556.9589999999999</v>
      </c>
    </row>
    <row r="76">
      <c r="A76" s="9" t="inlineStr">
        <is>
          <t>유동자산 합계</t>
        </is>
      </c>
      <c r="C76" s="12" t="n">
        <v>6094.86</v>
      </c>
      <c r="D76" s="12" t="n">
        <v>6248.304</v>
      </c>
      <c r="E76" s="12" t="n">
        <v>7107.011</v>
      </c>
      <c r="F76" s="12" t="n">
        <v>7148.868</v>
      </c>
      <c r="G76" s="12" t="n">
        <v>7250.071</v>
      </c>
      <c r="H76" s="12" t="n">
        <v>5354.384</v>
      </c>
      <c r="I76" s="12" t="n">
        <v>4745.248</v>
      </c>
      <c r="J76" s="12" t="n">
        <v>4752.826</v>
      </c>
      <c r="K76" s="12" t="n">
        <v>5120.576</v>
      </c>
      <c r="L76" s="12" t="n">
        <v>7107.011</v>
      </c>
    </row>
    <row r="77">
      <c r="A77" s="18" t="inlineStr">
        <is>
          <t>건물</t>
        </is>
      </c>
      <c r="C77" s="20" t="n">
        <v>363.008</v>
      </c>
      <c r="D77" s="20" t="n">
        <v>363.008</v>
      </c>
      <c r="E77" s="20" t="n">
        <v>364.068</v>
      </c>
      <c r="F77" s="20" t="n">
        <v>364.068</v>
      </c>
      <c r="G77" s="20" t="n">
        <v>369.082</v>
      </c>
      <c r="H77" s="20" t="n">
        <v>172.744</v>
      </c>
      <c r="I77" s="20" t="n">
        <v>254.617</v>
      </c>
      <c r="J77" s="20" t="n">
        <v>324.149</v>
      </c>
      <c r="K77" s="20" t="n">
        <v>363.008</v>
      </c>
      <c r="L77" s="20" t="n">
        <v>364.068</v>
      </c>
    </row>
    <row r="78">
      <c r="A78" s="18" t="inlineStr">
        <is>
          <t>감가상각누계액</t>
        </is>
      </c>
      <c r="C78" s="20" t="n">
        <v>-140.676</v>
      </c>
      <c r="D78" s="20" t="n">
        <v>-146.757</v>
      </c>
      <c r="E78" s="20" t="n">
        <v>-152.871</v>
      </c>
      <c r="F78" s="20" t="n">
        <v>-158.973</v>
      </c>
      <c r="G78" s="20" t="n">
        <v>-164.91</v>
      </c>
      <c r="H78" s="20" t="n">
        <v>-75.934</v>
      </c>
      <c r="I78" s="20" t="n">
        <v>-118.504</v>
      </c>
      <c r="J78" s="20" t="n">
        <v>-105.37</v>
      </c>
      <c r="K78" s="20" t="n">
        <v>-128.515</v>
      </c>
      <c r="L78" s="20" t="n">
        <v>-152.871</v>
      </c>
    </row>
    <row r="79">
      <c r="A79" s="18" t="inlineStr">
        <is>
          <t>건물(순액)</t>
        </is>
      </c>
      <c r="C79" s="20" t="n">
        <v>222.331</v>
      </c>
      <c r="D79" s="20" t="n">
        <v>216.25</v>
      </c>
      <c r="E79" s="20" t="n">
        <v>211.196</v>
      </c>
      <c r="F79" s="20" t="n">
        <v>205.094</v>
      </c>
      <c r="G79" s="20" t="n">
        <v>204.171</v>
      </c>
      <c r="H79" s="20" t="n">
        <v>96.809</v>
      </c>
      <c r="I79" s="20" t="n">
        <v>136.113</v>
      </c>
      <c r="J79" s="20" t="n">
        <v>218.779</v>
      </c>
      <c r="K79" s="20" t="n">
        <v>234.492</v>
      </c>
      <c r="L79" s="20" t="n">
        <v>211.196</v>
      </c>
    </row>
    <row r="80">
      <c r="A80" s="18" t="inlineStr">
        <is>
          <t>공구·기구·비품</t>
        </is>
      </c>
      <c r="C80" s="20" t="n">
        <v>160.149</v>
      </c>
      <c r="D80" s="20" t="n">
        <v>161.562</v>
      </c>
      <c r="E80" s="20" t="n">
        <v>164.752</v>
      </c>
      <c r="F80" s="20" t="n">
        <v>167.257</v>
      </c>
      <c r="G80" s="20" t="n">
        <v>169.964</v>
      </c>
      <c r="H80" s="20" t="n">
        <v>154.9</v>
      </c>
      <c r="I80" s="20" t="n">
        <v>138.444</v>
      </c>
      <c r="J80" s="20" t="n">
        <v>152.239</v>
      </c>
      <c r="K80" s="20" t="n">
        <v>158.826</v>
      </c>
      <c r="L80" s="20" t="n">
        <v>164.752</v>
      </c>
    </row>
    <row r="81">
      <c r="A81" s="18" t="inlineStr">
        <is>
          <t>감가상각누계액</t>
        </is>
      </c>
      <c r="C81" s="20" t="n">
        <v>-113.427</v>
      </c>
      <c r="D81" s="20" t="n">
        <v>-116.324</v>
      </c>
      <c r="E81" s="20" t="n">
        <v>-119.284</v>
      </c>
      <c r="F81" s="20" t="n">
        <v>-122.377</v>
      </c>
      <c r="G81" s="20" t="n">
        <v>-125.618</v>
      </c>
      <c r="H81" s="20" t="n">
        <v>-107.365</v>
      </c>
      <c r="I81" s="20" t="n">
        <v>-98.52200000000001</v>
      </c>
      <c r="J81" s="20" t="n">
        <v>-100.449</v>
      </c>
      <c r="K81" s="20" t="n">
        <v>-107.764</v>
      </c>
      <c r="L81" s="20" t="n">
        <v>-119.284</v>
      </c>
    </row>
    <row r="82">
      <c r="A82" s="18" t="inlineStr">
        <is>
          <t>공구·기구·비품(순액)</t>
        </is>
      </c>
      <c r="C82" s="20" t="n">
        <v>46.722</v>
      </c>
      <c r="D82" s="20" t="n">
        <v>45.238</v>
      </c>
      <c r="E82" s="20" t="n">
        <v>45.467</v>
      </c>
      <c r="F82" s="20" t="n">
        <v>44.879</v>
      </c>
      <c r="G82" s="20" t="n">
        <v>44.345</v>
      </c>
      <c r="H82" s="20" t="n">
        <v>47.535</v>
      </c>
      <c r="I82" s="20" t="n">
        <v>39.922</v>
      </c>
      <c r="J82" s="20" t="n">
        <v>51.79</v>
      </c>
      <c r="K82" s="20" t="n">
        <v>51.062</v>
      </c>
      <c r="L82" s="20" t="n">
        <v>45.467</v>
      </c>
    </row>
    <row r="83">
      <c r="A83" s="18" t="inlineStr">
        <is>
          <t>유형자산 합계</t>
        </is>
      </c>
      <c r="C83" s="20" t="n">
        <v>269.053</v>
      </c>
      <c r="D83" s="20" t="n">
        <v>261.488</v>
      </c>
      <c r="E83" s="20" t="n">
        <v>256.664</v>
      </c>
      <c r="F83" s="20" t="n">
        <v>249.973</v>
      </c>
      <c r="G83" s="20" t="n">
        <v>248.517</v>
      </c>
      <c r="H83" s="20" t="n">
        <v>144.345</v>
      </c>
      <c r="I83" s="20" t="n">
        <v>176.035</v>
      </c>
      <c r="J83" s="20" t="n">
        <v>270.57</v>
      </c>
      <c r="K83" s="20" t="n">
        <v>285.555</v>
      </c>
      <c r="L83" s="20" t="n">
        <v>256.664</v>
      </c>
    </row>
    <row r="84">
      <c r="A84" s="18" t="inlineStr">
        <is>
          <t>소프트웨어</t>
        </is>
      </c>
      <c r="C84" s="20" t="n">
        <v>1857.774</v>
      </c>
      <c r="D84" s="20" t="n">
        <v>2030.175</v>
      </c>
      <c r="E84" s="20" t="n">
        <v>1725.96</v>
      </c>
      <c r="F84" s="20" t="n">
        <v>2043.013</v>
      </c>
      <c r="G84" s="20" t="n">
        <v>1938.11</v>
      </c>
      <c r="H84" s="20" t="n">
        <v>1059.772</v>
      </c>
      <c r="I84" s="20" t="n">
        <v>1060.527</v>
      </c>
      <c r="J84" s="20" t="n">
        <v>1550.053</v>
      </c>
      <c r="K84" s="20" t="n">
        <v>1624.645</v>
      </c>
      <c r="L84" s="20" t="n">
        <v>1725.96</v>
      </c>
    </row>
    <row r="85">
      <c r="A85" s="18" t="inlineStr">
        <is>
          <t>개발 중 소프트웨어</t>
        </is>
      </c>
      <c r="C85" s="20" t="n">
        <v>488.862</v>
      </c>
      <c r="D85" s="20" t="n">
        <v>441.914</v>
      </c>
      <c r="E85" s="20" t="n">
        <v>645.356</v>
      </c>
      <c r="F85" s="20" t="n">
        <v>383.121</v>
      </c>
      <c r="G85" s="20" t="n">
        <v>539.299</v>
      </c>
      <c r="H85" s="20" t="n">
        <v>389.381</v>
      </c>
      <c r="I85" s="20" t="n">
        <v>754.806</v>
      </c>
      <c r="J85" s="20" t="n">
        <v>536.995</v>
      </c>
      <c r="K85" s="20" t="n">
        <v>709.9880000000001</v>
      </c>
      <c r="L85" s="20" t="n">
        <v>645.356</v>
      </c>
    </row>
    <row r="86">
      <c r="A86" s="18" t="inlineStr">
        <is>
          <t>영업권</t>
        </is>
      </c>
      <c r="C86" s="20" t="n">
        <v>196.96</v>
      </c>
      <c r="D86" s="20" t="n">
        <v>177.639</v>
      </c>
      <c r="E86" s="20" t="n">
        <v>158.319</v>
      </c>
      <c r="F86" s="20" t="n">
        <v>138.999</v>
      </c>
      <c r="G86" s="20" t="n">
        <v>119.679</v>
      </c>
      <c r="I86" s="20" t="n">
        <v>0</v>
      </c>
      <c r="J86" s="20" t="n">
        <v>312.88</v>
      </c>
      <c r="K86" s="20" t="n">
        <v>235.6</v>
      </c>
      <c r="L86" s="20" t="n">
        <v>158.319</v>
      </c>
    </row>
    <row r="87">
      <c r="A87" s="18" t="inlineStr">
        <is>
          <t>기타</t>
        </is>
      </c>
      <c r="C87" s="20" t="n">
        <v>0.674</v>
      </c>
      <c r="D87" s="20" t="n">
        <v>0.07199999999999999</v>
      </c>
      <c r="E87" s="20" t="n">
        <v>0.07199999999999999</v>
      </c>
      <c r="F87" s="20" t="n">
        <v>0.07199999999999999</v>
      </c>
      <c r="G87" s="20" t="n">
        <v>0.07199999999999999</v>
      </c>
      <c r="H87" s="20" t="n">
        <v>0.07199999999999999</v>
      </c>
      <c r="I87" s="20" t="n">
        <v>0.07199999999999999</v>
      </c>
      <c r="J87" s="20" t="n">
        <v>0.674</v>
      </c>
      <c r="K87" s="20" t="n">
        <v>0.674</v>
      </c>
      <c r="L87" s="20" t="n">
        <v>0.07199999999999999</v>
      </c>
    </row>
    <row r="88">
      <c r="A88" s="18" t="inlineStr">
        <is>
          <t>무형자산 합계</t>
        </is>
      </c>
      <c r="C88" s="20" t="n">
        <v>2544.27</v>
      </c>
      <c r="D88" s="20" t="n">
        <v>2649.802</v>
      </c>
      <c r="E88" s="20" t="n">
        <v>2529.708</v>
      </c>
      <c r="F88" s="20" t="n">
        <v>2565.207</v>
      </c>
      <c r="G88" s="20" t="n">
        <v>2597.161</v>
      </c>
      <c r="H88" s="20" t="n">
        <v>1449.227</v>
      </c>
      <c r="I88" s="20" t="n">
        <v>1815.406</v>
      </c>
      <c r="J88" s="20" t="n">
        <v>2400.603</v>
      </c>
      <c r="K88" s="20" t="n">
        <v>2570.908</v>
      </c>
      <c r="L88" s="20" t="n">
        <v>2529.708</v>
      </c>
    </row>
    <row r="89">
      <c r="A89" s="18" t="inlineStr">
        <is>
          <t>투자유가증권</t>
        </is>
      </c>
      <c r="C89" s="20" t="n">
        <v>278.378</v>
      </c>
      <c r="D89" s="20" t="n">
        <v>179.109</v>
      </c>
      <c r="E89" s="20" t="n">
        <v>184.007</v>
      </c>
      <c r="F89" s="20" t="n">
        <v>192.736</v>
      </c>
      <c r="G89" s="20" t="n">
        <v>186.964</v>
      </c>
      <c r="H89" s="20" t="n">
        <v>220.841</v>
      </c>
      <c r="I89" s="20" t="n">
        <v>167.744</v>
      </c>
      <c r="J89" s="20" t="n">
        <v>309.075</v>
      </c>
      <c r="K89" s="20" t="n">
        <v>335.094</v>
      </c>
      <c r="L89" s="20" t="n">
        <v>184.007</v>
      </c>
    </row>
    <row r="90">
      <c r="A90" s="18" t="inlineStr">
        <is>
          <t>임차보증금·보증금</t>
        </is>
      </c>
      <c r="C90" s="20" t="n">
        <v>277.02</v>
      </c>
      <c r="D90" s="20" t="n">
        <v>277.02</v>
      </c>
      <c r="E90" s="20" t="n">
        <v>312.597</v>
      </c>
      <c r="F90" s="20" t="n">
        <v>313.472</v>
      </c>
      <c r="G90" s="20" t="n">
        <v>313.472</v>
      </c>
      <c r="H90" s="20" t="n">
        <v>202.399</v>
      </c>
      <c r="I90" s="20" t="n">
        <v>211.325</v>
      </c>
      <c r="J90" s="20" t="n">
        <v>267.381</v>
      </c>
      <c r="K90" s="20" t="n">
        <v>277.02</v>
      </c>
      <c r="L90" s="20" t="n">
        <v>312.597</v>
      </c>
    </row>
    <row r="91">
      <c r="A91" s="18" t="inlineStr">
        <is>
          <t>장기선급비용</t>
        </is>
      </c>
      <c r="C91" s="20" t="n">
        <v>142.072</v>
      </c>
      <c r="D91" s="20" t="n">
        <v>131.089</v>
      </c>
      <c r="E91" s="20" t="n">
        <v>100.96</v>
      </c>
      <c r="F91" s="20" t="n">
        <v>94.848</v>
      </c>
      <c r="G91" s="20" t="n">
        <v>80.02200000000001</v>
      </c>
      <c r="J91" s="20" t="n">
        <v>7.266</v>
      </c>
      <c r="K91" s="20" t="n">
        <v>119.706</v>
      </c>
      <c r="L91" s="20" t="n">
        <v>100.96</v>
      </c>
    </row>
    <row r="92">
      <c r="A92" s="18" t="inlineStr">
        <is>
          <t>퇴직급여자산</t>
        </is>
      </c>
      <c r="E92" s="20" t="n">
        <v>1.644</v>
      </c>
      <c r="F92" s="20" t="n">
        <v>1.644</v>
      </c>
      <c r="G92" s="20" t="n">
        <v>0</v>
      </c>
      <c r="K92" s="20" t="n">
        <v>0</v>
      </c>
      <c r="L92" s="20" t="n">
        <v>1.644</v>
      </c>
    </row>
    <row r="93">
      <c r="A93" s="18" t="inlineStr">
        <is>
          <t>이연법인세자산</t>
        </is>
      </c>
      <c r="C93" s="20" t="n">
        <v>495.838</v>
      </c>
      <c r="D93" s="20" t="n">
        <v>487.045</v>
      </c>
      <c r="E93" s="20" t="n">
        <v>503.457</v>
      </c>
      <c r="F93" s="20" t="n">
        <v>504.619</v>
      </c>
      <c r="G93" s="20" t="n">
        <v>500.577</v>
      </c>
      <c r="H93" s="20" t="n">
        <v>285.041</v>
      </c>
      <c r="I93" s="20" t="n">
        <v>361.768</v>
      </c>
      <c r="J93" s="20" t="n">
        <v>522.682</v>
      </c>
      <c r="K93" s="20" t="n">
        <v>563.6609999999999</v>
      </c>
      <c r="L93" s="20" t="n">
        <v>503.457</v>
      </c>
    </row>
    <row r="94">
      <c r="A94" s="18" t="inlineStr">
        <is>
          <t>기타</t>
        </is>
      </c>
      <c r="H94" s="20" t="n">
        <v>0</v>
      </c>
      <c r="I94" s="20" t="n">
        <v>0.039</v>
      </c>
      <c r="J94" s="20" t="n">
        <v>7.266</v>
      </c>
    </row>
    <row r="95">
      <c r="A95" s="18" t="inlineStr">
        <is>
          <t>투자 및 기타자산 합계</t>
        </is>
      </c>
      <c r="C95" s="20" t="n">
        <v>1193.309</v>
      </c>
      <c r="D95" s="20" t="n">
        <v>1074.264</v>
      </c>
      <c r="E95" s="20" t="n">
        <v>1102.667</v>
      </c>
      <c r="F95" s="20" t="n">
        <v>1107.321</v>
      </c>
      <c r="G95" s="20" t="n">
        <v>1081.036</v>
      </c>
      <c r="H95" s="20" t="n">
        <v>708.282</v>
      </c>
      <c r="I95" s="20" t="n">
        <v>740.877</v>
      </c>
      <c r="J95" s="20" t="n">
        <v>1106.406</v>
      </c>
      <c r="K95" s="20" t="n">
        <v>1295.482</v>
      </c>
      <c r="L95" s="20" t="n">
        <v>1102.667</v>
      </c>
    </row>
    <row r="96">
      <c r="A96" s="9" t="inlineStr">
        <is>
          <t>비유동자산 합계</t>
        </is>
      </c>
      <c r="C96" s="12" t="n">
        <v>4006.633</v>
      </c>
      <c r="D96" s="12" t="n">
        <v>3985.555</v>
      </c>
      <c r="E96" s="12" t="n">
        <v>3889.04</v>
      </c>
      <c r="F96" s="12" t="n">
        <v>3922.502</v>
      </c>
      <c r="G96" s="12" t="n">
        <v>3926.715</v>
      </c>
      <c r="H96" s="12" t="n">
        <v>2301.854</v>
      </c>
      <c r="I96" s="12" t="n">
        <v>2732.318</v>
      </c>
      <c r="J96" s="12" t="n">
        <v>3777.58</v>
      </c>
      <c r="K96" s="12" t="n">
        <v>4151.946</v>
      </c>
      <c r="L96" s="12" t="n">
        <v>3889.04</v>
      </c>
    </row>
    <row r="97">
      <c r="A97" s="9" t="inlineStr">
        <is>
          <t>자산 합계</t>
        </is>
      </c>
      <c r="C97" s="12" t="n">
        <v>10101.493</v>
      </c>
      <c r="D97" s="12" t="n">
        <v>10233.86</v>
      </c>
      <c r="E97" s="12" t="n">
        <v>10996.051</v>
      </c>
      <c r="F97" s="12" t="n">
        <v>11071.37</v>
      </c>
      <c r="G97" s="12" t="n">
        <v>11176.786</v>
      </c>
      <c r="H97" s="12" t="n">
        <v>7656.239</v>
      </c>
      <c r="I97" s="12" t="n">
        <v>7477.567</v>
      </c>
      <c r="J97" s="12" t="n">
        <v>8530.406000000001</v>
      </c>
      <c r="K97" s="12" t="n">
        <v>9272.522999999999</v>
      </c>
      <c r="L97" s="12" t="n">
        <v>10996.051</v>
      </c>
    </row>
    <row r="98">
      <c r="A98" s="18" t="inlineStr">
        <is>
          <t>매입채무</t>
        </is>
      </c>
      <c r="C98" s="20" t="n">
        <v>458.664</v>
      </c>
      <c r="D98" s="20" t="n">
        <v>647.463</v>
      </c>
      <c r="E98" s="20" t="n">
        <v>1200.265</v>
      </c>
      <c r="F98" s="20" t="n">
        <v>586.014</v>
      </c>
      <c r="G98" s="20" t="n">
        <v>533.532</v>
      </c>
      <c r="H98" s="20" t="n">
        <v>568.134</v>
      </c>
      <c r="I98" s="20" t="n">
        <v>422.123</v>
      </c>
      <c r="J98" s="20" t="n">
        <v>569.759</v>
      </c>
      <c r="K98" s="20" t="n">
        <v>557.465</v>
      </c>
      <c r="L98" s="20" t="n">
        <v>1200.265</v>
      </c>
    </row>
    <row r="99">
      <c r="A99" s="18" t="inlineStr">
        <is>
          <t>미지급금</t>
        </is>
      </c>
      <c r="C99" s="20" t="n">
        <v>182.641</v>
      </c>
      <c r="D99" s="20" t="n">
        <v>366.805</v>
      </c>
      <c r="E99" s="20" t="n">
        <v>225.721</v>
      </c>
      <c r="F99" s="20" t="n">
        <v>261.948</v>
      </c>
      <c r="G99" s="20" t="n">
        <v>176.321</v>
      </c>
      <c r="H99" s="20" t="n">
        <v>264.469</v>
      </c>
      <c r="I99" s="20" t="n">
        <v>189.019</v>
      </c>
      <c r="J99" s="20" t="n">
        <v>190.716</v>
      </c>
      <c r="K99" s="20" t="n">
        <v>205.029</v>
      </c>
      <c r="L99" s="20" t="n">
        <v>225.721</v>
      </c>
    </row>
    <row r="100">
      <c r="A100" s="18" t="inlineStr">
        <is>
          <t>1년 내 상환 장기차입금</t>
        </is>
      </c>
      <c r="I100" s="20" t="n">
        <v>0</v>
      </c>
      <c r="J100" s="20" t="n">
        <v>45.428</v>
      </c>
      <c r="K100" s="20" t="n">
        <v>0</v>
      </c>
    </row>
    <row r="101">
      <c r="A101" s="18" t="inlineStr">
        <is>
          <t>미지급법인세</t>
        </is>
      </c>
      <c r="C101" s="20" t="n">
        <v>260.911</v>
      </c>
      <c r="D101" s="20" t="n">
        <v>263.238</v>
      </c>
      <c r="E101" s="20" t="n">
        <v>359.988</v>
      </c>
      <c r="F101" s="20" t="n">
        <v>130.119</v>
      </c>
      <c r="G101" s="20" t="n">
        <v>301.288</v>
      </c>
      <c r="H101" s="20" t="n">
        <v>309.881</v>
      </c>
      <c r="I101" s="20" t="n">
        <v>66.502</v>
      </c>
      <c r="J101" s="20" t="n">
        <v>78.313</v>
      </c>
      <c r="K101" s="20" t="n">
        <v>194.835</v>
      </c>
      <c r="L101" s="20" t="n">
        <v>359.988</v>
      </c>
    </row>
    <row r="102">
      <c r="A102" s="18" t="inlineStr">
        <is>
          <t>미지급 소비세</t>
        </is>
      </c>
      <c r="C102" s="20" t="n">
        <v>106.554</v>
      </c>
      <c r="D102" s="20" t="n">
        <v>75.679</v>
      </c>
      <c r="E102" s="20" t="n">
        <v>243.452</v>
      </c>
      <c r="F102" s="20" t="n">
        <v>103.248</v>
      </c>
      <c r="G102" s="20" t="n">
        <v>54.179</v>
      </c>
      <c r="H102" s="20" t="n">
        <v>155.473</v>
      </c>
      <c r="I102" s="20" t="n">
        <v>0</v>
      </c>
      <c r="J102" s="20" t="n">
        <v>52.331</v>
      </c>
      <c r="K102" s="20" t="n">
        <v>93.804</v>
      </c>
      <c r="L102" s="20" t="n">
        <v>243.452</v>
      </c>
    </row>
    <row r="103">
      <c r="A103" s="18" t="inlineStr">
        <is>
          <t>선수금</t>
        </is>
      </c>
      <c r="H103" s="20" t="n">
        <v>0</v>
      </c>
    </row>
    <row r="104">
      <c r="A104" s="18" t="inlineStr">
        <is>
          <t>계약부채</t>
        </is>
      </c>
      <c r="C104" s="20" t="n">
        <v>2364.856</v>
      </c>
      <c r="D104" s="20" t="n">
        <v>2070.154</v>
      </c>
      <c r="E104" s="20" t="n">
        <v>1744.562</v>
      </c>
      <c r="F104" s="20" t="n">
        <v>2859.594</v>
      </c>
      <c r="G104" s="20" t="n">
        <v>2566.804</v>
      </c>
      <c r="H104" s="20" t="n">
        <v>1038.534</v>
      </c>
      <c r="I104" s="20" t="n">
        <v>1188.654</v>
      </c>
      <c r="J104" s="20" t="n">
        <v>1297.305</v>
      </c>
      <c r="K104" s="20" t="n">
        <v>1580.354</v>
      </c>
      <c r="L104" s="20" t="n">
        <v>1744.562</v>
      </c>
    </row>
    <row r="105">
      <c r="A105" s="18" t="inlineStr">
        <is>
          <t>상여충당금</t>
        </is>
      </c>
      <c r="C105" s="20" t="n">
        <v>296.735</v>
      </c>
      <c r="D105" s="20" t="n">
        <v>91.196</v>
      </c>
      <c r="E105" s="20" t="n">
        <v>276.524</v>
      </c>
      <c r="F105" s="20" t="n">
        <v>110.456</v>
      </c>
      <c r="G105" s="20" t="n">
        <v>324.43</v>
      </c>
      <c r="H105" s="20" t="n">
        <v>128.267</v>
      </c>
      <c r="I105" s="20" t="n">
        <v>142.612</v>
      </c>
      <c r="J105" s="20" t="n">
        <v>257.787</v>
      </c>
      <c r="K105" s="20" t="n">
        <v>263.349</v>
      </c>
      <c r="L105" s="20" t="n">
        <v>276.524</v>
      </c>
    </row>
    <row r="106">
      <c r="A106" s="18" t="inlineStr">
        <is>
          <t>임원 퇴직위로 충당금</t>
        </is>
      </c>
      <c r="C106" s="20" t="n">
        <v>0</v>
      </c>
      <c r="D106" s="20" t="n">
        <v>0</v>
      </c>
      <c r="E106" s="20" t="n">
        <v>0</v>
      </c>
      <c r="I106" s="20" t="n">
        <v>0</v>
      </c>
      <c r="J106" s="20" t="n">
        <v>14.154</v>
      </c>
      <c r="K106" s="20" t="n">
        <v>217.248</v>
      </c>
      <c r="L106" s="20" t="n">
        <v>0</v>
      </c>
    </row>
    <row r="107">
      <c r="A107" s="18" t="inlineStr">
        <is>
          <t>완성공사 보증 충당금</t>
        </is>
      </c>
      <c r="H107" s="20" t="n">
        <v>0</v>
      </c>
      <c r="I107" s="20" t="n">
        <v>50.15</v>
      </c>
      <c r="J107" s="20" t="n">
        <v>0</v>
      </c>
    </row>
    <row r="108">
      <c r="A108" s="18" t="inlineStr">
        <is>
          <t>자산복구부채</t>
        </is>
      </c>
      <c r="H108" s="20" t="n">
        <v>0</v>
      </c>
      <c r="I108" s="20" t="n">
        <v>57.068</v>
      </c>
      <c r="J108" s="20" t="n">
        <v>0</v>
      </c>
    </row>
    <row r="109">
      <c r="A109" s="18" t="inlineStr">
        <is>
          <t>기타</t>
        </is>
      </c>
      <c r="C109" s="20" t="n">
        <v>57.754</v>
      </c>
      <c r="D109" s="20" t="n">
        <v>147.489</v>
      </c>
      <c r="E109" s="20" t="n">
        <v>126.082</v>
      </c>
      <c r="F109" s="20" t="n">
        <v>184.292</v>
      </c>
      <c r="G109" s="20" t="n">
        <v>66.476</v>
      </c>
      <c r="H109" s="20" t="n">
        <v>51.066</v>
      </c>
      <c r="I109" s="20" t="n">
        <v>49.787</v>
      </c>
      <c r="J109" s="20" t="n">
        <v>129.449</v>
      </c>
      <c r="K109" s="20" t="n">
        <v>133.326</v>
      </c>
      <c r="L109" s="20" t="n">
        <v>126.082</v>
      </c>
    </row>
    <row r="110">
      <c r="A110" s="9" t="inlineStr">
        <is>
          <t>유동부채 합계</t>
        </is>
      </c>
      <c r="C110" s="12" t="n">
        <v>3728.118</v>
      </c>
      <c r="D110" s="12" t="n">
        <v>3662.028</v>
      </c>
      <c r="E110" s="12" t="n">
        <v>4176.598</v>
      </c>
      <c r="F110" s="12" t="n">
        <v>4235.675</v>
      </c>
      <c r="G110" s="12" t="n">
        <v>4023.033</v>
      </c>
      <c r="H110" s="12" t="n">
        <v>2515.827</v>
      </c>
      <c r="I110" s="12" t="n">
        <v>2165.917</v>
      </c>
      <c r="J110" s="12" t="n">
        <v>2635.246</v>
      </c>
      <c r="K110" s="12" t="n">
        <v>3245.413</v>
      </c>
      <c r="L110" s="12" t="n">
        <v>4176.598</v>
      </c>
    </row>
    <row r="111">
      <c r="A111" s="18" t="inlineStr">
        <is>
          <t>퇴직급여부채</t>
        </is>
      </c>
      <c r="C111" s="20" t="n">
        <v>850.783</v>
      </c>
      <c r="D111" s="20" t="n">
        <v>867.949</v>
      </c>
      <c r="E111" s="20" t="n">
        <v>826.297</v>
      </c>
      <c r="F111" s="20" t="n">
        <v>856.197</v>
      </c>
      <c r="G111" s="20" t="n">
        <v>881.008</v>
      </c>
      <c r="H111" s="20" t="n">
        <v>565.6420000000001</v>
      </c>
      <c r="I111" s="20" t="n">
        <v>548.519</v>
      </c>
      <c r="J111" s="20" t="n">
        <v>630.5599999999999</v>
      </c>
      <c r="K111" s="20" t="n">
        <v>794.292</v>
      </c>
      <c r="L111" s="20" t="n">
        <v>826.297</v>
      </c>
    </row>
    <row r="112">
      <c r="A112" s="18" t="inlineStr">
        <is>
          <t>임원 퇴직위로 충당금</t>
        </is>
      </c>
      <c r="I112" s="20" t="n">
        <v>0</v>
      </c>
      <c r="J112" s="20" t="n">
        <v>214.998</v>
      </c>
      <c r="K112" s="20" t="n">
        <v>0</v>
      </c>
    </row>
    <row r="113">
      <c r="A113" s="18" t="inlineStr">
        <is>
          <t>자산복구부채</t>
        </is>
      </c>
      <c r="C113" s="20" t="n">
        <v>115.368</v>
      </c>
      <c r="D113" s="20" t="n">
        <v>115.612</v>
      </c>
      <c r="E113" s="20" t="n">
        <v>115.856</v>
      </c>
      <c r="F113" s="20" t="n">
        <v>116.102</v>
      </c>
      <c r="G113" s="20" t="n">
        <v>116.349</v>
      </c>
      <c r="H113" s="20" t="n">
        <v>77.76000000000001</v>
      </c>
      <c r="I113" s="20" t="n">
        <v>37.529</v>
      </c>
      <c r="J113" s="20" t="n">
        <v>107.049</v>
      </c>
      <c r="K113" s="20" t="n">
        <v>114.879</v>
      </c>
      <c r="L113" s="20" t="n">
        <v>115.856</v>
      </c>
    </row>
    <row r="114">
      <c r="A114" s="18" t="inlineStr">
        <is>
          <t>기타</t>
        </is>
      </c>
      <c r="I114" s="20" t="n">
        <v>0</v>
      </c>
      <c r="J114" s="20" t="n">
        <v>19.705</v>
      </c>
      <c r="K114" s="20" t="n">
        <v>0</v>
      </c>
    </row>
    <row r="115">
      <c r="A115" s="9" t="inlineStr">
        <is>
          <t>비유동부채 합계</t>
        </is>
      </c>
      <c r="C115" s="12" t="n">
        <v>966.151</v>
      </c>
      <c r="D115" s="12" t="n">
        <v>983.561</v>
      </c>
      <c r="E115" s="12" t="n">
        <v>942.154</v>
      </c>
      <c r="F115" s="12" t="n">
        <v>972.3</v>
      </c>
      <c r="G115" s="12" t="n">
        <v>997.357</v>
      </c>
      <c r="H115" s="12" t="n">
        <v>643.402</v>
      </c>
      <c r="I115" s="12" t="n">
        <v>586.049</v>
      </c>
      <c r="J115" s="12" t="n">
        <v>972.313</v>
      </c>
      <c r="K115" s="12" t="n">
        <v>909.172</v>
      </c>
      <c r="L115" s="12" t="n">
        <v>942.154</v>
      </c>
    </row>
    <row r="116">
      <c r="A116" s="9" t="inlineStr">
        <is>
          <t>부채 합계</t>
        </is>
      </c>
      <c r="C116" s="12" t="n">
        <v>4694.27</v>
      </c>
      <c r="D116" s="12" t="n">
        <v>4645.589</v>
      </c>
      <c r="E116" s="12" t="n">
        <v>5118.752</v>
      </c>
      <c r="F116" s="12" t="n">
        <v>5207.975</v>
      </c>
      <c r="G116" s="12" t="n">
        <v>5020.39</v>
      </c>
      <c r="H116" s="12" t="n">
        <v>3159.23</v>
      </c>
      <c r="I116" s="12" t="n">
        <v>2751.967</v>
      </c>
      <c r="J116" s="12" t="n">
        <v>3607.559</v>
      </c>
      <c r="K116" s="12" t="n">
        <v>4154.585</v>
      </c>
      <c r="L116" s="12" t="n">
        <v>5118.752</v>
      </c>
    </row>
    <row r="117">
      <c r="A117" s="18" t="inlineStr">
        <is>
          <t>자본금</t>
        </is>
      </c>
      <c r="C117" s="20" t="n">
        <v>738.756</v>
      </c>
      <c r="D117" s="20" t="n">
        <v>738.756</v>
      </c>
      <c r="E117" s="20" t="n">
        <v>738.756</v>
      </c>
      <c r="F117" s="20" t="n">
        <v>738.756</v>
      </c>
      <c r="G117" s="20" t="n">
        <v>738.756</v>
      </c>
      <c r="H117" s="20" t="n">
        <v>738.756</v>
      </c>
      <c r="I117" s="20" t="n">
        <v>738.756</v>
      </c>
      <c r="J117" s="20" t="n">
        <v>738.756</v>
      </c>
      <c r="K117" s="20" t="n">
        <v>738.756</v>
      </c>
      <c r="L117" s="20" t="n">
        <v>738.756</v>
      </c>
    </row>
    <row r="118">
      <c r="A118" s="18" t="inlineStr">
        <is>
          <t>자본잉여금</t>
        </is>
      </c>
      <c r="C118" s="20" t="n">
        <v>668.756</v>
      </c>
      <c r="D118" s="20" t="n">
        <v>668.756</v>
      </c>
      <c r="E118" s="20" t="n">
        <v>670.372</v>
      </c>
      <c r="F118" s="20" t="n">
        <v>670.372</v>
      </c>
      <c r="G118" s="20" t="n">
        <v>668.756</v>
      </c>
      <c r="H118" s="20" t="n">
        <v>668.756</v>
      </c>
      <c r="I118" s="20" t="n">
        <v>668.756</v>
      </c>
      <c r="J118" s="20" t="n">
        <v>668.756</v>
      </c>
      <c r="K118" s="20" t="n">
        <v>668.756</v>
      </c>
      <c r="L118" s="20" t="n">
        <v>670.372</v>
      </c>
    </row>
    <row r="119">
      <c r="A119" s="18" t="inlineStr">
        <is>
          <t>이익잉여금</t>
        </is>
      </c>
      <c r="C119" s="20" t="n">
        <v>4268.763</v>
      </c>
      <c r="D119" s="20" t="n">
        <v>4448.916</v>
      </c>
      <c r="E119" s="20" t="n">
        <v>4743.64</v>
      </c>
      <c r="F119" s="20" t="n">
        <v>4729.181</v>
      </c>
      <c r="G119" s="20" t="n">
        <v>5012.564</v>
      </c>
      <c r="H119" s="20" t="n">
        <v>3456.126</v>
      </c>
      <c r="I119" s="20" t="n">
        <v>3686.001</v>
      </c>
      <c r="J119" s="20" t="n">
        <v>3847.656</v>
      </c>
      <c r="K119" s="20" t="n">
        <v>3999.325</v>
      </c>
      <c r="L119" s="20" t="n">
        <v>4743.64</v>
      </c>
    </row>
    <row r="120">
      <c r="A120" s="18" t="inlineStr">
        <is>
          <t>자기주식</t>
        </is>
      </c>
      <c r="C120" s="20" t="n">
        <v>-299.912</v>
      </c>
      <c r="D120" s="20" t="n">
        <v>-299.912</v>
      </c>
      <c r="E120" s="20" t="n">
        <v>-299.912</v>
      </c>
      <c r="F120" s="20" t="n">
        <v>-299.912</v>
      </c>
      <c r="G120" s="20" t="n">
        <v>-276.072</v>
      </c>
      <c r="H120" s="20" t="n">
        <v>-398.654</v>
      </c>
      <c r="I120" s="20" t="n">
        <v>-398.698</v>
      </c>
      <c r="J120" s="20" t="n">
        <v>-362.887</v>
      </c>
      <c r="K120" s="20" t="n">
        <v>-320.25</v>
      </c>
      <c r="L120" s="20" t="n">
        <v>-299.912</v>
      </c>
    </row>
    <row r="121">
      <c r="A121" s="9" t="inlineStr">
        <is>
          <t>주주자본 합계</t>
        </is>
      </c>
      <c r="C121" s="12" t="n">
        <v>5376.362</v>
      </c>
      <c r="D121" s="12" t="n">
        <v>5556.516</v>
      </c>
      <c r="E121" s="12" t="n">
        <v>5852.856</v>
      </c>
      <c r="F121" s="12" t="n">
        <v>5838.397</v>
      </c>
      <c r="G121" s="12" t="n">
        <v>6144.005</v>
      </c>
      <c r="H121" s="12" t="n">
        <v>4464.983</v>
      </c>
      <c r="I121" s="12" t="n">
        <v>4694.815</v>
      </c>
      <c r="J121" s="12" t="n">
        <v>4892.282</v>
      </c>
      <c r="K121" s="12" t="n">
        <v>5086.587</v>
      </c>
      <c r="L121" s="12" t="n">
        <v>5852.856</v>
      </c>
    </row>
    <row r="122">
      <c r="A122" s="18" t="inlineStr">
        <is>
          <t>기타유가증권 평가차액</t>
        </is>
      </c>
      <c r="C122" s="20" t="n">
        <v>0.059</v>
      </c>
      <c r="D122" s="20" t="n">
        <v>0.5639999999999999</v>
      </c>
      <c r="E122" s="20" t="n">
        <v>0.635</v>
      </c>
      <c r="F122" s="20" t="n">
        <v>0.837</v>
      </c>
      <c r="G122" s="20" t="n">
        <v>0.8110000000000001</v>
      </c>
      <c r="I122" s="20" t="n">
        <v>0</v>
      </c>
      <c r="J122" s="20" t="n">
        <v>-0.046</v>
      </c>
      <c r="K122" s="20" t="n">
        <v>-0.283</v>
      </c>
      <c r="L122" s="20" t="n">
        <v>0.635</v>
      </c>
    </row>
    <row r="123">
      <c r="A123" s="18" t="inlineStr">
        <is>
          <t>해외사업환산조정</t>
        </is>
      </c>
      <c r="C123" s="20" t="n">
        <v>30.8</v>
      </c>
      <c r="D123" s="20" t="n">
        <v>31.189</v>
      </c>
      <c r="E123" s="20" t="n">
        <v>32.022</v>
      </c>
      <c r="F123" s="20" t="n">
        <v>32.374</v>
      </c>
      <c r="G123" s="20" t="n">
        <v>32.732</v>
      </c>
      <c r="H123" s="20" t="n">
        <v>32.025</v>
      </c>
      <c r="I123" s="20" t="n">
        <v>30.785</v>
      </c>
      <c r="J123" s="20" t="n">
        <v>30.61</v>
      </c>
      <c r="K123" s="20" t="n">
        <v>31.633</v>
      </c>
      <c r="L123" s="20" t="n">
        <v>32.022</v>
      </c>
    </row>
    <row r="124">
      <c r="A124" s="18" t="inlineStr">
        <is>
          <t>퇴직급여 조정누계액</t>
        </is>
      </c>
      <c r="E124" s="20" t="n">
        <v>-8.215</v>
      </c>
      <c r="F124" s="20" t="n">
        <v>-8.215</v>
      </c>
      <c r="G124" s="20" t="n">
        <v>-21.152</v>
      </c>
      <c r="K124" s="20" t="n">
        <v>0</v>
      </c>
      <c r="L124" s="20" t="n">
        <v>-8.215</v>
      </c>
    </row>
    <row r="125">
      <c r="A125" s="18" t="inlineStr">
        <is>
          <t>기타포괄손익누계액 합계</t>
        </is>
      </c>
      <c r="C125" s="20" t="n">
        <v>30.86</v>
      </c>
      <c r="D125" s="20" t="n">
        <v>31.754</v>
      </c>
      <c r="E125" s="20" t="n">
        <v>24.442</v>
      </c>
      <c r="F125" s="20" t="n">
        <v>24.997</v>
      </c>
      <c r="G125" s="20" t="n">
        <v>12.39</v>
      </c>
      <c r="H125" s="20" t="n">
        <v>32.025</v>
      </c>
      <c r="I125" s="20" t="n">
        <v>30.785</v>
      </c>
      <c r="J125" s="20" t="n">
        <v>30.564</v>
      </c>
      <c r="K125" s="20" t="n">
        <v>31.35</v>
      </c>
      <c r="L125" s="20" t="n">
        <v>24.442</v>
      </c>
    </row>
    <row r="126">
      <c r="A126" s="9" t="inlineStr">
        <is>
          <t>순자산 합계</t>
        </is>
      </c>
      <c r="C126" s="12" t="n">
        <v>5407.223</v>
      </c>
      <c r="D126" s="12" t="n">
        <v>5588.27</v>
      </c>
      <c r="E126" s="12" t="n">
        <v>5877.299</v>
      </c>
      <c r="F126" s="12" t="n">
        <v>5863.395</v>
      </c>
      <c r="G126" s="12" t="n">
        <v>6156.396</v>
      </c>
      <c r="H126" s="12" t="n">
        <v>4497.009</v>
      </c>
      <c r="I126" s="12" t="n">
        <v>4725.6</v>
      </c>
      <c r="J126" s="12" t="n">
        <v>4922.847</v>
      </c>
      <c r="K126" s="12" t="n">
        <v>5117.937</v>
      </c>
      <c r="L126" s="12" t="n">
        <v>5877.299</v>
      </c>
    </row>
    <row r="127">
      <c r="A127" s="9" t="inlineStr">
        <is>
          <t>부채·순자산 합계</t>
        </is>
      </c>
      <c r="C127" s="12" t="n">
        <v>10101.493</v>
      </c>
      <c r="D127" s="12" t="n">
        <v>10233.86</v>
      </c>
      <c r="E127" s="12" t="n">
        <v>10996.051</v>
      </c>
      <c r="F127" s="12" t="n">
        <v>11071.37</v>
      </c>
      <c r="G127" s="12" t="n">
        <v>11176.786</v>
      </c>
      <c r="H127" s="12" t="n">
        <v>7656.239</v>
      </c>
      <c r="I127" s="12" t="n">
        <v>7477.567</v>
      </c>
      <c r="J127" s="12" t="n">
        <v>8530.406000000001</v>
      </c>
      <c r="K127" s="12" t="n">
        <v>9272.522999999999</v>
      </c>
      <c r="L127" s="12" t="n">
        <v>10996.051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4" customWidth="1" min="12" max="12"/>
  </cols>
  <sheetData>
    <row r="1">
      <c r="A1" s="50" t="inlineStr">
        <is>
          <t>NTT데이터인트라마트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this_quarter · 1H_FY27(26.4~9)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</row>
    <row r="5">
      <c r="A5" s="53" t="inlineStr">
        <is>
          <t>항목</t>
        </is>
      </c>
      <c r="B5" s="53" t="inlineStr">
        <is>
          <t>값</t>
        </is>
      </c>
      <c r="L5" s="53" t="inlineStr">
        <is>
          <t>출처</t>
        </is>
      </c>
    </row>
    <row r="6">
      <c r="A6" s="54" t="inlineStr">
        <is>
          <t>매출</t>
        </is>
      </c>
      <c r="B6" s="55" t="n">
        <v>75.62</v>
      </c>
      <c r="L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29.66</v>
      </c>
    </row>
    <row r="8">
      <c r="A8" s="54" t="inlineStr">
        <is>
          <t>sga</t>
        </is>
      </c>
      <c r="B8" s="55" t="n">
        <v>21.38</v>
      </c>
    </row>
    <row r="9">
      <c r="A9" s="54" t="inlineStr">
        <is>
          <t>영업이익</t>
        </is>
      </c>
      <c r="B9" s="55" t="n">
        <v>8.289999999999999</v>
      </c>
    </row>
    <row r="10">
      <c r="A10" s="54" t="inlineStr">
        <is>
          <t>ordinary</t>
        </is>
      </c>
      <c r="B10" s="55" t="n">
        <v>8.390000000000001</v>
      </c>
    </row>
    <row r="11">
      <c r="A11" s="54" t="inlineStr">
        <is>
          <t>pbt</t>
        </is>
      </c>
      <c r="B11" s="55" t="n">
        <v>8.75</v>
      </c>
    </row>
    <row r="12">
      <c r="A12" s="54" t="inlineStr">
        <is>
          <t>tax</t>
        </is>
      </c>
      <c r="B12" s="55" t="n">
        <v>2.83</v>
      </c>
    </row>
    <row r="13">
      <c r="A13" s="54" t="inlineStr">
        <is>
          <t>순이익</t>
        </is>
      </c>
      <c r="B13" s="55" t="n">
        <v>5.92</v>
      </c>
    </row>
    <row r="14">
      <c r="A14" s="54" t="inlineStr">
        <is>
          <t>EPS</t>
        </is>
      </c>
      <c r="B14" s="55" t="n">
        <v>121.59</v>
      </c>
    </row>
    <row r="16">
      <c r="A16" s="52" t="inlineStr">
        <is>
          <t>this_quarter · 1H_FY26(25.4~9)</t>
        </is>
      </c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</row>
    <row r="17">
      <c r="A17" s="53" t="inlineStr">
        <is>
          <t>항목</t>
        </is>
      </c>
      <c r="B17" s="53" t="inlineStr">
        <is>
          <t>값</t>
        </is>
      </c>
      <c r="L17" s="53" t="inlineStr">
        <is>
          <t>출처</t>
        </is>
      </c>
    </row>
    <row r="18">
      <c r="A18" s="54" t="inlineStr">
        <is>
          <t>매출</t>
        </is>
      </c>
      <c r="B18" s="55" t="n">
        <v>64.26000000000001</v>
      </c>
      <c r="L18" s="56" t="inlineStr">
        <is>
          <t>2단계 보고서 자료(회사 설명회 자료·공시)</t>
        </is>
      </c>
    </row>
    <row r="19">
      <c r="A19" s="54" t="inlineStr">
        <is>
          <t>gp</t>
        </is>
      </c>
      <c r="B19" s="55" t="n">
        <v>26.41</v>
      </c>
    </row>
    <row r="20">
      <c r="A20" s="54" t="inlineStr">
        <is>
          <t>sga</t>
        </is>
      </c>
      <c r="B20" s="55" t="n">
        <v>19.56</v>
      </c>
    </row>
    <row r="21">
      <c r="A21" s="54" t="inlineStr">
        <is>
          <t>영업이익</t>
        </is>
      </c>
      <c r="B21" s="55" t="n">
        <v>6.84</v>
      </c>
    </row>
    <row r="22">
      <c r="A22" s="54" t="inlineStr">
        <is>
          <t>ordinary</t>
        </is>
      </c>
      <c r="B22" s="55" t="n">
        <v>6.98</v>
      </c>
    </row>
    <row r="23">
      <c r="A23" s="54" t="inlineStr">
        <is>
          <t>pbt</t>
        </is>
      </c>
      <c r="B23" s="55" t="n">
        <v>6.92</v>
      </c>
    </row>
    <row r="24">
      <c r="A24" s="54" t="inlineStr">
        <is>
          <t>tax</t>
        </is>
      </c>
      <c r="B24" s="55" t="n">
        <v>2.54</v>
      </c>
    </row>
    <row r="25">
      <c r="A25" s="54" t="inlineStr">
        <is>
          <t>순이익</t>
        </is>
      </c>
      <c r="B25" s="55" t="n">
        <v>4.38</v>
      </c>
    </row>
    <row r="26">
      <c r="A26" s="54" t="inlineStr">
        <is>
          <t>EPS</t>
        </is>
      </c>
      <c r="B26" s="55" t="n">
        <v>90</v>
      </c>
    </row>
    <row r="28">
      <c r="A28" s="52" t="inlineStr">
        <is>
          <t>this_quarter · 2Q_FY27_standalone(26.7~9)</t>
        </is>
      </c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</row>
    <row r="29">
      <c r="A29" s="53" t="inlineStr">
        <is>
          <t>항목</t>
        </is>
      </c>
      <c r="B29" s="53" t="inlineStr">
        <is>
          <t>값</t>
        </is>
      </c>
      <c r="L29" s="53" t="inlineStr">
        <is>
          <t>출처</t>
        </is>
      </c>
    </row>
    <row r="30">
      <c r="A30" s="54" t="inlineStr">
        <is>
          <t>매출</t>
        </is>
      </c>
      <c r="B30" s="55" t="n">
        <v>37.9</v>
      </c>
      <c r="L30" s="56" t="inlineStr">
        <is>
          <t>2단계 보고서 자료(회사 설명회 자료·공시)</t>
        </is>
      </c>
    </row>
    <row r="31">
      <c r="A31" s="54" t="inlineStr">
        <is>
          <t>gp</t>
        </is>
      </c>
      <c r="B31" s="55" t="n">
        <v>14.8</v>
      </c>
    </row>
    <row r="32">
      <c r="A32" s="54" t="inlineStr">
        <is>
          <t>sga</t>
        </is>
      </c>
      <c r="B32" s="55" t="n">
        <v>10.4</v>
      </c>
    </row>
    <row r="33">
      <c r="A33" s="54" t="inlineStr">
        <is>
          <t>영업이익</t>
        </is>
      </c>
      <c r="B33" s="55" t="n">
        <v>4.4</v>
      </c>
    </row>
    <row r="34">
      <c r="A34" s="54" t="inlineStr">
        <is>
          <t>pbt</t>
        </is>
      </c>
      <c r="B34" s="55" t="n">
        <v>4.4</v>
      </c>
    </row>
    <row r="35">
      <c r="A35" s="54" t="inlineStr">
        <is>
          <t>순이익</t>
        </is>
      </c>
      <c r="B35" s="55" t="n">
        <v>2.8</v>
      </c>
    </row>
    <row r="37">
      <c r="A37" s="52" t="inlineStr">
        <is>
          <t>this_quarter · 2Q_FY26_standalone(25.7~9)</t>
        </is>
      </c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>
      <c r="A38" s="53" t="inlineStr">
        <is>
          <t>항목</t>
        </is>
      </c>
      <c r="B38" s="53" t="inlineStr">
        <is>
          <t>값</t>
        </is>
      </c>
      <c r="L38" s="53" t="inlineStr">
        <is>
          <t>출처</t>
        </is>
      </c>
    </row>
    <row r="39">
      <c r="A39" s="54" t="inlineStr">
        <is>
          <t>매출</t>
        </is>
      </c>
      <c r="B39" s="55" t="n">
        <v>31.2</v>
      </c>
      <c r="L39" s="56" t="inlineStr">
        <is>
          <t>2단계 보고서 자료(회사 설명회 자료·공시)</t>
        </is>
      </c>
    </row>
    <row r="40">
      <c r="A40" s="54" t="inlineStr">
        <is>
          <t>영업이익</t>
        </is>
      </c>
      <c r="B40" s="55" t="n">
        <v>3.9</v>
      </c>
    </row>
    <row r="41">
      <c r="A41" s="54" t="inlineStr">
        <is>
          <t>순이익</t>
        </is>
      </c>
      <c r="B41" s="55" t="n">
        <v>2.3</v>
      </c>
    </row>
    <row r="43">
      <c r="A43" s="52" t="inlineStr">
        <is>
          <t>this quarter · nonop 1H FY27</t>
        </is>
      </c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</row>
    <row r="44">
      <c r="A44" s="53" t="inlineStr">
        <is>
          <t>항목</t>
        </is>
      </c>
      <c r="B44" s="53" t="inlineStr">
        <is>
          <t>값</t>
        </is>
      </c>
      <c r="L44" s="53" t="inlineStr">
        <is>
          <t>출처</t>
        </is>
      </c>
    </row>
    <row r="45">
      <c r="A45" s="54" t="inlineStr">
        <is>
          <t>영업외수익</t>
        </is>
      </c>
      <c r="B45" s="55" t="n">
        <v>0.111</v>
      </c>
      <c r="L45" s="56" t="inlineStr">
        <is>
          <t>2단계 보고서 자료(회사 설명회 자료·공시)</t>
        </is>
      </c>
    </row>
    <row r="46">
      <c r="A46" s="54" t="inlineStr">
        <is>
          <t>이자수익</t>
        </is>
      </c>
      <c r="B46" s="55" t="n">
        <v>0.016</v>
      </c>
    </row>
    <row r="47">
      <c r="A47" s="54" t="inlineStr">
        <is>
          <t>배당수익</t>
        </is>
      </c>
      <c r="B47" s="55" t="n">
        <v>0.035</v>
      </c>
    </row>
    <row r="48">
      <c r="A48" s="54" t="inlineStr">
        <is>
          <t>지분법이익</t>
        </is>
      </c>
      <c r="B48" s="55" t="n">
        <v>0.038</v>
      </c>
    </row>
    <row r="49">
      <c r="A49" s="54" t="inlineStr">
        <is>
          <t>기타</t>
        </is>
      </c>
      <c r="B49" s="55" t="n">
        <v>0.023</v>
      </c>
    </row>
    <row r="50">
      <c r="A50" s="54" t="inlineStr">
        <is>
          <t>영업외비용</t>
        </is>
      </c>
      <c r="B50" s="55" t="n">
        <v>0.01</v>
      </c>
    </row>
    <row r="51">
      <c r="A51" s="54" t="inlineStr">
        <is>
          <t>고정자산매각손</t>
        </is>
      </c>
      <c r="B51" s="55" t="n">
        <v>0.01</v>
      </c>
    </row>
    <row r="52">
      <c r="A52" s="54" t="inlineStr">
        <is>
          <t>경상이익</t>
        </is>
      </c>
      <c r="B52" s="55" t="n">
        <v>8.390000000000001</v>
      </c>
    </row>
    <row r="53">
      <c r="A53" s="54" t="inlineStr">
        <is>
          <t>특별이익(투자유가증권매각익)</t>
        </is>
      </c>
      <c r="B53" s="55" t="n">
        <v>0.36</v>
      </c>
    </row>
    <row r="54">
      <c r="A54" s="54" t="inlineStr">
        <is>
          <t>세전</t>
        </is>
      </c>
      <c r="B54" s="55" t="n">
        <v>8.75</v>
      </c>
    </row>
    <row r="55">
      <c r="A55" s="54" t="inlineStr">
        <is>
          <t>법인세</t>
        </is>
      </c>
      <c r="B55" s="55" t="n">
        <v>2.83</v>
      </c>
    </row>
    <row r="57">
      <c r="A57" s="52" t="inlineStr">
        <is>
          <t>this quarter · nonop 1H FY26</t>
        </is>
      </c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</row>
    <row r="58">
      <c r="A58" s="53" t="inlineStr">
        <is>
          <t>항목</t>
        </is>
      </c>
      <c r="B58" s="53" t="inlineStr">
        <is>
          <t>값</t>
        </is>
      </c>
      <c r="L58" s="53" t="inlineStr">
        <is>
          <t>출처</t>
        </is>
      </c>
    </row>
    <row r="59">
      <c r="A59" s="54" t="inlineStr">
        <is>
          <t>영업외수익</t>
        </is>
      </c>
      <c r="B59" s="55" t="n">
        <v>0.134</v>
      </c>
      <c r="L59" s="56" t="inlineStr">
        <is>
          <t>2단계 보고서 자료(회사 설명회 자료·공시)</t>
        </is>
      </c>
    </row>
    <row r="60">
      <c r="A60" s="54" t="inlineStr">
        <is>
          <t>이자</t>
        </is>
      </c>
      <c r="B60" s="55" t="n">
        <v>0.012</v>
      </c>
    </row>
    <row r="61">
      <c r="A61" s="54" t="inlineStr">
        <is>
          <t>배당</t>
        </is>
      </c>
      <c r="B61" s="55" t="n">
        <v>0.045</v>
      </c>
    </row>
    <row r="62">
      <c r="A62" s="54" t="inlineStr">
        <is>
          <t>지분법</t>
        </is>
      </c>
      <c r="B62" s="55" t="n">
        <v>0.016</v>
      </c>
    </row>
    <row r="63">
      <c r="A63" s="54" t="inlineStr">
        <is>
          <t>보조금</t>
        </is>
      </c>
      <c r="B63" s="55" t="n">
        <v>0.047</v>
      </c>
    </row>
    <row r="64">
      <c r="A64" s="54" t="inlineStr">
        <is>
          <t>기타</t>
        </is>
      </c>
      <c r="B64" s="55" t="n">
        <v>0.013</v>
      </c>
    </row>
    <row r="65">
      <c r="A65" s="54" t="inlineStr">
        <is>
          <t>영업외비용</t>
        </is>
      </c>
      <c r="B65" s="55" t="n">
        <v>0.001</v>
      </c>
    </row>
    <row r="66">
      <c r="A66" s="54" t="inlineStr">
        <is>
          <t>경상</t>
        </is>
      </c>
      <c r="B66" s="55" t="n">
        <v>6.98</v>
      </c>
    </row>
    <row r="67">
      <c r="A67" s="54" t="inlineStr">
        <is>
          <t>특별손실(관계사주식매각손)</t>
        </is>
      </c>
      <c r="B67" s="55" t="n">
        <v>0.06</v>
      </c>
    </row>
    <row r="68">
      <c r="A68" s="54" t="inlineStr">
        <is>
          <t>세전</t>
        </is>
      </c>
      <c r="B68" s="55" t="n">
        <v>6.92</v>
      </c>
    </row>
    <row r="69">
      <c r="A69" s="54" t="inlineStr">
        <is>
          <t>법인세</t>
        </is>
      </c>
      <c r="B69" s="55" t="n">
        <v>2.54</v>
      </c>
    </row>
    <row r="71">
      <c r="A71" s="52" t="inlineStr">
        <is>
          <t>부문별 quarterly</t>
        </is>
      </c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</row>
    <row r="72">
      <c r="A72" s="53" t="inlineStr">
        <is>
          <t>항목</t>
        </is>
      </c>
      <c r="B72" s="53" t="inlineStr">
        <is>
          <t>2025.1Q</t>
        </is>
      </c>
      <c r="C72" s="53" t="inlineStr">
        <is>
          <t>2025.2Q</t>
        </is>
      </c>
      <c r="D72" s="53" t="inlineStr">
        <is>
          <t>2025.3Q</t>
        </is>
      </c>
      <c r="E72" s="53" t="inlineStr">
        <is>
          <t>2025.4Q</t>
        </is>
      </c>
      <c r="F72" s="53" t="inlineStr">
        <is>
          <t>2026.1Q</t>
        </is>
      </c>
      <c r="G72" s="53" t="inlineStr">
        <is>
          <t>2026.2Q</t>
        </is>
      </c>
      <c r="H72" s="53" t="inlineStr">
        <is>
          <t>2026.3Q</t>
        </is>
      </c>
      <c r="I72" s="53" t="inlineStr">
        <is>
          <t>2026.4Q</t>
        </is>
      </c>
      <c r="J72" s="53" t="inlineStr">
        <is>
          <t>2027.1Q</t>
        </is>
      </c>
      <c r="K72" s="53" t="inlineStr">
        <is>
          <t>2027.2Q</t>
        </is>
      </c>
      <c r="L72" s="53" t="inlineStr">
        <is>
          <t>출처</t>
        </is>
      </c>
    </row>
    <row r="73">
      <c r="A73" s="54" t="inlineStr">
        <is>
          <t>소프트웨어_매출</t>
        </is>
      </c>
      <c r="B73" s="55" t="n">
        <v>12.2</v>
      </c>
      <c r="C73" s="55" t="n">
        <v>12.8</v>
      </c>
      <c r="D73" s="55" t="n">
        <v>12.7</v>
      </c>
      <c r="E73" s="55" t="n">
        <v>14.7</v>
      </c>
      <c r="F73" s="55" t="n">
        <v>14.9</v>
      </c>
      <c r="G73" s="55" t="n">
        <v>14.8</v>
      </c>
      <c r="H73" s="55" t="n">
        <v>15.7</v>
      </c>
      <c r="I73" s="55" t="n">
        <v>17.4</v>
      </c>
      <c r="J73" s="55" t="n">
        <v>16.2</v>
      </c>
      <c r="K73" s="55" t="n">
        <v>16.4</v>
      </c>
      <c r="L73" s="56" t="inlineStr">
        <is>
          <t>누계 차분(계산). 외부 고객 매출. 부문이익은 부문간 거래 포함 기준. FY26 감가상각 9.34(소프트 8.05), 영업권 상각 0.77/년. FY26 최대 고객 관동전기보안협회 26.0억(대부분 서비스)·FY25 14.9억</t>
        </is>
      </c>
    </row>
    <row r="74">
      <c r="A74" s="54" t="inlineStr">
        <is>
          <t>소프트웨어_부문이익</t>
        </is>
      </c>
      <c r="B74" s="55" t="n">
        <v>1.91</v>
      </c>
      <c r="C74" s="55" t="n">
        <v>3.01</v>
      </c>
      <c r="D74" s="55" t="n">
        <v>1.95</v>
      </c>
      <c r="E74" s="55" t="n">
        <v>3.35</v>
      </c>
      <c r="F74" s="55" t="n">
        <v>4.2</v>
      </c>
      <c r="G74" s="55" t="n">
        <v>4.85</v>
      </c>
      <c r="H74" s="55" t="n">
        <v>3.56</v>
      </c>
      <c r="I74" s="55" t="n">
        <v>4.04</v>
      </c>
      <c r="J74" s="55" t="n">
        <v>4.96</v>
      </c>
      <c r="K74" s="55" t="n">
        <v>5.19</v>
      </c>
    </row>
    <row r="75">
      <c r="A75" s="54" t="inlineStr">
        <is>
          <t>서비스_매출</t>
        </is>
      </c>
      <c r="B75" s="55" t="n">
        <v>14.5</v>
      </c>
      <c r="C75" s="55" t="n">
        <v>15.5</v>
      </c>
      <c r="D75" s="55" t="n">
        <v>17</v>
      </c>
      <c r="E75" s="55" t="n">
        <v>18.8</v>
      </c>
      <c r="F75" s="55" t="n">
        <v>18.2</v>
      </c>
      <c r="G75" s="55" t="n">
        <v>16.4</v>
      </c>
      <c r="H75" s="55" t="n">
        <v>23.3</v>
      </c>
      <c r="I75" s="55" t="n">
        <v>25.8</v>
      </c>
      <c r="J75" s="55" t="n">
        <v>21.5</v>
      </c>
      <c r="K75" s="55" t="n">
        <v>21.4</v>
      </c>
    </row>
    <row r="76">
      <c r="A76" s="54" t="inlineStr">
        <is>
          <t>서비스_부문이익</t>
        </is>
      </c>
      <c r="B76" s="55" t="n">
        <v>1.13</v>
      </c>
      <c r="C76" s="55" t="n">
        <v>2.1</v>
      </c>
      <c r="D76" s="55" t="n">
        <v>2.19</v>
      </c>
      <c r="E76" s="55" t="n">
        <v>3.35</v>
      </c>
      <c r="F76" s="55" t="n">
        <v>2.26</v>
      </c>
      <c r="G76" s="55" t="n">
        <v>2.36</v>
      </c>
      <c r="H76" s="55" t="n">
        <v>2.8</v>
      </c>
      <c r="I76" s="55" t="n">
        <v>3.72</v>
      </c>
      <c r="J76" s="55" t="n">
        <v>2.92</v>
      </c>
      <c r="K76" s="55" t="n">
        <v>2.9</v>
      </c>
    </row>
    <row r="78">
      <c r="A78" s="52" t="inlineStr">
        <is>
          <t>dps</t>
        </is>
      </c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</row>
    <row r="79">
      <c r="A79" s="53" t="inlineStr">
        <is>
          <t>항목</t>
        </is>
      </c>
      <c r="B79" s="53" t="inlineStr">
        <is>
          <t>값</t>
        </is>
      </c>
      <c r="L79" s="53" t="inlineStr">
        <is>
          <t>출처</t>
        </is>
      </c>
    </row>
    <row r="80">
      <c r="A80" s="54" t="inlineStr">
        <is>
          <t>FY21</t>
        </is>
      </c>
      <c r="B80" s="57" t="n">
        <v>11</v>
      </c>
      <c r="L80" s="56" t="inlineStr">
        <is>
          <t>2단계 보고서 자료(회사 설명회 자료·공시)</t>
        </is>
      </c>
    </row>
    <row r="81">
      <c r="A81" s="54" t="inlineStr">
        <is>
          <t>FY22</t>
        </is>
      </c>
      <c r="B81" s="57" t="n">
        <v>35</v>
      </c>
    </row>
    <row r="82">
      <c r="A82" s="54" t="inlineStr">
        <is>
          <t>FY23</t>
        </is>
      </c>
      <c r="B82" s="57" t="n">
        <v>35</v>
      </c>
    </row>
    <row r="83">
      <c r="A83" s="54" t="inlineStr">
        <is>
          <t>FY24</t>
        </is>
      </c>
      <c r="B83" s="57" t="n">
        <v>35</v>
      </c>
    </row>
    <row r="84">
      <c r="A84" s="54" t="inlineStr">
        <is>
          <t>FY25</t>
        </is>
      </c>
      <c r="B84" s="57" t="n">
        <v>35</v>
      </c>
    </row>
    <row r="85">
      <c r="A85" s="54" t="inlineStr">
        <is>
          <t>FY26</t>
        </is>
      </c>
      <c r="B85" s="57" t="n">
        <v>66</v>
      </c>
    </row>
    <row r="86">
      <c r="A86" s="54" t="inlineStr">
        <is>
          <t>FY27 guide</t>
        </is>
      </c>
      <c r="B86" s="57" t="n">
        <v>75</v>
      </c>
    </row>
    <row r="88">
      <c r="A88" s="52" t="inlineStr">
        <is>
          <t>가이던스 history</t>
        </is>
      </c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A89" s="53" t="inlineStr">
        <is>
          <t>항목</t>
        </is>
      </c>
      <c r="B89" s="53" t="inlineStr">
        <is>
          <t>first</t>
        </is>
      </c>
      <c r="C89" s="53" t="inlineStr">
        <is>
          <t>실적</t>
        </is>
      </c>
      <c r="L89" s="53" t="inlineStr">
        <is>
          <t>출처</t>
        </is>
      </c>
    </row>
    <row r="90">
      <c r="A90" s="54" t="inlineStr">
        <is>
          <t>FY3/22</t>
        </is>
      </c>
      <c r="B90" s="58" t="inlineStr">
        <is>
          <t>매출 70 / 영업 6.0 / EPS 86.69 (21.4.28)</t>
        </is>
      </c>
      <c r="C90" s="58" t="inlineStr">
        <is>
          <t>76.5 / 8.4 / 113.53</t>
        </is>
      </c>
      <c r="L90" s="56" t="inlineStr">
        <is>
          <t>2단계 보고서 자료(회사 설명회 자료·공시)</t>
        </is>
      </c>
    </row>
    <row r="91">
      <c r="A91" s="54" t="inlineStr">
        <is>
          <t>FY3/23</t>
        </is>
      </c>
      <c r="B91" s="58" t="inlineStr">
        <is>
          <t>77.8 / 4.0 / 57.8 (22.4.27) → 79 / 4.5 / 65.02 (22.10)</t>
        </is>
      </c>
      <c r="C91" s="58" t="inlineStr">
        <is>
          <t>79.7 / 8.1 / 82.45</t>
        </is>
      </c>
    </row>
    <row r="92">
      <c r="A92" s="54" t="inlineStr">
        <is>
          <t>FY3/24</t>
        </is>
      </c>
      <c r="B92" s="58" t="inlineStr">
        <is>
          <t>83.5 / 2.0 / 28.9 (23.4.26) → 98.0 / 2.5 / 36.12 (23.10)</t>
        </is>
      </c>
      <c r="C92" s="58" t="inlineStr">
        <is>
          <t>92.6 / 3.8 / 72.17</t>
        </is>
      </c>
    </row>
    <row r="93">
      <c r="A93" s="54" t="inlineStr">
        <is>
          <t>FY3/25</t>
        </is>
      </c>
      <c r="B93" s="58" t="inlineStr">
        <is>
          <t>110 / 4.0 / 57.68 (24.5.10)</t>
        </is>
      </c>
      <c r="C93" s="58" t="inlineStr">
        <is>
          <t>118.3 / 5.5 / 70.19</t>
        </is>
      </c>
    </row>
    <row r="94">
      <c r="A94" s="54" t="inlineStr">
        <is>
          <t>FY3/26</t>
        </is>
      </c>
      <c r="B94" s="58" t="inlineStr">
        <is>
          <t>130 / 10.0 / 143.84 (25.5.9) → 140 / 12.0 / 172.43 (26.1.28 상향)</t>
        </is>
      </c>
      <c r="C94" s="58" t="inlineStr">
        <is>
          <t>146.6 / 13.8 / 187.81</t>
        </is>
      </c>
    </row>
    <row r="95">
      <c r="A95" s="54" t="inlineStr">
        <is>
          <t>FY3/27</t>
        </is>
      </c>
      <c r="B95" s="58" t="inlineStr">
        <is>
          <t>145 / 14.5 / 213.52 (26.5.8), 26.7.29·26.10.28 유지</t>
        </is>
      </c>
      <c r="C95" s="58" t="inlineStr">
        <is>
          <t>진행 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2026-10-28</t>
        </is>
      </c>
      <c r="B4" t="inlineStr">
        <is>
          <t>2027년 3월 결산기 2분기 결산단신</t>
        </is>
      </c>
      <c r="C4" t="inlineStr">
        <is>
          <t>https://www2.jpx.co.jp/disc/38500/140120261023555509.pdf</t>
        </is>
      </c>
    </row>
    <row r="5">
      <c r="A5" t="inlineStr">
        <is>
          <t>2026-07-29</t>
        </is>
      </c>
      <c r="B5" t="inlineStr">
        <is>
          <t>2027년 3월 결산기 １분기 결산단신</t>
        </is>
      </c>
      <c r="C5" t="inlineStr">
        <is>
          <t>https://www2.jpx.co.jp/disc/38500/140120260727500130.pdf</t>
        </is>
      </c>
    </row>
    <row r="6">
      <c r="A6" t="inlineStr">
        <is>
          <t>2026-05-08</t>
        </is>
      </c>
      <c r="B6" t="inlineStr">
        <is>
          <t>2026년 3월 결산기 연간 결산단신</t>
        </is>
      </c>
      <c r="C6" t="inlineStr">
        <is>
          <t>https://www2.jpx.co.jp/disc/38500/140120260507517840.pdf</t>
        </is>
      </c>
    </row>
    <row r="7">
      <c r="A7" t="inlineStr">
        <is>
          <t>2026-02-19</t>
        </is>
      </c>
      <c r="B7" t="inlineStr">
        <is>
          <t>2026년 3월 결산기 3분기 결산단신</t>
        </is>
      </c>
      <c r="C7" t="inlineStr">
        <is>
          <t>https://www2.jpx.co.jp/disc/38500/140120260218564266.pdf</t>
        </is>
      </c>
    </row>
    <row r="8">
      <c r="A8" t="inlineStr">
        <is>
          <t>2026-01-28</t>
        </is>
      </c>
      <c r="B8" t="inlineStr">
        <is>
          <t>2026년 3월 결산기 3분기 결산단신</t>
        </is>
      </c>
      <c r="C8" t="inlineStr">
        <is>
          <t>https://www2.jpx.co.jp/disc/38500/140120260126538082.pdf</t>
        </is>
      </c>
    </row>
    <row r="9">
      <c r="A9" t="inlineStr">
        <is>
          <t>2025-10-29</t>
        </is>
      </c>
      <c r="B9" t="inlineStr">
        <is>
          <t>2026년 3월 결산기 2분기 결산단신</t>
        </is>
      </c>
      <c r="C9" t="inlineStr">
        <is>
          <t>https://www2.jpx.co.jp/disc/38500/140120251027579569.pdf</t>
        </is>
      </c>
    </row>
    <row r="10">
      <c r="A10" t="inlineStr">
        <is>
          <t>2025-07-30</t>
        </is>
      </c>
      <c r="B10" t="inlineStr">
        <is>
          <t>2026년 3월 결산기 1분기 결산단신</t>
        </is>
      </c>
      <c r="C10" t="inlineStr">
        <is>
          <t>https://www2.jpx.co.jp/disc/38500/140120250729522117.pdf</t>
        </is>
      </c>
    </row>
    <row r="11">
      <c r="A11" t="inlineStr">
        <is>
          <t>2025-05-09</t>
        </is>
      </c>
      <c r="B11" t="inlineStr">
        <is>
          <t>2025년 3월 결산기 연간 결산단신</t>
        </is>
      </c>
      <c r="C11" t="inlineStr">
        <is>
          <t>https://www2.jpx.co.jp/disc/38500/140120250508535335.pdf</t>
        </is>
      </c>
    </row>
    <row r="12">
      <c r="A12" t="inlineStr">
        <is>
          <t>2025-01-29</t>
        </is>
      </c>
      <c r="B12" t="inlineStr">
        <is>
          <t>2025년 3월 결산기 3분기 결산단신</t>
        </is>
      </c>
      <c r="C12" t="inlineStr">
        <is>
          <t>https://www2.jpx.co.jp/disc/38500/140120250127555224.pdf</t>
        </is>
      </c>
    </row>
    <row r="13">
      <c r="A13" t="inlineStr">
        <is>
          <t>2024-10-30</t>
        </is>
      </c>
      <c r="B13" t="inlineStr">
        <is>
          <t>2025년 3월 결산기 2분기 결산단신</t>
        </is>
      </c>
      <c r="C13" t="inlineStr">
        <is>
          <t>https://www2.jpx.co.jp/disc/38500/140120241030506082.pdf</t>
        </is>
      </c>
    </row>
    <row r="14">
      <c r="A14" t="inlineStr">
        <is>
          <t>2024-07-26</t>
        </is>
      </c>
      <c r="B14" t="inlineStr">
        <is>
          <t>2025년 3월 결산기 1분기 결산단신</t>
        </is>
      </c>
      <c r="C14" t="inlineStr">
        <is>
          <t>https://www2.jpx.co.jp/disc/38500/140120240723553450.pdf</t>
        </is>
      </c>
    </row>
    <row r="15">
      <c r="A15" t="inlineStr">
        <is>
          <t>2024-05-10</t>
        </is>
      </c>
      <c r="B15" t="inlineStr">
        <is>
          <t>2024년 3월 결산기 연간 결산단신</t>
        </is>
      </c>
      <c r="C15" t="inlineStr">
        <is>
          <t>https://www2.jpx.co.jp/disc/38500/140120240326559666.pdf</t>
        </is>
      </c>
    </row>
    <row r="16">
      <c r="A16" t="inlineStr">
        <is>
          <t>2024-01-26</t>
        </is>
      </c>
      <c r="B16" t="inlineStr">
        <is>
          <t>3분기 결산단신</t>
        </is>
      </c>
      <c r="C16" t="inlineStr">
        <is>
          <t>https://www2.jpx.co.jp/disc/38500/140120231226509154.pdf</t>
        </is>
      </c>
    </row>
    <row r="17">
      <c r="A17" t="inlineStr">
        <is>
          <t>2023-10-25</t>
        </is>
      </c>
      <c r="B17" t="inlineStr">
        <is>
          <t>2024년 3월 결산기 ２분기 결산단신</t>
        </is>
      </c>
      <c r="C17" t="inlineStr">
        <is>
          <t>https://www2.jpx.co.jp/disc/38500/140120231013566332.pdf</t>
        </is>
      </c>
    </row>
    <row r="18">
      <c r="A18" t="inlineStr">
        <is>
          <t>2023-07-26</t>
        </is>
      </c>
      <c r="B18" t="inlineStr">
        <is>
          <t>2024년 3월 결산기 1분기 결산단신</t>
        </is>
      </c>
      <c r="C18" t="inlineStr">
        <is>
          <t>https://www2.jpx.co.jp/disc/38500/140120230626511126.pdf</t>
        </is>
      </c>
    </row>
    <row r="19">
      <c r="A19" t="inlineStr">
        <is>
          <t>2023-04-26</t>
        </is>
      </c>
      <c r="B19" t="inlineStr">
        <is>
          <t>2023년 3월 결산기 연간 결산단신</t>
        </is>
      </c>
      <c r="C19" t="inlineStr">
        <is>
          <t>https://www2.jpx.co.jp/disc/38500/140120230316531953.pdf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https://www2.jpx.co.jp/disc/38500/140120220328512147.pdf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https://www2.jpx.co.jp/disc/38500/140120210323482539.pdf</t>
        </is>
      </c>
    </row>
    <row r="22">
      <c r="A22" t="inlineStr">
        <is>
          <t>2020-05-08</t>
        </is>
      </c>
      <c r="B22" t="inlineStr">
        <is>
          <t>2020년 3월 결산기 연간 결산단신</t>
        </is>
      </c>
      <c r="C22" t="inlineStr">
        <is>
          <t>https://www2.jpx.co.jp/disc/38500/140120200417495451.pdf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https://www2.jpx.co.jp/disc/38500/140120190325494395.pdf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https://www2.jpx.co.jp/disc/38500/140120180322494532.pdf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2026-10-28T09:17:37Z</dcterms:created>
  <dcterms:modified xmlns:dcterms="http://purl.org/dc/terms/" xmlns:xsi="http://www.w3.org/2001/XMLSchema-instance" xsi:type="dcterms:W3CDTF">2026-10-28T09:17:37Z</dcterms:modified>
</cp:coreProperties>
</file>