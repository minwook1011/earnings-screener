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8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아스테나홀딩스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11월 결산 · 일본 기준 · 2026.3Q = 2026년 11월 결산기 3분기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2023.4Q</t>
        </is>
      </c>
      <c r="D3" s="5" t="inlineStr">
        <is>
          <t>2024.1Q</t>
        </is>
      </c>
      <c r="E3" s="5" t="inlineStr">
        <is>
          <t>2024.2Q</t>
        </is>
      </c>
      <c r="F3" s="5" t="inlineStr">
        <is>
          <t>2024.3Q</t>
        </is>
      </c>
      <c r="G3" s="5" t="inlineStr">
        <is>
          <t>2024.4Q</t>
        </is>
      </c>
      <c r="H3" s="5" t="inlineStr">
        <is>
          <t>2025.1Q</t>
        </is>
      </c>
      <c r="I3" s="5" t="inlineStr">
        <is>
          <t>2025.2Q</t>
        </is>
      </c>
      <c r="J3" s="5" t="inlineStr">
        <is>
          <t>2025.3Q</t>
        </is>
      </c>
      <c r="K3" s="5" t="inlineStr">
        <is>
          <t>2025.4Q</t>
        </is>
      </c>
      <c r="L3" s="5" t="inlineStr">
        <is>
          <t>2026.1Q</t>
        </is>
      </c>
      <c r="M3" s="5" t="inlineStr">
        <is>
          <t>2026.2Q</t>
        </is>
      </c>
      <c r="N3" s="5" t="inlineStr">
        <is>
          <t>2026.3Q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11309.879</v>
      </c>
      <c r="D4" s="12" t="n">
        <v>13426</v>
      </c>
      <c r="E4" s="12" t="n">
        <v>14665</v>
      </c>
      <c r="F4" s="12" t="n">
        <v>13986</v>
      </c>
      <c r="G4" s="12" t="n">
        <v>15916</v>
      </c>
      <c r="H4" s="12" t="n">
        <v>14334</v>
      </c>
      <c r="I4" s="12" t="n">
        <v>15768</v>
      </c>
      <c r="J4" s="12" t="n">
        <v>15375</v>
      </c>
      <c r="K4" s="12" t="n">
        <v>17267</v>
      </c>
      <c r="L4" s="12" t="n">
        <v>16557</v>
      </c>
      <c r="M4" s="12" t="n">
        <v>18009</v>
      </c>
      <c r="N4" s="12" t="n">
        <v>17681</v>
      </c>
      <c r="O4" s="11" t="n">
        <v>55121.972</v>
      </c>
      <c r="P4" s="12" t="n">
        <v>57387.599</v>
      </c>
      <c r="Q4" s="12" t="n">
        <v>60083.759</v>
      </c>
      <c r="R4" s="12" t="n">
        <v>61647.59</v>
      </c>
      <c r="S4" s="12" t="n">
        <v>65341.459</v>
      </c>
      <c r="T4" s="12" t="n">
        <v>72322.23299999999</v>
      </c>
      <c r="U4" s="12" t="n">
        <v>49636.012</v>
      </c>
      <c r="V4" s="12" t="n">
        <v>51984.426</v>
      </c>
      <c r="W4" s="12" t="n">
        <v>57993</v>
      </c>
      <c r="X4" s="12" t="n">
        <v>62744</v>
      </c>
      <c r="Y4" s="11">
        <f>IF(COUNT(Y7,Y10,Y13,Y16,Y19,Y22,Y25,Y28,Y31,Y34)=0,"",SUM(Y7,Y10,Y13,Y16,Y19,Y22,Y25,Y28,Y31,Y34))</f>
        <v/>
      </c>
      <c r="Z4" s="12">
        <f>IF(COUNT(Z7,Z10,Z13,Z16,Z19,Z22,Z25,Z28,Z31,Z34)=0,"",SUM(Z7,Z10,Z13,Z16,Z19,Z22,Z25,Z28,Z31,Z34))</f>
        <v/>
      </c>
      <c r="AA4" s="12">
        <f>IF(COUNT(AA7,AA10,AA13,AA16,AA19,AA22,AA25,AA28,AA31,AA34)=0,"",SUM(AA7,AA10,AA13,AA16,AA19,AA22,AA25,AA28,AA31,AA34))</f>
        <v/>
      </c>
      <c r="AB4" s="12">
        <f>IF(COUNT(AB7,AB10,AB13,AB16,AB19,AB22,AB25,AB28,AB31,AB34)=0,"",SUM(AB7,AB10,AB13,AB16,AB19,AB22,AB25,AB28,AB31,AB34))</f>
        <v/>
      </c>
      <c r="AC4" s="12">
        <f>IF(COUNT(AC7,AC10,AC13,AC16,AC19,AC22,AC25,AC28,AC31,AC34)=0,"",SUM(AC7,AC10,AC13,AC16,AC19,AC22,AC25,AC28,AC31,AC34))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FineChemicalsReportableSegmentMember</t>
        </is>
      </c>
      <c r="B7" s="10" t="n"/>
      <c r="C7" s="19" t="n"/>
      <c r="D7" s="20" t="n"/>
      <c r="E7" s="20" t="n"/>
      <c r="F7" s="20" t="n"/>
      <c r="G7" s="20" t="n"/>
      <c r="H7" s="20" t="n"/>
      <c r="I7" s="20" t="n"/>
      <c r="J7" s="20" t="n">
        <v>5613</v>
      </c>
      <c r="K7" s="20" t="n"/>
      <c r="L7" s="20" t="n"/>
      <c r="M7" s="20" t="n"/>
      <c r="N7" s="20" t="n">
        <v>5732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HealthAndBeautyCareFoodReportableSegmentMember</t>
        </is>
      </c>
      <c r="B10" s="10" t="n"/>
      <c r="C10" s="19" t="n"/>
      <c r="D10" s="20" t="n"/>
      <c r="E10" s="20" t="n"/>
      <c r="F10" s="20" t="n"/>
      <c r="G10" s="20" t="n"/>
      <c r="H10" s="20" t="n"/>
      <c r="I10" s="20" t="n"/>
      <c r="J10" s="20" t="n">
        <v>4130</v>
      </c>
      <c r="K10" s="20" t="n"/>
      <c r="L10" s="20" t="n"/>
      <c r="M10" s="20" t="n"/>
      <c r="N10" s="20" t="n">
        <v>5630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MedicalReportableSegmentMember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>
        <v>3309</v>
      </c>
      <c r="K13" s="20" t="n"/>
      <c r="L13" s="20" t="n"/>
      <c r="M13" s="20" t="n"/>
      <c r="N13" s="20" t="n">
        <v>3132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IndustrialChemicalsReportableSegmentMember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/>
      <c r="J16" s="20" t="n">
        <v>2309</v>
      </c>
      <c r="K16" s="20" t="n"/>
      <c r="L16" s="20" t="n"/>
      <c r="M16" s="20" t="n"/>
      <c r="N16" s="20" t="n">
        <v>3170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기타</t>
        </is>
      </c>
      <c r="B19" s="10" t="n"/>
      <c r="C19" s="19" t="n">
        <v>10.092</v>
      </c>
      <c r="D19" s="20" t="n">
        <v>4</v>
      </c>
      <c r="E19" s="20" t="n">
        <v>14</v>
      </c>
      <c r="F19" s="20" t="n">
        <v>5</v>
      </c>
      <c r="G19" s="20" t="n">
        <v>15</v>
      </c>
      <c r="H19" s="20" t="n">
        <v>8</v>
      </c>
      <c r="I19" s="20" t="n">
        <v>9</v>
      </c>
      <c r="J19" s="20" t="n">
        <v>14</v>
      </c>
      <c r="K19" s="20" t="n">
        <v>26</v>
      </c>
      <c r="L19" s="20" t="n">
        <v>28</v>
      </c>
      <c r="M19" s="20" t="n">
        <v>7</v>
      </c>
      <c r="N19" s="20" t="n">
        <v>18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16.957</v>
      </c>
      <c r="W19" s="20" t="n">
        <v>38</v>
      </c>
      <c r="X19" s="20" t="n">
        <v>57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EntityTotalMember</t>
        </is>
      </c>
      <c r="B22" s="10" t="n"/>
      <c r="C22" s="19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정밀화학</t>
        </is>
      </c>
      <c r="B25" s="10" t="n"/>
      <c r="C25" s="19" t="n">
        <v>5293.409</v>
      </c>
      <c r="D25" s="20" t="n">
        <v>5883</v>
      </c>
      <c r="E25" s="20" t="n">
        <v>4968</v>
      </c>
      <c r="F25" s="20" t="n">
        <v>5068</v>
      </c>
      <c r="G25" s="20" t="n">
        <v>6120</v>
      </c>
      <c r="H25" s="20" t="n">
        <v>5742</v>
      </c>
      <c r="I25" s="20" t="n">
        <v>6136</v>
      </c>
      <c r="J25" s="20" t="n">
        <v>5974</v>
      </c>
      <c r="K25" s="20" t="n">
        <v>5406</v>
      </c>
      <c r="L25" s="20" t="n">
        <v>5239</v>
      </c>
      <c r="M25" s="20" t="n"/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>
        <v>20867.934</v>
      </c>
      <c r="W25" s="20" t="n">
        <v>22039</v>
      </c>
      <c r="X25" s="20" t="n">
        <v>23258</v>
      </c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8" t="inlineStr">
        <is>
          <t>HBC·식품</t>
        </is>
      </c>
      <c r="B28" s="10" t="n"/>
      <c r="C28" s="19" t="n">
        <v>1424.189</v>
      </c>
      <c r="D28" s="20" t="n">
        <v>2994</v>
      </c>
      <c r="E28" s="20" t="n">
        <v>3768</v>
      </c>
      <c r="F28" s="20" t="n">
        <v>3938</v>
      </c>
      <c r="G28" s="20" t="n">
        <v>4557</v>
      </c>
      <c r="H28" s="20" t="n">
        <v>3692</v>
      </c>
      <c r="I28" s="20" t="n">
        <v>4374</v>
      </c>
      <c r="J28" s="20" t="n">
        <v>4143</v>
      </c>
      <c r="K28" s="20" t="n">
        <v>6058</v>
      </c>
      <c r="L28" s="20" t="n">
        <v>5497</v>
      </c>
      <c r="M28" s="20" t="n"/>
      <c r="N28" s="20" t="n"/>
      <c r="O28" s="19" t="n"/>
      <c r="P28" s="20" t="n"/>
      <c r="Q28" s="20" t="n"/>
      <c r="R28" s="20" t="n"/>
      <c r="S28" s="20" t="n"/>
      <c r="T28" s="20" t="n"/>
      <c r="U28" s="20" t="n"/>
      <c r="V28" s="20" t="n">
        <v>14143.367</v>
      </c>
      <c r="W28" s="20" t="n">
        <v>15257</v>
      </c>
      <c r="X28" s="20" t="n">
        <v>18267</v>
      </c>
      <c r="Y28" s="21" t="n"/>
      <c r="Z28" s="22" t="n"/>
      <c r="AA28" s="22" t="n"/>
      <c r="AB28" s="22" t="n"/>
      <c r="AC28" s="22" t="n"/>
    </row>
    <row r="29">
      <c r="A29" s="13" t="inlineStr">
        <is>
          <t>비중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8" t="inlineStr">
        <is>
          <t>의약</t>
        </is>
      </c>
      <c r="B31" s="10" t="n"/>
      <c r="C31" s="19" t="n">
        <v>2506.691</v>
      </c>
      <c r="D31" s="20" t="n">
        <v>2499</v>
      </c>
      <c r="E31" s="20" t="n">
        <v>3056</v>
      </c>
      <c r="F31" s="20" t="n">
        <v>3137</v>
      </c>
      <c r="G31" s="20" t="n">
        <v>3093</v>
      </c>
      <c r="H31" s="20" t="n">
        <v>2917</v>
      </c>
      <c r="I31" s="20" t="n">
        <v>3245</v>
      </c>
      <c r="J31" s="20" t="n">
        <v>3398</v>
      </c>
      <c r="K31" s="20" t="n">
        <v>3191</v>
      </c>
      <c r="L31" s="20" t="n">
        <v>3064</v>
      </c>
      <c r="M31" s="20" t="n"/>
      <c r="N31" s="20" t="n"/>
      <c r="O31" s="19" t="n"/>
      <c r="P31" s="20" t="n"/>
      <c r="Q31" s="20" t="n"/>
      <c r="R31" s="20" t="n"/>
      <c r="S31" s="20" t="n"/>
      <c r="T31" s="20" t="n"/>
      <c r="U31" s="20" t="n"/>
      <c r="V31" s="20" t="n">
        <v>9819.712</v>
      </c>
      <c r="W31" s="20" t="n">
        <v>11785</v>
      </c>
      <c r="X31" s="20" t="n">
        <v>12751</v>
      </c>
      <c r="Y31" s="21" t="n"/>
      <c r="Z31" s="22" t="n"/>
      <c r="AA31" s="22" t="n"/>
      <c r="AB31" s="22" t="n"/>
      <c r="AC31" s="22" t="n"/>
    </row>
    <row r="32">
      <c r="A32" s="13" t="inlineStr">
        <is>
          <t>비중</t>
        </is>
      </c>
      <c r="B32" s="10" t="n"/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>
        <f>IF(OR(Y31="",Y4=""),"",IFERROR(Y31/Y4,""))</f>
        <v/>
      </c>
      <c r="Z32" s="15">
        <f>IF(OR(Z31="",Z4=""),"",IFERROR(Z31/Z4,""))</f>
        <v/>
      </c>
      <c r="AA32" s="15">
        <f>IF(OR(AA31="",AA4=""),"",IFERROR(AA31/AA4,""))</f>
        <v/>
      </c>
      <c r="AB32" s="15">
        <f>IF(OR(AB31="",AB4=""),"",IFERROR(AB31/AB4,""))</f>
        <v/>
      </c>
      <c r="AC32" s="15">
        <f>IF(OR(AC31="",AC4=""),"",IFERROR(AC31/AC4,""))</f>
        <v/>
      </c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8" t="inlineStr">
        <is>
          <t>화학품</t>
        </is>
      </c>
      <c r="B34" s="10" t="n"/>
      <c r="C34" s="19" t="n">
        <v>2288.442</v>
      </c>
      <c r="D34" s="20" t="n">
        <v>2548</v>
      </c>
      <c r="E34" s="20" t="n">
        <v>3087</v>
      </c>
      <c r="F34" s="20" t="n">
        <v>2179</v>
      </c>
      <c r="G34" s="20" t="n">
        <v>2451</v>
      </c>
      <c r="H34" s="20" t="n">
        <v>2209</v>
      </c>
      <c r="I34" s="20" t="n">
        <v>2292</v>
      </c>
      <c r="J34" s="20" t="n">
        <v>2309</v>
      </c>
      <c r="K34" s="20" t="n">
        <v>2926</v>
      </c>
      <c r="L34" s="20" t="n">
        <v>2928</v>
      </c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>
        <v>8658.931</v>
      </c>
      <c r="W34" s="20" t="n">
        <v>10265</v>
      </c>
      <c r="X34" s="20" t="n">
        <v>9736</v>
      </c>
      <c r="Y34" s="21" t="n"/>
      <c r="Z34" s="22" t="n"/>
      <c r="AA34" s="22" t="n"/>
      <c r="AB34" s="22" t="n"/>
      <c r="AC34" s="22" t="n"/>
    </row>
    <row r="35">
      <c r="A35" s="13" t="inlineStr">
        <is>
          <t>비중</t>
        </is>
      </c>
      <c r="B35" s="10" t="n"/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>
        <f>IF(OR(Y34="",Y4=""),"",IFERROR(Y34/Y4,""))</f>
        <v/>
      </c>
      <c r="Z35" s="15">
        <f>IF(OR(Z34="",Z4=""),"",IFERROR(Z34/Z4,""))</f>
        <v/>
      </c>
      <c r="AA35" s="15">
        <f>IF(OR(AA34="",AA4=""),"",IFERROR(AA34/AA4,""))</f>
        <v/>
      </c>
      <c r="AB35" s="15">
        <f>IF(OR(AB34="",AB4=""),"",IFERROR(AB34/AB4,""))</f>
        <v/>
      </c>
      <c r="AC35" s="15">
        <f>IF(OR(AC34="",AC4=""),"",IFERROR(AC34/AC4,""))</f>
        <v/>
      </c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6" t="inlineStr">
        <is>
          <t>매출원가</t>
        </is>
      </c>
      <c r="B37" s="16" t="n"/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18" t="inlineStr">
        <is>
          <t>전체 매출원가</t>
        </is>
      </c>
      <c r="B38" s="10" t="n"/>
      <c r="C38" s="19" t="n">
        <v>7035.674</v>
      </c>
      <c r="D38" s="20" t="n">
        <v>9174</v>
      </c>
      <c r="E38" s="20" t="n">
        <v>9726</v>
      </c>
      <c r="F38" s="20" t="n">
        <v>9241</v>
      </c>
      <c r="G38" s="20" t="n">
        <v>10482</v>
      </c>
      <c r="H38" s="20" t="n">
        <v>9287</v>
      </c>
      <c r="I38" s="20" t="n">
        <v>9926</v>
      </c>
      <c r="J38" s="20" t="n">
        <v>10126</v>
      </c>
      <c r="K38" s="20" t="n">
        <v>11538</v>
      </c>
      <c r="L38" s="20" t="n">
        <v>10666</v>
      </c>
      <c r="M38" s="20" t="n">
        <v>11830</v>
      </c>
      <c r="N38" s="20" t="n">
        <v>12016</v>
      </c>
      <c r="O38" s="19" t="n">
        <v>43979.236</v>
      </c>
      <c r="P38" s="20" t="n">
        <v>45515.169</v>
      </c>
      <c r="Q38" s="20" t="n">
        <v>47472.072</v>
      </c>
      <c r="R38" s="20" t="n">
        <v>48266.391</v>
      </c>
      <c r="S38" s="20" t="n">
        <v>50859.174</v>
      </c>
      <c r="T38" s="20" t="n">
        <v>55719.57</v>
      </c>
      <c r="U38" s="20" t="n">
        <v>34195.567</v>
      </c>
      <c r="V38" s="20" t="n">
        <v>35666.898</v>
      </c>
      <c r="W38" s="20" t="n">
        <v>38623</v>
      </c>
      <c r="X38" s="20" t="n">
        <v>40877</v>
      </c>
      <c r="Y38" s="19" t="n"/>
      <c r="Z38" s="20" t="n"/>
      <c r="AA38" s="20" t="n"/>
      <c r="AB38" s="20" t="n"/>
      <c r="AC38" s="20" t="n"/>
    </row>
    <row r="39">
      <c r="A39" s="13" t="inlineStr">
        <is>
          <t>YoY</t>
        </is>
      </c>
      <c r="B39" s="10" t="n"/>
      <c r="C39" s="14" t="n"/>
      <c r="D39" s="15" t="n"/>
      <c r="E39" s="15" t="n"/>
      <c r="F39" s="15" t="n"/>
      <c r="G39" s="15">
        <f>IF(OR(G38="",C38=""),"",IF(C38&lt;=0,"",IFERROR(G38/C38-1,"")))</f>
        <v/>
      </c>
      <c r="H39" s="15">
        <f>IF(OR(H38="",D38=""),"",IF(D38&lt;=0,"",IFERROR(H38/D38-1,"")))</f>
        <v/>
      </c>
      <c r="I39" s="15">
        <f>IF(OR(I38="",E38=""),"",IF(E38&lt;=0,"",IFERROR(I38/E38-1,"")))</f>
        <v/>
      </c>
      <c r="J39" s="15">
        <f>IF(OR(J38="",F38=""),"",IF(F38&lt;=0,"",IFERROR(J38/F38-1,"")))</f>
        <v/>
      </c>
      <c r="K39" s="15">
        <f>IF(OR(K38="",G38=""),"",IF(G38&lt;=0,"",IFERROR(K38/G38-1,"")))</f>
        <v/>
      </c>
      <c r="L39" s="15">
        <f>IF(OR(L38="",H38=""),"",IF(H38&lt;=0,"",IFERROR(L38/H38-1,"")))</f>
        <v/>
      </c>
      <c r="M39" s="15">
        <f>IF(OR(M38="",I38=""),"",IF(I38&lt;=0,"",IFERROR(M38/I38-1,"")))</f>
        <v/>
      </c>
      <c r="N39" s="15">
        <f>IF(OR(N38="",J38=""),"",IF(J38&lt;=0,"",IFERROR(N38/J38-1,"")))</f>
        <v/>
      </c>
      <c r="O39" s="14" t="n"/>
      <c r="P39" s="15">
        <f>IF(OR(P38="",O38=""),"",IF(O38&lt;=0,"",IFERROR(P38/O38-1,"")))</f>
        <v/>
      </c>
      <c r="Q39" s="15">
        <f>IF(OR(Q38="",P38=""),"",IF(P38&lt;=0,"",IFERROR(Q38/P38-1,"")))</f>
        <v/>
      </c>
      <c r="R39" s="15">
        <f>IF(OR(R38="",Q38=""),"",IF(Q38&lt;=0,"",IFERROR(R38/Q38-1,"")))</f>
        <v/>
      </c>
      <c r="S39" s="15">
        <f>IF(OR(S38="",R38=""),"",IF(R38&lt;=0,"",IFERROR(S38/R38-1,"")))</f>
        <v/>
      </c>
      <c r="T39" s="15">
        <f>IF(OR(T38="",S38=""),"",IF(S38&lt;=0,"",IFERROR(T38/S38-1,"")))</f>
        <v/>
      </c>
      <c r="U39" s="15">
        <f>IF(OR(U38="",T38=""),"",IF(T38&lt;=0,"",IFERROR(U38/T38-1,"")))</f>
        <v/>
      </c>
      <c r="V39" s="15">
        <f>IF(OR(V38="",U38=""),"",IF(U38&lt;=0,"",IFERROR(V38/U38-1,"")))</f>
        <v/>
      </c>
      <c r="W39" s="15">
        <f>IF(OR(W38="",V38=""),"",IF(V38&lt;=0,"",IFERROR(W38/V38-1,"")))</f>
        <v/>
      </c>
      <c r="X39" s="15">
        <f>IF(OR(X38="",W38=""),"",IF(W38&lt;=0,"",IFERROR(X38/W38-1,"")))</f>
        <v/>
      </c>
      <c r="Y39" s="14">
        <f>IF(OR(Y38="",X38=""),"",IF(X38&lt;=0,"",IFERROR(Y38/X38-1,"")))</f>
        <v/>
      </c>
      <c r="Z39" s="15">
        <f>IF(OR(Z38="",Y38=""),"",IF(Y38&lt;=0,"",IFERROR(Z38/Y38-1,"")))</f>
        <v/>
      </c>
      <c r="AA39" s="15">
        <f>IF(OR(AA38="",Z38=""),"",IF(Z38&lt;=0,"",IFERROR(AA38/Z38-1,"")))</f>
        <v/>
      </c>
      <c r="AB39" s="15">
        <f>IF(OR(AB38="",AA38=""),"",IF(AA38&lt;=0,"",IFERROR(AB38/AA38-1,"")))</f>
        <v/>
      </c>
      <c r="AC39" s="15">
        <f>IF(OR(AC38="",AB38=""),"",IF(AB38&lt;=0,"",IFERROR(AC38/AB38-1,"")))</f>
        <v/>
      </c>
    </row>
    <row r="40">
      <c r="A40" s="18" t="inlineStr">
        <is>
          <t>매출총이익</t>
        </is>
      </c>
      <c r="B40" s="10" t="n"/>
      <c r="C40" s="19">
        <f>IF(OR(C4="",C38=""),"",IFERROR(C4-C38,""))</f>
        <v/>
      </c>
      <c r="D40" s="20">
        <f>IF(OR(D4="",D38=""),"",IFERROR(D4-D38,""))</f>
        <v/>
      </c>
      <c r="E40" s="20">
        <f>IF(OR(E4="",E38=""),"",IFERROR(E4-E38,""))</f>
        <v/>
      </c>
      <c r="F40" s="20">
        <f>IF(OR(F4="",F38=""),"",IFERROR(F4-F38,""))</f>
        <v/>
      </c>
      <c r="G40" s="20">
        <f>IF(OR(G4="",G38=""),"",IFERROR(G4-G38,""))</f>
        <v/>
      </c>
      <c r="H40" s="20">
        <f>IF(OR(H4="",H38=""),"",IFERROR(H4-H38,""))</f>
        <v/>
      </c>
      <c r="I40" s="20">
        <f>IF(OR(I4="",I38=""),"",IFERROR(I4-I38,""))</f>
        <v/>
      </c>
      <c r="J40" s="20">
        <f>IF(OR(J4="",J38=""),"",IFERROR(J4-J38,""))</f>
        <v/>
      </c>
      <c r="K40" s="20">
        <f>IF(OR(K4="",K38=""),"",IFERROR(K4-K38,""))</f>
        <v/>
      </c>
      <c r="L40" s="20">
        <f>IF(OR(L4="",L38=""),"",IFERROR(L4-L38,""))</f>
        <v/>
      </c>
      <c r="M40" s="20">
        <f>IF(OR(M4="",M38=""),"",IFERROR(M4-M38,""))</f>
        <v/>
      </c>
      <c r="N40" s="20">
        <f>IF(OR(N4="",N38=""),"",IFERROR(N4-N38,""))</f>
        <v/>
      </c>
      <c r="O40" s="19">
        <f>IF(OR(O4="",O38=""),"",IFERROR(O4-O38,""))</f>
        <v/>
      </c>
      <c r="P40" s="20">
        <f>IF(OR(P4="",P38=""),"",IFERROR(P4-P38,""))</f>
        <v/>
      </c>
      <c r="Q40" s="20">
        <f>IF(OR(Q4="",Q38=""),"",IFERROR(Q4-Q38,""))</f>
        <v/>
      </c>
      <c r="R40" s="20">
        <f>IF(OR(R4="",R38=""),"",IFERROR(R4-R38,""))</f>
        <v/>
      </c>
      <c r="S40" s="20">
        <f>IF(OR(S4="",S38=""),"",IFERROR(S4-S38,""))</f>
        <v/>
      </c>
      <c r="T40" s="20">
        <f>IF(OR(T4="",T38=""),"",IFERROR(T4-T38,""))</f>
        <v/>
      </c>
      <c r="U40" s="20">
        <f>IF(OR(U4="",U38=""),"",IFERROR(U4-U38,""))</f>
        <v/>
      </c>
      <c r="V40" s="20">
        <f>IF(OR(V4="",V38=""),"",IFERROR(V4-V38,""))</f>
        <v/>
      </c>
      <c r="W40" s="20">
        <f>IF(OR(W4="",W38=""),"",IFERROR(W4-W38,""))</f>
        <v/>
      </c>
      <c r="X40" s="20">
        <f>IF(OR(X4="",X38=""),"",IFERROR(X4-X38,""))</f>
        <v/>
      </c>
      <c r="Y40" s="19" t="n"/>
      <c r="Z40" s="20" t="n"/>
      <c r="AA40" s="20" t="n"/>
      <c r="AB40" s="20" t="n"/>
      <c r="AC40" s="20" t="n"/>
    </row>
    <row r="41">
      <c r="A41" s="13" t="inlineStr">
        <is>
          <t>GPM</t>
        </is>
      </c>
      <c r="B41" s="10" t="n"/>
      <c r="C41" s="14">
        <f>IF(OR(C40="",C4=""),"",IFERROR(C40/C4,""))</f>
        <v/>
      </c>
      <c r="D41" s="15">
        <f>IF(OR(D40="",D4=""),"",IFERROR(D40/D4,""))</f>
        <v/>
      </c>
      <c r="E41" s="15">
        <f>IF(OR(E40="",E4=""),"",IFERROR(E40/E4,""))</f>
        <v/>
      </c>
      <c r="F41" s="15">
        <f>IF(OR(F40="",F4=""),"",IFERROR(F40/F4,""))</f>
        <v/>
      </c>
      <c r="G41" s="15">
        <f>IF(OR(G40="",G4=""),"",IFERROR(G40/G4,""))</f>
        <v/>
      </c>
      <c r="H41" s="15">
        <f>IF(OR(H40="",H4=""),"",IFERROR(H40/H4,""))</f>
        <v/>
      </c>
      <c r="I41" s="15">
        <f>IF(OR(I40="",I4=""),"",IFERROR(I40/I4,""))</f>
        <v/>
      </c>
      <c r="J41" s="15">
        <f>IF(OR(J40="",J4=""),"",IFERROR(J40/J4,""))</f>
        <v/>
      </c>
      <c r="K41" s="15">
        <f>IF(OR(K40="",K4=""),"",IFERROR(K40/K4,""))</f>
        <v/>
      </c>
      <c r="L41" s="15">
        <f>IF(OR(L40="",L4=""),"",IFERROR(L40/L4,""))</f>
        <v/>
      </c>
      <c r="M41" s="15">
        <f>IF(OR(M40="",M4=""),"",IFERROR(M40/M4,""))</f>
        <v/>
      </c>
      <c r="N41" s="15">
        <f>IF(OR(N40="",N4=""),"",IFERROR(N40/N4,""))</f>
        <v/>
      </c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>
        <f>IF(OR(Y40="",Y4=""),"",IFERROR(Y40/Y4,""))</f>
        <v/>
      </c>
      <c r="Z41" s="15">
        <f>IF(OR(Z40="",Z4=""),"",IFERROR(Z40/Z4,""))</f>
        <v/>
      </c>
      <c r="AA41" s="15">
        <f>IF(OR(AA40="",AA4=""),"",IFERROR(AA40/AA4,""))</f>
        <v/>
      </c>
      <c r="AB41" s="15">
        <f>IF(OR(AB40="",AB4=""),"",IFERROR(AB40/AB4,""))</f>
        <v/>
      </c>
      <c r="AC41" s="15">
        <f>IF(OR(AC40="",AC4=""),"",IFERROR(AC40/AC4,""))</f>
        <v/>
      </c>
    </row>
    <row r="42">
      <c r="A42" s="13" t="inlineStr">
        <is>
          <t>YoY</t>
        </is>
      </c>
      <c r="B42" s="10" t="n"/>
      <c r="C42" s="14" t="n"/>
      <c r="D42" s="15" t="n"/>
      <c r="E42" s="15" t="n"/>
      <c r="F42" s="15" t="n"/>
      <c r="G42" s="15">
        <f>IF(OR(G40="",C40=""),"",IF(C40&lt;=0,"",IFERROR(G40/C40-1,"")))</f>
        <v/>
      </c>
      <c r="H42" s="15">
        <f>IF(OR(H40="",D40=""),"",IF(D40&lt;=0,"",IFERROR(H40/D40-1,"")))</f>
        <v/>
      </c>
      <c r="I42" s="15">
        <f>IF(OR(I40="",E40=""),"",IF(E40&lt;=0,"",IFERROR(I40/E40-1,"")))</f>
        <v/>
      </c>
      <c r="J42" s="15">
        <f>IF(OR(J40="",F40=""),"",IF(F40&lt;=0,"",IFERROR(J40/F40-1,"")))</f>
        <v/>
      </c>
      <c r="K42" s="15">
        <f>IF(OR(K40="",G40=""),"",IF(G40&lt;=0,"",IFERROR(K40/G40-1,"")))</f>
        <v/>
      </c>
      <c r="L42" s="15">
        <f>IF(OR(L40="",H40=""),"",IF(H40&lt;=0,"",IFERROR(L40/H40-1,"")))</f>
        <v/>
      </c>
      <c r="M42" s="15">
        <f>IF(OR(M40="",I40=""),"",IF(I40&lt;=0,"",IFERROR(M40/I40-1,"")))</f>
        <v/>
      </c>
      <c r="N42" s="15">
        <f>IF(OR(N40="",J40=""),"",IF(J40&lt;=0,"",IFERROR(N40/J40-1,"")))</f>
        <v/>
      </c>
      <c r="O42" s="14" t="n"/>
      <c r="P42" s="15">
        <f>IF(OR(P40="",O40=""),"",IF(O40&lt;=0,"",IFERROR(P40/O40-1,"")))</f>
        <v/>
      </c>
      <c r="Q42" s="15">
        <f>IF(OR(Q40="",P40=""),"",IF(P40&lt;=0,"",IFERROR(Q40/P40-1,"")))</f>
        <v/>
      </c>
      <c r="R42" s="15">
        <f>IF(OR(R40="",Q40=""),"",IF(Q40&lt;=0,"",IFERROR(R40/Q40-1,"")))</f>
        <v/>
      </c>
      <c r="S42" s="15">
        <f>IF(OR(S40="",R40=""),"",IF(R40&lt;=0,"",IFERROR(S40/R40-1,"")))</f>
        <v/>
      </c>
      <c r="T42" s="15">
        <f>IF(OR(T40="",S40=""),"",IF(S40&lt;=0,"",IFERROR(T40/S40-1,"")))</f>
        <v/>
      </c>
      <c r="U42" s="15">
        <f>IF(OR(U40="",T40=""),"",IF(T40&lt;=0,"",IFERROR(U40/T40-1,"")))</f>
        <v/>
      </c>
      <c r="V42" s="15">
        <f>IF(OR(V40="",U40=""),"",IF(U40&lt;=0,"",IFERROR(V40/U40-1,"")))</f>
        <v/>
      </c>
      <c r="W42" s="15">
        <f>IF(OR(W40="",V40=""),"",IF(V40&lt;=0,"",IFERROR(W40/V40-1,"")))</f>
        <v/>
      </c>
      <c r="X42" s="15">
        <f>IF(OR(X40="",W40=""),"",IF(W40&lt;=0,"",IFERROR(X40/W40-1,"")))</f>
        <v/>
      </c>
      <c r="Y42" s="14">
        <f>IF(OR(Y40="",X40=""),"",IF(X40&lt;=0,"",IFERROR(Y40/X40-1,"")))</f>
        <v/>
      </c>
      <c r="Z42" s="15">
        <f>IF(OR(Z40="",Y40=""),"",IF(Y40&lt;=0,"",IFERROR(Z40/Y40-1,"")))</f>
        <v/>
      </c>
      <c r="AA42" s="15">
        <f>IF(OR(AA40="",Z40=""),"",IF(Z40&lt;=0,"",IFERROR(AA40/Z40-1,"")))</f>
        <v/>
      </c>
      <c r="AB42" s="15">
        <f>IF(OR(AB40="",AA40=""),"",IF(AA40&lt;=0,"",IFERROR(AB40/AA40-1,"")))</f>
        <v/>
      </c>
      <c r="AC42" s="15">
        <f>IF(OR(AC40="",AB40=""),"",IF(AB40&lt;=0,"",IFERROR(AC40/AB40-1,"")))</f>
        <v/>
      </c>
    </row>
    <row r="43">
      <c r="A43" s="23" t="inlineStr">
        <is>
          <t>판매관리비</t>
        </is>
      </c>
      <c r="B43" s="23" t="n"/>
      <c r="C43" s="24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4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4" t="n"/>
      <c r="Z43" s="23" t="n"/>
      <c r="AA43" s="23" t="n"/>
      <c r="AB43" s="23" t="n"/>
      <c r="AC43" s="23" t="n"/>
    </row>
    <row r="44">
      <c r="A44" s="18" t="inlineStr">
        <is>
          <t>전체 판관비</t>
        </is>
      </c>
      <c r="B44" s="10" t="n"/>
      <c r="C44" s="19" t="n">
        <v>3831.587</v>
      </c>
      <c r="D44" s="20" t="n">
        <v>3797</v>
      </c>
      <c r="E44" s="20" t="n">
        <v>4048</v>
      </c>
      <c r="F44" s="20" t="n">
        <v>4088</v>
      </c>
      <c r="G44" s="20" t="n">
        <v>4620</v>
      </c>
      <c r="H44" s="20" t="n">
        <v>4014</v>
      </c>
      <c r="I44" s="20" t="n">
        <v>4652</v>
      </c>
      <c r="J44" s="20" t="n">
        <v>4668</v>
      </c>
      <c r="K44" s="20" t="n">
        <v>5514</v>
      </c>
      <c r="L44" s="20" t="n">
        <v>4738</v>
      </c>
      <c r="M44" s="20" t="n">
        <v>5037</v>
      </c>
      <c r="N44" s="20" t="n">
        <v>4951</v>
      </c>
      <c r="O44" s="19" t="n">
        <v>10165.704</v>
      </c>
      <c r="P44" s="20" t="n">
        <v>10301.037</v>
      </c>
      <c r="Q44" s="20" t="n">
        <v>10762.636</v>
      </c>
      <c r="R44" s="20" t="n">
        <v>11259.54</v>
      </c>
      <c r="S44" s="20" t="n">
        <v>12447.112</v>
      </c>
      <c r="T44" s="20" t="n">
        <v>14369.599</v>
      </c>
      <c r="U44" s="20" t="n">
        <v>14620.543</v>
      </c>
      <c r="V44" s="20" t="n">
        <v>15189.542</v>
      </c>
      <c r="W44" s="20" t="n">
        <v>16553</v>
      </c>
      <c r="X44" s="20" t="n">
        <v>18848</v>
      </c>
      <c r="Y44" s="19" t="n"/>
      <c r="Z44" s="20" t="n"/>
      <c r="AA44" s="20" t="n"/>
      <c r="AB44" s="20" t="n"/>
      <c r="AC44" s="20" t="n"/>
    </row>
    <row r="45">
      <c r="A45" s="13" t="inlineStr">
        <is>
          <t>YoY</t>
        </is>
      </c>
      <c r="B45" s="10" t="n"/>
      <c r="C45" s="14" t="n"/>
      <c r="D45" s="15" t="n"/>
      <c r="E45" s="15" t="n"/>
      <c r="F45" s="15" t="n"/>
      <c r="G45" s="15">
        <f>IF(OR(G44="",C44=""),"",IF(C44&lt;=0,"",IFERROR(G44/C44-1,"")))</f>
        <v/>
      </c>
      <c r="H45" s="15">
        <f>IF(OR(H44="",D44=""),"",IF(D44&lt;=0,"",IFERROR(H44/D44-1,"")))</f>
        <v/>
      </c>
      <c r="I45" s="15">
        <f>IF(OR(I44="",E44=""),"",IF(E44&lt;=0,"",IFERROR(I44/E44-1,"")))</f>
        <v/>
      </c>
      <c r="J45" s="15">
        <f>IF(OR(J44="",F44=""),"",IF(F44&lt;=0,"",IFERROR(J44/F44-1,"")))</f>
        <v/>
      </c>
      <c r="K45" s="15">
        <f>IF(OR(K44="",G44=""),"",IF(G44&lt;=0,"",IFERROR(K44/G44-1,"")))</f>
        <v/>
      </c>
      <c r="L45" s="15">
        <f>IF(OR(L44="",H44=""),"",IF(H44&lt;=0,"",IFERROR(L44/H44-1,"")))</f>
        <v/>
      </c>
      <c r="M45" s="15">
        <f>IF(OR(M44="",I44=""),"",IF(I44&lt;=0,"",IFERROR(M44/I44-1,"")))</f>
        <v/>
      </c>
      <c r="N45" s="15">
        <f>IF(OR(N44="",J44=""),"",IF(J44&lt;=0,"",IFERROR(N44/J44-1,"")))</f>
        <v/>
      </c>
      <c r="O45" s="14" t="n"/>
      <c r="P45" s="15">
        <f>IF(OR(P44="",O44=""),"",IF(O44&lt;=0,"",IFERROR(P44/O44-1,"")))</f>
        <v/>
      </c>
      <c r="Q45" s="15">
        <f>IF(OR(Q44="",P44=""),"",IF(P44&lt;=0,"",IFERROR(Q44/P44-1,"")))</f>
        <v/>
      </c>
      <c r="R45" s="15">
        <f>IF(OR(R44="",Q44=""),"",IF(Q44&lt;=0,"",IFERROR(R44/Q44-1,"")))</f>
        <v/>
      </c>
      <c r="S45" s="15">
        <f>IF(OR(S44="",R44=""),"",IF(R44&lt;=0,"",IFERROR(S44/R44-1,"")))</f>
        <v/>
      </c>
      <c r="T45" s="15">
        <f>IF(OR(T44="",S44=""),"",IF(S44&lt;=0,"",IFERROR(T44/S44-1,"")))</f>
        <v/>
      </c>
      <c r="U45" s="15">
        <f>IF(OR(U44="",T44=""),"",IF(T44&lt;=0,"",IFERROR(U44/T44-1,"")))</f>
        <v/>
      </c>
      <c r="V45" s="15">
        <f>IF(OR(V44="",U44=""),"",IF(U44&lt;=0,"",IFERROR(V44/U44-1,"")))</f>
        <v/>
      </c>
      <c r="W45" s="15">
        <f>IF(OR(W44="",V44=""),"",IF(V44&lt;=0,"",IFERROR(W44/V44-1,"")))</f>
        <v/>
      </c>
      <c r="X45" s="15">
        <f>IF(OR(X44="",W44=""),"",IF(W44&lt;=0,"",IFERROR(X44/W44-1,"")))</f>
        <v/>
      </c>
      <c r="Y45" s="14">
        <f>IF(OR(Y44="",X44=""),"",IF(X44&lt;=0,"",IFERROR(Y44/X44-1,"")))</f>
        <v/>
      </c>
      <c r="Z45" s="15">
        <f>IF(OR(Z44="",Y44=""),"",IF(Y44&lt;=0,"",IFERROR(Z44/Y44-1,"")))</f>
        <v/>
      </c>
      <c r="AA45" s="15">
        <f>IF(OR(AA44="",Z44=""),"",IF(Z44&lt;=0,"",IFERROR(AA44/Z44-1,"")))</f>
        <v/>
      </c>
      <c r="AB45" s="15">
        <f>IF(OR(AB44="",AA44=""),"",IF(AA44&lt;=0,"",IFERROR(AB44/AA44-1,"")))</f>
        <v/>
      </c>
      <c r="AC45" s="15">
        <f>IF(OR(AC44="",AB44=""),"",IF(AB44&lt;=0,"",IFERROR(AC44/AB44-1,"")))</f>
        <v/>
      </c>
    </row>
    <row r="46">
      <c r="A46" s="9" t="inlineStr">
        <is>
          <t>영업이익</t>
        </is>
      </c>
      <c r="B46" s="10" t="inlineStr">
        <is>
          <t>MW = 매출 × OPM</t>
        </is>
      </c>
      <c r="C46" s="11" t="n">
        <v>442.617</v>
      </c>
      <c r="D46" s="12" t="n">
        <v>454</v>
      </c>
      <c r="E46" s="12" t="n">
        <v>891</v>
      </c>
      <c r="F46" s="12" t="n">
        <v>656</v>
      </c>
      <c r="G46" s="12" t="n">
        <v>814</v>
      </c>
      <c r="H46" s="12" t="n">
        <v>1032</v>
      </c>
      <c r="I46" s="12" t="n">
        <v>1190</v>
      </c>
      <c r="J46" s="12" t="n">
        <v>581</v>
      </c>
      <c r="K46" s="12" t="n">
        <v>214</v>
      </c>
      <c r="L46" s="12" t="n">
        <v>1152</v>
      </c>
      <c r="M46" s="12" t="n">
        <v>1142</v>
      </c>
      <c r="N46" s="12" t="n">
        <v>715</v>
      </c>
      <c r="O46" s="11" t="n">
        <v>977.0309999999999</v>
      </c>
      <c r="P46" s="12" t="n">
        <v>1571.392</v>
      </c>
      <c r="Q46" s="12" t="n">
        <v>1849.05</v>
      </c>
      <c r="R46" s="12" t="n">
        <v>2121.658</v>
      </c>
      <c r="S46" s="12" t="n">
        <v>2035.172</v>
      </c>
      <c r="T46" s="12" t="n">
        <v>2233.063</v>
      </c>
      <c r="U46" s="12" t="n">
        <v>819.901</v>
      </c>
      <c r="V46" s="12" t="n">
        <v>1127.984</v>
      </c>
      <c r="W46" s="12" t="n">
        <v>2815</v>
      </c>
      <c r="X46" s="12" t="n">
        <v>3017</v>
      </c>
      <c r="Y46" s="11">
        <f>IF(OR(Y4="",Y47=""),"",IFERROR(Y4*Y47,""))</f>
        <v/>
      </c>
      <c r="Z46" s="12">
        <f>IF(OR(Z4="",Z47=""),"",IFERROR(Z4*Z47,""))</f>
        <v/>
      </c>
      <c r="AA46" s="12">
        <f>IF(OR(AA4="",AA47=""),"",IFERROR(AA4*AA47,""))</f>
        <v/>
      </c>
      <c r="AB46" s="12">
        <f>IF(OR(AB4="",AB47=""),"",IFERROR(AB4*AB47,""))</f>
        <v/>
      </c>
      <c r="AC46" s="12">
        <f>IF(OR(AC4="",AC47=""),"",IFERROR(AC4*AC47,""))</f>
        <v/>
      </c>
    </row>
    <row r="47">
      <c r="A47" s="13" t="inlineStr">
        <is>
          <t>OPM</t>
        </is>
      </c>
      <c r="B47" s="10" t="inlineStr">
        <is>
          <t>MW 입력</t>
        </is>
      </c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 t="n"/>
      <c r="Z47" s="26" t="n"/>
      <c r="AA47" s="26" t="n"/>
      <c r="AB47" s="26" t="n"/>
      <c r="AC47" s="26" t="n"/>
    </row>
    <row r="48">
      <c r="A48" s="13" t="inlineStr">
        <is>
          <t>증가율</t>
        </is>
      </c>
      <c r="B48" s="10" t="n"/>
      <c r="C48" s="14" t="n"/>
      <c r="D48" s="15" t="n"/>
      <c r="E48" s="15" t="n"/>
      <c r="F48" s="15" t="n"/>
      <c r="G48" s="15">
        <f>IF(OR(G46="",C46=""),"",IFERROR(G46/C46-1,""))</f>
        <v/>
      </c>
      <c r="H48" s="15">
        <f>IF(OR(H46="",D46=""),"",IFERROR(H46/D46-1,""))</f>
        <v/>
      </c>
      <c r="I48" s="15">
        <f>IF(OR(I46="",E46=""),"",IFERROR(I46/E46-1,""))</f>
        <v/>
      </c>
      <c r="J48" s="15">
        <f>IF(OR(J46="",F46=""),"",IFERROR(J46/F46-1,""))</f>
        <v/>
      </c>
      <c r="K48" s="15">
        <f>IF(OR(K46="",G46=""),"",IFERROR(K46/G46-1,""))</f>
        <v/>
      </c>
      <c r="L48" s="15">
        <f>IF(OR(L46="",H46=""),"",IFERROR(L46/H46-1,""))</f>
        <v/>
      </c>
      <c r="M48" s="15">
        <f>IF(OR(M46="",I46=""),"",IFERROR(M46/I46-1,""))</f>
        <v/>
      </c>
      <c r="N48" s="15">
        <f>IF(OR(N46="",J46=""),"",IFERROR(N46/J46-1,""))</f>
        <v/>
      </c>
      <c r="O48" s="14" t="n"/>
      <c r="P48" s="15">
        <f>IF(OR(P46="",O46=""),"",IFERROR(P46/O46-1,""))</f>
        <v/>
      </c>
      <c r="Q48" s="15">
        <f>IF(OR(Q46="",P46=""),"",IFERROR(Q46/P46-1,""))</f>
        <v/>
      </c>
      <c r="R48" s="15">
        <f>IF(OR(R46="",Q46=""),"",IFERROR(R46/Q46-1,""))</f>
        <v/>
      </c>
      <c r="S48" s="15">
        <f>IF(OR(S46="",R46=""),"",IFERROR(S46/R46-1,""))</f>
        <v/>
      </c>
      <c r="T48" s="15">
        <f>IF(OR(T46="",S46=""),"",IFERROR(T46/S46-1,""))</f>
        <v/>
      </c>
      <c r="U48" s="15">
        <f>IF(OR(U46="",T46=""),"",IFERROR(U46/T46-1,""))</f>
        <v/>
      </c>
      <c r="V48" s="15">
        <f>IF(OR(V46="",U46=""),"",IFERROR(V46/U46-1,""))</f>
        <v/>
      </c>
      <c r="W48" s="15">
        <f>IF(OR(W46="",V46=""),"",IFERROR(W46/V46-1,""))</f>
        <v/>
      </c>
      <c r="X48" s="15">
        <f>IF(OR(X46="",W46=""),"",IFERROR(X46/W46-1,""))</f>
        <v/>
      </c>
      <c r="Y48" s="14">
        <f>IF(OR(Y46="",X46=""),"",IFERROR(Y46/X46-1,""))</f>
        <v/>
      </c>
      <c r="Z48" s="15">
        <f>IF(OR(Z46="",Y46=""),"",IFERROR(Z46/Y46-1,""))</f>
        <v/>
      </c>
      <c r="AA48" s="15">
        <f>IF(OR(AA46="",Z46=""),"",IFERROR(AA46/Z46-1,""))</f>
        <v/>
      </c>
      <c r="AB48" s="15">
        <f>IF(OR(AB46="",AA46=""),"",IFERROR(AB46/AA46-1,""))</f>
        <v/>
      </c>
      <c r="AC48" s="15">
        <f>IF(OR(AC46="",AB46=""),"",IFERROR(AC46/AB46-1,""))</f>
        <v/>
      </c>
    </row>
    <row r="49">
      <c r="A49" s="16" t="inlineStr">
        <is>
          <t>비용의 성격별 분류</t>
        </is>
      </c>
      <c r="B49" s="16" t="inlineStr">
        <is>
          <t>참고 데이터</t>
        </is>
      </c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9" t="inlineStr">
        <is>
          <t>총 판관비</t>
        </is>
      </c>
      <c r="B50" s="10" t="n"/>
      <c r="C50" s="11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1">
        <f>IF(O44="","",O44)</f>
        <v/>
      </c>
      <c r="P50" s="12">
        <f>IF(P44="","",P44)</f>
        <v/>
      </c>
      <c r="Q50" s="12">
        <f>IF(Q44="","",Q44)</f>
        <v/>
      </c>
      <c r="R50" s="12">
        <f>IF(R44="","",R44)</f>
        <v/>
      </c>
      <c r="S50" s="12">
        <f>IF(S44="","",S44)</f>
        <v/>
      </c>
      <c r="T50" s="12">
        <f>IF(T44="","",T44)</f>
        <v/>
      </c>
      <c r="U50" s="12">
        <f>IF(U44="","",U44)</f>
        <v/>
      </c>
      <c r="V50" s="12">
        <f>IF(V44="","",V44)</f>
        <v/>
      </c>
      <c r="W50" s="12">
        <f>IF(W44="","",W44)</f>
        <v/>
      </c>
      <c r="X50" s="12">
        <f>IF(X44="","",X44)</f>
        <v/>
      </c>
      <c r="Y50" s="11" t="n"/>
      <c r="Z50" s="12" t="n"/>
      <c r="AA50" s="12" t="n"/>
      <c r="AB50" s="12" t="n"/>
      <c r="AC50" s="12" t="n"/>
    </row>
    <row r="51">
      <c r="A51" s="18" t="inlineStr">
        <is>
          <t>급여</t>
        </is>
      </c>
      <c r="B51" s="10" t="inlineStr">
        <is>
          <t>고정비</t>
        </is>
      </c>
      <c r="C51" s="19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19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19" t="n"/>
      <c r="Z51" s="20" t="n"/>
      <c r="AA51" s="20" t="n"/>
      <c r="AB51" s="20" t="n"/>
      <c r="AC51" s="20" t="n"/>
    </row>
    <row r="52">
      <c r="A52" s="13" t="inlineStr">
        <is>
          <t>% of Sales</t>
        </is>
      </c>
      <c r="B52" s="10" t="n"/>
      <c r="C52" s="14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14" t="n"/>
      <c r="Z52" s="15" t="n"/>
      <c r="AA52" s="15" t="n"/>
      <c r="AB52" s="15" t="n"/>
      <c r="AC52" s="15" t="n"/>
    </row>
    <row r="53">
      <c r="A53" s="18" t="inlineStr">
        <is>
          <t>감가상각비</t>
        </is>
      </c>
      <c r="B53" s="10" t="inlineStr">
        <is>
          <t>고정비</t>
        </is>
      </c>
      <c r="C53" s="19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19" t="n">
        <v>269.711</v>
      </c>
      <c r="P53" s="20" t="n">
        <v>182.566</v>
      </c>
      <c r="Q53" s="20" t="n">
        <v>165.31</v>
      </c>
      <c r="R53" s="20" t="n">
        <v>200.874</v>
      </c>
      <c r="S53" s="20" t="n">
        <v>634.165</v>
      </c>
      <c r="T53" s="20" t="n">
        <v>874.4</v>
      </c>
      <c r="U53" s="20" t="n">
        <v>1079.587</v>
      </c>
      <c r="V53" s="20" t="n">
        <v>1145.642</v>
      </c>
      <c r="W53" s="20" t="n">
        <v>1075.39</v>
      </c>
      <c r="X53" s="20" t="n"/>
      <c r="Y53" s="19" t="n"/>
      <c r="Z53" s="20" t="n"/>
      <c r="AA53" s="20" t="n"/>
      <c r="AB53" s="20" t="n"/>
      <c r="AC53" s="20" t="n"/>
    </row>
    <row r="54">
      <c r="A54" s="13" t="inlineStr">
        <is>
          <t>% of Sales</t>
        </is>
      </c>
      <c r="B54" s="10" t="n"/>
      <c r="C54" s="14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14" t="n"/>
      <c r="Z54" s="15" t="n"/>
      <c r="AA54" s="15" t="n"/>
      <c r="AB54" s="15" t="n"/>
      <c r="AC54" s="15" t="n"/>
    </row>
    <row r="55">
      <c r="A55" s="18" t="inlineStr">
        <is>
          <t>지급수수료</t>
        </is>
      </c>
      <c r="B55" s="10" t="inlineStr">
        <is>
          <t>고정비</t>
        </is>
      </c>
      <c r="C55" s="19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19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19" t="n"/>
      <c r="Z55" s="20" t="n"/>
      <c r="AA55" s="20" t="n"/>
      <c r="AB55" s="20" t="n"/>
      <c r="AC55" s="20" t="n"/>
    </row>
    <row r="56">
      <c r="A56" s="13" t="inlineStr">
        <is>
          <t>% of Sales</t>
        </is>
      </c>
      <c r="B56" s="10" t="n"/>
      <c r="C56" s="14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4">
        <f>IF(OR(O55="",O4=""),"",IFERROR(O55/O4,""))</f>
        <v/>
      </c>
      <c r="P56" s="15">
        <f>IF(OR(P55="",P4=""),"",IFERROR(P55/P4,""))</f>
        <v/>
      </c>
      <c r="Q56" s="15">
        <f>IF(OR(Q55="",Q4=""),"",IFERROR(Q55/Q4,""))</f>
        <v/>
      </c>
      <c r="R56" s="15">
        <f>IF(OR(R55="",R4=""),"",IFERROR(R55/R4,""))</f>
        <v/>
      </c>
      <c r="S56" s="15">
        <f>IF(OR(S55="",S4=""),"",IFERROR(S55/S4,""))</f>
        <v/>
      </c>
      <c r="T56" s="15">
        <f>IF(OR(T55="",T4=""),"",IFERROR(T55/T4,""))</f>
        <v/>
      </c>
      <c r="U56" s="15">
        <f>IF(OR(U55="",U4=""),"",IFERROR(U55/U4,""))</f>
        <v/>
      </c>
      <c r="V56" s="15">
        <f>IF(OR(V55="",V4=""),"",IFERROR(V55/V4,""))</f>
        <v/>
      </c>
      <c r="W56" s="15">
        <f>IF(OR(W55="",W4=""),"",IFERROR(W55/W4,""))</f>
        <v/>
      </c>
      <c r="X56" s="15">
        <f>IF(OR(X55="",X4=""),"",IFERROR(X55/X4,""))</f>
        <v/>
      </c>
      <c r="Y56" s="14" t="n"/>
      <c r="Z56" s="15" t="n"/>
      <c r="AA56" s="15" t="n"/>
      <c r="AB56" s="15" t="n"/>
      <c r="AC56" s="15" t="n"/>
    </row>
    <row r="57">
      <c r="A57" s="18" t="inlineStr">
        <is>
          <t>연구개발비</t>
        </is>
      </c>
      <c r="B57" s="10" t="inlineStr">
        <is>
          <t>변동비</t>
        </is>
      </c>
      <c r="C57" s="19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19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19" t="n"/>
      <c r="Z57" s="20" t="n"/>
      <c r="AA57" s="20" t="n"/>
      <c r="AB57" s="20" t="n"/>
      <c r="AC57" s="20" t="n"/>
    </row>
    <row r="58">
      <c r="A58" s="13" t="inlineStr">
        <is>
          <t>% of Sales</t>
        </is>
      </c>
      <c r="B58" s="10" t="n"/>
      <c r="C58" s="14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4">
        <f>IF(OR(O57="",O4=""),"",IFERROR(O57/O4,""))</f>
        <v/>
      </c>
      <c r="P58" s="15">
        <f>IF(OR(P57="",P4=""),"",IFERROR(P57/P4,""))</f>
        <v/>
      </c>
      <c r="Q58" s="15">
        <f>IF(OR(Q57="",Q4=""),"",IFERROR(Q57/Q4,""))</f>
        <v/>
      </c>
      <c r="R58" s="15">
        <f>IF(OR(R57="",R4=""),"",IFERROR(R57/R4,""))</f>
        <v/>
      </c>
      <c r="S58" s="15">
        <f>IF(OR(S57="",S4=""),"",IFERROR(S57/S4,""))</f>
        <v/>
      </c>
      <c r="T58" s="15">
        <f>IF(OR(T57="",T4=""),"",IFERROR(T57/T4,""))</f>
        <v/>
      </c>
      <c r="U58" s="15">
        <f>IF(OR(U57="",U4=""),"",IFERROR(U57/U4,""))</f>
        <v/>
      </c>
      <c r="V58" s="15">
        <f>IF(OR(V57="",V4=""),"",IFERROR(V57/V4,""))</f>
        <v/>
      </c>
      <c r="W58" s="15">
        <f>IF(OR(W57="",W4=""),"",IFERROR(W57/W4,""))</f>
        <v/>
      </c>
      <c r="X58" s="15">
        <f>IF(OR(X57="",X4=""),"",IFERROR(X57/X4,""))</f>
        <v/>
      </c>
      <c r="Y58" s="14" t="n"/>
      <c r="Z58" s="15" t="n"/>
      <c r="AA58" s="15" t="n"/>
      <c r="AB58" s="15" t="n"/>
      <c r="AC58" s="15" t="n"/>
    </row>
    <row r="59">
      <c r="A59" s="18" t="inlineStr">
        <is>
          <t>기타비용</t>
        </is>
      </c>
      <c r="B59" s="10" t="inlineStr">
        <is>
          <t>변동비</t>
        </is>
      </c>
      <c r="C59" s="19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19">
        <f>IF(OR(O50="",O51="",O53="",O55="",O57=""),"",IFERROR(O50-O51-O53-O55-O57,""))</f>
        <v/>
      </c>
      <c r="P59" s="20">
        <f>IF(OR(P50="",P51="",P53="",P55="",P57=""),"",IFERROR(P50-P51-P53-P55-P57,""))</f>
        <v/>
      </c>
      <c r="Q59" s="20">
        <f>IF(OR(Q50="",Q51="",Q53="",Q55="",Q57=""),"",IFERROR(Q50-Q51-Q53-Q55-Q57,""))</f>
        <v/>
      </c>
      <c r="R59" s="20">
        <f>IF(OR(R50="",R51="",R53="",R55="",R57=""),"",IFERROR(R50-R51-R53-R55-R57,""))</f>
        <v/>
      </c>
      <c r="S59" s="20">
        <f>IF(OR(S50="",S51="",S53="",S55="",S57=""),"",IFERROR(S50-S51-S53-S55-S57,""))</f>
        <v/>
      </c>
      <c r="T59" s="20">
        <f>IF(OR(T50="",T51="",T53="",T55="",T57=""),"",IFERROR(T50-T51-T53-T55-T57,""))</f>
        <v/>
      </c>
      <c r="U59" s="20">
        <f>IF(OR(U50="",U51="",U53="",U55="",U57=""),"",IFERROR(U50-U51-U53-U55-U57,""))</f>
        <v/>
      </c>
      <c r="V59" s="20">
        <f>IF(OR(V50="",V51="",V53="",V55="",V57=""),"",IFERROR(V50-V51-V53-V55-V57,""))</f>
        <v/>
      </c>
      <c r="W59" s="20">
        <f>IF(OR(W50="",W51="",W53="",W55="",W57=""),"",IFERROR(W50-W51-W53-W55-W57,""))</f>
        <v/>
      </c>
      <c r="X59" s="20">
        <f>IF(OR(X50="",X51="",X53="",X55="",X57=""),"",IFERROR(X50-X51-X53-X55-X57,""))</f>
        <v/>
      </c>
      <c r="Y59" s="19" t="n"/>
      <c r="Z59" s="20" t="n"/>
      <c r="AA59" s="20" t="n"/>
      <c r="AB59" s="20" t="n"/>
      <c r="AC59" s="20" t="n"/>
    </row>
    <row r="60">
      <c r="A60" s="13" t="inlineStr">
        <is>
          <t>% of Sales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>
        <f>IF(OR(O59="",O4=""),"",IFERROR(O59/O4,""))</f>
        <v/>
      </c>
      <c r="P60" s="15">
        <f>IF(OR(P59="",P4=""),"",IFERROR(P59/P4,""))</f>
        <v/>
      </c>
      <c r="Q60" s="15">
        <f>IF(OR(Q59="",Q4=""),"",IFERROR(Q59/Q4,""))</f>
        <v/>
      </c>
      <c r="R60" s="15">
        <f>IF(OR(R59="",R4=""),"",IFERROR(R59/R4,""))</f>
        <v/>
      </c>
      <c r="S60" s="15">
        <f>IF(OR(S59="",S4=""),"",IFERROR(S59/S4,""))</f>
        <v/>
      </c>
      <c r="T60" s="15">
        <f>IF(OR(T59="",T4=""),"",IFERROR(T59/T4,""))</f>
        <v/>
      </c>
      <c r="U60" s="15">
        <f>IF(OR(U59="",U4=""),"",IFERROR(U59/U4,""))</f>
        <v/>
      </c>
      <c r="V60" s="15">
        <f>IF(OR(V59="",V4=""),"",IFERROR(V59/V4,""))</f>
        <v/>
      </c>
      <c r="W60" s="15">
        <f>IF(OR(W59="",W4=""),"",IFERROR(W59/W4,""))</f>
        <v/>
      </c>
      <c r="X60" s="15">
        <f>IF(OR(X59="",X4=""),"",IFERROR(X59/X4,""))</f>
        <v/>
      </c>
      <c r="Y60" s="14" t="n"/>
      <c r="Z60" s="15" t="n"/>
      <c r="AA60" s="15" t="n"/>
      <c r="AB60" s="15" t="n"/>
      <c r="AC60" s="15" t="n"/>
    </row>
    <row r="61">
      <c r="A61" s="16" t="inlineStr">
        <is>
          <t>당기순이익 추정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특별이익</t>
        </is>
      </c>
      <c r="B62" s="10" t="n"/>
      <c r="C62" s="19" t="n">
        <v>793.119</v>
      </c>
      <c r="D62" s="20" t="n">
        <v>0</v>
      </c>
      <c r="E62" s="20" t="n">
        <v>0</v>
      </c>
      <c r="F62" s="20" t="n">
        <v>0</v>
      </c>
      <c r="G62" s="20" t="n">
        <v>316</v>
      </c>
      <c r="H62" s="20" t="n">
        <v>10</v>
      </c>
      <c r="I62" s="20" t="n">
        <v>0</v>
      </c>
      <c r="J62" s="20" t="n">
        <v>0</v>
      </c>
      <c r="K62" s="20" t="n">
        <v>262</v>
      </c>
      <c r="L62" s="20" t="n">
        <v>0</v>
      </c>
      <c r="M62" s="20" t="n">
        <v>0</v>
      </c>
      <c r="N62" s="20" t="n">
        <v>1</v>
      </c>
      <c r="O62" s="19" t="n">
        <v>30.31</v>
      </c>
      <c r="P62" s="20" t="n">
        <v>299.055</v>
      </c>
      <c r="Q62" s="20" t="n">
        <v>36.73</v>
      </c>
      <c r="R62" s="20" t="n">
        <v>42.69</v>
      </c>
      <c r="S62" s="20" t="n">
        <v>646.865</v>
      </c>
      <c r="T62" s="20" t="n">
        <v>722.1369999999999</v>
      </c>
      <c r="U62" s="20" t="n">
        <v>982.479</v>
      </c>
      <c r="V62" s="20" t="n">
        <v>875.091</v>
      </c>
      <c r="W62" s="20" t="n">
        <v>316</v>
      </c>
      <c r="X62" s="20" t="n">
        <v>272</v>
      </c>
      <c r="Y62" s="19">
        <f>IF(OR(Y4="",Y63=""),"",IFERROR(Y4*Y63,""))</f>
        <v/>
      </c>
      <c r="Z62" s="20">
        <f>IF(OR(Z4="",Z63=""),"",IFERROR(Z4*Z63,""))</f>
        <v/>
      </c>
      <c r="AA62" s="20">
        <f>IF(OR(AA4="",AA63=""),"",IFERROR(AA4*AA63,""))</f>
        <v/>
      </c>
      <c r="AB62" s="20">
        <f>IF(OR(AB4="",AB63=""),"",IFERROR(AB4*AB63,""))</f>
        <v/>
      </c>
      <c r="AC62" s="20">
        <f>IF(OR(AC4="",AC63=""),"",IFERROR(AC4*AC63,""))</f>
        <v/>
      </c>
    </row>
    <row r="63">
      <c r="A63" s="13" t="inlineStr">
        <is>
          <t>% of Sales</t>
        </is>
      </c>
      <c r="B63" s="10" t="inlineStr">
        <is>
          <t>MW = 최근 3년 평균</t>
        </is>
      </c>
      <c r="C63" s="14">
        <f>IF(OR(C62="",C4=""),"",IFERROR(C62/C4,""))</f>
        <v/>
      </c>
      <c r="D63" s="15">
        <f>IF(OR(D62="",D4=""),"",IFERROR(D62/D4,""))</f>
        <v/>
      </c>
      <c r="E63" s="15">
        <f>IF(OR(E62="",E4=""),"",IFERROR(E62/E4,""))</f>
        <v/>
      </c>
      <c r="F63" s="15">
        <f>IF(OR(F62="",F4=""),"",IFERROR(F62/F4,""))</f>
        <v/>
      </c>
      <c r="G63" s="15">
        <f>IF(OR(G62="",G4=""),"",IFERROR(G62/G4,""))</f>
        <v/>
      </c>
      <c r="H63" s="15">
        <f>IF(OR(H62="",H4=""),"",IFERROR(H62/H4,""))</f>
        <v/>
      </c>
      <c r="I63" s="15">
        <f>IF(OR(I62="",I4=""),"",IFERROR(I62/I4,""))</f>
        <v/>
      </c>
      <c r="J63" s="15">
        <f>IF(OR(J62="",J4=""),"",IFERROR(J62/J4,""))</f>
        <v/>
      </c>
      <c r="K63" s="15">
        <f>IF(OR(K62="",K4=""),"",IFERROR(K62/K4,""))</f>
        <v/>
      </c>
      <c r="L63" s="15">
        <f>IF(OR(L62="",L4=""),"",IFERROR(L62/L4,""))</f>
        <v/>
      </c>
      <c r="M63" s="15">
        <f>IF(OR(M62="",M4=""),"",IFERROR(M62/M4,""))</f>
        <v/>
      </c>
      <c r="N63" s="15">
        <f>IF(OR(N62="",N4=""),"",IFERROR(N62/N4,""))</f>
        <v/>
      </c>
      <c r="O63" s="14">
        <f>IF(OR(O62="",O4=""),"",IFERROR(O62/O4,""))</f>
        <v/>
      </c>
      <c r="P63" s="15">
        <f>IF(OR(P62="",P4=""),"",IFERROR(P62/P4,""))</f>
        <v/>
      </c>
      <c r="Q63" s="15">
        <f>IF(OR(Q62="",Q4=""),"",IFERROR(Q62/Q4,""))</f>
        <v/>
      </c>
      <c r="R63" s="15">
        <f>IF(OR(R62="",R4=""),"",IFERROR(R62/R4,""))</f>
        <v/>
      </c>
      <c r="S63" s="15">
        <f>IF(OR(S62="",S4=""),"",IFERROR(S62/S4,""))</f>
        <v/>
      </c>
      <c r="T63" s="15">
        <f>IF(OR(T62="",T4=""),"",IFERROR(T62/T4,""))</f>
        <v/>
      </c>
      <c r="U63" s="15">
        <f>IF(OR(U62="",U4=""),"",IFERROR(U62/U4,""))</f>
        <v/>
      </c>
      <c r="V63" s="15">
        <f>IF(OR(V62="",V4=""),"",IFERROR(V62/V4,""))</f>
        <v/>
      </c>
      <c r="W63" s="15">
        <f>IF(OR(W62="",W4=""),"",IFERROR(W62/W4,""))</f>
        <v/>
      </c>
      <c r="X63" s="15">
        <f>IF(OR(X62="",X4=""),"",IFERROR(X62/X4,""))</f>
        <v/>
      </c>
      <c r="Y63" s="25">
        <f>IFERROR(AVERAGE(V63,W63,X63),"")</f>
        <v/>
      </c>
      <c r="Z63" s="26">
        <f>Y63</f>
        <v/>
      </c>
      <c r="AA63" s="26">
        <f>Z63</f>
        <v/>
      </c>
      <c r="AB63" s="26">
        <f>AA63</f>
        <v/>
      </c>
      <c r="AC63" s="26">
        <f>AB63</f>
        <v/>
      </c>
    </row>
    <row r="64">
      <c r="A64" s="18" t="inlineStr">
        <is>
          <t>특별손실</t>
        </is>
      </c>
      <c r="B64" s="10" t="n"/>
      <c r="C64" s="19" t="n">
        <v>434.725</v>
      </c>
      <c r="D64" s="20" t="n">
        <v>87</v>
      </c>
      <c r="E64" s="20" t="n">
        <v>154</v>
      </c>
      <c r="F64" s="20" t="n">
        <v>26</v>
      </c>
      <c r="G64" s="20" t="n">
        <v>4386</v>
      </c>
      <c r="H64" s="20" t="n">
        <v>71</v>
      </c>
      <c r="I64" s="20" t="n">
        <v>57</v>
      </c>
      <c r="J64" s="20" t="n">
        <v>58</v>
      </c>
      <c r="K64" s="20" t="n">
        <v>133</v>
      </c>
      <c r="L64" s="20" t="n">
        <v>0</v>
      </c>
      <c r="M64" s="20" t="n">
        <v>6</v>
      </c>
      <c r="N64" s="20" t="n">
        <v>1</v>
      </c>
      <c r="O64" s="19" t="n">
        <v>552.116</v>
      </c>
      <c r="P64" s="20" t="n">
        <v>431.098</v>
      </c>
      <c r="Q64" s="20" t="n">
        <v>57.923</v>
      </c>
      <c r="R64" s="20" t="n">
        <v>55.77</v>
      </c>
      <c r="S64" s="20" t="n">
        <v>25.902</v>
      </c>
      <c r="T64" s="20" t="n">
        <v>63.742</v>
      </c>
      <c r="U64" s="20" t="n">
        <v>451.622</v>
      </c>
      <c r="V64" s="20" t="n">
        <v>678.728</v>
      </c>
      <c r="W64" s="20" t="n">
        <v>4653</v>
      </c>
      <c r="X64" s="20" t="n">
        <v>319</v>
      </c>
      <c r="Y64" s="19">
        <f>IF(OR(Y4="",Y65=""),"",IFERROR(Y4*Y65,""))</f>
        <v/>
      </c>
      <c r="Z64" s="20">
        <f>IF(OR(Z4="",Z65=""),"",IFERROR(Z4*Z65,""))</f>
        <v/>
      </c>
      <c r="AA64" s="20">
        <f>IF(OR(AA4="",AA65=""),"",IFERROR(AA4*AA65,""))</f>
        <v/>
      </c>
      <c r="AB64" s="20">
        <f>IF(OR(AB4="",AB65=""),"",IFERROR(AB4*AB65,""))</f>
        <v/>
      </c>
      <c r="AC64" s="20">
        <f>IF(OR(AC4="",AC65=""),"",IFERROR(AC4*AC65,""))</f>
        <v/>
      </c>
    </row>
    <row r="65">
      <c r="A65" s="13" t="inlineStr">
        <is>
          <t>% of Sales</t>
        </is>
      </c>
      <c r="B65" s="10" t="n"/>
      <c r="C65" s="14">
        <f>IF(OR(C64="",C4=""),"",IFERROR(C64/C4,""))</f>
        <v/>
      </c>
      <c r="D65" s="15">
        <f>IF(OR(D64="",D4=""),"",IFERROR(D64/D4,""))</f>
        <v/>
      </c>
      <c r="E65" s="15">
        <f>IF(OR(E64="",E4=""),"",IFERROR(E64/E4,""))</f>
        <v/>
      </c>
      <c r="F65" s="15">
        <f>IF(OR(F64="",F4=""),"",IFERROR(F64/F4,""))</f>
        <v/>
      </c>
      <c r="G65" s="15">
        <f>IF(OR(G64="",G4=""),"",IFERROR(G64/G4,""))</f>
        <v/>
      </c>
      <c r="H65" s="15">
        <f>IF(OR(H64="",H4=""),"",IFERROR(H64/H4,""))</f>
        <v/>
      </c>
      <c r="I65" s="15">
        <f>IF(OR(I64="",I4=""),"",IFERROR(I64/I4,""))</f>
        <v/>
      </c>
      <c r="J65" s="15">
        <f>IF(OR(J64="",J4=""),"",IFERROR(J64/J4,""))</f>
        <v/>
      </c>
      <c r="K65" s="15">
        <f>IF(OR(K64="",K4=""),"",IFERROR(K64/K4,""))</f>
        <v/>
      </c>
      <c r="L65" s="15">
        <f>IF(OR(L64="",L4=""),"",IFERROR(L64/L4,""))</f>
        <v/>
      </c>
      <c r="M65" s="15">
        <f>IF(OR(M64="",M4=""),"",IFERROR(M64/M4,""))</f>
        <v/>
      </c>
      <c r="N65" s="15">
        <f>IF(OR(N64="",N4=""),"",IFERROR(N64/N4,""))</f>
        <v/>
      </c>
      <c r="O65" s="14">
        <f>IF(OR(O64="",O4=""),"",IFERROR(O64/O4,""))</f>
        <v/>
      </c>
      <c r="P65" s="15">
        <f>IF(OR(P64="",P4=""),"",IFERROR(P64/P4,""))</f>
        <v/>
      </c>
      <c r="Q65" s="15">
        <f>IF(OR(Q64="",Q4=""),"",IFERROR(Q64/Q4,""))</f>
        <v/>
      </c>
      <c r="R65" s="15">
        <f>IF(OR(R64="",R4=""),"",IFERROR(R64/R4,""))</f>
        <v/>
      </c>
      <c r="S65" s="15">
        <f>IF(OR(S64="",S4=""),"",IFERROR(S64/S4,""))</f>
        <v/>
      </c>
      <c r="T65" s="15">
        <f>IF(OR(T64="",T4=""),"",IFERROR(T64/T4,""))</f>
        <v/>
      </c>
      <c r="U65" s="15">
        <f>IF(OR(U64="",U4=""),"",IFERROR(U64/U4,""))</f>
        <v/>
      </c>
      <c r="V65" s="15">
        <f>IF(OR(V64="",V4=""),"",IFERROR(V64/V4,""))</f>
        <v/>
      </c>
      <c r="W65" s="15">
        <f>IF(OR(W64="",W4=""),"",IFERROR(W64/W4,""))</f>
        <v/>
      </c>
      <c r="X65" s="15">
        <f>IF(OR(X64="",X4=""),"",IFERROR(X64/X4,""))</f>
        <v/>
      </c>
      <c r="Y65" s="25">
        <f>IFERROR(AVERAGE(V65,W65,X65),"")</f>
        <v/>
      </c>
      <c r="Z65" s="26">
        <f>Y65</f>
        <v/>
      </c>
      <c r="AA65" s="26">
        <f>Z65</f>
        <v/>
      </c>
      <c r="AB65" s="26">
        <f>AA65</f>
        <v/>
      </c>
      <c r="AC65" s="26">
        <f>AB65</f>
        <v/>
      </c>
    </row>
    <row r="66">
      <c r="A66" s="18" t="inlineStr">
        <is>
          <t>영업외수익</t>
        </is>
      </c>
      <c r="B66" s="10" t="n"/>
      <c r="C66" s="19" t="n">
        <v>153.46</v>
      </c>
      <c r="D66" s="20" t="n">
        <v>61</v>
      </c>
      <c r="E66" s="20" t="n">
        <v>39</v>
      </c>
      <c r="F66" s="20" t="n">
        <v>65</v>
      </c>
      <c r="G66" s="20" t="n">
        <v>55</v>
      </c>
      <c r="H66" s="20" t="n">
        <v>60</v>
      </c>
      <c r="I66" s="20" t="n">
        <v>135</v>
      </c>
      <c r="J66" s="20" t="n">
        <v>54</v>
      </c>
      <c r="K66" s="20" t="n">
        <v>67</v>
      </c>
      <c r="L66" s="20" t="n">
        <v>78</v>
      </c>
      <c r="M66" s="20" t="n">
        <v>82</v>
      </c>
      <c r="N66" s="20" t="n">
        <v>47</v>
      </c>
      <c r="O66" s="19" t="n">
        <v>266.514</v>
      </c>
      <c r="P66" s="20" t="n">
        <v>283.064</v>
      </c>
      <c r="Q66" s="20" t="n">
        <v>237.345</v>
      </c>
      <c r="R66" s="20" t="n">
        <v>280.165</v>
      </c>
      <c r="S66" s="20" t="n">
        <v>268.724</v>
      </c>
      <c r="T66" s="20" t="n">
        <v>314.387</v>
      </c>
      <c r="U66" s="20" t="n">
        <v>327.753</v>
      </c>
      <c r="V66" s="20" t="n">
        <v>356.644</v>
      </c>
      <c r="W66" s="20" t="n">
        <v>220</v>
      </c>
      <c r="X66" s="20" t="n">
        <v>316</v>
      </c>
      <c r="Y66" s="19">
        <f>IF(OR(Y4="",Y67=""),"",IFERROR(Y4*Y67,""))</f>
        <v/>
      </c>
      <c r="Z66" s="20">
        <f>IF(OR(Z4="",Z67=""),"",IFERROR(Z4*Z67,""))</f>
        <v/>
      </c>
      <c r="AA66" s="20">
        <f>IF(OR(AA4="",AA67=""),"",IFERROR(AA4*AA67,""))</f>
        <v/>
      </c>
      <c r="AB66" s="20">
        <f>IF(OR(AB4="",AB67=""),"",IFERROR(AB4*AB67,""))</f>
        <v/>
      </c>
      <c r="AC66" s="20">
        <f>IF(OR(AC4="",AC67=""),"",IFERROR(AC4*AC67,""))</f>
        <v/>
      </c>
    </row>
    <row r="67">
      <c r="A67" s="13" t="inlineStr">
        <is>
          <t>% of Sales</t>
        </is>
      </c>
      <c r="B67" s="10" t="n"/>
      <c r="C67" s="14">
        <f>IF(OR(C66="",C4=""),"",IFERROR(C66/C4,""))</f>
        <v/>
      </c>
      <c r="D67" s="15">
        <f>IF(OR(D66="",D4=""),"",IFERROR(D66/D4,""))</f>
        <v/>
      </c>
      <c r="E67" s="15">
        <f>IF(OR(E66="",E4=""),"",IFERROR(E66/E4,""))</f>
        <v/>
      </c>
      <c r="F67" s="15">
        <f>IF(OR(F66="",F4=""),"",IFERROR(F66/F4,""))</f>
        <v/>
      </c>
      <c r="G67" s="15">
        <f>IF(OR(G66="",G4=""),"",IFERROR(G66/G4,""))</f>
        <v/>
      </c>
      <c r="H67" s="15">
        <f>IF(OR(H66="",H4=""),"",IFERROR(H66/H4,""))</f>
        <v/>
      </c>
      <c r="I67" s="15">
        <f>IF(OR(I66="",I4=""),"",IFERROR(I66/I4,""))</f>
        <v/>
      </c>
      <c r="J67" s="15">
        <f>IF(OR(J66="",J4=""),"",IFERROR(J66/J4,""))</f>
        <v/>
      </c>
      <c r="K67" s="15">
        <f>IF(OR(K66="",K4=""),"",IFERROR(K66/K4,""))</f>
        <v/>
      </c>
      <c r="L67" s="15">
        <f>IF(OR(L66="",L4=""),"",IFERROR(L66/L4,""))</f>
        <v/>
      </c>
      <c r="M67" s="15">
        <f>IF(OR(M66="",M4=""),"",IFERROR(M66/M4,""))</f>
        <v/>
      </c>
      <c r="N67" s="15">
        <f>IF(OR(N66="",N4=""),"",IFERROR(N66/N4,""))</f>
        <v/>
      </c>
      <c r="O67" s="14">
        <f>IF(OR(O66="",O4=""),"",IFERROR(O66/O4,""))</f>
        <v/>
      </c>
      <c r="P67" s="15">
        <f>IF(OR(P66="",P4=""),"",IFERROR(P66/P4,""))</f>
        <v/>
      </c>
      <c r="Q67" s="15">
        <f>IF(OR(Q66="",Q4=""),"",IFERROR(Q66/Q4,""))</f>
        <v/>
      </c>
      <c r="R67" s="15">
        <f>IF(OR(R66="",R4=""),"",IFERROR(R66/R4,""))</f>
        <v/>
      </c>
      <c r="S67" s="15">
        <f>IF(OR(S66="",S4=""),"",IFERROR(S66/S4,""))</f>
        <v/>
      </c>
      <c r="T67" s="15">
        <f>IF(OR(T66="",T4=""),"",IFERROR(T66/T4,""))</f>
        <v/>
      </c>
      <c r="U67" s="15">
        <f>IF(OR(U66="",U4=""),"",IFERROR(U66/U4,""))</f>
        <v/>
      </c>
      <c r="V67" s="15">
        <f>IF(OR(V66="",V4=""),"",IFERROR(V66/V4,""))</f>
        <v/>
      </c>
      <c r="W67" s="15">
        <f>IF(OR(W66="",W4=""),"",IFERROR(W66/W4,""))</f>
        <v/>
      </c>
      <c r="X67" s="15">
        <f>IF(OR(X66="",X4=""),"",IFERROR(X66/X4,""))</f>
        <v/>
      </c>
      <c r="Y67" s="25">
        <f>IFERROR(AVERAGE(V67,W67,X67),"")</f>
        <v/>
      </c>
      <c r="Z67" s="26">
        <f>Y67</f>
        <v/>
      </c>
      <c r="AA67" s="26">
        <f>Z67</f>
        <v/>
      </c>
      <c r="AB67" s="26">
        <f>AA67</f>
        <v/>
      </c>
      <c r="AC67" s="26">
        <f>AB67</f>
        <v/>
      </c>
    </row>
    <row r="68">
      <c r="A68" s="18" t="inlineStr">
        <is>
          <t>영업외비용</t>
        </is>
      </c>
      <c r="B68" s="10" t="n"/>
      <c r="C68" s="19" t="n">
        <v>22.17</v>
      </c>
      <c r="D68" s="20" t="n">
        <v>35</v>
      </c>
      <c r="E68" s="20" t="n">
        <v>35</v>
      </c>
      <c r="F68" s="20" t="n">
        <v>81</v>
      </c>
      <c r="G68" s="20" t="n">
        <v>80</v>
      </c>
      <c r="H68" s="20" t="n">
        <v>50</v>
      </c>
      <c r="I68" s="20" t="n">
        <v>218</v>
      </c>
      <c r="J68" s="20" t="n">
        <v>70</v>
      </c>
      <c r="K68" s="20" t="n">
        <v>86</v>
      </c>
      <c r="L68" s="20" t="n">
        <v>151</v>
      </c>
      <c r="M68" s="20" t="n">
        <v>155</v>
      </c>
      <c r="N68" s="20" t="n">
        <v>111</v>
      </c>
      <c r="O68" s="19" t="n">
        <v>171.821</v>
      </c>
      <c r="P68" s="20" t="n">
        <v>75.90000000000001</v>
      </c>
      <c r="Q68" s="20" t="n">
        <v>85.46299999999999</v>
      </c>
      <c r="R68" s="20" t="n">
        <v>83.06399999999999</v>
      </c>
      <c r="S68" s="20" t="n">
        <v>335.469</v>
      </c>
      <c r="T68" s="20" t="n">
        <v>126.573</v>
      </c>
      <c r="U68" s="20" t="n">
        <v>260.186</v>
      </c>
      <c r="V68" s="20" t="n">
        <v>120.68</v>
      </c>
      <c r="W68" s="20" t="n">
        <v>231</v>
      </c>
      <c r="X68" s="20" t="n">
        <v>424</v>
      </c>
      <c r="Y68" s="19">
        <f>IF(OR(Y4="",Y69=""),"",IFERROR(Y4*Y69,""))</f>
        <v/>
      </c>
      <c r="Z68" s="20">
        <f>IF(OR(Z4="",Z69=""),"",IFERROR(Z4*Z69,""))</f>
        <v/>
      </c>
      <c r="AA68" s="20">
        <f>IF(OR(AA4="",AA69=""),"",IFERROR(AA4*AA69,""))</f>
        <v/>
      </c>
      <c r="AB68" s="20">
        <f>IF(OR(AB4="",AB69=""),"",IFERROR(AB4*AB69,""))</f>
        <v/>
      </c>
      <c r="AC68" s="20">
        <f>IF(OR(AC4="",AC69=""),"",IFERROR(AC4*AC69,""))</f>
        <v/>
      </c>
    </row>
    <row r="69">
      <c r="A69" s="13" t="inlineStr">
        <is>
          <t>% of Sales</t>
        </is>
      </c>
      <c r="B69" s="10" t="n"/>
      <c r="C69" s="14">
        <f>IF(OR(C68="",C4=""),"",IFERROR(C68/C4,""))</f>
        <v/>
      </c>
      <c r="D69" s="15">
        <f>IF(OR(D68="",D4=""),"",IFERROR(D68/D4,""))</f>
        <v/>
      </c>
      <c r="E69" s="15">
        <f>IF(OR(E68="",E4=""),"",IFERROR(E68/E4,""))</f>
        <v/>
      </c>
      <c r="F69" s="15">
        <f>IF(OR(F68="",F4=""),"",IFERROR(F68/F4,""))</f>
        <v/>
      </c>
      <c r="G69" s="15">
        <f>IF(OR(G68="",G4=""),"",IFERROR(G68/G4,""))</f>
        <v/>
      </c>
      <c r="H69" s="15">
        <f>IF(OR(H68="",H4=""),"",IFERROR(H68/H4,""))</f>
        <v/>
      </c>
      <c r="I69" s="15">
        <f>IF(OR(I68="",I4=""),"",IFERROR(I68/I4,""))</f>
        <v/>
      </c>
      <c r="J69" s="15">
        <f>IF(OR(J68="",J4=""),"",IFERROR(J68/J4,""))</f>
        <v/>
      </c>
      <c r="K69" s="15">
        <f>IF(OR(K68="",K4=""),"",IFERROR(K68/K4,""))</f>
        <v/>
      </c>
      <c r="L69" s="15">
        <f>IF(OR(L68="",L4=""),"",IFERROR(L68/L4,""))</f>
        <v/>
      </c>
      <c r="M69" s="15">
        <f>IF(OR(M68="",M4=""),"",IFERROR(M68/M4,""))</f>
        <v/>
      </c>
      <c r="N69" s="15">
        <f>IF(OR(N68="",N4=""),"",IFERROR(N68/N4,""))</f>
        <v/>
      </c>
      <c r="O69" s="14">
        <f>IF(OR(O68="",O4=""),"",IFERROR(O68/O4,""))</f>
        <v/>
      </c>
      <c r="P69" s="15">
        <f>IF(OR(P68="",P4=""),"",IFERROR(P68/P4,""))</f>
        <v/>
      </c>
      <c r="Q69" s="15">
        <f>IF(OR(Q68="",Q4=""),"",IFERROR(Q68/Q4,""))</f>
        <v/>
      </c>
      <c r="R69" s="15">
        <f>IF(OR(R68="",R4=""),"",IFERROR(R68/R4,""))</f>
        <v/>
      </c>
      <c r="S69" s="15">
        <f>IF(OR(S68="",S4=""),"",IFERROR(S68/S4,""))</f>
        <v/>
      </c>
      <c r="T69" s="15">
        <f>IF(OR(T68="",T4=""),"",IFERROR(T68/T4,""))</f>
        <v/>
      </c>
      <c r="U69" s="15">
        <f>IF(OR(U68="",U4=""),"",IFERROR(U68/U4,""))</f>
        <v/>
      </c>
      <c r="V69" s="15">
        <f>IF(OR(V68="",V4=""),"",IFERROR(V68/V4,""))</f>
        <v/>
      </c>
      <c r="W69" s="15">
        <f>IF(OR(W68="",W4=""),"",IFERROR(W68/W4,""))</f>
        <v/>
      </c>
      <c r="X69" s="15">
        <f>IF(OR(X68="",X4=""),"",IFERROR(X68/X4,""))</f>
        <v/>
      </c>
      <c r="Y69" s="25">
        <f>IFERROR(AVERAGE(V69,W69,X69),"")</f>
        <v/>
      </c>
      <c r="Z69" s="26">
        <f>Y69</f>
        <v/>
      </c>
      <c r="AA69" s="26">
        <f>Z69</f>
        <v/>
      </c>
      <c r="AB69" s="26">
        <f>AA69</f>
        <v/>
      </c>
      <c r="AC69" s="26">
        <f>AB69</f>
        <v/>
      </c>
    </row>
    <row r="70">
      <c r="A70" s="9" t="inlineStr">
        <is>
          <t>법인세비용차감전순이익(손실)</t>
        </is>
      </c>
      <c r="B70" s="10" t="n"/>
      <c r="C70" s="11" t="n">
        <v>932.301</v>
      </c>
      <c r="D70" s="12" t="n">
        <v>393</v>
      </c>
      <c r="E70" s="12" t="n">
        <v>741</v>
      </c>
      <c r="F70" s="12" t="n">
        <v>614</v>
      </c>
      <c r="G70" s="12" t="n">
        <v>-3281</v>
      </c>
      <c r="H70" s="12" t="n">
        <v>980</v>
      </c>
      <c r="I70" s="12" t="n">
        <v>1052</v>
      </c>
      <c r="J70" s="12" t="n">
        <v>507</v>
      </c>
      <c r="K70" s="12" t="n">
        <v>325</v>
      </c>
      <c r="L70" s="12" t="n">
        <v>1079</v>
      </c>
      <c r="M70" s="12" t="n">
        <v>1064</v>
      </c>
      <c r="N70" s="12" t="n">
        <v>650</v>
      </c>
      <c r="O70" s="11" t="n">
        <v>549.919</v>
      </c>
      <c r="P70" s="12" t="n">
        <v>1646.514</v>
      </c>
      <c r="Q70" s="12" t="n">
        <v>1979.739</v>
      </c>
      <c r="R70" s="12" t="n">
        <v>2305.679</v>
      </c>
      <c r="S70" s="12" t="n">
        <v>2589.39</v>
      </c>
      <c r="T70" s="12" t="n">
        <v>3079.272</v>
      </c>
      <c r="U70" s="12" t="n">
        <v>1418.325</v>
      </c>
      <c r="V70" s="12" t="n">
        <v>1560.311</v>
      </c>
      <c r="W70" s="12" t="n">
        <v>-1533</v>
      </c>
      <c r="X70" s="12" t="n">
        <v>2864</v>
      </c>
      <c r="Y70" s="11">
        <f>IF(OR(Y46=""),"",IFERROR(Y46+N(Y62)-N(Y64)+N(Y66)-N(Y68),""))</f>
        <v/>
      </c>
      <c r="Z70" s="12">
        <f>IF(OR(Z46=""),"",IFERROR(Z46+N(Z62)-N(Z64)+N(Z66)-N(Z68),""))</f>
        <v/>
      </c>
      <c r="AA70" s="12">
        <f>IF(OR(AA46=""),"",IFERROR(AA46+N(AA62)-N(AA64)+N(AA66)-N(AA68),""))</f>
        <v/>
      </c>
      <c r="AB70" s="12">
        <f>IF(OR(AB46=""),"",IFERROR(AB46+N(AB62)-N(AB64)+N(AB66)-N(AB68),""))</f>
        <v/>
      </c>
      <c r="AC70" s="12">
        <f>IF(OR(AC46=""),"",IFERROR(AC46+N(AC62)-N(AC64)+N(AC66)-N(AC68),""))</f>
        <v/>
      </c>
    </row>
    <row r="71">
      <c r="A71" s="13" t="inlineStr">
        <is>
          <t>YoY</t>
        </is>
      </c>
      <c r="B71" s="10" t="n"/>
      <c r="C71" s="14" t="n"/>
      <c r="D71" s="15" t="n"/>
      <c r="E71" s="15" t="n"/>
      <c r="F71" s="15" t="n"/>
      <c r="G71" s="15">
        <f>IF(OR(G70="",C70=""),"",IF(C70&lt;=0,"",IFERROR(G70/C70-1,"")))</f>
        <v/>
      </c>
      <c r="H71" s="15">
        <f>IF(OR(H70="",D70=""),"",IF(D70&lt;=0,"",IFERROR(H70/D70-1,"")))</f>
        <v/>
      </c>
      <c r="I71" s="15">
        <f>IF(OR(I70="",E70=""),"",IF(E70&lt;=0,"",IFERROR(I70/E70-1,"")))</f>
        <v/>
      </c>
      <c r="J71" s="15">
        <f>IF(OR(J70="",F70=""),"",IF(F70&lt;=0,"",IFERROR(J70/F70-1,"")))</f>
        <v/>
      </c>
      <c r="K71" s="15">
        <f>IF(OR(K70="",G70=""),"",IF(G70&lt;=0,"",IFERROR(K70/G70-1,"")))</f>
        <v/>
      </c>
      <c r="L71" s="15">
        <f>IF(OR(L70="",H70=""),"",IF(H70&lt;=0,"",IFERROR(L70/H70-1,"")))</f>
        <v/>
      </c>
      <c r="M71" s="15">
        <f>IF(OR(M70="",I70=""),"",IF(I70&lt;=0,"",IFERROR(M70/I70-1,"")))</f>
        <v/>
      </c>
      <c r="N71" s="15">
        <f>IF(OR(N70="",J70=""),"",IF(J70&lt;=0,"",IFERROR(N70/J70-1,"")))</f>
        <v/>
      </c>
      <c r="O71" s="14" t="n"/>
      <c r="P71" s="15">
        <f>IF(OR(P70="",O70=""),"",IF(O70&lt;=0,"",IFERROR(P70/O70-1,"")))</f>
        <v/>
      </c>
      <c r="Q71" s="15">
        <f>IF(OR(Q70="",P70=""),"",IF(P70&lt;=0,"",IFERROR(Q70/P70-1,"")))</f>
        <v/>
      </c>
      <c r="R71" s="15">
        <f>IF(OR(R70="",Q70=""),"",IF(Q70&lt;=0,"",IFERROR(R70/Q70-1,"")))</f>
        <v/>
      </c>
      <c r="S71" s="15">
        <f>IF(OR(S70="",R70=""),"",IF(R70&lt;=0,"",IFERROR(S70/R70-1,"")))</f>
        <v/>
      </c>
      <c r="T71" s="15">
        <f>IF(OR(T70="",S70=""),"",IF(S70&lt;=0,"",IFERROR(T70/S70-1,"")))</f>
        <v/>
      </c>
      <c r="U71" s="15">
        <f>IF(OR(U70="",T70=""),"",IF(T70&lt;=0,"",IFERROR(U70/T70-1,"")))</f>
        <v/>
      </c>
      <c r="V71" s="15">
        <f>IF(OR(V70="",U70=""),"",IF(U70&lt;=0,"",IFERROR(V70/U70-1,"")))</f>
        <v/>
      </c>
      <c r="W71" s="15">
        <f>IF(OR(W70="",V70=""),"",IF(V70&lt;=0,"",IFERROR(W70/V70-1,"")))</f>
        <v/>
      </c>
      <c r="X71" s="15">
        <f>IF(OR(X70="",W70=""),"",IF(W70&lt;=0,"",IFERROR(X70/W70-1,"")))</f>
        <v/>
      </c>
      <c r="Y71" s="14">
        <f>IF(OR(Y70="",X70=""),"",IF(X70&lt;=0,"",IFERROR(Y70/X70-1,"")))</f>
        <v/>
      </c>
      <c r="Z71" s="15">
        <f>IF(OR(Z70="",Y70=""),"",IF(Y70&lt;=0,"",IFERROR(Z70/Y70-1,"")))</f>
        <v/>
      </c>
      <c r="AA71" s="15">
        <f>IF(OR(AA70="",Z70=""),"",IF(Z70&lt;=0,"",IFERROR(AA70/Z70-1,"")))</f>
        <v/>
      </c>
      <c r="AB71" s="15">
        <f>IF(OR(AB70="",AA70=""),"",IF(AA70&lt;=0,"",IFERROR(AB70/AA70-1,"")))</f>
        <v/>
      </c>
      <c r="AC71" s="15">
        <f>IF(OR(AC70="",AB70=""),"",IF(AB70&lt;=0,"",IFERROR(AC70/AB70-1,"")))</f>
        <v/>
      </c>
    </row>
    <row r="72">
      <c r="A72" s="18" t="inlineStr">
        <is>
          <t>법인세비용(수익)</t>
        </is>
      </c>
      <c r="B72" s="10" t="n"/>
      <c r="C72" s="19" t="n">
        <v>-19.672</v>
      </c>
      <c r="D72" s="20" t="n">
        <v>144</v>
      </c>
      <c r="E72" s="20" t="n">
        <v>289</v>
      </c>
      <c r="F72" s="20" t="n">
        <v>182</v>
      </c>
      <c r="G72" s="20" t="n">
        <v>389</v>
      </c>
      <c r="H72" s="20" t="n">
        <v>479</v>
      </c>
      <c r="I72" s="20" t="n">
        <v>271</v>
      </c>
      <c r="J72" s="20" t="n">
        <v>160</v>
      </c>
      <c r="K72" s="20" t="n">
        <v>-225</v>
      </c>
      <c r="L72" s="20" t="n">
        <v>490</v>
      </c>
      <c r="M72" s="20" t="n">
        <v>236</v>
      </c>
      <c r="N72" s="20" t="n">
        <v>58</v>
      </c>
      <c r="O72" s="19" t="n">
        <v>535.66</v>
      </c>
      <c r="P72" s="20" t="n">
        <v>387.37</v>
      </c>
      <c r="Q72" s="20" t="n">
        <v>552.237</v>
      </c>
      <c r="R72" s="20" t="n">
        <v>760.713</v>
      </c>
      <c r="S72" s="20" t="n">
        <v>604.0549999999999</v>
      </c>
      <c r="T72" s="20" t="n">
        <v>1343.356</v>
      </c>
      <c r="U72" s="20" t="n">
        <v>844.0119999999999</v>
      </c>
      <c r="V72" s="20" t="n">
        <v>406.978</v>
      </c>
      <c r="W72" s="20" t="n">
        <v>1004</v>
      </c>
      <c r="X72" s="20" t="n">
        <v>685</v>
      </c>
      <c r="Y72" s="19">
        <f>IF(OR(Y70="",Y73=""),"",IFERROR(MAX(Y70,0)*Y73,""))</f>
        <v/>
      </c>
      <c r="Z72" s="20">
        <f>IF(OR(Z70="",Z73=""),"",IFERROR(MAX(Z70,0)*Z73,""))</f>
        <v/>
      </c>
      <c r="AA72" s="20">
        <f>IF(OR(AA70="",AA73=""),"",IFERROR(MAX(AA70,0)*AA73,""))</f>
        <v/>
      </c>
      <c r="AB72" s="20">
        <f>IF(OR(AB70="",AB73=""),"",IFERROR(MAX(AB70,0)*AB73,""))</f>
        <v/>
      </c>
      <c r="AC72" s="20">
        <f>IF(OR(AC70="",AC73=""),"",IFERROR(MAX(AC70,0)*AC73,""))</f>
        <v/>
      </c>
    </row>
    <row r="73">
      <c r="A73" s="13" t="inlineStr">
        <is>
          <t>법인세율</t>
        </is>
      </c>
      <c r="B73" s="10" t="inlineStr">
        <is>
          <t>MW 기본 30%</t>
        </is>
      </c>
      <c r="C73" s="14">
        <f>IF(OR(C72="",C70=""),"",IFERROR(C72/C70,""))</f>
        <v/>
      </c>
      <c r="D73" s="15">
        <f>IF(OR(D72="",D70=""),"",IFERROR(D72/D70,""))</f>
        <v/>
      </c>
      <c r="E73" s="15">
        <f>IF(OR(E72="",E70=""),"",IFERROR(E72/E70,""))</f>
        <v/>
      </c>
      <c r="F73" s="15">
        <f>IF(OR(F72="",F70=""),"",IFERROR(F72/F70,""))</f>
        <v/>
      </c>
      <c r="G73" s="15">
        <f>IF(OR(G72="",G70=""),"",IFERROR(G72/G70,""))</f>
        <v/>
      </c>
      <c r="H73" s="15">
        <f>IF(OR(H72="",H70=""),"",IFERROR(H72/H70,""))</f>
        <v/>
      </c>
      <c r="I73" s="15">
        <f>IF(OR(I72="",I70=""),"",IFERROR(I72/I70,""))</f>
        <v/>
      </c>
      <c r="J73" s="15">
        <f>IF(OR(J72="",J70=""),"",IFERROR(J72/J70,""))</f>
        <v/>
      </c>
      <c r="K73" s="15">
        <f>IF(OR(K72="",K70=""),"",IFERROR(K72/K70,""))</f>
        <v/>
      </c>
      <c r="L73" s="15">
        <f>IF(OR(L72="",L70=""),"",IFERROR(L72/L70,""))</f>
        <v/>
      </c>
      <c r="M73" s="15">
        <f>IF(OR(M72="",M70=""),"",IFERROR(M72/M70,""))</f>
        <v/>
      </c>
      <c r="N73" s="15">
        <f>IF(OR(N72="",N70=""),"",IFERROR(N72/N70,""))</f>
        <v/>
      </c>
      <c r="O73" s="14">
        <f>IF(OR(O72="",O70=""),"",IFERROR(O72/O70,""))</f>
        <v/>
      </c>
      <c r="P73" s="15">
        <f>IF(OR(P72="",P70=""),"",IFERROR(P72/P70,""))</f>
        <v/>
      </c>
      <c r="Q73" s="15">
        <f>IF(OR(Q72="",Q70=""),"",IFERROR(Q72/Q70,""))</f>
        <v/>
      </c>
      <c r="R73" s="15">
        <f>IF(OR(R72="",R70=""),"",IFERROR(R72/R70,""))</f>
        <v/>
      </c>
      <c r="S73" s="15">
        <f>IF(OR(S72="",S70=""),"",IFERROR(S72/S70,""))</f>
        <v/>
      </c>
      <c r="T73" s="15">
        <f>IF(OR(T72="",T70=""),"",IFERROR(T72/T70,""))</f>
        <v/>
      </c>
      <c r="U73" s="15">
        <f>IF(OR(U72="",U70=""),"",IFERROR(U72/U70,""))</f>
        <v/>
      </c>
      <c r="V73" s="15">
        <f>IF(OR(V72="",V70=""),"",IFERROR(V72/V70,""))</f>
        <v/>
      </c>
      <c r="W73" s="15">
        <f>IF(OR(W72="",W70=""),"",IFERROR(W72/W70,""))</f>
        <v/>
      </c>
      <c r="X73" s="15">
        <f>IF(OR(X72="",X70=""),"",IFERROR(X72/X70,""))</f>
        <v/>
      </c>
      <c r="Y73" s="25" t="n">
        <v>0.3</v>
      </c>
      <c r="Z73" s="26" t="n">
        <v>0.3</v>
      </c>
      <c r="AA73" s="26" t="n">
        <v>0.3</v>
      </c>
      <c r="AB73" s="26" t="n">
        <v>0.3</v>
      </c>
      <c r="AC73" s="26" t="n">
        <v>0.3</v>
      </c>
    </row>
    <row r="74">
      <c r="A74" s="9" t="inlineStr">
        <is>
          <t>당기순이익(손실)</t>
        </is>
      </c>
      <c r="B74" s="10" t="n"/>
      <c r="C74" s="11" t="n">
        <v>951.973</v>
      </c>
      <c r="D74" s="12" t="n">
        <v>248</v>
      </c>
      <c r="E74" s="12" t="n">
        <v>453</v>
      </c>
      <c r="F74" s="12" t="n">
        <v>432</v>
      </c>
      <c r="G74" s="12" t="n">
        <v>-3670</v>
      </c>
      <c r="H74" s="12" t="n">
        <v>501</v>
      </c>
      <c r="I74" s="12" t="n">
        <v>780</v>
      </c>
      <c r="J74" s="12" t="n">
        <v>347</v>
      </c>
      <c r="K74" s="12" t="n">
        <v>551</v>
      </c>
      <c r="L74" s="12" t="n">
        <v>589</v>
      </c>
      <c r="M74" s="12" t="n">
        <v>828</v>
      </c>
      <c r="N74" s="12" t="n">
        <v>592</v>
      </c>
      <c r="O74" s="11" t="n">
        <v>14.259</v>
      </c>
      <c r="P74" s="12" t="n">
        <v>1259.143</v>
      </c>
      <c r="Q74" s="12" t="n">
        <v>1427.501</v>
      </c>
      <c r="R74" s="12" t="n">
        <v>1544.965</v>
      </c>
      <c r="S74" s="12" t="n">
        <v>1985.334</v>
      </c>
      <c r="T74" s="12" t="n">
        <v>1735.915</v>
      </c>
      <c r="U74" s="12" t="n">
        <v>574.312</v>
      </c>
      <c r="V74" s="12" t="n">
        <v>1153.333</v>
      </c>
      <c r="W74" s="12" t="n">
        <v>-2537</v>
      </c>
      <c r="X74" s="12" t="n">
        <v>2179</v>
      </c>
      <c r="Y74" s="11">
        <f>IF(OR(Y70=""),"",IFERROR(Y70-Y72,""))</f>
        <v/>
      </c>
      <c r="Z74" s="12">
        <f>IF(OR(Z70=""),"",IFERROR(Z70-Z72,""))</f>
        <v/>
      </c>
      <c r="AA74" s="12">
        <f>IF(OR(AA70=""),"",IFERROR(AA70-AA72,""))</f>
        <v/>
      </c>
      <c r="AB74" s="12">
        <f>IF(OR(AB70=""),"",IFERROR(AB70-AB72,""))</f>
        <v/>
      </c>
      <c r="AC74" s="12">
        <f>IF(OR(AC70=""),"",IFERROR(AC70-AC72,""))</f>
        <v/>
      </c>
    </row>
    <row r="75">
      <c r="A75" s="13" t="inlineStr">
        <is>
          <t>YoY</t>
        </is>
      </c>
      <c r="B75" s="10" t="n"/>
      <c r="C75" s="14" t="n"/>
      <c r="D75" s="15" t="n"/>
      <c r="E75" s="15" t="n"/>
      <c r="F75" s="15" t="n"/>
      <c r="G75" s="15">
        <f>IF(OR(G74="",C74=""),"",IF(C74&lt;=0,"",IFERROR(G74/C74-1,"")))</f>
        <v/>
      </c>
      <c r="H75" s="15">
        <f>IF(OR(H74="",D74=""),"",IF(D74&lt;=0,"",IFERROR(H74/D74-1,"")))</f>
        <v/>
      </c>
      <c r="I75" s="15">
        <f>IF(OR(I74="",E74=""),"",IF(E74&lt;=0,"",IFERROR(I74/E74-1,"")))</f>
        <v/>
      </c>
      <c r="J75" s="15">
        <f>IF(OR(J74="",F74=""),"",IF(F74&lt;=0,"",IFERROR(J74/F74-1,"")))</f>
        <v/>
      </c>
      <c r="K75" s="15">
        <f>IF(OR(K74="",G74=""),"",IF(G74&lt;=0,"",IFERROR(K74/G74-1,"")))</f>
        <v/>
      </c>
      <c r="L75" s="15">
        <f>IF(OR(L74="",H74=""),"",IF(H74&lt;=0,"",IFERROR(L74/H74-1,"")))</f>
        <v/>
      </c>
      <c r="M75" s="15">
        <f>IF(OR(M74="",I74=""),"",IF(I74&lt;=0,"",IFERROR(M74/I74-1,"")))</f>
        <v/>
      </c>
      <c r="N75" s="15">
        <f>IF(OR(N74="",J74=""),"",IF(J74&lt;=0,"",IFERROR(N74/J74-1,"")))</f>
        <v/>
      </c>
      <c r="O75" s="14" t="n"/>
      <c r="P75" s="15">
        <f>IF(OR(P74="",O74=""),"",IF(O74&lt;=0,"",IFERROR(P74/O74-1,"")))</f>
        <v/>
      </c>
      <c r="Q75" s="15">
        <f>IF(OR(Q74="",P74=""),"",IF(P74&lt;=0,"",IFERROR(Q74/P74-1,"")))</f>
        <v/>
      </c>
      <c r="R75" s="15">
        <f>IF(OR(R74="",Q74=""),"",IF(Q74&lt;=0,"",IFERROR(R74/Q74-1,"")))</f>
        <v/>
      </c>
      <c r="S75" s="15">
        <f>IF(OR(S74="",R74=""),"",IF(R74&lt;=0,"",IFERROR(S74/R74-1,"")))</f>
        <v/>
      </c>
      <c r="T75" s="15">
        <f>IF(OR(T74="",S74=""),"",IF(S74&lt;=0,"",IFERROR(T74/S74-1,"")))</f>
        <v/>
      </c>
      <c r="U75" s="15">
        <f>IF(OR(U74="",T74=""),"",IF(T74&lt;=0,"",IFERROR(U74/T74-1,"")))</f>
        <v/>
      </c>
      <c r="V75" s="15">
        <f>IF(OR(V74="",U74=""),"",IF(U74&lt;=0,"",IFERROR(V74/U74-1,"")))</f>
        <v/>
      </c>
      <c r="W75" s="15">
        <f>IF(OR(W74="",V74=""),"",IF(V74&lt;=0,"",IFERROR(W74/V74-1,"")))</f>
        <v/>
      </c>
      <c r="X75" s="15">
        <f>IF(OR(X74="",W74=""),"",IF(W74&lt;=0,"",IFERROR(X74/W74-1,"")))</f>
        <v/>
      </c>
      <c r="Y75" s="14">
        <f>IF(OR(Y74="",X74=""),"",IF(X74&lt;=0,"",IFERROR(Y74/X74-1,"")))</f>
        <v/>
      </c>
      <c r="Z75" s="15">
        <f>IF(OR(Z74="",Y74=""),"",IF(Y74&lt;=0,"",IFERROR(Z74/Y74-1,"")))</f>
        <v/>
      </c>
      <c r="AA75" s="15">
        <f>IF(OR(AA74="",Z74=""),"",IF(Z74&lt;=0,"",IFERROR(AA74/Z74-1,"")))</f>
        <v/>
      </c>
      <c r="AB75" s="15">
        <f>IF(OR(AB74="",AA74=""),"",IF(AA74&lt;=0,"",IFERROR(AB74/AA74-1,"")))</f>
        <v/>
      </c>
      <c r="AC75" s="15">
        <f>IF(OR(AC74="",AB74=""),"",IF(AB74&lt;=0,"",IFERROR(AC74/AB74-1,"")))</f>
        <v/>
      </c>
    </row>
    <row r="76">
      <c r="A76" s="9" t="inlineStr">
        <is>
          <t>지배주주 순이익</t>
        </is>
      </c>
      <c r="B76" s="10" t="n"/>
      <c r="C76" s="11" t="n">
        <v>952.879</v>
      </c>
      <c r="D76" s="12" t="n">
        <v>249</v>
      </c>
      <c r="E76" s="12" t="n">
        <v>455</v>
      </c>
      <c r="F76" s="12" t="n">
        <v>434</v>
      </c>
      <c r="G76" s="12" t="n">
        <v>-3663</v>
      </c>
      <c r="H76" s="12" t="n">
        <v>505</v>
      </c>
      <c r="I76" s="12" t="n">
        <v>783</v>
      </c>
      <c r="J76" s="12" t="n">
        <v>347</v>
      </c>
      <c r="K76" s="12" t="n">
        <v>552</v>
      </c>
      <c r="L76" s="12" t="n">
        <v>586</v>
      </c>
      <c r="M76" s="12" t="n">
        <v>831</v>
      </c>
      <c r="N76" s="12" t="n">
        <v>589</v>
      </c>
      <c r="O76" s="11" t="n">
        <v>8.359999999999999</v>
      </c>
      <c r="P76" s="12" t="n">
        <v>1241.799</v>
      </c>
      <c r="Q76" s="12" t="n">
        <v>1414.736</v>
      </c>
      <c r="R76" s="12" t="n">
        <v>1533.384</v>
      </c>
      <c r="S76" s="12" t="n">
        <v>1983.782</v>
      </c>
      <c r="T76" s="12" t="n">
        <v>1736.962</v>
      </c>
      <c r="U76" s="12" t="n">
        <v>579.604</v>
      </c>
      <c r="V76" s="12" t="n">
        <v>1162.744</v>
      </c>
      <c r="W76" s="12" t="n">
        <v>-2525</v>
      </c>
      <c r="X76" s="12" t="n">
        <v>2187</v>
      </c>
      <c r="Y76" s="11">
        <f>IF(OR(Y74="",Y77=""),"",IFERROR(Y74*Y77,""))</f>
        <v/>
      </c>
      <c r="Z76" s="12">
        <f>IF(OR(Z74="",Z77=""),"",IFERROR(Z74*Z77,""))</f>
        <v/>
      </c>
      <c r="AA76" s="12">
        <f>IF(OR(AA74="",AA77=""),"",IFERROR(AA74*AA77,""))</f>
        <v/>
      </c>
      <c r="AB76" s="12">
        <f>IF(OR(AB74="",AB77=""),"",IFERROR(AB74*AB77,""))</f>
        <v/>
      </c>
      <c r="AC76" s="12">
        <f>IF(OR(AC74="",AC77=""),"",IFERROR(AC74*AC77,""))</f>
        <v/>
      </c>
    </row>
    <row r="77">
      <c r="A77" s="13" t="inlineStr">
        <is>
          <t>지배주주 순이익률</t>
        </is>
      </c>
      <c r="B77" s="10" t="inlineStr">
        <is>
          <t>MW 기본 100%</t>
        </is>
      </c>
      <c r="C77" s="14">
        <f>IF(OR(C76="",C74=""),"",IFERROR(C76/C74,""))</f>
        <v/>
      </c>
      <c r="D77" s="15">
        <f>IF(OR(D76="",D74=""),"",IFERROR(D76/D74,""))</f>
        <v/>
      </c>
      <c r="E77" s="15">
        <f>IF(OR(E76="",E74=""),"",IFERROR(E76/E74,""))</f>
        <v/>
      </c>
      <c r="F77" s="15">
        <f>IF(OR(F76="",F74=""),"",IFERROR(F76/F74,""))</f>
        <v/>
      </c>
      <c r="G77" s="15">
        <f>IF(OR(G76="",G74=""),"",IFERROR(G76/G74,""))</f>
        <v/>
      </c>
      <c r="H77" s="15">
        <f>IF(OR(H76="",H74=""),"",IFERROR(H76/H74,""))</f>
        <v/>
      </c>
      <c r="I77" s="15">
        <f>IF(OR(I76="",I74=""),"",IFERROR(I76/I74,""))</f>
        <v/>
      </c>
      <c r="J77" s="15">
        <f>IF(OR(J76="",J74=""),"",IFERROR(J76/J74,""))</f>
        <v/>
      </c>
      <c r="K77" s="15">
        <f>IF(OR(K76="",K74=""),"",IFERROR(K76/K74,""))</f>
        <v/>
      </c>
      <c r="L77" s="15">
        <f>IF(OR(L76="",L74=""),"",IFERROR(L76/L74,""))</f>
        <v/>
      </c>
      <c r="M77" s="15">
        <f>IF(OR(M76="",M74=""),"",IFERROR(M76/M74,""))</f>
        <v/>
      </c>
      <c r="N77" s="15">
        <f>IF(OR(N76="",N74=""),"",IFERROR(N76/N74,""))</f>
        <v/>
      </c>
      <c r="O77" s="14">
        <f>IF(OR(O76="",O74=""),"",IFERROR(O76/O74,""))</f>
        <v/>
      </c>
      <c r="P77" s="15">
        <f>IF(OR(P76="",P74=""),"",IFERROR(P76/P74,""))</f>
        <v/>
      </c>
      <c r="Q77" s="15">
        <f>IF(OR(Q76="",Q74=""),"",IFERROR(Q76/Q74,""))</f>
        <v/>
      </c>
      <c r="R77" s="15">
        <f>IF(OR(R76="",R74=""),"",IFERROR(R76/R74,""))</f>
        <v/>
      </c>
      <c r="S77" s="15">
        <f>IF(OR(S76="",S74=""),"",IFERROR(S76/S74,""))</f>
        <v/>
      </c>
      <c r="T77" s="15">
        <f>IF(OR(T76="",T74=""),"",IFERROR(T76/T74,""))</f>
        <v/>
      </c>
      <c r="U77" s="15">
        <f>IF(OR(U76="",U74=""),"",IFERROR(U76/U74,""))</f>
        <v/>
      </c>
      <c r="V77" s="15">
        <f>IF(OR(V76="",V74=""),"",IFERROR(V76/V74,""))</f>
        <v/>
      </c>
      <c r="W77" s="15">
        <f>IF(OR(W76="",W74=""),"",IFERROR(W76/W74,""))</f>
        <v/>
      </c>
      <c r="X77" s="15">
        <f>IF(OR(X76="",X74=""),"",IFERROR(X76/X74,""))</f>
        <v/>
      </c>
      <c r="Y77" s="25" t="n">
        <v>1</v>
      </c>
      <c r="Z77" s="26" t="n">
        <v>1</v>
      </c>
      <c r="AA77" s="26" t="n">
        <v>1</v>
      </c>
      <c r="AB77" s="26" t="n">
        <v>1</v>
      </c>
      <c r="AC77" s="26" t="n">
        <v>1</v>
      </c>
    </row>
    <row r="78">
      <c r="A78" s="13" t="inlineStr">
        <is>
          <t>지배주주 순이익 YoY</t>
        </is>
      </c>
      <c r="B78" s="10" t="n"/>
      <c r="C78" s="14" t="n"/>
      <c r="D78" s="15" t="n"/>
      <c r="E78" s="15" t="n"/>
      <c r="F78" s="15" t="n"/>
      <c r="G78" s="15">
        <f>IF(OR(G76="",C76=""),"",IF(C76&lt;=0,"",IFERROR(G76/C76-1,"")))</f>
        <v/>
      </c>
      <c r="H78" s="15">
        <f>IF(OR(H76="",D76=""),"",IF(D76&lt;=0,"",IFERROR(H76/D76-1,"")))</f>
        <v/>
      </c>
      <c r="I78" s="15">
        <f>IF(OR(I76="",E76=""),"",IF(E76&lt;=0,"",IFERROR(I76/E76-1,"")))</f>
        <v/>
      </c>
      <c r="J78" s="15">
        <f>IF(OR(J76="",F76=""),"",IF(F76&lt;=0,"",IFERROR(J76/F76-1,"")))</f>
        <v/>
      </c>
      <c r="K78" s="15">
        <f>IF(OR(K76="",G76=""),"",IF(G76&lt;=0,"",IFERROR(K76/G76-1,"")))</f>
        <v/>
      </c>
      <c r="L78" s="15">
        <f>IF(OR(L76="",H76=""),"",IF(H76&lt;=0,"",IFERROR(L76/H76-1,"")))</f>
        <v/>
      </c>
      <c r="M78" s="15">
        <f>IF(OR(M76="",I76=""),"",IF(I76&lt;=0,"",IFERROR(M76/I76-1,"")))</f>
        <v/>
      </c>
      <c r="N78" s="15">
        <f>IF(OR(N76="",J76=""),"",IF(J76&lt;=0,"",IFERROR(N76/J76-1,"")))</f>
        <v/>
      </c>
      <c r="O78" s="14" t="n"/>
      <c r="P78" s="15">
        <f>IF(OR(P76="",O76=""),"",IF(O76&lt;=0,"",IFERROR(P76/O76-1,"")))</f>
        <v/>
      </c>
      <c r="Q78" s="15">
        <f>IF(OR(Q76="",P76=""),"",IF(P76&lt;=0,"",IFERROR(Q76/P76-1,"")))</f>
        <v/>
      </c>
      <c r="R78" s="15">
        <f>IF(OR(R76="",Q76=""),"",IF(Q76&lt;=0,"",IFERROR(R76/Q76-1,"")))</f>
        <v/>
      </c>
      <c r="S78" s="15">
        <f>IF(OR(S76="",R76=""),"",IF(R76&lt;=0,"",IFERROR(S76/R76-1,"")))</f>
        <v/>
      </c>
      <c r="T78" s="15">
        <f>IF(OR(T76="",S76=""),"",IF(S76&lt;=0,"",IFERROR(T76/S76-1,"")))</f>
        <v/>
      </c>
      <c r="U78" s="15">
        <f>IF(OR(U76="",T76=""),"",IF(T76&lt;=0,"",IFERROR(U76/T76-1,"")))</f>
        <v/>
      </c>
      <c r="V78" s="15">
        <f>IF(OR(V76="",U76=""),"",IF(U76&lt;=0,"",IFERROR(V76/U76-1,"")))</f>
        <v/>
      </c>
      <c r="W78" s="15">
        <f>IF(OR(W76="",V76=""),"",IF(V76&lt;=0,"",IFERROR(W76/V76-1,"")))</f>
        <v/>
      </c>
      <c r="X78" s="15">
        <f>IF(OR(X76="",W76=""),"",IF(W76&lt;=0,"",IFERROR(X76/W76-1,"")))</f>
        <v/>
      </c>
      <c r="Y78" s="14">
        <f>IF(OR(Y76="",X76=""),"",IF(X76&lt;=0,"",IFERROR(Y76/X76-1,"")))</f>
        <v/>
      </c>
      <c r="Z78" s="15">
        <f>IF(OR(Z76="",Y76=""),"",IF(Y76&lt;=0,"",IFERROR(Z76/Y76-1,"")))</f>
        <v/>
      </c>
      <c r="AA78" s="15">
        <f>IF(OR(AA76="",Z76=""),"",IF(Z76&lt;=0,"",IFERROR(AA76/Z76-1,"")))</f>
        <v/>
      </c>
      <c r="AB78" s="15">
        <f>IF(OR(AB76="",AA76=""),"",IF(AA76&lt;=0,"",IFERROR(AB76/AA76-1,"")))</f>
        <v/>
      </c>
      <c r="AC78" s="15">
        <f>IF(OR(AC76="",AB76=""),"",IF(AB76&lt;=0,"",IFERROR(AC76/AB76-1,"")))</f>
        <v/>
      </c>
    </row>
    <row r="79">
      <c r="A79" s="16" t="inlineStr">
        <is>
          <t>목표주가 산출</t>
        </is>
      </c>
      <c r="B79" s="16" t="n"/>
      <c r="C79" s="17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7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7" t="n"/>
      <c r="Z79" s="16" t="n"/>
      <c r="AA79" s="16" t="n"/>
      <c r="AB79" s="16" t="n"/>
      <c r="AC79" s="16" t="n"/>
    </row>
    <row r="80">
      <c r="A80" s="18" t="inlineStr">
        <is>
          <t>현재 주가 ()</t>
        </is>
      </c>
      <c r="B80" s="27" t="n"/>
      <c r="C80" s="28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8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8" t="n"/>
      <c r="Z80" s="29" t="n"/>
      <c r="AA80" s="29" t="n"/>
      <c r="AB80" s="29" t="n"/>
      <c r="AC80" s="29" t="n"/>
    </row>
    <row r="81">
      <c r="A81" s="18" t="inlineStr">
        <is>
          <t>발행주식수 (보통주)</t>
        </is>
      </c>
      <c r="B81" s="27" t="n"/>
      <c r="C81" s="28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8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8" t="n"/>
      <c r="Z81" s="29" t="n"/>
      <c r="AA81" s="29" t="n"/>
      <c r="AB81" s="29" t="n"/>
      <c r="AC81" s="29" t="n"/>
    </row>
    <row r="82">
      <c r="A82" s="18" t="inlineStr">
        <is>
          <t>시가총액 (백만엔)</t>
        </is>
      </c>
      <c r="B82" s="12">
        <f>IF(OR(B80="",B81=""),"",B80*B81/1000000.0)</f>
        <v/>
      </c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19" t="n"/>
      <c r="Z82" s="20" t="n"/>
      <c r="AA82" s="20" t="n"/>
      <c r="AB82" s="20" t="n"/>
      <c r="AC82" s="20" t="n"/>
    </row>
    <row r="83">
      <c r="A83" s="13" t="inlineStr">
        <is>
          <t>OPM</t>
        </is>
      </c>
      <c r="B83" s="10" t="n"/>
      <c r="C83" s="14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4">
        <f>IF(O47="","",O47)</f>
        <v/>
      </c>
      <c r="P83" s="15">
        <f>IF(P47="","",P47)</f>
        <v/>
      </c>
      <c r="Q83" s="15">
        <f>IF(Q47="","",Q47)</f>
        <v/>
      </c>
      <c r="R83" s="15">
        <f>IF(R47="","",R47)</f>
        <v/>
      </c>
      <c r="S83" s="15">
        <f>IF(S47="","",S47)</f>
        <v/>
      </c>
      <c r="T83" s="15">
        <f>IF(T47="","",T47)</f>
        <v/>
      </c>
      <c r="U83" s="15">
        <f>IF(U47="","",U47)</f>
        <v/>
      </c>
      <c r="V83" s="15">
        <f>IF(V47="","",V47)</f>
        <v/>
      </c>
      <c r="W83" s="15">
        <f>IF(W47="","",W47)</f>
        <v/>
      </c>
      <c r="X83" s="15">
        <f>IF(X47="","",X47)</f>
        <v/>
      </c>
      <c r="Y83" s="14">
        <f>IF(Y47="","",Y47)</f>
        <v/>
      </c>
      <c r="Z83" s="15">
        <f>IF(Z47="","",Z47)</f>
        <v/>
      </c>
      <c r="AA83" s="15">
        <f>IF(AA47="","",AA47)</f>
        <v/>
      </c>
      <c r="AB83" s="15">
        <f>IF(AB47="","",AB47)</f>
        <v/>
      </c>
      <c r="AC83" s="15">
        <f>IF(AC47="","",AC47)</f>
        <v/>
      </c>
    </row>
    <row r="84">
      <c r="A84" s="13" t="inlineStr">
        <is>
          <t>지배주주 순이익 증가율</t>
        </is>
      </c>
      <c r="B84" s="10" t="n"/>
      <c r="C84" s="14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4" t="n"/>
      <c r="P84" s="15">
        <f>IF(OR(P76="",O76=""),"",IFERROR(P76/O76-1,""))</f>
        <v/>
      </c>
      <c r="Q84" s="15">
        <f>IF(OR(Q76="",P76=""),"",IFERROR(Q76/P76-1,""))</f>
        <v/>
      </c>
      <c r="R84" s="15">
        <f>IF(OR(R76="",Q76=""),"",IFERROR(R76/Q76-1,""))</f>
        <v/>
      </c>
      <c r="S84" s="15">
        <f>IF(OR(S76="",R76=""),"",IFERROR(S76/R76-1,""))</f>
        <v/>
      </c>
      <c r="T84" s="15">
        <f>IF(OR(T76="",S76=""),"",IFERROR(T76/S76-1,""))</f>
        <v/>
      </c>
      <c r="U84" s="15">
        <f>IF(OR(U76="",T76=""),"",IFERROR(U76/T76-1,""))</f>
        <v/>
      </c>
      <c r="V84" s="15">
        <f>IF(OR(V76="",U76=""),"",IFERROR(V76/U76-1,""))</f>
        <v/>
      </c>
      <c r="W84" s="15">
        <f>IF(OR(W76="",V76=""),"",IFERROR(W76/V76-1,""))</f>
        <v/>
      </c>
      <c r="X84" s="15">
        <f>IF(OR(X76="",W76=""),"",IFERROR(X76/W76-1,""))</f>
        <v/>
      </c>
      <c r="Y84" s="14">
        <f>IF(OR(Y76="",X76=""),"",IFERROR(Y76/X76-1,""))</f>
        <v/>
      </c>
      <c r="Z84" s="15">
        <f>IF(OR(Z76="",Y76=""),"",IFERROR(Z76/Y76-1,""))</f>
        <v/>
      </c>
      <c r="AA84" s="15">
        <f>IF(OR(AA76="",Z76=""),"",IFERROR(AA76/Z76-1,""))</f>
        <v/>
      </c>
      <c r="AB84" s="15">
        <f>IF(OR(AB76="",AA76=""),"",IFERROR(AB76/AA76-1,""))</f>
        <v/>
      </c>
      <c r="AC84" s="15">
        <f>IF(OR(AC76="",AB76=""),"",IFERROR(AC76/AB76-1,""))</f>
        <v/>
      </c>
    </row>
    <row r="85">
      <c r="A85" s="18" t="inlineStr">
        <is>
          <t>P/E (현재 주가)</t>
        </is>
      </c>
      <c r="B85" s="10" t="inlineStr">
        <is>
          <t>시총 ÷ 지배순이익</t>
        </is>
      </c>
      <c r="C85" s="30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0" t="n"/>
      <c r="P85" s="31" t="n"/>
      <c r="Q85" s="31" t="n"/>
      <c r="R85" s="31" t="n"/>
      <c r="S85" s="31" t="n"/>
      <c r="T85" s="31" t="n"/>
      <c r="U85" s="31" t="n"/>
      <c r="V85" s="31" t="n"/>
      <c r="W85" s="31" t="n"/>
      <c r="X85" s="31">
        <f>IF(OR($B$82="",X76=""),"",IFERROR($B$82/X76,""))</f>
        <v/>
      </c>
      <c r="Y85" s="30">
        <f>IF(OR($B$82="",Y76=""),"",IFERROR($B$82/Y76,""))</f>
        <v/>
      </c>
      <c r="Z85" s="31">
        <f>IF(OR($B$82="",Z76=""),"",IFERROR($B$82/Z76,""))</f>
        <v/>
      </c>
      <c r="AA85" s="31">
        <f>IF(OR($B$82="",AA76=""),"",IFERROR($B$82/AA76,""))</f>
        <v/>
      </c>
      <c r="AB85" s="31">
        <f>IF(OR($B$82="",AB76=""),"",IFERROR($B$82/AB76,""))</f>
        <v/>
      </c>
      <c r="AC85" s="31">
        <f>IF(OR($B$82="",AC76=""),"",IFERROR($B$82/AC76,""))</f>
        <v/>
      </c>
    </row>
    <row r="86">
      <c r="A86" s="18" t="inlineStr">
        <is>
          <t>Target P/E</t>
        </is>
      </c>
      <c r="B86" s="10" t="inlineStr">
        <is>
          <t>직접 입력</t>
        </is>
      </c>
      <c r="C86" s="30" t="n"/>
      <c r="D86" s="31" t="n"/>
      <c r="E86" s="31" t="n"/>
      <c r="F86" s="31" t="n"/>
      <c r="G86" s="31" t="n"/>
      <c r="H86" s="31" t="n"/>
      <c r="I86" s="31" t="n"/>
      <c r="J86" s="31" t="n"/>
      <c r="K86" s="31" t="n"/>
      <c r="L86" s="31" t="n"/>
      <c r="M86" s="31" t="n"/>
      <c r="N86" s="31" t="n"/>
      <c r="O86" s="30" t="n"/>
      <c r="P86" s="31" t="n"/>
      <c r="Q86" s="31" t="n"/>
      <c r="R86" s="31" t="n"/>
      <c r="S86" s="31" t="n"/>
      <c r="T86" s="31" t="n"/>
      <c r="U86" s="31" t="n"/>
      <c r="V86" s="31" t="n"/>
      <c r="W86" s="31" t="n"/>
      <c r="X86" s="31" t="n"/>
      <c r="Y86" s="32" t="n"/>
      <c r="Z86" s="33" t="n"/>
      <c r="AA86" s="33" t="n"/>
      <c r="AB86" s="33" t="n"/>
      <c r="AC86" s="33" t="n"/>
    </row>
    <row r="87">
      <c r="A87" s="18" t="inlineStr">
        <is>
          <t>EPS</t>
        </is>
      </c>
      <c r="B87" s="10" t="inlineStr">
        <is>
          <t>지배순이익 ÷ 주식수</t>
        </is>
      </c>
      <c r="C87" s="28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8">
        <f>IF(OR(O76="",$B$81=""),"",IFERROR(O76*1000000.0/$B$81,""))</f>
        <v/>
      </c>
      <c r="P87" s="29">
        <f>IF(OR(P76="",$B$81=""),"",IFERROR(P76*1000000.0/$B$81,""))</f>
        <v/>
      </c>
      <c r="Q87" s="29">
        <f>IF(OR(Q76="",$B$81=""),"",IFERROR(Q76*1000000.0/$B$81,""))</f>
        <v/>
      </c>
      <c r="R87" s="29">
        <f>IF(OR(R76="",$B$81=""),"",IFERROR(R76*1000000.0/$B$81,""))</f>
        <v/>
      </c>
      <c r="S87" s="29">
        <f>IF(OR(S76="",$B$81=""),"",IFERROR(S76*1000000.0/$B$81,""))</f>
        <v/>
      </c>
      <c r="T87" s="29">
        <f>IF(OR(T76="",$B$81=""),"",IFERROR(T76*1000000.0/$B$81,""))</f>
        <v/>
      </c>
      <c r="U87" s="29">
        <f>IF(OR(U76="",$B$81=""),"",IFERROR(U76*1000000.0/$B$81,""))</f>
        <v/>
      </c>
      <c r="V87" s="29">
        <f>IF(OR(V76="",$B$81=""),"",IFERROR(V76*1000000.0/$B$81,""))</f>
        <v/>
      </c>
      <c r="W87" s="29">
        <f>IF(OR(W76="",$B$81=""),"",IFERROR(W76*1000000.0/$B$81,""))</f>
        <v/>
      </c>
      <c r="X87" s="29">
        <f>IF(OR(X76="",$B$81=""),"",IFERROR(X76*1000000.0/$B$81,""))</f>
        <v/>
      </c>
      <c r="Y87" s="28">
        <f>IF(OR(Y76="",$B$81=""),"",IFERROR(Y76*1000000.0/$B$81,""))</f>
        <v/>
      </c>
      <c r="Z87" s="29">
        <f>IF(OR(Z76="",$B$81=""),"",IFERROR(Z76*1000000.0/$B$81,""))</f>
        <v/>
      </c>
      <c r="AA87" s="29">
        <f>IF(OR(AA76="",$B$81=""),"",IFERROR(AA76*1000000.0/$B$81,""))</f>
        <v/>
      </c>
      <c r="AB87" s="29">
        <f>IF(OR(AB76="",$B$81=""),"",IFERROR(AB76*1000000.0/$B$81,""))</f>
        <v/>
      </c>
      <c r="AC87" s="29">
        <f>IF(OR(AC76="",$B$81=""),"",IFERROR(AC76*1000000.0/$B$81,""))</f>
        <v/>
      </c>
    </row>
    <row r="88">
      <c r="A88" s="9" t="inlineStr">
        <is>
          <t>목표주가</t>
        </is>
      </c>
      <c r="B88" s="10" t="n"/>
      <c r="C88" s="34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34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34">
        <f>IF(OR(Y87="",Y86=""),"",IFERROR(Y87*Y86,""))</f>
        <v/>
      </c>
      <c r="Z88" s="27">
        <f>IF(OR(Z87="",Z86=""),"",IFERROR(Z87*Z86,""))</f>
        <v/>
      </c>
      <c r="AA88" s="27">
        <f>IF(OR(AA87="",AA86=""),"",IFERROR(AA87*AA86,""))</f>
        <v/>
      </c>
      <c r="AB88" s="27">
        <f>IF(OR(AB87="",AB86=""),"",IFERROR(AB87*AB86,""))</f>
        <v/>
      </c>
      <c r="AC88" s="27">
        <f>IF(OR(AC87="",AC86=""),"",IFERROR(AC87*AC86,""))</f>
        <v/>
      </c>
    </row>
    <row r="89">
      <c r="A89" s="18" t="inlineStr">
        <is>
          <t>상승여력</t>
        </is>
      </c>
      <c r="B89" s="10" t="n"/>
      <c r="C89" s="35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5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7">
        <f>IF(OR(Y88="",$B$80=""),"",IFERROR(Y88/$B$80-1,""))</f>
        <v/>
      </c>
      <c r="Z89" s="38">
        <f>IF(OR(Z88="",$B$80=""),"",IFERROR(Z88/$B$80-1,""))</f>
        <v/>
      </c>
      <c r="AA89" s="38">
        <f>IF(OR(AA88="",$B$80=""),"",IFERROR(AA88/$B$80-1,""))</f>
        <v/>
      </c>
      <c r="AB89" s="38">
        <f>IF(OR(AB88="",$B$80=""),"",IFERROR(AB88/$B$80-1,""))</f>
        <v/>
      </c>
      <c r="AC89" s="38">
        <f>IF(OR(AC88="",$B$80=""),"",IFERROR(AC88/$B$80-1,""))</f>
        <v/>
      </c>
    </row>
    <row r="90">
      <c r="A90" s="16" t="inlineStr">
        <is>
          <t>자산가치 산출</t>
        </is>
      </c>
      <c r="B90" s="16" t="inlineStr">
        <is>
          <t>최신 분기 BS</t>
        </is>
      </c>
      <c r="C90" s="17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7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7" t="n"/>
      <c r="Z90" s="16" t="n"/>
      <c r="AA90" s="16" t="n"/>
      <c r="AB90" s="16" t="n"/>
      <c r="AC90" s="16" t="n"/>
    </row>
    <row r="91">
      <c r="A91" s="18" t="inlineStr">
        <is>
          <t>현금및현금성자산</t>
        </is>
      </c>
      <c r="B91" s="10" t="n"/>
      <c r="C91" s="19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19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>
        <f>'재무상태표'!G6</f>
        <v/>
      </c>
      <c r="Y91" s="19">
        <f>'재무상태표'!G6</f>
        <v/>
      </c>
      <c r="Z91" s="20">
        <f>'재무상태표'!G6</f>
        <v/>
      </c>
      <c r="AA91" s="20">
        <f>'재무상태표'!G6</f>
        <v/>
      </c>
      <c r="AB91" s="20">
        <f>'재무상태표'!G6</f>
        <v/>
      </c>
      <c r="AC91" s="20">
        <f>'재무상태표'!G6</f>
        <v/>
      </c>
    </row>
    <row r="92">
      <c r="A92" s="18" t="inlineStr">
        <is>
          <t>단기금융상품</t>
        </is>
      </c>
      <c r="B92" s="10" t="n"/>
      <c r="C92" s="19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19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>
        <f>'재무상태표'!G7</f>
        <v/>
      </c>
      <c r="Y92" s="19">
        <f>'재무상태표'!G7</f>
        <v/>
      </c>
      <c r="Z92" s="20">
        <f>'재무상태표'!G7</f>
        <v/>
      </c>
      <c r="AA92" s="20">
        <f>'재무상태표'!G7</f>
        <v/>
      </c>
      <c r="AB92" s="20">
        <f>'재무상태표'!G7</f>
        <v/>
      </c>
      <c r="AC92" s="20">
        <f>'재무상태표'!G7</f>
        <v/>
      </c>
    </row>
    <row r="93">
      <c r="A93" s="18" t="inlineStr">
        <is>
          <t>투자부동산</t>
        </is>
      </c>
      <c r="B93" s="10" t="n"/>
      <c r="C93" s="19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19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>
        <f>'재무상태표'!G14</f>
        <v/>
      </c>
      <c r="Y93" s="19">
        <f>'재무상태표'!G14</f>
        <v/>
      </c>
      <c r="Z93" s="20">
        <f>'재무상태표'!G14</f>
        <v/>
      </c>
      <c r="AA93" s="20">
        <f>'재무상태표'!G14</f>
        <v/>
      </c>
      <c r="AB93" s="20">
        <f>'재무상태표'!G14</f>
        <v/>
      </c>
      <c r="AC93" s="20">
        <f>'재무상태표'!G14</f>
        <v/>
      </c>
    </row>
    <row r="94">
      <c r="A94" s="18" t="inlineStr">
        <is>
          <t>지배자본</t>
        </is>
      </c>
      <c r="B94" s="10" t="n"/>
      <c r="C94" s="19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19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>
        <f>'재무상태표'!G31</f>
        <v/>
      </c>
      <c r="Y94" s="19">
        <f>'재무상태표'!G31</f>
        <v/>
      </c>
      <c r="Z94" s="20">
        <f>'재무상태표'!G31</f>
        <v/>
      </c>
      <c r="AA94" s="20">
        <f>'재무상태표'!G31</f>
        <v/>
      </c>
      <c r="AB94" s="20">
        <f>'재무상태표'!G31</f>
        <v/>
      </c>
      <c r="AC94" s="20">
        <f>'재무상태표'!G31</f>
        <v/>
      </c>
    </row>
    <row r="95">
      <c r="A95" s="18" t="inlineStr">
        <is>
          <t>부채</t>
        </is>
      </c>
      <c r="B95" s="10" t="n"/>
      <c r="C95" s="19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19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>
        <f>'재무상태표'!G27</f>
        <v/>
      </c>
      <c r="Y95" s="19">
        <f>'재무상태표'!G27</f>
        <v/>
      </c>
      <c r="Z95" s="20">
        <f>'재무상태표'!G27</f>
        <v/>
      </c>
      <c r="AA95" s="20">
        <f>'재무상태표'!G27</f>
        <v/>
      </c>
      <c r="AB95" s="20">
        <f>'재무상태표'!G27</f>
        <v/>
      </c>
      <c r="AC95" s="20">
        <f>'재무상태표'!G27</f>
        <v/>
      </c>
    </row>
    <row r="96">
      <c r="A96" s="13" t="inlineStr">
        <is>
          <t>부채비율</t>
        </is>
      </c>
      <c r="B96" s="10" t="n"/>
      <c r="C96" s="14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4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>
        <f>IF(OR(X95="",X94=""),"",IFERROR(X95/X94,""))</f>
        <v/>
      </c>
      <c r="Y96" s="14">
        <f>IF(OR(Y95="",Y94=""),"",IFERROR(Y95/Y94,""))</f>
        <v/>
      </c>
      <c r="Z96" s="15">
        <f>IF(OR(Z95="",Z94=""),"",IFERROR(Z95/Z94,""))</f>
        <v/>
      </c>
      <c r="AA96" s="15">
        <f>IF(OR(AA95="",AA94=""),"",IFERROR(AA95/AA94,""))</f>
        <v/>
      </c>
      <c r="AB96" s="15">
        <f>IF(OR(AB95="",AB94=""),"",IFERROR(AB95/AB94,""))</f>
        <v/>
      </c>
      <c r="AC96" s="15">
        <f>IF(OR(AC95="",AC94=""),"",IFERROR(AC95/AC94,""))</f>
        <v/>
      </c>
    </row>
    <row r="97">
      <c r="A97" s="9" t="inlineStr">
        <is>
          <t>자산가치</t>
        </is>
      </c>
      <c r="B97" s="10" t="inlineStr">
        <is>
          <t>현금+단기금융+투자부동산</t>
        </is>
      </c>
      <c r="C97" s="11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1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>
        <f>SUM(X91,X92,X93)</f>
        <v/>
      </c>
      <c r="Y97" s="11">
        <f>SUM(Y91,Y92,Y93)</f>
        <v/>
      </c>
      <c r="Z97" s="12">
        <f>SUM(Z91,Z92,Z93)</f>
        <v/>
      </c>
      <c r="AA97" s="12">
        <f>SUM(AA91,AA92,AA93)</f>
        <v/>
      </c>
      <c r="AB97" s="12">
        <f>SUM(AB91,AB92,AB93)</f>
        <v/>
      </c>
      <c r="AC97" s="12">
        <f>SUM(AC91,AC92,AC93)</f>
        <v/>
      </c>
    </row>
    <row r="98">
      <c r="A98" s="16" t="inlineStr">
        <is>
          <t>기업가치 산출</t>
        </is>
      </c>
      <c r="B98" s="16" t="n"/>
      <c r="C98" s="17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7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7" t="n"/>
      <c r="Z98" s="16" t="n"/>
      <c r="AA98" s="16" t="n"/>
      <c r="AB98" s="16" t="n"/>
      <c r="AC98" s="16" t="n"/>
    </row>
    <row r="99">
      <c r="A99" s="18" t="inlineStr">
        <is>
          <t>목표 시가총액 (P/E)</t>
        </is>
      </c>
      <c r="B99" s="10" t="inlineStr">
        <is>
          <t>지배순이익 × Target P/E</t>
        </is>
      </c>
      <c r="C99" s="19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19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19">
        <f>IF(OR(Y76="",Y86=""),"",IFERROR(Y76*Y86,""))</f>
        <v/>
      </c>
      <c r="Z99" s="20">
        <f>IF(OR(Z76="",Z86=""),"",IFERROR(Z76*Z86,""))</f>
        <v/>
      </c>
      <c r="AA99" s="20">
        <f>IF(OR(AA76="",AA86=""),"",IFERROR(AA76*AA86,""))</f>
        <v/>
      </c>
      <c r="AB99" s="20">
        <f>IF(OR(AB76="",AB86=""),"",IFERROR(AB76*AB86,""))</f>
        <v/>
      </c>
      <c r="AC99" s="20">
        <f>IF(OR(AC76="",AC86=""),"",IFERROR(AC76*AC86,""))</f>
        <v/>
      </c>
    </row>
    <row r="100">
      <c r="A100" s="9" t="inlineStr">
        <is>
          <t>기업가치</t>
        </is>
      </c>
      <c r="B100" s="10" t="inlineStr">
        <is>
          <t>목표시총 + 자산가치</t>
        </is>
      </c>
      <c r="C100" s="11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1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1">
        <f>IF(OR(Y99=""),"",IFERROR(Y99+Y97,""))</f>
        <v/>
      </c>
      <c r="Z100" s="12">
        <f>IF(OR(Z99=""),"",IFERROR(Z99+Z97,""))</f>
        <v/>
      </c>
      <c r="AA100" s="12">
        <f>IF(OR(AA99=""),"",IFERROR(AA99+AA97,""))</f>
        <v/>
      </c>
      <c r="AB100" s="12">
        <f>IF(OR(AB99=""),"",IFERROR(AB99+AB97,""))</f>
        <v/>
      </c>
      <c r="AC100" s="12">
        <f>IF(OR(AC99=""),"",IFERROR(AC99+AC97,""))</f>
        <v/>
      </c>
    </row>
    <row r="101">
      <c r="A101" s="18" t="inlineStr">
        <is>
          <t>현재 시가총액</t>
        </is>
      </c>
      <c r="B101" s="10" t="n"/>
      <c r="C101" s="19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19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19">
        <f>$B$82</f>
        <v/>
      </c>
      <c r="Z101" s="20">
        <f>$B$82</f>
        <v/>
      </c>
      <c r="AA101" s="20">
        <f>$B$82</f>
        <v/>
      </c>
      <c r="AB101" s="20">
        <f>$B$82</f>
        <v/>
      </c>
      <c r="AC101" s="20">
        <f>$B$82</f>
        <v/>
      </c>
    </row>
    <row r="102">
      <c r="A102" s="18" t="inlineStr">
        <is>
          <t>상승여력</t>
        </is>
      </c>
      <c r="B102" s="10" t="n"/>
      <c r="C102" s="35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5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7">
        <f>IF(OR(Y100="",Y101=""),"",IFERROR(Y100/Y101-1,""))</f>
        <v/>
      </c>
      <c r="Z102" s="38">
        <f>IF(OR(Z100="",Z101=""),"",IFERROR(Z100/Z101-1,""))</f>
        <v/>
      </c>
      <c r="AA102" s="38">
        <f>IF(OR(AA100="",AA101=""),"",IFERROR(AA100/AA101-1,""))</f>
        <v/>
      </c>
      <c r="AB102" s="38">
        <f>IF(OR(AB100="",AB101=""),"",IFERROR(AB100/AB101-1,""))</f>
        <v/>
      </c>
      <c r="AC102" s="38">
        <f>IF(OR(AC100="",AC101=""),"",IFERROR(AC100/AC101-1,""))</f>
        <v/>
      </c>
    </row>
    <row r="103">
      <c r="C103" s="39" t="n"/>
      <c r="O103" s="39" t="n"/>
      <c r="Y103" s="39" t="n"/>
    </row>
    <row r="104">
      <c r="A104" s="40" t="inlineStr">
        <is>
          <t>출처</t>
        </is>
      </c>
      <c r="C104" s="39" t="n"/>
      <c r="O104" s="39" t="n"/>
      <c r="Y104" s="39" t="n"/>
    </row>
    <row r="105">
      <c r="A105" s="41" t="inlineStr">
        <is>
          <t>결산단신 XBRL(TDnet·JPX 보관소) — 쓴 문서는 '출처' 시트</t>
        </is>
      </c>
      <c r="C105" s="39" t="n"/>
      <c r="O105" s="39" t="n"/>
      <c r="Y105" s="39" t="n"/>
    </row>
    <row r="106">
      <c r="A106" s="41" t="inlineStr">
        <is>
          <t>분기 = 누계에서 앞 분기를 뺀 3개월 값</t>
        </is>
      </c>
      <c r="C106" s="39" t="n"/>
      <c r="O106" s="39" t="n"/>
      <c r="Y106" s="39" t="n"/>
    </row>
    <row r="107">
      <c r="A107" s="41" t="inlineStr">
        <is>
          <t>주가: 야후 파이낸스 일봉</t>
        </is>
      </c>
      <c r="C107" s="39" t="n"/>
      <c r="O107" s="39" t="n"/>
      <c r="Y107" s="39" t="n"/>
    </row>
    <row r="109">
      <c r="A109" s="16" t="inlineStr">
        <is>
          <t>손익계산서 · 전 항목</t>
        </is>
      </c>
      <c r="B109" s="42" t="inlineStr">
        <is>
          <t>분기 = 3개월 단독</t>
        </is>
      </c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</row>
    <row r="110">
      <c r="A110" s="5" t="inlineStr">
        <is>
          <t>항목</t>
        </is>
      </c>
      <c r="B110" s="5" t="inlineStr">
        <is>
          <t>참고</t>
        </is>
      </c>
      <c r="C110" s="5" t="inlineStr">
        <is>
          <t>2023.4Q</t>
        </is>
      </c>
      <c r="D110" s="5" t="inlineStr">
        <is>
          <t>2024.1Q</t>
        </is>
      </c>
      <c r="E110" s="5" t="inlineStr">
        <is>
          <t>2024.2Q</t>
        </is>
      </c>
      <c r="F110" s="5" t="inlineStr">
        <is>
          <t>2024.3Q</t>
        </is>
      </c>
      <c r="G110" s="5" t="inlineStr">
        <is>
          <t>2024.4Q</t>
        </is>
      </c>
      <c r="H110" s="5" t="inlineStr">
        <is>
          <t>2025.1Q</t>
        </is>
      </c>
      <c r="I110" s="5" t="inlineStr">
        <is>
          <t>2025.2Q</t>
        </is>
      </c>
      <c r="J110" s="5" t="inlineStr">
        <is>
          <t>2025.3Q</t>
        </is>
      </c>
      <c r="K110" s="5" t="inlineStr">
        <is>
          <t>2025.4Q</t>
        </is>
      </c>
      <c r="L110" s="5" t="inlineStr">
        <is>
          <t>2026.1Q</t>
        </is>
      </c>
      <c r="M110" s="5" t="inlineStr">
        <is>
          <t>2026.2Q</t>
        </is>
      </c>
      <c r="N110" s="5" t="inlineStr">
        <is>
          <t>2026.3Q</t>
        </is>
      </c>
      <c r="O110" s="5" t="inlineStr">
        <is>
          <t>2016</t>
        </is>
      </c>
      <c r="P110" s="5" t="inlineStr">
        <is>
          <t>2017</t>
        </is>
      </c>
      <c r="Q110" s="5" t="inlineStr">
        <is>
          <t>2018</t>
        </is>
      </c>
      <c r="R110" s="5" t="inlineStr">
        <is>
          <t>2019</t>
        </is>
      </c>
      <c r="S110" s="5" t="inlineStr">
        <is>
          <t>2020</t>
        </is>
      </c>
      <c r="T110" s="5" t="inlineStr">
        <is>
          <t>2021</t>
        </is>
      </c>
      <c r="U110" s="5" t="inlineStr">
        <is>
          <t>2022</t>
        </is>
      </c>
      <c r="V110" s="5" t="inlineStr">
        <is>
          <t>2023</t>
        </is>
      </c>
      <c r="W110" s="5" t="inlineStr">
        <is>
          <t>2024</t>
        </is>
      </c>
      <c r="X110" s="5" t="inlineStr">
        <is>
          <t>2025</t>
        </is>
      </c>
      <c r="Y110" s="5" t="inlineStr">
        <is>
          <t>2026(MW)</t>
        </is>
      </c>
      <c r="Z110" s="5" t="inlineStr">
        <is>
          <t>2027(MW)</t>
        </is>
      </c>
      <c r="AA110" s="5" t="inlineStr">
        <is>
          <t>2028(MW)</t>
        </is>
      </c>
      <c r="AB110" s="5" t="inlineStr">
        <is>
          <t>2029(MW)</t>
        </is>
      </c>
      <c r="AC110" s="5" t="inlineStr">
        <is>
          <t>2030(MW)</t>
        </is>
      </c>
    </row>
    <row r="111">
      <c r="A111" s="9" t="inlineStr">
        <is>
          <t>매출액</t>
        </is>
      </c>
      <c r="C111" s="12" t="n">
        <v>11309.879</v>
      </c>
      <c r="D111" s="12" t="n">
        <v>13426</v>
      </c>
      <c r="E111" s="12" t="n">
        <v>14665</v>
      </c>
      <c r="F111" s="12" t="n">
        <v>13986</v>
      </c>
      <c r="G111" s="12" t="n">
        <v>15916</v>
      </c>
      <c r="H111" s="12" t="n">
        <v>14334</v>
      </c>
      <c r="I111" s="12" t="n">
        <v>15768</v>
      </c>
      <c r="J111" s="12" t="n">
        <v>15375</v>
      </c>
      <c r="K111" s="12" t="n">
        <v>17267</v>
      </c>
      <c r="L111" s="12" t="n">
        <v>16557</v>
      </c>
      <c r="M111" s="12" t="n">
        <v>18009</v>
      </c>
      <c r="N111" s="12" t="n">
        <v>17681</v>
      </c>
      <c r="U111" s="12" t="n">
        <v>12707.867</v>
      </c>
      <c r="V111" s="12" t="n">
        <v>11309.879</v>
      </c>
      <c r="W111" s="12" t="n">
        <v>15916</v>
      </c>
      <c r="X111" s="12" t="n">
        <v>17267</v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IF(OR(G111="",C111=""),"",IF(C111&lt;=0,"",IFERROR(G111/C111-1,"")))</f>
        <v/>
      </c>
      <c r="H112" s="15">
        <f>IF(OR(H111="",D111=""),"",IF(D111&lt;=0,"",IFERROR(H111/D111-1,"")))</f>
        <v/>
      </c>
      <c r="I112" s="15">
        <f>IF(OR(I111="",E111=""),"",IF(E111&lt;=0,"",IFERROR(I111/E111-1,"")))</f>
        <v/>
      </c>
      <c r="J112" s="15">
        <f>IF(OR(J111="",F111=""),"",IF(F111&lt;=0,"",IFERROR(J111/F111-1,"")))</f>
        <v/>
      </c>
      <c r="K112" s="15">
        <f>IF(OR(K111="",G111=""),"",IF(G111&lt;=0,"",IFERROR(K111/G111-1,"")))</f>
        <v/>
      </c>
      <c r="L112" s="15">
        <f>IF(OR(L111="",H111=""),"",IF(H111&lt;=0,"",IFERROR(L111/H111-1,"")))</f>
        <v/>
      </c>
      <c r="M112" s="15">
        <f>IF(OR(M111="",I111=""),"",IF(I111&lt;=0,"",IFERROR(M111/I111-1,"")))</f>
        <v/>
      </c>
      <c r="N112" s="15">
        <f>IF(OR(N111="",J111=""),"",IF(J111&lt;=0,"",IFERROR(N111/J111-1,"")))</f>
        <v/>
      </c>
      <c r="U112" s="15">
        <f>IF(OR(U111="",T111=""),"",IF(T111&lt;=0,"",IFERROR(U111/T111-1,"")))</f>
        <v/>
      </c>
      <c r="V112" s="15">
        <f>IF(OR(V111="",U111=""),"",IF(U111&lt;=0,"",IFERROR(V111/U111-1,"")))</f>
        <v/>
      </c>
      <c r="W112" s="15">
        <f>IF(OR(W111="",V111=""),"",IF(V111&lt;=0,"",IFERROR(W111/V111-1,"")))</f>
        <v/>
      </c>
      <c r="X112" s="15">
        <f>IF(OR(X111="",W111=""),"",IF(W111&lt;=0,"",IFERROR(X111/W111-1,"")))</f>
        <v/>
      </c>
    </row>
    <row r="113">
      <c r="A113" s="18" t="inlineStr">
        <is>
          <t>매출원가</t>
        </is>
      </c>
      <c r="C113" s="20" t="n">
        <v>7035.674</v>
      </c>
      <c r="D113" s="20" t="n">
        <v>9174</v>
      </c>
      <c r="E113" s="20" t="n">
        <v>9726</v>
      </c>
      <c r="F113" s="20" t="n">
        <v>9241</v>
      </c>
      <c r="G113" s="20" t="n">
        <v>10482</v>
      </c>
      <c r="H113" s="20" t="n">
        <v>9287</v>
      </c>
      <c r="I113" s="20" t="n">
        <v>9926</v>
      </c>
      <c r="J113" s="20" t="n">
        <v>10126</v>
      </c>
      <c r="K113" s="20" t="n">
        <v>11538</v>
      </c>
      <c r="L113" s="20" t="n">
        <v>10666</v>
      </c>
      <c r="M113" s="20" t="n">
        <v>11830</v>
      </c>
      <c r="N113" s="20" t="n">
        <v>12016</v>
      </c>
      <c r="U113" s="20" t="n">
        <v>8938.913</v>
      </c>
      <c r="V113" s="20" t="n">
        <v>7035.674</v>
      </c>
      <c r="W113" s="20" t="n">
        <v>10482</v>
      </c>
      <c r="X113" s="20" t="n">
        <v>11538</v>
      </c>
    </row>
    <row r="114">
      <c r="A114" s="43" t="inlineStr">
        <is>
          <t>YoY</t>
        </is>
      </c>
      <c r="B114" s="3" t="inlineStr">
        <is>
          <t>전년 같은 분기·전년 대비</t>
        </is>
      </c>
      <c r="G114" s="15">
        <f>IF(OR(G113="",C113=""),"",IF(G113*C113&lt;=0,"",IFERROR(G113/C113-1,"")))</f>
        <v/>
      </c>
      <c r="H114" s="15">
        <f>IF(OR(H113="",D113=""),"",IF(H113*D113&lt;=0,"",IFERROR(H113/D113-1,"")))</f>
        <v/>
      </c>
      <c r="I114" s="15">
        <f>IF(OR(I113="",E113=""),"",IF(I113*E113&lt;=0,"",IFERROR(I113/E113-1,"")))</f>
        <v/>
      </c>
      <c r="J114" s="15">
        <f>IF(OR(J113="",F113=""),"",IF(J113*F113&lt;=0,"",IFERROR(J113/F113-1,"")))</f>
        <v/>
      </c>
      <c r="K114" s="15">
        <f>IF(OR(K113="",G113=""),"",IF(K113*G113&lt;=0,"",IFERROR(K113/G113-1,"")))</f>
        <v/>
      </c>
      <c r="L114" s="15">
        <f>IF(OR(L113="",H113=""),"",IF(L113*H113&lt;=0,"",IFERROR(L113/H113-1,"")))</f>
        <v/>
      </c>
      <c r="M114" s="15">
        <f>IF(OR(M113="",I113=""),"",IF(M113*I113&lt;=0,"",IFERROR(M113/I113-1,"")))</f>
        <v/>
      </c>
      <c r="N114" s="15">
        <f>IF(OR(N113="",J113=""),"",IF(N113*J113&lt;=0,"",IFERROR(N113/J113-1,"")))</f>
        <v/>
      </c>
      <c r="U114" s="15">
        <f>IF(OR(U113="",T113=""),"",IF(U113*T113&lt;=0,"",IFERROR(U113/T113-1,"")))</f>
        <v/>
      </c>
      <c r="V114" s="15">
        <f>IF(OR(V113="",U113=""),"",IF(V113*U113&lt;=0,"",IFERROR(V113/U113-1,"")))</f>
        <v/>
      </c>
      <c r="W114" s="15">
        <f>IF(OR(W113="",V113=""),"",IF(W113*V113&lt;=0,"",IFERROR(W113/V113-1,"")))</f>
        <v/>
      </c>
      <c r="X114" s="15">
        <f>IF(OR(X113="",W113=""),"",IF(X113*W113&lt;=0,"",IFERROR(X113/W113-1,"")))</f>
        <v/>
      </c>
    </row>
    <row r="115">
      <c r="A115" s="9" t="inlineStr">
        <is>
          <t>매출총이익</t>
        </is>
      </c>
      <c r="C115" s="12" t="n">
        <v>4274.204</v>
      </c>
      <c r="D115" s="12" t="n">
        <v>4252</v>
      </c>
      <c r="E115" s="12" t="n">
        <v>4939</v>
      </c>
      <c r="F115" s="12" t="n">
        <v>4744</v>
      </c>
      <c r="G115" s="12" t="n">
        <v>5434</v>
      </c>
      <c r="H115" s="12" t="n">
        <v>5046</v>
      </c>
      <c r="I115" s="12" t="n">
        <v>5843</v>
      </c>
      <c r="J115" s="12" t="n">
        <v>5249</v>
      </c>
      <c r="K115" s="12" t="n">
        <v>5728</v>
      </c>
      <c r="L115" s="12" t="n">
        <v>5891</v>
      </c>
      <c r="M115" s="12" t="n">
        <v>6178</v>
      </c>
      <c r="N115" s="12" t="n">
        <v>5666</v>
      </c>
      <c r="U115" s="12" t="n">
        <v>3768.953</v>
      </c>
      <c r="V115" s="12" t="n">
        <v>4274.204</v>
      </c>
      <c r="W115" s="12" t="n">
        <v>5434</v>
      </c>
      <c r="X115" s="12" t="n">
        <v>5728</v>
      </c>
    </row>
    <row r="116">
      <c r="A116" s="43" t="inlineStr">
        <is>
          <t>YoY</t>
        </is>
      </c>
      <c r="B116" s="3" t="inlineStr">
        <is>
          <t>전년 같은 분기·전년 대비</t>
        </is>
      </c>
      <c r="G116" s="15">
        <f>IF(OR(G115="",C115=""),"",IF(C115&lt;=0,"",IFERROR(G115/C115-1,"")))</f>
        <v/>
      </c>
      <c r="H116" s="15">
        <f>IF(OR(H115="",D115=""),"",IF(D115&lt;=0,"",IFERROR(H115/D115-1,"")))</f>
        <v/>
      </c>
      <c r="I116" s="15">
        <f>IF(OR(I115="",E115=""),"",IF(E115&lt;=0,"",IFERROR(I115/E115-1,"")))</f>
        <v/>
      </c>
      <c r="J116" s="15">
        <f>IF(OR(J115="",F115=""),"",IF(F115&lt;=0,"",IFERROR(J115/F115-1,"")))</f>
        <v/>
      </c>
      <c r="K116" s="15">
        <f>IF(OR(K115="",G115=""),"",IF(G115&lt;=0,"",IFERROR(K115/G115-1,"")))</f>
        <v/>
      </c>
      <c r="L116" s="15">
        <f>IF(OR(L115="",H115=""),"",IF(H115&lt;=0,"",IFERROR(L115/H115-1,"")))</f>
        <v/>
      </c>
      <c r="M116" s="15">
        <f>IF(OR(M115="",I115=""),"",IF(I115&lt;=0,"",IFERROR(M115/I115-1,"")))</f>
        <v/>
      </c>
      <c r="N116" s="15">
        <f>IF(OR(N115="",J115=""),"",IF(J115&lt;=0,"",IFERROR(N115/J115-1,"")))</f>
        <v/>
      </c>
      <c r="U116" s="15">
        <f>IF(OR(U115="",T115=""),"",IF(T115&lt;=0,"",IFERROR(U115/T115-1,"")))</f>
        <v/>
      </c>
      <c r="V116" s="15">
        <f>IF(OR(V115="",U115=""),"",IF(U115&lt;=0,"",IFERROR(V115/U115-1,"")))</f>
        <v/>
      </c>
      <c r="W116" s="15">
        <f>IF(OR(W115="",V115=""),"",IF(V115&lt;=0,"",IFERROR(W115/V115-1,"")))</f>
        <v/>
      </c>
      <c r="X116" s="15">
        <f>IF(OR(X115="",W115=""),"",IF(W115&lt;=0,"",IFERROR(X115/W115-1,"")))</f>
        <v/>
      </c>
    </row>
    <row r="117">
      <c r="A117" s="18" t="inlineStr">
        <is>
          <t>판매비와 관리비</t>
        </is>
      </c>
      <c r="C117" s="20" t="n">
        <v>3831.587</v>
      </c>
      <c r="D117" s="20" t="n">
        <v>3797</v>
      </c>
      <c r="E117" s="20" t="n">
        <v>4048</v>
      </c>
      <c r="F117" s="20" t="n">
        <v>4088</v>
      </c>
      <c r="G117" s="20" t="n">
        <v>4620</v>
      </c>
      <c r="H117" s="20" t="n">
        <v>4014</v>
      </c>
      <c r="I117" s="20" t="n">
        <v>4652</v>
      </c>
      <c r="J117" s="20" t="n">
        <v>4668</v>
      </c>
      <c r="K117" s="20" t="n">
        <v>5514</v>
      </c>
      <c r="L117" s="20" t="n">
        <v>4738</v>
      </c>
      <c r="M117" s="20" t="n">
        <v>5037</v>
      </c>
      <c r="N117" s="20" t="n">
        <v>4951</v>
      </c>
      <c r="U117" s="20" t="n">
        <v>3375.382</v>
      </c>
      <c r="V117" s="20" t="n">
        <v>3831.587</v>
      </c>
      <c r="W117" s="20" t="n">
        <v>4620</v>
      </c>
      <c r="X117" s="20" t="n">
        <v>5514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IF(OR(G117="",C117=""),"",IF(G117*C117&lt;=0,"",IFERROR(G117/C117-1,"")))</f>
        <v/>
      </c>
      <c r="H118" s="15">
        <f>IF(OR(H117="",D117=""),"",IF(H117*D117&lt;=0,"",IFERROR(H117/D117-1,"")))</f>
        <v/>
      </c>
      <c r="I118" s="15">
        <f>IF(OR(I117="",E117=""),"",IF(I117*E117&lt;=0,"",IFERROR(I117/E117-1,"")))</f>
        <v/>
      </c>
      <c r="J118" s="15">
        <f>IF(OR(J117="",F117=""),"",IF(J117*F117&lt;=0,"",IFERROR(J117/F117-1,"")))</f>
        <v/>
      </c>
      <c r="K118" s="15">
        <f>IF(OR(K117="",G117=""),"",IF(K117*G117&lt;=0,"",IFERROR(K117/G117-1,"")))</f>
        <v/>
      </c>
      <c r="L118" s="15">
        <f>IF(OR(L117="",H117=""),"",IF(L117*H117&lt;=0,"",IFERROR(L117/H117-1,"")))</f>
        <v/>
      </c>
      <c r="M118" s="15">
        <f>IF(OR(M117="",I117=""),"",IF(M117*I117&lt;=0,"",IFERROR(M117/I117-1,"")))</f>
        <v/>
      </c>
      <c r="N118" s="15">
        <f>IF(OR(N117="",J117=""),"",IF(N117*J117&lt;=0,"",IFERROR(N117/J117-1,"")))</f>
        <v/>
      </c>
      <c r="U118" s="15">
        <f>IF(OR(U117="",T117=""),"",IF(U117*T117&lt;=0,"",IFERROR(U117/T117-1,"")))</f>
        <v/>
      </c>
      <c r="V118" s="15">
        <f>IF(OR(V117="",U117=""),"",IF(V117*U117&lt;=0,"",IFERROR(V117/U117-1,"")))</f>
        <v/>
      </c>
      <c r="W118" s="15">
        <f>IF(OR(W117="",V117=""),"",IF(W117*V117&lt;=0,"",IFERROR(W117/V117-1,"")))</f>
        <v/>
      </c>
      <c r="X118" s="15">
        <f>IF(OR(X117="",W117=""),"",IF(X117*W117&lt;=0,"",IFERROR(X117/W117-1,"")))</f>
        <v/>
      </c>
    </row>
    <row r="119">
      <c r="A119" s="9" t="inlineStr">
        <is>
          <t>영업이익</t>
        </is>
      </c>
      <c r="C119" s="12" t="n">
        <v>442.617</v>
      </c>
      <c r="D119" s="12" t="n">
        <v>454</v>
      </c>
      <c r="E119" s="12" t="n">
        <v>891</v>
      </c>
      <c r="F119" s="12" t="n">
        <v>656</v>
      </c>
      <c r="G119" s="12" t="n">
        <v>814</v>
      </c>
      <c r="H119" s="12" t="n">
        <v>1032</v>
      </c>
      <c r="I119" s="12" t="n">
        <v>1190</v>
      </c>
      <c r="J119" s="12" t="n">
        <v>581</v>
      </c>
      <c r="K119" s="12" t="n">
        <v>214</v>
      </c>
      <c r="L119" s="12" t="n">
        <v>1152</v>
      </c>
      <c r="M119" s="12" t="n">
        <v>1142</v>
      </c>
      <c r="N119" s="12" t="n">
        <v>715</v>
      </c>
      <c r="U119" s="12" t="n">
        <v>393.572</v>
      </c>
      <c r="V119" s="12" t="n">
        <v>442.617</v>
      </c>
      <c r="W119" s="12" t="n">
        <v>814</v>
      </c>
      <c r="X119" s="12" t="n">
        <v>214</v>
      </c>
    </row>
    <row r="120">
      <c r="A120" s="43" t="inlineStr">
        <is>
          <t>OPM</t>
        </is>
      </c>
      <c r="B120" s="3" t="inlineStr">
        <is>
          <t>영업이익 ÷ 매출</t>
        </is>
      </c>
      <c r="C120" s="15">
        <f>IF(OR(C119="",C111=""),"",IF(C111&lt;=0,"",IFERROR(C119/C111,"")))</f>
        <v/>
      </c>
      <c r="D120" s="15">
        <f>IF(OR(D119="",D111=""),"",IF(D111&lt;=0,"",IFERROR(D119/D111,"")))</f>
        <v/>
      </c>
      <c r="E120" s="15">
        <f>IF(OR(E119="",E111=""),"",IF(E111&lt;=0,"",IFERROR(E119/E111,"")))</f>
        <v/>
      </c>
      <c r="F120" s="15">
        <f>IF(OR(F119="",F111=""),"",IF(F111&lt;=0,"",IFERROR(F119/F111,"")))</f>
        <v/>
      </c>
      <c r="G120" s="15">
        <f>IF(OR(G119="",G111=""),"",IF(G111&lt;=0,"",IFERROR(G119/G111,"")))</f>
        <v/>
      </c>
      <c r="H120" s="15">
        <f>IF(OR(H119="",H111=""),"",IF(H111&lt;=0,"",IFERROR(H119/H111,"")))</f>
        <v/>
      </c>
      <c r="I120" s="15">
        <f>IF(OR(I119="",I111=""),"",IF(I111&lt;=0,"",IFERROR(I119/I111,"")))</f>
        <v/>
      </c>
      <c r="J120" s="15">
        <f>IF(OR(J119="",J111=""),"",IF(J111&lt;=0,"",IFERROR(J119/J111,"")))</f>
        <v/>
      </c>
      <c r="K120" s="15">
        <f>IF(OR(K119="",K111=""),"",IF(K111&lt;=0,"",IFERROR(K119/K111,"")))</f>
        <v/>
      </c>
      <c r="L120" s="15">
        <f>IF(OR(L119="",L111=""),"",IF(L111&lt;=0,"",IFERROR(L119/L111,"")))</f>
        <v/>
      </c>
      <c r="M120" s="15">
        <f>IF(OR(M119="",M111=""),"",IF(M111&lt;=0,"",IFERROR(M119/M111,"")))</f>
        <v/>
      </c>
      <c r="N120" s="15">
        <f>IF(OR(N119="",N111=""),"",IF(N111&lt;=0,"",IFERROR(N119/N111,"")))</f>
        <v/>
      </c>
      <c r="U120" s="15">
        <f>IF(OR(U119="",U111=""),"",IF(U111&lt;=0,"",IFERROR(U119/U111,"")))</f>
        <v/>
      </c>
      <c r="V120" s="15">
        <f>IF(OR(V119="",V111=""),"",IF(V111&lt;=0,"",IFERROR(V119/V111,"")))</f>
        <v/>
      </c>
      <c r="W120" s="15">
        <f>IF(OR(W119="",W111=""),"",IF(W111&lt;=0,"",IFERROR(W119/W111,"")))</f>
        <v/>
      </c>
      <c r="X120" s="15">
        <f>IF(OR(X119="",X111=""),"",IF(X111&lt;=0,"",IFERROR(X119/X111,"")))</f>
        <v/>
      </c>
    </row>
    <row r="121">
      <c r="A121" s="43" t="inlineStr">
        <is>
          <t>YoY</t>
        </is>
      </c>
      <c r="B121" s="3" t="inlineStr">
        <is>
          <t>전년 같은 분기·전년 대비</t>
        </is>
      </c>
      <c r="G121" s="15">
        <f>IF(OR(G119="",C119=""),"",IF(C119&lt;=0,"",IFERROR(G119/C119-1,"")))</f>
        <v/>
      </c>
      <c r="H121" s="15">
        <f>IF(OR(H119="",D119=""),"",IF(D119&lt;=0,"",IFERROR(H119/D119-1,"")))</f>
        <v/>
      </c>
      <c r="I121" s="15">
        <f>IF(OR(I119="",E119=""),"",IF(E119&lt;=0,"",IFERROR(I119/E119-1,"")))</f>
        <v/>
      </c>
      <c r="J121" s="15">
        <f>IF(OR(J119="",F119=""),"",IF(F119&lt;=0,"",IFERROR(J119/F119-1,"")))</f>
        <v/>
      </c>
      <c r="K121" s="15">
        <f>IF(OR(K119="",G119=""),"",IF(G119&lt;=0,"",IFERROR(K119/G119-1,"")))</f>
        <v/>
      </c>
      <c r="L121" s="15">
        <f>IF(OR(L119="",H119=""),"",IF(H119&lt;=0,"",IFERROR(L119/H119-1,"")))</f>
        <v/>
      </c>
      <c r="M121" s="15">
        <f>IF(OR(M119="",I119=""),"",IF(I119&lt;=0,"",IFERROR(M119/I119-1,"")))</f>
        <v/>
      </c>
      <c r="N121" s="15">
        <f>IF(OR(N119="",J119=""),"",IF(J119&lt;=0,"",IFERROR(N119/J119-1,"")))</f>
        <v/>
      </c>
      <c r="U121" s="15">
        <f>IF(OR(U119="",T119=""),"",IF(T119&lt;=0,"",IFERROR(U119/T119-1,"")))</f>
        <v/>
      </c>
      <c r="V121" s="15">
        <f>IF(OR(V119="",U119=""),"",IF(U119&lt;=0,"",IFERROR(V119/U119-1,"")))</f>
        <v/>
      </c>
      <c r="W121" s="15">
        <f>IF(OR(W119="",V119=""),"",IF(V119&lt;=0,"",IFERROR(W119/V119-1,"")))</f>
        <v/>
      </c>
      <c r="X121" s="15">
        <f>IF(OR(X119="",W119=""),"",IF(W119&lt;=0,"",IFERROR(X119/W119-1,"")))</f>
        <v/>
      </c>
    </row>
    <row r="122">
      <c r="A122" s="18" t="inlineStr">
        <is>
          <t>이자수익</t>
        </is>
      </c>
      <c r="C122" s="20" t="n">
        <v>0.574</v>
      </c>
      <c r="D122" s="20" t="n">
        <v>0.423</v>
      </c>
      <c r="E122" s="20" t="n">
        <v>0.268</v>
      </c>
      <c r="F122" s="20" t="n">
        <v>0.255</v>
      </c>
      <c r="G122" s="20" t="n">
        <v>0.574</v>
      </c>
      <c r="U122" s="20" t="n">
        <v>0.404</v>
      </c>
      <c r="V122" s="20" t="n">
        <v>0.574</v>
      </c>
      <c r="W122" s="20" t="n">
        <v>0.574</v>
      </c>
    </row>
    <row r="123">
      <c r="A123" s="18" t="inlineStr">
        <is>
          <t>배당금수익</t>
        </is>
      </c>
      <c r="C123" s="20" t="n">
        <v>4</v>
      </c>
      <c r="D123" s="20" t="n">
        <v>23.613</v>
      </c>
      <c r="E123" s="20" t="n">
        <v>4.243</v>
      </c>
      <c r="F123" s="20" t="n">
        <v>29.815</v>
      </c>
      <c r="G123" s="20" t="n">
        <v>4.135</v>
      </c>
      <c r="U123" s="20" t="n">
        <v>7.068</v>
      </c>
      <c r="V123" s="20" t="n">
        <v>4</v>
      </c>
      <c r="W123" s="20" t="n">
        <v>4.135</v>
      </c>
    </row>
    <row r="124">
      <c r="A124" s="18" t="inlineStr">
        <is>
          <t>이자·배당금 수익</t>
        </is>
      </c>
      <c r="D124" s="20" t="n">
        <v>24</v>
      </c>
      <c r="E124" s="20" t="n">
        <v>4</v>
      </c>
      <c r="F124" s="20" t="n">
        <v>30</v>
      </c>
      <c r="G124" s="20" t="n">
        <v>5</v>
      </c>
      <c r="H124" s="20" t="n">
        <v>26</v>
      </c>
      <c r="I124" s="20" t="n">
        <v>4</v>
      </c>
      <c r="J124" s="20" t="n">
        <v>29</v>
      </c>
      <c r="K124" s="20" t="n">
        <v>5</v>
      </c>
      <c r="L124" s="20" t="n">
        <v>29</v>
      </c>
      <c r="M124" s="20" t="n">
        <v>3</v>
      </c>
      <c r="N124" s="20" t="n">
        <v>34</v>
      </c>
      <c r="W124" s="20" t="n">
        <v>5</v>
      </c>
      <c r="X124" s="20" t="n">
        <v>5</v>
      </c>
    </row>
    <row r="125">
      <c r="A125" s="18" t="inlineStr">
        <is>
          <t>지분법이익</t>
        </is>
      </c>
      <c r="D125" s="20" t="n">
        <v>0</v>
      </c>
      <c r="E125" s="20" t="n">
        <v>0</v>
      </c>
      <c r="F125" s="20" t="n">
        <v>0</v>
      </c>
      <c r="G125" s="20" t="n">
        <v>17</v>
      </c>
      <c r="H125" s="20" t="n">
        <v>1</v>
      </c>
      <c r="I125" s="20" t="n">
        <v>8</v>
      </c>
      <c r="J125" s="20" t="n">
        <v>7</v>
      </c>
      <c r="K125" s="20" t="n">
        <v>24</v>
      </c>
      <c r="L125" s="20" t="n">
        <v>2</v>
      </c>
      <c r="M125" s="20" t="n">
        <v>6</v>
      </c>
      <c r="N125" s="20" t="n">
        <v>2</v>
      </c>
      <c r="W125" s="20" t="n">
        <v>17</v>
      </c>
      <c r="X125" s="20" t="n">
        <v>24</v>
      </c>
    </row>
    <row r="126">
      <c r="A126" s="18" t="inlineStr">
        <is>
          <t>임대료 수익</t>
        </is>
      </c>
      <c r="C126" s="20" t="n">
        <v>2.627</v>
      </c>
      <c r="D126" s="20" t="n">
        <v>1.104</v>
      </c>
      <c r="E126" s="20" t="n">
        <v>1.285</v>
      </c>
      <c r="F126" s="20" t="n">
        <v>1.178</v>
      </c>
      <c r="G126" s="20" t="n">
        <v>1.297</v>
      </c>
      <c r="U126" s="20" t="n">
        <v>4.544</v>
      </c>
      <c r="V126" s="20" t="n">
        <v>2.627</v>
      </c>
      <c r="W126" s="20" t="n">
        <v>1.297</v>
      </c>
    </row>
    <row r="127">
      <c r="A127" s="18" t="inlineStr">
        <is>
          <t>사무수수료 수익</t>
        </is>
      </c>
      <c r="F127" s="20" t="n">
        <v>1</v>
      </c>
      <c r="G127" s="20" t="n">
        <v>0</v>
      </c>
      <c r="J127" s="20" t="n">
        <v>0</v>
      </c>
      <c r="K127" s="20" t="n">
        <v>1</v>
      </c>
      <c r="N127" s="20" t="n">
        <v>1</v>
      </c>
      <c r="W127" s="20" t="n">
        <v>0</v>
      </c>
      <c r="X127" s="20" t="n">
        <v>1</v>
      </c>
    </row>
    <row r="128">
      <c r="A128" s="18" t="inlineStr">
        <is>
          <t>외환차익</t>
        </is>
      </c>
      <c r="C128" s="20" t="n">
        <v>9.331</v>
      </c>
      <c r="D128" s="20" t="n">
        <v>0</v>
      </c>
      <c r="E128" s="20" t="n">
        <v>0</v>
      </c>
      <c r="F128" s="20" t="n">
        <v>0</v>
      </c>
      <c r="G128" s="20" t="n">
        <v>0</v>
      </c>
      <c r="H128" s="20" t="n">
        <v>1</v>
      </c>
      <c r="I128" s="20" t="n">
        <v>28</v>
      </c>
      <c r="J128" s="20" t="n">
        <v>-12</v>
      </c>
      <c r="L128" s="20" t="n">
        <v>0</v>
      </c>
      <c r="M128" s="20" t="n">
        <v>0</v>
      </c>
      <c r="N128" s="20" t="n">
        <v>0</v>
      </c>
      <c r="U128" s="20" t="n">
        <v>2.406</v>
      </c>
      <c r="V128" s="20" t="n">
        <v>9.331</v>
      </c>
      <c r="W128" s="20" t="n">
        <v>0</v>
      </c>
    </row>
    <row r="129">
      <c r="A129" s="18" t="inlineStr">
        <is>
          <t>기타</t>
        </is>
      </c>
      <c r="C129" s="20" t="n">
        <v>54.839</v>
      </c>
      <c r="D129" s="20" t="n">
        <v>37</v>
      </c>
      <c r="E129" s="20" t="n">
        <v>34</v>
      </c>
      <c r="F129" s="20" t="n">
        <v>33</v>
      </c>
      <c r="G129" s="20" t="n">
        <v>33</v>
      </c>
      <c r="H129" s="20" t="n">
        <v>31</v>
      </c>
      <c r="I129" s="20" t="n">
        <v>30</v>
      </c>
      <c r="J129" s="20" t="n">
        <v>28</v>
      </c>
      <c r="K129" s="20" t="n">
        <v>55</v>
      </c>
      <c r="L129" s="20" t="n">
        <v>46</v>
      </c>
      <c r="M129" s="20" t="n">
        <v>71</v>
      </c>
      <c r="N129" s="20" t="n">
        <v>13</v>
      </c>
      <c r="U129" s="20" t="n">
        <v>18.426</v>
      </c>
      <c r="V129" s="20" t="n">
        <v>54.839</v>
      </c>
      <c r="W129" s="20" t="n">
        <v>33</v>
      </c>
      <c r="X129" s="20" t="n">
        <v>55</v>
      </c>
    </row>
    <row r="130">
      <c r="A130" s="18" t="inlineStr">
        <is>
          <t>영업외수익 합계</t>
        </is>
      </c>
      <c r="C130" s="20" t="n">
        <v>153.46</v>
      </c>
      <c r="D130" s="20" t="n">
        <v>61</v>
      </c>
      <c r="E130" s="20" t="n">
        <v>39</v>
      </c>
      <c r="F130" s="20" t="n">
        <v>65</v>
      </c>
      <c r="G130" s="20" t="n">
        <v>55</v>
      </c>
      <c r="H130" s="20" t="n">
        <v>60</v>
      </c>
      <c r="I130" s="20" t="n">
        <v>135</v>
      </c>
      <c r="J130" s="20" t="n">
        <v>54</v>
      </c>
      <c r="K130" s="20" t="n">
        <v>67</v>
      </c>
      <c r="L130" s="20" t="n">
        <v>78</v>
      </c>
      <c r="M130" s="20" t="n">
        <v>82</v>
      </c>
      <c r="N130" s="20" t="n">
        <v>47</v>
      </c>
      <c r="U130" s="20" t="n">
        <v>75.602</v>
      </c>
      <c r="V130" s="20" t="n">
        <v>153.46</v>
      </c>
      <c r="W130" s="20" t="n">
        <v>55</v>
      </c>
      <c r="X130" s="20" t="n">
        <v>67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IF(OR(G130="",C130=""),"",IF(G130*C130&lt;=0,"",IFERROR(G130/C130-1,"")))</f>
        <v/>
      </c>
      <c r="H131" s="15">
        <f>IF(OR(H130="",D130=""),"",IF(H130*D130&lt;=0,"",IFERROR(H130/D130-1,"")))</f>
        <v/>
      </c>
      <c r="I131" s="15">
        <f>IF(OR(I130="",E130=""),"",IF(I130*E130&lt;=0,"",IFERROR(I130/E130-1,"")))</f>
        <v/>
      </c>
      <c r="J131" s="15">
        <f>IF(OR(J130="",F130=""),"",IF(J130*F130&lt;=0,"",IFERROR(J130/F130-1,"")))</f>
        <v/>
      </c>
      <c r="K131" s="15">
        <f>IF(OR(K130="",G130=""),"",IF(K130*G130&lt;=0,"",IFERROR(K130/G130-1,"")))</f>
        <v/>
      </c>
      <c r="L131" s="15">
        <f>IF(OR(L130="",H130=""),"",IF(L130*H130&lt;=0,"",IFERROR(L130/H130-1,"")))</f>
        <v/>
      </c>
      <c r="M131" s="15">
        <f>IF(OR(M130="",I130=""),"",IF(M130*I130&lt;=0,"",IFERROR(M130/I130-1,"")))</f>
        <v/>
      </c>
      <c r="N131" s="15">
        <f>IF(OR(N130="",J130=""),"",IF(N130*J130&lt;=0,"",IFERROR(N130/J130-1,"")))</f>
        <v/>
      </c>
      <c r="U131" s="15">
        <f>IF(OR(U130="",T130=""),"",IF(U130*T130&lt;=0,"",IFERROR(U130/T130-1,"")))</f>
        <v/>
      </c>
      <c r="V131" s="15">
        <f>IF(OR(V130="",U130=""),"",IF(V130*U130&lt;=0,"",IFERROR(V130/U130-1,"")))</f>
        <v/>
      </c>
      <c r="W131" s="15">
        <f>IF(OR(W130="",V130=""),"",IF(W130*V130&lt;=0,"",IFERROR(W130/V130-1,"")))</f>
        <v/>
      </c>
      <c r="X131" s="15">
        <f>IF(OR(X130="",W130=""),"",IF(X130*W130&lt;=0,"",IFERROR(X130/W130-1,"")))</f>
        <v/>
      </c>
    </row>
    <row r="132">
      <c r="A132" s="18" t="inlineStr">
        <is>
          <t>이자비용</t>
        </is>
      </c>
      <c r="C132" s="20" t="n">
        <v>15.649</v>
      </c>
      <c r="D132" s="20" t="n">
        <v>15</v>
      </c>
      <c r="E132" s="20" t="n">
        <v>17</v>
      </c>
      <c r="F132" s="20" t="n">
        <v>19</v>
      </c>
      <c r="G132" s="20" t="n">
        <v>24</v>
      </c>
      <c r="H132" s="20" t="n">
        <v>28</v>
      </c>
      <c r="I132" s="20" t="n">
        <v>43</v>
      </c>
      <c r="J132" s="20" t="n">
        <v>44</v>
      </c>
      <c r="K132" s="20" t="n">
        <v>54</v>
      </c>
      <c r="L132" s="20" t="n">
        <v>65</v>
      </c>
      <c r="M132" s="20" t="n">
        <v>79</v>
      </c>
      <c r="N132" s="20" t="n">
        <v>84</v>
      </c>
      <c r="U132" s="20" t="n">
        <v>12.499</v>
      </c>
      <c r="V132" s="20" t="n">
        <v>15.649</v>
      </c>
      <c r="W132" s="20" t="n">
        <v>24</v>
      </c>
      <c r="X132" s="20" t="n">
        <v>54</v>
      </c>
    </row>
    <row r="133">
      <c r="A133" s="18" t="inlineStr">
        <is>
          <t>신디케이트론 수수료</t>
        </is>
      </c>
      <c r="F133" s="20" t="n">
        <v>3</v>
      </c>
      <c r="G133" s="20" t="n">
        <v>3</v>
      </c>
      <c r="H133" s="20" t="n">
        <v>2</v>
      </c>
      <c r="I133" s="20" t="n">
        <v>44</v>
      </c>
      <c r="J133" s="20" t="n">
        <v>3</v>
      </c>
      <c r="K133" s="20" t="n">
        <v>2</v>
      </c>
      <c r="L133" s="20" t="n">
        <v>54</v>
      </c>
      <c r="M133" s="20" t="n">
        <v>18</v>
      </c>
      <c r="N133" s="20" t="n">
        <v>2</v>
      </c>
      <c r="W133" s="20" t="n">
        <v>3</v>
      </c>
      <c r="X133" s="20" t="n">
        <v>2</v>
      </c>
    </row>
    <row r="134">
      <c r="A134" s="18" t="inlineStr">
        <is>
          <t>사무소 이전비용</t>
        </is>
      </c>
      <c r="C134" s="20" t="n">
        <v>0</v>
      </c>
      <c r="G134" s="20" t="n">
        <v>2</v>
      </c>
      <c r="K134" s="20" t="n">
        <v>0</v>
      </c>
      <c r="V134" s="20" t="n">
        <v>0</v>
      </c>
      <c r="W134" s="20" t="n">
        <v>2</v>
      </c>
      <c r="X134" s="20" t="n">
        <v>0</v>
      </c>
    </row>
    <row r="135">
      <c r="A135" s="18" t="inlineStr">
        <is>
          <t>지분법손실</t>
        </is>
      </c>
      <c r="C135" s="20" t="n">
        <v>-8.861000000000001</v>
      </c>
      <c r="D135" s="20" t="n">
        <v>9</v>
      </c>
      <c r="E135" s="20" t="n">
        <v>-1</v>
      </c>
      <c r="F135" s="20" t="n">
        <v>4</v>
      </c>
      <c r="G135" s="20" t="n">
        <v>-12</v>
      </c>
      <c r="H135" s="20" t="n">
        <v>0</v>
      </c>
      <c r="I135" s="20" t="n">
        <v>0</v>
      </c>
      <c r="J135" s="20" t="n">
        <v>0</v>
      </c>
      <c r="U135" s="20" t="n">
        <v>7.343</v>
      </c>
      <c r="V135" s="20" t="n">
        <v>-8.861000000000001</v>
      </c>
      <c r="W135" s="20" t="n">
        <v>-12</v>
      </c>
    </row>
    <row r="136">
      <c r="A136" s="18" t="inlineStr">
        <is>
          <t>손해배상금</t>
        </is>
      </c>
      <c r="F136" s="20" t="n">
        <v>0</v>
      </c>
      <c r="G136" s="20" t="n">
        <v>0</v>
      </c>
      <c r="J136" s="20" t="n">
        <v>0</v>
      </c>
      <c r="K136" s="20" t="n">
        <v>1</v>
      </c>
      <c r="N136" s="20" t="n">
        <v>0</v>
      </c>
      <c r="W136" s="20" t="n">
        <v>0</v>
      </c>
      <c r="X136" s="20" t="n">
        <v>1</v>
      </c>
    </row>
    <row r="137">
      <c r="A137" s="18" t="inlineStr">
        <is>
          <t>외환차손</t>
        </is>
      </c>
      <c r="C137" s="20" t="n">
        <v>0</v>
      </c>
      <c r="D137" s="20" t="n">
        <v>0</v>
      </c>
      <c r="E137" s="20" t="n">
        <v>2</v>
      </c>
      <c r="F137" s="20" t="n">
        <v>5</v>
      </c>
      <c r="G137" s="20" t="n">
        <v>27</v>
      </c>
      <c r="H137" s="20" t="n">
        <v>0</v>
      </c>
      <c r="I137" s="20" t="n">
        <v>0</v>
      </c>
      <c r="J137" s="20" t="n">
        <v>0</v>
      </c>
      <c r="K137" s="20" t="n">
        <v>14</v>
      </c>
      <c r="L137" s="20" t="n">
        <v>14</v>
      </c>
      <c r="M137" s="20" t="n">
        <v>17</v>
      </c>
      <c r="N137" s="20" t="n">
        <v>-1</v>
      </c>
      <c r="V137" s="20" t="n">
        <v>0</v>
      </c>
      <c r="W137" s="20" t="n">
        <v>27</v>
      </c>
      <c r="X137" s="20" t="n">
        <v>14</v>
      </c>
    </row>
    <row r="138">
      <c r="A138" s="18" t="inlineStr">
        <is>
          <t>기타</t>
        </is>
      </c>
      <c r="C138" s="20" t="n">
        <v>2.32</v>
      </c>
      <c r="D138" s="20" t="n">
        <v>10</v>
      </c>
      <c r="E138" s="20" t="n">
        <v>10</v>
      </c>
      <c r="F138" s="20" t="n">
        <v>12</v>
      </c>
      <c r="G138" s="20" t="n">
        <v>38</v>
      </c>
      <c r="H138" s="20" t="n">
        <v>19</v>
      </c>
      <c r="I138" s="20" t="n">
        <v>31</v>
      </c>
      <c r="J138" s="20" t="n">
        <v>23</v>
      </c>
      <c r="K138" s="20" t="n">
        <v>13</v>
      </c>
      <c r="L138" s="20" t="n">
        <v>16</v>
      </c>
      <c r="M138" s="20" t="n">
        <v>42</v>
      </c>
      <c r="N138" s="20" t="n">
        <v>26</v>
      </c>
      <c r="U138" s="20" t="n">
        <v>-23.459</v>
      </c>
      <c r="V138" s="20" t="n">
        <v>2.32</v>
      </c>
      <c r="W138" s="20" t="n">
        <v>38</v>
      </c>
      <c r="X138" s="20" t="n">
        <v>13</v>
      </c>
    </row>
    <row r="139">
      <c r="A139" s="18" t="inlineStr">
        <is>
          <t>영업외비용 합계</t>
        </is>
      </c>
      <c r="C139" s="20" t="n">
        <v>22.17</v>
      </c>
      <c r="D139" s="20" t="n">
        <v>35</v>
      </c>
      <c r="E139" s="20" t="n">
        <v>35</v>
      </c>
      <c r="F139" s="20" t="n">
        <v>81</v>
      </c>
      <c r="G139" s="20" t="n">
        <v>80</v>
      </c>
      <c r="H139" s="20" t="n">
        <v>50</v>
      </c>
      <c r="I139" s="20" t="n">
        <v>218</v>
      </c>
      <c r="J139" s="20" t="n">
        <v>70</v>
      </c>
      <c r="K139" s="20" t="n">
        <v>86</v>
      </c>
      <c r="L139" s="20" t="n">
        <v>151</v>
      </c>
      <c r="M139" s="20" t="n">
        <v>155</v>
      </c>
      <c r="N139" s="20" t="n">
        <v>111</v>
      </c>
      <c r="U139" s="20" t="n">
        <v>98.452</v>
      </c>
      <c r="V139" s="20" t="n">
        <v>22.17</v>
      </c>
      <c r="W139" s="20" t="n">
        <v>80</v>
      </c>
      <c r="X139" s="20" t="n">
        <v>86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IF(OR(G139="",C139=""),"",IF(G139*C139&lt;=0,"",IFERROR(G139/C139-1,"")))</f>
        <v/>
      </c>
      <c r="H140" s="15">
        <f>IF(OR(H139="",D139=""),"",IF(H139*D139&lt;=0,"",IFERROR(H139/D139-1,"")))</f>
        <v/>
      </c>
      <c r="I140" s="15">
        <f>IF(OR(I139="",E139=""),"",IF(I139*E139&lt;=0,"",IFERROR(I139/E139-1,"")))</f>
        <v/>
      </c>
      <c r="J140" s="15">
        <f>IF(OR(J139="",F139=""),"",IF(J139*F139&lt;=0,"",IFERROR(J139/F139-1,"")))</f>
        <v/>
      </c>
      <c r="K140" s="15">
        <f>IF(OR(K139="",G139=""),"",IF(K139*G139&lt;=0,"",IFERROR(K139/G139-1,"")))</f>
        <v/>
      </c>
      <c r="L140" s="15">
        <f>IF(OR(L139="",H139=""),"",IF(L139*H139&lt;=0,"",IFERROR(L139/H139-1,"")))</f>
        <v/>
      </c>
      <c r="M140" s="15">
        <f>IF(OR(M139="",I139=""),"",IF(M139*I139&lt;=0,"",IFERROR(M139/I139-1,"")))</f>
        <v/>
      </c>
      <c r="N140" s="15">
        <f>IF(OR(N139="",J139=""),"",IF(N139*J139&lt;=0,"",IFERROR(N139/J139-1,"")))</f>
        <v/>
      </c>
      <c r="U140" s="15">
        <f>IF(OR(U139="",T139=""),"",IF(U139*T139&lt;=0,"",IFERROR(U139/T139-1,"")))</f>
        <v/>
      </c>
      <c r="V140" s="15">
        <f>IF(OR(V139="",U139=""),"",IF(V139*U139&lt;=0,"",IFERROR(V139/U139-1,"")))</f>
        <v/>
      </c>
      <c r="W140" s="15">
        <f>IF(OR(W139="",V139=""),"",IF(W139*V139&lt;=0,"",IFERROR(W139/V139-1,"")))</f>
        <v/>
      </c>
      <c r="X140" s="15">
        <f>IF(OR(X139="",W139=""),"",IF(X139*W139&lt;=0,"",IFERROR(X139/W139-1,"")))</f>
        <v/>
      </c>
    </row>
    <row r="141">
      <c r="A141" s="9" t="inlineStr">
        <is>
          <t>경상이익</t>
        </is>
      </c>
      <c r="C141" s="12" t="n">
        <v>573.9059999999999</v>
      </c>
      <c r="D141" s="12" t="n">
        <v>480</v>
      </c>
      <c r="E141" s="12" t="n">
        <v>895</v>
      </c>
      <c r="F141" s="12" t="n">
        <v>640</v>
      </c>
      <c r="G141" s="12" t="n">
        <v>789</v>
      </c>
      <c r="H141" s="12" t="n">
        <v>1042</v>
      </c>
      <c r="I141" s="12" t="n">
        <v>1107</v>
      </c>
      <c r="J141" s="12" t="n">
        <v>565</v>
      </c>
      <c r="K141" s="12" t="n">
        <v>196</v>
      </c>
      <c r="L141" s="12" t="n">
        <v>1079</v>
      </c>
      <c r="M141" s="12" t="n">
        <v>1069</v>
      </c>
      <c r="N141" s="12" t="n">
        <v>651</v>
      </c>
      <c r="U141" s="12" t="n">
        <v>370.721</v>
      </c>
      <c r="V141" s="12" t="n">
        <v>573.9059999999999</v>
      </c>
      <c r="W141" s="12" t="n">
        <v>789</v>
      </c>
      <c r="X141" s="12" t="n">
        <v>196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K142" s="15">
        <f>IF(OR(K141="",G141=""),"",IF(G141&lt;=0,"",IFERROR(K141/G141-1,"")))</f>
        <v/>
      </c>
      <c r="L142" s="15">
        <f>IF(OR(L141="",H141=""),"",IF(H141&lt;=0,"",IFERROR(L141/H141-1,"")))</f>
        <v/>
      </c>
      <c r="M142" s="15">
        <f>IF(OR(M141="",I141=""),"",IF(I141&lt;=0,"",IFERROR(M141/I141-1,"")))</f>
        <v/>
      </c>
      <c r="N142" s="15">
        <f>IF(OR(N141="",J141=""),"",IF(J141&lt;=0,"",IFERROR(N141/J141-1,"")))</f>
        <v/>
      </c>
      <c r="U142" s="15">
        <f>IF(OR(U141="",T141=""),"",IF(T141&lt;=0,"",IFERROR(U141/T141-1,"")))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  <c r="X142" s="15">
        <f>IF(OR(X141="",W141=""),"",IF(W141&lt;=0,"",IFERROR(X141/W141-1,"")))</f>
        <v/>
      </c>
    </row>
    <row r="143">
      <c r="A143" s="18" t="inlineStr">
        <is>
          <t>고정자산 매각이익</t>
        </is>
      </c>
      <c r="C143" s="20" t="n">
        <v>780.921</v>
      </c>
      <c r="D143" s="20" t="n">
        <v>0</v>
      </c>
      <c r="E143" s="20" t="n">
        <v>0</v>
      </c>
      <c r="F143" s="20" t="n">
        <v>0</v>
      </c>
      <c r="G143" s="20" t="n">
        <v>0</v>
      </c>
      <c r="H143" s="20" t="n">
        <v>1</v>
      </c>
      <c r="I143" s="20" t="n">
        <v>1</v>
      </c>
      <c r="J143" s="20" t="n">
        <v>0</v>
      </c>
      <c r="K143" s="20" t="n">
        <v>0</v>
      </c>
      <c r="L143" s="20" t="n">
        <v>0</v>
      </c>
      <c r="M143" s="20" t="n">
        <v>0</v>
      </c>
      <c r="N143" s="20" t="n">
        <v>1</v>
      </c>
      <c r="U143" s="20" t="n">
        <v>35.686</v>
      </c>
      <c r="V143" s="20" t="n">
        <v>780.921</v>
      </c>
      <c r="W143" s="20" t="n">
        <v>0</v>
      </c>
      <c r="X143" s="20" t="n">
        <v>0</v>
      </c>
    </row>
    <row r="144">
      <c r="A144" s="18" t="inlineStr">
        <is>
          <t>투자유가증권 매각이익</t>
        </is>
      </c>
      <c r="C144" s="20" t="n">
        <v>0</v>
      </c>
      <c r="D144" s="20" t="n">
        <v>0</v>
      </c>
      <c r="E144" s="20" t="n">
        <v>0</v>
      </c>
      <c r="F144" s="20" t="n">
        <v>0</v>
      </c>
      <c r="G144" s="20" t="n">
        <v>315</v>
      </c>
      <c r="H144" s="20" t="n">
        <v>8</v>
      </c>
      <c r="I144" s="20" t="n">
        <v>0</v>
      </c>
      <c r="J144" s="20" t="n">
        <v>0</v>
      </c>
      <c r="K144" s="20" t="n">
        <v>262</v>
      </c>
      <c r="L144" s="20" t="n">
        <v>0</v>
      </c>
      <c r="M144" s="20" t="n">
        <v>0</v>
      </c>
      <c r="N144" s="20" t="n">
        <v>0</v>
      </c>
      <c r="U144" s="20" t="n">
        <v>261.588</v>
      </c>
      <c r="V144" s="20" t="n">
        <v>0</v>
      </c>
      <c r="W144" s="20" t="n">
        <v>315</v>
      </c>
      <c r="X144" s="20" t="n">
        <v>262</v>
      </c>
    </row>
    <row r="145">
      <c r="A145" s="18" t="inlineStr">
        <is>
          <t>국고보조금 수증이익</t>
        </is>
      </c>
      <c r="C145" s="20" t="n">
        <v>-5.318</v>
      </c>
      <c r="F145" s="20" t="n">
        <v>0</v>
      </c>
      <c r="G145" s="20" t="n">
        <v>0</v>
      </c>
      <c r="U145" s="20" t="n">
        <v>0</v>
      </c>
      <c r="V145" s="20" t="n">
        <v>-5.318</v>
      </c>
      <c r="W145" s="20" t="n">
        <v>0</v>
      </c>
    </row>
    <row r="146">
      <c r="A146" s="18" t="inlineStr">
        <is>
          <t>특별이익 합계</t>
        </is>
      </c>
      <c r="C146" s="20" t="n">
        <v>793.119</v>
      </c>
      <c r="D146" s="20" t="n">
        <v>0</v>
      </c>
      <c r="E146" s="20" t="n">
        <v>0</v>
      </c>
      <c r="F146" s="20" t="n">
        <v>0</v>
      </c>
      <c r="G146" s="20" t="n">
        <v>316</v>
      </c>
      <c r="H146" s="20" t="n">
        <v>10</v>
      </c>
      <c r="I146" s="20" t="n">
        <v>0</v>
      </c>
      <c r="J146" s="20" t="n">
        <v>0</v>
      </c>
      <c r="K146" s="20" t="n">
        <v>262</v>
      </c>
      <c r="L146" s="20" t="n">
        <v>0</v>
      </c>
      <c r="M146" s="20" t="n">
        <v>0</v>
      </c>
      <c r="N146" s="20" t="n">
        <v>1</v>
      </c>
      <c r="U146" s="20" t="n">
        <v>297.275</v>
      </c>
      <c r="V146" s="20" t="n">
        <v>793.119</v>
      </c>
      <c r="W146" s="20" t="n">
        <v>316</v>
      </c>
      <c r="X146" s="20" t="n">
        <v>262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IF(OR(G146="",C146=""),"",IF(G146*C146&lt;=0,"",IFERROR(G146/C146-1,"")))</f>
        <v/>
      </c>
      <c r="H147" s="15">
        <f>IF(OR(H146="",D146=""),"",IF(H146*D146&lt;=0,"",IFERROR(H146/D146-1,"")))</f>
        <v/>
      </c>
      <c r="I147" s="15">
        <f>IF(OR(I146="",E146=""),"",IF(I146*E146&lt;=0,"",IFERROR(I146/E146-1,"")))</f>
        <v/>
      </c>
      <c r="J147" s="15">
        <f>IF(OR(J146="",F146=""),"",IF(J146*F146&lt;=0,"",IFERROR(J146/F146-1,"")))</f>
        <v/>
      </c>
      <c r="K147" s="15">
        <f>IF(OR(K146="",G146=""),"",IF(K146*G146&lt;=0,"",IFERROR(K146/G146-1,"")))</f>
        <v/>
      </c>
      <c r="L147" s="15">
        <f>IF(OR(L146="",H146=""),"",IF(L146*H146&lt;=0,"",IFERROR(L146/H146-1,"")))</f>
        <v/>
      </c>
      <c r="M147" s="15">
        <f>IF(OR(M146="",I146=""),"",IF(M146*I146&lt;=0,"",IFERROR(M146/I146-1,"")))</f>
        <v/>
      </c>
      <c r="N147" s="15">
        <f>IF(OR(N146="",J146=""),"",IF(N146*J146&lt;=0,"",IFERROR(N146/J146-1,"")))</f>
        <v/>
      </c>
      <c r="U147" s="15">
        <f>IF(OR(U146="",T146=""),"",IF(U146*T146&lt;=0,"",IFERROR(U146/T146-1,"")))</f>
        <v/>
      </c>
      <c r="V147" s="15">
        <f>IF(OR(V146="",U146=""),"",IF(V146*U146&lt;=0,"",IFERROR(V146/U146-1,"")))</f>
        <v/>
      </c>
      <c r="W147" s="15">
        <f>IF(OR(W146="",V146=""),"",IF(W146*V146&lt;=0,"",IFERROR(W146/V146-1,"")))</f>
        <v/>
      </c>
      <c r="X147" s="15">
        <f>IF(OR(X146="",W146=""),"",IF(X146*W146&lt;=0,"",IFERROR(X146/W146-1,"")))</f>
        <v/>
      </c>
    </row>
    <row r="148">
      <c r="A148" s="18" t="inlineStr">
        <is>
          <t>고정자산 매각손실</t>
        </is>
      </c>
      <c r="C148" s="20" t="n">
        <v>4.094</v>
      </c>
      <c r="D148" s="20" t="n">
        <v>0</v>
      </c>
      <c r="E148" s="20" t="n">
        <v>0</v>
      </c>
      <c r="F148" s="20" t="n">
        <v>0</v>
      </c>
      <c r="G148" s="20" t="n">
        <v>0</v>
      </c>
      <c r="J148" s="20" t="n">
        <v>0</v>
      </c>
      <c r="K148" s="20" t="n">
        <v>3</v>
      </c>
      <c r="N148" s="20" t="n">
        <v>0</v>
      </c>
      <c r="U148" s="20" t="n">
        <v>0</v>
      </c>
      <c r="V148" s="20" t="n">
        <v>4.094</v>
      </c>
      <c r="W148" s="20" t="n">
        <v>0</v>
      </c>
      <c r="X148" s="20" t="n">
        <v>3</v>
      </c>
    </row>
    <row r="149">
      <c r="A149" s="18" t="inlineStr">
        <is>
          <t>고정자산 처분손실</t>
        </is>
      </c>
      <c r="C149" s="20" t="n">
        <v>9.092000000000001</v>
      </c>
      <c r="D149" s="20" t="n">
        <v>18</v>
      </c>
      <c r="E149" s="20" t="n">
        <v>91</v>
      </c>
      <c r="F149" s="20" t="n">
        <v>23</v>
      </c>
      <c r="G149" s="20" t="n">
        <v>26</v>
      </c>
      <c r="H149" s="20" t="n">
        <v>3</v>
      </c>
      <c r="I149" s="20" t="n">
        <v>6</v>
      </c>
      <c r="J149" s="20" t="n">
        <v>10</v>
      </c>
      <c r="K149" s="20" t="n">
        <v>85</v>
      </c>
      <c r="L149" s="20" t="n">
        <v>0</v>
      </c>
      <c r="M149" s="20" t="n">
        <v>6</v>
      </c>
      <c r="N149" s="20" t="n">
        <v>1</v>
      </c>
      <c r="U149" s="20" t="n">
        <v>9.667999999999999</v>
      </c>
      <c r="V149" s="20" t="n">
        <v>9.092000000000001</v>
      </c>
      <c r="W149" s="20" t="n">
        <v>26</v>
      </c>
      <c r="X149" s="20" t="n">
        <v>85</v>
      </c>
    </row>
    <row r="150">
      <c r="A150" s="18" t="inlineStr">
        <is>
          <t>투자유가증권 평가손실</t>
        </is>
      </c>
      <c r="C150" s="20" t="n">
        <v>3.271</v>
      </c>
      <c r="D150" s="20" t="n">
        <v>50</v>
      </c>
      <c r="E150" s="20" t="n">
        <v>48</v>
      </c>
      <c r="F150" s="20" t="n">
        <v>0</v>
      </c>
      <c r="G150" s="20" t="n">
        <v>148</v>
      </c>
      <c r="H150" s="20" t="n">
        <v>0</v>
      </c>
      <c r="I150" s="20" t="n">
        <v>0</v>
      </c>
      <c r="J150" s="20" t="n">
        <v>0</v>
      </c>
      <c r="K150" s="20" t="n">
        <v>0</v>
      </c>
      <c r="U150" s="20" t="n">
        <v>303.543</v>
      </c>
      <c r="V150" s="20" t="n">
        <v>3.271</v>
      </c>
      <c r="W150" s="20" t="n">
        <v>148</v>
      </c>
      <c r="X150" s="20" t="n">
        <v>0</v>
      </c>
    </row>
    <row r="151">
      <c r="A151" s="18" t="inlineStr">
        <is>
          <t>퇴직급여제도 이행손실</t>
        </is>
      </c>
      <c r="C151" s="20" t="n">
        <v>0</v>
      </c>
      <c r="U151" s="20" t="n">
        <v>0</v>
      </c>
      <c r="V151" s="20" t="n">
        <v>0</v>
      </c>
    </row>
    <row r="152">
      <c r="A152" s="18" t="inlineStr">
        <is>
          <t>손상차손</t>
        </is>
      </c>
      <c r="D152" s="20" t="n">
        <v>0</v>
      </c>
      <c r="E152" s="20" t="n">
        <v>0</v>
      </c>
      <c r="F152" s="20" t="n">
        <v>0</v>
      </c>
      <c r="G152" s="20" t="n">
        <v>4100</v>
      </c>
      <c r="H152" s="20" t="n">
        <v>68</v>
      </c>
      <c r="I152" s="20" t="n">
        <v>50</v>
      </c>
      <c r="J152" s="20" t="n">
        <v>20</v>
      </c>
      <c r="K152" s="20" t="n">
        <v>1</v>
      </c>
      <c r="L152" s="20" t="n">
        <v>0</v>
      </c>
      <c r="M152" s="20" t="n">
        <v>0</v>
      </c>
      <c r="N152" s="20" t="n">
        <v>0</v>
      </c>
      <c r="W152" s="20" t="n">
        <v>4100</v>
      </c>
      <c r="X152" s="20" t="n">
        <v>1</v>
      </c>
    </row>
    <row r="153">
      <c r="A153" s="18" t="inlineStr">
        <is>
          <t>관계회사 청산손실</t>
        </is>
      </c>
      <c r="C153" s="20" t="n">
        <v>0</v>
      </c>
      <c r="D153" s="20" t="n">
        <v>0</v>
      </c>
      <c r="E153" s="20" t="n">
        <v>0</v>
      </c>
      <c r="F153" s="20" t="n">
        <v>0</v>
      </c>
      <c r="G153" s="20" t="n">
        <v>0</v>
      </c>
      <c r="U153" s="20" t="n">
        <v>0</v>
      </c>
      <c r="V153" s="20" t="n">
        <v>0</v>
      </c>
      <c r="W153" s="20" t="n">
        <v>0</v>
      </c>
    </row>
    <row r="154">
      <c r="A154" s="18" t="inlineStr">
        <is>
          <t>재해 손실</t>
        </is>
      </c>
      <c r="C154" s="20" t="n">
        <v>0</v>
      </c>
      <c r="D154" s="20" t="n">
        <v>17</v>
      </c>
      <c r="E154" s="20" t="n">
        <v>16</v>
      </c>
      <c r="F154" s="20" t="n">
        <v>3</v>
      </c>
      <c r="G154" s="20" t="n">
        <v>2</v>
      </c>
      <c r="H154" s="20" t="n">
        <v>0</v>
      </c>
      <c r="I154" s="20" t="n">
        <v>0</v>
      </c>
      <c r="J154" s="20" t="n">
        <v>0</v>
      </c>
      <c r="K154" s="20" t="n">
        <v>0</v>
      </c>
      <c r="V154" s="20" t="n">
        <v>0</v>
      </c>
      <c r="W154" s="20" t="n">
        <v>2</v>
      </c>
      <c r="X154" s="20" t="n">
        <v>0</v>
      </c>
    </row>
    <row r="155">
      <c r="A155" s="18" t="inlineStr">
        <is>
          <t>사업구조개선비용</t>
        </is>
      </c>
      <c r="G155" s="20" t="n">
        <v>109</v>
      </c>
      <c r="K155" s="20" t="n">
        <v>11</v>
      </c>
      <c r="W155" s="20" t="n">
        <v>109</v>
      </c>
      <c r="X155" s="20" t="n">
        <v>11</v>
      </c>
    </row>
    <row r="156">
      <c r="A156" s="18" t="inlineStr">
        <is>
          <t>특별손실 합계</t>
        </is>
      </c>
      <c r="C156" s="20" t="n">
        <v>434.725</v>
      </c>
      <c r="D156" s="20" t="n">
        <v>87</v>
      </c>
      <c r="E156" s="20" t="n">
        <v>154</v>
      </c>
      <c r="F156" s="20" t="n">
        <v>26</v>
      </c>
      <c r="G156" s="20" t="n">
        <v>4386</v>
      </c>
      <c r="H156" s="20" t="n">
        <v>71</v>
      </c>
      <c r="I156" s="20" t="n">
        <v>57</v>
      </c>
      <c r="J156" s="20" t="n">
        <v>58</v>
      </c>
      <c r="K156" s="20" t="n">
        <v>133</v>
      </c>
      <c r="L156" s="20" t="n">
        <v>0</v>
      </c>
      <c r="M156" s="20" t="n">
        <v>6</v>
      </c>
      <c r="N156" s="20" t="n">
        <v>1</v>
      </c>
      <c r="U156" s="20" t="n">
        <v>374.413</v>
      </c>
      <c r="V156" s="20" t="n">
        <v>434.725</v>
      </c>
      <c r="W156" s="20" t="n">
        <v>4386</v>
      </c>
      <c r="X156" s="20" t="n">
        <v>133</v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G157" s="15">
        <f>IF(OR(G156="",C156=""),"",IF(G156*C156&lt;=0,"",IFERROR(G156/C156-1,"")))</f>
        <v/>
      </c>
      <c r="H157" s="15">
        <f>IF(OR(H156="",D156=""),"",IF(H156*D156&lt;=0,"",IFERROR(H156/D156-1,"")))</f>
        <v/>
      </c>
      <c r="I157" s="15">
        <f>IF(OR(I156="",E156=""),"",IF(I156*E156&lt;=0,"",IFERROR(I156/E156-1,"")))</f>
        <v/>
      </c>
      <c r="J157" s="15">
        <f>IF(OR(J156="",F156=""),"",IF(J156*F156&lt;=0,"",IFERROR(J156/F156-1,"")))</f>
        <v/>
      </c>
      <c r="K157" s="15">
        <f>IF(OR(K156="",G156=""),"",IF(K156*G156&lt;=0,"",IFERROR(K156/G156-1,"")))</f>
        <v/>
      </c>
      <c r="L157" s="15">
        <f>IF(OR(L156="",H156=""),"",IF(L156*H156&lt;=0,"",IFERROR(L156/H156-1,"")))</f>
        <v/>
      </c>
      <c r="M157" s="15">
        <f>IF(OR(M156="",I156=""),"",IF(M156*I156&lt;=0,"",IFERROR(M156/I156-1,"")))</f>
        <v/>
      </c>
      <c r="N157" s="15">
        <f>IF(OR(N156="",J156=""),"",IF(N156*J156&lt;=0,"",IFERROR(N156/J156-1,"")))</f>
        <v/>
      </c>
      <c r="U157" s="15">
        <f>IF(OR(U156="",T156=""),"",IF(U156*T156&lt;=0,"",IFERROR(U156/T156-1,"")))</f>
        <v/>
      </c>
      <c r="V157" s="15">
        <f>IF(OR(V156="",U156=""),"",IF(V156*U156&lt;=0,"",IFERROR(V156/U156-1,"")))</f>
        <v/>
      </c>
      <c r="W157" s="15">
        <f>IF(OR(W156="",V156=""),"",IF(W156*V156&lt;=0,"",IFERROR(W156/V156-1,"")))</f>
        <v/>
      </c>
      <c r="X157" s="15">
        <f>IF(OR(X156="",W156=""),"",IF(X156*W156&lt;=0,"",IFERROR(X156/W156-1,"")))</f>
        <v/>
      </c>
    </row>
    <row r="158">
      <c r="A158" s="9" t="inlineStr">
        <is>
          <t>법인세차감전 순이익</t>
        </is>
      </c>
      <c r="C158" s="12" t="n">
        <v>932.301</v>
      </c>
      <c r="D158" s="12" t="n">
        <v>393</v>
      </c>
      <c r="E158" s="12" t="n">
        <v>741</v>
      </c>
      <c r="F158" s="12" t="n">
        <v>614</v>
      </c>
      <c r="G158" s="12" t="n">
        <v>-3281</v>
      </c>
      <c r="H158" s="12" t="n">
        <v>980</v>
      </c>
      <c r="I158" s="12" t="n">
        <v>1052</v>
      </c>
      <c r="J158" s="12" t="n">
        <v>507</v>
      </c>
      <c r="K158" s="12" t="n">
        <v>325</v>
      </c>
      <c r="L158" s="12" t="n">
        <v>1079</v>
      </c>
      <c r="M158" s="12" t="n">
        <v>1064</v>
      </c>
      <c r="N158" s="12" t="n">
        <v>650</v>
      </c>
      <c r="U158" s="12" t="n">
        <v>293.584</v>
      </c>
      <c r="V158" s="12" t="n">
        <v>932.301</v>
      </c>
      <c r="W158" s="12" t="n">
        <v>-3281</v>
      </c>
      <c r="X158" s="12" t="n">
        <v>325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J159" s="15">
        <f>IF(OR(J158="",F158=""),"",IF(F158&lt;=0,"",IFERROR(J158/F158-1,"")))</f>
        <v/>
      </c>
      <c r="K159" s="15">
        <f>IF(OR(K158="",G158=""),"",IF(G158&lt;=0,"",IFERROR(K158/G158-1,"")))</f>
        <v/>
      </c>
      <c r="L159" s="15">
        <f>IF(OR(L158="",H158=""),"",IF(H158&lt;=0,"",IFERROR(L158/H158-1,"")))</f>
        <v/>
      </c>
      <c r="M159" s="15">
        <f>IF(OR(M158="",I158=""),"",IF(I158&lt;=0,"",IFERROR(M158/I158-1,"")))</f>
        <v/>
      </c>
      <c r="N159" s="15">
        <f>IF(OR(N158="",J158=""),"",IF(J158&lt;=0,"",IFERROR(N158/J158-1,"")))</f>
        <v/>
      </c>
      <c r="U159" s="15">
        <f>IF(OR(U158="",T158=""),"",IF(T158&lt;=0,"",IFERROR(U158/T158-1,"")))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  <c r="X159" s="15">
        <f>IF(OR(X158="",W158=""),"",IF(W158&lt;=0,"",IFERROR(X158/W158-1,"")))</f>
        <v/>
      </c>
    </row>
    <row r="160">
      <c r="A160" s="18" t="inlineStr">
        <is>
          <t>법인세·주민세·사업세</t>
        </is>
      </c>
      <c r="C160" s="20" t="n">
        <v>440.433</v>
      </c>
      <c r="D160" s="20" t="n">
        <v>117</v>
      </c>
      <c r="E160" s="20" t="n">
        <v>306</v>
      </c>
      <c r="F160" s="20" t="n">
        <v>245</v>
      </c>
      <c r="G160" s="20" t="n">
        <v>305</v>
      </c>
      <c r="H160" s="20" t="n">
        <v>269</v>
      </c>
      <c r="I160" s="20" t="n">
        <v>280</v>
      </c>
      <c r="J160" s="20" t="n">
        <v>348</v>
      </c>
      <c r="K160" s="20" t="n">
        <v>78</v>
      </c>
      <c r="L160" s="20" t="n">
        <v>251</v>
      </c>
      <c r="M160" s="20" t="n">
        <v>293</v>
      </c>
      <c r="N160" s="20" t="n">
        <v>88</v>
      </c>
      <c r="U160" s="20" t="n">
        <v>373.572</v>
      </c>
      <c r="V160" s="20" t="n">
        <v>440.433</v>
      </c>
      <c r="W160" s="20" t="n">
        <v>305</v>
      </c>
      <c r="X160" s="20" t="n">
        <v>78</v>
      </c>
    </row>
    <row r="161">
      <c r="A161" s="18" t="inlineStr">
        <is>
          <t>법인세 조정액</t>
        </is>
      </c>
      <c r="C161" s="20" t="n">
        <v>-460.105</v>
      </c>
      <c r="D161" s="20" t="n">
        <v>26</v>
      </c>
      <c r="E161" s="20" t="n">
        <v>-16</v>
      </c>
      <c r="F161" s="20" t="n">
        <v>-63</v>
      </c>
      <c r="G161" s="20" t="n">
        <v>84</v>
      </c>
      <c r="H161" s="20" t="n">
        <v>209</v>
      </c>
      <c r="I161" s="20" t="n">
        <v>-8</v>
      </c>
      <c r="J161" s="20" t="n">
        <v>-188</v>
      </c>
      <c r="K161" s="20" t="n">
        <v>-303</v>
      </c>
      <c r="L161" s="20" t="n">
        <v>238</v>
      </c>
      <c r="M161" s="20" t="n">
        <v>-56</v>
      </c>
      <c r="N161" s="20" t="n">
        <v>-30</v>
      </c>
      <c r="U161" s="20" t="n">
        <v>-53.284</v>
      </c>
      <c r="V161" s="20" t="n">
        <v>-460.105</v>
      </c>
      <c r="W161" s="20" t="n">
        <v>84</v>
      </c>
      <c r="X161" s="20" t="n">
        <v>-303</v>
      </c>
    </row>
    <row r="162">
      <c r="A162" s="18" t="inlineStr">
        <is>
          <t>법인세 등 합계</t>
        </is>
      </c>
      <c r="C162" s="20" t="n">
        <v>-19.672</v>
      </c>
      <c r="D162" s="20" t="n">
        <v>144</v>
      </c>
      <c r="E162" s="20" t="n">
        <v>289</v>
      </c>
      <c r="F162" s="20" t="n">
        <v>182</v>
      </c>
      <c r="G162" s="20" t="n">
        <v>389</v>
      </c>
      <c r="H162" s="20" t="n">
        <v>479</v>
      </c>
      <c r="I162" s="20" t="n">
        <v>271</v>
      </c>
      <c r="J162" s="20" t="n">
        <v>160</v>
      </c>
      <c r="K162" s="20" t="n">
        <v>-225</v>
      </c>
      <c r="L162" s="20" t="n">
        <v>490</v>
      </c>
      <c r="M162" s="20" t="n">
        <v>236</v>
      </c>
      <c r="N162" s="20" t="n">
        <v>58</v>
      </c>
      <c r="U162" s="20" t="n">
        <v>320.288</v>
      </c>
      <c r="V162" s="20" t="n">
        <v>-19.672</v>
      </c>
      <c r="W162" s="20" t="n">
        <v>389</v>
      </c>
      <c r="X162" s="20" t="n">
        <v>-225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IF(OR(G162="",C162=""),"",IF(G162*C162&lt;=0,"",IFERROR(G162/C162-1,"")))</f>
        <v/>
      </c>
      <c r="H163" s="15">
        <f>IF(OR(H162="",D162=""),"",IF(H162*D162&lt;=0,"",IFERROR(H162/D162-1,"")))</f>
        <v/>
      </c>
      <c r="I163" s="15">
        <f>IF(OR(I162="",E162=""),"",IF(I162*E162&lt;=0,"",IFERROR(I162/E162-1,"")))</f>
        <v/>
      </c>
      <c r="J163" s="15">
        <f>IF(OR(J162="",F162=""),"",IF(J162*F162&lt;=0,"",IFERROR(J162/F162-1,"")))</f>
        <v/>
      </c>
      <c r="K163" s="15">
        <f>IF(OR(K162="",G162=""),"",IF(K162*G162&lt;=0,"",IFERROR(K162/G162-1,"")))</f>
        <v/>
      </c>
      <c r="L163" s="15">
        <f>IF(OR(L162="",H162=""),"",IF(L162*H162&lt;=0,"",IFERROR(L162/H162-1,"")))</f>
        <v/>
      </c>
      <c r="M163" s="15">
        <f>IF(OR(M162="",I162=""),"",IF(M162*I162&lt;=0,"",IFERROR(M162/I162-1,"")))</f>
        <v/>
      </c>
      <c r="N163" s="15">
        <f>IF(OR(N162="",J162=""),"",IF(N162*J162&lt;=0,"",IFERROR(N162/J162-1,"")))</f>
        <v/>
      </c>
      <c r="U163" s="15">
        <f>IF(OR(U162="",T162=""),"",IF(U162*T162&lt;=0,"",IFERROR(U162/T162-1,"")))</f>
        <v/>
      </c>
      <c r="V163" s="15">
        <f>IF(OR(V162="",U162=""),"",IF(V162*U162&lt;=0,"",IFERROR(V162/U162-1,"")))</f>
        <v/>
      </c>
      <c r="W163" s="15">
        <f>IF(OR(W162="",V162=""),"",IF(W162*V162&lt;=0,"",IFERROR(W162/V162-1,"")))</f>
        <v/>
      </c>
      <c r="X163" s="15">
        <f>IF(OR(X162="",W162=""),"",IF(X162*W162&lt;=0,"",IFERROR(X162/W162-1,"")))</f>
        <v/>
      </c>
    </row>
    <row r="164">
      <c r="A164" s="9" t="inlineStr">
        <is>
          <t>순이익</t>
        </is>
      </c>
      <c r="C164" s="12" t="n">
        <v>951.973</v>
      </c>
      <c r="D164" s="12" t="n">
        <v>248</v>
      </c>
      <c r="E164" s="12" t="n">
        <v>453</v>
      </c>
      <c r="F164" s="12" t="n">
        <v>432</v>
      </c>
      <c r="G164" s="12" t="n">
        <v>-3670</v>
      </c>
      <c r="H164" s="12" t="n">
        <v>501</v>
      </c>
      <c r="I164" s="12" t="n">
        <v>780</v>
      </c>
      <c r="J164" s="12" t="n">
        <v>347</v>
      </c>
      <c r="K164" s="12" t="n">
        <v>551</v>
      </c>
      <c r="L164" s="12" t="n">
        <v>589</v>
      </c>
      <c r="M164" s="12" t="n">
        <v>828</v>
      </c>
      <c r="N164" s="12" t="n">
        <v>592</v>
      </c>
      <c r="U164" s="12" t="n">
        <v>-26.705</v>
      </c>
      <c r="V164" s="12" t="n">
        <v>951.973</v>
      </c>
      <c r="W164" s="12" t="n">
        <v>-3670</v>
      </c>
      <c r="X164" s="12" t="n">
        <v>551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  <c r="U165" s="15">
        <f>IF(OR(U164="",T164=""),"",IF(T164&lt;=0,"",IFERROR(U164/T164-1,"")))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9" t="inlineStr">
        <is>
          <t>비지배주주 순손익</t>
        </is>
      </c>
      <c r="C166" s="12" t="n">
        <v>-0.907</v>
      </c>
      <c r="D166" s="12" t="n">
        <v>-0</v>
      </c>
      <c r="E166" s="12" t="n">
        <v>-3</v>
      </c>
      <c r="F166" s="12" t="n">
        <v>-2</v>
      </c>
      <c r="G166" s="12" t="n">
        <v>-7</v>
      </c>
      <c r="H166" s="12" t="n">
        <v>-3</v>
      </c>
      <c r="I166" s="12" t="n">
        <v>-4</v>
      </c>
      <c r="J166" s="12" t="n">
        <v>0</v>
      </c>
      <c r="K166" s="12" t="n">
        <v>0</v>
      </c>
      <c r="L166" s="12" t="n">
        <v>3</v>
      </c>
      <c r="M166" s="12" t="n">
        <v>-3</v>
      </c>
      <c r="N166" s="12" t="n">
        <v>2</v>
      </c>
      <c r="U166" s="12" t="n">
        <v>-0.259</v>
      </c>
      <c r="V166" s="12" t="n">
        <v>-0.907</v>
      </c>
      <c r="W166" s="12" t="n">
        <v>-7</v>
      </c>
      <c r="X166" s="12" t="n">
        <v>0</v>
      </c>
    </row>
    <row r="167">
      <c r="A167" s="9" t="inlineStr">
        <is>
          <t>지배주주 순이익</t>
        </is>
      </c>
      <c r="C167" s="12" t="n">
        <v>952.879</v>
      </c>
      <c r="D167" s="12" t="n">
        <v>249</v>
      </c>
      <c r="E167" s="12" t="n">
        <v>455</v>
      </c>
      <c r="F167" s="12" t="n">
        <v>434</v>
      </c>
      <c r="G167" s="12" t="n">
        <v>-3663</v>
      </c>
      <c r="H167" s="12" t="n">
        <v>505</v>
      </c>
      <c r="I167" s="12" t="n">
        <v>783</v>
      </c>
      <c r="J167" s="12" t="n">
        <v>347</v>
      </c>
      <c r="K167" s="12" t="n">
        <v>552</v>
      </c>
      <c r="L167" s="12" t="n">
        <v>586</v>
      </c>
      <c r="M167" s="12" t="n">
        <v>831</v>
      </c>
      <c r="N167" s="12" t="n">
        <v>589</v>
      </c>
      <c r="U167" s="12" t="n">
        <v>-26.446</v>
      </c>
      <c r="V167" s="12" t="n">
        <v>952.879</v>
      </c>
      <c r="W167" s="12" t="n">
        <v>-3663</v>
      </c>
      <c r="X167" s="12" t="n">
        <v>552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U168" s="15">
        <f>IF(OR(U167="",T167=""),"",IF(T167&lt;=0,"",IFERROR(U167/T167-1,"")))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70">
      <c r="A170" s="16" t="inlineStr">
        <is>
          <t>포괄손익 · 전 항목</t>
        </is>
      </c>
      <c r="B170" s="42" t="inlineStr">
        <is>
          <t>분기 = 3개월 단독</t>
        </is>
      </c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</row>
    <row r="171">
      <c r="A171" s="5" t="inlineStr">
        <is>
          <t>항목</t>
        </is>
      </c>
      <c r="B171" s="5" t="inlineStr">
        <is>
          <t>참고</t>
        </is>
      </c>
      <c r="C171" s="5" t="inlineStr">
        <is>
          <t>2023.4Q</t>
        </is>
      </c>
      <c r="D171" s="5" t="inlineStr">
        <is>
          <t>2024.1Q</t>
        </is>
      </c>
      <c r="E171" s="5" t="inlineStr">
        <is>
          <t>2024.2Q</t>
        </is>
      </c>
      <c r="F171" s="5" t="inlineStr">
        <is>
          <t>2024.3Q</t>
        </is>
      </c>
      <c r="G171" s="5" t="inlineStr">
        <is>
          <t>2024.4Q</t>
        </is>
      </c>
      <c r="H171" s="5" t="inlineStr">
        <is>
          <t>2025.1Q</t>
        </is>
      </c>
      <c r="I171" s="5" t="inlineStr">
        <is>
          <t>2025.2Q</t>
        </is>
      </c>
      <c r="J171" s="5" t="inlineStr">
        <is>
          <t>2025.3Q</t>
        </is>
      </c>
      <c r="K171" s="5" t="inlineStr">
        <is>
          <t>2025.4Q</t>
        </is>
      </c>
      <c r="L171" s="5" t="inlineStr">
        <is>
          <t>2026.1Q</t>
        </is>
      </c>
      <c r="M171" s="5" t="inlineStr">
        <is>
          <t>2026.2Q</t>
        </is>
      </c>
      <c r="N171" s="5" t="inlineStr">
        <is>
          <t>2026.3Q</t>
        </is>
      </c>
      <c r="O171" s="5" t="inlineStr">
        <is>
          <t>2016</t>
        </is>
      </c>
      <c r="P171" s="5" t="inlineStr">
        <is>
          <t>2017</t>
        </is>
      </c>
      <c r="Q171" s="5" t="inlineStr">
        <is>
          <t>2018</t>
        </is>
      </c>
      <c r="R171" s="5" t="inlineStr">
        <is>
          <t>2019</t>
        </is>
      </c>
      <c r="S171" s="5" t="inlineStr">
        <is>
          <t>2020</t>
        </is>
      </c>
      <c r="T171" s="5" t="inlineStr">
        <is>
          <t>2021</t>
        </is>
      </c>
      <c r="U171" s="5" t="inlineStr">
        <is>
          <t>2022</t>
        </is>
      </c>
      <c r="V171" s="5" t="inlineStr">
        <is>
          <t>2023</t>
        </is>
      </c>
      <c r="W171" s="5" t="inlineStr">
        <is>
          <t>2024</t>
        </is>
      </c>
      <c r="X171" s="5" t="inlineStr">
        <is>
          <t>2025</t>
        </is>
      </c>
      <c r="Y171" s="5" t="inlineStr">
        <is>
          <t>2026(MW)</t>
        </is>
      </c>
      <c r="Z171" s="5" t="inlineStr">
        <is>
          <t>2027(MW)</t>
        </is>
      </c>
      <c r="AA171" s="5" t="inlineStr">
        <is>
          <t>2028(MW)</t>
        </is>
      </c>
      <c r="AB171" s="5" t="inlineStr">
        <is>
          <t>2029(MW)</t>
        </is>
      </c>
      <c r="AC171" s="5" t="inlineStr">
        <is>
          <t>2030(MW)</t>
        </is>
      </c>
    </row>
    <row r="172">
      <c r="A172" s="9" t="inlineStr">
        <is>
          <t>순이익</t>
        </is>
      </c>
      <c r="C172" s="12" t="n">
        <v>951.973</v>
      </c>
      <c r="D172" s="12" t="n">
        <v>248</v>
      </c>
      <c r="E172" s="12" t="n">
        <v>453</v>
      </c>
      <c r="F172" s="12" t="n">
        <v>432</v>
      </c>
      <c r="G172" s="12" t="n">
        <v>-3670</v>
      </c>
      <c r="H172" s="12" t="n">
        <v>501</v>
      </c>
      <c r="I172" s="12" t="n">
        <v>780</v>
      </c>
      <c r="J172" s="12" t="n">
        <v>347</v>
      </c>
      <c r="K172" s="12" t="n">
        <v>551</v>
      </c>
      <c r="L172" s="12" t="n">
        <v>589</v>
      </c>
      <c r="M172" s="12" t="n">
        <v>828</v>
      </c>
      <c r="N172" s="12" t="n">
        <v>592</v>
      </c>
      <c r="U172" s="12" t="n">
        <v>-26.705</v>
      </c>
      <c r="V172" s="12" t="n">
        <v>951.973</v>
      </c>
      <c r="W172" s="12" t="n">
        <v>-3670</v>
      </c>
      <c r="X172" s="12" t="n">
        <v>551</v>
      </c>
    </row>
    <row r="173">
      <c r="A173" s="18" t="inlineStr">
        <is>
          <t>기타유가증권 평가차액</t>
        </is>
      </c>
      <c r="C173" s="20" t="n">
        <v>119.988</v>
      </c>
      <c r="D173" s="20" t="n">
        <v>227</v>
      </c>
      <c r="E173" s="20" t="n">
        <v>-150</v>
      </c>
      <c r="F173" s="20" t="n">
        <v>97</v>
      </c>
      <c r="G173" s="20" t="n">
        <v>-487</v>
      </c>
      <c r="H173" s="20" t="n">
        <v>-187</v>
      </c>
      <c r="I173" s="20" t="n">
        <v>29</v>
      </c>
      <c r="J173" s="20" t="n">
        <v>247</v>
      </c>
      <c r="K173" s="20" t="n">
        <v>-39</v>
      </c>
      <c r="L173" s="20" t="n">
        <v>221</v>
      </c>
      <c r="M173" s="20" t="n">
        <v>-32</v>
      </c>
      <c r="N173" s="20" t="n">
        <v>-6</v>
      </c>
      <c r="U173" s="20" t="n">
        <v>-44.856</v>
      </c>
      <c r="V173" s="20" t="n">
        <v>119.988</v>
      </c>
      <c r="W173" s="20" t="n">
        <v>-487</v>
      </c>
      <c r="X173" s="20" t="n">
        <v>-39</v>
      </c>
    </row>
    <row r="174">
      <c r="A174" s="18" t="inlineStr">
        <is>
          <t>이연헤지손익</t>
        </is>
      </c>
      <c r="C174" s="20" t="n">
        <v>-1.952</v>
      </c>
      <c r="D174" s="20" t="n">
        <v>0</v>
      </c>
      <c r="E174" s="20" t="n">
        <v>-0</v>
      </c>
      <c r="F174" s="20" t="n">
        <v>0</v>
      </c>
      <c r="G174" s="20" t="n">
        <v>-2</v>
      </c>
      <c r="H174" s="20" t="n">
        <v>1</v>
      </c>
      <c r="I174" s="20" t="n">
        <v>1</v>
      </c>
      <c r="J174" s="20" t="n">
        <v>0</v>
      </c>
      <c r="K174" s="20" t="n">
        <v>1</v>
      </c>
      <c r="L174" s="20" t="n">
        <v>0</v>
      </c>
      <c r="M174" s="20" t="n">
        <v>1</v>
      </c>
      <c r="N174" s="20" t="n">
        <v>0</v>
      </c>
      <c r="U174" s="20" t="n">
        <v>-3.33</v>
      </c>
      <c r="V174" s="20" t="n">
        <v>-1.952</v>
      </c>
      <c r="W174" s="20" t="n">
        <v>-2</v>
      </c>
      <c r="X174" s="20" t="n">
        <v>1</v>
      </c>
    </row>
    <row r="175">
      <c r="A175" s="18" t="inlineStr">
        <is>
          <t>해외사업환산조정</t>
        </is>
      </c>
      <c r="C175" s="20" t="n">
        <v>22.492</v>
      </c>
      <c r="D175" s="20" t="n">
        <v>3</v>
      </c>
      <c r="E175" s="20" t="n">
        <v>30</v>
      </c>
      <c r="F175" s="20" t="n">
        <v>-23</v>
      </c>
      <c r="G175" s="20" t="n">
        <v>38</v>
      </c>
      <c r="H175" s="20" t="n">
        <v>-16</v>
      </c>
      <c r="I175" s="20" t="n">
        <v>-29</v>
      </c>
      <c r="J175" s="20" t="n">
        <v>43</v>
      </c>
      <c r="K175" s="20" t="n">
        <v>141</v>
      </c>
      <c r="L175" s="20" t="n">
        <v>62</v>
      </c>
      <c r="M175" s="20" t="n">
        <v>48</v>
      </c>
      <c r="N175" s="20" t="n">
        <v>22</v>
      </c>
      <c r="U175" s="20" t="n">
        <v>-2.125</v>
      </c>
      <c r="V175" s="20" t="n">
        <v>22.492</v>
      </c>
      <c r="W175" s="20" t="n">
        <v>38</v>
      </c>
      <c r="X175" s="20" t="n">
        <v>141</v>
      </c>
    </row>
    <row r="176">
      <c r="A176" s="18" t="inlineStr">
        <is>
          <t>퇴직급여 조정액</t>
        </is>
      </c>
      <c r="C176" s="20" t="n">
        <v>229.349</v>
      </c>
      <c r="D176" s="20" t="n">
        <v>-8</v>
      </c>
      <c r="E176" s="20" t="n">
        <v>-9</v>
      </c>
      <c r="F176" s="20" t="n">
        <v>-8</v>
      </c>
      <c r="G176" s="20" t="n">
        <v>231</v>
      </c>
      <c r="H176" s="20" t="n">
        <v>-20</v>
      </c>
      <c r="I176" s="20" t="n">
        <v>-22</v>
      </c>
      <c r="J176" s="20" t="n">
        <v>-16</v>
      </c>
      <c r="K176" s="20" t="n">
        <v>300</v>
      </c>
      <c r="L176" s="20" t="n">
        <v>-23</v>
      </c>
      <c r="M176" s="20" t="n">
        <v>-23</v>
      </c>
      <c r="N176" s="20" t="n">
        <v>-23</v>
      </c>
      <c r="U176" s="20" t="n">
        <v>112.367</v>
      </c>
      <c r="V176" s="20" t="n">
        <v>229.349</v>
      </c>
      <c r="W176" s="20" t="n">
        <v>231</v>
      </c>
      <c r="X176" s="20" t="n">
        <v>300</v>
      </c>
    </row>
    <row r="177">
      <c r="A177" s="18" t="inlineStr">
        <is>
          <t>지분법 적용회사 지분 해당액</t>
        </is>
      </c>
      <c r="C177" s="20" t="n">
        <v>0.083</v>
      </c>
      <c r="D177" s="20" t="n">
        <v>0</v>
      </c>
      <c r="E177" s="20" t="n">
        <v>0</v>
      </c>
      <c r="F177" s="20" t="n">
        <v>0</v>
      </c>
      <c r="G177" s="20" t="n">
        <v>-0</v>
      </c>
      <c r="H177" s="20" t="n">
        <v>0</v>
      </c>
      <c r="I177" s="20" t="n">
        <v>-0</v>
      </c>
      <c r="J177" s="20" t="n">
        <v>0</v>
      </c>
      <c r="K177" s="20" t="n">
        <v>0</v>
      </c>
      <c r="L177" s="20" t="n">
        <v>0</v>
      </c>
      <c r="M177" s="20" t="n">
        <v>0</v>
      </c>
      <c r="N177" s="20" t="n">
        <v>0</v>
      </c>
      <c r="U177" s="20" t="n">
        <v>0.103</v>
      </c>
      <c r="V177" s="20" t="n">
        <v>0.083</v>
      </c>
      <c r="W177" s="20" t="n">
        <v>-0</v>
      </c>
      <c r="X177" s="20" t="n">
        <v>0</v>
      </c>
    </row>
    <row r="178">
      <c r="A178" s="18" t="inlineStr">
        <is>
          <t>기타포괄손익 합계</t>
        </is>
      </c>
      <c r="C178" s="20" t="n">
        <v>369.96</v>
      </c>
      <c r="D178" s="20" t="n">
        <v>223</v>
      </c>
      <c r="E178" s="20" t="n">
        <v>-130</v>
      </c>
      <c r="F178" s="20" t="n">
        <v>66</v>
      </c>
      <c r="G178" s="20" t="n">
        <v>-221</v>
      </c>
      <c r="H178" s="20" t="n">
        <v>-222</v>
      </c>
      <c r="I178" s="20" t="n">
        <v>-22</v>
      </c>
      <c r="J178" s="20" t="n">
        <v>274</v>
      </c>
      <c r="K178" s="20" t="n">
        <v>403</v>
      </c>
      <c r="L178" s="20" t="n">
        <v>260</v>
      </c>
      <c r="M178" s="20" t="n">
        <v>-4</v>
      </c>
      <c r="N178" s="20" t="n">
        <v>-10</v>
      </c>
      <c r="U178" s="20" t="n">
        <v>62.161</v>
      </c>
      <c r="V178" s="20" t="n">
        <v>369.96</v>
      </c>
      <c r="W178" s="20" t="n">
        <v>-221</v>
      </c>
      <c r="X178" s="20" t="n">
        <v>403</v>
      </c>
    </row>
    <row r="179">
      <c r="A179" s="9" t="inlineStr">
        <is>
          <t>포괄이익</t>
        </is>
      </c>
      <c r="C179" s="12" t="n">
        <v>1321.933</v>
      </c>
      <c r="D179" s="12" t="n">
        <v>472</v>
      </c>
      <c r="E179" s="12" t="n">
        <v>322</v>
      </c>
      <c r="F179" s="12" t="n">
        <v>498</v>
      </c>
      <c r="G179" s="12" t="n">
        <v>-3892</v>
      </c>
      <c r="H179" s="12" t="n">
        <v>279</v>
      </c>
      <c r="I179" s="12" t="n">
        <v>757</v>
      </c>
      <c r="J179" s="12" t="n">
        <v>622</v>
      </c>
      <c r="K179" s="12" t="n">
        <v>955</v>
      </c>
      <c r="L179" s="12" t="n">
        <v>850</v>
      </c>
      <c r="M179" s="12" t="n">
        <v>823</v>
      </c>
      <c r="N179" s="12" t="n">
        <v>583</v>
      </c>
      <c r="U179" s="12" t="n">
        <v>35.455</v>
      </c>
      <c r="V179" s="12" t="n">
        <v>1321.933</v>
      </c>
      <c r="W179" s="12" t="n">
        <v>-3892</v>
      </c>
      <c r="X179" s="12" t="n">
        <v>955</v>
      </c>
    </row>
    <row r="180">
      <c r="A180" s="9" t="inlineStr">
        <is>
          <t>지배주주 포괄이익</t>
        </is>
      </c>
      <c r="C180" s="12" t="n">
        <v>1322.84</v>
      </c>
      <c r="D180" s="12" t="n">
        <v>473</v>
      </c>
      <c r="E180" s="12" t="n">
        <v>325</v>
      </c>
      <c r="F180" s="12" t="n">
        <v>499</v>
      </c>
      <c r="G180" s="12" t="n">
        <v>-3885</v>
      </c>
      <c r="H180" s="12" t="n">
        <v>282</v>
      </c>
      <c r="I180" s="12" t="n">
        <v>761</v>
      </c>
      <c r="J180" s="12" t="n">
        <v>622</v>
      </c>
      <c r="K180" s="12" t="n">
        <v>956</v>
      </c>
      <c r="L180" s="12" t="n">
        <v>846</v>
      </c>
      <c r="M180" s="12" t="n">
        <v>827</v>
      </c>
      <c r="N180" s="12" t="n">
        <v>576</v>
      </c>
      <c r="U180" s="12" t="n">
        <v>35.715</v>
      </c>
      <c r="V180" s="12" t="n">
        <v>1322.84</v>
      </c>
      <c r="W180" s="12" t="n">
        <v>-3885</v>
      </c>
      <c r="X180" s="12" t="n">
        <v>956</v>
      </c>
    </row>
    <row r="181">
      <c r="A181" s="9" t="inlineStr">
        <is>
          <t>비지배주주 포괄이익</t>
        </is>
      </c>
      <c r="C181" s="12" t="n">
        <v>-0.907</v>
      </c>
      <c r="D181" s="12" t="n">
        <v>-0</v>
      </c>
      <c r="E181" s="12" t="n">
        <v>-3</v>
      </c>
      <c r="F181" s="12" t="n">
        <v>-2</v>
      </c>
      <c r="G181" s="12" t="n">
        <v>-7</v>
      </c>
      <c r="H181" s="12" t="n">
        <v>-3</v>
      </c>
      <c r="I181" s="12" t="n">
        <v>-4</v>
      </c>
      <c r="J181" s="12" t="n">
        <v>0</v>
      </c>
      <c r="K181" s="12" t="n">
        <v>0</v>
      </c>
      <c r="L181" s="12" t="n">
        <v>3</v>
      </c>
      <c r="M181" s="12" t="n">
        <v>-3</v>
      </c>
      <c r="N181" s="12" t="n">
        <v>6</v>
      </c>
      <c r="U181" s="12" t="n">
        <v>-0.259</v>
      </c>
      <c r="V181" s="12" t="n">
        <v>-0.907</v>
      </c>
      <c r="W181" s="12" t="n">
        <v>-7</v>
      </c>
      <c r="X181" s="12" t="n">
        <v>0</v>
      </c>
    </row>
    <row r="183">
      <c r="A183" s="16" t="inlineStr">
        <is>
          <t>부문 · 전 항목</t>
        </is>
      </c>
      <c r="B183" s="42" t="inlineStr">
        <is>
          <t>부문 · 항목</t>
        </is>
      </c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</row>
    <row r="184">
      <c r="A184" s="5" t="inlineStr">
        <is>
          <t>항목</t>
        </is>
      </c>
      <c r="B184" s="5" t="inlineStr">
        <is>
          <t>참고</t>
        </is>
      </c>
      <c r="C184" s="5" t="inlineStr">
        <is>
          <t>2023.4Q</t>
        </is>
      </c>
      <c r="D184" s="5" t="inlineStr">
        <is>
          <t>2024.1Q</t>
        </is>
      </c>
      <c r="E184" s="5" t="inlineStr">
        <is>
          <t>2024.2Q</t>
        </is>
      </c>
      <c r="F184" s="5" t="inlineStr">
        <is>
          <t>2024.3Q</t>
        </is>
      </c>
      <c r="G184" s="5" t="inlineStr">
        <is>
          <t>2024.4Q</t>
        </is>
      </c>
      <c r="H184" s="5" t="inlineStr">
        <is>
          <t>2025.1Q</t>
        </is>
      </c>
      <c r="I184" s="5" t="inlineStr">
        <is>
          <t>2025.2Q</t>
        </is>
      </c>
      <c r="J184" s="5" t="inlineStr">
        <is>
          <t>2025.3Q</t>
        </is>
      </c>
      <c r="K184" s="5" t="inlineStr">
        <is>
          <t>2025.4Q</t>
        </is>
      </c>
      <c r="L184" s="5" t="inlineStr">
        <is>
          <t>2026.1Q</t>
        </is>
      </c>
      <c r="M184" s="5" t="inlineStr">
        <is>
          <t>2026.2Q</t>
        </is>
      </c>
      <c r="N184" s="5" t="inlineStr">
        <is>
          <t>2026.3Q</t>
        </is>
      </c>
      <c r="O184" s="5" t="inlineStr">
        <is>
          <t>2016</t>
        </is>
      </c>
      <c r="P184" s="5" t="inlineStr">
        <is>
          <t>2017</t>
        </is>
      </c>
      <c r="Q184" s="5" t="inlineStr">
        <is>
          <t>2018</t>
        </is>
      </c>
      <c r="R184" s="5" t="inlineStr">
        <is>
          <t>2019</t>
        </is>
      </c>
      <c r="S184" s="5" t="inlineStr">
        <is>
          <t>2020</t>
        </is>
      </c>
      <c r="T184" s="5" t="inlineStr">
        <is>
          <t>2021</t>
        </is>
      </c>
      <c r="U184" s="5" t="inlineStr">
        <is>
          <t>2022</t>
        </is>
      </c>
      <c r="V184" s="5" t="inlineStr">
        <is>
          <t>2023</t>
        </is>
      </c>
      <c r="W184" s="5" t="inlineStr">
        <is>
          <t>2024</t>
        </is>
      </c>
      <c r="X184" s="5" t="inlineStr">
        <is>
          <t>2025</t>
        </is>
      </c>
      <c r="Y184" s="5" t="inlineStr">
        <is>
          <t>2026(MW)</t>
        </is>
      </c>
      <c r="Z184" s="5" t="inlineStr">
        <is>
          <t>2027(MW)</t>
        </is>
      </c>
      <c r="AA184" s="5" t="inlineStr">
        <is>
          <t>2028(MW)</t>
        </is>
      </c>
      <c r="AB184" s="5" t="inlineStr">
        <is>
          <t>2029(MW)</t>
        </is>
      </c>
      <c r="AC184" s="5" t="inlineStr">
        <is>
          <t>2030(MW)</t>
        </is>
      </c>
    </row>
    <row r="185">
      <c r="A185" s="18" t="inlineStr">
        <is>
          <t>FineChemicalsReportableSegmentMember · (1) 외부 고객 매출</t>
        </is>
      </c>
      <c r="J185" s="20" t="n">
        <v>5613</v>
      </c>
      <c r="N185" s="20" t="n">
        <v>5732</v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J186" s="15">
        <f>IF(OR(J185="",F185=""),"",IF(F185&lt;=0,"",IFERROR(J185/F185-1,"")))</f>
        <v/>
      </c>
      <c r="N186" s="15">
        <f>IF(OR(N185="",J185=""),"",IF(J185&lt;=0,"",IFERROR(N185/J185-1,"")))</f>
        <v/>
      </c>
    </row>
    <row r="187">
      <c r="A187" s="18" t="inlineStr">
        <is>
          <t>HealthAndBeautyCareFoodReportableSegmentMember · (1) 외부 고객 매출</t>
        </is>
      </c>
      <c r="J187" s="20" t="n">
        <v>4130</v>
      </c>
      <c r="N187" s="20" t="n">
        <v>5630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J188" s="15">
        <f>IF(OR(J187="",F187=""),"",IF(F187&lt;=0,"",IFERROR(J187/F187-1,"")))</f>
        <v/>
      </c>
      <c r="N188" s="15">
        <f>IF(OR(N187="",J187=""),"",IF(J187&lt;=0,"",IFERROR(N187/J187-1,"")))</f>
        <v/>
      </c>
    </row>
    <row r="189">
      <c r="A189" s="18" t="inlineStr">
        <is>
          <t>MedicalReportableSegmentMember · (1) 외부 고객 매출</t>
        </is>
      </c>
      <c r="J189" s="20" t="n">
        <v>3309</v>
      </c>
      <c r="N189" s="20" t="n">
        <v>3132</v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J190" s="15">
        <f>IF(OR(J189="",F189=""),"",IF(F189&lt;=0,"",IFERROR(J189/F189-1,"")))</f>
        <v/>
      </c>
      <c r="N190" s="15">
        <f>IF(OR(N189="",J189=""),"",IF(J189&lt;=0,"",IFERROR(N189/J189-1,"")))</f>
        <v/>
      </c>
    </row>
    <row r="191">
      <c r="A191" s="18" t="inlineStr">
        <is>
          <t>IndustrialChemicalsReportableSegmentMember · (1) 외부 고객 매출</t>
        </is>
      </c>
      <c r="J191" s="20" t="n">
        <v>2309</v>
      </c>
      <c r="N191" s="20" t="n">
        <v>3170</v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J192" s="15">
        <f>IF(OR(J191="",F191=""),"",IF(F191&lt;=0,"",IFERROR(J191/F191-1,"")))</f>
        <v/>
      </c>
      <c r="N192" s="15">
        <f>IF(OR(N191="",J191=""),"",IF(J191&lt;=0,"",IFERROR(N191/J191-1,"")))</f>
        <v/>
      </c>
    </row>
    <row r="193">
      <c r="A193" s="18" t="inlineStr">
        <is>
          <t>보고부문 합계 · (1) 외부 고객 매출</t>
        </is>
      </c>
      <c r="C193" s="20" t="n">
        <v>11299.787</v>
      </c>
      <c r="D193" s="20" t="n">
        <v>13422</v>
      </c>
      <c r="E193" s="20" t="n">
        <v>14651</v>
      </c>
      <c r="F193" s="20" t="n">
        <v>13980</v>
      </c>
      <c r="G193" s="20" t="n">
        <v>15902</v>
      </c>
      <c r="H193" s="20" t="n">
        <v>14325</v>
      </c>
      <c r="I193" s="20" t="n">
        <v>15760</v>
      </c>
      <c r="J193" s="20" t="n">
        <v>15361</v>
      </c>
      <c r="K193" s="20" t="n">
        <v>17241</v>
      </c>
      <c r="L193" s="20" t="n">
        <v>16529</v>
      </c>
      <c r="M193" s="20" t="n">
        <v>18002</v>
      </c>
      <c r="N193" s="20" t="n">
        <v>17663</v>
      </c>
      <c r="V193" s="20" t="n">
        <v>11299.787</v>
      </c>
      <c r="W193" s="20" t="n">
        <v>15902</v>
      </c>
      <c r="X193" s="20" t="n">
        <v>17241</v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G194" s="15">
        <f>IF(OR(G193="",C193=""),"",IF(C193&lt;=0,"",IFERROR(G193/C193-1,"")))</f>
        <v/>
      </c>
      <c r="H194" s="15">
        <f>IF(OR(H193="",D193=""),"",IF(D193&lt;=0,"",IFERROR(H193/D193-1,"")))</f>
        <v/>
      </c>
      <c r="I194" s="15">
        <f>IF(OR(I193="",E193=""),"",IF(E193&lt;=0,"",IFERROR(I193/E193-1,"")))</f>
        <v/>
      </c>
      <c r="J194" s="15">
        <f>IF(OR(J193="",F193=""),"",IF(F193&lt;=0,"",IFERROR(J193/F193-1,"")))</f>
        <v/>
      </c>
      <c r="K194" s="15">
        <f>IF(OR(K193="",G193=""),"",IF(G193&lt;=0,"",IFERROR(K193/G193-1,"")))</f>
        <v/>
      </c>
      <c r="L194" s="15">
        <f>IF(OR(L193="",H193=""),"",IF(H193&lt;=0,"",IFERROR(L193/H193-1,"")))</f>
        <v/>
      </c>
      <c r="M194" s="15">
        <f>IF(OR(M193="",I193=""),"",IF(I193&lt;=0,"",IFERROR(M193/I193-1,"")))</f>
        <v/>
      </c>
      <c r="N194" s="15">
        <f>IF(OR(N193="",J193=""),"",IF(J193&lt;=0,"",IFERROR(N193/J193-1,"")))</f>
        <v/>
      </c>
      <c r="V194" s="15">
        <f>IF(OR(V193="",U193=""),"",IF(U193&lt;=0,"",IFERROR(V193/U193-1,"")))</f>
        <v/>
      </c>
      <c r="W194" s="15">
        <f>IF(OR(W193="",V193=""),"",IF(V193&lt;=0,"",IFERROR(W193/V193-1,"")))</f>
        <v/>
      </c>
      <c r="X194" s="15">
        <f>IF(OR(X193="",W193=""),"",IF(W193&lt;=0,"",IFERROR(X193/W193-1,"")))</f>
        <v/>
      </c>
    </row>
    <row r="195">
      <c r="A195" s="18" t="inlineStr">
        <is>
          <t>기타 · (1) 외부 고객 매출</t>
        </is>
      </c>
      <c r="C195" s="20" t="n">
        <v>10.092</v>
      </c>
      <c r="D195" s="20" t="n">
        <v>4</v>
      </c>
      <c r="E195" s="20" t="n">
        <v>14</v>
      </c>
      <c r="F195" s="20" t="n">
        <v>5</v>
      </c>
      <c r="G195" s="20" t="n">
        <v>15</v>
      </c>
      <c r="H195" s="20" t="n">
        <v>8</v>
      </c>
      <c r="I195" s="20" t="n">
        <v>9</v>
      </c>
      <c r="J195" s="20" t="n">
        <v>14</v>
      </c>
      <c r="K195" s="20" t="n">
        <v>26</v>
      </c>
      <c r="L195" s="20" t="n">
        <v>28</v>
      </c>
      <c r="M195" s="20" t="n">
        <v>7</v>
      </c>
      <c r="N195" s="20" t="n">
        <v>18</v>
      </c>
      <c r="V195" s="20" t="n">
        <v>10.092</v>
      </c>
      <c r="W195" s="20" t="n">
        <v>15</v>
      </c>
      <c r="X195" s="20" t="n">
        <v>26</v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IF(OR(G195="",C195=""),"",IF(C195&lt;=0,"",IFERROR(G195/C195-1,"")))</f>
        <v/>
      </c>
      <c r="H196" s="15">
        <f>IF(OR(H195="",D195=""),"",IF(D195&lt;=0,"",IFERROR(H195/D195-1,"")))</f>
        <v/>
      </c>
      <c r="I196" s="15">
        <f>IF(OR(I195="",E195=""),"",IF(E195&lt;=0,"",IFERROR(I195/E195-1,"")))</f>
        <v/>
      </c>
      <c r="J196" s="15">
        <f>IF(OR(J195="",F195=""),"",IF(F195&lt;=0,"",IFERROR(J195/F195-1,"")))</f>
        <v/>
      </c>
      <c r="K196" s="15">
        <f>IF(OR(K195="",G195=""),"",IF(G195&lt;=0,"",IFERROR(K195/G195-1,"")))</f>
        <v/>
      </c>
      <c r="L196" s="15">
        <f>IF(OR(L195="",H195=""),"",IF(H195&lt;=0,"",IFERROR(L195/H195-1,"")))</f>
        <v/>
      </c>
      <c r="M196" s="15">
        <f>IF(OR(M195="",I195=""),"",IF(I195&lt;=0,"",IFERROR(M195/I195-1,"")))</f>
        <v/>
      </c>
      <c r="N196" s="15">
        <f>IF(OR(N195="",J195=""),"",IF(J195&lt;=0,"",IFERROR(N195/J195-1,"")))</f>
        <v/>
      </c>
      <c r="V196" s="15">
        <f>IF(OR(V195="",U195=""),"",IF(U195&lt;=0,"",IFERROR(V195/U195-1,"")))</f>
        <v/>
      </c>
      <c r="W196" s="15">
        <f>IF(OR(W195="",V195=""),"",IF(V195&lt;=0,"",IFERROR(W195/V195-1,"")))</f>
        <v/>
      </c>
      <c r="X196" s="15">
        <f>IF(OR(X195="",W195=""),"",IF(W195&lt;=0,"",IFERROR(X195/W195-1,"")))</f>
        <v/>
      </c>
    </row>
    <row r="197">
      <c r="A197" s="18" t="inlineStr">
        <is>
          <t>합계 · (1) 외부 고객 매출</t>
        </is>
      </c>
      <c r="C197" s="20" t="n">
        <v>11309.879</v>
      </c>
      <c r="D197" s="20" t="n">
        <v>13426</v>
      </c>
      <c r="E197" s="20" t="n">
        <v>14665</v>
      </c>
      <c r="F197" s="20" t="n">
        <v>13986</v>
      </c>
      <c r="G197" s="20" t="n">
        <v>15916</v>
      </c>
      <c r="H197" s="20" t="n">
        <v>14334</v>
      </c>
      <c r="I197" s="20" t="n">
        <v>15768</v>
      </c>
      <c r="J197" s="20" t="n">
        <v>15375</v>
      </c>
      <c r="K197" s="20" t="n">
        <v>17267</v>
      </c>
      <c r="L197" s="20" t="n">
        <v>16557</v>
      </c>
      <c r="M197" s="20" t="n">
        <v>18009</v>
      </c>
      <c r="N197" s="20" t="n">
        <v>17681</v>
      </c>
      <c r="V197" s="20" t="n">
        <v>11309.879</v>
      </c>
      <c r="W197" s="20" t="n">
        <v>15916</v>
      </c>
      <c r="X197" s="20" t="n">
        <v>17267</v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G198" s="15">
        <f>IF(OR(G197="",C197=""),"",IF(C197&lt;=0,"",IFERROR(G197/C197-1,"")))</f>
        <v/>
      </c>
      <c r="H198" s="15">
        <f>IF(OR(H197="",D197=""),"",IF(D197&lt;=0,"",IFERROR(H197/D197-1,"")))</f>
        <v/>
      </c>
      <c r="I198" s="15">
        <f>IF(OR(I197="",E197=""),"",IF(E197&lt;=0,"",IFERROR(I197/E197-1,"")))</f>
        <v/>
      </c>
      <c r="J198" s="15">
        <f>IF(OR(J197="",F197=""),"",IF(F197&lt;=0,"",IFERROR(J197/F197-1,"")))</f>
        <v/>
      </c>
      <c r="K198" s="15">
        <f>IF(OR(K197="",G197=""),"",IF(G197&lt;=0,"",IFERROR(K197/G197-1,"")))</f>
        <v/>
      </c>
      <c r="L198" s="15">
        <f>IF(OR(L197="",H197=""),"",IF(H197&lt;=0,"",IFERROR(L197/H197-1,"")))</f>
        <v/>
      </c>
      <c r="M198" s="15">
        <f>IF(OR(M197="",I197=""),"",IF(I197&lt;=0,"",IFERROR(M197/I197-1,"")))</f>
        <v/>
      </c>
      <c r="N198" s="15">
        <f>IF(OR(N197="",J197=""),"",IF(J197&lt;=0,"",IFERROR(N197/J197-1,"")))</f>
        <v/>
      </c>
      <c r="V198" s="15">
        <f>IF(OR(V197="",U197=""),"",IF(U197&lt;=0,"",IFERROR(V197/U197-1,"")))</f>
        <v/>
      </c>
      <c r="W198" s="15">
        <f>IF(OR(W197="",V197=""),"",IF(V197&lt;=0,"",IFERROR(W197/V197-1,"")))</f>
        <v/>
      </c>
      <c r="X198" s="15">
        <f>IF(OR(X197="",W197=""),"",IF(W197&lt;=0,"",IFERROR(X197/W197-1,"")))</f>
        <v/>
      </c>
    </row>
    <row r="199">
      <c r="A199" s="18" t="inlineStr">
        <is>
          <t>조정액 · (1) 외부 고객 매출</t>
        </is>
      </c>
      <c r="C199" s="20" t="n">
        <v>0</v>
      </c>
      <c r="D199" s="20" t="n">
        <v>0</v>
      </c>
      <c r="E199" s="20" t="n">
        <v>0</v>
      </c>
      <c r="F199" s="20" t="n">
        <v>0</v>
      </c>
      <c r="G199" s="20" t="n">
        <v>0</v>
      </c>
      <c r="H199" s="20" t="n">
        <v>0</v>
      </c>
      <c r="I199" s="20" t="n">
        <v>0</v>
      </c>
      <c r="J199" s="20" t="n">
        <v>0</v>
      </c>
      <c r="K199" s="20" t="n">
        <v>0</v>
      </c>
      <c r="L199" s="20" t="n">
        <v>0</v>
      </c>
      <c r="M199" s="20" t="n">
        <v>0</v>
      </c>
      <c r="N199" s="20" t="n">
        <v>0</v>
      </c>
      <c r="V199" s="20" t="n">
        <v>0</v>
      </c>
      <c r="W199" s="20" t="n">
        <v>0</v>
      </c>
      <c r="X199" s="20" t="n">
        <v>0</v>
      </c>
    </row>
    <row r="200">
      <c r="A200" s="9" t="inlineStr">
        <is>
          <t>(1) 외부 고객 매출</t>
        </is>
      </c>
      <c r="C200" s="12" t="n">
        <v>11309.879</v>
      </c>
      <c r="D200" s="12" t="n">
        <v>13426</v>
      </c>
      <c r="E200" s="12" t="n">
        <v>14665</v>
      </c>
      <c r="F200" s="12" t="n">
        <v>13986</v>
      </c>
      <c r="G200" s="12" t="n">
        <v>15916</v>
      </c>
      <c r="H200" s="12" t="n">
        <v>14334</v>
      </c>
      <c r="I200" s="12" t="n">
        <v>15768</v>
      </c>
      <c r="J200" s="12" t="n">
        <v>15375</v>
      </c>
      <c r="K200" s="12" t="n">
        <v>17267</v>
      </c>
      <c r="L200" s="12" t="n">
        <v>16557</v>
      </c>
      <c r="M200" s="12" t="n">
        <v>18009</v>
      </c>
      <c r="V200" s="12" t="n">
        <v>11309.879</v>
      </c>
      <c r="W200" s="12" t="n">
        <v>15916</v>
      </c>
      <c r="X200" s="12" t="n">
        <v>17267</v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G201" s="15">
        <f>IF(OR(G200="",C200=""),"",IF(C200&lt;=0,"",IFERROR(G200/C200-1,"")))</f>
        <v/>
      </c>
      <c r="H201" s="15">
        <f>IF(OR(H200="",D200=""),"",IF(D200&lt;=0,"",IFERROR(H200/D200-1,"")))</f>
        <v/>
      </c>
      <c r="I201" s="15">
        <f>IF(OR(I200="",E200=""),"",IF(E200&lt;=0,"",IFERROR(I200/E200-1,"")))</f>
        <v/>
      </c>
      <c r="J201" s="15">
        <f>IF(OR(J200="",F200=""),"",IF(F200&lt;=0,"",IFERROR(J200/F200-1,"")))</f>
        <v/>
      </c>
      <c r="K201" s="15">
        <f>IF(OR(K200="",G200=""),"",IF(G200&lt;=0,"",IFERROR(K200/G200-1,"")))</f>
        <v/>
      </c>
      <c r="L201" s="15">
        <f>IF(OR(L200="",H200=""),"",IF(H200&lt;=0,"",IFERROR(L200/H200-1,"")))</f>
        <v/>
      </c>
      <c r="M201" s="15">
        <f>IF(OR(M200="",I200=""),"",IF(I200&lt;=0,"",IFERROR(M200/I200-1,"")))</f>
        <v/>
      </c>
      <c r="V201" s="15">
        <f>IF(OR(V200="",U200=""),"",IF(U200&lt;=0,"",IFERROR(V200/U200-1,"")))</f>
        <v/>
      </c>
      <c r="W201" s="15">
        <f>IF(OR(W200="",V200=""),"",IF(V200&lt;=0,"",IFERROR(W200/V200-1,"")))</f>
        <v/>
      </c>
      <c r="X201" s="15">
        <f>IF(OR(X200="",W200=""),"",IF(W200&lt;=0,"",IFERROR(X200/W200-1,"")))</f>
        <v/>
      </c>
    </row>
    <row r="202">
      <c r="A202" s="18" t="inlineStr">
        <is>
          <t>정밀화학 · (2) 부문 간 내부 매출·대체</t>
        </is>
      </c>
      <c r="C202" s="20" t="n">
        <v>109.474</v>
      </c>
      <c r="D202" s="20" t="n">
        <v>371</v>
      </c>
      <c r="E202" s="20" t="n">
        <v>124</v>
      </c>
      <c r="F202" s="20" t="n">
        <v>215</v>
      </c>
      <c r="G202" s="20" t="n">
        <v>202</v>
      </c>
      <c r="H202" s="20" t="n">
        <v>127</v>
      </c>
      <c r="I202" s="20" t="n">
        <v>192</v>
      </c>
      <c r="J202" s="20" t="n">
        <v>362</v>
      </c>
      <c r="K202" s="20" t="n">
        <v>243</v>
      </c>
      <c r="L202" s="20" t="n">
        <v>114</v>
      </c>
      <c r="V202" s="20" t="n">
        <v>109.474</v>
      </c>
      <c r="W202" s="20" t="n">
        <v>202</v>
      </c>
      <c r="X202" s="20" t="n">
        <v>243</v>
      </c>
    </row>
    <row r="203">
      <c r="A203" s="18" t="inlineStr">
        <is>
          <t>HBC·식품 · (2) 부문 간 내부 매출·대체</t>
        </is>
      </c>
      <c r="C203" s="20" t="n">
        <v>15.886</v>
      </c>
      <c r="D203" s="20" t="n">
        <v>14</v>
      </c>
      <c r="E203" s="20" t="n">
        <v>46</v>
      </c>
      <c r="F203" s="20" t="n">
        <v>17</v>
      </c>
      <c r="G203" s="20" t="n">
        <v>17</v>
      </c>
      <c r="H203" s="20" t="n">
        <v>18</v>
      </c>
      <c r="I203" s="20" t="n">
        <v>30</v>
      </c>
      <c r="J203" s="20" t="n">
        <v>13</v>
      </c>
      <c r="K203" s="20" t="n">
        <v>15</v>
      </c>
      <c r="L203" s="20" t="n">
        <v>-6</v>
      </c>
      <c r="V203" s="20" t="n">
        <v>15.886</v>
      </c>
      <c r="W203" s="20" t="n">
        <v>17</v>
      </c>
      <c r="X203" s="20" t="n">
        <v>15</v>
      </c>
    </row>
    <row r="204">
      <c r="A204" s="18" t="inlineStr">
        <is>
          <t>의약 · (2) 부문 간 내부 매출·대체</t>
        </is>
      </c>
      <c r="C204" s="20" t="n">
        <v>68.81999999999999</v>
      </c>
      <c r="D204" s="20" t="n">
        <v>100</v>
      </c>
      <c r="E204" s="20" t="n">
        <v>40</v>
      </c>
      <c r="F204" s="20" t="n">
        <v>90</v>
      </c>
      <c r="G204" s="20" t="n">
        <v>85</v>
      </c>
      <c r="H204" s="20" t="n">
        <v>90</v>
      </c>
      <c r="I204" s="20" t="n">
        <v>62</v>
      </c>
      <c r="J204" s="20" t="n">
        <v>89</v>
      </c>
      <c r="K204" s="20" t="n">
        <v>80</v>
      </c>
      <c r="L204" s="20" t="n">
        <v>92</v>
      </c>
      <c r="V204" s="20" t="n">
        <v>68.81999999999999</v>
      </c>
      <c r="W204" s="20" t="n">
        <v>85</v>
      </c>
      <c r="X204" s="20" t="n">
        <v>80</v>
      </c>
    </row>
    <row r="205">
      <c r="A205" s="18" t="inlineStr">
        <is>
          <t>화학품 · (2) 부문 간 내부 매출·대체</t>
        </is>
      </c>
      <c r="C205" s="20" t="n">
        <v>18.764</v>
      </c>
      <c r="D205" s="20" t="n">
        <v>19</v>
      </c>
      <c r="E205" s="20" t="n">
        <v>16</v>
      </c>
      <c r="F205" s="20" t="n">
        <v>19</v>
      </c>
      <c r="G205" s="20" t="n">
        <v>16</v>
      </c>
      <c r="H205" s="20" t="n">
        <v>0</v>
      </c>
      <c r="I205" s="20" t="n">
        <v>1</v>
      </c>
      <c r="J205" s="20" t="n">
        <v>1</v>
      </c>
      <c r="K205" s="20" t="n">
        <v>1</v>
      </c>
      <c r="L205" s="20" t="n">
        <v>0</v>
      </c>
      <c r="V205" s="20" t="n">
        <v>18.764</v>
      </c>
      <c r="W205" s="20" t="n">
        <v>16</v>
      </c>
      <c r="X205" s="20" t="n">
        <v>1</v>
      </c>
    </row>
    <row r="206">
      <c r="A206" s="18" t="inlineStr">
        <is>
          <t>FineChemicalsReportableSegmentMember · (2) 부문 간 내부 매출·대체</t>
        </is>
      </c>
      <c r="J206" s="20" t="n">
        <v>362</v>
      </c>
      <c r="N206" s="20" t="n">
        <v>70</v>
      </c>
    </row>
    <row r="207">
      <c r="A207" s="18" t="inlineStr">
        <is>
          <t>HealthAndBeautyCareFoodReportableSegmentMember · (2) 부문 간 내부 매출·대체</t>
        </is>
      </c>
      <c r="J207" s="20" t="n">
        <v>13</v>
      </c>
      <c r="N207" s="20" t="n">
        <v>5</v>
      </c>
    </row>
    <row r="208">
      <c r="A208" s="18" t="inlineStr">
        <is>
          <t>MedicalReportableSegmentMember · (2) 부문 간 내부 매출·대체</t>
        </is>
      </c>
      <c r="J208" s="20" t="n">
        <v>89</v>
      </c>
      <c r="N208" s="20" t="n">
        <v>42</v>
      </c>
    </row>
    <row r="209">
      <c r="A209" s="18" t="inlineStr">
        <is>
          <t>IndustrialChemicalsReportableSegmentMember · (2) 부문 간 내부 매출·대체</t>
        </is>
      </c>
      <c r="J209" s="20" t="n">
        <v>1</v>
      </c>
      <c r="N209" s="20" t="n">
        <v>1</v>
      </c>
    </row>
    <row r="210">
      <c r="A210" s="18" t="inlineStr">
        <is>
          <t>보고부문 합계 · (2) 부문 간 내부 매출·대체</t>
        </is>
      </c>
      <c r="C210" s="20" t="n">
        <v>212.945</v>
      </c>
      <c r="D210" s="20" t="n">
        <v>505</v>
      </c>
      <c r="E210" s="20" t="n">
        <v>226</v>
      </c>
      <c r="F210" s="20" t="n">
        <v>342</v>
      </c>
      <c r="G210" s="20" t="n">
        <v>319</v>
      </c>
      <c r="H210" s="20" t="n">
        <v>236</v>
      </c>
      <c r="I210" s="20" t="n">
        <v>285</v>
      </c>
      <c r="J210" s="20" t="n">
        <v>466</v>
      </c>
      <c r="K210" s="20" t="n">
        <v>339</v>
      </c>
      <c r="L210" s="20" t="n">
        <v>200</v>
      </c>
      <c r="M210" s="20" t="n">
        <v>445</v>
      </c>
      <c r="N210" s="20" t="n">
        <v>117</v>
      </c>
      <c r="V210" s="20" t="n">
        <v>212.945</v>
      </c>
      <c r="W210" s="20" t="n">
        <v>319</v>
      </c>
      <c r="X210" s="20" t="n">
        <v>339</v>
      </c>
    </row>
    <row r="211">
      <c r="A211" s="18" t="inlineStr">
        <is>
          <t>기타 · (2) 부문 간 내부 매출·대체</t>
        </is>
      </c>
      <c r="C211" s="20" t="n">
        <v>0.137</v>
      </c>
      <c r="D211" s="20" t="n">
        <v>0</v>
      </c>
      <c r="E211" s="20" t="n">
        <v>7</v>
      </c>
      <c r="F211" s="20" t="n">
        <v>1</v>
      </c>
      <c r="G211" s="20" t="n">
        <v>0</v>
      </c>
      <c r="H211" s="20" t="n">
        <v>0</v>
      </c>
      <c r="I211" s="20" t="n">
        <v>7</v>
      </c>
      <c r="J211" s="20" t="n">
        <v>0</v>
      </c>
      <c r="K211" s="20" t="n">
        <v>0</v>
      </c>
      <c r="L211" s="20" t="n">
        <v>-6</v>
      </c>
      <c r="M211" s="20" t="n">
        <v>8</v>
      </c>
      <c r="N211" s="20" t="n">
        <v>8</v>
      </c>
      <c r="V211" s="20" t="n">
        <v>0.137</v>
      </c>
      <c r="W211" s="20" t="n">
        <v>0</v>
      </c>
      <c r="X211" s="20" t="n">
        <v>0</v>
      </c>
    </row>
    <row r="212">
      <c r="A212" s="18" t="inlineStr">
        <is>
          <t>합계 · (2) 부문 간 내부 매출·대체</t>
        </is>
      </c>
      <c r="C212" s="20" t="n">
        <v>213.083</v>
      </c>
      <c r="D212" s="20" t="n">
        <v>505</v>
      </c>
      <c r="E212" s="20" t="n">
        <v>234</v>
      </c>
      <c r="F212" s="20" t="n">
        <v>342</v>
      </c>
      <c r="G212" s="20" t="n">
        <v>319</v>
      </c>
      <c r="H212" s="20" t="n">
        <v>236</v>
      </c>
      <c r="I212" s="20" t="n">
        <v>293</v>
      </c>
      <c r="J212" s="20" t="n">
        <v>465</v>
      </c>
      <c r="K212" s="20" t="n">
        <v>340</v>
      </c>
      <c r="L212" s="20" t="n">
        <v>193</v>
      </c>
      <c r="M212" s="20" t="n">
        <v>455</v>
      </c>
      <c r="N212" s="20" t="n">
        <v>125</v>
      </c>
      <c r="V212" s="20" t="n">
        <v>213.083</v>
      </c>
      <c r="W212" s="20" t="n">
        <v>319</v>
      </c>
      <c r="X212" s="20" t="n">
        <v>340</v>
      </c>
    </row>
    <row r="213">
      <c r="A213" s="18" t="inlineStr">
        <is>
          <t>조정액 · (2) 부문 간 내부 매출·대체</t>
        </is>
      </c>
      <c r="C213" s="20" t="n">
        <v>-213.083</v>
      </c>
      <c r="D213" s="20" t="n">
        <v>-505</v>
      </c>
      <c r="E213" s="20" t="n">
        <v>-234</v>
      </c>
      <c r="F213" s="20" t="n">
        <v>-342</v>
      </c>
      <c r="G213" s="20" t="n">
        <v>-319</v>
      </c>
      <c r="H213" s="20" t="n">
        <v>-236</v>
      </c>
      <c r="I213" s="20" t="n">
        <v>-293</v>
      </c>
      <c r="J213" s="20" t="n">
        <v>-465</v>
      </c>
      <c r="K213" s="20" t="n">
        <v>-340</v>
      </c>
      <c r="L213" s="20" t="n">
        <v>-193</v>
      </c>
      <c r="M213" s="20" t="n">
        <v>-455</v>
      </c>
      <c r="N213" s="20" t="n">
        <v>-125</v>
      </c>
      <c r="V213" s="20" t="n">
        <v>-213.083</v>
      </c>
      <c r="W213" s="20" t="n">
        <v>-319</v>
      </c>
      <c r="X213" s="20" t="n">
        <v>-340</v>
      </c>
    </row>
    <row r="214">
      <c r="A214" s="18" t="inlineStr">
        <is>
          <t>(2) 부문 간 내부 매출·대체</t>
        </is>
      </c>
      <c r="C214" s="20" t="n">
        <v>0</v>
      </c>
      <c r="D214" s="20" t="n">
        <v>0</v>
      </c>
      <c r="E214" s="20" t="n">
        <v>0</v>
      </c>
      <c r="F214" s="20" t="n">
        <v>0</v>
      </c>
      <c r="G214" s="20" t="n">
        <v>0</v>
      </c>
      <c r="H214" s="20" t="n">
        <v>0</v>
      </c>
      <c r="I214" s="20" t="n">
        <v>0</v>
      </c>
      <c r="J214" s="20" t="n">
        <v>0</v>
      </c>
      <c r="K214" s="20" t="n">
        <v>0</v>
      </c>
      <c r="L214" s="20" t="n">
        <v>0</v>
      </c>
      <c r="M214" s="20" t="n">
        <v>0</v>
      </c>
      <c r="V214" s="20" t="n">
        <v>0</v>
      </c>
      <c r="W214" s="20" t="n">
        <v>0</v>
      </c>
      <c r="X214" s="20" t="n">
        <v>0</v>
      </c>
    </row>
    <row r="215">
      <c r="A215" s="18" t="inlineStr">
        <is>
          <t>정밀화학 · 계</t>
        </is>
      </c>
      <c r="C215" s="20" t="n">
        <v>5293.409</v>
      </c>
      <c r="D215" s="20" t="n">
        <v>5883</v>
      </c>
      <c r="E215" s="20" t="n">
        <v>4968</v>
      </c>
      <c r="F215" s="20" t="n">
        <v>5068</v>
      </c>
      <c r="G215" s="20" t="n">
        <v>6120</v>
      </c>
      <c r="H215" s="20" t="n">
        <v>5742</v>
      </c>
      <c r="I215" s="20" t="n">
        <v>6136</v>
      </c>
      <c r="J215" s="20" t="n">
        <v>5974</v>
      </c>
      <c r="K215" s="20" t="n">
        <v>5406</v>
      </c>
      <c r="L215" s="20" t="n">
        <v>5239</v>
      </c>
      <c r="V215" s="20" t="n">
        <v>5293.409</v>
      </c>
      <c r="W215" s="20" t="n">
        <v>6120</v>
      </c>
      <c r="X215" s="20" t="n">
        <v>5406</v>
      </c>
    </row>
    <row r="216">
      <c r="A216" s="43" t="inlineStr">
        <is>
          <t>YoY</t>
        </is>
      </c>
      <c r="B216" s="3" t="inlineStr">
        <is>
          <t>전년 같은 분기·전년 대비</t>
        </is>
      </c>
      <c r="G216" s="15">
        <f>IF(OR(G215="",C215=""),"",IF(C215&lt;=0,"",IFERROR(G215/C215-1,"")))</f>
        <v/>
      </c>
      <c r="H216" s="15">
        <f>IF(OR(H215="",D215=""),"",IF(D215&lt;=0,"",IFERROR(H215/D215-1,"")))</f>
        <v/>
      </c>
      <c r="I216" s="15">
        <f>IF(OR(I215="",E215=""),"",IF(E215&lt;=0,"",IFERROR(I215/E215-1,"")))</f>
        <v/>
      </c>
      <c r="J216" s="15">
        <f>IF(OR(J215="",F215=""),"",IF(F215&lt;=0,"",IFERROR(J215/F215-1,"")))</f>
        <v/>
      </c>
      <c r="K216" s="15">
        <f>IF(OR(K215="",G215=""),"",IF(G215&lt;=0,"",IFERROR(K215/G215-1,"")))</f>
        <v/>
      </c>
      <c r="L216" s="15">
        <f>IF(OR(L215="",H215=""),"",IF(H215&lt;=0,"",IFERROR(L215/H215-1,"")))</f>
        <v/>
      </c>
      <c r="V216" s="15">
        <f>IF(OR(V215="",U215=""),"",IF(U215&lt;=0,"",IFERROR(V215/U215-1,"")))</f>
        <v/>
      </c>
      <c r="W216" s="15">
        <f>IF(OR(W215="",V215=""),"",IF(V215&lt;=0,"",IFERROR(W215/V215-1,"")))</f>
        <v/>
      </c>
      <c r="X216" s="15">
        <f>IF(OR(X215="",W215=""),"",IF(W215&lt;=0,"",IFERROR(X215/W215-1,"")))</f>
        <v/>
      </c>
    </row>
    <row r="217">
      <c r="A217" s="18" t="inlineStr">
        <is>
          <t>HBC·식품 · 계</t>
        </is>
      </c>
      <c r="C217" s="20" t="n">
        <v>1424.189</v>
      </c>
      <c r="D217" s="20" t="n">
        <v>2994</v>
      </c>
      <c r="E217" s="20" t="n">
        <v>3768</v>
      </c>
      <c r="F217" s="20" t="n">
        <v>3938</v>
      </c>
      <c r="G217" s="20" t="n">
        <v>4557</v>
      </c>
      <c r="H217" s="20" t="n">
        <v>3692</v>
      </c>
      <c r="I217" s="20" t="n">
        <v>4374</v>
      </c>
      <c r="J217" s="20" t="n">
        <v>4143</v>
      </c>
      <c r="K217" s="20" t="n">
        <v>6058</v>
      </c>
      <c r="L217" s="20" t="n">
        <v>5497</v>
      </c>
      <c r="V217" s="20" t="n">
        <v>1424.189</v>
      </c>
      <c r="W217" s="20" t="n">
        <v>4557</v>
      </c>
      <c r="X217" s="20" t="n">
        <v>6058</v>
      </c>
    </row>
    <row r="218">
      <c r="A218" s="43" t="inlineStr">
        <is>
          <t>YoY</t>
        </is>
      </c>
      <c r="B218" s="3" t="inlineStr">
        <is>
          <t>전년 같은 분기·전년 대비</t>
        </is>
      </c>
      <c r="G218" s="15">
        <f>IF(OR(G217="",C217=""),"",IF(C217&lt;=0,"",IFERROR(G217/C217-1,"")))</f>
        <v/>
      </c>
      <c r="H218" s="15">
        <f>IF(OR(H217="",D217=""),"",IF(D217&lt;=0,"",IFERROR(H217/D217-1,"")))</f>
        <v/>
      </c>
      <c r="I218" s="15">
        <f>IF(OR(I217="",E217=""),"",IF(E217&lt;=0,"",IFERROR(I217/E217-1,"")))</f>
        <v/>
      </c>
      <c r="J218" s="15">
        <f>IF(OR(J217="",F217=""),"",IF(F217&lt;=0,"",IFERROR(J217/F217-1,"")))</f>
        <v/>
      </c>
      <c r="K218" s="15">
        <f>IF(OR(K217="",G217=""),"",IF(G217&lt;=0,"",IFERROR(K217/G217-1,"")))</f>
        <v/>
      </c>
      <c r="L218" s="15">
        <f>IF(OR(L217="",H217=""),"",IF(H217&lt;=0,"",IFERROR(L217/H217-1,"")))</f>
        <v/>
      </c>
      <c r="V218" s="15">
        <f>IF(OR(V217="",U217=""),"",IF(U217&lt;=0,"",IFERROR(V217/U217-1,"")))</f>
        <v/>
      </c>
      <c r="W218" s="15">
        <f>IF(OR(W217="",V217=""),"",IF(V217&lt;=0,"",IFERROR(W217/V217-1,"")))</f>
        <v/>
      </c>
      <c r="X218" s="15">
        <f>IF(OR(X217="",W217=""),"",IF(W217&lt;=0,"",IFERROR(X217/W217-1,"")))</f>
        <v/>
      </c>
    </row>
    <row r="219">
      <c r="A219" s="18" t="inlineStr">
        <is>
          <t>의약 · 계</t>
        </is>
      </c>
      <c r="C219" s="20" t="n">
        <v>2506.691</v>
      </c>
      <c r="D219" s="20" t="n">
        <v>2499</v>
      </c>
      <c r="E219" s="20" t="n">
        <v>3056</v>
      </c>
      <c r="F219" s="20" t="n">
        <v>3137</v>
      </c>
      <c r="G219" s="20" t="n">
        <v>3093</v>
      </c>
      <c r="H219" s="20" t="n">
        <v>2917</v>
      </c>
      <c r="I219" s="20" t="n">
        <v>3245</v>
      </c>
      <c r="J219" s="20" t="n">
        <v>3398</v>
      </c>
      <c r="K219" s="20" t="n">
        <v>3191</v>
      </c>
      <c r="L219" s="20" t="n">
        <v>3064</v>
      </c>
      <c r="V219" s="20" t="n">
        <v>2506.691</v>
      </c>
      <c r="W219" s="20" t="n">
        <v>3093</v>
      </c>
      <c r="X219" s="20" t="n">
        <v>3191</v>
      </c>
    </row>
    <row r="220">
      <c r="A220" s="43" t="inlineStr">
        <is>
          <t>YoY</t>
        </is>
      </c>
      <c r="B220" s="3" t="inlineStr">
        <is>
          <t>전년 같은 분기·전년 대비</t>
        </is>
      </c>
      <c r="G220" s="15">
        <f>IF(OR(G219="",C219=""),"",IF(C219&lt;=0,"",IFERROR(G219/C219-1,"")))</f>
        <v/>
      </c>
      <c r="H220" s="15">
        <f>IF(OR(H219="",D219=""),"",IF(D219&lt;=0,"",IFERROR(H219/D219-1,"")))</f>
        <v/>
      </c>
      <c r="I220" s="15">
        <f>IF(OR(I219="",E219=""),"",IF(E219&lt;=0,"",IFERROR(I219/E219-1,"")))</f>
        <v/>
      </c>
      <c r="J220" s="15">
        <f>IF(OR(J219="",F219=""),"",IF(F219&lt;=0,"",IFERROR(J219/F219-1,"")))</f>
        <v/>
      </c>
      <c r="K220" s="15">
        <f>IF(OR(K219="",G219=""),"",IF(G219&lt;=0,"",IFERROR(K219/G219-1,"")))</f>
        <v/>
      </c>
      <c r="L220" s="15">
        <f>IF(OR(L219="",H219=""),"",IF(H219&lt;=0,"",IFERROR(L219/H219-1,"")))</f>
        <v/>
      </c>
      <c r="V220" s="15">
        <f>IF(OR(V219="",U219=""),"",IF(U219&lt;=0,"",IFERROR(V219/U219-1,"")))</f>
        <v/>
      </c>
      <c r="W220" s="15">
        <f>IF(OR(W219="",V219=""),"",IF(V219&lt;=0,"",IFERROR(W219/V219-1,"")))</f>
        <v/>
      </c>
      <c r="X220" s="15">
        <f>IF(OR(X219="",W219=""),"",IF(W219&lt;=0,"",IFERROR(X219/W219-1,"")))</f>
        <v/>
      </c>
    </row>
    <row r="221">
      <c r="A221" s="18" t="inlineStr">
        <is>
          <t>화학품 · 계</t>
        </is>
      </c>
      <c r="C221" s="20" t="n">
        <v>2288.442</v>
      </c>
      <c r="D221" s="20" t="n">
        <v>2548</v>
      </c>
      <c r="E221" s="20" t="n">
        <v>3087</v>
      </c>
      <c r="F221" s="20" t="n">
        <v>2179</v>
      </c>
      <c r="G221" s="20" t="n">
        <v>2451</v>
      </c>
      <c r="H221" s="20" t="n">
        <v>2209</v>
      </c>
      <c r="I221" s="20" t="n">
        <v>2292</v>
      </c>
      <c r="J221" s="20" t="n">
        <v>2309</v>
      </c>
      <c r="K221" s="20" t="n">
        <v>2926</v>
      </c>
      <c r="L221" s="20" t="n">
        <v>2928</v>
      </c>
      <c r="V221" s="20" t="n">
        <v>2288.442</v>
      </c>
      <c r="W221" s="20" t="n">
        <v>2451</v>
      </c>
      <c r="X221" s="20" t="n">
        <v>2926</v>
      </c>
    </row>
    <row r="222">
      <c r="A222" s="43" t="inlineStr">
        <is>
          <t>YoY</t>
        </is>
      </c>
      <c r="B222" s="3" t="inlineStr">
        <is>
          <t>전년 같은 분기·전년 대비</t>
        </is>
      </c>
      <c r="G222" s="15">
        <f>IF(OR(G221="",C221=""),"",IF(C221&lt;=0,"",IFERROR(G221/C221-1,"")))</f>
        <v/>
      </c>
      <c r="H222" s="15">
        <f>IF(OR(H221="",D221=""),"",IF(D221&lt;=0,"",IFERROR(H221/D221-1,"")))</f>
        <v/>
      </c>
      <c r="I222" s="15">
        <f>IF(OR(I221="",E221=""),"",IF(E221&lt;=0,"",IFERROR(I221/E221-1,"")))</f>
        <v/>
      </c>
      <c r="J222" s="15">
        <f>IF(OR(J221="",F221=""),"",IF(F221&lt;=0,"",IFERROR(J221/F221-1,"")))</f>
        <v/>
      </c>
      <c r="K222" s="15">
        <f>IF(OR(K221="",G221=""),"",IF(G221&lt;=0,"",IFERROR(K221/G221-1,"")))</f>
        <v/>
      </c>
      <c r="L222" s="15">
        <f>IF(OR(L221="",H221=""),"",IF(H221&lt;=0,"",IFERROR(L221/H221-1,"")))</f>
        <v/>
      </c>
      <c r="V222" s="15">
        <f>IF(OR(V221="",U221=""),"",IF(U221&lt;=0,"",IFERROR(V221/U221-1,"")))</f>
        <v/>
      </c>
      <c r="W222" s="15">
        <f>IF(OR(W221="",V221=""),"",IF(V221&lt;=0,"",IFERROR(W221/V221-1,"")))</f>
        <v/>
      </c>
      <c r="X222" s="15">
        <f>IF(OR(X221="",W221=""),"",IF(W221&lt;=0,"",IFERROR(X221/W221-1,"")))</f>
        <v/>
      </c>
    </row>
    <row r="223">
      <c r="A223" s="18" t="inlineStr">
        <is>
          <t>FineChemicalsReportableSegmentMember · 계</t>
        </is>
      </c>
      <c r="J223" s="20" t="n">
        <v>5974</v>
      </c>
      <c r="N223" s="20" t="n">
        <v>5802</v>
      </c>
    </row>
    <row r="224">
      <c r="A224" s="43" t="inlineStr">
        <is>
          <t>YoY</t>
        </is>
      </c>
      <c r="B224" s="3" t="inlineStr">
        <is>
          <t>전년 같은 분기·전년 대비</t>
        </is>
      </c>
      <c r="J224" s="15">
        <f>IF(OR(J223="",F223=""),"",IF(F223&lt;=0,"",IFERROR(J223/F223-1,"")))</f>
        <v/>
      </c>
      <c r="N224" s="15">
        <f>IF(OR(N223="",J223=""),"",IF(J223&lt;=0,"",IFERROR(N223/J223-1,"")))</f>
        <v/>
      </c>
    </row>
    <row r="225">
      <c r="A225" s="18" t="inlineStr">
        <is>
          <t>HealthAndBeautyCareFoodReportableSegmentMember · 계</t>
        </is>
      </c>
      <c r="J225" s="20" t="n">
        <v>4143</v>
      </c>
      <c r="N225" s="20" t="n">
        <v>5634</v>
      </c>
    </row>
    <row r="226">
      <c r="A226" s="43" t="inlineStr">
        <is>
          <t>YoY</t>
        </is>
      </c>
      <c r="B226" s="3" t="inlineStr">
        <is>
          <t>전년 같은 분기·전년 대비</t>
        </is>
      </c>
      <c r="J226" s="15">
        <f>IF(OR(J225="",F225=""),"",IF(F225&lt;=0,"",IFERROR(J225/F225-1,"")))</f>
        <v/>
      </c>
      <c r="N226" s="15">
        <f>IF(OR(N225="",J225=""),"",IF(J225&lt;=0,"",IFERROR(N225/J225-1,"")))</f>
        <v/>
      </c>
    </row>
    <row r="227">
      <c r="A227" s="18" t="inlineStr">
        <is>
          <t>MedicalReportableSegmentMember · 계</t>
        </is>
      </c>
      <c r="J227" s="20" t="n">
        <v>3398</v>
      </c>
      <c r="N227" s="20" t="n">
        <v>3174</v>
      </c>
    </row>
    <row r="228">
      <c r="A228" s="43" t="inlineStr">
        <is>
          <t>YoY</t>
        </is>
      </c>
      <c r="B228" s="3" t="inlineStr">
        <is>
          <t>전년 같은 분기·전년 대비</t>
        </is>
      </c>
      <c r="J228" s="15">
        <f>IF(OR(J227="",F227=""),"",IF(F227&lt;=0,"",IFERROR(J227/F227-1,"")))</f>
        <v/>
      </c>
      <c r="N228" s="15">
        <f>IF(OR(N227="",J227=""),"",IF(J227&lt;=0,"",IFERROR(N227/J227-1,"")))</f>
        <v/>
      </c>
    </row>
    <row r="229">
      <c r="A229" s="18" t="inlineStr">
        <is>
          <t>IndustrialChemicalsReportableSegmentMember · 계</t>
        </is>
      </c>
      <c r="J229" s="20" t="n">
        <v>2309</v>
      </c>
      <c r="N229" s="20" t="n">
        <v>3170</v>
      </c>
    </row>
    <row r="230">
      <c r="A230" s="43" t="inlineStr">
        <is>
          <t>YoY</t>
        </is>
      </c>
      <c r="B230" s="3" t="inlineStr">
        <is>
          <t>전년 같은 분기·전년 대비</t>
        </is>
      </c>
      <c r="J230" s="15">
        <f>IF(OR(J229="",F229=""),"",IF(F229&lt;=0,"",IFERROR(J229/F229-1,"")))</f>
        <v/>
      </c>
      <c r="N230" s="15">
        <f>IF(OR(N229="",J229=""),"",IF(J229&lt;=0,"",IFERROR(N229/J229-1,"")))</f>
        <v/>
      </c>
    </row>
    <row r="231">
      <c r="A231" s="18" t="inlineStr">
        <is>
          <t>보고부문 합계 · 계</t>
        </is>
      </c>
      <c r="C231" s="20" t="n">
        <v>11512.733</v>
      </c>
      <c r="D231" s="20" t="n">
        <v>13927</v>
      </c>
      <c r="E231" s="20" t="n">
        <v>14878</v>
      </c>
      <c r="F231" s="20" t="n">
        <v>14321</v>
      </c>
      <c r="G231" s="20" t="n">
        <v>16221</v>
      </c>
      <c r="H231" s="20" t="n">
        <v>14562</v>
      </c>
      <c r="I231" s="20" t="n">
        <v>16045</v>
      </c>
      <c r="J231" s="20" t="n">
        <v>15826</v>
      </c>
      <c r="K231" s="20" t="n">
        <v>17581</v>
      </c>
      <c r="L231" s="20" t="n">
        <v>16730</v>
      </c>
      <c r="M231" s="20" t="n">
        <v>18447</v>
      </c>
      <c r="N231" s="20" t="n">
        <v>17780</v>
      </c>
      <c r="V231" s="20" t="n">
        <v>11512.733</v>
      </c>
      <c r="W231" s="20" t="n">
        <v>16221</v>
      </c>
      <c r="X231" s="20" t="n">
        <v>17581</v>
      </c>
    </row>
    <row r="232">
      <c r="A232" s="43" t="inlineStr">
        <is>
          <t>YoY</t>
        </is>
      </c>
      <c r="B232" s="3" t="inlineStr">
        <is>
          <t>전년 같은 분기·전년 대비</t>
        </is>
      </c>
      <c r="G232" s="15">
        <f>IF(OR(G231="",C231=""),"",IF(C231&lt;=0,"",IFERROR(G231/C231-1,"")))</f>
        <v/>
      </c>
      <c r="H232" s="15">
        <f>IF(OR(H231="",D231=""),"",IF(D231&lt;=0,"",IFERROR(H231/D231-1,"")))</f>
        <v/>
      </c>
      <c r="I232" s="15">
        <f>IF(OR(I231="",E231=""),"",IF(E231&lt;=0,"",IFERROR(I231/E231-1,"")))</f>
        <v/>
      </c>
      <c r="J232" s="15">
        <f>IF(OR(J231="",F231=""),"",IF(F231&lt;=0,"",IFERROR(J231/F231-1,"")))</f>
        <v/>
      </c>
      <c r="K232" s="15">
        <f>IF(OR(K231="",G231=""),"",IF(G231&lt;=0,"",IFERROR(K231/G231-1,"")))</f>
        <v/>
      </c>
      <c r="L232" s="15">
        <f>IF(OR(L231="",H231=""),"",IF(H231&lt;=0,"",IFERROR(L231/H231-1,"")))</f>
        <v/>
      </c>
      <c r="M232" s="15">
        <f>IF(OR(M231="",I231=""),"",IF(I231&lt;=0,"",IFERROR(M231/I231-1,"")))</f>
        <v/>
      </c>
      <c r="N232" s="15">
        <f>IF(OR(N231="",J231=""),"",IF(J231&lt;=0,"",IFERROR(N231/J231-1,"")))</f>
        <v/>
      </c>
      <c r="V232" s="15">
        <f>IF(OR(V231="",U231=""),"",IF(U231&lt;=0,"",IFERROR(V231/U231-1,"")))</f>
        <v/>
      </c>
      <c r="W232" s="15">
        <f>IF(OR(W231="",V231=""),"",IF(V231&lt;=0,"",IFERROR(W231/V231-1,"")))</f>
        <v/>
      </c>
      <c r="X232" s="15">
        <f>IF(OR(X231="",W231=""),"",IF(W231&lt;=0,"",IFERROR(X231/W231-1,"")))</f>
        <v/>
      </c>
    </row>
    <row r="233">
      <c r="A233" s="18" t="inlineStr">
        <is>
          <t>기타 · 계</t>
        </is>
      </c>
      <c r="C233" s="20" t="n">
        <v>10.23</v>
      </c>
      <c r="D233" s="20" t="n">
        <v>4</v>
      </c>
      <c r="E233" s="20" t="n">
        <v>22</v>
      </c>
      <c r="F233" s="20" t="n">
        <v>5</v>
      </c>
      <c r="G233" s="20" t="n">
        <v>15</v>
      </c>
      <c r="H233" s="20" t="n">
        <v>8</v>
      </c>
      <c r="I233" s="20" t="n">
        <v>17</v>
      </c>
      <c r="J233" s="20" t="n">
        <v>14</v>
      </c>
      <c r="K233" s="20" t="n">
        <v>25</v>
      </c>
      <c r="L233" s="20" t="n">
        <v>21</v>
      </c>
      <c r="M233" s="20" t="n">
        <v>17</v>
      </c>
      <c r="N233" s="20" t="n">
        <v>25</v>
      </c>
      <c r="V233" s="20" t="n">
        <v>10.23</v>
      </c>
      <c r="W233" s="20" t="n">
        <v>15</v>
      </c>
      <c r="X233" s="20" t="n">
        <v>25</v>
      </c>
    </row>
    <row r="234">
      <c r="A234" s="43" t="inlineStr">
        <is>
          <t>YoY</t>
        </is>
      </c>
      <c r="B234" s="3" t="inlineStr">
        <is>
          <t>전년 같은 분기·전년 대비</t>
        </is>
      </c>
      <c r="G234" s="15">
        <f>IF(OR(G233="",C233=""),"",IF(C233&lt;=0,"",IFERROR(G233/C233-1,"")))</f>
        <v/>
      </c>
      <c r="H234" s="15">
        <f>IF(OR(H233="",D233=""),"",IF(D233&lt;=0,"",IFERROR(H233/D233-1,"")))</f>
        <v/>
      </c>
      <c r="I234" s="15">
        <f>IF(OR(I233="",E233=""),"",IF(E233&lt;=0,"",IFERROR(I233/E233-1,"")))</f>
        <v/>
      </c>
      <c r="J234" s="15">
        <f>IF(OR(J233="",F233=""),"",IF(F233&lt;=0,"",IFERROR(J233/F233-1,"")))</f>
        <v/>
      </c>
      <c r="K234" s="15">
        <f>IF(OR(K233="",G233=""),"",IF(G233&lt;=0,"",IFERROR(K233/G233-1,"")))</f>
        <v/>
      </c>
      <c r="L234" s="15">
        <f>IF(OR(L233="",H233=""),"",IF(H233&lt;=0,"",IFERROR(L233/H233-1,"")))</f>
        <v/>
      </c>
      <c r="M234" s="15">
        <f>IF(OR(M233="",I233=""),"",IF(I233&lt;=0,"",IFERROR(M233/I233-1,"")))</f>
        <v/>
      </c>
      <c r="N234" s="15">
        <f>IF(OR(N233="",J233=""),"",IF(J233&lt;=0,"",IFERROR(N233/J233-1,"")))</f>
        <v/>
      </c>
      <c r="V234" s="15">
        <f>IF(OR(V233="",U233=""),"",IF(U233&lt;=0,"",IFERROR(V233/U233-1,"")))</f>
        <v/>
      </c>
      <c r="W234" s="15">
        <f>IF(OR(W233="",V233=""),"",IF(V233&lt;=0,"",IFERROR(W233/V233-1,"")))</f>
        <v/>
      </c>
      <c r="X234" s="15">
        <f>IF(OR(X233="",W233=""),"",IF(W233&lt;=0,"",IFERROR(X233/W233-1,"")))</f>
        <v/>
      </c>
    </row>
    <row r="235">
      <c r="A235" s="18" t="inlineStr">
        <is>
          <t>합계 · 계</t>
        </is>
      </c>
      <c r="C235" s="20" t="n">
        <v>11522.962</v>
      </c>
      <c r="D235" s="20" t="n">
        <v>13931</v>
      </c>
      <c r="E235" s="20" t="n">
        <v>14900</v>
      </c>
      <c r="F235" s="20" t="n">
        <v>14327</v>
      </c>
      <c r="G235" s="20" t="n">
        <v>16236</v>
      </c>
      <c r="H235" s="20" t="n">
        <v>14571</v>
      </c>
      <c r="I235" s="20" t="n">
        <v>16061</v>
      </c>
      <c r="J235" s="20" t="n">
        <v>15840</v>
      </c>
      <c r="K235" s="20" t="n">
        <v>17606</v>
      </c>
      <c r="L235" s="20" t="n">
        <v>16751</v>
      </c>
      <c r="M235" s="20" t="n">
        <v>18464</v>
      </c>
      <c r="N235" s="20" t="n">
        <v>17806</v>
      </c>
      <c r="V235" s="20" t="n">
        <v>11522.962</v>
      </c>
      <c r="W235" s="20" t="n">
        <v>16236</v>
      </c>
      <c r="X235" s="20" t="n">
        <v>17606</v>
      </c>
    </row>
    <row r="236">
      <c r="A236" s="43" t="inlineStr">
        <is>
          <t>YoY</t>
        </is>
      </c>
      <c r="B236" s="3" t="inlineStr">
        <is>
          <t>전년 같은 분기·전년 대비</t>
        </is>
      </c>
      <c r="G236" s="15">
        <f>IF(OR(G235="",C235=""),"",IF(C235&lt;=0,"",IFERROR(G235/C235-1,"")))</f>
        <v/>
      </c>
      <c r="H236" s="15">
        <f>IF(OR(H235="",D235=""),"",IF(D235&lt;=0,"",IFERROR(H235/D235-1,"")))</f>
        <v/>
      </c>
      <c r="I236" s="15">
        <f>IF(OR(I235="",E235=""),"",IF(E235&lt;=0,"",IFERROR(I235/E235-1,"")))</f>
        <v/>
      </c>
      <c r="J236" s="15">
        <f>IF(OR(J235="",F235=""),"",IF(F235&lt;=0,"",IFERROR(J235/F235-1,"")))</f>
        <v/>
      </c>
      <c r="K236" s="15">
        <f>IF(OR(K235="",G235=""),"",IF(G235&lt;=0,"",IFERROR(K235/G235-1,"")))</f>
        <v/>
      </c>
      <c r="L236" s="15">
        <f>IF(OR(L235="",H235=""),"",IF(H235&lt;=0,"",IFERROR(L235/H235-1,"")))</f>
        <v/>
      </c>
      <c r="M236" s="15">
        <f>IF(OR(M235="",I235=""),"",IF(I235&lt;=0,"",IFERROR(M235/I235-1,"")))</f>
        <v/>
      </c>
      <c r="N236" s="15">
        <f>IF(OR(N235="",J235=""),"",IF(J235&lt;=0,"",IFERROR(N235/J235-1,"")))</f>
        <v/>
      </c>
      <c r="V236" s="15">
        <f>IF(OR(V235="",U235=""),"",IF(U235&lt;=0,"",IFERROR(V235/U235-1,"")))</f>
        <v/>
      </c>
      <c r="W236" s="15">
        <f>IF(OR(W235="",V235=""),"",IF(V235&lt;=0,"",IFERROR(W235/V235-1,"")))</f>
        <v/>
      </c>
      <c r="X236" s="15">
        <f>IF(OR(X235="",W235=""),"",IF(W235&lt;=0,"",IFERROR(X235/W235-1,"")))</f>
        <v/>
      </c>
    </row>
    <row r="237">
      <c r="A237" s="18" t="inlineStr">
        <is>
          <t>조정액 · 계</t>
        </is>
      </c>
      <c r="C237" s="20" t="n">
        <v>-213.083</v>
      </c>
      <c r="D237" s="20" t="n">
        <v>-505</v>
      </c>
      <c r="E237" s="20" t="n">
        <v>-234</v>
      </c>
      <c r="F237" s="20" t="n">
        <v>-342</v>
      </c>
      <c r="G237" s="20" t="n">
        <v>-319</v>
      </c>
      <c r="H237" s="20" t="n">
        <v>-236</v>
      </c>
      <c r="I237" s="20" t="n">
        <v>-293</v>
      </c>
      <c r="J237" s="20" t="n">
        <v>-465</v>
      </c>
      <c r="K237" s="20" t="n">
        <v>-340</v>
      </c>
      <c r="L237" s="20" t="n">
        <v>-193</v>
      </c>
      <c r="M237" s="20" t="n">
        <v>-455</v>
      </c>
      <c r="N237" s="20" t="n">
        <v>-125</v>
      </c>
      <c r="V237" s="20" t="n">
        <v>-213.083</v>
      </c>
      <c r="W237" s="20" t="n">
        <v>-319</v>
      </c>
      <c r="X237" s="20" t="n">
        <v>-340</v>
      </c>
    </row>
    <row r="238">
      <c r="A238" s="9" t="inlineStr">
        <is>
          <t>계</t>
        </is>
      </c>
      <c r="C238" s="12" t="n">
        <v>11309.879</v>
      </c>
      <c r="D238" s="12" t="n">
        <v>13426</v>
      </c>
      <c r="E238" s="12" t="n">
        <v>14665</v>
      </c>
      <c r="F238" s="12" t="n">
        <v>13986</v>
      </c>
      <c r="G238" s="12" t="n">
        <v>15916</v>
      </c>
      <c r="H238" s="12" t="n">
        <v>14334</v>
      </c>
      <c r="I238" s="12" t="n">
        <v>15768</v>
      </c>
      <c r="J238" s="12" t="n">
        <v>15375</v>
      </c>
      <c r="K238" s="12" t="n">
        <v>17267</v>
      </c>
      <c r="L238" s="12" t="n">
        <v>16557</v>
      </c>
      <c r="M238" s="12" t="n">
        <v>18009</v>
      </c>
      <c r="V238" s="12" t="n">
        <v>11309.879</v>
      </c>
      <c r="W238" s="12" t="n">
        <v>15916</v>
      </c>
      <c r="X238" s="12" t="n">
        <v>17267</v>
      </c>
    </row>
    <row r="239">
      <c r="A239" s="43" t="inlineStr">
        <is>
          <t>YoY</t>
        </is>
      </c>
      <c r="B239" s="3" t="inlineStr">
        <is>
          <t>전년 같은 분기·전년 대비</t>
        </is>
      </c>
      <c r="G239" s="15">
        <f>IF(OR(G238="",C238=""),"",IF(C238&lt;=0,"",IFERROR(G238/C238-1,"")))</f>
        <v/>
      </c>
      <c r="H239" s="15">
        <f>IF(OR(H238="",D238=""),"",IF(D238&lt;=0,"",IFERROR(H238/D238-1,"")))</f>
        <v/>
      </c>
      <c r="I239" s="15">
        <f>IF(OR(I238="",E238=""),"",IF(E238&lt;=0,"",IFERROR(I238/E238-1,"")))</f>
        <v/>
      </c>
      <c r="J239" s="15">
        <f>IF(OR(J238="",F238=""),"",IF(F238&lt;=0,"",IFERROR(J238/F238-1,"")))</f>
        <v/>
      </c>
      <c r="K239" s="15">
        <f>IF(OR(K238="",G238=""),"",IF(G238&lt;=0,"",IFERROR(K238/G238-1,"")))</f>
        <v/>
      </c>
      <c r="L239" s="15">
        <f>IF(OR(L238="",H238=""),"",IF(H238&lt;=0,"",IFERROR(L238/H238-1,"")))</f>
        <v/>
      </c>
      <c r="M239" s="15">
        <f>IF(OR(M238="",I238=""),"",IF(I238&lt;=0,"",IFERROR(M238/I238-1,"")))</f>
        <v/>
      </c>
      <c r="V239" s="15">
        <f>IF(OR(V238="",U238=""),"",IF(U238&lt;=0,"",IFERROR(V238/U238-1,"")))</f>
        <v/>
      </c>
      <c r="W239" s="15">
        <f>IF(OR(W238="",V238=""),"",IF(V238&lt;=0,"",IFERROR(W238/V238-1,"")))</f>
        <v/>
      </c>
      <c r="X239" s="15">
        <f>IF(OR(X238="",W238=""),"",IF(W238&lt;=0,"",IFERROR(X238/W238-1,"")))</f>
        <v/>
      </c>
    </row>
    <row r="240">
      <c r="A240" s="18" t="inlineStr">
        <is>
          <t>정밀화학 · 부문 이익(손실)</t>
        </is>
      </c>
      <c r="C240" s="20" t="n">
        <v>77.126</v>
      </c>
      <c r="D240" s="20" t="n">
        <v>69</v>
      </c>
      <c r="E240" s="20" t="n">
        <v>-69</v>
      </c>
      <c r="F240" s="20" t="n">
        <v>-132</v>
      </c>
      <c r="G240" s="20" t="n">
        <v>351</v>
      </c>
      <c r="H240" s="20" t="n">
        <v>365</v>
      </c>
      <c r="I240" s="20" t="n">
        <v>506</v>
      </c>
      <c r="J240" s="20" t="n">
        <v>209</v>
      </c>
      <c r="K240" s="20" t="n">
        <v>-171</v>
      </c>
      <c r="L240" s="20" t="n">
        <v>214</v>
      </c>
      <c r="V240" s="20" t="n">
        <v>77.126</v>
      </c>
      <c r="W240" s="20" t="n">
        <v>351</v>
      </c>
      <c r="X240" s="20" t="n">
        <v>-171</v>
      </c>
    </row>
    <row r="241">
      <c r="A241" s="43" t="inlineStr">
        <is>
          <t>OPM</t>
        </is>
      </c>
      <c r="B241" s="3" t="inlineStr">
        <is>
          <t>영업이익 ÷ 매출</t>
        </is>
      </c>
      <c r="C241" s="15">
        <f>IF(OR(C240="",C215=""),"",IF(C215&lt;=0,"",IFERROR(C240/C215,"")))</f>
        <v/>
      </c>
      <c r="D241" s="15">
        <f>IF(OR(D240="",D215=""),"",IF(D215&lt;=0,"",IFERROR(D240/D215,"")))</f>
        <v/>
      </c>
      <c r="E241" s="15">
        <f>IF(OR(E240="",E215=""),"",IF(E215&lt;=0,"",IFERROR(E240/E215,"")))</f>
        <v/>
      </c>
      <c r="F241" s="15">
        <f>IF(OR(F240="",F215=""),"",IF(F215&lt;=0,"",IFERROR(F240/F215,"")))</f>
        <v/>
      </c>
      <c r="G241" s="15">
        <f>IF(OR(G240="",G215=""),"",IF(G215&lt;=0,"",IFERROR(G240/G215,"")))</f>
        <v/>
      </c>
      <c r="H241" s="15">
        <f>IF(OR(H240="",H215=""),"",IF(H215&lt;=0,"",IFERROR(H240/H215,"")))</f>
        <v/>
      </c>
      <c r="I241" s="15">
        <f>IF(OR(I240="",I215=""),"",IF(I215&lt;=0,"",IFERROR(I240/I215,"")))</f>
        <v/>
      </c>
      <c r="J241" s="15">
        <f>IF(OR(J240="",J215=""),"",IF(J215&lt;=0,"",IFERROR(J240/J215,"")))</f>
        <v/>
      </c>
      <c r="K241" s="15">
        <f>IF(OR(K240="",K215=""),"",IF(K215&lt;=0,"",IFERROR(K240/K215,"")))</f>
        <v/>
      </c>
      <c r="L241" s="15">
        <f>IF(OR(L240="",L215=""),"",IF(L215&lt;=0,"",IFERROR(L240/L215,"")))</f>
        <v/>
      </c>
      <c r="V241" s="15">
        <f>IF(OR(V240="",V215=""),"",IF(V215&lt;=0,"",IFERROR(V240/V215,"")))</f>
        <v/>
      </c>
      <c r="W241" s="15">
        <f>IF(OR(W240="",W215=""),"",IF(W215&lt;=0,"",IFERROR(W240/W215,"")))</f>
        <v/>
      </c>
      <c r="X241" s="15">
        <f>IF(OR(X240="",X215=""),"",IF(X215&lt;=0,"",IFERROR(X240/X215,"")))</f>
        <v/>
      </c>
    </row>
    <row r="242">
      <c r="A242" s="43" t="inlineStr">
        <is>
          <t>YoY</t>
        </is>
      </c>
      <c r="B242" s="3" t="inlineStr">
        <is>
          <t>전년 같은 분기·전년 대비</t>
        </is>
      </c>
      <c r="G242" s="15">
        <f>IF(OR(G240="",C240=""),"",IF(C240&lt;=0,"",IFERROR(G240/C240-1,"")))</f>
        <v/>
      </c>
      <c r="H242" s="15">
        <f>IF(OR(H240="",D240=""),"",IF(D240&lt;=0,"",IFERROR(H240/D240-1,"")))</f>
        <v/>
      </c>
      <c r="I242" s="15">
        <f>IF(OR(I240="",E240=""),"",IF(E240&lt;=0,"",IFERROR(I240/E240-1,"")))</f>
        <v/>
      </c>
      <c r="J242" s="15">
        <f>IF(OR(J240="",F240=""),"",IF(F240&lt;=0,"",IFERROR(J240/F240-1,"")))</f>
        <v/>
      </c>
      <c r="K242" s="15">
        <f>IF(OR(K240="",G240=""),"",IF(G240&lt;=0,"",IFERROR(K240/G240-1,"")))</f>
        <v/>
      </c>
      <c r="L242" s="15">
        <f>IF(OR(L240="",H240=""),"",IF(H240&lt;=0,"",IFERROR(L240/H240-1,"")))</f>
        <v/>
      </c>
      <c r="V242" s="15">
        <f>IF(OR(V240="",U240=""),"",IF(U240&lt;=0,"",IFERROR(V240/U240-1,"")))</f>
        <v/>
      </c>
      <c r="W242" s="15">
        <f>IF(OR(W240="",V240=""),"",IF(V240&lt;=0,"",IFERROR(W240/V240-1,"")))</f>
        <v/>
      </c>
      <c r="X242" s="15">
        <f>IF(OR(X240="",W240=""),"",IF(W240&lt;=0,"",IFERROR(X240/W240-1,"")))</f>
        <v/>
      </c>
    </row>
    <row r="243">
      <c r="A243" s="18" t="inlineStr">
        <is>
          <t>HBC·식품 · 부문 이익(손실)</t>
        </is>
      </c>
      <c r="C243" s="20" t="n">
        <v>133.838</v>
      </c>
      <c r="D243" s="20" t="n">
        <v>63</v>
      </c>
      <c r="E243" s="20" t="n">
        <v>135</v>
      </c>
      <c r="F243" s="20" t="n">
        <v>111</v>
      </c>
      <c r="G243" s="20" t="n">
        <v>314</v>
      </c>
      <c r="H243" s="20" t="n">
        <v>208</v>
      </c>
      <c r="I243" s="20" t="n">
        <v>336</v>
      </c>
      <c r="J243" s="20" t="n">
        <v>0</v>
      </c>
      <c r="K243" s="20" t="n">
        <v>156</v>
      </c>
      <c r="L243" s="20" t="n">
        <v>265</v>
      </c>
      <c r="V243" s="20" t="n">
        <v>133.838</v>
      </c>
      <c r="W243" s="20" t="n">
        <v>314</v>
      </c>
      <c r="X243" s="20" t="n">
        <v>156</v>
      </c>
    </row>
    <row r="244">
      <c r="A244" s="43" t="inlineStr">
        <is>
          <t>OPM</t>
        </is>
      </c>
      <c r="B244" s="3" t="inlineStr">
        <is>
          <t>영업이익 ÷ 매출</t>
        </is>
      </c>
      <c r="C244" s="15">
        <f>IF(OR(C243="",C217=""),"",IF(C217&lt;=0,"",IFERROR(C243/C217,"")))</f>
        <v/>
      </c>
      <c r="D244" s="15">
        <f>IF(OR(D243="",D217=""),"",IF(D217&lt;=0,"",IFERROR(D243/D217,"")))</f>
        <v/>
      </c>
      <c r="E244" s="15">
        <f>IF(OR(E243="",E217=""),"",IF(E217&lt;=0,"",IFERROR(E243/E217,"")))</f>
        <v/>
      </c>
      <c r="F244" s="15">
        <f>IF(OR(F243="",F217=""),"",IF(F217&lt;=0,"",IFERROR(F243/F217,"")))</f>
        <v/>
      </c>
      <c r="G244" s="15">
        <f>IF(OR(G243="",G217=""),"",IF(G217&lt;=0,"",IFERROR(G243/G217,"")))</f>
        <v/>
      </c>
      <c r="H244" s="15">
        <f>IF(OR(H243="",H217=""),"",IF(H217&lt;=0,"",IFERROR(H243/H217,"")))</f>
        <v/>
      </c>
      <c r="I244" s="15">
        <f>IF(OR(I243="",I217=""),"",IF(I217&lt;=0,"",IFERROR(I243/I217,"")))</f>
        <v/>
      </c>
      <c r="J244" s="15">
        <f>IF(OR(J243="",J217=""),"",IF(J217&lt;=0,"",IFERROR(J243/J217,"")))</f>
        <v/>
      </c>
      <c r="K244" s="15">
        <f>IF(OR(K243="",K217=""),"",IF(K217&lt;=0,"",IFERROR(K243/K217,"")))</f>
        <v/>
      </c>
      <c r="L244" s="15">
        <f>IF(OR(L243="",L217=""),"",IF(L217&lt;=0,"",IFERROR(L243/L217,"")))</f>
        <v/>
      </c>
      <c r="V244" s="15">
        <f>IF(OR(V243="",V217=""),"",IF(V217&lt;=0,"",IFERROR(V243/V217,"")))</f>
        <v/>
      </c>
      <c r="W244" s="15">
        <f>IF(OR(W243="",W217=""),"",IF(W217&lt;=0,"",IFERROR(W243/W217,"")))</f>
        <v/>
      </c>
      <c r="X244" s="15">
        <f>IF(OR(X243="",X217=""),"",IF(X217&lt;=0,"",IFERROR(X243/X217,"")))</f>
        <v/>
      </c>
    </row>
    <row r="245">
      <c r="A245" s="43" t="inlineStr">
        <is>
          <t>YoY</t>
        </is>
      </c>
      <c r="B245" s="3" t="inlineStr">
        <is>
          <t>전년 같은 분기·전년 대비</t>
        </is>
      </c>
      <c r="G245" s="15">
        <f>IF(OR(G243="",C243=""),"",IF(C243&lt;=0,"",IFERROR(G243/C243-1,"")))</f>
        <v/>
      </c>
      <c r="H245" s="15">
        <f>IF(OR(H243="",D243=""),"",IF(D243&lt;=0,"",IFERROR(H243/D243-1,"")))</f>
        <v/>
      </c>
      <c r="I245" s="15">
        <f>IF(OR(I243="",E243=""),"",IF(E243&lt;=0,"",IFERROR(I243/E243-1,"")))</f>
        <v/>
      </c>
      <c r="J245" s="15">
        <f>IF(OR(J243="",F243=""),"",IF(F243&lt;=0,"",IFERROR(J243/F243-1,"")))</f>
        <v/>
      </c>
      <c r="K245" s="15">
        <f>IF(OR(K243="",G243=""),"",IF(G243&lt;=0,"",IFERROR(K243/G243-1,"")))</f>
        <v/>
      </c>
      <c r="L245" s="15">
        <f>IF(OR(L243="",H243=""),"",IF(H243&lt;=0,"",IFERROR(L243/H243-1,"")))</f>
        <v/>
      </c>
      <c r="V245" s="15">
        <f>IF(OR(V243="",U243=""),"",IF(U243&lt;=0,"",IFERROR(V243/U243-1,"")))</f>
        <v/>
      </c>
      <c r="W245" s="15">
        <f>IF(OR(W243="",V243=""),"",IF(V243&lt;=0,"",IFERROR(W243/V243-1,"")))</f>
        <v/>
      </c>
      <c r="X245" s="15">
        <f>IF(OR(X243="",W243=""),"",IF(W243&lt;=0,"",IFERROR(X243/W243-1,"")))</f>
        <v/>
      </c>
    </row>
    <row r="246">
      <c r="A246" s="18" t="inlineStr">
        <is>
          <t>의약 · 부문 이익(손실)</t>
        </is>
      </c>
      <c r="C246" s="20" t="n">
        <v>104.721</v>
      </c>
      <c r="D246" s="20" t="n">
        <v>178</v>
      </c>
      <c r="E246" s="20" t="n">
        <v>438</v>
      </c>
      <c r="F246" s="20" t="n">
        <v>457</v>
      </c>
      <c r="G246" s="20" t="n">
        <v>229</v>
      </c>
      <c r="H246" s="20" t="n">
        <v>355</v>
      </c>
      <c r="I246" s="20" t="n">
        <v>324</v>
      </c>
      <c r="J246" s="20" t="n">
        <v>202</v>
      </c>
      <c r="K246" s="20" t="n">
        <v>237</v>
      </c>
      <c r="L246" s="20" t="n">
        <v>260</v>
      </c>
      <c r="V246" s="20" t="n">
        <v>104.721</v>
      </c>
      <c r="W246" s="20" t="n">
        <v>229</v>
      </c>
      <c r="X246" s="20" t="n">
        <v>237</v>
      </c>
    </row>
    <row r="247">
      <c r="A247" s="43" t="inlineStr">
        <is>
          <t>OPM</t>
        </is>
      </c>
      <c r="B247" s="3" t="inlineStr">
        <is>
          <t>영업이익 ÷ 매출</t>
        </is>
      </c>
      <c r="C247" s="15">
        <f>IF(OR(C246="",C219=""),"",IF(C219&lt;=0,"",IFERROR(C246/C219,"")))</f>
        <v/>
      </c>
      <c r="D247" s="15">
        <f>IF(OR(D246="",D219=""),"",IF(D219&lt;=0,"",IFERROR(D246/D219,"")))</f>
        <v/>
      </c>
      <c r="E247" s="15">
        <f>IF(OR(E246="",E219=""),"",IF(E219&lt;=0,"",IFERROR(E246/E219,"")))</f>
        <v/>
      </c>
      <c r="F247" s="15">
        <f>IF(OR(F246="",F219=""),"",IF(F219&lt;=0,"",IFERROR(F246/F219,"")))</f>
        <v/>
      </c>
      <c r="G247" s="15">
        <f>IF(OR(G246="",G219=""),"",IF(G219&lt;=0,"",IFERROR(G246/G219,"")))</f>
        <v/>
      </c>
      <c r="H247" s="15">
        <f>IF(OR(H246="",H219=""),"",IF(H219&lt;=0,"",IFERROR(H246/H219,"")))</f>
        <v/>
      </c>
      <c r="I247" s="15">
        <f>IF(OR(I246="",I219=""),"",IF(I219&lt;=0,"",IFERROR(I246/I219,"")))</f>
        <v/>
      </c>
      <c r="J247" s="15">
        <f>IF(OR(J246="",J219=""),"",IF(J219&lt;=0,"",IFERROR(J246/J219,"")))</f>
        <v/>
      </c>
      <c r="K247" s="15">
        <f>IF(OR(K246="",K219=""),"",IF(K219&lt;=0,"",IFERROR(K246/K219,"")))</f>
        <v/>
      </c>
      <c r="L247" s="15">
        <f>IF(OR(L246="",L219=""),"",IF(L219&lt;=0,"",IFERROR(L246/L219,"")))</f>
        <v/>
      </c>
      <c r="V247" s="15">
        <f>IF(OR(V246="",V219=""),"",IF(V219&lt;=0,"",IFERROR(V246/V219,"")))</f>
        <v/>
      </c>
      <c r="W247" s="15">
        <f>IF(OR(W246="",W219=""),"",IF(W219&lt;=0,"",IFERROR(W246/W219,"")))</f>
        <v/>
      </c>
      <c r="X247" s="15">
        <f>IF(OR(X246="",X219=""),"",IF(X219&lt;=0,"",IFERROR(X246/X219,"")))</f>
        <v/>
      </c>
    </row>
    <row r="248">
      <c r="A248" s="43" t="inlineStr">
        <is>
          <t>YoY</t>
        </is>
      </c>
      <c r="B248" s="3" t="inlineStr">
        <is>
          <t>전년 같은 분기·전년 대비</t>
        </is>
      </c>
      <c r="G248" s="15">
        <f>IF(OR(G246="",C246=""),"",IF(C246&lt;=0,"",IFERROR(G246/C246-1,"")))</f>
        <v/>
      </c>
      <c r="H248" s="15">
        <f>IF(OR(H246="",D246=""),"",IF(D246&lt;=0,"",IFERROR(H246/D246-1,"")))</f>
        <v/>
      </c>
      <c r="I248" s="15">
        <f>IF(OR(I246="",E246=""),"",IF(E246&lt;=0,"",IFERROR(I246/E246-1,"")))</f>
        <v/>
      </c>
      <c r="J248" s="15">
        <f>IF(OR(J246="",F246=""),"",IF(F246&lt;=0,"",IFERROR(J246/F246-1,"")))</f>
        <v/>
      </c>
      <c r="K248" s="15">
        <f>IF(OR(K246="",G246=""),"",IF(G246&lt;=0,"",IFERROR(K246/G246-1,"")))</f>
        <v/>
      </c>
      <c r="L248" s="15">
        <f>IF(OR(L246="",H246=""),"",IF(H246&lt;=0,"",IFERROR(L246/H246-1,"")))</f>
        <v/>
      </c>
      <c r="V248" s="15">
        <f>IF(OR(V246="",U246=""),"",IF(U246&lt;=0,"",IFERROR(V246/U246-1,"")))</f>
        <v/>
      </c>
      <c r="W248" s="15">
        <f>IF(OR(W246="",V246=""),"",IF(V246&lt;=0,"",IFERROR(W246/V246-1,"")))</f>
        <v/>
      </c>
      <c r="X248" s="15">
        <f>IF(OR(X246="",W246=""),"",IF(W246&lt;=0,"",IFERROR(X246/W246-1,"")))</f>
        <v/>
      </c>
    </row>
    <row r="249">
      <c r="A249" s="18" t="inlineStr">
        <is>
          <t>화학품 · 부문 이익(손실)</t>
        </is>
      </c>
      <c r="C249" s="20" t="n">
        <v>122.88</v>
      </c>
      <c r="D249" s="20" t="n">
        <v>135</v>
      </c>
      <c r="E249" s="20" t="n">
        <v>416</v>
      </c>
      <c r="F249" s="20" t="n">
        <v>192</v>
      </c>
      <c r="G249" s="20" t="n">
        <v>64</v>
      </c>
      <c r="H249" s="20" t="n">
        <v>135</v>
      </c>
      <c r="I249" s="20" t="n">
        <v>55</v>
      </c>
      <c r="J249" s="20" t="n">
        <v>222</v>
      </c>
      <c r="K249" s="20" t="n">
        <v>321</v>
      </c>
      <c r="L249" s="20" t="n">
        <v>376</v>
      </c>
      <c r="V249" s="20" t="n">
        <v>122.88</v>
      </c>
      <c r="W249" s="20" t="n">
        <v>64</v>
      </c>
      <c r="X249" s="20" t="n">
        <v>321</v>
      </c>
    </row>
    <row r="250">
      <c r="A250" s="43" t="inlineStr">
        <is>
          <t>OPM</t>
        </is>
      </c>
      <c r="B250" s="3" t="inlineStr">
        <is>
          <t>영업이익 ÷ 매출</t>
        </is>
      </c>
      <c r="C250" s="15">
        <f>IF(OR(C249="",C221=""),"",IF(C221&lt;=0,"",IFERROR(C249/C221,"")))</f>
        <v/>
      </c>
      <c r="D250" s="15">
        <f>IF(OR(D249="",D221=""),"",IF(D221&lt;=0,"",IFERROR(D249/D221,"")))</f>
        <v/>
      </c>
      <c r="E250" s="15">
        <f>IF(OR(E249="",E221=""),"",IF(E221&lt;=0,"",IFERROR(E249/E221,"")))</f>
        <v/>
      </c>
      <c r="F250" s="15">
        <f>IF(OR(F249="",F221=""),"",IF(F221&lt;=0,"",IFERROR(F249/F221,"")))</f>
        <v/>
      </c>
      <c r="G250" s="15">
        <f>IF(OR(G249="",G221=""),"",IF(G221&lt;=0,"",IFERROR(G249/G221,"")))</f>
        <v/>
      </c>
      <c r="H250" s="15">
        <f>IF(OR(H249="",H221=""),"",IF(H221&lt;=0,"",IFERROR(H249/H221,"")))</f>
        <v/>
      </c>
      <c r="I250" s="15">
        <f>IF(OR(I249="",I221=""),"",IF(I221&lt;=0,"",IFERROR(I249/I221,"")))</f>
        <v/>
      </c>
      <c r="J250" s="15">
        <f>IF(OR(J249="",J221=""),"",IF(J221&lt;=0,"",IFERROR(J249/J221,"")))</f>
        <v/>
      </c>
      <c r="K250" s="15">
        <f>IF(OR(K249="",K221=""),"",IF(K221&lt;=0,"",IFERROR(K249/K221,"")))</f>
        <v/>
      </c>
      <c r="L250" s="15">
        <f>IF(OR(L249="",L221=""),"",IF(L221&lt;=0,"",IFERROR(L249/L221,"")))</f>
        <v/>
      </c>
      <c r="V250" s="15">
        <f>IF(OR(V249="",V221=""),"",IF(V221&lt;=0,"",IFERROR(V249/V221,"")))</f>
        <v/>
      </c>
      <c r="W250" s="15">
        <f>IF(OR(W249="",W221=""),"",IF(W221&lt;=0,"",IFERROR(W249/W221,"")))</f>
        <v/>
      </c>
      <c r="X250" s="15">
        <f>IF(OR(X249="",X221=""),"",IF(X221&lt;=0,"",IFERROR(X249/X221,"")))</f>
        <v/>
      </c>
    </row>
    <row r="251">
      <c r="A251" s="43" t="inlineStr">
        <is>
          <t>YoY</t>
        </is>
      </c>
      <c r="B251" s="3" t="inlineStr">
        <is>
          <t>전년 같은 분기·전년 대비</t>
        </is>
      </c>
      <c r="G251" s="15">
        <f>IF(OR(G249="",C249=""),"",IF(C249&lt;=0,"",IFERROR(G249/C249-1,"")))</f>
        <v/>
      </c>
      <c r="H251" s="15">
        <f>IF(OR(H249="",D249=""),"",IF(D249&lt;=0,"",IFERROR(H249/D249-1,"")))</f>
        <v/>
      </c>
      <c r="I251" s="15">
        <f>IF(OR(I249="",E249=""),"",IF(E249&lt;=0,"",IFERROR(I249/E249-1,"")))</f>
        <v/>
      </c>
      <c r="J251" s="15">
        <f>IF(OR(J249="",F249=""),"",IF(F249&lt;=0,"",IFERROR(J249/F249-1,"")))</f>
        <v/>
      </c>
      <c r="K251" s="15">
        <f>IF(OR(K249="",G249=""),"",IF(G249&lt;=0,"",IFERROR(K249/G249-1,"")))</f>
        <v/>
      </c>
      <c r="L251" s="15">
        <f>IF(OR(L249="",H249=""),"",IF(H249&lt;=0,"",IFERROR(L249/H249-1,"")))</f>
        <v/>
      </c>
      <c r="V251" s="15">
        <f>IF(OR(V249="",U249=""),"",IF(U249&lt;=0,"",IFERROR(V249/U249-1,"")))</f>
        <v/>
      </c>
      <c r="W251" s="15">
        <f>IF(OR(W249="",V249=""),"",IF(V249&lt;=0,"",IFERROR(W249/V249-1,"")))</f>
        <v/>
      </c>
      <c r="X251" s="15">
        <f>IF(OR(X249="",W249=""),"",IF(W249&lt;=0,"",IFERROR(X249/W249-1,"")))</f>
        <v/>
      </c>
    </row>
    <row r="252">
      <c r="A252" s="18" t="inlineStr">
        <is>
          <t>FineChemicalsReportableSegmentMember · 부문 이익(손실)</t>
        </is>
      </c>
      <c r="J252" s="20" t="n">
        <v>209</v>
      </c>
      <c r="N252" s="20" t="n">
        <v>255</v>
      </c>
    </row>
    <row r="253">
      <c r="A253" s="43" t="inlineStr">
        <is>
          <t>OPM</t>
        </is>
      </c>
      <c r="B253" s="3" t="inlineStr">
        <is>
          <t>영업이익 ÷ 매출</t>
        </is>
      </c>
      <c r="J253" s="15">
        <f>IF(OR(J252="",J223=""),"",IF(J223&lt;=0,"",IFERROR(J252/J223,"")))</f>
        <v/>
      </c>
      <c r="N253" s="15">
        <f>IF(OR(N252="",N223=""),"",IF(N223&lt;=0,"",IFERROR(N252/N223,"")))</f>
        <v/>
      </c>
    </row>
    <row r="254">
      <c r="A254" s="43" t="inlineStr">
        <is>
          <t>YoY</t>
        </is>
      </c>
      <c r="B254" s="3" t="inlineStr">
        <is>
          <t>전년 같은 분기·전년 대비</t>
        </is>
      </c>
      <c r="J254" s="15">
        <f>IF(OR(J252="",F252=""),"",IF(F252&lt;=0,"",IFERROR(J252/F252-1,"")))</f>
        <v/>
      </c>
      <c r="N254" s="15">
        <f>IF(OR(N252="",J252=""),"",IF(J252&lt;=0,"",IFERROR(N252/J252-1,"")))</f>
        <v/>
      </c>
    </row>
    <row r="255">
      <c r="A255" s="18" t="inlineStr">
        <is>
          <t>HealthAndBeautyCareFoodReportableSegmentMember · 부문 이익(손실)</t>
        </is>
      </c>
      <c r="J255" s="20" t="n">
        <v>0</v>
      </c>
      <c r="N255" s="20" t="n">
        <v>-56</v>
      </c>
    </row>
    <row r="256">
      <c r="A256" s="43" t="inlineStr">
        <is>
          <t>OPM</t>
        </is>
      </c>
      <c r="B256" s="3" t="inlineStr">
        <is>
          <t>영업이익 ÷ 매출</t>
        </is>
      </c>
      <c r="J256" s="15">
        <f>IF(OR(J255="",J225=""),"",IF(J225&lt;=0,"",IFERROR(J255/J225,"")))</f>
        <v/>
      </c>
      <c r="N256" s="15">
        <f>IF(OR(N255="",N225=""),"",IF(N225&lt;=0,"",IFERROR(N255/N225,"")))</f>
        <v/>
      </c>
    </row>
    <row r="257">
      <c r="A257" s="43" t="inlineStr">
        <is>
          <t>YoY</t>
        </is>
      </c>
      <c r="B257" s="3" t="inlineStr">
        <is>
          <t>전년 같은 분기·전년 대비</t>
        </is>
      </c>
      <c r="J257" s="15">
        <f>IF(OR(J255="",F255=""),"",IF(F255&lt;=0,"",IFERROR(J255/F255-1,"")))</f>
        <v/>
      </c>
      <c r="N257" s="15">
        <f>IF(OR(N255="",J255=""),"",IF(J255&lt;=0,"",IFERROR(N255/J255-1,"")))</f>
        <v/>
      </c>
    </row>
    <row r="258">
      <c r="A258" s="18" t="inlineStr">
        <is>
          <t>MedicalReportableSegmentMember · 부문 이익(손실)</t>
        </is>
      </c>
      <c r="J258" s="20" t="n">
        <v>202</v>
      </c>
      <c r="N258" s="20" t="n">
        <v>239</v>
      </c>
    </row>
    <row r="259">
      <c r="A259" s="43" t="inlineStr">
        <is>
          <t>OPM</t>
        </is>
      </c>
      <c r="B259" s="3" t="inlineStr">
        <is>
          <t>영업이익 ÷ 매출</t>
        </is>
      </c>
      <c r="J259" s="15">
        <f>IF(OR(J258="",J227=""),"",IF(J227&lt;=0,"",IFERROR(J258/J227,"")))</f>
        <v/>
      </c>
      <c r="N259" s="15">
        <f>IF(OR(N258="",N227=""),"",IF(N227&lt;=0,"",IFERROR(N258/N227,"")))</f>
        <v/>
      </c>
    </row>
    <row r="260">
      <c r="A260" s="43" t="inlineStr">
        <is>
          <t>YoY</t>
        </is>
      </c>
      <c r="B260" s="3" t="inlineStr">
        <is>
          <t>전년 같은 분기·전년 대비</t>
        </is>
      </c>
      <c r="J260" s="15">
        <f>IF(OR(J258="",F258=""),"",IF(F258&lt;=0,"",IFERROR(J258/F258-1,"")))</f>
        <v/>
      </c>
      <c r="N260" s="15">
        <f>IF(OR(N258="",J258=""),"",IF(J258&lt;=0,"",IFERROR(N258/J258-1,"")))</f>
        <v/>
      </c>
    </row>
    <row r="261">
      <c r="A261" s="18" t="inlineStr">
        <is>
          <t>IndustrialChemicalsReportableSegmentMember · 부문 이익(손실)</t>
        </is>
      </c>
      <c r="J261" s="20" t="n">
        <v>222</v>
      </c>
      <c r="N261" s="20" t="n">
        <v>288</v>
      </c>
    </row>
    <row r="262">
      <c r="A262" s="43" t="inlineStr">
        <is>
          <t>OPM</t>
        </is>
      </c>
      <c r="B262" s="3" t="inlineStr">
        <is>
          <t>영업이익 ÷ 매출</t>
        </is>
      </c>
      <c r="J262" s="15">
        <f>IF(OR(J261="",J229=""),"",IF(J229&lt;=0,"",IFERROR(J261/J229,"")))</f>
        <v/>
      </c>
      <c r="N262" s="15">
        <f>IF(OR(N261="",N229=""),"",IF(N229&lt;=0,"",IFERROR(N261/N229,"")))</f>
        <v/>
      </c>
    </row>
    <row r="263">
      <c r="A263" s="43" t="inlineStr">
        <is>
          <t>YoY</t>
        </is>
      </c>
      <c r="B263" s="3" t="inlineStr">
        <is>
          <t>전년 같은 분기·전년 대비</t>
        </is>
      </c>
      <c r="J263" s="15">
        <f>IF(OR(J261="",F261=""),"",IF(F261&lt;=0,"",IFERROR(J261/F261-1,"")))</f>
        <v/>
      </c>
      <c r="N263" s="15">
        <f>IF(OR(N261="",J261=""),"",IF(J261&lt;=0,"",IFERROR(N261/J261-1,"")))</f>
        <v/>
      </c>
    </row>
    <row r="264">
      <c r="A264" s="18" t="inlineStr">
        <is>
          <t>보고부문 합계 · 부문 이익(손실)</t>
        </is>
      </c>
      <c r="C264" s="20" t="n">
        <v>438.564</v>
      </c>
      <c r="D264" s="20" t="n">
        <v>448</v>
      </c>
      <c r="E264" s="20" t="n">
        <v>917</v>
      </c>
      <c r="F264" s="20" t="n">
        <v>629</v>
      </c>
      <c r="G264" s="20" t="n">
        <v>958</v>
      </c>
      <c r="H264" s="20" t="n">
        <v>1065</v>
      </c>
      <c r="I264" s="20" t="n">
        <v>1221</v>
      </c>
      <c r="J264" s="20" t="n">
        <v>631</v>
      </c>
      <c r="K264" s="20" t="n">
        <v>544</v>
      </c>
      <c r="L264" s="20" t="n">
        <v>1117</v>
      </c>
      <c r="M264" s="20" t="n">
        <v>1237</v>
      </c>
      <c r="N264" s="20" t="n">
        <v>726</v>
      </c>
      <c r="V264" s="20" t="n">
        <v>438.564</v>
      </c>
      <c r="W264" s="20" t="n">
        <v>958</v>
      </c>
      <c r="X264" s="20" t="n">
        <v>544</v>
      </c>
    </row>
    <row r="265">
      <c r="A265" s="43" t="inlineStr">
        <is>
          <t>OPM</t>
        </is>
      </c>
      <c r="B265" s="3" t="inlineStr">
        <is>
          <t>영업이익 ÷ 매출</t>
        </is>
      </c>
      <c r="C265" s="15">
        <f>IF(OR(C264="",C231=""),"",IF(C231&lt;=0,"",IFERROR(C264/C231,"")))</f>
        <v/>
      </c>
      <c r="D265" s="15">
        <f>IF(OR(D264="",D231=""),"",IF(D231&lt;=0,"",IFERROR(D264/D231,"")))</f>
        <v/>
      </c>
      <c r="E265" s="15">
        <f>IF(OR(E264="",E231=""),"",IF(E231&lt;=0,"",IFERROR(E264/E231,"")))</f>
        <v/>
      </c>
      <c r="F265" s="15">
        <f>IF(OR(F264="",F231=""),"",IF(F231&lt;=0,"",IFERROR(F264/F231,"")))</f>
        <v/>
      </c>
      <c r="G265" s="15">
        <f>IF(OR(G264="",G231=""),"",IF(G231&lt;=0,"",IFERROR(G264/G231,"")))</f>
        <v/>
      </c>
      <c r="H265" s="15">
        <f>IF(OR(H264="",H231=""),"",IF(H231&lt;=0,"",IFERROR(H264/H231,"")))</f>
        <v/>
      </c>
      <c r="I265" s="15">
        <f>IF(OR(I264="",I231=""),"",IF(I231&lt;=0,"",IFERROR(I264/I231,"")))</f>
        <v/>
      </c>
      <c r="J265" s="15">
        <f>IF(OR(J264="",J231=""),"",IF(J231&lt;=0,"",IFERROR(J264/J231,"")))</f>
        <v/>
      </c>
      <c r="K265" s="15">
        <f>IF(OR(K264="",K231=""),"",IF(K231&lt;=0,"",IFERROR(K264/K231,"")))</f>
        <v/>
      </c>
      <c r="L265" s="15">
        <f>IF(OR(L264="",L231=""),"",IF(L231&lt;=0,"",IFERROR(L264/L231,"")))</f>
        <v/>
      </c>
      <c r="M265" s="15">
        <f>IF(OR(M264="",M231=""),"",IF(M231&lt;=0,"",IFERROR(M264/M231,"")))</f>
        <v/>
      </c>
      <c r="N265" s="15">
        <f>IF(OR(N264="",N231=""),"",IF(N231&lt;=0,"",IFERROR(N264/N231,"")))</f>
        <v/>
      </c>
      <c r="V265" s="15">
        <f>IF(OR(V264="",V231=""),"",IF(V231&lt;=0,"",IFERROR(V264/V231,"")))</f>
        <v/>
      </c>
      <c r="W265" s="15">
        <f>IF(OR(W264="",W231=""),"",IF(W231&lt;=0,"",IFERROR(W264/W231,"")))</f>
        <v/>
      </c>
      <c r="X265" s="15">
        <f>IF(OR(X264="",X231=""),"",IF(X231&lt;=0,"",IFERROR(X264/X231,"")))</f>
        <v/>
      </c>
    </row>
    <row r="266">
      <c r="A266" s="43" t="inlineStr">
        <is>
          <t>YoY</t>
        </is>
      </c>
      <c r="B266" s="3" t="inlineStr">
        <is>
          <t>전년 같은 분기·전년 대비</t>
        </is>
      </c>
      <c r="G266" s="15">
        <f>IF(OR(G264="",C264=""),"",IF(C264&lt;=0,"",IFERROR(G264/C264-1,"")))</f>
        <v/>
      </c>
      <c r="H266" s="15">
        <f>IF(OR(H264="",D264=""),"",IF(D264&lt;=0,"",IFERROR(H264/D264-1,"")))</f>
        <v/>
      </c>
      <c r="I266" s="15">
        <f>IF(OR(I264="",E264=""),"",IF(E264&lt;=0,"",IFERROR(I264/E264-1,"")))</f>
        <v/>
      </c>
      <c r="J266" s="15">
        <f>IF(OR(J264="",F264=""),"",IF(F264&lt;=0,"",IFERROR(J264/F264-1,"")))</f>
        <v/>
      </c>
      <c r="K266" s="15">
        <f>IF(OR(K264="",G264=""),"",IF(G264&lt;=0,"",IFERROR(K264/G264-1,"")))</f>
        <v/>
      </c>
      <c r="L266" s="15">
        <f>IF(OR(L264="",H264=""),"",IF(H264&lt;=0,"",IFERROR(L264/H264-1,"")))</f>
        <v/>
      </c>
      <c r="M266" s="15">
        <f>IF(OR(M264="",I264=""),"",IF(I264&lt;=0,"",IFERROR(M264/I264-1,"")))</f>
        <v/>
      </c>
      <c r="N266" s="15">
        <f>IF(OR(N264="",J264=""),"",IF(J264&lt;=0,"",IFERROR(N264/J264-1,"")))</f>
        <v/>
      </c>
      <c r="V266" s="15">
        <f>IF(OR(V264="",U264=""),"",IF(U264&lt;=0,"",IFERROR(V264/U264-1,"")))</f>
        <v/>
      </c>
      <c r="W266" s="15">
        <f>IF(OR(W264="",V264=""),"",IF(V264&lt;=0,"",IFERROR(W264/V264-1,"")))</f>
        <v/>
      </c>
      <c r="X266" s="15">
        <f>IF(OR(X264="",W264=""),"",IF(W264&lt;=0,"",IFERROR(X264/W264-1,"")))</f>
        <v/>
      </c>
    </row>
    <row r="267">
      <c r="A267" s="18" t="inlineStr">
        <is>
          <t>기타 · 부문 이익(손실)</t>
        </is>
      </c>
      <c r="C267" s="20" t="n">
        <v>-25.741</v>
      </c>
      <c r="D267" s="20" t="n">
        <v>-29</v>
      </c>
      <c r="E267" s="20" t="n">
        <v>-22</v>
      </c>
      <c r="F267" s="20" t="n">
        <v>-45</v>
      </c>
      <c r="G267" s="20" t="n">
        <v>-33</v>
      </c>
      <c r="H267" s="20" t="n">
        <v>-57</v>
      </c>
      <c r="I267" s="20" t="n">
        <v>-145</v>
      </c>
      <c r="J267" s="20" t="n">
        <v>-76</v>
      </c>
      <c r="K267" s="20" t="n">
        <v>-85</v>
      </c>
      <c r="L267" s="20" t="n">
        <v>-79</v>
      </c>
      <c r="M267" s="20" t="n">
        <v>-49</v>
      </c>
      <c r="N267" s="20" t="n">
        <v>-46</v>
      </c>
      <c r="V267" s="20" t="n">
        <v>-25.741</v>
      </c>
      <c r="W267" s="20" t="n">
        <v>-33</v>
      </c>
      <c r="X267" s="20" t="n">
        <v>-85</v>
      </c>
    </row>
    <row r="268">
      <c r="A268" s="43" t="inlineStr">
        <is>
          <t>OPM</t>
        </is>
      </c>
      <c r="B268" s="3" t="inlineStr">
        <is>
          <t>영업이익 ÷ 매출</t>
        </is>
      </c>
      <c r="C268" s="15">
        <f>IF(OR(C267="",C233=""),"",IF(C233&lt;=0,"",IFERROR(C267/C233,"")))</f>
        <v/>
      </c>
      <c r="D268" s="15">
        <f>IF(OR(D267="",D233=""),"",IF(D233&lt;=0,"",IFERROR(D267/D233,"")))</f>
        <v/>
      </c>
      <c r="E268" s="15">
        <f>IF(OR(E267="",E233=""),"",IF(E233&lt;=0,"",IFERROR(E267/E233,"")))</f>
        <v/>
      </c>
      <c r="F268" s="15">
        <f>IF(OR(F267="",F233=""),"",IF(F233&lt;=0,"",IFERROR(F267/F233,"")))</f>
        <v/>
      </c>
      <c r="G268" s="15">
        <f>IF(OR(G267="",G233=""),"",IF(G233&lt;=0,"",IFERROR(G267/G233,"")))</f>
        <v/>
      </c>
      <c r="H268" s="15">
        <f>IF(OR(H267="",H233=""),"",IF(H233&lt;=0,"",IFERROR(H267/H233,"")))</f>
        <v/>
      </c>
      <c r="I268" s="15">
        <f>IF(OR(I267="",I233=""),"",IF(I233&lt;=0,"",IFERROR(I267/I233,"")))</f>
        <v/>
      </c>
      <c r="J268" s="15">
        <f>IF(OR(J267="",J233=""),"",IF(J233&lt;=0,"",IFERROR(J267/J233,"")))</f>
        <v/>
      </c>
      <c r="K268" s="15">
        <f>IF(OR(K267="",K233=""),"",IF(K233&lt;=0,"",IFERROR(K267/K233,"")))</f>
        <v/>
      </c>
      <c r="L268" s="15">
        <f>IF(OR(L267="",L233=""),"",IF(L233&lt;=0,"",IFERROR(L267/L233,"")))</f>
        <v/>
      </c>
      <c r="M268" s="15">
        <f>IF(OR(M267="",M233=""),"",IF(M233&lt;=0,"",IFERROR(M267/M233,"")))</f>
        <v/>
      </c>
      <c r="N268" s="15">
        <f>IF(OR(N267="",N233=""),"",IF(N233&lt;=0,"",IFERROR(N267/N233,"")))</f>
        <v/>
      </c>
      <c r="V268" s="15">
        <f>IF(OR(V267="",V233=""),"",IF(V233&lt;=0,"",IFERROR(V267/V233,"")))</f>
        <v/>
      </c>
      <c r="W268" s="15">
        <f>IF(OR(W267="",W233=""),"",IF(W233&lt;=0,"",IFERROR(W267/W233,"")))</f>
        <v/>
      </c>
      <c r="X268" s="15">
        <f>IF(OR(X267="",X233=""),"",IF(X233&lt;=0,"",IFERROR(X267/X233,"")))</f>
        <v/>
      </c>
    </row>
    <row r="269">
      <c r="A269" s="43" t="inlineStr">
        <is>
          <t>YoY</t>
        </is>
      </c>
      <c r="B269" s="3" t="inlineStr">
        <is>
          <t>전년 같은 분기·전년 대비</t>
        </is>
      </c>
      <c r="G269" s="15">
        <f>IF(OR(G267="",C267=""),"",IF(C267&lt;=0,"",IFERROR(G267/C267-1,"")))</f>
        <v/>
      </c>
      <c r="H269" s="15">
        <f>IF(OR(H267="",D267=""),"",IF(D267&lt;=0,"",IFERROR(H267/D267-1,"")))</f>
        <v/>
      </c>
      <c r="I269" s="15">
        <f>IF(OR(I267="",E267=""),"",IF(E267&lt;=0,"",IFERROR(I267/E267-1,"")))</f>
        <v/>
      </c>
      <c r="J269" s="15">
        <f>IF(OR(J267="",F267=""),"",IF(F267&lt;=0,"",IFERROR(J267/F267-1,"")))</f>
        <v/>
      </c>
      <c r="K269" s="15">
        <f>IF(OR(K267="",G267=""),"",IF(G267&lt;=0,"",IFERROR(K267/G267-1,"")))</f>
        <v/>
      </c>
      <c r="L269" s="15">
        <f>IF(OR(L267="",H267=""),"",IF(H267&lt;=0,"",IFERROR(L267/H267-1,"")))</f>
        <v/>
      </c>
      <c r="M269" s="15">
        <f>IF(OR(M267="",I267=""),"",IF(I267&lt;=0,"",IFERROR(M267/I267-1,"")))</f>
        <v/>
      </c>
      <c r="N269" s="15">
        <f>IF(OR(N267="",J267=""),"",IF(J267&lt;=0,"",IFERROR(N267/J267-1,"")))</f>
        <v/>
      </c>
      <c r="V269" s="15">
        <f>IF(OR(V267="",U267=""),"",IF(U267&lt;=0,"",IFERROR(V267/U267-1,"")))</f>
        <v/>
      </c>
      <c r="W269" s="15">
        <f>IF(OR(W267="",V267=""),"",IF(V267&lt;=0,"",IFERROR(W267/V267-1,"")))</f>
        <v/>
      </c>
      <c r="X269" s="15">
        <f>IF(OR(X267="",W267=""),"",IF(W267&lt;=0,"",IFERROR(X267/W267-1,"")))</f>
        <v/>
      </c>
    </row>
    <row r="270">
      <c r="A270" s="18" t="inlineStr">
        <is>
          <t>합계 · 부문 이익(손실)</t>
        </is>
      </c>
      <c r="C270" s="20" t="n">
        <v>412.823</v>
      </c>
      <c r="D270" s="20" t="n">
        <v>418</v>
      </c>
      <c r="E270" s="20" t="n">
        <v>896</v>
      </c>
      <c r="F270" s="20" t="n">
        <v>583</v>
      </c>
      <c r="G270" s="20" t="n">
        <v>925</v>
      </c>
      <c r="H270" s="20" t="n">
        <v>1007</v>
      </c>
      <c r="I270" s="20" t="n">
        <v>1076</v>
      </c>
      <c r="J270" s="20" t="n">
        <v>556</v>
      </c>
      <c r="K270" s="20" t="n">
        <v>459</v>
      </c>
      <c r="L270" s="20" t="n">
        <v>1037</v>
      </c>
      <c r="M270" s="20" t="n">
        <v>1189</v>
      </c>
      <c r="N270" s="20" t="n">
        <v>679</v>
      </c>
      <c r="V270" s="20" t="n">
        <v>412.823</v>
      </c>
      <c r="W270" s="20" t="n">
        <v>925</v>
      </c>
      <c r="X270" s="20" t="n">
        <v>459</v>
      </c>
    </row>
    <row r="271">
      <c r="A271" s="43" t="inlineStr">
        <is>
          <t>OPM</t>
        </is>
      </c>
      <c r="B271" s="3" t="inlineStr">
        <is>
          <t>영업이익 ÷ 매출</t>
        </is>
      </c>
      <c r="C271" s="15">
        <f>IF(OR(C270="",C235=""),"",IF(C235&lt;=0,"",IFERROR(C270/C235,"")))</f>
        <v/>
      </c>
      <c r="D271" s="15">
        <f>IF(OR(D270="",D235=""),"",IF(D235&lt;=0,"",IFERROR(D270/D235,"")))</f>
        <v/>
      </c>
      <c r="E271" s="15">
        <f>IF(OR(E270="",E235=""),"",IF(E235&lt;=0,"",IFERROR(E270/E235,"")))</f>
        <v/>
      </c>
      <c r="F271" s="15">
        <f>IF(OR(F270="",F235=""),"",IF(F235&lt;=0,"",IFERROR(F270/F235,"")))</f>
        <v/>
      </c>
      <c r="G271" s="15">
        <f>IF(OR(G270="",G235=""),"",IF(G235&lt;=0,"",IFERROR(G270/G235,"")))</f>
        <v/>
      </c>
      <c r="H271" s="15">
        <f>IF(OR(H270="",H235=""),"",IF(H235&lt;=0,"",IFERROR(H270/H235,"")))</f>
        <v/>
      </c>
      <c r="I271" s="15">
        <f>IF(OR(I270="",I235=""),"",IF(I235&lt;=0,"",IFERROR(I270/I235,"")))</f>
        <v/>
      </c>
      <c r="J271" s="15">
        <f>IF(OR(J270="",J235=""),"",IF(J235&lt;=0,"",IFERROR(J270/J235,"")))</f>
        <v/>
      </c>
      <c r="K271" s="15">
        <f>IF(OR(K270="",K235=""),"",IF(K235&lt;=0,"",IFERROR(K270/K235,"")))</f>
        <v/>
      </c>
      <c r="L271" s="15">
        <f>IF(OR(L270="",L235=""),"",IF(L235&lt;=0,"",IFERROR(L270/L235,"")))</f>
        <v/>
      </c>
      <c r="M271" s="15">
        <f>IF(OR(M270="",M235=""),"",IF(M235&lt;=0,"",IFERROR(M270/M235,"")))</f>
        <v/>
      </c>
      <c r="N271" s="15">
        <f>IF(OR(N270="",N235=""),"",IF(N235&lt;=0,"",IFERROR(N270/N235,"")))</f>
        <v/>
      </c>
      <c r="V271" s="15">
        <f>IF(OR(V270="",V235=""),"",IF(V235&lt;=0,"",IFERROR(V270/V235,"")))</f>
        <v/>
      </c>
      <c r="W271" s="15">
        <f>IF(OR(W270="",W235=""),"",IF(W235&lt;=0,"",IFERROR(W270/W235,"")))</f>
        <v/>
      </c>
      <c r="X271" s="15">
        <f>IF(OR(X270="",X235=""),"",IF(X235&lt;=0,"",IFERROR(X270/X235,"")))</f>
        <v/>
      </c>
    </row>
    <row r="272">
      <c r="A272" s="43" t="inlineStr">
        <is>
          <t>YoY</t>
        </is>
      </c>
      <c r="B272" s="3" t="inlineStr">
        <is>
          <t>전년 같은 분기·전년 대비</t>
        </is>
      </c>
      <c r="G272" s="15">
        <f>IF(OR(G270="",C270=""),"",IF(C270&lt;=0,"",IFERROR(G270/C270-1,"")))</f>
        <v/>
      </c>
      <c r="H272" s="15">
        <f>IF(OR(H270="",D270=""),"",IF(D270&lt;=0,"",IFERROR(H270/D270-1,"")))</f>
        <v/>
      </c>
      <c r="I272" s="15">
        <f>IF(OR(I270="",E270=""),"",IF(E270&lt;=0,"",IFERROR(I270/E270-1,"")))</f>
        <v/>
      </c>
      <c r="J272" s="15">
        <f>IF(OR(J270="",F270=""),"",IF(F270&lt;=0,"",IFERROR(J270/F270-1,"")))</f>
        <v/>
      </c>
      <c r="K272" s="15">
        <f>IF(OR(K270="",G270=""),"",IF(G270&lt;=0,"",IFERROR(K270/G270-1,"")))</f>
        <v/>
      </c>
      <c r="L272" s="15">
        <f>IF(OR(L270="",H270=""),"",IF(H270&lt;=0,"",IFERROR(L270/H270-1,"")))</f>
        <v/>
      </c>
      <c r="M272" s="15">
        <f>IF(OR(M270="",I270=""),"",IF(I270&lt;=0,"",IFERROR(M270/I270-1,"")))</f>
        <v/>
      </c>
      <c r="N272" s="15">
        <f>IF(OR(N270="",J270=""),"",IF(J270&lt;=0,"",IFERROR(N270/J270-1,"")))</f>
        <v/>
      </c>
      <c r="V272" s="15">
        <f>IF(OR(V270="",U270=""),"",IF(U270&lt;=0,"",IFERROR(V270/U270-1,"")))</f>
        <v/>
      </c>
      <c r="W272" s="15">
        <f>IF(OR(W270="",V270=""),"",IF(V270&lt;=0,"",IFERROR(W270/V270-1,"")))</f>
        <v/>
      </c>
      <c r="X272" s="15">
        <f>IF(OR(X270="",W270=""),"",IF(W270&lt;=0,"",IFERROR(X270/W270-1,"")))</f>
        <v/>
      </c>
    </row>
    <row r="273">
      <c r="A273" s="18" t="inlineStr">
        <is>
          <t>조정액 · 부문 이익(손실)</t>
        </is>
      </c>
      <c r="C273" s="20" t="n">
        <v>29.794</v>
      </c>
      <c r="D273" s="20" t="n">
        <v>35</v>
      </c>
      <c r="E273" s="20" t="n">
        <v>-5</v>
      </c>
      <c r="F273" s="20" t="n">
        <v>73</v>
      </c>
      <c r="G273" s="20" t="n">
        <v>-109</v>
      </c>
      <c r="H273" s="20" t="n">
        <v>24</v>
      </c>
      <c r="I273" s="20" t="n">
        <v>115</v>
      </c>
      <c r="J273" s="20" t="n">
        <v>25</v>
      </c>
      <c r="K273" s="20" t="n">
        <v>-244</v>
      </c>
      <c r="L273" s="20" t="n">
        <v>114</v>
      </c>
      <c r="M273" s="20" t="n">
        <v>-46</v>
      </c>
      <c r="N273" s="20" t="n">
        <v>35</v>
      </c>
      <c r="V273" s="20" t="n">
        <v>29.794</v>
      </c>
      <c r="W273" s="20" t="n">
        <v>-109</v>
      </c>
      <c r="X273" s="20" t="n">
        <v>-244</v>
      </c>
    </row>
    <row r="274">
      <c r="A274" s="9" t="inlineStr">
        <is>
          <t>부문 이익(손실)</t>
        </is>
      </c>
      <c r="C274" s="12" t="n">
        <v>442.617</v>
      </c>
      <c r="D274" s="12" t="n">
        <v>454</v>
      </c>
      <c r="E274" s="12" t="n">
        <v>891</v>
      </c>
      <c r="F274" s="12" t="n">
        <v>656</v>
      </c>
      <c r="G274" s="12" t="n">
        <v>814</v>
      </c>
      <c r="H274" s="12" t="n">
        <v>1032</v>
      </c>
      <c r="I274" s="12" t="n">
        <v>1190</v>
      </c>
      <c r="J274" s="12" t="n">
        <v>581</v>
      </c>
      <c r="K274" s="12" t="n">
        <v>214</v>
      </c>
      <c r="L274" s="12" t="n">
        <v>1152</v>
      </c>
      <c r="M274" s="12" t="n">
        <v>1142</v>
      </c>
      <c r="V274" s="12" t="n">
        <v>442.617</v>
      </c>
      <c r="W274" s="12" t="n">
        <v>814</v>
      </c>
      <c r="X274" s="12" t="n">
        <v>214</v>
      </c>
    </row>
    <row r="275">
      <c r="A275" s="43" t="inlineStr">
        <is>
          <t>OPM</t>
        </is>
      </c>
      <c r="B275" s="3" t="inlineStr">
        <is>
          <t>영업이익 ÷ 매출</t>
        </is>
      </c>
      <c r="C275" s="15">
        <f>IF(OR(C274="",C200=""),"",IF(C200&lt;=0,"",IFERROR(C274/C200,"")))</f>
        <v/>
      </c>
      <c r="D275" s="15">
        <f>IF(OR(D274="",D200=""),"",IF(D200&lt;=0,"",IFERROR(D274/D200,"")))</f>
        <v/>
      </c>
      <c r="E275" s="15">
        <f>IF(OR(E274="",E200=""),"",IF(E200&lt;=0,"",IFERROR(E274/E200,"")))</f>
        <v/>
      </c>
      <c r="F275" s="15">
        <f>IF(OR(F274="",F200=""),"",IF(F200&lt;=0,"",IFERROR(F274/F200,"")))</f>
        <v/>
      </c>
      <c r="G275" s="15">
        <f>IF(OR(G274="",G200=""),"",IF(G200&lt;=0,"",IFERROR(G274/G200,"")))</f>
        <v/>
      </c>
      <c r="H275" s="15">
        <f>IF(OR(H274="",H200=""),"",IF(H200&lt;=0,"",IFERROR(H274/H200,"")))</f>
        <v/>
      </c>
      <c r="I275" s="15">
        <f>IF(OR(I274="",I200=""),"",IF(I200&lt;=0,"",IFERROR(I274/I200,"")))</f>
        <v/>
      </c>
      <c r="J275" s="15">
        <f>IF(OR(J274="",J200=""),"",IF(J200&lt;=0,"",IFERROR(J274/J200,"")))</f>
        <v/>
      </c>
      <c r="K275" s="15">
        <f>IF(OR(K274="",K200=""),"",IF(K200&lt;=0,"",IFERROR(K274/K200,"")))</f>
        <v/>
      </c>
      <c r="L275" s="15">
        <f>IF(OR(L274="",L200=""),"",IF(L200&lt;=0,"",IFERROR(L274/L200,"")))</f>
        <v/>
      </c>
      <c r="M275" s="15">
        <f>IF(OR(M274="",M200=""),"",IF(M200&lt;=0,"",IFERROR(M274/M200,"")))</f>
        <v/>
      </c>
      <c r="V275" s="15">
        <f>IF(OR(V274="",V200=""),"",IF(V200&lt;=0,"",IFERROR(V274/V200,"")))</f>
        <v/>
      </c>
      <c r="W275" s="15">
        <f>IF(OR(W274="",W200=""),"",IF(W200&lt;=0,"",IFERROR(W274/W200,"")))</f>
        <v/>
      </c>
      <c r="X275" s="15">
        <f>IF(OR(X274="",X200=""),"",IF(X200&lt;=0,"",IFERROR(X274/X200,"")))</f>
        <v/>
      </c>
    </row>
    <row r="276">
      <c r="A276" s="43" t="inlineStr">
        <is>
          <t>YoY</t>
        </is>
      </c>
      <c r="B276" s="3" t="inlineStr">
        <is>
          <t>전년 같은 분기·전년 대비</t>
        </is>
      </c>
      <c r="G276" s="15">
        <f>IF(OR(G274="",C274=""),"",IF(C274&lt;=0,"",IFERROR(G274/C274-1,"")))</f>
        <v/>
      </c>
      <c r="H276" s="15">
        <f>IF(OR(H274="",D274=""),"",IF(D274&lt;=0,"",IFERROR(H274/D274-1,"")))</f>
        <v/>
      </c>
      <c r="I276" s="15">
        <f>IF(OR(I274="",E274=""),"",IF(E274&lt;=0,"",IFERROR(I274/E274-1,"")))</f>
        <v/>
      </c>
      <c r="J276" s="15">
        <f>IF(OR(J274="",F274=""),"",IF(F274&lt;=0,"",IFERROR(J274/F274-1,"")))</f>
        <v/>
      </c>
      <c r="K276" s="15">
        <f>IF(OR(K274="",G274=""),"",IF(G274&lt;=0,"",IFERROR(K274/G274-1,"")))</f>
        <v/>
      </c>
      <c r="L276" s="15">
        <f>IF(OR(L274="",H274=""),"",IF(H274&lt;=0,"",IFERROR(L274/H274-1,"")))</f>
        <v/>
      </c>
      <c r="M276" s="15">
        <f>IF(OR(M274="",I274=""),"",IF(I274&lt;=0,"",IFERROR(M274/I274-1,"")))</f>
        <v/>
      </c>
      <c r="V276" s="15">
        <f>IF(OR(V274="",U274=""),"",IF(U274&lt;=0,"",IFERROR(V274/U274-1,"")))</f>
        <v/>
      </c>
      <c r="W276" s="15">
        <f>IF(OR(W274="",V274=""),"",IF(V274&lt;=0,"",IFERROR(W274/V274-1,"")))</f>
        <v/>
      </c>
      <c r="X276" s="15">
        <f>IF(OR(X274="",W274=""),"",IF(W274&lt;=0,"",IFERROR(X274/W274-1,"")))</f>
        <v/>
      </c>
    </row>
    <row r="277">
      <c r="A277" s="18" t="inlineStr">
        <is>
          <t>정밀화학 · (1) 외부 고객 매출</t>
        </is>
      </c>
      <c r="C277" s="20" t="n">
        <v>5183.935</v>
      </c>
      <c r="D277" s="20" t="n">
        <v>5512</v>
      </c>
      <c r="E277" s="20" t="n">
        <v>4844</v>
      </c>
      <c r="F277" s="20" t="n">
        <v>4853</v>
      </c>
      <c r="G277" s="20" t="n">
        <v>5918</v>
      </c>
      <c r="H277" s="20" t="n">
        <v>5614</v>
      </c>
      <c r="I277" s="20" t="n">
        <v>5944</v>
      </c>
      <c r="J277" s="20" t="n">
        <v>5613</v>
      </c>
      <c r="K277" s="20" t="n">
        <v>5162</v>
      </c>
      <c r="L277" s="20" t="n">
        <v>5125</v>
      </c>
      <c r="V277" s="20" t="n">
        <v>5183.935</v>
      </c>
      <c r="W277" s="20" t="n">
        <v>5918</v>
      </c>
      <c r="X277" s="20" t="n">
        <v>5162</v>
      </c>
    </row>
    <row r="278">
      <c r="A278" s="43" t="inlineStr">
        <is>
          <t>YoY</t>
        </is>
      </c>
      <c r="B278" s="3" t="inlineStr">
        <is>
          <t>전년 같은 분기·전년 대비</t>
        </is>
      </c>
      <c r="G278" s="15">
        <f>IF(OR(G277="",C277=""),"",IF(C277&lt;=0,"",IFERROR(G277/C277-1,"")))</f>
        <v/>
      </c>
      <c r="H278" s="15">
        <f>IF(OR(H277="",D277=""),"",IF(D277&lt;=0,"",IFERROR(H277/D277-1,"")))</f>
        <v/>
      </c>
      <c r="I278" s="15">
        <f>IF(OR(I277="",E277=""),"",IF(E277&lt;=0,"",IFERROR(I277/E277-1,"")))</f>
        <v/>
      </c>
      <c r="J278" s="15">
        <f>IF(OR(J277="",F277=""),"",IF(F277&lt;=0,"",IFERROR(J277/F277-1,"")))</f>
        <v/>
      </c>
      <c r="K278" s="15">
        <f>IF(OR(K277="",G277=""),"",IF(G277&lt;=0,"",IFERROR(K277/G277-1,"")))</f>
        <v/>
      </c>
      <c r="L278" s="15">
        <f>IF(OR(L277="",H277=""),"",IF(H277&lt;=0,"",IFERROR(L277/H277-1,"")))</f>
        <v/>
      </c>
      <c r="V278" s="15">
        <f>IF(OR(V277="",U277=""),"",IF(U277&lt;=0,"",IFERROR(V277/U277-1,"")))</f>
        <v/>
      </c>
      <c r="W278" s="15">
        <f>IF(OR(W277="",V277=""),"",IF(V277&lt;=0,"",IFERROR(W277/V277-1,"")))</f>
        <v/>
      </c>
      <c r="X278" s="15">
        <f>IF(OR(X277="",W277=""),"",IF(W277&lt;=0,"",IFERROR(X277/W277-1,"")))</f>
        <v/>
      </c>
    </row>
    <row r="279">
      <c r="A279" s="18" t="inlineStr">
        <is>
          <t>HBC·식품 · (1) 외부 고객 매출</t>
        </is>
      </c>
      <c r="C279" s="20" t="n">
        <v>1408.302</v>
      </c>
      <c r="D279" s="20" t="n">
        <v>2980</v>
      </c>
      <c r="E279" s="20" t="n">
        <v>3722</v>
      </c>
      <c r="F279" s="20" t="n">
        <v>3920</v>
      </c>
      <c r="G279" s="20" t="n">
        <v>4540</v>
      </c>
      <c r="H279" s="20" t="n">
        <v>3674</v>
      </c>
      <c r="I279" s="20" t="n">
        <v>4343</v>
      </c>
      <c r="J279" s="20" t="n">
        <v>4130</v>
      </c>
      <c r="K279" s="20" t="n">
        <v>6043</v>
      </c>
      <c r="L279" s="20" t="n">
        <v>5504</v>
      </c>
      <c r="V279" s="20" t="n">
        <v>1408.302</v>
      </c>
      <c r="W279" s="20" t="n">
        <v>4540</v>
      </c>
      <c r="X279" s="20" t="n">
        <v>6043</v>
      </c>
    </row>
    <row r="280">
      <c r="A280" s="43" t="inlineStr">
        <is>
          <t>YoY</t>
        </is>
      </c>
      <c r="B280" s="3" t="inlineStr">
        <is>
          <t>전년 같은 분기·전년 대비</t>
        </is>
      </c>
      <c r="G280" s="15">
        <f>IF(OR(G279="",C279=""),"",IF(C279&lt;=0,"",IFERROR(G279/C279-1,"")))</f>
        <v/>
      </c>
      <c r="H280" s="15">
        <f>IF(OR(H279="",D279=""),"",IF(D279&lt;=0,"",IFERROR(H279/D279-1,"")))</f>
        <v/>
      </c>
      <c r="I280" s="15">
        <f>IF(OR(I279="",E279=""),"",IF(E279&lt;=0,"",IFERROR(I279/E279-1,"")))</f>
        <v/>
      </c>
      <c r="J280" s="15">
        <f>IF(OR(J279="",F279=""),"",IF(F279&lt;=0,"",IFERROR(J279/F279-1,"")))</f>
        <v/>
      </c>
      <c r="K280" s="15">
        <f>IF(OR(K279="",G279=""),"",IF(G279&lt;=0,"",IFERROR(K279/G279-1,"")))</f>
        <v/>
      </c>
      <c r="L280" s="15">
        <f>IF(OR(L279="",H279=""),"",IF(H279&lt;=0,"",IFERROR(L279/H279-1,"")))</f>
        <v/>
      </c>
      <c r="V280" s="15">
        <f>IF(OR(V279="",U279=""),"",IF(U279&lt;=0,"",IFERROR(V279/U279-1,"")))</f>
        <v/>
      </c>
      <c r="W280" s="15">
        <f>IF(OR(W279="",V279=""),"",IF(V279&lt;=0,"",IFERROR(W279/V279-1,"")))</f>
        <v/>
      </c>
      <c r="X280" s="15">
        <f>IF(OR(X279="",W279=""),"",IF(W279&lt;=0,"",IFERROR(X279/W279-1,"")))</f>
        <v/>
      </c>
    </row>
    <row r="281">
      <c r="A281" s="18" t="inlineStr">
        <is>
          <t>의약 · (1) 외부 고객 매출</t>
        </is>
      </c>
      <c r="C281" s="20" t="n">
        <v>2437.872</v>
      </c>
      <c r="D281" s="20" t="n">
        <v>2399</v>
      </c>
      <c r="E281" s="20" t="n">
        <v>3015</v>
      </c>
      <c r="F281" s="20" t="n">
        <v>3047</v>
      </c>
      <c r="G281" s="20" t="n">
        <v>3008</v>
      </c>
      <c r="H281" s="20" t="n">
        <v>2827</v>
      </c>
      <c r="I281" s="20" t="n">
        <v>3182</v>
      </c>
      <c r="J281" s="20" t="n">
        <v>3309</v>
      </c>
      <c r="K281" s="20" t="n">
        <v>3111</v>
      </c>
      <c r="L281" s="20" t="n">
        <v>2971</v>
      </c>
      <c r="V281" s="20" t="n">
        <v>2437.872</v>
      </c>
      <c r="W281" s="20" t="n">
        <v>3008</v>
      </c>
      <c r="X281" s="20" t="n">
        <v>3111</v>
      </c>
    </row>
    <row r="282">
      <c r="A282" s="43" t="inlineStr">
        <is>
          <t>YoY</t>
        </is>
      </c>
      <c r="B282" s="3" t="inlineStr">
        <is>
          <t>전년 같은 분기·전년 대비</t>
        </is>
      </c>
      <c r="G282" s="15">
        <f>IF(OR(G281="",C281=""),"",IF(C281&lt;=0,"",IFERROR(G281/C281-1,"")))</f>
        <v/>
      </c>
      <c r="H282" s="15">
        <f>IF(OR(H281="",D281=""),"",IF(D281&lt;=0,"",IFERROR(H281/D281-1,"")))</f>
        <v/>
      </c>
      <c r="I282" s="15">
        <f>IF(OR(I281="",E281=""),"",IF(E281&lt;=0,"",IFERROR(I281/E281-1,"")))</f>
        <v/>
      </c>
      <c r="J282" s="15">
        <f>IF(OR(J281="",F281=""),"",IF(F281&lt;=0,"",IFERROR(J281/F281-1,"")))</f>
        <v/>
      </c>
      <c r="K282" s="15">
        <f>IF(OR(K281="",G281=""),"",IF(G281&lt;=0,"",IFERROR(K281/G281-1,"")))</f>
        <v/>
      </c>
      <c r="L282" s="15">
        <f>IF(OR(L281="",H281=""),"",IF(H281&lt;=0,"",IFERROR(L281/H281-1,"")))</f>
        <v/>
      </c>
      <c r="V282" s="15">
        <f>IF(OR(V281="",U281=""),"",IF(U281&lt;=0,"",IFERROR(V281/U281-1,"")))</f>
        <v/>
      </c>
      <c r="W282" s="15">
        <f>IF(OR(W281="",V281=""),"",IF(V281&lt;=0,"",IFERROR(W281/V281-1,"")))</f>
        <v/>
      </c>
      <c r="X282" s="15">
        <f>IF(OR(X281="",W281=""),"",IF(W281&lt;=0,"",IFERROR(X281/W281-1,"")))</f>
        <v/>
      </c>
    </row>
    <row r="283">
      <c r="A283" s="18" t="inlineStr">
        <is>
          <t>화학품 · (1) 외부 고객 매출</t>
        </is>
      </c>
      <c r="C283" s="20" t="n">
        <v>2269.678</v>
      </c>
      <c r="D283" s="20" t="n">
        <v>2529</v>
      </c>
      <c r="E283" s="20" t="n">
        <v>3070</v>
      </c>
      <c r="F283" s="20" t="n">
        <v>2160</v>
      </c>
      <c r="G283" s="20" t="n">
        <v>2436</v>
      </c>
      <c r="H283" s="20" t="n">
        <v>2209</v>
      </c>
      <c r="I283" s="20" t="n">
        <v>2290</v>
      </c>
      <c r="J283" s="20" t="n">
        <v>2309</v>
      </c>
      <c r="K283" s="20" t="n">
        <v>2924</v>
      </c>
      <c r="L283" s="20" t="n">
        <v>2928</v>
      </c>
      <c r="V283" s="20" t="n">
        <v>2269.678</v>
      </c>
      <c r="W283" s="20" t="n">
        <v>2436</v>
      </c>
      <c r="X283" s="20" t="n">
        <v>2924</v>
      </c>
    </row>
    <row r="284">
      <c r="A284" s="43" t="inlineStr">
        <is>
          <t>YoY</t>
        </is>
      </c>
      <c r="B284" s="3" t="inlineStr">
        <is>
          <t>전년 같은 분기·전년 대비</t>
        </is>
      </c>
      <c r="G284" s="15">
        <f>IF(OR(G283="",C283=""),"",IF(C283&lt;=0,"",IFERROR(G283/C283-1,"")))</f>
        <v/>
      </c>
      <c r="H284" s="15">
        <f>IF(OR(H283="",D283=""),"",IF(D283&lt;=0,"",IFERROR(H283/D283-1,"")))</f>
        <v/>
      </c>
      <c r="I284" s="15">
        <f>IF(OR(I283="",E283=""),"",IF(E283&lt;=0,"",IFERROR(I283/E283-1,"")))</f>
        <v/>
      </c>
      <c r="J284" s="15">
        <f>IF(OR(J283="",F283=""),"",IF(F283&lt;=0,"",IFERROR(J283/F283-1,"")))</f>
        <v/>
      </c>
      <c r="K284" s="15">
        <f>IF(OR(K283="",G283=""),"",IF(G283&lt;=0,"",IFERROR(K283/G283-1,"")))</f>
        <v/>
      </c>
      <c r="L284" s="15">
        <f>IF(OR(L283="",H283=""),"",IF(H283&lt;=0,"",IFERROR(L283/H283-1,"")))</f>
        <v/>
      </c>
      <c r="V284" s="15">
        <f>IF(OR(V283="",U283=""),"",IF(U283&lt;=0,"",IFERROR(V283/U283-1,"")))</f>
        <v/>
      </c>
      <c r="W284" s="15">
        <f>IF(OR(W283="",V283=""),"",IF(V283&lt;=0,"",IFERROR(W283/V283-1,"")))</f>
        <v/>
      </c>
      <c r="X284" s="15">
        <f>IF(OR(X283="",W283=""),"",IF(W283&lt;=0,"",IFERROR(X283/W283-1,"")))</f>
        <v/>
      </c>
    </row>
    <row r="286">
      <c r="A286" s="16" t="inlineStr">
        <is>
          <t>현금흐름표 · 전 항목</t>
        </is>
      </c>
      <c r="B286" s="42" t="inlineStr">
        <is>
          <t>분기 = 결산기 첫날부터 누계(공시 그대로)</t>
        </is>
      </c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</row>
    <row r="287">
      <c r="A287" s="5" t="inlineStr">
        <is>
          <t>항목</t>
        </is>
      </c>
      <c r="B287" s="5" t="inlineStr">
        <is>
          <t>참고</t>
        </is>
      </c>
      <c r="C287" s="5" t="inlineStr">
        <is>
          <t>2023.4Q</t>
        </is>
      </c>
      <c r="D287" s="5" t="inlineStr">
        <is>
          <t>2024.1Q</t>
        </is>
      </c>
      <c r="E287" s="5" t="inlineStr">
        <is>
          <t>2024.2Q</t>
        </is>
      </c>
      <c r="F287" s="5" t="inlineStr">
        <is>
          <t>2024.3Q</t>
        </is>
      </c>
      <c r="G287" s="5" t="inlineStr">
        <is>
          <t>2024.4Q</t>
        </is>
      </c>
      <c r="H287" s="5" t="inlineStr">
        <is>
          <t>2025.1Q</t>
        </is>
      </c>
      <c r="I287" s="5" t="inlineStr">
        <is>
          <t>2025.2Q</t>
        </is>
      </c>
      <c r="J287" s="5" t="inlineStr">
        <is>
          <t>2025.3Q</t>
        </is>
      </c>
      <c r="K287" s="5" t="inlineStr">
        <is>
          <t>2025.4Q</t>
        </is>
      </c>
      <c r="L287" s="5" t="inlineStr">
        <is>
          <t>2026.1Q</t>
        </is>
      </c>
      <c r="M287" s="5" t="inlineStr">
        <is>
          <t>2026.2Q</t>
        </is>
      </c>
      <c r="N287" s="5" t="inlineStr">
        <is>
          <t>2026.3Q</t>
        </is>
      </c>
      <c r="O287" s="5" t="inlineStr">
        <is>
          <t>2016</t>
        </is>
      </c>
      <c r="P287" s="5" t="inlineStr">
        <is>
          <t>2017</t>
        </is>
      </c>
      <c r="Q287" s="5" t="inlineStr">
        <is>
          <t>2018</t>
        </is>
      </c>
      <c r="R287" s="5" t="inlineStr">
        <is>
          <t>2019</t>
        </is>
      </c>
      <c r="S287" s="5" t="inlineStr">
        <is>
          <t>2020</t>
        </is>
      </c>
      <c r="T287" s="5" t="inlineStr">
        <is>
          <t>2021</t>
        </is>
      </c>
      <c r="U287" s="5" t="inlineStr">
        <is>
          <t>2022</t>
        </is>
      </c>
      <c r="V287" s="5" t="inlineStr">
        <is>
          <t>2023</t>
        </is>
      </c>
      <c r="W287" s="5" t="inlineStr">
        <is>
          <t>2024</t>
        </is>
      </c>
      <c r="X287" s="5" t="inlineStr">
        <is>
          <t>2025</t>
        </is>
      </c>
      <c r="Y287" s="5" t="inlineStr">
        <is>
          <t>2026(MW)</t>
        </is>
      </c>
      <c r="Z287" s="5" t="inlineStr">
        <is>
          <t>2027(MW)</t>
        </is>
      </c>
      <c r="AA287" s="5" t="inlineStr">
        <is>
          <t>2028(MW)</t>
        </is>
      </c>
      <c r="AB287" s="5" t="inlineStr">
        <is>
          <t>2029(MW)</t>
        </is>
      </c>
      <c r="AC287" s="5" t="inlineStr">
        <is>
          <t>2030(MW)</t>
        </is>
      </c>
    </row>
    <row r="288">
      <c r="A288" s="9" t="inlineStr">
        <is>
          <t>법인세차감전 순이익</t>
        </is>
      </c>
      <c r="C288" s="12" t="n">
        <v>1560.311</v>
      </c>
      <c r="E288" s="12" t="n">
        <v>1134</v>
      </c>
      <c r="G288" s="12" t="n">
        <v>-1533</v>
      </c>
      <c r="I288" s="12" t="n">
        <v>2032</v>
      </c>
      <c r="K288" s="12" t="n">
        <v>2864</v>
      </c>
      <c r="M288" s="12" t="n">
        <v>2143</v>
      </c>
      <c r="O288" s="12" t="n">
        <v>549.919</v>
      </c>
      <c r="P288" s="12" t="n">
        <v>1646.514</v>
      </c>
      <c r="Q288" s="12" t="n">
        <v>1979.739</v>
      </c>
      <c r="R288" s="12" t="n">
        <v>2305.679</v>
      </c>
      <c r="S288" s="12" t="n">
        <v>2589.39</v>
      </c>
      <c r="T288" s="12" t="n">
        <v>3079.272</v>
      </c>
      <c r="U288" s="12" t="n">
        <v>1418.325</v>
      </c>
      <c r="V288" s="12" t="n">
        <v>1560.311</v>
      </c>
      <c r="W288" s="12" t="n">
        <v>-1533</v>
      </c>
      <c r="X288" s="12" t="n">
        <v>2864</v>
      </c>
    </row>
    <row r="289">
      <c r="A289" s="18" t="inlineStr">
        <is>
          <t>감가상각비</t>
        </is>
      </c>
      <c r="C289" s="20" t="n">
        <v>2216.413</v>
      </c>
      <c r="E289" s="20" t="n">
        <v>1124</v>
      </c>
      <c r="G289" s="20" t="n">
        <v>2306</v>
      </c>
      <c r="I289" s="20" t="n">
        <v>1156</v>
      </c>
      <c r="K289" s="20" t="n">
        <v>2427</v>
      </c>
      <c r="M289" s="20" t="n">
        <v>1303</v>
      </c>
      <c r="O289" s="20" t="n">
        <v>944.266</v>
      </c>
      <c r="P289" s="20" t="n">
        <v>758.649</v>
      </c>
      <c r="Q289" s="20" t="n">
        <v>755.708</v>
      </c>
      <c r="R289" s="20" t="n">
        <v>818.251</v>
      </c>
      <c r="S289" s="20" t="n">
        <v>1369.927</v>
      </c>
      <c r="T289" s="20" t="n">
        <v>1830.238</v>
      </c>
      <c r="U289" s="20" t="n">
        <v>2117.715</v>
      </c>
      <c r="V289" s="20" t="n">
        <v>2216.413</v>
      </c>
      <c r="W289" s="20" t="n">
        <v>2306</v>
      </c>
      <c r="X289" s="20" t="n">
        <v>2427</v>
      </c>
    </row>
    <row r="290">
      <c r="A290" s="18" t="inlineStr">
        <is>
          <t>주식보상비용</t>
        </is>
      </c>
      <c r="C290" s="20" t="n">
        <v>86.43600000000001</v>
      </c>
      <c r="E290" s="20" t="n">
        <v>24</v>
      </c>
      <c r="G290" s="20" t="n">
        <v>48</v>
      </c>
      <c r="I290" s="20" t="n">
        <v>12</v>
      </c>
      <c r="K290" s="20" t="n">
        <v>68</v>
      </c>
      <c r="M290" s="20" t="n">
        <v>10</v>
      </c>
      <c r="O290" s="20" t="n">
        <v>0</v>
      </c>
      <c r="P290" s="20" t="n">
        <v>104.567</v>
      </c>
      <c r="Q290" s="20" t="n">
        <v>119.261</v>
      </c>
      <c r="R290" s="20" t="n">
        <v>55.948</v>
      </c>
      <c r="S290" s="20" t="n">
        <v>48.397</v>
      </c>
      <c r="T290" s="20" t="n">
        <v>43.796</v>
      </c>
      <c r="U290" s="20" t="n">
        <v>50.543</v>
      </c>
      <c r="V290" s="20" t="n">
        <v>86.43600000000001</v>
      </c>
      <c r="W290" s="20" t="n">
        <v>48</v>
      </c>
      <c r="X290" s="20" t="n">
        <v>68</v>
      </c>
    </row>
    <row r="291">
      <c r="A291" s="18" t="inlineStr">
        <is>
          <t>손상차손</t>
        </is>
      </c>
      <c r="C291" s="20" t="n">
        <v>418.267</v>
      </c>
      <c r="E291" s="20" t="n">
        <v>0</v>
      </c>
      <c r="G291" s="20" t="n">
        <v>4100</v>
      </c>
      <c r="I291" s="20" t="n">
        <v>118</v>
      </c>
      <c r="K291" s="20" t="n">
        <v>139</v>
      </c>
      <c r="M291" s="20" t="n">
        <v>0</v>
      </c>
      <c r="O291" s="20" t="n">
        <v>442.273</v>
      </c>
      <c r="P291" s="20" t="n">
        <v>0</v>
      </c>
      <c r="Q291" s="20" t="n">
        <v>8.004</v>
      </c>
      <c r="R291" s="20" t="n">
        <v>15.988</v>
      </c>
      <c r="S291" s="20" t="n">
        <v>5.96</v>
      </c>
      <c r="T291" s="20" t="n">
        <v>0</v>
      </c>
      <c r="U291" s="20" t="n">
        <v>36.201</v>
      </c>
      <c r="V291" s="20" t="n">
        <v>418.267</v>
      </c>
      <c r="W291" s="20" t="n">
        <v>4100</v>
      </c>
      <c r="X291" s="20" t="n">
        <v>139</v>
      </c>
    </row>
    <row r="292">
      <c r="A292" s="18" t="inlineStr">
        <is>
          <t>손해배상금</t>
        </is>
      </c>
      <c r="P292" s="20" t="n">
        <v>404.811</v>
      </c>
      <c r="Q292" s="20" t="n">
        <v>0</v>
      </c>
    </row>
    <row r="293">
      <c r="A293" s="18" t="inlineStr">
        <is>
          <t>소송 관련 손실</t>
        </is>
      </c>
      <c r="P293" s="20" t="n">
        <v>16.752</v>
      </c>
      <c r="Q293" s="20" t="n">
        <v>7.262</v>
      </c>
      <c r="R293" s="20" t="n">
        <v>0</v>
      </c>
    </row>
    <row r="294">
      <c r="A294" s="18" t="inlineStr">
        <is>
          <t>퇴직급여제도 이행손실</t>
        </is>
      </c>
      <c r="C294" s="20" t="n">
        <v>0</v>
      </c>
      <c r="T294" s="20" t="n">
        <v>0</v>
      </c>
      <c r="U294" s="20" t="n">
        <v>56.365</v>
      </c>
      <c r="V294" s="20" t="n">
        <v>0</v>
      </c>
    </row>
    <row r="295">
      <c r="A295" s="18" t="inlineStr">
        <is>
          <t>사업 철수 손실</t>
        </is>
      </c>
      <c r="C295" s="20" t="n">
        <v>0</v>
      </c>
      <c r="T295" s="20" t="n">
        <v>0</v>
      </c>
      <c r="U295" s="20" t="n">
        <v>25</v>
      </c>
      <c r="V295" s="20" t="n">
        <v>0</v>
      </c>
    </row>
    <row r="296">
      <c r="A296" s="18" t="inlineStr">
        <is>
          <t>대손충당금 증감</t>
        </is>
      </c>
      <c r="C296" s="20" t="n">
        <v>-25.325</v>
      </c>
      <c r="E296" s="20" t="n">
        <v>-3</v>
      </c>
      <c r="G296" s="20" t="n">
        <v>-2</v>
      </c>
      <c r="I296" s="20" t="n">
        <v>-1</v>
      </c>
      <c r="K296" s="20" t="n">
        <v>9</v>
      </c>
      <c r="M296" s="20" t="n">
        <v>-14</v>
      </c>
      <c r="O296" s="20" t="n">
        <v>-0.914</v>
      </c>
      <c r="P296" s="20" t="n">
        <v>-133.439</v>
      </c>
      <c r="Q296" s="20" t="n">
        <v>3.155</v>
      </c>
      <c r="R296" s="20" t="n">
        <v>-10.441</v>
      </c>
      <c r="S296" s="20" t="n">
        <v>-12.291</v>
      </c>
      <c r="T296" s="20" t="n">
        <v>-6.527</v>
      </c>
      <c r="U296" s="20" t="n">
        <v>-3.112</v>
      </c>
      <c r="V296" s="20" t="n">
        <v>-25.325</v>
      </c>
      <c r="W296" s="20" t="n">
        <v>-2</v>
      </c>
      <c r="X296" s="20" t="n">
        <v>9</v>
      </c>
    </row>
    <row r="297">
      <c r="A297" s="18" t="inlineStr">
        <is>
          <t>상여충당금 증감</t>
        </is>
      </c>
      <c r="C297" s="20" t="n">
        <v>207.719</v>
      </c>
      <c r="E297" s="20" t="n">
        <v>-174</v>
      </c>
      <c r="G297" s="20" t="n">
        <v>55</v>
      </c>
      <c r="I297" s="20" t="n">
        <v>-368</v>
      </c>
      <c r="K297" s="20" t="n">
        <v>39</v>
      </c>
      <c r="M297" s="20" t="n">
        <v>-374</v>
      </c>
      <c r="Q297" s="20" t="n">
        <v>26.261</v>
      </c>
      <c r="R297" s="20" t="n">
        <v>108.623</v>
      </c>
      <c r="S297" s="20" t="n">
        <v>254.739</v>
      </c>
      <c r="T297" s="20" t="n">
        <v>-39.708</v>
      </c>
      <c r="U297" s="20" t="n">
        <v>117.502</v>
      </c>
      <c r="V297" s="20" t="n">
        <v>207.719</v>
      </c>
      <c r="W297" s="20" t="n">
        <v>55</v>
      </c>
      <c r="X297" s="20" t="n">
        <v>39</v>
      </c>
    </row>
    <row r="298">
      <c r="A298" s="18" t="inlineStr">
        <is>
          <t>제품보증 충당금 증감</t>
        </is>
      </c>
      <c r="C298" s="20" t="n">
        <v>-2.318</v>
      </c>
      <c r="E298" s="20" t="n">
        <v>3</v>
      </c>
      <c r="G298" s="20" t="n">
        <v>52</v>
      </c>
      <c r="I298" s="20" t="n">
        <v>-15</v>
      </c>
      <c r="K298" s="20" t="n">
        <v>-35</v>
      </c>
      <c r="M298" s="20" t="n">
        <v>5</v>
      </c>
      <c r="O298" s="20" t="n">
        <v>-0.125</v>
      </c>
      <c r="P298" s="20" t="n">
        <v>-3.827</v>
      </c>
      <c r="Q298" s="20" t="n">
        <v>1.829</v>
      </c>
      <c r="R298" s="20" t="n">
        <v>-5.593</v>
      </c>
      <c r="S298" s="20" t="n">
        <v>-2.001</v>
      </c>
      <c r="T298" s="20" t="n">
        <v>1.795</v>
      </c>
      <c r="U298" s="20" t="n">
        <v>3.547</v>
      </c>
      <c r="V298" s="20" t="n">
        <v>-2.318</v>
      </c>
      <c r="W298" s="20" t="n">
        <v>52</v>
      </c>
      <c r="X298" s="20" t="n">
        <v>-35</v>
      </c>
    </row>
    <row r="299">
      <c r="A299" s="18" t="inlineStr">
        <is>
          <t>퇴직급여 자산·부채 증감</t>
        </is>
      </c>
      <c r="R299" s="20" t="n">
        <v>71.601</v>
      </c>
      <c r="S299" s="20" t="n">
        <v>48.761</v>
      </c>
      <c r="T299" s="20" t="n">
        <v>-7.322</v>
      </c>
    </row>
    <row r="300">
      <c r="A300" s="18" t="inlineStr">
        <is>
          <t>퇴직급여부채 증감</t>
        </is>
      </c>
      <c r="C300" s="20" t="n">
        <v>221.235</v>
      </c>
      <c r="E300" s="20" t="n">
        <v>-89</v>
      </c>
      <c r="G300" s="20" t="n">
        <v>38</v>
      </c>
      <c r="I300" s="20" t="n">
        <v>-97</v>
      </c>
      <c r="K300" s="20" t="n">
        <v>79</v>
      </c>
      <c r="M300" s="20" t="n">
        <v>-60</v>
      </c>
      <c r="O300" s="20" t="n">
        <v>28.5</v>
      </c>
      <c r="P300" s="20" t="n">
        <v>64.898</v>
      </c>
      <c r="Q300" s="20" t="n">
        <v>18.016</v>
      </c>
      <c r="R300" s="20" t="n">
        <v>71.601</v>
      </c>
      <c r="T300" s="20" t="n">
        <v>-7.322</v>
      </c>
      <c r="U300" s="20" t="n">
        <v>-58.54</v>
      </c>
      <c r="V300" s="20" t="n">
        <v>221.235</v>
      </c>
      <c r="W300" s="20" t="n">
        <v>38</v>
      </c>
      <c r="X300" s="20" t="n">
        <v>79</v>
      </c>
    </row>
    <row r="301">
      <c r="A301" s="18" t="inlineStr">
        <is>
          <t>이자·배당금 수익</t>
        </is>
      </c>
      <c r="C301" s="20" t="n">
        <v>-63.261</v>
      </c>
      <c r="E301" s="20" t="n">
        <v>-28</v>
      </c>
      <c r="G301" s="20" t="n">
        <v>-63</v>
      </c>
      <c r="I301" s="20" t="n">
        <v>-30</v>
      </c>
      <c r="K301" s="20" t="n">
        <v>-64</v>
      </c>
      <c r="M301" s="20" t="n">
        <v>-32</v>
      </c>
      <c r="O301" s="20" t="n">
        <v>-51.845</v>
      </c>
      <c r="P301" s="20" t="n">
        <v>-53.203</v>
      </c>
      <c r="Q301" s="20" t="n">
        <v>-54.007</v>
      </c>
      <c r="R301" s="20" t="n">
        <v>-60.919</v>
      </c>
      <c r="S301" s="20" t="n">
        <v>-60.022</v>
      </c>
      <c r="T301" s="20" t="n">
        <v>-67.622</v>
      </c>
      <c r="U301" s="20" t="n">
        <v>-63.299</v>
      </c>
      <c r="V301" s="20" t="n">
        <v>-63.261</v>
      </c>
      <c r="W301" s="20" t="n">
        <v>-63</v>
      </c>
      <c r="X301" s="20" t="n">
        <v>-64</v>
      </c>
    </row>
    <row r="302">
      <c r="A302" s="18" t="inlineStr">
        <is>
          <t>이자비용</t>
        </is>
      </c>
      <c r="C302" s="20" t="n">
        <v>60.826</v>
      </c>
      <c r="E302" s="20" t="n">
        <v>32</v>
      </c>
      <c r="G302" s="20" t="n">
        <v>75</v>
      </c>
      <c r="I302" s="20" t="n">
        <v>71</v>
      </c>
      <c r="K302" s="20" t="n">
        <v>169</v>
      </c>
      <c r="M302" s="20" t="n">
        <v>144</v>
      </c>
      <c r="O302" s="20" t="n">
        <v>33.833</v>
      </c>
      <c r="P302" s="20" t="n">
        <v>25.114</v>
      </c>
      <c r="Q302" s="20" t="n">
        <v>22.564</v>
      </c>
      <c r="R302" s="20" t="n">
        <v>23.029</v>
      </c>
      <c r="S302" s="20" t="n">
        <v>47.266</v>
      </c>
      <c r="T302" s="20" t="n">
        <v>59.811</v>
      </c>
      <c r="U302" s="20" t="n">
        <v>52.556</v>
      </c>
      <c r="V302" s="20" t="n">
        <v>60.826</v>
      </c>
      <c r="W302" s="20" t="n">
        <v>75</v>
      </c>
      <c r="X302" s="20" t="n">
        <v>169</v>
      </c>
    </row>
    <row r="303">
      <c r="A303" s="18" t="inlineStr">
        <is>
          <t>지급보증료</t>
        </is>
      </c>
      <c r="C303" s="20" t="n">
        <v>0</v>
      </c>
      <c r="T303" s="20" t="n">
        <v>0</v>
      </c>
      <c r="U303" s="20" t="n">
        <v>28.579</v>
      </c>
      <c r="V303" s="20" t="n">
        <v>0</v>
      </c>
    </row>
    <row r="304">
      <c r="A304" s="18" t="inlineStr">
        <is>
          <t>외환차손익</t>
        </is>
      </c>
      <c r="C304" s="20" t="n">
        <v>-40.443</v>
      </c>
      <c r="E304" s="20" t="n">
        <v>-20</v>
      </c>
      <c r="G304" s="20" t="n">
        <v>1</v>
      </c>
      <c r="I304" s="20" t="n">
        <v>0</v>
      </c>
      <c r="K304" s="20" t="n">
        <v>-14</v>
      </c>
      <c r="M304" s="20" t="n">
        <v>-2</v>
      </c>
      <c r="O304" s="20" t="n">
        <v>47.306</v>
      </c>
      <c r="P304" s="20" t="n">
        <v>-38.332</v>
      </c>
      <c r="Q304" s="20" t="n">
        <v>5.733</v>
      </c>
      <c r="R304" s="20" t="n">
        <v>12.899</v>
      </c>
      <c r="S304" s="20" t="n">
        <v>11.599</v>
      </c>
      <c r="T304" s="20" t="n">
        <v>-26.527</v>
      </c>
      <c r="U304" s="20" t="n">
        <v>-71.52800000000001</v>
      </c>
      <c r="V304" s="20" t="n">
        <v>-40.443</v>
      </c>
      <c r="W304" s="20" t="n">
        <v>1</v>
      </c>
      <c r="X304" s="20" t="n">
        <v>-14</v>
      </c>
    </row>
    <row r="305">
      <c r="A305" s="18" t="inlineStr">
        <is>
          <t>고정자산 제각손실</t>
        </is>
      </c>
      <c r="C305" s="20" t="n">
        <v>29.664</v>
      </c>
      <c r="G305" s="20" t="n">
        <v>158.323</v>
      </c>
      <c r="P305" s="20" t="n">
        <v>9.346</v>
      </c>
      <c r="Q305" s="20" t="n">
        <v>41.499</v>
      </c>
      <c r="R305" s="20" t="n">
        <v>34.242</v>
      </c>
      <c r="S305" s="20" t="n">
        <v>18.924</v>
      </c>
      <c r="T305" s="20" t="n">
        <v>62.405</v>
      </c>
      <c r="U305" s="20" t="n">
        <v>30.511</v>
      </c>
      <c r="V305" s="20" t="n">
        <v>29.664</v>
      </c>
      <c r="W305" s="20" t="n">
        <v>158.323</v>
      </c>
    </row>
    <row r="306">
      <c r="A306" s="18" t="inlineStr">
        <is>
          <t>고정자산 처분손실</t>
        </is>
      </c>
      <c r="E306" s="20" t="n">
        <v>109</v>
      </c>
      <c r="G306" s="20" t="n">
        <v>158</v>
      </c>
      <c r="I306" s="20" t="n">
        <v>9</v>
      </c>
      <c r="K306" s="20" t="n">
        <v>104</v>
      </c>
      <c r="W306" s="20" t="n">
        <v>158</v>
      </c>
      <c r="X306" s="20" t="n">
        <v>104</v>
      </c>
    </row>
    <row r="307">
      <c r="A307" s="18" t="inlineStr">
        <is>
          <t>보조금 수입</t>
        </is>
      </c>
      <c r="C307" s="20" t="n">
        <v>-21.766</v>
      </c>
      <c r="E307" s="20" t="n">
        <v>0</v>
      </c>
      <c r="T307" s="20" t="n">
        <v>0</v>
      </c>
      <c r="U307" s="20" t="n">
        <v>-24.9</v>
      </c>
      <c r="V307" s="20" t="n">
        <v>-21.766</v>
      </c>
    </row>
    <row r="308">
      <c r="A308" s="18" t="inlineStr">
        <is>
          <t>지분법손익</t>
        </is>
      </c>
      <c r="C308" s="20" t="n">
        <v>4.145</v>
      </c>
      <c r="E308" s="20" t="n">
        <v>8</v>
      </c>
      <c r="G308" s="20" t="n">
        <v>-17</v>
      </c>
      <c r="I308" s="20" t="n">
        <v>-9</v>
      </c>
      <c r="K308" s="20" t="n">
        <v>-40</v>
      </c>
      <c r="M308" s="20" t="n">
        <v>-8</v>
      </c>
      <c r="O308" s="20" t="n">
        <v>7.741</v>
      </c>
      <c r="P308" s="20" t="n">
        <v>-17.588</v>
      </c>
      <c r="Q308" s="20" t="n">
        <v>-6.134</v>
      </c>
      <c r="R308" s="20" t="n">
        <v>-7.559</v>
      </c>
      <c r="S308" s="20" t="n">
        <v>-0.43</v>
      </c>
      <c r="T308" s="20" t="n">
        <v>5.142</v>
      </c>
      <c r="U308" s="20" t="n">
        <v>58.223</v>
      </c>
      <c r="V308" s="20" t="n">
        <v>4.145</v>
      </c>
      <c r="W308" s="20" t="n">
        <v>-17</v>
      </c>
      <c r="X308" s="20" t="n">
        <v>-40</v>
      </c>
    </row>
    <row r="309">
      <c r="A309" s="18" t="inlineStr">
        <is>
          <t>부의 영업권 발생이익</t>
        </is>
      </c>
      <c r="R309" s="20" t="n">
        <v>0</v>
      </c>
      <c r="S309" s="20" t="n">
        <v>-620.8680000000001</v>
      </c>
      <c r="T309" s="20" t="n">
        <v>0</v>
      </c>
    </row>
    <row r="310">
      <c r="A310" s="18" t="inlineStr">
        <is>
          <t>사업구조개선비용</t>
        </is>
      </c>
      <c r="C310" s="20" t="n">
        <v>0</v>
      </c>
      <c r="G310" s="20" t="n">
        <v>109</v>
      </c>
      <c r="K310" s="20" t="n">
        <v>39</v>
      </c>
      <c r="V310" s="20" t="n">
        <v>0</v>
      </c>
      <c r="W310" s="20" t="n">
        <v>109</v>
      </c>
      <c r="X310" s="20" t="n">
        <v>39</v>
      </c>
    </row>
    <row r="311">
      <c r="A311" s="18" t="inlineStr">
        <is>
          <t>사무소 이전비용</t>
        </is>
      </c>
      <c r="C311" s="20" t="n">
        <v>0</v>
      </c>
      <c r="G311" s="20" t="n">
        <v>38.447</v>
      </c>
      <c r="V311" s="20" t="n">
        <v>0</v>
      </c>
      <c r="W311" s="20" t="n">
        <v>38.447</v>
      </c>
    </row>
    <row r="312">
      <c r="A312" s="18" t="inlineStr">
        <is>
          <t>고정자산 매각손익</t>
        </is>
      </c>
      <c r="C312" s="20" t="n">
        <v>-787.559</v>
      </c>
      <c r="E312" s="20" t="n">
        <v>-0</v>
      </c>
      <c r="G312" s="20" t="n">
        <v>-0</v>
      </c>
      <c r="I312" s="20" t="n">
        <v>-1</v>
      </c>
      <c r="K312" s="20" t="n">
        <v>1</v>
      </c>
      <c r="M312" s="20" t="n">
        <v>-0</v>
      </c>
      <c r="O312" s="20" t="n">
        <v>-0.928</v>
      </c>
      <c r="P312" s="20" t="n">
        <v>-75.146</v>
      </c>
      <c r="Q312" s="20" t="n">
        <v>-35.572</v>
      </c>
      <c r="R312" s="20" t="n">
        <v>5.493</v>
      </c>
      <c r="S312" s="20" t="n">
        <v>-7.715</v>
      </c>
      <c r="T312" s="20" t="n">
        <v>-639.568</v>
      </c>
      <c r="U312" s="20" t="n">
        <v>-695.99</v>
      </c>
      <c r="V312" s="20" t="n">
        <v>-787.559</v>
      </c>
      <c r="W312" s="20" t="n">
        <v>-0</v>
      </c>
      <c r="X312" s="20" t="n">
        <v>1</v>
      </c>
    </row>
    <row r="313">
      <c r="A313" s="18" t="inlineStr">
        <is>
          <t>고정자산 처분손실</t>
        </is>
      </c>
      <c r="I313" s="20" t="n">
        <v>9</v>
      </c>
      <c r="M313" s="20" t="n">
        <v>6</v>
      </c>
    </row>
    <row r="314">
      <c r="A314" s="18" t="inlineStr">
        <is>
          <t>투자유가증권 매각손익</t>
        </is>
      </c>
      <c r="C314" s="20" t="n">
        <v>-51.052</v>
      </c>
      <c r="E314" s="20" t="n">
        <v>0</v>
      </c>
      <c r="G314" s="20" t="n">
        <v>-315</v>
      </c>
      <c r="I314" s="20" t="n">
        <v>-8</v>
      </c>
      <c r="K314" s="20" t="n">
        <v>-238</v>
      </c>
      <c r="M314" s="20" t="n">
        <v>-0</v>
      </c>
      <c r="O314" s="20" t="n">
        <v>-28.92</v>
      </c>
      <c r="P314" s="20" t="n">
        <v>-223.738</v>
      </c>
      <c r="Q314" s="20" t="n">
        <v>0</v>
      </c>
      <c r="R314" s="20" t="n">
        <v>-1.25</v>
      </c>
      <c r="S314" s="20" t="n">
        <v>-17.412</v>
      </c>
      <c r="T314" s="20" t="n">
        <v>-81.232</v>
      </c>
      <c r="U314" s="20" t="n">
        <v>-261.588</v>
      </c>
      <c r="V314" s="20" t="n">
        <v>-51.052</v>
      </c>
      <c r="W314" s="20" t="n">
        <v>-315</v>
      </c>
      <c r="X314" s="20" t="n">
        <v>-238</v>
      </c>
    </row>
    <row r="315">
      <c r="A315" s="18" t="inlineStr">
        <is>
          <t>관계회사 주식 매각손익</t>
        </is>
      </c>
      <c r="Q315" s="20" t="n">
        <v>0</v>
      </c>
      <c r="R315" s="20" t="n">
        <v>-41.394</v>
      </c>
      <c r="S315" s="20" t="n">
        <v>0</v>
      </c>
    </row>
    <row r="316">
      <c r="A316" s="18" t="inlineStr">
        <is>
          <t>골프회원권 매각손익</t>
        </is>
      </c>
      <c r="O316" s="20" t="n">
        <v>5.169</v>
      </c>
      <c r="P316" s="20" t="n">
        <v>0</v>
      </c>
      <c r="R316" s="20" t="n">
        <v>0</v>
      </c>
      <c r="S316" s="20" t="n">
        <v>0.149</v>
      </c>
      <c r="T316" s="20" t="n">
        <v>0</v>
      </c>
    </row>
    <row r="317">
      <c r="A317" s="18" t="inlineStr">
        <is>
          <t>투자유가증권 평가손익</t>
        </is>
      </c>
      <c r="C317" s="20" t="n">
        <v>222.622</v>
      </c>
      <c r="E317" s="20" t="n">
        <v>98</v>
      </c>
      <c r="G317" s="20" t="n">
        <v>246</v>
      </c>
      <c r="I317" s="20" t="n">
        <v>0</v>
      </c>
      <c r="K317" s="20" t="n">
        <v>0</v>
      </c>
      <c r="O317" s="20" t="n">
        <v>45.965</v>
      </c>
      <c r="P317" s="20" t="n">
        <v>0.189</v>
      </c>
      <c r="Q317" s="20" t="n">
        <v>0</v>
      </c>
      <c r="T317" s="20" t="n">
        <v>0</v>
      </c>
      <c r="U317" s="20" t="n">
        <v>303.543</v>
      </c>
      <c r="V317" s="20" t="n">
        <v>222.622</v>
      </c>
      <c r="W317" s="20" t="n">
        <v>246</v>
      </c>
      <c r="X317" s="20" t="n">
        <v>0</v>
      </c>
    </row>
    <row r="318">
      <c r="A318" s="18" t="inlineStr">
        <is>
          <t>매출채권 증감</t>
        </is>
      </c>
      <c r="O318" s="20" t="n">
        <v>-787.498</v>
      </c>
      <c r="P318" s="20" t="n">
        <v>-451.884</v>
      </c>
      <c r="Q318" s="20" t="n">
        <v>-705.676</v>
      </c>
      <c r="R318" s="20" t="n">
        <v>-1003.855</v>
      </c>
      <c r="S318" s="20" t="n">
        <v>3697.745</v>
      </c>
      <c r="T318" s="20" t="n">
        <v>-868.688</v>
      </c>
      <c r="U318" s="20" t="n">
        <v>0</v>
      </c>
    </row>
    <row r="319">
      <c r="A319" s="18" t="inlineStr">
        <is>
          <t>재해 손실</t>
        </is>
      </c>
      <c r="C319" s="20" t="n">
        <v>0</v>
      </c>
      <c r="E319" s="20" t="n">
        <v>33</v>
      </c>
      <c r="G319" s="20" t="n">
        <v>38</v>
      </c>
      <c r="I319" s="20" t="n">
        <v>0</v>
      </c>
      <c r="K319" s="20" t="n">
        <v>0</v>
      </c>
      <c r="V319" s="20" t="n">
        <v>0</v>
      </c>
      <c r="W319" s="20" t="n">
        <v>38</v>
      </c>
      <c r="X319" s="20" t="n">
        <v>0</v>
      </c>
    </row>
    <row r="320">
      <c r="A320" s="18" t="inlineStr">
        <is>
          <t>매출채권·계약자산 증감</t>
        </is>
      </c>
      <c r="C320" s="20" t="n">
        <v>171.711</v>
      </c>
      <c r="E320" s="20" t="n">
        <v>-255.519</v>
      </c>
      <c r="T320" s="20" t="n">
        <v>0</v>
      </c>
      <c r="U320" s="20" t="n">
        <v>-1304.007</v>
      </c>
      <c r="V320" s="20" t="n">
        <v>171.711</v>
      </c>
    </row>
    <row r="321">
      <c r="A321" s="18" t="inlineStr">
        <is>
          <t>관계회사 청산손익</t>
        </is>
      </c>
      <c r="C321" s="20" t="n">
        <v>4.038</v>
      </c>
      <c r="E321" s="20" t="n">
        <v>0</v>
      </c>
      <c r="G321" s="20" t="n">
        <v>0</v>
      </c>
      <c r="U321" s="20" t="n">
        <v>0</v>
      </c>
      <c r="V321" s="20" t="n">
        <v>4.038</v>
      </c>
      <c r="W321" s="20" t="n">
        <v>0</v>
      </c>
    </row>
    <row r="322">
      <c r="A322" s="18" t="inlineStr">
        <is>
          <t>매출채권·계약자산 증감</t>
        </is>
      </c>
      <c r="C322" s="20" t="n">
        <v>171.711</v>
      </c>
      <c r="E322" s="20" t="n">
        <v>-255</v>
      </c>
      <c r="G322" s="20" t="n">
        <v>-2128</v>
      </c>
      <c r="I322" s="20" t="n">
        <v>-63</v>
      </c>
      <c r="K322" s="20" t="n">
        <v>487</v>
      </c>
      <c r="M322" s="20" t="n">
        <v>487</v>
      </c>
      <c r="V322" s="20" t="n">
        <v>171.711</v>
      </c>
      <c r="W322" s="20" t="n">
        <v>-2128</v>
      </c>
      <c r="X322" s="20" t="n">
        <v>487</v>
      </c>
    </row>
    <row r="323">
      <c r="A323" s="18" t="inlineStr">
        <is>
          <t>재고자산 증감</t>
        </is>
      </c>
      <c r="C323" s="20" t="n">
        <v>-1286.143</v>
      </c>
      <c r="E323" s="20" t="n">
        <v>86</v>
      </c>
      <c r="G323" s="20" t="n">
        <v>383</v>
      </c>
      <c r="I323" s="20" t="n">
        <v>-996</v>
      </c>
      <c r="K323" s="20" t="n">
        <v>-826</v>
      </c>
      <c r="M323" s="20" t="n">
        <v>-1476</v>
      </c>
      <c r="O323" s="20" t="n">
        <v>582.4690000000001</v>
      </c>
      <c r="P323" s="20" t="n">
        <v>-469.166</v>
      </c>
      <c r="Q323" s="20" t="n">
        <v>-649.38</v>
      </c>
      <c r="R323" s="20" t="n">
        <v>-1240.922</v>
      </c>
      <c r="S323" s="20" t="n">
        <v>-380.774</v>
      </c>
      <c r="T323" s="20" t="n">
        <v>-574.626</v>
      </c>
      <c r="U323" s="20" t="n">
        <v>-960.776</v>
      </c>
      <c r="V323" s="20" t="n">
        <v>-1286.143</v>
      </c>
      <c r="W323" s="20" t="n">
        <v>383</v>
      </c>
      <c r="X323" s="20" t="n">
        <v>-826</v>
      </c>
    </row>
    <row r="324">
      <c r="A324" s="18" t="inlineStr">
        <is>
          <t>반품자산 증감(△는 증가)</t>
        </is>
      </c>
      <c r="C324" s="20" t="n">
        <v>19.862</v>
      </c>
      <c r="T324" s="20" t="n">
        <v>0</v>
      </c>
      <c r="U324" s="20" t="n">
        <v>-41.181</v>
      </c>
      <c r="V324" s="20" t="n">
        <v>19.862</v>
      </c>
    </row>
    <row r="325">
      <c r="A325" s="18" t="inlineStr">
        <is>
          <t>미수금 증감</t>
        </is>
      </c>
      <c r="C325" s="20" t="n">
        <v>337.798</v>
      </c>
      <c r="E325" s="20" t="n">
        <v>7.643</v>
      </c>
      <c r="O325" s="20" t="n">
        <v>48.287</v>
      </c>
      <c r="P325" s="20" t="n">
        <v>-108.724</v>
      </c>
      <c r="Q325" s="20" t="n">
        <v>-24.493</v>
      </c>
      <c r="R325" s="20" t="n">
        <v>24.556</v>
      </c>
      <c r="S325" s="20" t="n">
        <v>148.492</v>
      </c>
      <c r="T325" s="20" t="n">
        <v>-191.43</v>
      </c>
      <c r="U325" s="20" t="n">
        <v>-95.26900000000001</v>
      </c>
      <c r="V325" s="20" t="n">
        <v>337.798</v>
      </c>
    </row>
    <row r="326">
      <c r="A326" s="18" t="inlineStr">
        <is>
          <t>매입채무 증감</t>
        </is>
      </c>
      <c r="C326" s="20" t="n">
        <v>-298.18</v>
      </c>
      <c r="E326" s="20" t="n">
        <v>670</v>
      </c>
      <c r="G326" s="20" t="n">
        <v>1524</v>
      </c>
      <c r="I326" s="20" t="n">
        <v>136</v>
      </c>
      <c r="K326" s="20" t="n">
        <v>-140</v>
      </c>
      <c r="M326" s="20" t="n">
        <v>550</v>
      </c>
      <c r="O326" s="20" t="n">
        <v>-551.207</v>
      </c>
      <c r="P326" s="20" t="n">
        <v>1098.305</v>
      </c>
      <c r="Q326" s="20" t="n">
        <v>306.898</v>
      </c>
      <c r="R326" s="20" t="n">
        <v>1047.29</v>
      </c>
      <c r="S326" s="20" t="n">
        <v>-1988.708</v>
      </c>
      <c r="T326" s="20" t="n">
        <v>-172.806</v>
      </c>
      <c r="U326" s="20" t="n">
        <v>-14.649</v>
      </c>
      <c r="V326" s="20" t="n">
        <v>-298.18</v>
      </c>
      <c r="W326" s="20" t="n">
        <v>1524</v>
      </c>
      <c r="X326" s="20" t="n">
        <v>-140</v>
      </c>
    </row>
    <row r="327">
      <c r="A327" s="18" t="inlineStr">
        <is>
          <t>미지급비용 증감</t>
        </is>
      </c>
      <c r="C327" s="20" t="n">
        <v>3.833</v>
      </c>
      <c r="E327" s="20" t="n">
        <v>126</v>
      </c>
      <c r="G327" s="20" t="n">
        <v>629</v>
      </c>
      <c r="I327" s="20" t="n">
        <v>213</v>
      </c>
      <c r="K327" s="20" t="n">
        <v>-111</v>
      </c>
      <c r="M327" s="20" t="n">
        <v>-75</v>
      </c>
      <c r="O327" s="20" t="n">
        <v>10.82</v>
      </c>
      <c r="P327" s="20" t="n">
        <v>156.241</v>
      </c>
      <c r="Q327" s="20" t="n">
        <v>185.987</v>
      </c>
      <c r="R327" s="20" t="n">
        <v>73.821</v>
      </c>
      <c r="S327" s="20" t="n">
        <v>174.047</v>
      </c>
      <c r="T327" s="20" t="n">
        <v>53.2</v>
      </c>
      <c r="U327" s="20" t="n">
        <v>-780.6130000000001</v>
      </c>
      <c r="V327" s="20" t="n">
        <v>3.833</v>
      </c>
      <c r="W327" s="20" t="n">
        <v>629</v>
      </c>
      <c r="X327" s="20" t="n">
        <v>-111</v>
      </c>
    </row>
    <row r="328">
      <c r="A328" s="18" t="inlineStr">
        <is>
          <t>손해배상금</t>
        </is>
      </c>
      <c r="G328" s="20" t="n">
        <v>0</v>
      </c>
      <c r="K328" s="20" t="n">
        <v>101</v>
      </c>
      <c r="O328" s="20" t="n">
        <v>0</v>
      </c>
      <c r="P328" s="20" t="n">
        <v>404.811</v>
      </c>
      <c r="W328" s="20" t="n">
        <v>0</v>
      </c>
      <c r="X328" s="20" t="n">
        <v>101</v>
      </c>
    </row>
    <row r="329">
      <c r="A329" s="18" t="inlineStr">
        <is>
          <t>소송 관련 손실</t>
        </is>
      </c>
      <c r="O329" s="20" t="n">
        <v>0</v>
      </c>
      <c r="P329" s="20" t="n">
        <v>16.752</v>
      </c>
    </row>
    <row r="330">
      <c r="A330" s="18" t="inlineStr">
        <is>
          <t>과년도 결산 정정 관련 비용</t>
        </is>
      </c>
      <c r="O330" s="20" t="n">
        <v>50.811</v>
      </c>
      <c r="P330" s="20" t="n">
        <v>0</v>
      </c>
    </row>
    <row r="331">
      <c r="A331" s="18" t="inlineStr">
        <is>
          <t>미지급 소비세 증감</t>
        </is>
      </c>
      <c r="C331" s="20" t="n">
        <v>29.555</v>
      </c>
      <c r="E331" s="20" t="n">
        <v>333</v>
      </c>
      <c r="G331" s="20" t="n">
        <v>207.085</v>
      </c>
      <c r="I331" s="20" t="n">
        <v>-212</v>
      </c>
      <c r="M331" s="20" t="n">
        <v>-58</v>
      </c>
      <c r="O331" s="20" t="n">
        <v>104.514</v>
      </c>
      <c r="P331" s="20" t="n">
        <v>-164.468</v>
      </c>
      <c r="Q331" s="20" t="n">
        <v>44.006</v>
      </c>
      <c r="R331" s="20" t="n">
        <v>28.336</v>
      </c>
      <c r="S331" s="20" t="n">
        <v>38.13</v>
      </c>
      <c r="T331" s="20" t="n">
        <v>25.955</v>
      </c>
      <c r="U331" s="20" t="n">
        <v>-21.011</v>
      </c>
      <c r="V331" s="20" t="n">
        <v>29.555</v>
      </c>
      <c r="W331" s="20" t="n">
        <v>207.085</v>
      </c>
    </row>
    <row r="332">
      <c r="A332" s="18" t="inlineStr">
        <is>
          <t>선급금 증감</t>
        </is>
      </c>
      <c r="C332" s="20" t="n">
        <v>-115.302</v>
      </c>
      <c r="E332" s="20" t="n">
        <v>69.645</v>
      </c>
      <c r="O332" s="20" t="n">
        <v>-26.298</v>
      </c>
      <c r="P332" s="20" t="n">
        <v>-33.239</v>
      </c>
      <c r="Q332" s="20" t="n">
        <v>44.478</v>
      </c>
      <c r="R332" s="20" t="n">
        <v>-45.692</v>
      </c>
      <c r="S332" s="20" t="n">
        <v>17.664</v>
      </c>
      <c r="T332" s="20" t="n">
        <v>32.316</v>
      </c>
      <c r="U332" s="20" t="n">
        <v>-68.496</v>
      </c>
      <c r="V332" s="20" t="n">
        <v>-115.302</v>
      </c>
    </row>
    <row r="333">
      <c r="A333" s="18" t="inlineStr">
        <is>
          <t>환불부채 증감(△는 감소)</t>
        </is>
      </c>
      <c r="C333" s="20" t="n">
        <v>7.297</v>
      </c>
      <c r="E333" s="20" t="n">
        <v>-80.05500000000001</v>
      </c>
      <c r="T333" s="20" t="n">
        <v>0</v>
      </c>
      <c r="U333" s="20" t="n">
        <v>126.712</v>
      </c>
      <c r="V333" s="20" t="n">
        <v>7.297</v>
      </c>
    </row>
    <row r="334">
      <c r="A334" s="18" t="inlineStr">
        <is>
          <t>파산갱생채권 증감</t>
        </is>
      </c>
      <c r="C334" s="20" t="n">
        <v>-0.5639999999999999</v>
      </c>
      <c r="O334" s="20" t="n">
        <v>0.957</v>
      </c>
      <c r="P334" s="20" t="n">
        <v>119.555</v>
      </c>
      <c r="Q334" s="20" t="n">
        <v>5.622</v>
      </c>
      <c r="R334" s="20" t="n">
        <v>0</v>
      </c>
      <c r="T334" s="20" t="n">
        <v>-0</v>
      </c>
      <c r="U334" s="20" t="n">
        <v>-0.5</v>
      </c>
      <c r="V334" s="20" t="n">
        <v>-0.5639999999999999</v>
      </c>
    </row>
    <row r="335">
      <c r="A335" s="18" t="inlineStr">
        <is>
          <t>기타</t>
        </is>
      </c>
      <c r="C335" s="20" t="n">
        <v>311.569</v>
      </c>
      <c r="E335" s="20" t="n">
        <v>-492</v>
      </c>
      <c r="G335" s="20" t="n">
        <v>25</v>
      </c>
      <c r="I335" s="20" t="n">
        <v>-313</v>
      </c>
      <c r="K335" s="20" t="n">
        <v>-487</v>
      </c>
      <c r="M335" s="20" t="n">
        <v>683</v>
      </c>
      <c r="O335" s="20" t="n">
        <v>13.782</v>
      </c>
      <c r="P335" s="20" t="n">
        <v>-105.747</v>
      </c>
      <c r="Q335" s="20" t="n">
        <v>6.174</v>
      </c>
      <c r="R335" s="20" t="n">
        <v>72.626</v>
      </c>
      <c r="S335" s="20" t="n">
        <v>-64.68300000000001</v>
      </c>
      <c r="T335" s="20" t="n">
        <v>-130.642</v>
      </c>
      <c r="U335" s="20" t="n">
        <v>398.122</v>
      </c>
      <c r="V335" s="20" t="n">
        <v>311.569</v>
      </c>
      <c r="W335" s="20" t="n">
        <v>25</v>
      </c>
      <c r="X335" s="20" t="n">
        <v>-487</v>
      </c>
    </row>
    <row r="336">
      <c r="A336" s="18" t="inlineStr">
        <is>
          <t>소계</t>
        </is>
      </c>
      <c r="C336" s="20" t="n">
        <v>2994.066</v>
      </c>
      <c r="E336" s="20" t="n">
        <v>2720</v>
      </c>
      <c r="G336" s="20" t="n">
        <v>5733</v>
      </c>
      <c r="I336" s="20" t="n">
        <v>1632</v>
      </c>
      <c r="K336" s="20" t="n">
        <v>4572</v>
      </c>
      <c r="M336" s="20" t="n">
        <v>3230</v>
      </c>
      <c r="O336" s="20" t="n">
        <v>1468.882</v>
      </c>
      <c r="P336" s="20" t="n">
        <v>2526.436</v>
      </c>
      <c r="Q336" s="20" t="n">
        <v>2106.937</v>
      </c>
      <c r="R336" s="20" t="n">
        <v>2280.758</v>
      </c>
      <c r="S336" s="20" t="n">
        <v>5316.287</v>
      </c>
      <c r="T336" s="20" t="n">
        <v>2387.233</v>
      </c>
      <c r="U336" s="20" t="n">
        <v>357.984</v>
      </c>
      <c r="V336" s="20" t="n">
        <v>2994.066</v>
      </c>
      <c r="W336" s="20" t="n">
        <v>5733</v>
      </c>
      <c r="X336" s="20" t="n">
        <v>4572</v>
      </c>
    </row>
    <row r="337">
      <c r="A337" s="18" t="inlineStr">
        <is>
          <t>이자·배당금 수취</t>
        </is>
      </c>
      <c r="C337" s="20" t="n">
        <v>63.261</v>
      </c>
      <c r="E337" s="20" t="n">
        <v>28</v>
      </c>
      <c r="G337" s="20" t="n">
        <v>63</v>
      </c>
      <c r="I337" s="20" t="n">
        <v>30</v>
      </c>
      <c r="K337" s="20" t="n">
        <v>64</v>
      </c>
      <c r="M337" s="20" t="n">
        <v>33</v>
      </c>
      <c r="O337" s="20" t="n">
        <v>52.175</v>
      </c>
      <c r="P337" s="20" t="n">
        <v>53.863</v>
      </c>
      <c r="Q337" s="20" t="n">
        <v>54.667</v>
      </c>
      <c r="R337" s="20" t="n">
        <v>61.579</v>
      </c>
      <c r="S337" s="20" t="n">
        <v>60.682</v>
      </c>
      <c r="T337" s="20" t="n">
        <v>68.018</v>
      </c>
      <c r="U337" s="20" t="n">
        <v>68.09</v>
      </c>
      <c r="V337" s="20" t="n">
        <v>63.261</v>
      </c>
      <c r="W337" s="20" t="n">
        <v>63</v>
      </c>
      <c r="X337" s="20" t="n">
        <v>64</v>
      </c>
    </row>
    <row r="338">
      <c r="A338" s="18" t="inlineStr">
        <is>
          <t>이자 지급</t>
        </is>
      </c>
      <c r="C338" s="20" t="n">
        <v>-60.148</v>
      </c>
      <c r="E338" s="20" t="n">
        <v>-33</v>
      </c>
      <c r="G338" s="20" t="n">
        <v>-74</v>
      </c>
      <c r="I338" s="20" t="n">
        <v>-77</v>
      </c>
      <c r="K338" s="20" t="n">
        <v>-157</v>
      </c>
      <c r="M338" s="20" t="n">
        <v>-98</v>
      </c>
      <c r="O338" s="20" t="n">
        <v>-35.134</v>
      </c>
      <c r="P338" s="20" t="n">
        <v>-25.253</v>
      </c>
      <c r="Q338" s="20" t="n">
        <v>-22.589</v>
      </c>
      <c r="R338" s="20" t="n">
        <v>-21.338</v>
      </c>
      <c r="S338" s="20" t="n">
        <v>-41.068</v>
      </c>
      <c r="T338" s="20" t="n">
        <v>-61.394</v>
      </c>
      <c r="U338" s="20" t="n">
        <v>-53.582</v>
      </c>
      <c r="V338" s="20" t="n">
        <v>-60.148</v>
      </c>
      <c r="W338" s="20" t="n">
        <v>-74</v>
      </c>
      <c r="X338" s="20" t="n">
        <v>-157</v>
      </c>
    </row>
    <row r="339">
      <c r="A339" s="18" t="inlineStr">
        <is>
          <t>임원 퇴직위로금 지급액</t>
        </is>
      </c>
      <c r="C339" s="20" t="n">
        <v>-0.6899999999999999</v>
      </c>
      <c r="E339" s="20" t="n">
        <v>0</v>
      </c>
      <c r="G339" s="20" t="n">
        <v>0</v>
      </c>
      <c r="O339" s="20" t="n">
        <v>-19.11</v>
      </c>
      <c r="P339" s="20" t="n">
        <v>-2.52</v>
      </c>
      <c r="Q339" s="20" t="n">
        <v>-10.74</v>
      </c>
      <c r="R339" s="20" t="n">
        <v>-10.08</v>
      </c>
      <c r="S339" s="20" t="n">
        <v>-0.6830000000000001</v>
      </c>
      <c r="T339" s="20" t="n">
        <v>-98.44</v>
      </c>
      <c r="U339" s="20" t="n">
        <v>0</v>
      </c>
      <c r="V339" s="20" t="n">
        <v>-0.6899999999999999</v>
      </c>
      <c r="W339" s="20" t="n">
        <v>0</v>
      </c>
    </row>
    <row r="340">
      <c r="A340" s="18" t="inlineStr">
        <is>
          <t>손해배상금 지급</t>
        </is>
      </c>
      <c r="G340" s="20" t="n">
        <v>0</v>
      </c>
      <c r="K340" s="20" t="n">
        <v>-101</v>
      </c>
      <c r="O340" s="20" t="n">
        <v>0</v>
      </c>
      <c r="P340" s="20" t="n">
        <v>-404.811</v>
      </c>
      <c r="Q340" s="20" t="n">
        <v>0</v>
      </c>
      <c r="W340" s="20" t="n">
        <v>0</v>
      </c>
      <c r="X340" s="20" t="n">
        <v>-101</v>
      </c>
    </row>
    <row r="341">
      <c r="A341" s="18" t="inlineStr">
        <is>
          <t>법인세 납부</t>
        </is>
      </c>
      <c r="C341" s="20" t="n">
        <v>-1443.669</v>
      </c>
      <c r="E341" s="20" t="n">
        <v>-475</v>
      </c>
      <c r="G341" s="20" t="n">
        <v>-894</v>
      </c>
      <c r="I341" s="20" t="n">
        <v>-605</v>
      </c>
      <c r="K341" s="20" t="n">
        <v>-1073</v>
      </c>
      <c r="M341" s="20" t="n">
        <v>-654</v>
      </c>
      <c r="O341" s="20" t="n">
        <v>-481.058</v>
      </c>
      <c r="P341" s="20" t="n">
        <v>-607.807</v>
      </c>
      <c r="Q341" s="20" t="n">
        <v>-486.882</v>
      </c>
      <c r="R341" s="20" t="n">
        <v>-714.1900000000001</v>
      </c>
      <c r="S341" s="20" t="n">
        <v>-1194.824</v>
      </c>
      <c r="T341" s="20" t="n">
        <v>-1018.247</v>
      </c>
      <c r="U341" s="20" t="n">
        <v>-1258.524</v>
      </c>
      <c r="V341" s="20" t="n">
        <v>-1443.669</v>
      </c>
      <c r="W341" s="20" t="n">
        <v>-894</v>
      </c>
      <c r="X341" s="20" t="n">
        <v>-1073</v>
      </c>
    </row>
    <row r="342">
      <c r="A342" s="18" t="inlineStr">
        <is>
          <t>법인세 환급</t>
        </is>
      </c>
      <c r="C342" s="20" t="n">
        <v>91.10599999999999</v>
      </c>
      <c r="E342" s="20" t="n">
        <v>19</v>
      </c>
      <c r="G342" s="20" t="n">
        <v>19</v>
      </c>
      <c r="I342" s="20" t="n">
        <v>89</v>
      </c>
      <c r="K342" s="20" t="n">
        <v>89</v>
      </c>
      <c r="M342" s="20" t="n">
        <v>55</v>
      </c>
      <c r="O342" s="20" t="n">
        <v>18.868</v>
      </c>
      <c r="P342" s="20" t="n">
        <v>0.464</v>
      </c>
      <c r="Q342" s="20" t="n">
        <v>21.432</v>
      </c>
      <c r="R342" s="20" t="n">
        <v>6.9</v>
      </c>
      <c r="S342" s="20" t="n">
        <v>3.272</v>
      </c>
      <c r="T342" s="20" t="n">
        <v>72.063</v>
      </c>
      <c r="U342" s="20" t="n">
        <v>143.615</v>
      </c>
      <c r="V342" s="20" t="n">
        <v>91.10599999999999</v>
      </c>
      <c r="W342" s="20" t="n">
        <v>19</v>
      </c>
      <c r="X342" s="20" t="n">
        <v>89</v>
      </c>
    </row>
    <row r="343">
      <c r="A343" s="18" t="inlineStr">
        <is>
          <t>소송 관련 비용 지급액</t>
        </is>
      </c>
      <c r="O343" s="20" t="n">
        <v>0</v>
      </c>
      <c r="P343" s="20" t="n">
        <v>-16.752</v>
      </c>
      <c r="Q343" s="20" t="n">
        <v>-7.262</v>
      </c>
      <c r="R343" s="20" t="n">
        <v>0</v>
      </c>
    </row>
    <row r="344">
      <c r="A344" s="18" t="inlineStr">
        <is>
          <t>과년도 결산 정정 관련 비용 지급액</t>
        </is>
      </c>
      <c r="O344" s="20" t="n">
        <v>-50.811</v>
      </c>
      <c r="P344" s="20" t="n">
        <v>0</v>
      </c>
    </row>
    <row r="345">
      <c r="A345" s="9" t="inlineStr">
        <is>
          <t>영업활동 현금흐름</t>
        </is>
      </c>
      <c r="C345" s="12" t="n">
        <v>1643.927</v>
      </c>
      <c r="E345" s="12" t="n">
        <v>2259</v>
      </c>
      <c r="G345" s="12" t="n">
        <v>4848</v>
      </c>
      <c r="I345" s="12" t="n">
        <v>1069</v>
      </c>
      <c r="K345" s="12" t="n">
        <v>3393</v>
      </c>
      <c r="M345" s="12" t="n">
        <v>2566</v>
      </c>
      <c r="O345" s="12" t="n">
        <v>953.812</v>
      </c>
      <c r="P345" s="12" t="n">
        <v>1523.62</v>
      </c>
      <c r="Q345" s="12" t="n">
        <v>1655.563</v>
      </c>
      <c r="R345" s="12" t="n">
        <v>1603.629</v>
      </c>
      <c r="S345" s="12" t="n">
        <v>4143.666</v>
      </c>
      <c r="T345" s="12" t="n">
        <v>1349.233</v>
      </c>
      <c r="U345" s="12" t="n">
        <v>-742.4160000000001</v>
      </c>
      <c r="V345" s="12" t="n">
        <v>1643.927</v>
      </c>
      <c r="W345" s="12" t="n">
        <v>4848</v>
      </c>
      <c r="X345" s="12" t="n">
        <v>3393</v>
      </c>
    </row>
    <row r="346">
      <c r="A346" s="18" t="inlineStr">
        <is>
          <t>정기예금 순증감</t>
        </is>
      </c>
      <c r="O346" s="20" t="n">
        <v>-45.518</v>
      </c>
      <c r="P346" s="20" t="n">
        <v>25.493</v>
      </c>
      <c r="Q346" s="20" t="n">
        <v>-6.007</v>
      </c>
      <c r="R346" s="20" t="n">
        <v>-6.005</v>
      </c>
      <c r="S346" s="20" t="n">
        <v>0</v>
      </c>
    </row>
    <row r="347">
      <c r="A347" s="18" t="inlineStr">
        <is>
          <t>유형자산 취득(설비투자)</t>
        </is>
      </c>
      <c r="C347" s="20" t="n">
        <v>-3820.827</v>
      </c>
      <c r="E347" s="20" t="n">
        <v>-1312</v>
      </c>
      <c r="G347" s="20" t="n">
        <v>-2840</v>
      </c>
      <c r="I347" s="20" t="n">
        <v>-1284</v>
      </c>
      <c r="K347" s="20" t="n">
        <v>-2893</v>
      </c>
      <c r="M347" s="20" t="n">
        <v>-1471</v>
      </c>
      <c r="O347" s="20" t="n">
        <v>-584.383</v>
      </c>
      <c r="P347" s="20" t="n">
        <v>-403.444</v>
      </c>
      <c r="Q347" s="20" t="n">
        <v>-681.264</v>
      </c>
      <c r="R347" s="20" t="n">
        <v>-1093.559</v>
      </c>
      <c r="S347" s="20" t="n">
        <v>-1308.467</v>
      </c>
      <c r="T347" s="20" t="n">
        <v>-2935.251</v>
      </c>
      <c r="U347" s="20" t="n">
        <v>-2770.969</v>
      </c>
      <c r="V347" s="20" t="n">
        <v>-3820.827</v>
      </c>
      <c r="W347" s="20" t="n">
        <v>-2840</v>
      </c>
      <c r="X347" s="20" t="n">
        <v>-2893</v>
      </c>
    </row>
    <row r="348">
      <c r="A348" s="18" t="inlineStr">
        <is>
          <t>유형자산 매각</t>
        </is>
      </c>
      <c r="C348" s="20" t="n">
        <v>1649.69</v>
      </c>
      <c r="E348" s="20" t="n">
        <v>1</v>
      </c>
      <c r="G348" s="20" t="n">
        <v>1</v>
      </c>
      <c r="I348" s="20" t="n">
        <v>2</v>
      </c>
      <c r="K348" s="20" t="n">
        <v>3</v>
      </c>
      <c r="M348" s="20" t="n">
        <v>0</v>
      </c>
      <c r="O348" s="20" t="n">
        <v>98.297</v>
      </c>
      <c r="P348" s="20" t="n">
        <v>74.869</v>
      </c>
      <c r="Q348" s="20" t="n">
        <v>33.383</v>
      </c>
      <c r="R348" s="20" t="n">
        <v>0.045</v>
      </c>
      <c r="S348" s="20" t="n">
        <v>7.877</v>
      </c>
      <c r="T348" s="20" t="n">
        <v>930.311</v>
      </c>
      <c r="U348" s="20" t="n">
        <v>1555.803</v>
      </c>
      <c r="V348" s="20" t="n">
        <v>1649.69</v>
      </c>
      <c r="W348" s="20" t="n">
        <v>1</v>
      </c>
      <c r="X348" s="20" t="n">
        <v>3</v>
      </c>
    </row>
    <row r="349">
      <c r="A349" s="18" t="inlineStr">
        <is>
          <t>무형자산 매각 수입</t>
        </is>
      </c>
      <c r="P349" s="20" t="n">
        <v>0</v>
      </c>
      <c r="Q349" s="20" t="n">
        <v>16.296</v>
      </c>
      <c r="R349" s="20" t="n">
        <v>0</v>
      </c>
    </row>
    <row r="350">
      <c r="A350" s="18" t="inlineStr">
        <is>
          <t>무형자산 취득</t>
        </is>
      </c>
      <c r="C350" s="20" t="n">
        <v>-344.199</v>
      </c>
      <c r="E350" s="20" t="n">
        <v>-111</v>
      </c>
      <c r="G350" s="20" t="n">
        <v>-357</v>
      </c>
      <c r="I350" s="20" t="n">
        <v>-203</v>
      </c>
      <c r="K350" s="20" t="n">
        <v>-282</v>
      </c>
      <c r="M350" s="20" t="n">
        <v>-71</v>
      </c>
      <c r="O350" s="20" t="n">
        <v>-24.821</v>
      </c>
      <c r="P350" s="20" t="n">
        <v>-21.153</v>
      </c>
      <c r="Q350" s="20" t="n">
        <v>-134.933</v>
      </c>
      <c r="R350" s="20" t="n">
        <v>-401.348</v>
      </c>
      <c r="S350" s="20" t="n">
        <v>-444.867</v>
      </c>
      <c r="T350" s="20" t="n">
        <v>-558.975</v>
      </c>
      <c r="U350" s="20" t="n">
        <v>-259.469</v>
      </c>
      <c r="V350" s="20" t="n">
        <v>-344.199</v>
      </c>
      <c r="W350" s="20" t="n">
        <v>-357</v>
      </c>
      <c r="X350" s="20" t="n">
        <v>-282</v>
      </c>
    </row>
    <row r="351">
      <c r="A351" s="18" t="inlineStr">
        <is>
          <t>투자유가증권 매각</t>
        </is>
      </c>
      <c r="C351" s="20" t="n">
        <v>68.18000000000001</v>
      </c>
      <c r="E351" s="20" t="n">
        <v>0</v>
      </c>
      <c r="G351" s="20" t="n">
        <v>480</v>
      </c>
      <c r="I351" s="20" t="n">
        <v>17</v>
      </c>
      <c r="K351" s="20" t="n">
        <v>503</v>
      </c>
      <c r="M351" s="20" t="n">
        <v>0</v>
      </c>
      <c r="O351" s="20" t="n">
        <v>54.3</v>
      </c>
      <c r="P351" s="20" t="n">
        <v>263.53</v>
      </c>
      <c r="Q351" s="20" t="n">
        <v>0</v>
      </c>
      <c r="R351" s="20" t="n">
        <v>8.449999999999999</v>
      </c>
      <c r="S351" s="20" t="n">
        <v>48.753</v>
      </c>
      <c r="T351" s="20" t="n">
        <v>83.241</v>
      </c>
      <c r="U351" s="20" t="n">
        <v>449.368</v>
      </c>
      <c r="V351" s="20" t="n">
        <v>68.18000000000001</v>
      </c>
      <c r="W351" s="20" t="n">
        <v>480</v>
      </c>
      <c r="X351" s="20" t="n">
        <v>503</v>
      </c>
    </row>
    <row r="352">
      <c r="A352" s="18" t="inlineStr">
        <is>
          <t>연결범위 변경 자회사 주식 매각</t>
        </is>
      </c>
      <c r="O352" s="20" t="n">
        <v>0</v>
      </c>
      <c r="P352" s="20" t="n">
        <v>10.544</v>
      </c>
      <c r="Q352" s="20" t="n">
        <v>0</v>
      </c>
    </row>
    <row r="353">
      <c r="A353" s="18" t="inlineStr">
        <is>
          <t>골프회원권 매각</t>
        </is>
      </c>
      <c r="O353" s="20" t="n">
        <v>0.754</v>
      </c>
      <c r="P353" s="20" t="n">
        <v>0</v>
      </c>
    </row>
    <row r="354">
      <c r="A354" s="18" t="inlineStr">
        <is>
          <t>사업양수 지출</t>
        </is>
      </c>
      <c r="C354" s="20" t="n">
        <v>0</v>
      </c>
      <c r="P354" s="20" t="n">
        <v>0</v>
      </c>
      <c r="Q354" s="20" t="n">
        <v>-1000</v>
      </c>
      <c r="R354" s="20" t="n">
        <v>0</v>
      </c>
      <c r="S354" s="20" t="n">
        <v>0</v>
      </c>
      <c r="T354" s="20" t="n">
        <v>-70</v>
      </c>
      <c r="U354" s="20" t="n">
        <v>-627.015</v>
      </c>
      <c r="V354" s="20" t="n">
        <v>0</v>
      </c>
    </row>
    <row r="355">
      <c r="A355" s="18" t="inlineStr">
        <is>
          <t>보조금 수취</t>
        </is>
      </c>
      <c r="C355" s="20" t="n">
        <v>30.066</v>
      </c>
      <c r="E355" s="20" t="n">
        <v>8</v>
      </c>
      <c r="G355" s="20" t="n">
        <v>14</v>
      </c>
      <c r="I355" s="20" t="n">
        <v>0</v>
      </c>
      <c r="K355" s="20" t="n">
        <v>0</v>
      </c>
      <c r="T355" s="20" t="n">
        <v>0</v>
      </c>
      <c r="U355" s="20" t="n">
        <v>8.300000000000001</v>
      </c>
      <c r="V355" s="20" t="n">
        <v>30.066</v>
      </c>
      <c r="W355" s="20" t="n">
        <v>14</v>
      </c>
      <c r="X355" s="20" t="n">
        <v>0</v>
      </c>
    </row>
    <row r="356">
      <c r="A356" s="18" t="inlineStr">
        <is>
          <t>연결범위 변경 자회사 주식 취득</t>
        </is>
      </c>
      <c r="C356" s="20" t="n">
        <v>-75.937</v>
      </c>
      <c r="E356" s="20" t="n">
        <v>0</v>
      </c>
      <c r="G356" s="20" t="n">
        <v>0</v>
      </c>
      <c r="K356" s="20" t="n">
        <v>-2629</v>
      </c>
      <c r="R356" s="20" t="n">
        <v>0</v>
      </c>
      <c r="S356" s="20" t="n">
        <v>-6200.187</v>
      </c>
      <c r="T356" s="20" t="n">
        <v>-1681.5</v>
      </c>
      <c r="U356" s="20" t="n">
        <v>0</v>
      </c>
      <c r="V356" s="20" t="n">
        <v>-75.937</v>
      </c>
      <c r="W356" s="20" t="n">
        <v>0</v>
      </c>
      <c r="X356" s="20" t="n">
        <v>-2629</v>
      </c>
    </row>
    <row r="357">
      <c r="A357" s="18" t="inlineStr">
        <is>
          <t>연결범위 변경 자회사 주식 매각(지출)</t>
        </is>
      </c>
      <c r="Q357" s="20" t="n">
        <v>0</v>
      </c>
      <c r="R357" s="20" t="n">
        <v>-179.735</v>
      </c>
      <c r="S357" s="20" t="n">
        <v>0</v>
      </c>
    </row>
    <row r="358">
      <c r="A358" s="18" t="inlineStr">
        <is>
          <t>보험적립금 환급</t>
        </is>
      </c>
      <c r="C358" s="20" t="n">
        <v>27.804</v>
      </c>
      <c r="G358" s="20" t="n">
        <v>8</v>
      </c>
      <c r="K358" s="20" t="n">
        <v>0</v>
      </c>
      <c r="O358" s="20" t="n">
        <v>6.383</v>
      </c>
      <c r="P358" s="20" t="n">
        <v>49.372</v>
      </c>
      <c r="Q358" s="20" t="n">
        <v>44.61</v>
      </c>
      <c r="R358" s="20" t="n">
        <v>28.874</v>
      </c>
      <c r="S358" s="20" t="n">
        <v>32.608</v>
      </c>
      <c r="T358" s="20" t="n">
        <v>18.451</v>
      </c>
      <c r="U358" s="20" t="n">
        <v>16.634</v>
      </c>
      <c r="V358" s="20" t="n">
        <v>27.804</v>
      </c>
      <c r="W358" s="20" t="n">
        <v>8</v>
      </c>
      <c r="X358" s="20" t="n">
        <v>0</v>
      </c>
    </row>
    <row r="359">
      <c r="A359" s="18" t="inlineStr">
        <is>
          <t>투자유가증권 취득</t>
        </is>
      </c>
      <c r="C359" s="20" t="n">
        <v>-249.26</v>
      </c>
      <c r="E359" s="20" t="n">
        <v>-93</v>
      </c>
      <c r="G359" s="20" t="n">
        <v>-153</v>
      </c>
      <c r="I359" s="20" t="n">
        <v>-61</v>
      </c>
      <c r="K359" s="20" t="n">
        <v>-179</v>
      </c>
      <c r="M359" s="20" t="n">
        <v>-5</v>
      </c>
      <c r="O359" s="20" t="n">
        <v>-53.959</v>
      </c>
      <c r="P359" s="20" t="n">
        <v>-8.398999999999999</v>
      </c>
      <c r="Q359" s="20" t="n">
        <v>-168.158</v>
      </c>
      <c r="R359" s="20" t="n">
        <v>-8.839</v>
      </c>
      <c r="S359" s="20" t="n">
        <v>-334.557</v>
      </c>
      <c r="T359" s="20" t="n">
        <v>-80.925</v>
      </c>
      <c r="U359" s="20" t="n">
        <v>-743.8200000000001</v>
      </c>
      <c r="V359" s="20" t="n">
        <v>-249.26</v>
      </c>
      <c r="W359" s="20" t="n">
        <v>-153</v>
      </c>
      <c r="X359" s="20" t="n">
        <v>-179</v>
      </c>
    </row>
    <row r="360">
      <c r="A360" s="18" t="inlineStr">
        <is>
          <t>정기예금 인출</t>
        </is>
      </c>
      <c r="I360" s="20" t="n">
        <v>0</v>
      </c>
      <c r="M360" s="20" t="n">
        <v>121</v>
      </c>
    </row>
    <row r="361">
      <c r="A361" s="18" t="inlineStr">
        <is>
          <t>기타</t>
        </is>
      </c>
      <c r="C361" s="20" t="n">
        <v>-120.871</v>
      </c>
      <c r="E361" s="20" t="n">
        <v>-30</v>
      </c>
      <c r="G361" s="20" t="n">
        <v>-91</v>
      </c>
      <c r="I361" s="20" t="n">
        <v>-42</v>
      </c>
      <c r="K361" s="20" t="n">
        <v>-77</v>
      </c>
      <c r="M361" s="20" t="n">
        <v>-40</v>
      </c>
      <c r="O361" s="20" t="n">
        <v>-24.391</v>
      </c>
      <c r="P361" s="20" t="n">
        <v>-42.981</v>
      </c>
      <c r="Q361" s="20" t="n">
        <v>-77.77500000000001</v>
      </c>
      <c r="R361" s="20" t="n">
        <v>-4.337</v>
      </c>
      <c r="S361" s="20" t="n">
        <v>-55.415</v>
      </c>
      <c r="T361" s="20" t="n">
        <v>-85.354</v>
      </c>
      <c r="U361" s="20" t="n">
        <v>148.841</v>
      </c>
      <c r="V361" s="20" t="n">
        <v>-120.871</v>
      </c>
      <c r="W361" s="20" t="n">
        <v>-91</v>
      </c>
      <c r="X361" s="20" t="n">
        <v>-77</v>
      </c>
    </row>
    <row r="362">
      <c r="A362" s="9" t="inlineStr">
        <is>
          <t>투자활동 현금흐름</t>
        </is>
      </c>
      <c r="C362" s="12" t="n">
        <v>-2835.354</v>
      </c>
      <c r="E362" s="12" t="n">
        <v>-1537</v>
      </c>
      <c r="G362" s="12" t="n">
        <v>-2937</v>
      </c>
      <c r="I362" s="12" t="n">
        <v>-1572</v>
      </c>
      <c r="K362" s="12" t="n">
        <v>-5557</v>
      </c>
      <c r="M362" s="12" t="n">
        <v>-1468</v>
      </c>
      <c r="O362" s="12" t="n">
        <v>-573.3390000000001</v>
      </c>
      <c r="P362" s="12" t="n">
        <v>-52.167</v>
      </c>
      <c r="Q362" s="12" t="n">
        <v>-1973.849</v>
      </c>
      <c r="R362" s="12" t="n">
        <v>-1656.455</v>
      </c>
      <c r="S362" s="12" t="n">
        <v>-8254.254999999999</v>
      </c>
      <c r="T362" s="12" t="n">
        <v>-4380.002</v>
      </c>
      <c r="U362" s="12" t="n">
        <v>-2222.326</v>
      </c>
      <c r="V362" s="12" t="n">
        <v>-2835.354</v>
      </c>
      <c r="W362" s="12" t="n">
        <v>-2937</v>
      </c>
      <c r="X362" s="12" t="n">
        <v>-5557</v>
      </c>
    </row>
    <row r="363">
      <c r="A363" s="18" t="inlineStr">
        <is>
          <t>단기차입금 증감</t>
        </is>
      </c>
      <c r="O363" s="20" t="n">
        <v>200</v>
      </c>
      <c r="P363" s="20" t="n">
        <v>-18.4</v>
      </c>
      <c r="Q363" s="20" t="n">
        <v>1200</v>
      </c>
      <c r="R363" s="20" t="n">
        <v>0</v>
      </c>
      <c r="S363" s="20" t="n">
        <v>1900</v>
      </c>
      <c r="T363" s="20" t="n">
        <v>2900</v>
      </c>
    </row>
    <row r="364">
      <c r="A364" s="18" t="inlineStr">
        <is>
          <t>단기차입금 순증감</t>
        </is>
      </c>
      <c r="C364" s="20" t="n">
        <v>1989</v>
      </c>
      <c r="E364" s="20" t="n">
        <v>-910</v>
      </c>
      <c r="G364" s="20" t="n">
        <v>-718</v>
      </c>
      <c r="I364" s="20" t="n">
        <v>-3312</v>
      </c>
      <c r="K364" s="20" t="n">
        <v>3576</v>
      </c>
      <c r="M364" s="20" t="n">
        <v>-7648</v>
      </c>
      <c r="T364" s="20" t="n">
        <v>2900</v>
      </c>
      <c r="U364" s="20" t="n">
        <v>1000</v>
      </c>
      <c r="V364" s="20" t="n">
        <v>1989</v>
      </c>
      <c r="W364" s="20" t="n">
        <v>-718</v>
      </c>
      <c r="X364" s="20" t="n">
        <v>3576</v>
      </c>
    </row>
    <row r="365">
      <c r="A365" s="18" t="inlineStr">
        <is>
          <t>장기차입</t>
        </is>
      </c>
      <c r="C365" s="20" t="n">
        <v>1000</v>
      </c>
      <c r="E365" s="20" t="n">
        <v>0</v>
      </c>
      <c r="G365" s="20" t="n">
        <v>0</v>
      </c>
      <c r="I365" s="20" t="n">
        <v>5000</v>
      </c>
      <c r="K365" s="20" t="n">
        <v>5000</v>
      </c>
      <c r="M365" s="20" t="n">
        <v>6800</v>
      </c>
      <c r="O365" s="20" t="n">
        <v>0</v>
      </c>
      <c r="P365" s="20" t="n">
        <v>184</v>
      </c>
      <c r="Q365" s="20" t="n">
        <v>0</v>
      </c>
      <c r="R365" s="20" t="n">
        <v>1000</v>
      </c>
      <c r="S365" s="20" t="n">
        <v>6350</v>
      </c>
      <c r="T365" s="20" t="n">
        <v>1000</v>
      </c>
      <c r="U365" s="20" t="n">
        <v>0</v>
      </c>
      <c r="V365" s="20" t="n">
        <v>1000</v>
      </c>
      <c r="W365" s="20" t="n">
        <v>0</v>
      </c>
      <c r="X365" s="20" t="n">
        <v>5000</v>
      </c>
    </row>
    <row r="366">
      <c r="A366" s="18" t="inlineStr">
        <is>
          <t>장기차입금 상환</t>
        </is>
      </c>
      <c r="C366" s="20" t="n">
        <v>-1197.984</v>
      </c>
      <c r="E366" s="20" t="n">
        <v>-623</v>
      </c>
      <c r="G366" s="20" t="n">
        <v>-1197</v>
      </c>
      <c r="I366" s="20" t="n">
        <v>-523</v>
      </c>
      <c r="K366" s="20" t="n">
        <v>-1585</v>
      </c>
      <c r="M366" s="20" t="n">
        <v>-1334</v>
      </c>
      <c r="O366" s="20" t="n">
        <v>-487.5</v>
      </c>
      <c r="P366" s="20" t="n">
        <v>-60</v>
      </c>
      <c r="Q366" s="20" t="n">
        <v>-596.8</v>
      </c>
      <c r="R366" s="20" t="n">
        <v>-146.8</v>
      </c>
      <c r="S366" s="20" t="n">
        <v>-914.3</v>
      </c>
      <c r="T366" s="20" t="n">
        <v>-971.8</v>
      </c>
      <c r="U366" s="20" t="n">
        <v>-1053.4</v>
      </c>
      <c r="V366" s="20" t="n">
        <v>-1197.984</v>
      </c>
      <c r="W366" s="20" t="n">
        <v>-1197</v>
      </c>
      <c r="X366" s="20" t="n">
        <v>-1585</v>
      </c>
    </row>
    <row r="367">
      <c r="A367" s="18" t="inlineStr">
        <is>
          <t>리스부채 상환</t>
        </is>
      </c>
      <c r="O367" s="20" t="n">
        <v>-226.165</v>
      </c>
      <c r="P367" s="20" t="n">
        <v>-194.807</v>
      </c>
      <c r="Q367" s="20" t="n">
        <v>-178.395</v>
      </c>
      <c r="R367" s="20" t="n">
        <v>-171.014</v>
      </c>
      <c r="S367" s="20" t="n">
        <v>-133.402</v>
      </c>
      <c r="T367" s="20" t="n">
        <v>-120.42</v>
      </c>
    </row>
    <row r="368">
      <c r="A368" s="18" t="inlineStr">
        <is>
          <t>자기주식 취득</t>
        </is>
      </c>
      <c r="C368" s="20" t="n">
        <v>-0.058</v>
      </c>
      <c r="E368" s="20" t="n">
        <v>-6</v>
      </c>
      <c r="G368" s="20" t="n">
        <v>-6</v>
      </c>
      <c r="I368" s="20" t="n">
        <v>-0</v>
      </c>
      <c r="K368" s="20" t="n">
        <v>-0</v>
      </c>
      <c r="M368" s="20" t="n">
        <v>-0</v>
      </c>
      <c r="O368" s="20" t="n">
        <v>-107.096</v>
      </c>
      <c r="P368" s="20" t="n">
        <v>-447.249</v>
      </c>
      <c r="Q368" s="20" t="n">
        <v>-1.249</v>
      </c>
      <c r="R368" s="20" t="n">
        <v>-0.102</v>
      </c>
      <c r="S368" s="20" t="n">
        <v>-0.08799999999999999</v>
      </c>
      <c r="T368" s="20" t="n">
        <v>-4.406</v>
      </c>
      <c r="U368" s="20" t="n">
        <v>-309.827</v>
      </c>
      <c r="V368" s="20" t="n">
        <v>-0.058</v>
      </c>
      <c r="W368" s="20" t="n">
        <v>-6</v>
      </c>
      <c r="X368" s="20" t="n">
        <v>-0</v>
      </c>
    </row>
    <row r="369">
      <c r="A369" s="18" t="inlineStr">
        <is>
          <t>금융리스부채 상환</t>
        </is>
      </c>
      <c r="C369" s="20" t="n">
        <v>-105.083</v>
      </c>
      <c r="E369" s="20" t="n">
        <v>-42</v>
      </c>
      <c r="G369" s="20" t="n">
        <v>-77</v>
      </c>
      <c r="I369" s="20" t="n">
        <v>-31</v>
      </c>
      <c r="K369" s="20" t="n">
        <v>-62</v>
      </c>
      <c r="M369" s="20" t="n">
        <v>-42</v>
      </c>
      <c r="T369" s="20" t="n">
        <v>-120.42</v>
      </c>
      <c r="U369" s="20" t="n">
        <v>-107.048</v>
      </c>
      <c r="V369" s="20" t="n">
        <v>-105.083</v>
      </c>
      <c r="W369" s="20" t="n">
        <v>-77</v>
      </c>
      <c r="X369" s="20" t="n">
        <v>-62</v>
      </c>
    </row>
    <row r="370">
      <c r="A370" s="18" t="inlineStr">
        <is>
          <t>비지배주주 납입</t>
        </is>
      </c>
      <c r="C370" s="20" t="n">
        <v>110.9</v>
      </c>
      <c r="E370" s="20" t="n">
        <v>66</v>
      </c>
      <c r="G370" s="20" t="n">
        <v>76</v>
      </c>
      <c r="I370" s="20" t="n">
        <v>10</v>
      </c>
      <c r="K370" s="20" t="n">
        <v>10</v>
      </c>
      <c r="M370" s="20" t="n">
        <v>0</v>
      </c>
      <c r="T370" s="20" t="n">
        <v>0</v>
      </c>
      <c r="U370" s="20" t="n">
        <v>80.8</v>
      </c>
      <c r="V370" s="20" t="n">
        <v>110.9</v>
      </c>
      <c r="W370" s="20" t="n">
        <v>76</v>
      </c>
      <c r="X370" s="20" t="n">
        <v>10</v>
      </c>
    </row>
    <row r="371">
      <c r="A371" s="18" t="inlineStr">
        <is>
          <t>배당금 지급</t>
        </is>
      </c>
      <c r="C371" s="20" t="n">
        <v>-719.0549999999999</v>
      </c>
      <c r="E371" s="20" t="n">
        <v>-360</v>
      </c>
      <c r="G371" s="20" t="n">
        <v>-727</v>
      </c>
      <c r="I371" s="20" t="n">
        <v>-367</v>
      </c>
      <c r="K371" s="20" t="n">
        <v>-735</v>
      </c>
      <c r="M371" s="20" t="n">
        <v>-369</v>
      </c>
      <c r="O371" s="20" t="n">
        <v>-199.569</v>
      </c>
      <c r="P371" s="20" t="n">
        <v>-199.127</v>
      </c>
      <c r="Q371" s="20" t="n">
        <v>-317.05</v>
      </c>
      <c r="R371" s="20" t="n">
        <v>-385.331</v>
      </c>
      <c r="S371" s="20" t="n">
        <v>-470.558</v>
      </c>
      <c r="T371" s="20" t="n">
        <v>-650.692</v>
      </c>
      <c r="U371" s="20" t="n">
        <v>-729.3440000000001</v>
      </c>
      <c r="V371" s="20" t="n">
        <v>-719.0549999999999</v>
      </c>
      <c r="W371" s="20" t="n">
        <v>-727</v>
      </c>
      <c r="X371" s="20" t="n">
        <v>-735</v>
      </c>
    </row>
    <row r="372">
      <c r="A372" s="18" t="inlineStr">
        <is>
          <t>자기주식 매각</t>
        </is>
      </c>
      <c r="C372" s="20" t="n">
        <v>0</v>
      </c>
      <c r="I372" s="20" t="n">
        <v>0</v>
      </c>
      <c r="M372" s="20" t="n">
        <v>2</v>
      </c>
      <c r="O372" s="20" t="n">
        <v>0</v>
      </c>
      <c r="P372" s="20" t="n">
        <v>15.476</v>
      </c>
      <c r="Q372" s="20" t="n">
        <v>32</v>
      </c>
      <c r="R372" s="20" t="n">
        <v>31.788</v>
      </c>
      <c r="S372" s="20" t="n">
        <v>36.929</v>
      </c>
      <c r="T372" s="20" t="n">
        <v>36.118</v>
      </c>
      <c r="U372" s="20" t="n">
        <v>32.212</v>
      </c>
      <c r="V372" s="20" t="n">
        <v>0</v>
      </c>
    </row>
    <row r="373">
      <c r="A373" s="18" t="inlineStr">
        <is>
          <t>신주예약권 발행</t>
        </is>
      </c>
      <c r="S373" s="20" t="n">
        <v>0</v>
      </c>
      <c r="T373" s="20" t="n">
        <v>9.609</v>
      </c>
      <c r="U373" s="20" t="n">
        <v>0</v>
      </c>
    </row>
    <row r="374">
      <c r="A374" s="18" t="inlineStr">
        <is>
          <t>신주예약권 행사에 따른 주식 발행</t>
        </is>
      </c>
      <c r="S374" s="20" t="n">
        <v>0</v>
      </c>
      <c r="T374" s="20" t="n">
        <v>3624.932</v>
      </c>
      <c r="U374" s="20" t="n">
        <v>0</v>
      </c>
    </row>
    <row r="375">
      <c r="A375" s="18" t="inlineStr">
        <is>
          <t>신주예약권 행사 자기주식 처분</t>
        </is>
      </c>
      <c r="S375" s="20" t="n">
        <v>0</v>
      </c>
      <c r="T375" s="20" t="n">
        <v>529.84</v>
      </c>
      <c r="U375" s="20" t="n">
        <v>0</v>
      </c>
    </row>
    <row r="376">
      <c r="A376" s="18" t="inlineStr">
        <is>
          <t>연결범위 변경 없는 자회사 주식 취득</t>
        </is>
      </c>
      <c r="C376" s="20" t="n">
        <v>0</v>
      </c>
      <c r="O376" s="20" t="n">
        <v>-17.985</v>
      </c>
      <c r="P376" s="20" t="n">
        <v>0</v>
      </c>
      <c r="Q376" s="20" t="n">
        <v>-0.122</v>
      </c>
      <c r="R376" s="20" t="n">
        <v>-4.202</v>
      </c>
      <c r="S376" s="20" t="n">
        <v>-0.979</v>
      </c>
      <c r="T376" s="20" t="n">
        <v>0</v>
      </c>
      <c r="U376" s="20" t="n">
        <v>-6.874</v>
      </c>
      <c r="V376" s="20" t="n">
        <v>0</v>
      </c>
    </row>
    <row r="377">
      <c r="A377" s="9" t="inlineStr">
        <is>
          <t>재무활동 현금흐름</t>
        </is>
      </c>
      <c r="C377" s="12" t="n">
        <v>1077.718</v>
      </c>
      <c r="E377" s="12" t="n">
        <v>-1877</v>
      </c>
      <c r="G377" s="12" t="n">
        <v>-2651</v>
      </c>
      <c r="I377" s="12" t="n">
        <v>775</v>
      </c>
      <c r="K377" s="12" t="n">
        <v>6202</v>
      </c>
      <c r="M377" s="12" t="n">
        <v>-2593</v>
      </c>
      <c r="O377" s="12" t="n">
        <v>-838.317</v>
      </c>
      <c r="P377" s="12" t="n">
        <v>-720.107</v>
      </c>
      <c r="Q377" s="12" t="n">
        <v>138.383</v>
      </c>
      <c r="R377" s="12" t="n">
        <v>324.338</v>
      </c>
      <c r="S377" s="12" t="n">
        <v>6767.601</v>
      </c>
      <c r="T377" s="12" t="n">
        <v>6353.182</v>
      </c>
      <c r="U377" s="12" t="n">
        <v>-1093.483</v>
      </c>
      <c r="V377" s="12" t="n">
        <v>1077.718</v>
      </c>
      <c r="W377" s="12" t="n">
        <v>-2651</v>
      </c>
      <c r="X377" s="12" t="n">
        <v>6202</v>
      </c>
    </row>
    <row r="378">
      <c r="A378" s="18" t="inlineStr">
        <is>
          <t>현금성자산 환산차이</t>
        </is>
      </c>
      <c r="C378" s="20" t="n">
        <v>65.84099999999999</v>
      </c>
      <c r="E378" s="20" t="n">
        <v>24</v>
      </c>
      <c r="G378" s="20" t="n">
        <v>0</v>
      </c>
      <c r="I378" s="20" t="n">
        <v>-33</v>
      </c>
      <c r="K378" s="20" t="n">
        <v>50</v>
      </c>
      <c r="M378" s="20" t="n">
        <v>68</v>
      </c>
      <c r="O378" s="20" t="n">
        <v>-57.532</v>
      </c>
      <c r="P378" s="20" t="n">
        <v>27.389</v>
      </c>
      <c r="Q378" s="20" t="n">
        <v>-8.836</v>
      </c>
      <c r="R378" s="20" t="n">
        <v>-15.831</v>
      </c>
      <c r="S378" s="20" t="n">
        <v>-5.3</v>
      </c>
      <c r="T378" s="20" t="n">
        <v>36.945</v>
      </c>
      <c r="U378" s="20" t="n">
        <v>52.67</v>
      </c>
      <c r="V378" s="20" t="n">
        <v>65.84099999999999</v>
      </c>
      <c r="W378" s="20" t="n">
        <v>0</v>
      </c>
      <c r="X378" s="20" t="n">
        <v>50</v>
      </c>
    </row>
    <row r="379">
      <c r="A379" s="18" t="inlineStr">
        <is>
          <t>현금성자산 증감</t>
        </is>
      </c>
      <c r="C379" s="20" t="n">
        <v>-47.866</v>
      </c>
      <c r="E379" s="20" t="n">
        <v>-1130</v>
      </c>
      <c r="G379" s="20" t="n">
        <v>-739</v>
      </c>
      <c r="I379" s="20" t="n">
        <v>238</v>
      </c>
      <c r="K379" s="20" t="n">
        <v>4089</v>
      </c>
      <c r="M379" s="20" t="n">
        <v>-1427</v>
      </c>
      <c r="O379" s="20" t="n">
        <v>-515.376</v>
      </c>
      <c r="P379" s="20" t="n">
        <v>778.734</v>
      </c>
      <c r="Q379" s="20" t="n">
        <v>-188.739</v>
      </c>
      <c r="R379" s="20" t="n">
        <v>255.682</v>
      </c>
      <c r="S379" s="20" t="n">
        <v>2651.711</v>
      </c>
      <c r="T379" s="20" t="n">
        <v>3359.358</v>
      </c>
      <c r="U379" s="20" t="n">
        <v>-4005.557</v>
      </c>
      <c r="V379" s="20" t="n">
        <v>-47.866</v>
      </c>
      <c r="W379" s="20" t="n">
        <v>-739</v>
      </c>
      <c r="X379" s="20" t="n">
        <v>4089</v>
      </c>
    </row>
    <row r="380">
      <c r="A380" s="18" t="inlineStr">
        <is>
          <t>연결범위 변경에 따른 현금성자산 증감</t>
        </is>
      </c>
      <c r="O380" s="20" t="n">
        <v>83.18300000000001</v>
      </c>
      <c r="P380" s="20" t="n">
        <v>0</v>
      </c>
    </row>
    <row r="381">
      <c r="A381" s="18" t="inlineStr">
        <is>
          <t>신규 연결 현금성자산 증가</t>
        </is>
      </c>
      <c r="C381" s="20" t="n">
        <v>2.315</v>
      </c>
      <c r="E381" s="20" t="n">
        <v>0</v>
      </c>
      <c r="G381" s="20" t="n">
        <v>0</v>
      </c>
      <c r="T381" s="20" t="n">
        <v>0</v>
      </c>
      <c r="U381" s="20" t="n">
        <v>2.312</v>
      </c>
      <c r="V381" s="20" t="n">
        <v>2.315</v>
      </c>
      <c r="W381" s="20" t="n">
        <v>0</v>
      </c>
    </row>
    <row r="382">
      <c r="A382" s="18" t="inlineStr">
        <is>
          <t>연결 제외 현금성자산 감소</t>
        </is>
      </c>
      <c r="C382" s="20" t="n">
        <v>0</v>
      </c>
      <c r="E382" s="20" t="n">
        <v>-38</v>
      </c>
      <c r="G382" s="20" t="n">
        <v>-40</v>
      </c>
      <c r="I382" s="20" t="n">
        <v>0</v>
      </c>
      <c r="K382" s="20" t="n">
        <v>0</v>
      </c>
      <c r="V382" s="20" t="n">
        <v>0</v>
      </c>
      <c r="W382" s="20" t="n">
        <v>-40</v>
      </c>
      <c r="X382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아스테나홀딩스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2025.3Q</t>
        </is>
      </c>
      <c r="D3" s="5" t="inlineStr">
        <is>
          <t>2025.4Q</t>
        </is>
      </c>
      <c r="E3" s="5" t="inlineStr">
        <is>
          <t>2026.1Q</t>
        </is>
      </c>
      <c r="F3" s="5" t="inlineStr">
        <is>
          <t>2026.2Q</t>
        </is>
      </c>
      <c r="G3" s="5" t="inlineStr">
        <is>
          <t>2026.3Q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45816</v>
      </c>
      <c r="D5" s="12" t="n">
        <v>47339</v>
      </c>
      <c r="E5" s="12" t="n">
        <v>45029</v>
      </c>
      <c r="F5" s="12" t="n">
        <v>46204</v>
      </c>
      <c r="G5" s="12" t="n">
        <v>45687</v>
      </c>
      <c r="H5" s="11" t="n">
        <v>38056.982</v>
      </c>
      <c r="I5" s="12" t="n">
        <v>36749.534</v>
      </c>
      <c r="J5" s="12" t="n">
        <v>37894.056</v>
      </c>
      <c r="K5" s="12" t="n">
        <v>39141</v>
      </c>
      <c r="L5" s="12" t="n">
        <v>47339</v>
      </c>
    </row>
    <row r="6">
      <c r="A6" s="18" t="inlineStr">
        <is>
          <t>현금및현금성자산</t>
        </is>
      </c>
      <c r="B6" s="10" t="n"/>
      <c r="C6" s="19" t="n">
        <v>10108</v>
      </c>
      <c r="D6" s="20" t="n">
        <v>10190</v>
      </c>
      <c r="E6" s="20" t="n">
        <v>8466</v>
      </c>
      <c r="F6" s="20" t="n">
        <v>8642</v>
      </c>
      <c r="G6" s="20" t="n">
        <v>8089</v>
      </c>
      <c r="H6" s="19" t="n">
        <v>10927.061</v>
      </c>
      <c r="I6" s="20" t="n">
        <v>6925.821</v>
      </c>
      <c r="J6" s="20" t="n">
        <v>6881.27</v>
      </c>
      <c r="K6" s="20" t="n">
        <v>6101</v>
      </c>
      <c r="L6" s="20" t="n">
        <v>10190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16770</v>
      </c>
      <c r="D8" s="20" t="n">
        <v>18858</v>
      </c>
      <c r="E8" s="20" t="n">
        <v>16818</v>
      </c>
      <c r="F8" s="20" t="n">
        <v>17909</v>
      </c>
      <c r="G8" s="20" t="n">
        <v>17532</v>
      </c>
      <c r="H8" s="19" t="n">
        <v>0</v>
      </c>
      <c r="I8" s="20" t="n">
        <v>15362.845</v>
      </c>
      <c r="J8" s="20" t="n">
        <v>15169.749</v>
      </c>
      <c r="K8" s="20" t="n">
        <v>16703</v>
      </c>
      <c r="L8" s="20" t="n">
        <v>18858</v>
      </c>
    </row>
    <row r="9">
      <c r="A9" s="18" t="inlineStr">
        <is>
          <t>재고자산</t>
        </is>
      </c>
      <c r="B9" s="10" t="n"/>
      <c r="C9" s="19" t="n">
        <v>12033</v>
      </c>
      <c r="D9" s="20" t="n">
        <v>12205</v>
      </c>
      <c r="E9" s="20" t="n">
        <v>13872</v>
      </c>
      <c r="F9" s="20" t="n">
        <v>13698</v>
      </c>
      <c r="G9" s="20" t="n">
        <v>15016</v>
      </c>
      <c r="H9" s="19" t="n">
        <v>9338.171</v>
      </c>
      <c r="I9" s="20" t="n">
        <v>9489.468000000001</v>
      </c>
      <c r="J9" s="20" t="n">
        <v>10795.931</v>
      </c>
      <c r="K9" s="20" t="n">
        <v>10405</v>
      </c>
      <c r="L9" s="20" t="n">
        <v>12205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25452</v>
      </c>
      <c r="D11" s="12" t="n">
        <v>28582</v>
      </c>
      <c r="E11" s="12" t="n">
        <v>28280</v>
      </c>
      <c r="F11" s="12" t="n">
        <v>28659</v>
      </c>
      <c r="G11" s="12" t="n">
        <v>29097</v>
      </c>
      <c r="H11" s="11" t="n">
        <v>25496.667</v>
      </c>
      <c r="I11" s="12" t="n">
        <v>26802.285</v>
      </c>
      <c r="J11" s="12" t="n">
        <v>29360.46</v>
      </c>
      <c r="K11" s="12" t="n">
        <v>25453</v>
      </c>
      <c r="L11" s="12" t="n">
        <v>28582</v>
      </c>
    </row>
    <row r="12">
      <c r="A12" s="18" t="inlineStr">
        <is>
          <t>유형자산</t>
        </is>
      </c>
      <c r="B12" s="10" t="n"/>
      <c r="C12" s="19" t="n">
        <v>12779</v>
      </c>
      <c r="D12" s="20" t="n">
        <v>13291</v>
      </c>
      <c r="E12" s="20" t="n">
        <v>13578</v>
      </c>
      <c r="F12" s="20" t="n">
        <v>13756</v>
      </c>
      <c r="G12" s="20" t="n">
        <v>14263</v>
      </c>
      <c r="H12" s="19" t="n">
        <v>11950.032</v>
      </c>
      <c r="I12" s="20" t="n">
        <v>13119.799</v>
      </c>
      <c r="J12" s="20" t="n">
        <v>14812.158</v>
      </c>
      <c r="K12" s="20" t="n">
        <v>11920</v>
      </c>
      <c r="L12" s="20" t="n">
        <v>13291</v>
      </c>
    </row>
    <row r="13">
      <c r="A13" s="18" t="inlineStr">
        <is>
          <t>무형자산</t>
        </is>
      </c>
      <c r="B13" s="10" t="n"/>
      <c r="C13" s="19" t="n">
        <v>6441</v>
      </c>
      <c r="D13" s="20" t="n">
        <v>8118</v>
      </c>
      <c r="E13" s="20" t="n">
        <v>7409</v>
      </c>
      <c r="F13" s="20" t="n">
        <v>7706</v>
      </c>
      <c r="G13" s="20" t="n">
        <v>7518</v>
      </c>
      <c r="H13" s="19" t="n">
        <v>8411.843999999999</v>
      </c>
      <c r="I13" s="20" t="n">
        <v>8285.118</v>
      </c>
      <c r="J13" s="20" t="n">
        <v>7458.719</v>
      </c>
      <c r="K13" s="20" t="n">
        <v>6893</v>
      </c>
      <c r="L13" s="20" t="n">
        <v>8118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71269</v>
      </c>
      <c r="D16" s="12" t="n">
        <v>75921</v>
      </c>
      <c r="E16" s="12" t="n">
        <v>73309</v>
      </c>
      <c r="F16" s="12" t="n">
        <v>74864</v>
      </c>
      <c r="G16" s="12" t="n">
        <v>74784</v>
      </c>
      <c r="H16" s="11" t="n">
        <v>63553.65</v>
      </c>
      <c r="I16" s="12" t="n">
        <v>63551.819</v>
      </c>
      <c r="J16" s="12" t="n">
        <v>67254.75</v>
      </c>
      <c r="K16" s="12" t="n">
        <v>64595</v>
      </c>
      <c r="L16" s="12" t="n">
        <v>75921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35050</v>
      </c>
      <c r="D18" s="12" t="n">
        <v>38074</v>
      </c>
      <c r="E18" s="12" t="n">
        <v>31771</v>
      </c>
      <c r="F18" s="12" t="n">
        <v>30592</v>
      </c>
      <c r="G18" s="12" t="n">
        <v>31132</v>
      </c>
      <c r="H18" s="11" t="n">
        <v>26639.245</v>
      </c>
      <c r="I18" s="12" t="n">
        <v>27792.074</v>
      </c>
      <c r="J18" s="12" t="n">
        <v>29981.62</v>
      </c>
      <c r="K18" s="12" t="n">
        <v>31903</v>
      </c>
      <c r="L18" s="12" t="n">
        <v>38074</v>
      </c>
    </row>
    <row r="19">
      <c r="A19" s="18" t="inlineStr">
        <is>
          <t>매입채무</t>
        </is>
      </c>
      <c r="B19" s="10" t="n"/>
      <c r="C19" s="19" t="n">
        <v>8645</v>
      </c>
      <c r="D19" s="20" t="n">
        <v>9551</v>
      </c>
      <c r="E19" s="20" t="n">
        <v>9177</v>
      </c>
      <c r="F19" s="20" t="n">
        <v>9823</v>
      </c>
      <c r="G19" s="20" t="n">
        <v>10227</v>
      </c>
      <c r="H19" s="19" t="n">
        <v>8851.843000000001</v>
      </c>
      <c r="I19" s="20" t="n">
        <v>8475.155000000001</v>
      </c>
      <c r="J19" s="20" t="n">
        <v>8503.064</v>
      </c>
      <c r="K19" s="20" t="n">
        <v>9272</v>
      </c>
      <c r="L19" s="20" t="n">
        <v>9551</v>
      </c>
    </row>
    <row r="20">
      <c r="A20" s="18" t="inlineStr">
        <is>
          <t>단기차입금</t>
        </is>
      </c>
      <c r="B20" s="10" t="n"/>
      <c r="C20" s="19" t="n">
        <v>16019</v>
      </c>
      <c r="D20" s="20" t="n">
        <v>16195</v>
      </c>
      <c r="E20" s="20" t="n">
        <v>12189</v>
      </c>
      <c r="F20" s="20" t="n">
        <v>9192</v>
      </c>
      <c r="G20" s="20" t="n">
        <v>11096</v>
      </c>
      <c r="H20" s="19" t="n">
        <v>9053.4</v>
      </c>
      <c r="I20" s="20" t="n">
        <v>10035</v>
      </c>
      <c r="J20" s="20" t="n">
        <v>12266.984</v>
      </c>
      <c r="K20" s="20" t="n">
        <v>11390</v>
      </c>
      <c r="L20" s="20" t="n">
        <v>16195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9935</v>
      </c>
      <c r="D23" s="12" t="n">
        <v>10402</v>
      </c>
      <c r="E23" s="12" t="n">
        <v>13656</v>
      </c>
      <c r="F23" s="12" t="n">
        <v>15475</v>
      </c>
      <c r="G23" s="12" t="n">
        <v>14646</v>
      </c>
      <c r="H23" s="11" t="n">
        <v>9908.132</v>
      </c>
      <c r="I23" s="12" t="n">
        <v>8691.043</v>
      </c>
      <c r="J23" s="12" t="n">
        <v>8671.606</v>
      </c>
      <c r="K23" s="12" t="n">
        <v>7389</v>
      </c>
      <c r="L23" s="12" t="n">
        <v>10402</v>
      </c>
    </row>
    <row r="24">
      <c r="A24" s="18" t="inlineStr">
        <is>
          <t>장기차입금</t>
        </is>
      </c>
      <c r="B24" s="10" t="n"/>
      <c r="C24" s="19" t="n">
        <v>6303</v>
      </c>
      <c r="D24" s="20" t="n">
        <v>6250</v>
      </c>
      <c r="E24" s="20" t="n">
        <v>9754</v>
      </c>
      <c r="F24" s="20" t="n">
        <v>11072</v>
      </c>
      <c r="G24" s="20" t="n">
        <v>10215</v>
      </c>
      <c r="H24" s="19" t="n">
        <v>5812.5</v>
      </c>
      <c r="I24" s="20" t="n">
        <v>4777.5</v>
      </c>
      <c r="J24" s="20" t="n">
        <v>4493.332</v>
      </c>
      <c r="K24" s="20" t="n">
        <v>3445</v>
      </c>
      <c r="L24" s="20" t="n">
        <v>6250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44986</v>
      </c>
      <c r="D27" s="12" t="n">
        <v>48476</v>
      </c>
      <c r="E27" s="12" t="n">
        <v>45428</v>
      </c>
      <c r="F27" s="12" t="n">
        <v>46068</v>
      </c>
      <c r="G27" s="12" t="n">
        <v>45778</v>
      </c>
      <c r="H27" s="11" t="n">
        <v>36547.377</v>
      </c>
      <c r="I27" s="12" t="n">
        <v>36483.118</v>
      </c>
      <c r="J27" s="12" t="n">
        <v>38653.227</v>
      </c>
      <c r="K27" s="12" t="n">
        <v>39293</v>
      </c>
      <c r="L27" s="12" t="n">
        <v>48476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26123</v>
      </c>
      <c r="D31" s="12" t="n">
        <v>27082</v>
      </c>
      <c r="E31" s="12" t="n">
        <v>27554</v>
      </c>
      <c r="F31" s="12" t="n">
        <v>28432</v>
      </c>
      <c r="G31" s="12" t="n">
        <v>28638</v>
      </c>
      <c r="H31" s="11" t="n">
        <v>26999.686</v>
      </c>
      <c r="I31" s="12" t="n">
        <v>26986.607</v>
      </c>
      <c r="J31" s="12" t="n">
        <v>28420.286</v>
      </c>
      <c r="K31" s="12" t="n">
        <v>25166</v>
      </c>
      <c r="L31" s="12" t="n">
        <v>27082</v>
      </c>
    </row>
    <row r="32">
      <c r="A32" s="18" t="inlineStr">
        <is>
          <t>자본금</t>
        </is>
      </c>
      <c r="B32" s="10" t="n"/>
      <c r="C32" s="19" t="n">
        <v>4629</v>
      </c>
      <c r="D32" s="20" t="n">
        <v>4629</v>
      </c>
      <c r="E32" s="20" t="n">
        <v>4629</v>
      </c>
      <c r="F32" s="20" t="n">
        <v>4651</v>
      </c>
      <c r="G32" s="20" t="n">
        <v>4651</v>
      </c>
      <c r="H32" s="19" t="n">
        <v>4528.304</v>
      </c>
      <c r="I32" s="20" t="n">
        <v>4557.4</v>
      </c>
      <c r="J32" s="20" t="n">
        <v>4581.397</v>
      </c>
      <c r="K32" s="20" t="n">
        <v>4605</v>
      </c>
      <c r="L32" s="20" t="n">
        <v>4629</v>
      </c>
    </row>
    <row r="33">
      <c r="A33" s="18" t="inlineStr">
        <is>
          <t>이익잉여금</t>
        </is>
      </c>
      <c r="B33" s="10" t="n"/>
      <c r="C33" s="19" t="n">
        <v>13105</v>
      </c>
      <c r="D33" s="20" t="n">
        <v>13663</v>
      </c>
      <c r="E33" s="20" t="n">
        <v>13875</v>
      </c>
      <c r="F33" s="20" t="n">
        <v>14711</v>
      </c>
      <c r="G33" s="20" t="n">
        <v>14930</v>
      </c>
      <c r="H33" s="19" t="n">
        <v>15027.322</v>
      </c>
      <c r="I33" s="20" t="n">
        <v>15031.853</v>
      </c>
      <c r="J33" s="20" t="n">
        <v>15462.238</v>
      </c>
      <c r="K33" s="20" t="n">
        <v>12229</v>
      </c>
      <c r="L33" s="20" t="n">
        <v>13663</v>
      </c>
    </row>
    <row r="34">
      <c r="A34" s="18" t="inlineStr">
        <is>
          <t>비지배지분</t>
        </is>
      </c>
      <c r="B34" s="10" t="n"/>
      <c r="C34" s="19" t="n">
        <v>160</v>
      </c>
      <c r="D34" s="20" t="n">
        <v>362</v>
      </c>
      <c r="E34" s="20" t="n">
        <v>326</v>
      </c>
      <c r="F34" s="20" t="n">
        <v>364</v>
      </c>
      <c r="G34" s="20" t="n">
        <v>368</v>
      </c>
      <c r="H34" s="19" t="n">
        <v>6.586</v>
      </c>
      <c r="I34" s="20" t="n">
        <v>82.09399999999999</v>
      </c>
      <c r="J34" s="20" t="n">
        <v>181.236</v>
      </c>
      <c r="K34" s="20" t="n">
        <v>136</v>
      </c>
      <c r="L34" s="20" t="n">
        <v>362</v>
      </c>
    </row>
    <row r="35">
      <c r="A35" s="9" t="inlineStr">
        <is>
          <t>자본총계</t>
        </is>
      </c>
      <c r="B35" s="10" t="n"/>
      <c r="C35" s="11" t="n">
        <v>26283</v>
      </c>
      <c r="D35" s="12" t="n">
        <v>27444</v>
      </c>
      <c r="E35" s="12" t="n">
        <v>27880</v>
      </c>
      <c r="F35" s="12" t="n">
        <v>28796</v>
      </c>
      <c r="G35" s="12" t="n">
        <v>29006</v>
      </c>
      <c r="H35" s="11" t="n">
        <v>27006.272</v>
      </c>
      <c r="I35" s="12" t="n">
        <v>27068.701</v>
      </c>
      <c r="J35" s="12" t="n">
        <v>28601.522</v>
      </c>
      <c r="K35" s="12" t="n">
        <v>25302</v>
      </c>
      <c r="L35" s="12" t="n">
        <v>27444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3393</v>
      </c>
      <c r="E37" s="12" t="n"/>
      <c r="F37" s="12" t="n">
        <v>4890</v>
      </c>
      <c r="G37" s="12" t="n"/>
      <c r="H37" s="11" t="n">
        <v>1349.233</v>
      </c>
      <c r="I37" s="12" t="n">
        <v>-742.4160000000001</v>
      </c>
      <c r="J37" s="12" t="n">
        <v>1643.927</v>
      </c>
      <c r="K37" s="12" t="n">
        <v>4848</v>
      </c>
      <c r="L37" s="12" t="n">
        <v>3393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3175</v>
      </c>
      <c r="E38" s="20" t="n"/>
      <c r="F38" s="20" t="n">
        <v>3230</v>
      </c>
      <c r="G38" s="20" t="n"/>
      <c r="H38" s="19" t="n">
        <v>3494.226</v>
      </c>
      <c r="I38" s="20" t="n">
        <v>3030.438</v>
      </c>
      <c r="J38" s="20" t="n">
        <v>4165.026</v>
      </c>
      <c r="K38" s="20" t="n">
        <v>3197</v>
      </c>
      <c r="L38" s="20" t="n">
        <v>3175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735</v>
      </c>
      <c r="E40" s="20" t="n"/>
      <c r="F40" s="20" t="n">
        <v>737</v>
      </c>
      <c r="G40" s="20" t="n"/>
      <c r="H40" s="19" t="n">
        <v>650.692</v>
      </c>
      <c r="I40" s="20" t="n">
        <v>729.3440000000001</v>
      </c>
      <c r="J40" s="20" t="n">
        <v>719.0549999999999</v>
      </c>
      <c r="K40" s="20" t="n">
        <v>727</v>
      </c>
      <c r="L40" s="20" t="n">
        <v>735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IFERROR((IF(COUNT('연간'!G46:J46)&lt;4,"",SUM('연간'!G46:J46)))/(IF(COUNT('연간'!G68:J68)&lt;4,"",SUM('연간'!G68:J68))),"")</f>
        <v/>
      </c>
      <c r="D48" s="31">
        <f>IFERROR((IF(COUNT('연간'!H46:K46)&lt;4,"",SUM('연간'!H46:K46)))/(IF(COUNT('연간'!H68:K68)&lt;4,"",SUM('연간'!H68:K68))),"")</f>
        <v/>
      </c>
      <c r="E48" s="31">
        <f>IFERROR((IF(COUNT('연간'!I46:L46)&lt;4,"",SUM('연간'!I46:L46)))/(IF(COUNT('연간'!I68:L68)&lt;4,"",SUM('연간'!I68:L68))),"")</f>
        <v/>
      </c>
      <c r="F48" s="31">
        <f>IFERROR((IF(COUNT('연간'!J46:M46)&lt;4,"",SUM('연간'!J46:M46)))/(IF(COUNT('연간'!J68:M68)&lt;4,"",SUM('연간'!J68:M68))),"")</f>
        <v/>
      </c>
      <c r="G48" s="31">
        <f>IFERROR((IF(COUNT('연간'!K46:N46)&lt;4,"",SUM('연간'!K46:N46)))/(IF(COUNT('연간'!K68:N68)&lt;4,"",SUM('연간'!K68:N68))),"")</f>
        <v/>
      </c>
      <c r="H48" s="30">
        <f>IFERROR(('연간'!T46)/('연간'!T68),"")</f>
        <v/>
      </c>
      <c r="I48" s="31">
        <f>IFERROR(('연간'!U46)/('연간'!U68),"")</f>
        <v/>
      </c>
      <c r="J48" s="31">
        <f>IFERROR(('연간'!V46)/('연간'!V68),"")</f>
        <v/>
      </c>
      <c r="K48" s="31">
        <f>IFERROR(('연간'!W46)/('연간'!W68),"")</f>
        <v/>
      </c>
      <c r="L48" s="31">
        <f>IFERROR(('연간'!X46)/('연간'!X68),"")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IFERROR(IF((IF(COUNT('연간'!G76:J76)&lt;4,"",SUM('연간'!G76:J76)))&lt;=0,"적자",C28/(IF(COUNT('연간'!G76:J76)&lt;4,"",SUM('연간'!G76:J76)))),"")</f>
        <v/>
      </c>
      <c r="D49" s="47">
        <f>IFERROR(IF((IF(COUNT('연간'!H76:K76)&lt;4,"",SUM('연간'!H76:K76)))&lt;=0,"적자",D28/(IF(COUNT('연간'!H76:K76)&lt;4,"",SUM('연간'!H76:K76)))),"")</f>
        <v/>
      </c>
      <c r="E49" s="47">
        <f>IFERROR(IF((IF(COUNT('연간'!I76:L76)&lt;4,"",SUM('연간'!I76:L76)))&lt;=0,"적자",E28/(IF(COUNT('연간'!I76:L76)&lt;4,"",SUM('연간'!I76:L76)))),"")</f>
        <v/>
      </c>
      <c r="F49" s="47">
        <f>IFERROR(IF((IF(COUNT('연간'!J76:M76)&lt;4,"",SUM('연간'!J76:M76)))&lt;=0,"적자",F28/(IF(COUNT('연간'!J76:M76)&lt;4,"",SUM('연간'!J76:M76)))),"")</f>
        <v/>
      </c>
      <c r="G49" s="47">
        <f>IFERROR(IF((IF(COUNT('연간'!K76:N76)&lt;4,"",SUM('연간'!K76:N76)))&lt;=0,"적자",G28/(IF(COUNT('연간'!K76:N76)&lt;4,"",SUM('연간'!K76:N76)))),"")</f>
        <v/>
      </c>
      <c r="H49" s="46">
        <f>IFERROR(IF(('연간'!T76)&lt;=0,"적자",H28/('연간'!T76)),"")</f>
        <v/>
      </c>
      <c r="I49" s="47">
        <f>IFERROR(IF(('연간'!U76)&lt;=0,"적자",I28/('연간'!U76)),"")</f>
        <v/>
      </c>
      <c r="J49" s="47">
        <f>IFERROR(IF(('연간'!V76)&lt;=0,"적자",J28/('연간'!V76)),"")</f>
        <v/>
      </c>
      <c r="K49" s="47">
        <f>IFERROR(IF(('연간'!W76)&lt;=0,"적자",K28/('연간'!W76)),"")</f>
        <v/>
      </c>
      <c r="L49" s="47">
        <f>IFERROR(IF(('연간'!X76)&lt;=0,"적자",L28/('연간'!X76)),"")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IFERROR((IF(COUNT('연간'!G76:J76)&lt;4,"",SUM('연간'!G76:J76)))/C31,"")</f>
        <v/>
      </c>
      <c r="D51" s="36">
        <f>IFERROR((IF(COUNT('연간'!H76:K76)&lt;4,"",SUM('연간'!H76:K76)))/D31,"")</f>
        <v/>
      </c>
      <c r="E51" s="36">
        <f>IFERROR((IF(COUNT('연간'!I76:L76)&lt;4,"",SUM('연간'!I76:L76)))/E31,"")</f>
        <v/>
      </c>
      <c r="F51" s="36">
        <f>IFERROR((IF(COUNT('연간'!J76:M76)&lt;4,"",SUM('연간'!J76:M76)))/F31,"")</f>
        <v/>
      </c>
      <c r="G51" s="36">
        <f>IFERROR((IF(COUNT('연간'!K76:N76)&lt;4,"",SUM('연간'!K76:N76)))/G31,"")</f>
        <v/>
      </c>
      <c r="H51" s="35">
        <f>IFERROR(('연간'!T76)/H31,"")</f>
        <v/>
      </c>
      <c r="I51" s="36">
        <f>IFERROR(('연간'!U76)/I31,"")</f>
        <v/>
      </c>
      <c r="J51" s="36">
        <f>IFERROR(('연간'!V76)/J31,"")</f>
        <v/>
      </c>
      <c r="K51" s="36">
        <f>IFERROR(('연간'!W76)/K31,"")</f>
        <v/>
      </c>
      <c r="L51" s="36">
        <f>IFERROR(('연간'!X76)/L31,"")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IFERROR((IF(COUNT('연간'!G74:J74)&lt;4,"",SUM('연간'!G74:J74)))/C16,"")</f>
        <v/>
      </c>
      <c r="D52" s="36">
        <f>IFERROR((IF(COUNT('연간'!H74:K74)&lt;4,"",SUM('연간'!H74:K74)))/D16,"")</f>
        <v/>
      </c>
      <c r="E52" s="36">
        <f>IFERROR((IF(COUNT('연간'!I74:L74)&lt;4,"",SUM('연간'!I74:L74)))/E16,"")</f>
        <v/>
      </c>
      <c r="F52" s="36">
        <f>IFERROR((IF(COUNT('연간'!J74:M74)&lt;4,"",SUM('연간'!J74:M74)))/F16,"")</f>
        <v/>
      </c>
      <c r="G52" s="36">
        <f>IFERROR((IF(COUNT('연간'!K74:N74)&lt;4,"",SUM('연간'!K74:N74)))/G16,"")</f>
        <v/>
      </c>
      <c r="H52" s="35">
        <f>IFERROR(('연간'!T74)/H16,"")</f>
        <v/>
      </c>
      <c r="I52" s="36">
        <f>IFERROR(('연간'!U74)/I16,"")</f>
        <v/>
      </c>
      <c r="J52" s="36">
        <f>IFERROR(('연간'!V74)/J16,"")</f>
        <v/>
      </c>
      <c r="K52" s="36">
        <f>IFERROR(('연간'!W74)/K16,"")</f>
        <v/>
      </c>
      <c r="L52" s="36">
        <f>IFERROR(('연간'!X74)/L16,"")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IFERROR((IF(COUNT('연간'!G46:J46)&lt;4,"",SUM('연간'!G46:J46)))*(1-0.3)/(C35+C29),"")</f>
        <v/>
      </c>
      <c r="D53" s="36">
        <f>IFERROR((IF(COUNT('연간'!H46:K46)&lt;4,"",SUM('연간'!H46:K46)))*(1-0.3)/(D35+D29),"")</f>
        <v/>
      </c>
      <c r="E53" s="36">
        <f>IFERROR((IF(COUNT('연간'!I46:L46)&lt;4,"",SUM('연간'!I46:L46)))*(1-0.3)/(E35+E29),"")</f>
        <v/>
      </c>
      <c r="F53" s="36">
        <f>IFERROR((IF(COUNT('연간'!J46:M46)&lt;4,"",SUM('연간'!J46:M46)))*(1-0.3)/(F35+F29),"")</f>
        <v/>
      </c>
      <c r="G53" s="36">
        <f>IFERROR((IF(COUNT('연간'!K46:N46)&lt;4,"",SUM('연간'!K46:N46)))*(1-0.3)/(G35+G29),"")</f>
        <v/>
      </c>
      <c r="H53" s="35">
        <f>IFERROR(('연간'!T46)*(1-0.3)/(H35+H29),"")</f>
        <v/>
      </c>
      <c r="I53" s="36">
        <f>IFERROR(('연간'!U46)*(1-0.3)/(I35+I29),"")</f>
        <v/>
      </c>
      <c r="J53" s="36">
        <f>IFERROR(('연간'!V46)*(1-0.3)/(J35+J29),"")</f>
        <v/>
      </c>
      <c r="K53" s="36">
        <f>IFERROR(('연간'!W46)*(1-0.3)/(K35+K29),"")</f>
        <v/>
      </c>
      <c r="L53" s="36">
        <f>IFERROR(('연간'!X46)*(1-0.3)/(L35+L29),"")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IFERROR((IF(COUNT('연간'!G40:J40)&lt;4,"",SUM('연간'!G40:J40)))/(IF(COUNT('연간'!G4:J4)&lt;4,"",SUM('연간'!G4:J4))),"")</f>
        <v/>
      </c>
      <c r="D54" s="36">
        <f>IFERROR((IF(COUNT('연간'!H40:K40)&lt;4,"",SUM('연간'!H40:K40)))/(IF(COUNT('연간'!H4:K4)&lt;4,"",SUM('연간'!H4:K4))),"")</f>
        <v/>
      </c>
      <c r="E54" s="36">
        <f>IFERROR((IF(COUNT('연간'!I40:L40)&lt;4,"",SUM('연간'!I40:L40)))/(IF(COUNT('연간'!I4:L4)&lt;4,"",SUM('연간'!I4:L4))),"")</f>
        <v/>
      </c>
      <c r="F54" s="36">
        <f>IFERROR((IF(COUNT('연간'!J40:M40)&lt;4,"",SUM('연간'!J40:M40)))/(IF(COUNT('연간'!J4:M4)&lt;4,"",SUM('연간'!J4:M4))),"")</f>
        <v/>
      </c>
      <c r="G54" s="36">
        <f>IFERROR((IF(COUNT('연간'!K40:N40)&lt;4,"",SUM('연간'!K40:N40)))/(IF(COUNT('연간'!K4:N4)&lt;4,"",SUM('연간'!K4:N4))),"")</f>
        <v/>
      </c>
      <c r="H54" s="35">
        <f>IFERROR(('연간'!T40)/('연간'!T4),"")</f>
        <v/>
      </c>
      <c r="I54" s="36">
        <f>IFERROR(('연간'!U40)/('연간'!U4),"")</f>
        <v/>
      </c>
      <c r="J54" s="36">
        <f>IFERROR(('연간'!V40)/('연간'!V4),"")</f>
        <v/>
      </c>
      <c r="K54" s="36">
        <f>IFERROR(('연간'!W40)/('연간'!W4),"")</f>
        <v/>
      </c>
      <c r="L54" s="36">
        <f>IFERROR(('연간'!X40)/('연간'!X4),"")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IFERROR((IF(COUNT('연간'!G46:J46)&lt;4,"",SUM('연간'!G46:J46)))/(IF(COUNT('연간'!G4:J4)&lt;4,"",SUM('연간'!G4:J4))),"")</f>
        <v/>
      </c>
      <c r="D55" s="36">
        <f>IFERROR((IF(COUNT('연간'!H46:K46)&lt;4,"",SUM('연간'!H46:K46)))/(IF(COUNT('연간'!H4:K4)&lt;4,"",SUM('연간'!H4:K4))),"")</f>
        <v/>
      </c>
      <c r="E55" s="36">
        <f>IFERROR((IF(COUNT('연간'!I46:L46)&lt;4,"",SUM('연간'!I46:L46)))/(IF(COUNT('연간'!I4:L4)&lt;4,"",SUM('연간'!I4:L4))),"")</f>
        <v/>
      </c>
      <c r="F55" s="36">
        <f>IFERROR((IF(COUNT('연간'!J46:M46)&lt;4,"",SUM('연간'!J46:M46)))/(IF(COUNT('연간'!J4:M4)&lt;4,"",SUM('연간'!J4:M4))),"")</f>
        <v/>
      </c>
      <c r="G55" s="36">
        <f>IFERROR((IF(COUNT('연간'!K46:N46)&lt;4,"",SUM('연간'!K46:N46)))/(IF(COUNT('연간'!K4:N4)&lt;4,"",SUM('연간'!K4:N4))),"")</f>
        <v/>
      </c>
      <c r="H55" s="35">
        <f>IFERROR(('연간'!T46)/('연간'!T4),"")</f>
        <v/>
      </c>
      <c r="I55" s="36">
        <f>IFERROR(('연간'!U46)/('연간'!U4),"")</f>
        <v/>
      </c>
      <c r="J55" s="36">
        <f>IFERROR(('연간'!V46)/('연간'!V4),"")</f>
        <v/>
      </c>
      <c r="K55" s="36">
        <f>IFERROR(('연간'!W46)/('연간'!W4),"")</f>
        <v/>
      </c>
      <c r="L55" s="36">
        <f>IFERROR(('연간'!X46)/('연간'!X4),"")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IFERROR((IF(COUNT('연간'!G74:J74)&lt;4,"",SUM('연간'!G74:J74)))/(IF(COUNT('연간'!G4:J4)&lt;4,"",SUM('연간'!G4:J4))),"")</f>
        <v/>
      </c>
      <c r="D56" s="36">
        <f>IFERROR((IF(COUNT('연간'!H74:K74)&lt;4,"",SUM('연간'!H74:K74)))/(IF(COUNT('연간'!H4:K4)&lt;4,"",SUM('연간'!H4:K4))),"")</f>
        <v/>
      </c>
      <c r="E56" s="36">
        <f>IFERROR((IF(COUNT('연간'!I74:L74)&lt;4,"",SUM('연간'!I74:L74)))/(IF(COUNT('연간'!I4:L4)&lt;4,"",SUM('연간'!I4:L4))),"")</f>
        <v/>
      </c>
      <c r="F56" s="36">
        <f>IFERROR((IF(COUNT('연간'!J74:M74)&lt;4,"",SUM('연간'!J74:M74)))/(IF(COUNT('연간'!J4:M4)&lt;4,"",SUM('연간'!J4:M4))),"")</f>
        <v/>
      </c>
      <c r="G56" s="36">
        <f>IFERROR((IF(COUNT('연간'!K74:N74)&lt;4,"",SUM('연간'!K74:N74)))/(IF(COUNT('연간'!K4:N4)&lt;4,"",SUM('연간'!K4:N4))),"")</f>
        <v/>
      </c>
      <c r="H56" s="35">
        <f>IFERROR(('연간'!T74)/('연간'!T4),"")</f>
        <v/>
      </c>
      <c r="I56" s="36">
        <f>IFERROR(('연간'!U74)/('연간'!U4),"")</f>
        <v/>
      </c>
      <c r="J56" s="36">
        <f>IFERROR(('연간'!V74)/('연간'!V4),"")</f>
        <v/>
      </c>
      <c r="K56" s="36">
        <f>IFERROR(('연간'!W74)/('연간'!W4),"")</f>
        <v/>
      </c>
      <c r="L56" s="36">
        <f>IFERROR(('연간'!X74)/('연간'!X4),"")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IFERROR(C9/(IF(COUNT('연간'!G38:J38)&lt;4,"",SUM('연간'!G38:J38)))*365,"")</f>
        <v/>
      </c>
      <c r="D60" s="49">
        <f>IFERROR(D9/(IF(COUNT('연간'!H38:K38)&lt;4,"",SUM('연간'!H38:K38)))*365,"")</f>
        <v/>
      </c>
      <c r="E60" s="49">
        <f>IFERROR(E9/(IF(COUNT('연간'!I38:L38)&lt;4,"",SUM('연간'!I38:L38)))*365,"")</f>
        <v/>
      </c>
      <c r="F60" s="49">
        <f>IFERROR(F9/(IF(COUNT('연간'!J38:M38)&lt;4,"",SUM('연간'!J38:M38)))*365,"")</f>
        <v/>
      </c>
      <c r="G60" s="49">
        <f>IFERROR(G9/(IF(COUNT('연간'!K38:N38)&lt;4,"",SUM('연간'!K38:N38)))*365,"")</f>
        <v/>
      </c>
      <c r="H60" s="48">
        <f>IFERROR(H9/('연간'!T38)*365,"")</f>
        <v/>
      </c>
      <c r="I60" s="49">
        <f>IFERROR(I9/('연간'!U38)*365,"")</f>
        <v/>
      </c>
      <c r="J60" s="49">
        <f>IFERROR(J9/('연간'!V38)*365,"")</f>
        <v/>
      </c>
      <c r="K60" s="49">
        <f>IFERROR(K9/('연간'!W38)*365,"")</f>
        <v/>
      </c>
      <c r="L60" s="49">
        <f>IFERROR(L9/('연간'!X38)*365,"")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IFERROR(C19/(IF(COUNT('연간'!G38:J38)&lt;4,"",SUM('연간'!G38:J38)))*365,"")</f>
        <v/>
      </c>
      <c r="D61" s="49">
        <f>IFERROR(D19/(IF(COUNT('연간'!H38:K38)&lt;4,"",SUM('연간'!H38:K38)))*365,"")</f>
        <v/>
      </c>
      <c r="E61" s="49">
        <f>IFERROR(E19/(IF(COUNT('연간'!I38:L38)&lt;4,"",SUM('연간'!I38:L38)))*365,"")</f>
        <v/>
      </c>
      <c r="F61" s="49">
        <f>IFERROR(F19/(IF(COUNT('연간'!J38:M38)&lt;4,"",SUM('연간'!J38:M38)))*365,"")</f>
        <v/>
      </c>
      <c r="G61" s="49">
        <f>IFERROR(G19/(IF(COUNT('연간'!K38:N38)&lt;4,"",SUM('연간'!K38:N38)))*365,"")</f>
        <v/>
      </c>
      <c r="H61" s="48">
        <f>IFERROR(H19/('연간'!T38)*365,"")</f>
        <v/>
      </c>
      <c r="I61" s="49">
        <f>IFERROR(I19/('연간'!U38)*365,"")</f>
        <v/>
      </c>
      <c r="J61" s="49">
        <f>IFERROR(J19/('연간'!V38)*365,"")</f>
        <v/>
      </c>
      <c r="K61" s="49">
        <f>IFERROR(K19/('연간'!W38)*365,"")</f>
        <v/>
      </c>
      <c r="L61" s="49">
        <f>IFERROR(L19/('연간'!X38)*365,"")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IF(C37="","",IFERROR(C37/(IF(COUNT('연간'!G74:J74)&lt;4,"",SUM('연간'!G74:J74))),""))</f>
        <v/>
      </c>
      <c r="D64" s="31">
        <f>IF(D37="","",IFERROR(D37/(IF(COUNT('연간'!H74:K74)&lt;4,"",SUM('연간'!H74:K74))),""))</f>
        <v/>
      </c>
      <c r="E64" s="31">
        <f>IF(E37="","",IFERROR(E37/(IF(COUNT('연간'!I74:L74)&lt;4,"",SUM('연간'!I74:L74))),""))</f>
        <v/>
      </c>
      <c r="F64" s="31">
        <f>IF(F37="","",IFERROR(F37/(IF(COUNT('연간'!J74:M74)&lt;4,"",SUM('연간'!J74:M74))),""))</f>
        <v/>
      </c>
      <c r="G64" s="31">
        <f>IF(G37="","",IFERROR(G37/(IF(COUNT('연간'!K74:N74)&lt;4,"",SUM('연간'!K74:N74))),""))</f>
        <v/>
      </c>
      <c r="H64" s="30">
        <f>IF(H37="","",IFERROR(H37/('연간'!T74),""))</f>
        <v/>
      </c>
      <c r="I64" s="31">
        <f>IF(I37="","",IFERROR(I37/('연간'!U74),""))</f>
        <v/>
      </c>
      <c r="J64" s="31">
        <f>IF(J37="","",IFERROR(J37/('연간'!V74),""))</f>
        <v/>
      </c>
      <c r="K64" s="31">
        <f>IF(K37="","",IFERROR(K37/('연간'!W74),""))</f>
        <v/>
      </c>
      <c r="L64" s="31">
        <f>IF(L37="","",IFERROR(L37/('연간'!X74),""))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IF(C40="","",IFERROR(C40/(IF(COUNT('연간'!G76:J76)&lt;4,"",SUM('연간'!G76:J76))),""))</f>
        <v/>
      </c>
      <c r="D67" s="36">
        <f>IF(D40="","",IFERROR(D40/(IF(COUNT('연간'!H76:K76)&lt;4,"",SUM('연간'!H76:K76))),""))</f>
        <v/>
      </c>
      <c r="E67" s="36">
        <f>IF(E40="","",IFERROR(E40/(IF(COUNT('연간'!I76:L76)&lt;4,"",SUM('연간'!I76:L76))),""))</f>
        <v/>
      </c>
      <c r="F67" s="36">
        <f>IF(F40="","",IFERROR(F40/(IF(COUNT('연간'!J76:M76)&lt;4,"",SUM('연간'!J76:M76))),""))</f>
        <v/>
      </c>
      <c r="G67" s="36">
        <f>IF(G40="","",IFERROR(G40/(IF(COUNT('연간'!K76:N76)&lt;4,"",SUM('연간'!K76:N76))),""))</f>
        <v/>
      </c>
      <c r="H67" s="35">
        <f>IF(H40="","",IFERROR(H40/('연간'!T76),""))</f>
        <v/>
      </c>
      <c r="I67" s="36">
        <f>IF(I40="","",IFERROR(I40/('연간'!U76),""))</f>
        <v/>
      </c>
      <c r="J67" s="36">
        <f>IF(J40="","",IFERROR(J40/('연간'!V76),""))</f>
        <v/>
      </c>
      <c r="K67" s="36">
        <f>IF(K40="","",IFERROR(K40/('연간'!W76),""))</f>
        <v/>
      </c>
      <c r="L67" s="36">
        <f>IF(L40="","",IFERROR(L40/('연간'!X76),""))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2025.3Q</t>
        </is>
      </c>
      <c r="D70" s="5" t="inlineStr">
        <is>
          <t>2025.4Q</t>
        </is>
      </c>
      <c r="E70" s="5" t="inlineStr">
        <is>
          <t>2026.1Q</t>
        </is>
      </c>
      <c r="F70" s="5" t="inlineStr">
        <is>
          <t>2026.2Q</t>
        </is>
      </c>
      <c r="G70" s="5" t="inlineStr">
        <is>
          <t>2026.3Q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18" t="inlineStr">
        <is>
          <t>현금 및 예금</t>
        </is>
      </c>
      <c r="C71" s="20" t="n">
        <v>10108</v>
      </c>
      <c r="D71" s="20" t="n">
        <v>10190</v>
      </c>
      <c r="E71" s="20" t="n">
        <v>8466</v>
      </c>
      <c r="F71" s="20" t="n">
        <v>8642</v>
      </c>
      <c r="G71" s="20" t="n">
        <v>8089</v>
      </c>
      <c r="H71" s="20" t="n">
        <v>10927.061</v>
      </c>
      <c r="I71" s="20" t="n">
        <v>6925.821</v>
      </c>
      <c r="J71" s="20" t="n">
        <v>6881.27</v>
      </c>
      <c r="K71" s="20" t="n">
        <v>6101</v>
      </c>
      <c r="L71" s="20" t="n">
        <v>10190</v>
      </c>
    </row>
    <row r="72">
      <c r="A72" s="18" t="inlineStr">
        <is>
          <t>받을어음·매출채권</t>
        </is>
      </c>
      <c r="H72" s="20" t="n">
        <v>13542.403</v>
      </c>
      <c r="I72" s="20" t="n">
        <v>0</v>
      </c>
    </row>
    <row r="73">
      <c r="A73" s="18" t="inlineStr">
        <is>
          <t>받을어음</t>
        </is>
      </c>
      <c r="H73" s="20" t="n">
        <v>0</v>
      </c>
      <c r="I73" s="20" t="n">
        <v>1498.49</v>
      </c>
      <c r="J73" s="20" t="n">
        <v>1002.023</v>
      </c>
      <c r="K73" s="20" t="n">
        <v>702.422</v>
      </c>
    </row>
    <row r="74">
      <c r="A74" s="18" t="inlineStr">
        <is>
          <t>매출채권</t>
        </is>
      </c>
      <c r="H74" s="20" t="n">
        <v>0</v>
      </c>
      <c r="I74" s="20" t="n">
        <v>12477.171</v>
      </c>
      <c r="J74" s="20" t="n">
        <v>12262.081</v>
      </c>
      <c r="K74" s="20" t="n">
        <v>14172.138</v>
      </c>
    </row>
    <row r="75">
      <c r="A75" s="18" t="inlineStr">
        <is>
          <t>계약자산</t>
        </is>
      </c>
      <c r="H75" s="20" t="n">
        <v>0</v>
      </c>
      <c r="I75" s="20" t="n">
        <v>1387.183</v>
      </c>
      <c r="J75" s="20" t="n">
        <v>1905.643</v>
      </c>
      <c r="K75" s="20" t="n">
        <v>1828.501</v>
      </c>
    </row>
    <row r="76">
      <c r="A76" s="18" t="inlineStr">
        <is>
          <t>받을어음·매출채권·계약자산</t>
        </is>
      </c>
      <c r="C76" s="20" t="n">
        <v>16770</v>
      </c>
      <c r="D76" s="20" t="n">
        <v>18858</v>
      </c>
      <c r="E76" s="20" t="n">
        <v>16818</v>
      </c>
      <c r="F76" s="20" t="n">
        <v>17909</v>
      </c>
      <c r="G76" s="20" t="n">
        <v>17532</v>
      </c>
      <c r="I76" s="20" t="n">
        <v>15362.845</v>
      </c>
      <c r="J76" s="20" t="n">
        <v>15169.749</v>
      </c>
      <c r="K76" s="20" t="n">
        <v>16703</v>
      </c>
      <c r="L76" s="20" t="n">
        <v>18858</v>
      </c>
    </row>
    <row r="77">
      <c r="A77" s="18" t="inlineStr">
        <is>
          <t>전자기록채권</t>
        </is>
      </c>
      <c r="C77" s="20" t="n">
        <v>4848</v>
      </c>
      <c r="D77" s="20" t="n">
        <v>4066</v>
      </c>
      <c r="E77" s="20" t="n">
        <v>4526</v>
      </c>
      <c r="F77" s="20" t="n">
        <v>4259</v>
      </c>
      <c r="G77" s="20" t="n">
        <v>3372</v>
      </c>
      <c r="H77" s="20" t="n">
        <v>3171.123</v>
      </c>
      <c r="I77" s="20" t="n">
        <v>3743.809</v>
      </c>
      <c r="J77" s="20" t="n">
        <v>4041.39</v>
      </c>
      <c r="K77" s="20" t="n">
        <v>4643</v>
      </c>
      <c r="L77" s="20" t="n">
        <v>4066</v>
      </c>
    </row>
    <row r="78">
      <c r="A78" s="18" t="inlineStr">
        <is>
          <t>상품·제품</t>
        </is>
      </c>
      <c r="C78" s="20" t="n">
        <v>7618</v>
      </c>
      <c r="D78" s="20" t="n">
        <v>8041</v>
      </c>
      <c r="E78" s="20" t="n">
        <v>9162</v>
      </c>
      <c r="F78" s="20" t="n">
        <v>8749</v>
      </c>
      <c r="G78" s="20" t="n">
        <v>9730</v>
      </c>
      <c r="H78" s="20" t="n">
        <v>5350.885</v>
      </c>
      <c r="I78" s="20" t="n">
        <v>5915.864</v>
      </c>
      <c r="J78" s="20" t="n">
        <v>6348.158</v>
      </c>
      <c r="K78" s="20" t="n">
        <v>6136</v>
      </c>
      <c r="L78" s="20" t="n">
        <v>8041</v>
      </c>
    </row>
    <row r="79">
      <c r="A79" s="18" t="inlineStr">
        <is>
          <t>재공품</t>
        </is>
      </c>
      <c r="C79" s="20" t="n">
        <v>1872</v>
      </c>
      <c r="D79" s="20" t="n">
        <v>1650</v>
      </c>
      <c r="E79" s="20" t="n">
        <v>1845</v>
      </c>
      <c r="F79" s="20" t="n">
        <v>2084</v>
      </c>
      <c r="G79" s="20" t="n">
        <v>2236</v>
      </c>
      <c r="H79" s="20" t="n">
        <v>2130.371</v>
      </c>
      <c r="I79" s="20" t="n">
        <v>1644.206</v>
      </c>
      <c r="J79" s="20" t="n">
        <v>2319.531</v>
      </c>
      <c r="K79" s="20" t="n">
        <v>1866</v>
      </c>
      <c r="L79" s="20" t="n">
        <v>1650</v>
      </c>
    </row>
    <row r="80">
      <c r="A80" s="18" t="inlineStr">
        <is>
          <t>원재료·저장품</t>
        </is>
      </c>
      <c r="C80" s="20" t="n">
        <v>2543</v>
      </c>
      <c r="D80" s="20" t="n">
        <v>2514</v>
      </c>
      <c r="E80" s="20" t="n">
        <v>2865</v>
      </c>
      <c r="F80" s="20" t="n">
        <v>2865</v>
      </c>
      <c r="G80" s="20" t="n">
        <v>3050</v>
      </c>
      <c r="H80" s="20" t="n">
        <v>1856.915</v>
      </c>
      <c r="I80" s="20" t="n">
        <v>1929.398</v>
      </c>
      <c r="J80" s="20" t="n">
        <v>2128.242</v>
      </c>
      <c r="K80" s="20" t="n">
        <v>2403</v>
      </c>
      <c r="L80" s="20" t="n">
        <v>2514</v>
      </c>
    </row>
    <row r="81">
      <c r="A81" s="18" t="inlineStr">
        <is>
          <t>미수금</t>
        </is>
      </c>
      <c r="H81" s="20" t="n">
        <v>692.0119999999999</v>
      </c>
      <c r="I81" s="20" t="n">
        <v>696.561</v>
      </c>
      <c r="J81" s="20" t="n">
        <v>358.048</v>
      </c>
      <c r="K81" s="20" t="n">
        <v>595.333</v>
      </c>
    </row>
    <row r="82">
      <c r="A82" s="18" t="inlineStr">
        <is>
          <t>기타</t>
        </is>
      </c>
      <c r="C82" s="20" t="n">
        <v>2061</v>
      </c>
      <c r="D82" s="20" t="n">
        <v>2038</v>
      </c>
      <c r="E82" s="20" t="n">
        <v>1364</v>
      </c>
      <c r="F82" s="20" t="n">
        <v>1700</v>
      </c>
      <c r="G82" s="20" t="n">
        <v>1681</v>
      </c>
      <c r="H82" s="20" t="n">
        <v>421.345</v>
      </c>
      <c r="I82" s="20" t="n">
        <v>566.706</v>
      </c>
      <c r="J82" s="20" t="n">
        <v>658.721</v>
      </c>
      <c r="K82" s="20" t="n">
        <v>1295</v>
      </c>
      <c r="L82" s="20" t="n">
        <v>2038</v>
      </c>
    </row>
    <row r="83">
      <c r="A83" s="18" t="inlineStr">
        <is>
          <t>대손충당금</t>
        </is>
      </c>
      <c r="C83" s="20" t="n">
        <v>-5</v>
      </c>
      <c r="D83" s="20" t="n">
        <v>-21</v>
      </c>
      <c r="E83" s="20" t="n">
        <v>-20</v>
      </c>
      <c r="F83" s="20" t="n">
        <v>-7</v>
      </c>
      <c r="G83" s="20" t="n">
        <v>-6</v>
      </c>
      <c r="H83" s="20" t="n">
        <v>-35.136</v>
      </c>
      <c r="I83" s="20" t="n">
        <v>-35.679</v>
      </c>
      <c r="J83" s="20" t="n">
        <v>-11.055</v>
      </c>
      <c r="K83" s="20" t="n">
        <v>-8</v>
      </c>
      <c r="L83" s="20" t="n">
        <v>-21</v>
      </c>
    </row>
    <row r="84">
      <c r="A84" s="9" t="inlineStr">
        <is>
          <t>유동자산 합계</t>
        </is>
      </c>
      <c r="C84" s="12" t="n">
        <v>45816</v>
      </c>
      <c r="D84" s="12" t="n">
        <v>47339</v>
      </c>
      <c r="E84" s="12" t="n">
        <v>45029</v>
      </c>
      <c r="F84" s="12" t="n">
        <v>46204</v>
      </c>
      <c r="G84" s="12" t="n">
        <v>45687</v>
      </c>
      <c r="H84" s="12" t="n">
        <v>38056.982</v>
      </c>
      <c r="I84" s="12" t="n">
        <v>36749.534</v>
      </c>
      <c r="J84" s="12" t="n">
        <v>37894.056</v>
      </c>
      <c r="K84" s="12" t="n">
        <v>39141</v>
      </c>
      <c r="L84" s="12" t="n">
        <v>47339</v>
      </c>
    </row>
    <row r="85">
      <c r="A85" s="18" t="inlineStr">
        <is>
          <t>건물·구축물</t>
        </is>
      </c>
      <c r="C85" s="20" t="n">
        <v>10784</v>
      </c>
      <c r="D85" s="20" t="n">
        <v>10910</v>
      </c>
      <c r="E85" s="20" t="n">
        <v>10988</v>
      </c>
      <c r="F85" s="20" t="n">
        <v>11105</v>
      </c>
      <c r="G85" s="20" t="n">
        <v>11553</v>
      </c>
      <c r="H85" s="20" t="n">
        <v>10445.657</v>
      </c>
      <c r="I85" s="20" t="n">
        <v>10427.698</v>
      </c>
      <c r="J85" s="20" t="n">
        <v>10269.781</v>
      </c>
      <c r="K85" s="20" t="n">
        <v>10560</v>
      </c>
      <c r="L85" s="20" t="n">
        <v>10910</v>
      </c>
    </row>
    <row r="86">
      <c r="A86" s="18" t="inlineStr">
        <is>
          <t>감가상각누계액</t>
        </is>
      </c>
      <c r="C86" s="20" t="n">
        <v>-6938</v>
      </c>
      <c r="D86" s="20" t="n">
        <v>-7024</v>
      </c>
      <c r="E86" s="20" t="n">
        <v>-7113</v>
      </c>
      <c r="F86" s="20" t="n">
        <v>-7194</v>
      </c>
      <c r="G86" s="20" t="n">
        <v>-7282</v>
      </c>
      <c r="H86" s="20" t="n">
        <v>-6361.673</v>
      </c>
      <c r="I86" s="20" t="n">
        <v>-6364.667</v>
      </c>
      <c r="J86" s="20" t="n">
        <v>-6394.067</v>
      </c>
      <c r="K86" s="20" t="n">
        <v>-6723</v>
      </c>
      <c r="L86" s="20" t="n">
        <v>-7024</v>
      </c>
    </row>
    <row r="87">
      <c r="A87" s="18" t="inlineStr">
        <is>
          <t>건물·구축물(순액)</t>
        </is>
      </c>
      <c r="C87" s="20" t="n">
        <v>3846</v>
      </c>
      <c r="D87" s="20" t="n">
        <v>3885</v>
      </c>
      <c r="E87" s="20" t="n">
        <v>3875</v>
      </c>
      <c r="F87" s="20" t="n">
        <v>3910</v>
      </c>
      <c r="G87" s="20" t="n">
        <v>4271</v>
      </c>
      <c r="H87" s="20" t="n">
        <v>4083.983</v>
      </c>
      <c r="I87" s="20" t="n">
        <v>4063.03</v>
      </c>
      <c r="J87" s="20" t="n">
        <v>3875.713</v>
      </c>
      <c r="K87" s="20" t="n">
        <v>3837</v>
      </c>
      <c r="L87" s="20" t="n">
        <v>3885</v>
      </c>
    </row>
    <row r="88">
      <c r="A88" s="18" t="inlineStr">
        <is>
          <t>기계장치·운반구</t>
        </is>
      </c>
      <c r="C88" s="20" t="n">
        <v>11657</v>
      </c>
      <c r="D88" s="20" t="n">
        <v>11937</v>
      </c>
      <c r="E88" s="20" t="n">
        <v>11974</v>
      </c>
      <c r="F88" s="20" t="n">
        <v>12028</v>
      </c>
      <c r="G88" s="20" t="n">
        <v>12444</v>
      </c>
      <c r="H88" s="20" t="n">
        <v>9434.942999999999</v>
      </c>
      <c r="I88" s="20" t="n">
        <v>10079.248</v>
      </c>
      <c r="J88" s="20" t="n">
        <v>10663.559</v>
      </c>
      <c r="K88" s="20" t="n">
        <v>10994</v>
      </c>
      <c r="L88" s="20" t="n">
        <v>11937</v>
      </c>
    </row>
    <row r="89">
      <c r="A89" s="18" t="inlineStr">
        <is>
          <t>감가상각누계액</t>
        </is>
      </c>
      <c r="C89" s="20" t="n">
        <v>-9273</v>
      </c>
      <c r="D89" s="20" t="n">
        <v>-9446</v>
      </c>
      <c r="E89" s="20" t="n">
        <v>-9521</v>
      </c>
      <c r="F89" s="20" t="n">
        <v>-9668</v>
      </c>
      <c r="G89" s="20" t="n">
        <v>-9834</v>
      </c>
      <c r="H89" s="20" t="n">
        <v>-7829.996</v>
      </c>
      <c r="I89" s="20" t="n">
        <v>-8212.905000000001</v>
      </c>
      <c r="J89" s="20" t="n">
        <v>-8631.375</v>
      </c>
      <c r="K89" s="20" t="n">
        <v>-9045</v>
      </c>
      <c r="L89" s="20" t="n">
        <v>-9446</v>
      </c>
    </row>
    <row r="90">
      <c r="A90" s="18" t="inlineStr">
        <is>
          <t>기계장치·운반구(순액)</t>
        </is>
      </c>
      <c r="C90" s="20" t="n">
        <v>2384</v>
      </c>
      <c r="D90" s="20" t="n">
        <v>2491</v>
      </c>
      <c r="E90" s="20" t="n">
        <v>2452</v>
      </c>
      <c r="F90" s="20" t="n">
        <v>2359</v>
      </c>
      <c r="G90" s="20" t="n">
        <v>2610</v>
      </c>
      <c r="H90" s="20" t="n">
        <v>1604.946</v>
      </c>
      <c r="I90" s="20" t="n">
        <v>1866.343</v>
      </c>
      <c r="J90" s="20" t="n">
        <v>2032.183</v>
      </c>
      <c r="K90" s="20" t="n">
        <v>1949</v>
      </c>
      <c r="L90" s="20" t="n">
        <v>2491</v>
      </c>
    </row>
    <row r="91">
      <c r="A91" s="18" t="inlineStr">
        <is>
          <t>공구·기구·비품</t>
        </is>
      </c>
      <c r="D91" s="20" t="n">
        <v>5088</v>
      </c>
      <c r="H91" s="20" t="n">
        <v>3156.172</v>
      </c>
      <c r="I91" s="20" t="n">
        <v>3569.803</v>
      </c>
      <c r="J91" s="20" t="n">
        <v>3849.773</v>
      </c>
      <c r="K91" s="20" t="n">
        <v>4454</v>
      </c>
      <c r="L91" s="20" t="n">
        <v>5088</v>
      </c>
    </row>
    <row r="92">
      <c r="A92" s="18" t="inlineStr">
        <is>
          <t>감가상각누계액</t>
        </is>
      </c>
      <c r="D92" s="20" t="n">
        <v>-3601</v>
      </c>
      <c r="H92" s="20" t="n">
        <v>-2288.333</v>
      </c>
      <c r="I92" s="20" t="n">
        <v>-2518.618</v>
      </c>
      <c r="J92" s="20" t="n">
        <v>-2805.445</v>
      </c>
      <c r="K92" s="20" t="n">
        <v>-3166</v>
      </c>
      <c r="L92" s="20" t="n">
        <v>-3601</v>
      </c>
    </row>
    <row r="93">
      <c r="A93" s="18" t="inlineStr">
        <is>
          <t>공구·기구·비품(순액)</t>
        </is>
      </c>
      <c r="D93" s="20" t="n">
        <v>1486</v>
      </c>
      <c r="H93" s="20" t="n">
        <v>867.838</v>
      </c>
      <c r="I93" s="20" t="n">
        <v>1051.185</v>
      </c>
      <c r="J93" s="20" t="n">
        <v>1044.328</v>
      </c>
      <c r="K93" s="20" t="n">
        <v>1288</v>
      </c>
      <c r="L93" s="20" t="n">
        <v>1486</v>
      </c>
    </row>
    <row r="94">
      <c r="A94" s="18" t="inlineStr">
        <is>
          <t>토지</t>
        </is>
      </c>
      <c r="C94" s="20" t="n">
        <v>2454</v>
      </c>
      <c r="D94" s="20" t="n">
        <v>2614</v>
      </c>
      <c r="E94" s="20" t="n">
        <v>2932</v>
      </c>
      <c r="F94" s="20" t="n">
        <v>2928</v>
      </c>
      <c r="G94" s="20" t="n">
        <v>2926</v>
      </c>
      <c r="H94" s="20" t="n">
        <v>3690.159</v>
      </c>
      <c r="I94" s="20" t="n">
        <v>3138.98</v>
      </c>
      <c r="J94" s="20" t="n">
        <v>2439.883</v>
      </c>
      <c r="K94" s="20" t="n">
        <v>2447</v>
      </c>
      <c r="L94" s="20" t="n">
        <v>2614</v>
      </c>
    </row>
    <row r="95">
      <c r="A95" s="18" t="inlineStr">
        <is>
          <t>리스자산</t>
        </is>
      </c>
      <c r="D95" s="20" t="n">
        <v>384</v>
      </c>
      <c r="H95" s="20" t="n">
        <v>596.653</v>
      </c>
      <c r="I95" s="20" t="n">
        <v>520.77</v>
      </c>
      <c r="J95" s="20" t="n">
        <v>468.632</v>
      </c>
      <c r="K95" s="20" t="n">
        <v>355</v>
      </c>
      <c r="L95" s="20" t="n">
        <v>384</v>
      </c>
    </row>
    <row r="96">
      <c r="A96" s="18" t="inlineStr">
        <is>
          <t>감가상각누계액</t>
        </is>
      </c>
      <c r="D96" s="20" t="n">
        <v>-191</v>
      </c>
      <c r="H96" s="20" t="n">
        <v>-334.548</v>
      </c>
      <c r="I96" s="20" t="n">
        <v>-312.797</v>
      </c>
      <c r="J96" s="20" t="n">
        <v>-264.214</v>
      </c>
      <c r="K96" s="20" t="n">
        <v>-224</v>
      </c>
      <c r="L96" s="20" t="n">
        <v>-191</v>
      </c>
    </row>
    <row r="97">
      <c r="A97" s="18" t="inlineStr">
        <is>
          <t>리스자산(순액)</t>
        </is>
      </c>
      <c r="D97" s="20" t="n">
        <v>192</v>
      </c>
      <c r="H97" s="20" t="n">
        <v>262.105</v>
      </c>
      <c r="I97" s="20" t="n">
        <v>207.972</v>
      </c>
      <c r="J97" s="20" t="n">
        <v>204.418</v>
      </c>
      <c r="K97" s="20" t="n">
        <v>130</v>
      </c>
      <c r="L97" s="20" t="n">
        <v>192</v>
      </c>
    </row>
    <row r="98">
      <c r="A98" s="18" t="inlineStr">
        <is>
          <t>기타</t>
        </is>
      </c>
      <c r="C98" s="20" t="n">
        <v>5268</v>
      </c>
      <c r="D98" s="20" t="n">
        <v>5472</v>
      </c>
      <c r="E98" s="20" t="n">
        <v>5517</v>
      </c>
      <c r="F98" s="20" t="n">
        <v>5882</v>
      </c>
      <c r="G98" s="20" t="n">
        <v>6084</v>
      </c>
      <c r="I98" s="20" t="n">
        <v>4090.574</v>
      </c>
      <c r="J98" s="20" t="n">
        <v>4318.405</v>
      </c>
      <c r="K98" s="20" t="n">
        <v>4809</v>
      </c>
      <c r="L98" s="20" t="n">
        <v>5472</v>
      </c>
    </row>
    <row r="99">
      <c r="A99" s="18" t="inlineStr">
        <is>
          <t>감가상각누계액</t>
        </is>
      </c>
      <c r="C99" s="20" t="n">
        <v>-3652</v>
      </c>
      <c r="D99" s="20" t="n">
        <v>-3793</v>
      </c>
      <c r="E99" s="20" t="n">
        <v>-3863</v>
      </c>
      <c r="F99" s="20" t="n">
        <v>-4003</v>
      </c>
      <c r="G99" s="20" t="n">
        <v>-4164</v>
      </c>
      <c r="I99" s="20" t="n">
        <v>-2831.415</v>
      </c>
      <c r="J99" s="20" t="n">
        <v>-3069.659</v>
      </c>
      <c r="K99" s="20" t="n">
        <v>-3390</v>
      </c>
      <c r="L99" s="20" t="n">
        <v>-3793</v>
      </c>
    </row>
    <row r="100">
      <c r="A100" s="18" t="inlineStr">
        <is>
          <t>기타(순액)</t>
        </is>
      </c>
      <c r="C100" s="20" t="n">
        <v>1615</v>
      </c>
      <c r="D100" s="20" t="n">
        <v>1678</v>
      </c>
      <c r="E100" s="20" t="n">
        <v>1653</v>
      </c>
      <c r="F100" s="20" t="n">
        <v>1878</v>
      </c>
      <c r="G100" s="20" t="n">
        <v>1920</v>
      </c>
      <c r="I100" s="20" t="n">
        <v>1259.158</v>
      </c>
      <c r="J100" s="20" t="n">
        <v>1248.746</v>
      </c>
      <c r="K100" s="20" t="n">
        <v>1418</v>
      </c>
      <c r="L100" s="20" t="n">
        <v>1678</v>
      </c>
    </row>
    <row r="101">
      <c r="A101" s="18" t="inlineStr">
        <is>
          <t>건설중인자산</t>
        </is>
      </c>
      <c r="C101" s="20" t="n">
        <v>2478</v>
      </c>
      <c r="D101" s="20" t="n">
        <v>2620</v>
      </c>
      <c r="E101" s="20" t="n">
        <v>2664</v>
      </c>
      <c r="F101" s="20" t="n">
        <v>2679</v>
      </c>
      <c r="G101" s="20" t="n">
        <v>2533</v>
      </c>
      <c r="H101" s="20" t="n">
        <v>1440.999</v>
      </c>
      <c r="I101" s="20" t="n">
        <v>2792.287</v>
      </c>
      <c r="J101" s="20" t="n">
        <v>5215.63</v>
      </c>
      <c r="K101" s="20" t="n">
        <v>2266</v>
      </c>
      <c r="L101" s="20" t="n">
        <v>2620</v>
      </c>
    </row>
    <row r="102">
      <c r="A102" s="18" t="inlineStr">
        <is>
          <t>유형자산 합계</t>
        </is>
      </c>
      <c r="C102" s="20" t="n">
        <v>12779</v>
      </c>
      <c r="D102" s="20" t="n">
        <v>13291</v>
      </c>
      <c r="E102" s="20" t="n">
        <v>13578</v>
      </c>
      <c r="F102" s="20" t="n">
        <v>13756</v>
      </c>
      <c r="G102" s="20" t="n">
        <v>14263</v>
      </c>
      <c r="H102" s="20" t="n">
        <v>11950.032</v>
      </c>
      <c r="I102" s="20" t="n">
        <v>13119.799</v>
      </c>
      <c r="J102" s="20" t="n">
        <v>14812.158</v>
      </c>
      <c r="K102" s="20" t="n">
        <v>11920</v>
      </c>
      <c r="L102" s="20" t="n">
        <v>13291</v>
      </c>
    </row>
    <row r="103">
      <c r="A103" s="18" t="inlineStr">
        <is>
          <t>소프트웨어</t>
        </is>
      </c>
      <c r="D103" s="20" t="n">
        <v>680</v>
      </c>
      <c r="H103" s="20" t="n">
        <v>938.417</v>
      </c>
      <c r="I103" s="20" t="n">
        <v>1103.537</v>
      </c>
      <c r="J103" s="20" t="n">
        <v>854.042</v>
      </c>
      <c r="K103" s="20" t="n">
        <v>715</v>
      </c>
      <c r="L103" s="20" t="n">
        <v>680</v>
      </c>
    </row>
    <row r="104">
      <c r="A104" s="18" t="inlineStr">
        <is>
          <t>영업권</t>
        </is>
      </c>
      <c r="C104" s="20" t="n">
        <v>3542</v>
      </c>
      <c r="D104" s="20" t="n">
        <v>3976</v>
      </c>
      <c r="E104" s="20" t="n">
        <v>4646</v>
      </c>
      <c r="F104" s="20" t="n">
        <v>3809</v>
      </c>
      <c r="G104" s="20" t="n">
        <v>3728</v>
      </c>
      <c r="H104" s="20" t="n">
        <v>4394.812</v>
      </c>
      <c r="I104" s="20" t="n">
        <v>4512.067</v>
      </c>
      <c r="J104" s="20" t="n">
        <v>4031.968</v>
      </c>
      <c r="K104" s="20" t="n">
        <v>3752</v>
      </c>
      <c r="L104" s="20" t="n">
        <v>3976</v>
      </c>
    </row>
    <row r="105">
      <c r="A105" s="18" t="inlineStr">
        <is>
          <t>기술 자산</t>
        </is>
      </c>
      <c r="C105" s="20" t="n">
        <v>413</v>
      </c>
      <c r="D105" s="20" t="n">
        <v>404</v>
      </c>
      <c r="E105" s="20" t="n">
        <v>395</v>
      </c>
      <c r="F105" s="20" t="n">
        <v>387</v>
      </c>
      <c r="G105" s="20" t="n">
        <v>378</v>
      </c>
      <c r="H105" s="20" t="n">
        <v>542.329</v>
      </c>
      <c r="I105" s="20" t="n">
        <v>507.897</v>
      </c>
      <c r="J105" s="20" t="n">
        <v>473.465</v>
      </c>
      <c r="K105" s="20" t="n">
        <v>439</v>
      </c>
      <c r="L105" s="20" t="n">
        <v>404</v>
      </c>
    </row>
    <row r="106">
      <c r="A106" s="18" t="inlineStr">
        <is>
          <t>고객관계자산</t>
        </is>
      </c>
      <c r="C106" s="20" t="n">
        <v>1463</v>
      </c>
      <c r="D106" s="20" t="n">
        <v>2671</v>
      </c>
      <c r="E106" s="20" t="n">
        <v>1361</v>
      </c>
      <c r="F106" s="20" t="n">
        <v>2532</v>
      </c>
      <c r="G106" s="20" t="n">
        <v>2465</v>
      </c>
      <c r="H106" s="20" t="n">
        <v>2183.926</v>
      </c>
      <c r="I106" s="20" t="n">
        <v>2043.608</v>
      </c>
      <c r="J106" s="20" t="n">
        <v>1821.991</v>
      </c>
      <c r="K106" s="20" t="n">
        <v>1617</v>
      </c>
      <c r="L106" s="20" t="n">
        <v>2671</v>
      </c>
    </row>
    <row r="107">
      <c r="A107" s="18" t="inlineStr">
        <is>
          <t>기타</t>
        </is>
      </c>
      <c r="C107" s="20" t="n">
        <v>1021</v>
      </c>
      <c r="D107" s="20" t="n">
        <v>1065</v>
      </c>
      <c r="E107" s="20" t="n">
        <v>1005</v>
      </c>
      <c r="F107" s="20" t="n">
        <v>977</v>
      </c>
      <c r="G107" s="20" t="n">
        <v>946</v>
      </c>
      <c r="H107" s="20" t="n">
        <v>352.358</v>
      </c>
      <c r="I107" s="20" t="n">
        <v>118.007</v>
      </c>
      <c r="J107" s="20" t="n">
        <v>277.252</v>
      </c>
      <c r="K107" s="20" t="n">
        <v>370</v>
      </c>
      <c r="L107" s="20" t="n">
        <v>1065</v>
      </c>
    </row>
    <row r="108">
      <c r="A108" s="18" t="inlineStr">
        <is>
          <t>무형자산 합계</t>
        </is>
      </c>
      <c r="C108" s="20" t="n">
        <v>6441</v>
      </c>
      <c r="D108" s="20" t="n">
        <v>8118</v>
      </c>
      <c r="E108" s="20" t="n">
        <v>7409</v>
      </c>
      <c r="F108" s="20" t="n">
        <v>7706</v>
      </c>
      <c r="G108" s="20" t="n">
        <v>7518</v>
      </c>
      <c r="H108" s="20" t="n">
        <v>8411.843999999999</v>
      </c>
      <c r="I108" s="20" t="n">
        <v>8285.118</v>
      </c>
      <c r="J108" s="20" t="n">
        <v>7458.719</v>
      </c>
      <c r="K108" s="20" t="n">
        <v>6893</v>
      </c>
      <c r="L108" s="20" t="n">
        <v>8118</v>
      </c>
    </row>
    <row r="109">
      <c r="A109" s="18" t="inlineStr">
        <is>
          <t>투자유가증권</t>
        </is>
      </c>
      <c r="C109" s="20" t="n">
        <v>4418</v>
      </c>
      <c r="D109" s="20" t="n">
        <v>4291</v>
      </c>
      <c r="E109" s="20" t="n">
        <v>4621</v>
      </c>
      <c r="F109" s="20" t="n">
        <v>4472</v>
      </c>
      <c r="G109" s="20" t="n">
        <v>4531</v>
      </c>
      <c r="H109" s="20" t="n">
        <v>3612.852</v>
      </c>
      <c r="I109" s="20" t="n">
        <v>3814.234</v>
      </c>
      <c r="J109" s="20" t="n">
        <v>4842.272</v>
      </c>
      <c r="K109" s="20" t="n">
        <v>4137</v>
      </c>
      <c r="L109" s="20" t="n">
        <v>4291</v>
      </c>
    </row>
    <row r="110">
      <c r="A110" s="18" t="inlineStr">
        <is>
          <t>퇴직급여자산</t>
        </is>
      </c>
      <c r="C110" s="20" t="n">
        <v>1088</v>
      </c>
      <c r="D110" s="20" t="n">
        <v>1539</v>
      </c>
      <c r="E110" s="20" t="n">
        <v>1533</v>
      </c>
      <c r="F110" s="20" t="n">
        <v>1530</v>
      </c>
      <c r="G110" s="20" t="n">
        <v>1543</v>
      </c>
      <c r="H110" s="20" t="n">
        <v>393.341</v>
      </c>
      <c r="I110" s="20" t="n">
        <v>469.274</v>
      </c>
      <c r="J110" s="20" t="n">
        <v>748.601</v>
      </c>
      <c r="K110" s="20" t="n">
        <v>1071</v>
      </c>
      <c r="L110" s="20" t="n">
        <v>1539</v>
      </c>
    </row>
    <row r="111">
      <c r="A111" s="18" t="inlineStr">
        <is>
          <t>이연법인세자산</t>
        </is>
      </c>
      <c r="D111" s="20" t="n">
        <v>517</v>
      </c>
      <c r="H111" s="20" t="n">
        <v>423.226</v>
      </c>
      <c r="I111" s="20" t="n">
        <v>583.145</v>
      </c>
      <c r="J111" s="20" t="n">
        <v>1048.915</v>
      </c>
      <c r="K111" s="20" t="n">
        <v>960</v>
      </c>
      <c r="L111" s="20" t="n">
        <v>517</v>
      </c>
    </row>
    <row r="112">
      <c r="A112" s="18" t="inlineStr">
        <is>
          <t>장기 예치금</t>
        </is>
      </c>
      <c r="H112" s="20" t="n">
        <v>175.167</v>
      </c>
      <c r="I112" s="20" t="n">
        <v>173.865</v>
      </c>
      <c r="J112" s="20" t="n">
        <v>124.96</v>
      </c>
      <c r="K112" s="20" t="n">
        <v>129.026</v>
      </c>
    </row>
    <row r="113">
      <c r="A113" s="18" t="inlineStr">
        <is>
          <t>기타</t>
        </is>
      </c>
      <c r="C113" s="20" t="n">
        <v>748</v>
      </c>
      <c r="D113" s="20" t="n">
        <v>1366</v>
      </c>
      <c r="E113" s="20" t="n">
        <v>1160</v>
      </c>
      <c r="F113" s="20" t="n">
        <v>1218</v>
      </c>
      <c r="G113" s="20" t="n">
        <v>1265</v>
      </c>
      <c r="H113" s="20" t="n">
        <v>554.157</v>
      </c>
      <c r="I113" s="20" t="n">
        <v>380.666</v>
      </c>
      <c r="J113" s="20" t="n">
        <v>349.215</v>
      </c>
      <c r="K113" s="20" t="n">
        <v>494</v>
      </c>
      <c r="L113" s="20" t="n">
        <v>1366</v>
      </c>
    </row>
    <row r="114">
      <c r="A114" s="18" t="inlineStr">
        <is>
          <t>대손충당금</t>
        </is>
      </c>
      <c r="C114" s="20" t="n">
        <v>-24</v>
      </c>
      <c r="D114" s="20" t="n">
        <v>-24</v>
      </c>
      <c r="E114" s="20" t="n">
        <v>-23</v>
      </c>
      <c r="F114" s="20" t="n">
        <v>-25</v>
      </c>
      <c r="G114" s="20" t="n">
        <v>-25</v>
      </c>
      <c r="H114" s="20" t="n">
        <v>-23.954</v>
      </c>
      <c r="I114" s="20" t="n">
        <v>-23.818</v>
      </c>
      <c r="J114" s="20" t="n">
        <v>-24.383</v>
      </c>
      <c r="K114" s="20" t="n">
        <v>-23</v>
      </c>
      <c r="L114" s="20" t="n">
        <v>-24</v>
      </c>
    </row>
    <row r="115">
      <c r="A115" s="18" t="inlineStr">
        <is>
          <t>투자 및 기타자산 합계</t>
        </is>
      </c>
      <c r="C115" s="20" t="n">
        <v>6231</v>
      </c>
      <c r="D115" s="20" t="n">
        <v>7172</v>
      </c>
      <c r="E115" s="20" t="n">
        <v>7292</v>
      </c>
      <c r="F115" s="20" t="n">
        <v>7196</v>
      </c>
      <c r="G115" s="20" t="n">
        <v>7315</v>
      </c>
      <c r="H115" s="20" t="n">
        <v>5134.79</v>
      </c>
      <c r="I115" s="20" t="n">
        <v>5397.366</v>
      </c>
      <c r="J115" s="20" t="n">
        <v>7089.582</v>
      </c>
      <c r="K115" s="20" t="n">
        <v>6639</v>
      </c>
      <c r="L115" s="20" t="n">
        <v>7172</v>
      </c>
    </row>
    <row r="116">
      <c r="A116" s="9" t="inlineStr">
        <is>
          <t>비유동자산 합계</t>
        </is>
      </c>
      <c r="C116" s="12" t="n">
        <v>25452</v>
      </c>
      <c r="D116" s="12" t="n">
        <v>28582</v>
      </c>
      <c r="E116" s="12" t="n">
        <v>28280</v>
      </c>
      <c r="F116" s="12" t="n">
        <v>28659</v>
      </c>
      <c r="G116" s="12" t="n">
        <v>29097</v>
      </c>
      <c r="H116" s="12" t="n">
        <v>25496.667</v>
      </c>
      <c r="I116" s="12" t="n">
        <v>26802.285</v>
      </c>
      <c r="J116" s="12" t="n">
        <v>29360.46</v>
      </c>
      <c r="K116" s="12" t="n">
        <v>25453</v>
      </c>
      <c r="L116" s="12" t="n">
        <v>28582</v>
      </c>
    </row>
    <row r="117">
      <c r="A117" s="18" t="inlineStr">
        <is>
          <t>창립비</t>
        </is>
      </c>
      <c r="C117" s="20" t="n">
        <v>0</v>
      </c>
      <c r="D117" s="20" t="n">
        <v>0</v>
      </c>
      <c r="E117" s="20" t="n">
        <v>0</v>
      </c>
      <c r="F117" s="20" t="n">
        <v>0</v>
      </c>
      <c r="G117" s="20" t="n">
        <v>0</v>
      </c>
      <c r="I117" s="20" t="n">
        <v>0</v>
      </c>
      <c r="J117" s="20" t="n">
        <v>0.233</v>
      </c>
      <c r="K117" s="20" t="n">
        <v>0</v>
      </c>
      <c r="L117" s="20" t="n">
        <v>0</v>
      </c>
    </row>
    <row r="118">
      <c r="A118" s="18" t="inlineStr">
        <is>
          <t>이연자산 합계</t>
        </is>
      </c>
      <c r="C118" s="20" t="n">
        <v>0</v>
      </c>
      <c r="D118" s="20" t="n">
        <v>0</v>
      </c>
      <c r="E118" s="20" t="n">
        <v>0</v>
      </c>
      <c r="F118" s="20" t="n">
        <v>0</v>
      </c>
      <c r="G118" s="20" t="n">
        <v>0</v>
      </c>
      <c r="I118" s="20" t="n">
        <v>0</v>
      </c>
      <c r="J118" s="20" t="n">
        <v>0.233</v>
      </c>
      <c r="K118" s="20" t="n">
        <v>0</v>
      </c>
      <c r="L118" s="20" t="n">
        <v>0</v>
      </c>
    </row>
    <row r="119">
      <c r="A119" s="9" t="inlineStr">
        <is>
          <t>자산 합계</t>
        </is>
      </c>
      <c r="C119" s="12" t="n">
        <v>71269</v>
      </c>
      <c r="D119" s="12" t="n">
        <v>75921</v>
      </c>
      <c r="E119" s="12" t="n">
        <v>73309</v>
      </c>
      <c r="F119" s="12" t="n">
        <v>74864</v>
      </c>
      <c r="G119" s="12" t="n">
        <v>74784</v>
      </c>
      <c r="H119" s="12" t="n">
        <v>63553.65</v>
      </c>
      <c r="I119" s="12" t="n">
        <v>63551.819</v>
      </c>
      <c r="J119" s="12" t="n">
        <v>67254.75</v>
      </c>
      <c r="K119" s="12" t="n">
        <v>64595</v>
      </c>
      <c r="L119" s="12" t="n">
        <v>75921</v>
      </c>
    </row>
    <row r="120">
      <c r="A120" s="18" t="inlineStr">
        <is>
          <t>지급어음·매입채무</t>
        </is>
      </c>
      <c r="C120" s="20" t="n">
        <v>8645</v>
      </c>
      <c r="D120" s="20" t="n">
        <v>9551</v>
      </c>
      <c r="E120" s="20" t="n">
        <v>9177</v>
      </c>
      <c r="F120" s="20" t="n">
        <v>9823</v>
      </c>
      <c r="G120" s="20" t="n">
        <v>10227</v>
      </c>
      <c r="H120" s="20" t="n">
        <v>8851.843000000001</v>
      </c>
      <c r="I120" s="20" t="n">
        <v>8475.155000000001</v>
      </c>
      <c r="J120" s="20" t="n">
        <v>8503.064</v>
      </c>
      <c r="K120" s="20" t="n">
        <v>9272</v>
      </c>
      <c r="L120" s="20" t="n">
        <v>9551</v>
      </c>
    </row>
    <row r="121">
      <c r="A121" s="18" t="inlineStr">
        <is>
          <t>전자기록채무</t>
        </is>
      </c>
      <c r="C121" s="20" t="n">
        <v>5038</v>
      </c>
      <c r="D121" s="20" t="n">
        <v>5056</v>
      </c>
      <c r="E121" s="20" t="n">
        <v>5041</v>
      </c>
      <c r="F121" s="20" t="n">
        <v>5333</v>
      </c>
      <c r="G121" s="20" t="n">
        <v>4631</v>
      </c>
      <c r="H121" s="20" t="n">
        <v>3265.906</v>
      </c>
      <c r="I121" s="20" t="n">
        <v>3667.121</v>
      </c>
      <c r="J121" s="20" t="n">
        <v>3570.394</v>
      </c>
      <c r="K121" s="20" t="n">
        <v>4339</v>
      </c>
      <c r="L121" s="20" t="n">
        <v>5056</v>
      </c>
    </row>
    <row r="122">
      <c r="A122" s="18" t="inlineStr">
        <is>
          <t>영업외 전자기록채무</t>
        </is>
      </c>
      <c r="H122" s="20" t="n">
        <v>23.077</v>
      </c>
      <c r="I122" s="20" t="n">
        <v>3.045</v>
      </c>
      <c r="J122" s="20" t="n">
        <v>16.704</v>
      </c>
      <c r="K122" s="20" t="n">
        <v>25.505</v>
      </c>
    </row>
    <row r="123">
      <c r="A123" s="18" t="inlineStr">
        <is>
          <t>설비관련 지급어음</t>
        </is>
      </c>
      <c r="H123" s="20" t="n">
        <v>81.045</v>
      </c>
      <c r="I123" s="20" t="n">
        <v>66.199</v>
      </c>
      <c r="J123" s="20" t="n">
        <v>0.762</v>
      </c>
      <c r="K123" s="20" t="n">
        <v>16.236</v>
      </c>
    </row>
    <row r="124">
      <c r="A124" s="18" t="inlineStr">
        <is>
          <t>단기차입금</t>
        </is>
      </c>
      <c r="C124" s="20" t="n">
        <v>16019</v>
      </c>
      <c r="D124" s="20" t="n">
        <v>16195</v>
      </c>
      <c r="E124" s="20" t="n">
        <v>12189</v>
      </c>
      <c r="F124" s="20" t="n">
        <v>9192</v>
      </c>
      <c r="G124" s="20" t="n">
        <v>11096</v>
      </c>
      <c r="H124" s="20" t="n">
        <v>9053.4</v>
      </c>
      <c r="I124" s="20" t="n">
        <v>10035</v>
      </c>
      <c r="J124" s="20" t="n">
        <v>12266.984</v>
      </c>
      <c r="K124" s="20" t="n">
        <v>11390</v>
      </c>
      <c r="L124" s="20" t="n">
        <v>16195</v>
      </c>
    </row>
    <row r="125">
      <c r="A125" s="18" t="inlineStr">
        <is>
          <t>미지급금</t>
        </is>
      </c>
      <c r="H125" s="20" t="n">
        <v>300.021</v>
      </c>
      <c r="I125" s="20" t="n">
        <v>632.551</v>
      </c>
      <c r="J125" s="20" t="n">
        <v>526.4880000000001</v>
      </c>
      <c r="K125" s="20" t="n">
        <v>882.24</v>
      </c>
    </row>
    <row r="126">
      <c r="A126" s="18" t="inlineStr">
        <is>
          <t>미지급비용</t>
        </is>
      </c>
      <c r="C126" s="20" t="n">
        <v>2255</v>
      </c>
      <c r="D126" s="20" t="n">
        <v>3493</v>
      </c>
      <c r="E126" s="20" t="n">
        <v>2640</v>
      </c>
      <c r="F126" s="20" t="n">
        <v>3341</v>
      </c>
      <c r="G126" s="20" t="n">
        <v>1981</v>
      </c>
      <c r="H126" s="20" t="n">
        <v>2790.109</v>
      </c>
      <c r="I126" s="20" t="n">
        <v>2508.458</v>
      </c>
      <c r="J126" s="20" t="n">
        <v>2534.995</v>
      </c>
      <c r="K126" s="20" t="n">
        <v>3166</v>
      </c>
      <c r="L126" s="20" t="n">
        <v>3493</v>
      </c>
    </row>
    <row r="127">
      <c r="A127" s="18" t="inlineStr">
        <is>
          <t>미지급법인세</t>
        </is>
      </c>
      <c r="C127" s="20" t="n">
        <v>625</v>
      </c>
      <c r="D127" s="20" t="n">
        <v>853</v>
      </c>
      <c r="E127" s="20" t="n">
        <v>474</v>
      </c>
      <c r="F127" s="20" t="n">
        <v>749</v>
      </c>
      <c r="G127" s="20" t="n">
        <v>442</v>
      </c>
      <c r="H127" s="20" t="n">
        <v>875.499</v>
      </c>
      <c r="I127" s="20" t="n">
        <v>920.241</v>
      </c>
      <c r="J127" s="20" t="n">
        <v>572.64</v>
      </c>
      <c r="K127" s="20" t="n">
        <v>732</v>
      </c>
      <c r="L127" s="20" t="n">
        <v>853</v>
      </c>
    </row>
    <row r="128">
      <c r="A128" s="18" t="inlineStr">
        <is>
          <t>미지급 소비세</t>
        </is>
      </c>
      <c r="H128" s="20" t="n">
        <v>272.351</v>
      </c>
      <c r="I128" s="20" t="n">
        <v>198.098</v>
      </c>
      <c r="J128" s="20" t="n">
        <v>220.315</v>
      </c>
      <c r="K128" s="20" t="n">
        <v>431.598</v>
      </c>
    </row>
    <row r="129">
      <c r="A129" s="18" t="inlineStr">
        <is>
          <t>상여충당금</t>
        </is>
      </c>
      <c r="C129" s="20" t="n">
        <v>731</v>
      </c>
      <c r="D129" s="20" t="n">
        <v>815</v>
      </c>
      <c r="E129" s="20" t="n">
        <v>704</v>
      </c>
      <c r="F129" s="20" t="n">
        <v>444</v>
      </c>
      <c r="G129" s="20" t="n">
        <v>762</v>
      </c>
      <c r="H129" s="20" t="n">
        <v>794.853</v>
      </c>
      <c r="I129" s="20" t="n">
        <v>419.387</v>
      </c>
      <c r="J129" s="20" t="n">
        <v>628.277</v>
      </c>
      <c r="K129" s="20" t="n">
        <v>684</v>
      </c>
      <c r="L129" s="20" t="n">
        <v>815</v>
      </c>
    </row>
    <row r="130">
      <c r="A130" s="18" t="inlineStr">
        <is>
          <t>반품조정 충당금</t>
        </is>
      </c>
      <c r="H130" s="20" t="n">
        <v>24.334</v>
      </c>
      <c r="I130" s="20" t="n">
        <v>0</v>
      </c>
    </row>
    <row r="131">
      <c r="A131" s="18" t="inlineStr">
        <is>
          <t>제품보증 충당금</t>
        </is>
      </c>
      <c r="C131" s="20" t="n">
        <v>4</v>
      </c>
      <c r="D131" s="20" t="n">
        <v>23</v>
      </c>
      <c r="E131" s="20" t="n">
        <v>20</v>
      </c>
      <c r="F131" s="20" t="n">
        <v>29</v>
      </c>
      <c r="G131" s="20" t="n">
        <v>12</v>
      </c>
      <c r="H131" s="20" t="n">
        <v>4.914</v>
      </c>
      <c r="I131" s="20" t="n">
        <v>8.461</v>
      </c>
      <c r="J131" s="20" t="n">
        <v>6.143</v>
      </c>
      <c r="K131" s="20" t="n">
        <v>58</v>
      </c>
      <c r="L131" s="20" t="n">
        <v>23</v>
      </c>
    </row>
    <row r="132">
      <c r="A132" s="18" t="inlineStr">
        <is>
          <t>재해손실 충당금</t>
        </is>
      </c>
      <c r="C132" s="20" t="n">
        <v>0</v>
      </c>
      <c r="D132" s="20" t="n">
        <v>0</v>
      </c>
      <c r="J132" s="20" t="n">
        <v>0</v>
      </c>
      <c r="K132" s="20" t="n">
        <v>14</v>
      </c>
      <c r="L132" s="20" t="n">
        <v>0</v>
      </c>
    </row>
    <row r="133">
      <c r="A133" s="18" t="inlineStr">
        <is>
          <t>기타 충당금</t>
        </is>
      </c>
      <c r="H133" s="20" t="n">
        <v>0</v>
      </c>
      <c r="I133" s="20" t="n">
        <v>59.1</v>
      </c>
      <c r="J133" s="20" t="n">
        <v>41.46</v>
      </c>
      <c r="K133" s="20" t="n">
        <v>0</v>
      </c>
    </row>
    <row r="134">
      <c r="A134" s="18" t="inlineStr">
        <is>
          <t>기타</t>
        </is>
      </c>
      <c r="C134" s="20" t="n">
        <v>1730</v>
      </c>
      <c r="D134" s="20" t="n">
        <v>2084</v>
      </c>
      <c r="E134" s="20" t="n">
        <v>1522</v>
      </c>
      <c r="F134" s="20" t="n">
        <v>1677</v>
      </c>
      <c r="G134" s="20" t="n">
        <v>1978</v>
      </c>
      <c r="H134" s="20" t="n">
        <v>301.889</v>
      </c>
      <c r="I134" s="20" t="n">
        <v>799.254</v>
      </c>
      <c r="J134" s="20" t="n">
        <v>1093.39</v>
      </c>
      <c r="K134" s="20" t="n">
        <v>2243</v>
      </c>
      <c r="L134" s="20" t="n">
        <v>2084</v>
      </c>
    </row>
    <row r="135">
      <c r="A135" s="9" t="inlineStr">
        <is>
          <t>유동부채 합계</t>
        </is>
      </c>
      <c r="C135" s="12" t="n">
        <v>35050</v>
      </c>
      <c r="D135" s="12" t="n">
        <v>38074</v>
      </c>
      <c r="E135" s="12" t="n">
        <v>31771</v>
      </c>
      <c r="F135" s="12" t="n">
        <v>30592</v>
      </c>
      <c r="G135" s="12" t="n">
        <v>31132</v>
      </c>
      <c r="H135" s="12" t="n">
        <v>26639.245</v>
      </c>
      <c r="I135" s="12" t="n">
        <v>27792.074</v>
      </c>
      <c r="J135" s="12" t="n">
        <v>29981.62</v>
      </c>
      <c r="K135" s="12" t="n">
        <v>31903</v>
      </c>
      <c r="L135" s="12" t="n">
        <v>38074</v>
      </c>
    </row>
    <row r="136">
      <c r="A136" s="18" t="inlineStr">
        <is>
          <t>장기차입금</t>
        </is>
      </c>
      <c r="C136" s="20" t="n">
        <v>6303</v>
      </c>
      <c r="D136" s="20" t="n">
        <v>6250</v>
      </c>
      <c r="E136" s="20" t="n">
        <v>9754</v>
      </c>
      <c r="F136" s="20" t="n">
        <v>11072</v>
      </c>
      <c r="G136" s="20" t="n">
        <v>10215</v>
      </c>
      <c r="H136" s="20" t="n">
        <v>5812.5</v>
      </c>
      <c r="I136" s="20" t="n">
        <v>4777.5</v>
      </c>
      <c r="J136" s="20" t="n">
        <v>4493.332</v>
      </c>
      <c r="K136" s="20" t="n">
        <v>3445</v>
      </c>
      <c r="L136" s="20" t="n">
        <v>6250</v>
      </c>
    </row>
    <row r="137">
      <c r="A137" s="18" t="inlineStr">
        <is>
          <t>리스부채</t>
        </is>
      </c>
      <c r="D137" s="20" t="n">
        <v>141</v>
      </c>
      <c r="H137" s="20" t="n">
        <v>186.697</v>
      </c>
      <c r="I137" s="20" t="n">
        <v>136.819</v>
      </c>
      <c r="J137" s="20" t="n">
        <v>146.283</v>
      </c>
      <c r="K137" s="20" t="n">
        <v>86</v>
      </c>
      <c r="L137" s="20" t="n">
        <v>141</v>
      </c>
    </row>
    <row r="138">
      <c r="A138" s="18" t="inlineStr">
        <is>
          <t>이연법인세부채</t>
        </is>
      </c>
      <c r="C138" s="20" t="n">
        <v>252</v>
      </c>
      <c r="D138" s="20" t="n">
        <v>742</v>
      </c>
      <c r="E138" s="20" t="n">
        <v>465</v>
      </c>
      <c r="F138" s="20" t="n">
        <v>728</v>
      </c>
      <c r="G138" s="20" t="n">
        <v>729</v>
      </c>
      <c r="H138" s="20" t="n">
        <v>936.999</v>
      </c>
      <c r="I138" s="20" t="n">
        <v>728.789</v>
      </c>
      <c r="J138" s="20" t="n">
        <v>965.7380000000001</v>
      </c>
      <c r="K138" s="20" t="n">
        <v>909</v>
      </c>
      <c r="L138" s="20" t="n">
        <v>742</v>
      </c>
    </row>
    <row r="139">
      <c r="A139" s="18" t="inlineStr">
        <is>
          <t>주식보상 충당금</t>
        </is>
      </c>
      <c r="H139" s="20" t="n">
        <v>66.255</v>
      </c>
      <c r="I139" s="20" t="n">
        <v>66.255</v>
      </c>
    </row>
    <row r="140">
      <c r="A140" s="18" t="inlineStr">
        <is>
          <t>주식보상 충당금</t>
        </is>
      </c>
      <c r="C140" s="20" t="n">
        <v>105</v>
      </c>
      <c r="D140" s="20" t="n">
        <v>137</v>
      </c>
      <c r="E140" s="20" t="n">
        <v>137</v>
      </c>
      <c r="F140" s="20" t="n">
        <v>137</v>
      </c>
      <c r="G140" s="20" t="n">
        <v>137</v>
      </c>
      <c r="I140" s="20" t="n">
        <v>66.255</v>
      </c>
      <c r="J140" s="20" t="n">
        <v>104.846</v>
      </c>
      <c r="K140" s="20" t="n">
        <v>105</v>
      </c>
      <c r="L140" s="20" t="n">
        <v>137</v>
      </c>
    </row>
    <row r="141">
      <c r="A141" s="18" t="inlineStr">
        <is>
          <t>퇴직급여부채</t>
        </is>
      </c>
      <c r="C141" s="20" t="n">
        <v>2405</v>
      </c>
      <c r="D141" s="20" t="n">
        <v>2306</v>
      </c>
      <c r="E141" s="20" t="n">
        <v>2333</v>
      </c>
      <c r="F141" s="20" t="n">
        <v>2314</v>
      </c>
      <c r="G141" s="20" t="n">
        <v>2361</v>
      </c>
      <c r="H141" s="20" t="n">
        <v>2598.896</v>
      </c>
      <c r="I141" s="20" t="n">
        <v>2570.515</v>
      </c>
      <c r="J141" s="20" t="n">
        <v>2553.267</v>
      </c>
      <c r="K141" s="20" t="n">
        <v>2403</v>
      </c>
      <c r="L141" s="20" t="n">
        <v>2306</v>
      </c>
    </row>
    <row r="142">
      <c r="A142" s="18" t="inlineStr">
        <is>
          <t>기타</t>
        </is>
      </c>
      <c r="C142" s="20" t="n">
        <v>868</v>
      </c>
      <c r="D142" s="20" t="n">
        <v>965</v>
      </c>
      <c r="E142" s="20" t="n">
        <v>965</v>
      </c>
      <c r="F142" s="20" t="n">
        <v>1223</v>
      </c>
      <c r="G142" s="20" t="n">
        <v>1201</v>
      </c>
      <c r="H142" s="20" t="n">
        <v>306.783</v>
      </c>
      <c r="I142" s="20" t="n">
        <v>411.163</v>
      </c>
      <c r="J142" s="20" t="n">
        <v>408.137</v>
      </c>
      <c r="K142" s="20" t="n">
        <v>439</v>
      </c>
      <c r="L142" s="20" t="n">
        <v>965</v>
      </c>
    </row>
    <row r="143">
      <c r="A143" s="9" t="inlineStr">
        <is>
          <t>비유동부채 합계</t>
        </is>
      </c>
      <c r="C143" s="12" t="n">
        <v>9935</v>
      </c>
      <c r="D143" s="12" t="n">
        <v>10402</v>
      </c>
      <c r="E143" s="12" t="n">
        <v>13656</v>
      </c>
      <c r="F143" s="12" t="n">
        <v>15475</v>
      </c>
      <c r="G143" s="12" t="n">
        <v>14646</v>
      </c>
      <c r="H143" s="12" t="n">
        <v>9908.132</v>
      </c>
      <c r="I143" s="12" t="n">
        <v>8691.043</v>
      </c>
      <c r="J143" s="12" t="n">
        <v>8671.606</v>
      </c>
      <c r="K143" s="12" t="n">
        <v>7389</v>
      </c>
      <c r="L143" s="12" t="n">
        <v>10402</v>
      </c>
    </row>
    <row r="144">
      <c r="A144" s="9" t="inlineStr">
        <is>
          <t>부채 합계</t>
        </is>
      </c>
      <c r="C144" s="12" t="n">
        <v>44986</v>
      </c>
      <c r="D144" s="12" t="n">
        <v>48476</v>
      </c>
      <c r="E144" s="12" t="n">
        <v>45428</v>
      </c>
      <c r="F144" s="12" t="n">
        <v>46068</v>
      </c>
      <c r="G144" s="12" t="n">
        <v>45778</v>
      </c>
      <c r="H144" s="12" t="n">
        <v>36547.377</v>
      </c>
      <c r="I144" s="12" t="n">
        <v>36483.118</v>
      </c>
      <c r="J144" s="12" t="n">
        <v>38653.227</v>
      </c>
      <c r="K144" s="12" t="n">
        <v>39293</v>
      </c>
      <c r="L144" s="12" t="n">
        <v>48476</v>
      </c>
    </row>
    <row r="145">
      <c r="A145" s="18" t="inlineStr">
        <is>
          <t>자본금</t>
        </is>
      </c>
      <c r="C145" s="20" t="n">
        <v>4629</v>
      </c>
      <c r="D145" s="20" t="n">
        <v>4629</v>
      </c>
      <c r="E145" s="20" t="n">
        <v>4629</v>
      </c>
      <c r="F145" s="20" t="n">
        <v>4651</v>
      </c>
      <c r="G145" s="20" t="n">
        <v>4651</v>
      </c>
      <c r="H145" s="20" t="n">
        <v>4528.304</v>
      </c>
      <c r="I145" s="20" t="n">
        <v>4557.4</v>
      </c>
      <c r="J145" s="20" t="n">
        <v>4581.397</v>
      </c>
      <c r="K145" s="20" t="n">
        <v>4605</v>
      </c>
      <c r="L145" s="20" t="n">
        <v>4629</v>
      </c>
    </row>
    <row r="146">
      <c r="A146" s="18" t="inlineStr">
        <is>
          <t>자본잉여금</t>
        </is>
      </c>
      <c r="C146" s="20" t="n">
        <v>6346</v>
      </c>
      <c r="D146" s="20" t="n">
        <v>6344</v>
      </c>
      <c r="E146" s="20" t="n">
        <v>6344</v>
      </c>
      <c r="F146" s="20" t="n">
        <v>6365</v>
      </c>
      <c r="G146" s="20" t="n">
        <v>6365</v>
      </c>
      <c r="H146" s="20" t="n">
        <v>6516.607</v>
      </c>
      <c r="I146" s="20" t="n">
        <v>6538.828</v>
      </c>
      <c r="J146" s="20" t="n">
        <v>6574.102</v>
      </c>
      <c r="K146" s="20" t="n">
        <v>6320</v>
      </c>
      <c r="L146" s="20" t="n">
        <v>6344</v>
      </c>
    </row>
    <row r="147">
      <c r="A147" s="18" t="inlineStr">
        <is>
          <t>이익잉여금</t>
        </is>
      </c>
      <c r="C147" s="20" t="n">
        <v>13105</v>
      </c>
      <c r="D147" s="20" t="n">
        <v>13663</v>
      </c>
      <c r="E147" s="20" t="n">
        <v>13875</v>
      </c>
      <c r="F147" s="20" t="n">
        <v>14711</v>
      </c>
      <c r="G147" s="20" t="n">
        <v>14930</v>
      </c>
      <c r="H147" s="20" t="n">
        <v>15027.322</v>
      </c>
      <c r="I147" s="20" t="n">
        <v>15031.853</v>
      </c>
      <c r="J147" s="20" t="n">
        <v>15462.238</v>
      </c>
      <c r="K147" s="20" t="n">
        <v>12229</v>
      </c>
      <c r="L147" s="20" t="n">
        <v>13663</v>
      </c>
    </row>
    <row r="148">
      <c r="A148" s="18" t="inlineStr">
        <is>
          <t>자기주식</t>
        </is>
      </c>
      <c r="C148" s="20" t="n">
        <v>-255</v>
      </c>
      <c r="D148" s="20" t="n">
        <v>-255</v>
      </c>
      <c r="E148" s="20" t="n">
        <v>-255</v>
      </c>
      <c r="F148" s="20" t="n">
        <v>-253</v>
      </c>
      <c r="G148" s="20" t="n">
        <v>-253</v>
      </c>
      <c r="H148" s="20" t="n">
        <v>-254.106</v>
      </c>
      <c r="I148" s="20" t="n">
        <v>-531.722</v>
      </c>
      <c r="J148" s="20" t="n">
        <v>-525.872</v>
      </c>
      <c r="K148" s="20" t="n">
        <v>-255</v>
      </c>
      <c r="L148" s="20" t="n">
        <v>-255</v>
      </c>
    </row>
    <row r="149">
      <c r="A149" s="9" t="inlineStr">
        <is>
          <t>주주자본 합계</t>
        </is>
      </c>
      <c r="C149" s="12" t="n">
        <v>23826</v>
      </c>
      <c r="D149" s="12" t="n">
        <v>24382</v>
      </c>
      <c r="E149" s="12" t="n">
        <v>24593</v>
      </c>
      <c r="F149" s="12" t="n">
        <v>25475</v>
      </c>
      <c r="G149" s="12" t="n">
        <v>25694</v>
      </c>
      <c r="H149" s="12" t="n">
        <v>25818.127</v>
      </c>
      <c r="I149" s="12" t="n">
        <v>25596.36</v>
      </c>
      <c r="J149" s="12" t="n">
        <v>26091.866</v>
      </c>
      <c r="K149" s="12" t="n">
        <v>22900</v>
      </c>
      <c r="L149" s="12" t="n">
        <v>24382</v>
      </c>
    </row>
    <row r="150">
      <c r="A150" s="18" t="inlineStr">
        <is>
          <t>기타유가증권 평가차액</t>
        </is>
      </c>
      <c r="C150" s="20" t="n">
        <v>1477</v>
      </c>
      <c r="D150" s="20" t="n">
        <v>1438</v>
      </c>
      <c r="E150" s="20" t="n">
        <v>1659</v>
      </c>
      <c r="F150" s="20" t="n">
        <v>1628</v>
      </c>
      <c r="G150" s="20" t="n">
        <v>1619</v>
      </c>
      <c r="H150" s="20" t="n">
        <v>985.867</v>
      </c>
      <c r="I150" s="20" t="n">
        <v>1007.002</v>
      </c>
      <c r="J150" s="20" t="n">
        <v>1703.144</v>
      </c>
      <c r="K150" s="20" t="n">
        <v>1388</v>
      </c>
      <c r="L150" s="20" t="n">
        <v>1438</v>
      </c>
    </row>
    <row r="151">
      <c r="A151" s="18" t="inlineStr">
        <is>
          <t>이연헤지손익</t>
        </is>
      </c>
      <c r="C151" s="20" t="n">
        <v>-0</v>
      </c>
      <c r="D151" s="20" t="n">
        <v>0</v>
      </c>
      <c r="E151" s="20" t="n">
        <v>0</v>
      </c>
      <c r="F151" s="20" t="n">
        <v>2</v>
      </c>
      <c r="G151" s="20" t="n">
        <v>1</v>
      </c>
      <c r="H151" s="20" t="n">
        <v>-0.763</v>
      </c>
      <c r="I151" s="20" t="n">
        <v>-4.026</v>
      </c>
      <c r="J151" s="20" t="n">
        <v>-0.094</v>
      </c>
      <c r="K151" s="20" t="n">
        <v>-2</v>
      </c>
      <c r="L151" s="20" t="n">
        <v>0</v>
      </c>
    </row>
    <row r="152">
      <c r="A152" s="18" t="inlineStr">
        <is>
          <t>해외사업환산조정</t>
        </is>
      </c>
      <c r="C152" s="20" t="n">
        <v>316</v>
      </c>
      <c r="D152" s="20" t="n">
        <v>458</v>
      </c>
      <c r="E152" s="20" t="n">
        <v>520</v>
      </c>
      <c r="F152" s="20" t="n">
        <v>569</v>
      </c>
      <c r="G152" s="20" t="n">
        <v>588</v>
      </c>
      <c r="H152" s="20" t="n">
        <v>103.839</v>
      </c>
      <c r="I152" s="20" t="n">
        <v>191.067</v>
      </c>
      <c r="J152" s="20" t="n">
        <v>271.021</v>
      </c>
      <c r="K152" s="20" t="n">
        <v>319</v>
      </c>
      <c r="L152" s="20" t="n">
        <v>458</v>
      </c>
    </row>
    <row r="153">
      <c r="A153" s="18" t="inlineStr">
        <is>
          <t>퇴직급여 조정누계액</t>
        </is>
      </c>
      <c r="C153" s="20" t="n">
        <v>502</v>
      </c>
      <c r="D153" s="20" t="n">
        <v>803</v>
      </c>
      <c r="E153" s="20" t="n">
        <v>779</v>
      </c>
      <c r="F153" s="20" t="n">
        <v>756</v>
      </c>
      <c r="G153" s="20" t="n">
        <v>733</v>
      </c>
      <c r="H153" s="20" t="n">
        <v>92.61499999999999</v>
      </c>
      <c r="I153" s="20" t="n">
        <v>196.203</v>
      </c>
      <c r="J153" s="20" t="n">
        <v>354.348</v>
      </c>
      <c r="K153" s="20" t="n">
        <v>560</v>
      </c>
      <c r="L153" s="20" t="n">
        <v>803</v>
      </c>
    </row>
    <row r="154">
      <c r="A154" s="18" t="inlineStr">
        <is>
          <t>기타포괄손익누계액 합계</t>
        </is>
      </c>
      <c r="C154" s="20" t="n">
        <v>2295</v>
      </c>
      <c r="D154" s="20" t="n">
        <v>2699</v>
      </c>
      <c r="E154" s="20" t="n">
        <v>2960</v>
      </c>
      <c r="F154" s="20" t="n">
        <v>2955</v>
      </c>
      <c r="G154" s="20" t="n">
        <v>2942</v>
      </c>
      <c r="H154" s="20" t="n">
        <v>1181.558</v>
      </c>
      <c r="I154" s="20" t="n">
        <v>1390.246</v>
      </c>
      <c r="J154" s="20" t="n">
        <v>2328.419</v>
      </c>
      <c r="K154" s="20" t="n">
        <v>2265</v>
      </c>
      <c r="L154" s="20" t="n">
        <v>2699</v>
      </c>
    </row>
    <row r="155">
      <c r="A155" s="18" t="inlineStr">
        <is>
          <t>비지배지분</t>
        </is>
      </c>
      <c r="C155" s="20" t="n">
        <v>160</v>
      </c>
      <c r="D155" s="20" t="n">
        <v>362</v>
      </c>
      <c r="E155" s="20" t="n">
        <v>326</v>
      </c>
      <c r="F155" s="20" t="n">
        <v>364</v>
      </c>
      <c r="G155" s="20" t="n">
        <v>368</v>
      </c>
      <c r="H155" s="20" t="n">
        <v>6.586</v>
      </c>
      <c r="I155" s="20" t="n">
        <v>82.09399999999999</v>
      </c>
      <c r="J155" s="20" t="n">
        <v>181.236</v>
      </c>
      <c r="K155" s="20" t="n">
        <v>136</v>
      </c>
      <c r="L155" s="20" t="n">
        <v>362</v>
      </c>
    </row>
    <row r="156">
      <c r="A156" s="9" t="inlineStr">
        <is>
          <t>순자산 합계</t>
        </is>
      </c>
      <c r="C156" s="12" t="n">
        <v>26283</v>
      </c>
      <c r="D156" s="12" t="n">
        <v>27444</v>
      </c>
      <c r="E156" s="12" t="n">
        <v>27880</v>
      </c>
      <c r="F156" s="12" t="n">
        <v>28796</v>
      </c>
      <c r="G156" s="12" t="n">
        <v>29006</v>
      </c>
      <c r="H156" s="12" t="n">
        <v>27006.272</v>
      </c>
      <c r="I156" s="12" t="n">
        <v>27068.701</v>
      </c>
      <c r="J156" s="12" t="n">
        <v>28601.522</v>
      </c>
      <c r="K156" s="12" t="n">
        <v>25302</v>
      </c>
      <c r="L156" s="12" t="n">
        <v>27444</v>
      </c>
    </row>
    <row r="157">
      <c r="A157" s="9" t="inlineStr">
        <is>
          <t>부채·순자산 합계</t>
        </is>
      </c>
      <c r="C157" s="12" t="n">
        <v>71269</v>
      </c>
      <c r="D157" s="12" t="n">
        <v>75921</v>
      </c>
      <c r="E157" s="12" t="n">
        <v>73309</v>
      </c>
      <c r="F157" s="12" t="n">
        <v>74864</v>
      </c>
      <c r="G157" s="12" t="n">
        <v>74784</v>
      </c>
      <c r="H157" s="12" t="n">
        <v>63553.65</v>
      </c>
      <c r="I157" s="12" t="n">
        <v>63551.819</v>
      </c>
      <c r="J157" s="12" t="n">
        <v>67254.75</v>
      </c>
      <c r="K157" s="12" t="n">
        <v>64595</v>
      </c>
      <c r="L157" s="12" t="n">
        <v>75921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44" customWidth="1" min="8" max="8"/>
  </cols>
  <sheetData>
    <row r="1">
      <c r="A1" s="50" t="inlineStr">
        <is>
          <t>아스테나홀딩스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results · 3Q single</t>
        </is>
      </c>
      <c r="B4" s="52" t="n"/>
      <c r="C4" s="52" t="n"/>
      <c r="D4" s="52" t="n"/>
      <c r="E4" s="52" t="n"/>
      <c r="F4" s="52" t="n"/>
      <c r="G4" s="52" t="n"/>
      <c r="H4" s="52" t="n"/>
    </row>
    <row r="5">
      <c r="A5" s="53" t="inlineStr">
        <is>
          <t>항목</t>
        </is>
      </c>
      <c r="B5" s="53" t="inlineStr">
        <is>
          <t>값</t>
        </is>
      </c>
      <c r="H5" s="53" t="inlineStr">
        <is>
          <t>출처</t>
        </is>
      </c>
    </row>
    <row r="6">
      <c r="A6" s="54" t="inlineStr">
        <is>
          <t>매출</t>
        </is>
      </c>
      <c r="B6" s="55" t="n">
        <v>176.8</v>
      </c>
      <c r="H6" s="56" t="inlineStr">
        <is>
          <t>2단계 보고서 자료(회사 설명회 자료·공시)</t>
        </is>
      </c>
    </row>
    <row r="7">
      <c r="A7" s="54" t="inlineStr">
        <is>
          <t>gp</t>
        </is>
      </c>
      <c r="B7" s="55" t="n">
        <v>56.7</v>
      </c>
    </row>
    <row r="8">
      <c r="A8" s="54" t="inlineStr">
        <is>
          <t>sga</t>
        </is>
      </c>
      <c r="B8" s="55" t="n">
        <v>49.5</v>
      </c>
    </row>
    <row r="9">
      <c r="A9" s="54" t="inlineStr">
        <is>
          <t>영업이익</t>
        </is>
      </c>
      <c r="B9" s="55" t="n">
        <v>7.2</v>
      </c>
    </row>
    <row r="10">
      <c r="A10" s="54" t="inlineStr">
        <is>
          <t>pbt</t>
        </is>
      </c>
      <c r="B10" s="55" t="n">
        <v>6.5</v>
      </c>
    </row>
    <row r="11">
      <c r="A11" s="54" t="inlineStr">
        <is>
          <t>순이익</t>
        </is>
      </c>
      <c r="B11" s="55" t="n">
        <v>5.9</v>
      </c>
    </row>
    <row r="13">
      <c r="A13" s="52" t="inlineStr">
        <is>
          <t>this results · ytd9m</t>
        </is>
      </c>
      <c r="B13" s="52" t="n"/>
      <c r="C13" s="52" t="n"/>
      <c r="D13" s="52" t="n"/>
      <c r="E13" s="52" t="n"/>
      <c r="F13" s="52" t="n"/>
      <c r="G13" s="52" t="n"/>
      <c r="H13" s="52" t="n"/>
    </row>
    <row r="14">
      <c r="A14" s="53" t="inlineStr">
        <is>
          <t>항목</t>
        </is>
      </c>
      <c r="B14" s="53" t="inlineStr">
        <is>
          <t>값</t>
        </is>
      </c>
      <c r="H14" s="53" t="inlineStr">
        <is>
          <t>출처</t>
        </is>
      </c>
    </row>
    <row r="15">
      <c r="A15" s="54" t="inlineStr">
        <is>
          <t>매출</t>
        </is>
      </c>
      <c r="B15" s="55" t="n">
        <v>522.5</v>
      </c>
      <c r="H15" s="56" t="inlineStr">
        <is>
          <t>2단계 보고서 자료(회사 설명회 자료·공시)</t>
        </is>
      </c>
    </row>
    <row r="16">
      <c r="A16" s="54" t="inlineStr">
        <is>
          <t>영업이익</t>
        </is>
      </c>
      <c r="B16" s="55" t="n">
        <v>30.1</v>
      </c>
    </row>
    <row r="17">
      <c r="A17" s="54" t="inlineStr">
        <is>
          <t>ord</t>
        </is>
      </c>
      <c r="B17" s="55" t="n">
        <v>28</v>
      </c>
    </row>
    <row r="18">
      <c r="A18" s="54" t="inlineStr">
        <is>
          <t>순이익</t>
        </is>
      </c>
      <c r="B18" s="55" t="n">
        <v>20.1</v>
      </c>
    </row>
    <row r="19">
      <c r="A19" s="54" t="inlineStr">
        <is>
          <t>EPS</t>
        </is>
      </c>
      <c r="B19" s="55" t="n">
        <v>49.67</v>
      </c>
    </row>
    <row r="21">
      <c r="A21" s="52" t="inlineStr">
        <is>
          <t>this results · 가이던스 fy26</t>
        </is>
      </c>
      <c r="B21" s="52" t="n"/>
      <c r="C21" s="52" t="n"/>
      <c r="D21" s="52" t="n"/>
      <c r="E21" s="52" t="n"/>
      <c r="F21" s="52" t="n"/>
      <c r="G21" s="52" t="n"/>
      <c r="H21" s="52" t="n"/>
    </row>
    <row r="22">
      <c r="A22" s="53" t="inlineStr">
        <is>
          <t>항목</t>
        </is>
      </c>
      <c r="B22" s="53" t="inlineStr">
        <is>
          <t>값</t>
        </is>
      </c>
      <c r="H22" s="53" t="inlineStr">
        <is>
          <t>출처</t>
        </is>
      </c>
    </row>
    <row r="23">
      <c r="A23" s="54" t="inlineStr">
        <is>
          <t>매출</t>
        </is>
      </c>
      <c r="B23" s="57" t="n">
        <v>680</v>
      </c>
      <c r="H23" s="56" t="inlineStr">
        <is>
          <t>2단계 보고서 자료(회사 설명회 자료·공시)</t>
        </is>
      </c>
    </row>
    <row r="24">
      <c r="A24" s="54" t="inlineStr">
        <is>
          <t>영업이익</t>
        </is>
      </c>
      <c r="B24" s="57" t="n">
        <v>34</v>
      </c>
    </row>
    <row r="25">
      <c r="A25" s="54" t="inlineStr">
        <is>
          <t>ord</t>
        </is>
      </c>
      <c r="B25" s="57" t="n">
        <v>33</v>
      </c>
    </row>
    <row r="26">
      <c r="A26" s="54" t="inlineStr">
        <is>
          <t>순이익</t>
        </is>
      </c>
      <c r="B26" s="55" t="n">
        <v>23.5</v>
      </c>
    </row>
    <row r="27">
      <c r="A27" s="54" t="inlineStr">
        <is>
          <t>EPS</t>
        </is>
      </c>
      <c r="B27" s="55" t="n">
        <v>58.22</v>
      </c>
    </row>
    <row r="28">
      <c r="A28" s="54" t="inlineStr">
        <is>
          <t>dps</t>
        </is>
      </c>
      <c r="B28" s="57" t="n">
        <v>18</v>
      </c>
    </row>
    <row r="30">
      <c r="A30" s="52" t="inlineStr">
        <is>
          <t>부문별 quarterly ext 매출</t>
        </is>
      </c>
      <c r="B30" s="52" t="n"/>
      <c r="C30" s="52" t="n"/>
      <c r="D30" s="52" t="n"/>
      <c r="E30" s="52" t="n"/>
      <c r="F30" s="52" t="n"/>
      <c r="G30" s="52" t="n"/>
      <c r="H30" s="52" t="n"/>
    </row>
    <row r="31">
      <c r="A31" s="53" t="inlineStr">
        <is>
          <t>항목</t>
        </is>
      </c>
      <c r="B31" s="53" t="inlineStr">
        <is>
          <t>2025.1Q</t>
        </is>
      </c>
      <c r="C31" s="53" t="inlineStr">
        <is>
          <t>2025.2Q</t>
        </is>
      </c>
      <c r="D31" s="53" t="inlineStr">
        <is>
          <t>2025.3Q</t>
        </is>
      </c>
      <c r="E31" s="53" t="inlineStr">
        <is>
          <t>2026.1Q</t>
        </is>
      </c>
      <c r="F31" s="53" t="inlineStr">
        <is>
          <t>2026.2Q</t>
        </is>
      </c>
      <c r="G31" s="53" t="inlineStr">
        <is>
          <t>2026.3Q</t>
        </is>
      </c>
      <c r="H31" s="53" t="inlineStr">
        <is>
          <t>출처</t>
        </is>
      </c>
    </row>
    <row r="32">
      <c r="A32" s="54" t="inlineStr">
        <is>
          <t>파인케미컬</t>
        </is>
      </c>
      <c r="B32" s="55" t="n">
        <v>56.1</v>
      </c>
      <c r="C32" s="55" t="n">
        <v>59.4</v>
      </c>
      <c r="D32" s="55" t="n">
        <v>56.1</v>
      </c>
      <c r="E32" s="55" t="n">
        <v>51.3</v>
      </c>
      <c r="F32" s="55" t="n">
        <v>58.1</v>
      </c>
      <c r="G32" s="55" t="n">
        <v>57.3</v>
      </c>
      <c r="H32" s="56" t="inlineStr">
        <is>
          <t>외부고객 매출 누계 차분(계산). 2025.4Q 단독 = 연간−9M: 파인 51.6, HBC 60.4, 의약 31.1, 화학품 29.2</t>
        </is>
      </c>
    </row>
    <row r="33">
      <c r="A33" s="54" t="inlineStr">
        <is>
          <t>HBC·식품</t>
        </is>
      </c>
      <c r="B33" s="55" t="n">
        <v>36.7</v>
      </c>
      <c r="C33" s="55" t="n">
        <v>43.4</v>
      </c>
      <c r="D33" s="55" t="n">
        <v>41.3</v>
      </c>
      <c r="E33" s="55" t="n">
        <v>55</v>
      </c>
      <c r="F33" s="55" t="n">
        <v>58.6</v>
      </c>
      <c r="G33" s="55" t="n">
        <v>56.3</v>
      </c>
    </row>
    <row r="34">
      <c r="A34" s="54" t="inlineStr">
        <is>
          <t>의약</t>
        </is>
      </c>
      <c r="B34" s="55" t="n">
        <v>28.3</v>
      </c>
      <c r="C34" s="55" t="n">
        <v>31.8</v>
      </c>
      <c r="D34" s="55" t="n">
        <v>33.1</v>
      </c>
      <c r="E34" s="55" t="n">
        <v>29.7</v>
      </c>
      <c r="F34" s="55" t="n">
        <v>32.8</v>
      </c>
      <c r="G34" s="55" t="n">
        <v>31.3</v>
      </c>
    </row>
    <row r="35">
      <c r="A35" s="54" t="inlineStr">
        <is>
          <t>화학품</t>
        </is>
      </c>
      <c r="B35" s="55" t="n">
        <v>22.1</v>
      </c>
      <c r="C35" s="55" t="n">
        <v>22.9</v>
      </c>
      <c r="D35" s="55" t="n">
        <v>23.1</v>
      </c>
      <c r="E35" s="55" t="n">
        <v>29.3</v>
      </c>
      <c r="F35" s="55" t="n">
        <v>30.6</v>
      </c>
      <c r="G35" s="55" t="n">
        <v>31.7</v>
      </c>
    </row>
    <row r="37">
      <c r="A37" s="52" t="inlineStr">
        <is>
          <t>부문별 quarterly 영업이익</t>
        </is>
      </c>
      <c r="B37" s="52" t="n"/>
      <c r="C37" s="52" t="n"/>
      <c r="D37" s="52" t="n"/>
      <c r="E37" s="52" t="n"/>
      <c r="F37" s="52" t="n"/>
      <c r="G37" s="52" t="n"/>
      <c r="H37" s="52" t="n"/>
    </row>
    <row r="38">
      <c r="A38" s="53" t="inlineStr">
        <is>
          <t>항목</t>
        </is>
      </c>
      <c r="B38" s="53" t="inlineStr">
        <is>
          <t>2025.1Q</t>
        </is>
      </c>
      <c r="C38" s="53" t="inlineStr">
        <is>
          <t>2025.2Q</t>
        </is>
      </c>
      <c r="D38" s="53" t="inlineStr">
        <is>
          <t>2025.3Q</t>
        </is>
      </c>
      <c r="E38" s="53" t="inlineStr">
        <is>
          <t>2026.1Q</t>
        </is>
      </c>
      <c r="F38" s="53" t="inlineStr">
        <is>
          <t>2026.2Q</t>
        </is>
      </c>
      <c r="G38" s="53" t="inlineStr">
        <is>
          <t>2026.3Q</t>
        </is>
      </c>
      <c r="H38" s="53" t="inlineStr">
        <is>
          <t>출처</t>
        </is>
      </c>
    </row>
    <row r="39">
      <c r="A39" s="54" t="inlineStr">
        <is>
          <t>파인케미컬</t>
        </is>
      </c>
      <c r="B39" s="55" t="n">
        <v>3.65</v>
      </c>
      <c r="C39" s="55" t="n">
        <v>5.06</v>
      </c>
      <c r="D39" s="55" t="n">
        <v>2.09</v>
      </c>
      <c r="E39" s="55" t="n">
        <v>2.14</v>
      </c>
      <c r="F39" s="55" t="n">
        <v>5.15</v>
      </c>
      <c r="G39" s="55" t="n">
        <v>2.55</v>
      </c>
      <c r="H39" s="56" t="inlineStr">
        <is>
          <t>세그먼트 이익 누계 차분(계산). 2025.4Q = 연간−9M: 파인 −1.71, HBC 1.56, 의약 2.37, 화학품 3.21(전사비 배분 기준 변경 후 수치)</t>
        </is>
      </c>
    </row>
    <row r="40">
      <c r="A40" s="54" t="inlineStr">
        <is>
          <t>HBC·식품</t>
        </is>
      </c>
      <c r="B40" s="55" t="n">
        <v>2.08</v>
      </c>
      <c r="C40" s="55" t="n">
        <v>3.36</v>
      </c>
      <c r="D40" s="55" t="n">
        <v>0</v>
      </c>
      <c r="E40" s="55" t="n">
        <v>2.65</v>
      </c>
      <c r="F40" s="55" t="n">
        <v>0.95</v>
      </c>
      <c r="G40" s="55" t="n">
        <v>-0.5600000000000001</v>
      </c>
    </row>
    <row r="41">
      <c r="A41" s="54" t="inlineStr">
        <is>
          <t>의약</t>
        </is>
      </c>
      <c r="B41" s="55" t="n">
        <v>3.55</v>
      </c>
      <c r="C41" s="55" t="n">
        <v>3.24</v>
      </c>
      <c r="D41" s="55" t="n">
        <v>2.02</v>
      </c>
      <c r="E41" s="55" t="n">
        <v>2.6</v>
      </c>
      <c r="F41" s="55" t="n">
        <v>3.98</v>
      </c>
      <c r="G41" s="55" t="n">
        <v>2.39</v>
      </c>
    </row>
    <row r="42">
      <c r="A42" s="54" t="inlineStr">
        <is>
          <t>화학품</t>
        </is>
      </c>
      <c r="B42" s="55" t="n">
        <v>1.35</v>
      </c>
      <c r="C42" s="55" t="n">
        <v>0.55</v>
      </c>
      <c r="D42" s="55" t="n">
        <v>2.22</v>
      </c>
      <c r="E42" s="55" t="n">
        <v>3.76</v>
      </c>
      <c r="F42" s="55" t="n">
        <v>2.3</v>
      </c>
      <c r="G42" s="55" t="n">
        <v>2.88</v>
      </c>
    </row>
    <row r="44">
      <c r="A44" s="52" t="inlineStr">
        <is>
          <t>부문별 annual ext 매출 · FY2024</t>
        </is>
      </c>
      <c r="B44" s="52" t="n"/>
      <c r="C44" s="52" t="n"/>
      <c r="D44" s="52" t="n"/>
      <c r="E44" s="52" t="n"/>
      <c r="F44" s="52" t="n"/>
      <c r="G44" s="52" t="n"/>
      <c r="H44" s="52" t="n"/>
    </row>
    <row r="45">
      <c r="A45" s="53" t="inlineStr">
        <is>
          <t>항목</t>
        </is>
      </c>
      <c r="B45" s="53" t="inlineStr">
        <is>
          <t>값</t>
        </is>
      </c>
      <c r="H45" s="53" t="inlineStr">
        <is>
          <t>출처</t>
        </is>
      </c>
    </row>
    <row r="46">
      <c r="A46" s="54" t="inlineStr">
        <is>
          <t>파인케미컬</t>
        </is>
      </c>
      <c r="B46" s="55" t="n">
        <v>211.3</v>
      </c>
      <c r="H46" s="56" t="inlineStr">
        <is>
          <t>2단계 보고서 자료(회사 설명회 자료·공시)</t>
        </is>
      </c>
    </row>
    <row r="47">
      <c r="A47" s="54" t="inlineStr">
        <is>
          <t>HBC·식품</t>
        </is>
      </c>
      <c r="B47" s="55" t="n">
        <v>151.6</v>
      </c>
    </row>
    <row r="48">
      <c r="A48" s="54" t="inlineStr">
        <is>
          <t>의약</t>
        </is>
      </c>
      <c r="B48" s="55" t="n">
        <v>114.7</v>
      </c>
    </row>
    <row r="49">
      <c r="A49" s="54" t="inlineStr">
        <is>
          <t>화학품</t>
        </is>
      </c>
      <c r="B49" s="55" t="n">
        <v>101.9</v>
      </c>
    </row>
    <row r="51">
      <c r="A51" s="52" t="inlineStr">
        <is>
          <t>부문별 annual ext 매출 · FY2025</t>
        </is>
      </c>
      <c r="B51" s="52" t="n"/>
      <c r="C51" s="52" t="n"/>
      <c r="D51" s="52" t="n"/>
      <c r="E51" s="52" t="n"/>
      <c r="F51" s="52" t="n"/>
      <c r="G51" s="52" t="n"/>
      <c r="H51" s="52" t="n"/>
    </row>
    <row r="52">
      <c r="A52" s="53" t="inlineStr">
        <is>
          <t>항목</t>
        </is>
      </c>
      <c r="B52" s="53" t="inlineStr">
        <is>
          <t>값</t>
        </is>
      </c>
      <c r="H52" s="53" t="inlineStr">
        <is>
          <t>출처</t>
        </is>
      </c>
    </row>
    <row r="53">
      <c r="A53" s="54" t="inlineStr">
        <is>
          <t>파인케미컬</t>
        </is>
      </c>
      <c r="B53" s="55" t="n">
        <v>223.3</v>
      </c>
      <c r="H53" s="56" t="inlineStr">
        <is>
          <t>2단계 보고서 자료(회사 설명회 자료·공시)</t>
        </is>
      </c>
    </row>
    <row r="54">
      <c r="A54" s="54" t="inlineStr">
        <is>
          <t>HBC·식품</t>
        </is>
      </c>
      <c r="B54" s="55" t="n">
        <v>181.9</v>
      </c>
    </row>
    <row r="55">
      <c r="A55" s="54" t="inlineStr">
        <is>
          <t>의약</t>
        </is>
      </c>
      <c r="B55" s="55" t="n">
        <v>124.3</v>
      </c>
    </row>
    <row r="56">
      <c r="A56" s="54" t="inlineStr">
        <is>
          <t>화학품</t>
        </is>
      </c>
      <c r="B56" s="55" t="n">
        <v>97.3</v>
      </c>
    </row>
    <row r="58">
      <c r="A58" s="52" t="inlineStr">
        <is>
          <t>부문별 annual ext 매출 · 영업이익 FY2024</t>
        </is>
      </c>
      <c r="B58" s="52" t="n"/>
      <c r="C58" s="52" t="n"/>
      <c r="D58" s="52" t="n"/>
      <c r="E58" s="52" t="n"/>
      <c r="F58" s="52" t="n"/>
      <c r="G58" s="52" t="n"/>
      <c r="H58" s="52" t="n"/>
    </row>
    <row r="59">
      <c r="A59" s="53" t="inlineStr">
        <is>
          <t>항목</t>
        </is>
      </c>
      <c r="B59" s="53" t="inlineStr">
        <is>
          <t>값</t>
        </is>
      </c>
      <c r="H59" s="53" t="inlineStr">
        <is>
          <t>출처</t>
        </is>
      </c>
    </row>
    <row r="60">
      <c r="A60" s="54" t="inlineStr">
        <is>
          <t>파인케미컬</t>
        </is>
      </c>
      <c r="B60" s="55" t="n">
        <v>2.19</v>
      </c>
      <c r="H60" s="56" t="inlineStr">
        <is>
          <t>2단계 보고서 자료(회사 설명회 자료·공시)</t>
        </is>
      </c>
    </row>
    <row r="61">
      <c r="A61" s="54" t="inlineStr">
        <is>
          <t>HBC·식품</t>
        </is>
      </c>
      <c r="B61" s="55" t="n">
        <v>6.23</v>
      </c>
    </row>
    <row r="62">
      <c r="A62" s="54" t="inlineStr">
        <is>
          <t>의약</t>
        </is>
      </c>
      <c r="B62" s="55" t="n">
        <v>13.02</v>
      </c>
    </row>
    <row r="63">
      <c r="A63" s="54" t="inlineStr">
        <is>
          <t>화학품</t>
        </is>
      </c>
      <c r="B63" s="55" t="n">
        <v>8.07</v>
      </c>
    </row>
    <row r="65">
      <c r="A65" s="52" t="inlineStr">
        <is>
          <t>부문별 annual ext 매출 · 영업이익 FY2025</t>
        </is>
      </c>
      <c r="B65" s="52" t="n"/>
      <c r="C65" s="52" t="n"/>
      <c r="D65" s="52" t="n"/>
      <c r="E65" s="52" t="n"/>
      <c r="F65" s="52" t="n"/>
      <c r="G65" s="52" t="n"/>
      <c r="H65" s="52" t="n"/>
    </row>
    <row r="66">
      <c r="A66" s="53" t="inlineStr">
        <is>
          <t>항목</t>
        </is>
      </c>
      <c r="B66" s="53" t="inlineStr">
        <is>
          <t>값</t>
        </is>
      </c>
      <c r="H66" s="53" t="inlineStr">
        <is>
          <t>출처</t>
        </is>
      </c>
    </row>
    <row r="67">
      <c r="A67" s="54" t="inlineStr">
        <is>
          <t>파인케미컬</t>
        </is>
      </c>
      <c r="B67" s="55" t="n">
        <v>9.09</v>
      </c>
      <c r="H67" s="56" t="inlineStr">
        <is>
          <t>2단계 보고서 자료(회사 설명회 자료·공시)</t>
        </is>
      </c>
    </row>
    <row r="68">
      <c r="A68" s="54" t="inlineStr">
        <is>
          <t>HBC·식품</t>
        </is>
      </c>
      <c r="B68" s="55" t="n">
        <v>7</v>
      </c>
    </row>
    <row r="69">
      <c r="A69" s="54" t="inlineStr">
        <is>
          <t>의약</t>
        </is>
      </c>
      <c r="B69" s="55" t="n">
        <v>11.18</v>
      </c>
    </row>
    <row r="70">
      <c r="A70" s="54" t="inlineStr">
        <is>
          <t>화학품</t>
        </is>
      </c>
      <c r="B70" s="55" t="n">
        <v>7.33</v>
      </c>
    </row>
    <row r="72">
      <c r="A72" s="52" t="inlineStr">
        <is>
          <t>market</t>
        </is>
      </c>
      <c r="B72" s="52" t="n"/>
      <c r="C72" s="52" t="n"/>
      <c r="D72" s="52" t="n"/>
      <c r="E72" s="52" t="n"/>
      <c r="F72" s="52" t="n"/>
      <c r="G72" s="52" t="n"/>
      <c r="H72" s="52" t="n"/>
    </row>
    <row r="73">
      <c r="A73" s="53" t="inlineStr">
        <is>
          <t>항목</t>
        </is>
      </c>
      <c r="B73" s="53" t="inlineStr">
        <is>
          <t>값</t>
        </is>
      </c>
      <c r="H73" s="53" t="inlineStr">
        <is>
          <t>출처</t>
        </is>
      </c>
    </row>
    <row r="74">
      <c r="A74" s="54" t="inlineStr">
        <is>
          <t>가격</t>
        </is>
      </c>
      <c r="B74" s="57" t="n">
        <v>531</v>
      </c>
      <c r="H74" s="56" t="inlineStr">
        <is>
          <t>2단계 보고서 자료(회사 설명회 자료·공시)</t>
        </is>
      </c>
    </row>
    <row r="75">
      <c r="A75" s="54" t="inlineStr">
        <is>
          <t>shares out</t>
        </is>
      </c>
      <c r="B75" s="57" t="n">
        <v>41182421</v>
      </c>
    </row>
    <row r="76">
      <c r="A76" s="54" t="inlineStr">
        <is>
          <t>treasury</t>
        </is>
      </c>
      <c r="B76" s="57" t="n">
        <v>751878</v>
      </c>
    </row>
    <row r="77">
      <c r="A77" s="54" t="inlineStr">
        <is>
          <t>shares ex treasury</t>
        </is>
      </c>
      <c r="B77" s="57" t="n">
        <v>40430543</v>
      </c>
    </row>
    <row r="78">
      <c r="A78" s="54" t="inlineStr">
        <is>
          <t>mcap jpy bn yahoo</t>
        </is>
      </c>
      <c r="B78" s="55" t="n">
        <v>214.7</v>
      </c>
    </row>
    <row r="79">
      <c r="A79" s="54" t="inlineStr">
        <is>
          <t>bps</t>
        </is>
      </c>
      <c r="B79" s="55" t="n">
        <v>708.3</v>
      </c>
    </row>
    <row r="80">
      <c r="A80" s="54" t="inlineStr">
        <is>
          <t>PBR</t>
        </is>
      </c>
      <c r="B80" s="55" t="n">
        <v>0.75</v>
      </c>
    </row>
    <row r="81">
      <c r="A81" s="54" t="inlineStr">
        <is>
          <t>PER guid</t>
        </is>
      </c>
      <c r="B81" s="55" t="n">
        <v>9.1</v>
      </c>
    </row>
    <row r="82">
      <c r="A82" s="54" t="inlineStr">
        <is>
          <t>dps</t>
        </is>
      </c>
      <c r="B82" s="57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2026-10-13</t>
        </is>
      </c>
      <c r="B4" t="inlineStr">
        <is>
          <t>2026년 11월 결산기 ３분기 결산단신</t>
        </is>
      </c>
      <c r="C4" t="inlineStr">
        <is>
          <t>https://www2.jpx.co.jp/disc/80950/140120261013549604.pdf</t>
        </is>
      </c>
    </row>
    <row r="5">
      <c r="A5" t="inlineStr">
        <is>
          <t>2026-07-13</t>
        </is>
      </c>
      <c r="B5" t="inlineStr">
        <is>
          <t>2026년 11월 결산기 ２분기 결산단신</t>
        </is>
      </c>
      <c r="C5" t="inlineStr">
        <is>
          <t>https://www2.jpx.co.jp/disc/80950/140120260713591985.pdf</t>
        </is>
      </c>
    </row>
    <row r="6">
      <c r="A6" t="inlineStr">
        <is>
          <t>2026-04-13</t>
        </is>
      </c>
      <c r="B6" t="inlineStr">
        <is>
          <t>2026년 11월 결산기 １분기 결산단신</t>
        </is>
      </c>
      <c r="C6" t="inlineStr">
        <is>
          <t>https://www2.jpx.co.jp/disc/80950/140120260410501719.pdf</t>
        </is>
      </c>
    </row>
    <row r="7">
      <c r="A7" t="inlineStr">
        <is>
          <t>2026-01-13</t>
        </is>
      </c>
      <c r="B7" t="inlineStr">
        <is>
          <t>2025년 11월 결산기 연간 결산단신</t>
        </is>
      </c>
      <c r="C7" t="inlineStr">
        <is>
          <t>https://www2.jpx.co.jp/disc/80950/140120260113532303.pdf</t>
        </is>
      </c>
    </row>
    <row r="8">
      <c r="A8" t="inlineStr">
        <is>
          <t>2025-10-10</t>
        </is>
      </c>
      <c r="B8" t="inlineStr">
        <is>
          <t>2025년 11월 결산기 ３분기 결산단신</t>
        </is>
      </c>
      <c r="C8" t="inlineStr">
        <is>
          <t>https://www2.jpx.co.jp/disc/80950/140120251010571567.pdf</t>
        </is>
      </c>
    </row>
    <row r="9">
      <c r="A9" t="inlineStr">
        <is>
          <t>2025-07-11</t>
        </is>
      </c>
      <c r="B9" t="inlineStr">
        <is>
          <t>2025년 11월 결산기 ２분기 결산단신</t>
        </is>
      </c>
      <c r="C9" t="inlineStr">
        <is>
          <t>https://www2.jpx.co.jp/disc/80950/140120250709510926.pdf</t>
        </is>
      </c>
    </row>
    <row r="10">
      <c r="A10" t="inlineStr">
        <is>
          <t>2025-04-11</t>
        </is>
      </c>
      <c r="B10" t="inlineStr">
        <is>
          <t>2025년 11월 결산기 １분기 결산단신</t>
        </is>
      </c>
      <c r="C10" t="inlineStr">
        <is>
          <t>https://www2.jpx.co.jp/disc/80950/140120250411513537.pdf</t>
        </is>
      </c>
    </row>
    <row r="11">
      <c r="A11" t="inlineStr">
        <is>
          <t>2025-01-14</t>
        </is>
      </c>
      <c r="B11" t="inlineStr">
        <is>
          <t>2024년 11월 결산기 연간 결산단신</t>
        </is>
      </c>
      <c r="C11" t="inlineStr">
        <is>
          <t>https://www2.jpx.co.jp/disc/80950/140120250110549380.pdf</t>
        </is>
      </c>
    </row>
    <row r="12">
      <c r="A12" t="inlineStr">
        <is>
          <t>2024-10-11</t>
        </is>
      </c>
      <c r="B12" t="inlineStr">
        <is>
          <t>2024년 11월 결산기 ３분기 결산단신</t>
        </is>
      </c>
      <c r="C12" t="inlineStr">
        <is>
          <t>https://www2.jpx.co.jp/disc/80950/140120241011596992.pdf</t>
        </is>
      </c>
    </row>
    <row r="13">
      <c r="A13" t="inlineStr">
        <is>
          <t>2024-07-12</t>
        </is>
      </c>
      <c r="B13" t="inlineStr">
        <is>
          <t>2024년 11월 결산기 ２분기 결산단신</t>
        </is>
      </c>
      <c r="C13" t="inlineStr">
        <is>
          <t>https://www2.jpx.co.jp/disc/80950/140120240711547939.pdf</t>
        </is>
      </c>
    </row>
    <row r="14">
      <c r="A14" t="inlineStr">
        <is>
          <t>2024-04-12</t>
        </is>
      </c>
      <c r="B14" t="inlineStr">
        <is>
          <t>2024년 11월 결산기 １분기 결산단신</t>
        </is>
      </c>
      <c r="C14" t="inlineStr">
        <is>
          <t>https://www2.jpx.co.jp/disc/80950/140120240412570124.pdf</t>
        </is>
      </c>
    </row>
    <row r="15">
      <c r="A15" t="inlineStr">
        <is>
          <t>2024-01-12</t>
        </is>
      </c>
      <c r="B15" t="inlineStr">
        <is>
          <t>2023년 11월 결산기 연간 결산단신</t>
        </is>
      </c>
      <c r="C15" t="inlineStr">
        <is>
          <t>https://www2.jpx.co.jp/disc/80950/140120240112514526.pdf</t>
        </is>
      </c>
    </row>
    <row r="16">
      <c r="A16" t="inlineStr">
        <is>
          <t>2023-10-13</t>
        </is>
      </c>
      <c r="B16" t="inlineStr">
        <is>
          <t>2023년 11월 결산기 ３분기 결산단신</t>
        </is>
      </c>
      <c r="C16" t="inlineStr">
        <is>
          <t>https://www2.jpx.co.jp/disc/80950/140120231013566558.pdf</t>
        </is>
      </c>
    </row>
    <row r="17">
      <c r="A17" t="inlineStr">
        <is>
          <t>2023-07-13</t>
        </is>
      </c>
      <c r="B17" t="inlineStr">
        <is>
          <t>2023년 11월 결산기 ２분기 결산단신</t>
        </is>
      </c>
      <c r="C17" t="inlineStr">
        <is>
          <t>https://www2.jpx.co.jp/disc/80950/140120230713521517.pdf</t>
        </is>
      </c>
    </row>
    <row r="18">
      <c r="A18" t="inlineStr">
        <is>
          <t>2023-04-13</t>
        </is>
      </c>
      <c r="B18" t="inlineStr">
        <is>
          <t>2023년 11월 결산기 １분기 결산단신</t>
        </is>
      </c>
      <c r="C18" t="inlineStr">
        <is>
          <t>https://www2.jpx.co.jp/disc/80950/140120230413546547.pdf</t>
        </is>
      </c>
    </row>
    <row r="19">
      <c r="A19" t="inlineStr">
        <is>
          <t>2023-01-13</t>
        </is>
      </c>
      <c r="B19" t="inlineStr">
        <is>
          <t>2022년 11월 결산기 연간 결산단신</t>
        </is>
      </c>
      <c r="C19" t="inlineStr">
        <is>
          <t>https://www2.jpx.co.jp/disc/80950/140120230113589044.pdf</t>
        </is>
      </c>
    </row>
    <row r="20">
      <c r="A20" t="inlineStr">
        <is>
          <t>2022-01-13</t>
        </is>
      </c>
      <c r="B20" t="inlineStr">
        <is>
          <t>2021년 11월 결산기 연간 결산단신</t>
        </is>
      </c>
      <c r="C20" t="inlineStr">
        <is>
          <t>https://www2.jpx.co.jp/disc/80950/140120220112566833.pdf</t>
        </is>
      </c>
    </row>
    <row r="21">
      <c r="A21" t="inlineStr">
        <is>
          <t>2021-01-13</t>
        </is>
      </c>
      <c r="B21" t="inlineStr">
        <is>
          <t>2020년 11월 결산기 연간 결산단신</t>
        </is>
      </c>
      <c r="C21" t="inlineStr">
        <is>
          <t>https://www2.jpx.co.jp/disc/80950/140120210113443462.pdf</t>
        </is>
      </c>
    </row>
    <row r="22">
      <c r="A22" t="inlineStr">
        <is>
          <t>2020-01-10</t>
        </is>
      </c>
      <c r="B22" t="inlineStr">
        <is>
          <t>2019년 11월 결산기 연간 결산단신</t>
        </is>
      </c>
      <c r="C22" t="inlineStr">
        <is>
          <t>https://www2.jpx.co.jp/disc/80950/140120200110445383.pdf</t>
        </is>
      </c>
    </row>
    <row r="23">
      <c r="A23" t="inlineStr">
        <is>
          <t>2019-01-11</t>
        </is>
      </c>
      <c r="B23" t="inlineStr">
        <is>
          <t>2018년 11월 결산기 연간 결산단신</t>
        </is>
      </c>
      <c r="C23" t="inlineStr">
        <is>
          <t>https://www2.jpx.co.jp/disc/80950/140120181228456272.pdf</t>
        </is>
      </c>
    </row>
    <row r="24">
      <c r="A24" t="inlineStr">
        <is>
          <t>2018-01-12</t>
        </is>
      </c>
      <c r="B24" t="inlineStr">
        <is>
          <t>연간 결산단신</t>
        </is>
      </c>
      <c r="C24" t="inlineStr">
        <is>
          <t>https://www2.jpx.co.jp/disc/80950/140120180105446842.pdf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2026-10-28T09:18:34Z</dcterms:created>
  <dcterms:modified xmlns:dcterms="http://purl.org/dc/terms/" xmlns:xsi="http://www.w3.org/2001/XMLSchema-instance" xsi:type="dcterms:W3CDTF">2026-10-28T09:18:35Z</dcterms:modified>
</cp:coreProperties>
</file>