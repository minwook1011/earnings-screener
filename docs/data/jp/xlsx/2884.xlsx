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요시무라푸드홀딩스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11560.508</v>
      </c>
      <c r="D4" s="12" t="n">
        <v>15136.353</v>
      </c>
      <c r="E4" s="12" t="n">
        <v>14614.133</v>
      </c>
      <c r="F4" s="12" t="n">
        <v>14124.032</v>
      </c>
      <c r="G4" s="12" t="n">
        <v>14613.537</v>
      </c>
      <c r="H4" s="12" t="n">
        <v>14758.405</v>
      </c>
      <c r="I4" s="12" t="n">
        <v>14600.285</v>
      </c>
      <c r="J4" s="12" t="n">
        <v>13165.54</v>
      </c>
      <c r="K4" s="12" t="n">
        <v>14720.404</v>
      </c>
      <c r="L4" s="12" t="n">
        <v>14998.334</v>
      </c>
      <c r="M4" s="12" t="n">
        <v>13976.414</v>
      </c>
      <c r="N4" s="12" t="n">
        <v>15028.365</v>
      </c>
      <c r="O4" s="11" t="n">
        <v>16241.91</v>
      </c>
      <c r="P4" s="12" t="n">
        <v>20035.815</v>
      </c>
      <c r="Q4" s="12" t="n">
        <v>23716.121</v>
      </c>
      <c r="R4" s="12" t="n">
        <v>29875.734</v>
      </c>
      <c r="S4" s="12" t="n">
        <v>29289.427</v>
      </c>
      <c r="T4" s="12" t="n">
        <v>29283.701</v>
      </c>
      <c r="U4" s="12" t="n">
        <v>34937.944</v>
      </c>
      <c r="V4" s="12" t="n">
        <v>49781.836</v>
      </c>
      <c r="W4" s="12" t="n">
        <v>58110.107</v>
      </c>
      <c r="X4" s="12" t="n">
        <v>57484.563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제조 사업</t>
        </is>
      </c>
      <c r="B7" s="10" t="n"/>
      <c r="C7" s="19" t="n">
        <v>9166.879000000001</v>
      </c>
      <c r="D7" s="20" t="n">
        <v>12532.105</v>
      </c>
      <c r="E7" s="20" t="n">
        <v>11933.24</v>
      </c>
      <c r="F7" s="20" t="n">
        <v>11423.616</v>
      </c>
      <c r="G7" s="20" t="n">
        <v>12116.189</v>
      </c>
      <c r="H7" s="20" t="n">
        <v>12176.633</v>
      </c>
      <c r="I7" s="20" t="n">
        <v>12181.569</v>
      </c>
      <c r="J7" s="20" t="n">
        <v>10850.935</v>
      </c>
      <c r="K7" s="20" t="n">
        <v>12266.625</v>
      </c>
      <c r="L7" s="20" t="n">
        <v>12376.887</v>
      </c>
      <c r="M7" s="20" t="n">
        <v>11152.85</v>
      </c>
      <c r="N7" s="20" t="n">
        <v>12424.311</v>
      </c>
      <c r="O7" s="19" t="n"/>
      <c r="P7" s="20" t="n"/>
      <c r="Q7" s="20" t="n"/>
      <c r="R7" s="20" t="n"/>
      <c r="S7" s="20" t="n"/>
      <c r="T7" s="20" t="n"/>
      <c r="U7" s="20" t="n"/>
      <c r="V7" s="20" t="n">
        <v>39923.129</v>
      </c>
      <c r="W7" s="20" t="n">
        <v>47649.678</v>
      </c>
      <c r="X7" s="20" t="n">
        <v>47676.016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판매 사업</t>
        </is>
      </c>
      <c r="B10" s="10" t="n"/>
      <c r="C10" s="19" t="n">
        <v>2236.698</v>
      </c>
      <c r="D10" s="20" t="n">
        <v>2315.659</v>
      </c>
      <c r="E10" s="20" t="n">
        <v>2576.911</v>
      </c>
      <c r="F10" s="20" t="n">
        <v>2594.59</v>
      </c>
      <c r="G10" s="20" t="n">
        <v>2431.214</v>
      </c>
      <c r="H10" s="20" t="n">
        <v>2389.119</v>
      </c>
      <c r="I10" s="20" t="n">
        <v>2375.988</v>
      </c>
      <c r="J10" s="20" t="n">
        <v>2270.985</v>
      </c>
      <c r="K10" s="20" t="n">
        <v>2399.526</v>
      </c>
      <c r="L10" s="20" t="n">
        <v>2486.125</v>
      </c>
      <c r="M10" s="20" t="n">
        <v>2764.327</v>
      </c>
      <c r="N10" s="20" t="n">
        <v>2539.495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9259.876</v>
      </c>
      <c r="W10" s="20" t="n">
        <v>9991.834000000001</v>
      </c>
      <c r="X10" s="20" t="n">
        <v>9532.624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기타 사업</t>
        </is>
      </c>
      <c r="B13" s="10" t="n"/>
      <c r="C13" s="19" t="n">
        <v>156.931</v>
      </c>
      <c r="D13" s="20" t="n">
        <v>288.59</v>
      </c>
      <c r="E13" s="20" t="n">
        <v>103.981</v>
      </c>
      <c r="F13" s="20" t="n">
        <v>105.826</v>
      </c>
      <c r="G13" s="20" t="n">
        <v>66.134</v>
      </c>
      <c r="H13" s="20" t="n">
        <v>192.654</v>
      </c>
      <c r="I13" s="20" t="n">
        <v>42.726</v>
      </c>
      <c r="J13" s="20" t="n">
        <v>43.621</v>
      </c>
      <c r="K13" s="20" t="n">
        <v>54.253</v>
      </c>
      <c r="L13" s="20" t="n">
        <v>135.323</v>
      </c>
      <c r="M13" s="20" t="n">
        <v>59.235</v>
      </c>
      <c r="N13" s="20" t="n">
        <v>64.559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598.831</v>
      </c>
      <c r="W13" s="20" t="n">
        <v>468.595</v>
      </c>
      <c r="X13" s="20" t="n">
        <v>275.923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9176.271000000001</v>
      </c>
      <c r="D17" s="20" t="n">
        <v>11843.745</v>
      </c>
      <c r="E17" s="20" t="n">
        <v>11118.172</v>
      </c>
      <c r="F17" s="20" t="n">
        <v>11102.312</v>
      </c>
      <c r="G17" s="20" t="n">
        <v>11339.804</v>
      </c>
      <c r="H17" s="20" t="n">
        <v>11250.072</v>
      </c>
      <c r="I17" s="20" t="n">
        <v>11576.161</v>
      </c>
      <c r="J17" s="20" t="n">
        <v>10607.692</v>
      </c>
      <c r="K17" s="20" t="n">
        <v>11254.729</v>
      </c>
      <c r="L17" s="20" t="n">
        <v>12749.359</v>
      </c>
      <c r="M17" s="20" t="n">
        <v>11035.707</v>
      </c>
      <c r="N17" s="20" t="n">
        <v>11875.594</v>
      </c>
      <c r="O17" s="19" t="n">
        <v>12710.278</v>
      </c>
      <c r="P17" s="20" t="n">
        <v>15739.92</v>
      </c>
      <c r="Q17" s="20" t="n">
        <v>18629.01</v>
      </c>
      <c r="R17" s="20" t="n">
        <v>23850.434</v>
      </c>
      <c r="S17" s="20" t="n">
        <v>23079.914</v>
      </c>
      <c r="T17" s="20" t="n">
        <v>22940.473</v>
      </c>
      <c r="U17" s="20" t="n">
        <v>27973.9</v>
      </c>
      <c r="V17" s="20" t="n">
        <v>39493.716</v>
      </c>
      <c r="W17" s="20" t="n">
        <v>44810.36</v>
      </c>
      <c r="X17" s="20" t="n">
        <v>46187.941</v>
      </c>
      <c r="Y17" s="19" t="n"/>
      <c r="Z17" s="20" t="n"/>
      <c r="AA17" s="20" t="n"/>
      <c r="AB17" s="20" t="n"/>
      <c r="AC17" s="20" t="n"/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IF(OR(G17="",C17=""),"",IF(C17&lt;=0,"",IFERROR(G17/C17-1,"")))</f>
        <v/>
      </c>
      <c r="H18" s="15">
        <f>IF(OR(H17="",D17=""),"",IF(D17&lt;=0,"",IFERROR(H17/D17-1,"")))</f>
        <v/>
      </c>
      <c r="I18" s="15">
        <f>IF(OR(I17="",E17=""),"",IF(E17&lt;=0,"",IFERROR(I17/E17-1,"")))</f>
        <v/>
      </c>
      <c r="J18" s="15">
        <f>IF(OR(J17="",F17=""),"",IF(F17&lt;=0,"",IFERROR(J17/F17-1,"")))</f>
        <v/>
      </c>
      <c r="K18" s="15">
        <f>IF(OR(K17="",G17=""),"",IF(G17&lt;=0,"",IFERROR(K17/G17-1,"")))</f>
        <v/>
      </c>
      <c r="L18" s="15">
        <f>IF(OR(L17="",H17=""),"",IF(H17&lt;=0,"",IFERROR(L17/H17-1,"")))</f>
        <v/>
      </c>
      <c r="M18" s="15">
        <f>IF(OR(M17="",I17=""),"",IF(I17&lt;=0,"",IFERROR(M17/I17-1,"")))</f>
        <v/>
      </c>
      <c r="N18" s="15">
        <f>IF(OR(N17="",J17=""),"",IF(J17&lt;=0,"",IFERROR(N17/J17-1,"")))</f>
        <v/>
      </c>
      <c r="O18" s="14" t="n"/>
      <c r="P18" s="15">
        <f>IF(OR(P17="",O17=""),"",IF(O17&lt;=0,"",IFERROR(P17/O17-1,"")))</f>
        <v/>
      </c>
      <c r="Q18" s="15">
        <f>IF(OR(Q17="",P17=""),"",IF(P17&lt;=0,"",IFERROR(Q17/P17-1,"")))</f>
        <v/>
      </c>
      <c r="R18" s="15">
        <f>IF(OR(R17="",Q17=""),"",IF(Q17&lt;=0,"",IFERROR(R17/Q17-1,"")))</f>
        <v/>
      </c>
      <c r="S18" s="15">
        <f>IF(OR(S17="",R17=""),"",IF(R17&lt;=0,"",IFERROR(S17/R17-1,"")))</f>
        <v/>
      </c>
      <c r="T18" s="15">
        <f>IF(OR(T17="",S17=""),"",IF(S17&lt;=0,"",IFERROR(T17/S17-1,"")))</f>
        <v/>
      </c>
      <c r="U18" s="15">
        <f>IF(OR(U17="",T17=""),"",IF(T17&lt;=0,"",IFERROR(U17/T17-1,"")))</f>
        <v/>
      </c>
      <c r="V18" s="15">
        <f>IF(OR(V17="",U17=""),"",IF(U17&lt;=0,"",IFERROR(V17/U17-1,"")))</f>
        <v/>
      </c>
      <c r="W18" s="15">
        <f>IF(OR(W17="",V17=""),"",IF(V17&lt;=0,"",IFERROR(W17/V17-1,"")))</f>
        <v/>
      </c>
      <c r="X18" s="15">
        <f>IF(OR(X17="",W17=""),"",IF(W17&lt;=0,"",IFERROR(X17/W17-1,"")))</f>
        <v/>
      </c>
      <c r="Y18" s="14">
        <f>IF(OR(Y17="",X17=""),"",IF(X17&lt;=0,"",IFERROR(Y17/X17-1,"")))</f>
        <v/>
      </c>
      <c r="Z18" s="15">
        <f>IF(OR(Z17="",Y17=""),"",IF(Y17&lt;=0,"",IFERROR(Z17/Y17-1,"")))</f>
        <v/>
      </c>
      <c r="AA18" s="15">
        <f>IF(OR(AA17="",Z17=""),"",IF(Z17&lt;=0,"",IFERROR(AA17/Z17-1,"")))</f>
        <v/>
      </c>
      <c r="AB18" s="15">
        <f>IF(OR(AB17="",AA17=""),"",IF(AA17&lt;=0,"",IFERROR(AB17/AA17-1,"")))</f>
        <v/>
      </c>
      <c r="AC18" s="15">
        <f>IF(OR(AC17="",AB17=""),"",IF(AB17&lt;=0,"",IFERROR(AC17/AB17-1,"")))</f>
        <v/>
      </c>
    </row>
    <row r="19">
      <c r="A19" s="18" t="inlineStr">
        <is>
          <t>매출총이익</t>
        </is>
      </c>
      <c r="B19" s="10" t="n"/>
      <c r="C19" s="19">
        <f>IF(OR(C4="",C17=""),"",IFERROR(C4-C17,""))</f>
        <v/>
      </c>
      <c r="D19" s="20">
        <f>IF(OR(D4="",D17=""),"",IFERROR(D4-D17,""))</f>
        <v/>
      </c>
      <c r="E19" s="20">
        <f>IF(OR(E4="",E17=""),"",IFERROR(E4-E17,""))</f>
        <v/>
      </c>
      <c r="F19" s="20">
        <f>IF(OR(F4="",F17=""),"",IFERROR(F4-F17,""))</f>
        <v/>
      </c>
      <c r="G19" s="20">
        <f>IF(OR(G4="",G17=""),"",IFERROR(G4-G17,""))</f>
        <v/>
      </c>
      <c r="H19" s="20">
        <f>IF(OR(H4="",H17=""),"",IFERROR(H4-H17,""))</f>
        <v/>
      </c>
      <c r="I19" s="20">
        <f>IF(OR(I4="",I17=""),"",IFERROR(I4-I17,""))</f>
        <v/>
      </c>
      <c r="J19" s="20">
        <f>IF(OR(J4="",J17=""),"",IFERROR(J4-J17,""))</f>
        <v/>
      </c>
      <c r="K19" s="20">
        <f>IF(OR(K4="",K17=""),"",IFERROR(K4-K17,""))</f>
        <v/>
      </c>
      <c r="L19" s="20">
        <f>IF(OR(L4="",L17=""),"",IFERROR(L4-L17,""))</f>
        <v/>
      </c>
      <c r="M19" s="20">
        <f>IF(OR(M4="",M17=""),"",IFERROR(M4-M17,""))</f>
        <v/>
      </c>
      <c r="N19" s="20">
        <f>IF(OR(N4="",N17=""),"",IFERROR(N4-N17,""))</f>
        <v/>
      </c>
      <c r="O19" s="19">
        <f>IF(OR(O4="",O17=""),"",IFERROR(O4-O17,""))</f>
        <v/>
      </c>
      <c r="P19" s="20">
        <f>IF(OR(P4="",P17=""),"",IFERROR(P4-P17,""))</f>
        <v/>
      </c>
      <c r="Q19" s="20">
        <f>IF(OR(Q4="",Q17=""),"",IFERROR(Q4-Q17,""))</f>
        <v/>
      </c>
      <c r="R19" s="20">
        <f>IF(OR(R4="",R17=""),"",IFERROR(R4-R17,""))</f>
        <v/>
      </c>
      <c r="S19" s="20">
        <f>IF(OR(S4="",S17=""),"",IFERROR(S4-S17,""))</f>
        <v/>
      </c>
      <c r="T19" s="20">
        <f>IF(OR(T4="",T17=""),"",IFERROR(T4-T17,""))</f>
        <v/>
      </c>
      <c r="U19" s="20">
        <f>IF(OR(U4="",U17=""),"",IFERROR(U4-U17,""))</f>
        <v/>
      </c>
      <c r="V19" s="20">
        <f>IF(OR(V4="",V17=""),"",IFERROR(V4-V17,""))</f>
        <v/>
      </c>
      <c r="W19" s="20">
        <f>IF(OR(W4="",W17=""),"",IFERROR(W4-W17,""))</f>
        <v/>
      </c>
      <c r="X19" s="20">
        <f>IF(OR(X4="",X17=""),"",IFERROR(X4-X17,""))</f>
        <v/>
      </c>
      <c r="Y19" s="19" t="n"/>
      <c r="Z19" s="20" t="n"/>
      <c r="AA19" s="20" t="n"/>
      <c r="AB19" s="20" t="n"/>
      <c r="AC19" s="20" t="n"/>
    </row>
    <row r="20">
      <c r="A20" s="13" t="inlineStr">
        <is>
          <t>GPM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IF(OR(G19="",C19=""),"",IF(C19&lt;=0,"",IFERROR(G19/C19-1,"")))</f>
        <v/>
      </c>
      <c r="H21" s="15">
        <f>IF(OR(H19="",D19=""),"",IF(D19&lt;=0,"",IFERROR(H19/D19-1,"")))</f>
        <v/>
      </c>
      <c r="I21" s="15">
        <f>IF(OR(I19="",E19=""),"",IF(E19&lt;=0,"",IFERROR(I19/E19-1,"")))</f>
        <v/>
      </c>
      <c r="J21" s="15">
        <f>IF(OR(J19="",F19=""),"",IF(F19&lt;=0,"",IFERROR(J19/F19-1,"")))</f>
        <v/>
      </c>
      <c r="K21" s="15">
        <f>IF(OR(K19="",G19=""),"",IF(G19&lt;=0,"",IFERROR(K19/G19-1,"")))</f>
        <v/>
      </c>
      <c r="L21" s="15">
        <f>IF(OR(L19="",H19=""),"",IF(H19&lt;=0,"",IFERROR(L19/H19-1,"")))</f>
        <v/>
      </c>
      <c r="M21" s="15">
        <f>IF(OR(M19="",I19=""),"",IF(I19&lt;=0,"",IFERROR(M19/I19-1,"")))</f>
        <v/>
      </c>
      <c r="N21" s="15">
        <f>IF(OR(N19="",J19=""),"",IF(J19&lt;=0,"",IFERROR(N19/J19-1,"")))</f>
        <v/>
      </c>
      <c r="O21" s="14" t="n"/>
      <c r="P21" s="15">
        <f>IF(OR(P19="",O19=""),"",IF(O19&lt;=0,"",IFERROR(P19/O19-1,"")))</f>
        <v/>
      </c>
      <c r="Q21" s="15">
        <f>IF(OR(Q19="",P19=""),"",IF(P19&lt;=0,"",IFERROR(Q19/P19-1,"")))</f>
        <v/>
      </c>
      <c r="R21" s="15">
        <f>IF(OR(R19="",Q19=""),"",IF(Q19&lt;=0,"",IFERROR(R19/Q19-1,"")))</f>
        <v/>
      </c>
      <c r="S21" s="15">
        <f>IF(OR(S19="",R19=""),"",IF(R19&lt;=0,"",IFERROR(S19/R19-1,"")))</f>
        <v/>
      </c>
      <c r="T21" s="15">
        <f>IF(OR(T19="",S19=""),"",IF(S19&lt;=0,"",IFERROR(T19/S19-1,"")))</f>
        <v/>
      </c>
      <c r="U21" s="15">
        <f>IF(OR(U19="",T19=""),"",IF(T19&lt;=0,"",IFERROR(U19/T19-1,"")))</f>
        <v/>
      </c>
      <c r="V21" s="15">
        <f>IF(OR(V19="",U19=""),"",IF(U19&lt;=0,"",IFERROR(V19/U19-1,"")))</f>
        <v/>
      </c>
      <c r="W21" s="15">
        <f>IF(OR(W19="",V19=""),"",IF(V19&lt;=0,"",IFERROR(W19/V19-1,"")))</f>
        <v/>
      </c>
      <c r="X21" s="15">
        <f>IF(OR(X19="",W19=""),"",IF(W19&lt;=0,"",IFERROR(X19/W19-1,"")))</f>
        <v/>
      </c>
      <c r="Y21" s="14">
        <f>IF(OR(Y19="",X19=""),"",IF(X19&lt;=0,"",IFERROR(Y19/X19-1,"")))</f>
        <v/>
      </c>
      <c r="Z21" s="15">
        <f>IF(OR(Z19="",Y19=""),"",IF(Y19&lt;=0,"",IFERROR(Z19/Y19-1,"")))</f>
        <v/>
      </c>
      <c r="AA21" s="15">
        <f>IF(OR(AA19="",Z19=""),"",IF(Z19&lt;=0,"",IFERROR(AA19/Z19-1,"")))</f>
        <v/>
      </c>
      <c r="AB21" s="15">
        <f>IF(OR(AB19="",AA19=""),"",IF(AA19&lt;=0,"",IFERROR(AB19/AA19-1,"")))</f>
        <v/>
      </c>
      <c r="AC21" s="15">
        <f>IF(OR(AC19="",AB19=""),"",IF(AB19&lt;=0,"",IFERROR(AC19/AB19-1,"")))</f>
        <v/>
      </c>
    </row>
    <row r="22">
      <c r="A22" s="23" t="inlineStr">
        <is>
          <t>판매관리비</t>
        </is>
      </c>
      <c r="B22" s="23" t="n"/>
      <c r="C22" s="24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4" t="n"/>
      <c r="Z22" s="23" t="n"/>
      <c r="AA22" s="23" t="n"/>
      <c r="AB22" s="23" t="n"/>
      <c r="AC22" s="23" t="n"/>
    </row>
    <row r="23">
      <c r="A23" s="18" t="inlineStr">
        <is>
          <t>전체 판관비</t>
        </is>
      </c>
      <c r="B23" s="10" t="n"/>
      <c r="C23" s="19" t="n">
        <v>1927.49</v>
      </c>
      <c r="D23" s="20" t="n">
        <v>2285.408</v>
      </c>
      <c r="E23" s="20" t="n">
        <v>2370.27</v>
      </c>
      <c r="F23" s="20" t="n">
        <v>2216.941</v>
      </c>
      <c r="G23" s="20" t="n">
        <v>2204.999</v>
      </c>
      <c r="H23" s="20" t="n">
        <v>2346.256</v>
      </c>
      <c r="I23" s="20" t="n">
        <v>2324.007</v>
      </c>
      <c r="J23" s="20" t="n">
        <v>2336.695</v>
      </c>
      <c r="K23" s="20" t="n">
        <v>2468.67</v>
      </c>
      <c r="L23" s="20" t="n">
        <v>2599.206</v>
      </c>
      <c r="M23" s="20" t="n">
        <v>2590.709</v>
      </c>
      <c r="N23" s="20" t="n">
        <v>2634.081</v>
      </c>
      <c r="O23" s="19" t="n">
        <v>3038.307</v>
      </c>
      <c r="P23" s="20" t="n">
        <v>3801.443</v>
      </c>
      <c r="Q23" s="20" t="n">
        <v>4732.18</v>
      </c>
      <c r="R23" s="20" t="n">
        <v>5216.962</v>
      </c>
      <c r="S23" s="20" t="n">
        <v>5721.214</v>
      </c>
      <c r="T23" s="20" t="n">
        <v>5687.774</v>
      </c>
      <c r="U23" s="20" t="n">
        <v>6285.128</v>
      </c>
      <c r="V23" s="20" t="n">
        <v>7921.349</v>
      </c>
      <c r="W23" s="20" t="n">
        <v>9138.466</v>
      </c>
      <c r="X23" s="20" t="n">
        <v>9728.578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456.747</v>
      </c>
      <c r="D25" s="12" t="n">
        <v>1007.201</v>
      </c>
      <c r="E25" s="12" t="n">
        <v>1125.69</v>
      </c>
      <c r="F25" s="12" t="n">
        <v>804.778</v>
      </c>
      <c r="G25" s="12" t="n">
        <v>1068.735</v>
      </c>
      <c r="H25" s="12" t="n">
        <v>1162.077</v>
      </c>
      <c r="I25" s="12" t="n">
        <v>700.116</v>
      </c>
      <c r="J25" s="12" t="n">
        <v>221.153</v>
      </c>
      <c r="K25" s="12" t="n">
        <v>997.005</v>
      </c>
      <c r="L25" s="12" t="n">
        <v>-350.231</v>
      </c>
      <c r="M25" s="12" t="n">
        <v>349.997</v>
      </c>
      <c r="N25" s="12" t="n">
        <v>518.6900000000001</v>
      </c>
      <c r="O25" s="11" t="n">
        <v>493.324</v>
      </c>
      <c r="P25" s="12" t="n">
        <v>494.451</v>
      </c>
      <c r="Q25" s="12" t="n">
        <v>354.93</v>
      </c>
      <c r="R25" s="12" t="n">
        <v>808.338</v>
      </c>
      <c r="S25" s="12" t="n">
        <v>488.298</v>
      </c>
      <c r="T25" s="12" t="n">
        <v>655.452</v>
      </c>
      <c r="U25" s="12" t="n">
        <v>678.915</v>
      </c>
      <c r="V25" s="12" t="n">
        <v>2366.771</v>
      </c>
      <c r="W25" s="12" t="n">
        <v>4161.28</v>
      </c>
      <c r="X25" s="12" t="n">
        <v>1568.043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IF(O23="","",O23)</f>
        <v/>
      </c>
      <c r="P29" s="12">
        <f>IF(P23="","",P23)</f>
        <v/>
      </c>
      <c r="Q29" s="12">
        <f>IF(Q23="","",Q23)</f>
        <v/>
      </c>
      <c r="R29" s="12">
        <f>IF(R23="","",R23)</f>
        <v/>
      </c>
      <c r="S29" s="12">
        <f>IF(S23="","",S23)</f>
        <v/>
      </c>
      <c r="T29" s="12">
        <f>IF(T23="","",T23)</f>
        <v/>
      </c>
      <c r="U29" s="12">
        <f>IF(U23="","",U23)</f>
        <v/>
      </c>
      <c r="V29" s="12">
        <f>IF(V23="","",V23)</f>
        <v/>
      </c>
      <c r="W29" s="12">
        <f>IF(W23="","",W23)</f>
        <v/>
      </c>
      <c r="X29" s="12">
        <f>IF(X23="","",X23)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>
        <v>593.4589999999999</v>
      </c>
      <c r="P30" s="20" t="n">
        <v>701.105</v>
      </c>
      <c r="Q30" s="20" t="n">
        <v>941.557</v>
      </c>
      <c r="R30" s="20" t="n">
        <v>971.942</v>
      </c>
      <c r="S30" s="20" t="n">
        <v>1201.837</v>
      </c>
      <c r="T30" s="20" t="n">
        <v>1219.499</v>
      </c>
      <c r="U30" s="20" t="n">
        <v>1337.031</v>
      </c>
      <c r="V30" s="20" t="n">
        <v>1687.506</v>
      </c>
      <c r="W30" s="20" t="n">
        <v>1878.349</v>
      </c>
      <c r="X30" s="20" t="n">
        <v>2111.026</v>
      </c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3.364</v>
      </c>
      <c r="D41" s="20" t="n">
        <v>1.118</v>
      </c>
      <c r="E41" s="20" t="n">
        <v>2.898</v>
      </c>
      <c r="F41" s="20" t="n">
        <v>0.574</v>
      </c>
      <c r="G41" s="20" t="n">
        <v>0.112</v>
      </c>
      <c r="H41" s="20" t="n">
        <v>1266.1</v>
      </c>
      <c r="I41" s="20" t="n">
        <v>157.229</v>
      </c>
      <c r="J41" s="20" t="n">
        <v>340.539</v>
      </c>
      <c r="K41" s="20" t="n">
        <v>10.365</v>
      </c>
      <c r="L41" s="20" t="n">
        <v>338.457</v>
      </c>
      <c r="M41" s="20" t="n">
        <v>881.8920000000001</v>
      </c>
      <c r="N41" s="20" t="n">
        <v>503.182</v>
      </c>
      <c r="O41" s="19" t="n">
        <v>1.734</v>
      </c>
      <c r="P41" s="20" t="n">
        <v>27.818</v>
      </c>
      <c r="Q41" s="20" t="n">
        <v>12.688</v>
      </c>
      <c r="R41" s="20" t="n">
        <v>0.392</v>
      </c>
      <c r="S41" s="20" t="n">
        <v>2.932</v>
      </c>
      <c r="T41" s="20" t="n">
        <v>22.516</v>
      </c>
      <c r="U41" s="20" t="n">
        <v>15.746</v>
      </c>
      <c r="V41" s="20" t="n">
        <v>216.605</v>
      </c>
      <c r="W41" s="20" t="n">
        <v>1269.684</v>
      </c>
      <c r="X41" s="20" t="n">
        <v>846.59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1087.108</v>
      </c>
      <c r="D43" s="20" t="n">
        <v>6.297</v>
      </c>
      <c r="E43" s="20" t="n">
        <v>0.239</v>
      </c>
      <c r="F43" s="20" t="n">
        <v>0</v>
      </c>
      <c r="G43" s="20" t="n">
        <v>2.787</v>
      </c>
      <c r="H43" s="20" t="n">
        <v>766.783</v>
      </c>
      <c r="I43" s="20" t="n">
        <v>0.38</v>
      </c>
      <c r="J43" s="20" t="n">
        <v>25.381</v>
      </c>
      <c r="K43" s="20" t="n">
        <v>0.335</v>
      </c>
      <c r="L43" s="20" t="n">
        <v>20.355</v>
      </c>
      <c r="M43" s="20" t="n">
        <v>0.863</v>
      </c>
      <c r="N43" s="20" t="n">
        <v>0.107</v>
      </c>
      <c r="O43" s="19" t="n">
        <v>6.453</v>
      </c>
      <c r="P43" s="20" t="n">
        <v>6.28</v>
      </c>
      <c r="Q43" s="20" t="n">
        <v>3.739</v>
      </c>
      <c r="R43" s="20" t="n">
        <v>21.657</v>
      </c>
      <c r="S43" s="20" t="n">
        <v>3.372</v>
      </c>
      <c r="T43" s="20" t="n">
        <v>85.917</v>
      </c>
      <c r="U43" s="20" t="n">
        <v>52.103</v>
      </c>
      <c r="V43" s="20" t="n">
        <v>1099.168</v>
      </c>
      <c r="W43" s="20" t="n">
        <v>769.809</v>
      </c>
      <c r="X43" s="20" t="n">
        <v>46.451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127.666</v>
      </c>
      <c r="D45" s="20" t="n">
        <v>152.056</v>
      </c>
      <c r="E45" s="20" t="n">
        <v>212.314</v>
      </c>
      <c r="F45" s="20" t="n">
        <v>-5.422</v>
      </c>
      <c r="G45" s="20" t="n">
        <v>123.871</v>
      </c>
      <c r="H45" s="20" t="n">
        <v>99.069</v>
      </c>
      <c r="I45" s="20" t="n">
        <v>80.379</v>
      </c>
      <c r="J45" s="20" t="n">
        <v>140.255</v>
      </c>
      <c r="K45" s="20" t="n">
        <v>248.117</v>
      </c>
      <c r="L45" s="20" t="n">
        <v>192.262</v>
      </c>
      <c r="M45" s="20" t="n">
        <v>213.315</v>
      </c>
      <c r="N45" s="20" t="n">
        <v>105.494</v>
      </c>
      <c r="O45" s="19" t="n">
        <v>54.014</v>
      </c>
      <c r="P45" s="20" t="n">
        <v>75.459</v>
      </c>
      <c r="Q45" s="20" t="n">
        <v>88.218</v>
      </c>
      <c r="R45" s="20" t="n">
        <v>79.346</v>
      </c>
      <c r="S45" s="20" t="n">
        <v>332.972</v>
      </c>
      <c r="T45" s="20" t="n">
        <v>383.101</v>
      </c>
      <c r="U45" s="20" t="n">
        <v>788.343</v>
      </c>
      <c r="V45" s="20" t="n">
        <v>860.546</v>
      </c>
      <c r="W45" s="20" t="n">
        <v>429.832</v>
      </c>
      <c r="X45" s="20" t="n">
        <v>661.013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51.816</v>
      </c>
      <c r="D47" s="20" t="n">
        <v>73.628</v>
      </c>
      <c r="E47" s="20" t="n">
        <v>74.218</v>
      </c>
      <c r="F47" s="20" t="n">
        <v>125.541</v>
      </c>
      <c r="G47" s="20" t="n">
        <v>69.95699999999999</v>
      </c>
      <c r="H47" s="20" t="n">
        <v>70.336</v>
      </c>
      <c r="I47" s="20" t="n">
        <v>160.352</v>
      </c>
      <c r="J47" s="20" t="n">
        <v>108.649</v>
      </c>
      <c r="K47" s="20" t="n">
        <v>133.273</v>
      </c>
      <c r="L47" s="20" t="n">
        <v>134.701</v>
      </c>
      <c r="M47" s="20" t="n">
        <v>156.892</v>
      </c>
      <c r="N47" s="20" t="n">
        <v>166.458</v>
      </c>
      <c r="O47" s="19" t="n">
        <v>16.833</v>
      </c>
      <c r="P47" s="20" t="n">
        <v>15.194</v>
      </c>
      <c r="Q47" s="20" t="n">
        <v>22.869</v>
      </c>
      <c r="R47" s="20" t="n">
        <v>147.526</v>
      </c>
      <c r="S47" s="20" t="n">
        <v>69.042</v>
      </c>
      <c r="T47" s="20" t="n">
        <v>44.585</v>
      </c>
      <c r="U47" s="20" t="n">
        <v>143.834</v>
      </c>
      <c r="V47" s="20" t="n">
        <v>237.674</v>
      </c>
      <c r="W47" s="20" t="n">
        <v>340.052</v>
      </c>
      <c r="X47" s="20" t="n">
        <v>536.975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-551.147</v>
      </c>
      <c r="D49" s="12" t="n">
        <v>1080.45</v>
      </c>
      <c r="E49" s="12" t="n">
        <v>1266.445</v>
      </c>
      <c r="F49" s="12" t="n">
        <v>674.388</v>
      </c>
      <c r="G49" s="12" t="n">
        <v>1119.975</v>
      </c>
      <c r="H49" s="12" t="n">
        <v>1690.127</v>
      </c>
      <c r="I49" s="12" t="n">
        <v>776.992</v>
      </c>
      <c r="J49" s="12" t="n">
        <v>567.917</v>
      </c>
      <c r="K49" s="12" t="n">
        <v>1121.879</v>
      </c>
      <c r="L49" s="12" t="n">
        <v>25.432</v>
      </c>
      <c r="M49" s="12" t="n">
        <v>1287.45</v>
      </c>
      <c r="N49" s="12" t="n">
        <v>960.8</v>
      </c>
      <c r="O49" s="11" t="n">
        <v>525.787</v>
      </c>
      <c r="P49" s="12" t="n">
        <v>576.254</v>
      </c>
      <c r="Q49" s="12" t="n">
        <v>429.228</v>
      </c>
      <c r="R49" s="12" t="n">
        <v>718.8920000000001</v>
      </c>
      <c r="S49" s="12" t="n">
        <v>751.789</v>
      </c>
      <c r="T49" s="12" t="n">
        <v>930.567</v>
      </c>
      <c r="U49" s="12" t="n">
        <v>1287.066</v>
      </c>
      <c r="V49" s="12" t="n">
        <v>2107.08</v>
      </c>
      <c r="W49" s="12" t="n">
        <v>4750.935</v>
      </c>
      <c r="X49" s="12" t="n">
        <v>2492.22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3" t="inlineStr">
        <is>
          <t>YoY</t>
        </is>
      </c>
      <c r="B50" s="10" t="n"/>
      <c r="C50" s="14" t="n"/>
      <c r="D50" s="15" t="n"/>
      <c r="E50" s="15" t="n"/>
      <c r="F50" s="15" t="n"/>
      <c r="G50" s="15">
        <f>IF(OR(G49="",C49=""),"",IF(C49&lt;=0,"",IFERROR(G49/C49-1,"")))</f>
        <v/>
      </c>
      <c r="H50" s="15">
        <f>IF(OR(H49="",D49=""),"",IF(D49&lt;=0,"",IFERROR(H49/D49-1,"")))</f>
        <v/>
      </c>
      <c r="I50" s="15">
        <f>IF(OR(I49="",E49=""),"",IF(E49&lt;=0,"",IFERROR(I49/E49-1,"")))</f>
        <v/>
      </c>
      <c r="J50" s="15">
        <f>IF(OR(J49="",F49=""),"",IF(F49&lt;=0,"",IFERROR(J49/F49-1,"")))</f>
        <v/>
      </c>
      <c r="K50" s="15">
        <f>IF(OR(K49="",G49=""),"",IF(G49&lt;=0,"",IFERROR(K49/G49-1,"")))</f>
        <v/>
      </c>
      <c r="L50" s="15">
        <f>IF(OR(L49="",H49=""),"",IF(H49&lt;=0,"",IFERROR(L49/H49-1,"")))</f>
        <v/>
      </c>
      <c r="M50" s="15">
        <f>IF(OR(M49="",I49=""),"",IF(I49&lt;=0,"",IFERROR(M49/I49-1,"")))</f>
        <v/>
      </c>
      <c r="N50" s="15">
        <f>IF(OR(N49="",J49=""),"",IF(J49&lt;=0,"",IFERROR(N49/J49-1,"")))</f>
        <v/>
      </c>
      <c r="O50" s="14" t="n"/>
      <c r="P50" s="15">
        <f>IF(OR(P49="",O49=""),"",IF(O49&lt;=0,"",IFERROR(P49/O49-1,"")))</f>
        <v/>
      </c>
      <c r="Q50" s="15">
        <f>IF(OR(Q49="",P49=""),"",IF(P49&lt;=0,"",IFERROR(Q49/P49-1,"")))</f>
        <v/>
      </c>
      <c r="R50" s="15">
        <f>IF(OR(R49="",Q49=""),"",IF(Q49&lt;=0,"",IFERROR(R49/Q49-1,"")))</f>
        <v/>
      </c>
      <c r="S50" s="15">
        <f>IF(OR(S49="",R49=""),"",IF(R49&lt;=0,"",IFERROR(S49/R49-1,"")))</f>
        <v/>
      </c>
      <c r="T50" s="15">
        <f>IF(OR(T49="",S49=""),"",IF(S49&lt;=0,"",IFERROR(T49/S49-1,"")))</f>
        <v/>
      </c>
      <c r="U50" s="15">
        <f>IF(OR(U49="",T49=""),"",IF(T49&lt;=0,"",IFERROR(U49/T49-1,"")))</f>
        <v/>
      </c>
      <c r="V50" s="15">
        <f>IF(OR(V49="",U49=""),"",IF(U49&lt;=0,"",IFERROR(V49/U49-1,"")))</f>
        <v/>
      </c>
      <c r="W50" s="15">
        <f>IF(OR(W49="",V49=""),"",IF(V49&lt;=0,"",IFERROR(W49/V49-1,"")))</f>
        <v/>
      </c>
      <c r="X50" s="15">
        <f>IF(OR(X49="",W49=""),"",IF(W49&lt;=0,"",IFERROR(X49/W49-1,"")))</f>
        <v/>
      </c>
      <c r="Y50" s="14">
        <f>IF(OR(Y49="",X49=""),"",IF(X49&lt;=0,"",IFERROR(Y49/X49-1,"")))</f>
        <v/>
      </c>
      <c r="Z50" s="15">
        <f>IF(OR(Z49="",Y49=""),"",IF(Y49&lt;=0,"",IFERROR(Z49/Y49-1,"")))</f>
        <v/>
      </c>
      <c r="AA50" s="15">
        <f>IF(OR(AA49="",Z49=""),"",IF(Z49&lt;=0,"",IFERROR(AA49/Z49-1,"")))</f>
        <v/>
      </c>
      <c r="AB50" s="15">
        <f>IF(OR(AB49="",AA49=""),"",IF(AA49&lt;=0,"",IFERROR(AB49/AA49-1,"")))</f>
        <v/>
      </c>
      <c r="AC50" s="15">
        <f>IF(OR(AC49="",AB49=""),"",IF(AB49&lt;=0,"",IFERROR(AC49/AB49-1,"")))</f>
        <v/>
      </c>
    </row>
    <row r="51">
      <c r="A51" s="18" t="inlineStr">
        <is>
          <t>법인세비용(수익)</t>
        </is>
      </c>
      <c r="B51" s="10" t="n"/>
      <c r="C51" s="19" t="n">
        <v>-117.586</v>
      </c>
      <c r="D51" s="20" t="n">
        <v>451.571</v>
      </c>
      <c r="E51" s="20" t="n">
        <v>510.694</v>
      </c>
      <c r="F51" s="20" t="n">
        <v>366.89</v>
      </c>
      <c r="G51" s="20" t="n">
        <v>530.645</v>
      </c>
      <c r="H51" s="20" t="n">
        <v>711.442</v>
      </c>
      <c r="I51" s="20" t="n">
        <v>381.345</v>
      </c>
      <c r="J51" s="20" t="n">
        <v>190.793</v>
      </c>
      <c r="K51" s="20" t="n">
        <v>496.677</v>
      </c>
      <c r="L51" s="20" t="n">
        <v>131.565</v>
      </c>
      <c r="M51" s="20" t="n">
        <v>564.851</v>
      </c>
      <c r="N51" s="20" t="n">
        <v>248.147</v>
      </c>
      <c r="O51" s="19" t="n">
        <v>172.053</v>
      </c>
      <c r="P51" s="20" t="n">
        <v>156.806</v>
      </c>
      <c r="Q51" s="20" t="n">
        <v>134.066</v>
      </c>
      <c r="R51" s="20" t="n">
        <v>407.153</v>
      </c>
      <c r="S51" s="20" t="n">
        <v>382.141</v>
      </c>
      <c r="T51" s="20" t="n">
        <v>469.449</v>
      </c>
      <c r="U51" s="20" t="n">
        <v>641.984</v>
      </c>
      <c r="V51" s="20" t="n">
        <v>966.432</v>
      </c>
      <c r="W51" s="20" t="n">
        <v>2119.671</v>
      </c>
      <c r="X51" s="20" t="n">
        <v>1200.38</v>
      </c>
      <c r="Y51" s="19">
        <f>IF(OR(Y49="",Y52=""),"",IFERROR(MAX(Y49,0)*Y52,""))</f>
        <v/>
      </c>
      <c r="Z51" s="20">
        <f>IF(OR(Z49="",Z52=""),"",IFERROR(MAX(Z49,0)*Z52,""))</f>
        <v/>
      </c>
      <c r="AA51" s="20">
        <f>IF(OR(AA49="",AA52=""),"",IFERROR(MAX(AA49,0)*AA52,""))</f>
        <v/>
      </c>
      <c r="AB51" s="20">
        <f>IF(OR(AB49="",AB52=""),"",IFERROR(MAX(AB49,0)*AB52,""))</f>
        <v/>
      </c>
      <c r="AC51" s="20">
        <f>IF(OR(AC49="",AC52=""),"",IFERROR(MAX(AC49,0)*AC52,""))</f>
        <v/>
      </c>
    </row>
    <row r="52">
      <c r="A52" s="13" t="inlineStr">
        <is>
          <t>법인세율</t>
        </is>
      </c>
      <c r="B52" s="10" t="inlineStr">
        <is>
          <t>MW 기본 30%</t>
        </is>
      </c>
      <c r="C52" s="14">
        <f>IF(OR(C51="",C49=""),"",IFERROR(C51/C49,""))</f>
        <v/>
      </c>
      <c r="D52" s="15">
        <f>IF(OR(D51="",D49=""),"",IFERROR(D51/D49,""))</f>
        <v/>
      </c>
      <c r="E52" s="15">
        <f>IF(OR(E51="",E49=""),"",IFERROR(E51/E49,""))</f>
        <v/>
      </c>
      <c r="F52" s="15">
        <f>IF(OR(F51="",F49=""),"",IFERROR(F51/F49,""))</f>
        <v/>
      </c>
      <c r="G52" s="15">
        <f>IF(OR(G51="",G49=""),"",IFERROR(G51/G49,""))</f>
        <v/>
      </c>
      <c r="H52" s="15">
        <f>IF(OR(H51="",H49=""),"",IFERROR(H51/H49,""))</f>
        <v/>
      </c>
      <c r="I52" s="15">
        <f>IF(OR(I51="",I49=""),"",IFERROR(I51/I49,""))</f>
        <v/>
      </c>
      <c r="J52" s="15">
        <f>IF(OR(J51="",J49=""),"",IFERROR(J51/J49,""))</f>
        <v/>
      </c>
      <c r="K52" s="15">
        <f>IF(OR(K51="",K49=""),"",IFERROR(K51/K49,""))</f>
        <v/>
      </c>
      <c r="L52" s="15">
        <f>IF(OR(L51="",L49=""),"",IFERROR(L51/L49,""))</f>
        <v/>
      </c>
      <c r="M52" s="15">
        <f>IF(OR(M51="",M49=""),"",IFERROR(M51/M49,""))</f>
        <v/>
      </c>
      <c r="N52" s="15">
        <f>IF(OR(N51="",N49=""),"",IFERROR(N51/N49,""))</f>
        <v/>
      </c>
      <c r="O52" s="14">
        <f>IF(OR(O51="",O49=""),"",IFERROR(O51/O49,""))</f>
        <v/>
      </c>
      <c r="P52" s="15">
        <f>IF(OR(P51="",P49=""),"",IFERROR(P51/P49,""))</f>
        <v/>
      </c>
      <c r="Q52" s="15">
        <f>IF(OR(Q51="",Q49=""),"",IFERROR(Q51/Q49,""))</f>
        <v/>
      </c>
      <c r="R52" s="15">
        <f>IF(OR(R51="",R49=""),"",IFERROR(R51/R49,""))</f>
        <v/>
      </c>
      <c r="S52" s="15">
        <f>IF(OR(S51="",S49=""),"",IFERROR(S51/S49,""))</f>
        <v/>
      </c>
      <c r="T52" s="15">
        <f>IF(OR(T51="",T49=""),"",IFERROR(T51/T49,""))</f>
        <v/>
      </c>
      <c r="U52" s="15">
        <f>IF(OR(U51="",U49=""),"",IFERROR(U51/U49,""))</f>
        <v/>
      </c>
      <c r="V52" s="15">
        <f>IF(OR(V51="",V49=""),"",IFERROR(V51/V49,""))</f>
        <v/>
      </c>
      <c r="W52" s="15">
        <f>IF(OR(W51="",W49=""),"",IFERROR(W51/W49,""))</f>
        <v/>
      </c>
      <c r="X52" s="15">
        <f>IF(OR(X51="",X49=""),"",IFERROR(X51/X49,""))</f>
        <v/>
      </c>
      <c r="Y52" s="25" t="n">
        <v>0.3</v>
      </c>
      <c r="Z52" s="26" t="n">
        <v>0.3</v>
      </c>
      <c r="AA52" s="26" t="n">
        <v>0.3</v>
      </c>
      <c r="AB52" s="26" t="n">
        <v>0.3</v>
      </c>
      <c r="AC52" s="26" t="n">
        <v>0.3</v>
      </c>
    </row>
    <row r="53">
      <c r="A53" s="9" t="inlineStr">
        <is>
          <t>당기순이익(손실)</t>
        </is>
      </c>
      <c r="B53" s="10" t="n"/>
      <c r="C53" s="11" t="n">
        <v>-433.562</v>
      </c>
      <c r="D53" s="12" t="n">
        <v>628.879</v>
      </c>
      <c r="E53" s="12" t="n">
        <v>755.75</v>
      </c>
      <c r="F53" s="12" t="n">
        <v>307.499</v>
      </c>
      <c r="G53" s="12" t="n">
        <v>589.33</v>
      </c>
      <c r="H53" s="12" t="n">
        <v>978.6849999999999</v>
      </c>
      <c r="I53" s="12" t="n">
        <v>395.647</v>
      </c>
      <c r="J53" s="12" t="n">
        <v>377.123</v>
      </c>
      <c r="K53" s="12" t="n">
        <v>625.203</v>
      </c>
      <c r="L53" s="12" t="n">
        <v>-106.134</v>
      </c>
      <c r="M53" s="12" t="n">
        <v>722.598</v>
      </c>
      <c r="N53" s="12" t="n">
        <v>712.653</v>
      </c>
      <c r="O53" s="11" t="n">
        <v>353.733</v>
      </c>
      <c r="P53" s="12" t="n">
        <v>419.447</v>
      </c>
      <c r="Q53" s="12" t="n">
        <v>295.162</v>
      </c>
      <c r="R53" s="12" t="n">
        <v>311.739</v>
      </c>
      <c r="S53" s="12" t="n">
        <v>369.647</v>
      </c>
      <c r="T53" s="12" t="n">
        <v>461.118</v>
      </c>
      <c r="U53" s="12" t="n">
        <v>645.082</v>
      </c>
      <c r="V53" s="12" t="n">
        <v>1140.647</v>
      </c>
      <c r="W53" s="12" t="n">
        <v>2631.264</v>
      </c>
      <c r="X53" s="12" t="n">
        <v>1291.839</v>
      </c>
      <c r="Y53" s="11">
        <f>IF(OR(Y49=""),"",IFERROR(Y49-Y51,""))</f>
        <v/>
      </c>
      <c r="Z53" s="12">
        <f>IF(OR(Z49=""),"",IFERROR(Z49-Z51,""))</f>
        <v/>
      </c>
      <c r="AA53" s="12">
        <f>IF(OR(AA49=""),"",IFERROR(AA49-AA51,""))</f>
        <v/>
      </c>
      <c r="AB53" s="12">
        <f>IF(OR(AB49=""),"",IFERROR(AB49-AB51,""))</f>
        <v/>
      </c>
      <c r="AC53" s="12">
        <f>IF(OR(AC49=""),"",IFERROR(AC49-AC51,""))</f>
        <v/>
      </c>
    </row>
    <row r="54">
      <c r="A54" s="13" t="inlineStr">
        <is>
          <t>YoY</t>
        </is>
      </c>
      <c r="B54" s="10" t="n"/>
      <c r="C54" s="14" t="n"/>
      <c r="D54" s="15" t="n"/>
      <c r="E54" s="15" t="n"/>
      <c r="F54" s="15" t="n"/>
      <c r="G54" s="15">
        <f>IF(OR(G53="",C53=""),"",IF(C53&lt;=0,"",IFERROR(G53/C53-1,"")))</f>
        <v/>
      </c>
      <c r="H54" s="15">
        <f>IF(OR(H53="",D53=""),"",IF(D53&lt;=0,"",IFERROR(H53/D53-1,"")))</f>
        <v/>
      </c>
      <c r="I54" s="15">
        <f>IF(OR(I53="",E53=""),"",IF(E53&lt;=0,"",IFERROR(I53/E53-1,"")))</f>
        <v/>
      </c>
      <c r="J54" s="15">
        <f>IF(OR(J53="",F53=""),"",IF(F53&lt;=0,"",IFERROR(J53/F53-1,"")))</f>
        <v/>
      </c>
      <c r="K54" s="15">
        <f>IF(OR(K53="",G53=""),"",IF(G53&lt;=0,"",IFERROR(K53/G53-1,"")))</f>
        <v/>
      </c>
      <c r="L54" s="15">
        <f>IF(OR(L53="",H53=""),"",IF(H53&lt;=0,"",IFERROR(L53/H53-1,"")))</f>
        <v/>
      </c>
      <c r="M54" s="15">
        <f>IF(OR(M53="",I53=""),"",IF(I53&lt;=0,"",IFERROR(M53/I53-1,"")))</f>
        <v/>
      </c>
      <c r="N54" s="15">
        <f>IF(OR(N53="",J53=""),"",IF(J53&lt;=0,"",IFERROR(N53/J53-1,"")))</f>
        <v/>
      </c>
      <c r="O54" s="14" t="n"/>
      <c r="P54" s="15">
        <f>IF(OR(P53="",O53=""),"",IF(O53&lt;=0,"",IFERROR(P53/O53-1,"")))</f>
        <v/>
      </c>
      <c r="Q54" s="15">
        <f>IF(OR(Q53="",P53=""),"",IF(P53&lt;=0,"",IFERROR(Q53/P53-1,"")))</f>
        <v/>
      </c>
      <c r="R54" s="15">
        <f>IF(OR(R53="",Q53=""),"",IF(Q53&lt;=0,"",IFERROR(R53/Q53-1,"")))</f>
        <v/>
      </c>
      <c r="S54" s="15">
        <f>IF(OR(S53="",R53=""),"",IF(R53&lt;=0,"",IFERROR(S53/R53-1,"")))</f>
        <v/>
      </c>
      <c r="T54" s="15">
        <f>IF(OR(T53="",S53=""),"",IF(S53&lt;=0,"",IFERROR(T53/S53-1,"")))</f>
        <v/>
      </c>
      <c r="U54" s="15">
        <f>IF(OR(U53="",T53=""),"",IF(T53&lt;=0,"",IFERROR(U53/T53-1,"")))</f>
        <v/>
      </c>
      <c r="V54" s="15">
        <f>IF(OR(V53="",U53=""),"",IF(U53&lt;=0,"",IFERROR(V53/U53-1,"")))</f>
        <v/>
      </c>
      <c r="W54" s="15">
        <f>IF(OR(W53="",V53=""),"",IF(V53&lt;=0,"",IFERROR(W53/V53-1,"")))</f>
        <v/>
      </c>
      <c r="X54" s="15">
        <f>IF(OR(X53="",W53=""),"",IF(W53&lt;=0,"",IFERROR(X53/W53-1,"")))</f>
        <v/>
      </c>
      <c r="Y54" s="14">
        <f>IF(OR(Y53="",X53=""),"",IF(X53&lt;=0,"",IFERROR(Y53/X53-1,"")))</f>
        <v/>
      </c>
      <c r="Z54" s="15">
        <f>IF(OR(Z53="",Y53=""),"",IF(Y53&lt;=0,"",IFERROR(Z53/Y53-1,"")))</f>
        <v/>
      </c>
      <c r="AA54" s="15">
        <f>IF(OR(AA53="",Z53=""),"",IF(Z53&lt;=0,"",IFERROR(AA53/Z53-1,"")))</f>
        <v/>
      </c>
      <c r="AB54" s="15">
        <f>IF(OR(AB53="",AA53=""),"",IF(AA53&lt;=0,"",IFERROR(AB53/AA53-1,"")))</f>
        <v/>
      </c>
      <c r="AC54" s="15">
        <f>IF(OR(AC53="",AB53=""),"",IF(AB53&lt;=0,"",IFERROR(AC53/AB53-1,"")))</f>
        <v/>
      </c>
    </row>
    <row r="55">
      <c r="A55" s="9" t="inlineStr">
        <is>
          <t>지배주주 순이익</t>
        </is>
      </c>
      <c r="B55" s="10" t="n"/>
      <c r="C55" s="11" t="n">
        <v>-242.039</v>
      </c>
      <c r="D55" s="12" t="n">
        <v>446.359</v>
      </c>
      <c r="E55" s="12" t="n">
        <v>592.878</v>
      </c>
      <c r="F55" s="12" t="n">
        <v>214.077</v>
      </c>
      <c r="G55" s="12" t="n">
        <v>439.358</v>
      </c>
      <c r="H55" s="12" t="n">
        <v>615.032</v>
      </c>
      <c r="I55" s="12" t="n">
        <v>286.036</v>
      </c>
      <c r="J55" s="12" t="n">
        <v>242.269</v>
      </c>
      <c r="K55" s="12" t="n">
        <v>489.911</v>
      </c>
      <c r="L55" s="12" t="n">
        <v>-99.42700000000001</v>
      </c>
      <c r="M55" s="12" t="n">
        <v>557.787</v>
      </c>
      <c r="N55" s="12" t="n">
        <v>648.189</v>
      </c>
      <c r="O55" s="11" t="n">
        <v>353.733</v>
      </c>
      <c r="P55" s="12" t="n">
        <v>419.447</v>
      </c>
      <c r="Q55" s="12" t="n">
        <v>263.692</v>
      </c>
      <c r="R55" s="12" t="n">
        <v>177.214</v>
      </c>
      <c r="S55" s="12" t="n">
        <v>323.61</v>
      </c>
      <c r="T55" s="12" t="n">
        <v>500.101</v>
      </c>
      <c r="U55" s="12" t="n">
        <v>613.432</v>
      </c>
      <c r="V55" s="12" t="n">
        <v>1036.759</v>
      </c>
      <c r="W55" s="12" t="n">
        <v>1861.345</v>
      </c>
      <c r="X55" s="12" t="n">
        <v>918.789</v>
      </c>
      <c r="Y55" s="11">
        <f>IF(OR(Y53="",Y56=""),"",IFERROR(Y53*Y56,""))</f>
        <v/>
      </c>
      <c r="Z55" s="12">
        <f>IF(OR(Z53="",Z56=""),"",IFERROR(Z53*Z56,""))</f>
        <v/>
      </c>
      <c r="AA55" s="12">
        <f>IF(OR(AA53="",AA56=""),"",IFERROR(AA53*AA56,""))</f>
        <v/>
      </c>
      <c r="AB55" s="12">
        <f>IF(OR(AB53="",AB56=""),"",IFERROR(AB53*AB56,""))</f>
        <v/>
      </c>
      <c r="AC55" s="12">
        <f>IF(OR(AC53="",AC56=""),"",IFERROR(AC53*AC56,""))</f>
        <v/>
      </c>
    </row>
    <row r="56">
      <c r="A56" s="13" t="inlineStr">
        <is>
          <t>지배주주 순이익률</t>
        </is>
      </c>
      <c r="B56" s="10" t="inlineStr">
        <is>
          <t>MW 기본 100%</t>
        </is>
      </c>
      <c r="C56" s="14">
        <f>IF(OR(C55="",C53=""),"",IFERROR(C55/C53,""))</f>
        <v/>
      </c>
      <c r="D56" s="15">
        <f>IF(OR(D55="",D53=""),"",IFERROR(D55/D53,""))</f>
        <v/>
      </c>
      <c r="E56" s="15">
        <f>IF(OR(E55="",E53=""),"",IFERROR(E55/E53,""))</f>
        <v/>
      </c>
      <c r="F56" s="15">
        <f>IF(OR(F55="",F53=""),"",IFERROR(F55/F53,""))</f>
        <v/>
      </c>
      <c r="G56" s="15">
        <f>IF(OR(G55="",G53=""),"",IFERROR(G55/G53,""))</f>
        <v/>
      </c>
      <c r="H56" s="15">
        <f>IF(OR(H55="",H53=""),"",IFERROR(H55/H53,""))</f>
        <v/>
      </c>
      <c r="I56" s="15">
        <f>IF(OR(I55="",I53=""),"",IFERROR(I55/I53,""))</f>
        <v/>
      </c>
      <c r="J56" s="15">
        <f>IF(OR(J55="",J53=""),"",IFERROR(J55/J53,""))</f>
        <v/>
      </c>
      <c r="K56" s="15">
        <f>IF(OR(K55="",K53=""),"",IFERROR(K55/K53,""))</f>
        <v/>
      </c>
      <c r="L56" s="15">
        <f>IF(OR(L55="",L53=""),"",IFERROR(L55/L53,""))</f>
        <v/>
      </c>
      <c r="M56" s="15">
        <f>IF(OR(M55="",M53=""),"",IFERROR(M55/M53,""))</f>
        <v/>
      </c>
      <c r="N56" s="15">
        <f>IF(OR(N55="",N53=""),"",IFERROR(N55/N53,""))</f>
        <v/>
      </c>
      <c r="O56" s="14">
        <f>IF(OR(O55="",O53=""),"",IFERROR(O55/O53,""))</f>
        <v/>
      </c>
      <c r="P56" s="15">
        <f>IF(OR(P55="",P53=""),"",IFERROR(P55/P53,""))</f>
        <v/>
      </c>
      <c r="Q56" s="15">
        <f>IF(OR(Q55="",Q53=""),"",IFERROR(Q55/Q53,""))</f>
        <v/>
      </c>
      <c r="R56" s="15">
        <f>IF(OR(R55="",R53=""),"",IFERROR(R55/R53,""))</f>
        <v/>
      </c>
      <c r="S56" s="15">
        <f>IF(OR(S55="",S53=""),"",IFERROR(S55/S53,""))</f>
        <v/>
      </c>
      <c r="T56" s="15">
        <f>IF(OR(T55="",T53=""),"",IFERROR(T55/T53,""))</f>
        <v/>
      </c>
      <c r="U56" s="15">
        <f>IF(OR(U55="",U53=""),"",IFERROR(U55/U53,""))</f>
        <v/>
      </c>
      <c r="V56" s="15">
        <f>IF(OR(V55="",V53=""),"",IFERROR(V55/V53,""))</f>
        <v/>
      </c>
      <c r="W56" s="15">
        <f>IF(OR(W55="",W53=""),"",IFERROR(W55/W53,""))</f>
        <v/>
      </c>
      <c r="X56" s="15">
        <f>IF(OR(X55="",X53=""),"",IFERROR(X55/X53,""))</f>
        <v/>
      </c>
      <c r="Y56" s="25" t="n">
        <v>1</v>
      </c>
      <c r="Z56" s="26" t="n">
        <v>1</v>
      </c>
      <c r="AA56" s="26" t="n">
        <v>1</v>
      </c>
      <c r="AB56" s="26" t="n">
        <v>1</v>
      </c>
      <c r="AC56" s="26" t="n">
        <v>1</v>
      </c>
    </row>
    <row r="57">
      <c r="A57" s="13" t="inlineStr">
        <is>
          <t>지배주주 순이익 YoY</t>
        </is>
      </c>
      <c r="B57" s="10" t="n"/>
      <c r="C57" s="14" t="n"/>
      <c r="D57" s="15" t="n"/>
      <c r="E57" s="15" t="n"/>
      <c r="F57" s="15" t="n"/>
      <c r="G57" s="15">
        <f>IF(OR(G55="",C55=""),"",IF(C55&lt;=0,"",IFERROR(G55/C55-1,"")))</f>
        <v/>
      </c>
      <c r="H57" s="15">
        <f>IF(OR(H55="",D55=""),"",IF(D55&lt;=0,"",IFERROR(H55/D55-1,"")))</f>
        <v/>
      </c>
      <c r="I57" s="15">
        <f>IF(OR(I55="",E55=""),"",IF(E55&lt;=0,"",IFERROR(I55/E55-1,"")))</f>
        <v/>
      </c>
      <c r="J57" s="15">
        <f>IF(OR(J55="",F55=""),"",IF(F55&lt;=0,"",IFERROR(J55/F55-1,"")))</f>
        <v/>
      </c>
      <c r="K57" s="15">
        <f>IF(OR(K55="",G55=""),"",IF(G55&lt;=0,"",IFERROR(K55/G55-1,"")))</f>
        <v/>
      </c>
      <c r="L57" s="15">
        <f>IF(OR(L55="",H55=""),"",IF(H55&lt;=0,"",IFERROR(L55/H55-1,"")))</f>
        <v/>
      </c>
      <c r="M57" s="15">
        <f>IF(OR(M55="",I55=""),"",IF(I55&lt;=0,"",IFERROR(M55/I55-1,"")))</f>
        <v/>
      </c>
      <c r="N57" s="15">
        <f>IF(OR(N55="",J55=""),"",IF(J55&lt;=0,"",IFERROR(N55/J55-1,"")))</f>
        <v/>
      </c>
      <c r="O57" s="14" t="n"/>
      <c r="P57" s="15">
        <f>IF(OR(P55="",O55=""),"",IF(O55&lt;=0,"",IFERROR(P55/O55-1,"")))</f>
        <v/>
      </c>
      <c r="Q57" s="15">
        <f>IF(OR(Q55="",P55=""),"",IF(P55&lt;=0,"",IFERROR(Q55/P55-1,"")))</f>
        <v/>
      </c>
      <c r="R57" s="15">
        <f>IF(OR(R55="",Q55=""),"",IF(Q55&lt;=0,"",IFERROR(R55/Q55-1,"")))</f>
        <v/>
      </c>
      <c r="S57" s="15">
        <f>IF(OR(S55="",R55=""),"",IF(R55&lt;=0,"",IFERROR(S55/R55-1,"")))</f>
        <v/>
      </c>
      <c r="T57" s="15">
        <f>IF(OR(T55="",S55=""),"",IF(S55&lt;=0,"",IFERROR(T55/S55-1,"")))</f>
        <v/>
      </c>
      <c r="U57" s="15">
        <f>IF(OR(U55="",T55=""),"",IF(T55&lt;=0,"",IFERROR(U55/T55-1,"")))</f>
        <v/>
      </c>
      <c r="V57" s="15">
        <f>IF(OR(V55="",U55=""),"",IF(U55&lt;=0,"",IFERROR(V55/U55-1,"")))</f>
        <v/>
      </c>
      <c r="W57" s="15">
        <f>IF(OR(W55="",V55=""),"",IF(V55&lt;=0,"",IFERROR(W55/V55-1,"")))</f>
        <v/>
      </c>
      <c r="X57" s="15">
        <f>IF(OR(X55="",W55=""),"",IF(W55&lt;=0,"",IFERROR(X55/W55-1,"")))</f>
        <v/>
      </c>
      <c r="Y57" s="14">
        <f>IF(OR(Y55="",X55=""),"",IF(X55&lt;=0,"",IFERROR(Y55/X55-1,"")))</f>
        <v/>
      </c>
      <c r="Z57" s="15">
        <f>IF(OR(Z55="",Y55=""),"",IF(Y55&lt;=0,"",IFERROR(Z55/Y55-1,"")))</f>
        <v/>
      </c>
      <c r="AA57" s="15">
        <f>IF(OR(AA55="",Z55=""),"",IF(Z55&lt;=0,"",IFERROR(AA55/Z55-1,"")))</f>
        <v/>
      </c>
      <c r="AB57" s="15">
        <f>IF(OR(AB55="",AA55=""),"",IF(AA55&lt;=0,"",IFERROR(AB55/AA55-1,"")))</f>
        <v/>
      </c>
      <c r="AC57" s="15">
        <f>IF(OR(AC55="",AB55=""),"",IF(AB55&lt;=0,"",IFERROR(AC55/AB55-1,"")))</f>
        <v/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()</t>
        </is>
      </c>
      <c r="B59" s="27" t="n"/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/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IF(O26="","",O26)</f>
        <v/>
      </c>
      <c r="P62" s="15">
        <f>IF(P26="","",P26)</f>
        <v/>
      </c>
      <c r="Q62" s="15">
        <f>IF(Q26="","",Q26)</f>
        <v/>
      </c>
      <c r="R62" s="15">
        <f>IF(R26="","",R26)</f>
        <v/>
      </c>
      <c r="S62" s="15">
        <f>IF(S26="","",S26)</f>
        <v/>
      </c>
      <c r="T62" s="15">
        <f>IF(T26="","",T26)</f>
        <v/>
      </c>
      <c r="U62" s="15">
        <f>IF(U26="","",U26)</f>
        <v/>
      </c>
      <c r="V62" s="15">
        <f>IF(V26="","",V26)</f>
        <v/>
      </c>
      <c r="W62" s="15">
        <f>IF(W26="","",W26)</f>
        <v/>
      </c>
      <c r="X62" s="15">
        <f>IF(X26="","",X26)</f>
        <v/>
      </c>
      <c r="Y62" s="14">
        <f>IF(Y26="","",Y26)</f>
        <v/>
      </c>
      <c r="Z62" s="15">
        <f>IF(Z26="","",Z26)</f>
        <v/>
      </c>
      <c r="AA62" s="15">
        <f>IF(AA26="","",AA26)</f>
        <v/>
      </c>
      <c r="AB62" s="15">
        <f>IF(AB26="","",AB26)</f>
        <v/>
      </c>
      <c r="AC62" s="15">
        <f>IF(AC26="","",AC26)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IF(OR(P55="",O55=""),"",IFERROR(P55/O55-1,""))</f>
        <v/>
      </c>
      <c r="Q63" s="15">
        <f>IF(OR(Q55="",P55=""),"",IFERROR(Q55/P55-1,""))</f>
        <v/>
      </c>
      <c r="R63" s="15">
        <f>IF(OR(R55="",Q55=""),"",IFERROR(R55/Q55-1,""))</f>
        <v/>
      </c>
      <c r="S63" s="15">
        <f>IF(OR(S55="",R55=""),"",IFERROR(S55/R55-1,""))</f>
        <v/>
      </c>
      <c r="T63" s="15">
        <f>IF(OR(T55="",S55=""),"",IFERROR(T55/S55-1,""))</f>
        <v/>
      </c>
      <c r="U63" s="15">
        <f>IF(OR(U55="",T55=""),"",IFERROR(U55/T55-1,""))</f>
        <v/>
      </c>
      <c r="V63" s="15">
        <f>IF(OR(V55="",U55=""),"",IFERROR(V55/U55-1,""))</f>
        <v/>
      </c>
      <c r="W63" s="15">
        <f>IF(OR(W55="",V55=""),"",IFERROR(W55/V55-1,""))</f>
        <v/>
      </c>
      <c r="X63" s="15">
        <f>IF(OR(X55="",W55=""),"",IFERROR(X55/W55-1,""))</f>
        <v/>
      </c>
      <c r="Y63" s="14">
        <f>IF(OR(Y55="",X55=""),"",IFERROR(Y55/X55-1,""))</f>
        <v/>
      </c>
      <c r="Z63" s="15">
        <f>IF(OR(Z55="",Y55=""),"",IFERROR(Z55/Y55-1,""))</f>
        <v/>
      </c>
      <c r="AA63" s="15">
        <f>IF(OR(AA55="",Z55=""),"",IFERROR(AA55/Z55-1,""))</f>
        <v/>
      </c>
      <c r="AB63" s="15">
        <f>IF(OR(AB55="",AA55=""),"",IFERROR(AB55/AA55-1,""))</f>
        <v/>
      </c>
      <c r="AC63" s="15">
        <f>IF(OR(AC55="",AB55=""),"",IFERROR(AC55/AB55-1,""))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IF(OR($B$61="",X55=""),"",IFERROR($B$61/X55,""))</f>
        <v/>
      </c>
      <c r="Y64" s="30">
        <f>IF(OR($B$61="",Y55=""),"",IFERROR($B$61/Y55,""))</f>
        <v/>
      </c>
      <c r="Z64" s="31">
        <f>IF(OR($B$61="",Z55=""),"",IFERROR($B$61/Z55,""))</f>
        <v/>
      </c>
      <c r="AA64" s="31">
        <f>IF(OR($B$61="",AA55=""),"",IFERROR($B$61/AA55,""))</f>
        <v/>
      </c>
      <c r="AB64" s="31">
        <f>IF(OR($B$61="",AB55=""),"",IFERROR($B$61/AB55,""))</f>
        <v/>
      </c>
      <c r="AC64" s="31">
        <f>IF(OR($B$61="",AC55=""),"",IFERROR($B$61/AC55,""))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IF(OR(O55="",$B$60=""),"",IFERROR(O55*1000000.0/$B$60,""))</f>
        <v/>
      </c>
      <c r="P66" s="29">
        <f>IF(OR(P55="",$B$60=""),"",IFERROR(P55*1000000.0/$B$60,""))</f>
        <v/>
      </c>
      <c r="Q66" s="29">
        <f>IF(OR(Q55="",$B$60=""),"",IFERROR(Q55*1000000.0/$B$60,""))</f>
        <v/>
      </c>
      <c r="R66" s="29">
        <f>IF(OR(R55="",$B$60=""),"",IFERROR(R55*1000000.0/$B$60,""))</f>
        <v/>
      </c>
      <c r="S66" s="29">
        <f>IF(OR(S55="",$B$60=""),"",IFERROR(S55*1000000.0/$B$60,""))</f>
        <v/>
      </c>
      <c r="T66" s="29">
        <f>IF(OR(T55="",$B$60=""),"",IFERROR(T55*1000000.0/$B$60,""))</f>
        <v/>
      </c>
      <c r="U66" s="29">
        <f>IF(OR(U55="",$B$60=""),"",IFERROR(U55*1000000.0/$B$60,""))</f>
        <v/>
      </c>
      <c r="V66" s="29">
        <f>IF(OR(V55="",$B$60=""),"",IFERROR(V55*1000000.0/$B$60,""))</f>
        <v/>
      </c>
      <c r="W66" s="29">
        <f>IF(OR(W55="",$B$60=""),"",IFERROR(W55*1000000.0/$B$60,""))</f>
        <v/>
      </c>
      <c r="X66" s="29">
        <f>IF(OR(X55="",$B$60=""),"",IFERROR(X55*1000000.0/$B$60,""))</f>
        <v/>
      </c>
      <c r="Y66" s="28">
        <f>IF(OR(Y55="",$B$60=""),"",IFERROR(Y55*1000000.0/$B$60,""))</f>
        <v/>
      </c>
      <c r="Z66" s="29">
        <f>IF(OR(Z55="",$B$60=""),"",IFERROR(Z55*1000000.0/$B$60,""))</f>
        <v/>
      </c>
      <c r="AA66" s="29">
        <f>IF(OR(AA55="",$B$60=""),"",IFERROR(AA55*1000000.0/$B$60,""))</f>
        <v/>
      </c>
      <c r="AB66" s="29">
        <f>IF(OR(AB55="",$B$60=""),"",IFERROR(AB55*1000000.0/$B$60,""))</f>
        <v/>
      </c>
      <c r="AC66" s="29">
        <f>IF(OR(AC55="",$B$60=""),"",IFERROR(AC55*1000000.0/$B$60,""))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IF(OR(Y55="",Y65=""),"",IFERROR(Y55*Y65,""))</f>
        <v/>
      </c>
      <c r="Z78" s="20">
        <f>IF(OR(Z55="",Z65=""),"",IFERROR(Z55*Z65,""))</f>
        <v/>
      </c>
      <c r="AA78" s="20">
        <f>IF(OR(AA55="",AA65=""),"",IFERROR(AA55*AA65,""))</f>
        <v/>
      </c>
      <c r="AB78" s="20">
        <f>IF(OR(AB55="",AB65=""),"",IFERROR(AB55*AB65,""))</f>
        <v/>
      </c>
      <c r="AC78" s="20">
        <f>IF(OR(AC55="",AC65=""),"",IFERROR(AC55*AC65,""))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2024.3Q</t>
        </is>
      </c>
      <c r="D89" s="5" t="inlineStr">
        <is>
          <t>2024.4Q</t>
        </is>
      </c>
      <c r="E89" s="5" t="inlineStr">
        <is>
          <t>2025.1Q</t>
        </is>
      </c>
      <c r="F89" s="5" t="inlineStr">
        <is>
          <t>2025.2Q</t>
        </is>
      </c>
      <c r="G89" s="5" t="inlineStr">
        <is>
          <t>2025.3Q</t>
        </is>
      </c>
      <c r="H89" s="5" t="inlineStr">
        <is>
          <t>2025.4Q</t>
        </is>
      </c>
      <c r="I89" s="5" t="inlineStr">
        <is>
          <t>2026.1Q</t>
        </is>
      </c>
      <c r="J89" s="5" t="inlineStr">
        <is>
          <t>2026.2Q</t>
        </is>
      </c>
      <c r="K89" s="5" t="inlineStr">
        <is>
          <t>2026.3Q</t>
        </is>
      </c>
      <c r="L89" s="5" t="inlineStr">
        <is>
          <t>2026.4Q</t>
        </is>
      </c>
      <c r="M89" s="5" t="inlineStr">
        <is>
          <t>2027.1Q</t>
        </is>
      </c>
      <c r="N89" s="5" t="inlineStr">
        <is>
          <t>2027.2Q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11560.508</v>
      </c>
      <c r="D90" s="12" t="n">
        <v>15136.353</v>
      </c>
      <c r="E90" s="12" t="n">
        <v>14614.133</v>
      </c>
      <c r="F90" s="12" t="n">
        <v>14124.032</v>
      </c>
      <c r="G90" s="12" t="n">
        <v>14613.537</v>
      </c>
      <c r="H90" s="12" t="n">
        <v>14758.405</v>
      </c>
      <c r="I90" s="12" t="n">
        <v>14600.285</v>
      </c>
      <c r="J90" s="12" t="n">
        <v>13165.54</v>
      </c>
      <c r="K90" s="12" t="n">
        <v>14720.404</v>
      </c>
      <c r="L90" s="12" t="n">
        <v>14998.334</v>
      </c>
      <c r="M90" s="12" t="n">
        <v>13976.414</v>
      </c>
      <c r="N90" s="12" t="n">
        <v>15028.365</v>
      </c>
      <c r="T90" s="12" t="n">
        <v>7459.877</v>
      </c>
      <c r="U90" s="12" t="n">
        <v>9411.857</v>
      </c>
      <c r="V90" s="12" t="n">
        <v>15136.353</v>
      </c>
      <c r="W90" s="12" t="n">
        <v>14758.405</v>
      </c>
      <c r="X90" s="12" t="n">
        <v>14998.334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9176.271000000001</v>
      </c>
      <c r="D92" s="20" t="n">
        <v>11843.745</v>
      </c>
      <c r="E92" s="20" t="n">
        <v>11118.172</v>
      </c>
      <c r="F92" s="20" t="n">
        <v>11102.312</v>
      </c>
      <c r="G92" s="20" t="n">
        <v>11339.804</v>
      </c>
      <c r="H92" s="20" t="n">
        <v>11250.072</v>
      </c>
      <c r="I92" s="20" t="n">
        <v>11576.161</v>
      </c>
      <c r="J92" s="20" t="n">
        <v>10607.692</v>
      </c>
      <c r="K92" s="20" t="n">
        <v>11254.729</v>
      </c>
      <c r="L92" s="20" t="n">
        <v>12749.359</v>
      </c>
      <c r="M92" s="20" t="n">
        <v>11035.707</v>
      </c>
      <c r="N92" s="20" t="n">
        <v>11875.594</v>
      </c>
      <c r="T92" s="20" t="n">
        <v>5889.419</v>
      </c>
      <c r="U92" s="20" t="n">
        <v>7644.032</v>
      </c>
      <c r="V92" s="20" t="n">
        <v>11843.745</v>
      </c>
      <c r="W92" s="20" t="n">
        <v>11250.072</v>
      </c>
      <c r="X92" s="20" t="n">
        <v>12749.359</v>
      </c>
    </row>
    <row r="93">
      <c r="A93" s="43" t="inlineStr">
        <is>
          <t>YoY</t>
        </is>
      </c>
      <c r="B93" s="3" t="inlineStr">
        <is>
          <t>전년 같은 분기·전년 대비</t>
        </is>
      </c>
      <c r="G93" s="15">
        <f>IF(OR(G92="",C92=""),"",IF(G92*C92&lt;=0,"",IFERROR(G92/C92-1,"")))</f>
        <v/>
      </c>
      <c r="H93" s="15">
        <f>IF(OR(H92="",D92=""),"",IF(H92*D92&lt;=0,"",IFERROR(H92/D92-1,"")))</f>
        <v/>
      </c>
      <c r="I93" s="15">
        <f>IF(OR(I92="",E92=""),"",IF(I92*E92&lt;=0,"",IFERROR(I92/E92-1,"")))</f>
        <v/>
      </c>
      <c r="J93" s="15">
        <f>IF(OR(J92="",F92=""),"",IF(J92*F92&lt;=0,"",IFERROR(J92/F92-1,"")))</f>
        <v/>
      </c>
      <c r="K93" s="15">
        <f>IF(OR(K92="",G92=""),"",IF(K92*G92&lt;=0,"",IFERROR(K92/G92-1,"")))</f>
        <v/>
      </c>
      <c r="L93" s="15">
        <f>IF(OR(L92="",H92=""),"",IF(L92*H92&lt;=0,"",IFERROR(L92/H92-1,"")))</f>
        <v/>
      </c>
      <c r="M93" s="15">
        <f>IF(OR(M92="",I92=""),"",IF(M92*I92&lt;=0,"",IFERROR(M92/I92-1,"")))</f>
        <v/>
      </c>
      <c r="N93" s="15">
        <f>IF(OR(N92="",J92=""),"",IF(N92*J92&lt;=0,"",IFERROR(N92/J92-1,"")))</f>
        <v/>
      </c>
      <c r="T93" s="15">
        <f>IF(OR(T92="",S92=""),"",IF(T92*S92&lt;=0,"",IFERROR(T92/S92-1,"")))</f>
        <v/>
      </c>
      <c r="U93" s="15">
        <f>IF(OR(U92="",T92=""),"",IF(U92*T92&lt;=0,"",IFERROR(U92/T92-1,"")))</f>
        <v/>
      </c>
      <c r="V93" s="15">
        <f>IF(OR(V92="",U92=""),"",IF(V92*U92&lt;=0,"",IFERROR(V92/U92-1,"")))</f>
        <v/>
      </c>
      <c r="W93" s="15">
        <f>IF(OR(W92="",V92=""),"",IF(W92*V92&lt;=0,"",IFERROR(W92/V92-1,"")))</f>
        <v/>
      </c>
      <c r="X93" s="15">
        <f>IF(OR(X92="",W92=""),"",IF(X92*W92&lt;=0,"",IFERROR(X92/W92-1,"")))</f>
        <v/>
      </c>
    </row>
    <row r="94">
      <c r="A94" s="9" t="inlineStr">
        <is>
          <t>매출총이익</t>
        </is>
      </c>
      <c r="C94" s="12" t="n">
        <v>2384.237</v>
      </c>
      <c r="D94" s="12" t="n">
        <v>3292.609</v>
      </c>
      <c r="E94" s="12" t="n">
        <v>3495.96</v>
      </c>
      <c r="F94" s="12" t="n">
        <v>3021.72</v>
      </c>
      <c r="G94" s="12" t="n">
        <v>3273.733</v>
      </c>
      <c r="H94" s="12" t="n">
        <v>3508.334</v>
      </c>
      <c r="I94" s="12" t="n">
        <v>3024.123</v>
      </c>
      <c r="J94" s="12" t="n">
        <v>2557.848</v>
      </c>
      <c r="K94" s="12" t="n">
        <v>3465.676</v>
      </c>
      <c r="L94" s="12" t="n">
        <v>2248.974</v>
      </c>
      <c r="M94" s="12" t="n">
        <v>2940.707</v>
      </c>
      <c r="N94" s="12" t="n">
        <v>3152.77</v>
      </c>
      <c r="T94" s="12" t="n">
        <v>1570.458</v>
      </c>
      <c r="U94" s="12" t="n">
        <v>1767.825</v>
      </c>
      <c r="V94" s="12" t="n">
        <v>3292.609</v>
      </c>
      <c r="W94" s="12" t="n">
        <v>3508.334</v>
      </c>
      <c r="X94" s="12" t="n">
        <v>2248.974</v>
      </c>
    </row>
    <row r="95">
      <c r="A95" s="43" t="inlineStr">
        <is>
          <t>YoY</t>
        </is>
      </c>
      <c r="B95" s="3" t="inlineStr">
        <is>
          <t>전년 같은 분기·전년 대비</t>
        </is>
      </c>
      <c r="G95" s="15">
        <f>IF(OR(G94="",C94=""),"",IF(C94&lt;=0,"",IFERROR(G94/C94-1,"")))</f>
        <v/>
      </c>
      <c r="H95" s="15">
        <f>IF(OR(H94="",D94=""),"",IF(D94&lt;=0,"",IFERROR(H94/D94-1,"")))</f>
        <v/>
      </c>
      <c r="I95" s="15">
        <f>IF(OR(I94="",E94=""),"",IF(E94&lt;=0,"",IFERROR(I94/E94-1,"")))</f>
        <v/>
      </c>
      <c r="J95" s="15">
        <f>IF(OR(J94="",F94=""),"",IF(F94&lt;=0,"",IFERROR(J94/F94-1,"")))</f>
        <v/>
      </c>
      <c r="K95" s="15">
        <f>IF(OR(K94="",G94=""),"",IF(G94&lt;=0,"",IFERROR(K94/G94-1,"")))</f>
        <v/>
      </c>
      <c r="L95" s="15">
        <f>IF(OR(L94="",H94=""),"",IF(H94&lt;=0,"",IFERROR(L94/H94-1,"")))</f>
        <v/>
      </c>
      <c r="M95" s="15">
        <f>IF(OR(M94="",I94=""),"",IF(I94&lt;=0,"",IFERROR(M94/I94-1,"")))</f>
        <v/>
      </c>
      <c r="N95" s="15">
        <f>IF(OR(N94="",J94=""),"",IF(J94&lt;=0,"",IFERROR(N94/J94-1,"")))</f>
        <v/>
      </c>
      <c r="T95" s="15">
        <f>IF(OR(T94="",S94=""),"",IF(S94&lt;=0,"",IFERROR(T94/S94-1,"")))</f>
        <v/>
      </c>
      <c r="U95" s="15">
        <f>IF(OR(U94="",T94=""),"",IF(T94&lt;=0,"",IFERROR(U94/T94-1,"")))</f>
        <v/>
      </c>
      <c r="V95" s="15">
        <f>IF(OR(V94="",U94=""),"",IF(U94&lt;=0,"",IFERROR(V94/U94-1,"")))</f>
        <v/>
      </c>
      <c r="W95" s="15">
        <f>IF(OR(W94="",V94=""),"",IF(V94&lt;=0,"",IFERROR(W94/V94-1,"")))</f>
        <v/>
      </c>
      <c r="X95" s="15">
        <f>IF(OR(X94="",W94=""),"",IF(W94&lt;=0,"",IFERROR(X94/W94-1,"")))</f>
        <v/>
      </c>
    </row>
    <row r="96">
      <c r="A96" s="18" t="inlineStr">
        <is>
          <t>판매비와 관리비</t>
        </is>
      </c>
      <c r="C96" s="20" t="n">
        <v>1927.49</v>
      </c>
      <c r="D96" s="20" t="n">
        <v>2285.408</v>
      </c>
      <c r="E96" s="20" t="n">
        <v>2370.27</v>
      </c>
      <c r="F96" s="20" t="n">
        <v>2216.941</v>
      </c>
      <c r="G96" s="20" t="n">
        <v>2204.999</v>
      </c>
      <c r="H96" s="20" t="n">
        <v>2346.256</v>
      </c>
      <c r="I96" s="20" t="n">
        <v>2324.007</v>
      </c>
      <c r="J96" s="20" t="n">
        <v>2336.695</v>
      </c>
      <c r="K96" s="20" t="n">
        <v>2468.67</v>
      </c>
      <c r="L96" s="20" t="n">
        <v>2599.206</v>
      </c>
      <c r="M96" s="20" t="n">
        <v>2590.709</v>
      </c>
      <c r="N96" s="20" t="n">
        <v>2634.081</v>
      </c>
      <c r="T96" s="20" t="n">
        <v>1451.149</v>
      </c>
      <c r="U96" s="20" t="n">
        <v>1682.58</v>
      </c>
      <c r="V96" s="20" t="n">
        <v>2285.408</v>
      </c>
      <c r="W96" s="20" t="n">
        <v>2346.256</v>
      </c>
      <c r="X96" s="20" t="n">
        <v>2599.206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IF(OR(G96="",C96=""),"",IF(G96*C96&lt;=0,"",IFERROR(G96/C96-1,"")))</f>
        <v/>
      </c>
      <c r="H97" s="15">
        <f>IF(OR(H96="",D96=""),"",IF(H96*D96&lt;=0,"",IFERROR(H96/D96-1,"")))</f>
        <v/>
      </c>
      <c r="I97" s="15">
        <f>IF(OR(I96="",E96=""),"",IF(I96*E96&lt;=0,"",IFERROR(I96/E96-1,"")))</f>
        <v/>
      </c>
      <c r="J97" s="15">
        <f>IF(OR(J96="",F96=""),"",IF(J96*F96&lt;=0,"",IFERROR(J96/F96-1,"")))</f>
        <v/>
      </c>
      <c r="K97" s="15">
        <f>IF(OR(K96="",G96=""),"",IF(K96*G96&lt;=0,"",IFERROR(K96/G96-1,"")))</f>
        <v/>
      </c>
      <c r="L97" s="15">
        <f>IF(OR(L96="",H96=""),"",IF(L96*H96&lt;=0,"",IFERROR(L96/H96-1,"")))</f>
        <v/>
      </c>
      <c r="M97" s="15">
        <f>IF(OR(M96="",I96=""),"",IF(M96*I96&lt;=0,"",IFERROR(M96/I96-1,"")))</f>
        <v/>
      </c>
      <c r="N97" s="15">
        <f>IF(OR(N96="",J96=""),"",IF(N96*J96&lt;=0,"",IFERROR(N96/J96-1,"")))</f>
        <v/>
      </c>
      <c r="T97" s="15">
        <f>IF(OR(T96="",S96=""),"",IF(T96*S96&lt;=0,"",IFERROR(T96/S96-1,"")))</f>
        <v/>
      </c>
      <c r="U97" s="15">
        <f>IF(OR(U96="",T96=""),"",IF(U96*T96&lt;=0,"",IFERROR(U96/T96-1,"")))</f>
        <v/>
      </c>
      <c r="V97" s="15">
        <f>IF(OR(V96="",U96=""),"",IF(V96*U96&lt;=0,"",IFERROR(V96/U96-1,"")))</f>
        <v/>
      </c>
      <c r="W97" s="15">
        <f>IF(OR(W96="",V96=""),"",IF(W96*V96&lt;=0,"",IFERROR(W96/V96-1,"")))</f>
        <v/>
      </c>
      <c r="X97" s="15">
        <f>IF(OR(X96="",W96=""),"",IF(X96*W96&lt;=0,"",IFERROR(X96/W96-1,"")))</f>
        <v/>
      </c>
    </row>
    <row r="98">
      <c r="A98" s="9" t="inlineStr">
        <is>
          <t>영업이익</t>
        </is>
      </c>
      <c r="C98" s="12" t="n">
        <v>456.747</v>
      </c>
      <c r="D98" s="12" t="n">
        <v>1007.201</v>
      </c>
      <c r="E98" s="12" t="n">
        <v>1125.69</v>
      </c>
      <c r="F98" s="12" t="n">
        <v>804.778</v>
      </c>
      <c r="G98" s="12" t="n">
        <v>1068.735</v>
      </c>
      <c r="H98" s="12" t="n">
        <v>1162.077</v>
      </c>
      <c r="I98" s="12" t="n">
        <v>700.116</v>
      </c>
      <c r="J98" s="12" t="n">
        <v>221.153</v>
      </c>
      <c r="K98" s="12" t="n">
        <v>997.005</v>
      </c>
      <c r="L98" s="12" t="n">
        <v>-350.231</v>
      </c>
      <c r="M98" s="12" t="n">
        <v>349.997</v>
      </c>
      <c r="N98" s="12" t="n">
        <v>518.6900000000001</v>
      </c>
      <c r="T98" s="12" t="n">
        <v>119.308</v>
      </c>
      <c r="U98" s="12" t="n">
        <v>85.246</v>
      </c>
      <c r="V98" s="12" t="n">
        <v>1007.201</v>
      </c>
      <c r="W98" s="12" t="n">
        <v>1162.077</v>
      </c>
      <c r="X98" s="12" t="n">
        <v>-350.231</v>
      </c>
    </row>
    <row r="99">
      <c r="A99" s="43" t="inlineStr">
        <is>
          <t>OPM</t>
        </is>
      </c>
      <c r="B99" s="3" t="inlineStr">
        <is>
          <t>영업이익 ÷ 매출</t>
        </is>
      </c>
      <c r="C99" s="15">
        <f>IF(OR(C98="",C90=""),"",IF(C90&lt;=0,"",IFERROR(C98/C90,"")))</f>
        <v/>
      </c>
      <c r="D99" s="15">
        <f>IF(OR(D98="",D90=""),"",IF(D90&lt;=0,"",IFERROR(D98/D90,"")))</f>
        <v/>
      </c>
      <c r="E99" s="15">
        <f>IF(OR(E98="",E90=""),"",IF(E90&lt;=0,"",IFERROR(E98/E90,"")))</f>
        <v/>
      </c>
      <c r="F99" s="15">
        <f>IF(OR(F98="",F90=""),"",IF(F90&lt;=0,"",IFERROR(F98/F90,"")))</f>
        <v/>
      </c>
      <c r="G99" s="15">
        <f>IF(OR(G98="",G90=""),"",IF(G90&lt;=0,"",IFERROR(G98/G90,"")))</f>
        <v/>
      </c>
      <c r="H99" s="15">
        <f>IF(OR(H98="",H90=""),"",IF(H90&lt;=0,"",IFERROR(H98/H90,"")))</f>
        <v/>
      </c>
      <c r="I99" s="15">
        <f>IF(OR(I98="",I90=""),"",IF(I90&lt;=0,"",IFERROR(I98/I90,"")))</f>
        <v/>
      </c>
      <c r="J99" s="15">
        <f>IF(OR(J98="",J90=""),"",IF(J90&lt;=0,"",IFERROR(J98/J90,"")))</f>
        <v/>
      </c>
      <c r="K99" s="15">
        <f>IF(OR(K98="",K90=""),"",IF(K90&lt;=0,"",IFERROR(K98/K90,"")))</f>
        <v/>
      </c>
      <c r="L99" s="15">
        <f>IF(OR(L98="",L90=""),"",IF(L90&lt;=0,"",IFERROR(L98/L90,"")))</f>
        <v/>
      </c>
      <c r="M99" s="15">
        <f>IF(OR(M98="",M90=""),"",IF(M90&lt;=0,"",IFERROR(M98/M90,"")))</f>
        <v/>
      </c>
      <c r="N99" s="15">
        <f>IF(OR(N98="",N90=""),"",IF(N90&lt;=0,"",IFERROR(N98/N90,"")))</f>
        <v/>
      </c>
      <c r="T99" s="15">
        <f>IF(OR(T98="",T90=""),"",IF(T90&lt;=0,"",IFERROR(T98/T90,"")))</f>
        <v/>
      </c>
      <c r="U99" s="15">
        <f>IF(OR(U98="",U90=""),"",IF(U90&lt;=0,"",IFERROR(U98/U90,"")))</f>
        <v/>
      </c>
      <c r="V99" s="15">
        <f>IF(OR(V98="",V90=""),"",IF(V90&lt;=0,"",IFERROR(V98/V90,"")))</f>
        <v/>
      </c>
      <c r="W99" s="15">
        <f>IF(OR(W98="",W90=""),"",IF(W90&lt;=0,"",IFERROR(W98/W90,"")))</f>
        <v/>
      </c>
      <c r="X99" s="15">
        <f>IF(OR(X98="",X90=""),"",IF(X90&lt;=0,"",IFERROR(X98/X90,"")))</f>
        <v/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IF(OR(G98="",C98=""),"",IF(C98&lt;=0,"",IFERROR(G98/C98-1,"")))</f>
        <v/>
      </c>
      <c r="H100" s="15">
        <f>IF(OR(H98="",D98=""),"",IF(D98&lt;=0,"",IFERROR(H98/D98-1,"")))</f>
        <v/>
      </c>
      <c r="I100" s="15">
        <f>IF(OR(I98="",E98=""),"",IF(E98&lt;=0,"",IFERROR(I98/E98-1,"")))</f>
        <v/>
      </c>
      <c r="J100" s="15">
        <f>IF(OR(J98="",F98=""),"",IF(F98&lt;=0,"",IFERROR(J98/F98-1,"")))</f>
        <v/>
      </c>
      <c r="K100" s="15">
        <f>IF(OR(K98="",G98=""),"",IF(G98&lt;=0,"",IFERROR(K98/G98-1,"")))</f>
        <v/>
      </c>
      <c r="L100" s="15">
        <f>IF(OR(L98="",H98=""),"",IF(H98&lt;=0,"",IFERROR(L98/H98-1,"")))</f>
        <v/>
      </c>
      <c r="M100" s="15">
        <f>IF(OR(M98="",I98=""),"",IF(I98&lt;=0,"",IFERROR(M98/I98-1,"")))</f>
        <v/>
      </c>
      <c r="N100" s="15">
        <f>IF(OR(N98="",J98=""),"",IF(J98&lt;=0,"",IFERROR(N98/J98-1,"")))</f>
        <v/>
      </c>
      <c r="T100" s="15">
        <f>IF(OR(T98="",S98=""),"",IF(S98&lt;=0,"",IFERROR(T98/S98-1,"")))</f>
        <v/>
      </c>
      <c r="U100" s="15">
        <f>IF(OR(U98="",T98=""),"",IF(T98&lt;=0,"",IFERROR(U98/T98-1,"")))</f>
        <v/>
      </c>
      <c r="V100" s="15">
        <f>IF(OR(V98="",U98=""),"",IF(U98&lt;=0,"",IFERROR(V98/U98-1,"")))</f>
        <v/>
      </c>
      <c r="W100" s="15">
        <f>IF(OR(W98="",V98=""),"",IF(V98&lt;=0,"",IFERROR(W98/V98-1,"")))</f>
        <v/>
      </c>
      <c r="X100" s="15">
        <f>IF(OR(X98="",W98=""),"",IF(W98&lt;=0,"",IFERROR(X98/W98-1,"")))</f>
        <v/>
      </c>
    </row>
    <row r="101">
      <c r="A101" s="18" t="inlineStr">
        <is>
          <t>임대료 수익</t>
        </is>
      </c>
      <c r="C101" s="20" t="n">
        <v>17.576</v>
      </c>
      <c r="D101" s="20" t="n">
        <v>29.248</v>
      </c>
      <c r="E101" s="20" t="n">
        <v>26.188</v>
      </c>
      <c r="F101" s="20" t="n">
        <v>24.5</v>
      </c>
      <c r="G101" s="20" t="n">
        <v>27.108</v>
      </c>
      <c r="H101" s="20" t="n">
        <v>30.757</v>
      </c>
      <c r="I101" s="20" t="n">
        <v>23.664</v>
      </c>
      <c r="J101" s="20" t="n">
        <v>23.197</v>
      </c>
      <c r="K101" s="20" t="n">
        <v>11.311</v>
      </c>
      <c r="L101" s="20" t="n">
        <v>24.36</v>
      </c>
      <c r="M101" s="20" t="n">
        <v>24.066</v>
      </c>
      <c r="N101" s="20" t="n">
        <v>23.617</v>
      </c>
      <c r="T101" s="20" t="n">
        <v>6.709</v>
      </c>
      <c r="U101" s="20" t="n">
        <v>-1.142</v>
      </c>
      <c r="V101" s="20" t="n">
        <v>29.248</v>
      </c>
      <c r="W101" s="20" t="n">
        <v>30.757</v>
      </c>
      <c r="X101" s="20" t="n">
        <v>24.36</v>
      </c>
    </row>
    <row r="102">
      <c r="A102" s="18" t="inlineStr">
        <is>
          <t>보상금 수취</t>
        </is>
      </c>
      <c r="C102" s="20" t="n">
        <v>3.005</v>
      </c>
      <c r="D102" s="20" t="n">
        <v>1.827</v>
      </c>
      <c r="E102" s="20" t="n">
        <v>3.107</v>
      </c>
      <c r="F102" s="20" t="n">
        <v>6.066</v>
      </c>
      <c r="G102" s="20" t="n">
        <v>2.751</v>
      </c>
      <c r="H102" s="20" t="n">
        <v>2.144</v>
      </c>
      <c r="I102" s="20" t="n">
        <v>0.549</v>
      </c>
      <c r="J102" s="20" t="n">
        <v>3.229</v>
      </c>
      <c r="K102" s="20" t="n">
        <v>2.115</v>
      </c>
      <c r="L102" s="20" t="n">
        <v>2.037</v>
      </c>
      <c r="M102" s="20" t="n">
        <v>0.223</v>
      </c>
      <c r="N102" s="20" t="n">
        <v>1.423</v>
      </c>
      <c r="T102" s="20" t="n">
        <v>5.046</v>
      </c>
      <c r="U102" s="20" t="n">
        <v>0.075</v>
      </c>
      <c r="V102" s="20" t="n">
        <v>1.827</v>
      </c>
      <c r="W102" s="20" t="n">
        <v>2.144</v>
      </c>
      <c r="X102" s="20" t="n">
        <v>2.037</v>
      </c>
    </row>
    <row r="103">
      <c r="A103" s="18" t="inlineStr">
        <is>
          <t>보조금 수입</t>
        </is>
      </c>
      <c r="C103" s="20" t="n">
        <v>16.076</v>
      </c>
      <c r="D103" s="20" t="n">
        <v>23.416</v>
      </c>
      <c r="E103" s="20" t="n">
        <v>51.804</v>
      </c>
      <c r="F103" s="20" t="n">
        <v>17.789</v>
      </c>
      <c r="G103" s="20" t="n">
        <v>19.465</v>
      </c>
      <c r="H103" s="20" t="n">
        <v>38.27</v>
      </c>
      <c r="I103" s="20" t="n">
        <v>31.253</v>
      </c>
      <c r="J103" s="20" t="n">
        <v>9.327999999999999</v>
      </c>
      <c r="K103" s="20" t="n">
        <v>28.895</v>
      </c>
      <c r="L103" s="20" t="n">
        <v>13.947</v>
      </c>
      <c r="M103" s="20" t="n">
        <v>40.406</v>
      </c>
      <c r="N103" s="20" t="n">
        <v>5.853</v>
      </c>
      <c r="T103" s="20" t="n">
        <v>11.71</v>
      </c>
      <c r="U103" s="20" t="n">
        <v>10.825</v>
      </c>
      <c r="V103" s="20" t="n">
        <v>23.416</v>
      </c>
      <c r="W103" s="20" t="n">
        <v>38.27</v>
      </c>
      <c r="X103" s="20" t="n">
        <v>13.947</v>
      </c>
    </row>
    <row r="104">
      <c r="A104" s="18" t="inlineStr">
        <is>
          <t>투자유가증권 매각이익</t>
        </is>
      </c>
      <c r="I104" s="20" t="n">
        <v>0</v>
      </c>
      <c r="J104" s="20" t="n">
        <v>4.282</v>
      </c>
      <c r="M104" s="20" t="n">
        <v>66.76300000000001</v>
      </c>
      <c r="N104" s="20" t="n">
        <v>5.899</v>
      </c>
    </row>
    <row r="105">
      <c r="A105" s="18" t="inlineStr">
        <is>
          <t>외환차익</t>
        </is>
      </c>
      <c r="C105" s="20" t="n">
        <v>63.464</v>
      </c>
      <c r="D105" s="20" t="n">
        <v>75.691</v>
      </c>
      <c r="E105" s="20" t="n">
        <v>93.425</v>
      </c>
      <c r="F105" s="20" t="n">
        <v>-93.425</v>
      </c>
      <c r="G105" s="20" t="n">
        <v>0</v>
      </c>
      <c r="H105" s="20" t="n">
        <v>0</v>
      </c>
      <c r="I105" s="20" t="n">
        <v>3.815</v>
      </c>
      <c r="J105" s="20" t="n">
        <v>63.421</v>
      </c>
      <c r="K105" s="20" t="n">
        <v>189.539</v>
      </c>
      <c r="L105" s="20" t="n">
        <v>96.32299999999999</v>
      </c>
      <c r="M105" s="20" t="n">
        <v>57.499</v>
      </c>
      <c r="N105" s="20" t="n">
        <v>21.15</v>
      </c>
      <c r="T105" s="20" t="n">
        <v>81.708</v>
      </c>
      <c r="U105" s="20" t="n">
        <v>5.875</v>
      </c>
      <c r="V105" s="20" t="n">
        <v>75.691</v>
      </c>
      <c r="W105" s="20" t="n">
        <v>0</v>
      </c>
      <c r="X105" s="20" t="n">
        <v>96.32299999999999</v>
      </c>
    </row>
    <row r="106">
      <c r="A106" s="18" t="inlineStr">
        <is>
          <t>기타</t>
        </is>
      </c>
      <c r="C106" s="20" t="n">
        <v>27.544</v>
      </c>
      <c r="D106" s="20" t="n">
        <v>-117.336</v>
      </c>
      <c r="E106" s="20" t="n">
        <v>37.788</v>
      </c>
      <c r="F106" s="20" t="n">
        <v>39.649</v>
      </c>
      <c r="G106" s="20" t="n">
        <v>74.54600000000001</v>
      </c>
      <c r="H106" s="20" t="n">
        <v>-77.77200000000001</v>
      </c>
      <c r="I106" s="20" t="n">
        <v>21.095</v>
      </c>
      <c r="J106" s="20" t="n">
        <v>36.797</v>
      </c>
      <c r="K106" s="20" t="n">
        <v>20.541</v>
      </c>
      <c r="L106" s="20" t="n">
        <v>6.142</v>
      </c>
      <c r="M106" s="20" t="n">
        <v>24.356</v>
      </c>
      <c r="N106" s="20" t="n">
        <v>47.551</v>
      </c>
      <c r="T106" s="20" t="n">
        <v>8.220000000000001</v>
      </c>
      <c r="U106" s="20" t="n">
        <v>1.924</v>
      </c>
      <c r="V106" s="20" t="n">
        <v>-117.336</v>
      </c>
      <c r="W106" s="20" t="n">
        <v>-77.77200000000001</v>
      </c>
      <c r="X106" s="20" t="n">
        <v>6.142</v>
      </c>
    </row>
    <row r="107">
      <c r="A107" s="18" t="inlineStr">
        <is>
          <t>영업외수익 합계</t>
        </is>
      </c>
      <c r="C107" s="20" t="n">
        <v>127.666</v>
      </c>
      <c r="D107" s="20" t="n">
        <v>152.056</v>
      </c>
      <c r="E107" s="20" t="n">
        <v>212.314</v>
      </c>
      <c r="F107" s="20" t="n">
        <v>-5.422</v>
      </c>
      <c r="G107" s="20" t="n">
        <v>123.871</v>
      </c>
      <c r="H107" s="20" t="n">
        <v>99.069</v>
      </c>
      <c r="I107" s="20" t="n">
        <v>80.379</v>
      </c>
      <c r="J107" s="20" t="n">
        <v>140.255</v>
      </c>
      <c r="K107" s="20" t="n">
        <v>248.117</v>
      </c>
      <c r="L107" s="20" t="n">
        <v>192.262</v>
      </c>
      <c r="M107" s="20" t="n">
        <v>213.315</v>
      </c>
      <c r="N107" s="20" t="n">
        <v>105.494</v>
      </c>
      <c r="T107" s="20" t="n">
        <v>125.145</v>
      </c>
      <c r="U107" s="20" t="n">
        <v>47.519</v>
      </c>
      <c r="V107" s="20" t="n">
        <v>152.056</v>
      </c>
      <c r="W107" s="20" t="n">
        <v>99.069</v>
      </c>
      <c r="X107" s="20" t="n">
        <v>192.262</v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IF(OR(G107="",C107=""),"",IF(G107*C107&lt;=0,"",IFERROR(G107/C107-1,"")))</f>
        <v/>
      </c>
      <c r="H108" s="15">
        <f>IF(OR(H107="",D107=""),"",IF(H107*D107&lt;=0,"",IFERROR(H107/D107-1,"")))</f>
        <v/>
      </c>
      <c r="I108" s="15">
        <f>IF(OR(I107="",E107=""),"",IF(I107*E107&lt;=0,"",IFERROR(I107/E107-1,"")))</f>
        <v/>
      </c>
      <c r="J108" s="15">
        <f>IF(OR(J107="",F107=""),"",IF(J107*F107&lt;=0,"",IFERROR(J107/F107-1,"")))</f>
        <v/>
      </c>
      <c r="K108" s="15">
        <f>IF(OR(K107="",G107=""),"",IF(K107*G107&lt;=0,"",IFERROR(K107/G107-1,"")))</f>
        <v/>
      </c>
      <c r="L108" s="15">
        <f>IF(OR(L107="",H107=""),"",IF(L107*H107&lt;=0,"",IFERROR(L107/H107-1,"")))</f>
        <v/>
      </c>
      <c r="M108" s="15">
        <f>IF(OR(M107="",I107=""),"",IF(M107*I107&lt;=0,"",IFERROR(M107/I107-1,"")))</f>
        <v/>
      </c>
      <c r="N108" s="15">
        <f>IF(OR(N107="",J107=""),"",IF(N107*J107&lt;=0,"",IFERROR(N107/J107-1,"")))</f>
        <v/>
      </c>
      <c r="T108" s="15">
        <f>IF(OR(T107="",S107=""),"",IF(T107*S107&lt;=0,"",IFERROR(T107/S107-1,"")))</f>
        <v/>
      </c>
      <c r="U108" s="15">
        <f>IF(OR(U107="",T107=""),"",IF(U107*T107&lt;=0,"",IFERROR(U107/T107-1,"")))</f>
        <v/>
      </c>
      <c r="V108" s="15">
        <f>IF(OR(V107="",U107=""),"",IF(V107*U107&lt;=0,"",IFERROR(V107/U107-1,"")))</f>
        <v/>
      </c>
      <c r="W108" s="15">
        <f>IF(OR(W107="",V107=""),"",IF(W107*V107&lt;=0,"",IFERROR(W107/V107-1,"")))</f>
        <v/>
      </c>
      <c r="X108" s="15">
        <f>IF(OR(X107="",W107=""),"",IF(X107*W107&lt;=0,"",IFERROR(X107/W107-1,"")))</f>
        <v/>
      </c>
    </row>
    <row r="109">
      <c r="A109" s="18" t="inlineStr">
        <is>
          <t>이자비용</t>
        </is>
      </c>
      <c r="C109" s="20" t="n">
        <v>50.925</v>
      </c>
      <c r="D109" s="20" t="n">
        <v>69.602</v>
      </c>
      <c r="E109" s="20" t="n">
        <v>71.214</v>
      </c>
      <c r="F109" s="20" t="n">
        <v>72.979</v>
      </c>
      <c r="G109" s="20" t="n">
        <v>66.566</v>
      </c>
      <c r="H109" s="20" t="n">
        <v>85.20399999999999</v>
      </c>
      <c r="I109" s="20" t="n">
        <v>96.07899999999999</v>
      </c>
      <c r="J109" s="20" t="n">
        <v>95.833</v>
      </c>
      <c r="K109" s="20" t="n">
        <v>128.494</v>
      </c>
      <c r="L109" s="20" t="n">
        <v>137.198</v>
      </c>
      <c r="M109" s="20" t="n">
        <v>147.273</v>
      </c>
      <c r="N109" s="20" t="n">
        <v>158.656</v>
      </c>
      <c r="T109" s="20" t="n">
        <v>8.728999999999999</v>
      </c>
      <c r="U109" s="20" t="n">
        <v>52.618</v>
      </c>
      <c r="V109" s="20" t="n">
        <v>69.602</v>
      </c>
      <c r="W109" s="20" t="n">
        <v>85.20399999999999</v>
      </c>
      <c r="X109" s="20" t="n">
        <v>137.198</v>
      </c>
    </row>
    <row r="110">
      <c r="A110" s="18" t="inlineStr">
        <is>
          <t>지급수수료</t>
        </is>
      </c>
      <c r="C110" s="20" t="n">
        <v>0</v>
      </c>
      <c r="D110" s="20" t="n">
        <v>0</v>
      </c>
      <c r="E110" s="20" t="n">
        <v>0</v>
      </c>
      <c r="F110" s="20" t="n">
        <v>0</v>
      </c>
      <c r="G110" s="20" t="n">
        <v>0</v>
      </c>
      <c r="H110" s="20" t="n">
        <v>0</v>
      </c>
      <c r="I110" s="20" t="n">
        <v>60.166</v>
      </c>
      <c r="J110" s="20" t="n">
        <v>1.088</v>
      </c>
      <c r="K110" s="20" t="n">
        <v>0.666</v>
      </c>
      <c r="L110" s="20" t="n">
        <v>0.25</v>
      </c>
      <c r="M110" s="20" t="n">
        <v>0.249</v>
      </c>
      <c r="N110" s="20" t="n">
        <v>0.25</v>
      </c>
      <c r="U110" s="20" t="n">
        <v>21.5</v>
      </c>
      <c r="V110" s="20" t="n">
        <v>0</v>
      </c>
      <c r="W110" s="20" t="n">
        <v>0</v>
      </c>
      <c r="X110" s="20" t="n">
        <v>0.25</v>
      </c>
    </row>
    <row r="111">
      <c r="A111" s="18" t="inlineStr">
        <is>
          <t>외환차손</t>
        </is>
      </c>
      <c r="C111" s="20" t="n">
        <v>0</v>
      </c>
      <c r="D111" s="20" t="n">
        <v>0</v>
      </c>
      <c r="G111" s="20" t="n">
        <v>1.594</v>
      </c>
      <c r="H111" s="20" t="n">
        <v>-18.582</v>
      </c>
      <c r="K111" s="20" t="n">
        <v>0</v>
      </c>
      <c r="L111" s="20" t="n">
        <v>0</v>
      </c>
      <c r="V111" s="20" t="n">
        <v>0</v>
      </c>
      <c r="W111" s="20" t="n">
        <v>-18.582</v>
      </c>
      <c r="X111" s="20" t="n">
        <v>0</v>
      </c>
    </row>
    <row r="112">
      <c r="A112" s="18" t="inlineStr">
        <is>
          <t>기타</t>
        </is>
      </c>
      <c r="C112" s="20" t="n">
        <v>0.892</v>
      </c>
      <c r="D112" s="20" t="n">
        <v>4.025</v>
      </c>
      <c r="E112" s="20" t="n">
        <v>3.004</v>
      </c>
      <c r="F112" s="20" t="n">
        <v>2.067</v>
      </c>
      <c r="G112" s="20" t="n">
        <v>1.796</v>
      </c>
      <c r="H112" s="20" t="n">
        <v>3.714</v>
      </c>
      <c r="I112" s="20" t="n">
        <v>4.105</v>
      </c>
      <c r="J112" s="20" t="n">
        <v>11.73</v>
      </c>
      <c r="K112" s="20" t="n">
        <v>4.112</v>
      </c>
      <c r="L112" s="20" t="n">
        <v>-2.747</v>
      </c>
      <c r="M112" s="20" t="n">
        <v>9.369</v>
      </c>
      <c r="N112" s="20" t="n">
        <v>7.551</v>
      </c>
      <c r="T112" s="20" t="n">
        <v>0.262</v>
      </c>
      <c r="U112" s="20" t="n">
        <v>-10.89</v>
      </c>
      <c r="V112" s="20" t="n">
        <v>4.025</v>
      </c>
      <c r="W112" s="20" t="n">
        <v>3.714</v>
      </c>
      <c r="X112" s="20" t="n">
        <v>-2.747</v>
      </c>
    </row>
    <row r="113">
      <c r="A113" s="18" t="inlineStr">
        <is>
          <t>영업외비용 합계</t>
        </is>
      </c>
      <c r="C113" s="20" t="n">
        <v>51.816</v>
      </c>
      <c r="D113" s="20" t="n">
        <v>73.628</v>
      </c>
      <c r="E113" s="20" t="n">
        <v>74.218</v>
      </c>
      <c r="F113" s="20" t="n">
        <v>125.541</v>
      </c>
      <c r="G113" s="20" t="n">
        <v>69.95699999999999</v>
      </c>
      <c r="H113" s="20" t="n">
        <v>70.336</v>
      </c>
      <c r="I113" s="20" t="n">
        <v>160.352</v>
      </c>
      <c r="J113" s="20" t="n">
        <v>108.649</v>
      </c>
      <c r="K113" s="20" t="n">
        <v>133.273</v>
      </c>
      <c r="L113" s="20" t="n">
        <v>134.701</v>
      </c>
      <c r="M113" s="20" t="n">
        <v>156.892</v>
      </c>
      <c r="N113" s="20" t="n">
        <v>166.458</v>
      </c>
      <c r="T113" s="20" t="n">
        <v>8.99</v>
      </c>
      <c r="U113" s="20" t="n">
        <v>63.227</v>
      </c>
      <c r="V113" s="20" t="n">
        <v>73.628</v>
      </c>
      <c r="W113" s="20" t="n">
        <v>70.336</v>
      </c>
      <c r="X113" s="20" t="n">
        <v>134.701</v>
      </c>
    </row>
    <row r="114">
      <c r="A114" s="43" t="inlineStr">
        <is>
          <t>YoY</t>
        </is>
      </c>
      <c r="B114" s="3" t="inlineStr">
        <is>
          <t>전년 같은 분기·전년 대비</t>
        </is>
      </c>
      <c r="G114" s="15">
        <f>IF(OR(G113="",C113=""),"",IF(G113*C113&lt;=0,"",IFERROR(G113/C113-1,"")))</f>
        <v/>
      </c>
      <c r="H114" s="15">
        <f>IF(OR(H113="",D113=""),"",IF(H113*D113&lt;=0,"",IFERROR(H113/D113-1,"")))</f>
        <v/>
      </c>
      <c r="I114" s="15">
        <f>IF(OR(I113="",E113=""),"",IF(I113*E113&lt;=0,"",IFERROR(I113/E113-1,"")))</f>
        <v/>
      </c>
      <c r="J114" s="15">
        <f>IF(OR(J113="",F113=""),"",IF(J113*F113&lt;=0,"",IFERROR(J113/F113-1,"")))</f>
        <v/>
      </c>
      <c r="K114" s="15">
        <f>IF(OR(K113="",G113=""),"",IF(K113*G113&lt;=0,"",IFERROR(K113/G113-1,"")))</f>
        <v/>
      </c>
      <c r="L114" s="15">
        <f>IF(OR(L113="",H113=""),"",IF(L113*H113&lt;=0,"",IFERROR(L113/H113-1,"")))</f>
        <v/>
      </c>
      <c r="M114" s="15">
        <f>IF(OR(M113="",I113=""),"",IF(M113*I113&lt;=0,"",IFERROR(M113/I113-1,"")))</f>
        <v/>
      </c>
      <c r="N114" s="15">
        <f>IF(OR(N113="",J113=""),"",IF(N113*J113&lt;=0,"",IFERROR(N113/J113-1,"")))</f>
        <v/>
      </c>
      <c r="T114" s="15">
        <f>IF(OR(T113="",S113=""),"",IF(T113*S113&lt;=0,"",IFERROR(T113/S113-1,"")))</f>
        <v/>
      </c>
      <c r="U114" s="15">
        <f>IF(OR(U113="",T113=""),"",IF(U113*T113&lt;=0,"",IFERROR(U113/T113-1,"")))</f>
        <v/>
      </c>
      <c r="V114" s="15">
        <f>IF(OR(V113="",U113=""),"",IF(V113*U113&lt;=0,"",IFERROR(V113/U113-1,"")))</f>
        <v/>
      </c>
      <c r="W114" s="15">
        <f>IF(OR(W113="",V113=""),"",IF(W113*V113&lt;=0,"",IFERROR(W113/V113-1,"")))</f>
        <v/>
      </c>
      <c r="X114" s="15">
        <f>IF(OR(X113="",W113=""),"",IF(X113*W113&lt;=0,"",IFERROR(X113/W113-1,"")))</f>
        <v/>
      </c>
    </row>
    <row r="115">
      <c r="A115" s="9" t="inlineStr">
        <is>
          <t>경상이익</t>
        </is>
      </c>
      <c r="C115" s="12" t="n">
        <v>532.597</v>
      </c>
      <c r="D115" s="12" t="n">
        <v>1085.629</v>
      </c>
      <c r="E115" s="12" t="n">
        <v>1263.786</v>
      </c>
      <c r="F115" s="12" t="n">
        <v>673.8150000000001</v>
      </c>
      <c r="G115" s="12" t="n">
        <v>1122.649</v>
      </c>
      <c r="H115" s="12" t="n">
        <v>1190.81</v>
      </c>
      <c r="I115" s="12" t="n">
        <v>620.143</v>
      </c>
      <c r="J115" s="12" t="n">
        <v>252.759</v>
      </c>
      <c r="K115" s="12" t="n">
        <v>1111.849</v>
      </c>
      <c r="L115" s="12" t="n">
        <v>-292.67</v>
      </c>
      <c r="M115" s="12" t="n">
        <v>406.42</v>
      </c>
      <c r="N115" s="12" t="n">
        <v>457.726</v>
      </c>
      <c r="T115" s="12" t="n">
        <v>235.463</v>
      </c>
      <c r="U115" s="12" t="n">
        <v>69.53700000000001</v>
      </c>
      <c r="V115" s="12" t="n">
        <v>1085.629</v>
      </c>
      <c r="W115" s="12" t="n">
        <v>1190.81</v>
      </c>
      <c r="X115" s="12" t="n">
        <v>-292.67</v>
      </c>
    </row>
    <row r="116">
      <c r="A116" s="43" t="inlineStr">
        <is>
          <t>YoY</t>
        </is>
      </c>
      <c r="B116" s="3" t="inlineStr">
        <is>
          <t>전년 같은 분기·전년 대비</t>
        </is>
      </c>
      <c r="G116" s="15">
        <f>IF(OR(G115="",C115=""),"",IF(C115&lt;=0,"",IFERROR(G115/C115-1,"")))</f>
        <v/>
      </c>
      <c r="H116" s="15">
        <f>IF(OR(H115="",D115=""),"",IF(D115&lt;=0,"",IFERROR(H115/D115-1,"")))</f>
        <v/>
      </c>
      <c r="I116" s="15">
        <f>IF(OR(I115="",E115=""),"",IF(E115&lt;=0,"",IFERROR(I115/E115-1,"")))</f>
        <v/>
      </c>
      <c r="J116" s="15">
        <f>IF(OR(J115="",F115=""),"",IF(F115&lt;=0,"",IFERROR(J115/F115-1,"")))</f>
        <v/>
      </c>
      <c r="K116" s="15">
        <f>IF(OR(K115="",G115=""),"",IF(G115&lt;=0,"",IFERROR(K115/G115-1,"")))</f>
        <v/>
      </c>
      <c r="L116" s="15">
        <f>IF(OR(L115="",H115=""),"",IF(H115&lt;=0,"",IFERROR(L115/H115-1,"")))</f>
        <v/>
      </c>
      <c r="M116" s="15">
        <f>IF(OR(M115="",I115=""),"",IF(I115&lt;=0,"",IFERROR(M115/I115-1,"")))</f>
        <v/>
      </c>
      <c r="N116" s="15">
        <f>IF(OR(N115="",J115=""),"",IF(J115&lt;=0,"",IFERROR(N115/J115-1,"")))</f>
        <v/>
      </c>
      <c r="T116" s="15">
        <f>IF(OR(T115="",S115=""),"",IF(S115&lt;=0,"",IFERROR(T115/S115-1,"")))</f>
        <v/>
      </c>
      <c r="U116" s="15">
        <f>IF(OR(U115="",T115=""),"",IF(T115&lt;=0,"",IFERROR(U115/T115-1,"")))</f>
        <v/>
      </c>
      <c r="V116" s="15">
        <f>IF(OR(V115="",U115=""),"",IF(U115&lt;=0,"",IFERROR(V115/U115-1,"")))</f>
        <v/>
      </c>
      <c r="W116" s="15">
        <f>IF(OR(W115="",V115=""),"",IF(V115&lt;=0,"",IFERROR(W115/V115-1,"")))</f>
        <v/>
      </c>
      <c r="X116" s="15">
        <f>IF(OR(X115="",W115=""),"",IF(W115&lt;=0,"",IFERROR(X115/W115-1,"")))</f>
        <v/>
      </c>
    </row>
    <row r="117">
      <c r="A117" s="18" t="inlineStr">
        <is>
          <t>고정자산 매각이익</t>
        </is>
      </c>
      <c r="C117" s="20" t="n">
        <v>1.089</v>
      </c>
      <c r="D117" s="20" t="n">
        <v>-0.466</v>
      </c>
      <c r="E117" s="20" t="n">
        <v>0.099</v>
      </c>
      <c r="F117" s="20" t="n">
        <v>0.509</v>
      </c>
      <c r="G117" s="20" t="n">
        <v>0.07099999999999999</v>
      </c>
      <c r="H117" s="20" t="n">
        <v>0.001</v>
      </c>
      <c r="I117" s="20" t="n">
        <v>1.145</v>
      </c>
      <c r="J117" s="20" t="n">
        <v>340.539</v>
      </c>
      <c r="K117" s="20" t="n">
        <v>9.16</v>
      </c>
      <c r="L117" s="20" t="n">
        <v>7.171</v>
      </c>
      <c r="M117" s="20" t="n">
        <v>0.444</v>
      </c>
      <c r="N117" s="20" t="n">
        <v>0.857</v>
      </c>
      <c r="T117" s="20" t="n">
        <v>2.774</v>
      </c>
      <c r="U117" s="20" t="n">
        <v>0.003</v>
      </c>
      <c r="V117" s="20" t="n">
        <v>-0.466</v>
      </c>
      <c r="W117" s="20" t="n">
        <v>0.001</v>
      </c>
      <c r="X117" s="20" t="n">
        <v>7.171</v>
      </c>
    </row>
    <row r="118">
      <c r="A118" s="18" t="inlineStr">
        <is>
          <t>투자유가증권 매각이익</t>
        </is>
      </c>
      <c r="T118" s="20" t="n">
        <v>0</v>
      </c>
      <c r="U118" s="20" t="n">
        <v>0</v>
      </c>
    </row>
    <row r="119">
      <c r="A119" s="18" t="inlineStr">
        <is>
          <t>보험금 수익</t>
        </is>
      </c>
      <c r="C119" s="20" t="n">
        <v>2.275</v>
      </c>
      <c r="D119" s="20" t="n">
        <v>1.585</v>
      </c>
      <c r="E119" s="20" t="n">
        <v>2.798</v>
      </c>
      <c r="F119" s="20" t="n">
        <v>0.065</v>
      </c>
      <c r="G119" s="20" t="n">
        <v>0.041</v>
      </c>
      <c r="H119" s="20" t="n">
        <v>0.045</v>
      </c>
      <c r="I119" s="20" t="n">
        <v>0</v>
      </c>
      <c r="J119" s="20" t="n">
        <v>0</v>
      </c>
      <c r="K119" s="20" t="n">
        <v>0</v>
      </c>
      <c r="L119" s="20" t="n">
        <v>0</v>
      </c>
      <c r="T119" s="20" t="n">
        <v>0</v>
      </c>
      <c r="U119" s="20" t="n">
        <v>0.036</v>
      </c>
      <c r="V119" s="20" t="n">
        <v>1.585</v>
      </c>
      <c r="W119" s="20" t="n">
        <v>0.045</v>
      </c>
      <c r="X119" s="20" t="n">
        <v>0</v>
      </c>
    </row>
    <row r="120">
      <c r="A120" s="18" t="inlineStr">
        <is>
          <t>보상금 수취</t>
        </is>
      </c>
      <c r="E120" s="20" t="n">
        <v>0</v>
      </c>
      <c r="F120" s="20" t="n">
        <v>0</v>
      </c>
      <c r="G120" s="20" t="n">
        <v>0</v>
      </c>
      <c r="H120" s="20" t="n">
        <v>1266.054</v>
      </c>
      <c r="I120" s="20" t="n">
        <v>156.084</v>
      </c>
      <c r="J120" s="20" t="n">
        <v>0</v>
      </c>
      <c r="K120" s="20" t="n">
        <v>0</v>
      </c>
      <c r="L120" s="20" t="n">
        <v>332.491</v>
      </c>
      <c r="M120" s="20" t="n">
        <v>880.4880000000001</v>
      </c>
      <c r="N120" s="20" t="n">
        <v>0</v>
      </c>
      <c r="W120" s="20" t="n">
        <v>1266.054</v>
      </c>
      <c r="X120" s="20" t="n">
        <v>332.491</v>
      </c>
    </row>
    <row r="121">
      <c r="A121" s="18" t="inlineStr">
        <is>
          <t>기타</t>
        </is>
      </c>
      <c r="I121" s="20" t="n">
        <v>0</v>
      </c>
      <c r="J121" s="20" t="n">
        <v>0</v>
      </c>
      <c r="K121" s="20" t="n">
        <v>1.204</v>
      </c>
      <c r="M121" s="20" t="n">
        <v>0.96</v>
      </c>
      <c r="N121" s="20" t="n">
        <v>0</v>
      </c>
    </row>
    <row r="122">
      <c r="A122" s="18" t="inlineStr">
        <is>
          <t>특별이익 합계</t>
        </is>
      </c>
      <c r="C122" s="20" t="n">
        <v>3.364</v>
      </c>
      <c r="D122" s="20" t="n">
        <v>1.118</v>
      </c>
      <c r="E122" s="20" t="n">
        <v>2.898</v>
      </c>
      <c r="F122" s="20" t="n">
        <v>0.574</v>
      </c>
      <c r="G122" s="20" t="n">
        <v>0.112</v>
      </c>
      <c r="H122" s="20" t="n">
        <v>1266.1</v>
      </c>
      <c r="I122" s="20" t="n">
        <v>157.229</v>
      </c>
      <c r="J122" s="20" t="n">
        <v>340.539</v>
      </c>
      <c r="K122" s="20" t="n">
        <v>10.365</v>
      </c>
      <c r="L122" s="20" t="n">
        <v>338.457</v>
      </c>
      <c r="M122" s="20" t="n">
        <v>881.8920000000001</v>
      </c>
      <c r="N122" s="20" t="n">
        <v>503.182</v>
      </c>
      <c r="T122" s="20" t="n">
        <v>2.775</v>
      </c>
      <c r="U122" s="20" t="n">
        <v>0.04</v>
      </c>
      <c r="V122" s="20" t="n">
        <v>1.118</v>
      </c>
      <c r="W122" s="20" t="n">
        <v>1266.1</v>
      </c>
      <c r="X122" s="20" t="n">
        <v>338.457</v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G123" s="15">
        <f>IF(OR(G122="",C122=""),"",IF(G122*C122&lt;=0,"",IFERROR(G122/C122-1,"")))</f>
        <v/>
      </c>
      <c r="H123" s="15">
        <f>IF(OR(H122="",D122=""),"",IF(H122*D122&lt;=0,"",IFERROR(H122/D122-1,"")))</f>
        <v/>
      </c>
      <c r="I123" s="15">
        <f>IF(OR(I122="",E122=""),"",IF(I122*E122&lt;=0,"",IFERROR(I122/E122-1,"")))</f>
        <v/>
      </c>
      <c r="J123" s="15">
        <f>IF(OR(J122="",F122=""),"",IF(J122*F122&lt;=0,"",IFERROR(J122/F122-1,"")))</f>
        <v/>
      </c>
      <c r="K123" s="15">
        <f>IF(OR(K122="",G122=""),"",IF(K122*G122&lt;=0,"",IFERROR(K122/G122-1,"")))</f>
        <v/>
      </c>
      <c r="L123" s="15">
        <f>IF(OR(L122="",H122=""),"",IF(L122*H122&lt;=0,"",IFERROR(L122/H122-1,"")))</f>
        <v/>
      </c>
      <c r="M123" s="15">
        <f>IF(OR(M122="",I122=""),"",IF(M122*I122&lt;=0,"",IFERROR(M122/I122-1,"")))</f>
        <v/>
      </c>
      <c r="N123" s="15">
        <f>IF(OR(N122="",J122=""),"",IF(N122*J122&lt;=0,"",IFERROR(N122/J122-1,"")))</f>
        <v/>
      </c>
      <c r="T123" s="15">
        <f>IF(OR(T122="",S122=""),"",IF(T122*S122&lt;=0,"",IFERROR(T122/S122-1,"")))</f>
        <v/>
      </c>
      <c r="U123" s="15">
        <f>IF(OR(U122="",T122=""),"",IF(U122*T122&lt;=0,"",IFERROR(U122/T122-1,"")))</f>
        <v/>
      </c>
      <c r="V123" s="15">
        <f>IF(OR(V122="",U122=""),"",IF(V122*U122&lt;=0,"",IFERROR(V122/U122-1,"")))</f>
        <v/>
      </c>
      <c r="W123" s="15">
        <f>IF(OR(W122="",V122=""),"",IF(W122*V122&lt;=0,"",IFERROR(W122/V122-1,"")))</f>
        <v/>
      </c>
      <c r="X123" s="15">
        <f>IF(OR(X122="",W122=""),"",IF(X122*W122&lt;=0,"",IFERROR(X122/W122-1,"")))</f>
        <v/>
      </c>
    </row>
    <row r="124">
      <c r="A124" s="18" t="inlineStr">
        <is>
          <t>고정자산 제각손실</t>
        </is>
      </c>
      <c r="C124" s="20" t="n">
        <v>1.804</v>
      </c>
      <c r="D124" s="20" t="n">
        <v>5.523</v>
      </c>
      <c r="E124" s="20" t="n">
        <v>0.239</v>
      </c>
      <c r="F124" s="20" t="n">
        <v>0</v>
      </c>
      <c r="G124" s="20" t="n">
        <v>2.787</v>
      </c>
      <c r="H124" s="20" t="n">
        <v>0.282</v>
      </c>
      <c r="I124" s="20" t="n">
        <v>0.38</v>
      </c>
      <c r="J124" s="20" t="n">
        <v>11.076</v>
      </c>
      <c r="K124" s="20" t="n">
        <v>0.334</v>
      </c>
      <c r="L124" s="20" t="n">
        <v>-5.063</v>
      </c>
      <c r="M124" s="20" t="n">
        <v>0.863</v>
      </c>
      <c r="N124" s="20" t="n">
        <v>0.107</v>
      </c>
      <c r="T124" s="20" t="n">
        <v>0.11</v>
      </c>
      <c r="U124" s="20" t="n">
        <v>4.348</v>
      </c>
      <c r="V124" s="20" t="n">
        <v>5.523</v>
      </c>
      <c r="W124" s="20" t="n">
        <v>0.282</v>
      </c>
      <c r="X124" s="20" t="n">
        <v>-5.063</v>
      </c>
    </row>
    <row r="125">
      <c r="A125" s="18" t="inlineStr">
        <is>
          <t>고정자산 매각손실</t>
        </is>
      </c>
      <c r="C125" s="20" t="n">
        <v>0</v>
      </c>
      <c r="D125" s="20" t="n">
        <v>0.773</v>
      </c>
      <c r="G125" s="20" t="n">
        <v>0</v>
      </c>
      <c r="H125" s="20" t="n">
        <v>0</v>
      </c>
      <c r="K125" s="20" t="n">
        <v>0</v>
      </c>
      <c r="L125" s="20" t="n">
        <v>0.972</v>
      </c>
      <c r="T125" s="20" t="n">
        <v>0.449</v>
      </c>
      <c r="U125" s="20" t="n">
        <v>4.253</v>
      </c>
      <c r="V125" s="20" t="n">
        <v>0.773</v>
      </c>
      <c r="W125" s="20" t="n">
        <v>0</v>
      </c>
      <c r="X125" s="20" t="n">
        <v>0.972</v>
      </c>
    </row>
    <row r="126">
      <c r="A126" s="18" t="inlineStr">
        <is>
          <t>관계회사 청산손실</t>
        </is>
      </c>
      <c r="C126" s="20" t="n">
        <v>0</v>
      </c>
      <c r="D126" s="20" t="n">
        <v>0</v>
      </c>
      <c r="T126" s="20" t="n">
        <v>0</v>
      </c>
      <c r="U126" s="20" t="n">
        <v>1.451</v>
      </c>
      <c r="V126" s="20" t="n">
        <v>0</v>
      </c>
    </row>
    <row r="127">
      <c r="A127" s="18" t="inlineStr">
        <is>
          <t>손상차손</t>
        </is>
      </c>
      <c r="C127" s="20" t="n">
        <v>72.64400000000001</v>
      </c>
      <c r="D127" s="20" t="n">
        <v>0</v>
      </c>
      <c r="H127" s="20" t="n">
        <v>766.5</v>
      </c>
      <c r="T127" s="20" t="n">
        <v>0</v>
      </c>
      <c r="U127" s="20" t="n">
        <v>0</v>
      </c>
      <c r="V127" s="20" t="n">
        <v>0</v>
      </c>
      <c r="W127" s="20" t="n">
        <v>766.5</v>
      </c>
    </row>
    <row r="128">
      <c r="A128" s="18" t="inlineStr">
        <is>
          <t>재고자산 평가손실</t>
        </is>
      </c>
      <c r="D128" s="20" t="n">
        <v>0</v>
      </c>
      <c r="H128" s="20" t="n">
        <v>0</v>
      </c>
      <c r="U128" s="20" t="n">
        <v>0</v>
      </c>
      <c r="V128" s="20" t="n">
        <v>0</v>
      </c>
      <c r="W128" s="20" t="n">
        <v>0</v>
      </c>
    </row>
    <row r="129">
      <c r="A129" s="18" t="inlineStr">
        <is>
          <t>특별손실 합계</t>
        </is>
      </c>
      <c r="C129" s="20" t="n">
        <v>1087.108</v>
      </c>
      <c r="D129" s="20" t="n">
        <v>6.297</v>
      </c>
      <c r="E129" s="20" t="n">
        <v>0.239</v>
      </c>
      <c r="F129" s="20" t="n">
        <v>0</v>
      </c>
      <c r="G129" s="20" t="n">
        <v>2.787</v>
      </c>
      <c r="H129" s="20" t="n">
        <v>766.783</v>
      </c>
      <c r="I129" s="20" t="n">
        <v>0.38</v>
      </c>
      <c r="J129" s="20" t="n">
        <v>25.381</v>
      </c>
      <c r="K129" s="20" t="n">
        <v>0.335</v>
      </c>
      <c r="L129" s="20" t="n">
        <v>20.355</v>
      </c>
      <c r="M129" s="20" t="n">
        <v>0.863</v>
      </c>
      <c r="N129" s="20" t="n">
        <v>0.107</v>
      </c>
      <c r="T129" s="20" t="n">
        <v>84.926</v>
      </c>
      <c r="U129" s="20" t="n">
        <v>11.69</v>
      </c>
      <c r="V129" s="20" t="n">
        <v>6.297</v>
      </c>
      <c r="W129" s="20" t="n">
        <v>766.783</v>
      </c>
      <c r="X129" s="20" t="n">
        <v>20.355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IF(OR(G129="",C129=""),"",IF(G129*C129&lt;=0,"",IFERROR(G129/C129-1,"")))</f>
        <v/>
      </c>
      <c r="H130" s="15">
        <f>IF(OR(H129="",D129=""),"",IF(H129*D129&lt;=0,"",IFERROR(H129/D129-1,"")))</f>
        <v/>
      </c>
      <c r="I130" s="15">
        <f>IF(OR(I129="",E129=""),"",IF(I129*E129&lt;=0,"",IFERROR(I129/E129-1,"")))</f>
        <v/>
      </c>
      <c r="J130" s="15">
        <f>IF(OR(J129="",F129=""),"",IF(J129*F129&lt;=0,"",IFERROR(J129/F129-1,"")))</f>
        <v/>
      </c>
      <c r="K130" s="15">
        <f>IF(OR(K129="",G129=""),"",IF(K129*G129&lt;=0,"",IFERROR(K129/G129-1,"")))</f>
        <v/>
      </c>
      <c r="L130" s="15">
        <f>IF(OR(L129="",H129=""),"",IF(L129*H129&lt;=0,"",IFERROR(L129/H129-1,"")))</f>
        <v/>
      </c>
      <c r="M130" s="15">
        <f>IF(OR(M129="",I129=""),"",IF(M129*I129&lt;=0,"",IFERROR(M129/I129-1,"")))</f>
        <v/>
      </c>
      <c r="N130" s="15">
        <f>IF(OR(N129="",J129=""),"",IF(N129*J129&lt;=0,"",IFERROR(N129/J129-1,"")))</f>
        <v/>
      </c>
      <c r="T130" s="15">
        <f>IF(OR(T129="",S129=""),"",IF(T129*S129&lt;=0,"",IFERROR(T129/S129-1,"")))</f>
        <v/>
      </c>
      <c r="U130" s="15">
        <f>IF(OR(U129="",T129=""),"",IF(U129*T129&lt;=0,"",IFERROR(U129/T129-1,"")))</f>
        <v/>
      </c>
      <c r="V130" s="15">
        <f>IF(OR(V129="",U129=""),"",IF(V129*U129&lt;=0,"",IFERROR(V129/U129-1,"")))</f>
        <v/>
      </c>
      <c r="W130" s="15">
        <f>IF(OR(W129="",V129=""),"",IF(W129*V129&lt;=0,"",IFERROR(W129/V129-1,"")))</f>
        <v/>
      </c>
      <c r="X130" s="15">
        <f>IF(OR(X129="",W129=""),"",IF(X129*W129&lt;=0,"",IFERROR(X129/W129-1,"")))</f>
        <v/>
      </c>
    </row>
    <row r="131">
      <c r="A131" s="9" t="inlineStr">
        <is>
          <t>법인세차감전 순이익</t>
        </is>
      </c>
      <c r="C131" s="12" t="n">
        <v>-551.147</v>
      </c>
      <c r="D131" s="12" t="n">
        <v>1080.45</v>
      </c>
      <c r="E131" s="12" t="n">
        <v>1266.445</v>
      </c>
      <c r="F131" s="12" t="n">
        <v>674.388</v>
      </c>
      <c r="G131" s="12" t="n">
        <v>1119.975</v>
      </c>
      <c r="H131" s="12" t="n">
        <v>1690.127</v>
      </c>
      <c r="I131" s="12" t="n">
        <v>776.992</v>
      </c>
      <c r="J131" s="12" t="n">
        <v>567.917</v>
      </c>
      <c r="K131" s="12" t="n">
        <v>1121.879</v>
      </c>
      <c r="L131" s="12" t="n">
        <v>25.432</v>
      </c>
      <c r="M131" s="12" t="n">
        <v>1287.45</v>
      </c>
      <c r="N131" s="12" t="n">
        <v>960.8</v>
      </c>
      <c r="T131" s="12" t="n">
        <v>153.312</v>
      </c>
      <c r="U131" s="12" t="n">
        <v>57.886</v>
      </c>
      <c r="V131" s="12" t="n">
        <v>1080.45</v>
      </c>
      <c r="W131" s="12" t="n">
        <v>1690.127</v>
      </c>
      <c r="X131" s="12" t="n">
        <v>25.432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IF(OR(G131="",C131=""),"",IF(C131&lt;=0,"",IFERROR(G131/C131-1,"")))</f>
        <v/>
      </c>
      <c r="H132" s="15">
        <f>IF(OR(H131="",D131=""),"",IF(D131&lt;=0,"",IFERROR(H131/D131-1,"")))</f>
        <v/>
      </c>
      <c r="I132" s="15">
        <f>IF(OR(I131="",E131=""),"",IF(E131&lt;=0,"",IFERROR(I131/E131-1,"")))</f>
        <v/>
      </c>
      <c r="J132" s="15">
        <f>IF(OR(J131="",F131=""),"",IF(F131&lt;=0,"",IFERROR(J131/F131-1,"")))</f>
        <v/>
      </c>
      <c r="K132" s="15">
        <f>IF(OR(K131="",G131=""),"",IF(G131&lt;=0,"",IFERROR(K131/G131-1,"")))</f>
        <v/>
      </c>
      <c r="L132" s="15">
        <f>IF(OR(L131="",H131=""),"",IF(H131&lt;=0,"",IFERROR(L131/H131-1,"")))</f>
        <v/>
      </c>
      <c r="M132" s="15">
        <f>IF(OR(M131="",I131=""),"",IF(I131&lt;=0,"",IFERROR(M131/I131-1,"")))</f>
        <v/>
      </c>
      <c r="N132" s="15">
        <f>IF(OR(N131="",J131=""),"",IF(J131&lt;=0,"",IFERROR(N131/J131-1,"")))</f>
        <v/>
      </c>
      <c r="T132" s="15">
        <f>IF(OR(T131="",S131=""),"",IF(S131&lt;=0,"",IFERROR(T131/S131-1,"")))</f>
        <v/>
      </c>
      <c r="U132" s="15">
        <f>IF(OR(U131="",T131=""),"",IF(T131&lt;=0,"",IFERROR(U131/T131-1,"")))</f>
        <v/>
      </c>
      <c r="V132" s="15">
        <f>IF(OR(V131="",U131=""),"",IF(U131&lt;=0,"",IFERROR(V131/U131-1,"")))</f>
        <v/>
      </c>
      <c r="W132" s="15">
        <f>IF(OR(W131="",V131=""),"",IF(V131&lt;=0,"",IFERROR(W131/V131-1,"")))</f>
        <v/>
      </c>
      <c r="X132" s="15">
        <f>IF(OR(X131="",W131=""),"",IF(W131&lt;=0,"",IFERROR(X131/W131-1,"")))</f>
        <v/>
      </c>
    </row>
    <row r="133">
      <c r="A133" s="18" t="inlineStr">
        <is>
          <t>법인세·주민세·사업세</t>
        </is>
      </c>
      <c r="C133" s="20" t="n">
        <v>181.911</v>
      </c>
      <c r="D133" s="20" t="n">
        <v>165.239</v>
      </c>
      <c r="E133" s="20" t="n">
        <v>347.803</v>
      </c>
      <c r="F133" s="20" t="n">
        <v>279.967</v>
      </c>
      <c r="G133" s="20" t="n">
        <v>468.789</v>
      </c>
      <c r="H133" s="20" t="n">
        <v>739.722</v>
      </c>
      <c r="I133" s="20" t="n">
        <v>299.207</v>
      </c>
      <c r="J133" s="20" t="n">
        <v>347.242</v>
      </c>
      <c r="K133" s="20" t="n">
        <v>604.979</v>
      </c>
      <c r="L133" s="20" t="n">
        <v>321.047</v>
      </c>
      <c r="M133" s="20" t="n">
        <v>562.437</v>
      </c>
      <c r="N133" s="20" t="n">
        <v>244.721</v>
      </c>
      <c r="T133" s="20" t="n">
        <v>79.393</v>
      </c>
      <c r="U133" s="20" t="n">
        <v>64.389</v>
      </c>
      <c r="V133" s="20" t="n">
        <v>165.239</v>
      </c>
      <c r="W133" s="20" t="n">
        <v>739.722</v>
      </c>
      <c r="X133" s="20" t="n">
        <v>321.047</v>
      </c>
    </row>
    <row r="134">
      <c r="A134" s="18" t="inlineStr">
        <is>
          <t>법인세 조정액</t>
        </is>
      </c>
      <c r="C134" s="20" t="n">
        <v>-299.496</v>
      </c>
      <c r="D134" s="20" t="n">
        <v>286.332</v>
      </c>
      <c r="E134" s="20" t="n">
        <v>162.891</v>
      </c>
      <c r="F134" s="20" t="n">
        <v>86.922</v>
      </c>
      <c r="G134" s="20" t="n">
        <v>61.857</v>
      </c>
      <c r="H134" s="20" t="n">
        <v>-28.281</v>
      </c>
      <c r="I134" s="20" t="n">
        <v>82.137</v>
      </c>
      <c r="J134" s="20" t="n">
        <v>-156.448</v>
      </c>
      <c r="K134" s="20" t="n">
        <v>-108.302</v>
      </c>
      <c r="L134" s="20" t="n">
        <v>-189.481</v>
      </c>
      <c r="M134" s="20" t="n">
        <v>2.413</v>
      </c>
      <c r="N134" s="20" t="n">
        <v>3.426</v>
      </c>
      <c r="T134" s="20" t="n">
        <v>20.949</v>
      </c>
      <c r="U134" s="20" t="n">
        <v>-11.92</v>
      </c>
      <c r="V134" s="20" t="n">
        <v>286.332</v>
      </c>
      <c r="W134" s="20" t="n">
        <v>-28.281</v>
      </c>
      <c r="X134" s="20" t="n">
        <v>-189.481</v>
      </c>
    </row>
    <row r="135">
      <c r="A135" s="18" t="inlineStr">
        <is>
          <t>법인세 등 합계</t>
        </is>
      </c>
      <c r="C135" s="20" t="n">
        <v>-117.586</v>
      </c>
      <c r="D135" s="20" t="n">
        <v>451.571</v>
      </c>
      <c r="E135" s="20" t="n">
        <v>510.694</v>
      </c>
      <c r="F135" s="20" t="n">
        <v>366.89</v>
      </c>
      <c r="G135" s="20" t="n">
        <v>530.645</v>
      </c>
      <c r="H135" s="20" t="n">
        <v>711.442</v>
      </c>
      <c r="I135" s="20" t="n">
        <v>381.345</v>
      </c>
      <c r="J135" s="20" t="n">
        <v>190.793</v>
      </c>
      <c r="K135" s="20" t="n">
        <v>496.677</v>
      </c>
      <c r="L135" s="20" t="n">
        <v>131.565</v>
      </c>
      <c r="M135" s="20" t="n">
        <v>564.851</v>
      </c>
      <c r="N135" s="20" t="n">
        <v>248.147</v>
      </c>
      <c r="T135" s="20" t="n">
        <v>100.342</v>
      </c>
      <c r="U135" s="20" t="n">
        <v>52.469</v>
      </c>
      <c r="V135" s="20" t="n">
        <v>451.571</v>
      </c>
      <c r="W135" s="20" t="n">
        <v>711.442</v>
      </c>
      <c r="X135" s="20" t="n">
        <v>131.565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IF(OR(G135="",C135=""),"",IF(G135*C135&lt;=0,"",IFERROR(G135/C135-1,"")))</f>
        <v/>
      </c>
      <c r="H136" s="15">
        <f>IF(OR(H135="",D135=""),"",IF(H135*D135&lt;=0,"",IFERROR(H135/D135-1,"")))</f>
        <v/>
      </c>
      <c r="I136" s="15">
        <f>IF(OR(I135="",E135=""),"",IF(I135*E135&lt;=0,"",IFERROR(I135/E135-1,"")))</f>
        <v/>
      </c>
      <c r="J136" s="15">
        <f>IF(OR(J135="",F135=""),"",IF(J135*F135&lt;=0,"",IFERROR(J135/F135-1,"")))</f>
        <v/>
      </c>
      <c r="K136" s="15">
        <f>IF(OR(K135="",G135=""),"",IF(K135*G135&lt;=0,"",IFERROR(K135/G135-1,"")))</f>
        <v/>
      </c>
      <c r="L136" s="15">
        <f>IF(OR(L135="",H135=""),"",IF(L135*H135&lt;=0,"",IFERROR(L135/H135-1,"")))</f>
        <v/>
      </c>
      <c r="M136" s="15">
        <f>IF(OR(M135="",I135=""),"",IF(M135*I135&lt;=0,"",IFERROR(M135/I135-1,"")))</f>
        <v/>
      </c>
      <c r="N136" s="15">
        <f>IF(OR(N135="",J135=""),"",IF(N135*J135&lt;=0,"",IFERROR(N135/J135-1,"")))</f>
        <v/>
      </c>
      <c r="T136" s="15">
        <f>IF(OR(T135="",S135=""),"",IF(T135*S135&lt;=0,"",IFERROR(T135/S135-1,"")))</f>
        <v/>
      </c>
      <c r="U136" s="15">
        <f>IF(OR(U135="",T135=""),"",IF(U135*T135&lt;=0,"",IFERROR(U135/T135-1,"")))</f>
        <v/>
      </c>
      <c r="V136" s="15">
        <f>IF(OR(V135="",U135=""),"",IF(V135*U135&lt;=0,"",IFERROR(V135/U135-1,"")))</f>
        <v/>
      </c>
      <c r="W136" s="15">
        <f>IF(OR(W135="",V135=""),"",IF(W135*V135&lt;=0,"",IFERROR(W135/V135-1,"")))</f>
        <v/>
      </c>
      <c r="X136" s="15">
        <f>IF(OR(X135="",W135=""),"",IF(X135*W135&lt;=0,"",IFERROR(X135/W135-1,"")))</f>
        <v/>
      </c>
    </row>
    <row r="137">
      <c r="A137" s="9" t="inlineStr">
        <is>
          <t>순이익</t>
        </is>
      </c>
      <c r="C137" s="12" t="n">
        <v>-433.562</v>
      </c>
      <c r="D137" s="12" t="n">
        <v>628.879</v>
      </c>
      <c r="E137" s="12" t="n">
        <v>755.75</v>
      </c>
      <c r="F137" s="12" t="n">
        <v>307.499</v>
      </c>
      <c r="G137" s="12" t="n">
        <v>589.33</v>
      </c>
      <c r="H137" s="12" t="n">
        <v>978.6849999999999</v>
      </c>
      <c r="I137" s="12" t="n">
        <v>395.647</v>
      </c>
      <c r="J137" s="12" t="n">
        <v>377.123</v>
      </c>
      <c r="K137" s="12" t="n">
        <v>625.203</v>
      </c>
      <c r="L137" s="12" t="n">
        <v>-106.134</v>
      </c>
      <c r="M137" s="12" t="n">
        <v>722.598</v>
      </c>
      <c r="N137" s="12" t="n">
        <v>712.653</v>
      </c>
      <c r="T137" s="12" t="n">
        <v>52.971</v>
      </c>
      <c r="U137" s="12" t="n">
        <v>5.418</v>
      </c>
      <c r="V137" s="12" t="n">
        <v>628.879</v>
      </c>
      <c r="W137" s="12" t="n">
        <v>978.6849999999999</v>
      </c>
      <c r="X137" s="12" t="n">
        <v>-106.134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IF(OR(G137="",C137=""),"",IF(C137&lt;=0,"",IFERROR(G137/C137-1,"")))</f>
        <v/>
      </c>
      <c r="H138" s="15">
        <f>IF(OR(H137="",D137=""),"",IF(D137&lt;=0,"",IFERROR(H137/D137-1,"")))</f>
        <v/>
      </c>
      <c r="I138" s="15">
        <f>IF(OR(I137="",E137=""),"",IF(E137&lt;=0,"",IFERROR(I137/E137-1,"")))</f>
        <v/>
      </c>
      <c r="J138" s="15">
        <f>IF(OR(J137="",F137=""),"",IF(F137&lt;=0,"",IFERROR(J137/F137-1,"")))</f>
        <v/>
      </c>
      <c r="K138" s="15">
        <f>IF(OR(K137="",G137=""),"",IF(G137&lt;=0,"",IFERROR(K137/G137-1,"")))</f>
        <v/>
      </c>
      <c r="L138" s="15">
        <f>IF(OR(L137="",H137=""),"",IF(H137&lt;=0,"",IFERROR(L137/H137-1,"")))</f>
        <v/>
      </c>
      <c r="M138" s="15">
        <f>IF(OR(M137="",I137=""),"",IF(I137&lt;=0,"",IFERROR(M137/I137-1,"")))</f>
        <v/>
      </c>
      <c r="N138" s="15">
        <f>IF(OR(N137="",J137=""),"",IF(J137&lt;=0,"",IFERROR(N137/J137-1,"")))</f>
        <v/>
      </c>
      <c r="T138" s="15">
        <f>IF(OR(T137="",S137=""),"",IF(S137&lt;=0,"",IFERROR(T137/S137-1,"")))</f>
        <v/>
      </c>
      <c r="U138" s="15">
        <f>IF(OR(U137="",T137=""),"",IF(T137&lt;=0,"",IFERROR(U137/T137-1,"")))</f>
        <v/>
      </c>
      <c r="V138" s="15">
        <f>IF(OR(V137="",U137=""),"",IF(U137&lt;=0,"",IFERROR(V137/U137-1,"")))</f>
        <v/>
      </c>
      <c r="W138" s="15">
        <f>IF(OR(W137="",V137=""),"",IF(V137&lt;=0,"",IFERROR(W137/V137-1,"")))</f>
        <v/>
      </c>
      <c r="X138" s="15">
        <f>IF(OR(X137="",W137=""),"",IF(W137&lt;=0,"",IFERROR(X137/W137-1,"")))</f>
        <v/>
      </c>
    </row>
    <row r="139">
      <c r="A139" s="9" t="inlineStr">
        <is>
          <t>비지배주주 순이익</t>
        </is>
      </c>
      <c r="C139" s="12" t="n">
        <v>-191.523</v>
      </c>
      <c r="D139" s="12" t="n">
        <v>182.52</v>
      </c>
      <c r="E139" s="12" t="n">
        <v>162.872</v>
      </c>
      <c r="F139" s="12" t="n">
        <v>93.42100000000001</v>
      </c>
      <c r="G139" s="12" t="n">
        <v>149.973</v>
      </c>
      <c r="H139" s="12" t="n">
        <v>363.653</v>
      </c>
      <c r="I139" s="12" t="n">
        <v>109.611</v>
      </c>
      <c r="J139" s="12" t="n">
        <v>134.854</v>
      </c>
      <c r="K139" s="12" t="n">
        <v>135.291</v>
      </c>
      <c r="L139" s="12" t="n">
        <v>-6.707</v>
      </c>
      <c r="M139" s="12" t="n">
        <v>164.811</v>
      </c>
      <c r="N139" s="12" t="n">
        <v>64.46299999999999</v>
      </c>
      <c r="T139" s="12" t="n">
        <v>-29.222</v>
      </c>
      <c r="U139" s="12" t="n">
        <v>30.414</v>
      </c>
      <c r="V139" s="12" t="n">
        <v>182.52</v>
      </c>
      <c r="W139" s="12" t="n">
        <v>363.653</v>
      </c>
      <c r="X139" s="12" t="n">
        <v>-6.707</v>
      </c>
    </row>
    <row r="140">
      <c r="A140" s="9" t="inlineStr">
        <is>
          <t>지배주주 순이익</t>
        </is>
      </c>
      <c r="C140" s="12" t="n">
        <v>-242.039</v>
      </c>
      <c r="D140" s="12" t="n">
        <v>446.359</v>
      </c>
      <c r="E140" s="12" t="n">
        <v>592.878</v>
      </c>
      <c r="F140" s="12" t="n">
        <v>214.077</v>
      </c>
      <c r="G140" s="12" t="n">
        <v>439.358</v>
      </c>
      <c r="H140" s="12" t="n">
        <v>615.032</v>
      </c>
      <c r="I140" s="12" t="n">
        <v>286.036</v>
      </c>
      <c r="J140" s="12" t="n">
        <v>242.269</v>
      </c>
      <c r="K140" s="12" t="n">
        <v>489.911</v>
      </c>
      <c r="L140" s="12" t="n">
        <v>-99.42700000000001</v>
      </c>
      <c r="M140" s="12" t="n">
        <v>557.787</v>
      </c>
      <c r="N140" s="12" t="n">
        <v>648.189</v>
      </c>
      <c r="T140" s="12" t="n">
        <v>82.193</v>
      </c>
      <c r="U140" s="12" t="n">
        <v>-24.997</v>
      </c>
      <c r="V140" s="12" t="n">
        <v>446.359</v>
      </c>
      <c r="W140" s="12" t="n">
        <v>615.032</v>
      </c>
      <c r="X140" s="12" t="n">
        <v>-99.42700000000001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IF(OR(G140="",C140=""),"",IF(C140&lt;=0,"",IFERROR(G140/C140-1,"")))</f>
        <v/>
      </c>
      <c r="H141" s="15">
        <f>IF(OR(H140="",D140=""),"",IF(D140&lt;=0,"",IFERROR(H140/D140-1,"")))</f>
        <v/>
      </c>
      <c r="I141" s="15">
        <f>IF(OR(I140="",E140=""),"",IF(E140&lt;=0,"",IFERROR(I140/E140-1,"")))</f>
        <v/>
      </c>
      <c r="J141" s="15">
        <f>IF(OR(J140="",F140=""),"",IF(F140&lt;=0,"",IFERROR(J140/F140-1,"")))</f>
        <v/>
      </c>
      <c r="K141" s="15">
        <f>IF(OR(K140="",G140=""),"",IF(G140&lt;=0,"",IFERROR(K140/G140-1,"")))</f>
        <v/>
      </c>
      <c r="L141" s="15">
        <f>IF(OR(L140="",H140=""),"",IF(H140&lt;=0,"",IFERROR(L140/H140-1,"")))</f>
        <v/>
      </c>
      <c r="M141" s="15">
        <f>IF(OR(M140="",I140=""),"",IF(I140&lt;=0,"",IFERROR(M140/I140-1,"")))</f>
        <v/>
      </c>
      <c r="N141" s="15">
        <f>IF(OR(N140="",J140=""),"",IF(J140&lt;=0,"",IFERROR(N140/J140-1,"")))</f>
        <v/>
      </c>
      <c r="T141" s="15">
        <f>IF(OR(T140="",S140=""),"",IF(S140&lt;=0,"",IFERROR(T140/S140-1,"")))</f>
        <v/>
      </c>
      <c r="U141" s="15">
        <f>IF(OR(U140="",T140=""),"",IF(T140&lt;=0,"",IFERROR(U140/T140-1,"")))</f>
        <v/>
      </c>
      <c r="V141" s="15">
        <f>IF(OR(V140="",U140=""),"",IF(U140&lt;=0,"",IFERROR(V140/U140-1,"")))</f>
        <v/>
      </c>
      <c r="W141" s="15">
        <f>IF(OR(W140="",V140=""),"",IF(V140&lt;=0,"",IFERROR(W140/V140-1,"")))</f>
        <v/>
      </c>
      <c r="X141" s="15">
        <f>IF(OR(X140="",W140=""),"",IF(W140&lt;=0,"",IFERROR(X140/W140-1,"")))</f>
        <v/>
      </c>
    </row>
    <row r="143">
      <c r="A143" s="16" t="inlineStr">
        <is>
          <t>포괄손익 · 전 항목</t>
        </is>
      </c>
      <c r="B143" s="42" t="inlineStr">
        <is>
          <t>분기 = 3개월 단독</t>
        </is>
      </c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</row>
    <row r="144">
      <c r="A144" s="5" t="inlineStr">
        <is>
          <t>항목</t>
        </is>
      </c>
      <c r="B144" s="5" t="inlineStr">
        <is>
          <t>참고</t>
        </is>
      </c>
      <c r="C144" s="5" t="inlineStr">
        <is>
          <t>2024.3Q</t>
        </is>
      </c>
      <c r="D144" s="5" t="inlineStr">
        <is>
          <t>2024.4Q</t>
        </is>
      </c>
      <c r="E144" s="5" t="inlineStr">
        <is>
          <t>2025.1Q</t>
        </is>
      </c>
      <c r="F144" s="5" t="inlineStr">
        <is>
          <t>2025.2Q</t>
        </is>
      </c>
      <c r="G144" s="5" t="inlineStr">
        <is>
          <t>2025.3Q</t>
        </is>
      </c>
      <c r="H144" s="5" t="inlineStr">
        <is>
          <t>2025.4Q</t>
        </is>
      </c>
      <c r="I144" s="5" t="inlineStr">
        <is>
          <t>2026.1Q</t>
        </is>
      </c>
      <c r="J144" s="5" t="inlineStr">
        <is>
          <t>2026.2Q</t>
        </is>
      </c>
      <c r="K144" s="5" t="inlineStr">
        <is>
          <t>2026.3Q</t>
        </is>
      </c>
      <c r="L144" s="5" t="inlineStr">
        <is>
          <t>2026.4Q</t>
        </is>
      </c>
      <c r="M144" s="5" t="inlineStr">
        <is>
          <t>2027.1Q</t>
        </is>
      </c>
      <c r="N144" s="5" t="inlineStr">
        <is>
          <t>2027.2Q</t>
        </is>
      </c>
      <c r="O144" s="5" t="inlineStr">
        <is>
          <t>2017</t>
        </is>
      </c>
      <c r="P144" s="5" t="inlineStr">
        <is>
          <t>2018</t>
        </is>
      </c>
      <c r="Q144" s="5" t="inlineStr">
        <is>
          <t>2019</t>
        </is>
      </c>
      <c r="R144" s="5" t="inlineStr">
        <is>
          <t>2020</t>
        </is>
      </c>
      <c r="S144" s="5" t="inlineStr">
        <is>
          <t>2021</t>
        </is>
      </c>
      <c r="T144" s="5" t="inlineStr">
        <is>
          <t>2022</t>
        </is>
      </c>
      <c r="U144" s="5" t="inlineStr">
        <is>
          <t>2023</t>
        </is>
      </c>
      <c r="V144" s="5" t="inlineStr">
        <is>
          <t>2024</t>
        </is>
      </c>
      <c r="W144" s="5" t="inlineStr">
        <is>
          <t>2025</t>
        </is>
      </c>
      <c r="X144" s="5" t="inlineStr">
        <is>
          <t>2026</t>
        </is>
      </c>
      <c r="Y144" s="5" t="inlineStr">
        <is>
          <t>2027(MW)</t>
        </is>
      </c>
      <c r="Z144" s="5" t="inlineStr">
        <is>
          <t>2028(MW)</t>
        </is>
      </c>
      <c r="AA144" s="5" t="inlineStr">
        <is>
          <t>2029(MW)</t>
        </is>
      </c>
      <c r="AB144" s="5" t="inlineStr">
        <is>
          <t>2030(MW)</t>
        </is>
      </c>
      <c r="AC144" s="5" t="inlineStr">
        <is>
          <t>2031(MW)</t>
        </is>
      </c>
    </row>
    <row r="145">
      <c r="A145" s="9" t="inlineStr">
        <is>
          <t>순이익</t>
        </is>
      </c>
      <c r="C145" s="12" t="n">
        <v>-433.562</v>
      </c>
      <c r="D145" s="12" t="n">
        <v>628.879</v>
      </c>
      <c r="E145" s="12" t="n">
        <v>755.75</v>
      </c>
      <c r="F145" s="12" t="n">
        <v>307.499</v>
      </c>
      <c r="G145" s="12" t="n">
        <v>589.33</v>
      </c>
      <c r="H145" s="12" t="n">
        <v>978.6849999999999</v>
      </c>
      <c r="I145" s="12" t="n">
        <v>395.647</v>
      </c>
      <c r="J145" s="12" t="n">
        <v>377.123</v>
      </c>
      <c r="K145" s="12" t="n">
        <v>625.203</v>
      </c>
      <c r="L145" s="12" t="n">
        <v>-106.134</v>
      </c>
      <c r="M145" s="12" t="n">
        <v>722.598</v>
      </c>
      <c r="N145" s="12" t="n">
        <v>712.653</v>
      </c>
      <c r="T145" s="12" t="n">
        <v>52.971</v>
      </c>
      <c r="U145" s="12" t="n">
        <v>5.418</v>
      </c>
      <c r="V145" s="12" t="n">
        <v>628.879</v>
      </c>
      <c r="W145" s="12" t="n">
        <v>978.6849999999999</v>
      </c>
      <c r="X145" s="12" t="n">
        <v>-106.134</v>
      </c>
    </row>
    <row r="146">
      <c r="A146" s="18" t="inlineStr">
        <is>
          <t>기타유가증권 평가차액</t>
        </is>
      </c>
      <c r="C146" s="20" t="n">
        <v>2.609</v>
      </c>
      <c r="D146" s="20" t="n">
        <v>24.794</v>
      </c>
      <c r="E146" s="20" t="n">
        <v>13.472</v>
      </c>
      <c r="F146" s="20" t="n">
        <v>-14.932</v>
      </c>
      <c r="G146" s="20" t="n">
        <v>-1.187</v>
      </c>
      <c r="H146" s="20" t="n">
        <v>26.109</v>
      </c>
      <c r="I146" s="20" t="n">
        <v>3.189</v>
      </c>
      <c r="J146" s="20" t="n">
        <v>31.104</v>
      </c>
      <c r="K146" s="20" t="n">
        <v>60.571</v>
      </c>
      <c r="L146" s="20" t="n">
        <v>77.985</v>
      </c>
      <c r="M146" s="20" t="n">
        <v>-44.204</v>
      </c>
      <c r="N146" s="20" t="n">
        <v>58.461</v>
      </c>
      <c r="T146" s="20" t="n">
        <v>35.159</v>
      </c>
      <c r="U146" s="20" t="n">
        <v>0.226</v>
      </c>
      <c r="V146" s="20" t="n">
        <v>24.794</v>
      </c>
      <c r="W146" s="20" t="n">
        <v>26.109</v>
      </c>
      <c r="X146" s="20" t="n">
        <v>77.985</v>
      </c>
    </row>
    <row r="147">
      <c r="A147" s="18" t="inlineStr">
        <is>
          <t>해외사업환산조정</t>
        </is>
      </c>
      <c r="E147" s="20" t="n">
        <v>291.438</v>
      </c>
      <c r="I147" s="20" t="n">
        <v>-260.283</v>
      </c>
      <c r="M147" s="20" t="n">
        <v>173.496</v>
      </c>
    </row>
    <row r="148">
      <c r="A148" s="18" t="inlineStr">
        <is>
          <t>해외사업환산조정</t>
        </is>
      </c>
      <c r="C148" s="20" t="n">
        <v>269.152</v>
      </c>
      <c r="D148" s="20" t="n">
        <v>-148.163</v>
      </c>
      <c r="G148" s="20" t="n">
        <v>-314.953</v>
      </c>
      <c r="H148" s="20" t="n">
        <v>238.237</v>
      </c>
      <c r="K148" s="20" t="n">
        <v>185.535</v>
      </c>
      <c r="L148" s="20" t="n">
        <v>564.422</v>
      </c>
      <c r="T148" s="20" t="n">
        <v>186.368</v>
      </c>
      <c r="U148" s="20" t="n">
        <v>-193.906</v>
      </c>
      <c r="V148" s="20" t="n">
        <v>-148.163</v>
      </c>
      <c r="W148" s="20" t="n">
        <v>238.237</v>
      </c>
      <c r="X148" s="20" t="n">
        <v>564.422</v>
      </c>
    </row>
    <row r="149">
      <c r="A149" s="18" t="inlineStr">
        <is>
          <t>지분법 적용회사 지분 해당액</t>
        </is>
      </c>
      <c r="C149" s="20" t="n">
        <v>-0.06900000000000001</v>
      </c>
      <c r="D149" s="20" t="n">
        <v>0.109</v>
      </c>
      <c r="E149" s="20" t="n">
        <v>-0.029</v>
      </c>
      <c r="F149" s="20" t="n">
        <v>0.091</v>
      </c>
      <c r="G149" s="20" t="n">
        <v>0.075</v>
      </c>
      <c r="H149" s="20" t="n">
        <v>0.334</v>
      </c>
      <c r="I149" s="20" t="n">
        <v>-0.004</v>
      </c>
      <c r="J149" s="20" t="n">
        <v>0.007</v>
      </c>
      <c r="K149" s="20" t="n">
        <v>0.05</v>
      </c>
      <c r="L149" s="20" t="n">
        <v>0.188</v>
      </c>
      <c r="M149" s="20" t="n">
        <v>-0.004</v>
      </c>
      <c r="N149" s="20" t="n">
        <v>0.019</v>
      </c>
      <c r="T149" s="20" t="n">
        <v>-0.701</v>
      </c>
      <c r="U149" s="20" t="n">
        <v>0</v>
      </c>
      <c r="V149" s="20" t="n">
        <v>0.109</v>
      </c>
      <c r="W149" s="20" t="n">
        <v>0.334</v>
      </c>
      <c r="X149" s="20" t="n">
        <v>0.188</v>
      </c>
    </row>
    <row r="150">
      <c r="A150" s="18" t="inlineStr">
        <is>
          <t>기타포괄손익 합계</t>
        </is>
      </c>
      <c r="C150" s="20" t="n">
        <v>271.691</v>
      </c>
      <c r="D150" s="20" t="n">
        <v>-123.258</v>
      </c>
      <c r="E150" s="20" t="n">
        <v>304.882</v>
      </c>
      <c r="F150" s="20" t="n">
        <v>413.611</v>
      </c>
      <c r="G150" s="20" t="n">
        <v>-316.066</v>
      </c>
      <c r="H150" s="20" t="n">
        <v>264.681</v>
      </c>
      <c r="I150" s="20" t="n">
        <v>-257.098</v>
      </c>
      <c r="J150" s="20" t="n">
        <v>111.708</v>
      </c>
      <c r="K150" s="20" t="n">
        <v>246.156</v>
      </c>
      <c r="L150" s="20" t="n">
        <v>642.595</v>
      </c>
      <c r="M150" s="20" t="n">
        <v>129.287</v>
      </c>
      <c r="N150" s="20" t="n">
        <v>131.677</v>
      </c>
      <c r="T150" s="20" t="n">
        <v>220.827</v>
      </c>
      <c r="U150" s="20" t="n">
        <v>-193.68</v>
      </c>
      <c r="V150" s="20" t="n">
        <v>-123.258</v>
      </c>
      <c r="W150" s="20" t="n">
        <v>264.681</v>
      </c>
      <c r="X150" s="20" t="n">
        <v>642.595</v>
      </c>
    </row>
    <row r="151">
      <c r="A151" s="9" t="inlineStr">
        <is>
          <t>포괄이익</t>
        </is>
      </c>
      <c r="C151" s="12" t="n">
        <v>-161.87</v>
      </c>
      <c r="D151" s="12" t="n">
        <v>505.621</v>
      </c>
      <c r="E151" s="12" t="n">
        <v>1060.632</v>
      </c>
      <c r="F151" s="12" t="n">
        <v>721.11</v>
      </c>
      <c r="G151" s="12" t="n">
        <v>273.265</v>
      </c>
      <c r="H151" s="12" t="n">
        <v>1243.366</v>
      </c>
      <c r="I151" s="12" t="n">
        <v>138.549</v>
      </c>
      <c r="J151" s="12" t="n">
        <v>488.83</v>
      </c>
      <c r="K151" s="12" t="n">
        <v>871.361</v>
      </c>
      <c r="L151" s="12" t="n">
        <v>536.461</v>
      </c>
      <c r="M151" s="12" t="n">
        <v>851.886</v>
      </c>
      <c r="N151" s="12" t="n">
        <v>844.33</v>
      </c>
      <c r="T151" s="12" t="n">
        <v>273.797</v>
      </c>
      <c r="U151" s="12" t="n">
        <v>-188.263</v>
      </c>
      <c r="V151" s="12" t="n">
        <v>505.621</v>
      </c>
      <c r="W151" s="12" t="n">
        <v>1243.366</v>
      </c>
      <c r="X151" s="12" t="n">
        <v>536.461</v>
      </c>
    </row>
    <row r="152">
      <c r="A152" s="9" t="inlineStr">
        <is>
          <t>지배주주 포괄이익</t>
        </is>
      </c>
      <c r="C152" s="12" t="n">
        <v>-57.488</v>
      </c>
      <c r="D152" s="12" t="n">
        <v>374.718</v>
      </c>
      <c r="E152" s="12" t="n">
        <v>787.215</v>
      </c>
      <c r="F152" s="12" t="n">
        <v>475.59</v>
      </c>
      <c r="G152" s="12" t="n">
        <v>200.789</v>
      </c>
      <c r="H152" s="12" t="n">
        <v>803.8869999999999</v>
      </c>
      <c r="I152" s="12" t="n">
        <v>96.929</v>
      </c>
      <c r="J152" s="12" t="n">
        <v>341.356</v>
      </c>
      <c r="K152" s="12" t="n">
        <v>635.802</v>
      </c>
      <c r="L152" s="12" t="n">
        <v>268.421</v>
      </c>
      <c r="M152" s="12" t="n">
        <v>618.904</v>
      </c>
      <c r="N152" s="12" t="n">
        <v>733.922</v>
      </c>
      <c r="T152" s="12" t="n">
        <v>256.338</v>
      </c>
      <c r="U152" s="12" t="n">
        <v>-139.15</v>
      </c>
      <c r="V152" s="12" t="n">
        <v>374.718</v>
      </c>
      <c r="W152" s="12" t="n">
        <v>803.8869999999999</v>
      </c>
      <c r="X152" s="12" t="n">
        <v>268.421</v>
      </c>
    </row>
    <row r="153">
      <c r="A153" s="9" t="inlineStr">
        <is>
          <t>비지배주주 포괄이익</t>
        </is>
      </c>
      <c r="C153" s="12" t="n">
        <v>-104.383</v>
      </c>
      <c r="D153" s="12" t="n">
        <v>130.903</v>
      </c>
      <c r="E153" s="12" t="n">
        <v>273.417</v>
      </c>
      <c r="F153" s="12" t="n">
        <v>245.52</v>
      </c>
      <c r="G153" s="12" t="n">
        <v>72.47499999999999</v>
      </c>
      <c r="H153" s="12" t="n">
        <v>439.48</v>
      </c>
      <c r="I153" s="12" t="n">
        <v>41.619</v>
      </c>
      <c r="J153" s="12" t="n">
        <v>147.475</v>
      </c>
      <c r="K153" s="12" t="n">
        <v>235.558</v>
      </c>
      <c r="L153" s="12" t="n">
        <v>268.04</v>
      </c>
      <c r="M153" s="12" t="n">
        <v>232.981</v>
      </c>
      <c r="N153" s="12" t="n">
        <v>110.408</v>
      </c>
      <c r="T153" s="12" t="n">
        <v>17.459</v>
      </c>
      <c r="U153" s="12" t="n">
        <v>-49.113</v>
      </c>
      <c r="V153" s="12" t="n">
        <v>130.903</v>
      </c>
      <c r="W153" s="12" t="n">
        <v>439.48</v>
      </c>
      <c r="X153" s="12" t="n">
        <v>268.04</v>
      </c>
    </row>
    <row r="155">
      <c r="A155" s="16" t="inlineStr">
        <is>
          <t>부문 · 전 항목</t>
        </is>
      </c>
      <c r="B155" s="42" t="inlineStr">
        <is>
          <t>부문 · 항목</t>
        </is>
      </c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</row>
    <row r="156">
      <c r="A156" s="5" t="inlineStr">
        <is>
          <t>항목</t>
        </is>
      </c>
      <c r="B156" s="5" t="inlineStr">
        <is>
          <t>참고</t>
        </is>
      </c>
      <c r="C156" s="5" t="inlineStr">
        <is>
          <t>2024.3Q</t>
        </is>
      </c>
      <c r="D156" s="5" t="inlineStr">
        <is>
          <t>2024.4Q</t>
        </is>
      </c>
      <c r="E156" s="5" t="inlineStr">
        <is>
          <t>2025.1Q</t>
        </is>
      </c>
      <c r="F156" s="5" t="inlineStr">
        <is>
          <t>2025.2Q</t>
        </is>
      </c>
      <c r="G156" s="5" t="inlineStr">
        <is>
          <t>2025.3Q</t>
        </is>
      </c>
      <c r="H156" s="5" t="inlineStr">
        <is>
          <t>2025.4Q</t>
        </is>
      </c>
      <c r="I156" s="5" t="inlineStr">
        <is>
          <t>2026.1Q</t>
        </is>
      </c>
      <c r="J156" s="5" t="inlineStr">
        <is>
          <t>2026.2Q</t>
        </is>
      </c>
      <c r="K156" s="5" t="inlineStr">
        <is>
          <t>2026.3Q</t>
        </is>
      </c>
      <c r="L156" s="5" t="inlineStr">
        <is>
          <t>2026.4Q</t>
        </is>
      </c>
      <c r="M156" s="5" t="inlineStr">
        <is>
          <t>2027.1Q</t>
        </is>
      </c>
      <c r="N156" s="5" t="inlineStr">
        <is>
          <t>2027.2Q</t>
        </is>
      </c>
      <c r="O156" s="5" t="inlineStr">
        <is>
          <t>2017</t>
        </is>
      </c>
      <c r="P156" s="5" t="inlineStr">
        <is>
          <t>2018</t>
        </is>
      </c>
      <c r="Q156" s="5" t="inlineStr">
        <is>
          <t>2019</t>
        </is>
      </c>
      <c r="R156" s="5" t="inlineStr">
        <is>
          <t>2020</t>
        </is>
      </c>
      <c r="S156" s="5" t="inlineStr">
        <is>
          <t>2021</t>
        </is>
      </c>
      <c r="T156" s="5" t="inlineStr">
        <is>
          <t>2022</t>
        </is>
      </c>
      <c r="U156" s="5" t="inlineStr">
        <is>
          <t>2023</t>
        </is>
      </c>
      <c r="V156" s="5" t="inlineStr">
        <is>
          <t>2024</t>
        </is>
      </c>
      <c r="W156" s="5" t="inlineStr">
        <is>
          <t>2025</t>
        </is>
      </c>
      <c r="X156" s="5" t="inlineStr">
        <is>
          <t>2026</t>
        </is>
      </c>
      <c r="Y156" s="5" t="inlineStr">
        <is>
          <t>2027(MW)</t>
        </is>
      </c>
      <c r="Z156" s="5" t="inlineStr">
        <is>
          <t>2028(MW)</t>
        </is>
      </c>
      <c r="AA156" s="5" t="inlineStr">
        <is>
          <t>2029(MW)</t>
        </is>
      </c>
      <c r="AB156" s="5" t="inlineStr">
        <is>
          <t>2030(MW)</t>
        </is>
      </c>
      <c r="AC156" s="5" t="inlineStr">
        <is>
          <t>2031(MW)</t>
        </is>
      </c>
    </row>
    <row r="157">
      <c r="A157" s="18" t="inlineStr">
        <is>
          <t>제조 사업 · 외부 고객 매출</t>
        </is>
      </c>
      <c r="C157" s="20" t="n">
        <v>9166.879000000001</v>
      </c>
      <c r="D157" s="20" t="n">
        <v>12532.105</v>
      </c>
      <c r="E157" s="20" t="n">
        <v>11933.24</v>
      </c>
      <c r="F157" s="20" t="n">
        <v>11423.616</v>
      </c>
      <c r="G157" s="20" t="n">
        <v>12116.189</v>
      </c>
      <c r="H157" s="20" t="n">
        <v>12176.633</v>
      </c>
      <c r="I157" s="20" t="n">
        <v>12181.569</v>
      </c>
      <c r="J157" s="20" t="n">
        <v>10850.935</v>
      </c>
      <c r="K157" s="20" t="n">
        <v>12266.625</v>
      </c>
      <c r="L157" s="20" t="n">
        <v>12376.887</v>
      </c>
      <c r="M157" s="20" t="n">
        <v>11152.85</v>
      </c>
      <c r="N157" s="20" t="n">
        <v>12424.311</v>
      </c>
      <c r="V157" s="20" t="n">
        <v>12532.105</v>
      </c>
      <c r="W157" s="20" t="n">
        <v>12176.633</v>
      </c>
      <c r="X157" s="20" t="n">
        <v>12376.887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판매 사업 · 외부 고객 매출</t>
        </is>
      </c>
      <c r="C159" s="20" t="n">
        <v>2236.698</v>
      </c>
      <c r="D159" s="20" t="n">
        <v>2315.659</v>
      </c>
      <c r="E159" s="20" t="n">
        <v>2576.911</v>
      </c>
      <c r="F159" s="20" t="n">
        <v>2594.59</v>
      </c>
      <c r="G159" s="20" t="n">
        <v>2431.214</v>
      </c>
      <c r="H159" s="20" t="n">
        <v>2389.119</v>
      </c>
      <c r="I159" s="20" t="n">
        <v>2375.988</v>
      </c>
      <c r="J159" s="20" t="n">
        <v>2270.985</v>
      </c>
      <c r="K159" s="20" t="n">
        <v>2399.526</v>
      </c>
      <c r="L159" s="20" t="n">
        <v>2486.125</v>
      </c>
      <c r="M159" s="20" t="n">
        <v>2764.327</v>
      </c>
      <c r="N159" s="20" t="n">
        <v>2539.495</v>
      </c>
      <c r="V159" s="20" t="n">
        <v>2315.659</v>
      </c>
      <c r="W159" s="20" t="n">
        <v>2389.119</v>
      </c>
      <c r="X159" s="20" t="n">
        <v>2486.125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기타 사업 · 외부 고객 매출</t>
        </is>
      </c>
      <c r="C161" s="20" t="n">
        <v>156.931</v>
      </c>
      <c r="D161" s="20" t="n">
        <v>288.59</v>
      </c>
      <c r="E161" s="20" t="n">
        <v>103.981</v>
      </c>
      <c r="F161" s="20" t="n">
        <v>105.826</v>
      </c>
      <c r="G161" s="20" t="n">
        <v>66.134</v>
      </c>
      <c r="H161" s="20" t="n">
        <v>192.654</v>
      </c>
      <c r="I161" s="20" t="n">
        <v>42.726</v>
      </c>
      <c r="J161" s="20" t="n">
        <v>43.621</v>
      </c>
      <c r="K161" s="20" t="n">
        <v>54.253</v>
      </c>
      <c r="L161" s="20" t="n">
        <v>135.323</v>
      </c>
      <c r="M161" s="20" t="n">
        <v>59.235</v>
      </c>
      <c r="N161" s="20" t="n">
        <v>64.559</v>
      </c>
      <c r="V161" s="20" t="n">
        <v>288.59</v>
      </c>
      <c r="W161" s="20" t="n">
        <v>192.654</v>
      </c>
      <c r="X161" s="20" t="n">
        <v>135.323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보고부문 합계 · 외부 고객 매출</t>
        </is>
      </c>
      <c r="C163" s="20" t="n">
        <v>11560.508</v>
      </c>
      <c r="D163" s="20" t="n">
        <v>15136.353</v>
      </c>
      <c r="E163" s="20" t="n">
        <v>14614.133</v>
      </c>
      <c r="F163" s="20" t="n">
        <v>14124.032</v>
      </c>
      <c r="G163" s="20" t="n">
        <v>14613.537</v>
      </c>
      <c r="H163" s="20" t="n">
        <v>14758.405</v>
      </c>
      <c r="I163" s="20" t="n">
        <v>14600.285</v>
      </c>
      <c r="J163" s="20" t="n">
        <v>13165.54</v>
      </c>
      <c r="K163" s="20" t="n">
        <v>14720.404</v>
      </c>
      <c r="L163" s="20" t="n">
        <v>14998.334</v>
      </c>
      <c r="M163" s="20" t="n">
        <v>13976.414</v>
      </c>
      <c r="N163" s="20" t="n">
        <v>15028.365</v>
      </c>
      <c r="V163" s="20" t="n">
        <v>15136.353</v>
      </c>
      <c r="W163" s="20" t="n">
        <v>14758.405</v>
      </c>
      <c r="X163" s="20" t="n">
        <v>14998.334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조정액 · 외부 고객 매출</t>
        </is>
      </c>
      <c r="C165" s="20" t="n">
        <v>0</v>
      </c>
      <c r="D165" s="20" t="n">
        <v>0</v>
      </c>
      <c r="E165" s="20" t="n">
        <v>0</v>
      </c>
      <c r="F165" s="20" t="n">
        <v>0</v>
      </c>
      <c r="G165" s="20" t="n">
        <v>0</v>
      </c>
      <c r="H165" s="20" t="n">
        <v>0</v>
      </c>
      <c r="I165" s="20" t="n">
        <v>0</v>
      </c>
      <c r="J165" s="20" t="n">
        <v>0</v>
      </c>
      <c r="K165" s="20" t="n">
        <v>0</v>
      </c>
      <c r="L165" s="20" t="n">
        <v>0</v>
      </c>
      <c r="M165" s="20" t="n">
        <v>0</v>
      </c>
      <c r="N165" s="20" t="n">
        <v>0</v>
      </c>
      <c r="V165" s="20" t="n">
        <v>0</v>
      </c>
      <c r="W165" s="20" t="n">
        <v>0</v>
      </c>
      <c r="X165" s="20" t="n">
        <v>0</v>
      </c>
    </row>
    <row r="166">
      <c r="A166" s="9" t="inlineStr">
        <is>
          <t>외부 고객 매출</t>
        </is>
      </c>
      <c r="C166" s="12" t="n">
        <v>11560.508</v>
      </c>
      <c r="D166" s="12" t="n">
        <v>15136.353</v>
      </c>
      <c r="E166" s="12" t="n">
        <v>14614.133</v>
      </c>
      <c r="F166" s="12" t="n">
        <v>14124.032</v>
      </c>
      <c r="G166" s="12" t="n">
        <v>14613.537</v>
      </c>
      <c r="H166" s="12" t="n">
        <v>14758.405</v>
      </c>
      <c r="I166" s="12" t="n">
        <v>14600.285</v>
      </c>
      <c r="J166" s="12" t="n">
        <v>13165.54</v>
      </c>
      <c r="K166" s="12" t="n">
        <v>14720.404</v>
      </c>
      <c r="L166" s="12" t="n">
        <v>14998.334</v>
      </c>
      <c r="M166" s="12" t="n">
        <v>13976.414</v>
      </c>
      <c r="N166" s="12" t="n">
        <v>15028.365</v>
      </c>
      <c r="V166" s="12" t="n">
        <v>15136.353</v>
      </c>
      <c r="W166" s="12" t="n">
        <v>14758.405</v>
      </c>
      <c r="X166" s="12" t="n">
        <v>14998.334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V167" s="15">
        <f>IF(OR(V166="",U166=""),"",IF(U166&lt;=0,"",IFERROR(V166/U166-1,"")))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제조 사업 · 부문 간 내부매출·대체</t>
        </is>
      </c>
      <c r="C168" s="20" t="n">
        <v>42.957</v>
      </c>
      <c r="D168" s="20" t="n">
        <v>214.53</v>
      </c>
      <c r="E168" s="20" t="n">
        <v>118.323</v>
      </c>
      <c r="F168" s="20" t="n">
        <v>152.524</v>
      </c>
      <c r="G168" s="20" t="n">
        <v>270.482</v>
      </c>
      <c r="H168" s="20" t="n">
        <v>138.465</v>
      </c>
      <c r="I168" s="20" t="n">
        <v>65.76600000000001</v>
      </c>
      <c r="J168" s="20" t="n">
        <v>82.54900000000001</v>
      </c>
      <c r="K168" s="20" t="n">
        <v>151.151</v>
      </c>
      <c r="L168" s="20" t="n">
        <v>167.311</v>
      </c>
      <c r="M168" s="20" t="n">
        <v>85.479</v>
      </c>
      <c r="N168" s="20" t="n">
        <v>81.477</v>
      </c>
      <c r="V168" s="20" t="n">
        <v>214.53</v>
      </c>
      <c r="W168" s="20" t="n">
        <v>138.465</v>
      </c>
      <c r="X168" s="20" t="n">
        <v>167.311</v>
      </c>
    </row>
    <row r="169">
      <c r="A169" s="18" t="inlineStr">
        <is>
          <t>판매 사업 · 부문 간 내부매출·대체</t>
        </is>
      </c>
      <c r="C169" s="20" t="n">
        <v>241.269</v>
      </c>
      <c r="D169" s="20" t="n">
        <v>196.487</v>
      </c>
      <c r="E169" s="20" t="n">
        <v>218.382</v>
      </c>
      <c r="F169" s="20" t="n">
        <v>191.921</v>
      </c>
      <c r="G169" s="20" t="n">
        <v>174.455</v>
      </c>
      <c r="H169" s="20" t="n">
        <v>197.603</v>
      </c>
      <c r="I169" s="20" t="n">
        <v>114.98</v>
      </c>
      <c r="J169" s="20" t="n">
        <v>113.313</v>
      </c>
      <c r="K169" s="20" t="n">
        <v>144.554</v>
      </c>
      <c r="L169" s="20" t="n">
        <v>97.188</v>
      </c>
      <c r="M169" s="20" t="n">
        <v>104.182</v>
      </c>
      <c r="N169" s="20" t="n">
        <v>96.90900000000001</v>
      </c>
      <c r="V169" s="20" t="n">
        <v>196.487</v>
      </c>
      <c r="W169" s="20" t="n">
        <v>197.603</v>
      </c>
      <c r="X169" s="20" t="n">
        <v>97.188</v>
      </c>
    </row>
    <row r="170">
      <c r="A170" s="18" t="inlineStr">
        <is>
          <t>기타 사업 · 부문 간 내부매출·대체</t>
        </is>
      </c>
      <c r="C170" s="20" t="n">
        <v>25.668</v>
      </c>
      <c r="D170" s="20" t="n">
        <v>27.811</v>
      </c>
      <c r="E170" s="20" t="n">
        <v>26.444</v>
      </c>
      <c r="F170" s="20" t="n">
        <v>27.406</v>
      </c>
      <c r="G170" s="20" t="n">
        <v>24.662</v>
      </c>
      <c r="H170" s="20" t="n">
        <v>25.901</v>
      </c>
      <c r="I170" s="20" t="n">
        <v>26.845</v>
      </c>
      <c r="J170" s="20" t="n">
        <v>26.108</v>
      </c>
      <c r="K170" s="20" t="n">
        <v>27.011</v>
      </c>
      <c r="L170" s="20" t="n">
        <v>31.459</v>
      </c>
      <c r="M170" s="20" t="n">
        <v>73.071</v>
      </c>
      <c r="N170" s="20" t="n">
        <v>74.349</v>
      </c>
      <c r="V170" s="20" t="n">
        <v>27.811</v>
      </c>
      <c r="W170" s="20" t="n">
        <v>25.901</v>
      </c>
      <c r="X170" s="20" t="n">
        <v>31.459</v>
      </c>
    </row>
    <row r="171">
      <c r="A171" s="18" t="inlineStr">
        <is>
          <t>보고부문 합계 · 부문 간 내부매출·대체</t>
        </is>
      </c>
      <c r="C171" s="20" t="n">
        <v>309.893</v>
      </c>
      <c r="D171" s="20" t="n">
        <v>438.828</v>
      </c>
      <c r="E171" s="20" t="n">
        <v>363.15</v>
      </c>
      <c r="F171" s="20" t="n">
        <v>371.851</v>
      </c>
      <c r="G171" s="20" t="n">
        <v>469.599</v>
      </c>
      <c r="H171" s="20" t="n">
        <v>361.969</v>
      </c>
      <c r="I171" s="20" t="n">
        <v>207.592</v>
      </c>
      <c r="J171" s="20" t="n">
        <v>221.97</v>
      </c>
      <c r="K171" s="20" t="n">
        <v>322.716</v>
      </c>
      <c r="L171" s="20" t="n">
        <v>295.957</v>
      </c>
      <c r="M171" s="20" t="n">
        <v>262.733</v>
      </c>
      <c r="N171" s="20" t="n">
        <v>252.735</v>
      </c>
      <c r="V171" s="20" t="n">
        <v>438.828</v>
      </c>
      <c r="W171" s="20" t="n">
        <v>361.969</v>
      </c>
      <c r="X171" s="20" t="n">
        <v>295.957</v>
      </c>
    </row>
    <row r="172">
      <c r="A172" s="18" t="inlineStr">
        <is>
          <t>조정액 · 부문 간 내부매출·대체</t>
        </is>
      </c>
      <c r="C172" s="20" t="n">
        <v>-309.893</v>
      </c>
      <c r="D172" s="20" t="n">
        <v>-438.828</v>
      </c>
      <c r="E172" s="20" t="n">
        <v>-363.15</v>
      </c>
      <c r="F172" s="20" t="n">
        <v>-371.851</v>
      </c>
      <c r="G172" s="20" t="n">
        <v>-469.599</v>
      </c>
      <c r="H172" s="20" t="n">
        <v>-361.969</v>
      </c>
      <c r="I172" s="20" t="n">
        <v>-207.592</v>
      </c>
      <c r="J172" s="20" t="n">
        <v>-221.97</v>
      </c>
      <c r="K172" s="20" t="n">
        <v>-322.716</v>
      </c>
      <c r="L172" s="20" t="n">
        <v>-295.957</v>
      </c>
      <c r="M172" s="20" t="n">
        <v>-262.733</v>
      </c>
      <c r="N172" s="20" t="n">
        <v>-252.735</v>
      </c>
      <c r="V172" s="20" t="n">
        <v>-438.828</v>
      </c>
      <c r="W172" s="20" t="n">
        <v>-361.969</v>
      </c>
      <c r="X172" s="20" t="n">
        <v>-295.957</v>
      </c>
    </row>
    <row r="173">
      <c r="A173" s="18" t="inlineStr">
        <is>
          <t>부문 간 내부매출·대체</t>
        </is>
      </c>
      <c r="C173" s="20" t="n">
        <v>0</v>
      </c>
      <c r="D173" s="20" t="n">
        <v>0</v>
      </c>
      <c r="E173" s="20" t="n">
        <v>0</v>
      </c>
      <c r="F173" s="20" t="n">
        <v>0</v>
      </c>
      <c r="G173" s="20" t="n">
        <v>0</v>
      </c>
      <c r="H173" s="20" t="n">
        <v>0</v>
      </c>
      <c r="I173" s="20" t="n">
        <v>0</v>
      </c>
      <c r="J173" s="20" t="n">
        <v>0</v>
      </c>
      <c r="K173" s="20" t="n">
        <v>0</v>
      </c>
      <c r="L173" s="20" t="n">
        <v>0</v>
      </c>
      <c r="M173" s="20" t="n">
        <v>0</v>
      </c>
      <c r="N173" s="20" t="n">
        <v>0</v>
      </c>
      <c r="V173" s="20" t="n">
        <v>0</v>
      </c>
      <c r="W173" s="20" t="n">
        <v>0</v>
      </c>
      <c r="X173" s="20" t="n">
        <v>0</v>
      </c>
    </row>
    <row r="174">
      <c r="A174" s="18" t="inlineStr">
        <is>
          <t>제조 사업 · 계</t>
        </is>
      </c>
      <c r="C174" s="20" t="n">
        <v>9209.834999999999</v>
      </c>
      <c r="D174" s="20" t="n">
        <v>12746.635</v>
      </c>
      <c r="E174" s="20" t="n">
        <v>12051.563</v>
      </c>
      <c r="F174" s="20" t="n">
        <v>11576.14</v>
      </c>
      <c r="G174" s="20" t="n">
        <v>12386.672</v>
      </c>
      <c r="H174" s="20" t="n">
        <v>12315.097</v>
      </c>
      <c r="I174" s="20" t="n">
        <v>12247.336</v>
      </c>
      <c r="J174" s="20" t="n">
        <v>10933.484</v>
      </c>
      <c r="K174" s="20" t="n">
        <v>12417.775</v>
      </c>
      <c r="L174" s="20" t="n">
        <v>12544.198</v>
      </c>
      <c r="M174" s="20" t="n">
        <v>11238.33</v>
      </c>
      <c r="N174" s="20" t="n">
        <v>12505.788</v>
      </c>
      <c r="V174" s="20" t="n">
        <v>12746.635</v>
      </c>
      <c r="W174" s="20" t="n">
        <v>12315.097</v>
      </c>
      <c r="X174" s="20" t="n">
        <v>12544.198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I175" s="15">
        <f>IF(OR(I174="",E174=""),"",IF(E174&lt;=0,"",IFERROR(I174/E174-1,"")))</f>
        <v/>
      </c>
      <c r="J175" s="15">
        <f>IF(OR(J174="",F174=""),"",IF(F174&lt;=0,"",IFERROR(J174/F174-1,"")))</f>
        <v/>
      </c>
      <c r="K175" s="15">
        <f>IF(OR(K174="",G174=""),"",IF(G174&lt;=0,"",IFERROR(K174/G174-1,"")))</f>
        <v/>
      </c>
      <c r="L175" s="15">
        <f>IF(OR(L174="",H174=""),"",IF(H174&lt;=0,"",IFERROR(L174/H174-1,"")))</f>
        <v/>
      </c>
      <c r="M175" s="15">
        <f>IF(OR(M174="",I174=""),"",IF(I174&lt;=0,"",IFERROR(M174/I174-1,"")))</f>
        <v/>
      </c>
      <c r="N175" s="15">
        <f>IF(OR(N174="",J174=""),"",IF(J174&lt;=0,"",IFERROR(N174/J174-1,"")))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  <c r="X175" s="15">
        <f>IF(OR(X174="",W174=""),"",IF(W174&lt;=0,"",IFERROR(X174/W174-1,"")))</f>
        <v/>
      </c>
    </row>
    <row r="176">
      <c r="A176" s="18" t="inlineStr">
        <is>
          <t>판매 사업 · 계</t>
        </is>
      </c>
      <c r="C176" s="20" t="n">
        <v>2477.967</v>
      </c>
      <c r="D176" s="20" t="n">
        <v>2512.146</v>
      </c>
      <c r="E176" s="20" t="n">
        <v>2795.294</v>
      </c>
      <c r="F176" s="20" t="n">
        <v>2786.511</v>
      </c>
      <c r="G176" s="20" t="n">
        <v>2605.668</v>
      </c>
      <c r="H176" s="20" t="n">
        <v>2586.722</v>
      </c>
      <c r="I176" s="20" t="n">
        <v>2490.969</v>
      </c>
      <c r="J176" s="20" t="n">
        <v>2384.297</v>
      </c>
      <c r="K176" s="20" t="n">
        <v>2544.08</v>
      </c>
      <c r="L176" s="20" t="n">
        <v>2583.313</v>
      </c>
      <c r="M176" s="20" t="n">
        <v>2868.51</v>
      </c>
      <c r="N176" s="20" t="n">
        <v>2636.404</v>
      </c>
      <c r="V176" s="20" t="n">
        <v>2512.146</v>
      </c>
      <c r="W176" s="20" t="n">
        <v>2586.722</v>
      </c>
      <c r="X176" s="20" t="n">
        <v>2583.313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I177" s="15">
        <f>IF(OR(I176="",E176=""),"",IF(E176&lt;=0,"",IFERROR(I176/E176-1,"")))</f>
        <v/>
      </c>
      <c r="J177" s="15">
        <f>IF(OR(J176="",F176=""),"",IF(F176&lt;=0,"",IFERROR(J176/F176-1,"")))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  <c r="M177" s="15">
        <f>IF(OR(M176="",I176=""),"",IF(I176&lt;=0,"",IFERROR(M176/I176-1,"")))</f>
        <v/>
      </c>
      <c r="N177" s="15">
        <f>IF(OR(N176="",J176=""),"",IF(J176&lt;=0,"",IFERROR(N176/J176-1,"")))</f>
        <v/>
      </c>
      <c r="V177" s="15">
        <f>IF(OR(V176="",U176=""),"",IF(U176&lt;=0,"",IFERROR(V176/U176-1,"")))</f>
        <v/>
      </c>
      <c r="W177" s="15">
        <f>IF(OR(W176="",V176=""),"",IF(V176&lt;=0,"",IFERROR(W176/V176-1,"")))</f>
        <v/>
      </c>
      <c r="X177" s="15">
        <f>IF(OR(X176="",W176=""),"",IF(W176&lt;=0,"",IFERROR(X176/W176-1,"")))</f>
        <v/>
      </c>
    </row>
    <row r="178">
      <c r="A178" s="18" t="inlineStr">
        <is>
          <t>기타 사업 · 계</t>
        </is>
      </c>
      <c r="C178" s="20" t="n">
        <v>182.598</v>
      </c>
      <c r="D178" s="20" t="n">
        <v>316.401</v>
      </c>
      <c r="E178" s="20" t="n">
        <v>130.425</v>
      </c>
      <c r="F178" s="20" t="n">
        <v>133.232</v>
      </c>
      <c r="G178" s="20" t="n">
        <v>90.79600000000001</v>
      </c>
      <c r="H178" s="20" t="n">
        <v>218.555</v>
      </c>
      <c r="I178" s="20" t="n">
        <v>69.571</v>
      </c>
      <c r="J178" s="20" t="n">
        <v>69.73</v>
      </c>
      <c r="K178" s="20" t="n">
        <v>81.264</v>
      </c>
      <c r="L178" s="20" t="n">
        <v>166.781</v>
      </c>
      <c r="M178" s="20" t="n">
        <v>132.307</v>
      </c>
      <c r="N178" s="20" t="n">
        <v>138.907</v>
      </c>
      <c r="V178" s="20" t="n">
        <v>316.401</v>
      </c>
      <c r="W178" s="20" t="n">
        <v>218.555</v>
      </c>
      <c r="X178" s="20" t="n">
        <v>166.781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K179" s="15">
        <f>IF(OR(K178="",G178=""),"",IF(G178&lt;=0,"",IFERROR(K178/G178-1,"")))</f>
        <v/>
      </c>
      <c r="L179" s="15">
        <f>IF(OR(L178="",H178=""),"",IF(H178&lt;=0,"",IFERROR(L178/H178-1,"")))</f>
        <v/>
      </c>
      <c r="M179" s="15">
        <f>IF(OR(M178="",I178=""),"",IF(I178&lt;=0,"",IFERROR(M178/I178-1,"")))</f>
        <v/>
      </c>
      <c r="N179" s="15">
        <f>IF(OR(N178="",J178=""),"",IF(J178&lt;=0,"",IFERROR(N178/J178-1,"")))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보고부문 합계 · 계</t>
        </is>
      </c>
      <c r="C180" s="20" t="n">
        <v>11870.4</v>
      </c>
      <c r="D180" s="20" t="n">
        <v>15575.182</v>
      </c>
      <c r="E180" s="20" t="n">
        <v>14977.283</v>
      </c>
      <c r="F180" s="20" t="n">
        <v>14495.884</v>
      </c>
      <c r="G180" s="20" t="n">
        <v>15083.136</v>
      </c>
      <c r="H180" s="20" t="n">
        <v>15120.374</v>
      </c>
      <c r="I180" s="20" t="n">
        <v>14807.878</v>
      </c>
      <c r="J180" s="20" t="n">
        <v>13387.51</v>
      </c>
      <c r="K180" s="20" t="n">
        <v>15043.119</v>
      </c>
      <c r="L180" s="20" t="n">
        <v>15294.292</v>
      </c>
      <c r="M180" s="20" t="n">
        <v>14239.148</v>
      </c>
      <c r="N180" s="20" t="n">
        <v>15281.099</v>
      </c>
      <c r="V180" s="20" t="n">
        <v>15575.182</v>
      </c>
      <c r="W180" s="20" t="n">
        <v>15120.374</v>
      </c>
      <c r="X180" s="20" t="n">
        <v>15294.292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K181" s="15">
        <f>IF(OR(K180="",G180=""),"",IF(G180&lt;=0,"",IFERROR(K180/G180-1,"")))</f>
        <v/>
      </c>
      <c r="L181" s="15">
        <f>IF(OR(L180="",H180=""),"",IF(H180&lt;=0,"",IFERROR(L180/H180-1,"")))</f>
        <v/>
      </c>
      <c r="M181" s="15">
        <f>IF(OR(M180="",I180=""),"",IF(I180&lt;=0,"",IFERROR(M180/I180-1,"")))</f>
        <v/>
      </c>
      <c r="N181" s="15">
        <f>IF(OR(N180="",J180=""),"",IF(J180&lt;=0,"",IFERROR(N180/J180-1,"")))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조정액 · 계</t>
        </is>
      </c>
      <c r="C182" s="20" t="n">
        <v>-309.893</v>
      </c>
      <c r="D182" s="20" t="n">
        <v>-438.828</v>
      </c>
      <c r="E182" s="20" t="n">
        <v>-363.15</v>
      </c>
      <c r="F182" s="20" t="n">
        <v>-371.851</v>
      </c>
      <c r="G182" s="20" t="n">
        <v>-469.599</v>
      </c>
      <c r="H182" s="20" t="n">
        <v>-361.969</v>
      </c>
      <c r="I182" s="20" t="n">
        <v>-207.592</v>
      </c>
      <c r="J182" s="20" t="n">
        <v>-221.97</v>
      </c>
      <c r="K182" s="20" t="n">
        <v>-322.716</v>
      </c>
      <c r="L182" s="20" t="n">
        <v>-295.957</v>
      </c>
      <c r="M182" s="20" t="n">
        <v>-262.733</v>
      </c>
      <c r="N182" s="20" t="n">
        <v>-252.735</v>
      </c>
      <c r="V182" s="20" t="n">
        <v>-438.828</v>
      </c>
      <c r="W182" s="20" t="n">
        <v>-361.969</v>
      </c>
      <c r="X182" s="20" t="n">
        <v>-295.957</v>
      </c>
    </row>
    <row r="183">
      <c r="A183" s="9" t="inlineStr">
        <is>
          <t>계</t>
        </is>
      </c>
      <c r="C183" s="12" t="n">
        <v>11560.508</v>
      </c>
      <c r="D183" s="12" t="n">
        <v>15136.353</v>
      </c>
      <c r="E183" s="12" t="n">
        <v>14614.133</v>
      </c>
      <c r="F183" s="12" t="n">
        <v>14124.032</v>
      </c>
      <c r="G183" s="12" t="n">
        <v>14613.537</v>
      </c>
      <c r="H183" s="12" t="n">
        <v>14758.405</v>
      </c>
      <c r="I183" s="12" t="n">
        <v>14600.285</v>
      </c>
      <c r="J183" s="12" t="n">
        <v>13165.54</v>
      </c>
      <c r="K183" s="12" t="n">
        <v>14720.404</v>
      </c>
      <c r="L183" s="12" t="n">
        <v>14998.334</v>
      </c>
      <c r="M183" s="12" t="n">
        <v>13976.414</v>
      </c>
      <c r="N183" s="12" t="n">
        <v>15028.365</v>
      </c>
      <c r="V183" s="12" t="n">
        <v>15136.353</v>
      </c>
      <c r="W183" s="12" t="n">
        <v>14758.405</v>
      </c>
      <c r="X183" s="12" t="n">
        <v>14998.334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제조 사업 · 부문 이익(손실)</t>
        </is>
      </c>
      <c r="C185" s="20" t="n">
        <v>748.771</v>
      </c>
      <c r="D185" s="20" t="n">
        <v>974.756</v>
      </c>
      <c r="E185" s="20" t="n">
        <v>1126.318</v>
      </c>
      <c r="F185" s="20" t="n">
        <v>796.307</v>
      </c>
      <c r="G185" s="20" t="n">
        <v>1151.079</v>
      </c>
      <c r="H185" s="20" t="n">
        <v>1261.409</v>
      </c>
      <c r="I185" s="20" t="n">
        <v>903.621</v>
      </c>
      <c r="J185" s="20" t="n">
        <v>418.163</v>
      </c>
      <c r="K185" s="20" t="n">
        <v>1141.888</v>
      </c>
      <c r="L185" s="20" t="n">
        <v>-174.031</v>
      </c>
      <c r="M185" s="20" t="n">
        <v>497.899</v>
      </c>
      <c r="N185" s="20" t="n">
        <v>690.001</v>
      </c>
      <c r="V185" s="20" t="n">
        <v>974.756</v>
      </c>
      <c r="W185" s="20" t="n">
        <v>1261.409</v>
      </c>
      <c r="X185" s="20" t="n">
        <v>-174.031</v>
      </c>
    </row>
    <row r="186">
      <c r="A186" s="43" t="inlineStr">
        <is>
          <t>OPM</t>
        </is>
      </c>
      <c r="B186" s="3" t="inlineStr">
        <is>
          <t>영업이익 ÷ 매출</t>
        </is>
      </c>
      <c r="C186" s="15">
        <f>IF(OR(C185="",C174=""),"",IF(C174&lt;=0,"",IFERROR(C185/C174,"")))</f>
        <v/>
      </c>
      <c r="D186" s="15">
        <f>IF(OR(D185="",D174=""),"",IF(D174&lt;=0,"",IFERROR(D185/D174,"")))</f>
        <v/>
      </c>
      <c r="E186" s="15">
        <f>IF(OR(E185="",E174=""),"",IF(E174&lt;=0,"",IFERROR(E185/E174,"")))</f>
        <v/>
      </c>
      <c r="F186" s="15">
        <f>IF(OR(F185="",F174=""),"",IF(F174&lt;=0,"",IFERROR(F185/F174,"")))</f>
        <v/>
      </c>
      <c r="G186" s="15">
        <f>IF(OR(G185="",G174=""),"",IF(G174&lt;=0,"",IFERROR(G185/G174,"")))</f>
        <v/>
      </c>
      <c r="H186" s="15">
        <f>IF(OR(H185="",H174=""),"",IF(H174&lt;=0,"",IFERROR(H185/H174,"")))</f>
        <v/>
      </c>
      <c r="I186" s="15">
        <f>IF(OR(I185="",I174=""),"",IF(I174&lt;=0,"",IFERROR(I185/I174,"")))</f>
        <v/>
      </c>
      <c r="J186" s="15">
        <f>IF(OR(J185="",J174=""),"",IF(J174&lt;=0,"",IFERROR(J185/J174,"")))</f>
        <v/>
      </c>
      <c r="K186" s="15">
        <f>IF(OR(K185="",K174=""),"",IF(K174&lt;=0,"",IFERROR(K185/K174,"")))</f>
        <v/>
      </c>
      <c r="L186" s="15">
        <f>IF(OR(L185="",L174=""),"",IF(L174&lt;=0,"",IFERROR(L185/L174,"")))</f>
        <v/>
      </c>
      <c r="M186" s="15">
        <f>IF(OR(M185="",M174=""),"",IF(M174&lt;=0,"",IFERROR(M185/M174,"")))</f>
        <v/>
      </c>
      <c r="N186" s="15">
        <f>IF(OR(N185="",N174=""),"",IF(N174&lt;=0,"",IFERROR(N185/N174,"")))</f>
        <v/>
      </c>
      <c r="V186" s="15">
        <f>IF(OR(V185="",V174=""),"",IF(V174&lt;=0,"",IFERROR(V185/V174,"")))</f>
        <v/>
      </c>
      <c r="W186" s="15">
        <f>IF(OR(W185="",W174=""),"",IF(W174&lt;=0,"",IFERROR(W185/W174,"")))</f>
        <v/>
      </c>
      <c r="X186" s="15">
        <f>IF(OR(X185="",X174=""),"",IF(X174&lt;=0,"",IFERROR(X185/X174,"")))</f>
        <v/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IF(OR(G185="",C185=""),"",IF(C185&lt;=0,"",IFERROR(G185/C185-1,"")))</f>
        <v/>
      </c>
      <c r="H187" s="15">
        <f>IF(OR(H185="",D185=""),"",IF(D185&lt;=0,"",IFERROR(H185/D185-1,"")))</f>
        <v/>
      </c>
      <c r="I187" s="15">
        <f>IF(OR(I185="",E185=""),"",IF(E185&lt;=0,"",IFERROR(I185/E185-1,"")))</f>
        <v/>
      </c>
      <c r="J187" s="15">
        <f>IF(OR(J185="",F185=""),"",IF(F185&lt;=0,"",IFERROR(J185/F185-1,"")))</f>
        <v/>
      </c>
      <c r="K187" s="15">
        <f>IF(OR(K185="",G185=""),"",IF(G185&lt;=0,"",IFERROR(K185/G185-1,"")))</f>
        <v/>
      </c>
      <c r="L187" s="15">
        <f>IF(OR(L185="",H185=""),"",IF(H185&lt;=0,"",IFERROR(L185/H185-1,"")))</f>
        <v/>
      </c>
      <c r="M187" s="15">
        <f>IF(OR(M185="",I185=""),"",IF(I185&lt;=0,"",IFERROR(M185/I185-1,"")))</f>
        <v/>
      </c>
      <c r="N187" s="15">
        <f>IF(OR(N185="",J185=""),"",IF(J185&lt;=0,"",IFERROR(N185/J185-1,"")))</f>
        <v/>
      </c>
      <c r="V187" s="15">
        <f>IF(OR(V185="",U185=""),"",IF(U185&lt;=0,"",IFERROR(V185/U185-1,"")))</f>
        <v/>
      </c>
      <c r="W187" s="15">
        <f>IF(OR(W185="",V185=""),"",IF(V185&lt;=0,"",IFERROR(W185/V185-1,"")))</f>
        <v/>
      </c>
      <c r="X187" s="15">
        <f>IF(OR(X185="",W185=""),"",IF(W185&lt;=0,"",IFERROR(X185/W185-1,"")))</f>
        <v/>
      </c>
    </row>
    <row r="188">
      <c r="A188" s="18" t="inlineStr">
        <is>
          <t>판매 사업 · 부문 이익(손실)</t>
        </is>
      </c>
      <c r="C188" s="20" t="n">
        <v>206.975</v>
      </c>
      <c r="D188" s="20" t="n">
        <v>83.77800000000001</v>
      </c>
      <c r="E188" s="20" t="n">
        <v>225.563</v>
      </c>
      <c r="F188" s="20" t="n">
        <v>204.575</v>
      </c>
      <c r="G188" s="20" t="n">
        <v>99.536</v>
      </c>
      <c r="H188" s="20" t="n">
        <v>57.101</v>
      </c>
      <c r="I188" s="20" t="n">
        <v>29.998</v>
      </c>
      <c r="J188" s="20" t="n">
        <v>39.753</v>
      </c>
      <c r="K188" s="20" t="n">
        <v>45.976</v>
      </c>
      <c r="L188" s="20" t="n">
        <v>7.895</v>
      </c>
      <c r="M188" s="20" t="n">
        <v>108.758</v>
      </c>
      <c r="N188" s="20" t="n">
        <v>53.264</v>
      </c>
      <c r="V188" s="20" t="n">
        <v>83.77800000000001</v>
      </c>
      <c r="W188" s="20" t="n">
        <v>57.101</v>
      </c>
      <c r="X188" s="20" t="n">
        <v>7.895</v>
      </c>
    </row>
    <row r="189">
      <c r="A189" s="43" t="inlineStr">
        <is>
          <t>OPM</t>
        </is>
      </c>
      <c r="B189" s="3" t="inlineStr">
        <is>
          <t>영업이익 ÷ 매출</t>
        </is>
      </c>
      <c r="C189" s="15">
        <f>IF(OR(C188="",C176=""),"",IF(C176&lt;=0,"",IFERROR(C188/C176,"")))</f>
        <v/>
      </c>
      <c r="D189" s="15">
        <f>IF(OR(D188="",D176=""),"",IF(D176&lt;=0,"",IFERROR(D188/D176,"")))</f>
        <v/>
      </c>
      <c r="E189" s="15">
        <f>IF(OR(E188="",E176=""),"",IF(E176&lt;=0,"",IFERROR(E188/E176,"")))</f>
        <v/>
      </c>
      <c r="F189" s="15">
        <f>IF(OR(F188="",F176=""),"",IF(F176&lt;=0,"",IFERROR(F188/F176,"")))</f>
        <v/>
      </c>
      <c r="G189" s="15">
        <f>IF(OR(G188="",G176=""),"",IF(G176&lt;=0,"",IFERROR(G188/G176,"")))</f>
        <v/>
      </c>
      <c r="H189" s="15">
        <f>IF(OR(H188="",H176=""),"",IF(H176&lt;=0,"",IFERROR(H188/H176,"")))</f>
        <v/>
      </c>
      <c r="I189" s="15">
        <f>IF(OR(I188="",I176=""),"",IF(I176&lt;=0,"",IFERROR(I188/I176,"")))</f>
        <v/>
      </c>
      <c r="J189" s="15">
        <f>IF(OR(J188="",J176=""),"",IF(J176&lt;=0,"",IFERROR(J188/J176,"")))</f>
        <v/>
      </c>
      <c r="K189" s="15">
        <f>IF(OR(K188="",K176=""),"",IF(K176&lt;=0,"",IFERROR(K188/K176,"")))</f>
        <v/>
      </c>
      <c r="L189" s="15">
        <f>IF(OR(L188="",L176=""),"",IF(L176&lt;=0,"",IFERROR(L188/L176,"")))</f>
        <v/>
      </c>
      <c r="M189" s="15">
        <f>IF(OR(M188="",M176=""),"",IF(M176&lt;=0,"",IFERROR(M188/M176,"")))</f>
        <v/>
      </c>
      <c r="N189" s="15">
        <f>IF(OR(N188="",N176=""),"",IF(N176&lt;=0,"",IFERROR(N188/N176,"")))</f>
        <v/>
      </c>
      <c r="V189" s="15">
        <f>IF(OR(V188="",V176=""),"",IF(V176&lt;=0,"",IFERROR(V188/V176,"")))</f>
        <v/>
      </c>
      <c r="W189" s="15">
        <f>IF(OR(W188="",W176=""),"",IF(W176&lt;=0,"",IFERROR(W188/W176,"")))</f>
        <v/>
      </c>
      <c r="X189" s="15">
        <f>IF(OR(X188="",X176=""),"",IF(X176&lt;=0,"",IFERROR(X188/X176,"")))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IF(OR(G188="",C188=""),"",IF(C188&lt;=0,"",IFERROR(G188/C188-1,"")))</f>
        <v/>
      </c>
      <c r="H190" s="15">
        <f>IF(OR(H188="",D188=""),"",IF(D188&lt;=0,"",IFERROR(H188/D188-1,"")))</f>
        <v/>
      </c>
      <c r="I190" s="15">
        <f>IF(OR(I188="",E188=""),"",IF(E188&lt;=0,"",IFERROR(I188/E188-1,"")))</f>
        <v/>
      </c>
      <c r="J190" s="15">
        <f>IF(OR(J188="",F188=""),"",IF(F188&lt;=0,"",IFERROR(J188/F188-1,"")))</f>
        <v/>
      </c>
      <c r="K190" s="15">
        <f>IF(OR(K188="",G188=""),"",IF(G188&lt;=0,"",IFERROR(K188/G188-1,"")))</f>
        <v/>
      </c>
      <c r="L190" s="15">
        <f>IF(OR(L188="",H188=""),"",IF(H188&lt;=0,"",IFERROR(L188/H188-1,"")))</f>
        <v/>
      </c>
      <c r="M190" s="15">
        <f>IF(OR(M188="",I188=""),"",IF(I188&lt;=0,"",IFERROR(M188/I188-1,"")))</f>
        <v/>
      </c>
      <c r="N190" s="15">
        <f>IF(OR(N188="",J188=""),"",IF(J188&lt;=0,"",IFERROR(N188/J188-1,"")))</f>
        <v/>
      </c>
      <c r="V190" s="15">
        <f>IF(OR(V188="",U188=""),"",IF(U188&lt;=0,"",IFERROR(V188/U188-1,"")))</f>
        <v/>
      </c>
      <c r="W190" s="15">
        <f>IF(OR(W188="",V188=""),"",IF(V188&lt;=0,"",IFERROR(W188/V188-1,"")))</f>
        <v/>
      </c>
      <c r="X190" s="15">
        <f>IF(OR(X188="",W188=""),"",IF(W188&lt;=0,"",IFERROR(X188/W188-1,"")))</f>
        <v/>
      </c>
    </row>
    <row r="191">
      <c r="A191" s="18" t="inlineStr">
        <is>
          <t>기타 사업 · 부문 이익(손실)</t>
        </is>
      </c>
      <c r="C191" s="20" t="n">
        <v>9.428000000000001</v>
      </c>
      <c r="D191" s="20" t="n">
        <v>49.345</v>
      </c>
      <c r="E191" s="20" t="n">
        <v>-6.897</v>
      </c>
      <c r="F191" s="20" t="n">
        <v>-5.327</v>
      </c>
      <c r="G191" s="20" t="n">
        <v>-36.908</v>
      </c>
      <c r="H191" s="20" t="n">
        <v>-21.381</v>
      </c>
      <c r="I191" s="20" t="n">
        <v>-43.708</v>
      </c>
      <c r="J191" s="20" t="n">
        <v>-36.656</v>
      </c>
      <c r="K191" s="20" t="n">
        <v>-30.082</v>
      </c>
      <c r="L191" s="20" t="n">
        <v>-41.799</v>
      </c>
      <c r="M191" s="20" t="n">
        <v>-4.332</v>
      </c>
      <c r="N191" s="20" t="n">
        <v>-1.38</v>
      </c>
      <c r="V191" s="20" t="n">
        <v>49.345</v>
      </c>
      <c r="W191" s="20" t="n">
        <v>-21.381</v>
      </c>
      <c r="X191" s="20" t="n">
        <v>-41.799</v>
      </c>
    </row>
    <row r="192">
      <c r="A192" s="43" t="inlineStr">
        <is>
          <t>OPM</t>
        </is>
      </c>
      <c r="B192" s="3" t="inlineStr">
        <is>
          <t>영업이익 ÷ 매출</t>
        </is>
      </c>
      <c r="C192" s="15">
        <f>IF(OR(C191="",C178=""),"",IF(C178&lt;=0,"",IFERROR(C191/C178,"")))</f>
        <v/>
      </c>
      <c r="D192" s="15">
        <f>IF(OR(D191="",D178=""),"",IF(D178&lt;=0,"",IFERROR(D191/D178,"")))</f>
        <v/>
      </c>
      <c r="E192" s="15">
        <f>IF(OR(E191="",E178=""),"",IF(E178&lt;=0,"",IFERROR(E191/E178,"")))</f>
        <v/>
      </c>
      <c r="F192" s="15">
        <f>IF(OR(F191="",F178=""),"",IF(F178&lt;=0,"",IFERROR(F191/F178,"")))</f>
        <v/>
      </c>
      <c r="G192" s="15">
        <f>IF(OR(G191="",G178=""),"",IF(G178&lt;=0,"",IFERROR(G191/G178,"")))</f>
        <v/>
      </c>
      <c r="H192" s="15">
        <f>IF(OR(H191="",H178=""),"",IF(H178&lt;=0,"",IFERROR(H191/H178,"")))</f>
        <v/>
      </c>
      <c r="I192" s="15">
        <f>IF(OR(I191="",I178=""),"",IF(I178&lt;=0,"",IFERROR(I191/I178,"")))</f>
        <v/>
      </c>
      <c r="J192" s="15">
        <f>IF(OR(J191="",J178=""),"",IF(J178&lt;=0,"",IFERROR(J191/J178,"")))</f>
        <v/>
      </c>
      <c r="K192" s="15">
        <f>IF(OR(K191="",K178=""),"",IF(K178&lt;=0,"",IFERROR(K191/K178,"")))</f>
        <v/>
      </c>
      <c r="L192" s="15">
        <f>IF(OR(L191="",L178=""),"",IF(L178&lt;=0,"",IFERROR(L191/L178,"")))</f>
        <v/>
      </c>
      <c r="M192" s="15">
        <f>IF(OR(M191="",M178=""),"",IF(M178&lt;=0,"",IFERROR(M191/M178,"")))</f>
        <v/>
      </c>
      <c r="N192" s="15">
        <f>IF(OR(N191="",N178=""),"",IF(N178&lt;=0,"",IFERROR(N191/N178,"")))</f>
        <v/>
      </c>
      <c r="V192" s="15">
        <f>IF(OR(V191="",V178=""),"",IF(V178&lt;=0,"",IFERROR(V191/V178,"")))</f>
        <v/>
      </c>
      <c r="W192" s="15">
        <f>IF(OR(W191="",W178=""),"",IF(W178&lt;=0,"",IFERROR(W191/W178,"")))</f>
        <v/>
      </c>
      <c r="X192" s="15">
        <f>IF(OR(X191="",X178=""),"",IF(X178&lt;=0,"",IFERROR(X191/X178,"")))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IF(OR(G191="",C191=""),"",IF(C191&lt;=0,"",IFERROR(G191/C191-1,"")))</f>
        <v/>
      </c>
      <c r="H193" s="15">
        <f>IF(OR(H191="",D191=""),"",IF(D191&lt;=0,"",IFERROR(H191/D191-1,"")))</f>
        <v/>
      </c>
      <c r="I193" s="15">
        <f>IF(OR(I191="",E191=""),"",IF(E191&lt;=0,"",IFERROR(I191/E191-1,"")))</f>
        <v/>
      </c>
      <c r="J193" s="15">
        <f>IF(OR(J191="",F191=""),"",IF(F191&lt;=0,"",IFERROR(J191/F191-1,"")))</f>
        <v/>
      </c>
      <c r="K193" s="15">
        <f>IF(OR(K191="",G191=""),"",IF(G191&lt;=0,"",IFERROR(K191/G191-1,"")))</f>
        <v/>
      </c>
      <c r="L193" s="15">
        <f>IF(OR(L191="",H191=""),"",IF(H191&lt;=0,"",IFERROR(L191/H191-1,"")))</f>
        <v/>
      </c>
      <c r="M193" s="15">
        <f>IF(OR(M191="",I191=""),"",IF(I191&lt;=0,"",IFERROR(M191/I191-1,"")))</f>
        <v/>
      </c>
      <c r="N193" s="15">
        <f>IF(OR(N191="",J191=""),"",IF(J191&lt;=0,"",IFERROR(N191/J191-1,"")))</f>
        <v/>
      </c>
      <c r="V193" s="15">
        <f>IF(OR(V191="",U191=""),"",IF(U191&lt;=0,"",IFERROR(V191/U191-1,"")))</f>
        <v/>
      </c>
      <c r="W193" s="15">
        <f>IF(OR(W191="",V191=""),"",IF(V191&lt;=0,"",IFERROR(W191/V191-1,"")))</f>
        <v/>
      </c>
      <c r="X193" s="15">
        <f>IF(OR(X191="",W191=""),"",IF(W191&lt;=0,"",IFERROR(X191/W191-1,"")))</f>
        <v/>
      </c>
    </row>
    <row r="194">
      <c r="A194" s="18" t="inlineStr">
        <is>
          <t>보고부문 합계 · 부문 이익(손실)</t>
        </is>
      </c>
      <c r="C194" s="20" t="n">
        <v>965.174</v>
      </c>
      <c r="D194" s="20" t="n">
        <v>1107.878</v>
      </c>
      <c r="E194" s="20" t="n">
        <v>1344.984</v>
      </c>
      <c r="F194" s="20" t="n">
        <v>995.5549999999999</v>
      </c>
      <c r="G194" s="20" t="n">
        <v>1213.707</v>
      </c>
      <c r="H194" s="20" t="n">
        <v>1297.13</v>
      </c>
      <c r="I194" s="20" t="n">
        <v>889.9109999999999</v>
      </c>
      <c r="J194" s="20" t="n">
        <v>421.261</v>
      </c>
      <c r="K194" s="20" t="n">
        <v>1157.781</v>
      </c>
      <c r="L194" s="20" t="n">
        <v>-207.935</v>
      </c>
      <c r="M194" s="20" t="n">
        <v>602.325</v>
      </c>
      <c r="N194" s="20" t="n">
        <v>741.885</v>
      </c>
      <c r="V194" s="20" t="n">
        <v>1107.878</v>
      </c>
      <c r="W194" s="20" t="n">
        <v>1297.13</v>
      </c>
      <c r="X194" s="20" t="n">
        <v>-207.935</v>
      </c>
    </row>
    <row r="195">
      <c r="A195" s="43" t="inlineStr">
        <is>
          <t>OPM</t>
        </is>
      </c>
      <c r="B195" s="3" t="inlineStr">
        <is>
          <t>영업이익 ÷ 매출</t>
        </is>
      </c>
      <c r="C195" s="15">
        <f>IF(OR(C194="",C180=""),"",IF(C180&lt;=0,"",IFERROR(C194/C180,"")))</f>
        <v/>
      </c>
      <c r="D195" s="15">
        <f>IF(OR(D194="",D180=""),"",IF(D180&lt;=0,"",IFERROR(D194/D180,"")))</f>
        <v/>
      </c>
      <c r="E195" s="15">
        <f>IF(OR(E194="",E180=""),"",IF(E180&lt;=0,"",IFERROR(E194/E180,"")))</f>
        <v/>
      </c>
      <c r="F195" s="15">
        <f>IF(OR(F194="",F180=""),"",IF(F180&lt;=0,"",IFERROR(F194/F180,"")))</f>
        <v/>
      </c>
      <c r="G195" s="15">
        <f>IF(OR(G194="",G180=""),"",IF(G180&lt;=0,"",IFERROR(G194/G180,"")))</f>
        <v/>
      </c>
      <c r="H195" s="15">
        <f>IF(OR(H194="",H180=""),"",IF(H180&lt;=0,"",IFERROR(H194/H180,"")))</f>
        <v/>
      </c>
      <c r="I195" s="15">
        <f>IF(OR(I194="",I180=""),"",IF(I180&lt;=0,"",IFERROR(I194/I180,"")))</f>
        <v/>
      </c>
      <c r="J195" s="15">
        <f>IF(OR(J194="",J180=""),"",IF(J180&lt;=0,"",IFERROR(J194/J180,"")))</f>
        <v/>
      </c>
      <c r="K195" s="15">
        <f>IF(OR(K194="",K180=""),"",IF(K180&lt;=0,"",IFERROR(K194/K180,"")))</f>
        <v/>
      </c>
      <c r="L195" s="15">
        <f>IF(OR(L194="",L180=""),"",IF(L180&lt;=0,"",IFERROR(L194/L180,"")))</f>
        <v/>
      </c>
      <c r="M195" s="15">
        <f>IF(OR(M194="",M180=""),"",IF(M180&lt;=0,"",IFERROR(M194/M180,"")))</f>
        <v/>
      </c>
      <c r="N195" s="15">
        <f>IF(OR(N194="",N180=""),"",IF(N180&lt;=0,"",IFERROR(N194/N180,"")))</f>
        <v/>
      </c>
      <c r="V195" s="15">
        <f>IF(OR(V194="",V180=""),"",IF(V180&lt;=0,"",IFERROR(V194/V180,"")))</f>
        <v/>
      </c>
      <c r="W195" s="15">
        <f>IF(OR(W194="",W180=""),"",IF(W180&lt;=0,"",IFERROR(W194/W180,"")))</f>
        <v/>
      </c>
      <c r="X195" s="15">
        <f>IF(OR(X194="",X180=""),"",IF(X180&lt;=0,"",IFERROR(X194/X180,"")))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IF(OR(G194="",C194=""),"",IF(C194&lt;=0,"",IFERROR(G194/C194-1,"")))</f>
        <v/>
      </c>
      <c r="H196" s="15">
        <f>IF(OR(H194="",D194=""),"",IF(D194&lt;=0,"",IFERROR(H194/D194-1,"")))</f>
        <v/>
      </c>
      <c r="I196" s="15">
        <f>IF(OR(I194="",E194=""),"",IF(E194&lt;=0,"",IFERROR(I194/E194-1,"")))</f>
        <v/>
      </c>
      <c r="J196" s="15">
        <f>IF(OR(J194="",F194=""),"",IF(F194&lt;=0,"",IFERROR(J194/F194-1,"")))</f>
        <v/>
      </c>
      <c r="K196" s="15">
        <f>IF(OR(K194="",G194=""),"",IF(G194&lt;=0,"",IFERROR(K194/G194-1,"")))</f>
        <v/>
      </c>
      <c r="L196" s="15">
        <f>IF(OR(L194="",H194=""),"",IF(H194&lt;=0,"",IFERROR(L194/H194-1,"")))</f>
        <v/>
      </c>
      <c r="M196" s="15">
        <f>IF(OR(M194="",I194=""),"",IF(I194&lt;=0,"",IFERROR(M194/I194-1,"")))</f>
        <v/>
      </c>
      <c r="N196" s="15">
        <f>IF(OR(N194="",J194=""),"",IF(J194&lt;=0,"",IFERROR(N194/J194-1,"")))</f>
        <v/>
      </c>
      <c r="V196" s="15">
        <f>IF(OR(V194="",U194=""),"",IF(U194&lt;=0,"",IFERROR(V194/U194-1,"")))</f>
        <v/>
      </c>
      <c r="W196" s="15">
        <f>IF(OR(W194="",V194=""),"",IF(V194&lt;=0,"",IFERROR(W194/V194-1,"")))</f>
        <v/>
      </c>
      <c r="X196" s="15">
        <f>IF(OR(X194="",W194=""),"",IF(W194&lt;=0,"",IFERROR(X194/W194-1,"")))</f>
        <v/>
      </c>
    </row>
    <row r="197">
      <c r="A197" s="18" t="inlineStr">
        <is>
          <t>조정액 · 부문 이익(손실)</t>
        </is>
      </c>
      <c r="C197" s="20" t="n">
        <v>-508.426</v>
      </c>
      <c r="D197" s="20" t="n">
        <v>-100.678</v>
      </c>
      <c r="E197" s="20" t="n">
        <v>-219.293</v>
      </c>
      <c r="F197" s="20" t="n">
        <v>-190.777</v>
      </c>
      <c r="G197" s="20" t="n">
        <v>-144.973</v>
      </c>
      <c r="H197" s="20" t="n">
        <v>-135.052</v>
      </c>
      <c r="I197" s="20" t="n">
        <v>-189.794</v>
      </c>
      <c r="J197" s="20" t="n">
        <v>-200.108</v>
      </c>
      <c r="K197" s="20" t="n">
        <v>-160.776</v>
      </c>
      <c r="L197" s="20" t="n">
        <v>-142.296</v>
      </c>
      <c r="M197" s="20" t="n">
        <v>-252.327</v>
      </c>
      <c r="N197" s="20" t="n">
        <v>-223.196</v>
      </c>
      <c r="V197" s="20" t="n">
        <v>-100.678</v>
      </c>
      <c r="W197" s="20" t="n">
        <v>-135.052</v>
      </c>
      <c r="X197" s="20" t="n">
        <v>-142.296</v>
      </c>
    </row>
    <row r="198">
      <c r="A198" s="9" t="inlineStr">
        <is>
          <t>부문 이익(손실)</t>
        </is>
      </c>
      <c r="C198" s="12" t="n">
        <v>456.747</v>
      </c>
      <c r="D198" s="12" t="n">
        <v>1007.201</v>
      </c>
      <c r="E198" s="12" t="n">
        <v>1125.69</v>
      </c>
      <c r="F198" s="12" t="n">
        <v>804.778</v>
      </c>
      <c r="G198" s="12" t="n">
        <v>1068.735</v>
      </c>
      <c r="H198" s="12" t="n">
        <v>1162.077</v>
      </c>
      <c r="I198" s="12" t="n">
        <v>700.116</v>
      </c>
      <c r="J198" s="12" t="n">
        <v>221.153</v>
      </c>
      <c r="K198" s="12" t="n">
        <v>997.005</v>
      </c>
      <c r="L198" s="12" t="n">
        <v>-350.231</v>
      </c>
      <c r="M198" s="12" t="n">
        <v>349.997</v>
      </c>
      <c r="N198" s="12" t="n">
        <v>518.6900000000001</v>
      </c>
      <c r="V198" s="12" t="n">
        <v>1007.201</v>
      </c>
      <c r="W198" s="12" t="n">
        <v>1162.077</v>
      </c>
      <c r="X198" s="12" t="n">
        <v>-350.231</v>
      </c>
    </row>
    <row r="199">
      <c r="A199" s="43" t="inlineStr">
        <is>
          <t>OPM</t>
        </is>
      </c>
      <c r="B199" s="3" t="inlineStr">
        <is>
          <t>영업이익 ÷ 매출</t>
        </is>
      </c>
      <c r="C199" s="15">
        <f>IF(OR(C198="",C166=""),"",IF(C166&lt;=0,"",IFERROR(C198/C166,"")))</f>
        <v/>
      </c>
      <c r="D199" s="15">
        <f>IF(OR(D198="",D166=""),"",IF(D166&lt;=0,"",IFERROR(D198/D166,"")))</f>
        <v/>
      </c>
      <c r="E199" s="15">
        <f>IF(OR(E198="",E166=""),"",IF(E166&lt;=0,"",IFERROR(E198/E166,"")))</f>
        <v/>
      </c>
      <c r="F199" s="15">
        <f>IF(OR(F198="",F166=""),"",IF(F166&lt;=0,"",IFERROR(F198/F166,"")))</f>
        <v/>
      </c>
      <c r="G199" s="15">
        <f>IF(OR(G198="",G166=""),"",IF(G166&lt;=0,"",IFERROR(G198/G166,"")))</f>
        <v/>
      </c>
      <c r="H199" s="15">
        <f>IF(OR(H198="",H166=""),"",IF(H166&lt;=0,"",IFERROR(H198/H166,"")))</f>
        <v/>
      </c>
      <c r="I199" s="15">
        <f>IF(OR(I198="",I166=""),"",IF(I166&lt;=0,"",IFERROR(I198/I166,"")))</f>
        <v/>
      </c>
      <c r="J199" s="15">
        <f>IF(OR(J198="",J166=""),"",IF(J166&lt;=0,"",IFERROR(J198/J166,"")))</f>
        <v/>
      </c>
      <c r="K199" s="15">
        <f>IF(OR(K198="",K166=""),"",IF(K166&lt;=0,"",IFERROR(K198/K166,"")))</f>
        <v/>
      </c>
      <c r="L199" s="15">
        <f>IF(OR(L198="",L166=""),"",IF(L166&lt;=0,"",IFERROR(L198/L166,"")))</f>
        <v/>
      </c>
      <c r="M199" s="15">
        <f>IF(OR(M198="",M166=""),"",IF(M166&lt;=0,"",IFERROR(M198/M166,"")))</f>
        <v/>
      </c>
      <c r="N199" s="15">
        <f>IF(OR(N198="",N166=""),"",IF(N166&lt;=0,"",IFERROR(N198/N166,"")))</f>
        <v/>
      </c>
      <c r="V199" s="15">
        <f>IF(OR(V198="",V166=""),"",IF(V166&lt;=0,"",IFERROR(V198/V166,"")))</f>
        <v/>
      </c>
      <c r="W199" s="15">
        <f>IF(OR(W198="",W166=""),"",IF(W166&lt;=0,"",IFERROR(W198/W166,"")))</f>
        <v/>
      </c>
      <c r="X199" s="15">
        <f>IF(OR(X198="",X166=""),"",IF(X166&lt;=0,"",IFERROR(X198/X166,"")))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IF(OR(G198="",C198=""),"",IF(C198&lt;=0,"",IFERROR(G198/C198-1,"")))</f>
        <v/>
      </c>
      <c r="H200" s="15">
        <f>IF(OR(H198="",D198=""),"",IF(D198&lt;=0,"",IFERROR(H198/D198-1,"")))</f>
        <v/>
      </c>
      <c r="I200" s="15">
        <f>IF(OR(I198="",E198=""),"",IF(E198&lt;=0,"",IFERROR(I198/E198-1,"")))</f>
        <v/>
      </c>
      <c r="J200" s="15">
        <f>IF(OR(J198="",F198=""),"",IF(F198&lt;=0,"",IFERROR(J198/F198-1,"")))</f>
        <v/>
      </c>
      <c r="K200" s="15">
        <f>IF(OR(K198="",G198=""),"",IF(G198&lt;=0,"",IFERROR(K198/G198-1,"")))</f>
        <v/>
      </c>
      <c r="L200" s="15">
        <f>IF(OR(L198="",H198=""),"",IF(H198&lt;=0,"",IFERROR(L198/H198-1,"")))</f>
        <v/>
      </c>
      <c r="M200" s="15">
        <f>IF(OR(M198="",I198=""),"",IF(I198&lt;=0,"",IFERROR(M198/I198-1,"")))</f>
        <v/>
      </c>
      <c r="N200" s="15">
        <f>IF(OR(N198="",J198=""),"",IF(J198&lt;=0,"",IFERROR(N198/J198-1,"")))</f>
        <v/>
      </c>
      <c r="V200" s="15">
        <f>IF(OR(V198="",U198=""),"",IF(U198&lt;=0,"",IFERROR(V198/U198-1,"")))</f>
        <v/>
      </c>
      <c r="W200" s="15">
        <f>IF(OR(W198="",V198=""),"",IF(V198&lt;=0,"",IFERROR(W198/V198-1,"")))</f>
        <v/>
      </c>
      <c r="X200" s="15">
        <f>IF(OR(X198="",W198=""),"",IF(W198&lt;=0,"",IFERROR(X198/W198-1,"")))</f>
        <v/>
      </c>
    </row>
    <row r="202">
      <c r="A202" s="16" t="inlineStr">
        <is>
          <t>현금흐름표 · 전 항목</t>
        </is>
      </c>
      <c r="B202" s="42" t="inlineStr">
        <is>
          <t>분기 = 결산기 첫날부터 누계(공시 그대로)</t>
        </is>
      </c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</row>
    <row r="203">
      <c r="A203" s="5" t="inlineStr">
        <is>
          <t>항목</t>
        </is>
      </c>
      <c r="B203" s="5" t="inlineStr">
        <is>
          <t>참고</t>
        </is>
      </c>
      <c r="C203" s="5" t="inlineStr">
        <is>
          <t>2024.3Q</t>
        </is>
      </c>
      <c r="D203" s="5" t="inlineStr">
        <is>
          <t>2024.4Q</t>
        </is>
      </c>
      <c r="E203" s="5" t="inlineStr">
        <is>
          <t>2025.1Q</t>
        </is>
      </c>
      <c r="F203" s="5" t="inlineStr">
        <is>
          <t>2025.2Q</t>
        </is>
      </c>
      <c r="G203" s="5" t="inlineStr">
        <is>
          <t>2025.3Q</t>
        </is>
      </c>
      <c r="H203" s="5" t="inlineStr">
        <is>
          <t>2025.4Q</t>
        </is>
      </c>
      <c r="I203" s="5" t="inlineStr">
        <is>
          <t>2026.1Q</t>
        </is>
      </c>
      <c r="J203" s="5" t="inlineStr">
        <is>
          <t>2026.2Q</t>
        </is>
      </c>
      <c r="K203" s="5" t="inlineStr">
        <is>
          <t>2026.3Q</t>
        </is>
      </c>
      <c r="L203" s="5" t="inlineStr">
        <is>
          <t>2026.4Q</t>
        </is>
      </c>
      <c r="M203" s="5" t="inlineStr">
        <is>
          <t>2027.1Q</t>
        </is>
      </c>
      <c r="N203" s="5" t="inlineStr">
        <is>
          <t>2027.2Q</t>
        </is>
      </c>
      <c r="O203" s="5" t="inlineStr">
        <is>
          <t>2017</t>
        </is>
      </c>
      <c r="P203" s="5" t="inlineStr">
        <is>
          <t>2018</t>
        </is>
      </c>
      <c r="Q203" s="5" t="inlineStr">
        <is>
          <t>2019</t>
        </is>
      </c>
      <c r="R203" s="5" t="inlineStr">
        <is>
          <t>2020</t>
        </is>
      </c>
      <c r="S203" s="5" t="inlineStr">
        <is>
          <t>2021</t>
        </is>
      </c>
      <c r="T203" s="5" t="inlineStr">
        <is>
          <t>2022</t>
        </is>
      </c>
      <c r="U203" s="5" t="inlineStr">
        <is>
          <t>2023</t>
        </is>
      </c>
      <c r="V203" s="5" t="inlineStr">
        <is>
          <t>2024</t>
        </is>
      </c>
      <c r="W203" s="5" t="inlineStr">
        <is>
          <t>2025</t>
        </is>
      </c>
      <c r="X203" s="5" t="inlineStr">
        <is>
          <t>2026</t>
        </is>
      </c>
      <c r="Y203" s="5" t="inlineStr">
        <is>
          <t>2027(MW)</t>
        </is>
      </c>
      <c r="Z203" s="5" t="inlineStr">
        <is>
          <t>2028(MW)</t>
        </is>
      </c>
      <c r="AA203" s="5" t="inlineStr">
        <is>
          <t>2029(MW)</t>
        </is>
      </c>
      <c r="AB203" s="5" t="inlineStr">
        <is>
          <t>2030(MW)</t>
        </is>
      </c>
      <c r="AC203" s="5" t="inlineStr">
        <is>
          <t>2031(MW)</t>
        </is>
      </c>
    </row>
    <row r="204">
      <c r="A204" s="9" t="inlineStr">
        <is>
          <t>법인세차감전 순이익</t>
        </is>
      </c>
      <c r="D204" s="12" t="n">
        <v>2107.08</v>
      </c>
      <c r="F204" s="12" t="n">
        <v>1940.833</v>
      </c>
      <c r="H204" s="12" t="n">
        <v>4750.935</v>
      </c>
      <c r="J204" s="12" t="n">
        <v>1344.909</v>
      </c>
      <c r="L204" s="12" t="n">
        <v>2492.22</v>
      </c>
      <c r="N204" s="12" t="n">
        <v>2248.25</v>
      </c>
      <c r="O204" s="12" t="n">
        <v>525.787</v>
      </c>
      <c r="P204" s="12" t="n">
        <v>576.254</v>
      </c>
      <c r="Q204" s="12" t="n">
        <v>429.228</v>
      </c>
      <c r="R204" s="12" t="n">
        <v>718.8920000000001</v>
      </c>
      <c r="S204" s="12" t="n">
        <v>751.789</v>
      </c>
      <c r="T204" s="12" t="n">
        <v>930.567</v>
      </c>
      <c r="U204" s="12" t="n">
        <v>1287.066</v>
      </c>
      <c r="V204" s="12" t="n">
        <v>2107.08</v>
      </c>
      <c r="W204" s="12" t="n">
        <v>4750.935</v>
      </c>
      <c r="X204" s="12" t="n">
        <v>2492.22</v>
      </c>
    </row>
    <row r="205">
      <c r="A205" s="18" t="inlineStr">
        <is>
          <t>감가상각비</t>
        </is>
      </c>
      <c r="D205" s="20" t="n">
        <v>1093.307</v>
      </c>
      <c r="F205" s="20" t="n">
        <v>769.054</v>
      </c>
      <c r="H205" s="20" t="n">
        <v>1573.496</v>
      </c>
      <c r="J205" s="20" t="n">
        <v>752.616</v>
      </c>
      <c r="L205" s="20" t="n">
        <v>1596.16</v>
      </c>
      <c r="N205" s="20" t="n">
        <v>818.312</v>
      </c>
      <c r="O205" s="20" t="n">
        <v>190.963</v>
      </c>
      <c r="P205" s="20" t="n">
        <v>224.296</v>
      </c>
      <c r="Q205" s="20" t="n">
        <v>281.546</v>
      </c>
      <c r="R205" s="20" t="n">
        <v>427.625</v>
      </c>
      <c r="S205" s="20" t="n">
        <v>491.617</v>
      </c>
      <c r="T205" s="20" t="n">
        <v>448.003</v>
      </c>
      <c r="U205" s="20" t="n">
        <v>588.622</v>
      </c>
      <c r="V205" s="20" t="n">
        <v>1093.307</v>
      </c>
      <c r="W205" s="20" t="n">
        <v>1573.496</v>
      </c>
      <c r="X205" s="20" t="n">
        <v>1596.16</v>
      </c>
    </row>
    <row r="206">
      <c r="A206" s="18" t="inlineStr">
        <is>
          <t>손상차손</t>
        </is>
      </c>
      <c r="D206" s="20" t="n">
        <v>72.64400000000001</v>
      </c>
      <c r="H206" s="20" t="n">
        <v>766.5</v>
      </c>
      <c r="L206" s="20" t="n">
        <v>24.446</v>
      </c>
      <c r="T206" s="20" t="n">
        <v>0</v>
      </c>
      <c r="U206" s="20" t="n">
        <v>31.447</v>
      </c>
      <c r="V206" s="20" t="n">
        <v>72.64400000000001</v>
      </c>
      <c r="W206" s="20" t="n">
        <v>766.5</v>
      </c>
      <c r="X206" s="20" t="n">
        <v>24.446</v>
      </c>
    </row>
    <row r="207">
      <c r="A207" s="18" t="inlineStr">
        <is>
          <t>영업권 상각</t>
        </is>
      </c>
      <c r="D207" s="20" t="n">
        <v>660.081</v>
      </c>
      <c r="F207" s="20" t="n">
        <v>463.122</v>
      </c>
      <c r="H207" s="20" t="n">
        <v>879.828</v>
      </c>
      <c r="J207" s="20" t="n">
        <v>388.264</v>
      </c>
      <c r="L207" s="20" t="n">
        <v>794.61</v>
      </c>
      <c r="N207" s="20" t="n">
        <v>413.724</v>
      </c>
      <c r="O207" s="20" t="n">
        <v>85.065</v>
      </c>
      <c r="P207" s="20" t="n">
        <v>94.438</v>
      </c>
      <c r="Q207" s="20" t="n">
        <v>202.288</v>
      </c>
      <c r="R207" s="20" t="n">
        <v>304.004</v>
      </c>
      <c r="S207" s="20" t="n">
        <v>360.734</v>
      </c>
      <c r="T207" s="20" t="n">
        <v>348.144</v>
      </c>
      <c r="U207" s="20" t="n">
        <v>425.173</v>
      </c>
      <c r="V207" s="20" t="n">
        <v>660.081</v>
      </c>
      <c r="W207" s="20" t="n">
        <v>879.828</v>
      </c>
      <c r="X207" s="20" t="n">
        <v>794.61</v>
      </c>
    </row>
    <row r="208">
      <c r="A208" s="18" t="inlineStr">
        <is>
          <t>대손충당금 증감</t>
        </is>
      </c>
      <c r="D208" s="20" t="n">
        <v>-9.037000000000001</v>
      </c>
      <c r="F208" s="20" t="n">
        <v>3.127</v>
      </c>
      <c r="H208" s="20" t="n">
        <v>10.611</v>
      </c>
      <c r="J208" s="20" t="n">
        <v>-10.52</v>
      </c>
      <c r="L208" s="20" t="n">
        <v>38.373</v>
      </c>
      <c r="N208" s="20" t="n">
        <v>16.371</v>
      </c>
      <c r="O208" s="20" t="n">
        <v>-18.123</v>
      </c>
      <c r="P208" s="20" t="n">
        <v>-22.357</v>
      </c>
      <c r="Q208" s="20" t="n">
        <v>-5.424</v>
      </c>
      <c r="R208" s="20" t="n">
        <v>-16.849</v>
      </c>
      <c r="S208" s="20" t="n">
        <v>35.111</v>
      </c>
      <c r="T208" s="20" t="n">
        <v>12.009</v>
      </c>
      <c r="U208" s="20" t="n">
        <v>-12.799</v>
      </c>
      <c r="V208" s="20" t="n">
        <v>-9.037000000000001</v>
      </c>
      <c r="W208" s="20" t="n">
        <v>10.611</v>
      </c>
      <c r="X208" s="20" t="n">
        <v>38.373</v>
      </c>
    </row>
    <row r="209">
      <c r="A209" s="18" t="inlineStr">
        <is>
          <t>상여충당금 증감</t>
        </is>
      </c>
      <c r="D209" s="20" t="n">
        <v>-7.909</v>
      </c>
      <c r="F209" s="20" t="n">
        <v>-7.302</v>
      </c>
      <c r="H209" s="20" t="n">
        <v>13.172</v>
      </c>
      <c r="J209" s="20" t="n">
        <v>-26.755</v>
      </c>
      <c r="L209" s="20" t="n">
        <v>20.806</v>
      </c>
      <c r="N209" s="20" t="n">
        <v>-36.889</v>
      </c>
      <c r="O209" s="20" t="n">
        <v>2.274</v>
      </c>
      <c r="P209" s="20" t="n">
        <v>11.398</v>
      </c>
      <c r="Q209" s="20" t="n">
        <v>-2.341</v>
      </c>
      <c r="R209" s="20" t="n">
        <v>13.84</v>
      </c>
      <c r="S209" s="20" t="n">
        <v>-24.436</v>
      </c>
      <c r="T209" s="20" t="n">
        <v>71.812</v>
      </c>
      <c r="U209" s="20" t="n">
        <v>10.909</v>
      </c>
      <c r="V209" s="20" t="n">
        <v>-7.909</v>
      </c>
      <c r="W209" s="20" t="n">
        <v>13.172</v>
      </c>
      <c r="X209" s="20" t="n">
        <v>20.806</v>
      </c>
    </row>
    <row r="210">
      <c r="A210" s="18" t="inlineStr">
        <is>
          <t>퇴직급여부채 증감</t>
        </is>
      </c>
      <c r="D210" s="20" t="n">
        <v>-48.404</v>
      </c>
      <c r="F210" s="20" t="n">
        <v>1.195</v>
      </c>
      <c r="H210" s="20" t="n">
        <v>1.062</v>
      </c>
      <c r="J210" s="20" t="n">
        <v>4.556</v>
      </c>
      <c r="L210" s="20" t="n">
        <v>-35.521</v>
      </c>
      <c r="N210" s="20" t="n">
        <v>-0.626</v>
      </c>
      <c r="O210" s="20" t="n">
        <v>3.488</v>
      </c>
      <c r="P210" s="20" t="n">
        <v>-51.758</v>
      </c>
      <c r="Q210" s="20" t="n">
        <v>-44.234</v>
      </c>
      <c r="R210" s="20" t="n">
        <v>-0.763</v>
      </c>
      <c r="S210" s="20" t="n">
        <v>-24.148</v>
      </c>
      <c r="T210" s="20" t="n">
        <v>-0.091</v>
      </c>
      <c r="U210" s="20" t="n">
        <v>0.211</v>
      </c>
      <c r="V210" s="20" t="n">
        <v>-48.404</v>
      </c>
      <c r="W210" s="20" t="n">
        <v>1.062</v>
      </c>
      <c r="X210" s="20" t="n">
        <v>-35.521</v>
      </c>
    </row>
    <row r="211">
      <c r="A211" s="18" t="inlineStr">
        <is>
          <t>이자·배당금 수익</t>
        </is>
      </c>
      <c r="D211" s="20" t="n">
        <v>-25.175</v>
      </c>
      <c r="F211" s="20" t="n">
        <v>-9.273</v>
      </c>
      <c r="H211" s="20" t="n">
        <v>-36.223</v>
      </c>
      <c r="J211" s="20" t="n">
        <v>-21.555</v>
      </c>
      <c r="L211" s="20" t="n">
        <v>-45.171</v>
      </c>
      <c r="N211" s="20" t="n">
        <v>-35.738</v>
      </c>
      <c r="O211" s="20" t="n">
        <v>-1.006</v>
      </c>
      <c r="P211" s="20" t="n">
        <v>-1.719</v>
      </c>
      <c r="Q211" s="20" t="n">
        <v>-1.867</v>
      </c>
      <c r="R211" s="20" t="n">
        <v>-3.336</v>
      </c>
      <c r="S211" s="20" t="n">
        <v>-12.399</v>
      </c>
      <c r="T211" s="20" t="n">
        <v>-11.059</v>
      </c>
      <c r="U211" s="20" t="n">
        <v>-25.799</v>
      </c>
      <c r="V211" s="20" t="n">
        <v>-25.175</v>
      </c>
      <c r="W211" s="20" t="n">
        <v>-36.223</v>
      </c>
      <c r="X211" s="20" t="n">
        <v>-45.171</v>
      </c>
    </row>
    <row r="212">
      <c r="A212" s="18" t="inlineStr">
        <is>
          <t>이자비용</t>
        </is>
      </c>
      <c r="D212" s="20" t="n">
        <v>213.704</v>
      </c>
      <c r="F212" s="20" t="n">
        <v>144.193</v>
      </c>
      <c r="H212" s="20" t="n">
        <v>295.963</v>
      </c>
      <c r="J212" s="20" t="n">
        <v>191.912</v>
      </c>
      <c r="L212" s="20" t="n">
        <v>457.604</v>
      </c>
      <c r="N212" s="20" t="n">
        <v>305.929</v>
      </c>
      <c r="O212" s="20" t="n">
        <v>13.571</v>
      </c>
      <c r="P212" s="20" t="n">
        <v>13.184</v>
      </c>
      <c r="Q212" s="20" t="n">
        <v>18.355</v>
      </c>
      <c r="R212" s="20" t="n">
        <v>33.529</v>
      </c>
      <c r="S212" s="20" t="n">
        <v>51.593</v>
      </c>
      <c r="T212" s="20" t="n">
        <v>37.391</v>
      </c>
      <c r="U212" s="20" t="n">
        <v>118.113</v>
      </c>
      <c r="V212" s="20" t="n">
        <v>213.704</v>
      </c>
      <c r="W212" s="20" t="n">
        <v>295.963</v>
      </c>
      <c r="X212" s="20" t="n">
        <v>457.604</v>
      </c>
    </row>
    <row r="213">
      <c r="A213" s="18" t="inlineStr">
        <is>
          <t>외환차손익</t>
        </is>
      </c>
      <c r="D213" s="20" t="n">
        <v>-280.826</v>
      </c>
      <c r="F213" s="20" t="n">
        <v>-22.567</v>
      </c>
      <c r="H213" s="20" t="n">
        <v>20.602</v>
      </c>
      <c r="J213" s="20" t="n">
        <v>-78.15300000000001</v>
      </c>
      <c r="L213" s="20" t="n">
        <v>-271.411</v>
      </c>
      <c r="N213" s="20" t="n">
        <v>-54.416</v>
      </c>
      <c r="S213" s="20" t="n">
        <v>18.277</v>
      </c>
      <c r="T213" s="20" t="n">
        <v>-187.994</v>
      </c>
      <c r="U213" s="20" t="n">
        <v>-438.702</v>
      </c>
      <c r="V213" s="20" t="n">
        <v>-280.826</v>
      </c>
      <c r="W213" s="20" t="n">
        <v>20.602</v>
      </c>
      <c r="X213" s="20" t="n">
        <v>-271.411</v>
      </c>
    </row>
    <row r="214">
      <c r="A214" s="18" t="inlineStr">
        <is>
          <t>지분법손익</t>
        </is>
      </c>
      <c r="D214" s="20" t="n">
        <v>0.548</v>
      </c>
      <c r="H214" s="20" t="n">
        <v>-8.180999999999999</v>
      </c>
      <c r="L214" s="20" t="n">
        <v>4.364</v>
      </c>
      <c r="S214" s="20" t="n">
        <v>3.821</v>
      </c>
      <c r="T214" s="20" t="n">
        <v>-0.6909999999999999</v>
      </c>
      <c r="U214" s="20" t="n">
        <v>-4.163</v>
      </c>
      <c r="V214" s="20" t="n">
        <v>0.548</v>
      </c>
      <c r="W214" s="20" t="n">
        <v>-8.180999999999999</v>
      </c>
      <c r="X214" s="20" t="n">
        <v>4.364</v>
      </c>
    </row>
    <row r="215">
      <c r="A215" s="18" t="inlineStr">
        <is>
          <t>보조금 수입</t>
        </is>
      </c>
      <c r="D215" s="20" t="n">
        <v>-116.139</v>
      </c>
      <c r="F215" s="20" t="n">
        <v>-69.593</v>
      </c>
      <c r="H215" s="20" t="n">
        <v>-127.328</v>
      </c>
      <c r="J215" s="20" t="n">
        <v>-40.581</v>
      </c>
      <c r="L215" s="20" t="n">
        <v>-83.423</v>
      </c>
      <c r="N215" s="20" t="n">
        <v>-46.259</v>
      </c>
      <c r="S215" s="20" t="n">
        <v>-204.767</v>
      </c>
      <c r="T215" s="20" t="n">
        <v>-86.27</v>
      </c>
      <c r="U215" s="20" t="n">
        <v>-63.086</v>
      </c>
      <c r="V215" s="20" t="n">
        <v>-116.139</v>
      </c>
      <c r="W215" s="20" t="n">
        <v>-127.328</v>
      </c>
      <c r="X215" s="20" t="n">
        <v>-83.423</v>
      </c>
    </row>
    <row r="216">
      <c r="A216" s="18" t="inlineStr">
        <is>
          <t>보험금 수익</t>
        </is>
      </c>
      <c r="D216" s="20" t="n">
        <v>-212.787</v>
      </c>
      <c r="F216" s="20" t="n">
        <v>-2.863</v>
      </c>
      <c r="H216" s="20" t="n">
        <v>-2.949</v>
      </c>
      <c r="J216" s="20" t="n">
        <v>-3.974</v>
      </c>
      <c r="L216" s="20" t="n">
        <v>-6.825</v>
      </c>
      <c r="N216" s="20" t="n">
        <v>-1.87</v>
      </c>
      <c r="U216" s="20" t="n">
        <v>0</v>
      </c>
      <c r="V216" s="20" t="n">
        <v>-212.787</v>
      </c>
      <c r="W216" s="20" t="n">
        <v>-2.949</v>
      </c>
      <c r="X216" s="20" t="n">
        <v>-6.825</v>
      </c>
    </row>
    <row r="217">
      <c r="A217" s="18" t="inlineStr">
        <is>
          <t>보상금 수취</t>
        </is>
      </c>
      <c r="D217" s="20" t="n">
        <v>-10.59</v>
      </c>
      <c r="F217" s="20" t="n">
        <v>-9.173</v>
      </c>
      <c r="H217" s="20" t="n">
        <v>-1280.123</v>
      </c>
      <c r="J217" s="20" t="n">
        <v>-159.862</v>
      </c>
      <c r="L217" s="20" t="n">
        <v>-496.505</v>
      </c>
      <c r="N217" s="20" t="n">
        <v>-882.134</v>
      </c>
      <c r="V217" s="20" t="n">
        <v>-10.59</v>
      </c>
      <c r="W217" s="20" t="n">
        <v>-1280.123</v>
      </c>
      <c r="X217" s="20" t="n">
        <v>-496.505</v>
      </c>
    </row>
    <row r="218">
      <c r="A218" s="18" t="inlineStr">
        <is>
          <t>부의 영업권 발생이익</t>
        </is>
      </c>
      <c r="J218" s="20" t="n">
        <v>0</v>
      </c>
      <c r="N218" s="20" t="n">
        <v>-502.324</v>
      </c>
    </row>
    <row r="219">
      <c r="A219" s="18" t="inlineStr">
        <is>
          <t>고정자산 매각손익</t>
        </is>
      </c>
      <c r="D219" s="20" t="n">
        <v>-3.044</v>
      </c>
      <c r="F219" s="20" t="n">
        <v>-0.608</v>
      </c>
      <c r="H219" s="20" t="n">
        <v>-0.68</v>
      </c>
      <c r="J219" s="20" t="n">
        <v>-327.378</v>
      </c>
      <c r="L219" s="20" t="n">
        <v>-342.738</v>
      </c>
      <c r="N219" s="20" t="n">
        <v>-1.301</v>
      </c>
      <c r="O219" s="20" t="n">
        <v>-0.5610000000000001</v>
      </c>
      <c r="P219" s="20" t="n">
        <v>-25.8</v>
      </c>
      <c r="Q219" s="20" t="n">
        <v>-12.688</v>
      </c>
      <c r="R219" s="20" t="n">
        <v>-0.363</v>
      </c>
      <c r="S219" s="20" t="n">
        <v>-2.932</v>
      </c>
      <c r="T219" s="20" t="n">
        <v>-7.005</v>
      </c>
      <c r="U219" s="20" t="n">
        <v>-2.31</v>
      </c>
      <c r="V219" s="20" t="n">
        <v>-3.044</v>
      </c>
      <c r="W219" s="20" t="n">
        <v>-0.68</v>
      </c>
      <c r="X219" s="20" t="n">
        <v>-342.738</v>
      </c>
    </row>
    <row r="220">
      <c r="A220" s="18" t="inlineStr">
        <is>
          <t>투자유가증권 매각손익</t>
        </is>
      </c>
      <c r="D220" s="20" t="n">
        <v>-113.812</v>
      </c>
      <c r="H220" s="20" t="n">
        <v>-8.093999999999999</v>
      </c>
      <c r="J220" s="20" t="n">
        <v>-4.282</v>
      </c>
      <c r="L220" s="20" t="n">
        <v>-4.282</v>
      </c>
      <c r="N220" s="20" t="n">
        <v>-72.66200000000001</v>
      </c>
      <c r="S220" s="20" t="n">
        <v>0</v>
      </c>
      <c r="T220" s="20" t="n">
        <v>-15.061</v>
      </c>
      <c r="U220" s="20" t="n">
        <v>0</v>
      </c>
      <c r="V220" s="20" t="n">
        <v>-113.812</v>
      </c>
      <c r="W220" s="20" t="n">
        <v>-8.093999999999999</v>
      </c>
      <c r="X220" s="20" t="n">
        <v>-4.282</v>
      </c>
    </row>
    <row r="221">
      <c r="A221" s="18" t="inlineStr">
        <is>
          <t>고정자산 제각손실</t>
        </is>
      </c>
      <c r="D221" s="20" t="n">
        <v>13.09</v>
      </c>
      <c r="F221" s="20" t="n">
        <v>0.239</v>
      </c>
      <c r="H221" s="20" t="n">
        <v>3.308</v>
      </c>
      <c r="J221" s="20" t="n">
        <v>11.456</v>
      </c>
      <c r="L221" s="20" t="n">
        <v>6.727</v>
      </c>
      <c r="N221" s="20" t="n">
        <v>0.97</v>
      </c>
      <c r="O221" s="20" t="n">
        <v>5.279</v>
      </c>
      <c r="P221" s="20" t="n">
        <v>4.263</v>
      </c>
      <c r="Q221" s="20" t="n">
        <v>3.739</v>
      </c>
      <c r="R221" s="20" t="n">
        <v>21.627</v>
      </c>
      <c r="S221" s="20" t="n">
        <v>3.372</v>
      </c>
      <c r="T221" s="20" t="n">
        <v>1.101</v>
      </c>
      <c r="U221" s="20" t="n">
        <v>5.929</v>
      </c>
      <c r="V221" s="20" t="n">
        <v>13.09</v>
      </c>
      <c r="W221" s="20" t="n">
        <v>3.308</v>
      </c>
      <c r="X221" s="20" t="n">
        <v>6.727</v>
      </c>
    </row>
    <row r="222">
      <c r="A222" s="18" t="inlineStr">
        <is>
          <t>주식교부비</t>
        </is>
      </c>
      <c r="O222" s="20" t="n">
        <v>1.045</v>
      </c>
      <c r="P222" s="20" t="n">
        <v>0.421</v>
      </c>
    </row>
    <row r="223">
      <c r="A223" s="18" t="inlineStr">
        <is>
          <t>재해손실</t>
        </is>
      </c>
      <c r="D223" s="20" t="n">
        <v>0</v>
      </c>
      <c r="S223" s="20" t="n">
        <v>0</v>
      </c>
      <c r="T223" s="20" t="n">
        <v>84.366</v>
      </c>
      <c r="U223" s="20" t="n">
        <v>1.638</v>
      </c>
      <c r="V223" s="20" t="n">
        <v>0</v>
      </c>
    </row>
    <row r="224">
      <c r="A224" s="18" t="inlineStr">
        <is>
          <t>매출채권 증감</t>
        </is>
      </c>
      <c r="D224" s="20" t="n">
        <v>71.95399999999999</v>
      </c>
      <c r="F224" s="20" t="n">
        <v>-506.896</v>
      </c>
      <c r="H224" s="20" t="n">
        <v>-744.385</v>
      </c>
      <c r="J224" s="20" t="n">
        <v>189.685</v>
      </c>
      <c r="L224" s="20" t="n">
        <v>-927.403</v>
      </c>
      <c r="N224" s="20" t="n">
        <v>1953.373</v>
      </c>
      <c r="O224" s="20" t="n">
        <v>146.752</v>
      </c>
      <c r="P224" s="20" t="n">
        <v>-122.93</v>
      </c>
      <c r="Q224" s="20" t="n">
        <v>-82.212</v>
      </c>
      <c r="R224" s="20" t="n">
        <v>-556.312</v>
      </c>
      <c r="S224" s="20" t="n">
        <v>666.225</v>
      </c>
      <c r="T224" s="20" t="n">
        <v>836.978</v>
      </c>
      <c r="U224" s="20" t="n">
        <v>-518.7809999999999</v>
      </c>
      <c r="V224" s="20" t="n">
        <v>71.95399999999999</v>
      </c>
      <c r="W224" s="20" t="n">
        <v>-744.385</v>
      </c>
      <c r="X224" s="20" t="n">
        <v>-927.403</v>
      </c>
    </row>
    <row r="225">
      <c r="A225" s="18" t="inlineStr">
        <is>
          <t>재고자산 증감</t>
        </is>
      </c>
      <c r="D225" s="20" t="n">
        <v>3643.392</v>
      </c>
      <c r="F225" s="20" t="n">
        <v>-547.038</v>
      </c>
      <c r="H225" s="20" t="n">
        <v>371.605</v>
      </c>
      <c r="J225" s="20" t="n">
        <v>-6128.976</v>
      </c>
      <c r="L225" s="20" t="n">
        <v>-3815.368</v>
      </c>
      <c r="N225" s="20" t="n">
        <v>-2483.858</v>
      </c>
      <c r="O225" s="20" t="n">
        <v>225.709</v>
      </c>
      <c r="P225" s="20" t="n">
        <v>-233.711</v>
      </c>
      <c r="Q225" s="20" t="n">
        <v>-659.968</v>
      </c>
      <c r="R225" s="20" t="n">
        <v>-394.429</v>
      </c>
      <c r="S225" s="20" t="n">
        <v>736.217</v>
      </c>
      <c r="T225" s="20" t="n">
        <v>0.107</v>
      </c>
      <c r="U225" s="20" t="n">
        <v>-2202.524</v>
      </c>
      <c r="V225" s="20" t="n">
        <v>3643.392</v>
      </c>
      <c r="W225" s="20" t="n">
        <v>371.605</v>
      </c>
      <c r="X225" s="20" t="n">
        <v>-3815.368</v>
      </c>
    </row>
    <row r="226">
      <c r="A226" s="18" t="inlineStr">
        <is>
          <t>선급금 증감</t>
        </is>
      </c>
      <c r="D226" s="20" t="n">
        <v>48.48</v>
      </c>
      <c r="F226" s="20" t="n">
        <v>-209.599</v>
      </c>
      <c r="H226" s="20" t="n">
        <v>-122.77</v>
      </c>
      <c r="J226" s="20" t="n">
        <v>72.399</v>
      </c>
      <c r="L226" s="20" t="n">
        <v>-132.188</v>
      </c>
      <c r="N226" s="20" t="n">
        <v>-531.274</v>
      </c>
      <c r="S226" s="20" t="n">
        <v>19.376</v>
      </c>
      <c r="T226" s="20" t="n">
        <v>-137.347</v>
      </c>
      <c r="U226" s="20" t="n">
        <v>-4.277</v>
      </c>
      <c r="V226" s="20" t="n">
        <v>48.48</v>
      </c>
      <c r="W226" s="20" t="n">
        <v>-122.77</v>
      </c>
      <c r="X226" s="20" t="n">
        <v>-132.188</v>
      </c>
    </row>
    <row r="227">
      <c r="A227" s="18" t="inlineStr">
        <is>
          <t>매입채무 증감</t>
        </is>
      </c>
      <c r="D227" s="20" t="n">
        <v>-1350.538</v>
      </c>
      <c r="F227" s="20" t="n">
        <v>1164.804</v>
      </c>
      <c r="H227" s="20" t="n">
        <v>183.873</v>
      </c>
      <c r="J227" s="20" t="n">
        <v>639.647</v>
      </c>
      <c r="L227" s="20" t="n">
        <v>769.9299999999999</v>
      </c>
      <c r="N227" s="20" t="n">
        <v>-795.6</v>
      </c>
      <c r="O227" s="20" t="n">
        <v>-202.394</v>
      </c>
      <c r="P227" s="20" t="n">
        <v>20.353</v>
      </c>
      <c r="Q227" s="20" t="n">
        <v>458.734</v>
      </c>
      <c r="R227" s="20" t="n">
        <v>-72.52500000000001</v>
      </c>
      <c r="S227" s="20" t="n">
        <v>-298.796</v>
      </c>
      <c r="T227" s="20" t="n">
        <v>-219.753</v>
      </c>
      <c r="U227" s="20" t="n">
        <v>1135.217</v>
      </c>
      <c r="V227" s="20" t="n">
        <v>-1350.538</v>
      </c>
      <c r="W227" s="20" t="n">
        <v>183.873</v>
      </c>
      <c r="X227" s="20" t="n">
        <v>769.9299999999999</v>
      </c>
    </row>
    <row r="228">
      <c r="A228" s="18" t="inlineStr">
        <is>
          <t>미지급금 증감</t>
        </is>
      </c>
      <c r="D228" s="20" t="n">
        <v>-44.401</v>
      </c>
      <c r="F228" s="20" t="n">
        <v>35.518</v>
      </c>
      <c r="H228" s="20" t="n">
        <v>-215.644</v>
      </c>
      <c r="J228" s="20" t="n">
        <v>905.025</v>
      </c>
      <c r="L228" s="20" t="n">
        <v>732.519</v>
      </c>
      <c r="N228" s="20" t="n">
        <v>-348.805</v>
      </c>
      <c r="O228" s="20" t="n">
        <v>-69.343</v>
      </c>
      <c r="P228" s="20" t="n">
        <v>4.673</v>
      </c>
      <c r="Q228" s="20" t="n">
        <v>-70.961</v>
      </c>
      <c r="R228" s="20" t="n">
        <v>107.953</v>
      </c>
      <c r="S228" s="20" t="n">
        <v>-32.284</v>
      </c>
      <c r="T228" s="20" t="n">
        <v>-211.768</v>
      </c>
      <c r="U228" s="20" t="n">
        <v>70.54000000000001</v>
      </c>
      <c r="V228" s="20" t="n">
        <v>-44.401</v>
      </c>
      <c r="W228" s="20" t="n">
        <v>-215.644</v>
      </c>
      <c r="X228" s="20" t="n">
        <v>732.519</v>
      </c>
    </row>
    <row r="229">
      <c r="A229" s="18" t="inlineStr">
        <is>
          <t>미지급비용 증감</t>
        </is>
      </c>
      <c r="D229" s="20" t="n">
        <v>-10.764</v>
      </c>
      <c r="F229" s="20" t="n">
        <v>80.76600000000001</v>
      </c>
      <c r="H229" s="20" t="n">
        <v>25.873</v>
      </c>
      <c r="J229" s="20" t="n">
        <v>190.891</v>
      </c>
      <c r="L229" s="20" t="n">
        <v>13.123</v>
      </c>
      <c r="N229" s="20" t="n">
        <v>9.121</v>
      </c>
      <c r="R229" s="20" t="n">
        <v>144.466</v>
      </c>
      <c r="S229" s="20" t="n">
        <v>-46.777</v>
      </c>
      <c r="T229" s="20" t="n">
        <v>-116.254</v>
      </c>
      <c r="U229" s="20" t="n">
        <v>-75.85899999999999</v>
      </c>
      <c r="V229" s="20" t="n">
        <v>-10.764</v>
      </c>
      <c r="W229" s="20" t="n">
        <v>25.873</v>
      </c>
      <c r="X229" s="20" t="n">
        <v>13.123</v>
      </c>
    </row>
    <row r="230">
      <c r="A230" s="18" t="inlineStr">
        <is>
          <t>선수금 증감</t>
        </is>
      </c>
      <c r="D230" s="20" t="n">
        <v>-126.798</v>
      </c>
      <c r="F230" s="20" t="n">
        <v>372.065</v>
      </c>
      <c r="H230" s="20" t="n">
        <v>321.385</v>
      </c>
      <c r="J230" s="20" t="n">
        <v>-230.547</v>
      </c>
      <c r="L230" s="20" t="n">
        <v>-348.628</v>
      </c>
      <c r="N230" s="20" t="n">
        <v>55.099</v>
      </c>
      <c r="V230" s="20" t="n">
        <v>-126.798</v>
      </c>
      <c r="W230" s="20" t="n">
        <v>321.385</v>
      </c>
      <c r="X230" s="20" t="n">
        <v>-348.628</v>
      </c>
    </row>
    <row r="231">
      <c r="A231" s="18" t="inlineStr">
        <is>
          <t>미지급 소비세 증감</t>
        </is>
      </c>
      <c r="D231" s="20" t="n">
        <v>667.069</v>
      </c>
      <c r="F231" s="20" t="n">
        <v>-445.875</v>
      </c>
      <c r="H231" s="20" t="n">
        <v>-308.123</v>
      </c>
      <c r="J231" s="20" t="n">
        <v>-304.689</v>
      </c>
      <c r="L231" s="20" t="n">
        <v>-444.785</v>
      </c>
      <c r="N231" s="20" t="n">
        <v>246.779</v>
      </c>
      <c r="O231" s="20" t="n">
        <v>14.559</v>
      </c>
      <c r="P231" s="20" t="n">
        <v>-79.29300000000001</v>
      </c>
      <c r="Q231" s="20" t="n">
        <v>35.052</v>
      </c>
      <c r="R231" s="20" t="n">
        <v>37.259</v>
      </c>
      <c r="S231" s="20" t="n">
        <v>-39.122</v>
      </c>
      <c r="T231" s="20" t="n">
        <v>20.037</v>
      </c>
      <c r="U231" s="20" t="n">
        <v>-126.87</v>
      </c>
      <c r="V231" s="20" t="n">
        <v>667.069</v>
      </c>
      <c r="W231" s="20" t="n">
        <v>-308.123</v>
      </c>
      <c r="X231" s="20" t="n">
        <v>-444.785</v>
      </c>
    </row>
    <row r="232">
      <c r="A232" s="18" t="inlineStr">
        <is>
          <t>차입보증금 증감액(△는 증가)</t>
        </is>
      </c>
      <c r="D232" s="20" t="n">
        <v>2.073</v>
      </c>
      <c r="H232" s="20" t="n">
        <v>-3.109</v>
      </c>
      <c r="J232" s="20" t="n">
        <v>4.602</v>
      </c>
      <c r="L232" s="20" t="n">
        <v>-162.428</v>
      </c>
      <c r="N232" s="20" t="n">
        <v>171.909</v>
      </c>
      <c r="S232" s="20" t="n">
        <v>9.686999999999999</v>
      </c>
      <c r="T232" s="20" t="n">
        <v>-113.053</v>
      </c>
      <c r="U232" s="20" t="n">
        <v>53.9</v>
      </c>
      <c r="V232" s="20" t="n">
        <v>2.073</v>
      </c>
      <c r="W232" s="20" t="n">
        <v>-3.109</v>
      </c>
      <c r="X232" s="20" t="n">
        <v>-162.428</v>
      </c>
    </row>
    <row r="233">
      <c r="A233" s="18" t="inlineStr">
        <is>
          <t>기타</t>
        </is>
      </c>
      <c r="D233" s="20" t="n">
        <v>177.777</v>
      </c>
      <c r="F233" s="20" t="n">
        <v>369.938</v>
      </c>
      <c r="H233" s="20" t="n">
        <v>317.558</v>
      </c>
      <c r="J233" s="20" t="n">
        <v>-299.132</v>
      </c>
      <c r="L233" s="20" t="n">
        <v>-301.029</v>
      </c>
      <c r="N233" s="20" t="n">
        <v>82.998</v>
      </c>
      <c r="O233" s="20" t="n">
        <v>-22.384</v>
      </c>
      <c r="P233" s="20" t="n">
        <v>-1.63</v>
      </c>
      <c r="Q233" s="20" t="n">
        <v>-80.47</v>
      </c>
      <c r="R233" s="20" t="n">
        <v>52.737</v>
      </c>
      <c r="S233" s="20" t="n">
        <v>-124.264</v>
      </c>
      <c r="T233" s="20" t="n">
        <v>29.44</v>
      </c>
      <c r="U233" s="20" t="n">
        <v>348.784</v>
      </c>
      <c r="V233" s="20" t="n">
        <v>177.777</v>
      </c>
      <c r="W233" s="20" t="n">
        <v>317.558</v>
      </c>
      <c r="X233" s="20" t="n">
        <v>-301.029</v>
      </c>
    </row>
    <row r="234">
      <c r="A234" s="18" t="inlineStr">
        <is>
          <t>소계</t>
        </is>
      </c>
      <c r="D234" s="20" t="n">
        <v>6410.974</v>
      </c>
      <c r="F234" s="20" t="n">
        <v>3514.067</v>
      </c>
      <c r="H234" s="20" t="n">
        <v>6678.165</v>
      </c>
      <c r="J234" s="20" t="n">
        <v>-2940.444</v>
      </c>
      <c r="L234" s="20" t="n">
        <v>-466.828</v>
      </c>
      <c r="N234" s="20" t="n">
        <v>529.081</v>
      </c>
      <c r="O234" s="20" t="n">
        <v>900.682</v>
      </c>
      <c r="P234" s="20" t="n">
        <v>409.66</v>
      </c>
      <c r="Q234" s="20" t="n">
        <v>468.776</v>
      </c>
      <c r="R234" s="20" t="n">
        <v>817.356</v>
      </c>
      <c r="S234" s="20" t="n">
        <v>2337.893</v>
      </c>
      <c r="T234" s="20" t="n">
        <v>1713.608</v>
      </c>
      <c r="U234" s="20" t="n">
        <v>602.38</v>
      </c>
      <c r="V234" s="20" t="n">
        <v>6410.974</v>
      </c>
      <c r="W234" s="20" t="n">
        <v>6678.165</v>
      </c>
      <c r="X234" s="20" t="n">
        <v>-466.828</v>
      </c>
    </row>
    <row r="235">
      <c r="A235" s="18" t="inlineStr">
        <is>
          <t>이자·배당금 수취</t>
        </is>
      </c>
      <c r="D235" s="20" t="n">
        <v>25.175</v>
      </c>
      <c r="F235" s="20" t="n">
        <v>9.273</v>
      </c>
      <c r="H235" s="20" t="n">
        <v>36.223</v>
      </c>
      <c r="J235" s="20" t="n">
        <v>21.555</v>
      </c>
      <c r="L235" s="20" t="n">
        <v>45.171</v>
      </c>
      <c r="N235" s="20" t="n">
        <v>35.738</v>
      </c>
      <c r="O235" s="20" t="n">
        <v>1.006</v>
      </c>
      <c r="P235" s="20" t="n">
        <v>1.719</v>
      </c>
      <c r="Q235" s="20" t="n">
        <v>1.867</v>
      </c>
      <c r="R235" s="20" t="n">
        <v>3.336</v>
      </c>
      <c r="S235" s="20" t="n">
        <v>12.399</v>
      </c>
      <c r="T235" s="20" t="n">
        <v>11.059</v>
      </c>
      <c r="U235" s="20" t="n">
        <v>25.799</v>
      </c>
      <c r="V235" s="20" t="n">
        <v>25.175</v>
      </c>
      <c r="W235" s="20" t="n">
        <v>36.223</v>
      </c>
      <c r="X235" s="20" t="n">
        <v>45.171</v>
      </c>
    </row>
    <row r="236">
      <c r="A236" s="18" t="inlineStr">
        <is>
          <t>이자 지급</t>
        </is>
      </c>
      <c r="D236" s="20" t="n">
        <v>-227.478</v>
      </c>
      <c r="F236" s="20" t="n">
        <v>-146.977</v>
      </c>
      <c r="H236" s="20" t="n">
        <v>-300.378</v>
      </c>
      <c r="J236" s="20" t="n">
        <v>-185.914</v>
      </c>
      <c r="L236" s="20" t="n">
        <v>-455.202</v>
      </c>
      <c r="N236" s="20" t="n">
        <v>-300.474</v>
      </c>
      <c r="O236" s="20" t="n">
        <v>-11.979</v>
      </c>
      <c r="P236" s="20" t="n">
        <v>-12.768</v>
      </c>
      <c r="Q236" s="20" t="n">
        <v>-17.223</v>
      </c>
      <c r="R236" s="20" t="n">
        <v>-33.726</v>
      </c>
      <c r="S236" s="20" t="n">
        <v>-55.398</v>
      </c>
      <c r="T236" s="20" t="n">
        <v>-37.798</v>
      </c>
      <c r="U236" s="20" t="n">
        <v>-128.456</v>
      </c>
      <c r="V236" s="20" t="n">
        <v>-227.478</v>
      </c>
      <c r="W236" s="20" t="n">
        <v>-300.378</v>
      </c>
      <c r="X236" s="20" t="n">
        <v>-455.202</v>
      </c>
    </row>
    <row r="237">
      <c r="A237" s="18" t="inlineStr">
        <is>
          <t>보조금 수취</t>
        </is>
      </c>
      <c r="D237" s="20" t="n">
        <v>116.195</v>
      </c>
      <c r="F237" s="20" t="n">
        <v>69.593</v>
      </c>
      <c r="H237" s="20" t="n">
        <v>127.328</v>
      </c>
      <c r="J237" s="20" t="n">
        <v>40.581</v>
      </c>
      <c r="L237" s="20" t="n">
        <v>83.423</v>
      </c>
      <c r="N237" s="20" t="n">
        <v>46.259</v>
      </c>
      <c r="S237" s="20" t="n">
        <v>202.641</v>
      </c>
      <c r="T237" s="20" t="n">
        <v>88.34</v>
      </c>
      <c r="U237" s="20" t="n">
        <v>63.086</v>
      </c>
      <c r="V237" s="20" t="n">
        <v>116.195</v>
      </c>
      <c r="W237" s="20" t="n">
        <v>127.328</v>
      </c>
      <c r="X237" s="20" t="n">
        <v>83.423</v>
      </c>
    </row>
    <row r="238">
      <c r="A238" s="18" t="inlineStr">
        <is>
          <t>보험금 수취</t>
        </is>
      </c>
      <c r="D238" s="20" t="n">
        <v>212.787</v>
      </c>
      <c r="F238" s="20" t="n">
        <v>2.863</v>
      </c>
      <c r="H238" s="20" t="n">
        <v>2.949</v>
      </c>
      <c r="J238" s="20" t="n">
        <v>3.974</v>
      </c>
      <c r="L238" s="20" t="n">
        <v>6.825</v>
      </c>
      <c r="N238" s="20" t="n">
        <v>1.87</v>
      </c>
      <c r="U238" s="20" t="n">
        <v>0</v>
      </c>
      <c r="V238" s="20" t="n">
        <v>212.787</v>
      </c>
      <c r="W238" s="20" t="n">
        <v>2.949</v>
      </c>
      <c r="X238" s="20" t="n">
        <v>6.825</v>
      </c>
    </row>
    <row r="239">
      <c r="A239" s="18" t="inlineStr">
        <is>
          <t>보상금 수취</t>
        </is>
      </c>
      <c r="D239" s="20" t="n">
        <v>10.59</v>
      </c>
      <c r="F239" s="20" t="n">
        <v>9.173</v>
      </c>
      <c r="H239" s="20" t="n">
        <v>1280.123</v>
      </c>
      <c r="J239" s="20" t="n">
        <v>159.862</v>
      </c>
      <c r="L239" s="20" t="n">
        <v>496.505</v>
      </c>
      <c r="N239" s="20" t="n">
        <v>882.134</v>
      </c>
      <c r="V239" s="20" t="n">
        <v>10.59</v>
      </c>
      <c r="W239" s="20" t="n">
        <v>1280.123</v>
      </c>
      <c r="X239" s="20" t="n">
        <v>496.505</v>
      </c>
    </row>
    <row r="240">
      <c r="A240" s="18" t="inlineStr">
        <is>
          <t>법인세 납부</t>
        </is>
      </c>
      <c r="D240" s="20" t="n">
        <v>-784.1319999999999</v>
      </c>
      <c r="F240" s="20" t="n">
        <v>-646.9690000000001</v>
      </c>
      <c r="H240" s="20" t="n">
        <v>-1196.845</v>
      </c>
      <c r="J240" s="20" t="n">
        <v>-1360.491</v>
      </c>
      <c r="L240" s="20" t="n">
        <v>-2212.932</v>
      </c>
      <c r="N240" s="20" t="n">
        <v>-776.631</v>
      </c>
      <c r="O240" s="20" t="n">
        <v>-373.306</v>
      </c>
      <c r="P240" s="20" t="n">
        <v>-140.727</v>
      </c>
      <c r="Q240" s="20" t="n">
        <v>-202.717</v>
      </c>
      <c r="R240" s="20" t="n">
        <v>-183.966</v>
      </c>
      <c r="S240" s="20" t="n">
        <v>-404.905</v>
      </c>
      <c r="T240" s="20" t="n">
        <v>-455.189</v>
      </c>
      <c r="U240" s="20" t="n">
        <v>-481.573</v>
      </c>
      <c r="V240" s="20" t="n">
        <v>-784.1319999999999</v>
      </c>
      <c r="W240" s="20" t="n">
        <v>-1196.845</v>
      </c>
      <c r="X240" s="20" t="n">
        <v>-2212.932</v>
      </c>
    </row>
    <row r="241">
      <c r="A241" s="18" t="inlineStr">
        <is>
          <t>재해손실 지급</t>
        </is>
      </c>
      <c r="D241" s="20" t="n">
        <v>0</v>
      </c>
      <c r="T241" s="20" t="n">
        <v>0</v>
      </c>
      <c r="U241" s="20" t="n">
        <v>-1.638</v>
      </c>
      <c r="V241" s="20" t="n">
        <v>0</v>
      </c>
    </row>
    <row r="242">
      <c r="A242" s="9" t="inlineStr">
        <is>
          <t>영업활동 현금흐름</t>
        </is>
      </c>
      <c r="D242" s="12" t="n">
        <v>5764.112</v>
      </c>
      <c r="F242" s="12" t="n">
        <v>2811.024</v>
      </c>
      <c r="H242" s="12" t="n">
        <v>6627.566</v>
      </c>
      <c r="J242" s="12" t="n">
        <v>-4260.875</v>
      </c>
      <c r="L242" s="12" t="n">
        <v>-2503.037</v>
      </c>
      <c r="N242" s="12" t="n">
        <v>417.977</v>
      </c>
      <c r="O242" s="12" t="n">
        <v>516.403</v>
      </c>
      <c r="P242" s="12" t="n">
        <v>257.883</v>
      </c>
      <c r="Q242" s="12" t="n">
        <v>250.702</v>
      </c>
      <c r="R242" s="12" t="n">
        <v>603</v>
      </c>
      <c r="S242" s="12" t="n">
        <v>2092.629</v>
      </c>
      <c r="T242" s="12" t="n">
        <v>1320.02</v>
      </c>
      <c r="U242" s="12" t="n">
        <v>79.599</v>
      </c>
      <c r="V242" s="12" t="n">
        <v>5764.112</v>
      </c>
      <c r="W242" s="12" t="n">
        <v>6627.566</v>
      </c>
      <c r="X242" s="12" t="n">
        <v>-2503.037</v>
      </c>
    </row>
    <row r="243">
      <c r="A243" s="18" t="inlineStr">
        <is>
          <t>유형자산 취득(설비투자)</t>
        </is>
      </c>
      <c r="D243" s="20" t="n">
        <v>-703.328</v>
      </c>
      <c r="F243" s="20" t="n">
        <v>-631.024</v>
      </c>
      <c r="H243" s="20" t="n">
        <v>-989.482</v>
      </c>
      <c r="J243" s="20" t="n">
        <v>-331.143</v>
      </c>
      <c r="L243" s="20" t="n">
        <v>-1236.533</v>
      </c>
      <c r="N243" s="20" t="n">
        <v>-1014.867</v>
      </c>
      <c r="O243" s="20" t="n">
        <v>-173.447</v>
      </c>
      <c r="P243" s="20" t="n">
        <v>-446.724</v>
      </c>
      <c r="Q243" s="20" t="n">
        <v>-454.993</v>
      </c>
      <c r="R243" s="20" t="n">
        <v>-560.811</v>
      </c>
      <c r="S243" s="20" t="n">
        <v>-183.251</v>
      </c>
      <c r="T243" s="20" t="n">
        <v>-506.571</v>
      </c>
      <c r="U243" s="20" t="n">
        <v>-490.794</v>
      </c>
      <c r="V243" s="20" t="n">
        <v>-703.328</v>
      </c>
      <c r="W243" s="20" t="n">
        <v>-989.482</v>
      </c>
      <c r="X243" s="20" t="n">
        <v>-1236.533</v>
      </c>
    </row>
    <row r="244">
      <c r="A244" s="18" t="inlineStr">
        <is>
          <t>유형자산 매각</t>
        </is>
      </c>
      <c r="D244" s="20" t="n">
        <v>79.917</v>
      </c>
      <c r="F244" s="20" t="n">
        <v>18.838</v>
      </c>
      <c r="H244" s="20" t="n">
        <v>22.382</v>
      </c>
      <c r="J244" s="20" t="n">
        <v>636.528</v>
      </c>
      <c r="L244" s="20" t="n">
        <v>666.021</v>
      </c>
      <c r="N244" s="20" t="n">
        <v>1.476</v>
      </c>
      <c r="O244" s="20" t="n">
        <v>2.236</v>
      </c>
      <c r="P244" s="20" t="n">
        <v>28.385</v>
      </c>
      <c r="Q244" s="20" t="n">
        <v>60.234</v>
      </c>
      <c r="R244" s="20" t="n">
        <v>1.621</v>
      </c>
      <c r="S244" s="20" t="n">
        <v>3.95</v>
      </c>
      <c r="T244" s="20" t="n">
        <v>26.06</v>
      </c>
      <c r="U244" s="20" t="n">
        <v>17.714</v>
      </c>
      <c r="V244" s="20" t="n">
        <v>79.917</v>
      </c>
      <c r="W244" s="20" t="n">
        <v>22.382</v>
      </c>
      <c r="X244" s="20" t="n">
        <v>666.021</v>
      </c>
    </row>
    <row r="245">
      <c r="A245" s="18" t="inlineStr">
        <is>
          <t>고정자산 제각 지출</t>
        </is>
      </c>
      <c r="O245" s="20" t="n">
        <v>-1.23</v>
      </c>
      <c r="P245" s="20" t="n">
        <v>-0.909</v>
      </c>
    </row>
    <row r="246">
      <c r="A246" s="18" t="inlineStr">
        <is>
          <t>무형자산 취득</t>
        </is>
      </c>
      <c r="D246" s="20" t="n">
        <v>-13.806</v>
      </c>
      <c r="F246" s="20" t="n">
        <v>-20.08</v>
      </c>
      <c r="H246" s="20" t="n">
        <v>-31.862</v>
      </c>
      <c r="J246" s="20" t="n">
        <v>-10.032</v>
      </c>
      <c r="L246" s="20" t="n">
        <v>-28.419</v>
      </c>
      <c r="N246" s="20" t="n">
        <v>-40.382</v>
      </c>
      <c r="O246" s="20" t="n">
        <v>-34.727</v>
      </c>
      <c r="P246" s="20" t="n">
        <v>-33.675</v>
      </c>
      <c r="Q246" s="20" t="n">
        <v>-30.05</v>
      </c>
      <c r="R246" s="20" t="n">
        <v>-95.04000000000001</v>
      </c>
      <c r="S246" s="20" t="n">
        <v>-2.555</v>
      </c>
      <c r="T246" s="20" t="n">
        <v>-4.368</v>
      </c>
      <c r="U246" s="20" t="n">
        <v>-19.864</v>
      </c>
      <c r="V246" s="20" t="n">
        <v>-13.806</v>
      </c>
      <c r="W246" s="20" t="n">
        <v>-31.862</v>
      </c>
      <c r="X246" s="20" t="n">
        <v>-28.419</v>
      </c>
    </row>
    <row r="247">
      <c r="A247" s="18" t="inlineStr">
        <is>
          <t>투자유가증권 취득</t>
        </is>
      </c>
      <c r="D247" s="20" t="n">
        <v>-8.733000000000001</v>
      </c>
      <c r="F247" s="20" t="n">
        <v>-17.01</v>
      </c>
      <c r="H247" s="20" t="n">
        <v>-33.906</v>
      </c>
      <c r="J247" s="20" t="n">
        <v>-18.898</v>
      </c>
      <c r="L247" s="20" t="n">
        <v>-41.196</v>
      </c>
      <c r="N247" s="20" t="n">
        <v>-6.499</v>
      </c>
      <c r="O247" s="20" t="n">
        <v>-2.282</v>
      </c>
      <c r="P247" s="20" t="n">
        <v>-1.469</v>
      </c>
      <c r="Q247" s="20" t="n">
        <v>-1.509</v>
      </c>
      <c r="R247" s="20" t="n">
        <v>-1.548</v>
      </c>
      <c r="S247" s="20" t="n">
        <v>-1.576</v>
      </c>
      <c r="T247" s="20" t="n">
        <v>-0.281</v>
      </c>
      <c r="U247" s="20" t="n">
        <v>-0.195</v>
      </c>
      <c r="V247" s="20" t="n">
        <v>-8.733000000000001</v>
      </c>
      <c r="W247" s="20" t="n">
        <v>-33.906</v>
      </c>
      <c r="X247" s="20" t="n">
        <v>-41.196</v>
      </c>
    </row>
    <row r="248">
      <c r="A248" s="18" t="inlineStr">
        <is>
          <t>투자유가증권 매각</t>
        </is>
      </c>
      <c r="D248" s="20" t="n">
        <v>153.437</v>
      </c>
      <c r="F248" s="20" t="n">
        <v>89.113</v>
      </c>
      <c r="H248" s="20" t="n">
        <v>88.68300000000001</v>
      </c>
      <c r="J248" s="20" t="n">
        <v>38.282</v>
      </c>
      <c r="L248" s="20" t="n">
        <v>38.282</v>
      </c>
      <c r="N248" s="20" t="n">
        <v>196.436</v>
      </c>
      <c r="O248" s="20" t="n">
        <v>0</v>
      </c>
      <c r="P248" s="20" t="n">
        <v>3.224</v>
      </c>
      <c r="S248" s="20" t="n">
        <v>2.873</v>
      </c>
      <c r="T248" s="20" t="n">
        <v>43.061</v>
      </c>
      <c r="U248" s="20" t="n">
        <v>0</v>
      </c>
      <c r="V248" s="20" t="n">
        <v>153.437</v>
      </c>
      <c r="W248" s="20" t="n">
        <v>88.68300000000001</v>
      </c>
      <c r="X248" s="20" t="n">
        <v>38.282</v>
      </c>
    </row>
    <row r="249">
      <c r="A249" s="18" t="inlineStr">
        <is>
          <t>정기예금 인출</t>
        </is>
      </c>
      <c r="O249" s="20" t="n">
        <v>50.182</v>
      </c>
      <c r="P249" s="20" t="n">
        <v>0</v>
      </c>
      <c r="Q249" s="20" t="n">
        <v>49.297</v>
      </c>
      <c r="R249" s="20" t="n">
        <v>0</v>
      </c>
      <c r="S249" s="20" t="n">
        <v>143.308</v>
      </c>
      <c r="T249" s="20" t="n">
        <v>15.038</v>
      </c>
      <c r="U249" s="20" t="n">
        <v>-3.983</v>
      </c>
    </row>
    <row r="250">
      <c r="A250" s="18" t="inlineStr">
        <is>
          <t>정기예금 증감</t>
        </is>
      </c>
      <c r="D250" s="20" t="n">
        <v>-0.8120000000000001</v>
      </c>
      <c r="F250" s="20" t="n">
        <v>-110.772</v>
      </c>
      <c r="H250" s="20" t="n">
        <v>35.045</v>
      </c>
      <c r="J250" s="20" t="n">
        <v>-45.199</v>
      </c>
      <c r="L250" s="20" t="n">
        <v>-138.994</v>
      </c>
      <c r="N250" s="20" t="n">
        <v>374.823</v>
      </c>
      <c r="U250" s="20" t="n">
        <v>-3.983</v>
      </c>
      <c r="V250" s="20" t="n">
        <v>-0.8120000000000001</v>
      </c>
      <c r="W250" s="20" t="n">
        <v>35.045</v>
      </c>
      <c r="X250" s="20" t="n">
        <v>-138.994</v>
      </c>
    </row>
    <row r="251">
      <c r="A251" s="18" t="inlineStr">
        <is>
          <t>연결범위 변경 자회사 주식 취득</t>
        </is>
      </c>
      <c r="D251" s="20" t="n">
        <v>-4409.137</v>
      </c>
      <c r="F251" s="20" t="n">
        <v>0</v>
      </c>
      <c r="H251" s="20" t="n">
        <v>-110.254</v>
      </c>
      <c r="J251" s="20" t="n">
        <v>-1380.664</v>
      </c>
      <c r="L251" s="20" t="n">
        <v>-1428.664</v>
      </c>
      <c r="N251" s="20" t="n">
        <v>0</v>
      </c>
      <c r="O251" s="20" t="n">
        <v>-162.391</v>
      </c>
      <c r="P251" s="20" t="n">
        <v>-1108.139</v>
      </c>
      <c r="Q251" s="20" t="n">
        <v>-2319.265</v>
      </c>
      <c r="R251" s="20" t="n">
        <v>-4347.098</v>
      </c>
      <c r="S251" s="20" t="n">
        <v>-348.67</v>
      </c>
      <c r="T251" s="20" t="n">
        <v>-743.796</v>
      </c>
      <c r="U251" s="20" t="n">
        <v>-1424.672</v>
      </c>
      <c r="V251" s="20" t="n">
        <v>-4409.137</v>
      </c>
      <c r="W251" s="20" t="n">
        <v>-110.254</v>
      </c>
      <c r="X251" s="20" t="n">
        <v>-1428.664</v>
      </c>
    </row>
    <row r="252">
      <c r="A252" s="18" t="inlineStr">
        <is>
          <t>투자부동산 매각</t>
        </is>
      </c>
      <c r="P252" s="20" t="n">
        <v>0</v>
      </c>
      <c r="Q252" s="20" t="n">
        <v>482.429</v>
      </c>
      <c r="R252" s="20" t="n">
        <v>0</v>
      </c>
      <c r="T252" s="20" t="n">
        <v>0</v>
      </c>
      <c r="U252" s="20" t="n">
        <v>29.653</v>
      </c>
    </row>
    <row r="253">
      <c r="A253" s="18" t="inlineStr">
        <is>
          <t>장기대여</t>
        </is>
      </c>
      <c r="D253" s="20" t="n">
        <v>0</v>
      </c>
      <c r="T253" s="20" t="n">
        <v>0</v>
      </c>
      <c r="U253" s="20" t="n">
        <v>-131.895</v>
      </c>
      <c r="V253" s="20" t="n">
        <v>0</v>
      </c>
    </row>
    <row r="254">
      <c r="A254" s="18" t="inlineStr">
        <is>
          <t>대여금 회수</t>
        </is>
      </c>
      <c r="D254" s="20" t="n">
        <v>145.947</v>
      </c>
      <c r="P254" s="20" t="n">
        <v>0</v>
      </c>
      <c r="Q254" s="20" t="n">
        <v>143</v>
      </c>
      <c r="R254" s="20" t="n">
        <v>0</v>
      </c>
      <c r="U254" s="20" t="n">
        <v>0</v>
      </c>
      <c r="V254" s="20" t="n">
        <v>145.947</v>
      </c>
    </row>
    <row r="255">
      <c r="A255" s="18" t="inlineStr">
        <is>
          <t>자회사 주식 취득 관련 대여 지출</t>
        </is>
      </c>
      <c r="H255" s="20" t="n">
        <v>-53.5</v>
      </c>
      <c r="L255" s="20" t="n">
        <v>0</v>
      </c>
      <c r="W255" s="20" t="n">
        <v>-53.5</v>
      </c>
      <c r="X255" s="20" t="n">
        <v>0</v>
      </c>
    </row>
    <row r="256">
      <c r="A256" s="18" t="inlineStr">
        <is>
          <t>연결범위 변경 자회사 주식 취득(수입)</t>
        </is>
      </c>
      <c r="J256" s="20" t="n">
        <v>0</v>
      </c>
      <c r="N256" s="20" t="n">
        <v>233.002</v>
      </c>
    </row>
    <row r="257">
      <c r="A257" s="18" t="inlineStr">
        <is>
          <t>단기대여금 증감(△는 증가)</t>
        </is>
      </c>
      <c r="D257" s="20" t="n">
        <v>145.947</v>
      </c>
      <c r="F257" s="20" t="n">
        <v>-0.413</v>
      </c>
      <c r="H257" s="20" t="n">
        <v>0.122</v>
      </c>
      <c r="J257" s="20" t="n">
        <v>-0.387</v>
      </c>
      <c r="L257" s="20" t="n">
        <v>-14.191</v>
      </c>
      <c r="N257" s="20" t="n">
        <v>14.655</v>
      </c>
      <c r="V257" s="20" t="n">
        <v>145.947</v>
      </c>
      <c r="W257" s="20" t="n">
        <v>0.122</v>
      </c>
      <c r="X257" s="20" t="n">
        <v>-14.191</v>
      </c>
    </row>
    <row r="258">
      <c r="A258" s="18" t="inlineStr">
        <is>
          <t>기타</t>
        </is>
      </c>
      <c r="D258" s="20" t="n">
        <v>226.873</v>
      </c>
      <c r="F258" s="20" t="n">
        <v>198.217</v>
      </c>
      <c r="H258" s="20" t="n">
        <v>229.455</v>
      </c>
      <c r="J258" s="20" t="n">
        <v>121.353</v>
      </c>
      <c r="L258" s="20" t="n">
        <v>146.158</v>
      </c>
      <c r="N258" s="20" t="n">
        <v>-44.542</v>
      </c>
      <c r="O258" s="20" t="n">
        <v>13.126</v>
      </c>
      <c r="P258" s="20" t="n">
        <v>-19.662</v>
      </c>
      <c r="Q258" s="20" t="n">
        <v>-4.82</v>
      </c>
      <c r="R258" s="20" t="n">
        <v>-1.63</v>
      </c>
      <c r="S258" s="20" t="n">
        <v>-1.756</v>
      </c>
      <c r="T258" s="20" t="n">
        <v>2.258</v>
      </c>
      <c r="U258" s="20" t="n">
        <v>32.581</v>
      </c>
      <c r="V258" s="20" t="n">
        <v>226.873</v>
      </c>
      <c r="W258" s="20" t="n">
        <v>229.455</v>
      </c>
      <c r="X258" s="20" t="n">
        <v>146.158</v>
      </c>
    </row>
    <row r="259">
      <c r="A259" s="9" t="inlineStr">
        <is>
          <t>투자활동 현금흐름</t>
        </is>
      </c>
      <c r="D259" s="12" t="n">
        <v>-4529.642</v>
      </c>
      <c r="F259" s="12" t="n">
        <v>-473.131</v>
      </c>
      <c r="H259" s="12" t="n">
        <v>-843.317</v>
      </c>
      <c r="J259" s="12" t="n">
        <v>-990.16</v>
      </c>
      <c r="L259" s="12" t="n">
        <v>-2037.537</v>
      </c>
      <c r="N259" s="12" t="n">
        <v>-285.897</v>
      </c>
      <c r="O259" s="12" t="n">
        <v>-308.533</v>
      </c>
      <c r="P259" s="12" t="n">
        <v>-1581.285</v>
      </c>
      <c r="Q259" s="12" t="n">
        <v>-2075.678</v>
      </c>
      <c r="R259" s="12" t="n">
        <v>-5004.508</v>
      </c>
      <c r="S259" s="12" t="n">
        <v>-387.676</v>
      </c>
      <c r="T259" s="12" t="n">
        <v>-1168.598</v>
      </c>
      <c r="U259" s="12" t="n">
        <v>-2021.111</v>
      </c>
      <c r="V259" s="12" t="n">
        <v>-4529.642</v>
      </c>
      <c r="W259" s="12" t="n">
        <v>-843.317</v>
      </c>
      <c r="X259" s="12" t="n">
        <v>-2037.537</v>
      </c>
    </row>
    <row r="260">
      <c r="A260" s="18" t="inlineStr">
        <is>
          <t>단기차입금 순증감</t>
        </is>
      </c>
      <c r="D260" s="20" t="n">
        <v>-3118.283</v>
      </c>
      <c r="F260" s="20" t="n">
        <v>-1955.549</v>
      </c>
      <c r="H260" s="20" t="n">
        <v>-692.351</v>
      </c>
      <c r="J260" s="20" t="n">
        <v>1564.203</v>
      </c>
      <c r="L260" s="20" t="n">
        <v>627.026</v>
      </c>
      <c r="N260" s="20" t="n">
        <v>2084.682</v>
      </c>
      <c r="O260" s="20" t="n">
        <v>-239</v>
      </c>
      <c r="P260" s="20" t="n">
        <v>1205</v>
      </c>
      <c r="Q260" s="20" t="n">
        <v>1250</v>
      </c>
      <c r="R260" s="20" t="n">
        <v>193.249</v>
      </c>
      <c r="S260" s="20" t="n">
        <v>-2299.449</v>
      </c>
      <c r="T260" s="20" t="n">
        <v>-81.923</v>
      </c>
      <c r="U260" s="20" t="n">
        <v>553.862</v>
      </c>
      <c r="V260" s="20" t="n">
        <v>-3118.283</v>
      </c>
      <c r="W260" s="20" t="n">
        <v>-692.351</v>
      </c>
      <c r="X260" s="20" t="n">
        <v>627.026</v>
      </c>
    </row>
    <row r="261">
      <c r="A261" s="18" t="inlineStr">
        <is>
          <t>장기차입</t>
        </is>
      </c>
      <c r="D261" s="20" t="n">
        <v>10740</v>
      </c>
      <c r="F261" s="20" t="n">
        <v>1800</v>
      </c>
      <c r="H261" s="20" t="n">
        <v>8100</v>
      </c>
      <c r="J261" s="20" t="n">
        <v>8772.103999999999</v>
      </c>
      <c r="L261" s="20" t="n">
        <v>11206.646</v>
      </c>
      <c r="N261" s="20" t="n">
        <v>2900</v>
      </c>
      <c r="O261" s="20" t="n">
        <v>1620</v>
      </c>
      <c r="P261" s="20" t="n">
        <v>720</v>
      </c>
      <c r="Q261" s="20" t="n">
        <v>2481.734</v>
      </c>
      <c r="R261" s="20" t="n">
        <v>6060.51</v>
      </c>
      <c r="S261" s="20" t="n">
        <v>3530</v>
      </c>
      <c r="T261" s="20" t="n">
        <v>0</v>
      </c>
      <c r="U261" s="20" t="n">
        <v>6745.552</v>
      </c>
      <c r="V261" s="20" t="n">
        <v>10740</v>
      </c>
      <c r="W261" s="20" t="n">
        <v>8100</v>
      </c>
      <c r="X261" s="20" t="n">
        <v>11206.646</v>
      </c>
    </row>
    <row r="262">
      <c r="A262" s="18" t="inlineStr">
        <is>
          <t>장기차입금 상환</t>
        </is>
      </c>
      <c r="D262" s="20" t="n">
        <v>-5010.888</v>
      </c>
      <c r="F262" s="20" t="n">
        <v>-1818.301</v>
      </c>
      <c r="H262" s="20" t="n">
        <v>-9895.281999999999</v>
      </c>
      <c r="J262" s="20" t="n">
        <v>-7333.5</v>
      </c>
      <c r="L262" s="20" t="n">
        <v>-10004.196</v>
      </c>
      <c r="N262" s="20" t="n">
        <v>-3043.945</v>
      </c>
      <c r="O262" s="20" t="n">
        <v>-1086.658</v>
      </c>
      <c r="P262" s="20" t="n">
        <v>-764.53</v>
      </c>
      <c r="Q262" s="20" t="n">
        <v>-1331.169</v>
      </c>
      <c r="R262" s="20" t="n">
        <v>-1388.355</v>
      </c>
      <c r="S262" s="20" t="n">
        <v>-1802.762</v>
      </c>
      <c r="T262" s="20" t="n">
        <v>-1716.252</v>
      </c>
      <c r="U262" s="20" t="n">
        <v>-3703.853</v>
      </c>
      <c r="V262" s="20" t="n">
        <v>-5010.888</v>
      </c>
      <c r="W262" s="20" t="n">
        <v>-9895.281999999999</v>
      </c>
      <c r="X262" s="20" t="n">
        <v>-10004.196</v>
      </c>
    </row>
    <row r="263">
      <c r="A263" s="18" t="inlineStr">
        <is>
          <t>사채 상환</t>
        </is>
      </c>
      <c r="D263" s="20" t="n">
        <v>0</v>
      </c>
      <c r="F263" s="20" t="n">
        <v>-20</v>
      </c>
      <c r="H263" s="20" t="n">
        <v>-340</v>
      </c>
      <c r="J263" s="20" t="n">
        <v>0</v>
      </c>
      <c r="L263" s="20" t="n">
        <v>0</v>
      </c>
      <c r="N263" s="20" t="n">
        <v>-200</v>
      </c>
      <c r="O263" s="20" t="n">
        <v>-95.09999999999999</v>
      </c>
      <c r="P263" s="20" t="n">
        <v>-25.2</v>
      </c>
      <c r="Q263" s="20" t="n">
        <v>-24.5</v>
      </c>
      <c r="R263" s="20" t="n">
        <v>-10</v>
      </c>
      <c r="S263" s="20" t="n">
        <v>-55</v>
      </c>
      <c r="T263" s="20" t="n">
        <v>0</v>
      </c>
      <c r="V263" s="20" t="n">
        <v>0</v>
      </c>
      <c r="W263" s="20" t="n">
        <v>-340</v>
      </c>
      <c r="X263" s="20" t="n">
        <v>0</v>
      </c>
    </row>
    <row r="264">
      <c r="A264" s="18" t="inlineStr">
        <is>
          <t>리스부채 상환</t>
        </is>
      </c>
      <c r="D264" s="20" t="n">
        <v>-136.562</v>
      </c>
      <c r="F264" s="20" t="n">
        <v>-95.426</v>
      </c>
      <c r="H264" s="20" t="n">
        <v>-180.283</v>
      </c>
      <c r="J264" s="20" t="n">
        <v>-89.38500000000001</v>
      </c>
      <c r="L264" s="20" t="n">
        <v>-182.271</v>
      </c>
      <c r="N264" s="20" t="n">
        <v>-106.08</v>
      </c>
      <c r="O264" s="20" t="n">
        <v>-6.441</v>
      </c>
      <c r="P264" s="20" t="n">
        <v>-6.849</v>
      </c>
      <c r="Q264" s="20" t="n">
        <v>-12.399</v>
      </c>
      <c r="R264" s="20" t="n">
        <v>-87.429</v>
      </c>
      <c r="S264" s="20" t="n">
        <v>-163.765</v>
      </c>
      <c r="T264" s="20" t="n">
        <v>-140.448</v>
      </c>
      <c r="U264" s="20" t="n">
        <v>-112.359</v>
      </c>
      <c r="V264" s="20" t="n">
        <v>-136.562</v>
      </c>
      <c r="W264" s="20" t="n">
        <v>-180.283</v>
      </c>
      <c r="X264" s="20" t="n">
        <v>-182.271</v>
      </c>
    </row>
    <row r="265">
      <c r="A265" s="18" t="inlineStr">
        <is>
          <t>주식 발행</t>
        </is>
      </c>
      <c r="D265" s="20" t="n">
        <v>0</v>
      </c>
      <c r="O265" s="20" t="n">
        <v>242.88</v>
      </c>
      <c r="P265" s="20" t="n">
        <v>0</v>
      </c>
      <c r="R265" s="20" t="n">
        <v>0</v>
      </c>
      <c r="S265" s="20" t="n">
        <v>1105.38</v>
      </c>
      <c r="T265" s="20" t="n">
        <v>0</v>
      </c>
      <c r="U265" s="20" t="n">
        <v>8.202999999999999</v>
      </c>
      <c r="V265" s="20" t="n">
        <v>0</v>
      </c>
    </row>
    <row r="266">
      <c r="A266" s="18" t="inlineStr">
        <is>
          <t>자기주식 취득</t>
        </is>
      </c>
      <c r="D266" s="20" t="n">
        <v>-166.852</v>
      </c>
      <c r="F266" s="20" t="n">
        <v>-0.101</v>
      </c>
      <c r="H266" s="20" t="n">
        <v>-0.101</v>
      </c>
      <c r="J266" s="20" t="n">
        <v>0</v>
      </c>
      <c r="L266" s="20" t="n">
        <v>0</v>
      </c>
      <c r="O266" s="20" t="n">
        <v>0</v>
      </c>
      <c r="P266" s="20" t="n">
        <v>-0.246</v>
      </c>
      <c r="U266" s="20" t="n">
        <v>0</v>
      </c>
      <c r="V266" s="20" t="n">
        <v>-166.852</v>
      </c>
      <c r="W266" s="20" t="n">
        <v>-0.101</v>
      </c>
      <c r="X266" s="20" t="n">
        <v>0</v>
      </c>
    </row>
    <row r="267">
      <c r="A267" s="18" t="inlineStr">
        <is>
          <t>신주예약권 행사에 따른 주식 발행</t>
        </is>
      </c>
      <c r="D267" s="20" t="n">
        <v>10.812</v>
      </c>
      <c r="F267" s="20" t="n">
        <v>29.478</v>
      </c>
      <c r="H267" s="20" t="n">
        <v>29.478</v>
      </c>
      <c r="J267" s="20" t="n">
        <v>0</v>
      </c>
      <c r="L267" s="20" t="n">
        <v>0</v>
      </c>
      <c r="O267" s="20" t="n">
        <v>0</v>
      </c>
      <c r="P267" s="20" t="n">
        <v>22.321</v>
      </c>
      <c r="Q267" s="20" t="n">
        <v>6.868</v>
      </c>
      <c r="R267" s="20" t="n">
        <v>48.467</v>
      </c>
      <c r="S267" s="20" t="n">
        <v>53.514</v>
      </c>
      <c r="T267" s="20" t="n">
        <v>0</v>
      </c>
      <c r="U267" s="20" t="n">
        <v>0</v>
      </c>
      <c r="V267" s="20" t="n">
        <v>10.812</v>
      </c>
      <c r="W267" s="20" t="n">
        <v>29.478</v>
      </c>
      <c r="X267" s="20" t="n">
        <v>0</v>
      </c>
    </row>
    <row r="268">
      <c r="A268" s="18" t="inlineStr">
        <is>
          <t>기타</t>
        </is>
      </c>
      <c r="O268" s="20" t="n">
        <v>0.466</v>
      </c>
      <c r="P268" s="20" t="n">
        <v>-0.668</v>
      </c>
      <c r="Q268" s="20" t="n">
        <v>-0.047</v>
      </c>
      <c r="R268" s="20" t="n">
        <v>-0.104</v>
      </c>
      <c r="S268" s="20" t="n">
        <v>-8.641</v>
      </c>
      <c r="T268" s="20" t="n">
        <v>0</v>
      </c>
    </row>
    <row r="269">
      <c r="A269" s="9" t="inlineStr">
        <is>
          <t>재무활동 현금흐름</t>
        </is>
      </c>
      <c r="D269" s="12" t="n">
        <v>2318.225</v>
      </c>
      <c r="F269" s="12" t="n">
        <v>-2059.9</v>
      </c>
      <c r="H269" s="12" t="n">
        <v>-2978.54</v>
      </c>
      <c r="J269" s="12" t="n">
        <v>2913.421</v>
      </c>
      <c r="L269" s="12" t="n">
        <v>1647.204</v>
      </c>
      <c r="N269" s="12" t="n">
        <v>1634.656</v>
      </c>
      <c r="O269" s="12" t="n">
        <v>436.146</v>
      </c>
      <c r="P269" s="12" t="n">
        <v>1150.072</v>
      </c>
      <c r="Q269" s="12" t="n">
        <v>2370.485</v>
      </c>
      <c r="R269" s="12" t="n">
        <v>4816.336</v>
      </c>
      <c r="S269" s="12" t="n">
        <v>359.275</v>
      </c>
      <c r="T269" s="12" t="n">
        <v>-1938.625</v>
      </c>
      <c r="U269" s="12" t="n">
        <v>3491.404</v>
      </c>
      <c r="V269" s="12" t="n">
        <v>2318.225</v>
      </c>
      <c r="W269" s="12" t="n">
        <v>-2978.54</v>
      </c>
      <c r="X269" s="12" t="n">
        <v>1647.204</v>
      </c>
    </row>
    <row r="270">
      <c r="A270" s="18" t="inlineStr">
        <is>
          <t>현금성자산 환산차이</t>
        </is>
      </c>
      <c r="D270" s="20" t="n">
        <v>54.664</v>
      </c>
      <c r="F270" s="20" t="n">
        <v>132.915</v>
      </c>
      <c r="H270" s="20" t="n">
        <v>107.311</v>
      </c>
      <c r="J270" s="20" t="n">
        <v>-9.613</v>
      </c>
      <c r="L270" s="20" t="n">
        <v>142.311</v>
      </c>
      <c r="N270" s="20" t="n">
        <v>66.73</v>
      </c>
      <c r="O270" s="20" t="n">
        <v>0</v>
      </c>
      <c r="P270" s="20" t="n">
        <v>4.33</v>
      </c>
      <c r="Q270" s="20" t="n">
        <v>-18.424</v>
      </c>
      <c r="R270" s="20" t="n">
        <v>8.090999999999999</v>
      </c>
      <c r="S270" s="20" t="n">
        <v>-15.493</v>
      </c>
      <c r="T270" s="20" t="n">
        <v>129.85</v>
      </c>
      <c r="U270" s="20" t="n">
        <v>89.703</v>
      </c>
      <c r="V270" s="20" t="n">
        <v>54.664</v>
      </c>
      <c r="W270" s="20" t="n">
        <v>107.311</v>
      </c>
      <c r="X270" s="20" t="n">
        <v>142.311</v>
      </c>
    </row>
    <row r="271">
      <c r="A271" s="18" t="inlineStr">
        <is>
          <t>현금성자산 증감</t>
        </is>
      </c>
      <c r="D271" s="20" t="n">
        <v>3607.36</v>
      </c>
      <c r="F271" s="20" t="n">
        <v>410.906</v>
      </c>
      <c r="H271" s="20" t="n">
        <v>2913.02</v>
      </c>
      <c r="J271" s="20" t="n">
        <v>-2347.228</v>
      </c>
      <c r="L271" s="20" t="n">
        <v>-2751.058</v>
      </c>
      <c r="N271" s="20" t="n">
        <v>1833.466</v>
      </c>
      <c r="O271" s="20" t="n">
        <v>644.0170000000001</v>
      </c>
      <c r="P271" s="20" t="n">
        <v>-168.998</v>
      </c>
      <c r="Q271" s="20" t="n">
        <v>527.085</v>
      </c>
      <c r="R271" s="20" t="n">
        <v>422.919</v>
      </c>
      <c r="S271" s="20" t="n">
        <v>2048.734</v>
      </c>
      <c r="T271" s="20" t="n">
        <v>-1657.351</v>
      </c>
      <c r="U271" s="20" t="n">
        <v>1639.596</v>
      </c>
      <c r="V271" s="20" t="n">
        <v>3607.36</v>
      </c>
      <c r="W271" s="20" t="n">
        <v>2913.02</v>
      </c>
      <c r="X271" s="20" t="n">
        <v>-2751.058</v>
      </c>
    </row>
    <row r="272">
      <c r="A272" s="18" t="inlineStr">
        <is>
          <t>연결 제외 현금성자산 감소</t>
        </is>
      </c>
      <c r="S272" s="20" t="n">
        <v>0</v>
      </c>
      <c r="T272" s="20" t="n">
        <v>-6.992</v>
      </c>
      <c r="U272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요시무라푸드홀딩스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37337.622</v>
      </c>
      <c r="D5" s="12" t="n">
        <v>40374.541</v>
      </c>
      <c r="E5" s="12" t="n">
        <v>36938.058</v>
      </c>
      <c r="F5" s="12" t="n">
        <v>42116.391</v>
      </c>
      <c r="G5" s="12" t="n">
        <v>39683.81</v>
      </c>
      <c r="H5" s="11" t="n">
        <v>12545.635</v>
      </c>
      <c r="I5" s="12" t="n">
        <v>18381.487</v>
      </c>
      <c r="J5" s="12" t="n">
        <v>28337.632</v>
      </c>
      <c r="K5" s="12" t="n">
        <v>32448.891</v>
      </c>
      <c r="L5" s="12" t="n">
        <v>36938.058</v>
      </c>
    </row>
    <row r="6">
      <c r="A6" s="18" t="inlineStr">
        <is>
          <t>현금및현금성자산</t>
        </is>
      </c>
      <c r="B6" s="10" t="n"/>
      <c r="C6" s="19" t="n">
        <v>11193.328</v>
      </c>
      <c r="D6" s="20" t="n">
        <v>13413.031</v>
      </c>
      <c r="E6" s="20" t="n">
        <v>11002.107</v>
      </c>
      <c r="F6" s="20" t="n">
        <v>14316.474</v>
      </c>
      <c r="G6" s="20" t="n">
        <v>12494.359</v>
      </c>
      <c r="H6" s="19" t="n">
        <v>3293.154</v>
      </c>
      <c r="I6" s="20" t="n">
        <v>5000.847</v>
      </c>
      <c r="J6" s="20" t="n">
        <v>10225.539</v>
      </c>
      <c r="K6" s="20" t="n">
        <v>13170.612</v>
      </c>
      <c r="L6" s="20" t="n">
        <v>11002.107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8270.521000000001</v>
      </c>
      <c r="D8" s="20" t="n">
        <v>8850.947</v>
      </c>
      <c r="E8" s="20" t="n">
        <v>9757.261</v>
      </c>
      <c r="F8" s="20" t="n">
        <v>8842.955</v>
      </c>
      <c r="G8" s="20" t="n">
        <v>8034.168</v>
      </c>
      <c r="H8" s="19" t="n">
        <v>0</v>
      </c>
      <c r="I8" s="20" t="n">
        <v>5493.126</v>
      </c>
      <c r="J8" s="20" t="n">
        <v>7131.415</v>
      </c>
      <c r="K8" s="20" t="n">
        <v>8186.173</v>
      </c>
      <c r="L8" s="20" t="n">
        <v>9757.261</v>
      </c>
    </row>
    <row r="9">
      <c r="A9" s="18" t="inlineStr">
        <is>
          <t>재고자산</t>
        </is>
      </c>
      <c r="B9" s="10" t="n"/>
      <c r="C9" s="19" t="n">
        <v>16863.834</v>
      </c>
      <c r="D9" s="20" t="n">
        <v>16686.068</v>
      </c>
      <c r="E9" s="20" t="n">
        <v>14941.13</v>
      </c>
      <c r="F9" s="20" t="n">
        <v>17532.94</v>
      </c>
      <c r="G9" s="20" t="n">
        <v>17810.302</v>
      </c>
      <c r="H9" s="19" t="n">
        <v>4503.849</v>
      </c>
      <c r="I9" s="20" t="n">
        <v>7314.419</v>
      </c>
      <c r="J9" s="20" t="n">
        <v>10193.251</v>
      </c>
      <c r="K9" s="20" t="n">
        <v>10177.526</v>
      </c>
      <c r="L9" s="20" t="n">
        <v>14941.13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23138.611</v>
      </c>
      <c r="D11" s="12" t="n">
        <v>23405.196</v>
      </c>
      <c r="E11" s="12" t="n">
        <v>24090.382</v>
      </c>
      <c r="F11" s="12" t="n">
        <v>23978.523</v>
      </c>
      <c r="G11" s="12" t="n">
        <v>24790.448</v>
      </c>
      <c r="H11" s="11" t="n">
        <v>11269.626</v>
      </c>
      <c r="I11" s="12" t="n">
        <v>13608.39</v>
      </c>
      <c r="J11" s="12" t="n">
        <v>25167.485</v>
      </c>
      <c r="K11" s="12" t="n">
        <v>23620.213</v>
      </c>
      <c r="L11" s="12" t="n">
        <v>24090.382</v>
      </c>
    </row>
    <row r="12">
      <c r="A12" s="18" t="inlineStr">
        <is>
          <t>유형자산</t>
        </is>
      </c>
      <c r="B12" s="10" t="n"/>
      <c r="C12" s="19" t="n">
        <v>10919.528</v>
      </c>
      <c r="D12" s="20" t="n">
        <v>11295.588</v>
      </c>
      <c r="E12" s="20" t="n">
        <v>11397.332</v>
      </c>
      <c r="F12" s="20" t="n">
        <v>11750.926</v>
      </c>
      <c r="G12" s="20" t="n">
        <v>12907.339</v>
      </c>
      <c r="H12" s="19" t="n">
        <v>5672.248</v>
      </c>
      <c r="I12" s="20" t="n">
        <v>6917.132</v>
      </c>
      <c r="J12" s="20" t="n">
        <v>10842.881</v>
      </c>
      <c r="K12" s="20" t="n">
        <v>11217.75</v>
      </c>
      <c r="L12" s="20" t="n">
        <v>11397.332</v>
      </c>
    </row>
    <row r="13">
      <c r="A13" s="18" t="inlineStr">
        <is>
          <t>무형자산</t>
        </is>
      </c>
      <c r="B13" s="10" t="n"/>
      <c r="C13" s="19" t="n">
        <v>10116.923</v>
      </c>
      <c r="D13" s="20" t="n">
        <v>9852.450000000001</v>
      </c>
      <c r="E13" s="20" t="n">
        <v>10016.121</v>
      </c>
      <c r="F13" s="20" t="n">
        <v>9748.284</v>
      </c>
      <c r="G13" s="20" t="n">
        <v>9482.392</v>
      </c>
      <c r="H13" s="19" t="n">
        <v>4232.264</v>
      </c>
      <c r="I13" s="20" t="n">
        <v>5258.2</v>
      </c>
      <c r="J13" s="20" t="n">
        <v>11987.408</v>
      </c>
      <c r="K13" s="20" t="n">
        <v>10197.212</v>
      </c>
      <c r="L13" s="20" t="n">
        <v>10016.121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60476.233</v>
      </c>
      <c r="D16" s="12" t="n">
        <v>63779.738</v>
      </c>
      <c r="E16" s="12" t="n">
        <v>61028.441</v>
      </c>
      <c r="F16" s="12" t="n">
        <v>66094.914</v>
      </c>
      <c r="G16" s="12" t="n">
        <v>64474.258</v>
      </c>
      <c r="H16" s="11" t="n">
        <v>23815.262</v>
      </c>
      <c r="I16" s="12" t="n">
        <v>31989.877</v>
      </c>
      <c r="J16" s="12" t="n">
        <v>53505.118</v>
      </c>
      <c r="K16" s="12" t="n">
        <v>56069.104</v>
      </c>
      <c r="L16" s="12" t="n">
        <v>61028.441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24189.332</v>
      </c>
      <c r="D18" s="12" t="n">
        <v>24661.518</v>
      </c>
      <c r="E18" s="12" t="n">
        <v>22040.999</v>
      </c>
      <c r="F18" s="12" t="n">
        <v>26631.555</v>
      </c>
      <c r="G18" s="12" t="n">
        <v>24863.48</v>
      </c>
      <c r="H18" s="11" t="n">
        <v>6367.9</v>
      </c>
      <c r="I18" s="12" t="n">
        <v>11176.702</v>
      </c>
      <c r="J18" s="12" t="n">
        <v>25026.508</v>
      </c>
      <c r="K18" s="12" t="n">
        <v>20479.025</v>
      </c>
      <c r="L18" s="12" t="n">
        <v>22040.999</v>
      </c>
    </row>
    <row r="19">
      <c r="A19" s="18" t="inlineStr">
        <is>
          <t>매입채무</t>
        </is>
      </c>
      <c r="B19" s="10" t="n"/>
      <c r="C19" s="19" t="n">
        <v>3936.301</v>
      </c>
      <c r="D19" s="20" t="n">
        <v>3812.138</v>
      </c>
      <c r="E19" s="20" t="n">
        <v>4214.858</v>
      </c>
      <c r="F19" s="20" t="n">
        <v>3847.392</v>
      </c>
      <c r="G19" s="20" t="n">
        <v>3497.916</v>
      </c>
      <c r="H19" s="19" t="n">
        <v>2338.871</v>
      </c>
      <c r="I19" s="20" t="n">
        <v>3890.428</v>
      </c>
      <c r="J19" s="20" t="n">
        <v>2921.858</v>
      </c>
      <c r="K19" s="20" t="n">
        <v>3309.433</v>
      </c>
      <c r="L19" s="20" t="n">
        <v>4214.858</v>
      </c>
    </row>
    <row r="20">
      <c r="A20" s="18" t="inlineStr">
        <is>
          <t>단기차입금</t>
        </is>
      </c>
      <c r="B20" s="10" t="n"/>
      <c r="C20" s="19" t="n">
        <v>10904.516</v>
      </c>
      <c r="D20" s="20" t="n">
        <v>11287.866</v>
      </c>
      <c r="E20" s="20" t="n">
        <v>8249.648999999999</v>
      </c>
      <c r="F20" s="20" t="n">
        <v>11443.346</v>
      </c>
      <c r="G20" s="20" t="n">
        <v>10357.875</v>
      </c>
      <c r="H20" s="19" t="n">
        <v>738.181</v>
      </c>
      <c r="I20" s="20" t="n">
        <v>1570.444</v>
      </c>
      <c r="J20" s="20" t="n">
        <v>8795.852000000001</v>
      </c>
      <c r="K20" s="20" t="n">
        <v>7983.046</v>
      </c>
      <c r="L20" s="20" t="n">
        <v>8249.648999999999</v>
      </c>
    </row>
    <row r="21">
      <c r="A21" s="18" t="inlineStr">
        <is>
          <t>유동성장기부채</t>
        </is>
      </c>
      <c r="B21" s="10" t="n"/>
      <c r="C21" s="19" t="n">
        <v>5074.737</v>
      </c>
      <c r="D21" s="20" t="n">
        <v>5449.567</v>
      </c>
      <c r="E21" s="20" t="n">
        <v>5673.433</v>
      </c>
      <c r="F21" s="20" t="n">
        <v>7217.065</v>
      </c>
      <c r="G21" s="20" t="n">
        <v>7160.886</v>
      </c>
      <c r="H21" s="19" t="n">
        <v>1469.828</v>
      </c>
      <c r="I21" s="20" t="n">
        <v>3396.285</v>
      </c>
      <c r="J21" s="20" t="n">
        <v>9690.638000000001</v>
      </c>
      <c r="K21" s="20" t="n">
        <v>4451.427</v>
      </c>
      <c r="L21" s="20" t="n">
        <v>5673.433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18595.757</v>
      </c>
      <c r="D23" s="12" t="n">
        <v>20555.715</v>
      </c>
      <c r="E23" s="12" t="n">
        <v>19734.176</v>
      </c>
      <c r="F23" s="12" t="n">
        <v>19358.207</v>
      </c>
      <c r="G23" s="12" t="n">
        <v>18652.922</v>
      </c>
      <c r="H23" s="11" t="n">
        <v>9132.612999999999</v>
      </c>
      <c r="I23" s="12" t="n">
        <v>10963.129</v>
      </c>
      <c r="J23" s="12" t="n">
        <v>15307.473</v>
      </c>
      <c r="K23" s="12" t="n">
        <v>19055.693</v>
      </c>
      <c r="L23" s="12" t="n">
        <v>19734.176</v>
      </c>
    </row>
    <row r="24">
      <c r="A24" s="18" t="inlineStr">
        <is>
          <t>장기차입금</t>
        </is>
      </c>
      <c r="B24" s="10" t="n"/>
      <c r="C24" s="19" t="n">
        <v>16037.784</v>
      </c>
      <c r="D24" s="20" t="n">
        <v>18075.97</v>
      </c>
      <c r="E24" s="20" t="n">
        <v>17126.119</v>
      </c>
      <c r="F24" s="20" t="n">
        <v>16745.542</v>
      </c>
      <c r="G24" s="20" t="n">
        <v>15406.931</v>
      </c>
      <c r="H24" s="19" t="n">
        <v>8354.611999999999</v>
      </c>
      <c r="I24" s="20" t="n">
        <v>9918.368</v>
      </c>
      <c r="J24" s="20" t="n">
        <v>12926.128</v>
      </c>
      <c r="K24" s="20" t="n">
        <v>16276.111</v>
      </c>
      <c r="L24" s="20" t="n">
        <v>17126.119</v>
      </c>
    </row>
    <row r="25">
      <c r="A25" s="18" t="inlineStr">
        <is>
          <t>사채</t>
        </is>
      </c>
      <c r="B25" s="10" t="n"/>
      <c r="C25" s="19" t="n">
        <v>0</v>
      </c>
      <c r="D25" s="20" t="n">
        <v>0</v>
      </c>
      <c r="E25" s="20" t="n">
        <v>0</v>
      </c>
      <c r="F25" s="20" t="n"/>
      <c r="G25" s="20" t="n"/>
      <c r="H25" s="19" t="n"/>
      <c r="I25" s="20" t="n">
        <v>0</v>
      </c>
      <c r="J25" s="20" t="n">
        <v>200</v>
      </c>
      <c r="K25" s="20" t="n">
        <v>200</v>
      </c>
      <c r="L25" s="20" t="n">
        <v>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42785.089</v>
      </c>
      <c r="D27" s="12" t="n">
        <v>45217.233</v>
      </c>
      <c r="E27" s="12" t="n">
        <v>41775.176</v>
      </c>
      <c r="F27" s="12" t="n">
        <v>45989.762</v>
      </c>
      <c r="G27" s="12" t="n">
        <v>43516.403</v>
      </c>
      <c r="H27" s="11" t="n">
        <v>15500.514</v>
      </c>
      <c r="I27" s="12" t="n">
        <v>22139.831</v>
      </c>
      <c r="J27" s="12" t="n">
        <v>40333.981</v>
      </c>
      <c r="K27" s="12" t="n">
        <v>39534.719</v>
      </c>
      <c r="L27" s="12" t="n">
        <v>41775.176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11518.043</v>
      </c>
      <c r="D31" s="12" t="n">
        <v>12153.846</v>
      </c>
      <c r="E31" s="12" t="n">
        <v>12422.266</v>
      </c>
      <c r="F31" s="12" t="n">
        <v>13041.171</v>
      </c>
      <c r="G31" s="12" t="n">
        <v>13783.467</v>
      </c>
      <c r="H31" s="11" t="n">
        <v>6311.503</v>
      </c>
      <c r="I31" s="12" t="n">
        <v>7478.469</v>
      </c>
      <c r="J31" s="12" t="n">
        <v>8709.876</v>
      </c>
      <c r="K31" s="12" t="n">
        <v>11042.65</v>
      </c>
      <c r="L31" s="12" t="n">
        <v>12422.266</v>
      </c>
    </row>
    <row r="32">
      <c r="A32" s="18" t="inlineStr">
        <is>
          <t>자본금</t>
        </is>
      </c>
      <c r="B32" s="10" t="n"/>
      <c r="C32" s="19" t="n">
        <v>1176.527</v>
      </c>
      <c r="D32" s="20" t="n">
        <v>1176.527</v>
      </c>
      <c r="E32" s="20" t="n">
        <v>1176.527</v>
      </c>
      <c r="F32" s="20" t="n">
        <v>1176.527</v>
      </c>
      <c r="G32" s="20" t="n">
        <v>1180.714</v>
      </c>
      <c r="H32" s="19" t="n">
        <v>1107.621</v>
      </c>
      <c r="I32" s="20" t="n">
        <v>1114.393</v>
      </c>
      <c r="J32" s="20" t="n">
        <v>1125.276</v>
      </c>
      <c r="K32" s="20" t="n">
        <v>1157.973</v>
      </c>
      <c r="L32" s="20" t="n">
        <v>1176.527</v>
      </c>
    </row>
    <row r="33">
      <c r="A33" s="18" t="inlineStr">
        <is>
          <t>이익잉여금</t>
        </is>
      </c>
      <c r="B33" s="10" t="n"/>
      <c r="C33" s="19" t="n">
        <v>7155.344</v>
      </c>
      <c r="D33" s="20" t="n">
        <v>7645.256</v>
      </c>
      <c r="E33" s="20" t="n">
        <v>7545.829</v>
      </c>
      <c r="F33" s="20" t="n">
        <v>8103.617</v>
      </c>
      <c r="G33" s="20" t="n">
        <v>8751.806</v>
      </c>
      <c r="H33" s="19" t="n">
        <v>3115.502</v>
      </c>
      <c r="I33" s="20" t="n">
        <v>3728.934</v>
      </c>
      <c r="J33" s="20" t="n">
        <v>4765.694</v>
      </c>
      <c r="K33" s="20" t="n">
        <v>6627.039</v>
      </c>
      <c r="L33" s="20" t="n">
        <v>7545.829</v>
      </c>
    </row>
    <row r="34">
      <c r="A34" s="18" t="inlineStr">
        <is>
          <t>비지배지분</t>
        </is>
      </c>
      <c r="B34" s="10" t="n"/>
      <c r="C34" s="19" t="n">
        <v>6173.1</v>
      </c>
      <c r="D34" s="20" t="n">
        <v>6408.658</v>
      </c>
      <c r="E34" s="20" t="n">
        <v>6830.998</v>
      </c>
      <c r="F34" s="20" t="n">
        <v>7063.98</v>
      </c>
      <c r="G34" s="20" t="n">
        <v>7174.388</v>
      </c>
      <c r="H34" s="19" t="n">
        <v>2002.699</v>
      </c>
      <c r="I34" s="20" t="n">
        <v>2371.031</v>
      </c>
      <c r="J34" s="20" t="n">
        <v>4460.842</v>
      </c>
      <c r="K34" s="20" t="n">
        <v>5491.735</v>
      </c>
      <c r="L34" s="20" t="n">
        <v>6830.998</v>
      </c>
    </row>
    <row r="35">
      <c r="A35" s="9" t="inlineStr">
        <is>
          <t>자본총계</t>
        </is>
      </c>
      <c r="B35" s="10" t="n"/>
      <c r="C35" s="11" t="n">
        <v>17691.143</v>
      </c>
      <c r="D35" s="12" t="n">
        <v>18562.504</v>
      </c>
      <c r="E35" s="12" t="n">
        <v>19253.264</v>
      </c>
      <c r="F35" s="12" t="n">
        <v>20105.151</v>
      </c>
      <c r="G35" s="12" t="n">
        <v>20957.855</v>
      </c>
      <c r="H35" s="11" t="n">
        <v>8314.748</v>
      </c>
      <c r="I35" s="12" t="n">
        <v>9850.046</v>
      </c>
      <c r="J35" s="12" t="n">
        <v>13171.136</v>
      </c>
      <c r="K35" s="12" t="n">
        <v>16534.385</v>
      </c>
      <c r="L35" s="12" t="n">
        <v>19253.264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-444.333</v>
      </c>
      <c r="D37" s="12" t="n"/>
      <c r="E37" s="12" t="n">
        <v>-2503.037</v>
      </c>
      <c r="F37" s="12" t="n"/>
      <c r="G37" s="12" t="n">
        <v>2175.815</v>
      </c>
      <c r="H37" s="11" t="n">
        <v>1320.02</v>
      </c>
      <c r="I37" s="12" t="n">
        <v>79.599</v>
      </c>
      <c r="J37" s="12" t="n">
        <v>5764.112</v>
      </c>
      <c r="K37" s="12" t="n">
        <v>6627.566</v>
      </c>
      <c r="L37" s="12" t="n">
        <v>-2503.037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711.415</v>
      </c>
      <c r="D38" s="20" t="n"/>
      <c r="E38" s="20" t="n">
        <v>1264.952</v>
      </c>
      <c r="F38" s="20" t="n"/>
      <c r="G38" s="20" t="n">
        <v>1979.026</v>
      </c>
      <c r="H38" s="19" t="n">
        <v>510.939</v>
      </c>
      <c r="I38" s="20" t="n">
        <v>510.658</v>
      </c>
      <c r="J38" s="20" t="n">
        <v>717.134</v>
      </c>
      <c r="K38" s="20" t="n">
        <v>1021.344</v>
      </c>
      <c r="L38" s="20" t="n">
        <v>1264.952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/>
      <c r="G40" s="20" t="n"/>
      <c r="H40" s="19" t="n"/>
      <c r="I40" s="20" t="n"/>
      <c r="J40" s="20" t="n"/>
      <c r="K40" s="20" t="n"/>
      <c r="L40" s="20" t="n"/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IFERROR(IF((IF(COUNT('연간'!G55:J55)&lt;4,"",SUM('연간'!G55:J55)))&lt;=0,"적자",C28/(IF(COUNT('연간'!G55:J55)&lt;4,"",SUM('연간'!G55:J55)))),"")</f>
        <v/>
      </c>
      <c r="D49" s="47">
        <f>IFERROR(IF((IF(COUNT('연간'!H55:K55)&lt;4,"",SUM('연간'!H55:K55)))&lt;=0,"적자",D28/(IF(COUNT('연간'!H55:K55)&lt;4,"",SUM('연간'!H55:K55)))),"")</f>
        <v/>
      </c>
      <c r="E49" s="47">
        <f>IFERROR(IF((IF(COUNT('연간'!I55:L55)&lt;4,"",SUM('연간'!I55:L55)))&lt;=0,"적자",E28/(IF(COUNT('연간'!I55:L55)&lt;4,"",SUM('연간'!I55:L55)))),"")</f>
        <v/>
      </c>
      <c r="F49" s="47">
        <f>IFERROR(IF((IF(COUNT('연간'!J55:M55)&lt;4,"",SUM('연간'!J55:M55)))&lt;=0,"적자",F28/(IF(COUNT('연간'!J55:M55)&lt;4,"",SUM('연간'!J55:M55)))),"")</f>
        <v/>
      </c>
      <c r="G49" s="47">
        <f>IFERROR(IF((IF(COUNT('연간'!K55:N55)&lt;4,"",SUM('연간'!K55:N55)))&lt;=0,"적자",G28/(IF(COUNT('연간'!K55:N55)&lt;4,"",SUM('연간'!K55:N55)))),"")</f>
        <v/>
      </c>
      <c r="H49" s="46">
        <f>IFERROR(IF(('연간'!T55)&lt;=0,"적자",H28/('연간'!T55)),"")</f>
        <v/>
      </c>
      <c r="I49" s="47">
        <f>IFERROR(IF(('연간'!U55)&lt;=0,"적자",I28/('연간'!U55)),"")</f>
        <v/>
      </c>
      <c r="J49" s="47">
        <f>IFERROR(IF(('연간'!V55)&lt;=0,"적자",J28/('연간'!V55)),"")</f>
        <v/>
      </c>
      <c r="K49" s="47">
        <f>IFERROR(IF(('연간'!W55)&lt;=0,"적자",K28/('연간'!W55)),"")</f>
        <v/>
      </c>
      <c r="L49" s="47">
        <f>IFERROR(IF(('연간'!X55)&lt;=0,"적자",L28/('연간'!X55)),"")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IFERROR((IF(COUNT('연간'!G55:J55)&lt;4,"",SUM('연간'!G55:J55)))/C31,"")</f>
        <v/>
      </c>
      <c r="D51" s="36">
        <f>IFERROR((IF(COUNT('연간'!H55:K55)&lt;4,"",SUM('연간'!H55:K55)))/D31,"")</f>
        <v/>
      </c>
      <c r="E51" s="36">
        <f>IFERROR((IF(COUNT('연간'!I55:L55)&lt;4,"",SUM('연간'!I55:L55)))/E31,"")</f>
        <v/>
      </c>
      <c r="F51" s="36">
        <f>IFERROR((IF(COUNT('연간'!J55:M55)&lt;4,"",SUM('연간'!J55:M55)))/F31,"")</f>
        <v/>
      </c>
      <c r="G51" s="36">
        <f>IFERROR((IF(COUNT('연간'!K55:N55)&lt;4,"",SUM('연간'!K55:N55)))/G31,"")</f>
        <v/>
      </c>
      <c r="H51" s="35">
        <f>IFERROR(('연간'!T55)/H31,"")</f>
        <v/>
      </c>
      <c r="I51" s="36">
        <f>IFERROR(('연간'!U55)/I31,"")</f>
        <v/>
      </c>
      <c r="J51" s="36">
        <f>IFERROR(('연간'!V55)/J31,"")</f>
        <v/>
      </c>
      <c r="K51" s="36">
        <f>IFERROR(('연간'!W55)/K31,"")</f>
        <v/>
      </c>
      <c r="L51" s="36">
        <f>IFERROR(('연간'!X55)/L31,"")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IFERROR((IF(COUNT('연간'!G53:J53)&lt;4,"",SUM('연간'!G53:J53)))/C16,"")</f>
        <v/>
      </c>
      <c r="D52" s="36">
        <f>IFERROR((IF(COUNT('연간'!H53:K53)&lt;4,"",SUM('연간'!H53:K53)))/D16,"")</f>
        <v/>
      </c>
      <c r="E52" s="36">
        <f>IFERROR((IF(COUNT('연간'!I53:L53)&lt;4,"",SUM('연간'!I53:L53)))/E16,"")</f>
        <v/>
      </c>
      <c r="F52" s="36">
        <f>IFERROR((IF(COUNT('연간'!J53:M53)&lt;4,"",SUM('연간'!J53:M53)))/F16,"")</f>
        <v/>
      </c>
      <c r="G52" s="36">
        <f>IFERROR((IF(COUNT('연간'!K53:N53)&lt;4,"",SUM('연간'!K53:N53)))/G16,"")</f>
        <v/>
      </c>
      <c r="H52" s="35">
        <f>IFERROR(('연간'!T53)/H16,"")</f>
        <v/>
      </c>
      <c r="I52" s="36">
        <f>IFERROR(('연간'!U53)/I16,"")</f>
        <v/>
      </c>
      <c r="J52" s="36">
        <f>IFERROR(('연간'!V53)/J16,"")</f>
        <v/>
      </c>
      <c r="K52" s="36">
        <f>IFERROR(('연간'!W53)/K16,"")</f>
        <v/>
      </c>
      <c r="L52" s="36">
        <f>IFERROR(('연간'!X53)/L16,"")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IFERROR((IF(COUNT('연간'!G19:J19)&lt;4,"",SUM('연간'!G19:J19)))/(IF(COUNT('연간'!G4:J4)&lt;4,"",SUM('연간'!G4:J4))),"")</f>
        <v/>
      </c>
      <c r="D54" s="36">
        <f>IFERROR((IF(COUNT('연간'!H19:K19)&lt;4,"",SUM('연간'!H19:K19)))/(IF(COUNT('연간'!H4:K4)&lt;4,"",SUM('연간'!H4:K4))),"")</f>
        <v/>
      </c>
      <c r="E54" s="36">
        <f>IFERROR((IF(COUNT('연간'!I19:L19)&lt;4,"",SUM('연간'!I19:L19)))/(IF(COUNT('연간'!I4:L4)&lt;4,"",SUM('연간'!I4:L4))),"")</f>
        <v/>
      </c>
      <c r="F54" s="36">
        <f>IFERROR((IF(COUNT('연간'!J19:M19)&lt;4,"",SUM('연간'!J19:M19)))/(IF(COUNT('연간'!J4:M4)&lt;4,"",SUM('연간'!J4:M4))),"")</f>
        <v/>
      </c>
      <c r="G54" s="36">
        <f>IFERROR((IF(COUNT('연간'!K19:N19)&lt;4,"",SUM('연간'!K19:N19)))/(IF(COUNT('연간'!K4:N4)&lt;4,"",SUM('연간'!K4:N4))),"")</f>
        <v/>
      </c>
      <c r="H54" s="35">
        <f>IFERROR(('연간'!T19)/('연간'!T4),"")</f>
        <v/>
      </c>
      <c r="I54" s="36">
        <f>IFERROR(('연간'!U19)/('연간'!U4),"")</f>
        <v/>
      </c>
      <c r="J54" s="36">
        <f>IFERROR(('연간'!V19)/('연간'!V4),"")</f>
        <v/>
      </c>
      <c r="K54" s="36">
        <f>IFERROR(('연간'!W19)/('연간'!W4),"")</f>
        <v/>
      </c>
      <c r="L54" s="36">
        <f>IFERROR(('연간'!X19)/('연간'!X4),"")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IFERROR((IF(COUNT('연간'!G53:J53)&lt;4,"",SUM('연간'!G53:J53)))/(IF(COUNT('연간'!G4:J4)&lt;4,"",SUM('연간'!G4:J4))),"")</f>
        <v/>
      </c>
      <c r="D56" s="36">
        <f>IFERROR((IF(COUNT('연간'!H53:K53)&lt;4,"",SUM('연간'!H53:K53)))/(IF(COUNT('연간'!H4:K4)&lt;4,"",SUM('연간'!H4:K4))),"")</f>
        <v/>
      </c>
      <c r="E56" s="36">
        <f>IFERROR((IF(COUNT('연간'!I53:L53)&lt;4,"",SUM('연간'!I53:L53)))/(IF(COUNT('연간'!I4:L4)&lt;4,"",SUM('연간'!I4:L4))),"")</f>
        <v/>
      </c>
      <c r="F56" s="36">
        <f>IFERROR((IF(COUNT('연간'!J53:M53)&lt;4,"",SUM('연간'!J53:M53)))/(IF(COUNT('연간'!J4:M4)&lt;4,"",SUM('연간'!J4:M4))),"")</f>
        <v/>
      </c>
      <c r="G56" s="36">
        <f>IFERROR((IF(COUNT('연간'!K53:N53)&lt;4,"",SUM('연간'!K53:N53)))/(IF(COUNT('연간'!K4:N4)&lt;4,"",SUM('연간'!K4:N4))),"")</f>
        <v/>
      </c>
      <c r="H56" s="35">
        <f>IFERROR(('연간'!T53)/('연간'!T4),"")</f>
        <v/>
      </c>
      <c r="I56" s="36">
        <f>IFERROR(('연간'!U53)/('연간'!U4),"")</f>
        <v/>
      </c>
      <c r="J56" s="36">
        <f>IFERROR(('연간'!V53)/('연간'!V4),"")</f>
        <v/>
      </c>
      <c r="K56" s="36">
        <f>IFERROR(('연간'!W53)/('연간'!W4),"")</f>
        <v/>
      </c>
      <c r="L56" s="36">
        <f>IFERROR(('연간'!X53)/('연간'!X4),"")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IFERROR(C9/(IF(COUNT('연간'!G17:J17)&lt;4,"",SUM('연간'!G17:J17)))*365,"")</f>
        <v/>
      </c>
      <c r="D60" s="49">
        <f>IFERROR(D9/(IF(COUNT('연간'!H17:K17)&lt;4,"",SUM('연간'!H17:K17)))*365,"")</f>
        <v/>
      </c>
      <c r="E60" s="49">
        <f>IFERROR(E9/(IF(COUNT('연간'!I17:L17)&lt;4,"",SUM('연간'!I17:L17)))*365,"")</f>
        <v/>
      </c>
      <c r="F60" s="49">
        <f>IFERROR(F9/(IF(COUNT('연간'!J17:M17)&lt;4,"",SUM('연간'!J17:M17)))*365,"")</f>
        <v/>
      </c>
      <c r="G60" s="49">
        <f>IFERROR(G9/(IF(COUNT('연간'!K17:N17)&lt;4,"",SUM('연간'!K17:N17)))*365,"")</f>
        <v/>
      </c>
      <c r="H60" s="48">
        <f>IFERROR(H9/('연간'!T17)*365,"")</f>
        <v/>
      </c>
      <c r="I60" s="49">
        <f>IFERROR(I9/('연간'!U17)*365,"")</f>
        <v/>
      </c>
      <c r="J60" s="49">
        <f>IFERROR(J9/('연간'!V17)*365,"")</f>
        <v/>
      </c>
      <c r="K60" s="49">
        <f>IFERROR(K9/('연간'!W17)*365,"")</f>
        <v/>
      </c>
      <c r="L60" s="49">
        <f>IFERROR(L9/('연간'!X17)*365,"")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IFERROR(C19/(IF(COUNT('연간'!G17:J17)&lt;4,"",SUM('연간'!G17:J17)))*365,"")</f>
        <v/>
      </c>
      <c r="D61" s="49">
        <f>IFERROR(D19/(IF(COUNT('연간'!H17:K17)&lt;4,"",SUM('연간'!H17:K17)))*365,"")</f>
        <v/>
      </c>
      <c r="E61" s="49">
        <f>IFERROR(E19/(IF(COUNT('연간'!I17:L17)&lt;4,"",SUM('연간'!I17:L17)))*365,"")</f>
        <v/>
      </c>
      <c r="F61" s="49">
        <f>IFERROR(F19/(IF(COUNT('연간'!J17:M17)&lt;4,"",SUM('연간'!J17:M17)))*365,"")</f>
        <v/>
      </c>
      <c r="G61" s="49">
        <f>IFERROR(G19/(IF(COUNT('연간'!K17:N17)&lt;4,"",SUM('연간'!K17:N17)))*365,"")</f>
        <v/>
      </c>
      <c r="H61" s="48">
        <f>IFERROR(H19/('연간'!T17)*365,"")</f>
        <v/>
      </c>
      <c r="I61" s="49">
        <f>IFERROR(I19/('연간'!U17)*365,"")</f>
        <v/>
      </c>
      <c r="J61" s="49">
        <f>IFERROR(J19/('연간'!V17)*365,"")</f>
        <v/>
      </c>
      <c r="K61" s="49">
        <f>IFERROR(K19/('연간'!W17)*365,"")</f>
        <v/>
      </c>
      <c r="L61" s="49">
        <f>IFERROR(L19/('연간'!X17)*365,"")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IF(C37="","",IFERROR(C37/(IF(COUNT('연간'!G53:J53)&lt;4,"",SUM('연간'!G53:J53))),""))</f>
        <v/>
      </c>
      <c r="D64" s="31">
        <f>IF(D37="","",IFERROR(D37/(IF(COUNT('연간'!H53:K53)&lt;4,"",SUM('연간'!H53:K53))),""))</f>
        <v/>
      </c>
      <c r="E64" s="31">
        <f>IF(E37="","",IFERROR(E37/(IF(COUNT('연간'!I53:L53)&lt;4,"",SUM('연간'!I53:L53))),""))</f>
        <v/>
      </c>
      <c r="F64" s="31">
        <f>IF(F37="","",IFERROR(F37/(IF(COUNT('연간'!J53:M53)&lt;4,"",SUM('연간'!J53:M53))),""))</f>
        <v/>
      </c>
      <c r="G64" s="31">
        <f>IF(G37="","",IFERROR(G37/(IF(COUNT('연간'!K53:N53)&lt;4,"",SUM('연간'!K53:N53))),""))</f>
        <v/>
      </c>
      <c r="H64" s="30">
        <f>IF(H37="","",IFERROR(H37/('연간'!T53),""))</f>
        <v/>
      </c>
      <c r="I64" s="31">
        <f>IF(I37="","",IFERROR(I37/('연간'!U53),""))</f>
        <v/>
      </c>
      <c r="J64" s="31">
        <f>IF(J37="","",IFERROR(J37/('연간'!V53),""))</f>
        <v/>
      </c>
      <c r="K64" s="31">
        <f>IF(K37="","",IFERROR(K37/('연간'!W53),""))</f>
        <v/>
      </c>
      <c r="L64" s="31">
        <f>IF(L37="","",IFERROR(L37/('연간'!X53),""))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IF(C40="","",IFERROR(C40/(IF(COUNT('연간'!G55:J55)&lt;4,"",SUM('연간'!G55:J55))),""))</f>
        <v/>
      </c>
      <c r="D67" s="36">
        <f>IF(D40="","",IFERROR(D40/(IF(COUNT('연간'!H55:K55)&lt;4,"",SUM('연간'!H55:K55))),""))</f>
        <v/>
      </c>
      <c r="E67" s="36">
        <f>IF(E40="","",IFERROR(E40/(IF(COUNT('연간'!I55:L55)&lt;4,"",SUM('연간'!I55:L55))),""))</f>
        <v/>
      </c>
      <c r="F67" s="36">
        <f>IF(F40="","",IFERROR(F40/(IF(COUNT('연간'!J55:M55)&lt;4,"",SUM('연간'!J55:M55))),""))</f>
        <v/>
      </c>
      <c r="G67" s="36">
        <f>IF(G40="","",IFERROR(G40/(IF(COUNT('연간'!K55:N55)&lt;4,"",SUM('연간'!K55:N55))),""))</f>
        <v/>
      </c>
      <c r="H67" s="35">
        <f>IF(H40="","",IFERROR(H40/('연간'!T55),""))</f>
        <v/>
      </c>
      <c r="I67" s="36">
        <f>IF(I40="","",IFERROR(I40/('연간'!U55),""))</f>
        <v/>
      </c>
      <c r="J67" s="36">
        <f>IF(J40="","",IFERROR(J40/('연간'!V55),""))</f>
        <v/>
      </c>
      <c r="K67" s="36">
        <f>IF(K40="","",IFERROR(K40/('연간'!W55),""))</f>
        <v/>
      </c>
      <c r="L67" s="36">
        <f>IF(L40="","",IFERROR(L40/('연간'!X55),""))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11193.328</v>
      </c>
      <c r="D71" s="20" t="n">
        <v>13413.031</v>
      </c>
      <c r="E71" s="20" t="n">
        <v>11002.107</v>
      </c>
      <c r="F71" s="20" t="n">
        <v>14316.474</v>
      </c>
      <c r="G71" s="20" t="n">
        <v>12494.359</v>
      </c>
      <c r="H71" s="20" t="n">
        <v>3293.154</v>
      </c>
      <c r="I71" s="20" t="n">
        <v>5000.847</v>
      </c>
      <c r="J71" s="20" t="n">
        <v>10225.539</v>
      </c>
      <c r="K71" s="20" t="n">
        <v>13170.612</v>
      </c>
      <c r="L71" s="20" t="n">
        <v>11002.107</v>
      </c>
    </row>
    <row r="72">
      <c r="A72" s="18" t="inlineStr">
        <is>
          <t>받을어음·매출채권</t>
        </is>
      </c>
      <c r="H72" s="20" t="n">
        <v>4347.488</v>
      </c>
      <c r="I72" s="20" t="n">
        <v>0</v>
      </c>
    </row>
    <row r="73">
      <c r="A73" s="18" t="inlineStr">
        <is>
          <t>받을어음·매출채권·계약자산</t>
        </is>
      </c>
      <c r="C73" s="20" t="n">
        <v>8270.521000000001</v>
      </c>
      <c r="D73" s="20" t="n">
        <v>8850.947</v>
      </c>
      <c r="E73" s="20" t="n">
        <v>9757.261</v>
      </c>
      <c r="F73" s="20" t="n">
        <v>8842.955</v>
      </c>
      <c r="G73" s="20" t="n">
        <v>8034.168</v>
      </c>
      <c r="H73" s="20" t="n">
        <v>0</v>
      </c>
      <c r="I73" s="20" t="n">
        <v>5493.126</v>
      </c>
      <c r="J73" s="20" t="n">
        <v>7131.415</v>
      </c>
      <c r="K73" s="20" t="n">
        <v>8186.173</v>
      </c>
      <c r="L73" s="20" t="n">
        <v>9757.261</v>
      </c>
    </row>
    <row r="74">
      <c r="A74" s="18" t="inlineStr">
        <is>
          <t>상품·제품</t>
        </is>
      </c>
      <c r="C74" s="20" t="n">
        <v>14291.502</v>
      </c>
      <c r="D74" s="20" t="n">
        <v>14334.155</v>
      </c>
      <c r="E74" s="20" t="n">
        <v>12864.73</v>
      </c>
      <c r="F74" s="20" t="n">
        <v>14533.71</v>
      </c>
      <c r="G74" s="20" t="n">
        <v>15002.039</v>
      </c>
      <c r="H74" s="20" t="n">
        <v>3442.485</v>
      </c>
      <c r="I74" s="20" t="n">
        <v>5337.167</v>
      </c>
      <c r="J74" s="20" t="n">
        <v>8212.361000000001</v>
      </c>
      <c r="K74" s="20" t="n">
        <v>8002.5</v>
      </c>
      <c r="L74" s="20" t="n">
        <v>12864.73</v>
      </c>
    </row>
    <row r="75">
      <c r="A75" s="18" t="inlineStr">
        <is>
          <t>원재료·저장품</t>
        </is>
      </c>
      <c r="C75" s="20" t="n">
        <v>2572.332</v>
      </c>
      <c r="D75" s="20" t="n">
        <v>2351.913</v>
      </c>
      <c r="E75" s="20" t="n">
        <v>2076.4</v>
      </c>
      <c r="F75" s="20" t="n">
        <v>2999.23</v>
      </c>
      <c r="G75" s="20" t="n">
        <v>2808.263</v>
      </c>
      <c r="H75" s="20" t="n">
        <v>1061.364</v>
      </c>
      <c r="I75" s="20" t="n">
        <v>1977.252</v>
      </c>
      <c r="J75" s="20" t="n">
        <v>1980.89</v>
      </c>
      <c r="K75" s="20" t="n">
        <v>2175.026</v>
      </c>
      <c r="L75" s="20" t="n">
        <v>2076.4</v>
      </c>
    </row>
    <row r="76">
      <c r="A76" s="18" t="inlineStr">
        <is>
          <t>기타</t>
        </is>
      </c>
      <c r="C76" s="20" t="n">
        <v>1169.235</v>
      </c>
      <c r="D76" s="20" t="n">
        <v>1622.427</v>
      </c>
      <c r="E76" s="20" t="n">
        <v>1487.156</v>
      </c>
      <c r="F76" s="20" t="n">
        <v>1677.421</v>
      </c>
      <c r="G76" s="20" t="n">
        <v>1617.505</v>
      </c>
      <c r="H76" s="20" t="n">
        <v>487.04</v>
      </c>
      <c r="I76" s="20" t="n">
        <v>673.006</v>
      </c>
      <c r="J76" s="20" t="n">
        <v>948.014</v>
      </c>
      <c r="K76" s="20" t="n">
        <v>1074.117</v>
      </c>
      <c r="L76" s="20" t="n">
        <v>1487.156</v>
      </c>
    </row>
    <row r="77">
      <c r="A77" s="18" t="inlineStr">
        <is>
          <t>대손충당금</t>
        </is>
      </c>
      <c r="C77" s="20" t="n">
        <v>-159.298</v>
      </c>
      <c r="D77" s="20" t="n">
        <v>-197.934</v>
      </c>
      <c r="E77" s="20" t="n">
        <v>-249.597</v>
      </c>
      <c r="F77" s="20" t="n">
        <v>-253.401</v>
      </c>
      <c r="G77" s="20" t="n">
        <v>-272.525</v>
      </c>
      <c r="H77" s="20" t="n">
        <v>-85.89700000000001</v>
      </c>
      <c r="I77" s="20" t="n">
        <v>-99.913</v>
      </c>
      <c r="J77" s="20" t="n">
        <v>-160.588</v>
      </c>
      <c r="K77" s="20" t="n">
        <v>-159.539</v>
      </c>
      <c r="L77" s="20" t="n">
        <v>-249.597</v>
      </c>
    </row>
    <row r="78">
      <c r="A78" s="9" t="inlineStr">
        <is>
          <t>유동자산 합계</t>
        </is>
      </c>
      <c r="C78" s="12" t="n">
        <v>37337.622</v>
      </c>
      <c r="D78" s="12" t="n">
        <v>40374.541</v>
      </c>
      <c r="E78" s="12" t="n">
        <v>36938.058</v>
      </c>
      <c r="F78" s="12" t="n">
        <v>42116.391</v>
      </c>
      <c r="G78" s="12" t="n">
        <v>39683.81</v>
      </c>
      <c r="H78" s="12" t="n">
        <v>12545.635</v>
      </c>
      <c r="I78" s="12" t="n">
        <v>18381.487</v>
      </c>
      <c r="J78" s="12" t="n">
        <v>28337.632</v>
      </c>
      <c r="K78" s="12" t="n">
        <v>32448.891</v>
      </c>
      <c r="L78" s="12" t="n">
        <v>36938.058</v>
      </c>
    </row>
    <row r="79">
      <c r="A79" s="18" t="inlineStr">
        <is>
          <t>건물·구축물</t>
        </is>
      </c>
      <c r="E79" s="20" t="n">
        <v>14265.395</v>
      </c>
      <c r="H79" s="20" t="n">
        <v>5603.152</v>
      </c>
      <c r="I79" s="20" t="n">
        <v>7056.838</v>
      </c>
      <c r="J79" s="20" t="n">
        <v>14000.021</v>
      </c>
      <c r="K79" s="20" t="n">
        <v>14467.103</v>
      </c>
      <c r="L79" s="20" t="n">
        <v>14265.395</v>
      </c>
    </row>
    <row r="80">
      <c r="A80" s="18" t="inlineStr">
        <is>
          <t>감가상각누계액</t>
        </is>
      </c>
      <c r="E80" s="20" t="n">
        <v>-8337.615</v>
      </c>
      <c r="H80" s="20" t="n">
        <v>-2902.598</v>
      </c>
      <c r="I80" s="20" t="n">
        <v>-3921.988</v>
      </c>
      <c r="J80" s="20" t="n">
        <v>-7411.077</v>
      </c>
      <c r="K80" s="20" t="n">
        <v>-8084.756</v>
      </c>
      <c r="L80" s="20" t="n">
        <v>-8337.615</v>
      </c>
    </row>
    <row r="81">
      <c r="A81" s="18" t="inlineStr">
        <is>
          <t>건물·구축물(순액)</t>
        </is>
      </c>
      <c r="C81" s="20" t="n">
        <v>5988.124</v>
      </c>
      <c r="D81" s="20" t="n">
        <v>5916.31</v>
      </c>
      <c r="E81" s="20" t="n">
        <v>5927.78</v>
      </c>
      <c r="F81" s="20" t="n">
        <v>5885.883</v>
      </c>
      <c r="G81" s="20" t="n">
        <v>6936.055</v>
      </c>
      <c r="H81" s="20" t="n">
        <v>2700.553</v>
      </c>
      <c r="I81" s="20" t="n">
        <v>3134.849</v>
      </c>
      <c r="J81" s="20" t="n">
        <v>6588.944</v>
      </c>
      <c r="K81" s="20" t="n">
        <v>6382.346</v>
      </c>
      <c r="L81" s="20" t="n">
        <v>5927.78</v>
      </c>
    </row>
    <row r="82">
      <c r="A82" s="18" t="inlineStr">
        <is>
          <t>기계장치·운반구</t>
        </is>
      </c>
      <c r="E82" s="20" t="n">
        <v>10154.423</v>
      </c>
      <c r="H82" s="20" t="n">
        <v>4103.055</v>
      </c>
      <c r="I82" s="20" t="n">
        <v>5807.014</v>
      </c>
      <c r="J82" s="20" t="n">
        <v>8828.190000000001</v>
      </c>
      <c r="K82" s="20" t="n">
        <v>9516.102000000001</v>
      </c>
      <c r="L82" s="20" t="n">
        <v>10154.423</v>
      </c>
    </row>
    <row r="83">
      <c r="A83" s="18" t="inlineStr">
        <is>
          <t>감가상각누계액</t>
        </is>
      </c>
      <c r="H83" s="20" t="n">
        <v>-3344.671</v>
      </c>
    </row>
    <row r="84">
      <c r="A84" s="18" t="inlineStr">
        <is>
          <t>감가상각누계액 및 손상차손누계액</t>
        </is>
      </c>
      <c r="E84" s="20" t="n">
        <v>-8493.912</v>
      </c>
      <c r="H84" s="20" t="n">
        <v>-3344.671</v>
      </c>
      <c r="I84" s="20" t="n">
        <v>-4951.598</v>
      </c>
      <c r="J84" s="20" t="n">
        <v>-7549.948</v>
      </c>
      <c r="K84" s="20" t="n">
        <v>-7971.692</v>
      </c>
      <c r="L84" s="20" t="n">
        <v>-8493.912</v>
      </c>
    </row>
    <row r="85">
      <c r="A85" s="18" t="inlineStr">
        <is>
          <t>기계장치·운반구(순액)</t>
        </is>
      </c>
      <c r="C85" s="20" t="n">
        <v>1588.086</v>
      </c>
      <c r="D85" s="20" t="n">
        <v>1635.788</v>
      </c>
      <c r="E85" s="20" t="n">
        <v>1660.51</v>
      </c>
      <c r="F85" s="20" t="n">
        <v>1628.456</v>
      </c>
      <c r="G85" s="20" t="n">
        <v>1551.836</v>
      </c>
      <c r="H85" s="20" t="n">
        <v>758.384</v>
      </c>
      <c r="I85" s="20" t="n">
        <v>855.415</v>
      </c>
      <c r="J85" s="20" t="n">
        <v>1278.242</v>
      </c>
      <c r="K85" s="20" t="n">
        <v>1544.41</v>
      </c>
      <c r="L85" s="20" t="n">
        <v>1660.51</v>
      </c>
    </row>
    <row r="86">
      <c r="A86" s="18" t="inlineStr">
        <is>
          <t>토지</t>
        </is>
      </c>
      <c r="E86" s="20" t="n">
        <v>2642.516</v>
      </c>
      <c r="H86" s="20" t="n">
        <v>1520.584</v>
      </c>
      <c r="I86" s="20" t="n">
        <v>1992.584</v>
      </c>
      <c r="J86" s="20" t="n">
        <v>2393.328</v>
      </c>
      <c r="K86" s="20" t="n">
        <v>2627.224</v>
      </c>
      <c r="L86" s="20" t="n">
        <v>2642.516</v>
      </c>
    </row>
    <row r="87">
      <c r="A87" s="18" t="inlineStr">
        <is>
          <t>리스자산</t>
        </is>
      </c>
      <c r="E87" s="20" t="n">
        <v>2040.703</v>
      </c>
      <c r="H87" s="20" t="n">
        <v>757.865</v>
      </c>
      <c r="I87" s="20" t="n">
        <v>872.134</v>
      </c>
      <c r="J87" s="20" t="n">
        <v>965.856</v>
      </c>
      <c r="K87" s="20" t="n">
        <v>826.333</v>
      </c>
      <c r="L87" s="20" t="n">
        <v>2040.703</v>
      </c>
    </row>
    <row r="88">
      <c r="A88" s="18" t="inlineStr">
        <is>
          <t>감가상각누계액</t>
        </is>
      </c>
      <c r="E88" s="20" t="n">
        <v>-1494.474</v>
      </c>
      <c r="H88" s="20" t="n">
        <v>-135.241</v>
      </c>
      <c r="I88" s="20" t="n">
        <v>-207.981</v>
      </c>
      <c r="J88" s="20" t="n">
        <v>-645.771</v>
      </c>
      <c r="K88" s="20" t="n">
        <v>-331.257</v>
      </c>
      <c r="L88" s="20" t="n">
        <v>-1494.474</v>
      </c>
    </row>
    <row r="89">
      <c r="A89" s="18" t="inlineStr">
        <is>
          <t>리스자산(순액)</t>
        </is>
      </c>
      <c r="E89" s="20" t="n">
        <v>546.228</v>
      </c>
      <c r="H89" s="20" t="n">
        <v>622.624</v>
      </c>
      <c r="I89" s="20" t="n">
        <v>664.153</v>
      </c>
      <c r="J89" s="20" t="n">
        <v>320.084</v>
      </c>
      <c r="K89" s="20" t="n">
        <v>495.075</v>
      </c>
      <c r="L89" s="20" t="n">
        <v>546.228</v>
      </c>
    </row>
    <row r="90">
      <c r="A90" s="18" t="inlineStr">
        <is>
          <t>기타</t>
        </is>
      </c>
      <c r="E90" s="20" t="n">
        <v>1508.862</v>
      </c>
      <c r="H90" s="20" t="n">
        <v>458.606</v>
      </c>
      <c r="I90" s="20" t="n">
        <v>741.62</v>
      </c>
      <c r="J90" s="20" t="n">
        <v>1089.341</v>
      </c>
      <c r="K90" s="20" t="n">
        <v>1120.148</v>
      </c>
      <c r="L90" s="20" t="n">
        <v>1508.862</v>
      </c>
    </row>
    <row r="91">
      <c r="A91" s="18" t="inlineStr">
        <is>
          <t>감가상각누계액</t>
        </is>
      </c>
      <c r="H91" s="20" t="n">
        <v>-388.505</v>
      </c>
    </row>
    <row r="92">
      <c r="A92" s="18" t="inlineStr">
        <is>
          <t>감가상각누계액 및 손상차손누계액</t>
        </is>
      </c>
      <c r="E92" s="20" t="n">
        <v>-888.5650000000001</v>
      </c>
      <c r="H92" s="20" t="n">
        <v>-388.505</v>
      </c>
      <c r="I92" s="20" t="n">
        <v>-471.491</v>
      </c>
      <c r="J92" s="20" t="n">
        <v>-827.059</v>
      </c>
      <c r="K92" s="20" t="n">
        <v>-951.454</v>
      </c>
      <c r="L92" s="20" t="n">
        <v>-888.5650000000001</v>
      </c>
    </row>
    <row r="93">
      <c r="A93" s="18" t="inlineStr">
        <is>
          <t>기타(순액)</t>
        </is>
      </c>
      <c r="C93" s="20" t="n">
        <v>3343.317</v>
      </c>
      <c r="D93" s="20" t="n">
        <v>3743.489</v>
      </c>
      <c r="E93" s="20" t="n">
        <v>3809.042</v>
      </c>
      <c r="F93" s="20" t="n">
        <v>4236.586</v>
      </c>
      <c r="G93" s="20" t="n">
        <v>4419.448</v>
      </c>
      <c r="H93" s="20" t="n">
        <v>70.101</v>
      </c>
      <c r="I93" s="20" t="n">
        <v>270.129</v>
      </c>
      <c r="J93" s="20" t="n">
        <v>262.281</v>
      </c>
      <c r="K93" s="20" t="n">
        <v>168.693</v>
      </c>
      <c r="L93" s="20" t="n">
        <v>3809.042</v>
      </c>
    </row>
    <row r="94">
      <c r="A94" s="18" t="inlineStr">
        <is>
          <t>유형자산 합계</t>
        </is>
      </c>
      <c r="C94" s="20" t="n">
        <v>10919.528</v>
      </c>
      <c r="D94" s="20" t="n">
        <v>11295.588</v>
      </c>
      <c r="E94" s="20" t="n">
        <v>11397.332</v>
      </c>
      <c r="F94" s="20" t="n">
        <v>11750.926</v>
      </c>
      <c r="G94" s="20" t="n">
        <v>12907.339</v>
      </c>
      <c r="H94" s="20" t="n">
        <v>5672.248</v>
      </c>
      <c r="I94" s="20" t="n">
        <v>6917.132</v>
      </c>
      <c r="J94" s="20" t="n">
        <v>10842.881</v>
      </c>
      <c r="K94" s="20" t="n">
        <v>11217.75</v>
      </c>
      <c r="L94" s="20" t="n">
        <v>11397.332</v>
      </c>
    </row>
    <row r="95">
      <c r="A95" s="18" t="inlineStr">
        <is>
          <t>영업권</t>
        </is>
      </c>
      <c r="C95" s="20" t="n">
        <v>6686.663</v>
      </c>
      <c r="D95" s="20" t="n">
        <v>6518.752</v>
      </c>
      <c r="E95" s="20" t="n">
        <v>6261.876</v>
      </c>
      <c r="F95" s="20" t="n">
        <v>6092.368</v>
      </c>
      <c r="G95" s="20" t="n">
        <v>5929.515</v>
      </c>
      <c r="H95" s="20" t="n">
        <v>3932.526</v>
      </c>
      <c r="I95" s="20" t="n">
        <v>4557.816</v>
      </c>
      <c r="J95" s="20" t="n">
        <v>8015.48</v>
      </c>
      <c r="K95" s="20" t="n">
        <v>6580.186</v>
      </c>
      <c r="L95" s="20" t="n">
        <v>6261.876</v>
      </c>
    </row>
    <row r="96">
      <c r="A96" s="18" t="inlineStr">
        <is>
          <t>고객관계자산</t>
        </is>
      </c>
      <c r="C96" s="20" t="n">
        <v>3360.141</v>
      </c>
      <c r="D96" s="20" t="n">
        <v>3268.064</v>
      </c>
      <c r="E96" s="20" t="n">
        <v>3645.163</v>
      </c>
      <c r="F96" s="20" t="n">
        <v>3554.011</v>
      </c>
      <c r="G96" s="20" t="n">
        <v>3453.708</v>
      </c>
      <c r="J96" s="20" t="n">
        <v>3912.604</v>
      </c>
      <c r="K96" s="20" t="n">
        <v>3544.296</v>
      </c>
      <c r="L96" s="20" t="n">
        <v>3645.163</v>
      </c>
    </row>
    <row r="97">
      <c r="A97" s="18" t="inlineStr">
        <is>
          <t>기타</t>
        </is>
      </c>
      <c r="C97" s="20" t="n">
        <v>70.117</v>
      </c>
      <c r="D97" s="20" t="n">
        <v>65.633</v>
      </c>
      <c r="E97" s="20" t="n">
        <v>109.081</v>
      </c>
      <c r="F97" s="20" t="n">
        <v>101.903</v>
      </c>
      <c r="G97" s="20" t="n">
        <v>99.16800000000001</v>
      </c>
      <c r="H97" s="20" t="n">
        <v>299.738</v>
      </c>
      <c r="I97" s="20" t="n">
        <v>700.384</v>
      </c>
      <c r="J97" s="20" t="n">
        <v>59.323</v>
      </c>
      <c r="K97" s="20" t="n">
        <v>72.729</v>
      </c>
      <c r="L97" s="20" t="n">
        <v>109.081</v>
      </c>
    </row>
    <row r="98">
      <c r="A98" s="18" t="inlineStr">
        <is>
          <t>무형자산 합계</t>
        </is>
      </c>
      <c r="C98" s="20" t="n">
        <v>10116.923</v>
      </c>
      <c r="D98" s="20" t="n">
        <v>9852.450000000001</v>
      </c>
      <c r="E98" s="20" t="n">
        <v>10016.121</v>
      </c>
      <c r="F98" s="20" t="n">
        <v>9748.284</v>
      </c>
      <c r="G98" s="20" t="n">
        <v>9482.392</v>
      </c>
      <c r="H98" s="20" t="n">
        <v>4232.264</v>
      </c>
      <c r="I98" s="20" t="n">
        <v>5258.2</v>
      </c>
      <c r="J98" s="20" t="n">
        <v>11987.408</v>
      </c>
      <c r="K98" s="20" t="n">
        <v>10197.212</v>
      </c>
      <c r="L98" s="20" t="n">
        <v>10016.121</v>
      </c>
    </row>
    <row r="99">
      <c r="A99" s="18" t="inlineStr">
        <is>
          <t>이연법인세자산</t>
        </is>
      </c>
      <c r="E99" s="20" t="n">
        <v>361.544</v>
      </c>
      <c r="H99" s="20" t="n">
        <v>276.186</v>
      </c>
      <c r="I99" s="20" t="n">
        <v>195.708</v>
      </c>
      <c r="J99" s="20" t="n">
        <v>171.153</v>
      </c>
      <c r="K99" s="20" t="n">
        <v>186.624</v>
      </c>
      <c r="L99" s="20" t="n">
        <v>361.544</v>
      </c>
    </row>
    <row r="100">
      <c r="A100" s="18" t="inlineStr">
        <is>
          <t>기타</t>
        </is>
      </c>
      <c r="C100" s="20" t="n">
        <v>2151.504</v>
      </c>
      <c r="D100" s="20" t="n">
        <v>2282.938</v>
      </c>
      <c r="E100" s="20" t="n">
        <v>2702.757</v>
      </c>
      <c r="F100" s="20" t="n">
        <v>2505.141</v>
      </c>
      <c r="G100" s="20" t="n">
        <v>2426.544</v>
      </c>
      <c r="H100" s="20" t="n">
        <v>1109.344</v>
      </c>
      <c r="I100" s="20" t="n">
        <v>1259.54</v>
      </c>
      <c r="J100" s="20" t="n">
        <v>2192.92</v>
      </c>
      <c r="K100" s="20" t="n">
        <v>2065.392</v>
      </c>
      <c r="L100" s="20" t="n">
        <v>2702.757</v>
      </c>
    </row>
    <row r="101">
      <c r="A101" s="18" t="inlineStr">
        <is>
          <t>대손충당금</t>
        </is>
      </c>
      <c r="C101" s="20" t="n">
        <v>-49.345</v>
      </c>
      <c r="D101" s="20" t="n">
        <v>-25.78</v>
      </c>
      <c r="E101" s="20" t="n">
        <v>-25.828</v>
      </c>
      <c r="F101" s="20" t="n">
        <v>-25.828</v>
      </c>
      <c r="G101" s="20" t="n">
        <v>-25.828</v>
      </c>
      <c r="H101" s="20" t="n">
        <v>-20.418</v>
      </c>
      <c r="I101" s="20" t="n">
        <v>-22.191</v>
      </c>
      <c r="J101" s="20" t="n">
        <v>-26.877</v>
      </c>
      <c r="K101" s="20" t="n">
        <v>-46.766</v>
      </c>
      <c r="L101" s="20" t="n">
        <v>-25.828</v>
      </c>
    </row>
    <row r="102">
      <c r="A102" s="18" t="inlineStr">
        <is>
          <t>투자 및 기타자산 합계</t>
        </is>
      </c>
      <c r="C102" s="20" t="n">
        <v>2102.158</v>
      </c>
      <c r="D102" s="20" t="n">
        <v>2257.158</v>
      </c>
      <c r="E102" s="20" t="n">
        <v>2676.928</v>
      </c>
      <c r="F102" s="20" t="n">
        <v>2479.312</v>
      </c>
      <c r="G102" s="20" t="n">
        <v>2400.715</v>
      </c>
      <c r="H102" s="20" t="n">
        <v>1365.113</v>
      </c>
      <c r="I102" s="20" t="n">
        <v>1433.056</v>
      </c>
      <c r="J102" s="20" t="n">
        <v>2337.196</v>
      </c>
      <c r="K102" s="20" t="n">
        <v>2205.25</v>
      </c>
      <c r="L102" s="20" t="n">
        <v>2676.928</v>
      </c>
    </row>
    <row r="103">
      <c r="A103" s="9" t="inlineStr">
        <is>
          <t>비유동자산 합계</t>
        </is>
      </c>
      <c r="C103" s="12" t="n">
        <v>23138.611</v>
      </c>
      <c r="D103" s="12" t="n">
        <v>23405.196</v>
      </c>
      <c r="E103" s="12" t="n">
        <v>24090.382</v>
      </c>
      <c r="F103" s="12" t="n">
        <v>23978.523</v>
      </c>
      <c r="G103" s="12" t="n">
        <v>24790.448</v>
      </c>
      <c r="H103" s="12" t="n">
        <v>11269.626</v>
      </c>
      <c r="I103" s="12" t="n">
        <v>13608.39</v>
      </c>
      <c r="J103" s="12" t="n">
        <v>25167.485</v>
      </c>
      <c r="K103" s="12" t="n">
        <v>23620.213</v>
      </c>
      <c r="L103" s="12" t="n">
        <v>24090.382</v>
      </c>
    </row>
    <row r="104">
      <c r="A104" s="9" t="inlineStr">
        <is>
          <t>자산 합계</t>
        </is>
      </c>
      <c r="C104" s="12" t="n">
        <v>60476.233</v>
      </c>
      <c r="D104" s="12" t="n">
        <v>63779.738</v>
      </c>
      <c r="E104" s="12" t="n">
        <v>61028.441</v>
      </c>
      <c r="F104" s="12" t="n">
        <v>66094.914</v>
      </c>
      <c r="G104" s="12" t="n">
        <v>64474.258</v>
      </c>
      <c r="H104" s="12" t="n">
        <v>23815.262</v>
      </c>
      <c r="I104" s="12" t="n">
        <v>31989.877</v>
      </c>
      <c r="J104" s="12" t="n">
        <v>53505.118</v>
      </c>
      <c r="K104" s="12" t="n">
        <v>56069.104</v>
      </c>
      <c r="L104" s="12" t="n">
        <v>61028.441</v>
      </c>
    </row>
    <row r="105">
      <c r="A105" s="18" t="inlineStr">
        <is>
          <t>지급어음</t>
        </is>
      </c>
      <c r="H105" s="20" t="n">
        <v>0</v>
      </c>
      <c r="I105" s="20" t="n">
        <v>3.203</v>
      </c>
    </row>
    <row r="106">
      <c r="A106" s="18" t="inlineStr">
        <is>
          <t>매입채무</t>
        </is>
      </c>
      <c r="H106" s="20" t="n">
        <v>2338.871</v>
      </c>
      <c r="I106" s="20" t="n">
        <v>3887.225</v>
      </c>
    </row>
    <row r="107">
      <c r="A107" s="18" t="inlineStr">
        <is>
          <t>지급어음·매입채무</t>
        </is>
      </c>
      <c r="C107" s="20" t="n">
        <v>3936.301</v>
      </c>
      <c r="D107" s="20" t="n">
        <v>3812.138</v>
      </c>
      <c r="E107" s="20" t="n">
        <v>4214.858</v>
      </c>
      <c r="F107" s="20" t="n">
        <v>3847.392</v>
      </c>
      <c r="G107" s="20" t="n">
        <v>3497.916</v>
      </c>
      <c r="I107" s="20" t="n">
        <v>3890.428</v>
      </c>
      <c r="J107" s="20" t="n">
        <v>2921.858</v>
      </c>
      <c r="K107" s="20" t="n">
        <v>3309.433</v>
      </c>
      <c r="L107" s="20" t="n">
        <v>4214.858</v>
      </c>
    </row>
    <row r="108">
      <c r="A108" s="18" t="inlineStr">
        <is>
          <t>선수금</t>
        </is>
      </c>
      <c r="E108" s="20" t="n">
        <v>429.152</v>
      </c>
      <c r="K108" s="20" t="n">
        <v>648.0359999999999</v>
      </c>
      <c r="L108" s="20" t="n">
        <v>429.152</v>
      </c>
    </row>
    <row r="109">
      <c r="A109" s="18" t="inlineStr">
        <is>
          <t>단기차입금</t>
        </is>
      </c>
      <c r="C109" s="20" t="n">
        <v>10904.516</v>
      </c>
      <c r="D109" s="20" t="n">
        <v>11287.866</v>
      </c>
      <c r="E109" s="20" t="n">
        <v>8249.648999999999</v>
      </c>
      <c r="F109" s="20" t="n">
        <v>11443.346</v>
      </c>
      <c r="G109" s="20" t="n">
        <v>10357.875</v>
      </c>
      <c r="H109" s="20" t="n">
        <v>738.181</v>
      </c>
      <c r="I109" s="20" t="n">
        <v>1570.444</v>
      </c>
      <c r="J109" s="20" t="n">
        <v>8795.852000000001</v>
      </c>
      <c r="K109" s="20" t="n">
        <v>7983.046</v>
      </c>
      <c r="L109" s="20" t="n">
        <v>8249.648999999999</v>
      </c>
    </row>
    <row r="110">
      <c r="A110" s="18" t="inlineStr">
        <is>
          <t>1년 내 상환 사채</t>
        </is>
      </c>
      <c r="C110" s="20" t="n">
        <v>200</v>
      </c>
      <c r="D110" s="20" t="n">
        <v>200</v>
      </c>
      <c r="E110" s="20" t="n">
        <v>200</v>
      </c>
      <c r="F110" s="20" t="n">
        <v>0</v>
      </c>
      <c r="G110" s="20" t="n">
        <v>0</v>
      </c>
      <c r="I110" s="20" t="n">
        <v>0</v>
      </c>
      <c r="J110" s="20" t="n">
        <v>340</v>
      </c>
      <c r="K110" s="20" t="n">
        <v>0</v>
      </c>
      <c r="L110" s="20" t="n">
        <v>200</v>
      </c>
    </row>
    <row r="111">
      <c r="A111" s="18" t="inlineStr">
        <is>
          <t>1년 내 상환 장기차입금</t>
        </is>
      </c>
      <c r="C111" s="20" t="n">
        <v>4874.737</v>
      </c>
      <c r="D111" s="20" t="n">
        <v>5249.567</v>
      </c>
      <c r="E111" s="20" t="n">
        <v>5473.433</v>
      </c>
      <c r="F111" s="20" t="n">
        <v>7217.065</v>
      </c>
      <c r="G111" s="20" t="n">
        <v>7160.886</v>
      </c>
      <c r="H111" s="20" t="n">
        <v>1469.828</v>
      </c>
      <c r="I111" s="20" t="n">
        <v>3396.285</v>
      </c>
      <c r="J111" s="20" t="n">
        <v>9350.638000000001</v>
      </c>
      <c r="K111" s="20" t="n">
        <v>4451.427</v>
      </c>
      <c r="L111" s="20" t="n">
        <v>5473.433</v>
      </c>
    </row>
    <row r="112">
      <c r="A112" s="18" t="inlineStr">
        <is>
          <t>미지급금</t>
        </is>
      </c>
      <c r="E112" s="20" t="n">
        <v>1220.444</v>
      </c>
      <c r="H112" s="20" t="n">
        <v>465.043</v>
      </c>
      <c r="I112" s="20" t="n">
        <v>567.519</v>
      </c>
      <c r="J112" s="20" t="n">
        <v>778.242</v>
      </c>
      <c r="K112" s="20" t="n">
        <v>865.215</v>
      </c>
      <c r="L112" s="20" t="n">
        <v>1220.444</v>
      </c>
    </row>
    <row r="113">
      <c r="A113" s="18" t="inlineStr">
        <is>
          <t>미지급법인세</t>
        </is>
      </c>
      <c r="C113" s="20" t="n">
        <v>702.4829999999999</v>
      </c>
      <c r="D113" s="20" t="n">
        <v>505.047</v>
      </c>
      <c r="E113" s="20" t="n">
        <v>770.075</v>
      </c>
      <c r="F113" s="20" t="n">
        <v>709.234</v>
      </c>
      <c r="G113" s="20" t="n">
        <v>819.477</v>
      </c>
      <c r="H113" s="20" t="n">
        <v>261.395</v>
      </c>
      <c r="I113" s="20" t="n">
        <v>471.361</v>
      </c>
      <c r="J113" s="20" t="n">
        <v>904.347</v>
      </c>
      <c r="K113" s="20" t="n">
        <v>1535.081</v>
      </c>
      <c r="L113" s="20" t="n">
        <v>770.075</v>
      </c>
    </row>
    <row r="114">
      <c r="A114" s="18" t="inlineStr">
        <is>
          <t>미지급 소비세</t>
        </is>
      </c>
      <c r="C114" s="20" t="n">
        <v>214.369</v>
      </c>
      <c r="D114" s="20" t="n">
        <v>197.538</v>
      </c>
      <c r="E114" s="20" t="n">
        <v>183.63</v>
      </c>
      <c r="F114" s="20" t="n">
        <v>172.377</v>
      </c>
      <c r="G114" s="20" t="n">
        <v>202.435</v>
      </c>
      <c r="H114" s="20" t="n">
        <v>110.34</v>
      </c>
      <c r="I114" s="20" t="n">
        <v>98.35899999999999</v>
      </c>
      <c r="J114" s="20" t="n">
        <v>554.002</v>
      </c>
      <c r="K114" s="20" t="n">
        <v>308.347</v>
      </c>
      <c r="L114" s="20" t="n">
        <v>183.63</v>
      </c>
    </row>
    <row r="115">
      <c r="A115" s="18" t="inlineStr">
        <is>
          <t>상여충당금</t>
        </is>
      </c>
      <c r="C115" s="20" t="n">
        <v>343.052</v>
      </c>
      <c r="D115" s="20" t="n">
        <v>521.535</v>
      </c>
      <c r="E115" s="20" t="n">
        <v>402.765</v>
      </c>
      <c r="F115" s="20" t="n">
        <v>457.799</v>
      </c>
      <c r="G115" s="20" t="n">
        <v>378.719</v>
      </c>
      <c r="H115" s="20" t="n">
        <v>214.32</v>
      </c>
      <c r="I115" s="20" t="n">
        <v>275.73</v>
      </c>
      <c r="J115" s="20" t="n">
        <v>338.127</v>
      </c>
      <c r="K115" s="20" t="n">
        <v>364.993</v>
      </c>
      <c r="L115" s="20" t="n">
        <v>402.765</v>
      </c>
    </row>
    <row r="116">
      <c r="A116" s="18" t="inlineStr">
        <is>
          <t>기타</t>
        </is>
      </c>
      <c r="C116" s="20" t="n">
        <v>3013.87</v>
      </c>
      <c r="D116" s="20" t="n">
        <v>2887.825</v>
      </c>
      <c r="E116" s="20" t="n">
        <v>2546.587</v>
      </c>
      <c r="F116" s="20" t="n">
        <v>2784.339</v>
      </c>
      <c r="G116" s="20" t="n">
        <v>2446.168</v>
      </c>
      <c r="H116" s="20" t="n">
        <v>769.918</v>
      </c>
      <c r="I116" s="20" t="n">
        <v>906.573</v>
      </c>
      <c r="J116" s="20" t="n">
        <v>1043.438</v>
      </c>
      <c r="K116" s="20" t="n">
        <v>1013.444</v>
      </c>
      <c r="L116" s="20" t="n">
        <v>2546.587</v>
      </c>
    </row>
    <row r="117">
      <c r="A117" s="9" t="inlineStr">
        <is>
          <t>유동부채 합계</t>
        </is>
      </c>
      <c r="C117" s="12" t="n">
        <v>24189.332</v>
      </c>
      <c r="D117" s="12" t="n">
        <v>24661.518</v>
      </c>
      <c r="E117" s="12" t="n">
        <v>22040.999</v>
      </c>
      <c r="F117" s="12" t="n">
        <v>26631.555</v>
      </c>
      <c r="G117" s="12" t="n">
        <v>24863.48</v>
      </c>
      <c r="H117" s="12" t="n">
        <v>6367.9</v>
      </c>
      <c r="I117" s="12" t="n">
        <v>11176.702</v>
      </c>
      <c r="J117" s="12" t="n">
        <v>25026.508</v>
      </c>
      <c r="K117" s="12" t="n">
        <v>20479.025</v>
      </c>
      <c r="L117" s="12" t="n">
        <v>22040.999</v>
      </c>
    </row>
    <row r="118">
      <c r="A118" s="18" t="inlineStr">
        <is>
          <t>사채</t>
        </is>
      </c>
      <c r="C118" s="20" t="n">
        <v>0</v>
      </c>
      <c r="D118" s="20" t="n">
        <v>0</v>
      </c>
      <c r="E118" s="20" t="n">
        <v>0</v>
      </c>
      <c r="I118" s="20" t="n">
        <v>0</v>
      </c>
      <c r="J118" s="20" t="n">
        <v>200</v>
      </c>
      <c r="K118" s="20" t="n">
        <v>200</v>
      </c>
      <c r="L118" s="20" t="n">
        <v>0</v>
      </c>
    </row>
    <row r="119">
      <c r="A119" s="18" t="inlineStr">
        <is>
          <t>장기차입금</t>
        </is>
      </c>
      <c r="C119" s="20" t="n">
        <v>16037.784</v>
      </c>
      <c r="D119" s="20" t="n">
        <v>18075.97</v>
      </c>
      <c r="E119" s="20" t="n">
        <v>17126.119</v>
      </c>
      <c r="F119" s="20" t="n">
        <v>16745.542</v>
      </c>
      <c r="G119" s="20" t="n">
        <v>15406.931</v>
      </c>
      <c r="H119" s="20" t="n">
        <v>8354.611999999999</v>
      </c>
      <c r="I119" s="20" t="n">
        <v>9918.368</v>
      </c>
      <c r="J119" s="20" t="n">
        <v>12926.128</v>
      </c>
      <c r="K119" s="20" t="n">
        <v>16276.111</v>
      </c>
      <c r="L119" s="20" t="n">
        <v>17126.119</v>
      </c>
    </row>
    <row r="120">
      <c r="A120" s="18" t="inlineStr">
        <is>
          <t>퇴직급여부채</t>
        </is>
      </c>
      <c r="C120" s="20" t="n">
        <v>122.921</v>
      </c>
      <c r="D120" s="20" t="n">
        <v>106.822</v>
      </c>
      <c r="E120" s="20" t="n">
        <v>82.843</v>
      </c>
      <c r="F120" s="20" t="n">
        <v>85.07599999999999</v>
      </c>
      <c r="G120" s="20" t="n">
        <v>93.185</v>
      </c>
      <c r="H120" s="20" t="n">
        <v>12.889</v>
      </c>
      <c r="I120" s="20" t="n">
        <v>84.919</v>
      </c>
      <c r="J120" s="20" t="n">
        <v>92.64</v>
      </c>
      <c r="K120" s="20" t="n">
        <v>118.365</v>
      </c>
      <c r="L120" s="20" t="n">
        <v>82.843</v>
      </c>
    </row>
    <row r="121">
      <c r="A121" s="18" t="inlineStr">
        <is>
          <t>이연법인세부채</t>
        </is>
      </c>
      <c r="E121" s="20" t="n">
        <v>1504.222</v>
      </c>
      <c r="J121" s="20" t="n">
        <v>1184.315</v>
      </c>
      <c r="K121" s="20" t="n">
        <v>1514.359</v>
      </c>
      <c r="L121" s="20" t="n">
        <v>1504.222</v>
      </c>
    </row>
    <row r="122">
      <c r="A122" s="18" t="inlineStr">
        <is>
          <t>기타</t>
        </is>
      </c>
      <c r="C122" s="20" t="n">
        <v>2435.051</v>
      </c>
      <c r="D122" s="20" t="n">
        <v>2372.922</v>
      </c>
      <c r="E122" s="20" t="n">
        <v>2525.213</v>
      </c>
      <c r="F122" s="20" t="n">
        <v>2527.588</v>
      </c>
      <c r="G122" s="20" t="n">
        <v>3152.805</v>
      </c>
      <c r="H122" s="20" t="n">
        <v>765.11</v>
      </c>
      <c r="I122" s="20" t="n">
        <v>959.841</v>
      </c>
      <c r="J122" s="20" t="n">
        <v>904.389</v>
      </c>
      <c r="K122" s="20" t="n">
        <v>946.857</v>
      </c>
      <c r="L122" s="20" t="n">
        <v>2525.213</v>
      </c>
    </row>
    <row r="123">
      <c r="A123" s="9" t="inlineStr">
        <is>
          <t>비유동부채 합계</t>
        </is>
      </c>
      <c r="C123" s="12" t="n">
        <v>18595.757</v>
      </c>
      <c r="D123" s="12" t="n">
        <v>20555.715</v>
      </c>
      <c r="E123" s="12" t="n">
        <v>19734.176</v>
      </c>
      <c r="F123" s="12" t="n">
        <v>19358.207</v>
      </c>
      <c r="G123" s="12" t="n">
        <v>18652.922</v>
      </c>
      <c r="H123" s="12" t="n">
        <v>9132.612999999999</v>
      </c>
      <c r="I123" s="12" t="n">
        <v>10963.129</v>
      </c>
      <c r="J123" s="12" t="n">
        <v>15307.473</v>
      </c>
      <c r="K123" s="12" t="n">
        <v>19055.693</v>
      </c>
      <c r="L123" s="12" t="n">
        <v>19734.176</v>
      </c>
    </row>
    <row r="124">
      <c r="A124" s="9" t="inlineStr">
        <is>
          <t>부채 합계</t>
        </is>
      </c>
      <c r="C124" s="12" t="n">
        <v>42785.089</v>
      </c>
      <c r="D124" s="12" t="n">
        <v>45217.233</v>
      </c>
      <c r="E124" s="12" t="n">
        <v>41775.176</v>
      </c>
      <c r="F124" s="12" t="n">
        <v>45989.762</v>
      </c>
      <c r="G124" s="12" t="n">
        <v>43516.403</v>
      </c>
      <c r="H124" s="12" t="n">
        <v>15500.514</v>
      </c>
      <c r="I124" s="12" t="n">
        <v>22139.831</v>
      </c>
      <c r="J124" s="12" t="n">
        <v>40333.981</v>
      </c>
      <c r="K124" s="12" t="n">
        <v>39534.719</v>
      </c>
      <c r="L124" s="12" t="n">
        <v>41775.176</v>
      </c>
    </row>
    <row r="125">
      <c r="A125" s="18" t="inlineStr">
        <is>
          <t>자본금</t>
        </is>
      </c>
      <c r="C125" s="20" t="n">
        <v>1176.527</v>
      </c>
      <c r="D125" s="20" t="n">
        <v>1176.527</v>
      </c>
      <c r="E125" s="20" t="n">
        <v>1176.527</v>
      </c>
      <c r="F125" s="20" t="n">
        <v>1176.527</v>
      </c>
      <c r="G125" s="20" t="n">
        <v>1180.714</v>
      </c>
      <c r="H125" s="20" t="n">
        <v>1107.621</v>
      </c>
      <c r="I125" s="20" t="n">
        <v>1114.393</v>
      </c>
      <c r="J125" s="20" t="n">
        <v>1125.276</v>
      </c>
      <c r="K125" s="20" t="n">
        <v>1157.973</v>
      </c>
      <c r="L125" s="20" t="n">
        <v>1176.527</v>
      </c>
    </row>
    <row r="126">
      <c r="A126" s="18" t="inlineStr">
        <is>
          <t>자본잉여금</t>
        </is>
      </c>
      <c r="C126" s="20" t="n">
        <v>2036.61</v>
      </c>
      <c r="D126" s="20" t="n">
        <v>2036.61</v>
      </c>
      <c r="E126" s="20" t="n">
        <v>2036.61</v>
      </c>
      <c r="F126" s="20" t="n">
        <v>2036.61</v>
      </c>
      <c r="G126" s="20" t="n">
        <v>2040.798</v>
      </c>
      <c r="H126" s="20" t="n">
        <v>1959.514</v>
      </c>
      <c r="I126" s="20" t="n">
        <v>1974.489</v>
      </c>
      <c r="J126" s="20" t="n">
        <v>1985.359</v>
      </c>
      <c r="K126" s="20" t="n">
        <v>2018.057</v>
      </c>
      <c r="L126" s="20" t="n">
        <v>2036.61</v>
      </c>
    </row>
    <row r="127">
      <c r="A127" s="18" t="inlineStr">
        <is>
          <t>이익잉여금</t>
        </is>
      </c>
      <c r="C127" s="20" t="n">
        <v>7155.344</v>
      </c>
      <c r="D127" s="20" t="n">
        <v>7645.256</v>
      </c>
      <c r="E127" s="20" t="n">
        <v>7545.829</v>
      </c>
      <c r="F127" s="20" t="n">
        <v>8103.617</v>
      </c>
      <c r="G127" s="20" t="n">
        <v>8751.806</v>
      </c>
      <c r="H127" s="20" t="n">
        <v>3115.502</v>
      </c>
      <c r="I127" s="20" t="n">
        <v>3728.934</v>
      </c>
      <c r="J127" s="20" t="n">
        <v>4765.694</v>
      </c>
      <c r="K127" s="20" t="n">
        <v>6627.039</v>
      </c>
      <c r="L127" s="20" t="n">
        <v>7545.829</v>
      </c>
    </row>
    <row r="128">
      <c r="A128" s="18" t="inlineStr">
        <is>
          <t>자기주식</t>
        </is>
      </c>
      <c r="C128" s="20" t="n">
        <v>-167.712</v>
      </c>
      <c r="D128" s="20" t="n">
        <v>-167.712</v>
      </c>
      <c r="E128" s="20" t="n">
        <v>-167.712</v>
      </c>
      <c r="F128" s="20" t="n">
        <v>-167.712</v>
      </c>
      <c r="G128" s="20" t="n">
        <v>-167.712</v>
      </c>
      <c r="H128" s="20" t="n">
        <v>-0.759</v>
      </c>
      <c r="I128" s="20" t="n">
        <v>-0.759</v>
      </c>
      <c r="J128" s="20" t="n">
        <v>-167.611</v>
      </c>
      <c r="K128" s="20" t="n">
        <v>-167.712</v>
      </c>
      <c r="L128" s="20" t="n">
        <v>-167.712</v>
      </c>
    </row>
    <row r="129">
      <c r="A129" s="9" t="inlineStr">
        <is>
          <t>주주자본 합계</t>
        </is>
      </c>
      <c r="C129" s="12" t="n">
        <v>10200.77</v>
      </c>
      <c r="D129" s="12" t="n">
        <v>10690.682</v>
      </c>
      <c r="E129" s="12" t="n">
        <v>10591.255</v>
      </c>
      <c r="F129" s="12" t="n">
        <v>11149.042</v>
      </c>
      <c r="G129" s="12" t="n">
        <v>11805.606</v>
      </c>
      <c r="H129" s="12" t="n">
        <v>6181.879</v>
      </c>
      <c r="I129" s="12" t="n">
        <v>6817.058</v>
      </c>
      <c r="J129" s="12" t="n">
        <v>7708.718</v>
      </c>
      <c r="K129" s="12" t="n">
        <v>9635.357</v>
      </c>
      <c r="L129" s="12" t="n">
        <v>10591.255</v>
      </c>
    </row>
    <row r="130">
      <c r="A130" s="18" t="inlineStr">
        <is>
          <t>기타유가증권 평가차액</t>
        </is>
      </c>
      <c r="C130" s="20" t="n">
        <v>62.322</v>
      </c>
      <c r="D130" s="20" t="n">
        <v>104.588</v>
      </c>
      <c r="E130" s="20" t="n">
        <v>159.166</v>
      </c>
      <c r="F130" s="20" t="n">
        <v>128.126</v>
      </c>
      <c r="G130" s="20" t="n">
        <v>169.082</v>
      </c>
      <c r="H130" s="20" t="n">
        <v>-10.014</v>
      </c>
      <c r="I130" s="20" t="n">
        <v>0.826</v>
      </c>
      <c r="J130" s="20" t="n">
        <v>21.754</v>
      </c>
      <c r="K130" s="20" t="n">
        <v>38.147</v>
      </c>
      <c r="L130" s="20" t="n">
        <v>159.166</v>
      </c>
    </row>
    <row r="131">
      <c r="A131" s="18" t="inlineStr">
        <is>
          <t>해외사업환산조정</t>
        </is>
      </c>
      <c r="C131" s="20" t="n">
        <v>1254.95</v>
      </c>
      <c r="D131" s="20" t="n">
        <v>1358.574</v>
      </c>
      <c r="E131" s="20" t="n">
        <v>1671.844</v>
      </c>
      <c r="F131" s="20" t="n">
        <v>1764.001</v>
      </c>
      <c r="G131" s="20" t="n">
        <v>1808.777</v>
      </c>
      <c r="H131" s="20" t="n">
        <v>139.637</v>
      </c>
      <c r="I131" s="20" t="n">
        <v>660.583</v>
      </c>
      <c r="J131" s="20" t="n">
        <v>979.402</v>
      </c>
      <c r="K131" s="20" t="n">
        <v>1369.145</v>
      </c>
      <c r="L131" s="20" t="n">
        <v>1671.844</v>
      </c>
    </row>
    <row r="132">
      <c r="A132" s="18" t="inlineStr">
        <is>
          <t>기타포괄손익누계액 합계</t>
        </is>
      </c>
      <c r="C132" s="20" t="n">
        <v>1317.272</v>
      </c>
      <c r="D132" s="20" t="n">
        <v>1463.163</v>
      </c>
      <c r="E132" s="20" t="n">
        <v>1831.011</v>
      </c>
      <c r="F132" s="20" t="n">
        <v>1892.128</v>
      </c>
      <c r="G132" s="20" t="n">
        <v>1977.86</v>
      </c>
      <c r="H132" s="20" t="n">
        <v>129.623</v>
      </c>
      <c r="I132" s="20" t="n">
        <v>661.409</v>
      </c>
      <c r="J132" s="20" t="n">
        <v>1001.156</v>
      </c>
      <c r="K132" s="20" t="n">
        <v>1407.292</v>
      </c>
      <c r="L132" s="20" t="n">
        <v>1831.011</v>
      </c>
    </row>
    <row r="133">
      <c r="A133" s="18" t="inlineStr">
        <is>
          <t>신주예약권</t>
        </is>
      </c>
      <c r="H133" s="20" t="n">
        <v>0.546</v>
      </c>
      <c r="I133" s="20" t="n">
        <v>0.546</v>
      </c>
      <c r="J133" s="20" t="n">
        <v>0.418</v>
      </c>
      <c r="K133" s="20" t="n">
        <v>0</v>
      </c>
    </row>
    <row r="134">
      <c r="A134" s="18" t="inlineStr">
        <is>
          <t>비지배지분</t>
        </is>
      </c>
      <c r="C134" s="20" t="n">
        <v>6173.1</v>
      </c>
      <c r="D134" s="20" t="n">
        <v>6408.658</v>
      </c>
      <c r="E134" s="20" t="n">
        <v>6830.998</v>
      </c>
      <c r="F134" s="20" t="n">
        <v>7063.98</v>
      </c>
      <c r="G134" s="20" t="n">
        <v>7174.388</v>
      </c>
      <c r="H134" s="20" t="n">
        <v>2002.699</v>
      </c>
      <c r="I134" s="20" t="n">
        <v>2371.031</v>
      </c>
      <c r="J134" s="20" t="n">
        <v>4460.842</v>
      </c>
      <c r="K134" s="20" t="n">
        <v>5491.735</v>
      </c>
      <c r="L134" s="20" t="n">
        <v>6830.998</v>
      </c>
    </row>
    <row r="135">
      <c r="A135" s="9" t="inlineStr">
        <is>
          <t>순자산 합계</t>
        </is>
      </c>
      <c r="C135" s="12" t="n">
        <v>17691.143</v>
      </c>
      <c r="D135" s="12" t="n">
        <v>18562.504</v>
      </c>
      <c r="E135" s="12" t="n">
        <v>19253.264</v>
      </c>
      <c r="F135" s="12" t="n">
        <v>20105.151</v>
      </c>
      <c r="G135" s="12" t="n">
        <v>20957.855</v>
      </c>
      <c r="H135" s="12" t="n">
        <v>8314.748</v>
      </c>
      <c r="I135" s="12" t="n">
        <v>9850.046</v>
      </c>
      <c r="J135" s="12" t="n">
        <v>13171.136</v>
      </c>
      <c r="K135" s="12" t="n">
        <v>16534.385</v>
      </c>
      <c r="L135" s="12" t="n">
        <v>19253.264</v>
      </c>
    </row>
    <row r="136">
      <c r="A136" s="9" t="inlineStr">
        <is>
          <t>부채·순자산 합계</t>
        </is>
      </c>
      <c r="C136" s="12" t="n">
        <v>60476.233</v>
      </c>
      <c r="D136" s="12" t="n">
        <v>63779.738</v>
      </c>
      <c r="E136" s="12" t="n">
        <v>61028.441</v>
      </c>
      <c r="F136" s="12" t="n">
        <v>66094.914</v>
      </c>
      <c r="G136" s="12" t="n">
        <v>64474.258</v>
      </c>
      <c r="H136" s="12" t="n">
        <v>23815.262</v>
      </c>
      <c r="I136" s="12" t="n">
        <v>31989.877</v>
      </c>
      <c r="J136" s="12" t="n">
        <v>53505.118</v>
      </c>
      <c r="K136" s="12" t="n">
        <v>56069.104</v>
      </c>
      <c r="L136" s="12" t="n">
        <v>61028.441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요시무라푸드홀딩스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THIS_RESULT · q2_standalone_26.6~8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150.3</v>
      </c>
      <c r="C6" s="56" t="inlineStr">
        <is>
          <t>이번 실적 = 2026-10-15 16:00 발표 2027년 2월기 2분기(중간기) 결산단신 연결, 문서번호 140120261015550942. 실적 분석은 반드시 이것. 설명자료 문서 140120261015550944.</t>
        </is>
      </c>
    </row>
    <row r="7">
      <c r="A7" s="54" t="inlineStr">
        <is>
          <t>매출 ly</t>
        </is>
      </c>
      <c r="B7" s="55" t="n">
        <v>131.7</v>
      </c>
    </row>
    <row r="8">
      <c r="A8" s="54" t="inlineStr">
        <is>
          <t>gp</t>
        </is>
      </c>
      <c r="B8" s="55" t="n">
        <v>31.5</v>
      </c>
    </row>
    <row r="9">
      <c r="A9" s="54" t="inlineStr">
        <is>
          <t>gp ly</t>
        </is>
      </c>
      <c r="B9" s="55" t="n">
        <v>25.6</v>
      </c>
    </row>
    <row r="10">
      <c r="A10" s="54" t="inlineStr">
        <is>
          <t>sga</t>
        </is>
      </c>
      <c r="B10" s="55" t="n">
        <v>26.3</v>
      </c>
    </row>
    <row r="11">
      <c r="A11" s="54" t="inlineStr">
        <is>
          <t>sga ly</t>
        </is>
      </c>
      <c r="B11" s="55" t="n">
        <v>23.4</v>
      </c>
    </row>
    <row r="12">
      <c r="A12" s="54" t="inlineStr">
        <is>
          <t>영업이익</t>
        </is>
      </c>
      <c r="B12" s="55" t="n">
        <v>5.2</v>
      </c>
    </row>
    <row r="13">
      <c r="A13" s="54" t="inlineStr">
        <is>
          <t>영업이익 ly</t>
        </is>
      </c>
      <c r="B13" s="55" t="n">
        <v>2.2</v>
      </c>
    </row>
    <row r="14">
      <c r="A14" s="54" t="inlineStr">
        <is>
          <t>ord</t>
        </is>
      </c>
      <c r="B14" s="55" t="n">
        <v>4.58</v>
      </c>
    </row>
    <row r="15">
      <c r="A15" s="54" t="inlineStr">
        <is>
          <t>ord ly</t>
        </is>
      </c>
      <c r="B15" s="55" t="n">
        <v>2.52</v>
      </c>
    </row>
    <row r="16">
      <c r="A16" s="54" t="inlineStr">
        <is>
          <t>순이익</t>
        </is>
      </c>
      <c r="B16" s="55" t="n">
        <v>6.5</v>
      </c>
    </row>
    <row r="17">
      <c r="A17" s="54" t="inlineStr">
        <is>
          <t>순이익 ly</t>
        </is>
      </c>
      <c r="B17" s="55" t="n">
        <v>2.4</v>
      </c>
    </row>
    <row r="19">
      <c r="A19" s="52" t="inlineStr">
        <is>
          <t>THIS_RESULT · h1_cum_26.3~8</t>
        </is>
      </c>
      <c r="B19" s="52" t="n"/>
      <c r="C19" s="52" t="n"/>
    </row>
    <row r="20">
      <c r="A20" s="53" t="inlineStr">
        <is>
          <t>항목</t>
        </is>
      </c>
      <c r="B20" s="53" t="inlineStr">
        <is>
          <t>값</t>
        </is>
      </c>
      <c r="C20" s="53" t="inlineStr">
        <is>
          <t>출처</t>
        </is>
      </c>
    </row>
    <row r="21">
      <c r="A21" s="54" t="inlineStr">
        <is>
          <t>매출</t>
        </is>
      </c>
      <c r="B21" s="55" t="n">
        <v>290.05</v>
      </c>
      <c r="C21" s="56" t="inlineStr">
        <is>
          <t>이번 실적 = 2026-10-15 16:00 발표 2027년 2월기 2분기(중간기) 결산단신 연결, 문서번호 140120261015550942. 실적 분석은 반드시 이것. 설명자료 문서 140120261015550944.</t>
        </is>
      </c>
    </row>
    <row r="22">
      <c r="A22" s="54" t="inlineStr">
        <is>
          <t>gp</t>
        </is>
      </c>
      <c r="B22" s="55" t="n">
        <v>60.93</v>
      </c>
    </row>
    <row r="23">
      <c r="A23" s="54" t="inlineStr">
        <is>
          <t>gp ly</t>
        </is>
      </c>
      <c r="B23" s="55" t="n">
        <v>55.82</v>
      </c>
    </row>
    <row r="24">
      <c r="A24" s="54" t="inlineStr">
        <is>
          <t>sga</t>
        </is>
      </c>
      <c r="B24" s="55" t="n">
        <v>52.25</v>
      </c>
    </row>
    <row r="25">
      <c r="A25" s="54" t="inlineStr">
        <is>
          <t>sga ly</t>
        </is>
      </c>
      <c r="B25" s="55" t="n">
        <v>46.61</v>
      </c>
    </row>
    <row r="26">
      <c r="A26" s="54" t="inlineStr">
        <is>
          <t>영업이익</t>
        </is>
      </c>
      <c r="B26" s="55" t="n">
        <v>8.69</v>
      </c>
    </row>
    <row r="27">
      <c r="A27" s="54" t="inlineStr">
        <is>
          <t>영업이익 ly</t>
        </is>
      </c>
      <c r="B27" s="55" t="n">
        <v>9.210000000000001</v>
      </c>
    </row>
    <row r="28">
      <c r="A28" s="54" t="inlineStr">
        <is>
          <t>ord</t>
        </is>
      </c>
      <c r="B28" s="55" t="n">
        <v>8.640000000000001</v>
      </c>
    </row>
    <row r="29">
      <c r="A29" s="54" t="inlineStr">
        <is>
          <t>ord ly</t>
        </is>
      </c>
      <c r="B29" s="55" t="n">
        <v>8.73</v>
      </c>
    </row>
    <row r="30">
      <c r="A30" s="54" t="inlineStr">
        <is>
          <t>순이익</t>
        </is>
      </c>
      <c r="B30" s="55" t="n">
        <v>12.06</v>
      </c>
    </row>
    <row r="31">
      <c r="A31" s="54" t="inlineStr">
        <is>
          <t>순이익 ly</t>
        </is>
      </c>
      <c r="B31" s="55" t="n">
        <v>5.28</v>
      </c>
    </row>
    <row r="32">
      <c r="A32" s="54" t="inlineStr">
        <is>
          <t>EPS</t>
        </is>
      </c>
      <c r="B32" s="55" t="n">
        <v>50.5</v>
      </c>
    </row>
    <row r="33">
      <c r="A33" s="54" t="inlineStr">
        <is>
          <t>ebitda</t>
        </is>
      </c>
      <c r="B33" s="55" t="n">
        <v>21.43</v>
      </c>
    </row>
    <row r="34">
      <c r="A34" s="54" t="inlineStr">
        <is>
          <t>ebitda ly</t>
        </is>
      </c>
      <c r="B34" s="55" t="n">
        <v>21.03</v>
      </c>
    </row>
    <row r="36">
      <c r="A36" s="52" t="inlineStr">
        <is>
          <t>THIS RESULT · 상반기 nonop special</t>
        </is>
      </c>
      <c r="B36" s="52" t="n"/>
      <c r="C36" s="52" t="n"/>
    </row>
    <row r="37">
      <c r="A37" s="53" t="inlineStr">
        <is>
          <t>항목</t>
        </is>
      </c>
      <c r="B37" s="53" t="inlineStr">
        <is>
          <t>값</t>
        </is>
      </c>
      <c r="C37" s="53" t="inlineStr">
        <is>
          <t>출처</t>
        </is>
      </c>
    </row>
    <row r="38">
      <c r="A38" s="54" t="inlineStr">
        <is>
          <t>영업외수익</t>
        </is>
      </c>
      <c r="B38" s="55" t="n">
        <v>3.19</v>
      </c>
      <c r="C38" s="56" t="inlineStr">
        <is>
          <t>이번 실적 = 2026-10-15 16:00 발표 2027년 2월기 2분기(중간기) 결산단신 연결, 문서번호 140120261015550942. 실적 분석은 반드시 이것. 설명자료 문서 140120261015550944.</t>
        </is>
      </c>
    </row>
    <row r="39">
      <c r="A39" s="54" t="inlineStr">
        <is>
          <t>임대료</t>
        </is>
      </c>
      <c r="B39" s="55" t="n">
        <v>0.48</v>
      </c>
    </row>
    <row r="40">
      <c r="A40" s="54" t="inlineStr">
        <is>
          <t>보조금</t>
        </is>
      </c>
      <c r="B40" s="55" t="n">
        <v>0.46</v>
      </c>
    </row>
    <row r="41">
      <c r="A41" s="54" t="inlineStr">
        <is>
          <t>투자유가증권매각익</t>
        </is>
      </c>
      <c r="B41" s="55" t="n">
        <v>0.73</v>
      </c>
    </row>
    <row r="42">
      <c r="A42" s="54" t="inlineStr">
        <is>
          <t>환차익</t>
        </is>
      </c>
      <c r="B42" s="55" t="n">
        <v>0.79</v>
      </c>
    </row>
    <row r="43">
      <c r="A43" s="54" t="inlineStr">
        <is>
          <t>영업외비용</t>
        </is>
      </c>
      <c r="B43" s="55" t="n">
        <v>3.23</v>
      </c>
    </row>
    <row r="44">
      <c r="A44" s="54" t="inlineStr">
        <is>
          <t>지급이자</t>
        </is>
      </c>
      <c r="B44" s="55" t="n">
        <v>3.06</v>
      </c>
    </row>
    <row r="45">
      <c r="A45" s="54" t="inlineStr">
        <is>
          <t>지급이자_전년</t>
        </is>
      </c>
      <c r="B45" s="55" t="n">
        <v>1.92</v>
      </c>
    </row>
    <row r="46">
      <c r="A46" s="54" t="inlineStr">
        <is>
          <t>특별이익</t>
        </is>
      </c>
      <c r="B46" s="55" t="n">
        <v>13.85</v>
      </c>
    </row>
    <row r="47">
      <c r="A47" s="54" t="inlineStr">
        <is>
          <t>수취보상금</t>
        </is>
      </c>
      <c r="B47" s="55" t="n">
        <v>8.800000000000001</v>
      </c>
    </row>
    <row r="48">
      <c r="A48" s="54" t="inlineStr">
        <is>
          <t>부의영업권(하코다테와인 인수)</t>
        </is>
      </c>
      <c r="B48" s="55" t="n">
        <v>5.02</v>
      </c>
    </row>
    <row r="49">
      <c r="A49" s="54" t="inlineStr">
        <is>
          <t>특별손실</t>
        </is>
      </c>
      <c r="B49" s="55" t="n">
        <v>0.01</v>
      </c>
    </row>
    <row r="50">
      <c r="A50" s="54" t="inlineStr">
        <is>
          <t>세전이익</t>
        </is>
      </c>
      <c r="B50" s="55" t="n">
        <v>22.48</v>
      </c>
    </row>
    <row r="51">
      <c r="A51" s="54" t="inlineStr">
        <is>
          <t>법인세</t>
        </is>
      </c>
      <c r="B51" s="55" t="n">
        <v>8.130000000000001</v>
      </c>
    </row>
    <row r="52">
      <c r="A52" s="54" t="inlineStr">
        <is>
          <t>비지배주주순이익</t>
        </is>
      </c>
      <c r="B52" s="55" t="n">
        <v>2.29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7" t="inlineStr">
        <is>
          <t>공시일</t>
        </is>
      </c>
      <c r="B3" s="57" t="inlineStr">
        <is>
          <t>문서</t>
        </is>
      </c>
      <c r="C3" s="57" t="inlineStr">
        <is>
          <t>PDF</t>
        </is>
      </c>
    </row>
    <row r="4">
      <c r="A4" t="inlineStr">
        <is>
          <t>2026-10-15</t>
        </is>
      </c>
      <c r="B4" t="inlineStr">
        <is>
          <t>2027년 2월 결산기 ２분기 결산단신</t>
        </is>
      </c>
      <c r="C4" t="inlineStr">
        <is>
          <t>https://www2.jpx.co.jp/disc/28840/140120261015550942.pdf</t>
        </is>
      </c>
    </row>
    <row r="5">
      <c r="A5" t="inlineStr">
        <is>
          <t>2026-07-15</t>
        </is>
      </c>
      <c r="B5" t="inlineStr">
        <is>
          <t>2027년 2월 결산기 １분기 결산단신</t>
        </is>
      </c>
      <c r="C5" t="inlineStr">
        <is>
          <t>https://www2.jpx.co.jp/disc/28840/140120260715593756.pdf</t>
        </is>
      </c>
    </row>
    <row r="6">
      <c r="A6" t="inlineStr">
        <is>
          <t>2026-04-15</t>
        </is>
      </c>
      <c r="B6" t="inlineStr">
        <is>
          <t>2026년 2월 결산기 연간 결산단신</t>
        </is>
      </c>
      <c r="C6" t="inlineStr">
        <is>
          <t>https://www2.jpx.co.jp/disc/28840/140120260415504508.pdf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https://www2.jpx.co.jp/disc/28840/140120260114533129.pdf</t>
        </is>
      </c>
    </row>
    <row r="8">
      <c r="A8" t="inlineStr">
        <is>
          <t>2025-10-15</t>
        </is>
      </c>
      <c r="B8" t="inlineStr">
        <is>
          <t>2026년 2월 결산기 ２분기 결산단신</t>
        </is>
      </c>
      <c r="C8" t="inlineStr">
        <is>
          <t>https://www2.jpx.co.jp/disc/28840/140120251014572654.pdf</t>
        </is>
      </c>
    </row>
    <row r="9">
      <c r="A9" t="inlineStr">
        <is>
          <t>2025-07-15</t>
        </is>
      </c>
      <c r="B9" t="inlineStr">
        <is>
          <t>2026년 2월 결산기 １분기 결산단신</t>
        </is>
      </c>
      <c r="C9" t="inlineStr">
        <is>
          <t>https://www2.jpx.co.jp/disc/28840/140120250715514346.pdf</t>
        </is>
      </c>
    </row>
    <row r="10">
      <c r="A10" t="inlineStr">
        <is>
          <t>2025-04-14</t>
        </is>
      </c>
      <c r="B10" t="inlineStr">
        <is>
          <t>2025년 2월 결산기 연간 결산단신</t>
        </is>
      </c>
      <c r="C10" t="inlineStr">
        <is>
          <t>https://www2.jpx.co.jp/disc/28840/140120250414514918.pdf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https://www2.jpx.co.jp/disc/28840/140120250114550051.pdf</t>
        </is>
      </c>
    </row>
    <row r="12">
      <c r="A12" t="inlineStr">
        <is>
          <t>2024-10-15</t>
        </is>
      </c>
      <c r="B12" t="inlineStr">
        <is>
          <t>2025년 2월 결산기 ２분기 결산단신</t>
        </is>
      </c>
      <c r="C12" t="inlineStr">
        <is>
          <t>https://www2.jpx.co.jp/disc/28840/140120241015597674.pdf</t>
        </is>
      </c>
    </row>
    <row r="13">
      <c r="A13" t="inlineStr">
        <is>
          <t>2024-07-12</t>
        </is>
      </c>
      <c r="B13" t="inlineStr">
        <is>
          <t>2025년 2월 결산기 １분기 결산단신</t>
        </is>
      </c>
      <c r="C13" t="inlineStr">
        <is>
          <t>https://www2.jpx.co.jp/disc/28840/140120240712548643.pdf</t>
        </is>
      </c>
    </row>
    <row r="14">
      <c r="A14" t="inlineStr">
        <is>
          <t>2024-04-15</t>
        </is>
      </c>
      <c r="B14" t="inlineStr">
        <is>
          <t>2024년 2월 결산기 연간 결산단신</t>
        </is>
      </c>
      <c r="C14" t="inlineStr">
        <is>
          <t>https://www2.jpx.co.jp/disc/28840/140120240415570600.pdf</t>
        </is>
      </c>
    </row>
    <row r="15">
      <c r="A15" t="inlineStr">
        <is>
          <t>2024-01-15</t>
        </is>
      </c>
      <c r="B15" t="inlineStr">
        <is>
          <t>2024년 2월 결산기 ３분기 결산단신</t>
        </is>
      </c>
      <c r="C15" t="inlineStr">
        <is>
          <t>https://www2.jpx.co.jp/disc/28840/140120240114514853.pdf</t>
        </is>
      </c>
    </row>
    <row r="16">
      <c r="A16" t="inlineStr">
        <is>
          <t>2023-10-13</t>
        </is>
      </c>
      <c r="B16" t="inlineStr">
        <is>
          <t>2024년 2월 결산기 ２분기 결산단신</t>
        </is>
      </c>
      <c r="C16" t="inlineStr">
        <is>
          <t>https://www2.jpx.co.jp/disc/28840/140120231012566025.pdf</t>
        </is>
      </c>
    </row>
    <row r="17">
      <c r="A17" t="inlineStr">
        <is>
          <t>2023-07-14</t>
        </is>
      </c>
      <c r="B17" t="inlineStr">
        <is>
          <t>2024년 2월 결산기 １분기 결산단신</t>
        </is>
      </c>
      <c r="C17" t="inlineStr">
        <is>
          <t>https://www2.jpx.co.jp/disc/28840/140120230714522664.pdf</t>
        </is>
      </c>
    </row>
    <row r="18">
      <c r="A18" t="inlineStr">
        <is>
          <t>2023-04-14</t>
        </is>
      </c>
      <c r="B18" t="inlineStr">
        <is>
          <t>2023년 2월 결산기 연간 결산단신</t>
        </is>
      </c>
      <c r="C18" t="inlineStr">
        <is>
          <t>https://www2.jpx.co.jp/disc/28840/140120230414547618.pdf</t>
        </is>
      </c>
    </row>
    <row r="19">
      <c r="A19" t="inlineStr">
        <is>
          <t>2023-01-13</t>
        </is>
      </c>
      <c r="B19" t="inlineStr">
        <is>
          <t>2023년 2월 결산기 ３분기 결산단신</t>
        </is>
      </c>
      <c r="C19" t="inlineStr">
        <is>
          <t>https://www2.jpx.co.jp/disc/28840/140120230113589004.pdf</t>
        </is>
      </c>
    </row>
    <row r="20">
      <c r="A20" t="inlineStr">
        <is>
          <t>2022-04-14</t>
        </is>
      </c>
      <c r="B20" t="inlineStr">
        <is>
          <t>2022년 2월 결산기 연간 결산단신</t>
        </is>
      </c>
      <c r="C20" t="inlineStr">
        <is>
          <t>https://www2.jpx.co.jp/disc/28840/140120220414522102.pdf</t>
        </is>
      </c>
    </row>
    <row r="21">
      <c r="A21" t="inlineStr">
        <is>
          <t>2021-04-15</t>
        </is>
      </c>
      <c r="B21" t="inlineStr">
        <is>
          <t>2021년 2월 결산기 연간 결산단신</t>
        </is>
      </c>
      <c r="C21" t="inlineStr">
        <is>
          <t>https://www2.jpx.co.jp/disc/28840/140120210415494981.pdf</t>
        </is>
      </c>
    </row>
    <row r="22">
      <c r="A22" t="inlineStr">
        <is>
          <t>2020-04-15</t>
        </is>
      </c>
      <c r="B22" t="inlineStr">
        <is>
          <t>2020년 2월 결산기 연간 결산단신</t>
        </is>
      </c>
      <c r="C22" t="inlineStr">
        <is>
          <t>https://www2.jpx.co.jp/disc/28840/140120200415494164.pdf</t>
        </is>
      </c>
    </row>
    <row r="23">
      <c r="A23" t="inlineStr">
        <is>
          <t>2019-04-15</t>
        </is>
      </c>
      <c r="B23" t="inlineStr">
        <is>
          <t>2019년 2월 결산기 연간 결산단신</t>
        </is>
      </c>
      <c r="C23" t="inlineStr">
        <is>
          <t>https://www2.jpx.co.jp/disc/28840/140120190415404610.pdf</t>
        </is>
      </c>
    </row>
    <row r="24">
      <c r="A24" t="inlineStr">
        <is>
          <t>2018-04-13</t>
        </is>
      </c>
      <c r="B24" t="inlineStr">
        <is>
          <t>연간 결산단신</t>
        </is>
      </c>
      <c r="C24" t="inlineStr">
        <is>
          <t>https://www2.jpx.co.jp/disc/28840/140120180412410478.pdf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2026-10-28T09:19:13Z</dcterms:created>
  <dcterms:modified xmlns:dcterms="http://purl.org/dc/terms/" xmlns:xsi="http://www.w3.org/2001/XMLSchema-instance" xsi:type="dcterms:W3CDTF">2026-10-28T09:19:14Z</dcterms:modified>
</cp:coreProperties>
</file>