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ser>
          <idx val="5"/>
          <order val="5"/>
          <tx>
            <strRef>
              <f>'재무제표 한눈에 보기'!A29</f>
            </strRef>
          </tx>
          <spPr>
            <a:ln xmlns:a="http://schemas.openxmlformats.org/drawingml/2006/main" w="22000">
              <a:solidFill>
                <a:srgbClr val="26447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보기'!$B$29:$AO$29</f>
            </numRef>
          </val>
          <smooth val="0"/>
        </ser>
        <ser>
          <idx val="6"/>
          <order val="6"/>
          <tx>
            <strRef>
              <f>'재무제표 한눈에 보기'!A30</f>
            </strRef>
          </tx>
          <spPr>
            <a:ln xmlns:a="http://schemas.openxmlformats.org/drawingml/2006/main" w="22000">
              <a:solidFill>
                <a:srgbClr val="9E480E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보기'!$B$30:$AO$30</f>
            </numRef>
          </val>
          <smooth val="0"/>
        </ser>
        <ser>
          <idx val="7"/>
          <order val="7"/>
          <tx>
            <strRef>
              <f>'재무제표 한눈에 보기'!A31</f>
            </strRef>
          </tx>
          <spPr>
            <a:ln xmlns:a="http://schemas.openxmlformats.org/drawingml/2006/main" w="22000">
              <a:solidFill>
                <a:srgbClr val="636363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보기'!$B$31:$AO$31</f>
            </numRef>
          </val>
          <smooth val="0"/>
        </ser>
        <ser>
          <idx val="8"/>
          <order val="8"/>
          <tx>
            <strRef>
              <f>'재무제표 한눈에 보기'!A32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보기'!$B$32:$AO$32</f>
            </numRef>
          </val>
          <smooth val="0"/>
        </ser>
        <ser>
          <idx val="9"/>
          <order val="9"/>
          <tx>
            <strRef>
              <f>'재무제표 한눈에 보기'!A33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보기'!$B$33:$AO$33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54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47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5332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185024</v>
      </c>
      <c r="D4" s="12" t="n">
        <v>177519</v>
      </c>
      <c r="E4" s="12" t="n">
        <v>164513</v>
      </c>
      <c r="F4" s="12" t="n">
        <v>191222</v>
      </c>
      <c r="G4" s="12" t="n">
        <v>186569</v>
      </c>
      <c r="H4" s="12" t="n">
        <v>182150</v>
      </c>
      <c r="I4" s="12" t="n">
        <v>165747</v>
      </c>
      <c r="J4" s="12" t="n">
        <v>183625</v>
      </c>
      <c r="K4" s="12" t="n">
        <v>197727</v>
      </c>
      <c r="L4" s="12" t="n">
        <v>190342</v>
      </c>
      <c r="M4" s="12" t="n">
        <v>168611</v>
      </c>
      <c r="N4" s="12" t="n">
        <v>196064</v>
      </c>
      <c r="O4" s="11" t="n">
        <v>567305</v>
      </c>
      <c r="P4" s="12" t="n">
        <v>592301</v>
      </c>
      <c r="Q4" s="12" t="n">
        <v>586086</v>
      </c>
      <c r="R4" s="12" t="n">
        <v>596497</v>
      </c>
      <c r="S4" s="12" t="n">
        <v>577840</v>
      </c>
      <c r="T4" s="12" t="n">
        <v>645273</v>
      </c>
      <c r="U4" s="12" t="n">
        <v>701187</v>
      </c>
      <c r="V4" s="12" t="n">
        <v>702284</v>
      </c>
      <c r="W4" s="12" t="n">
        <v>724454</v>
      </c>
      <c r="X4" s="12" t="n">
        <v>737441</v>
      </c>
      <c r="Y4" s="11">
        <f>IF(COUNT(Y7,Y10,Y13,Y16,Y19,Y22,Y25,Y28,Y31,Y34,Y37,Y40,Y43,Y46,Y49,Y52,Y55,Y58,Y61,Y64,Y67)=0,"",SUM(Y7,Y10,Y13,Y16,Y19,Y22,Y25,Y28,Y31,Y34,Y37,Y40,Y43,Y46,Y49,Y52,Y55,Y58,Y61,Y64,Y67))</f>
        <v/>
      </c>
      <c r="Z4" s="12">
        <f>IF(COUNT(Z7,Z10,Z13,Z16,Z19,Z22,Z25,Z28,Z31,Z34,Z37,Z40,Z43,Z46,Z49,Z52,Z55,Z58,Z61,Z64,Z67)=0,"",SUM(Z7,Z10,Z13,Z16,Z19,Z22,Z25,Z28,Z31,Z34,Z37,Z40,Z43,Z46,Z49,Z52,Z55,Z58,Z61,Z64,Z67))</f>
        <v/>
      </c>
      <c r="AA4" s="12">
        <f>IF(COUNT(AA7,AA10,AA13,AA16,AA19,AA22,AA25,AA28,AA31,AA34,AA37,AA40,AA43,AA46,AA49,AA52,AA55,AA58,AA61,AA64,AA67)=0,"",SUM(AA7,AA10,AA13,AA16,AA19,AA22,AA25,AA28,AA31,AA34,AA37,AA40,AA43,AA46,AA49,AA52,AA55,AA58,AA61,AA64,AA67))</f>
        <v/>
      </c>
      <c r="AB4" s="12">
        <f>IF(COUNT(AB7,AB10,AB13,AB16,AB19,AB22,AB25,AB28,AB31,AB34,AB37,AB40,AB43,AB46,AB49,AB52,AB55,AB58,AB61,AB64,AB67)=0,"",SUM(AB7,AB10,AB13,AB16,AB19,AB22,AB25,AB28,AB31,AB34,AB37,AB40,AB43,AB46,AB49,AB52,AB55,AB58,AB61,AB64,AB67))</f>
        <v/>
      </c>
      <c r="AC4" s="12">
        <f>IF(COUNT(AC7,AC10,AC13,AC16,AC19,AC22,AC25,AC28,AC31,AC34,AC37,AC40,AC43,AC46,AC49,AC52,AC55,AC58,AC61,AC64,AC67)=0,"",SUM(AC7,AC10,AC13,AC16,AC19,AC22,AC25,AC28,AC31,AC34,AC37,AC40,AC43,AC46,AC49,AC52,AC55,AC58,AC61,AC64,AC67))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JapanHousingEquipmentBusinessReportableSegmentMember</t>
        </is>
      </c>
      <c r="B7" s="10" t="n"/>
      <c r="C7" s="19" t="n"/>
      <c r="D7" s="20" t="n"/>
      <c r="E7" s="20" t="n"/>
      <c r="F7" s="20" t="n"/>
      <c r="G7" s="20" t="n"/>
      <c r="H7" s="20" t="n">
        <v>117746</v>
      </c>
      <c r="I7" s="20" t="n">
        <v>108378</v>
      </c>
      <c r="J7" s="20" t="n"/>
      <c r="K7" s="20" t="n"/>
      <c r="L7" s="20" t="n">
        <v>117849</v>
      </c>
      <c r="M7" s="20" t="n">
        <v>105588</v>
      </c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481346</v>
      </c>
      <c r="X7" s="20" t="n">
        <v>479663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AmericasReportableSegmentMember</t>
        </is>
      </c>
      <c r="B10" s="10" t="n"/>
      <c r="C10" s="19" t="n"/>
      <c r="D10" s="20" t="n"/>
      <c r="E10" s="20" t="n"/>
      <c r="F10" s="20" t="n"/>
      <c r="G10" s="20" t="n"/>
      <c r="H10" s="20" t="n">
        <v>17558</v>
      </c>
      <c r="I10" s="20" t="n">
        <v>18733</v>
      </c>
      <c r="J10" s="20" t="n"/>
      <c r="K10" s="20" t="n"/>
      <c r="L10" s="20" t="n">
        <v>20308</v>
      </c>
      <c r="M10" s="20" t="n">
        <v>20027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70478</v>
      </c>
      <c r="X10" s="20" t="n">
        <v>75623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AsiaOceaniaReportableSegmentMember</t>
        </is>
      </c>
      <c r="B13" s="10" t="n"/>
      <c r="C13" s="19" t="n"/>
      <c r="D13" s="20" t="n"/>
      <c r="E13" s="20" t="n"/>
      <c r="F13" s="20" t="n"/>
      <c r="G13" s="20" t="n"/>
      <c r="H13" s="20" t="n">
        <v>15148</v>
      </c>
      <c r="I13" s="20" t="n">
        <v>11150</v>
      </c>
      <c r="J13" s="20" t="n"/>
      <c r="K13" s="20" t="n"/>
      <c r="L13" s="20" t="n">
        <v>16658</v>
      </c>
      <c r="M13" s="20" t="n">
        <v>12639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50220</v>
      </c>
      <c r="X13" s="20" t="n">
        <v>54914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EuropeReportableSegmentMember</t>
        </is>
      </c>
      <c r="B16" s="10" t="n"/>
      <c r="C16" s="19" t="n"/>
      <c r="D16" s="20" t="n"/>
      <c r="E16" s="20" t="n"/>
      <c r="F16" s="20" t="n"/>
      <c r="G16" s="20" t="n"/>
      <c r="H16" s="20" t="n">
        <v>1195</v>
      </c>
      <c r="I16" s="20" t="n">
        <v>1474</v>
      </c>
      <c r="J16" s="20" t="n"/>
      <c r="K16" s="20" t="n"/>
      <c r="L16" s="20" t="n">
        <v>1482</v>
      </c>
      <c r="M16" s="20" t="n">
        <v>1906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4882</v>
      </c>
      <c r="X16" s="20" t="n">
        <v>5677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MainlandChinaBusinessReportableSegmentMember</t>
        </is>
      </c>
      <c r="B19" s="10" t="n"/>
      <c r="C19" s="19" t="n"/>
      <c r="D19" s="20" t="n"/>
      <c r="E19" s="20" t="n"/>
      <c r="F19" s="20" t="n"/>
      <c r="G19" s="20" t="n"/>
      <c r="H19" s="20" t="n">
        <v>14484</v>
      </c>
      <c r="I19" s="20" t="n">
        <v>10838</v>
      </c>
      <c r="J19" s="20" t="n"/>
      <c r="K19" s="20" t="n"/>
      <c r="L19" s="20" t="n">
        <v>13512</v>
      </c>
      <c r="M19" s="20" t="n">
        <v>12399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66924</v>
      </c>
      <c r="X19" s="20" t="n">
        <v>53863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GlobalHousingEquipmentBusinessReportableSegmentMember</t>
        </is>
      </c>
      <c r="B22" s="10" t="n"/>
      <c r="C22" s="19" t="n"/>
      <c r="D22" s="20" t="n"/>
      <c r="E22" s="20" t="n"/>
      <c r="F22" s="20" t="n"/>
      <c r="G22" s="20" t="n"/>
      <c r="H22" s="20" t="n">
        <v>166130</v>
      </c>
      <c r="I22" s="20" t="n">
        <v>150575</v>
      </c>
      <c r="J22" s="20" t="n"/>
      <c r="K22" s="20" t="n"/>
      <c r="L22" s="20" t="n">
        <v>169810</v>
      </c>
      <c r="M22" s="20" t="n">
        <v>152561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>
        <v>673852</v>
      </c>
      <c r="X22" s="20" t="n">
        <v>669742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Advanced Ceramics Business Reportable Segments</t>
        </is>
      </c>
      <c r="B25" s="10" t="n"/>
      <c r="C25" s="19" t="n"/>
      <c r="D25" s="20" t="n">
        <v>10419</v>
      </c>
      <c r="E25" s="20" t="n">
        <v>10783</v>
      </c>
      <c r="F25" s="20" t="n"/>
      <c r="G25" s="20" t="n"/>
      <c r="H25" s="20" t="n">
        <v>15950</v>
      </c>
      <c r="I25" s="20" t="n">
        <v>15101</v>
      </c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36476</v>
      </c>
      <c r="W25" s="20" t="n">
        <v>50325</v>
      </c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AdvancedCeramicsBusinessReportableSegmentMember</t>
        </is>
      </c>
      <c r="B28" s="10" t="n"/>
      <c r="C28" s="19" t="n"/>
      <c r="D28" s="20" t="n"/>
      <c r="E28" s="20" t="n"/>
      <c r="F28" s="20" t="n"/>
      <c r="G28" s="20" t="n"/>
      <c r="H28" s="20" t="n">
        <v>15950</v>
      </c>
      <c r="I28" s="20" t="n">
        <v>15101</v>
      </c>
      <c r="J28" s="20" t="n"/>
      <c r="K28" s="20" t="n"/>
      <c r="L28" s="20" t="n">
        <v>20461</v>
      </c>
      <c r="M28" s="20" t="n">
        <v>15978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>
        <v>50325</v>
      </c>
      <c r="X28" s="20" t="n">
        <v>67414</v>
      </c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기타</t>
        </is>
      </c>
      <c r="B31" s="10" t="n"/>
      <c r="C31" s="19" t="n"/>
      <c r="D31" s="20" t="n">
        <v>70</v>
      </c>
      <c r="E31" s="20" t="n">
        <v>69</v>
      </c>
      <c r="F31" s="20" t="n"/>
      <c r="G31" s="20" t="n"/>
      <c r="H31" s="20" t="n">
        <v>71</v>
      </c>
      <c r="I31" s="20" t="n">
        <v>70</v>
      </c>
      <c r="J31" s="20" t="n"/>
      <c r="K31" s="20" t="n"/>
      <c r="L31" s="20" t="n">
        <v>72</v>
      </c>
      <c r="M31" s="20" t="n">
        <v>71</v>
      </c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>
        <v>278</v>
      </c>
      <c r="W31" s="20" t="n">
        <v>277</v>
      </c>
      <c r="X31" s="20" t="n">
        <v>285</v>
      </c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8" t="inlineStr">
        <is>
          <t>EntityTotalMember</t>
        </is>
      </c>
      <c r="B34" s="10" t="n"/>
      <c r="C34" s="19" t="n"/>
      <c r="D34" s="20" t="n"/>
      <c r="E34" s="20" t="n"/>
      <c r="F34" s="20" t="n"/>
      <c r="G34" s="20" t="n"/>
      <c r="H34" s="20" t="n"/>
      <c r="I34" s="20" t="n">
        <v>165747</v>
      </c>
      <c r="J34" s="20" t="n"/>
      <c r="K34" s="20" t="n"/>
      <c r="L34" s="20" t="n"/>
      <c r="M34" s="20" t="n">
        <v>168611</v>
      </c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1" t="n"/>
      <c r="Z34" s="22" t="n"/>
      <c r="AA34" s="22" t="n"/>
      <c r="AB34" s="22" t="n"/>
      <c r="AC34" s="22" t="n"/>
    </row>
    <row r="35">
      <c r="A35" s="13" t="inlineStr">
        <is>
          <t>비중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8" t="inlineStr">
        <is>
          <t>Japan Housing Equipment Business Reportable Segments</t>
        </is>
      </c>
      <c r="B37" s="10" t="n"/>
      <c r="C37" s="19" t="n"/>
      <c r="D37" s="20" t="n">
        <v>114740</v>
      </c>
      <c r="E37" s="20" t="n">
        <v>109457</v>
      </c>
      <c r="F37" s="20" t="n"/>
      <c r="G37" s="20" t="n"/>
      <c r="H37" s="20" t="n">
        <v>117746</v>
      </c>
      <c r="I37" s="20" t="n">
        <v>108378</v>
      </c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>
        <v>473092</v>
      </c>
      <c r="W37" s="20" t="n">
        <v>481346</v>
      </c>
      <c r="X37" s="20" t="n"/>
      <c r="Y37" s="21" t="n"/>
      <c r="Z37" s="22" t="n"/>
      <c r="AA37" s="22" t="n"/>
      <c r="AB37" s="22" t="n"/>
      <c r="AC37" s="22" t="n"/>
    </row>
    <row r="38">
      <c r="A38" s="13" t="inlineStr">
        <is>
          <t>비중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>
        <f>IF(OR(Y37="",Y4=""),"",IFERROR(Y37/Y4,""))</f>
        <v/>
      </c>
      <c r="Z38" s="15">
        <f>IF(OR(Z37="",Z4=""),"",IFERROR(Z37/Z4,""))</f>
        <v/>
      </c>
      <c r="AA38" s="15">
        <f>IF(OR(AA37="",AA4=""),"",IFERROR(AA37/AA4,""))</f>
        <v/>
      </c>
      <c r="AB38" s="15">
        <f>IF(OR(AB37="",AB4=""),"",IFERROR(AB37/AB4,""))</f>
        <v/>
      </c>
      <c r="AC38" s="15">
        <f>IF(OR(AC37="",AC4=""),"",IFERROR(AC37/AC4,""))</f>
        <v/>
      </c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8" t="inlineStr">
        <is>
          <t>Americas Business Reportable Segments</t>
        </is>
      </c>
      <c r="B40" s="10" t="n"/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>
        <v>58890</v>
      </c>
      <c r="W40" s="20" t="n">
        <v>70478</v>
      </c>
      <c r="X40" s="20" t="n"/>
      <c r="Y40" s="21" t="n"/>
      <c r="Z40" s="22" t="n"/>
      <c r="AA40" s="22" t="n"/>
      <c r="AB40" s="22" t="n"/>
      <c r="AC40" s="22" t="n"/>
    </row>
    <row r="41">
      <c r="A41" s="13" t="inlineStr">
        <is>
          <t>비중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>
        <f>IF(OR(Y40="",Y4=""),"",IFERROR(Y40/Y4,""))</f>
        <v/>
      </c>
      <c r="Z41" s="15">
        <f>IF(OR(Z40="",Z4=""),"",IFERROR(Z40/Z4,""))</f>
        <v/>
      </c>
      <c r="AA41" s="15">
        <f>IF(OR(AA40="",AA4=""),"",IFERROR(AA40/AA4,""))</f>
        <v/>
      </c>
      <c r="AB41" s="15">
        <f>IF(OR(AB40="",AB4=""),"",IFERROR(AB40/AB4,""))</f>
        <v/>
      </c>
      <c r="AC41" s="15">
        <f>IF(OR(AC40="",AC4=""),"",IFERROR(AC40/AC4,""))</f>
        <v/>
      </c>
    </row>
    <row r="42">
      <c r="A42" s="13" t="inlineStr">
        <is>
          <t>YoY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8" t="inlineStr">
        <is>
          <t>Asia Oceania Business Reportable Segments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>
        <v>44958</v>
      </c>
      <c r="W43" s="20" t="n">
        <v>50220</v>
      </c>
      <c r="X43" s="20" t="n"/>
      <c r="Y43" s="21" t="n"/>
      <c r="Z43" s="22" t="n"/>
      <c r="AA43" s="22" t="n"/>
      <c r="AB43" s="22" t="n"/>
      <c r="AC43" s="22" t="n"/>
    </row>
    <row r="44">
      <c r="A44" s="13" t="inlineStr">
        <is>
          <t>비중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>
        <f>IF(OR(Y43="",Y4=""),"",IFERROR(Y43/Y4,""))</f>
        <v/>
      </c>
      <c r="Z44" s="15">
        <f>IF(OR(Z43="",Z4=""),"",IFERROR(Z43/Z4,""))</f>
        <v/>
      </c>
      <c r="AA44" s="15">
        <f>IF(OR(AA43="",AA4=""),"",IFERROR(AA43/AA4,""))</f>
        <v/>
      </c>
      <c r="AB44" s="15">
        <f>IF(OR(AB43="",AB4=""),"",IFERROR(AB43/AB4,""))</f>
        <v/>
      </c>
      <c r="AC44" s="15">
        <f>IF(OR(AC43="",AC4=""),"",IFERROR(AC43/AC4,""))</f>
        <v/>
      </c>
    </row>
    <row r="45">
      <c r="A45" s="13" t="inlineStr">
        <is>
          <t>YoY</t>
        </is>
      </c>
      <c r="B45" s="10" t="n"/>
      <c r="C45" s="14" t="n"/>
      <c r="D45" s="15" t="n"/>
      <c r="E45" s="15" t="n"/>
      <c r="F45" s="15" t="n"/>
      <c r="G45" s="15">
        <f>IF(OR(G43="",C43=""),"",IFERROR(G43/C43-1,""))</f>
        <v/>
      </c>
      <c r="H45" s="15">
        <f>IF(OR(H43="",D43=""),"",IFERROR(H43/D43-1,""))</f>
        <v/>
      </c>
      <c r="I45" s="15">
        <f>IF(OR(I43="",E43=""),"",IFERROR(I43/E43-1,""))</f>
        <v/>
      </c>
      <c r="J45" s="15">
        <f>IF(OR(J43="",F43=""),"",IFERROR(J43/F43-1,""))</f>
        <v/>
      </c>
      <c r="K45" s="15">
        <f>IF(OR(K43="",G43=""),"",IFERROR(K43/G43-1,""))</f>
        <v/>
      </c>
      <c r="L45" s="15">
        <f>IF(OR(L43="",H43=""),"",IFERROR(L43/H43-1,""))</f>
        <v/>
      </c>
      <c r="M45" s="15">
        <f>IF(OR(M43="",I43=""),"",IFERROR(M43/I43-1,""))</f>
        <v/>
      </c>
      <c r="N45" s="15">
        <f>IF(OR(N43="",J43=""),"",IFERROR(N43/J43-1,""))</f>
        <v/>
      </c>
      <c r="O45" s="14" t="n"/>
      <c r="P45" s="15">
        <f>IF(OR(P43="",O43=""),"",IFERROR(P43/O43-1,""))</f>
        <v/>
      </c>
      <c r="Q45" s="15">
        <f>IF(OR(Q43="",P43=""),"",IFERROR(Q43/P43-1,""))</f>
        <v/>
      </c>
      <c r="R45" s="15">
        <f>IF(OR(R43="",Q43=""),"",IFERROR(R43/Q43-1,""))</f>
        <v/>
      </c>
      <c r="S45" s="15">
        <f>IF(OR(S43="",R43=""),"",IFERROR(S43/R43-1,""))</f>
        <v/>
      </c>
      <c r="T45" s="15">
        <f>IF(OR(T43="",S43=""),"",IFERROR(T43/S43-1,""))</f>
        <v/>
      </c>
      <c r="U45" s="15">
        <f>IF(OR(U43="",T43=""),"",IFERROR(U43/T43-1,""))</f>
        <v/>
      </c>
      <c r="V45" s="15">
        <f>IF(OR(V43="",U43=""),"",IFERROR(V43/U43-1,""))</f>
        <v/>
      </c>
      <c r="W45" s="15">
        <f>IF(OR(W43="",V43=""),"",IFERROR(W43/V43-1,""))</f>
        <v/>
      </c>
      <c r="X45" s="15">
        <f>IF(OR(X43="",W43=""),"",IFERROR(X43/W43-1,""))</f>
        <v/>
      </c>
      <c r="Y45" s="14">
        <f>IF(OR(Y43="",X43=""),"",IFERROR(Y43/X43-1,""))</f>
        <v/>
      </c>
      <c r="Z45" s="15">
        <f>IF(OR(Z43="",Y43=""),"",IFERROR(Z43/Y43-1,""))</f>
        <v/>
      </c>
      <c r="AA45" s="15">
        <f>IF(OR(AA43="",Z43=""),"",IFERROR(AA43/Z43-1,""))</f>
        <v/>
      </c>
      <c r="AB45" s="15">
        <f>IF(OR(AB43="",AA43=""),"",IFERROR(AB43/AA43-1,""))</f>
        <v/>
      </c>
      <c r="AC45" s="15">
        <f>IF(OR(AC43="",AB43=""),"",IFERROR(AC43/AB43-1,""))</f>
        <v/>
      </c>
    </row>
    <row r="46">
      <c r="A46" s="18" t="inlineStr">
        <is>
          <t>China Business Reportable Segments</t>
        </is>
      </c>
      <c r="B46" s="10" t="n"/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>
        <v>84074</v>
      </c>
      <c r="W46" s="20" t="n">
        <v>66924</v>
      </c>
      <c r="X46" s="20" t="n"/>
      <c r="Y46" s="21" t="n"/>
      <c r="Z46" s="22" t="n"/>
      <c r="AA46" s="22" t="n"/>
      <c r="AB46" s="22" t="n"/>
      <c r="AC46" s="22" t="n"/>
    </row>
    <row r="47">
      <c r="A47" s="13" t="inlineStr">
        <is>
          <t>비중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>
        <f>IF(OR(Y46="",Y4=""),"",IFERROR(Y46/Y4,""))</f>
        <v/>
      </c>
      <c r="Z47" s="15">
        <f>IF(OR(Z46="",Z4=""),"",IFERROR(Z46/Z4,""))</f>
        <v/>
      </c>
      <c r="AA47" s="15">
        <f>IF(OR(AA46="",AA4=""),"",IFERROR(AA46/AA4,""))</f>
        <v/>
      </c>
      <c r="AB47" s="15">
        <f>IF(OR(AB46="",AB4=""),"",IFERROR(AB46/AB4,""))</f>
        <v/>
      </c>
      <c r="AC47" s="15">
        <f>IF(OR(AC46="",AC4=""),"",IFERROR(AC46/AC4,""))</f>
        <v/>
      </c>
    </row>
    <row r="48">
      <c r="A48" s="13" t="inlineStr">
        <is>
          <t>YoY</t>
        </is>
      </c>
      <c r="B48" s="10" t="n"/>
      <c r="C48" s="14" t="n"/>
      <c r="D48" s="15" t="n"/>
      <c r="E48" s="15" t="n"/>
      <c r="F48" s="15" t="n"/>
      <c r="G48" s="15">
        <f>IF(OR(G46="",C46=""),"",IFERROR(G46/C46-1,""))</f>
        <v/>
      </c>
      <c r="H48" s="15">
        <f>IF(OR(H46="",D46=""),"",IFERROR(H46/D46-1,""))</f>
        <v/>
      </c>
      <c r="I48" s="15">
        <f>IF(OR(I46="",E46=""),"",IFERROR(I46/E46-1,""))</f>
        <v/>
      </c>
      <c r="J48" s="15">
        <f>IF(OR(J46="",F46=""),"",IFERROR(J46/F46-1,""))</f>
        <v/>
      </c>
      <c r="K48" s="15">
        <f>IF(OR(K46="",G46=""),"",IFERROR(K46/G46-1,""))</f>
        <v/>
      </c>
      <c r="L48" s="15">
        <f>IF(OR(L46="",H46=""),"",IFERROR(L46/H46-1,""))</f>
        <v/>
      </c>
      <c r="M48" s="15">
        <f>IF(OR(M46="",I46=""),"",IFERROR(M46/I46-1,""))</f>
        <v/>
      </c>
      <c r="N48" s="15">
        <f>IF(OR(N46="",J46=""),"",IFERROR(N46/J46-1,""))</f>
        <v/>
      </c>
      <c r="O48" s="14" t="n"/>
      <c r="P48" s="15">
        <f>IF(OR(P46="",O46=""),"",IFERROR(P46/O46-1,""))</f>
        <v/>
      </c>
      <c r="Q48" s="15">
        <f>IF(OR(Q46="",P46=""),"",IFERROR(Q46/P46-1,""))</f>
        <v/>
      </c>
      <c r="R48" s="15">
        <f>IF(OR(R46="",Q46=""),"",IFERROR(R46/Q46-1,""))</f>
        <v/>
      </c>
      <c r="S48" s="15">
        <f>IF(OR(S46="",R46=""),"",IFERROR(S46/R46-1,""))</f>
        <v/>
      </c>
      <c r="T48" s="15">
        <f>IF(OR(T46="",S46=""),"",IFERROR(T46/S46-1,""))</f>
        <v/>
      </c>
      <c r="U48" s="15">
        <f>IF(OR(U46="",T46=""),"",IFERROR(U46/T46-1,""))</f>
        <v/>
      </c>
      <c r="V48" s="15">
        <f>IF(OR(V46="",U46=""),"",IFERROR(V46/U46-1,""))</f>
        <v/>
      </c>
      <c r="W48" s="15">
        <f>IF(OR(W46="",V46=""),"",IFERROR(W46/V46-1,""))</f>
        <v/>
      </c>
      <c r="X48" s="15">
        <f>IF(OR(X46="",W46=""),"",IFERROR(X46/W46-1,""))</f>
        <v/>
      </c>
      <c r="Y48" s="14">
        <f>IF(OR(Y46="",X46=""),"",IFERROR(Y46/X46-1,""))</f>
        <v/>
      </c>
      <c r="Z48" s="15">
        <f>IF(OR(Z46="",Y46=""),"",IFERROR(Z46/Y46-1,""))</f>
        <v/>
      </c>
      <c r="AA48" s="15">
        <f>IF(OR(AA46="",Z46=""),"",IFERROR(AA46/Z46-1,""))</f>
        <v/>
      </c>
      <c r="AB48" s="15">
        <f>IF(OR(AB46="",AA46=""),"",IFERROR(AB46/AA46-1,""))</f>
        <v/>
      </c>
      <c r="AC48" s="15">
        <f>IF(OR(AC46="",AB46=""),"",IFERROR(AC46/AB46-1,""))</f>
        <v/>
      </c>
    </row>
    <row r="49">
      <c r="A49" s="18" t="inlineStr">
        <is>
          <t>Europe Business Reportable Segments</t>
        </is>
      </c>
      <c r="B49" s="10" t="n"/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>
        <v>4512</v>
      </c>
      <c r="W49" s="20" t="n">
        <v>4882</v>
      </c>
      <c r="X49" s="20" t="n"/>
      <c r="Y49" s="21" t="n"/>
      <c r="Z49" s="22" t="n"/>
      <c r="AA49" s="22" t="n"/>
      <c r="AB49" s="22" t="n"/>
      <c r="AC49" s="22" t="n"/>
    </row>
    <row r="50">
      <c r="A50" s="13" t="inlineStr">
        <is>
          <t>비중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14">
        <f>IF(OR(Y49="",Y4=""),"",IFERROR(Y49/Y4,""))</f>
        <v/>
      </c>
      <c r="Z50" s="15">
        <f>IF(OR(Z49="",Z4=""),"",IFERROR(Z49/Z4,""))</f>
        <v/>
      </c>
      <c r="AA50" s="15">
        <f>IF(OR(AA49="",AA4=""),"",IFERROR(AA49/AA4,""))</f>
        <v/>
      </c>
      <c r="AB50" s="15">
        <f>IF(OR(AB49="",AB4=""),"",IFERROR(AB49/AB4,""))</f>
        <v/>
      </c>
      <c r="AC50" s="15">
        <f>IF(OR(AC49="",AC4=""),"",IFERROR(AC49/AC4,""))</f>
        <v/>
      </c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IF(OR(G49="",C49=""),"",IFERROR(G49/C49-1,""))</f>
        <v/>
      </c>
      <c r="H51" s="15">
        <f>IF(OR(H49="",D49=""),"",IFERROR(H49/D49-1,""))</f>
        <v/>
      </c>
      <c r="I51" s="15">
        <f>IF(OR(I49="",E49=""),"",IFERROR(I49/E49-1,""))</f>
        <v/>
      </c>
      <c r="J51" s="15">
        <f>IF(OR(J49="",F49=""),"",IFERROR(J49/F49-1,""))</f>
        <v/>
      </c>
      <c r="K51" s="15">
        <f>IF(OR(K49="",G49=""),"",IFERROR(K49/G49-1,""))</f>
        <v/>
      </c>
      <c r="L51" s="15">
        <f>IF(OR(L49="",H49=""),"",IFERROR(L49/H49-1,""))</f>
        <v/>
      </c>
      <c r="M51" s="15">
        <f>IF(OR(M49="",I49=""),"",IFERROR(M49/I49-1,""))</f>
        <v/>
      </c>
      <c r="N51" s="15">
        <f>IF(OR(N49="",J49=""),"",IFERROR(N49/J49-1,""))</f>
        <v/>
      </c>
      <c r="O51" s="14" t="n"/>
      <c r="P51" s="15">
        <f>IF(OR(P49="",O49=""),"",IFERROR(P49/O49-1,""))</f>
        <v/>
      </c>
      <c r="Q51" s="15">
        <f>IF(OR(Q49="",P49=""),"",IFERROR(Q49/P49-1,""))</f>
        <v/>
      </c>
      <c r="R51" s="15">
        <f>IF(OR(R49="",Q49=""),"",IFERROR(R49/Q49-1,""))</f>
        <v/>
      </c>
      <c r="S51" s="15">
        <f>IF(OR(S49="",R49=""),"",IFERROR(S49/R49-1,""))</f>
        <v/>
      </c>
      <c r="T51" s="15">
        <f>IF(OR(T49="",S49=""),"",IFERROR(T49/S49-1,""))</f>
        <v/>
      </c>
      <c r="U51" s="15">
        <f>IF(OR(U49="",T49=""),"",IFERROR(U49/T49-1,""))</f>
        <v/>
      </c>
      <c r="V51" s="15">
        <f>IF(OR(V49="",U49=""),"",IFERROR(V49/U49-1,""))</f>
        <v/>
      </c>
      <c r="W51" s="15">
        <f>IF(OR(W49="",V49=""),"",IFERROR(W49/V49-1,""))</f>
        <v/>
      </c>
      <c r="X51" s="15">
        <f>IF(OR(X49="",W49=""),"",IFERROR(X49/W49-1,""))</f>
        <v/>
      </c>
      <c r="Y51" s="14">
        <f>IF(OR(Y49="",X49=""),"",IFERROR(Y49/X49-1,""))</f>
        <v/>
      </c>
      <c r="Z51" s="15">
        <f>IF(OR(Z49="",Y49=""),"",IFERROR(Z49/Y49-1,""))</f>
        <v/>
      </c>
      <c r="AA51" s="15">
        <f>IF(OR(AA49="",Z49=""),"",IFERROR(AA49/Z49-1,""))</f>
        <v/>
      </c>
      <c r="AB51" s="15">
        <f>IF(OR(AB49="",AA49=""),"",IFERROR(AB49/AA49-1,""))</f>
        <v/>
      </c>
      <c r="AC51" s="15">
        <f>IF(OR(AC49="",AB49=""),"",IFERROR(AC49/AB49-1,""))</f>
        <v/>
      </c>
    </row>
    <row r="52">
      <c r="A52" s="18" t="inlineStr">
        <is>
          <t>Americas Reportable Segments</t>
        </is>
      </c>
      <c r="B52" s="10" t="n"/>
      <c r="C52" s="19" t="n"/>
      <c r="D52" s="20" t="n"/>
      <c r="E52" s="20" t="n">
        <v>16623</v>
      </c>
      <c r="F52" s="20" t="n"/>
      <c r="G52" s="20" t="n"/>
      <c r="H52" s="20" t="n"/>
      <c r="I52" s="20" t="n">
        <v>18733</v>
      </c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1" t="n"/>
      <c r="Z52" s="22" t="n"/>
      <c r="AA52" s="22" t="n"/>
      <c r="AB52" s="22" t="n"/>
      <c r="AC52" s="22" t="n"/>
    </row>
    <row r="53">
      <c r="A53" s="13" t="inlineStr">
        <is>
          <t>비중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14">
        <f>IF(OR(Y52="",Y4=""),"",IFERROR(Y52/Y4,""))</f>
        <v/>
      </c>
      <c r="Z53" s="15">
        <f>IF(OR(Z52="",Z4=""),"",IFERROR(Z52/Z4,""))</f>
        <v/>
      </c>
      <c r="AA53" s="15">
        <f>IF(OR(AA52="",AA4=""),"",IFERROR(AA52/AA4,""))</f>
        <v/>
      </c>
      <c r="AB53" s="15">
        <f>IF(OR(AB52="",AB4=""),"",IFERROR(AB52/AB4,""))</f>
        <v/>
      </c>
      <c r="AC53" s="15">
        <f>IF(OR(AC52="",AC4=""),"",IFERROR(AC52/AC4,""))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IF(OR(G52="",C52=""),"",IFERROR(G52/C52-1,""))</f>
        <v/>
      </c>
      <c r="H54" s="15">
        <f>IF(OR(H52="",D52=""),"",IFERROR(H52/D52-1,""))</f>
        <v/>
      </c>
      <c r="I54" s="15">
        <f>IF(OR(I52="",E52=""),"",IFERROR(I52/E52-1,""))</f>
        <v/>
      </c>
      <c r="J54" s="15">
        <f>IF(OR(J52="",F52=""),"",IFERROR(J52/F52-1,""))</f>
        <v/>
      </c>
      <c r="K54" s="15">
        <f>IF(OR(K52="",G52=""),"",IFERROR(K52/G52-1,""))</f>
        <v/>
      </c>
      <c r="L54" s="15">
        <f>IF(OR(L52="",H52=""),"",IFERROR(L52/H52-1,""))</f>
        <v/>
      </c>
      <c r="M54" s="15">
        <f>IF(OR(M52="",I52=""),"",IFERROR(M52/I52-1,""))</f>
        <v/>
      </c>
      <c r="N54" s="15">
        <f>IF(OR(N52="",J52=""),"",IFERROR(N52/J52-1,""))</f>
        <v/>
      </c>
      <c r="O54" s="14" t="n"/>
      <c r="P54" s="15">
        <f>IF(OR(P52="",O52=""),"",IFERROR(P52/O52-1,""))</f>
        <v/>
      </c>
      <c r="Q54" s="15">
        <f>IF(OR(Q52="",P52=""),"",IFERROR(Q52/P52-1,""))</f>
        <v/>
      </c>
      <c r="R54" s="15">
        <f>IF(OR(R52="",Q52=""),"",IFERROR(R52/Q52-1,""))</f>
        <v/>
      </c>
      <c r="S54" s="15">
        <f>IF(OR(S52="",R52=""),"",IFERROR(S52/R52-1,""))</f>
        <v/>
      </c>
      <c r="T54" s="15">
        <f>IF(OR(T52="",S52=""),"",IFERROR(T52/S52-1,""))</f>
        <v/>
      </c>
      <c r="U54" s="15">
        <f>IF(OR(U52="",T52=""),"",IFERROR(U52/T52-1,""))</f>
        <v/>
      </c>
      <c r="V54" s="15">
        <f>IF(OR(V52="",U52=""),"",IFERROR(V52/U52-1,""))</f>
        <v/>
      </c>
      <c r="W54" s="15">
        <f>IF(OR(W52="",V52=""),"",IFERROR(W52/V52-1,""))</f>
        <v/>
      </c>
      <c r="X54" s="15">
        <f>IF(OR(X52="",W52=""),"",IFERROR(X52/W52-1,""))</f>
        <v/>
      </c>
      <c r="Y54" s="14">
        <f>IF(OR(Y52="",X52=""),"",IFERROR(Y52/X52-1,""))</f>
        <v/>
      </c>
      <c r="Z54" s="15">
        <f>IF(OR(Z52="",Y52=""),"",IFERROR(Z52/Y52-1,""))</f>
        <v/>
      </c>
      <c r="AA54" s="15">
        <f>IF(OR(AA52="",Z52=""),"",IFERROR(AA52/Z52-1,""))</f>
        <v/>
      </c>
      <c r="AB54" s="15">
        <f>IF(OR(AB52="",AA52=""),"",IFERROR(AB52/AA52-1,""))</f>
        <v/>
      </c>
      <c r="AC54" s="15">
        <f>IF(OR(AC52="",AB52=""),"",IFERROR(AC52/AB52-1,""))</f>
        <v/>
      </c>
    </row>
    <row r="55">
      <c r="A55" s="18" t="inlineStr">
        <is>
          <t>Asia Oceania Reportable Segments</t>
        </is>
      </c>
      <c r="B55" s="10" t="n"/>
      <c r="C55" s="19" t="n"/>
      <c r="D55" s="20" t="n"/>
      <c r="E55" s="20" t="n">
        <v>10884</v>
      </c>
      <c r="F55" s="20" t="n"/>
      <c r="G55" s="20" t="n"/>
      <c r="H55" s="20" t="n"/>
      <c r="I55" s="20" t="n">
        <v>11150</v>
      </c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1" t="n"/>
      <c r="Z55" s="22" t="n"/>
      <c r="AA55" s="22" t="n"/>
      <c r="AB55" s="22" t="n"/>
      <c r="AC55" s="22" t="n"/>
    </row>
    <row r="56">
      <c r="A56" s="13" t="inlineStr">
        <is>
          <t>비중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14">
        <f>IF(OR(Y55="",Y4=""),"",IFERROR(Y55/Y4,""))</f>
        <v/>
      </c>
      <c r="Z56" s="15">
        <f>IF(OR(Z55="",Z4=""),"",IFERROR(Z55/Z4,""))</f>
        <v/>
      </c>
      <c r="AA56" s="15">
        <f>IF(OR(AA55="",AA4=""),"",IFERROR(AA55/AA4,""))</f>
        <v/>
      </c>
      <c r="AB56" s="15">
        <f>IF(OR(AB55="",AB4=""),"",IFERROR(AB55/AB4,""))</f>
        <v/>
      </c>
      <c r="AC56" s="15">
        <f>IF(OR(AC55="",AC4=""),"",IFERROR(AC55/AC4,""))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IF(OR(G55="",C55=""),"",IFERROR(G55/C55-1,""))</f>
        <v/>
      </c>
      <c r="H57" s="15">
        <f>IF(OR(H55="",D55=""),"",IFERROR(H55/D55-1,""))</f>
        <v/>
      </c>
      <c r="I57" s="15">
        <f>IF(OR(I55="",E55=""),"",IFERROR(I55/E55-1,""))</f>
        <v/>
      </c>
      <c r="J57" s="15">
        <f>IF(OR(J55="",F55=""),"",IFERROR(J55/F55-1,""))</f>
        <v/>
      </c>
      <c r="K57" s="15">
        <f>IF(OR(K55="",G55=""),"",IFERROR(K55/G55-1,""))</f>
        <v/>
      </c>
      <c r="L57" s="15">
        <f>IF(OR(L55="",H55=""),"",IFERROR(L55/H55-1,""))</f>
        <v/>
      </c>
      <c r="M57" s="15">
        <f>IF(OR(M55="",I55=""),"",IFERROR(M55/I55-1,""))</f>
        <v/>
      </c>
      <c r="N57" s="15">
        <f>IF(OR(N55="",J55=""),"",IFERROR(N55/J55-1,""))</f>
        <v/>
      </c>
      <c r="O57" s="14" t="n"/>
      <c r="P57" s="15">
        <f>IF(OR(P55="",O55=""),"",IFERROR(P55/O55-1,""))</f>
        <v/>
      </c>
      <c r="Q57" s="15">
        <f>IF(OR(Q55="",P55=""),"",IFERROR(Q55/P55-1,""))</f>
        <v/>
      </c>
      <c r="R57" s="15">
        <f>IF(OR(R55="",Q55=""),"",IFERROR(R55/Q55-1,""))</f>
        <v/>
      </c>
      <c r="S57" s="15">
        <f>IF(OR(S55="",R55=""),"",IFERROR(S55/R55-1,""))</f>
        <v/>
      </c>
      <c r="T57" s="15">
        <f>IF(OR(T55="",S55=""),"",IFERROR(T55/S55-1,""))</f>
        <v/>
      </c>
      <c r="U57" s="15">
        <f>IF(OR(U55="",T55=""),"",IFERROR(U55/T55-1,""))</f>
        <v/>
      </c>
      <c r="V57" s="15">
        <f>IF(OR(V55="",U55=""),"",IFERROR(V55/U55-1,""))</f>
        <v/>
      </c>
      <c r="W57" s="15">
        <f>IF(OR(W55="",V55=""),"",IFERROR(W55/V55-1,""))</f>
        <v/>
      </c>
      <c r="X57" s="15">
        <f>IF(OR(X55="",W55=""),"",IFERROR(X55/W55-1,""))</f>
        <v/>
      </c>
      <c r="Y57" s="14">
        <f>IF(OR(Y55="",X55=""),"",IFERROR(Y55/X55-1,""))</f>
        <v/>
      </c>
      <c r="Z57" s="15">
        <f>IF(OR(Z55="",Y55=""),"",IFERROR(Z55/Y55-1,""))</f>
        <v/>
      </c>
      <c r="AA57" s="15">
        <f>IF(OR(AA55="",Z55=""),"",IFERROR(AA55/Z55-1,""))</f>
        <v/>
      </c>
      <c r="AB57" s="15">
        <f>IF(OR(AB55="",AA55=""),"",IFERROR(AB55/AA55-1,""))</f>
        <v/>
      </c>
      <c r="AC57" s="15">
        <f>IF(OR(AC55="",AB55=""),"",IFERROR(AC55/AB55-1,""))</f>
        <v/>
      </c>
    </row>
    <row r="58">
      <c r="A58" s="18" t="inlineStr">
        <is>
          <t>Mainland China Business Reportable Segments</t>
        </is>
      </c>
      <c r="B58" s="10" t="n"/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1" t="n"/>
      <c r="Z58" s="22" t="n"/>
      <c r="AA58" s="22" t="n"/>
      <c r="AB58" s="22" t="n"/>
      <c r="AC58" s="22" t="n"/>
    </row>
    <row r="59">
      <c r="A59" s="13" t="inlineStr">
        <is>
          <t>비중</t>
        </is>
      </c>
      <c r="B59" s="10" t="n"/>
      <c r="C59" s="14">
        <f>IF(OR(C58="",C4=""),"",IFERROR(C58/C4,""))</f>
        <v/>
      </c>
      <c r="D59" s="15">
        <f>IF(OR(D58="",D4=""),"",IFERROR(D58/D4,""))</f>
        <v/>
      </c>
      <c r="E59" s="15">
        <f>IF(OR(E58="",E4=""),"",IFERROR(E58/E4,""))</f>
        <v/>
      </c>
      <c r="F59" s="15">
        <f>IF(OR(F58="",F4=""),"",IFERROR(F58/F4,""))</f>
        <v/>
      </c>
      <c r="G59" s="15">
        <f>IF(OR(G58="",G4=""),"",IFERROR(G58/G4,""))</f>
        <v/>
      </c>
      <c r="H59" s="15">
        <f>IF(OR(H58="",H4=""),"",IFERROR(H58/H4,""))</f>
        <v/>
      </c>
      <c r="I59" s="15">
        <f>IF(OR(I58="",I4=""),"",IFERROR(I58/I4,""))</f>
        <v/>
      </c>
      <c r="J59" s="15">
        <f>IF(OR(J58="",J4=""),"",IFERROR(J58/J4,""))</f>
        <v/>
      </c>
      <c r="K59" s="15">
        <f>IF(OR(K58="",K4=""),"",IFERROR(K58/K4,""))</f>
        <v/>
      </c>
      <c r="L59" s="15">
        <f>IF(OR(L58="",L4=""),"",IFERROR(L58/L4,""))</f>
        <v/>
      </c>
      <c r="M59" s="15">
        <f>IF(OR(M58="",M4=""),"",IFERROR(M58/M4,""))</f>
        <v/>
      </c>
      <c r="N59" s="15">
        <f>IF(OR(N58="",N4=""),"",IFERROR(N58/N4,""))</f>
        <v/>
      </c>
      <c r="O59" s="14">
        <f>IF(OR(O58="",O4=""),"",IFERROR(O58/O4,""))</f>
        <v/>
      </c>
      <c r="P59" s="15">
        <f>IF(OR(P58="",P4=""),"",IFERROR(P58/P4,""))</f>
        <v/>
      </c>
      <c r="Q59" s="15">
        <f>IF(OR(Q58="",Q4=""),"",IFERROR(Q58/Q4,""))</f>
        <v/>
      </c>
      <c r="R59" s="15">
        <f>IF(OR(R58="",R4=""),"",IFERROR(R58/R4,""))</f>
        <v/>
      </c>
      <c r="S59" s="15">
        <f>IF(OR(S58="",S4=""),"",IFERROR(S58/S4,""))</f>
        <v/>
      </c>
      <c r="T59" s="15">
        <f>IF(OR(T58="",T4=""),"",IFERROR(T58/T4,""))</f>
        <v/>
      </c>
      <c r="U59" s="15">
        <f>IF(OR(U58="",U4=""),"",IFERROR(U58/U4,""))</f>
        <v/>
      </c>
      <c r="V59" s="15">
        <f>IF(OR(V58="",V4=""),"",IFERROR(V58/V4,""))</f>
        <v/>
      </c>
      <c r="W59" s="15">
        <f>IF(OR(W58="",W4=""),"",IFERROR(W58/W4,""))</f>
        <v/>
      </c>
      <c r="X59" s="15">
        <f>IF(OR(X58="",X4=""),"",IFERROR(X58/X4,""))</f>
        <v/>
      </c>
      <c r="Y59" s="14">
        <f>IF(OR(Y58="",Y4=""),"",IFERROR(Y58/Y4,""))</f>
        <v/>
      </c>
      <c r="Z59" s="15">
        <f>IF(OR(Z58="",Z4=""),"",IFERROR(Z58/Z4,""))</f>
        <v/>
      </c>
      <c r="AA59" s="15">
        <f>IF(OR(AA58="",AA4=""),"",IFERROR(AA58/AA4,""))</f>
        <v/>
      </c>
      <c r="AB59" s="15">
        <f>IF(OR(AB58="",AB4=""),"",IFERROR(AB58/AB4,""))</f>
        <v/>
      </c>
      <c r="AC59" s="15">
        <f>IF(OR(AC58="",AC4=""),"",IFERROR(AC58/AC4,""))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IF(OR(G58="",C58=""),"",IFERROR(G58/C58-1,""))</f>
        <v/>
      </c>
      <c r="H60" s="15">
        <f>IF(OR(H58="",D58=""),"",IFERROR(H58/D58-1,""))</f>
        <v/>
      </c>
      <c r="I60" s="15">
        <f>IF(OR(I58="",E58=""),"",IFERROR(I58/E58-1,""))</f>
        <v/>
      </c>
      <c r="J60" s="15">
        <f>IF(OR(J58="",F58=""),"",IFERROR(J58/F58-1,""))</f>
        <v/>
      </c>
      <c r="K60" s="15">
        <f>IF(OR(K58="",G58=""),"",IFERROR(K58/G58-1,""))</f>
        <v/>
      </c>
      <c r="L60" s="15">
        <f>IF(OR(L58="",H58=""),"",IFERROR(L58/H58-1,""))</f>
        <v/>
      </c>
      <c r="M60" s="15">
        <f>IF(OR(M58="",I58=""),"",IFERROR(M58/I58-1,""))</f>
        <v/>
      </c>
      <c r="N60" s="15">
        <f>IF(OR(N58="",J58=""),"",IFERROR(N58/J58-1,""))</f>
        <v/>
      </c>
      <c r="O60" s="14" t="n"/>
      <c r="P60" s="15">
        <f>IF(OR(P58="",O58=""),"",IFERROR(P58/O58-1,""))</f>
        <v/>
      </c>
      <c r="Q60" s="15">
        <f>IF(OR(Q58="",P58=""),"",IFERROR(Q58/P58-1,""))</f>
        <v/>
      </c>
      <c r="R60" s="15">
        <f>IF(OR(R58="",Q58=""),"",IFERROR(R58/Q58-1,""))</f>
        <v/>
      </c>
      <c r="S60" s="15">
        <f>IF(OR(S58="",R58=""),"",IFERROR(S58/R58-1,""))</f>
        <v/>
      </c>
      <c r="T60" s="15">
        <f>IF(OR(T58="",S58=""),"",IFERROR(T58/S58-1,""))</f>
        <v/>
      </c>
      <c r="U60" s="15">
        <f>IF(OR(U58="",T58=""),"",IFERROR(U58/T58-1,""))</f>
        <v/>
      </c>
      <c r="V60" s="15">
        <f>IF(OR(V58="",U58=""),"",IFERROR(V58/U58-1,""))</f>
        <v/>
      </c>
      <c r="W60" s="15">
        <f>IF(OR(W58="",V58=""),"",IFERROR(W58/V58-1,""))</f>
        <v/>
      </c>
      <c r="X60" s="15">
        <f>IF(OR(X58="",W58=""),"",IFERROR(X58/W58-1,""))</f>
        <v/>
      </c>
      <c r="Y60" s="14">
        <f>IF(OR(Y58="",X58=""),"",IFERROR(Y58/X58-1,""))</f>
        <v/>
      </c>
      <c r="Z60" s="15">
        <f>IF(OR(Z58="",Y58=""),"",IFERROR(Z58/Y58-1,""))</f>
        <v/>
      </c>
      <c r="AA60" s="15">
        <f>IF(OR(AA58="",Z58=""),"",IFERROR(AA58/Z58-1,""))</f>
        <v/>
      </c>
      <c r="AB60" s="15">
        <f>IF(OR(AB58="",AA58=""),"",IFERROR(AB58/AA58-1,""))</f>
        <v/>
      </c>
      <c r="AC60" s="15">
        <f>IF(OR(AC58="",AB58=""),"",IFERROR(AC58/AB58-1,""))</f>
        <v/>
      </c>
    </row>
    <row r="61">
      <c r="A61" s="18" t="inlineStr">
        <is>
          <t>유럽</t>
        </is>
      </c>
      <c r="B61" s="10" t="n"/>
      <c r="C61" s="19" t="n"/>
      <c r="D61" s="20" t="n"/>
      <c r="E61" s="20" t="n">
        <v>1210</v>
      </c>
      <c r="F61" s="20" t="n"/>
      <c r="G61" s="20" t="n"/>
      <c r="H61" s="20" t="n"/>
      <c r="I61" s="20" t="n">
        <v>1474</v>
      </c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1" t="n"/>
      <c r="Z61" s="22" t="n"/>
      <c r="AA61" s="22" t="n"/>
      <c r="AB61" s="22" t="n"/>
      <c r="AC61" s="22" t="n"/>
    </row>
    <row r="62">
      <c r="A62" s="13" t="inlineStr">
        <is>
          <t>비중</t>
        </is>
      </c>
      <c r="B62" s="10" t="n"/>
      <c r="C62" s="14">
        <f>IF(OR(C61="",C4=""),"",IFERROR(C61/C4,""))</f>
        <v/>
      </c>
      <c r="D62" s="15">
        <f>IF(OR(D61="",D4=""),"",IFERROR(D61/D4,""))</f>
        <v/>
      </c>
      <c r="E62" s="15">
        <f>IF(OR(E61="",E4=""),"",IFERROR(E61/E4,""))</f>
        <v/>
      </c>
      <c r="F62" s="15">
        <f>IF(OR(F61="",F4=""),"",IFERROR(F61/F4,""))</f>
        <v/>
      </c>
      <c r="G62" s="15">
        <f>IF(OR(G61="",G4=""),"",IFERROR(G61/G4,""))</f>
        <v/>
      </c>
      <c r="H62" s="15">
        <f>IF(OR(H61="",H4=""),"",IFERROR(H61/H4,""))</f>
        <v/>
      </c>
      <c r="I62" s="15">
        <f>IF(OR(I61="",I4=""),"",IFERROR(I61/I4,""))</f>
        <v/>
      </c>
      <c r="J62" s="15">
        <f>IF(OR(J61="",J4=""),"",IFERROR(J61/J4,""))</f>
        <v/>
      </c>
      <c r="K62" s="15">
        <f>IF(OR(K61="",K4=""),"",IFERROR(K61/K4,""))</f>
        <v/>
      </c>
      <c r="L62" s="15">
        <f>IF(OR(L61="",L4=""),"",IFERROR(L61/L4,""))</f>
        <v/>
      </c>
      <c r="M62" s="15">
        <f>IF(OR(M61="",M4=""),"",IFERROR(M61/M4,""))</f>
        <v/>
      </c>
      <c r="N62" s="15">
        <f>IF(OR(N61="",N4=""),"",IFERROR(N61/N4,""))</f>
        <v/>
      </c>
      <c r="O62" s="14">
        <f>IF(OR(O61="",O4=""),"",IFERROR(O61/O4,""))</f>
        <v/>
      </c>
      <c r="P62" s="15">
        <f>IF(OR(P61="",P4=""),"",IFERROR(P61/P4,""))</f>
        <v/>
      </c>
      <c r="Q62" s="15">
        <f>IF(OR(Q61="",Q4=""),"",IFERROR(Q61/Q4,""))</f>
        <v/>
      </c>
      <c r="R62" s="15">
        <f>IF(OR(R61="",R4=""),"",IFERROR(R61/R4,""))</f>
        <v/>
      </c>
      <c r="S62" s="15">
        <f>IF(OR(S61="",S4=""),"",IFERROR(S61/S4,""))</f>
        <v/>
      </c>
      <c r="T62" s="15">
        <f>IF(OR(T61="",T4=""),"",IFERROR(T61/T4,""))</f>
        <v/>
      </c>
      <c r="U62" s="15">
        <f>IF(OR(U61="",U4=""),"",IFERROR(U61/U4,""))</f>
        <v/>
      </c>
      <c r="V62" s="15">
        <f>IF(OR(V61="",V4=""),"",IFERROR(V61/V4,""))</f>
        <v/>
      </c>
      <c r="W62" s="15">
        <f>IF(OR(W61="",W4=""),"",IFERROR(W61/W4,""))</f>
        <v/>
      </c>
      <c r="X62" s="15">
        <f>IF(OR(X61="",X4=""),"",IFERROR(X61/X4,""))</f>
        <v/>
      </c>
      <c r="Y62" s="14">
        <f>IF(OR(Y61="",Y4=""),"",IFERROR(Y61/Y4,""))</f>
        <v/>
      </c>
      <c r="Z62" s="15">
        <f>IF(OR(Z61="",Z4=""),"",IFERROR(Z61/Z4,""))</f>
        <v/>
      </c>
      <c r="AA62" s="15">
        <f>IF(OR(AA61="",AA4=""),"",IFERROR(AA61/AA4,""))</f>
        <v/>
      </c>
      <c r="AB62" s="15">
        <f>IF(OR(AB61="",AB4=""),"",IFERROR(AB61/AB4,""))</f>
        <v/>
      </c>
      <c r="AC62" s="15">
        <f>IF(OR(AC61="",AC4=""),"",IFERROR(AC61/AC4,""))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IF(OR(G61="",C61=""),"",IFERROR(G61/C61-1,""))</f>
        <v/>
      </c>
      <c r="H63" s="15">
        <f>IF(OR(H61="",D61=""),"",IFERROR(H61/D61-1,""))</f>
        <v/>
      </c>
      <c r="I63" s="15">
        <f>IF(OR(I61="",E61=""),"",IFERROR(I61/E61-1,""))</f>
        <v/>
      </c>
      <c r="J63" s="15">
        <f>IF(OR(J61="",F61=""),"",IFERROR(J61/F61-1,""))</f>
        <v/>
      </c>
      <c r="K63" s="15">
        <f>IF(OR(K61="",G61=""),"",IFERROR(K61/G61-1,""))</f>
        <v/>
      </c>
      <c r="L63" s="15">
        <f>IF(OR(L61="",H61=""),"",IFERROR(L61/H61-1,""))</f>
        <v/>
      </c>
      <c r="M63" s="15">
        <f>IF(OR(M61="",I61=""),"",IFERROR(M61/I61-1,""))</f>
        <v/>
      </c>
      <c r="N63" s="15">
        <f>IF(OR(N61="",J61=""),"",IFERROR(N61/J61-1,""))</f>
        <v/>
      </c>
      <c r="O63" s="14" t="n"/>
      <c r="P63" s="15">
        <f>IF(OR(P61="",O61=""),"",IFERROR(P61/O61-1,""))</f>
        <v/>
      </c>
      <c r="Q63" s="15">
        <f>IF(OR(Q61="",P61=""),"",IFERROR(Q61/P61-1,""))</f>
        <v/>
      </c>
      <c r="R63" s="15">
        <f>IF(OR(R61="",Q61=""),"",IFERROR(R61/Q61-1,""))</f>
        <v/>
      </c>
      <c r="S63" s="15">
        <f>IF(OR(S61="",R61=""),"",IFERROR(S61/R61-1,""))</f>
        <v/>
      </c>
      <c r="T63" s="15">
        <f>IF(OR(T61="",S61=""),"",IFERROR(T61/S61-1,""))</f>
        <v/>
      </c>
      <c r="U63" s="15">
        <f>IF(OR(U61="",T61=""),"",IFERROR(U61/T61-1,""))</f>
        <v/>
      </c>
      <c r="V63" s="15">
        <f>IF(OR(V61="",U61=""),"",IFERROR(V61/U61-1,""))</f>
        <v/>
      </c>
      <c r="W63" s="15">
        <f>IF(OR(W61="",V61=""),"",IFERROR(W61/V61-1,""))</f>
        <v/>
      </c>
      <c r="X63" s="15">
        <f>IF(OR(X61="",W61=""),"",IFERROR(X61/W61-1,""))</f>
        <v/>
      </c>
      <c r="Y63" s="14">
        <f>IF(OR(Y61="",X61=""),"",IFERROR(Y61/X61-1,""))</f>
        <v/>
      </c>
      <c r="Z63" s="15">
        <f>IF(OR(Z61="",Y61=""),"",IFERROR(Z61/Y61-1,""))</f>
        <v/>
      </c>
      <c r="AA63" s="15">
        <f>IF(OR(AA61="",Z61=""),"",IFERROR(AA61/Z61-1,""))</f>
        <v/>
      </c>
      <c r="AB63" s="15">
        <f>IF(OR(AB61="",AA61=""),"",IFERROR(AB61/AA61-1,""))</f>
        <v/>
      </c>
      <c r="AC63" s="15">
        <f>IF(OR(AC61="",AB61=""),"",IFERROR(AC61/AB61-1,""))</f>
        <v/>
      </c>
    </row>
    <row r="64">
      <c r="A64" s="18" t="inlineStr">
        <is>
          <t>중국</t>
        </is>
      </c>
      <c r="B64" s="10" t="n"/>
      <c r="C64" s="19" t="n"/>
      <c r="D64" s="20" t="n"/>
      <c r="E64" s="20" t="n">
        <v>15483</v>
      </c>
      <c r="F64" s="20" t="n"/>
      <c r="G64" s="20" t="n"/>
      <c r="H64" s="20" t="n"/>
      <c r="I64" s="20" t="n">
        <v>10838</v>
      </c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1" t="n"/>
      <c r="Z64" s="22" t="n"/>
      <c r="AA64" s="22" t="n"/>
      <c r="AB64" s="22" t="n"/>
      <c r="AC64" s="22" t="n"/>
    </row>
    <row r="65">
      <c r="A65" s="13" t="inlineStr">
        <is>
          <t>비중</t>
        </is>
      </c>
      <c r="B65" s="10" t="n"/>
      <c r="C65" s="14">
        <f>IF(OR(C64="",C4=""),"",IFERROR(C64/C4,""))</f>
        <v/>
      </c>
      <c r="D65" s="15">
        <f>IF(OR(D64="",D4=""),"",IFERROR(D64/D4,""))</f>
        <v/>
      </c>
      <c r="E65" s="15">
        <f>IF(OR(E64="",E4=""),"",IFERROR(E64/E4,""))</f>
        <v/>
      </c>
      <c r="F65" s="15">
        <f>IF(OR(F64="",F4=""),"",IFERROR(F64/F4,""))</f>
        <v/>
      </c>
      <c r="G65" s="15">
        <f>IF(OR(G64="",G4=""),"",IFERROR(G64/G4,""))</f>
        <v/>
      </c>
      <c r="H65" s="15">
        <f>IF(OR(H64="",H4=""),"",IFERROR(H64/H4,""))</f>
        <v/>
      </c>
      <c r="I65" s="15">
        <f>IF(OR(I64="",I4=""),"",IFERROR(I64/I4,""))</f>
        <v/>
      </c>
      <c r="J65" s="15">
        <f>IF(OR(J64="",J4=""),"",IFERROR(J64/J4,""))</f>
        <v/>
      </c>
      <c r="K65" s="15">
        <f>IF(OR(K64="",K4=""),"",IFERROR(K64/K4,""))</f>
        <v/>
      </c>
      <c r="L65" s="15">
        <f>IF(OR(L64="",L4=""),"",IFERROR(L64/L4,""))</f>
        <v/>
      </c>
      <c r="M65" s="15">
        <f>IF(OR(M64="",M4=""),"",IFERROR(M64/M4,""))</f>
        <v/>
      </c>
      <c r="N65" s="15">
        <f>IF(OR(N64="",N4=""),"",IFERROR(N64/N4,""))</f>
        <v/>
      </c>
      <c r="O65" s="14">
        <f>IF(OR(O64="",O4=""),"",IFERROR(O64/O4,""))</f>
        <v/>
      </c>
      <c r="P65" s="15">
        <f>IF(OR(P64="",P4=""),"",IFERROR(P64/P4,""))</f>
        <v/>
      </c>
      <c r="Q65" s="15">
        <f>IF(OR(Q64="",Q4=""),"",IFERROR(Q64/Q4,""))</f>
        <v/>
      </c>
      <c r="R65" s="15">
        <f>IF(OR(R64="",R4=""),"",IFERROR(R64/R4,""))</f>
        <v/>
      </c>
      <c r="S65" s="15">
        <f>IF(OR(S64="",S4=""),"",IFERROR(S64/S4,""))</f>
        <v/>
      </c>
      <c r="T65" s="15">
        <f>IF(OR(T64="",T4=""),"",IFERROR(T64/T4,""))</f>
        <v/>
      </c>
      <c r="U65" s="15">
        <f>IF(OR(U64="",U4=""),"",IFERROR(U64/U4,""))</f>
        <v/>
      </c>
      <c r="V65" s="15">
        <f>IF(OR(V64="",V4=""),"",IFERROR(V64/V4,""))</f>
        <v/>
      </c>
      <c r="W65" s="15">
        <f>IF(OR(W64="",W4=""),"",IFERROR(W64/W4,""))</f>
        <v/>
      </c>
      <c r="X65" s="15">
        <f>IF(OR(X64="",X4=""),"",IFERROR(X64/X4,""))</f>
        <v/>
      </c>
      <c r="Y65" s="14">
        <f>IF(OR(Y64="",Y4=""),"",IFERROR(Y64/Y4,""))</f>
        <v/>
      </c>
      <c r="Z65" s="15">
        <f>IF(OR(Z64="",Z4=""),"",IFERROR(Z64/Z4,""))</f>
        <v/>
      </c>
      <c r="AA65" s="15">
        <f>IF(OR(AA64="",AA4=""),"",IFERROR(AA64/AA4,""))</f>
        <v/>
      </c>
      <c r="AB65" s="15">
        <f>IF(OR(AB64="",AB4=""),"",IFERROR(AB64/AB4,""))</f>
        <v/>
      </c>
      <c r="AC65" s="15">
        <f>IF(OR(AC64="",AC4=""),"",IFERROR(AC64/AC4,""))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IF(OR(G64="",C64=""),"",IFERROR(G64/C64-1,""))</f>
        <v/>
      </c>
      <c r="H66" s="15">
        <f>IF(OR(H64="",D64=""),"",IFERROR(H64/D64-1,""))</f>
        <v/>
      </c>
      <c r="I66" s="15">
        <f>IF(OR(I64="",E64=""),"",IFERROR(I64/E64-1,""))</f>
        <v/>
      </c>
      <c r="J66" s="15">
        <f>IF(OR(J64="",F64=""),"",IFERROR(J64/F64-1,""))</f>
        <v/>
      </c>
      <c r="K66" s="15">
        <f>IF(OR(K64="",G64=""),"",IFERROR(K64/G64-1,""))</f>
        <v/>
      </c>
      <c r="L66" s="15">
        <f>IF(OR(L64="",H64=""),"",IFERROR(L64/H64-1,""))</f>
        <v/>
      </c>
      <c r="M66" s="15">
        <f>IF(OR(M64="",I64=""),"",IFERROR(M64/I64-1,""))</f>
        <v/>
      </c>
      <c r="N66" s="15">
        <f>IF(OR(N64="",J64=""),"",IFERROR(N64/J64-1,""))</f>
        <v/>
      </c>
      <c r="O66" s="14" t="n"/>
      <c r="P66" s="15">
        <f>IF(OR(P64="",O64=""),"",IFERROR(P64/O64-1,""))</f>
        <v/>
      </c>
      <c r="Q66" s="15">
        <f>IF(OR(Q64="",P64=""),"",IFERROR(Q64/P64-1,""))</f>
        <v/>
      </c>
      <c r="R66" s="15">
        <f>IF(OR(R64="",Q64=""),"",IFERROR(R64/Q64-1,""))</f>
        <v/>
      </c>
      <c r="S66" s="15">
        <f>IF(OR(S64="",R64=""),"",IFERROR(S64/R64-1,""))</f>
        <v/>
      </c>
      <c r="T66" s="15">
        <f>IF(OR(T64="",S64=""),"",IFERROR(T64/S64-1,""))</f>
        <v/>
      </c>
      <c r="U66" s="15">
        <f>IF(OR(U64="",T64=""),"",IFERROR(U64/T64-1,""))</f>
        <v/>
      </c>
      <c r="V66" s="15">
        <f>IF(OR(V64="",U64=""),"",IFERROR(V64/U64-1,""))</f>
        <v/>
      </c>
      <c r="W66" s="15">
        <f>IF(OR(W64="",V64=""),"",IFERROR(W64/V64-1,""))</f>
        <v/>
      </c>
      <c r="X66" s="15">
        <f>IF(OR(X64="",W64=""),"",IFERROR(X64/W64-1,""))</f>
        <v/>
      </c>
      <c r="Y66" s="14">
        <f>IF(OR(Y64="",X64=""),"",IFERROR(Y64/X64-1,""))</f>
        <v/>
      </c>
      <c r="Z66" s="15">
        <f>IF(OR(Z64="",Y64=""),"",IFERROR(Z64/Y64-1,""))</f>
        <v/>
      </c>
      <c r="AA66" s="15">
        <f>IF(OR(AA64="",Z64=""),"",IFERROR(AA64/Z64-1,""))</f>
        <v/>
      </c>
      <c r="AB66" s="15">
        <f>IF(OR(AB64="",AA64=""),"",IFERROR(AB64/AA64-1,""))</f>
        <v/>
      </c>
      <c r="AC66" s="15">
        <f>IF(OR(AC64="",AB64=""),"",IFERROR(AC64/AB64-1,""))</f>
        <v/>
      </c>
    </row>
    <row r="67">
      <c r="A67" s="18" t="inlineStr">
        <is>
          <t>Global Housing Equipment Business Reportable Segments</t>
        </is>
      </c>
      <c r="B67" s="10" t="n"/>
      <c r="C67" s="19" t="n"/>
      <c r="D67" s="20" t="n">
        <v>167030</v>
      </c>
      <c r="E67" s="20" t="n">
        <v>153660</v>
      </c>
      <c r="F67" s="20" t="n"/>
      <c r="G67" s="20" t="n"/>
      <c r="H67" s="20" t="n">
        <v>166130</v>
      </c>
      <c r="I67" s="20" t="n">
        <v>150575</v>
      </c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>
        <v>665529</v>
      </c>
      <c r="W67" s="20" t="n">
        <v>673852</v>
      </c>
      <c r="X67" s="20" t="n"/>
      <c r="Y67" s="21" t="n"/>
      <c r="Z67" s="22" t="n"/>
      <c r="AA67" s="22" t="n"/>
      <c r="AB67" s="22" t="n"/>
      <c r="AC67" s="22" t="n"/>
    </row>
    <row r="68">
      <c r="A68" s="13" t="inlineStr">
        <is>
          <t>비중</t>
        </is>
      </c>
      <c r="B68" s="10" t="n"/>
      <c r="C68" s="14">
        <f>IF(OR(C67="",C4=""),"",IFERROR(C67/C4,""))</f>
        <v/>
      </c>
      <c r="D68" s="15">
        <f>IF(OR(D67="",D4=""),"",IFERROR(D67/D4,""))</f>
        <v/>
      </c>
      <c r="E68" s="15">
        <f>IF(OR(E67="",E4=""),"",IFERROR(E67/E4,""))</f>
        <v/>
      </c>
      <c r="F68" s="15">
        <f>IF(OR(F67="",F4=""),"",IFERROR(F67/F4,""))</f>
        <v/>
      </c>
      <c r="G68" s="15">
        <f>IF(OR(G67="",G4=""),"",IFERROR(G67/G4,""))</f>
        <v/>
      </c>
      <c r="H68" s="15">
        <f>IF(OR(H67="",H4=""),"",IFERROR(H67/H4,""))</f>
        <v/>
      </c>
      <c r="I68" s="15">
        <f>IF(OR(I67="",I4=""),"",IFERROR(I67/I4,""))</f>
        <v/>
      </c>
      <c r="J68" s="15">
        <f>IF(OR(J67="",J4=""),"",IFERROR(J67/J4,""))</f>
        <v/>
      </c>
      <c r="K68" s="15">
        <f>IF(OR(K67="",K4=""),"",IFERROR(K67/K4,""))</f>
        <v/>
      </c>
      <c r="L68" s="15">
        <f>IF(OR(L67="",L4=""),"",IFERROR(L67/L4,""))</f>
        <v/>
      </c>
      <c r="M68" s="15">
        <f>IF(OR(M67="",M4=""),"",IFERROR(M67/M4,""))</f>
        <v/>
      </c>
      <c r="N68" s="15">
        <f>IF(OR(N67="",N4=""),"",IFERROR(N67/N4,""))</f>
        <v/>
      </c>
      <c r="O68" s="14">
        <f>IF(OR(O67="",O4=""),"",IFERROR(O67/O4,""))</f>
        <v/>
      </c>
      <c r="P68" s="15">
        <f>IF(OR(P67="",P4=""),"",IFERROR(P67/P4,""))</f>
        <v/>
      </c>
      <c r="Q68" s="15">
        <f>IF(OR(Q67="",Q4=""),"",IFERROR(Q67/Q4,""))</f>
        <v/>
      </c>
      <c r="R68" s="15">
        <f>IF(OR(R67="",R4=""),"",IFERROR(R67/R4,""))</f>
        <v/>
      </c>
      <c r="S68" s="15">
        <f>IF(OR(S67="",S4=""),"",IFERROR(S67/S4,""))</f>
        <v/>
      </c>
      <c r="T68" s="15">
        <f>IF(OR(T67="",T4=""),"",IFERROR(T67/T4,""))</f>
        <v/>
      </c>
      <c r="U68" s="15">
        <f>IF(OR(U67="",U4=""),"",IFERROR(U67/U4,""))</f>
        <v/>
      </c>
      <c r="V68" s="15">
        <f>IF(OR(V67="",V4=""),"",IFERROR(V67/V4,""))</f>
        <v/>
      </c>
      <c r="W68" s="15">
        <f>IF(OR(W67="",W4=""),"",IFERROR(W67/W4,""))</f>
        <v/>
      </c>
      <c r="X68" s="15">
        <f>IF(OR(X67="",X4=""),"",IFERROR(X67/X4,""))</f>
        <v/>
      </c>
      <c r="Y68" s="14">
        <f>IF(OR(Y67="",Y4=""),"",IFERROR(Y67/Y4,""))</f>
        <v/>
      </c>
      <c r="Z68" s="15">
        <f>IF(OR(Z67="",Z4=""),"",IFERROR(Z67/Z4,""))</f>
        <v/>
      </c>
      <c r="AA68" s="15">
        <f>IF(OR(AA67="",AA4=""),"",IFERROR(AA67/AA4,""))</f>
        <v/>
      </c>
      <c r="AB68" s="15">
        <f>IF(OR(AB67="",AB4=""),"",IFERROR(AB67/AB4,""))</f>
        <v/>
      </c>
      <c r="AC68" s="15">
        <f>IF(OR(AC67="",AC4=""),"",IFERROR(AC67/AC4,""))</f>
        <v/>
      </c>
    </row>
    <row r="69">
      <c r="A69" s="13" t="inlineStr">
        <is>
          <t>YoY</t>
        </is>
      </c>
      <c r="B69" s="10" t="n"/>
      <c r="C69" s="14" t="n"/>
      <c r="D69" s="15" t="n"/>
      <c r="E69" s="15" t="n"/>
      <c r="F69" s="15" t="n"/>
      <c r="G69" s="15">
        <f>IF(OR(G67="",C67=""),"",IFERROR(G67/C67-1,""))</f>
        <v/>
      </c>
      <c r="H69" s="15">
        <f>IF(OR(H67="",D67=""),"",IFERROR(H67/D67-1,""))</f>
        <v/>
      </c>
      <c r="I69" s="15">
        <f>IF(OR(I67="",E67=""),"",IFERROR(I67/E67-1,""))</f>
        <v/>
      </c>
      <c r="J69" s="15">
        <f>IF(OR(J67="",F67=""),"",IFERROR(J67/F67-1,""))</f>
        <v/>
      </c>
      <c r="K69" s="15">
        <f>IF(OR(K67="",G67=""),"",IFERROR(K67/G67-1,""))</f>
        <v/>
      </c>
      <c r="L69" s="15">
        <f>IF(OR(L67="",H67=""),"",IFERROR(L67/H67-1,""))</f>
        <v/>
      </c>
      <c r="M69" s="15">
        <f>IF(OR(M67="",I67=""),"",IFERROR(M67/I67-1,""))</f>
        <v/>
      </c>
      <c r="N69" s="15">
        <f>IF(OR(N67="",J67=""),"",IFERROR(N67/J67-1,""))</f>
        <v/>
      </c>
      <c r="O69" s="14" t="n"/>
      <c r="P69" s="15">
        <f>IF(OR(P67="",O67=""),"",IFERROR(P67/O67-1,""))</f>
        <v/>
      </c>
      <c r="Q69" s="15">
        <f>IF(OR(Q67="",P67=""),"",IFERROR(Q67/P67-1,""))</f>
        <v/>
      </c>
      <c r="R69" s="15">
        <f>IF(OR(R67="",Q67=""),"",IFERROR(R67/Q67-1,""))</f>
        <v/>
      </c>
      <c r="S69" s="15">
        <f>IF(OR(S67="",R67=""),"",IFERROR(S67/R67-1,""))</f>
        <v/>
      </c>
      <c r="T69" s="15">
        <f>IF(OR(T67="",S67=""),"",IFERROR(T67/S67-1,""))</f>
        <v/>
      </c>
      <c r="U69" s="15">
        <f>IF(OR(U67="",T67=""),"",IFERROR(U67/T67-1,""))</f>
        <v/>
      </c>
      <c r="V69" s="15">
        <f>IF(OR(V67="",U67=""),"",IFERROR(V67/U67-1,""))</f>
        <v/>
      </c>
      <c r="W69" s="15">
        <f>IF(OR(W67="",V67=""),"",IFERROR(W67/V67-1,""))</f>
        <v/>
      </c>
      <c r="X69" s="15">
        <f>IF(OR(X67="",W67=""),"",IFERROR(X67/W67-1,""))</f>
        <v/>
      </c>
      <c r="Y69" s="14">
        <f>IF(OR(Y67="",X67=""),"",IFERROR(Y67/X67-1,""))</f>
        <v/>
      </c>
      <c r="Z69" s="15">
        <f>IF(OR(Z67="",Y67=""),"",IFERROR(Z67/Y67-1,""))</f>
        <v/>
      </c>
      <c r="AA69" s="15">
        <f>IF(OR(AA67="",Z67=""),"",IFERROR(AA67/Z67-1,""))</f>
        <v/>
      </c>
      <c r="AB69" s="15">
        <f>IF(OR(AB67="",AA67=""),"",IFERROR(AB67/AA67-1,""))</f>
        <v/>
      </c>
      <c r="AC69" s="15">
        <f>IF(OR(AC67="",AB67=""),"",IFERROR(AC67/AB67-1,""))</f>
        <v/>
      </c>
    </row>
    <row r="70">
      <c r="A70" s="16" t="inlineStr">
        <is>
          <t>매출원가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전체 매출원가</t>
        </is>
      </c>
      <c r="B71" s="10" t="n"/>
      <c r="C71" s="19" t="n">
        <v>118800</v>
      </c>
      <c r="D71" s="20" t="n">
        <v>117640</v>
      </c>
      <c r="E71" s="20" t="n">
        <v>105509</v>
      </c>
      <c r="F71" s="20" t="n">
        <v>124286</v>
      </c>
      <c r="G71" s="20" t="n">
        <v>118103</v>
      </c>
      <c r="H71" s="20" t="n">
        <v>122488</v>
      </c>
      <c r="I71" s="20" t="n">
        <v>107129</v>
      </c>
      <c r="J71" s="20" t="n">
        <v>118618</v>
      </c>
      <c r="K71" s="20" t="n">
        <v>126134</v>
      </c>
      <c r="L71" s="20" t="n">
        <v>122980</v>
      </c>
      <c r="M71" s="20" t="n">
        <v>109109</v>
      </c>
      <c r="N71" s="20" t="n">
        <v>123313</v>
      </c>
      <c r="O71" s="19" t="n">
        <v>348407</v>
      </c>
      <c r="P71" s="20" t="n">
        <v>368148</v>
      </c>
      <c r="Q71" s="20" t="n">
        <v>371565</v>
      </c>
      <c r="R71" s="20" t="n">
        <v>383152</v>
      </c>
      <c r="S71" s="20" t="n">
        <v>367242</v>
      </c>
      <c r="T71" s="20" t="n">
        <v>408382</v>
      </c>
      <c r="U71" s="20" t="n">
        <v>458217</v>
      </c>
      <c r="V71" s="20" t="n">
        <v>463284</v>
      </c>
      <c r="W71" s="20" t="n">
        <v>470386</v>
      </c>
      <c r="X71" s="20" t="n">
        <v>474861</v>
      </c>
      <c r="Y71" s="19" t="n"/>
      <c r="Z71" s="20" t="n"/>
      <c r="AA71" s="20" t="n"/>
      <c r="AB71" s="20" t="n"/>
      <c r="AC71" s="20" t="n"/>
    </row>
    <row r="72">
      <c r="A72" s="13" t="inlineStr">
        <is>
          <t>YoY</t>
        </is>
      </c>
      <c r="B72" s="10" t="n"/>
      <c r="C72" s="14" t="n"/>
      <c r="D72" s="15" t="n"/>
      <c r="E72" s="15" t="n"/>
      <c r="F72" s="15" t="n"/>
      <c r="G72" s="15">
        <f>IF(OR(G71="",C71=""),"",IF(C71&lt;=0,"",IFERROR(G71/C71-1,"")))</f>
        <v/>
      </c>
      <c r="H72" s="15">
        <f>IF(OR(H71="",D71=""),"",IF(D71&lt;=0,"",IFERROR(H71/D71-1,"")))</f>
        <v/>
      </c>
      <c r="I72" s="15">
        <f>IF(OR(I71="",E71=""),"",IF(E71&lt;=0,"",IFERROR(I71/E71-1,"")))</f>
        <v/>
      </c>
      <c r="J72" s="15">
        <f>IF(OR(J71="",F71=""),"",IF(F71&lt;=0,"",IFERROR(J71/F71-1,"")))</f>
        <v/>
      </c>
      <c r="K72" s="15">
        <f>IF(OR(K71="",G71=""),"",IF(G71&lt;=0,"",IFERROR(K71/G71-1,"")))</f>
        <v/>
      </c>
      <c r="L72" s="15">
        <f>IF(OR(L71="",H71=""),"",IF(H71&lt;=0,"",IFERROR(L71/H71-1,"")))</f>
        <v/>
      </c>
      <c r="M72" s="15">
        <f>IF(OR(M71="",I71=""),"",IF(I71&lt;=0,"",IFERROR(M71/I71-1,"")))</f>
        <v/>
      </c>
      <c r="N72" s="15">
        <f>IF(OR(N71="",J71=""),"",IF(J71&lt;=0,"",IFERROR(N71/J71-1,"")))</f>
        <v/>
      </c>
      <c r="O72" s="14" t="n"/>
      <c r="P72" s="15">
        <f>IF(OR(P71="",O71=""),"",IF(O71&lt;=0,"",IFERROR(P71/O71-1,"")))</f>
        <v/>
      </c>
      <c r="Q72" s="15">
        <f>IF(OR(Q71="",P71=""),"",IF(P71&lt;=0,"",IFERROR(Q71/P71-1,"")))</f>
        <v/>
      </c>
      <c r="R72" s="15">
        <f>IF(OR(R71="",Q71=""),"",IF(Q71&lt;=0,"",IFERROR(R71/Q71-1,"")))</f>
        <v/>
      </c>
      <c r="S72" s="15">
        <f>IF(OR(S71="",R71=""),"",IF(R71&lt;=0,"",IFERROR(S71/R71-1,"")))</f>
        <v/>
      </c>
      <c r="T72" s="15">
        <f>IF(OR(T71="",S71=""),"",IF(S71&lt;=0,"",IFERROR(T71/S71-1,"")))</f>
        <v/>
      </c>
      <c r="U72" s="15">
        <f>IF(OR(U71="",T71=""),"",IF(T71&lt;=0,"",IFERROR(U71/T71-1,"")))</f>
        <v/>
      </c>
      <c r="V72" s="15">
        <f>IF(OR(V71="",U71=""),"",IF(U71&lt;=0,"",IFERROR(V71/U71-1,"")))</f>
        <v/>
      </c>
      <c r="W72" s="15">
        <f>IF(OR(W71="",V71=""),"",IF(V71&lt;=0,"",IFERROR(W71/V71-1,"")))</f>
        <v/>
      </c>
      <c r="X72" s="15">
        <f>IF(OR(X71="",W71=""),"",IF(W71&lt;=0,"",IFERROR(X71/W71-1,"")))</f>
        <v/>
      </c>
      <c r="Y72" s="14">
        <f>IF(OR(Y71="",X71=""),"",IF(X71&lt;=0,"",IFERROR(Y71/X71-1,"")))</f>
        <v/>
      </c>
      <c r="Z72" s="15">
        <f>IF(OR(Z71="",Y71=""),"",IF(Y71&lt;=0,"",IFERROR(Z71/Y71-1,"")))</f>
        <v/>
      </c>
      <c r="AA72" s="15">
        <f>IF(OR(AA71="",Z71=""),"",IF(Z71&lt;=0,"",IFERROR(AA71/Z71-1,"")))</f>
        <v/>
      </c>
      <c r="AB72" s="15">
        <f>IF(OR(AB71="",AA71=""),"",IF(AA71&lt;=0,"",IFERROR(AB71/AA71-1,"")))</f>
        <v/>
      </c>
      <c r="AC72" s="15">
        <f>IF(OR(AC71="",AB71=""),"",IF(AB71&lt;=0,"",IFERROR(AC71/AB71-1,"")))</f>
        <v/>
      </c>
    </row>
    <row r="73">
      <c r="A73" s="18" t="inlineStr">
        <is>
          <t>매출총이익</t>
        </is>
      </c>
      <c r="B73" s="10" t="n"/>
      <c r="C73" s="19">
        <f>IF(OR(C4="",C71=""),"",IFERROR(C4-C71,""))</f>
        <v/>
      </c>
      <c r="D73" s="20">
        <f>IF(OR(D4="",D71=""),"",IFERROR(D4-D71,""))</f>
        <v/>
      </c>
      <c r="E73" s="20">
        <f>IF(OR(E4="",E71=""),"",IFERROR(E4-E71,""))</f>
        <v/>
      </c>
      <c r="F73" s="20">
        <f>IF(OR(F4="",F71=""),"",IFERROR(F4-F71,""))</f>
        <v/>
      </c>
      <c r="G73" s="20">
        <f>IF(OR(G4="",G71=""),"",IFERROR(G4-G71,""))</f>
        <v/>
      </c>
      <c r="H73" s="20">
        <f>IF(OR(H4="",H71=""),"",IFERROR(H4-H71,""))</f>
        <v/>
      </c>
      <c r="I73" s="20">
        <f>IF(OR(I4="",I71=""),"",IFERROR(I4-I71,""))</f>
        <v/>
      </c>
      <c r="J73" s="20">
        <f>IF(OR(J4="",J71=""),"",IFERROR(J4-J71,""))</f>
        <v/>
      </c>
      <c r="K73" s="20">
        <f>IF(OR(K4="",K71=""),"",IFERROR(K4-K71,""))</f>
        <v/>
      </c>
      <c r="L73" s="20">
        <f>IF(OR(L4="",L71=""),"",IFERROR(L4-L71,""))</f>
        <v/>
      </c>
      <c r="M73" s="20">
        <f>IF(OR(M4="",M71=""),"",IFERROR(M4-M71,""))</f>
        <v/>
      </c>
      <c r="N73" s="20">
        <f>IF(OR(N4="",N71=""),"",IFERROR(N4-N71,""))</f>
        <v/>
      </c>
      <c r="O73" s="19">
        <f>IF(OR(O4="",O71=""),"",IFERROR(O4-O71,""))</f>
        <v/>
      </c>
      <c r="P73" s="20">
        <f>IF(OR(P4="",P71=""),"",IFERROR(P4-P71,""))</f>
        <v/>
      </c>
      <c r="Q73" s="20">
        <f>IF(OR(Q4="",Q71=""),"",IFERROR(Q4-Q71,""))</f>
        <v/>
      </c>
      <c r="R73" s="20">
        <f>IF(OR(R4="",R71=""),"",IFERROR(R4-R71,""))</f>
        <v/>
      </c>
      <c r="S73" s="20">
        <f>IF(OR(S4="",S71=""),"",IFERROR(S4-S71,""))</f>
        <v/>
      </c>
      <c r="T73" s="20">
        <f>IF(OR(T4="",T71=""),"",IFERROR(T4-T71,""))</f>
        <v/>
      </c>
      <c r="U73" s="20">
        <f>IF(OR(U4="",U71=""),"",IFERROR(U4-U71,""))</f>
        <v/>
      </c>
      <c r="V73" s="20">
        <f>IF(OR(V4="",V71=""),"",IFERROR(V4-V71,""))</f>
        <v/>
      </c>
      <c r="W73" s="20">
        <f>IF(OR(W4="",W71=""),"",IFERROR(W4-W71,""))</f>
        <v/>
      </c>
      <c r="X73" s="20">
        <f>IF(OR(X4="",X71=""),"",IFERROR(X4-X71,""))</f>
        <v/>
      </c>
      <c r="Y73" s="19" t="n"/>
      <c r="Z73" s="20" t="n"/>
      <c r="AA73" s="20" t="n"/>
      <c r="AB73" s="20" t="n"/>
      <c r="AC73" s="20" t="n"/>
    </row>
    <row r="74">
      <c r="A74" s="13" t="inlineStr">
        <is>
          <t>GPM</t>
        </is>
      </c>
      <c r="B74" s="10" t="n"/>
      <c r="C74" s="14">
        <f>IF(OR(C73="",C4=""),"",IFERROR(C73/C4,""))</f>
        <v/>
      </c>
      <c r="D74" s="15">
        <f>IF(OR(D73="",D4=""),"",IFERROR(D73/D4,""))</f>
        <v/>
      </c>
      <c r="E74" s="15">
        <f>IF(OR(E73="",E4=""),"",IFERROR(E73/E4,""))</f>
        <v/>
      </c>
      <c r="F74" s="15">
        <f>IF(OR(F73="",F4=""),"",IFERROR(F73/F4,""))</f>
        <v/>
      </c>
      <c r="G74" s="15">
        <f>IF(OR(G73="",G4=""),"",IFERROR(G73/G4,""))</f>
        <v/>
      </c>
      <c r="H74" s="15">
        <f>IF(OR(H73="",H4=""),"",IFERROR(H73/H4,""))</f>
        <v/>
      </c>
      <c r="I74" s="15">
        <f>IF(OR(I73="",I4=""),"",IFERROR(I73/I4,""))</f>
        <v/>
      </c>
      <c r="J74" s="15">
        <f>IF(OR(J73="",J4=""),"",IFERROR(J73/J4,""))</f>
        <v/>
      </c>
      <c r="K74" s="15">
        <f>IF(OR(K73="",K4=""),"",IFERROR(K73/K4,""))</f>
        <v/>
      </c>
      <c r="L74" s="15">
        <f>IF(OR(L73="",L4=""),"",IFERROR(L73/L4,""))</f>
        <v/>
      </c>
      <c r="M74" s="15">
        <f>IF(OR(M73="",M4=""),"",IFERROR(M73/M4,""))</f>
        <v/>
      </c>
      <c r="N74" s="15">
        <f>IF(OR(N73="",N4=""),"",IFERROR(N73/N4,""))</f>
        <v/>
      </c>
      <c r="O74" s="14">
        <f>IF(OR(O73="",O4=""),"",IFERROR(O73/O4,""))</f>
        <v/>
      </c>
      <c r="P74" s="15">
        <f>IF(OR(P73="",P4=""),"",IFERROR(P73/P4,""))</f>
        <v/>
      </c>
      <c r="Q74" s="15">
        <f>IF(OR(Q73="",Q4=""),"",IFERROR(Q73/Q4,""))</f>
        <v/>
      </c>
      <c r="R74" s="15">
        <f>IF(OR(R73="",R4=""),"",IFERROR(R73/R4,""))</f>
        <v/>
      </c>
      <c r="S74" s="15">
        <f>IF(OR(S73="",S4=""),"",IFERROR(S73/S4,""))</f>
        <v/>
      </c>
      <c r="T74" s="15">
        <f>IF(OR(T73="",T4=""),"",IFERROR(T73/T4,""))</f>
        <v/>
      </c>
      <c r="U74" s="15">
        <f>IF(OR(U73="",U4=""),"",IFERROR(U73/U4,""))</f>
        <v/>
      </c>
      <c r="V74" s="15">
        <f>IF(OR(V73="",V4=""),"",IFERROR(V73/V4,""))</f>
        <v/>
      </c>
      <c r="W74" s="15">
        <f>IF(OR(W73="",W4=""),"",IFERROR(W73/W4,""))</f>
        <v/>
      </c>
      <c r="X74" s="15">
        <f>IF(OR(X73="",X4=""),"",IFERROR(X73/X4,""))</f>
        <v/>
      </c>
      <c r="Y74" s="14">
        <f>IF(OR(Y73="",Y4=""),"",IFERROR(Y73/Y4,""))</f>
        <v/>
      </c>
      <c r="Z74" s="15">
        <f>IF(OR(Z73="",Z4=""),"",IFERROR(Z73/Z4,""))</f>
        <v/>
      </c>
      <c r="AA74" s="15">
        <f>IF(OR(AA73="",AA4=""),"",IFERROR(AA73/AA4,""))</f>
        <v/>
      </c>
      <c r="AB74" s="15">
        <f>IF(OR(AB73="",AB4=""),"",IFERROR(AB73/AB4,""))</f>
        <v/>
      </c>
      <c r="AC74" s="15">
        <f>IF(OR(AC73="",AC4=""),"",IFERROR(AC73/AC4,""))</f>
        <v/>
      </c>
    </row>
    <row r="75">
      <c r="A75" s="13" t="inlineStr">
        <is>
          <t>YoY</t>
        </is>
      </c>
      <c r="B75" s="10" t="n"/>
      <c r="C75" s="14" t="n"/>
      <c r="D75" s="15" t="n"/>
      <c r="E75" s="15" t="n"/>
      <c r="F75" s="15" t="n"/>
      <c r="G75" s="15">
        <f>IF(OR(G73="",C73=""),"",IF(C73&lt;=0,"",IFERROR(G73/C73-1,"")))</f>
        <v/>
      </c>
      <c r="H75" s="15">
        <f>IF(OR(H73="",D73=""),"",IF(D73&lt;=0,"",IFERROR(H73/D73-1,"")))</f>
        <v/>
      </c>
      <c r="I75" s="15">
        <f>IF(OR(I73="",E73=""),"",IF(E73&lt;=0,"",IFERROR(I73/E73-1,"")))</f>
        <v/>
      </c>
      <c r="J75" s="15">
        <f>IF(OR(J73="",F73=""),"",IF(F73&lt;=0,"",IFERROR(J73/F73-1,"")))</f>
        <v/>
      </c>
      <c r="K75" s="15">
        <f>IF(OR(K73="",G73=""),"",IF(G73&lt;=0,"",IFERROR(K73/G73-1,"")))</f>
        <v/>
      </c>
      <c r="L75" s="15">
        <f>IF(OR(L73="",H73=""),"",IF(H73&lt;=0,"",IFERROR(L73/H73-1,"")))</f>
        <v/>
      </c>
      <c r="M75" s="15">
        <f>IF(OR(M73="",I73=""),"",IF(I73&lt;=0,"",IFERROR(M73/I73-1,"")))</f>
        <v/>
      </c>
      <c r="N75" s="15">
        <f>IF(OR(N73="",J73=""),"",IF(J73&lt;=0,"",IFERROR(N73/J73-1,"")))</f>
        <v/>
      </c>
      <c r="O75" s="14" t="n"/>
      <c r="P75" s="15">
        <f>IF(OR(P73="",O73=""),"",IF(O73&lt;=0,"",IFERROR(P73/O73-1,"")))</f>
        <v/>
      </c>
      <c r="Q75" s="15">
        <f>IF(OR(Q73="",P73=""),"",IF(P73&lt;=0,"",IFERROR(Q73/P73-1,"")))</f>
        <v/>
      </c>
      <c r="R75" s="15">
        <f>IF(OR(R73="",Q73=""),"",IF(Q73&lt;=0,"",IFERROR(R73/Q73-1,"")))</f>
        <v/>
      </c>
      <c r="S75" s="15">
        <f>IF(OR(S73="",R73=""),"",IF(R73&lt;=0,"",IFERROR(S73/R73-1,"")))</f>
        <v/>
      </c>
      <c r="T75" s="15">
        <f>IF(OR(T73="",S73=""),"",IF(S73&lt;=0,"",IFERROR(T73/S73-1,"")))</f>
        <v/>
      </c>
      <c r="U75" s="15">
        <f>IF(OR(U73="",T73=""),"",IF(T73&lt;=0,"",IFERROR(U73/T73-1,"")))</f>
        <v/>
      </c>
      <c r="V75" s="15">
        <f>IF(OR(V73="",U73=""),"",IF(U73&lt;=0,"",IFERROR(V73/U73-1,"")))</f>
        <v/>
      </c>
      <c r="W75" s="15">
        <f>IF(OR(W73="",V73=""),"",IF(V73&lt;=0,"",IFERROR(W73/V73-1,"")))</f>
        <v/>
      </c>
      <c r="X75" s="15">
        <f>IF(OR(X73="",W73=""),"",IF(W73&lt;=0,"",IFERROR(X73/W73-1,"")))</f>
        <v/>
      </c>
      <c r="Y75" s="14">
        <f>IF(OR(Y73="",X73=""),"",IF(X73&lt;=0,"",IFERROR(Y73/X73-1,"")))</f>
        <v/>
      </c>
      <c r="Z75" s="15">
        <f>IF(OR(Z73="",Y73=""),"",IF(Y73&lt;=0,"",IFERROR(Z73/Y73-1,"")))</f>
        <v/>
      </c>
      <c r="AA75" s="15">
        <f>IF(OR(AA73="",Z73=""),"",IF(Z73&lt;=0,"",IFERROR(AA73/Z73-1,"")))</f>
        <v/>
      </c>
      <c r="AB75" s="15">
        <f>IF(OR(AB73="",AA73=""),"",IF(AA73&lt;=0,"",IFERROR(AB73/AA73-1,"")))</f>
        <v/>
      </c>
      <c r="AC75" s="15">
        <f>IF(OR(AC73="",AB73=""),"",IF(AB73&lt;=0,"",IFERROR(AC73/AB73-1,"")))</f>
        <v/>
      </c>
    </row>
    <row r="76">
      <c r="A76" s="23" t="inlineStr">
        <is>
          <t>판매관리비</t>
        </is>
      </c>
      <c r="B76" s="23" t="n"/>
      <c r="C76" s="24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4" t="n"/>
      <c r="Z76" s="23" t="n"/>
      <c r="AA76" s="23" t="n"/>
      <c r="AB76" s="23" t="n"/>
      <c r="AC76" s="23" t="n"/>
    </row>
    <row r="77">
      <c r="A77" s="18" t="inlineStr">
        <is>
          <t>전체 판관비</t>
        </is>
      </c>
      <c r="B77" s="10" t="n"/>
      <c r="C77" s="19" t="n">
        <v>48584</v>
      </c>
      <c r="D77" s="20" t="n">
        <v>50022</v>
      </c>
      <c r="E77" s="20" t="n">
        <v>49203</v>
      </c>
      <c r="F77" s="20" t="n">
        <v>52594</v>
      </c>
      <c r="G77" s="20" t="n">
        <v>51102</v>
      </c>
      <c r="H77" s="20" t="n">
        <v>52689</v>
      </c>
      <c r="I77" s="20" t="n">
        <v>50410</v>
      </c>
      <c r="J77" s="20" t="n">
        <v>52433</v>
      </c>
      <c r="K77" s="20" t="n">
        <v>51955</v>
      </c>
      <c r="L77" s="20" t="n">
        <v>54022</v>
      </c>
      <c r="M77" s="20" t="n">
        <v>51427</v>
      </c>
      <c r="N77" s="20" t="n">
        <v>55642</v>
      </c>
      <c r="O77" s="19" t="n">
        <v>171451</v>
      </c>
      <c r="P77" s="20" t="n">
        <v>171550</v>
      </c>
      <c r="Q77" s="20" t="n">
        <v>174354</v>
      </c>
      <c r="R77" s="20" t="n">
        <v>176584</v>
      </c>
      <c r="S77" s="20" t="n">
        <v>170940</v>
      </c>
      <c r="T77" s="20" t="n">
        <v>184710</v>
      </c>
      <c r="U77" s="20" t="n">
        <v>193848</v>
      </c>
      <c r="V77" s="20" t="n">
        <v>196233</v>
      </c>
      <c r="W77" s="20" t="n">
        <v>205588</v>
      </c>
      <c r="X77" s="20" t="n">
        <v>208820</v>
      </c>
      <c r="Y77" s="19" t="n"/>
      <c r="Z77" s="20" t="n"/>
      <c r="AA77" s="20" t="n"/>
      <c r="AB77" s="20" t="n"/>
      <c r="AC77" s="20" t="n"/>
    </row>
    <row r="78">
      <c r="A78" s="13" t="inlineStr">
        <is>
          <t>YoY</t>
        </is>
      </c>
      <c r="B78" s="10" t="n"/>
      <c r="C78" s="14" t="n"/>
      <c r="D78" s="15" t="n"/>
      <c r="E78" s="15" t="n"/>
      <c r="F78" s="15" t="n"/>
      <c r="G78" s="15">
        <f>IF(OR(G77="",C77=""),"",IF(C77&lt;=0,"",IFERROR(G77/C77-1,"")))</f>
        <v/>
      </c>
      <c r="H78" s="15">
        <f>IF(OR(H77="",D77=""),"",IF(D77&lt;=0,"",IFERROR(H77/D77-1,"")))</f>
        <v/>
      </c>
      <c r="I78" s="15">
        <f>IF(OR(I77="",E77=""),"",IF(E77&lt;=0,"",IFERROR(I77/E77-1,"")))</f>
        <v/>
      </c>
      <c r="J78" s="15">
        <f>IF(OR(J77="",F77=""),"",IF(F77&lt;=0,"",IFERROR(J77/F77-1,"")))</f>
        <v/>
      </c>
      <c r="K78" s="15">
        <f>IF(OR(K77="",G77=""),"",IF(G77&lt;=0,"",IFERROR(K77/G77-1,"")))</f>
        <v/>
      </c>
      <c r="L78" s="15">
        <f>IF(OR(L77="",H77=""),"",IF(H77&lt;=0,"",IFERROR(L77/H77-1,"")))</f>
        <v/>
      </c>
      <c r="M78" s="15">
        <f>IF(OR(M77="",I77=""),"",IF(I77&lt;=0,"",IFERROR(M77/I77-1,"")))</f>
        <v/>
      </c>
      <c r="N78" s="15">
        <f>IF(OR(N77="",J77=""),"",IF(J77&lt;=0,"",IFERROR(N77/J77-1,"")))</f>
        <v/>
      </c>
      <c r="O78" s="14" t="n"/>
      <c r="P78" s="15">
        <f>IF(OR(P77="",O77=""),"",IF(O77&lt;=0,"",IFERROR(P77/O77-1,"")))</f>
        <v/>
      </c>
      <c r="Q78" s="15">
        <f>IF(OR(Q77="",P77=""),"",IF(P77&lt;=0,"",IFERROR(Q77/P77-1,"")))</f>
        <v/>
      </c>
      <c r="R78" s="15">
        <f>IF(OR(R77="",Q77=""),"",IF(Q77&lt;=0,"",IFERROR(R77/Q77-1,"")))</f>
        <v/>
      </c>
      <c r="S78" s="15">
        <f>IF(OR(S77="",R77=""),"",IF(R77&lt;=0,"",IFERROR(S77/R77-1,"")))</f>
        <v/>
      </c>
      <c r="T78" s="15">
        <f>IF(OR(T77="",S77=""),"",IF(S77&lt;=0,"",IFERROR(T77/S77-1,"")))</f>
        <v/>
      </c>
      <c r="U78" s="15">
        <f>IF(OR(U77="",T77=""),"",IF(T77&lt;=0,"",IFERROR(U77/T77-1,"")))</f>
        <v/>
      </c>
      <c r="V78" s="15">
        <f>IF(OR(V77="",U77=""),"",IF(U77&lt;=0,"",IFERROR(V77/U77-1,"")))</f>
        <v/>
      </c>
      <c r="W78" s="15">
        <f>IF(OR(W77="",V77=""),"",IF(V77&lt;=0,"",IFERROR(W77/V77-1,"")))</f>
        <v/>
      </c>
      <c r="X78" s="15">
        <f>IF(OR(X77="",W77=""),"",IF(W77&lt;=0,"",IFERROR(X77/W77-1,"")))</f>
        <v/>
      </c>
      <c r="Y78" s="14">
        <f>IF(OR(Y77="",X77=""),"",IF(X77&lt;=0,"",IFERROR(Y77/X77-1,"")))</f>
        <v/>
      </c>
      <c r="Z78" s="15">
        <f>IF(OR(Z77="",Y77=""),"",IF(Y77&lt;=0,"",IFERROR(Z77/Y77-1,"")))</f>
        <v/>
      </c>
      <c r="AA78" s="15">
        <f>IF(OR(AA77="",Z77=""),"",IF(Z77&lt;=0,"",IFERROR(AA77/Z77-1,"")))</f>
        <v/>
      </c>
      <c r="AB78" s="15">
        <f>IF(OR(AB77="",AA77=""),"",IF(AA77&lt;=0,"",IFERROR(AB77/AA77-1,"")))</f>
        <v/>
      </c>
      <c r="AC78" s="15">
        <f>IF(OR(AC77="",AB77=""),"",IF(AB77&lt;=0,"",IFERROR(AC77/AB77-1,"")))</f>
        <v/>
      </c>
    </row>
    <row r="79">
      <c r="A79" s="9" t="inlineStr">
        <is>
          <t>영업이익</t>
        </is>
      </c>
      <c r="B79" s="10" t="inlineStr">
        <is>
          <t>MW = 매출 × OPM</t>
        </is>
      </c>
      <c r="C79" s="11" t="n">
        <v>17640</v>
      </c>
      <c r="D79" s="12" t="n">
        <v>9857</v>
      </c>
      <c r="E79" s="12" t="n">
        <v>9800</v>
      </c>
      <c r="F79" s="12" t="n">
        <v>14342</v>
      </c>
      <c r="G79" s="12" t="n">
        <v>17364</v>
      </c>
      <c r="H79" s="12" t="n">
        <v>6973</v>
      </c>
      <c r="I79" s="12" t="n">
        <v>8207</v>
      </c>
      <c r="J79" s="12" t="n">
        <v>12574</v>
      </c>
      <c r="K79" s="12" t="n">
        <v>19638</v>
      </c>
      <c r="L79" s="12" t="n">
        <v>13340</v>
      </c>
      <c r="M79" s="12" t="n">
        <v>8073</v>
      </c>
      <c r="N79" s="12" t="n">
        <v>17109</v>
      </c>
      <c r="O79" s="11" t="n">
        <v>47446</v>
      </c>
      <c r="P79" s="12" t="n">
        <v>52602</v>
      </c>
      <c r="Q79" s="12" t="n">
        <v>40167</v>
      </c>
      <c r="R79" s="12" t="n">
        <v>36760</v>
      </c>
      <c r="S79" s="12" t="n">
        <v>39656</v>
      </c>
      <c r="T79" s="12" t="n">
        <v>52180</v>
      </c>
      <c r="U79" s="12" t="n">
        <v>49121</v>
      </c>
      <c r="V79" s="12" t="n">
        <v>42766</v>
      </c>
      <c r="W79" s="12" t="n">
        <v>48479</v>
      </c>
      <c r="X79" s="12" t="n">
        <v>53759</v>
      </c>
      <c r="Y79" s="11">
        <f>IF(OR(Y4="",Y80=""),"",IFERROR(Y4*Y80,""))</f>
        <v/>
      </c>
      <c r="Z79" s="12">
        <f>IF(OR(Z4="",Z80=""),"",IFERROR(Z4*Z80,""))</f>
        <v/>
      </c>
      <c r="AA79" s="12">
        <f>IF(OR(AA4="",AA80=""),"",IFERROR(AA4*AA80,""))</f>
        <v/>
      </c>
      <c r="AB79" s="12">
        <f>IF(OR(AB4="",AB80=""),"",IFERROR(AB4*AB80,""))</f>
        <v/>
      </c>
      <c r="AC79" s="12">
        <f>IF(OR(AC4="",AC80=""),"",IFERROR(AC4*AC80,""))</f>
        <v/>
      </c>
    </row>
    <row r="80">
      <c r="A80" s="13" t="inlineStr">
        <is>
          <t>OPM</t>
        </is>
      </c>
      <c r="B80" s="10" t="inlineStr">
        <is>
          <t>MW 입력</t>
        </is>
      </c>
      <c r="C80" s="14">
        <f>IF(OR(C79="",C4=""),"",IFERROR(C79/C4,""))</f>
        <v/>
      </c>
      <c r="D80" s="15">
        <f>IF(OR(D79="",D4=""),"",IFERROR(D79/D4,""))</f>
        <v/>
      </c>
      <c r="E80" s="15">
        <f>IF(OR(E79="",E4=""),"",IFERROR(E79/E4,""))</f>
        <v/>
      </c>
      <c r="F80" s="15">
        <f>IF(OR(F79="",F4=""),"",IFERROR(F79/F4,""))</f>
        <v/>
      </c>
      <c r="G80" s="15">
        <f>IF(OR(G79="",G4=""),"",IFERROR(G79/G4,""))</f>
        <v/>
      </c>
      <c r="H80" s="15">
        <f>IF(OR(H79="",H4=""),"",IFERROR(H79/H4,""))</f>
        <v/>
      </c>
      <c r="I80" s="15">
        <f>IF(OR(I79="",I4=""),"",IFERROR(I79/I4,""))</f>
        <v/>
      </c>
      <c r="J80" s="15">
        <f>IF(OR(J79="",J4=""),"",IFERROR(J79/J4,""))</f>
        <v/>
      </c>
      <c r="K80" s="15">
        <f>IF(OR(K79="",K4=""),"",IFERROR(K79/K4,""))</f>
        <v/>
      </c>
      <c r="L80" s="15">
        <f>IF(OR(L79="",L4=""),"",IFERROR(L79/L4,""))</f>
        <v/>
      </c>
      <c r="M80" s="15">
        <f>IF(OR(M79="",M4=""),"",IFERROR(M79/M4,""))</f>
        <v/>
      </c>
      <c r="N80" s="15">
        <f>IF(OR(N79="",N4=""),"",IFERROR(N79/N4,""))</f>
        <v/>
      </c>
      <c r="O80" s="14">
        <f>IF(OR(O79="",O4=""),"",IFERROR(O79/O4,""))</f>
        <v/>
      </c>
      <c r="P80" s="15">
        <f>IF(OR(P79="",P4=""),"",IFERROR(P79/P4,""))</f>
        <v/>
      </c>
      <c r="Q80" s="15">
        <f>IF(OR(Q79="",Q4=""),"",IFERROR(Q79/Q4,""))</f>
        <v/>
      </c>
      <c r="R80" s="15">
        <f>IF(OR(R79="",R4=""),"",IFERROR(R79/R4,""))</f>
        <v/>
      </c>
      <c r="S80" s="15">
        <f>IF(OR(S79="",S4=""),"",IFERROR(S79/S4,""))</f>
        <v/>
      </c>
      <c r="T80" s="15">
        <f>IF(OR(T79="",T4=""),"",IFERROR(T79/T4,""))</f>
        <v/>
      </c>
      <c r="U80" s="15">
        <f>IF(OR(U79="",U4=""),"",IFERROR(U79/U4,""))</f>
        <v/>
      </c>
      <c r="V80" s="15">
        <f>IF(OR(V79="",V4=""),"",IFERROR(V79/V4,""))</f>
        <v/>
      </c>
      <c r="W80" s="15">
        <f>IF(OR(W79="",W4=""),"",IFERROR(W79/W4,""))</f>
        <v/>
      </c>
      <c r="X80" s="15">
        <f>IF(OR(X79="",X4=""),"",IFERROR(X79/X4,""))</f>
        <v/>
      </c>
      <c r="Y80" s="25" t="n"/>
      <c r="Z80" s="26" t="n"/>
      <c r="AA80" s="26" t="n"/>
      <c r="AB80" s="26" t="n"/>
      <c r="AC80" s="26" t="n"/>
    </row>
    <row r="81">
      <c r="A81" s="13" t="inlineStr">
        <is>
          <t>증가율</t>
        </is>
      </c>
      <c r="B81" s="10" t="n"/>
      <c r="C81" s="14" t="n"/>
      <c r="D81" s="15" t="n"/>
      <c r="E81" s="15" t="n"/>
      <c r="F81" s="15" t="n"/>
      <c r="G81" s="15">
        <f>IF(OR(G79="",C79=""),"",IFERROR(G79/C79-1,""))</f>
        <v/>
      </c>
      <c r="H81" s="15">
        <f>IF(OR(H79="",D79=""),"",IFERROR(H79/D79-1,""))</f>
        <v/>
      </c>
      <c r="I81" s="15">
        <f>IF(OR(I79="",E79=""),"",IFERROR(I79/E79-1,""))</f>
        <v/>
      </c>
      <c r="J81" s="15">
        <f>IF(OR(J79="",F79=""),"",IFERROR(J79/F79-1,""))</f>
        <v/>
      </c>
      <c r="K81" s="15">
        <f>IF(OR(K79="",G79=""),"",IFERROR(K79/G79-1,""))</f>
        <v/>
      </c>
      <c r="L81" s="15">
        <f>IF(OR(L79="",H79=""),"",IFERROR(L79/H79-1,""))</f>
        <v/>
      </c>
      <c r="M81" s="15">
        <f>IF(OR(M79="",I79=""),"",IFERROR(M79/I79-1,""))</f>
        <v/>
      </c>
      <c r="N81" s="15">
        <f>IF(OR(N79="",J79=""),"",IFERROR(N79/J79-1,""))</f>
        <v/>
      </c>
      <c r="O81" s="14" t="n"/>
      <c r="P81" s="15">
        <f>IF(OR(P79="",O79=""),"",IFERROR(P79/O79-1,""))</f>
        <v/>
      </c>
      <c r="Q81" s="15">
        <f>IF(OR(Q79="",P79=""),"",IFERROR(Q79/P79-1,""))</f>
        <v/>
      </c>
      <c r="R81" s="15">
        <f>IF(OR(R79="",Q79=""),"",IFERROR(R79/Q79-1,""))</f>
        <v/>
      </c>
      <c r="S81" s="15">
        <f>IF(OR(S79="",R79=""),"",IFERROR(S79/R79-1,""))</f>
        <v/>
      </c>
      <c r="T81" s="15">
        <f>IF(OR(T79="",S79=""),"",IFERROR(T79/S79-1,""))</f>
        <v/>
      </c>
      <c r="U81" s="15">
        <f>IF(OR(U79="",T79=""),"",IFERROR(U79/T79-1,""))</f>
        <v/>
      </c>
      <c r="V81" s="15">
        <f>IF(OR(V79="",U79=""),"",IFERROR(V79/U79-1,""))</f>
        <v/>
      </c>
      <c r="W81" s="15">
        <f>IF(OR(W79="",V79=""),"",IFERROR(W79/V79-1,""))</f>
        <v/>
      </c>
      <c r="X81" s="15">
        <f>IF(OR(X79="",W79=""),"",IFERROR(X79/W79-1,""))</f>
        <v/>
      </c>
      <c r="Y81" s="14">
        <f>IF(OR(Y79="",X79=""),"",IFERROR(Y79/X79-1,""))</f>
        <v/>
      </c>
      <c r="Z81" s="15">
        <f>IF(OR(Z79="",Y79=""),"",IFERROR(Z79/Y79-1,""))</f>
        <v/>
      </c>
      <c r="AA81" s="15">
        <f>IF(OR(AA79="",Z79=""),"",IFERROR(AA79/Z79-1,""))</f>
        <v/>
      </c>
      <c r="AB81" s="15">
        <f>IF(OR(AB79="",AA79=""),"",IFERROR(AB79/AA79-1,""))</f>
        <v/>
      </c>
      <c r="AC81" s="15">
        <f>IF(OR(AC79="",AB79=""),"",IFERROR(AC79/AB79-1,""))</f>
        <v/>
      </c>
    </row>
    <row r="82">
      <c r="A82" s="16" t="inlineStr">
        <is>
          <t>비용의 성격별 분류</t>
        </is>
      </c>
      <c r="B82" s="16" t="inlineStr">
        <is>
          <t>참고 데이터</t>
        </is>
      </c>
      <c r="C82" s="17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7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7" t="n"/>
      <c r="Z82" s="16" t="n"/>
      <c r="AA82" s="16" t="n"/>
      <c r="AB82" s="16" t="n"/>
      <c r="AC82" s="16" t="n"/>
    </row>
    <row r="83">
      <c r="A83" s="9" t="inlineStr">
        <is>
          <t>총 판관비</t>
        </is>
      </c>
      <c r="B83" s="10" t="n"/>
      <c r="C83" s="11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1">
        <f>IF(O77="","",O77)</f>
        <v/>
      </c>
      <c r="P83" s="12">
        <f>IF(P77="","",P77)</f>
        <v/>
      </c>
      <c r="Q83" s="12">
        <f>IF(Q77="","",Q77)</f>
        <v/>
      </c>
      <c r="R83" s="12">
        <f>IF(R77="","",R77)</f>
        <v/>
      </c>
      <c r="S83" s="12">
        <f>IF(S77="","",S77)</f>
        <v/>
      </c>
      <c r="T83" s="12">
        <f>IF(T77="","",T77)</f>
        <v/>
      </c>
      <c r="U83" s="12">
        <f>IF(U77="","",U77)</f>
        <v/>
      </c>
      <c r="V83" s="12">
        <f>IF(V77="","",V77)</f>
        <v/>
      </c>
      <c r="W83" s="12">
        <f>IF(W77="","",W77)</f>
        <v/>
      </c>
      <c r="X83" s="12">
        <f>IF(X77="","",X77)</f>
        <v/>
      </c>
      <c r="Y83" s="11" t="n"/>
      <c r="Z83" s="12" t="n"/>
      <c r="AA83" s="12" t="n"/>
      <c r="AB83" s="12" t="n"/>
      <c r="AC83" s="12" t="n"/>
    </row>
    <row r="84">
      <c r="A84" s="18" t="inlineStr">
        <is>
          <t>급여</t>
        </is>
      </c>
      <c r="B84" s="10" t="inlineStr">
        <is>
          <t>고정비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 t="n"/>
      <c r="Z84" s="20" t="n"/>
      <c r="AA84" s="20" t="n"/>
      <c r="AB84" s="20" t="n"/>
      <c r="AC84" s="20" t="n"/>
    </row>
    <row r="85">
      <c r="A85" s="13" t="inlineStr">
        <is>
          <t>% of Sales</t>
        </is>
      </c>
      <c r="B85" s="10" t="n"/>
      <c r="C85" s="14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4">
        <f>IF(OR(O84="",O4=""),"",IFERROR(O84/O4,""))</f>
        <v/>
      </c>
      <c r="P85" s="15">
        <f>IF(OR(P84="",P4=""),"",IFERROR(P84/P4,""))</f>
        <v/>
      </c>
      <c r="Q85" s="15">
        <f>IF(OR(Q84="",Q4=""),"",IFERROR(Q84/Q4,""))</f>
        <v/>
      </c>
      <c r="R85" s="15">
        <f>IF(OR(R84="",R4=""),"",IFERROR(R84/R4,""))</f>
        <v/>
      </c>
      <c r="S85" s="15">
        <f>IF(OR(S84="",S4=""),"",IFERROR(S84/S4,""))</f>
        <v/>
      </c>
      <c r="T85" s="15">
        <f>IF(OR(T84="",T4=""),"",IFERROR(T84/T4,""))</f>
        <v/>
      </c>
      <c r="U85" s="15">
        <f>IF(OR(U84="",U4=""),"",IFERROR(U84/U4,""))</f>
        <v/>
      </c>
      <c r="V85" s="15">
        <f>IF(OR(V84="",V4=""),"",IFERROR(V84/V4,""))</f>
        <v/>
      </c>
      <c r="W85" s="15">
        <f>IF(OR(W84="",W4=""),"",IFERROR(W84/W4,""))</f>
        <v/>
      </c>
      <c r="X85" s="15">
        <f>IF(OR(X84="",X4=""),"",IFERROR(X84/X4,""))</f>
        <v/>
      </c>
      <c r="Y85" s="14" t="n"/>
      <c r="Z85" s="15" t="n"/>
      <c r="AA85" s="15" t="n"/>
      <c r="AB85" s="15" t="n"/>
      <c r="AC85" s="15" t="n"/>
    </row>
    <row r="86">
      <c r="A86" s="18" t="inlineStr">
        <is>
          <t>감가상각비</t>
        </is>
      </c>
      <c r="B86" s="10" t="inlineStr">
        <is>
          <t>고정비</t>
        </is>
      </c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 t="n"/>
      <c r="Z86" s="20" t="n"/>
      <c r="AA86" s="20" t="n"/>
      <c r="AB86" s="20" t="n"/>
      <c r="AC86" s="20" t="n"/>
    </row>
    <row r="87">
      <c r="A87" s="13" t="inlineStr">
        <is>
          <t>% of Sales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>
        <f>IF(OR(O86="",O4=""),"",IFERROR(O86/O4,""))</f>
        <v/>
      </c>
      <c r="P87" s="15">
        <f>IF(OR(P86="",P4=""),"",IFERROR(P86/P4,""))</f>
        <v/>
      </c>
      <c r="Q87" s="15">
        <f>IF(OR(Q86="",Q4=""),"",IFERROR(Q86/Q4,""))</f>
        <v/>
      </c>
      <c r="R87" s="15">
        <f>IF(OR(R86="",R4=""),"",IFERROR(R86/R4,""))</f>
        <v/>
      </c>
      <c r="S87" s="15">
        <f>IF(OR(S86="",S4=""),"",IFERROR(S86/S4,""))</f>
        <v/>
      </c>
      <c r="T87" s="15">
        <f>IF(OR(T86="",T4=""),"",IFERROR(T86/T4,""))</f>
        <v/>
      </c>
      <c r="U87" s="15">
        <f>IF(OR(U86="",U4=""),"",IFERROR(U86/U4,""))</f>
        <v/>
      </c>
      <c r="V87" s="15">
        <f>IF(OR(V86="",V4=""),"",IFERROR(V86/V4,""))</f>
        <v/>
      </c>
      <c r="W87" s="15">
        <f>IF(OR(W86="",W4=""),"",IFERROR(W86/W4,""))</f>
        <v/>
      </c>
      <c r="X87" s="15">
        <f>IF(OR(X86="",X4=""),"",IFERROR(X86/X4,""))</f>
        <v/>
      </c>
      <c r="Y87" s="14" t="n"/>
      <c r="Z87" s="15" t="n"/>
      <c r="AA87" s="15" t="n"/>
      <c r="AB87" s="15" t="n"/>
      <c r="AC87" s="15" t="n"/>
    </row>
    <row r="88">
      <c r="A88" s="18" t="inlineStr">
        <is>
          <t>지급수수료</t>
        </is>
      </c>
      <c r="B88" s="10" t="inlineStr">
        <is>
          <t>고정비</t>
        </is>
      </c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19" t="n"/>
      <c r="Z88" s="20" t="n"/>
      <c r="AA88" s="20" t="n"/>
      <c r="AB88" s="20" t="n"/>
      <c r="AC88" s="20" t="n"/>
    </row>
    <row r="89">
      <c r="A89" s="13" t="inlineStr">
        <is>
          <t>% of Sales</t>
        </is>
      </c>
      <c r="B89" s="10" t="n"/>
      <c r="C89" s="14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4">
        <f>IF(OR(O88="",O4=""),"",IFERROR(O88/O4,""))</f>
        <v/>
      </c>
      <c r="P89" s="15">
        <f>IF(OR(P88="",P4=""),"",IFERROR(P88/P4,""))</f>
        <v/>
      </c>
      <c r="Q89" s="15">
        <f>IF(OR(Q88="",Q4=""),"",IFERROR(Q88/Q4,""))</f>
        <v/>
      </c>
      <c r="R89" s="15">
        <f>IF(OR(R88="",R4=""),"",IFERROR(R88/R4,""))</f>
        <v/>
      </c>
      <c r="S89" s="15">
        <f>IF(OR(S88="",S4=""),"",IFERROR(S88/S4,""))</f>
        <v/>
      </c>
      <c r="T89" s="15">
        <f>IF(OR(T88="",T4=""),"",IFERROR(T88/T4,""))</f>
        <v/>
      </c>
      <c r="U89" s="15">
        <f>IF(OR(U88="",U4=""),"",IFERROR(U88/U4,""))</f>
        <v/>
      </c>
      <c r="V89" s="15">
        <f>IF(OR(V88="",V4=""),"",IFERROR(V88/V4,""))</f>
        <v/>
      </c>
      <c r="W89" s="15">
        <f>IF(OR(W88="",W4=""),"",IFERROR(W88/W4,""))</f>
        <v/>
      </c>
      <c r="X89" s="15">
        <f>IF(OR(X88="",X4=""),"",IFERROR(X88/X4,""))</f>
        <v/>
      </c>
      <c r="Y89" s="14" t="n"/>
      <c r="Z89" s="15" t="n"/>
      <c r="AA89" s="15" t="n"/>
      <c r="AB89" s="15" t="n"/>
      <c r="AC89" s="15" t="n"/>
    </row>
    <row r="90">
      <c r="A90" s="18" t="inlineStr">
        <is>
          <t>연구개발비</t>
        </is>
      </c>
      <c r="B90" s="10" t="inlineStr">
        <is>
          <t>변동비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 t="n"/>
      <c r="Z90" s="20" t="n"/>
      <c r="AA90" s="20" t="n"/>
      <c r="AB90" s="20" t="n"/>
      <c r="AC90" s="20" t="n"/>
    </row>
    <row r="91">
      <c r="A91" s="13" t="inlineStr">
        <is>
          <t>% of Sales</t>
        </is>
      </c>
      <c r="B91" s="10" t="n"/>
      <c r="C91" s="14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4">
        <f>IF(OR(O90="",O4=""),"",IFERROR(O90/O4,""))</f>
        <v/>
      </c>
      <c r="P91" s="15">
        <f>IF(OR(P90="",P4=""),"",IFERROR(P90/P4,""))</f>
        <v/>
      </c>
      <c r="Q91" s="15">
        <f>IF(OR(Q90="",Q4=""),"",IFERROR(Q90/Q4,""))</f>
        <v/>
      </c>
      <c r="R91" s="15">
        <f>IF(OR(R90="",R4=""),"",IFERROR(R90/R4,""))</f>
        <v/>
      </c>
      <c r="S91" s="15">
        <f>IF(OR(S90="",S4=""),"",IFERROR(S90/S4,""))</f>
        <v/>
      </c>
      <c r="T91" s="15">
        <f>IF(OR(T90="",T4=""),"",IFERROR(T90/T4,""))</f>
        <v/>
      </c>
      <c r="U91" s="15">
        <f>IF(OR(U90="",U4=""),"",IFERROR(U90/U4,""))</f>
        <v/>
      </c>
      <c r="V91" s="15">
        <f>IF(OR(V90="",V4=""),"",IFERROR(V90/V4,""))</f>
        <v/>
      </c>
      <c r="W91" s="15">
        <f>IF(OR(W90="",W4=""),"",IFERROR(W90/W4,""))</f>
        <v/>
      </c>
      <c r="X91" s="15">
        <f>IF(OR(X90="",X4=""),"",IFERROR(X90/X4,""))</f>
        <v/>
      </c>
      <c r="Y91" s="14" t="n"/>
      <c r="Z91" s="15" t="n"/>
      <c r="AA91" s="15" t="n"/>
      <c r="AB91" s="15" t="n"/>
      <c r="AC91" s="15" t="n"/>
    </row>
    <row r="92">
      <c r="A92" s="18" t="inlineStr">
        <is>
          <t>기타비용</t>
        </is>
      </c>
      <c r="B92" s="10" t="inlineStr">
        <is>
          <t>변동비</t>
        </is>
      </c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>
        <f>IF(OR(O83="",O84="",O86="",O88="",O90=""),"",IFERROR(O83-O84-O86-O88-O90,""))</f>
        <v/>
      </c>
      <c r="P92" s="20">
        <f>IF(OR(P83="",P84="",P86="",P88="",P90=""),"",IFERROR(P83-P84-P86-P88-P90,""))</f>
        <v/>
      </c>
      <c r="Q92" s="20">
        <f>IF(OR(Q83="",Q84="",Q86="",Q88="",Q90=""),"",IFERROR(Q83-Q84-Q86-Q88-Q90,""))</f>
        <v/>
      </c>
      <c r="R92" s="20">
        <f>IF(OR(R83="",R84="",R86="",R88="",R90=""),"",IFERROR(R83-R84-R86-R88-R90,""))</f>
        <v/>
      </c>
      <c r="S92" s="20">
        <f>IF(OR(S83="",S84="",S86="",S88="",S90=""),"",IFERROR(S83-S84-S86-S88-S90,""))</f>
        <v/>
      </c>
      <c r="T92" s="20">
        <f>IF(OR(T83="",T84="",T86="",T88="",T90=""),"",IFERROR(T83-T84-T86-T88-T90,""))</f>
        <v/>
      </c>
      <c r="U92" s="20">
        <f>IF(OR(U83="",U84="",U86="",U88="",U90=""),"",IFERROR(U83-U84-U86-U88-U90,""))</f>
        <v/>
      </c>
      <c r="V92" s="20">
        <f>IF(OR(V83="",V84="",V86="",V88="",V90=""),"",IFERROR(V83-V84-V86-V88-V90,""))</f>
        <v/>
      </c>
      <c r="W92" s="20">
        <f>IF(OR(W83="",W84="",W86="",W88="",W90=""),"",IFERROR(W83-W84-W86-W88-W90,""))</f>
        <v/>
      </c>
      <c r="X92" s="20">
        <f>IF(OR(X83="",X84="",X86="",X88="",X90=""),"",IFERROR(X83-X84-X86-X88-X90,""))</f>
        <v/>
      </c>
      <c r="Y92" s="19" t="n"/>
      <c r="Z92" s="20" t="n"/>
      <c r="AA92" s="20" t="n"/>
      <c r="AB92" s="20" t="n"/>
      <c r="AC92" s="20" t="n"/>
    </row>
    <row r="93">
      <c r="A93" s="13" t="inlineStr">
        <is>
          <t>% of Sales</t>
        </is>
      </c>
      <c r="B93" s="10" t="n"/>
      <c r="C93" s="14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4">
        <f>IF(OR(O92="",O4=""),"",IFERROR(O92/O4,""))</f>
        <v/>
      </c>
      <c r="P93" s="15">
        <f>IF(OR(P92="",P4=""),"",IFERROR(P92/P4,""))</f>
        <v/>
      </c>
      <c r="Q93" s="15">
        <f>IF(OR(Q92="",Q4=""),"",IFERROR(Q92/Q4,""))</f>
        <v/>
      </c>
      <c r="R93" s="15">
        <f>IF(OR(R92="",R4=""),"",IFERROR(R92/R4,""))</f>
        <v/>
      </c>
      <c r="S93" s="15">
        <f>IF(OR(S92="",S4=""),"",IFERROR(S92/S4,""))</f>
        <v/>
      </c>
      <c r="T93" s="15">
        <f>IF(OR(T92="",T4=""),"",IFERROR(T92/T4,""))</f>
        <v/>
      </c>
      <c r="U93" s="15">
        <f>IF(OR(U92="",U4=""),"",IFERROR(U92/U4,""))</f>
        <v/>
      </c>
      <c r="V93" s="15">
        <f>IF(OR(V92="",V4=""),"",IFERROR(V92/V4,""))</f>
        <v/>
      </c>
      <c r="W93" s="15">
        <f>IF(OR(W92="",W4=""),"",IFERROR(W92/W4,""))</f>
        <v/>
      </c>
      <c r="X93" s="15">
        <f>IF(OR(X92="",X4=""),"",IFERROR(X92/X4,""))</f>
        <v/>
      </c>
      <c r="Y93" s="14" t="n"/>
      <c r="Z93" s="15" t="n"/>
      <c r="AA93" s="15" t="n"/>
      <c r="AB93" s="15" t="n"/>
      <c r="AC93" s="15" t="n"/>
    </row>
    <row r="94">
      <c r="A94" s="16" t="inlineStr">
        <is>
          <t>당기순이익 추정</t>
        </is>
      </c>
      <c r="B94" s="16" t="n"/>
      <c r="C94" s="17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7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7" t="n"/>
      <c r="Z94" s="16" t="n"/>
      <c r="AA94" s="16" t="n"/>
      <c r="AB94" s="16" t="n"/>
      <c r="AC94" s="16" t="n"/>
    </row>
    <row r="95">
      <c r="A95" s="18" t="inlineStr">
        <is>
          <t>특별이익</t>
        </is>
      </c>
      <c r="B95" s="10" t="n"/>
      <c r="C95" s="19" t="n">
        <v>373</v>
      </c>
      <c r="D95" s="20" t="n">
        <v>0</v>
      </c>
      <c r="E95" s="20" t="n">
        <v>0</v>
      </c>
      <c r="F95" s="20" t="n">
        <v>3774</v>
      </c>
      <c r="G95" s="20" t="n">
        <v>3365</v>
      </c>
      <c r="H95" s="20" t="n">
        <v>1074</v>
      </c>
      <c r="I95" s="20" t="n">
        <v>0</v>
      </c>
      <c r="J95" s="20" t="n">
        <v>4564</v>
      </c>
      <c r="K95" s="20" t="n">
        <v>4819</v>
      </c>
      <c r="L95" s="20" t="n">
        <v>5430</v>
      </c>
      <c r="M95" s="20" t="n">
        <v>1063</v>
      </c>
      <c r="N95" s="20" t="n">
        <v>4958</v>
      </c>
      <c r="O95" s="19" t="n">
        <v>733</v>
      </c>
      <c r="P95" s="20" t="n">
        <v>224</v>
      </c>
      <c r="Q95" s="20" t="n">
        <v>2596</v>
      </c>
      <c r="R95" s="20" t="n">
        <v>6293</v>
      </c>
      <c r="S95" s="20" t="n">
        <v>92</v>
      </c>
      <c r="T95" s="20" t="n">
        <v>1900</v>
      </c>
      <c r="U95" s="20" t="n">
        <v>9340</v>
      </c>
      <c r="V95" s="20" t="n">
        <v>2744</v>
      </c>
      <c r="W95" s="20" t="n">
        <v>8213</v>
      </c>
      <c r="X95" s="20" t="n">
        <v>14813</v>
      </c>
      <c r="Y95" s="19">
        <f>IF(OR(Y4="",Y96=""),"",IFERROR(Y4*Y96,""))</f>
        <v/>
      </c>
      <c r="Z95" s="20">
        <f>IF(OR(Z4="",Z96=""),"",IFERROR(Z4*Z96,""))</f>
        <v/>
      </c>
      <c r="AA95" s="20">
        <f>IF(OR(AA4="",AA96=""),"",IFERROR(AA4*AA96,""))</f>
        <v/>
      </c>
      <c r="AB95" s="20">
        <f>IF(OR(AB4="",AB96=""),"",IFERROR(AB4*AB96,""))</f>
        <v/>
      </c>
      <c r="AC95" s="20">
        <f>IF(OR(AC4="",AC96=""),"",IFERROR(AC4*AC96,""))</f>
        <v/>
      </c>
    </row>
    <row r="96">
      <c r="A96" s="13" t="inlineStr">
        <is>
          <t>% of Sales</t>
        </is>
      </c>
      <c r="B96" s="10" t="inlineStr">
        <is>
          <t>MW = 최근 3년 평균</t>
        </is>
      </c>
      <c r="C96" s="14">
        <f>IF(OR(C95="",C4=""),"",IFERROR(C95/C4,""))</f>
        <v/>
      </c>
      <c r="D96" s="15">
        <f>IF(OR(D95="",D4=""),"",IFERROR(D95/D4,""))</f>
        <v/>
      </c>
      <c r="E96" s="15">
        <f>IF(OR(E95="",E4=""),"",IFERROR(E95/E4,""))</f>
        <v/>
      </c>
      <c r="F96" s="15">
        <f>IF(OR(F95="",F4=""),"",IFERROR(F95/F4,""))</f>
        <v/>
      </c>
      <c r="G96" s="15">
        <f>IF(OR(G95="",G4=""),"",IFERROR(G95/G4,""))</f>
        <v/>
      </c>
      <c r="H96" s="15">
        <f>IF(OR(H95="",H4=""),"",IFERROR(H95/H4,""))</f>
        <v/>
      </c>
      <c r="I96" s="15">
        <f>IF(OR(I95="",I4=""),"",IFERROR(I95/I4,""))</f>
        <v/>
      </c>
      <c r="J96" s="15">
        <f>IF(OR(J95="",J4=""),"",IFERROR(J95/J4,""))</f>
        <v/>
      </c>
      <c r="K96" s="15">
        <f>IF(OR(K95="",K4=""),"",IFERROR(K95/K4,""))</f>
        <v/>
      </c>
      <c r="L96" s="15">
        <f>IF(OR(L95="",L4=""),"",IFERROR(L95/L4,""))</f>
        <v/>
      </c>
      <c r="M96" s="15">
        <f>IF(OR(M95="",M4=""),"",IFERROR(M95/M4,""))</f>
        <v/>
      </c>
      <c r="N96" s="15">
        <f>IF(OR(N95="",N4=""),"",IFERROR(N95/N4,""))</f>
        <v/>
      </c>
      <c r="O96" s="14">
        <f>IF(OR(O95="",O4=""),"",IFERROR(O95/O4,""))</f>
        <v/>
      </c>
      <c r="P96" s="15">
        <f>IF(OR(P95="",P4=""),"",IFERROR(P95/P4,""))</f>
        <v/>
      </c>
      <c r="Q96" s="15">
        <f>IF(OR(Q95="",Q4=""),"",IFERROR(Q95/Q4,""))</f>
        <v/>
      </c>
      <c r="R96" s="15">
        <f>IF(OR(R95="",R4=""),"",IFERROR(R95/R4,""))</f>
        <v/>
      </c>
      <c r="S96" s="15">
        <f>IF(OR(S95="",S4=""),"",IFERROR(S95/S4,""))</f>
        <v/>
      </c>
      <c r="T96" s="15">
        <f>IF(OR(T95="",T4=""),"",IFERROR(T95/T4,""))</f>
        <v/>
      </c>
      <c r="U96" s="15">
        <f>IF(OR(U95="",U4=""),"",IFERROR(U95/U4,""))</f>
        <v/>
      </c>
      <c r="V96" s="15">
        <f>IF(OR(V95="",V4=""),"",IFERROR(V95/V4,""))</f>
        <v/>
      </c>
      <c r="W96" s="15">
        <f>IF(OR(W95="",W4=""),"",IFERROR(W95/W4,""))</f>
        <v/>
      </c>
      <c r="X96" s="15">
        <f>IF(OR(X95="",X4=""),"",IFERROR(X95/X4,""))</f>
        <v/>
      </c>
      <c r="Y96" s="25">
        <f>IFERROR(AVERAGE(V96,W96,X96),"")</f>
        <v/>
      </c>
      <c r="Z96" s="26">
        <f>Y96</f>
        <v/>
      </c>
      <c r="AA96" s="26">
        <f>Z96</f>
        <v/>
      </c>
      <c r="AB96" s="26">
        <f>AA96</f>
        <v/>
      </c>
      <c r="AC96" s="26">
        <f>AB96</f>
        <v/>
      </c>
    </row>
    <row r="97">
      <c r="A97" s="18" t="inlineStr">
        <is>
          <t>특별손실</t>
        </is>
      </c>
      <c r="B97" s="10" t="n"/>
      <c r="C97" s="19" t="n">
        <v>0</v>
      </c>
      <c r="D97" s="20" t="n">
        <v>0</v>
      </c>
      <c r="E97" s="20" t="n">
        <v>0</v>
      </c>
      <c r="F97" s="20" t="n">
        <v>0</v>
      </c>
      <c r="G97" s="20" t="n">
        <v>0</v>
      </c>
      <c r="H97" s="20" t="n">
        <v>34251</v>
      </c>
      <c r="I97" s="20" t="n">
        <v>0</v>
      </c>
      <c r="J97" s="20" t="n">
        <v>13268</v>
      </c>
      <c r="K97" s="20" t="n">
        <v>11</v>
      </c>
      <c r="L97" s="20" t="n">
        <v>3561</v>
      </c>
      <c r="M97" s="20" t="n">
        <v>0</v>
      </c>
      <c r="N97" s="20" t="n">
        <v>13</v>
      </c>
      <c r="O97" s="19" t="n">
        <v>1369</v>
      </c>
      <c r="P97" s="20" t="n">
        <v>346</v>
      </c>
      <c r="Q97" s="20" t="n">
        <v>379</v>
      </c>
      <c r="R97" s="20" t="n">
        <v>8704</v>
      </c>
      <c r="S97" s="20" t="n">
        <v>2380</v>
      </c>
      <c r="T97" s="20" t="n">
        <v>904</v>
      </c>
      <c r="U97" s="20" t="n">
        <v>4125</v>
      </c>
      <c r="V97" s="20" t="n">
        <v>54</v>
      </c>
      <c r="W97" s="20" t="n">
        <v>34251</v>
      </c>
      <c r="X97" s="20" t="n">
        <v>16840</v>
      </c>
      <c r="Y97" s="19">
        <f>IF(OR(Y4="",Y98=""),"",IFERROR(Y4*Y98,""))</f>
        <v/>
      </c>
      <c r="Z97" s="20">
        <f>IF(OR(Z4="",Z98=""),"",IFERROR(Z4*Z98,""))</f>
        <v/>
      </c>
      <c r="AA97" s="20">
        <f>IF(OR(AA4="",AA98=""),"",IFERROR(AA4*AA98,""))</f>
        <v/>
      </c>
      <c r="AB97" s="20">
        <f>IF(OR(AB4="",AB98=""),"",IFERROR(AB4*AB98,""))</f>
        <v/>
      </c>
      <c r="AC97" s="20">
        <f>IF(OR(AC4="",AC98=""),"",IFERROR(AC4*AC98,""))</f>
        <v/>
      </c>
    </row>
    <row r="98">
      <c r="A98" s="13" t="inlineStr">
        <is>
          <t>% of Sales</t>
        </is>
      </c>
      <c r="B98" s="10" t="n"/>
      <c r="C98" s="14">
        <f>IF(OR(C97="",C4=""),"",IFERROR(C97/C4,""))</f>
        <v/>
      </c>
      <c r="D98" s="15">
        <f>IF(OR(D97="",D4=""),"",IFERROR(D97/D4,""))</f>
        <v/>
      </c>
      <c r="E98" s="15">
        <f>IF(OR(E97="",E4=""),"",IFERROR(E97/E4,""))</f>
        <v/>
      </c>
      <c r="F98" s="15">
        <f>IF(OR(F97="",F4=""),"",IFERROR(F97/F4,""))</f>
        <v/>
      </c>
      <c r="G98" s="15">
        <f>IF(OR(G97="",G4=""),"",IFERROR(G97/G4,""))</f>
        <v/>
      </c>
      <c r="H98" s="15">
        <f>IF(OR(H97="",H4=""),"",IFERROR(H97/H4,""))</f>
        <v/>
      </c>
      <c r="I98" s="15">
        <f>IF(OR(I97="",I4=""),"",IFERROR(I97/I4,""))</f>
        <v/>
      </c>
      <c r="J98" s="15">
        <f>IF(OR(J97="",J4=""),"",IFERROR(J97/J4,""))</f>
        <v/>
      </c>
      <c r="K98" s="15">
        <f>IF(OR(K97="",K4=""),"",IFERROR(K97/K4,""))</f>
        <v/>
      </c>
      <c r="L98" s="15">
        <f>IF(OR(L97="",L4=""),"",IFERROR(L97/L4,""))</f>
        <v/>
      </c>
      <c r="M98" s="15">
        <f>IF(OR(M97="",M4=""),"",IFERROR(M97/M4,""))</f>
        <v/>
      </c>
      <c r="N98" s="15">
        <f>IF(OR(N97="",N4=""),"",IFERROR(N97/N4,""))</f>
        <v/>
      </c>
      <c r="O98" s="14">
        <f>IF(OR(O97="",O4=""),"",IFERROR(O97/O4,""))</f>
        <v/>
      </c>
      <c r="P98" s="15">
        <f>IF(OR(P97="",P4=""),"",IFERROR(P97/P4,""))</f>
        <v/>
      </c>
      <c r="Q98" s="15">
        <f>IF(OR(Q97="",Q4=""),"",IFERROR(Q97/Q4,""))</f>
        <v/>
      </c>
      <c r="R98" s="15">
        <f>IF(OR(R97="",R4=""),"",IFERROR(R97/R4,""))</f>
        <v/>
      </c>
      <c r="S98" s="15">
        <f>IF(OR(S97="",S4=""),"",IFERROR(S97/S4,""))</f>
        <v/>
      </c>
      <c r="T98" s="15">
        <f>IF(OR(T97="",T4=""),"",IFERROR(T97/T4,""))</f>
        <v/>
      </c>
      <c r="U98" s="15">
        <f>IF(OR(U97="",U4=""),"",IFERROR(U97/U4,""))</f>
        <v/>
      </c>
      <c r="V98" s="15">
        <f>IF(OR(V97="",V4=""),"",IFERROR(V97/V4,""))</f>
        <v/>
      </c>
      <c r="W98" s="15">
        <f>IF(OR(W97="",W4=""),"",IFERROR(W97/W4,""))</f>
        <v/>
      </c>
      <c r="X98" s="15">
        <f>IF(OR(X97="",X4=""),"",IFERROR(X97/X4,""))</f>
        <v/>
      </c>
      <c r="Y98" s="25">
        <f>IFERROR(AVERAGE(V98,W98,X98),"")</f>
        <v/>
      </c>
      <c r="Z98" s="26">
        <f>Y98</f>
        <v/>
      </c>
      <c r="AA98" s="26">
        <f>Z98</f>
        <v/>
      </c>
      <c r="AB98" s="26">
        <f>AA98</f>
        <v/>
      </c>
      <c r="AC98" s="26">
        <f>AB98</f>
        <v/>
      </c>
    </row>
    <row r="99">
      <c r="A99" s="18" t="inlineStr">
        <is>
          <t>영업외수익</t>
        </is>
      </c>
      <c r="B99" s="10" t="n"/>
      <c r="C99" s="19" t="n">
        <v>-2633</v>
      </c>
      <c r="D99" s="20" t="n">
        <v>4683</v>
      </c>
      <c r="E99" s="20" t="n">
        <v>4922</v>
      </c>
      <c r="F99" s="20" t="n">
        <v>-2240</v>
      </c>
      <c r="G99" s="20" t="n">
        <v>2862</v>
      </c>
      <c r="H99" s="20" t="n">
        <v>269</v>
      </c>
      <c r="I99" s="20" t="n">
        <v>1921</v>
      </c>
      <c r="J99" s="20" t="n">
        <v>1547</v>
      </c>
      <c r="K99" s="20" t="n">
        <v>4495</v>
      </c>
      <c r="L99" s="20" t="n">
        <v>2060</v>
      </c>
      <c r="M99" s="20" t="n">
        <v>2577</v>
      </c>
      <c r="N99" s="20" t="n">
        <v>-277</v>
      </c>
      <c r="O99" s="19" t="n">
        <v>4443</v>
      </c>
      <c r="P99" s="20" t="n">
        <v>5489</v>
      </c>
      <c r="Q99" s="20" t="n">
        <v>5812</v>
      </c>
      <c r="R99" s="20" t="n">
        <v>4180</v>
      </c>
      <c r="S99" s="20" t="n">
        <v>4353</v>
      </c>
      <c r="T99" s="20" t="n">
        <v>7038</v>
      </c>
      <c r="U99" s="20" t="n">
        <v>7602</v>
      </c>
      <c r="V99" s="20" t="n">
        <v>10563</v>
      </c>
      <c r="W99" s="20" t="n">
        <v>5813</v>
      </c>
      <c r="X99" s="20" t="n">
        <v>10023</v>
      </c>
      <c r="Y99" s="19">
        <f>IF(OR(Y4="",Y100=""),"",IFERROR(Y4*Y100,""))</f>
        <v/>
      </c>
      <c r="Z99" s="20">
        <f>IF(OR(Z4="",Z100=""),"",IFERROR(Z4*Z100,""))</f>
        <v/>
      </c>
      <c r="AA99" s="20">
        <f>IF(OR(AA4="",AA100=""),"",IFERROR(AA4*AA100,""))</f>
        <v/>
      </c>
      <c r="AB99" s="20">
        <f>IF(OR(AB4="",AB100=""),"",IFERROR(AB4*AB100,""))</f>
        <v/>
      </c>
      <c r="AC99" s="20">
        <f>IF(OR(AC4="",AC100=""),"",IFERROR(AC4*AC100,""))</f>
        <v/>
      </c>
    </row>
    <row r="100">
      <c r="A100" s="13" t="inlineStr">
        <is>
          <t>% of Sales</t>
        </is>
      </c>
      <c r="B100" s="10" t="n"/>
      <c r="C100" s="14">
        <f>IF(OR(C99="",C4=""),"",IFERROR(C99/C4,""))</f>
        <v/>
      </c>
      <c r="D100" s="15">
        <f>IF(OR(D99="",D4=""),"",IFERROR(D99/D4,""))</f>
        <v/>
      </c>
      <c r="E100" s="15">
        <f>IF(OR(E99="",E4=""),"",IFERROR(E99/E4,""))</f>
        <v/>
      </c>
      <c r="F100" s="15">
        <f>IF(OR(F99="",F4=""),"",IFERROR(F99/F4,""))</f>
        <v/>
      </c>
      <c r="G100" s="15">
        <f>IF(OR(G99="",G4=""),"",IFERROR(G99/G4,""))</f>
        <v/>
      </c>
      <c r="H100" s="15">
        <f>IF(OR(H99="",H4=""),"",IFERROR(H99/H4,""))</f>
        <v/>
      </c>
      <c r="I100" s="15">
        <f>IF(OR(I99="",I4=""),"",IFERROR(I99/I4,""))</f>
        <v/>
      </c>
      <c r="J100" s="15">
        <f>IF(OR(J99="",J4=""),"",IFERROR(J99/J4,""))</f>
        <v/>
      </c>
      <c r="K100" s="15">
        <f>IF(OR(K99="",K4=""),"",IFERROR(K99/K4,""))</f>
        <v/>
      </c>
      <c r="L100" s="15">
        <f>IF(OR(L99="",L4=""),"",IFERROR(L99/L4,""))</f>
        <v/>
      </c>
      <c r="M100" s="15">
        <f>IF(OR(M99="",M4=""),"",IFERROR(M99/M4,""))</f>
        <v/>
      </c>
      <c r="N100" s="15">
        <f>IF(OR(N99="",N4=""),"",IFERROR(N99/N4,""))</f>
        <v/>
      </c>
      <c r="O100" s="14">
        <f>IF(OR(O99="",O4=""),"",IFERROR(O99/O4,""))</f>
        <v/>
      </c>
      <c r="P100" s="15">
        <f>IF(OR(P99="",P4=""),"",IFERROR(P99/P4,""))</f>
        <v/>
      </c>
      <c r="Q100" s="15">
        <f>IF(OR(Q99="",Q4=""),"",IFERROR(Q99/Q4,""))</f>
        <v/>
      </c>
      <c r="R100" s="15">
        <f>IF(OR(R99="",R4=""),"",IFERROR(R99/R4,""))</f>
        <v/>
      </c>
      <c r="S100" s="15">
        <f>IF(OR(S99="",S4=""),"",IFERROR(S99/S4,""))</f>
        <v/>
      </c>
      <c r="T100" s="15">
        <f>IF(OR(T99="",T4=""),"",IFERROR(T99/T4,""))</f>
        <v/>
      </c>
      <c r="U100" s="15">
        <f>IF(OR(U99="",U4=""),"",IFERROR(U99/U4,""))</f>
        <v/>
      </c>
      <c r="V100" s="15">
        <f>IF(OR(V99="",V4=""),"",IFERROR(V99/V4,""))</f>
        <v/>
      </c>
      <c r="W100" s="15">
        <f>IF(OR(W99="",W4=""),"",IFERROR(W99/W4,""))</f>
        <v/>
      </c>
      <c r="X100" s="15">
        <f>IF(OR(X99="",X4=""),"",IFERROR(X99/X4,""))</f>
        <v/>
      </c>
      <c r="Y100" s="25">
        <f>IFERROR(AVERAGE(V100,W100,X100),"")</f>
        <v/>
      </c>
      <c r="Z100" s="26">
        <f>Y100</f>
        <v/>
      </c>
      <c r="AA100" s="26">
        <f>Z100</f>
        <v/>
      </c>
      <c r="AB100" s="26">
        <f>AA100</f>
        <v/>
      </c>
      <c r="AC100" s="26">
        <f>AB100</f>
        <v/>
      </c>
    </row>
    <row r="101">
      <c r="A101" s="18" t="inlineStr">
        <is>
          <t>영업외비용</t>
        </is>
      </c>
      <c r="B101" s="10" t="n"/>
      <c r="C101" s="19" t="n">
        <v>298</v>
      </c>
      <c r="D101" s="20" t="n">
        <v>596</v>
      </c>
      <c r="E101" s="20" t="n">
        <v>339</v>
      </c>
      <c r="F101" s="20" t="n">
        <v>3814</v>
      </c>
      <c r="G101" s="20" t="n">
        <v>-2595</v>
      </c>
      <c r="H101" s="20" t="n">
        <v>2365</v>
      </c>
      <c r="I101" s="20" t="n">
        <v>1390</v>
      </c>
      <c r="J101" s="20" t="n">
        <v>-230</v>
      </c>
      <c r="K101" s="20" t="n">
        <v>751</v>
      </c>
      <c r="L101" s="20" t="n">
        <v>1182</v>
      </c>
      <c r="M101" s="20" t="n">
        <v>1278</v>
      </c>
      <c r="N101" s="20" t="n">
        <v>1392</v>
      </c>
      <c r="O101" s="19" t="n">
        <v>3705</v>
      </c>
      <c r="P101" s="20" t="n">
        <v>3715</v>
      </c>
      <c r="Q101" s="20" t="n">
        <v>2860</v>
      </c>
      <c r="R101" s="20" t="n">
        <v>4829</v>
      </c>
      <c r="S101" s="20" t="n">
        <v>2974</v>
      </c>
      <c r="T101" s="20" t="n">
        <v>2348</v>
      </c>
      <c r="U101" s="20" t="n">
        <v>1963</v>
      </c>
      <c r="V101" s="20" t="n">
        <v>1815</v>
      </c>
      <c r="W101" s="20" t="n">
        <v>3923</v>
      </c>
      <c r="X101" s="20" t="n">
        <v>3093</v>
      </c>
      <c r="Y101" s="19">
        <f>IF(OR(Y4="",Y102=""),"",IFERROR(Y4*Y102,""))</f>
        <v/>
      </c>
      <c r="Z101" s="20">
        <f>IF(OR(Z4="",Z102=""),"",IFERROR(Z4*Z102,""))</f>
        <v/>
      </c>
      <c r="AA101" s="20">
        <f>IF(OR(AA4="",AA102=""),"",IFERROR(AA4*AA102,""))</f>
        <v/>
      </c>
      <c r="AB101" s="20">
        <f>IF(OR(AB4="",AB102=""),"",IFERROR(AB4*AB102,""))</f>
        <v/>
      </c>
      <c r="AC101" s="20">
        <f>IF(OR(AC4="",AC102=""),"",IFERROR(AC4*AC102,""))</f>
        <v/>
      </c>
    </row>
    <row r="102">
      <c r="A102" s="13" t="inlineStr">
        <is>
          <t>% of Sales</t>
        </is>
      </c>
      <c r="B102" s="10" t="n"/>
      <c r="C102" s="14">
        <f>IF(OR(C101="",C4=""),"",IFERROR(C101/C4,""))</f>
        <v/>
      </c>
      <c r="D102" s="15">
        <f>IF(OR(D101="",D4=""),"",IFERROR(D101/D4,""))</f>
        <v/>
      </c>
      <c r="E102" s="15">
        <f>IF(OR(E101="",E4=""),"",IFERROR(E101/E4,""))</f>
        <v/>
      </c>
      <c r="F102" s="15">
        <f>IF(OR(F101="",F4=""),"",IFERROR(F101/F4,""))</f>
        <v/>
      </c>
      <c r="G102" s="15">
        <f>IF(OR(G101="",G4=""),"",IFERROR(G101/G4,""))</f>
        <v/>
      </c>
      <c r="H102" s="15">
        <f>IF(OR(H101="",H4=""),"",IFERROR(H101/H4,""))</f>
        <v/>
      </c>
      <c r="I102" s="15">
        <f>IF(OR(I101="",I4=""),"",IFERROR(I101/I4,""))</f>
        <v/>
      </c>
      <c r="J102" s="15">
        <f>IF(OR(J101="",J4=""),"",IFERROR(J101/J4,""))</f>
        <v/>
      </c>
      <c r="K102" s="15">
        <f>IF(OR(K101="",K4=""),"",IFERROR(K101/K4,""))</f>
        <v/>
      </c>
      <c r="L102" s="15">
        <f>IF(OR(L101="",L4=""),"",IFERROR(L101/L4,""))</f>
        <v/>
      </c>
      <c r="M102" s="15">
        <f>IF(OR(M101="",M4=""),"",IFERROR(M101/M4,""))</f>
        <v/>
      </c>
      <c r="N102" s="15">
        <f>IF(OR(N101="",N4=""),"",IFERROR(N101/N4,""))</f>
        <v/>
      </c>
      <c r="O102" s="14">
        <f>IF(OR(O101="",O4=""),"",IFERROR(O101/O4,""))</f>
        <v/>
      </c>
      <c r="P102" s="15">
        <f>IF(OR(P101="",P4=""),"",IFERROR(P101/P4,""))</f>
        <v/>
      </c>
      <c r="Q102" s="15">
        <f>IF(OR(Q101="",Q4=""),"",IFERROR(Q101/Q4,""))</f>
        <v/>
      </c>
      <c r="R102" s="15">
        <f>IF(OR(R101="",R4=""),"",IFERROR(R101/R4,""))</f>
        <v/>
      </c>
      <c r="S102" s="15">
        <f>IF(OR(S101="",S4=""),"",IFERROR(S101/S4,""))</f>
        <v/>
      </c>
      <c r="T102" s="15">
        <f>IF(OR(T101="",T4=""),"",IFERROR(T101/T4,""))</f>
        <v/>
      </c>
      <c r="U102" s="15">
        <f>IF(OR(U101="",U4=""),"",IFERROR(U101/U4,""))</f>
        <v/>
      </c>
      <c r="V102" s="15">
        <f>IF(OR(V101="",V4=""),"",IFERROR(V101/V4,""))</f>
        <v/>
      </c>
      <c r="W102" s="15">
        <f>IF(OR(W101="",W4=""),"",IFERROR(W101/W4,""))</f>
        <v/>
      </c>
      <c r="X102" s="15">
        <f>IF(OR(X101="",X4=""),"",IFERROR(X101/X4,""))</f>
        <v/>
      </c>
      <c r="Y102" s="25">
        <f>IFERROR(AVERAGE(V102,W102,X102),"")</f>
        <v/>
      </c>
      <c r="Z102" s="26">
        <f>Y102</f>
        <v/>
      </c>
      <c r="AA102" s="26">
        <f>Z102</f>
        <v/>
      </c>
      <c r="AB102" s="26">
        <f>AA102</f>
        <v/>
      </c>
      <c r="AC102" s="26">
        <f>AB102</f>
        <v/>
      </c>
    </row>
    <row r="103">
      <c r="A103" s="9" t="inlineStr">
        <is>
          <t>법인세비용차감전순이익(손실)</t>
        </is>
      </c>
      <c r="B103" s="10" t="n"/>
      <c r="C103" s="11" t="n">
        <v>15082</v>
      </c>
      <c r="D103" s="12" t="n">
        <v>13946</v>
      </c>
      <c r="E103" s="12" t="n">
        <v>14382</v>
      </c>
      <c r="F103" s="12" t="n">
        <v>12063</v>
      </c>
      <c r="G103" s="12" t="n">
        <v>26186</v>
      </c>
      <c r="H103" s="12" t="n">
        <v>-28300</v>
      </c>
      <c r="I103" s="12" t="n">
        <v>8738</v>
      </c>
      <c r="J103" s="12" t="n">
        <v>5647</v>
      </c>
      <c r="K103" s="12" t="n">
        <v>28190</v>
      </c>
      <c r="L103" s="12" t="n">
        <v>16086</v>
      </c>
      <c r="M103" s="12" t="n">
        <v>10434</v>
      </c>
      <c r="N103" s="12" t="n">
        <v>20386</v>
      </c>
      <c r="O103" s="11" t="n">
        <v>47547</v>
      </c>
      <c r="P103" s="12" t="n">
        <v>54254</v>
      </c>
      <c r="Q103" s="12" t="n">
        <v>45335</v>
      </c>
      <c r="R103" s="12" t="n">
        <v>33700</v>
      </c>
      <c r="S103" s="12" t="n">
        <v>38746</v>
      </c>
      <c r="T103" s="12" t="n">
        <v>57867</v>
      </c>
      <c r="U103" s="12" t="n">
        <v>59975</v>
      </c>
      <c r="V103" s="12" t="n">
        <v>54206</v>
      </c>
      <c r="W103" s="12" t="n">
        <v>24331</v>
      </c>
      <c r="X103" s="12" t="n">
        <v>58661</v>
      </c>
      <c r="Y103" s="11">
        <f>IF(OR(Y79=""),"",IFERROR(Y79+N(Y95)-N(Y97)+N(Y99)-N(Y101),""))</f>
        <v/>
      </c>
      <c r="Z103" s="12">
        <f>IF(OR(Z79=""),"",IFERROR(Z79+N(Z95)-N(Z97)+N(Z99)-N(Z101),""))</f>
        <v/>
      </c>
      <c r="AA103" s="12">
        <f>IF(OR(AA79=""),"",IFERROR(AA79+N(AA95)-N(AA97)+N(AA99)-N(AA101),""))</f>
        <v/>
      </c>
      <c r="AB103" s="12">
        <f>IF(OR(AB79=""),"",IFERROR(AB79+N(AB95)-N(AB97)+N(AB99)-N(AB101),""))</f>
        <v/>
      </c>
      <c r="AC103" s="12">
        <f>IF(OR(AC79=""),"",IFERROR(AC79+N(AC95)-N(AC97)+N(AC99)-N(AC101),""))</f>
        <v/>
      </c>
    </row>
    <row r="104">
      <c r="A104" s="13" t="inlineStr">
        <is>
          <t>YoY</t>
        </is>
      </c>
      <c r="B104" s="10" t="n"/>
      <c r="C104" s="14" t="n"/>
      <c r="D104" s="15" t="n"/>
      <c r="E104" s="15" t="n"/>
      <c r="F104" s="15" t="n"/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O104" s="14" t="n"/>
      <c r="P104" s="15">
        <f>IF(OR(P103="",O103=""),"",IF(O103&lt;=0,"",IFERROR(P103/O103-1,"")))</f>
        <v/>
      </c>
      <c r="Q104" s="15">
        <f>IF(OR(Q103="",P103=""),"",IF(P103&lt;=0,"",IFERROR(Q103/P103-1,"")))</f>
        <v/>
      </c>
      <c r="R104" s="15">
        <f>IF(OR(R103="",Q103=""),"",IF(Q103&lt;=0,"",IFERROR(R103/Q103-1,"")))</f>
        <v/>
      </c>
      <c r="S104" s="15">
        <f>IF(OR(S103="",R103=""),"",IF(R103&lt;=0,"",IFERROR(S103/R103-1,"")))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  <c r="Y104" s="14">
        <f>IF(OR(Y103="",X103=""),"",IF(X103&lt;=0,"",IFERROR(Y103/X103-1,"")))</f>
        <v/>
      </c>
      <c r="Z104" s="15">
        <f>IF(OR(Z103="",Y103=""),"",IF(Y103&lt;=0,"",IFERROR(Z103/Y103-1,"")))</f>
        <v/>
      </c>
      <c r="AA104" s="15">
        <f>IF(OR(AA103="",Z103=""),"",IF(Z103&lt;=0,"",IFERROR(AA103/Z103-1,"")))</f>
        <v/>
      </c>
      <c r="AB104" s="15">
        <f>IF(OR(AB103="",AA103=""),"",IF(AA103&lt;=0,"",IFERROR(AB103/AA103-1,"")))</f>
        <v/>
      </c>
      <c r="AC104" s="15">
        <f>IF(OR(AC103="",AB103=""),"",IF(AB103&lt;=0,"",IFERROR(AC103/AB103-1,"")))</f>
        <v/>
      </c>
    </row>
    <row r="105">
      <c r="A105" s="18" t="inlineStr">
        <is>
          <t>법인세비용(수익)</t>
        </is>
      </c>
      <c r="B105" s="10" t="n"/>
      <c r="C105" s="19" t="n">
        <v>5008</v>
      </c>
      <c r="D105" s="20" t="n">
        <v>3019</v>
      </c>
      <c r="E105" s="20" t="n">
        <v>5492</v>
      </c>
      <c r="F105" s="20" t="n">
        <v>3770</v>
      </c>
      <c r="G105" s="20" t="n">
        <v>6572</v>
      </c>
      <c r="H105" s="20" t="n">
        <v>-4027</v>
      </c>
      <c r="I105" s="20" t="n">
        <v>2352</v>
      </c>
      <c r="J105" s="20" t="n">
        <v>5369</v>
      </c>
      <c r="K105" s="20" t="n">
        <v>8203</v>
      </c>
      <c r="L105" s="20" t="n">
        <v>4511</v>
      </c>
      <c r="M105" s="20" t="n">
        <v>3343</v>
      </c>
      <c r="N105" s="20" t="n">
        <v>5857</v>
      </c>
      <c r="O105" s="19" t="n">
        <v>13682</v>
      </c>
      <c r="P105" s="20" t="n">
        <v>16422</v>
      </c>
      <c r="Q105" s="20" t="n">
        <v>12149</v>
      </c>
      <c r="R105" s="20" t="n">
        <v>10142</v>
      </c>
      <c r="S105" s="20" t="n">
        <v>11289</v>
      </c>
      <c r="T105" s="20" t="n">
        <v>17192</v>
      </c>
      <c r="U105" s="20" t="n">
        <v>18893</v>
      </c>
      <c r="V105" s="20" t="n">
        <v>16355</v>
      </c>
      <c r="W105" s="20" t="n">
        <v>11807</v>
      </c>
      <c r="X105" s="20" t="n">
        <v>20435</v>
      </c>
      <c r="Y105" s="19">
        <f>IF(OR(Y103="",Y106=""),"",IFERROR(MAX(Y103,0)*Y106,""))</f>
        <v/>
      </c>
      <c r="Z105" s="20">
        <f>IF(OR(Z103="",Z106=""),"",IFERROR(MAX(Z103,0)*Z106,""))</f>
        <v/>
      </c>
      <c r="AA105" s="20">
        <f>IF(OR(AA103="",AA106=""),"",IFERROR(MAX(AA103,0)*AA106,""))</f>
        <v/>
      </c>
      <c r="AB105" s="20">
        <f>IF(OR(AB103="",AB106=""),"",IFERROR(MAX(AB103,0)*AB106,""))</f>
        <v/>
      </c>
      <c r="AC105" s="20">
        <f>IF(OR(AC103="",AC106=""),"",IFERROR(MAX(AC103,0)*AC106,""))</f>
        <v/>
      </c>
    </row>
    <row r="106">
      <c r="A106" s="13" t="inlineStr">
        <is>
          <t>법인세율</t>
        </is>
      </c>
      <c r="B106" s="10" t="inlineStr">
        <is>
          <t>MW 기본 30%</t>
        </is>
      </c>
      <c r="C106" s="14">
        <f>IF(OR(C105="",C103=""),"",IFERROR(C105/C103,""))</f>
        <v/>
      </c>
      <c r="D106" s="15">
        <f>IF(OR(D105="",D103=""),"",IFERROR(D105/D103,""))</f>
        <v/>
      </c>
      <c r="E106" s="15">
        <f>IF(OR(E105="",E103=""),"",IFERROR(E105/E103,""))</f>
        <v/>
      </c>
      <c r="F106" s="15">
        <f>IF(OR(F105="",F103=""),"",IFERROR(F105/F103,""))</f>
        <v/>
      </c>
      <c r="G106" s="15">
        <f>IF(OR(G105="",G103=""),"",IFERROR(G105/G103,""))</f>
        <v/>
      </c>
      <c r="H106" s="15">
        <f>IF(OR(H105="",H103=""),"",IFERROR(H105/H103,""))</f>
        <v/>
      </c>
      <c r="I106" s="15">
        <f>IF(OR(I105="",I103=""),"",IFERROR(I105/I103,""))</f>
        <v/>
      </c>
      <c r="J106" s="15">
        <f>IF(OR(J105="",J103=""),"",IFERROR(J105/J103,""))</f>
        <v/>
      </c>
      <c r="K106" s="15">
        <f>IF(OR(K105="",K103=""),"",IFERROR(K105/K103,""))</f>
        <v/>
      </c>
      <c r="L106" s="15">
        <f>IF(OR(L105="",L103=""),"",IFERROR(L105/L103,""))</f>
        <v/>
      </c>
      <c r="M106" s="15">
        <f>IF(OR(M105="",M103=""),"",IFERROR(M105/M103,""))</f>
        <v/>
      </c>
      <c r="N106" s="15">
        <f>IF(OR(N105="",N103=""),"",IFERROR(N105/N103,""))</f>
        <v/>
      </c>
      <c r="O106" s="14">
        <f>IF(OR(O105="",O103=""),"",IFERROR(O105/O103,""))</f>
        <v/>
      </c>
      <c r="P106" s="15">
        <f>IF(OR(P105="",P103=""),"",IFERROR(P105/P103,""))</f>
        <v/>
      </c>
      <c r="Q106" s="15">
        <f>IF(OR(Q105="",Q103=""),"",IFERROR(Q105/Q103,""))</f>
        <v/>
      </c>
      <c r="R106" s="15">
        <f>IF(OR(R105="",R103=""),"",IFERROR(R105/R103,""))</f>
        <v/>
      </c>
      <c r="S106" s="15">
        <f>IF(OR(S105="",S103=""),"",IFERROR(S105/S103,""))</f>
        <v/>
      </c>
      <c r="T106" s="15">
        <f>IF(OR(T105="",T103=""),"",IFERROR(T105/T103,""))</f>
        <v/>
      </c>
      <c r="U106" s="15">
        <f>IF(OR(U105="",U103=""),"",IFERROR(U105/U103,""))</f>
        <v/>
      </c>
      <c r="V106" s="15">
        <f>IF(OR(V105="",V103=""),"",IFERROR(V105/V103,""))</f>
        <v/>
      </c>
      <c r="W106" s="15">
        <f>IF(OR(W105="",W103=""),"",IFERROR(W105/W103,""))</f>
        <v/>
      </c>
      <c r="X106" s="15">
        <f>IF(OR(X105="",X103=""),"",IFERROR(X105/X103,""))</f>
        <v/>
      </c>
      <c r="Y106" s="25" t="n">
        <v>0.3</v>
      </c>
      <c r="Z106" s="26" t="n">
        <v>0.3</v>
      </c>
      <c r="AA106" s="26" t="n">
        <v>0.3</v>
      </c>
      <c r="AB106" s="26" t="n">
        <v>0.3</v>
      </c>
      <c r="AC106" s="26" t="n">
        <v>0.3</v>
      </c>
    </row>
    <row r="107">
      <c r="A107" s="9" t="inlineStr">
        <is>
          <t>당기순이익(손실)</t>
        </is>
      </c>
      <c r="B107" s="10" t="n"/>
      <c r="C107" s="11" t="n">
        <v>10073</v>
      </c>
      <c r="D107" s="12" t="n">
        <v>10928</v>
      </c>
      <c r="E107" s="12" t="n">
        <v>8889</v>
      </c>
      <c r="F107" s="12" t="n">
        <v>8293</v>
      </c>
      <c r="G107" s="12" t="n">
        <v>19615</v>
      </c>
      <c r="H107" s="12" t="n">
        <v>-24273</v>
      </c>
      <c r="I107" s="12" t="n">
        <v>6386</v>
      </c>
      <c r="J107" s="12" t="n">
        <v>277</v>
      </c>
      <c r="K107" s="12" t="n">
        <v>19988</v>
      </c>
      <c r="L107" s="12" t="n">
        <v>11575</v>
      </c>
      <c r="M107" s="12" t="n">
        <v>7091</v>
      </c>
      <c r="N107" s="12" t="n">
        <v>14529</v>
      </c>
      <c r="O107" s="11" t="n">
        <v>33864</v>
      </c>
      <c r="P107" s="12" t="n">
        <v>37832</v>
      </c>
      <c r="Q107" s="12" t="n">
        <v>33186</v>
      </c>
      <c r="R107" s="12" t="n">
        <v>23558</v>
      </c>
      <c r="S107" s="12" t="n">
        <v>27457</v>
      </c>
      <c r="T107" s="12" t="n">
        <v>40675</v>
      </c>
      <c r="U107" s="12" t="n">
        <v>41081</v>
      </c>
      <c r="V107" s="12" t="n">
        <v>37851</v>
      </c>
      <c r="W107" s="12" t="n">
        <v>12524</v>
      </c>
      <c r="X107" s="12" t="n">
        <v>38226</v>
      </c>
      <c r="Y107" s="11">
        <f>IF(OR(Y103=""),"",IFERROR(Y103-Y105,""))</f>
        <v/>
      </c>
      <c r="Z107" s="12">
        <f>IF(OR(Z103=""),"",IFERROR(Z103-Z105,""))</f>
        <v/>
      </c>
      <c r="AA107" s="12">
        <f>IF(OR(AA103=""),"",IFERROR(AA103-AA105,""))</f>
        <v/>
      </c>
      <c r="AB107" s="12">
        <f>IF(OR(AB103=""),"",IFERROR(AB103-AB105,""))</f>
        <v/>
      </c>
      <c r="AC107" s="12">
        <f>IF(OR(AC103=""),"",IFERROR(AC103-AC105,""))</f>
        <v/>
      </c>
    </row>
    <row r="108">
      <c r="A108" s="13" t="inlineStr">
        <is>
          <t>YoY</t>
        </is>
      </c>
      <c r="B108" s="10" t="n"/>
      <c r="C108" s="14" t="n"/>
      <c r="D108" s="15" t="n"/>
      <c r="E108" s="15" t="n"/>
      <c r="F108" s="15" t="n"/>
      <c r="G108" s="15">
        <f>IF(OR(G107="",C107=""),"",IF(C107&lt;=0,"",IFERROR(G107/C107-1,"")))</f>
        <v/>
      </c>
      <c r="H108" s="15">
        <f>IF(OR(H107="",D107=""),"",IF(D107&lt;=0,"",IFERROR(H107/D107-1,"")))</f>
        <v/>
      </c>
      <c r="I108" s="15">
        <f>IF(OR(I107="",E107=""),"",IF(E107&lt;=0,"",IFERROR(I107/E107-1,"")))</f>
        <v/>
      </c>
      <c r="J108" s="15">
        <f>IF(OR(J107="",F107=""),"",IF(F107&lt;=0,"",IFERROR(J107/F107-1,"")))</f>
        <v/>
      </c>
      <c r="K108" s="15">
        <f>IF(OR(K107="",G107=""),"",IF(G107&lt;=0,"",IFERROR(K107/G107-1,"")))</f>
        <v/>
      </c>
      <c r="L108" s="15">
        <f>IF(OR(L107="",H107=""),"",IF(H107&lt;=0,"",IFERROR(L107/H107-1,"")))</f>
        <v/>
      </c>
      <c r="M108" s="15">
        <f>IF(OR(M107="",I107=""),"",IF(I107&lt;=0,"",IFERROR(M107/I107-1,"")))</f>
        <v/>
      </c>
      <c r="N108" s="15">
        <f>IF(OR(N107="",J107=""),"",IF(J107&lt;=0,"",IFERROR(N107/J107-1,"")))</f>
        <v/>
      </c>
      <c r="O108" s="14" t="n"/>
      <c r="P108" s="15">
        <f>IF(OR(P107="",O107=""),"",IF(O107&lt;=0,"",IFERROR(P107/O107-1,"")))</f>
        <v/>
      </c>
      <c r="Q108" s="15">
        <f>IF(OR(Q107="",P107=""),"",IF(P107&lt;=0,"",IFERROR(Q107/P107-1,"")))</f>
        <v/>
      </c>
      <c r="R108" s="15">
        <f>IF(OR(R107="",Q107=""),"",IF(Q107&lt;=0,"",IFERROR(R107/Q107-1,"")))</f>
        <v/>
      </c>
      <c r="S108" s="15">
        <f>IF(OR(S107="",R107=""),"",IF(R107&lt;=0,"",IFERROR(S107/R107-1,"")))</f>
        <v/>
      </c>
      <c r="T108" s="15">
        <f>IF(OR(T107="",S107=""),"",IF(S107&lt;=0,"",IFERROR(T107/S107-1,"")))</f>
        <v/>
      </c>
      <c r="U108" s="15">
        <f>IF(OR(U107="",T107=""),"",IF(T107&lt;=0,"",IFERROR(U107/T107-1,"")))</f>
        <v/>
      </c>
      <c r="V108" s="15">
        <f>IF(OR(V107="",U107=""),"",IF(U107&lt;=0,"",IFERROR(V107/U107-1,"")))</f>
        <v/>
      </c>
      <c r="W108" s="15">
        <f>IF(OR(W107="",V107=""),"",IF(V107&lt;=0,"",IFERROR(W107/V107-1,"")))</f>
        <v/>
      </c>
      <c r="X108" s="15">
        <f>IF(OR(X107="",W107=""),"",IF(W107&lt;=0,"",IFERROR(X107/W107-1,"")))</f>
        <v/>
      </c>
      <c r="Y108" s="14">
        <f>IF(OR(Y107="",X107=""),"",IF(X107&lt;=0,"",IFERROR(Y107/X107-1,"")))</f>
        <v/>
      </c>
      <c r="Z108" s="15">
        <f>IF(OR(Z107="",Y107=""),"",IF(Y107&lt;=0,"",IFERROR(Z107/Y107-1,"")))</f>
        <v/>
      </c>
      <c r="AA108" s="15">
        <f>IF(OR(AA107="",Z107=""),"",IF(Z107&lt;=0,"",IFERROR(AA107/Z107-1,"")))</f>
        <v/>
      </c>
      <c r="AB108" s="15">
        <f>IF(OR(AB107="",AA107=""),"",IF(AA107&lt;=0,"",IFERROR(AB107/AA107-1,"")))</f>
        <v/>
      </c>
      <c r="AC108" s="15">
        <f>IF(OR(AC107="",AB107=""),"",IF(AB107&lt;=0,"",IFERROR(AC107/AB107-1,"")))</f>
        <v/>
      </c>
    </row>
    <row r="109">
      <c r="A109" s="9" t="inlineStr">
        <is>
          <t>지배주주 순이익</t>
        </is>
      </c>
      <c r="B109" s="10" t="n"/>
      <c r="C109" s="11" t="n">
        <v>9817</v>
      </c>
      <c r="D109" s="12" t="n">
        <v>10702</v>
      </c>
      <c r="E109" s="12" t="n">
        <v>8739</v>
      </c>
      <c r="F109" s="12" t="n">
        <v>8210</v>
      </c>
      <c r="G109" s="12" t="n">
        <v>19453</v>
      </c>
      <c r="H109" s="12" t="n">
        <v>-24234</v>
      </c>
      <c r="I109" s="12" t="n">
        <v>6306</v>
      </c>
      <c r="J109" s="12" t="n">
        <v>2484</v>
      </c>
      <c r="K109" s="12" t="n">
        <v>19750</v>
      </c>
      <c r="L109" s="12" t="n">
        <v>11717</v>
      </c>
      <c r="M109" s="12" t="n">
        <v>6905</v>
      </c>
      <c r="N109" s="12" t="n">
        <v>14410</v>
      </c>
      <c r="O109" s="11" t="n">
        <v>32960</v>
      </c>
      <c r="P109" s="12" t="n">
        <v>36798</v>
      </c>
      <c r="Q109" s="12" t="n">
        <v>32380</v>
      </c>
      <c r="R109" s="12" t="n">
        <v>23583</v>
      </c>
      <c r="S109" s="12" t="n">
        <v>26978</v>
      </c>
      <c r="T109" s="12" t="n">
        <v>40131</v>
      </c>
      <c r="U109" s="12" t="n">
        <v>38943</v>
      </c>
      <c r="V109" s="12" t="n">
        <v>37196</v>
      </c>
      <c r="W109" s="12" t="n">
        <v>12168</v>
      </c>
      <c r="X109" s="12" t="n">
        <v>40257</v>
      </c>
      <c r="Y109" s="11">
        <f>IF(OR(Y107="",Y110=""),"",IFERROR(Y107*Y110,""))</f>
        <v/>
      </c>
      <c r="Z109" s="12">
        <f>IF(OR(Z107="",Z110=""),"",IFERROR(Z107*Z110,""))</f>
        <v/>
      </c>
      <c r="AA109" s="12">
        <f>IF(OR(AA107="",AA110=""),"",IFERROR(AA107*AA110,""))</f>
        <v/>
      </c>
      <c r="AB109" s="12">
        <f>IF(OR(AB107="",AB110=""),"",IFERROR(AB107*AB110,""))</f>
        <v/>
      </c>
      <c r="AC109" s="12">
        <f>IF(OR(AC107="",AC110=""),"",IFERROR(AC107*AC110,""))</f>
        <v/>
      </c>
    </row>
    <row r="110">
      <c r="A110" s="13" t="inlineStr">
        <is>
          <t>지배주주 순이익률</t>
        </is>
      </c>
      <c r="B110" s="10" t="inlineStr">
        <is>
          <t>MW 기본 100%</t>
        </is>
      </c>
      <c r="C110" s="14">
        <f>IF(OR(C109="",C107=""),"",IFERROR(C109/C107,""))</f>
        <v/>
      </c>
      <c r="D110" s="15">
        <f>IF(OR(D109="",D107=""),"",IFERROR(D109/D107,""))</f>
        <v/>
      </c>
      <c r="E110" s="15">
        <f>IF(OR(E109="",E107=""),"",IFERROR(E109/E107,""))</f>
        <v/>
      </c>
      <c r="F110" s="15">
        <f>IF(OR(F109="",F107=""),"",IFERROR(F109/F107,""))</f>
        <v/>
      </c>
      <c r="G110" s="15">
        <f>IF(OR(G109="",G107=""),"",IFERROR(G109/G107,""))</f>
        <v/>
      </c>
      <c r="H110" s="15">
        <f>IF(OR(H109="",H107=""),"",IFERROR(H109/H107,""))</f>
        <v/>
      </c>
      <c r="I110" s="15">
        <f>IF(OR(I109="",I107=""),"",IFERROR(I109/I107,""))</f>
        <v/>
      </c>
      <c r="J110" s="15">
        <f>IF(OR(J109="",J107=""),"",IFERROR(J109/J107,""))</f>
        <v/>
      </c>
      <c r="K110" s="15">
        <f>IF(OR(K109="",K107=""),"",IFERROR(K109/K107,""))</f>
        <v/>
      </c>
      <c r="L110" s="15">
        <f>IF(OR(L109="",L107=""),"",IFERROR(L109/L107,""))</f>
        <v/>
      </c>
      <c r="M110" s="15">
        <f>IF(OR(M109="",M107=""),"",IFERROR(M109/M107,""))</f>
        <v/>
      </c>
      <c r="N110" s="15">
        <f>IF(OR(N109="",N107=""),"",IFERROR(N109/N107,""))</f>
        <v/>
      </c>
      <c r="O110" s="14">
        <f>IF(OR(O109="",O107=""),"",IFERROR(O109/O107,""))</f>
        <v/>
      </c>
      <c r="P110" s="15">
        <f>IF(OR(P109="",P107=""),"",IFERROR(P109/P107,""))</f>
        <v/>
      </c>
      <c r="Q110" s="15">
        <f>IF(OR(Q109="",Q107=""),"",IFERROR(Q109/Q107,""))</f>
        <v/>
      </c>
      <c r="R110" s="15">
        <f>IF(OR(R109="",R107=""),"",IFERROR(R109/R107,""))</f>
        <v/>
      </c>
      <c r="S110" s="15">
        <f>IF(OR(S109="",S107=""),"",IFERROR(S109/S107,""))</f>
        <v/>
      </c>
      <c r="T110" s="15">
        <f>IF(OR(T109="",T107=""),"",IFERROR(T109/T107,""))</f>
        <v/>
      </c>
      <c r="U110" s="15">
        <f>IF(OR(U109="",U107=""),"",IFERROR(U109/U107,""))</f>
        <v/>
      </c>
      <c r="V110" s="15">
        <f>IF(OR(V109="",V107=""),"",IFERROR(V109/V107,""))</f>
        <v/>
      </c>
      <c r="W110" s="15">
        <f>IF(OR(W109="",W107=""),"",IFERROR(W109/W107,""))</f>
        <v/>
      </c>
      <c r="X110" s="15">
        <f>IF(OR(X109="",X107=""),"",IFERROR(X109/X107,""))</f>
        <v/>
      </c>
      <c r="Y110" s="25" t="n">
        <v>1</v>
      </c>
      <c r="Z110" s="26" t="n">
        <v>1</v>
      </c>
      <c r="AA110" s="26" t="n">
        <v>1</v>
      </c>
      <c r="AB110" s="26" t="n">
        <v>1</v>
      </c>
      <c r="AC110" s="26" t="n">
        <v>1</v>
      </c>
    </row>
    <row r="111">
      <c r="A111" s="13" t="inlineStr">
        <is>
          <t>지배주주 순이익 YoY</t>
        </is>
      </c>
      <c r="B111" s="10" t="n"/>
      <c r="C111" s="14" t="n"/>
      <c r="D111" s="15" t="n"/>
      <c r="E111" s="15" t="n"/>
      <c r="F111" s="15" t="n"/>
      <c r="G111" s="15">
        <f>IF(OR(G109="",C109=""),"",IF(C109&lt;=0,"",IFERROR(G109/C109-1,"")))</f>
        <v/>
      </c>
      <c r="H111" s="15">
        <f>IF(OR(H109="",D109=""),"",IF(D109&lt;=0,"",IFERROR(H109/D109-1,"")))</f>
        <v/>
      </c>
      <c r="I111" s="15">
        <f>IF(OR(I109="",E109=""),"",IF(E109&lt;=0,"",IFERROR(I109/E109-1,"")))</f>
        <v/>
      </c>
      <c r="J111" s="15">
        <f>IF(OR(J109="",F109=""),"",IF(F109&lt;=0,"",IFERROR(J109/F109-1,"")))</f>
        <v/>
      </c>
      <c r="K111" s="15">
        <f>IF(OR(K109="",G109=""),"",IF(G109&lt;=0,"",IFERROR(K109/G109-1,"")))</f>
        <v/>
      </c>
      <c r="L111" s="15">
        <f>IF(OR(L109="",H109=""),"",IF(H109&lt;=0,"",IFERROR(L109/H109-1,"")))</f>
        <v/>
      </c>
      <c r="M111" s="15">
        <f>IF(OR(M109="",I109=""),"",IF(I109&lt;=0,"",IFERROR(M109/I109-1,"")))</f>
        <v/>
      </c>
      <c r="N111" s="15">
        <f>IF(OR(N109="",J109=""),"",IF(J109&lt;=0,"",IFERROR(N109/J109-1,"")))</f>
        <v/>
      </c>
      <c r="O111" s="14" t="n"/>
      <c r="P111" s="15">
        <f>IF(OR(P109="",O109=""),"",IF(O109&lt;=0,"",IFERROR(P109/O109-1,"")))</f>
        <v/>
      </c>
      <c r="Q111" s="15">
        <f>IF(OR(Q109="",P109=""),"",IF(P109&lt;=0,"",IFERROR(Q109/P109-1,"")))</f>
        <v/>
      </c>
      <c r="R111" s="15">
        <f>IF(OR(R109="",Q109=""),"",IF(Q109&lt;=0,"",IFERROR(R109/Q109-1,"")))</f>
        <v/>
      </c>
      <c r="S111" s="15">
        <f>IF(OR(S109="",R109=""),"",IF(R109&lt;=0,"",IFERROR(S109/R109-1,"")))</f>
        <v/>
      </c>
      <c r="T111" s="15">
        <f>IF(OR(T109="",S109=""),"",IF(S109&lt;=0,"",IFERROR(T109/S109-1,"")))</f>
        <v/>
      </c>
      <c r="U111" s="15">
        <f>IF(OR(U109="",T109=""),"",IF(T109&lt;=0,"",IFERROR(U109/T109-1,"")))</f>
        <v/>
      </c>
      <c r="V111" s="15">
        <f>IF(OR(V109="",U109=""),"",IF(U109&lt;=0,"",IFERROR(V109/U109-1,"")))</f>
        <v/>
      </c>
      <c r="W111" s="15">
        <f>IF(OR(W109="",V109=""),"",IF(V109&lt;=0,"",IFERROR(W109/V109-1,"")))</f>
        <v/>
      </c>
      <c r="X111" s="15">
        <f>IF(OR(X109="",W109=""),"",IF(W109&lt;=0,"",IFERROR(X109/W109-1,"")))</f>
        <v/>
      </c>
      <c r="Y111" s="14">
        <f>IF(OR(Y109="",X109=""),"",IF(X109&lt;=0,"",IFERROR(Y109/X109-1,"")))</f>
        <v/>
      </c>
      <c r="Z111" s="15">
        <f>IF(OR(Z109="",Y109=""),"",IF(Y109&lt;=0,"",IFERROR(Z109/Y109-1,"")))</f>
        <v/>
      </c>
      <c r="AA111" s="15">
        <f>IF(OR(AA109="",Z109=""),"",IF(Z109&lt;=0,"",IFERROR(AA109/Z109-1,"")))</f>
        <v/>
      </c>
      <c r="AB111" s="15">
        <f>IF(OR(AB109="",AA109=""),"",IF(AA109&lt;=0,"",IFERROR(AB109/AA109-1,"")))</f>
        <v/>
      </c>
      <c r="AC111" s="15">
        <f>IF(OR(AC109="",AB109=""),"",IF(AB109&lt;=0,"",IFERROR(AC109/AB109-1,"")))</f>
        <v/>
      </c>
    </row>
    <row r="112">
      <c r="A112" s="16" t="inlineStr">
        <is>
          <t>목표주가 산출</t>
        </is>
      </c>
      <c r="B112" s="16" t="n"/>
      <c r="C112" s="17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7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7" t="n"/>
      <c r="Z112" s="16" t="n"/>
      <c r="AA112" s="16" t="n"/>
      <c r="AB112" s="16" t="n"/>
      <c r="AC112" s="16" t="n"/>
    </row>
    <row r="113">
      <c r="A113" s="18" t="inlineStr">
        <is>
          <t>현재 주가 ()</t>
        </is>
      </c>
      <c r="B113" s="27" t="n"/>
      <c r="C113" s="28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8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8" t="n"/>
      <c r="Z113" s="29" t="n"/>
      <c r="AA113" s="29" t="n"/>
      <c r="AB113" s="29" t="n"/>
      <c r="AC113" s="29" t="n"/>
    </row>
    <row r="114">
      <c r="A114" s="18" t="inlineStr">
        <is>
          <t>발행주식수 (보통주)</t>
        </is>
      </c>
      <c r="B114" s="27" t="n"/>
      <c r="C114" s="28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8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8" t="n"/>
      <c r="Z114" s="29" t="n"/>
      <c r="AA114" s="29" t="n"/>
      <c r="AB114" s="29" t="n"/>
      <c r="AC114" s="29" t="n"/>
    </row>
    <row r="115">
      <c r="A115" s="18" t="inlineStr">
        <is>
          <t>시가총액 (백만엔)</t>
        </is>
      </c>
      <c r="B115" s="12">
        <f>IF(OR(B113="",B114=""),"",B113*B114/1000000.0)</f>
        <v/>
      </c>
      <c r="C115" s="19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19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19" t="n"/>
      <c r="Z115" s="20" t="n"/>
      <c r="AA115" s="20" t="n"/>
      <c r="AB115" s="20" t="n"/>
      <c r="AC115" s="20" t="n"/>
    </row>
    <row r="116">
      <c r="A116" s="13" t="inlineStr">
        <is>
          <t>OPM</t>
        </is>
      </c>
      <c r="B116" s="10" t="n"/>
      <c r="C116" s="14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4">
        <f>IF(O80="","",O80)</f>
        <v/>
      </c>
      <c r="P116" s="15">
        <f>IF(P80="","",P80)</f>
        <v/>
      </c>
      <c r="Q116" s="15">
        <f>IF(Q80="","",Q80)</f>
        <v/>
      </c>
      <c r="R116" s="15">
        <f>IF(R80="","",R80)</f>
        <v/>
      </c>
      <c r="S116" s="15">
        <f>IF(S80="","",S80)</f>
        <v/>
      </c>
      <c r="T116" s="15">
        <f>IF(T80="","",T80)</f>
        <v/>
      </c>
      <c r="U116" s="15">
        <f>IF(U80="","",U80)</f>
        <v/>
      </c>
      <c r="V116" s="15">
        <f>IF(V80="","",V80)</f>
        <v/>
      </c>
      <c r="W116" s="15">
        <f>IF(W80="","",W80)</f>
        <v/>
      </c>
      <c r="X116" s="15">
        <f>IF(X80="","",X80)</f>
        <v/>
      </c>
      <c r="Y116" s="14">
        <f>IF(Y80="","",Y80)</f>
        <v/>
      </c>
      <c r="Z116" s="15">
        <f>IF(Z80="","",Z80)</f>
        <v/>
      </c>
      <c r="AA116" s="15">
        <f>IF(AA80="","",AA80)</f>
        <v/>
      </c>
      <c r="AB116" s="15">
        <f>IF(AB80="","",AB80)</f>
        <v/>
      </c>
      <c r="AC116" s="15">
        <f>IF(AC80="","",AC80)</f>
        <v/>
      </c>
    </row>
    <row r="117">
      <c r="A117" s="13" t="inlineStr">
        <is>
          <t>지배주주 순이익 증가율</t>
        </is>
      </c>
      <c r="B117" s="10" t="n"/>
      <c r="C117" s="14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4" t="n"/>
      <c r="P117" s="15">
        <f>IF(OR(P109="",O109=""),"",IFERROR(P109/O109-1,""))</f>
        <v/>
      </c>
      <c r="Q117" s="15">
        <f>IF(OR(Q109="",P109=""),"",IFERROR(Q109/P109-1,""))</f>
        <v/>
      </c>
      <c r="R117" s="15">
        <f>IF(OR(R109="",Q109=""),"",IFERROR(R109/Q109-1,""))</f>
        <v/>
      </c>
      <c r="S117" s="15">
        <f>IF(OR(S109="",R109=""),"",IFERROR(S109/R109-1,""))</f>
        <v/>
      </c>
      <c r="T117" s="15">
        <f>IF(OR(T109="",S109=""),"",IFERROR(T109/S109-1,""))</f>
        <v/>
      </c>
      <c r="U117" s="15">
        <f>IF(OR(U109="",T109=""),"",IFERROR(U109/T109-1,""))</f>
        <v/>
      </c>
      <c r="V117" s="15">
        <f>IF(OR(V109="",U109=""),"",IFERROR(V109/U109-1,""))</f>
        <v/>
      </c>
      <c r="W117" s="15">
        <f>IF(OR(W109="",V109=""),"",IFERROR(W109/V109-1,""))</f>
        <v/>
      </c>
      <c r="X117" s="15">
        <f>IF(OR(X109="",W109=""),"",IFERROR(X109/W109-1,""))</f>
        <v/>
      </c>
      <c r="Y117" s="14">
        <f>IF(OR(Y109="",X109=""),"",IFERROR(Y109/X109-1,""))</f>
        <v/>
      </c>
      <c r="Z117" s="15">
        <f>IF(OR(Z109="",Y109=""),"",IFERROR(Z109/Y109-1,""))</f>
        <v/>
      </c>
      <c r="AA117" s="15">
        <f>IF(OR(AA109="",Z109=""),"",IFERROR(AA109/Z109-1,""))</f>
        <v/>
      </c>
      <c r="AB117" s="15">
        <f>IF(OR(AB109="",AA109=""),"",IFERROR(AB109/AA109-1,""))</f>
        <v/>
      </c>
      <c r="AC117" s="15">
        <f>IF(OR(AC109="",AB109=""),"",IFERROR(AC109/AB109-1,""))</f>
        <v/>
      </c>
    </row>
    <row r="118">
      <c r="A118" s="18" t="inlineStr">
        <is>
          <t>P/E (현재 주가)</t>
        </is>
      </c>
      <c r="B118" s="10" t="inlineStr">
        <is>
          <t>시총 ÷ 지배순이익</t>
        </is>
      </c>
      <c r="C118" s="30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0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>
        <f>IF(OR($B$115="",X109=""),"",IFERROR($B$115/X109,""))</f>
        <v/>
      </c>
      <c r="Y118" s="30">
        <f>IF(OR($B$115="",Y109=""),"",IFERROR($B$115/Y109,""))</f>
        <v/>
      </c>
      <c r="Z118" s="31">
        <f>IF(OR($B$115="",Z109=""),"",IFERROR($B$115/Z109,""))</f>
        <v/>
      </c>
      <c r="AA118" s="31">
        <f>IF(OR($B$115="",AA109=""),"",IFERROR($B$115/AA109,""))</f>
        <v/>
      </c>
      <c r="AB118" s="31">
        <f>IF(OR($B$115="",AB109=""),"",IFERROR($B$115/AB109,""))</f>
        <v/>
      </c>
      <c r="AC118" s="31">
        <f>IF(OR($B$115="",AC109=""),"",IFERROR($B$115/AC109,""))</f>
        <v/>
      </c>
    </row>
    <row r="119">
      <c r="A119" s="18" t="inlineStr">
        <is>
          <t>Target P/E</t>
        </is>
      </c>
      <c r="B119" s="10" t="inlineStr">
        <is>
          <t>직접 입력</t>
        </is>
      </c>
      <c r="C119" s="30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31" t="n"/>
      <c r="O119" s="30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2" t="n"/>
      <c r="Z119" s="33" t="n"/>
      <c r="AA119" s="33" t="n"/>
      <c r="AB119" s="33" t="n"/>
      <c r="AC119" s="33" t="n"/>
    </row>
    <row r="120">
      <c r="A120" s="18" t="inlineStr">
        <is>
          <t>EPS</t>
        </is>
      </c>
      <c r="B120" s="10" t="inlineStr">
        <is>
          <t>지배순이익 ÷ 주식수</t>
        </is>
      </c>
      <c r="C120" s="28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8">
        <f>IF(OR(O109="",$B$114=""),"",IFERROR(O109*1000000.0/$B$114,""))</f>
        <v/>
      </c>
      <c r="P120" s="29">
        <f>IF(OR(P109="",$B$114=""),"",IFERROR(P109*1000000.0/$B$114,""))</f>
        <v/>
      </c>
      <c r="Q120" s="29">
        <f>IF(OR(Q109="",$B$114=""),"",IFERROR(Q109*1000000.0/$B$114,""))</f>
        <v/>
      </c>
      <c r="R120" s="29">
        <f>IF(OR(R109="",$B$114=""),"",IFERROR(R109*1000000.0/$B$114,""))</f>
        <v/>
      </c>
      <c r="S120" s="29">
        <f>IF(OR(S109="",$B$114=""),"",IFERROR(S109*1000000.0/$B$114,""))</f>
        <v/>
      </c>
      <c r="T120" s="29">
        <f>IF(OR(T109="",$B$114=""),"",IFERROR(T109*1000000.0/$B$114,""))</f>
        <v/>
      </c>
      <c r="U120" s="29">
        <f>IF(OR(U109="",$B$114=""),"",IFERROR(U109*1000000.0/$B$114,""))</f>
        <v/>
      </c>
      <c r="V120" s="29">
        <f>IF(OR(V109="",$B$114=""),"",IFERROR(V109*1000000.0/$B$114,""))</f>
        <v/>
      </c>
      <c r="W120" s="29">
        <f>IF(OR(W109="",$B$114=""),"",IFERROR(W109*1000000.0/$B$114,""))</f>
        <v/>
      </c>
      <c r="X120" s="29">
        <f>IF(OR(X109="",$B$114=""),"",IFERROR(X109*1000000.0/$B$114,""))</f>
        <v/>
      </c>
      <c r="Y120" s="28">
        <f>IF(OR(Y109="",$B$114=""),"",IFERROR(Y109*1000000.0/$B$114,""))</f>
        <v/>
      </c>
      <c r="Z120" s="29">
        <f>IF(OR(Z109="",$B$114=""),"",IFERROR(Z109*1000000.0/$B$114,""))</f>
        <v/>
      </c>
      <c r="AA120" s="29">
        <f>IF(OR(AA109="",$B$114=""),"",IFERROR(AA109*1000000.0/$B$114,""))</f>
        <v/>
      </c>
      <c r="AB120" s="29">
        <f>IF(OR(AB109="",$B$114=""),"",IFERROR(AB109*1000000.0/$B$114,""))</f>
        <v/>
      </c>
      <c r="AC120" s="29">
        <f>IF(OR(AC109="",$B$114=""),"",IFERROR(AC109*1000000.0/$B$114,""))</f>
        <v/>
      </c>
    </row>
    <row r="121">
      <c r="A121" s="9" t="inlineStr">
        <is>
          <t>목표주가</t>
        </is>
      </c>
      <c r="B121" s="10" t="n"/>
      <c r="C121" s="34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34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34">
        <f>IF(OR(Y120="",Y119=""),"",IFERROR(Y120*Y119,""))</f>
        <v/>
      </c>
      <c r="Z121" s="27">
        <f>IF(OR(Z120="",Z119=""),"",IFERROR(Z120*Z119,""))</f>
        <v/>
      </c>
      <c r="AA121" s="27">
        <f>IF(OR(AA120="",AA119=""),"",IFERROR(AA120*AA119,""))</f>
        <v/>
      </c>
      <c r="AB121" s="27">
        <f>IF(OR(AB120="",AB119=""),"",IFERROR(AB120*AB119,""))</f>
        <v/>
      </c>
      <c r="AC121" s="27">
        <f>IF(OR(AC120="",AC119=""),"",IFERROR(AC120*AC119,""))</f>
        <v/>
      </c>
    </row>
    <row r="122">
      <c r="A122" s="18" t="inlineStr">
        <is>
          <t>상승여력</t>
        </is>
      </c>
      <c r="B122" s="10" t="n"/>
      <c r="C122" s="35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5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7">
        <f>IF(OR(Y121="",$B$113=""),"",IFERROR(Y121/$B$113-1,""))</f>
        <v/>
      </c>
      <c r="Z122" s="38">
        <f>IF(OR(Z121="",$B$113=""),"",IFERROR(Z121/$B$113-1,""))</f>
        <v/>
      </c>
      <c r="AA122" s="38">
        <f>IF(OR(AA121="",$B$113=""),"",IFERROR(AA121/$B$113-1,""))</f>
        <v/>
      </c>
      <c r="AB122" s="38">
        <f>IF(OR(AB121="",$B$113=""),"",IFERROR(AB121/$B$113-1,""))</f>
        <v/>
      </c>
      <c r="AC122" s="38">
        <f>IF(OR(AC121="",$B$113=""),"",IFERROR(AC121/$B$113-1,""))</f>
        <v/>
      </c>
    </row>
    <row r="123">
      <c r="A123" s="16" t="inlineStr">
        <is>
          <t>자산가치 산출</t>
        </is>
      </c>
      <c r="B123" s="16" t="inlineStr">
        <is>
          <t>최신 분기 BS</t>
        </is>
      </c>
      <c r="C123" s="17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7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7" t="n"/>
      <c r="Z123" s="16" t="n"/>
      <c r="AA123" s="16" t="n"/>
      <c r="AB123" s="16" t="n"/>
      <c r="AC123" s="16" t="n"/>
    </row>
    <row r="124">
      <c r="A124" s="18" t="inlineStr">
        <is>
          <t>현금및현금성자산</t>
        </is>
      </c>
      <c r="B124" s="10" t="n"/>
      <c r="C124" s="19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19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>
        <f>'재무상태표'!G6</f>
        <v/>
      </c>
      <c r="Y124" s="19">
        <f>'재무상태표'!G6</f>
        <v/>
      </c>
      <c r="Z124" s="20">
        <f>'재무상태표'!G6</f>
        <v/>
      </c>
      <c r="AA124" s="20">
        <f>'재무상태표'!G6</f>
        <v/>
      </c>
      <c r="AB124" s="20">
        <f>'재무상태표'!G6</f>
        <v/>
      </c>
      <c r="AC124" s="20">
        <f>'재무상태표'!G6</f>
        <v/>
      </c>
    </row>
    <row r="125">
      <c r="A125" s="18" t="inlineStr">
        <is>
          <t>단기금융상품</t>
        </is>
      </c>
      <c r="B125" s="10" t="n"/>
      <c r="C125" s="19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19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>
        <f>'재무상태표'!G7</f>
        <v/>
      </c>
      <c r="Y125" s="19">
        <f>'재무상태표'!G7</f>
        <v/>
      </c>
      <c r="Z125" s="20">
        <f>'재무상태표'!G7</f>
        <v/>
      </c>
      <c r="AA125" s="20">
        <f>'재무상태표'!G7</f>
        <v/>
      </c>
      <c r="AB125" s="20">
        <f>'재무상태표'!G7</f>
        <v/>
      </c>
      <c r="AC125" s="20">
        <f>'재무상태표'!G7</f>
        <v/>
      </c>
    </row>
    <row r="126">
      <c r="A126" s="18" t="inlineStr">
        <is>
          <t>투자부동산</t>
        </is>
      </c>
      <c r="B126" s="10" t="n"/>
      <c r="C126" s="19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19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>
        <f>'재무상태표'!G14</f>
        <v/>
      </c>
      <c r="Y126" s="19">
        <f>'재무상태표'!G14</f>
        <v/>
      </c>
      <c r="Z126" s="20">
        <f>'재무상태표'!G14</f>
        <v/>
      </c>
      <c r="AA126" s="20">
        <f>'재무상태표'!G14</f>
        <v/>
      </c>
      <c r="AB126" s="20">
        <f>'재무상태표'!G14</f>
        <v/>
      </c>
      <c r="AC126" s="20">
        <f>'재무상태표'!G14</f>
        <v/>
      </c>
    </row>
    <row r="127">
      <c r="A127" s="18" t="inlineStr">
        <is>
          <t>지배자본</t>
        </is>
      </c>
      <c r="B127" s="10" t="n"/>
      <c r="C127" s="19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19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>
        <f>'재무상태표'!G31</f>
        <v/>
      </c>
      <c r="Y127" s="19">
        <f>'재무상태표'!G31</f>
        <v/>
      </c>
      <c r="Z127" s="20">
        <f>'재무상태표'!G31</f>
        <v/>
      </c>
      <c r="AA127" s="20">
        <f>'재무상태표'!G31</f>
        <v/>
      </c>
      <c r="AB127" s="20">
        <f>'재무상태표'!G31</f>
        <v/>
      </c>
      <c r="AC127" s="20">
        <f>'재무상태표'!G31</f>
        <v/>
      </c>
    </row>
    <row r="128">
      <c r="A128" s="18" t="inlineStr">
        <is>
          <t>부채</t>
        </is>
      </c>
      <c r="B128" s="10" t="n"/>
      <c r="C128" s="19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19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>
        <f>'재무상태표'!G27</f>
        <v/>
      </c>
      <c r="Y128" s="19">
        <f>'재무상태표'!G27</f>
        <v/>
      </c>
      <c r="Z128" s="20">
        <f>'재무상태표'!G27</f>
        <v/>
      </c>
      <c r="AA128" s="20">
        <f>'재무상태표'!G27</f>
        <v/>
      </c>
      <c r="AB128" s="20">
        <f>'재무상태표'!G27</f>
        <v/>
      </c>
      <c r="AC128" s="20">
        <f>'재무상태표'!G27</f>
        <v/>
      </c>
    </row>
    <row r="129">
      <c r="A129" s="13" t="inlineStr">
        <is>
          <t>부채비율</t>
        </is>
      </c>
      <c r="B129" s="10" t="n"/>
      <c r="C129" s="14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4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>
        <f>IF(OR(X128="",X127=""),"",IFERROR(X128/X127,""))</f>
        <v/>
      </c>
      <c r="Y129" s="14">
        <f>IF(OR(Y128="",Y127=""),"",IFERROR(Y128/Y127,""))</f>
        <v/>
      </c>
      <c r="Z129" s="15">
        <f>IF(OR(Z128="",Z127=""),"",IFERROR(Z128/Z127,""))</f>
        <v/>
      </c>
      <c r="AA129" s="15">
        <f>IF(OR(AA128="",AA127=""),"",IFERROR(AA128/AA127,""))</f>
        <v/>
      </c>
      <c r="AB129" s="15">
        <f>IF(OR(AB128="",AB127=""),"",IFERROR(AB128/AB127,""))</f>
        <v/>
      </c>
      <c r="AC129" s="15">
        <f>IF(OR(AC128="",AC127=""),"",IFERROR(AC128/AC127,""))</f>
        <v/>
      </c>
    </row>
    <row r="130">
      <c r="A130" s="9" t="inlineStr">
        <is>
          <t>자산가치</t>
        </is>
      </c>
      <c r="B130" s="10" t="inlineStr">
        <is>
          <t>현금+단기금융+투자부동산</t>
        </is>
      </c>
      <c r="C130" s="11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1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>
        <f>SUM(X124,X125,X126)</f>
        <v/>
      </c>
      <c r="Y130" s="11">
        <f>SUM(Y124,Y125,Y126)</f>
        <v/>
      </c>
      <c r="Z130" s="12">
        <f>SUM(Z124,Z125,Z126)</f>
        <v/>
      </c>
      <c r="AA130" s="12">
        <f>SUM(AA124,AA125,AA126)</f>
        <v/>
      </c>
      <c r="AB130" s="12">
        <f>SUM(AB124,AB125,AB126)</f>
        <v/>
      </c>
      <c r="AC130" s="12">
        <f>SUM(AC124,AC125,AC126)</f>
        <v/>
      </c>
    </row>
    <row r="131">
      <c r="A131" s="16" t="inlineStr">
        <is>
          <t>기업가치 산출</t>
        </is>
      </c>
      <c r="B131" s="16" t="n"/>
      <c r="C131" s="17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7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7" t="n"/>
      <c r="Z131" s="16" t="n"/>
      <c r="AA131" s="16" t="n"/>
      <c r="AB131" s="16" t="n"/>
      <c r="AC131" s="16" t="n"/>
    </row>
    <row r="132">
      <c r="A132" s="18" t="inlineStr">
        <is>
          <t>목표 시가총액 (P/E)</t>
        </is>
      </c>
      <c r="B132" s="10" t="inlineStr">
        <is>
          <t>지배순이익 × Target P/E</t>
        </is>
      </c>
      <c r="C132" s="19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19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19">
        <f>IF(OR(Y109="",Y119=""),"",IFERROR(Y109*Y119,""))</f>
        <v/>
      </c>
      <c r="Z132" s="20">
        <f>IF(OR(Z109="",Z119=""),"",IFERROR(Z109*Z119,""))</f>
        <v/>
      </c>
      <c r="AA132" s="20">
        <f>IF(OR(AA109="",AA119=""),"",IFERROR(AA109*AA119,""))</f>
        <v/>
      </c>
      <c r="AB132" s="20">
        <f>IF(OR(AB109="",AB119=""),"",IFERROR(AB109*AB119,""))</f>
        <v/>
      </c>
      <c r="AC132" s="20">
        <f>IF(OR(AC109="",AC119=""),"",IFERROR(AC109*AC119,""))</f>
        <v/>
      </c>
    </row>
    <row r="133">
      <c r="A133" s="9" t="inlineStr">
        <is>
          <t>기업가치</t>
        </is>
      </c>
      <c r="B133" s="10" t="inlineStr">
        <is>
          <t>목표시총 + 자산가치</t>
        </is>
      </c>
      <c r="C133" s="11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1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1">
        <f>IF(OR(Y132=""),"",IFERROR(Y132+Y130,""))</f>
        <v/>
      </c>
      <c r="Z133" s="12">
        <f>IF(OR(Z132=""),"",IFERROR(Z132+Z130,""))</f>
        <v/>
      </c>
      <c r="AA133" s="12">
        <f>IF(OR(AA132=""),"",IFERROR(AA132+AA130,""))</f>
        <v/>
      </c>
      <c r="AB133" s="12">
        <f>IF(OR(AB132=""),"",IFERROR(AB132+AB130,""))</f>
        <v/>
      </c>
      <c r="AC133" s="12">
        <f>IF(OR(AC132=""),"",IFERROR(AC132+AC130,""))</f>
        <v/>
      </c>
    </row>
    <row r="134">
      <c r="A134" s="18" t="inlineStr">
        <is>
          <t>현재 시가총액</t>
        </is>
      </c>
      <c r="B134" s="10" t="n"/>
      <c r="C134" s="19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19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19">
        <f>$B$115</f>
        <v/>
      </c>
      <c r="Z134" s="20">
        <f>$B$115</f>
        <v/>
      </c>
      <c r="AA134" s="20">
        <f>$B$115</f>
        <v/>
      </c>
      <c r="AB134" s="20">
        <f>$B$115</f>
        <v/>
      </c>
      <c r="AC134" s="20">
        <f>$B$115</f>
        <v/>
      </c>
    </row>
    <row r="135">
      <c r="A135" s="18" t="inlineStr">
        <is>
          <t>상승여력</t>
        </is>
      </c>
      <c r="B135" s="10" t="n"/>
      <c r="C135" s="35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5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7">
        <f>IF(OR(Y133="",Y134=""),"",IFERROR(Y133/Y134-1,""))</f>
        <v/>
      </c>
      <c r="Z135" s="38">
        <f>IF(OR(Z133="",Z134=""),"",IFERROR(Z133/Z134-1,""))</f>
        <v/>
      </c>
      <c r="AA135" s="38">
        <f>IF(OR(AA133="",AA134=""),"",IFERROR(AA133/AA134-1,""))</f>
        <v/>
      </c>
      <c r="AB135" s="38">
        <f>IF(OR(AB133="",AB134=""),"",IFERROR(AB133/AB134-1,""))</f>
        <v/>
      </c>
      <c r="AC135" s="38">
        <f>IF(OR(AC133="",AC134=""),"",IFERROR(AC133/AC134-1,""))</f>
        <v/>
      </c>
    </row>
    <row r="136">
      <c r="C136" s="39" t="n"/>
      <c r="O136" s="39" t="n"/>
      <c r="Y136" s="39" t="n"/>
    </row>
    <row r="137">
      <c r="A137" s="40" t="inlineStr">
        <is>
          <t>출처</t>
        </is>
      </c>
      <c r="C137" s="39" t="n"/>
      <c r="O137" s="39" t="n"/>
      <c r="Y137" s="39" t="n"/>
    </row>
    <row r="138">
      <c r="A138" s="41" t="inlineStr">
        <is>
          <t>결산단신 XBRL(TDnet·JPX 보관소) — 쓴 문서는 '출처' 시트</t>
        </is>
      </c>
      <c r="C138" s="39" t="n"/>
      <c r="O138" s="39" t="n"/>
      <c r="Y138" s="39" t="n"/>
    </row>
    <row r="139">
      <c r="A139" s="41" t="inlineStr">
        <is>
          <t>분기 = 누계에서 앞 분기를 뺀 3개월 값</t>
        </is>
      </c>
      <c r="C139" s="39" t="n"/>
      <c r="O139" s="39" t="n"/>
      <c r="Y139" s="39" t="n"/>
    </row>
    <row r="140">
      <c r="A140" s="41" t="inlineStr">
        <is>
          <t>주가: 야후 파이낸스 일봉</t>
        </is>
      </c>
      <c r="C140" s="39" t="n"/>
      <c r="O140" s="39" t="n"/>
      <c r="Y140" s="39" t="n"/>
    </row>
    <row r="142">
      <c r="A142" s="16" t="inlineStr">
        <is>
          <t>손익계산서 · 전 항목</t>
        </is>
      </c>
      <c r="B142" s="42" t="inlineStr">
        <is>
          <t>분기 = 3개월 단독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</row>
    <row r="143">
      <c r="A143" s="5" t="inlineStr">
        <is>
          <t>항목</t>
        </is>
      </c>
      <c r="B143" s="5" t="inlineStr">
        <is>
          <t>참고</t>
        </is>
      </c>
      <c r="C143" s="5" t="inlineStr">
        <is>
          <t>2024.3Q</t>
        </is>
      </c>
      <c r="D143" s="5" t="inlineStr">
        <is>
          <t>2024.4Q</t>
        </is>
      </c>
      <c r="E143" s="5" t="inlineStr">
        <is>
          <t>2025.1Q</t>
        </is>
      </c>
      <c r="F143" s="5" t="inlineStr">
        <is>
          <t>2025.2Q</t>
        </is>
      </c>
      <c r="G143" s="5" t="inlineStr">
        <is>
          <t>2025.3Q</t>
        </is>
      </c>
      <c r="H143" s="5" t="inlineStr">
        <is>
          <t>2025.4Q</t>
        </is>
      </c>
      <c r="I143" s="5" t="inlineStr">
        <is>
          <t>2026.1Q</t>
        </is>
      </c>
      <c r="J143" s="5" t="inlineStr">
        <is>
          <t>2026.2Q</t>
        </is>
      </c>
      <c r="K143" s="5" t="inlineStr">
        <is>
          <t>2026.3Q</t>
        </is>
      </c>
      <c r="L143" s="5" t="inlineStr">
        <is>
          <t>2026.4Q</t>
        </is>
      </c>
      <c r="M143" s="5" t="inlineStr">
        <is>
          <t>2027.1Q</t>
        </is>
      </c>
      <c r="N143" s="5" t="inlineStr">
        <is>
          <t>2027.2Q</t>
        </is>
      </c>
      <c r="O143" s="5" t="inlineStr">
        <is>
          <t>2017</t>
        </is>
      </c>
      <c r="P143" s="5" t="inlineStr">
        <is>
          <t>2018</t>
        </is>
      </c>
      <c r="Q143" s="5" t="inlineStr">
        <is>
          <t>2019</t>
        </is>
      </c>
      <c r="R143" s="5" t="inlineStr">
        <is>
          <t>2020</t>
        </is>
      </c>
      <c r="S143" s="5" t="inlineStr">
        <is>
          <t>2021</t>
        </is>
      </c>
      <c r="T143" s="5" t="inlineStr">
        <is>
          <t>2022</t>
        </is>
      </c>
      <c r="U143" s="5" t="inlineStr">
        <is>
          <t>2023</t>
        </is>
      </c>
      <c r="V143" s="5" t="inlineStr">
        <is>
          <t>2024</t>
        </is>
      </c>
      <c r="W143" s="5" t="inlineStr">
        <is>
          <t>2025</t>
        </is>
      </c>
      <c r="X143" s="5" t="inlineStr">
        <is>
          <t>2026</t>
        </is>
      </c>
      <c r="Y143" s="5" t="inlineStr">
        <is>
          <t>2027(MW)</t>
        </is>
      </c>
      <c r="Z143" s="5" t="inlineStr">
        <is>
          <t>2028(MW)</t>
        </is>
      </c>
      <c r="AA143" s="5" t="inlineStr">
        <is>
          <t>2029(MW)</t>
        </is>
      </c>
      <c r="AB143" s="5" t="inlineStr">
        <is>
          <t>2030(MW)</t>
        </is>
      </c>
      <c r="AC143" s="5" t="inlineStr">
        <is>
          <t>2031(MW)</t>
        </is>
      </c>
    </row>
    <row r="144">
      <c r="A144" s="9" t="inlineStr">
        <is>
          <t>매출액</t>
        </is>
      </c>
      <c r="C144" s="12" t="n">
        <v>185024</v>
      </c>
      <c r="D144" s="12" t="n">
        <v>177519</v>
      </c>
      <c r="E144" s="12" t="n">
        <v>164513</v>
      </c>
      <c r="F144" s="12" t="n">
        <v>191222</v>
      </c>
      <c r="G144" s="12" t="n">
        <v>186569</v>
      </c>
      <c r="H144" s="12" t="n">
        <v>182150</v>
      </c>
      <c r="I144" s="12" t="n">
        <v>165747</v>
      </c>
      <c r="J144" s="12" t="n">
        <v>183625</v>
      </c>
      <c r="K144" s="12" t="n">
        <v>197727</v>
      </c>
      <c r="L144" s="12" t="n">
        <v>190342</v>
      </c>
      <c r="M144" s="12" t="n">
        <v>168611</v>
      </c>
      <c r="N144" s="12" t="n">
        <v>196064</v>
      </c>
      <c r="T144" s="12" t="n">
        <v>165141</v>
      </c>
      <c r="U144" s="12" t="n">
        <v>174044</v>
      </c>
      <c r="V144" s="12" t="n">
        <v>177519</v>
      </c>
      <c r="W144" s="12" t="n">
        <v>182150</v>
      </c>
      <c r="X144" s="12" t="n">
        <v>190342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T145" s="15">
        <f>IF(OR(T144="",S144=""),"",IF(S144&lt;=0,"",IFERROR(T144/S144-1,"")))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18" t="inlineStr">
        <is>
          <t>매출원가</t>
        </is>
      </c>
      <c r="C146" s="20" t="n">
        <v>118800</v>
      </c>
      <c r="D146" s="20" t="n">
        <v>117640</v>
      </c>
      <c r="E146" s="20" t="n">
        <v>105509</v>
      </c>
      <c r="F146" s="20" t="n">
        <v>124286</v>
      </c>
      <c r="G146" s="20" t="n">
        <v>118103</v>
      </c>
      <c r="H146" s="20" t="n">
        <v>122488</v>
      </c>
      <c r="I146" s="20" t="n">
        <v>107129</v>
      </c>
      <c r="J146" s="20" t="n">
        <v>118618</v>
      </c>
      <c r="K146" s="20" t="n">
        <v>126134</v>
      </c>
      <c r="L146" s="20" t="n">
        <v>122980</v>
      </c>
      <c r="M146" s="20" t="n">
        <v>109109</v>
      </c>
      <c r="N146" s="20" t="n">
        <v>123313</v>
      </c>
      <c r="T146" s="20" t="n">
        <v>100614</v>
      </c>
      <c r="U146" s="20" t="n">
        <v>118434</v>
      </c>
      <c r="V146" s="20" t="n">
        <v>117640</v>
      </c>
      <c r="W146" s="20" t="n">
        <v>122488</v>
      </c>
      <c r="X146" s="20" t="n">
        <v>122980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매출총이익</t>
        </is>
      </c>
      <c r="C148" s="12" t="n">
        <v>66223</v>
      </c>
      <c r="D148" s="12" t="n">
        <v>59879</v>
      </c>
      <c r="E148" s="12" t="n">
        <v>59003</v>
      </c>
      <c r="F148" s="12" t="n">
        <v>66936</v>
      </c>
      <c r="G148" s="12" t="n">
        <v>68467</v>
      </c>
      <c r="H148" s="12" t="n">
        <v>59662</v>
      </c>
      <c r="I148" s="12" t="n">
        <v>58617</v>
      </c>
      <c r="J148" s="12" t="n">
        <v>65008</v>
      </c>
      <c r="K148" s="12" t="n">
        <v>71593</v>
      </c>
      <c r="L148" s="12" t="n">
        <v>67361</v>
      </c>
      <c r="M148" s="12" t="n">
        <v>59501</v>
      </c>
      <c r="N148" s="12" t="n">
        <v>72751</v>
      </c>
      <c r="T148" s="12" t="n">
        <v>64527</v>
      </c>
      <c r="U148" s="12" t="n">
        <v>55610</v>
      </c>
      <c r="V148" s="12" t="n">
        <v>59879</v>
      </c>
      <c r="W148" s="12" t="n">
        <v>59662</v>
      </c>
      <c r="X148" s="12" t="n">
        <v>67361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판매비와 관리비</t>
        </is>
      </c>
      <c r="C150" s="20" t="n">
        <v>48584</v>
      </c>
      <c r="D150" s="20" t="n">
        <v>50022</v>
      </c>
      <c r="E150" s="20" t="n">
        <v>49203</v>
      </c>
      <c r="F150" s="20" t="n">
        <v>52594</v>
      </c>
      <c r="G150" s="20" t="n">
        <v>51102</v>
      </c>
      <c r="H150" s="20" t="n">
        <v>52689</v>
      </c>
      <c r="I150" s="20" t="n">
        <v>50410</v>
      </c>
      <c r="J150" s="20" t="n">
        <v>52433</v>
      </c>
      <c r="K150" s="20" t="n">
        <v>51955</v>
      </c>
      <c r="L150" s="20" t="n">
        <v>54022</v>
      </c>
      <c r="M150" s="20" t="n">
        <v>51427</v>
      </c>
      <c r="N150" s="20" t="n">
        <v>55642</v>
      </c>
      <c r="T150" s="20" t="n">
        <v>55373</v>
      </c>
      <c r="U150" s="20" t="n">
        <v>50083</v>
      </c>
      <c r="V150" s="20" t="n">
        <v>50022</v>
      </c>
      <c r="W150" s="20" t="n">
        <v>52689</v>
      </c>
      <c r="X150" s="20" t="n">
        <v>54022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IF(OR(G150="",C150=""),"",IF(G150*C150&lt;=0,"",IFERROR(G150/C150-1,"")))</f>
        <v/>
      </c>
      <c r="H151" s="15">
        <f>IF(OR(H150="",D150=""),"",IF(H150*D150&lt;=0,"",IFERROR(H150/D150-1,"")))</f>
        <v/>
      </c>
      <c r="I151" s="15">
        <f>IF(OR(I150="",E150=""),"",IF(I150*E150&lt;=0,"",IFERROR(I150/E150-1,"")))</f>
        <v/>
      </c>
      <c r="J151" s="15">
        <f>IF(OR(J150="",F150=""),"",IF(J150*F150&lt;=0,"",IFERROR(J150/F150-1,"")))</f>
        <v/>
      </c>
      <c r="K151" s="15">
        <f>IF(OR(K150="",G150=""),"",IF(K150*G150&lt;=0,"",IFERROR(K150/G150-1,"")))</f>
        <v/>
      </c>
      <c r="L151" s="15">
        <f>IF(OR(L150="",H150=""),"",IF(L150*H150&lt;=0,"",IFERROR(L150/H150-1,"")))</f>
        <v/>
      </c>
      <c r="M151" s="15">
        <f>IF(OR(M150="",I150=""),"",IF(M150*I150&lt;=0,"",IFERROR(M150/I150-1,"")))</f>
        <v/>
      </c>
      <c r="N151" s="15">
        <f>IF(OR(N150="",J150=""),"",IF(N150*J150&lt;=0,"",IFERROR(N150/J150-1,"")))</f>
        <v/>
      </c>
      <c r="T151" s="15">
        <f>IF(OR(T150="",S150=""),"",IF(T150*S150&lt;=0,"",IFERROR(T150/S150-1,"")))</f>
        <v/>
      </c>
      <c r="U151" s="15">
        <f>IF(OR(U150="",T150=""),"",IF(U150*T150&lt;=0,"",IFERROR(U150/T150-1,"")))</f>
        <v/>
      </c>
      <c r="V151" s="15">
        <f>IF(OR(V150="",U150=""),"",IF(V150*U150&lt;=0,"",IFERROR(V150/U150-1,"")))</f>
        <v/>
      </c>
      <c r="W151" s="15">
        <f>IF(OR(W150="",V150=""),"",IF(W150*V150&lt;=0,"",IFERROR(W150/V150-1,"")))</f>
        <v/>
      </c>
      <c r="X151" s="15">
        <f>IF(OR(X150="",W150=""),"",IF(X150*W150&lt;=0,"",IFERROR(X150/W150-1,"")))</f>
        <v/>
      </c>
    </row>
    <row r="152">
      <c r="A152" s="9" t="inlineStr">
        <is>
          <t>영업이익</t>
        </is>
      </c>
      <c r="C152" s="12" t="n">
        <v>17640</v>
      </c>
      <c r="D152" s="12" t="n">
        <v>9857</v>
      </c>
      <c r="E152" s="12" t="n">
        <v>9800</v>
      </c>
      <c r="F152" s="12" t="n">
        <v>14342</v>
      </c>
      <c r="G152" s="12" t="n">
        <v>17364</v>
      </c>
      <c r="H152" s="12" t="n">
        <v>6973</v>
      </c>
      <c r="I152" s="12" t="n">
        <v>8207</v>
      </c>
      <c r="J152" s="12" t="n">
        <v>12574</v>
      </c>
      <c r="K152" s="12" t="n">
        <v>19638</v>
      </c>
      <c r="L152" s="12" t="n">
        <v>13340</v>
      </c>
      <c r="M152" s="12" t="n">
        <v>8073</v>
      </c>
      <c r="N152" s="12" t="n">
        <v>17109</v>
      </c>
      <c r="T152" s="12" t="n">
        <v>9154</v>
      </c>
      <c r="U152" s="12" t="n">
        <v>5527</v>
      </c>
      <c r="V152" s="12" t="n">
        <v>9857</v>
      </c>
      <c r="W152" s="12" t="n">
        <v>6973</v>
      </c>
      <c r="X152" s="12" t="n">
        <v>13340</v>
      </c>
    </row>
    <row r="153">
      <c r="A153" s="43" t="inlineStr">
        <is>
          <t>OPM</t>
        </is>
      </c>
      <c r="B153" s="3" t="inlineStr">
        <is>
          <t>영업이익 ÷ 매출</t>
        </is>
      </c>
      <c r="C153" s="15">
        <f>IF(OR(C152="",C144=""),"",IF(C144&lt;=0,"",IFERROR(C152/C144,"")))</f>
        <v/>
      </c>
      <c r="D153" s="15">
        <f>IF(OR(D152="",D144=""),"",IF(D144&lt;=0,"",IFERROR(D152/D144,"")))</f>
        <v/>
      </c>
      <c r="E153" s="15">
        <f>IF(OR(E152="",E144=""),"",IF(E144&lt;=0,"",IFERROR(E152/E144,"")))</f>
        <v/>
      </c>
      <c r="F153" s="15">
        <f>IF(OR(F152="",F144=""),"",IF(F144&lt;=0,"",IFERROR(F152/F144,"")))</f>
        <v/>
      </c>
      <c r="G153" s="15">
        <f>IF(OR(G152="",G144=""),"",IF(G144&lt;=0,"",IFERROR(G152/G144,"")))</f>
        <v/>
      </c>
      <c r="H153" s="15">
        <f>IF(OR(H152="",H144=""),"",IF(H144&lt;=0,"",IFERROR(H152/H144,"")))</f>
        <v/>
      </c>
      <c r="I153" s="15">
        <f>IF(OR(I152="",I144=""),"",IF(I144&lt;=0,"",IFERROR(I152/I144,"")))</f>
        <v/>
      </c>
      <c r="J153" s="15">
        <f>IF(OR(J152="",J144=""),"",IF(J144&lt;=0,"",IFERROR(J152/J144,"")))</f>
        <v/>
      </c>
      <c r="K153" s="15">
        <f>IF(OR(K152="",K144=""),"",IF(K144&lt;=0,"",IFERROR(K152/K144,"")))</f>
        <v/>
      </c>
      <c r="L153" s="15">
        <f>IF(OR(L152="",L144=""),"",IF(L144&lt;=0,"",IFERROR(L152/L144,"")))</f>
        <v/>
      </c>
      <c r="M153" s="15">
        <f>IF(OR(M152="",M144=""),"",IF(M144&lt;=0,"",IFERROR(M152/M144,"")))</f>
        <v/>
      </c>
      <c r="N153" s="15">
        <f>IF(OR(N152="",N144=""),"",IF(N144&lt;=0,"",IFERROR(N152/N144,"")))</f>
        <v/>
      </c>
      <c r="T153" s="15">
        <f>IF(OR(T152="",T144=""),"",IF(T144&lt;=0,"",IFERROR(T152/T144,"")))</f>
        <v/>
      </c>
      <c r="U153" s="15">
        <f>IF(OR(U152="",U144=""),"",IF(U144&lt;=0,"",IFERROR(U152/U144,"")))</f>
        <v/>
      </c>
      <c r="V153" s="15">
        <f>IF(OR(V152="",V144=""),"",IF(V144&lt;=0,"",IFERROR(V152/V144,"")))</f>
        <v/>
      </c>
      <c r="W153" s="15">
        <f>IF(OR(W152="",W144=""),"",IF(W144&lt;=0,"",IFERROR(W152/W144,"")))</f>
        <v/>
      </c>
      <c r="X153" s="15">
        <f>IF(OR(X152="",X144=""),"",IF(X144&lt;=0,"",IFERROR(X152/X144,"")))</f>
        <v/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IF(OR(G152="",C152=""),"",IF(C152&lt;=0,"",IFERROR(G152/C152-1,"")))</f>
        <v/>
      </c>
      <c r="H154" s="15">
        <f>IF(OR(H152="",D152=""),"",IF(D152&lt;=0,"",IFERROR(H152/D152-1,"")))</f>
        <v/>
      </c>
      <c r="I154" s="15">
        <f>IF(OR(I152="",E152=""),"",IF(E152&lt;=0,"",IFERROR(I152/E152-1,"")))</f>
        <v/>
      </c>
      <c r="J154" s="15">
        <f>IF(OR(J152="",F152=""),"",IF(F152&lt;=0,"",IFERROR(J152/F152-1,"")))</f>
        <v/>
      </c>
      <c r="K154" s="15">
        <f>IF(OR(K152="",G152=""),"",IF(G152&lt;=0,"",IFERROR(K152/G152-1,"")))</f>
        <v/>
      </c>
      <c r="L154" s="15">
        <f>IF(OR(L152="",H152=""),"",IF(H152&lt;=0,"",IFERROR(L152/H152-1,"")))</f>
        <v/>
      </c>
      <c r="M154" s="15">
        <f>IF(OR(M152="",I152=""),"",IF(I152&lt;=0,"",IFERROR(M152/I152-1,"")))</f>
        <v/>
      </c>
      <c r="N154" s="15">
        <f>IF(OR(N152="",J152=""),"",IF(J152&lt;=0,"",IFERROR(N152/J152-1,"")))</f>
        <v/>
      </c>
      <c r="T154" s="15">
        <f>IF(OR(T152="",S152=""),"",IF(S152&lt;=0,"",IFERROR(T152/S152-1,"")))</f>
        <v/>
      </c>
      <c r="U154" s="15">
        <f>IF(OR(U152="",T152=""),"",IF(T152&lt;=0,"",IFERROR(U152/T152-1,"")))</f>
        <v/>
      </c>
      <c r="V154" s="15">
        <f>IF(OR(V152="",U152=""),"",IF(U152&lt;=0,"",IFERROR(V152/U152-1,"")))</f>
        <v/>
      </c>
      <c r="W154" s="15">
        <f>IF(OR(W152="",V152=""),"",IF(V152&lt;=0,"",IFERROR(W152/V152-1,"")))</f>
        <v/>
      </c>
      <c r="X154" s="15">
        <f>IF(OR(X152="",W152=""),"",IF(W152&lt;=0,"",IFERROR(X152/W152-1,"")))</f>
        <v/>
      </c>
    </row>
    <row r="155">
      <c r="A155" s="18" t="inlineStr">
        <is>
          <t>이자수익</t>
        </is>
      </c>
      <c r="C155" s="20" t="n">
        <v>236</v>
      </c>
      <c r="D155" s="20" t="n">
        <v>350</v>
      </c>
      <c r="E155" s="20" t="n">
        <v>220</v>
      </c>
      <c r="F155" s="20" t="n">
        <v>277</v>
      </c>
      <c r="G155" s="20" t="n">
        <v>160</v>
      </c>
      <c r="H155" s="20" t="n">
        <v>224</v>
      </c>
      <c r="I155" s="20" t="n">
        <v>170</v>
      </c>
      <c r="J155" s="20" t="n">
        <v>250</v>
      </c>
      <c r="K155" s="20" t="n">
        <v>192</v>
      </c>
      <c r="L155" s="20" t="n">
        <v>253</v>
      </c>
      <c r="M155" s="20" t="n">
        <v>159</v>
      </c>
      <c r="N155" s="20" t="n">
        <v>271</v>
      </c>
      <c r="T155" s="20" t="n">
        <v>171</v>
      </c>
      <c r="U155" s="20" t="n">
        <v>374</v>
      </c>
      <c r="V155" s="20" t="n">
        <v>350</v>
      </c>
      <c r="W155" s="20" t="n">
        <v>224</v>
      </c>
      <c r="X155" s="20" t="n">
        <v>253</v>
      </c>
    </row>
    <row r="156">
      <c r="A156" s="18" t="inlineStr">
        <is>
          <t>배당금수익</t>
        </is>
      </c>
      <c r="C156" s="20" t="n">
        <v>704</v>
      </c>
      <c r="D156" s="20" t="n">
        <v>94</v>
      </c>
      <c r="E156" s="20" t="n">
        <v>1044</v>
      </c>
      <c r="F156" s="20" t="n">
        <v>340</v>
      </c>
      <c r="G156" s="20" t="n">
        <v>748</v>
      </c>
      <c r="H156" s="20" t="n">
        <v>140</v>
      </c>
      <c r="I156" s="20" t="n">
        <v>984</v>
      </c>
      <c r="J156" s="20" t="n">
        <v>227</v>
      </c>
      <c r="K156" s="20" t="n">
        <v>694</v>
      </c>
      <c r="L156" s="20" t="n">
        <v>92</v>
      </c>
      <c r="M156" s="20" t="n">
        <v>801</v>
      </c>
      <c r="N156" s="20" t="n">
        <v>169</v>
      </c>
      <c r="T156" s="20" t="n">
        <v>146</v>
      </c>
      <c r="U156" s="20" t="n">
        <v>102</v>
      </c>
      <c r="V156" s="20" t="n">
        <v>94</v>
      </c>
      <c r="W156" s="20" t="n">
        <v>140</v>
      </c>
      <c r="X156" s="20" t="n">
        <v>92</v>
      </c>
    </row>
    <row r="157">
      <c r="A157" s="18" t="inlineStr">
        <is>
          <t>지분법이익</t>
        </is>
      </c>
      <c r="C157" s="20" t="n">
        <v>134</v>
      </c>
      <c r="D157" s="20" t="n">
        <v>150</v>
      </c>
      <c r="E157" s="20" t="n">
        <v>248</v>
      </c>
      <c r="F157" s="20" t="n">
        <v>201</v>
      </c>
      <c r="G157" s="20" t="n">
        <v>416</v>
      </c>
      <c r="H157" s="20" t="n">
        <v>395</v>
      </c>
      <c r="I157" s="20" t="n">
        <v>345</v>
      </c>
      <c r="J157" s="20" t="n">
        <v>336</v>
      </c>
      <c r="K157" s="20" t="n">
        <v>389</v>
      </c>
      <c r="L157" s="20" t="n">
        <v>409</v>
      </c>
      <c r="M157" s="20" t="n">
        <v>213</v>
      </c>
      <c r="N157" s="20" t="n">
        <v>189</v>
      </c>
      <c r="T157" s="20" t="n">
        <v>476</v>
      </c>
      <c r="U157" s="20" t="n">
        <v>712</v>
      </c>
      <c r="V157" s="20" t="n">
        <v>150</v>
      </c>
      <c r="W157" s="20" t="n">
        <v>395</v>
      </c>
      <c r="X157" s="20" t="n">
        <v>409</v>
      </c>
    </row>
    <row r="158">
      <c r="A158" s="18" t="inlineStr">
        <is>
          <t>외환차익</t>
        </is>
      </c>
      <c r="C158" s="20" t="n">
        <v>-3828</v>
      </c>
      <c r="D158" s="20" t="n">
        <v>3730</v>
      </c>
      <c r="E158" s="20" t="n">
        <v>3170</v>
      </c>
      <c r="F158" s="20" t="n">
        <v>-3170</v>
      </c>
      <c r="G158" s="20" t="n">
        <v>1108</v>
      </c>
      <c r="H158" s="20" t="n">
        <v>-1108</v>
      </c>
      <c r="I158" s="20" t="n">
        <v>0</v>
      </c>
      <c r="J158" s="20" t="n">
        <v>449</v>
      </c>
      <c r="K158" s="20" t="n">
        <v>3046</v>
      </c>
      <c r="L158" s="20" t="n">
        <v>886</v>
      </c>
      <c r="M158" s="20" t="n">
        <v>1105</v>
      </c>
      <c r="N158" s="20" t="n">
        <v>-1105</v>
      </c>
      <c r="T158" s="20" t="n">
        <v>2238</v>
      </c>
      <c r="U158" s="20" t="n">
        <v>927</v>
      </c>
      <c r="V158" s="20" t="n">
        <v>3730</v>
      </c>
      <c r="W158" s="20" t="n">
        <v>-1108</v>
      </c>
      <c r="X158" s="20" t="n">
        <v>886</v>
      </c>
    </row>
    <row r="159">
      <c r="A159" s="18" t="inlineStr">
        <is>
          <t>기타</t>
        </is>
      </c>
      <c r="C159" s="20" t="n">
        <v>121</v>
      </c>
      <c r="D159" s="20" t="n">
        <v>360</v>
      </c>
      <c r="E159" s="20" t="n">
        <v>238</v>
      </c>
      <c r="F159" s="20" t="n">
        <v>113</v>
      </c>
      <c r="G159" s="20" t="n">
        <v>429</v>
      </c>
      <c r="H159" s="20" t="n">
        <v>619</v>
      </c>
      <c r="I159" s="20" t="n">
        <v>421</v>
      </c>
      <c r="J159" s="20" t="n">
        <v>284</v>
      </c>
      <c r="K159" s="20" t="n">
        <v>174</v>
      </c>
      <c r="L159" s="20" t="n">
        <v>420</v>
      </c>
      <c r="M159" s="20" t="n">
        <v>297</v>
      </c>
      <c r="N159" s="20" t="n">
        <v>200</v>
      </c>
      <c r="T159" s="20" t="n">
        <v>-45</v>
      </c>
      <c r="U159" s="20" t="n">
        <v>330</v>
      </c>
      <c r="V159" s="20" t="n">
        <v>360</v>
      </c>
      <c r="W159" s="20" t="n">
        <v>619</v>
      </c>
      <c r="X159" s="20" t="n">
        <v>420</v>
      </c>
    </row>
    <row r="160">
      <c r="A160" s="18" t="inlineStr">
        <is>
          <t>영업외수익 합계</t>
        </is>
      </c>
      <c r="C160" s="20" t="n">
        <v>-2633</v>
      </c>
      <c r="D160" s="20" t="n">
        <v>4683</v>
      </c>
      <c r="E160" s="20" t="n">
        <v>4922</v>
      </c>
      <c r="F160" s="20" t="n">
        <v>-2240</v>
      </c>
      <c r="G160" s="20" t="n">
        <v>2862</v>
      </c>
      <c r="H160" s="20" t="n">
        <v>269</v>
      </c>
      <c r="I160" s="20" t="n">
        <v>1921</v>
      </c>
      <c r="J160" s="20" t="n">
        <v>1547</v>
      </c>
      <c r="K160" s="20" t="n">
        <v>4495</v>
      </c>
      <c r="L160" s="20" t="n">
        <v>2060</v>
      </c>
      <c r="M160" s="20" t="n">
        <v>2577</v>
      </c>
      <c r="N160" s="20" t="n">
        <v>-277</v>
      </c>
      <c r="T160" s="20" t="n">
        <v>2986</v>
      </c>
      <c r="U160" s="20" t="n">
        <v>2446</v>
      </c>
      <c r="V160" s="20" t="n">
        <v>4683</v>
      </c>
      <c r="W160" s="20" t="n">
        <v>269</v>
      </c>
      <c r="X160" s="20" t="n">
        <v>2060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IF(OR(G160="",C160=""),"",IF(G160*C160&lt;=0,"",IFERROR(G160/C160-1,"")))</f>
        <v/>
      </c>
      <c r="H161" s="15">
        <f>IF(OR(H160="",D160=""),"",IF(H160*D160&lt;=0,"",IFERROR(H160/D160-1,"")))</f>
        <v/>
      </c>
      <c r="I161" s="15">
        <f>IF(OR(I160="",E160=""),"",IF(I160*E160&lt;=0,"",IFERROR(I160/E160-1,"")))</f>
        <v/>
      </c>
      <c r="J161" s="15">
        <f>IF(OR(J160="",F160=""),"",IF(J160*F160&lt;=0,"",IFERROR(J160/F160-1,"")))</f>
        <v/>
      </c>
      <c r="K161" s="15">
        <f>IF(OR(K160="",G160=""),"",IF(K160*G160&lt;=0,"",IFERROR(K160/G160-1,"")))</f>
        <v/>
      </c>
      <c r="L161" s="15">
        <f>IF(OR(L160="",H160=""),"",IF(L160*H160&lt;=0,"",IFERROR(L160/H160-1,"")))</f>
        <v/>
      </c>
      <c r="M161" s="15">
        <f>IF(OR(M160="",I160=""),"",IF(M160*I160&lt;=0,"",IFERROR(M160/I160-1,"")))</f>
        <v/>
      </c>
      <c r="N161" s="15">
        <f>IF(OR(N160="",J160=""),"",IF(N160*J160&lt;=0,"",IFERROR(N160/J160-1,"")))</f>
        <v/>
      </c>
      <c r="T161" s="15">
        <f>IF(OR(T160="",S160=""),"",IF(T160*S160&lt;=0,"",IFERROR(T160/S160-1,"")))</f>
        <v/>
      </c>
      <c r="U161" s="15">
        <f>IF(OR(U160="",T160=""),"",IF(U160*T160&lt;=0,"",IFERROR(U160/T160-1,"")))</f>
        <v/>
      </c>
      <c r="V161" s="15">
        <f>IF(OR(V160="",U160=""),"",IF(V160*U160&lt;=0,"",IFERROR(V160/U160-1,"")))</f>
        <v/>
      </c>
      <c r="W161" s="15">
        <f>IF(OR(W160="",V160=""),"",IF(W160*V160&lt;=0,"",IFERROR(W160/V160-1,"")))</f>
        <v/>
      </c>
      <c r="X161" s="15">
        <f>IF(OR(X160="",W160=""),"",IF(X160*W160&lt;=0,"",IFERROR(X160/W160-1,"")))</f>
        <v/>
      </c>
    </row>
    <row r="162">
      <c r="A162" s="18" t="inlineStr">
        <is>
          <t>이자비용</t>
        </is>
      </c>
      <c r="C162" s="20" t="n">
        <v>72</v>
      </c>
      <c r="D162" s="20" t="n">
        <v>52</v>
      </c>
      <c r="E162" s="20" t="n">
        <v>24</v>
      </c>
      <c r="F162" s="20" t="n">
        <v>95</v>
      </c>
      <c r="G162" s="20" t="n">
        <v>102</v>
      </c>
      <c r="H162" s="20" t="n">
        <v>97</v>
      </c>
      <c r="I162" s="20" t="n">
        <v>141</v>
      </c>
      <c r="J162" s="20" t="n">
        <v>168</v>
      </c>
      <c r="K162" s="20" t="n">
        <v>177</v>
      </c>
      <c r="L162" s="20" t="n">
        <v>250</v>
      </c>
      <c r="M162" s="20" t="n">
        <v>247</v>
      </c>
      <c r="N162" s="20" t="n">
        <v>296</v>
      </c>
      <c r="T162" s="20" t="n">
        <v>13</v>
      </c>
      <c r="U162" s="20" t="n">
        <v>45</v>
      </c>
      <c r="V162" s="20" t="n">
        <v>52</v>
      </c>
      <c r="W162" s="20" t="n">
        <v>97</v>
      </c>
      <c r="X162" s="20" t="n">
        <v>250</v>
      </c>
    </row>
    <row r="163">
      <c r="A163" s="18" t="inlineStr">
        <is>
          <t>고정자산 제각손실</t>
        </is>
      </c>
      <c r="C163" s="20" t="n">
        <v>142</v>
      </c>
      <c r="D163" s="20" t="n">
        <v>241</v>
      </c>
      <c r="E163" s="20" t="n">
        <v>110</v>
      </c>
      <c r="F163" s="20" t="n">
        <v>440</v>
      </c>
      <c r="G163" s="20" t="n">
        <v>159</v>
      </c>
      <c r="H163" s="20" t="n">
        <v>109</v>
      </c>
      <c r="I163" s="20" t="n">
        <v>145</v>
      </c>
      <c r="J163" s="20" t="n">
        <v>372</v>
      </c>
      <c r="K163" s="20" t="n">
        <v>491</v>
      </c>
      <c r="L163" s="20" t="n">
        <v>634</v>
      </c>
      <c r="M163" s="20" t="n">
        <v>531</v>
      </c>
      <c r="N163" s="20" t="n">
        <v>255</v>
      </c>
      <c r="T163" s="20" t="n">
        <v>381</v>
      </c>
      <c r="U163" s="20" t="n">
        <v>168</v>
      </c>
      <c r="V163" s="20" t="n">
        <v>241</v>
      </c>
      <c r="W163" s="20" t="n">
        <v>109</v>
      </c>
      <c r="X163" s="20" t="n">
        <v>634</v>
      </c>
    </row>
    <row r="164">
      <c r="A164" s="18" t="inlineStr">
        <is>
          <t>지분법손실</t>
        </is>
      </c>
      <c r="T164" s="20" t="n">
        <v>-102</v>
      </c>
    </row>
    <row r="165">
      <c r="A165" s="18" t="inlineStr">
        <is>
          <t>Loss On Inspection And Repair Of Products NOE</t>
        </is>
      </c>
      <c r="C165" s="20" t="n">
        <v>0</v>
      </c>
      <c r="D165" s="20" t="n">
        <v>0</v>
      </c>
      <c r="T165" s="20" t="n">
        <v>0</v>
      </c>
      <c r="U165" s="20" t="n">
        <v>346</v>
      </c>
      <c r="V165" s="20" t="n">
        <v>0</v>
      </c>
    </row>
    <row r="166">
      <c r="A166" s="18" t="inlineStr">
        <is>
          <t>외환차손</t>
        </is>
      </c>
      <c r="E166" s="20" t="n">
        <v>0</v>
      </c>
      <c r="F166" s="20" t="n">
        <v>3016</v>
      </c>
      <c r="I166" s="20" t="n">
        <v>971</v>
      </c>
      <c r="J166" s="20" t="n">
        <v>-971</v>
      </c>
      <c r="M166" s="20" t="n">
        <v>0</v>
      </c>
      <c r="N166" s="20" t="n">
        <v>220</v>
      </c>
    </row>
    <row r="167">
      <c r="A167" s="18" t="inlineStr">
        <is>
          <t>기타</t>
        </is>
      </c>
      <c r="C167" s="20" t="n">
        <v>84</v>
      </c>
      <c r="D167" s="20" t="n">
        <v>303</v>
      </c>
      <c r="E167" s="20" t="n">
        <v>204</v>
      </c>
      <c r="F167" s="20" t="n">
        <v>262</v>
      </c>
      <c r="G167" s="20" t="n">
        <v>161</v>
      </c>
      <c r="H167" s="20" t="n">
        <v>367</v>
      </c>
      <c r="I167" s="20" t="n">
        <v>131</v>
      </c>
      <c r="J167" s="20" t="n">
        <v>202</v>
      </c>
      <c r="K167" s="20" t="n">
        <v>83</v>
      </c>
      <c r="L167" s="20" t="n">
        <v>297</v>
      </c>
      <c r="M167" s="20" t="n">
        <v>499</v>
      </c>
      <c r="N167" s="20" t="n">
        <v>622</v>
      </c>
      <c r="T167" s="20" t="n">
        <v>82</v>
      </c>
      <c r="U167" s="20" t="n">
        <v>117</v>
      </c>
      <c r="V167" s="20" t="n">
        <v>303</v>
      </c>
      <c r="W167" s="20" t="n">
        <v>367</v>
      </c>
      <c r="X167" s="20" t="n">
        <v>297</v>
      </c>
    </row>
    <row r="168">
      <c r="A168" s="18" t="inlineStr">
        <is>
          <t>영업외비용 합계</t>
        </is>
      </c>
      <c r="C168" s="20" t="n">
        <v>298</v>
      </c>
      <c r="D168" s="20" t="n">
        <v>596</v>
      </c>
      <c r="E168" s="20" t="n">
        <v>339</v>
      </c>
      <c r="F168" s="20" t="n">
        <v>3814</v>
      </c>
      <c r="G168" s="20" t="n">
        <v>-2595</v>
      </c>
      <c r="H168" s="20" t="n">
        <v>2365</v>
      </c>
      <c r="I168" s="20" t="n">
        <v>1390</v>
      </c>
      <c r="J168" s="20" t="n">
        <v>-230</v>
      </c>
      <c r="K168" s="20" t="n">
        <v>751</v>
      </c>
      <c r="L168" s="20" t="n">
        <v>1182</v>
      </c>
      <c r="M168" s="20" t="n">
        <v>1278</v>
      </c>
      <c r="N168" s="20" t="n">
        <v>1392</v>
      </c>
      <c r="T168" s="20" t="n">
        <v>1147</v>
      </c>
      <c r="U168" s="20" t="n">
        <v>677</v>
      </c>
      <c r="V168" s="20" t="n">
        <v>596</v>
      </c>
      <c r="W168" s="20" t="n">
        <v>2365</v>
      </c>
      <c r="X168" s="20" t="n">
        <v>1182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IF(OR(G168="",C168=""),"",IF(G168*C168&lt;=0,"",IFERROR(G168/C168-1,"")))</f>
        <v/>
      </c>
      <c r="H169" s="15">
        <f>IF(OR(H168="",D168=""),"",IF(H168*D168&lt;=0,"",IFERROR(H168/D168-1,"")))</f>
        <v/>
      </c>
      <c r="I169" s="15">
        <f>IF(OR(I168="",E168=""),"",IF(I168*E168&lt;=0,"",IFERROR(I168/E168-1,"")))</f>
        <v/>
      </c>
      <c r="J169" s="15">
        <f>IF(OR(J168="",F168=""),"",IF(J168*F168&lt;=0,"",IFERROR(J168/F168-1,"")))</f>
        <v/>
      </c>
      <c r="K169" s="15">
        <f>IF(OR(K168="",G168=""),"",IF(K168*G168&lt;=0,"",IFERROR(K168/G168-1,"")))</f>
        <v/>
      </c>
      <c r="L169" s="15">
        <f>IF(OR(L168="",H168=""),"",IF(L168*H168&lt;=0,"",IFERROR(L168/H168-1,"")))</f>
        <v/>
      </c>
      <c r="M169" s="15">
        <f>IF(OR(M168="",I168=""),"",IF(M168*I168&lt;=0,"",IFERROR(M168/I168-1,"")))</f>
        <v/>
      </c>
      <c r="N169" s="15">
        <f>IF(OR(N168="",J168=""),"",IF(N168*J168&lt;=0,"",IFERROR(N168/J168-1,"")))</f>
        <v/>
      </c>
      <c r="T169" s="15">
        <f>IF(OR(T168="",S168=""),"",IF(T168*S168&lt;=0,"",IFERROR(T168/S168-1,"")))</f>
        <v/>
      </c>
      <c r="U169" s="15">
        <f>IF(OR(U168="",T168=""),"",IF(U168*T168&lt;=0,"",IFERROR(U168/T168-1,"")))</f>
        <v/>
      </c>
      <c r="V169" s="15">
        <f>IF(OR(V168="",U168=""),"",IF(V168*U168&lt;=0,"",IFERROR(V168/U168-1,"")))</f>
        <v/>
      </c>
      <c r="W169" s="15">
        <f>IF(OR(W168="",V168=""),"",IF(W168*V168&lt;=0,"",IFERROR(W168/V168-1,"")))</f>
        <v/>
      </c>
      <c r="X169" s="15">
        <f>IF(OR(X168="",W168=""),"",IF(X168*W168&lt;=0,"",IFERROR(X168/W168-1,"")))</f>
        <v/>
      </c>
    </row>
    <row r="170">
      <c r="A170" s="9" t="inlineStr">
        <is>
          <t>경상이익</t>
        </is>
      </c>
      <c r="C170" s="12" t="n">
        <v>14708</v>
      </c>
      <c r="D170" s="12" t="n">
        <v>13946</v>
      </c>
      <c r="E170" s="12" t="n">
        <v>14382</v>
      </c>
      <c r="F170" s="12" t="n">
        <v>8289</v>
      </c>
      <c r="G170" s="12" t="n">
        <v>22821</v>
      </c>
      <c r="H170" s="12" t="n">
        <v>4877</v>
      </c>
      <c r="I170" s="12" t="n">
        <v>8738</v>
      </c>
      <c r="J170" s="12" t="n">
        <v>14351</v>
      </c>
      <c r="K170" s="12" t="n">
        <v>23382</v>
      </c>
      <c r="L170" s="12" t="n">
        <v>14218</v>
      </c>
      <c r="M170" s="12" t="n">
        <v>9372</v>
      </c>
      <c r="N170" s="12" t="n">
        <v>15440</v>
      </c>
      <c r="T170" s="12" t="n">
        <v>10993</v>
      </c>
      <c r="U170" s="12" t="n">
        <v>7297</v>
      </c>
      <c r="V170" s="12" t="n">
        <v>13946</v>
      </c>
      <c r="W170" s="12" t="n">
        <v>4877</v>
      </c>
      <c r="X170" s="12" t="n">
        <v>14218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T171" s="15">
        <f>IF(OR(T170="",S170=""),"",IF(S170&lt;=0,"",IFERROR(T170/S170-1,"")))</f>
        <v/>
      </c>
      <c r="U171" s="15">
        <f>IF(OR(U170="",T170=""),"",IF(T170&lt;=0,"",IFERROR(U170/T170-1,"")))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Gain On Sales Of Land And Others EI</t>
        </is>
      </c>
      <c r="C172" s="20" t="n">
        <v>18</v>
      </c>
      <c r="D172" s="20" t="n">
        <v>0</v>
      </c>
      <c r="G172" s="20" t="n">
        <v>0</v>
      </c>
      <c r="H172" s="20" t="n">
        <v>0</v>
      </c>
      <c r="T172" s="20" t="n">
        <v>18</v>
      </c>
      <c r="U172" s="20" t="n">
        <v>0</v>
      </c>
      <c r="V172" s="20" t="n">
        <v>0</v>
      </c>
      <c r="W172" s="20" t="n">
        <v>0</v>
      </c>
    </row>
    <row r="173">
      <c r="A173" s="18" t="inlineStr">
        <is>
          <t>고정자산 매각이익</t>
        </is>
      </c>
      <c r="I173" s="20" t="n">
        <v>0</v>
      </c>
      <c r="J173" s="20" t="n">
        <v>0</v>
      </c>
      <c r="M173" s="20" t="n">
        <v>24</v>
      </c>
      <c r="N173" s="20" t="n">
        <v>3</v>
      </c>
    </row>
    <row r="174">
      <c r="A174" s="18" t="inlineStr">
        <is>
          <t>투자유가증권 매각이익</t>
        </is>
      </c>
      <c r="C174" s="20" t="n">
        <v>356</v>
      </c>
      <c r="D174" s="20" t="n">
        <v>0</v>
      </c>
      <c r="E174" s="20" t="n">
        <v>0</v>
      </c>
      <c r="F174" s="20" t="n">
        <v>3774</v>
      </c>
      <c r="G174" s="20" t="n">
        <v>3365</v>
      </c>
      <c r="H174" s="20" t="n">
        <v>1074</v>
      </c>
      <c r="I174" s="20" t="n">
        <v>0</v>
      </c>
      <c r="J174" s="20" t="n">
        <v>4564</v>
      </c>
      <c r="K174" s="20" t="n">
        <v>4819</v>
      </c>
      <c r="L174" s="20" t="n">
        <v>5346</v>
      </c>
      <c r="M174" s="20" t="n">
        <v>1039</v>
      </c>
      <c r="N174" s="20" t="n">
        <v>4954</v>
      </c>
      <c r="T174" s="20" t="n">
        <v>462</v>
      </c>
      <c r="U174" s="20" t="n">
        <v>0</v>
      </c>
      <c r="V174" s="20" t="n">
        <v>0</v>
      </c>
      <c r="W174" s="20" t="n">
        <v>1074</v>
      </c>
      <c r="X174" s="20" t="n">
        <v>5346</v>
      </c>
    </row>
    <row r="175">
      <c r="A175" s="18" t="inlineStr">
        <is>
          <t>Gain On Sales Of Memberships EI</t>
        </is>
      </c>
      <c r="T175" s="20" t="n">
        <v>0</v>
      </c>
      <c r="U175" s="20" t="n">
        <v>0</v>
      </c>
    </row>
    <row r="176">
      <c r="A176" s="18" t="inlineStr">
        <is>
          <t>보상금 수취</t>
        </is>
      </c>
      <c r="D176" s="20" t="n">
        <v>0</v>
      </c>
      <c r="T176" s="20" t="n">
        <v>0</v>
      </c>
      <c r="U176" s="20" t="n">
        <v>0</v>
      </c>
      <c r="V176" s="20" t="n">
        <v>0</v>
      </c>
    </row>
    <row r="177">
      <c r="A177" s="18" t="inlineStr">
        <is>
          <t>특별이익 합계</t>
        </is>
      </c>
      <c r="C177" s="20" t="n">
        <v>373</v>
      </c>
      <c r="D177" s="20" t="n">
        <v>0</v>
      </c>
      <c r="E177" s="20" t="n">
        <v>0</v>
      </c>
      <c r="F177" s="20" t="n">
        <v>3774</v>
      </c>
      <c r="G177" s="20" t="n">
        <v>3365</v>
      </c>
      <c r="H177" s="20" t="n">
        <v>1074</v>
      </c>
      <c r="I177" s="20" t="n">
        <v>0</v>
      </c>
      <c r="J177" s="20" t="n">
        <v>4564</v>
      </c>
      <c r="K177" s="20" t="n">
        <v>4819</v>
      </c>
      <c r="L177" s="20" t="n">
        <v>5430</v>
      </c>
      <c r="M177" s="20" t="n">
        <v>1063</v>
      </c>
      <c r="N177" s="20" t="n">
        <v>4958</v>
      </c>
      <c r="T177" s="20" t="n">
        <v>480</v>
      </c>
      <c r="U177" s="20" t="n">
        <v>0</v>
      </c>
      <c r="V177" s="20" t="n">
        <v>0</v>
      </c>
      <c r="W177" s="20" t="n">
        <v>1074</v>
      </c>
      <c r="X177" s="20" t="n">
        <v>5430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IF(OR(G177="",C177=""),"",IF(G177*C177&lt;=0,"",IFERROR(G177/C177-1,"")))</f>
        <v/>
      </c>
      <c r="H178" s="15">
        <f>IF(OR(H177="",D177=""),"",IF(H177*D177&lt;=0,"",IFERROR(H177/D177-1,"")))</f>
        <v/>
      </c>
      <c r="I178" s="15">
        <f>IF(OR(I177="",E177=""),"",IF(I177*E177&lt;=0,"",IFERROR(I177/E177-1,"")))</f>
        <v/>
      </c>
      <c r="J178" s="15">
        <f>IF(OR(J177="",F177=""),"",IF(J177*F177&lt;=0,"",IFERROR(J177/F177-1,"")))</f>
        <v/>
      </c>
      <c r="K178" s="15">
        <f>IF(OR(K177="",G177=""),"",IF(K177*G177&lt;=0,"",IFERROR(K177/G177-1,"")))</f>
        <v/>
      </c>
      <c r="L178" s="15">
        <f>IF(OR(L177="",H177=""),"",IF(L177*H177&lt;=0,"",IFERROR(L177/H177-1,"")))</f>
        <v/>
      </c>
      <c r="M178" s="15">
        <f>IF(OR(M177="",I177=""),"",IF(M177*I177&lt;=0,"",IFERROR(M177/I177-1,"")))</f>
        <v/>
      </c>
      <c r="N178" s="15">
        <f>IF(OR(N177="",J177=""),"",IF(N177*J177&lt;=0,"",IFERROR(N177/J177-1,"")))</f>
        <v/>
      </c>
      <c r="T178" s="15">
        <f>IF(OR(T177="",S177=""),"",IF(T177*S177&lt;=0,"",IFERROR(T177/S177-1,"")))</f>
        <v/>
      </c>
      <c r="U178" s="15">
        <f>IF(OR(U177="",T177=""),"",IF(U177*T177&lt;=0,"",IFERROR(U177/T177-1,"")))</f>
        <v/>
      </c>
      <c r="V178" s="15">
        <f>IF(OR(V177="",U177=""),"",IF(V177*U177&lt;=0,"",IFERROR(V177/U177-1,"")))</f>
        <v/>
      </c>
      <c r="W178" s="15">
        <f>IF(OR(W177="",V177=""),"",IF(W177*V177&lt;=0,"",IFERROR(W177/V177-1,"")))</f>
        <v/>
      </c>
      <c r="X178" s="15">
        <f>IF(OR(X177="",W177=""),"",IF(X177*W177&lt;=0,"",IFERROR(X177/W177-1,"")))</f>
        <v/>
      </c>
    </row>
    <row r="179">
      <c r="A179" s="18" t="inlineStr">
        <is>
          <t>Loss On Sales Of Land And Others EL</t>
        </is>
      </c>
      <c r="C179" s="20" t="n">
        <v>0</v>
      </c>
      <c r="D179" s="20" t="n">
        <v>0</v>
      </c>
      <c r="G179" s="20" t="n">
        <v>0</v>
      </c>
      <c r="H179" s="20" t="n">
        <v>0</v>
      </c>
      <c r="T179" s="20" t="n">
        <v>0</v>
      </c>
      <c r="U179" s="20" t="n">
        <v>0</v>
      </c>
      <c r="V179" s="20" t="n">
        <v>0</v>
      </c>
      <c r="W179" s="20" t="n">
        <v>0</v>
      </c>
    </row>
    <row r="180">
      <c r="A180" s="18" t="inlineStr">
        <is>
          <t>투자유가증권 매각손실</t>
        </is>
      </c>
      <c r="G180" s="20" t="n">
        <v>0</v>
      </c>
      <c r="H180" s="20" t="n">
        <v>158</v>
      </c>
      <c r="K180" s="20" t="n">
        <v>20</v>
      </c>
      <c r="L180" s="20" t="n">
        <v>0</v>
      </c>
      <c r="W180" s="20" t="n">
        <v>158</v>
      </c>
      <c r="X180" s="20" t="n">
        <v>0</v>
      </c>
    </row>
    <row r="181">
      <c r="A181" s="18" t="inlineStr">
        <is>
          <t>투자유가증권 평가손실</t>
        </is>
      </c>
      <c r="C181" s="20" t="n">
        <v>0</v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1</v>
      </c>
      <c r="K181" s="20" t="n">
        <v>0</v>
      </c>
      <c r="L181" s="20" t="n">
        <v>25</v>
      </c>
      <c r="M181" s="20" t="n">
        <v>0</v>
      </c>
      <c r="N181" s="20" t="n">
        <v>13</v>
      </c>
      <c r="T181" s="20" t="n">
        <v>219</v>
      </c>
      <c r="U181" s="20" t="n">
        <v>0</v>
      </c>
      <c r="V181" s="20" t="n">
        <v>0</v>
      </c>
      <c r="W181" s="20" t="n">
        <v>0</v>
      </c>
      <c r="X181" s="20" t="n">
        <v>25</v>
      </c>
    </row>
    <row r="182">
      <c r="A182" s="18" t="inlineStr">
        <is>
          <t>Restructuring Expenses EL</t>
        </is>
      </c>
      <c r="C182" s="20" t="n">
        <v>0</v>
      </c>
      <c r="D182" s="20" t="n">
        <v>0</v>
      </c>
      <c r="G182" s="20" t="n">
        <v>0</v>
      </c>
      <c r="H182" s="20" t="n">
        <v>0</v>
      </c>
      <c r="K182" s="20" t="n">
        <v>-9</v>
      </c>
      <c r="L182" s="20" t="n">
        <v>1953</v>
      </c>
      <c r="T182" s="20" t="n">
        <v>669</v>
      </c>
      <c r="U182" s="20" t="n">
        <v>1637</v>
      </c>
      <c r="V182" s="20" t="n">
        <v>0</v>
      </c>
      <c r="W182" s="20" t="n">
        <v>0</v>
      </c>
      <c r="X182" s="20" t="n">
        <v>1953</v>
      </c>
    </row>
    <row r="183">
      <c r="A183" s="18" t="inlineStr">
        <is>
          <t>코로나19 관련 손실</t>
        </is>
      </c>
      <c r="C183" s="20" t="n">
        <v>0</v>
      </c>
      <c r="D183" s="20" t="n">
        <v>0</v>
      </c>
      <c r="T183" s="20" t="n">
        <v>0</v>
      </c>
      <c r="U183" s="20" t="n">
        <v>611</v>
      </c>
      <c r="V183" s="20" t="n">
        <v>0</v>
      </c>
    </row>
    <row r="184">
      <c r="A184" s="18" t="inlineStr">
        <is>
          <t>특별손실 합계</t>
        </is>
      </c>
      <c r="C184" s="20" t="n">
        <v>0</v>
      </c>
      <c r="D184" s="20" t="n">
        <v>0</v>
      </c>
      <c r="E184" s="20" t="n">
        <v>0</v>
      </c>
      <c r="F184" s="20" t="n">
        <v>0</v>
      </c>
      <c r="G184" s="20" t="n">
        <v>0</v>
      </c>
      <c r="H184" s="20" t="n">
        <v>34251</v>
      </c>
      <c r="I184" s="20" t="n">
        <v>0</v>
      </c>
      <c r="J184" s="20" t="n">
        <v>13268</v>
      </c>
      <c r="K184" s="20" t="n">
        <v>11</v>
      </c>
      <c r="L184" s="20" t="n">
        <v>3561</v>
      </c>
      <c r="M184" s="20" t="n">
        <v>0</v>
      </c>
      <c r="N184" s="20" t="n">
        <v>13</v>
      </c>
      <c r="T184" s="20" t="n">
        <v>890</v>
      </c>
      <c r="U184" s="20" t="n">
        <v>2251</v>
      </c>
      <c r="V184" s="20" t="n">
        <v>0</v>
      </c>
      <c r="W184" s="20" t="n">
        <v>34251</v>
      </c>
      <c r="X184" s="20" t="n">
        <v>3561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IF(OR(G184="",C184=""),"",IF(G184*C184&lt;=0,"",IFERROR(G184/C184-1,"")))</f>
        <v/>
      </c>
      <c r="H185" s="15">
        <f>IF(OR(H184="",D184=""),"",IF(H184*D184&lt;=0,"",IFERROR(H184/D184-1,"")))</f>
        <v/>
      </c>
      <c r="I185" s="15">
        <f>IF(OR(I184="",E184=""),"",IF(I184*E184&lt;=0,"",IFERROR(I184/E184-1,"")))</f>
        <v/>
      </c>
      <c r="J185" s="15">
        <f>IF(OR(J184="",F184=""),"",IF(J184*F184&lt;=0,"",IFERROR(J184/F184-1,"")))</f>
        <v/>
      </c>
      <c r="K185" s="15">
        <f>IF(OR(K184="",G184=""),"",IF(K184*G184&lt;=0,"",IFERROR(K184/G184-1,"")))</f>
        <v/>
      </c>
      <c r="L185" s="15">
        <f>IF(OR(L184="",H184=""),"",IF(L184*H184&lt;=0,"",IFERROR(L184/H184-1,"")))</f>
        <v/>
      </c>
      <c r="M185" s="15">
        <f>IF(OR(M184="",I184=""),"",IF(M184*I184&lt;=0,"",IFERROR(M184/I184-1,"")))</f>
        <v/>
      </c>
      <c r="N185" s="15">
        <f>IF(OR(N184="",J184=""),"",IF(N184*J184&lt;=0,"",IFERROR(N184/J184-1,"")))</f>
        <v/>
      </c>
      <c r="T185" s="15">
        <f>IF(OR(T184="",S184=""),"",IF(T184*S184&lt;=0,"",IFERROR(T184/S184-1,"")))</f>
        <v/>
      </c>
      <c r="U185" s="15">
        <f>IF(OR(U184="",T184=""),"",IF(U184*T184&lt;=0,"",IFERROR(U184/T184-1,"")))</f>
        <v/>
      </c>
      <c r="V185" s="15">
        <f>IF(OR(V184="",U184=""),"",IF(V184*U184&lt;=0,"",IFERROR(V184/U184-1,"")))</f>
        <v/>
      </c>
      <c r="W185" s="15">
        <f>IF(OR(W184="",V184=""),"",IF(W184*V184&lt;=0,"",IFERROR(W184/V184-1,"")))</f>
        <v/>
      </c>
      <c r="X185" s="15">
        <f>IF(OR(X184="",W184=""),"",IF(X184*W184&lt;=0,"",IFERROR(X184/W184-1,"")))</f>
        <v/>
      </c>
    </row>
    <row r="186">
      <c r="A186" s="9" t="inlineStr">
        <is>
          <t>법인세차감전 순이익</t>
        </is>
      </c>
      <c r="C186" s="12" t="n">
        <v>15082</v>
      </c>
      <c r="D186" s="12" t="n">
        <v>13946</v>
      </c>
      <c r="E186" s="12" t="n">
        <v>14382</v>
      </c>
      <c r="F186" s="12" t="n">
        <v>12063</v>
      </c>
      <c r="G186" s="12" t="n">
        <v>26186</v>
      </c>
      <c r="H186" s="12" t="n">
        <v>-28300</v>
      </c>
      <c r="I186" s="12" t="n">
        <v>8738</v>
      </c>
      <c r="J186" s="12" t="n">
        <v>5647</v>
      </c>
      <c r="K186" s="12" t="n">
        <v>28190</v>
      </c>
      <c r="L186" s="12" t="n">
        <v>16086</v>
      </c>
      <c r="M186" s="12" t="n">
        <v>10434</v>
      </c>
      <c r="N186" s="12" t="n">
        <v>20386</v>
      </c>
      <c r="T186" s="12" t="n">
        <v>10584</v>
      </c>
      <c r="U186" s="12" t="n">
        <v>5045</v>
      </c>
      <c r="V186" s="12" t="n">
        <v>13946</v>
      </c>
      <c r="W186" s="12" t="n">
        <v>-28300</v>
      </c>
      <c r="X186" s="12" t="n">
        <v>16086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T187" s="15">
        <f>IF(OR(T186="",S186=""),"",IF(S186&lt;=0,"",IFERROR(T186/S186-1,"")))</f>
        <v/>
      </c>
      <c r="U187" s="15">
        <f>IF(OR(U186="",T186=""),"",IF(T186&lt;=0,"",IFERROR(U186/T186-1,"")))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법인세·주민세·사업세</t>
        </is>
      </c>
      <c r="C188" s="20" t="n">
        <v>828</v>
      </c>
      <c r="D188" s="20" t="n">
        <v>3296</v>
      </c>
      <c r="E188" s="20" t="n">
        <v>2198</v>
      </c>
      <c r="F188" s="20" t="n">
        <v>5088</v>
      </c>
      <c r="G188" s="20" t="n">
        <v>3917</v>
      </c>
      <c r="H188" s="20" t="n">
        <v>4142</v>
      </c>
      <c r="I188" s="20" t="n">
        <v>1222</v>
      </c>
      <c r="J188" s="20" t="n">
        <v>5376</v>
      </c>
      <c r="K188" s="20" t="n">
        <v>4614</v>
      </c>
      <c r="L188" s="20" t="n">
        <v>8231</v>
      </c>
      <c r="M188" s="20" t="n">
        <v>1188</v>
      </c>
      <c r="N188" s="20" t="n">
        <v>5821</v>
      </c>
      <c r="T188" s="20" t="n">
        <v>5416</v>
      </c>
      <c r="U188" s="20" t="n">
        <v>2558</v>
      </c>
      <c r="V188" s="20" t="n">
        <v>3296</v>
      </c>
      <c r="W188" s="20" t="n">
        <v>4142</v>
      </c>
      <c r="X188" s="20" t="n">
        <v>8231</v>
      </c>
    </row>
    <row r="189">
      <c r="A189" s="18" t="inlineStr">
        <is>
          <t>법인세 조정액</t>
        </is>
      </c>
      <c r="C189" s="20" t="n">
        <v>4181</v>
      </c>
      <c r="D189" s="20" t="n">
        <v>-278</v>
      </c>
      <c r="E189" s="20" t="n">
        <v>3294</v>
      </c>
      <c r="F189" s="20" t="n">
        <v>-1318</v>
      </c>
      <c r="G189" s="20" t="n">
        <v>2655</v>
      </c>
      <c r="H189" s="20" t="n">
        <v>-8169</v>
      </c>
      <c r="I189" s="20" t="n">
        <v>1129</v>
      </c>
      <c r="J189" s="20" t="n">
        <v>-7</v>
      </c>
      <c r="K189" s="20" t="n">
        <v>3590</v>
      </c>
      <c r="L189" s="20" t="n">
        <v>-3721</v>
      </c>
      <c r="M189" s="20" t="n">
        <v>2155</v>
      </c>
      <c r="N189" s="20" t="n">
        <v>35</v>
      </c>
      <c r="T189" s="20" t="n">
        <v>-2538</v>
      </c>
      <c r="U189" s="20" t="n">
        <v>-445</v>
      </c>
      <c r="V189" s="20" t="n">
        <v>-278</v>
      </c>
      <c r="W189" s="20" t="n">
        <v>-8169</v>
      </c>
      <c r="X189" s="20" t="n">
        <v>-3721</v>
      </c>
    </row>
    <row r="190">
      <c r="A190" s="18" t="inlineStr">
        <is>
          <t>법인세 등 합계</t>
        </is>
      </c>
      <c r="C190" s="20" t="n">
        <v>5008</v>
      </c>
      <c r="D190" s="20" t="n">
        <v>3019</v>
      </c>
      <c r="E190" s="20" t="n">
        <v>5492</v>
      </c>
      <c r="F190" s="20" t="n">
        <v>3770</v>
      </c>
      <c r="G190" s="20" t="n">
        <v>6572</v>
      </c>
      <c r="H190" s="20" t="n">
        <v>-4027</v>
      </c>
      <c r="I190" s="20" t="n">
        <v>2352</v>
      </c>
      <c r="J190" s="20" t="n">
        <v>5369</v>
      </c>
      <c r="K190" s="20" t="n">
        <v>8203</v>
      </c>
      <c r="L190" s="20" t="n">
        <v>4511</v>
      </c>
      <c r="M190" s="20" t="n">
        <v>3343</v>
      </c>
      <c r="N190" s="20" t="n">
        <v>5857</v>
      </c>
      <c r="T190" s="20" t="n">
        <v>2878</v>
      </c>
      <c r="U190" s="20" t="n">
        <v>2112</v>
      </c>
      <c r="V190" s="20" t="n">
        <v>3019</v>
      </c>
      <c r="W190" s="20" t="n">
        <v>-4027</v>
      </c>
      <c r="X190" s="20" t="n">
        <v>4511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IF(OR(G190="",C190=""),"",IF(G190*C190&lt;=0,"",IFERROR(G190/C190-1,"")))</f>
        <v/>
      </c>
      <c r="H191" s="15">
        <f>IF(OR(H190="",D190=""),"",IF(H190*D190&lt;=0,"",IFERROR(H190/D190-1,"")))</f>
        <v/>
      </c>
      <c r="I191" s="15">
        <f>IF(OR(I190="",E190=""),"",IF(I190*E190&lt;=0,"",IFERROR(I190/E190-1,"")))</f>
        <v/>
      </c>
      <c r="J191" s="15">
        <f>IF(OR(J190="",F190=""),"",IF(J190*F190&lt;=0,"",IFERROR(J190/F190-1,"")))</f>
        <v/>
      </c>
      <c r="K191" s="15">
        <f>IF(OR(K190="",G190=""),"",IF(K190*G190&lt;=0,"",IFERROR(K190/G190-1,"")))</f>
        <v/>
      </c>
      <c r="L191" s="15">
        <f>IF(OR(L190="",H190=""),"",IF(L190*H190&lt;=0,"",IFERROR(L190/H190-1,"")))</f>
        <v/>
      </c>
      <c r="M191" s="15">
        <f>IF(OR(M190="",I190=""),"",IF(M190*I190&lt;=0,"",IFERROR(M190/I190-1,"")))</f>
        <v/>
      </c>
      <c r="N191" s="15">
        <f>IF(OR(N190="",J190=""),"",IF(N190*J190&lt;=0,"",IFERROR(N190/J190-1,"")))</f>
        <v/>
      </c>
      <c r="T191" s="15">
        <f>IF(OR(T190="",S190=""),"",IF(T190*S190&lt;=0,"",IFERROR(T190/S190-1,"")))</f>
        <v/>
      </c>
      <c r="U191" s="15">
        <f>IF(OR(U190="",T190=""),"",IF(U190*T190&lt;=0,"",IFERROR(U190/T190-1,"")))</f>
        <v/>
      </c>
      <c r="V191" s="15">
        <f>IF(OR(V190="",U190=""),"",IF(V190*U190&lt;=0,"",IFERROR(V190/U190-1,"")))</f>
        <v/>
      </c>
      <c r="W191" s="15">
        <f>IF(OR(W190="",V190=""),"",IF(W190*V190&lt;=0,"",IFERROR(W190/V190-1,"")))</f>
        <v/>
      </c>
      <c r="X191" s="15">
        <f>IF(OR(X190="",W190=""),"",IF(X190*W190&lt;=0,"",IFERROR(X190/W190-1,"")))</f>
        <v/>
      </c>
    </row>
    <row r="192">
      <c r="A192" s="9" t="inlineStr">
        <is>
          <t>순이익</t>
        </is>
      </c>
      <c r="C192" s="12" t="n">
        <v>10073</v>
      </c>
      <c r="D192" s="12" t="n">
        <v>10928</v>
      </c>
      <c r="E192" s="12" t="n">
        <v>8889</v>
      </c>
      <c r="F192" s="12" t="n">
        <v>8293</v>
      </c>
      <c r="G192" s="12" t="n">
        <v>19615</v>
      </c>
      <c r="H192" s="12" t="n">
        <v>-24273</v>
      </c>
      <c r="I192" s="12" t="n">
        <v>6386</v>
      </c>
      <c r="J192" s="12" t="n">
        <v>277</v>
      </c>
      <c r="K192" s="12" t="n">
        <v>19988</v>
      </c>
      <c r="L192" s="12" t="n">
        <v>11575</v>
      </c>
      <c r="M192" s="12" t="n">
        <v>7091</v>
      </c>
      <c r="N192" s="12" t="n">
        <v>14529</v>
      </c>
      <c r="T192" s="12" t="n">
        <v>7706</v>
      </c>
      <c r="U192" s="12" t="n">
        <v>2932</v>
      </c>
      <c r="V192" s="12" t="n">
        <v>10928</v>
      </c>
      <c r="W192" s="12" t="n">
        <v>-24273</v>
      </c>
      <c r="X192" s="12" t="n">
        <v>11575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T193" s="15">
        <f>IF(OR(T192="",S192=""),"",IF(S192&lt;=0,"",IFERROR(T192/S192-1,"")))</f>
        <v/>
      </c>
      <c r="U193" s="15">
        <f>IF(OR(U192="",T192=""),"",IF(T192&lt;=0,"",IFERROR(U192/T192-1,"")))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9" t="inlineStr">
        <is>
          <t>비지배주주 순손익</t>
        </is>
      </c>
      <c r="C194" s="12" t="n">
        <v>257</v>
      </c>
      <c r="D194" s="12" t="n">
        <v>225</v>
      </c>
      <c r="E194" s="12" t="n">
        <v>149</v>
      </c>
      <c r="F194" s="12" t="n">
        <v>83</v>
      </c>
      <c r="G194" s="12" t="n">
        <v>162</v>
      </c>
      <c r="H194" s="12" t="n">
        <v>-39</v>
      </c>
      <c r="I194" s="12" t="n">
        <v>79</v>
      </c>
      <c r="J194" s="12" t="n">
        <v>-2206</v>
      </c>
      <c r="K194" s="12" t="n">
        <v>239</v>
      </c>
      <c r="L194" s="12" t="n">
        <v>-142</v>
      </c>
      <c r="M194" s="12" t="n">
        <v>186</v>
      </c>
      <c r="N194" s="12" t="n">
        <v>118</v>
      </c>
      <c r="T194" s="12" t="n">
        <v>-73</v>
      </c>
      <c r="U194" s="12" t="n">
        <v>260</v>
      </c>
      <c r="V194" s="12" t="n">
        <v>225</v>
      </c>
      <c r="W194" s="12" t="n">
        <v>-39</v>
      </c>
      <c r="X194" s="12" t="n">
        <v>-142</v>
      </c>
    </row>
    <row r="195">
      <c r="A195" s="9" t="inlineStr">
        <is>
          <t>지배주주 순이익</t>
        </is>
      </c>
      <c r="C195" s="12" t="n">
        <v>9817</v>
      </c>
      <c r="D195" s="12" t="n">
        <v>10702</v>
      </c>
      <c r="E195" s="12" t="n">
        <v>8739</v>
      </c>
      <c r="F195" s="12" t="n">
        <v>8210</v>
      </c>
      <c r="G195" s="12" t="n">
        <v>19453</v>
      </c>
      <c r="H195" s="12" t="n">
        <v>-24234</v>
      </c>
      <c r="I195" s="12" t="n">
        <v>6306</v>
      </c>
      <c r="J195" s="12" t="n">
        <v>2484</v>
      </c>
      <c r="K195" s="12" t="n">
        <v>19750</v>
      </c>
      <c r="L195" s="12" t="n">
        <v>11717</v>
      </c>
      <c r="M195" s="12" t="n">
        <v>6905</v>
      </c>
      <c r="N195" s="12" t="n">
        <v>14410</v>
      </c>
      <c r="T195" s="12" t="n">
        <v>7779</v>
      </c>
      <c r="U195" s="12" t="n">
        <v>2673</v>
      </c>
      <c r="V195" s="12" t="n">
        <v>10702</v>
      </c>
      <c r="W195" s="12" t="n">
        <v>-24234</v>
      </c>
      <c r="X195" s="12" t="n">
        <v>11717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T196" s="15">
        <f>IF(OR(T195="",S195=""),"",IF(S195&lt;=0,"",IFERROR(T195/S195-1,"")))</f>
        <v/>
      </c>
      <c r="U196" s="15">
        <f>IF(OR(U195="",T195=""),"",IF(T195&lt;=0,"",IFERROR(U195/T195-1,"")))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8">
      <c r="A198" s="16" t="inlineStr">
        <is>
          <t>포괄손익 · 전 항목</t>
        </is>
      </c>
      <c r="B198" s="42" t="inlineStr">
        <is>
          <t>분기 = 3개월 단독</t>
        </is>
      </c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</row>
    <row r="199">
      <c r="A199" s="5" t="inlineStr">
        <is>
          <t>항목</t>
        </is>
      </c>
      <c r="B199" s="5" t="inlineStr">
        <is>
          <t>참고</t>
        </is>
      </c>
      <c r="C199" s="5" t="inlineStr">
        <is>
          <t>2024.3Q</t>
        </is>
      </c>
      <c r="D199" s="5" t="inlineStr">
        <is>
          <t>2024.4Q</t>
        </is>
      </c>
      <c r="E199" s="5" t="inlineStr">
        <is>
          <t>2025.1Q</t>
        </is>
      </c>
      <c r="F199" s="5" t="inlineStr">
        <is>
          <t>2025.2Q</t>
        </is>
      </c>
      <c r="G199" s="5" t="inlineStr">
        <is>
          <t>2025.3Q</t>
        </is>
      </c>
      <c r="H199" s="5" t="inlineStr">
        <is>
          <t>2025.4Q</t>
        </is>
      </c>
      <c r="I199" s="5" t="inlineStr">
        <is>
          <t>2026.1Q</t>
        </is>
      </c>
      <c r="J199" s="5" t="inlineStr">
        <is>
          <t>2026.2Q</t>
        </is>
      </c>
      <c r="K199" s="5" t="inlineStr">
        <is>
          <t>2026.3Q</t>
        </is>
      </c>
      <c r="L199" s="5" t="inlineStr">
        <is>
          <t>2026.4Q</t>
        </is>
      </c>
      <c r="M199" s="5" t="inlineStr">
        <is>
          <t>2027.1Q</t>
        </is>
      </c>
      <c r="N199" s="5" t="inlineStr">
        <is>
          <t>2027.2Q</t>
        </is>
      </c>
      <c r="O199" s="5" t="inlineStr">
        <is>
          <t>2017</t>
        </is>
      </c>
      <c r="P199" s="5" t="inlineStr">
        <is>
          <t>2018</t>
        </is>
      </c>
      <c r="Q199" s="5" t="inlineStr">
        <is>
          <t>2019</t>
        </is>
      </c>
      <c r="R199" s="5" t="inlineStr">
        <is>
          <t>2020</t>
        </is>
      </c>
      <c r="S199" s="5" t="inlineStr">
        <is>
          <t>2021</t>
        </is>
      </c>
      <c r="T199" s="5" t="inlineStr">
        <is>
          <t>2022</t>
        </is>
      </c>
      <c r="U199" s="5" t="inlineStr">
        <is>
          <t>2023</t>
        </is>
      </c>
      <c r="V199" s="5" t="inlineStr">
        <is>
          <t>2024</t>
        </is>
      </c>
      <c r="W199" s="5" t="inlineStr">
        <is>
          <t>2025</t>
        </is>
      </c>
      <c r="X199" s="5" t="inlineStr">
        <is>
          <t>2026</t>
        </is>
      </c>
      <c r="Y199" s="5" t="inlineStr">
        <is>
          <t>2027(MW)</t>
        </is>
      </c>
      <c r="Z199" s="5" t="inlineStr">
        <is>
          <t>2028(MW)</t>
        </is>
      </c>
      <c r="AA199" s="5" t="inlineStr">
        <is>
          <t>2029(MW)</t>
        </is>
      </c>
      <c r="AB199" s="5" t="inlineStr">
        <is>
          <t>2030(MW)</t>
        </is>
      </c>
      <c r="AC199" s="5" t="inlineStr">
        <is>
          <t>2031(MW)</t>
        </is>
      </c>
    </row>
    <row r="200">
      <c r="A200" s="9" t="inlineStr">
        <is>
          <t>순이익</t>
        </is>
      </c>
      <c r="C200" s="12" t="n">
        <v>10073</v>
      </c>
      <c r="D200" s="12" t="n">
        <v>10928</v>
      </c>
      <c r="E200" s="12" t="n">
        <v>8889</v>
      </c>
      <c r="F200" s="12" t="n">
        <v>8293</v>
      </c>
      <c r="G200" s="12" t="n">
        <v>19615</v>
      </c>
      <c r="H200" s="12" t="n">
        <v>-24273</v>
      </c>
      <c r="I200" s="12" t="n">
        <v>6386</v>
      </c>
      <c r="J200" s="12" t="n">
        <v>277</v>
      </c>
      <c r="K200" s="12" t="n">
        <v>19988</v>
      </c>
      <c r="L200" s="12" t="n">
        <v>11575</v>
      </c>
      <c r="M200" s="12" t="n">
        <v>7091</v>
      </c>
      <c r="N200" s="12" t="n">
        <v>14529</v>
      </c>
      <c r="T200" s="12" t="n">
        <v>7706</v>
      </c>
      <c r="U200" s="12" t="n">
        <v>2932</v>
      </c>
      <c r="V200" s="12" t="n">
        <v>10928</v>
      </c>
      <c r="W200" s="12" t="n">
        <v>-24273</v>
      </c>
      <c r="X200" s="12" t="n">
        <v>11575</v>
      </c>
    </row>
    <row r="201">
      <c r="A201" s="18" t="inlineStr">
        <is>
          <t>기타유가증권 평가차액</t>
        </is>
      </c>
      <c r="C201" s="20" t="n">
        <v>113</v>
      </c>
      <c r="D201" s="20" t="n">
        <v>8707</v>
      </c>
      <c r="E201" s="20" t="n">
        <v>-1037</v>
      </c>
      <c r="F201" s="20" t="n">
        <v>-2956</v>
      </c>
      <c r="G201" s="20" t="n">
        <v>548</v>
      </c>
      <c r="H201" s="20" t="n">
        <v>-3628</v>
      </c>
      <c r="I201" s="20" t="n">
        <v>379</v>
      </c>
      <c r="J201" s="20" t="n">
        <v>2565</v>
      </c>
      <c r="K201" s="20" t="n">
        <v>503</v>
      </c>
      <c r="L201" s="20" t="n">
        <v>-2471</v>
      </c>
      <c r="M201" s="20" t="n">
        <v>7982</v>
      </c>
      <c r="N201" s="20" t="n">
        <v>-8859</v>
      </c>
      <c r="T201" s="20" t="n">
        <v>-1113</v>
      </c>
      <c r="U201" s="20" t="n">
        <v>2628</v>
      </c>
      <c r="V201" s="20" t="n">
        <v>8707</v>
      </c>
      <c r="W201" s="20" t="n">
        <v>-3628</v>
      </c>
      <c r="X201" s="20" t="n">
        <v>-2471</v>
      </c>
    </row>
    <row r="202">
      <c r="A202" s="18" t="inlineStr">
        <is>
          <t>해외사업환산조정</t>
        </is>
      </c>
      <c r="C202" s="20" t="n">
        <v>6231</v>
      </c>
      <c r="D202" s="20" t="n">
        <v>-9567</v>
      </c>
      <c r="E202" s="20" t="n">
        <v>9647</v>
      </c>
      <c r="F202" s="20" t="n">
        <v>16797</v>
      </c>
      <c r="G202" s="20" t="n">
        <v>-21763</v>
      </c>
      <c r="H202" s="20" t="n">
        <v>17505</v>
      </c>
      <c r="I202" s="20" t="n">
        <v>-11261</v>
      </c>
      <c r="J202" s="20" t="n">
        <v>-4761</v>
      </c>
      <c r="K202" s="20" t="n">
        <v>3649</v>
      </c>
      <c r="L202" s="20" t="n">
        <v>12810</v>
      </c>
      <c r="M202" s="20" t="n">
        <v>3171</v>
      </c>
      <c r="N202" s="20" t="n">
        <v>5424</v>
      </c>
      <c r="T202" s="20" t="n">
        <v>5573</v>
      </c>
      <c r="U202" s="20" t="n">
        <v>-15674</v>
      </c>
      <c r="V202" s="20" t="n">
        <v>-9567</v>
      </c>
      <c r="W202" s="20" t="n">
        <v>17505</v>
      </c>
      <c r="X202" s="20" t="n">
        <v>12810</v>
      </c>
    </row>
    <row r="203">
      <c r="A203" s="18" t="inlineStr">
        <is>
          <t>퇴직급여 조정액</t>
        </is>
      </c>
      <c r="C203" s="20" t="n">
        <v>-290</v>
      </c>
      <c r="D203" s="20" t="n">
        <v>4911</v>
      </c>
      <c r="E203" s="20" t="n">
        <v>-278</v>
      </c>
      <c r="F203" s="20" t="n">
        <v>-307</v>
      </c>
      <c r="G203" s="20" t="n">
        <v>-300</v>
      </c>
      <c r="H203" s="20" t="n">
        <v>9798</v>
      </c>
      <c r="I203" s="20" t="n">
        <v>-555</v>
      </c>
      <c r="J203" s="20" t="n">
        <v>-542</v>
      </c>
      <c r="K203" s="20" t="n">
        <v>-541</v>
      </c>
      <c r="L203" s="20" t="n">
        <v>2871</v>
      </c>
      <c r="M203" s="20" t="n">
        <v>-622</v>
      </c>
      <c r="N203" s="20" t="n">
        <v>-621</v>
      </c>
      <c r="T203" s="20" t="n">
        <v>-2567</v>
      </c>
      <c r="U203" s="20" t="n">
        <v>8505</v>
      </c>
      <c r="V203" s="20" t="n">
        <v>4911</v>
      </c>
      <c r="W203" s="20" t="n">
        <v>9798</v>
      </c>
      <c r="X203" s="20" t="n">
        <v>2871</v>
      </c>
    </row>
    <row r="204">
      <c r="A204" s="18" t="inlineStr">
        <is>
          <t>지분법 적용회사 지분 해당액</t>
        </is>
      </c>
      <c r="C204" s="20" t="n">
        <v>-26</v>
      </c>
      <c r="D204" s="20" t="n">
        <v>-495</v>
      </c>
      <c r="E204" s="20" t="n">
        <v>419</v>
      </c>
      <c r="F204" s="20" t="n">
        <v>316</v>
      </c>
      <c r="G204" s="20" t="n">
        <v>-446</v>
      </c>
      <c r="H204" s="20" t="n">
        <v>425</v>
      </c>
      <c r="I204" s="20" t="n">
        <v>-722</v>
      </c>
      <c r="J204" s="20" t="n">
        <v>-118</v>
      </c>
      <c r="K204" s="20" t="n">
        <v>42</v>
      </c>
      <c r="L204" s="20" t="n">
        <v>453</v>
      </c>
      <c r="M204" s="20" t="n">
        <v>43</v>
      </c>
      <c r="N204" s="20" t="n">
        <v>-270</v>
      </c>
      <c r="T204" s="20" t="n">
        <v>306</v>
      </c>
      <c r="U204" s="20" t="n">
        <v>-887</v>
      </c>
      <c r="V204" s="20" t="n">
        <v>-495</v>
      </c>
      <c r="W204" s="20" t="n">
        <v>425</v>
      </c>
      <c r="X204" s="20" t="n">
        <v>453</v>
      </c>
    </row>
    <row r="205">
      <c r="A205" s="18" t="inlineStr">
        <is>
          <t>기타포괄손익 합계</t>
        </is>
      </c>
      <c r="C205" s="20" t="n">
        <v>6029</v>
      </c>
      <c r="D205" s="20" t="n">
        <v>3557</v>
      </c>
      <c r="E205" s="20" t="n">
        <v>8751</v>
      </c>
      <c r="F205" s="20" t="n">
        <v>13849</v>
      </c>
      <c r="G205" s="20" t="n">
        <v>-21961</v>
      </c>
      <c r="H205" s="20" t="n">
        <v>24101</v>
      </c>
      <c r="I205" s="20" t="n">
        <v>-12159</v>
      </c>
      <c r="J205" s="20" t="n">
        <v>-2856</v>
      </c>
      <c r="K205" s="20" t="n">
        <v>3653</v>
      </c>
      <c r="L205" s="20" t="n">
        <v>13664</v>
      </c>
      <c r="M205" s="20" t="n">
        <v>10574</v>
      </c>
      <c r="N205" s="20" t="n">
        <v>-4328</v>
      </c>
      <c r="T205" s="20" t="n">
        <v>2198</v>
      </c>
      <c r="U205" s="20" t="n">
        <v>-5428</v>
      </c>
      <c r="V205" s="20" t="n">
        <v>3557</v>
      </c>
      <c r="W205" s="20" t="n">
        <v>24101</v>
      </c>
      <c r="X205" s="20" t="n">
        <v>13664</v>
      </c>
    </row>
    <row r="206">
      <c r="A206" s="9" t="inlineStr">
        <is>
          <t>포괄이익</t>
        </is>
      </c>
      <c r="C206" s="12" t="n">
        <v>16103</v>
      </c>
      <c r="D206" s="12" t="n">
        <v>14484</v>
      </c>
      <c r="E206" s="12" t="n">
        <v>17641</v>
      </c>
      <c r="F206" s="12" t="n">
        <v>22142</v>
      </c>
      <c r="G206" s="12" t="n">
        <v>-2347</v>
      </c>
      <c r="H206" s="12" t="n">
        <v>-172</v>
      </c>
      <c r="I206" s="12" t="n">
        <v>-5773</v>
      </c>
      <c r="J206" s="12" t="n">
        <v>-2578</v>
      </c>
      <c r="K206" s="12" t="n">
        <v>23639</v>
      </c>
      <c r="L206" s="12" t="n">
        <v>25240</v>
      </c>
      <c r="M206" s="12" t="n">
        <v>17665</v>
      </c>
      <c r="N206" s="12" t="n">
        <v>10201</v>
      </c>
      <c r="T206" s="12" t="n">
        <v>9904</v>
      </c>
      <c r="U206" s="12" t="n">
        <v>-2495</v>
      </c>
      <c r="V206" s="12" t="n">
        <v>14484</v>
      </c>
      <c r="W206" s="12" t="n">
        <v>-172</v>
      </c>
      <c r="X206" s="12" t="n">
        <v>25240</v>
      </c>
    </row>
    <row r="207">
      <c r="A207" s="9" t="inlineStr">
        <is>
          <t>지배주주 포괄이익</t>
        </is>
      </c>
      <c r="C207" s="12" t="n">
        <v>15776</v>
      </c>
      <c r="D207" s="12" t="n">
        <v>14313</v>
      </c>
      <c r="E207" s="12" t="n">
        <v>17177</v>
      </c>
      <c r="F207" s="12" t="n">
        <v>21813</v>
      </c>
      <c r="G207" s="12" t="n">
        <v>-2129</v>
      </c>
      <c r="H207" s="12" t="n">
        <v>-423</v>
      </c>
      <c r="I207" s="12" t="n">
        <v>-5468</v>
      </c>
      <c r="J207" s="12" t="n">
        <v>-363</v>
      </c>
      <c r="K207" s="12" t="n">
        <v>23244</v>
      </c>
      <c r="L207" s="12" t="n">
        <v>25168</v>
      </c>
      <c r="M207" s="12" t="n">
        <v>17350</v>
      </c>
      <c r="N207" s="12" t="n">
        <v>10020</v>
      </c>
      <c r="T207" s="12" t="n">
        <v>9624</v>
      </c>
      <c r="U207" s="12" t="n">
        <v>-1613</v>
      </c>
      <c r="V207" s="12" t="n">
        <v>14313</v>
      </c>
      <c r="W207" s="12" t="n">
        <v>-423</v>
      </c>
      <c r="X207" s="12" t="n">
        <v>25168</v>
      </c>
    </row>
    <row r="208">
      <c r="A208" s="9" t="inlineStr">
        <is>
          <t>비지배주주 포괄이익</t>
        </is>
      </c>
      <c r="C208" s="12" t="n">
        <v>327</v>
      </c>
      <c r="D208" s="12" t="n">
        <v>172</v>
      </c>
      <c r="E208" s="12" t="n">
        <v>463</v>
      </c>
      <c r="F208" s="12" t="n">
        <v>330</v>
      </c>
      <c r="G208" s="12" t="n">
        <v>-219</v>
      </c>
      <c r="H208" s="12" t="n">
        <v>251</v>
      </c>
      <c r="I208" s="12" t="n">
        <v>-305</v>
      </c>
      <c r="J208" s="12" t="n">
        <v>-2215</v>
      </c>
      <c r="K208" s="12" t="n">
        <v>396</v>
      </c>
      <c r="L208" s="12" t="n">
        <v>72</v>
      </c>
      <c r="M208" s="12" t="n">
        <v>315</v>
      </c>
      <c r="N208" s="12" t="n">
        <v>181</v>
      </c>
      <c r="T208" s="12" t="n">
        <v>279</v>
      </c>
      <c r="U208" s="12" t="n">
        <v>-881</v>
      </c>
      <c r="V208" s="12" t="n">
        <v>172</v>
      </c>
      <c r="W208" s="12" t="n">
        <v>251</v>
      </c>
      <c r="X208" s="12" t="n">
        <v>72</v>
      </c>
    </row>
    <row r="210">
      <c r="A210" s="16" t="inlineStr">
        <is>
          <t>부문 · 전 항목</t>
        </is>
      </c>
      <c r="B210" s="42" t="inlineStr">
        <is>
          <t>부문 · 항목</t>
        </is>
      </c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</row>
    <row r="211">
      <c r="A211" s="5" t="inlineStr">
        <is>
          <t>항목</t>
        </is>
      </c>
      <c r="B211" s="5" t="inlineStr">
        <is>
          <t>참고</t>
        </is>
      </c>
      <c r="C211" s="5" t="inlineStr">
        <is>
          <t>2024.3Q</t>
        </is>
      </c>
      <c r="D211" s="5" t="inlineStr">
        <is>
          <t>2024.4Q</t>
        </is>
      </c>
      <c r="E211" s="5" t="inlineStr">
        <is>
          <t>2025.1Q</t>
        </is>
      </c>
      <c r="F211" s="5" t="inlineStr">
        <is>
          <t>2025.2Q</t>
        </is>
      </c>
      <c r="G211" s="5" t="inlineStr">
        <is>
          <t>2025.3Q</t>
        </is>
      </c>
      <c r="H211" s="5" t="inlineStr">
        <is>
          <t>2025.4Q</t>
        </is>
      </c>
      <c r="I211" s="5" t="inlineStr">
        <is>
          <t>2026.1Q</t>
        </is>
      </c>
      <c r="J211" s="5" t="inlineStr">
        <is>
          <t>2026.2Q</t>
        </is>
      </c>
      <c r="K211" s="5" t="inlineStr">
        <is>
          <t>2026.3Q</t>
        </is>
      </c>
      <c r="L211" s="5" t="inlineStr">
        <is>
          <t>2026.4Q</t>
        </is>
      </c>
      <c r="M211" s="5" t="inlineStr">
        <is>
          <t>2027.1Q</t>
        </is>
      </c>
      <c r="N211" s="5" t="inlineStr">
        <is>
          <t>2027.2Q</t>
        </is>
      </c>
      <c r="O211" s="5" t="inlineStr">
        <is>
          <t>2017</t>
        </is>
      </c>
      <c r="P211" s="5" t="inlineStr">
        <is>
          <t>2018</t>
        </is>
      </c>
      <c r="Q211" s="5" t="inlineStr">
        <is>
          <t>2019</t>
        </is>
      </c>
      <c r="R211" s="5" t="inlineStr">
        <is>
          <t>2020</t>
        </is>
      </c>
      <c r="S211" s="5" t="inlineStr">
        <is>
          <t>2021</t>
        </is>
      </c>
      <c r="T211" s="5" t="inlineStr">
        <is>
          <t>2022</t>
        </is>
      </c>
      <c r="U211" s="5" t="inlineStr">
        <is>
          <t>2023</t>
        </is>
      </c>
      <c r="V211" s="5" t="inlineStr">
        <is>
          <t>2024</t>
        </is>
      </c>
      <c r="W211" s="5" t="inlineStr">
        <is>
          <t>2025</t>
        </is>
      </c>
      <c r="X211" s="5" t="inlineStr">
        <is>
          <t>2026</t>
        </is>
      </c>
      <c r="Y211" s="5" t="inlineStr">
        <is>
          <t>2027(MW)</t>
        </is>
      </c>
      <c r="Z211" s="5" t="inlineStr">
        <is>
          <t>2028(MW)</t>
        </is>
      </c>
      <c r="AA211" s="5" t="inlineStr">
        <is>
          <t>2029(MW)</t>
        </is>
      </c>
      <c r="AB211" s="5" t="inlineStr">
        <is>
          <t>2030(MW)</t>
        </is>
      </c>
      <c r="AC211" s="5" t="inlineStr">
        <is>
          <t>2031(MW)</t>
        </is>
      </c>
    </row>
    <row r="212">
      <c r="A212" s="18" t="inlineStr">
        <is>
          <t>JapanHousingEquipmentBusinessReportableSegmentMember · 고객과의 계약에서 생기는 수익</t>
        </is>
      </c>
      <c r="I212" s="20" t="n">
        <v>108378</v>
      </c>
      <c r="M212" s="20" t="n">
        <v>105588</v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I213" s="15">
        <f>IF(OR(I212="",E212=""),"",IF(E212&lt;=0,"",IFERROR(I212/E212-1,"")))</f>
        <v/>
      </c>
      <c r="M213" s="15">
        <f>IF(OR(M212="",I212=""),"",IF(I212&lt;=0,"",IFERROR(M212/I212-1,"")))</f>
        <v/>
      </c>
    </row>
    <row r="214">
      <c r="A214" s="18" t="inlineStr">
        <is>
          <t>AmericasReportableSegmentMember · 고객과의 계약에서 생기는 수익</t>
        </is>
      </c>
      <c r="I214" s="20" t="n">
        <v>18733</v>
      </c>
      <c r="M214" s="20" t="n">
        <v>20027</v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I215" s="15">
        <f>IF(OR(I214="",E214=""),"",IF(E214&lt;=0,"",IFERROR(I214/E214-1,"")))</f>
        <v/>
      </c>
      <c r="M215" s="15">
        <f>IF(OR(M214="",I214=""),"",IF(I214&lt;=0,"",IFERROR(M214/I214-1,"")))</f>
        <v/>
      </c>
    </row>
    <row r="216">
      <c r="A216" s="18" t="inlineStr">
        <is>
          <t>AsiaOceaniaReportableSegmentMember · 고객과의 계약에서 생기는 수익</t>
        </is>
      </c>
      <c r="I216" s="20" t="n">
        <v>11150</v>
      </c>
      <c r="M216" s="20" t="n">
        <v>12639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I217" s="15">
        <f>IF(OR(I216="",E216=""),"",IF(E216&lt;=0,"",IFERROR(I216/E216-1,"")))</f>
        <v/>
      </c>
      <c r="M217" s="15">
        <f>IF(OR(M216="",I216=""),"",IF(I216&lt;=0,"",IFERROR(M216/I216-1,"")))</f>
        <v/>
      </c>
    </row>
    <row r="218">
      <c r="A218" s="18" t="inlineStr">
        <is>
          <t>EuropeReportableSegmentMember · 고객과의 계약에서 생기는 수익</t>
        </is>
      </c>
      <c r="I218" s="20" t="n">
        <v>1474</v>
      </c>
      <c r="M218" s="20" t="n">
        <v>1906</v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I219" s="15">
        <f>IF(OR(I218="",E218=""),"",IF(E218&lt;=0,"",IFERROR(I218/E218-1,"")))</f>
        <v/>
      </c>
      <c r="M219" s="15">
        <f>IF(OR(M218="",I218=""),"",IF(I218&lt;=0,"",IFERROR(M218/I218-1,"")))</f>
        <v/>
      </c>
    </row>
    <row r="220">
      <c r="A220" s="18" t="inlineStr">
        <is>
          <t>MainlandChinaBusinessReportableSegmentMember · 고객과의 계약에서 생기는 수익</t>
        </is>
      </c>
      <c r="I220" s="20" t="n">
        <v>10838</v>
      </c>
      <c r="M220" s="20" t="n">
        <v>12399</v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I221" s="15">
        <f>IF(OR(I220="",E220=""),"",IF(E220&lt;=0,"",IFERROR(I220/E220-1,"")))</f>
        <v/>
      </c>
      <c r="M221" s="15">
        <f>IF(OR(M220="",I220=""),"",IF(I220&lt;=0,"",IFERROR(M220/I220-1,"")))</f>
        <v/>
      </c>
    </row>
    <row r="222">
      <c r="A222" s="18" t="inlineStr">
        <is>
          <t>GlobalHousingEquipmentBusinessReportableSegmentMember · 고객과의 계약에서 생기는 수익</t>
        </is>
      </c>
      <c r="I222" s="20" t="n">
        <v>150575</v>
      </c>
      <c r="M222" s="20" t="n">
        <v>152561</v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I223" s="15">
        <f>IF(OR(I222="",E222=""),"",IF(E222&lt;=0,"",IFERROR(I222/E222-1,"")))</f>
        <v/>
      </c>
      <c r="M223" s="15">
        <f>IF(OR(M222="",I222=""),"",IF(I222&lt;=0,"",IFERROR(M222/I222-1,"")))</f>
        <v/>
      </c>
    </row>
    <row r="224">
      <c r="A224" s="18" t="inlineStr">
        <is>
          <t>JapanHousingEquipmentBusinessReportableSegmentMember · 외부 고객 매출</t>
        </is>
      </c>
      <c r="H224" s="20" t="n">
        <v>117746</v>
      </c>
      <c r="I224" s="20" t="n">
        <v>108378</v>
      </c>
      <c r="L224" s="20" t="n">
        <v>117849</v>
      </c>
      <c r="M224" s="20" t="n">
        <v>105588</v>
      </c>
      <c r="W224" s="20" t="n">
        <v>117746</v>
      </c>
      <c r="X224" s="20" t="n">
        <v>117849</v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H225" s="15">
        <f>IF(OR(H224="",D224=""),"",IF(D224&lt;=0,"",IFERROR(H224/D224-1,"")))</f>
        <v/>
      </c>
      <c r="I225" s="15">
        <f>IF(OR(I224="",E224=""),"",IF(E224&lt;=0,"",IFERROR(I224/E224-1,"")))</f>
        <v/>
      </c>
      <c r="L225" s="15">
        <f>IF(OR(L224="",H224=""),"",IF(H224&lt;=0,"",IFERROR(L224/H224-1,"")))</f>
        <v/>
      </c>
      <c r="M225" s="15">
        <f>IF(OR(M224="",I224=""),"",IF(I224&lt;=0,"",IFERROR(M224/I224-1,"")))</f>
        <v/>
      </c>
      <c r="W225" s="15">
        <f>IF(OR(W224="",V224=""),"",IF(V224&lt;=0,"",IFERROR(W224/V224-1,"")))</f>
        <v/>
      </c>
      <c r="X225" s="15">
        <f>IF(OR(X224="",W224=""),"",IF(W224&lt;=0,"",IFERROR(X224/W224-1,"")))</f>
        <v/>
      </c>
    </row>
    <row r="226">
      <c r="A226" s="18" t="inlineStr">
        <is>
          <t>AmericasReportableSegmentMember · 외부 고객 매출</t>
        </is>
      </c>
      <c r="H226" s="20" t="n">
        <v>17558</v>
      </c>
      <c r="I226" s="20" t="n">
        <v>18733</v>
      </c>
      <c r="L226" s="20" t="n">
        <v>20308</v>
      </c>
      <c r="M226" s="20" t="n">
        <v>20027</v>
      </c>
      <c r="W226" s="20" t="n">
        <v>17558</v>
      </c>
      <c r="X226" s="20" t="n">
        <v>20308</v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H227" s="15">
        <f>IF(OR(H226="",D226=""),"",IF(D226&lt;=0,"",IFERROR(H226/D226-1,"")))</f>
        <v/>
      </c>
      <c r="I227" s="15">
        <f>IF(OR(I226="",E226=""),"",IF(E226&lt;=0,"",IFERROR(I226/E226-1,"")))</f>
        <v/>
      </c>
      <c r="L227" s="15">
        <f>IF(OR(L226="",H226=""),"",IF(H226&lt;=0,"",IFERROR(L226/H226-1,"")))</f>
        <v/>
      </c>
      <c r="M227" s="15">
        <f>IF(OR(M226="",I226=""),"",IF(I226&lt;=0,"",IFERROR(M226/I226-1,"")))</f>
        <v/>
      </c>
      <c r="W227" s="15">
        <f>IF(OR(W226="",V226=""),"",IF(V226&lt;=0,"",IFERROR(W226/V226-1,"")))</f>
        <v/>
      </c>
      <c r="X227" s="15">
        <f>IF(OR(X226="",W226=""),"",IF(W226&lt;=0,"",IFERROR(X226/W226-1,"")))</f>
        <v/>
      </c>
    </row>
    <row r="228">
      <c r="A228" s="18" t="inlineStr">
        <is>
          <t>AsiaOceaniaReportableSegmentMember · 외부 고객 매출</t>
        </is>
      </c>
      <c r="H228" s="20" t="n">
        <v>15148</v>
      </c>
      <c r="I228" s="20" t="n">
        <v>11150</v>
      </c>
      <c r="L228" s="20" t="n">
        <v>16658</v>
      </c>
      <c r="M228" s="20" t="n">
        <v>12639</v>
      </c>
      <c r="W228" s="20" t="n">
        <v>15148</v>
      </c>
      <c r="X228" s="20" t="n">
        <v>16658</v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H229" s="15">
        <f>IF(OR(H228="",D228=""),"",IF(D228&lt;=0,"",IFERROR(H228/D228-1,"")))</f>
        <v/>
      </c>
      <c r="I229" s="15">
        <f>IF(OR(I228="",E228=""),"",IF(E228&lt;=0,"",IFERROR(I228/E228-1,"")))</f>
        <v/>
      </c>
      <c r="L229" s="15">
        <f>IF(OR(L228="",H228=""),"",IF(H228&lt;=0,"",IFERROR(L228/H228-1,"")))</f>
        <v/>
      </c>
      <c r="M229" s="15">
        <f>IF(OR(M228="",I228=""),"",IF(I228&lt;=0,"",IFERROR(M228/I228-1,"")))</f>
        <v/>
      </c>
      <c r="W229" s="15">
        <f>IF(OR(W228="",V228=""),"",IF(V228&lt;=0,"",IFERROR(W228/V228-1,"")))</f>
        <v/>
      </c>
      <c r="X229" s="15">
        <f>IF(OR(X228="",W228=""),"",IF(W228&lt;=0,"",IFERROR(X228/W228-1,"")))</f>
        <v/>
      </c>
    </row>
    <row r="230">
      <c r="A230" s="18" t="inlineStr">
        <is>
          <t>EuropeReportableSegmentMember · 외부 고객 매출</t>
        </is>
      </c>
      <c r="H230" s="20" t="n">
        <v>1195</v>
      </c>
      <c r="I230" s="20" t="n">
        <v>1474</v>
      </c>
      <c r="L230" s="20" t="n">
        <v>1482</v>
      </c>
      <c r="M230" s="20" t="n">
        <v>1906</v>
      </c>
      <c r="W230" s="20" t="n">
        <v>1195</v>
      </c>
      <c r="X230" s="20" t="n">
        <v>1482</v>
      </c>
    </row>
    <row r="231">
      <c r="A231" s="43" t="inlineStr">
        <is>
          <t>YoY</t>
        </is>
      </c>
      <c r="B231" s="3" t="inlineStr">
        <is>
          <t>전년 같은 분기·전년 대비</t>
        </is>
      </c>
      <c r="H231" s="15">
        <f>IF(OR(H230="",D230=""),"",IF(D230&lt;=0,"",IFERROR(H230/D230-1,"")))</f>
        <v/>
      </c>
      <c r="I231" s="15">
        <f>IF(OR(I230="",E230=""),"",IF(E230&lt;=0,"",IFERROR(I230/E230-1,"")))</f>
        <v/>
      </c>
      <c r="L231" s="15">
        <f>IF(OR(L230="",H230=""),"",IF(H230&lt;=0,"",IFERROR(L230/H230-1,"")))</f>
        <v/>
      </c>
      <c r="M231" s="15">
        <f>IF(OR(M230="",I230=""),"",IF(I230&lt;=0,"",IFERROR(M230/I230-1,"")))</f>
        <v/>
      </c>
      <c r="W231" s="15">
        <f>IF(OR(W230="",V230=""),"",IF(V230&lt;=0,"",IFERROR(W230/V230-1,"")))</f>
        <v/>
      </c>
      <c r="X231" s="15">
        <f>IF(OR(X230="",W230=""),"",IF(W230&lt;=0,"",IFERROR(X230/W230-1,"")))</f>
        <v/>
      </c>
    </row>
    <row r="232">
      <c r="A232" s="18" t="inlineStr">
        <is>
          <t>MainlandChinaBusinessReportableSegmentMember · 외부 고객 매출</t>
        </is>
      </c>
      <c r="H232" s="20" t="n">
        <v>14484</v>
      </c>
      <c r="I232" s="20" t="n">
        <v>10838</v>
      </c>
      <c r="L232" s="20" t="n">
        <v>13512</v>
      </c>
      <c r="M232" s="20" t="n">
        <v>12399</v>
      </c>
      <c r="W232" s="20" t="n">
        <v>14484</v>
      </c>
      <c r="X232" s="20" t="n">
        <v>13512</v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H233" s="15">
        <f>IF(OR(H232="",D232=""),"",IF(D232&lt;=0,"",IFERROR(H232/D232-1,"")))</f>
        <v/>
      </c>
      <c r="I233" s="15">
        <f>IF(OR(I232="",E232=""),"",IF(E232&lt;=0,"",IFERROR(I232/E232-1,"")))</f>
        <v/>
      </c>
      <c r="L233" s="15">
        <f>IF(OR(L232="",H232=""),"",IF(H232&lt;=0,"",IFERROR(L232/H232-1,"")))</f>
        <v/>
      </c>
      <c r="M233" s="15">
        <f>IF(OR(M232="",I232=""),"",IF(I232&lt;=0,"",IFERROR(M232/I232-1,"")))</f>
        <v/>
      </c>
      <c r="W233" s="15">
        <f>IF(OR(W232="",V232=""),"",IF(V232&lt;=0,"",IFERROR(W232/V232-1,"")))</f>
        <v/>
      </c>
      <c r="X233" s="15">
        <f>IF(OR(X232="",W232=""),"",IF(W232&lt;=0,"",IFERROR(X232/W232-1,"")))</f>
        <v/>
      </c>
    </row>
    <row r="234">
      <c r="A234" s="18" t="inlineStr">
        <is>
          <t>GlobalHousingEquipmentBusinessReportableSegmentMember · 외부 고객 매출</t>
        </is>
      </c>
      <c r="H234" s="20" t="n">
        <v>166130</v>
      </c>
      <c r="I234" s="20" t="n">
        <v>150575</v>
      </c>
      <c r="L234" s="20" t="n">
        <v>169810</v>
      </c>
      <c r="M234" s="20" t="n">
        <v>152561</v>
      </c>
      <c r="W234" s="20" t="n">
        <v>166130</v>
      </c>
      <c r="X234" s="20" t="n">
        <v>169810</v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H235" s="15">
        <f>IF(OR(H234="",D234=""),"",IF(D234&lt;=0,"",IFERROR(H234/D234-1,"")))</f>
        <v/>
      </c>
      <c r="I235" s="15">
        <f>IF(OR(I234="",E234=""),"",IF(E234&lt;=0,"",IFERROR(I234/E234-1,"")))</f>
        <v/>
      </c>
      <c r="L235" s="15">
        <f>IF(OR(L234="",H234=""),"",IF(H234&lt;=0,"",IFERROR(L234/H234-1,"")))</f>
        <v/>
      </c>
      <c r="M235" s="15">
        <f>IF(OR(M234="",I234=""),"",IF(I234&lt;=0,"",IFERROR(M234/I234-1,"")))</f>
        <v/>
      </c>
      <c r="W235" s="15">
        <f>IF(OR(W234="",V234=""),"",IF(V234&lt;=0,"",IFERROR(W234/V234-1,"")))</f>
        <v/>
      </c>
      <c r="X235" s="15">
        <f>IF(OR(X234="",W234=""),"",IF(W234&lt;=0,"",IFERROR(X234/W234-1,"")))</f>
        <v/>
      </c>
    </row>
    <row r="236">
      <c r="A236" s="18" t="inlineStr">
        <is>
          <t>JapanHousingEquipmentBusinessReportableSegmentMember · 부문 간 내부매출·대체</t>
        </is>
      </c>
      <c r="H236" s="20" t="n">
        <v>3664</v>
      </c>
      <c r="I236" s="20" t="n">
        <v>3411</v>
      </c>
      <c r="L236" s="20" t="n">
        <v>4402</v>
      </c>
      <c r="M236" s="20" t="n">
        <v>4544</v>
      </c>
      <c r="W236" s="20" t="n">
        <v>3664</v>
      </c>
      <c r="X236" s="20" t="n">
        <v>4402</v>
      </c>
    </row>
    <row r="237">
      <c r="A237" s="18" t="inlineStr">
        <is>
          <t>AmericasReportableSegmentMember · 부문 간 내부매출·대체</t>
        </is>
      </c>
      <c r="H237" s="20" t="n">
        <v>0</v>
      </c>
      <c r="I237" s="20" t="n">
        <v>0</v>
      </c>
      <c r="L237" s="20" t="n">
        <v>3</v>
      </c>
      <c r="M237" s="20" t="n">
        <v>0</v>
      </c>
      <c r="W237" s="20" t="n">
        <v>0</v>
      </c>
      <c r="X237" s="20" t="n">
        <v>3</v>
      </c>
    </row>
    <row r="238">
      <c r="A238" s="18" t="inlineStr">
        <is>
          <t>AsiaOceaniaReportableSegmentMember · 부문 간 내부매출·대체</t>
        </is>
      </c>
      <c r="H238" s="20" t="n">
        <v>13211</v>
      </c>
      <c r="I238" s="20" t="n">
        <v>11291</v>
      </c>
      <c r="L238" s="20" t="n">
        <v>13982</v>
      </c>
      <c r="M238" s="20" t="n">
        <v>13126</v>
      </c>
      <c r="W238" s="20" t="n">
        <v>13211</v>
      </c>
      <c r="X238" s="20" t="n">
        <v>13982</v>
      </c>
    </row>
    <row r="239">
      <c r="A239" s="18" t="inlineStr">
        <is>
          <t>EuropeReportableSegmentMember · 부문 간 내부매출·대체</t>
        </is>
      </c>
      <c r="H239" s="20" t="n">
        <v>1</v>
      </c>
      <c r="I239" s="20" t="n">
        <v>0</v>
      </c>
      <c r="L239" s="20" t="n">
        <v>0</v>
      </c>
      <c r="M239" s="20" t="n">
        <v>0</v>
      </c>
      <c r="W239" s="20" t="n">
        <v>1</v>
      </c>
      <c r="X239" s="20" t="n">
        <v>0</v>
      </c>
    </row>
    <row r="240">
      <c r="A240" s="18" t="inlineStr">
        <is>
          <t>MainlandChinaBusinessReportableSegmentMember · 부문 간 내부매출·대체</t>
        </is>
      </c>
      <c r="H240" s="20" t="n">
        <v>4786</v>
      </c>
      <c r="I240" s="20" t="n">
        <v>4761</v>
      </c>
      <c r="L240" s="20" t="n">
        <v>5187</v>
      </c>
      <c r="M240" s="20" t="n">
        <v>5454</v>
      </c>
      <c r="W240" s="20" t="n">
        <v>4786</v>
      </c>
      <c r="X240" s="20" t="n">
        <v>5187</v>
      </c>
    </row>
    <row r="241">
      <c r="A241" s="18" t="inlineStr">
        <is>
          <t>GlobalHousingEquipmentBusinessReportableSegmentMember · 부문 간 내부매출·대체</t>
        </is>
      </c>
      <c r="H241" s="20" t="n">
        <v>21663</v>
      </c>
      <c r="I241" s="20" t="n">
        <v>19465</v>
      </c>
      <c r="L241" s="20" t="n">
        <v>23575</v>
      </c>
      <c r="M241" s="20" t="n">
        <v>23126</v>
      </c>
      <c r="W241" s="20" t="n">
        <v>21663</v>
      </c>
      <c r="X241" s="20" t="n">
        <v>23575</v>
      </c>
    </row>
    <row r="242">
      <c r="A242" s="18" t="inlineStr">
        <is>
          <t>JapanHousingEquipmentBusinessReportableSegmentMember · 계</t>
        </is>
      </c>
      <c r="H242" s="20" t="n">
        <v>121409</v>
      </c>
      <c r="I242" s="20" t="n">
        <v>111789</v>
      </c>
      <c r="L242" s="20" t="n">
        <v>122251</v>
      </c>
      <c r="M242" s="20" t="n">
        <v>110133</v>
      </c>
      <c r="W242" s="20" t="n">
        <v>121409</v>
      </c>
      <c r="X242" s="20" t="n">
        <v>122251</v>
      </c>
    </row>
    <row r="243">
      <c r="A243" s="43" t="inlineStr">
        <is>
          <t>YoY</t>
        </is>
      </c>
      <c r="B243" s="3" t="inlineStr">
        <is>
          <t>전년 같은 분기·전년 대비</t>
        </is>
      </c>
      <c r="H243" s="15">
        <f>IF(OR(H242="",D242=""),"",IF(D242&lt;=0,"",IFERROR(H242/D242-1,"")))</f>
        <v/>
      </c>
      <c r="I243" s="15">
        <f>IF(OR(I242="",E242=""),"",IF(E242&lt;=0,"",IFERROR(I242/E242-1,"")))</f>
        <v/>
      </c>
      <c r="L243" s="15">
        <f>IF(OR(L242="",H242=""),"",IF(H242&lt;=0,"",IFERROR(L242/H242-1,"")))</f>
        <v/>
      </c>
      <c r="M243" s="15">
        <f>IF(OR(M242="",I242=""),"",IF(I242&lt;=0,"",IFERROR(M242/I242-1,"")))</f>
        <v/>
      </c>
      <c r="W243" s="15">
        <f>IF(OR(W242="",V242=""),"",IF(V242&lt;=0,"",IFERROR(W242/V242-1,"")))</f>
        <v/>
      </c>
      <c r="X243" s="15">
        <f>IF(OR(X242="",W242=""),"",IF(W242&lt;=0,"",IFERROR(X242/W242-1,"")))</f>
        <v/>
      </c>
    </row>
    <row r="244">
      <c r="A244" s="18" t="inlineStr">
        <is>
          <t>AmericasReportableSegmentMember · 계</t>
        </is>
      </c>
      <c r="H244" s="20" t="n">
        <v>17559</v>
      </c>
      <c r="I244" s="20" t="n">
        <v>18734</v>
      </c>
      <c r="L244" s="20" t="n">
        <v>20311</v>
      </c>
      <c r="M244" s="20" t="n">
        <v>20027</v>
      </c>
      <c r="W244" s="20" t="n">
        <v>17559</v>
      </c>
      <c r="X244" s="20" t="n">
        <v>20311</v>
      </c>
    </row>
    <row r="245">
      <c r="A245" s="43" t="inlineStr">
        <is>
          <t>YoY</t>
        </is>
      </c>
      <c r="B245" s="3" t="inlineStr">
        <is>
          <t>전년 같은 분기·전년 대비</t>
        </is>
      </c>
      <c r="H245" s="15">
        <f>IF(OR(H244="",D244=""),"",IF(D244&lt;=0,"",IFERROR(H244/D244-1,"")))</f>
        <v/>
      </c>
      <c r="I245" s="15">
        <f>IF(OR(I244="",E244=""),"",IF(E244&lt;=0,"",IFERROR(I244/E244-1,"")))</f>
        <v/>
      </c>
      <c r="L245" s="15">
        <f>IF(OR(L244="",H244=""),"",IF(H244&lt;=0,"",IFERROR(L244/H244-1,"")))</f>
        <v/>
      </c>
      <c r="M245" s="15">
        <f>IF(OR(M244="",I244=""),"",IF(I244&lt;=0,"",IFERROR(M244/I244-1,"")))</f>
        <v/>
      </c>
      <c r="W245" s="15">
        <f>IF(OR(W244="",V244=""),"",IF(V244&lt;=0,"",IFERROR(W244/V244-1,"")))</f>
        <v/>
      </c>
      <c r="X245" s="15">
        <f>IF(OR(X244="",W244=""),"",IF(W244&lt;=0,"",IFERROR(X244/W244-1,"")))</f>
        <v/>
      </c>
    </row>
    <row r="246">
      <c r="A246" s="18" t="inlineStr">
        <is>
          <t>AsiaOceaniaReportableSegmentMember · 계</t>
        </is>
      </c>
      <c r="H246" s="20" t="n">
        <v>28359</v>
      </c>
      <c r="I246" s="20" t="n">
        <v>22442</v>
      </c>
      <c r="L246" s="20" t="n">
        <v>30640</v>
      </c>
      <c r="M246" s="20" t="n">
        <v>25766</v>
      </c>
      <c r="W246" s="20" t="n">
        <v>28359</v>
      </c>
      <c r="X246" s="20" t="n">
        <v>30640</v>
      </c>
    </row>
    <row r="247">
      <c r="A247" s="43" t="inlineStr">
        <is>
          <t>YoY</t>
        </is>
      </c>
      <c r="B247" s="3" t="inlineStr">
        <is>
          <t>전년 같은 분기·전년 대비</t>
        </is>
      </c>
      <c r="H247" s="15">
        <f>IF(OR(H246="",D246=""),"",IF(D246&lt;=0,"",IFERROR(H246/D246-1,"")))</f>
        <v/>
      </c>
      <c r="I247" s="15">
        <f>IF(OR(I246="",E246=""),"",IF(E246&lt;=0,"",IFERROR(I246/E246-1,"")))</f>
        <v/>
      </c>
      <c r="L247" s="15">
        <f>IF(OR(L246="",H246=""),"",IF(H246&lt;=0,"",IFERROR(L246/H246-1,"")))</f>
        <v/>
      </c>
      <c r="M247" s="15">
        <f>IF(OR(M246="",I246=""),"",IF(I246&lt;=0,"",IFERROR(M246/I246-1,"")))</f>
        <v/>
      </c>
      <c r="W247" s="15">
        <f>IF(OR(W246="",V246=""),"",IF(V246&lt;=0,"",IFERROR(W246/V246-1,"")))</f>
        <v/>
      </c>
      <c r="X247" s="15">
        <f>IF(OR(X246="",W246=""),"",IF(W246&lt;=0,"",IFERROR(X246/W246-1,"")))</f>
        <v/>
      </c>
    </row>
    <row r="248">
      <c r="A248" s="18" t="inlineStr">
        <is>
          <t>EuropeReportableSegmentMember · 계</t>
        </is>
      </c>
      <c r="H248" s="20" t="n">
        <v>1196</v>
      </c>
      <c r="I248" s="20" t="n">
        <v>1474</v>
      </c>
      <c r="L248" s="20" t="n">
        <v>1482</v>
      </c>
      <c r="M248" s="20" t="n">
        <v>1906</v>
      </c>
      <c r="W248" s="20" t="n">
        <v>1196</v>
      </c>
      <c r="X248" s="20" t="n">
        <v>1482</v>
      </c>
    </row>
    <row r="249">
      <c r="A249" s="43" t="inlineStr">
        <is>
          <t>YoY</t>
        </is>
      </c>
      <c r="B249" s="3" t="inlineStr">
        <is>
          <t>전년 같은 분기·전년 대비</t>
        </is>
      </c>
      <c r="H249" s="15">
        <f>IF(OR(H248="",D248=""),"",IF(D248&lt;=0,"",IFERROR(H248/D248-1,"")))</f>
        <v/>
      </c>
      <c r="I249" s="15">
        <f>IF(OR(I248="",E248=""),"",IF(E248&lt;=0,"",IFERROR(I248/E248-1,"")))</f>
        <v/>
      </c>
      <c r="L249" s="15">
        <f>IF(OR(L248="",H248=""),"",IF(H248&lt;=0,"",IFERROR(L248/H248-1,"")))</f>
        <v/>
      </c>
      <c r="M249" s="15">
        <f>IF(OR(M248="",I248=""),"",IF(I248&lt;=0,"",IFERROR(M248/I248-1,"")))</f>
        <v/>
      </c>
      <c r="W249" s="15">
        <f>IF(OR(W248="",V248=""),"",IF(V248&lt;=0,"",IFERROR(W248/V248-1,"")))</f>
        <v/>
      </c>
      <c r="X249" s="15">
        <f>IF(OR(X248="",W248=""),"",IF(W248&lt;=0,"",IFERROR(X248/W248-1,"")))</f>
        <v/>
      </c>
    </row>
    <row r="250">
      <c r="A250" s="18" t="inlineStr">
        <is>
          <t>MainlandChinaBusinessReportableSegmentMember · 계</t>
        </is>
      </c>
      <c r="H250" s="20" t="n">
        <v>19269</v>
      </c>
      <c r="I250" s="20" t="n">
        <v>15599</v>
      </c>
      <c r="L250" s="20" t="n">
        <v>18699</v>
      </c>
      <c r="M250" s="20" t="n">
        <v>17854</v>
      </c>
      <c r="W250" s="20" t="n">
        <v>19269</v>
      </c>
      <c r="X250" s="20" t="n">
        <v>18699</v>
      </c>
    </row>
    <row r="251">
      <c r="A251" s="43" t="inlineStr">
        <is>
          <t>YoY</t>
        </is>
      </c>
      <c r="B251" s="3" t="inlineStr">
        <is>
          <t>전년 같은 분기·전년 대비</t>
        </is>
      </c>
      <c r="H251" s="15">
        <f>IF(OR(H250="",D250=""),"",IF(D250&lt;=0,"",IFERROR(H250/D250-1,"")))</f>
        <v/>
      </c>
      <c r="I251" s="15">
        <f>IF(OR(I250="",E250=""),"",IF(E250&lt;=0,"",IFERROR(I250/E250-1,"")))</f>
        <v/>
      </c>
      <c r="L251" s="15">
        <f>IF(OR(L250="",H250=""),"",IF(H250&lt;=0,"",IFERROR(L250/H250-1,"")))</f>
        <v/>
      </c>
      <c r="M251" s="15">
        <f>IF(OR(M250="",I250=""),"",IF(I250&lt;=0,"",IFERROR(M250/I250-1,"")))</f>
        <v/>
      </c>
      <c r="W251" s="15">
        <f>IF(OR(W250="",V250=""),"",IF(V250&lt;=0,"",IFERROR(W250/V250-1,"")))</f>
        <v/>
      </c>
      <c r="X251" s="15">
        <f>IF(OR(X250="",W250=""),"",IF(W250&lt;=0,"",IFERROR(X250/W250-1,"")))</f>
        <v/>
      </c>
    </row>
    <row r="252">
      <c r="A252" s="18" t="inlineStr">
        <is>
          <t>GlobalHousingEquipmentBusinessReportableSegmentMember · 계</t>
        </is>
      </c>
      <c r="H252" s="20" t="n">
        <v>187793</v>
      </c>
      <c r="I252" s="20" t="n">
        <v>170041</v>
      </c>
      <c r="L252" s="20" t="n">
        <v>193384</v>
      </c>
      <c r="M252" s="20" t="n">
        <v>175688</v>
      </c>
      <c r="W252" s="20" t="n">
        <v>187793</v>
      </c>
      <c r="X252" s="20" t="n">
        <v>193384</v>
      </c>
    </row>
    <row r="253">
      <c r="A253" s="43" t="inlineStr">
        <is>
          <t>YoY</t>
        </is>
      </c>
      <c r="B253" s="3" t="inlineStr">
        <is>
          <t>전년 같은 분기·전년 대비</t>
        </is>
      </c>
      <c r="H253" s="15">
        <f>IF(OR(H252="",D252=""),"",IF(D252&lt;=0,"",IFERROR(H252/D252-1,"")))</f>
        <v/>
      </c>
      <c r="I253" s="15">
        <f>IF(OR(I252="",E252=""),"",IF(E252&lt;=0,"",IFERROR(I252/E252-1,"")))</f>
        <v/>
      </c>
      <c r="L253" s="15">
        <f>IF(OR(L252="",H252=""),"",IF(H252&lt;=0,"",IFERROR(L252/H252-1,"")))</f>
        <v/>
      </c>
      <c r="M253" s="15">
        <f>IF(OR(M252="",I252=""),"",IF(I252&lt;=0,"",IFERROR(M252/I252-1,"")))</f>
        <v/>
      </c>
      <c r="W253" s="15">
        <f>IF(OR(W252="",V252=""),"",IF(V252&lt;=0,"",IFERROR(W252/V252-1,"")))</f>
        <v/>
      </c>
      <c r="X253" s="15">
        <f>IF(OR(X252="",W252=""),"",IF(W252&lt;=0,"",IFERROR(X252/W252-1,"")))</f>
        <v/>
      </c>
    </row>
    <row r="254">
      <c r="A254" s="18" t="inlineStr">
        <is>
          <t>JapanHousingEquipmentBusinessReportableSegmentMember · Operating Income</t>
        </is>
      </c>
      <c r="H254" s="20" t="n">
        <v>2172</v>
      </c>
      <c r="I254" s="20" t="n">
        <v>1165</v>
      </c>
      <c r="L254" s="20" t="n">
        <v>3104</v>
      </c>
      <c r="M254" s="20" t="n">
        <v>628</v>
      </c>
      <c r="W254" s="20" t="n">
        <v>2172</v>
      </c>
      <c r="X254" s="20" t="n">
        <v>3104</v>
      </c>
    </row>
    <row r="255">
      <c r="A255" s="43" t="inlineStr">
        <is>
          <t>OPM</t>
        </is>
      </c>
      <c r="B255" s="3" t="inlineStr">
        <is>
          <t>영업이익 ÷ 매출</t>
        </is>
      </c>
      <c r="H255" s="15">
        <f>IF(OR(H254="",H242=""),"",IF(H242&lt;=0,"",IFERROR(H254/H242,"")))</f>
        <v/>
      </c>
      <c r="I255" s="15">
        <f>IF(OR(I254="",I242=""),"",IF(I242&lt;=0,"",IFERROR(I254/I242,"")))</f>
        <v/>
      </c>
      <c r="L255" s="15">
        <f>IF(OR(L254="",L242=""),"",IF(L242&lt;=0,"",IFERROR(L254/L242,"")))</f>
        <v/>
      </c>
      <c r="M255" s="15">
        <f>IF(OR(M254="",M242=""),"",IF(M242&lt;=0,"",IFERROR(M254/M242,"")))</f>
        <v/>
      </c>
      <c r="W255" s="15">
        <f>IF(OR(W254="",W242=""),"",IF(W242&lt;=0,"",IFERROR(W254/W242,"")))</f>
        <v/>
      </c>
      <c r="X255" s="15">
        <f>IF(OR(X254="",X242=""),"",IF(X242&lt;=0,"",IFERROR(X254/X242,"")))</f>
        <v/>
      </c>
    </row>
    <row r="256">
      <c r="A256" s="43" t="inlineStr">
        <is>
          <t>YoY</t>
        </is>
      </c>
      <c r="B256" s="3" t="inlineStr">
        <is>
          <t>전년 같은 분기·전년 대비</t>
        </is>
      </c>
      <c r="H256" s="15">
        <f>IF(OR(H254="",D254=""),"",IF(D254&lt;=0,"",IFERROR(H254/D254-1,"")))</f>
        <v/>
      </c>
      <c r="I256" s="15">
        <f>IF(OR(I254="",E254=""),"",IF(E254&lt;=0,"",IFERROR(I254/E254-1,"")))</f>
        <v/>
      </c>
      <c r="L256" s="15">
        <f>IF(OR(L254="",H254=""),"",IF(H254&lt;=0,"",IFERROR(L254/H254-1,"")))</f>
        <v/>
      </c>
      <c r="M256" s="15">
        <f>IF(OR(M254="",I254=""),"",IF(I254&lt;=0,"",IFERROR(M254/I254-1,"")))</f>
        <v/>
      </c>
      <c r="W256" s="15">
        <f>IF(OR(W254="",V254=""),"",IF(V254&lt;=0,"",IFERROR(W254/V254-1,"")))</f>
        <v/>
      </c>
      <c r="X256" s="15">
        <f>IF(OR(X254="",W254=""),"",IF(W254&lt;=0,"",IFERROR(X254/W254-1,"")))</f>
        <v/>
      </c>
    </row>
    <row r="257">
      <c r="A257" s="18" t="inlineStr">
        <is>
          <t>AmericasReportableSegmentMember · Operating Income</t>
        </is>
      </c>
      <c r="H257" s="20" t="n">
        <v>236</v>
      </c>
      <c r="I257" s="20" t="n">
        <v>1097</v>
      </c>
      <c r="L257" s="20" t="n">
        <v>1019</v>
      </c>
      <c r="M257" s="20" t="n">
        <v>-65</v>
      </c>
      <c r="W257" s="20" t="n">
        <v>236</v>
      </c>
      <c r="X257" s="20" t="n">
        <v>1019</v>
      </c>
    </row>
    <row r="258">
      <c r="A258" s="43" t="inlineStr">
        <is>
          <t>OPM</t>
        </is>
      </c>
      <c r="B258" s="3" t="inlineStr">
        <is>
          <t>영업이익 ÷ 매출</t>
        </is>
      </c>
      <c r="H258" s="15">
        <f>IF(OR(H257="",H244=""),"",IF(H244&lt;=0,"",IFERROR(H257/H244,"")))</f>
        <v/>
      </c>
      <c r="I258" s="15">
        <f>IF(OR(I257="",I244=""),"",IF(I244&lt;=0,"",IFERROR(I257/I244,"")))</f>
        <v/>
      </c>
      <c r="L258" s="15">
        <f>IF(OR(L257="",L244=""),"",IF(L244&lt;=0,"",IFERROR(L257/L244,"")))</f>
        <v/>
      </c>
      <c r="M258" s="15">
        <f>IF(OR(M257="",M244=""),"",IF(M244&lt;=0,"",IFERROR(M257/M244,"")))</f>
        <v/>
      </c>
      <c r="W258" s="15">
        <f>IF(OR(W257="",W244=""),"",IF(W244&lt;=0,"",IFERROR(W257/W244,"")))</f>
        <v/>
      </c>
      <c r="X258" s="15">
        <f>IF(OR(X257="",X244=""),"",IF(X244&lt;=0,"",IFERROR(X257/X244,"")))</f>
        <v/>
      </c>
    </row>
    <row r="259">
      <c r="A259" s="43" t="inlineStr">
        <is>
          <t>YoY</t>
        </is>
      </c>
      <c r="B259" s="3" t="inlineStr">
        <is>
          <t>전년 같은 분기·전년 대비</t>
        </is>
      </c>
      <c r="H259" s="15">
        <f>IF(OR(H257="",D257=""),"",IF(D257&lt;=0,"",IFERROR(H257/D257-1,"")))</f>
        <v/>
      </c>
      <c r="I259" s="15">
        <f>IF(OR(I257="",E257=""),"",IF(E257&lt;=0,"",IFERROR(I257/E257-1,"")))</f>
        <v/>
      </c>
      <c r="L259" s="15">
        <f>IF(OR(L257="",H257=""),"",IF(H257&lt;=0,"",IFERROR(L257/H257-1,"")))</f>
        <v/>
      </c>
      <c r="M259" s="15">
        <f>IF(OR(M257="",I257=""),"",IF(I257&lt;=0,"",IFERROR(M257/I257-1,"")))</f>
        <v/>
      </c>
      <c r="W259" s="15">
        <f>IF(OR(W257="",V257=""),"",IF(V257&lt;=0,"",IFERROR(W257/V257-1,"")))</f>
        <v/>
      </c>
      <c r="X259" s="15">
        <f>IF(OR(X257="",W257=""),"",IF(W257&lt;=0,"",IFERROR(X257/W257-1,"")))</f>
        <v/>
      </c>
    </row>
    <row r="260">
      <c r="A260" s="18" t="inlineStr">
        <is>
          <t>AsiaOceaniaReportableSegmentMember · Operating Income</t>
        </is>
      </c>
      <c r="H260" s="20" t="n">
        <v>2701</v>
      </c>
      <c r="I260" s="20" t="n">
        <v>2189</v>
      </c>
      <c r="L260" s="20" t="n">
        <v>2947</v>
      </c>
      <c r="M260" s="20" t="n">
        <v>1921</v>
      </c>
      <c r="W260" s="20" t="n">
        <v>2701</v>
      </c>
      <c r="X260" s="20" t="n">
        <v>2947</v>
      </c>
    </row>
    <row r="261">
      <c r="A261" s="43" t="inlineStr">
        <is>
          <t>OPM</t>
        </is>
      </c>
      <c r="B261" s="3" t="inlineStr">
        <is>
          <t>영업이익 ÷ 매출</t>
        </is>
      </c>
      <c r="H261" s="15">
        <f>IF(OR(H260="",H246=""),"",IF(H246&lt;=0,"",IFERROR(H260/H246,"")))</f>
        <v/>
      </c>
      <c r="I261" s="15">
        <f>IF(OR(I260="",I246=""),"",IF(I246&lt;=0,"",IFERROR(I260/I246,"")))</f>
        <v/>
      </c>
      <c r="L261" s="15">
        <f>IF(OR(L260="",L246=""),"",IF(L246&lt;=0,"",IFERROR(L260/L246,"")))</f>
        <v/>
      </c>
      <c r="M261" s="15">
        <f>IF(OR(M260="",M246=""),"",IF(M246&lt;=0,"",IFERROR(M260/M246,"")))</f>
        <v/>
      </c>
      <c r="W261" s="15">
        <f>IF(OR(W260="",W246=""),"",IF(W246&lt;=0,"",IFERROR(W260/W246,"")))</f>
        <v/>
      </c>
      <c r="X261" s="15">
        <f>IF(OR(X260="",X246=""),"",IF(X246&lt;=0,"",IFERROR(X260/X246,"")))</f>
        <v/>
      </c>
    </row>
    <row r="262">
      <c r="A262" s="43" t="inlineStr">
        <is>
          <t>YoY</t>
        </is>
      </c>
      <c r="B262" s="3" t="inlineStr">
        <is>
          <t>전년 같은 분기·전년 대비</t>
        </is>
      </c>
      <c r="H262" s="15">
        <f>IF(OR(H260="",D260=""),"",IF(D260&lt;=0,"",IFERROR(H260/D260-1,"")))</f>
        <v/>
      </c>
      <c r="I262" s="15">
        <f>IF(OR(I260="",E260=""),"",IF(E260&lt;=0,"",IFERROR(I260/E260-1,"")))</f>
        <v/>
      </c>
      <c r="L262" s="15">
        <f>IF(OR(L260="",H260=""),"",IF(H260&lt;=0,"",IFERROR(L260/H260-1,"")))</f>
        <v/>
      </c>
      <c r="M262" s="15">
        <f>IF(OR(M260="",I260=""),"",IF(I260&lt;=0,"",IFERROR(M260/I260-1,"")))</f>
        <v/>
      </c>
      <c r="W262" s="15">
        <f>IF(OR(W260="",V260=""),"",IF(V260&lt;=0,"",IFERROR(W260/V260-1,"")))</f>
        <v/>
      </c>
      <c r="X262" s="15">
        <f>IF(OR(X260="",W260=""),"",IF(W260&lt;=0,"",IFERROR(X260/W260-1,"")))</f>
        <v/>
      </c>
    </row>
    <row r="263">
      <c r="A263" s="18" t="inlineStr">
        <is>
          <t>EuropeReportableSegmentMember · Operating Income</t>
        </is>
      </c>
      <c r="H263" s="20" t="n">
        <v>-508</v>
      </c>
      <c r="I263" s="20" t="n">
        <v>61</v>
      </c>
      <c r="L263" s="20" t="n">
        <v>-149</v>
      </c>
      <c r="M263" s="20" t="n">
        <v>32</v>
      </c>
      <c r="W263" s="20" t="n">
        <v>-508</v>
      </c>
      <c r="X263" s="20" t="n">
        <v>-149</v>
      </c>
    </row>
    <row r="264">
      <c r="A264" s="43" t="inlineStr">
        <is>
          <t>OPM</t>
        </is>
      </c>
      <c r="B264" s="3" t="inlineStr">
        <is>
          <t>영업이익 ÷ 매출</t>
        </is>
      </c>
      <c r="H264" s="15">
        <f>IF(OR(H263="",H248=""),"",IF(H248&lt;=0,"",IFERROR(H263/H248,"")))</f>
        <v/>
      </c>
      <c r="I264" s="15">
        <f>IF(OR(I263="",I248=""),"",IF(I248&lt;=0,"",IFERROR(I263/I248,"")))</f>
        <v/>
      </c>
      <c r="L264" s="15">
        <f>IF(OR(L263="",L248=""),"",IF(L248&lt;=0,"",IFERROR(L263/L248,"")))</f>
        <v/>
      </c>
      <c r="M264" s="15">
        <f>IF(OR(M263="",M248=""),"",IF(M248&lt;=0,"",IFERROR(M263/M248,"")))</f>
        <v/>
      </c>
      <c r="W264" s="15">
        <f>IF(OR(W263="",W248=""),"",IF(W248&lt;=0,"",IFERROR(W263/W248,"")))</f>
        <v/>
      </c>
      <c r="X264" s="15">
        <f>IF(OR(X263="",X248=""),"",IF(X248&lt;=0,"",IFERROR(X263/X248,"")))</f>
        <v/>
      </c>
    </row>
    <row r="265">
      <c r="A265" s="43" t="inlineStr">
        <is>
          <t>YoY</t>
        </is>
      </c>
      <c r="B265" s="3" t="inlineStr">
        <is>
          <t>전년 같은 분기·전년 대비</t>
        </is>
      </c>
      <c r="H265" s="15">
        <f>IF(OR(H263="",D263=""),"",IF(D263&lt;=0,"",IFERROR(H263/D263-1,"")))</f>
        <v/>
      </c>
      <c r="I265" s="15">
        <f>IF(OR(I263="",E263=""),"",IF(E263&lt;=0,"",IFERROR(I263/E263-1,"")))</f>
        <v/>
      </c>
      <c r="L265" s="15">
        <f>IF(OR(L263="",H263=""),"",IF(H263&lt;=0,"",IFERROR(L263/H263-1,"")))</f>
        <v/>
      </c>
      <c r="M265" s="15">
        <f>IF(OR(M263="",I263=""),"",IF(I263&lt;=0,"",IFERROR(M263/I263-1,"")))</f>
        <v/>
      </c>
      <c r="W265" s="15">
        <f>IF(OR(W263="",V263=""),"",IF(V263&lt;=0,"",IFERROR(W263/V263-1,"")))</f>
        <v/>
      </c>
      <c r="X265" s="15">
        <f>IF(OR(X263="",W263=""),"",IF(W263&lt;=0,"",IFERROR(X263/W263-1,"")))</f>
        <v/>
      </c>
    </row>
    <row r="266">
      <c r="A266" s="18" t="inlineStr">
        <is>
          <t>MainlandChinaBusinessReportableSegmentMember · Operating Income</t>
        </is>
      </c>
      <c r="H266" s="20" t="n">
        <v>-3216</v>
      </c>
      <c r="I266" s="20" t="n">
        <v>-1606</v>
      </c>
      <c r="L266" s="20" t="n">
        <v>-1605</v>
      </c>
      <c r="M266" s="20" t="n">
        <v>-307</v>
      </c>
      <c r="W266" s="20" t="n">
        <v>-3216</v>
      </c>
      <c r="X266" s="20" t="n">
        <v>-1605</v>
      </c>
    </row>
    <row r="267">
      <c r="A267" s="43" t="inlineStr">
        <is>
          <t>OPM</t>
        </is>
      </c>
      <c r="B267" s="3" t="inlineStr">
        <is>
          <t>영업이익 ÷ 매출</t>
        </is>
      </c>
      <c r="H267" s="15">
        <f>IF(OR(H266="",H250=""),"",IF(H250&lt;=0,"",IFERROR(H266/H250,"")))</f>
        <v/>
      </c>
      <c r="I267" s="15">
        <f>IF(OR(I266="",I250=""),"",IF(I250&lt;=0,"",IFERROR(I266/I250,"")))</f>
        <v/>
      </c>
      <c r="L267" s="15">
        <f>IF(OR(L266="",L250=""),"",IF(L250&lt;=0,"",IFERROR(L266/L250,"")))</f>
        <v/>
      </c>
      <c r="M267" s="15">
        <f>IF(OR(M266="",M250=""),"",IF(M250&lt;=0,"",IFERROR(M266/M250,"")))</f>
        <v/>
      </c>
      <c r="W267" s="15">
        <f>IF(OR(W266="",W250=""),"",IF(W250&lt;=0,"",IFERROR(W266/W250,"")))</f>
        <v/>
      </c>
      <c r="X267" s="15">
        <f>IF(OR(X266="",X250=""),"",IF(X250&lt;=0,"",IFERROR(X266/X250,"")))</f>
        <v/>
      </c>
    </row>
    <row r="268">
      <c r="A268" s="43" t="inlineStr">
        <is>
          <t>YoY</t>
        </is>
      </c>
      <c r="B268" s="3" t="inlineStr">
        <is>
          <t>전년 같은 분기·전년 대비</t>
        </is>
      </c>
      <c r="H268" s="15">
        <f>IF(OR(H266="",D266=""),"",IF(D266&lt;=0,"",IFERROR(H266/D266-1,"")))</f>
        <v/>
      </c>
      <c r="I268" s="15">
        <f>IF(OR(I266="",E266=""),"",IF(E266&lt;=0,"",IFERROR(I266/E266-1,"")))</f>
        <v/>
      </c>
      <c r="L268" s="15">
        <f>IF(OR(L266="",H266=""),"",IF(H266&lt;=0,"",IFERROR(L266/H266-1,"")))</f>
        <v/>
      </c>
      <c r="M268" s="15">
        <f>IF(OR(M266="",I266=""),"",IF(I266&lt;=0,"",IFERROR(M266/I266-1,"")))</f>
        <v/>
      </c>
      <c r="W268" s="15">
        <f>IF(OR(W266="",V266=""),"",IF(V266&lt;=0,"",IFERROR(W266/V266-1,"")))</f>
        <v/>
      </c>
      <c r="X268" s="15">
        <f>IF(OR(X266="",W266=""),"",IF(W266&lt;=0,"",IFERROR(X266/W266-1,"")))</f>
        <v/>
      </c>
    </row>
    <row r="269">
      <c r="A269" s="18" t="inlineStr">
        <is>
          <t>GlobalHousingEquipmentBusinessReportableSegmentMember · Operating Income</t>
        </is>
      </c>
      <c r="H269" s="20" t="n">
        <v>1383</v>
      </c>
      <c r="I269" s="20" t="n">
        <v>2907</v>
      </c>
      <c r="L269" s="20" t="n">
        <v>5317</v>
      </c>
      <c r="M269" s="20" t="n">
        <v>2208</v>
      </c>
      <c r="W269" s="20" t="n">
        <v>1383</v>
      </c>
      <c r="X269" s="20" t="n">
        <v>5317</v>
      </c>
    </row>
    <row r="270">
      <c r="A270" s="43" t="inlineStr">
        <is>
          <t>OPM</t>
        </is>
      </c>
      <c r="B270" s="3" t="inlineStr">
        <is>
          <t>영업이익 ÷ 매출</t>
        </is>
      </c>
      <c r="H270" s="15">
        <f>IF(OR(H269="",H252=""),"",IF(H252&lt;=0,"",IFERROR(H269/H252,"")))</f>
        <v/>
      </c>
      <c r="I270" s="15">
        <f>IF(OR(I269="",I252=""),"",IF(I252&lt;=0,"",IFERROR(I269/I252,"")))</f>
        <v/>
      </c>
      <c r="L270" s="15">
        <f>IF(OR(L269="",L252=""),"",IF(L252&lt;=0,"",IFERROR(L269/L252,"")))</f>
        <v/>
      </c>
      <c r="M270" s="15">
        <f>IF(OR(M269="",M252=""),"",IF(M252&lt;=0,"",IFERROR(M269/M252,"")))</f>
        <v/>
      </c>
      <c r="W270" s="15">
        <f>IF(OR(W269="",W252=""),"",IF(W252&lt;=0,"",IFERROR(W269/W252,"")))</f>
        <v/>
      </c>
      <c r="X270" s="15">
        <f>IF(OR(X269="",X252=""),"",IF(X252&lt;=0,"",IFERROR(X269/X252,"")))</f>
        <v/>
      </c>
    </row>
    <row r="271">
      <c r="A271" s="43" t="inlineStr">
        <is>
          <t>YoY</t>
        </is>
      </c>
      <c r="B271" s="3" t="inlineStr">
        <is>
          <t>전년 같은 분기·전년 대비</t>
        </is>
      </c>
      <c r="H271" s="15">
        <f>IF(OR(H269="",D269=""),"",IF(D269&lt;=0,"",IFERROR(H269/D269-1,"")))</f>
        <v/>
      </c>
      <c r="I271" s="15">
        <f>IF(OR(I269="",E269=""),"",IF(E269&lt;=0,"",IFERROR(I269/E269-1,"")))</f>
        <v/>
      </c>
      <c r="L271" s="15">
        <f>IF(OR(L269="",H269=""),"",IF(H269&lt;=0,"",IFERROR(L269/H269-1,"")))</f>
        <v/>
      </c>
      <c r="M271" s="15">
        <f>IF(OR(M269="",I269=""),"",IF(I269&lt;=0,"",IFERROR(M269/I269-1,"")))</f>
        <v/>
      </c>
      <c r="W271" s="15">
        <f>IF(OR(W269="",V269=""),"",IF(V269&lt;=0,"",IFERROR(W269/V269-1,"")))</f>
        <v/>
      </c>
      <c r="X271" s="15">
        <f>IF(OR(X269="",W269=""),"",IF(W269&lt;=0,"",IFERROR(X269/W269-1,"")))</f>
        <v/>
      </c>
    </row>
    <row r="272">
      <c r="A272" s="18" t="inlineStr">
        <is>
          <t>보고부문 합계 · 고객과의 계약에서 생기는 수익</t>
        </is>
      </c>
      <c r="D272" s="20" t="n">
        <v>177449</v>
      </c>
      <c r="E272" s="20" t="n">
        <v>164443</v>
      </c>
      <c r="H272" s="20" t="n">
        <v>182080</v>
      </c>
      <c r="I272" s="20" t="n">
        <v>165676</v>
      </c>
      <c r="V272" s="20" t="n">
        <v>177449</v>
      </c>
      <c r="W272" s="20" t="n">
        <v>182080</v>
      </c>
    </row>
    <row r="273">
      <c r="A273" s="43" t="inlineStr">
        <is>
          <t>YoY</t>
        </is>
      </c>
      <c r="B273" s="3" t="inlineStr">
        <is>
          <t>전년 같은 분기·전년 대비</t>
        </is>
      </c>
      <c r="H273" s="15">
        <f>IF(OR(H272="",D272=""),"",IF(D272&lt;=0,"",IFERROR(H272/D272-1,"")))</f>
        <v/>
      </c>
      <c r="I273" s="15">
        <f>IF(OR(I272="",E272=""),"",IF(E272&lt;=0,"",IFERROR(I272/E272-1,"")))</f>
        <v/>
      </c>
      <c r="V273" s="15">
        <f>IF(OR(V272="",U272=""),"",IF(U272&lt;=0,"",IFERROR(V272/U272-1,"")))</f>
        <v/>
      </c>
      <c r="W273" s="15">
        <f>IF(OR(W272="",V272=""),"",IF(V272&lt;=0,"",IFERROR(W272/V272-1,"")))</f>
        <v/>
      </c>
    </row>
    <row r="274">
      <c r="A274" s="18" t="inlineStr">
        <is>
          <t>기타 · 고객과의 계약에서 생기는 수익</t>
        </is>
      </c>
      <c r="D274" s="20" t="n">
        <v>70</v>
      </c>
      <c r="E274" s="20" t="n">
        <v>69</v>
      </c>
      <c r="H274" s="20" t="n">
        <v>71</v>
      </c>
      <c r="I274" s="20" t="n">
        <v>70</v>
      </c>
      <c r="V274" s="20" t="n">
        <v>70</v>
      </c>
      <c r="W274" s="20" t="n">
        <v>71</v>
      </c>
    </row>
    <row r="275">
      <c r="A275" s="43" t="inlineStr">
        <is>
          <t>YoY</t>
        </is>
      </c>
      <c r="B275" s="3" t="inlineStr">
        <is>
          <t>전년 같은 분기·전년 대비</t>
        </is>
      </c>
      <c r="H275" s="15">
        <f>IF(OR(H274="",D274=""),"",IF(D274&lt;=0,"",IFERROR(H274/D274-1,"")))</f>
        <v/>
      </c>
      <c r="I275" s="15">
        <f>IF(OR(I274="",E274=""),"",IF(E274&lt;=0,"",IFERROR(I274/E274-1,"")))</f>
        <v/>
      </c>
      <c r="V275" s="15">
        <f>IF(OR(V274="",U274=""),"",IF(U274&lt;=0,"",IFERROR(V274/U274-1,"")))</f>
        <v/>
      </c>
      <c r="W275" s="15">
        <f>IF(OR(W274="",V274=""),"",IF(V274&lt;=0,"",IFERROR(W274/V274-1,"")))</f>
        <v/>
      </c>
    </row>
    <row r="276">
      <c r="A276" s="18" t="inlineStr">
        <is>
          <t>합계 · 고객과의 계약에서 생기는 수익</t>
        </is>
      </c>
      <c r="D276" s="20" t="n">
        <v>177519</v>
      </c>
      <c r="E276" s="20" t="n">
        <v>164513</v>
      </c>
      <c r="H276" s="20" t="n">
        <v>182150</v>
      </c>
      <c r="I276" s="20" t="n">
        <v>165747</v>
      </c>
      <c r="V276" s="20" t="n">
        <v>177519</v>
      </c>
      <c r="W276" s="20" t="n">
        <v>182150</v>
      </c>
    </row>
    <row r="277">
      <c r="A277" s="43" t="inlineStr">
        <is>
          <t>YoY</t>
        </is>
      </c>
      <c r="B277" s="3" t="inlineStr">
        <is>
          <t>전년 같은 분기·전년 대비</t>
        </is>
      </c>
      <c r="H277" s="15">
        <f>IF(OR(H276="",D276=""),"",IF(D276&lt;=0,"",IFERROR(H276/D276-1,"")))</f>
        <v/>
      </c>
      <c r="I277" s="15">
        <f>IF(OR(I276="",E276=""),"",IF(E276&lt;=0,"",IFERROR(I276/E276-1,"")))</f>
        <v/>
      </c>
      <c r="V277" s="15">
        <f>IF(OR(V276="",U276=""),"",IF(U276&lt;=0,"",IFERROR(V276/U276-1,"")))</f>
        <v/>
      </c>
      <c r="W277" s="15">
        <f>IF(OR(W276="",V276=""),"",IF(V276&lt;=0,"",IFERROR(W276/V276-1,"")))</f>
        <v/>
      </c>
    </row>
    <row r="278">
      <c r="A278" s="18" t="inlineStr">
        <is>
          <t>조정액 · 고객과의 계약에서 생기는 수익</t>
        </is>
      </c>
      <c r="D278" s="20" t="n">
        <v>0</v>
      </c>
      <c r="E278" s="20" t="n">
        <v>0</v>
      </c>
      <c r="H278" s="20" t="n">
        <v>0</v>
      </c>
      <c r="I278" s="20" t="n">
        <v>0</v>
      </c>
      <c r="V278" s="20" t="n">
        <v>0</v>
      </c>
      <c r="W278" s="20" t="n">
        <v>0</v>
      </c>
    </row>
    <row r="279">
      <c r="A279" s="9" t="inlineStr">
        <is>
          <t>고객과의 계약에서 생기는 수익</t>
        </is>
      </c>
      <c r="D279" s="12" t="n">
        <v>177519</v>
      </c>
      <c r="E279" s="12" t="n">
        <v>164513</v>
      </c>
      <c r="H279" s="12" t="n">
        <v>182150</v>
      </c>
      <c r="I279" s="12" t="n">
        <v>165747</v>
      </c>
      <c r="V279" s="12" t="n">
        <v>177519</v>
      </c>
      <c r="W279" s="12" t="n">
        <v>182150</v>
      </c>
    </row>
    <row r="280">
      <c r="A280" s="43" t="inlineStr">
        <is>
          <t>YoY</t>
        </is>
      </c>
      <c r="B280" s="3" t="inlineStr">
        <is>
          <t>전년 같은 분기·전년 대비</t>
        </is>
      </c>
      <c r="H280" s="15">
        <f>IF(OR(H279="",D279=""),"",IF(D279&lt;=0,"",IFERROR(H279/D279-1,"")))</f>
        <v/>
      </c>
      <c r="I280" s="15">
        <f>IF(OR(I279="",E279=""),"",IF(E279&lt;=0,"",IFERROR(I279/E279-1,"")))</f>
        <v/>
      </c>
      <c r="V280" s="15">
        <f>IF(OR(V279="",U279=""),"",IF(U279&lt;=0,"",IFERROR(V279/U279-1,"")))</f>
        <v/>
      </c>
      <c r="W280" s="15">
        <f>IF(OR(W279="",V279=""),"",IF(V279&lt;=0,"",IFERROR(W279/V279-1,"")))</f>
        <v/>
      </c>
    </row>
    <row r="281">
      <c r="A281" s="18" t="inlineStr">
        <is>
          <t>부문 · 외부 고객 매출</t>
        </is>
      </c>
      <c r="D281" s="20" t="n">
        <v>10419</v>
      </c>
      <c r="E281" s="20" t="n">
        <v>10783</v>
      </c>
      <c r="H281" s="20" t="n">
        <v>15950</v>
      </c>
      <c r="I281" s="20" t="n">
        <v>15101</v>
      </c>
      <c r="V281" s="20" t="n">
        <v>10419</v>
      </c>
      <c r="W281" s="20" t="n">
        <v>15950</v>
      </c>
    </row>
    <row r="282">
      <c r="A282" s="43" t="inlineStr">
        <is>
          <t>YoY</t>
        </is>
      </c>
      <c r="B282" s="3" t="inlineStr">
        <is>
          <t>전년 같은 분기·전년 대비</t>
        </is>
      </c>
      <c r="H282" s="15">
        <f>IF(OR(H281="",D281=""),"",IF(D281&lt;=0,"",IFERROR(H281/D281-1,"")))</f>
        <v/>
      </c>
      <c r="I282" s="15">
        <f>IF(OR(I281="",E281=""),"",IF(E281&lt;=0,"",IFERROR(I281/E281-1,"")))</f>
        <v/>
      </c>
      <c r="V282" s="15">
        <f>IF(OR(V281="",U281=""),"",IF(U281&lt;=0,"",IFERROR(V281/U281-1,"")))</f>
        <v/>
      </c>
      <c r="W282" s="15">
        <f>IF(OR(W281="",V281=""),"",IF(V281&lt;=0,"",IFERROR(W281/V281-1,"")))</f>
        <v/>
      </c>
    </row>
    <row r="283">
      <c r="A283" s="18" t="inlineStr">
        <is>
          <t>AdvancedCeramicsBusinessReportableSegmentMember · 고객과의 계약에서 생기는 수익</t>
        </is>
      </c>
      <c r="I283" s="20" t="n">
        <v>15101</v>
      </c>
      <c r="M283" s="20" t="n">
        <v>15978</v>
      </c>
    </row>
    <row r="284">
      <c r="A284" s="43" t="inlineStr">
        <is>
          <t>YoY</t>
        </is>
      </c>
      <c r="B284" s="3" t="inlineStr">
        <is>
          <t>전년 같은 분기·전년 대비</t>
        </is>
      </c>
      <c r="I284" s="15">
        <f>IF(OR(I283="",E283=""),"",IF(E283&lt;=0,"",IFERROR(I283/E283-1,"")))</f>
        <v/>
      </c>
      <c r="M284" s="15">
        <f>IF(OR(M283="",I283=""),"",IF(I283&lt;=0,"",IFERROR(M283/I283-1,"")))</f>
        <v/>
      </c>
    </row>
    <row r="285">
      <c r="A285" s="18" t="inlineStr">
        <is>
          <t>보고부문 합계 · 고객과의 계약에서 생기는 수익</t>
        </is>
      </c>
      <c r="I285" s="20" t="n">
        <v>165676</v>
      </c>
      <c r="M285" s="20" t="n">
        <v>168539</v>
      </c>
    </row>
    <row r="286">
      <c r="A286" s="43" t="inlineStr">
        <is>
          <t>YoY</t>
        </is>
      </c>
      <c r="B286" s="3" t="inlineStr">
        <is>
          <t>전년 같은 분기·전년 대비</t>
        </is>
      </c>
      <c r="I286" s="15">
        <f>IF(OR(I285="",E285=""),"",IF(E285&lt;=0,"",IFERROR(I285/E285-1,"")))</f>
        <v/>
      </c>
      <c r="M286" s="15">
        <f>IF(OR(M285="",I285=""),"",IF(I285&lt;=0,"",IFERROR(M285/I285-1,"")))</f>
        <v/>
      </c>
    </row>
    <row r="287">
      <c r="A287" s="18" t="inlineStr">
        <is>
          <t>기타 · 고객과의 계약에서 생기는 수익</t>
        </is>
      </c>
      <c r="I287" s="20" t="n">
        <v>70</v>
      </c>
      <c r="M287" s="20" t="n">
        <v>71</v>
      </c>
    </row>
    <row r="288">
      <c r="A288" s="43" t="inlineStr">
        <is>
          <t>YoY</t>
        </is>
      </c>
      <c r="B288" s="3" t="inlineStr">
        <is>
          <t>전년 같은 분기·전년 대비</t>
        </is>
      </c>
      <c r="I288" s="15">
        <f>IF(OR(I287="",E287=""),"",IF(E287&lt;=0,"",IFERROR(I287/E287-1,"")))</f>
        <v/>
      </c>
      <c r="M288" s="15">
        <f>IF(OR(M287="",I287=""),"",IF(I287&lt;=0,"",IFERROR(M287/I287-1,"")))</f>
        <v/>
      </c>
    </row>
    <row r="289">
      <c r="A289" s="18" t="inlineStr">
        <is>
          <t>합계 · 고객과의 계약에서 생기는 수익</t>
        </is>
      </c>
      <c r="I289" s="20" t="n">
        <v>165747</v>
      </c>
      <c r="M289" s="20" t="n">
        <v>168611</v>
      </c>
    </row>
    <row r="290">
      <c r="A290" s="43" t="inlineStr">
        <is>
          <t>YoY</t>
        </is>
      </c>
      <c r="B290" s="3" t="inlineStr">
        <is>
          <t>전년 같은 분기·전년 대비</t>
        </is>
      </c>
      <c r="I290" s="15">
        <f>IF(OR(I289="",E289=""),"",IF(E289&lt;=0,"",IFERROR(I289/E289-1,"")))</f>
        <v/>
      </c>
      <c r="M290" s="15">
        <f>IF(OR(M289="",I289=""),"",IF(I289&lt;=0,"",IFERROR(M289/I289-1,"")))</f>
        <v/>
      </c>
    </row>
    <row r="291">
      <c r="A291" s="18" t="inlineStr">
        <is>
          <t>조정액 · 고객과의 계약에서 생기는 수익</t>
        </is>
      </c>
      <c r="I291" s="20" t="n">
        <v>0</v>
      </c>
      <c r="M291" s="20" t="n">
        <v>0</v>
      </c>
    </row>
    <row r="292">
      <c r="A292" s="18" t="inlineStr">
        <is>
          <t>EntityTotalMember · 고객과의 계약에서 생기는 수익</t>
        </is>
      </c>
      <c r="I292" s="20" t="n">
        <v>165747</v>
      </c>
      <c r="M292" s="20" t="n">
        <v>168611</v>
      </c>
    </row>
    <row r="293">
      <c r="A293" s="18" t="inlineStr">
        <is>
          <t>AdvancedCeramicsBusinessReportableSegmentMember · 외부 고객 매출</t>
        </is>
      </c>
      <c r="H293" s="20" t="n">
        <v>15950</v>
      </c>
      <c r="I293" s="20" t="n">
        <v>15101</v>
      </c>
      <c r="L293" s="20" t="n">
        <v>20461</v>
      </c>
      <c r="M293" s="20" t="n">
        <v>15978</v>
      </c>
      <c r="W293" s="20" t="n">
        <v>15950</v>
      </c>
      <c r="X293" s="20" t="n">
        <v>20461</v>
      </c>
    </row>
    <row r="294">
      <c r="A294" s="43" t="inlineStr">
        <is>
          <t>YoY</t>
        </is>
      </c>
      <c r="B294" s="3" t="inlineStr">
        <is>
          <t>전년 같은 분기·전년 대비</t>
        </is>
      </c>
      <c r="H294" s="15">
        <f>IF(OR(H293="",D293=""),"",IF(D293&lt;=0,"",IFERROR(H293/D293-1,"")))</f>
        <v/>
      </c>
      <c r="I294" s="15">
        <f>IF(OR(I293="",E293=""),"",IF(E293&lt;=0,"",IFERROR(I293/E293-1,"")))</f>
        <v/>
      </c>
      <c r="L294" s="15">
        <f>IF(OR(L293="",H293=""),"",IF(H293&lt;=0,"",IFERROR(L293/H293-1,"")))</f>
        <v/>
      </c>
      <c r="M294" s="15">
        <f>IF(OR(M293="",I293=""),"",IF(I293&lt;=0,"",IFERROR(M293/I293-1,"")))</f>
        <v/>
      </c>
      <c r="W294" s="15">
        <f>IF(OR(W293="",V293=""),"",IF(V293&lt;=0,"",IFERROR(W293/V293-1,"")))</f>
        <v/>
      </c>
      <c r="X294" s="15">
        <f>IF(OR(X293="",W293=""),"",IF(W293&lt;=0,"",IFERROR(X293/W293-1,"")))</f>
        <v/>
      </c>
    </row>
    <row r="295">
      <c r="A295" s="18" t="inlineStr">
        <is>
          <t>보고부문 합계 · 외부 고객 매출</t>
        </is>
      </c>
      <c r="D295" s="20" t="n">
        <v>177449</v>
      </c>
      <c r="E295" s="20" t="n">
        <v>164443</v>
      </c>
      <c r="H295" s="20" t="n">
        <v>182080</v>
      </c>
      <c r="I295" s="20" t="n">
        <v>165676</v>
      </c>
      <c r="L295" s="20" t="n">
        <v>190270</v>
      </c>
      <c r="M295" s="20" t="n">
        <v>168539</v>
      </c>
      <c r="V295" s="20" t="n">
        <v>177449</v>
      </c>
      <c r="W295" s="20" t="n">
        <v>182080</v>
      </c>
      <c r="X295" s="20" t="n">
        <v>190270</v>
      </c>
    </row>
    <row r="296">
      <c r="A296" s="43" t="inlineStr">
        <is>
          <t>YoY</t>
        </is>
      </c>
      <c r="B296" s="3" t="inlineStr">
        <is>
          <t>전년 같은 분기·전년 대비</t>
        </is>
      </c>
      <c r="H296" s="15">
        <f>IF(OR(H295="",D295=""),"",IF(D295&lt;=0,"",IFERROR(H295/D295-1,"")))</f>
        <v/>
      </c>
      <c r="I296" s="15">
        <f>IF(OR(I295="",E295=""),"",IF(E295&lt;=0,"",IFERROR(I295/E295-1,"")))</f>
        <v/>
      </c>
      <c r="L296" s="15">
        <f>IF(OR(L295="",H295=""),"",IF(H295&lt;=0,"",IFERROR(L295/H295-1,"")))</f>
        <v/>
      </c>
      <c r="M296" s="15">
        <f>IF(OR(M295="",I295=""),"",IF(I295&lt;=0,"",IFERROR(M295/I295-1,"")))</f>
        <v/>
      </c>
      <c r="V296" s="15">
        <f>IF(OR(V295="",U295=""),"",IF(U295&lt;=0,"",IFERROR(V295/U295-1,"")))</f>
        <v/>
      </c>
      <c r="W296" s="15">
        <f>IF(OR(W295="",V295=""),"",IF(V295&lt;=0,"",IFERROR(W295/V295-1,"")))</f>
        <v/>
      </c>
      <c r="X296" s="15">
        <f>IF(OR(X295="",W295=""),"",IF(W295&lt;=0,"",IFERROR(X295/W295-1,"")))</f>
        <v/>
      </c>
    </row>
    <row r="297">
      <c r="A297" s="18" t="inlineStr">
        <is>
          <t>기타 · 외부 고객 매출</t>
        </is>
      </c>
      <c r="D297" s="20" t="n">
        <v>70</v>
      </c>
      <c r="E297" s="20" t="n">
        <v>69</v>
      </c>
      <c r="H297" s="20" t="n">
        <v>71</v>
      </c>
      <c r="I297" s="20" t="n">
        <v>70</v>
      </c>
      <c r="L297" s="20" t="n">
        <v>72</v>
      </c>
      <c r="M297" s="20" t="n">
        <v>71</v>
      </c>
      <c r="V297" s="20" t="n">
        <v>70</v>
      </c>
      <c r="W297" s="20" t="n">
        <v>71</v>
      </c>
      <c r="X297" s="20" t="n">
        <v>72</v>
      </c>
    </row>
    <row r="298">
      <c r="A298" s="43" t="inlineStr">
        <is>
          <t>YoY</t>
        </is>
      </c>
      <c r="B298" s="3" t="inlineStr">
        <is>
          <t>전년 같은 분기·전년 대비</t>
        </is>
      </c>
      <c r="H298" s="15">
        <f>IF(OR(H297="",D297=""),"",IF(D297&lt;=0,"",IFERROR(H297/D297-1,"")))</f>
        <v/>
      </c>
      <c r="I298" s="15">
        <f>IF(OR(I297="",E297=""),"",IF(E297&lt;=0,"",IFERROR(I297/E297-1,"")))</f>
        <v/>
      </c>
      <c r="L298" s="15">
        <f>IF(OR(L297="",H297=""),"",IF(H297&lt;=0,"",IFERROR(L297/H297-1,"")))</f>
        <v/>
      </c>
      <c r="M298" s="15">
        <f>IF(OR(M297="",I297=""),"",IF(I297&lt;=0,"",IFERROR(M297/I297-1,"")))</f>
        <v/>
      </c>
      <c r="V298" s="15">
        <f>IF(OR(V297="",U297=""),"",IF(U297&lt;=0,"",IFERROR(V297/U297-1,"")))</f>
        <v/>
      </c>
      <c r="W298" s="15">
        <f>IF(OR(W297="",V297=""),"",IF(V297&lt;=0,"",IFERROR(W297/V297-1,"")))</f>
        <v/>
      </c>
      <c r="X298" s="15">
        <f>IF(OR(X297="",W297=""),"",IF(W297&lt;=0,"",IFERROR(X297/W297-1,"")))</f>
        <v/>
      </c>
    </row>
    <row r="299">
      <c r="A299" s="18" t="inlineStr">
        <is>
          <t>합계 · 외부 고객 매출</t>
        </is>
      </c>
      <c r="D299" s="20" t="n">
        <v>177519</v>
      </c>
      <c r="E299" s="20" t="n">
        <v>164513</v>
      </c>
      <c r="H299" s="20" t="n">
        <v>182150</v>
      </c>
      <c r="I299" s="20" t="n">
        <v>165747</v>
      </c>
      <c r="L299" s="20" t="n">
        <v>190342</v>
      </c>
      <c r="M299" s="20" t="n">
        <v>168611</v>
      </c>
      <c r="V299" s="20" t="n">
        <v>177519</v>
      </c>
      <c r="W299" s="20" t="n">
        <v>182150</v>
      </c>
      <c r="X299" s="20" t="n">
        <v>190342</v>
      </c>
    </row>
    <row r="300">
      <c r="A300" s="43" t="inlineStr">
        <is>
          <t>YoY</t>
        </is>
      </c>
      <c r="B300" s="3" t="inlineStr">
        <is>
          <t>전년 같은 분기·전년 대비</t>
        </is>
      </c>
      <c r="H300" s="15">
        <f>IF(OR(H299="",D299=""),"",IF(D299&lt;=0,"",IFERROR(H299/D299-1,"")))</f>
        <v/>
      </c>
      <c r="I300" s="15">
        <f>IF(OR(I299="",E299=""),"",IF(E299&lt;=0,"",IFERROR(I299/E299-1,"")))</f>
        <v/>
      </c>
      <c r="L300" s="15">
        <f>IF(OR(L299="",H299=""),"",IF(H299&lt;=0,"",IFERROR(L299/H299-1,"")))</f>
        <v/>
      </c>
      <c r="M300" s="15">
        <f>IF(OR(M299="",I299=""),"",IF(I299&lt;=0,"",IFERROR(M299/I299-1,"")))</f>
        <v/>
      </c>
      <c r="V300" s="15">
        <f>IF(OR(V299="",U299=""),"",IF(U299&lt;=0,"",IFERROR(V299/U299-1,"")))</f>
        <v/>
      </c>
      <c r="W300" s="15">
        <f>IF(OR(W299="",V299=""),"",IF(V299&lt;=0,"",IFERROR(W299/V299-1,"")))</f>
        <v/>
      </c>
      <c r="X300" s="15">
        <f>IF(OR(X299="",W299=""),"",IF(W299&lt;=0,"",IFERROR(X299/W299-1,"")))</f>
        <v/>
      </c>
    </row>
    <row r="301">
      <c r="A301" s="18" t="inlineStr">
        <is>
          <t>조정액 · 외부 고객 매출</t>
        </is>
      </c>
      <c r="D301" s="20" t="n">
        <v>0</v>
      </c>
      <c r="E301" s="20" t="n">
        <v>0</v>
      </c>
      <c r="H301" s="20" t="n">
        <v>0</v>
      </c>
      <c r="I301" s="20" t="n">
        <v>0</v>
      </c>
      <c r="L301" s="20" t="n">
        <v>0</v>
      </c>
      <c r="M301" s="20" t="n">
        <v>0</v>
      </c>
      <c r="V301" s="20" t="n">
        <v>0</v>
      </c>
      <c r="W301" s="20" t="n">
        <v>0</v>
      </c>
      <c r="X301" s="20" t="n">
        <v>0</v>
      </c>
    </row>
    <row r="302">
      <c r="A302" s="9" t="inlineStr">
        <is>
          <t>외부 고객 매출</t>
        </is>
      </c>
      <c r="D302" s="12" t="n">
        <v>177519</v>
      </c>
      <c r="E302" s="12" t="n">
        <v>164513</v>
      </c>
      <c r="H302" s="12" t="n">
        <v>182150</v>
      </c>
      <c r="I302" s="12" t="n">
        <v>165747</v>
      </c>
      <c r="V302" s="12" t="n">
        <v>177519</v>
      </c>
      <c r="W302" s="12" t="n">
        <v>182150</v>
      </c>
    </row>
    <row r="303">
      <c r="A303" s="43" t="inlineStr">
        <is>
          <t>YoY</t>
        </is>
      </c>
      <c r="B303" s="3" t="inlineStr">
        <is>
          <t>전년 같은 분기·전년 대비</t>
        </is>
      </c>
      <c r="H303" s="15">
        <f>IF(OR(H302="",D302=""),"",IF(D302&lt;=0,"",IFERROR(H302/D302-1,"")))</f>
        <v/>
      </c>
      <c r="I303" s="15">
        <f>IF(OR(I302="",E302=""),"",IF(E302&lt;=0,"",IFERROR(I302/E302-1,"")))</f>
        <v/>
      </c>
      <c r="V303" s="15">
        <f>IF(OR(V302="",U302=""),"",IF(U302&lt;=0,"",IFERROR(V302/U302-1,"")))</f>
        <v/>
      </c>
      <c r="W303" s="15">
        <f>IF(OR(W302="",V302=""),"",IF(V302&lt;=0,"",IFERROR(W302/V302-1,"")))</f>
        <v/>
      </c>
    </row>
    <row r="304">
      <c r="A304" s="18" t="inlineStr">
        <is>
          <t>부문 · 부문 간 내부매출·대체</t>
        </is>
      </c>
      <c r="D304" s="20" t="n">
        <v>0</v>
      </c>
      <c r="E304" s="20" t="n">
        <v>0</v>
      </c>
      <c r="H304" s="20" t="n">
        <v>0</v>
      </c>
      <c r="I304" s="20" t="n">
        <v>0</v>
      </c>
      <c r="V304" s="20" t="n">
        <v>0</v>
      </c>
      <c r="W304" s="20" t="n">
        <v>0</v>
      </c>
    </row>
    <row r="305">
      <c r="A305" s="18" t="inlineStr">
        <is>
          <t>EntityTotalMember · 외부 고객 매출</t>
        </is>
      </c>
      <c r="I305" s="20" t="n">
        <v>165747</v>
      </c>
      <c r="M305" s="20" t="n">
        <v>168611</v>
      </c>
    </row>
    <row r="306">
      <c r="A306" s="18" t="inlineStr">
        <is>
          <t>AdvancedCeramicsBusinessReportableSegmentMember · 부문 간 내부매출·대체</t>
        </is>
      </c>
      <c r="H306" s="20" t="n">
        <v>0</v>
      </c>
      <c r="I306" s="20" t="n">
        <v>0</v>
      </c>
      <c r="L306" s="20" t="n">
        <v>0</v>
      </c>
      <c r="M306" s="20" t="n">
        <v>0</v>
      </c>
      <c r="W306" s="20" t="n">
        <v>0</v>
      </c>
      <c r="X306" s="20" t="n">
        <v>0</v>
      </c>
    </row>
    <row r="307">
      <c r="A307" s="18" t="inlineStr">
        <is>
          <t>보고부문 합계 · 부문 간 내부매출·대체</t>
        </is>
      </c>
      <c r="D307" s="20" t="n">
        <v>21010</v>
      </c>
      <c r="E307" s="20" t="n">
        <v>20056</v>
      </c>
      <c r="H307" s="20" t="n">
        <v>21663</v>
      </c>
      <c r="I307" s="20" t="n">
        <v>19465</v>
      </c>
      <c r="L307" s="20" t="n">
        <v>23575</v>
      </c>
      <c r="M307" s="20" t="n">
        <v>23126</v>
      </c>
      <c r="V307" s="20" t="n">
        <v>21010</v>
      </c>
      <c r="W307" s="20" t="n">
        <v>21663</v>
      </c>
      <c r="X307" s="20" t="n">
        <v>23575</v>
      </c>
    </row>
    <row r="308">
      <c r="A308" s="18" t="inlineStr">
        <is>
          <t>기타 · 부문 간 내부매출·대체</t>
        </is>
      </c>
      <c r="D308" s="20" t="n">
        <v>12</v>
      </c>
      <c r="E308" s="20" t="n">
        <v>12</v>
      </c>
      <c r="H308" s="20" t="n">
        <v>12</v>
      </c>
      <c r="I308" s="20" t="n">
        <v>12</v>
      </c>
      <c r="L308" s="20" t="n">
        <v>12</v>
      </c>
      <c r="M308" s="20" t="n">
        <v>12</v>
      </c>
      <c r="V308" s="20" t="n">
        <v>12</v>
      </c>
      <c r="W308" s="20" t="n">
        <v>12</v>
      </c>
      <c r="X308" s="20" t="n">
        <v>12</v>
      </c>
    </row>
    <row r="309">
      <c r="A309" s="18" t="inlineStr">
        <is>
          <t>합계 · 부문 간 내부매출·대체</t>
        </is>
      </c>
      <c r="D309" s="20" t="n">
        <v>21022</v>
      </c>
      <c r="E309" s="20" t="n">
        <v>20069</v>
      </c>
      <c r="H309" s="20" t="n">
        <v>21676</v>
      </c>
      <c r="I309" s="20" t="n">
        <v>19478</v>
      </c>
      <c r="L309" s="20" t="n">
        <v>23587</v>
      </c>
      <c r="M309" s="20" t="n">
        <v>23139</v>
      </c>
      <c r="V309" s="20" t="n">
        <v>21022</v>
      </c>
      <c r="W309" s="20" t="n">
        <v>21676</v>
      </c>
      <c r="X309" s="20" t="n">
        <v>23587</v>
      </c>
    </row>
    <row r="310">
      <c r="A310" s="18" t="inlineStr">
        <is>
          <t>조정액 · 부문 간 내부매출·대체</t>
        </is>
      </c>
      <c r="D310" s="20" t="n">
        <v>-21022</v>
      </c>
      <c r="E310" s="20" t="n">
        <v>-20069</v>
      </c>
      <c r="H310" s="20" t="n">
        <v>-21676</v>
      </c>
      <c r="I310" s="20" t="n">
        <v>-19478</v>
      </c>
      <c r="L310" s="20" t="n">
        <v>-23587</v>
      </c>
      <c r="M310" s="20" t="n">
        <v>-23139</v>
      </c>
      <c r="V310" s="20" t="n">
        <v>-21022</v>
      </c>
      <c r="W310" s="20" t="n">
        <v>-21676</v>
      </c>
      <c r="X310" s="20" t="n">
        <v>-23587</v>
      </c>
    </row>
    <row r="311">
      <c r="A311" s="18" t="inlineStr">
        <is>
          <t>부문 간 내부매출·대체</t>
        </is>
      </c>
      <c r="D311" s="20" t="n">
        <v>0</v>
      </c>
      <c r="E311" s="20" t="n">
        <v>0</v>
      </c>
      <c r="H311" s="20" t="n">
        <v>0</v>
      </c>
      <c r="I311" s="20" t="n">
        <v>0</v>
      </c>
      <c r="V311" s="20" t="n">
        <v>0</v>
      </c>
      <c r="W311" s="20" t="n">
        <v>0</v>
      </c>
    </row>
    <row r="312">
      <c r="A312" s="18" t="inlineStr">
        <is>
          <t>부문 · 계</t>
        </is>
      </c>
      <c r="D312" s="20" t="n">
        <v>10419</v>
      </c>
      <c r="E312" s="20" t="n">
        <v>10783</v>
      </c>
      <c r="H312" s="20" t="n">
        <v>15950</v>
      </c>
      <c r="I312" s="20" t="n">
        <v>15101</v>
      </c>
      <c r="V312" s="20" t="n">
        <v>10419</v>
      </c>
      <c r="W312" s="20" t="n">
        <v>15950</v>
      </c>
    </row>
    <row r="313">
      <c r="A313" s="43" t="inlineStr">
        <is>
          <t>YoY</t>
        </is>
      </c>
      <c r="B313" s="3" t="inlineStr">
        <is>
          <t>전년 같은 분기·전년 대비</t>
        </is>
      </c>
      <c r="H313" s="15">
        <f>IF(OR(H312="",D312=""),"",IF(D312&lt;=0,"",IFERROR(H312/D312-1,"")))</f>
        <v/>
      </c>
      <c r="I313" s="15">
        <f>IF(OR(I312="",E312=""),"",IF(E312&lt;=0,"",IFERROR(I312/E312-1,"")))</f>
        <v/>
      </c>
      <c r="V313" s="15">
        <f>IF(OR(V312="",U312=""),"",IF(U312&lt;=0,"",IFERROR(V312/U312-1,"")))</f>
        <v/>
      </c>
      <c r="W313" s="15">
        <f>IF(OR(W312="",V312=""),"",IF(V312&lt;=0,"",IFERROR(W312/V312-1,"")))</f>
        <v/>
      </c>
    </row>
    <row r="314">
      <c r="A314" s="18" t="inlineStr">
        <is>
          <t>EntityTotalMember · 부문 간 내부매출·대체</t>
        </is>
      </c>
      <c r="I314" s="20" t="n">
        <v>0</v>
      </c>
      <c r="M314" s="20" t="n">
        <v>0</v>
      </c>
    </row>
    <row r="315">
      <c r="A315" s="18" t="inlineStr">
        <is>
          <t>AdvancedCeramicsBusinessReportableSegmentMember · 계</t>
        </is>
      </c>
      <c r="H315" s="20" t="n">
        <v>15950</v>
      </c>
      <c r="I315" s="20" t="n">
        <v>15101</v>
      </c>
      <c r="L315" s="20" t="n">
        <v>20461</v>
      </c>
      <c r="M315" s="20" t="n">
        <v>15978</v>
      </c>
      <c r="W315" s="20" t="n">
        <v>15950</v>
      </c>
      <c r="X315" s="20" t="n">
        <v>20461</v>
      </c>
    </row>
    <row r="316">
      <c r="A316" s="43" t="inlineStr">
        <is>
          <t>YoY</t>
        </is>
      </c>
      <c r="B316" s="3" t="inlineStr">
        <is>
          <t>전년 같은 분기·전년 대비</t>
        </is>
      </c>
      <c r="H316" s="15">
        <f>IF(OR(H315="",D315=""),"",IF(D315&lt;=0,"",IFERROR(H315/D315-1,"")))</f>
        <v/>
      </c>
      <c r="I316" s="15">
        <f>IF(OR(I315="",E315=""),"",IF(E315&lt;=0,"",IFERROR(I315/E315-1,"")))</f>
        <v/>
      </c>
      <c r="L316" s="15">
        <f>IF(OR(L315="",H315=""),"",IF(H315&lt;=0,"",IFERROR(L315/H315-1,"")))</f>
        <v/>
      </c>
      <c r="M316" s="15">
        <f>IF(OR(M315="",I315=""),"",IF(I315&lt;=0,"",IFERROR(M315/I315-1,"")))</f>
        <v/>
      </c>
      <c r="W316" s="15">
        <f>IF(OR(W315="",V315=""),"",IF(V315&lt;=0,"",IFERROR(W315/V315-1,"")))</f>
        <v/>
      </c>
      <c r="X316" s="15">
        <f>IF(OR(X315="",W315=""),"",IF(W315&lt;=0,"",IFERROR(X315/W315-1,"")))</f>
        <v/>
      </c>
    </row>
    <row r="317">
      <c r="A317" s="18" t="inlineStr">
        <is>
          <t>보고부문 합계 · 계</t>
        </is>
      </c>
      <c r="D317" s="20" t="n">
        <v>198459</v>
      </c>
      <c r="E317" s="20" t="n">
        <v>184499</v>
      </c>
      <c r="H317" s="20" t="n">
        <v>203742</v>
      </c>
      <c r="I317" s="20" t="n">
        <v>185142</v>
      </c>
      <c r="L317" s="20" t="n">
        <v>213844</v>
      </c>
      <c r="M317" s="20" t="n">
        <v>191666</v>
      </c>
      <c r="V317" s="20" t="n">
        <v>198459</v>
      </c>
      <c r="W317" s="20" t="n">
        <v>203742</v>
      </c>
      <c r="X317" s="20" t="n">
        <v>213844</v>
      </c>
    </row>
    <row r="318">
      <c r="A318" s="43" t="inlineStr">
        <is>
          <t>YoY</t>
        </is>
      </c>
      <c r="B318" s="3" t="inlineStr">
        <is>
          <t>전년 같은 분기·전년 대비</t>
        </is>
      </c>
      <c r="H318" s="15">
        <f>IF(OR(H317="",D317=""),"",IF(D317&lt;=0,"",IFERROR(H317/D317-1,"")))</f>
        <v/>
      </c>
      <c r="I318" s="15">
        <f>IF(OR(I317="",E317=""),"",IF(E317&lt;=0,"",IFERROR(I317/E317-1,"")))</f>
        <v/>
      </c>
      <c r="L318" s="15">
        <f>IF(OR(L317="",H317=""),"",IF(H317&lt;=0,"",IFERROR(L317/H317-1,"")))</f>
        <v/>
      </c>
      <c r="M318" s="15">
        <f>IF(OR(M317="",I317=""),"",IF(I317&lt;=0,"",IFERROR(M317/I317-1,"")))</f>
        <v/>
      </c>
      <c r="V318" s="15">
        <f>IF(OR(V317="",U317=""),"",IF(U317&lt;=0,"",IFERROR(V317/U317-1,"")))</f>
        <v/>
      </c>
      <c r="W318" s="15">
        <f>IF(OR(W317="",V317=""),"",IF(V317&lt;=0,"",IFERROR(W317/V317-1,"")))</f>
        <v/>
      </c>
      <c r="X318" s="15">
        <f>IF(OR(X317="",W317=""),"",IF(W317&lt;=0,"",IFERROR(X317/W317-1,"")))</f>
        <v/>
      </c>
    </row>
    <row r="319">
      <c r="A319" s="18" t="inlineStr">
        <is>
          <t>기타 · 계</t>
        </is>
      </c>
      <c r="D319" s="20" t="n">
        <v>82</v>
      </c>
      <c r="E319" s="20" t="n">
        <v>82</v>
      </c>
      <c r="H319" s="20" t="n">
        <v>83</v>
      </c>
      <c r="I319" s="20" t="n">
        <v>83</v>
      </c>
      <c r="L319" s="20" t="n">
        <v>85</v>
      </c>
      <c r="M319" s="20" t="n">
        <v>84</v>
      </c>
      <c r="V319" s="20" t="n">
        <v>82</v>
      </c>
      <c r="W319" s="20" t="n">
        <v>83</v>
      </c>
      <c r="X319" s="20" t="n">
        <v>85</v>
      </c>
    </row>
    <row r="320">
      <c r="A320" s="43" t="inlineStr">
        <is>
          <t>YoY</t>
        </is>
      </c>
      <c r="B320" s="3" t="inlineStr">
        <is>
          <t>전년 같은 분기·전년 대비</t>
        </is>
      </c>
      <c r="H320" s="15">
        <f>IF(OR(H319="",D319=""),"",IF(D319&lt;=0,"",IFERROR(H319/D319-1,"")))</f>
        <v/>
      </c>
      <c r="I320" s="15">
        <f>IF(OR(I319="",E319=""),"",IF(E319&lt;=0,"",IFERROR(I319/E319-1,"")))</f>
        <v/>
      </c>
      <c r="L320" s="15">
        <f>IF(OR(L319="",H319=""),"",IF(H319&lt;=0,"",IFERROR(L319/H319-1,"")))</f>
        <v/>
      </c>
      <c r="M320" s="15">
        <f>IF(OR(M319="",I319=""),"",IF(I319&lt;=0,"",IFERROR(M319/I319-1,"")))</f>
        <v/>
      </c>
      <c r="V320" s="15">
        <f>IF(OR(V319="",U319=""),"",IF(U319&lt;=0,"",IFERROR(V319/U319-1,"")))</f>
        <v/>
      </c>
      <c r="W320" s="15">
        <f>IF(OR(W319="",V319=""),"",IF(V319&lt;=0,"",IFERROR(W319/V319-1,"")))</f>
        <v/>
      </c>
      <c r="X320" s="15">
        <f>IF(OR(X319="",W319=""),"",IF(W319&lt;=0,"",IFERROR(X319/W319-1,"")))</f>
        <v/>
      </c>
    </row>
    <row r="321">
      <c r="A321" s="18" t="inlineStr">
        <is>
          <t>합계 · 계</t>
        </is>
      </c>
      <c r="D321" s="20" t="n">
        <v>198542</v>
      </c>
      <c r="E321" s="20" t="n">
        <v>184582</v>
      </c>
      <c r="H321" s="20" t="n">
        <v>203826</v>
      </c>
      <c r="I321" s="20" t="n">
        <v>185225</v>
      </c>
      <c r="L321" s="20" t="n">
        <v>213928</v>
      </c>
      <c r="M321" s="20" t="n">
        <v>191750</v>
      </c>
      <c r="V321" s="20" t="n">
        <v>198542</v>
      </c>
      <c r="W321" s="20" t="n">
        <v>203826</v>
      </c>
      <c r="X321" s="20" t="n">
        <v>213928</v>
      </c>
    </row>
    <row r="322">
      <c r="A322" s="43" t="inlineStr">
        <is>
          <t>YoY</t>
        </is>
      </c>
      <c r="B322" s="3" t="inlineStr">
        <is>
          <t>전년 같은 분기·전년 대비</t>
        </is>
      </c>
      <c r="H322" s="15">
        <f>IF(OR(H321="",D321=""),"",IF(D321&lt;=0,"",IFERROR(H321/D321-1,"")))</f>
        <v/>
      </c>
      <c r="I322" s="15">
        <f>IF(OR(I321="",E321=""),"",IF(E321&lt;=0,"",IFERROR(I321/E321-1,"")))</f>
        <v/>
      </c>
      <c r="L322" s="15">
        <f>IF(OR(L321="",H321=""),"",IF(H321&lt;=0,"",IFERROR(L321/H321-1,"")))</f>
        <v/>
      </c>
      <c r="M322" s="15">
        <f>IF(OR(M321="",I321=""),"",IF(I321&lt;=0,"",IFERROR(M321/I321-1,"")))</f>
        <v/>
      </c>
      <c r="V322" s="15">
        <f>IF(OR(V321="",U321=""),"",IF(U321&lt;=0,"",IFERROR(V321/U321-1,"")))</f>
        <v/>
      </c>
      <c r="W322" s="15">
        <f>IF(OR(W321="",V321=""),"",IF(V321&lt;=0,"",IFERROR(W321/V321-1,"")))</f>
        <v/>
      </c>
      <c r="X322" s="15">
        <f>IF(OR(X321="",W321=""),"",IF(W321&lt;=0,"",IFERROR(X321/W321-1,"")))</f>
        <v/>
      </c>
    </row>
    <row r="323">
      <c r="A323" s="18" t="inlineStr">
        <is>
          <t>조정액 · 계</t>
        </is>
      </c>
      <c r="D323" s="20" t="n">
        <v>-21022</v>
      </c>
      <c r="E323" s="20" t="n">
        <v>-20069</v>
      </c>
      <c r="H323" s="20" t="n">
        <v>-21676</v>
      </c>
      <c r="I323" s="20" t="n">
        <v>-19478</v>
      </c>
      <c r="L323" s="20" t="n">
        <v>-23587</v>
      </c>
      <c r="M323" s="20" t="n">
        <v>-23139</v>
      </c>
      <c r="V323" s="20" t="n">
        <v>-21022</v>
      </c>
      <c r="W323" s="20" t="n">
        <v>-21676</v>
      </c>
      <c r="X323" s="20" t="n">
        <v>-23587</v>
      </c>
    </row>
    <row r="324">
      <c r="A324" s="9" t="inlineStr">
        <is>
          <t>계</t>
        </is>
      </c>
      <c r="D324" s="12" t="n">
        <v>177519</v>
      </c>
      <c r="E324" s="12" t="n">
        <v>164513</v>
      </c>
      <c r="H324" s="12" t="n">
        <v>182150</v>
      </c>
      <c r="I324" s="12" t="n">
        <v>165747</v>
      </c>
      <c r="V324" s="12" t="n">
        <v>177519</v>
      </c>
      <c r="W324" s="12" t="n">
        <v>182150</v>
      </c>
    </row>
    <row r="325">
      <c r="A325" s="43" t="inlineStr">
        <is>
          <t>YoY</t>
        </is>
      </c>
      <c r="B325" s="3" t="inlineStr">
        <is>
          <t>전년 같은 분기·전년 대비</t>
        </is>
      </c>
      <c r="H325" s="15">
        <f>IF(OR(H324="",D324=""),"",IF(D324&lt;=0,"",IFERROR(H324/D324-1,"")))</f>
        <v/>
      </c>
      <c r="I325" s="15">
        <f>IF(OR(I324="",E324=""),"",IF(E324&lt;=0,"",IFERROR(I324/E324-1,"")))</f>
        <v/>
      </c>
      <c r="V325" s="15">
        <f>IF(OR(V324="",U324=""),"",IF(U324&lt;=0,"",IFERROR(V324/U324-1,"")))</f>
        <v/>
      </c>
      <c r="W325" s="15">
        <f>IF(OR(W324="",V324=""),"",IF(V324&lt;=0,"",IFERROR(W324/V324-1,"")))</f>
        <v/>
      </c>
    </row>
    <row r="326">
      <c r="A326" s="18" t="inlineStr">
        <is>
          <t>부문 · 부문 이익(손실)</t>
        </is>
      </c>
      <c r="D326" s="20" t="n">
        <v>3301</v>
      </c>
      <c r="E326" s="20" t="n">
        <v>4723</v>
      </c>
      <c r="H326" s="20" t="n">
        <v>6216</v>
      </c>
      <c r="I326" s="20" t="n">
        <v>6005</v>
      </c>
      <c r="V326" s="20" t="n">
        <v>3301</v>
      </c>
      <c r="W326" s="20" t="n">
        <v>6216</v>
      </c>
    </row>
    <row r="327">
      <c r="A327" s="43" t="inlineStr">
        <is>
          <t>OPM</t>
        </is>
      </c>
      <c r="B327" s="3" t="inlineStr">
        <is>
          <t>영업이익 ÷ 매출</t>
        </is>
      </c>
      <c r="D327" s="15">
        <f>IF(OR(D326="",D312=""),"",IF(D312&lt;=0,"",IFERROR(D326/D312,"")))</f>
        <v/>
      </c>
      <c r="E327" s="15">
        <f>IF(OR(E326="",E312=""),"",IF(E312&lt;=0,"",IFERROR(E326/E312,"")))</f>
        <v/>
      </c>
      <c r="H327" s="15">
        <f>IF(OR(H326="",H312=""),"",IF(H312&lt;=0,"",IFERROR(H326/H312,"")))</f>
        <v/>
      </c>
      <c r="I327" s="15">
        <f>IF(OR(I326="",I312=""),"",IF(I312&lt;=0,"",IFERROR(I326/I312,"")))</f>
        <v/>
      </c>
      <c r="V327" s="15">
        <f>IF(OR(V326="",V312=""),"",IF(V312&lt;=0,"",IFERROR(V326/V312,"")))</f>
        <v/>
      </c>
      <c r="W327" s="15">
        <f>IF(OR(W326="",W312=""),"",IF(W312&lt;=0,"",IFERROR(W326/W312,"")))</f>
        <v/>
      </c>
    </row>
    <row r="328">
      <c r="A328" s="43" t="inlineStr">
        <is>
          <t>YoY</t>
        </is>
      </c>
      <c r="B328" s="3" t="inlineStr">
        <is>
          <t>전년 같은 분기·전년 대비</t>
        </is>
      </c>
      <c r="H328" s="15">
        <f>IF(OR(H326="",D326=""),"",IF(D326&lt;=0,"",IFERROR(H326/D326-1,"")))</f>
        <v/>
      </c>
      <c r="I328" s="15">
        <f>IF(OR(I326="",E326=""),"",IF(E326&lt;=0,"",IFERROR(I326/E326-1,"")))</f>
        <v/>
      </c>
      <c r="V328" s="15">
        <f>IF(OR(V326="",U326=""),"",IF(U326&lt;=0,"",IFERROR(V326/U326-1,"")))</f>
        <v/>
      </c>
      <c r="W328" s="15">
        <f>IF(OR(W326="",V326=""),"",IF(V326&lt;=0,"",IFERROR(W326/V326-1,"")))</f>
        <v/>
      </c>
    </row>
    <row r="329">
      <c r="A329" s="18" t="inlineStr">
        <is>
          <t>EntityTotalMember · 계</t>
        </is>
      </c>
      <c r="I329" s="20" t="n">
        <v>165747</v>
      </c>
      <c r="M329" s="20" t="n">
        <v>168611</v>
      </c>
    </row>
    <row r="330">
      <c r="A330" s="18" t="inlineStr">
        <is>
          <t>AdvancedCeramicsBusinessReportableSegmentMember · Operating Income</t>
        </is>
      </c>
      <c r="H330" s="20" t="n">
        <v>6216</v>
      </c>
      <c r="I330" s="20" t="n">
        <v>5915</v>
      </c>
      <c r="L330" s="20" t="n">
        <v>8727</v>
      </c>
      <c r="M330" s="20" t="n">
        <v>6509</v>
      </c>
      <c r="W330" s="20" t="n">
        <v>6216</v>
      </c>
      <c r="X330" s="20" t="n">
        <v>8727</v>
      </c>
    </row>
    <row r="331">
      <c r="A331" s="43" t="inlineStr">
        <is>
          <t>OPM</t>
        </is>
      </c>
      <c r="B331" s="3" t="inlineStr">
        <is>
          <t>영업이익 ÷ 매출</t>
        </is>
      </c>
      <c r="H331" s="15">
        <f>IF(OR(H330="",H315=""),"",IF(H315&lt;=0,"",IFERROR(H330/H315,"")))</f>
        <v/>
      </c>
      <c r="I331" s="15">
        <f>IF(OR(I330="",I315=""),"",IF(I315&lt;=0,"",IFERROR(I330/I315,"")))</f>
        <v/>
      </c>
      <c r="L331" s="15">
        <f>IF(OR(L330="",L315=""),"",IF(L315&lt;=0,"",IFERROR(L330/L315,"")))</f>
        <v/>
      </c>
      <c r="M331" s="15">
        <f>IF(OR(M330="",M315=""),"",IF(M315&lt;=0,"",IFERROR(M330/M315,"")))</f>
        <v/>
      </c>
      <c r="W331" s="15">
        <f>IF(OR(W330="",W315=""),"",IF(W315&lt;=0,"",IFERROR(W330/W315,"")))</f>
        <v/>
      </c>
      <c r="X331" s="15">
        <f>IF(OR(X330="",X315=""),"",IF(X315&lt;=0,"",IFERROR(X330/X315,"")))</f>
        <v/>
      </c>
    </row>
    <row r="332">
      <c r="A332" s="43" t="inlineStr">
        <is>
          <t>YoY</t>
        </is>
      </c>
      <c r="B332" s="3" t="inlineStr">
        <is>
          <t>전년 같은 분기·전년 대비</t>
        </is>
      </c>
      <c r="H332" s="15">
        <f>IF(OR(H330="",D330=""),"",IF(D330&lt;=0,"",IFERROR(H330/D330-1,"")))</f>
        <v/>
      </c>
      <c r="I332" s="15">
        <f>IF(OR(I330="",E330=""),"",IF(E330&lt;=0,"",IFERROR(I330/E330-1,"")))</f>
        <v/>
      </c>
      <c r="L332" s="15">
        <f>IF(OR(L330="",H330=""),"",IF(H330&lt;=0,"",IFERROR(L330/H330-1,"")))</f>
        <v/>
      </c>
      <c r="M332" s="15">
        <f>IF(OR(M330="",I330=""),"",IF(I330&lt;=0,"",IFERROR(M330/I330-1,"")))</f>
        <v/>
      </c>
      <c r="W332" s="15">
        <f>IF(OR(W330="",V330=""),"",IF(V330&lt;=0,"",IFERROR(W330/V330-1,"")))</f>
        <v/>
      </c>
      <c r="X332" s="15">
        <f>IF(OR(X330="",W330=""),"",IF(W330&lt;=0,"",IFERROR(X330/W330-1,"")))</f>
        <v/>
      </c>
    </row>
    <row r="333">
      <c r="A333" s="18" t="inlineStr">
        <is>
          <t>보고부문 합계 · Operating Income</t>
        </is>
      </c>
      <c r="D333" s="20" t="n">
        <v>10241</v>
      </c>
      <c r="E333" s="20" t="n">
        <v>10363</v>
      </c>
      <c r="H333" s="20" t="n">
        <v>7600</v>
      </c>
      <c r="I333" s="20" t="n">
        <v>8822</v>
      </c>
      <c r="L333" s="20" t="n">
        <v>14044</v>
      </c>
      <c r="M333" s="20" t="n">
        <v>8718</v>
      </c>
      <c r="V333" s="20" t="n">
        <v>10241</v>
      </c>
      <c r="W333" s="20" t="n">
        <v>7600</v>
      </c>
      <c r="X333" s="20" t="n">
        <v>14044</v>
      </c>
    </row>
    <row r="334">
      <c r="A334" s="43" t="inlineStr">
        <is>
          <t>OPM</t>
        </is>
      </c>
      <c r="B334" s="3" t="inlineStr">
        <is>
          <t>영업이익 ÷ 매출</t>
        </is>
      </c>
      <c r="D334" s="15">
        <f>IF(OR(D333="",D317=""),"",IF(D317&lt;=0,"",IFERROR(D333/D317,"")))</f>
        <v/>
      </c>
      <c r="E334" s="15">
        <f>IF(OR(E333="",E317=""),"",IF(E317&lt;=0,"",IFERROR(E333/E317,"")))</f>
        <v/>
      </c>
      <c r="H334" s="15">
        <f>IF(OR(H333="",H317=""),"",IF(H317&lt;=0,"",IFERROR(H333/H317,"")))</f>
        <v/>
      </c>
      <c r="I334" s="15">
        <f>IF(OR(I333="",I317=""),"",IF(I317&lt;=0,"",IFERROR(I333/I317,"")))</f>
        <v/>
      </c>
      <c r="L334" s="15">
        <f>IF(OR(L333="",L317=""),"",IF(L317&lt;=0,"",IFERROR(L333/L317,"")))</f>
        <v/>
      </c>
      <c r="M334" s="15">
        <f>IF(OR(M333="",M317=""),"",IF(M317&lt;=0,"",IFERROR(M333/M317,"")))</f>
        <v/>
      </c>
      <c r="V334" s="15">
        <f>IF(OR(V333="",V317=""),"",IF(V317&lt;=0,"",IFERROR(V333/V317,"")))</f>
        <v/>
      </c>
      <c r="W334" s="15">
        <f>IF(OR(W333="",W317=""),"",IF(W317&lt;=0,"",IFERROR(W333/W317,"")))</f>
        <v/>
      </c>
      <c r="X334" s="15">
        <f>IF(OR(X333="",X317=""),"",IF(X317&lt;=0,"",IFERROR(X333/X317,"")))</f>
        <v/>
      </c>
    </row>
    <row r="335">
      <c r="A335" s="43" t="inlineStr">
        <is>
          <t>YoY</t>
        </is>
      </c>
      <c r="B335" s="3" t="inlineStr">
        <is>
          <t>전년 같은 분기·전년 대비</t>
        </is>
      </c>
      <c r="H335" s="15">
        <f>IF(OR(H333="",D333=""),"",IF(D333&lt;=0,"",IFERROR(H333/D333-1,"")))</f>
        <v/>
      </c>
      <c r="I335" s="15">
        <f>IF(OR(I333="",E333=""),"",IF(E333&lt;=0,"",IFERROR(I333/E333-1,"")))</f>
        <v/>
      </c>
      <c r="L335" s="15">
        <f>IF(OR(L333="",H333=""),"",IF(H333&lt;=0,"",IFERROR(L333/H333-1,"")))</f>
        <v/>
      </c>
      <c r="M335" s="15">
        <f>IF(OR(M333="",I333=""),"",IF(I333&lt;=0,"",IFERROR(M333/I333-1,"")))</f>
        <v/>
      </c>
      <c r="V335" s="15">
        <f>IF(OR(V333="",U333=""),"",IF(U333&lt;=0,"",IFERROR(V333/U333-1,"")))</f>
        <v/>
      </c>
      <c r="W335" s="15">
        <f>IF(OR(W333="",V333=""),"",IF(V333&lt;=0,"",IFERROR(W333/V333-1,"")))</f>
        <v/>
      </c>
      <c r="X335" s="15">
        <f>IF(OR(X333="",W333=""),"",IF(W333&lt;=0,"",IFERROR(X333/W333-1,"")))</f>
        <v/>
      </c>
    </row>
    <row r="336">
      <c r="A336" s="18" t="inlineStr">
        <is>
          <t>기타 · Operating Income</t>
        </is>
      </c>
      <c r="D336" s="20" t="n">
        <v>28</v>
      </c>
      <c r="E336" s="20" t="n">
        <v>-14</v>
      </c>
      <c r="H336" s="20" t="n">
        <v>23</v>
      </c>
      <c r="I336" s="20" t="n">
        <v>-7</v>
      </c>
      <c r="L336" s="20" t="n">
        <v>23</v>
      </c>
      <c r="M336" s="20" t="n">
        <v>25</v>
      </c>
      <c r="V336" s="20" t="n">
        <v>28</v>
      </c>
      <c r="W336" s="20" t="n">
        <v>23</v>
      </c>
      <c r="X336" s="20" t="n">
        <v>23</v>
      </c>
    </row>
    <row r="337">
      <c r="A337" s="43" t="inlineStr">
        <is>
          <t>OPM</t>
        </is>
      </c>
      <c r="B337" s="3" t="inlineStr">
        <is>
          <t>영업이익 ÷ 매출</t>
        </is>
      </c>
      <c r="D337" s="15">
        <f>IF(OR(D336="",D319=""),"",IF(D319&lt;=0,"",IFERROR(D336/D319,"")))</f>
        <v/>
      </c>
      <c r="E337" s="15">
        <f>IF(OR(E336="",E319=""),"",IF(E319&lt;=0,"",IFERROR(E336/E319,"")))</f>
        <v/>
      </c>
      <c r="H337" s="15">
        <f>IF(OR(H336="",H319=""),"",IF(H319&lt;=0,"",IFERROR(H336/H319,"")))</f>
        <v/>
      </c>
      <c r="I337" s="15">
        <f>IF(OR(I336="",I319=""),"",IF(I319&lt;=0,"",IFERROR(I336/I319,"")))</f>
        <v/>
      </c>
      <c r="L337" s="15">
        <f>IF(OR(L336="",L319=""),"",IF(L319&lt;=0,"",IFERROR(L336/L319,"")))</f>
        <v/>
      </c>
      <c r="M337" s="15">
        <f>IF(OR(M336="",M319=""),"",IF(M319&lt;=0,"",IFERROR(M336/M319,"")))</f>
        <v/>
      </c>
      <c r="V337" s="15">
        <f>IF(OR(V336="",V319=""),"",IF(V319&lt;=0,"",IFERROR(V336/V319,"")))</f>
        <v/>
      </c>
      <c r="W337" s="15">
        <f>IF(OR(W336="",W319=""),"",IF(W319&lt;=0,"",IFERROR(W336/W319,"")))</f>
        <v/>
      </c>
      <c r="X337" s="15">
        <f>IF(OR(X336="",X319=""),"",IF(X319&lt;=0,"",IFERROR(X336/X319,"")))</f>
        <v/>
      </c>
    </row>
    <row r="338">
      <c r="A338" s="43" t="inlineStr">
        <is>
          <t>YoY</t>
        </is>
      </c>
      <c r="B338" s="3" t="inlineStr">
        <is>
          <t>전년 같은 분기·전년 대비</t>
        </is>
      </c>
      <c r="H338" s="15">
        <f>IF(OR(H336="",D336=""),"",IF(D336&lt;=0,"",IFERROR(H336/D336-1,"")))</f>
        <v/>
      </c>
      <c r="I338" s="15">
        <f>IF(OR(I336="",E336=""),"",IF(E336&lt;=0,"",IFERROR(I336/E336-1,"")))</f>
        <v/>
      </c>
      <c r="L338" s="15">
        <f>IF(OR(L336="",H336=""),"",IF(H336&lt;=0,"",IFERROR(L336/H336-1,"")))</f>
        <v/>
      </c>
      <c r="M338" s="15">
        <f>IF(OR(M336="",I336=""),"",IF(I336&lt;=0,"",IFERROR(M336/I336-1,"")))</f>
        <v/>
      </c>
      <c r="V338" s="15">
        <f>IF(OR(V336="",U336=""),"",IF(U336&lt;=0,"",IFERROR(V336/U336-1,"")))</f>
        <v/>
      </c>
      <c r="W338" s="15">
        <f>IF(OR(W336="",V336=""),"",IF(V336&lt;=0,"",IFERROR(W336/V336-1,"")))</f>
        <v/>
      </c>
      <c r="X338" s="15">
        <f>IF(OR(X336="",W336=""),"",IF(W336&lt;=0,"",IFERROR(X336/W336-1,"")))</f>
        <v/>
      </c>
    </row>
    <row r="339">
      <c r="A339" s="18" t="inlineStr">
        <is>
          <t>합계 · Operating Income</t>
        </is>
      </c>
      <c r="D339" s="20" t="n">
        <v>10269</v>
      </c>
      <c r="E339" s="20" t="n">
        <v>10348</v>
      </c>
      <c r="H339" s="20" t="n">
        <v>7622</v>
      </c>
      <c r="I339" s="20" t="n">
        <v>8814</v>
      </c>
      <c r="L339" s="20" t="n">
        <v>14067</v>
      </c>
      <c r="M339" s="20" t="n">
        <v>8743</v>
      </c>
      <c r="V339" s="20" t="n">
        <v>10269</v>
      </c>
      <c r="W339" s="20" t="n">
        <v>7622</v>
      </c>
      <c r="X339" s="20" t="n">
        <v>14067</v>
      </c>
    </row>
    <row r="340">
      <c r="A340" s="43" t="inlineStr">
        <is>
          <t>OPM</t>
        </is>
      </c>
      <c r="B340" s="3" t="inlineStr">
        <is>
          <t>영업이익 ÷ 매출</t>
        </is>
      </c>
      <c r="D340" s="15">
        <f>IF(OR(D339="",D321=""),"",IF(D321&lt;=0,"",IFERROR(D339/D321,"")))</f>
        <v/>
      </c>
      <c r="E340" s="15">
        <f>IF(OR(E339="",E321=""),"",IF(E321&lt;=0,"",IFERROR(E339/E321,"")))</f>
        <v/>
      </c>
      <c r="H340" s="15">
        <f>IF(OR(H339="",H321=""),"",IF(H321&lt;=0,"",IFERROR(H339/H321,"")))</f>
        <v/>
      </c>
      <c r="I340" s="15">
        <f>IF(OR(I339="",I321=""),"",IF(I321&lt;=0,"",IFERROR(I339/I321,"")))</f>
        <v/>
      </c>
      <c r="L340" s="15">
        <f>IF(OR(L339="",L321=""),"",IF(L321&lt;=0,"",IFERROR(L339/L321,"")))</f>
        <v/>
      </c>
      <c r="M340" s="15">
        <f>IF(OR(M339="",M321=""),"",IF(M321&lt;=0,"",IFERROR(M339/M321,"")))</f>
        <v/>
      </c>
      <c r="V340" s="15">
        <f>IF(OR(V339="",V321=""),"",IF(V321&lt;=0,"",IFERROR(V339/V321,"")))</f>
        <v/>
      </c>
      <c r="W340" s="15">
        <f>IF(OR(W339="",W321=""),"",IF(W321&lt;=0,"",IFERROR(W339/W321,"")))</f>
        <v/>
      </c>
      <c r="X340" s="15">
        <f>IF(OR(X339="",X321=""),"",IF(X321&lt;=0,"",IFERROR(X339/X321,"")))</f>
        <v/>
      </c>
    </row>
    <row r="341">
      <c r="A341" s="43" t="inlineStr">
        <is>
          <t>YoY</t>
        </is>
      </c>
      <c r="B341" s="3" t="inlineStr">
        <is>
          <t>전년 같은 분기·전년 대비</t>
        </is>
      </c>
      <c r="H341" s="15">
        <f>IF(OR(H339="",D339=""),"",IF(D339&lt;=0,"",IFERROR(H339/D339-1,"")))</f>
        <v/>
      </c>
      <c r="I341" s="15">
        <f>IF(OR(I339="",E339=""),"",IF(E339&lt;=0,"",IFERROR(I339/E339-1,"")))</f>
        <v/>
      </c>
      <c r="L341" s="15">
        <f>IF(OR(L339="",H339=""),"",IF(H339&lt;=0,"",IFERROR(L339/H339-1,"")))</f>
        <v/>
      </c>
      <c r="M341" s="15">
        <f>IF(OR(M339="",I339=""),"",IF(I339&lt;=0,"",IFERROR(M339/I339-1,"")))</f>
        <v/>
      </c>
      <c r="V341" s="15">
        <f>IF(OR(V339="",U339=""),"",IF(U339&lt;=0,"",IFERROR(V339/U339-1,"")))</f>
        <v/>
      </c>
      <c r="W341" s="15">
        <f>IF(OR(W339="",V339=""),"",IF(V339&lt;=0,"",IFERROR(W339/V339-1,"")))</f>
        <v/>
      </c>
      <c r="X341" s="15">
        <f>IF(OR(X339="",W339=""),"",IF(W339&lt;=0,"",IFERROR(X339/W339-1,"")))</f>
        <v/>
      </c>
    </row>
    <row r="342">
      <c r="A342" s="18" t="inlineStr">
        <is>
          <t>조정액 · Operating Income</t>
        </is>
      </c>
      <c r="D342" s="20" t="n">
        <v>-411</v>
      </c>
      <c r="E342" s="20" t="n">
        <v>-548</v>
      </c>
      <c r="H342" s="20" t="n">
        <v>-650</v>
      </c>
      <c r="I342" s="20" t="n">
        <v>-607</v>
      </c>
      <c r="L342" s="20" t="n">
        <v>-728</v>
      </c>
      <c r="M342" s="20" t="n">
        <v>-670</v>
      </c>
      <c r="V342" s="20" t="n">
        <v>-411</v>
      </c>
      <c r="W342" s="20" t="n">
        <v>-650</v>
      </c>
      <c r="X342" s="20" t="n">
        <v>-728</v>
      </c>
    </row>
    <row r="343">
      <c r="A343" s="9" t="inlineStr">
        <is>
          <t>Operating Income</t>
        </is>
      </c>
      <c r="D343" s="12" t="n">
        <v>9857</v>
      </c>
      <c r="E343" s="12" t="n">
        <v>9800</v>
      </c>
      <c r="H343" s="12" t="n">
        <v>6973</v>
      </c>
      <c r="I343" s="12" t="n">
        <v>8207</v>
      </c>
      <c r="V343" s="12" t="n">
        <v>9857</v>
      </c>
      <c r="W343" s="12" t="n">
        <v>6973</v>
      </c>
    </row>
    <row r="344">
      <c r="A344" s="43" t="inlineStr">
        <is>
          <t>OPM</t>
        </is>
      </c>
      <c r="B344" s="3" t="inlineStr">
        <is>
          <t>영업이익 ÷ 매출</t>
        </is>
      </c>
      <c r="D344" s="15">
        <f>IF(OR(D343="",D279=""),"",IF(D279&lt;=0,"",IFERROR(D343/D279,"")))</f>
        <v/>
      </c>
      <c r="E344" s="15">
        <f>IF(OR(E343="",E279=""),"",IF(E279&lt;=0,"",IFERROR(E343/E279,"")))</f>
        <v/>
      </c>
      <c r="H344" s="15">
        <f>IF(OR(H343="",H279=""),"",IF(H279&lt;=0,"",IFERROR(H343/H279,"")))</f>
        <v/>
      </c>
      <c r="I344" s="15">
        <f>IF(OR(I343="",I279=""),"",IF(I279&lt;=0,"",IFERROR(I343/I279,"")))</f>
        <v/>
      </c>
      <c r="V344" s="15">
        <f>IF(OR(V343="",V279=""),"",IF(V279&lt;=0,"",IFERROR(V343/V279,"")))</f>
        <v/>
      </c>
      <c r="W344" s="15">
        <f>IF(OR(W343="",W279=""),"",IF(W279&lt;=0,"",IFERROR(W343/W279,"")))</f>
        <v/>
      </c>
    </row>
    <row r="345">
      <c r="A345" s="43" t="inlineStr">
        <is>
          <t>YoY</t>
        </is>
      </c>
      <c r="B345" s="3" t="inlineStr">
        <is>
          <t>전년 같은 분기·전년 대비</t>
        </is>
      </c>
      <c r="H345" s="15">
        <f>IF(OR(H343="",D343=""),"",IF(D343&lt;=0,"",IFERROR(H343/D343-1,"")))</f>
        <v/>
      </c>
      <c r="I345" s="15">
        <f>IF(OR(I343="",E343=""),"",IF(E343&lt;=0,"",IFERROR(I343/E343-1,"")))</f>
        <v/>
      </c>
      <c r="V345" s="15">
        <f>IF(OR(V343="",U343=""),"",IF(U343&lt;=0,"",IFERROR(V343/U343-1,"")))</f>
        <v/>
      </c>
      <c r="W345" s="15">
        <f>IF(OR(W343="",V343=""),"",IF(V343&lt;=0,"",IFERROR(W343/V343-1,"")))</f>
        <v/>
      </c>
    </row>
    <row r="346">
      <c r="A346" s="18" t="inlineStr">
        <is>
          <t>EntityTotalMember · Operating Income</t>
        </is>
      </c>
      <c r="I346" s="20" t="n">
        <v>8207</v>
      </c>
      <c r="M346" s="20" t="n">
        <v>8073</v>
      </c>
    </row>
    <row r="347">
      <c r="A347" s="18" t="inlineStr">
        <is>
          <t>부문 · 고객과의 계약에서 생기는 수익</t>
        </is>
      </c>
      <c r="D347" s="20" t="n">
        <v>114740</v>
      </c>
      <c r="E347" s="20" t="n">
        <v>109457</v>
      </c>
      <c r="H347" s="20" t="n">
        <v>117746</v>
      </c>
      <c r="I347" s="20" t="n">
        <v>108378</v>
      </c>
      <c r="V347" s="20" t="n">
        <v>114740</v>
      </c>
      <c r="W347" s="20" t="n">
        <v>117746</v>
      </c>
    </row>
    <row r="348">
      <c r="A348" s="43" t="inlineStr">
        <is>
          <t>YoY</t>
        </is>
      </c>
      <c r="B348" s="3" t="inlineStr">
        <is>
          <t>전년 같은 분기·전년 대비</t>
        </is>
      </c>
      <c r="H348" s="15">
        <f>IF(OR(H347="",D347=""),"",IF(D347&lt;=0,"",IFERROR(H347/D347-1,"")))</f>
        <v/>
      </c>
      <c r="I348" s="15">
        <f>IF(OR(I347="",E347=""),"",IF(E347&lt;=0,"",IFERROR(I347/E347-1,"")))</f>
        <v/>
      </c>
      <c r="V348" s="15">
        <f>IF(OR(V347="",U347=""),"",IF(U347&lt;=0,"",IFERROR(V347/U347-1,"")))</f>
        <v/>
      </c>
      <c r="W348" s="15">
        <f>IF(OR(W347="",V347=""),"",IF(V347&lt;=0,"",IFERROR(W347/V347-1,"")))</f>
        <v/>
      </c>
    </row>
    <row r="349">
      <c r="A349" s="18" t="inlineStr">
        <is>
          <t>부문 · 고객과의 계약에서 생기는 수익</t>
        </is>
      </c>
      <c r="E349" s="20" t="n">
        <v>16623</v>
      </c>
      <c r="I349" s="20" t="n">
        <v>18733</v>
      </c>
    </row>
    <row r="350">
      <c r="A350" s="43" t="inlineStr">
        <is>
          <t>YoY</t>
        </is>
      </c>
      <c r="B350" s="3" t="inlineStr">
        <is>
          <t>전년 같은 분기·전년 대비</t>
        </is>
      </c>
      <c r="I350" s="15">
        <f>IF(OR(I349="",E349=""),"",IF(E349&lt;=0,"",IFERROR(I349/E349-1,"")))</f>
        <v/>
      </c>
    </row>
    <row r="351">
      <c r="A351" s="18" t="inlineStr">
        <is>
          <t>부문 · 고객과의 계약에서 생기는 수익</t>
        </is>
      </c>
      <c r="E351" s="20" t="n">
        <v>10884</v>
      </c>
      <c r="I351" s="20" t="n">
        <v>11150</v>
      </c>
    </row>
    <row r="352">
      <c r="A352" s="43" t="inlineStr">
        <is>
          <t>YoY</t>
        </is>
      </c>
      <c r="B352" s="3" t="inlineStr">
        <is>
          <t>전년 같은 분기·전년 대비</t>
        </is>
      </c>
      <c r="I352" s="15">
        <f>IF(OR(I351="",E351=""),"",IF(E351&lt;=0,"",IFERROR(I351/E351-1,"")))</f>
        <v/>
      </c>
    </row>
    <row r="353">
      <c r="A353" s="18" t="inlineStr">
        <is>
          <t>유럽 · 고객과의 계약에서 생기는 수익</t>
        </is>
      </c>
      <c r="E353" s="20" t="n">
        <v>1210</v>
      </c>
      <c r="I353" s="20" t="n">
        <v>1474</v>
      </c>
    </row>
    <row r="354">
      <c r="A354" s="43" t="inlineStr">
        <is>
          <t>YoY</t>
        </is>
      </c>
      <c r="B354" s="3" t="inlineStr">
        <is>
          <t>전년 같은 분기·전년 대비</t>
        </is>
      </c>
      <c r="I354" s="15">
        <f>IF(OR(I353="",E353=""),"",IF(E353&lt;=0,"",IFERROR(I353/E353-1,"")))</f>
        <v/>
      </c>
    </row>
    <row r="355">
      <c r="A355" s="18" t="inlineStr">
        <is>
          <t>중국 · 고객과의 계약에서 생기는 수익</t>
        </is>
      </c>
      <c r="E355" s="20" t="n">
        <v>15483</v>
      </c>
      <c r="I355" s="20" t="n">
        <v>10838</v>
      </c>
    </row>
    <row r="356">
      <c r="A356" s="43" t="inlineStr">
        <is>
          <t>YoY</t>
        </is>
      </c>
      <c r="B356" s="3" t="inlineStr">
        <is>
          <t>전년 같은 분기·전년 대비</t>
        </is>
      </c>
      <c r="I356" s="15">
        <f>IF(OR(I355="",E355=""),"",IF(E355&lt;=0,"",IFERROR(I355/E355-1,"")))</f>
        <v/>
      </c>
    </row>
    <row r="357">
      <c r="A357" s="18" t="inlineStr">
        <is>
          <t>부문 · 고객과의 계약에서 생기는 수익</t>
        </is>
      </c>
      <c r="D357" s="20" t="n">
        <v>167030</v>
      </c>
      <c r="E357" s="20" t="n">
        <v>153660</v>
      </c>
      <c r="H357" s="20" t="n">
        <v>166130</v>
      </c>
      <c r="I357" s="20" t="n">
        <v>150575</v>
      </c>
      <c r="V357" s="20" t="n">
        <v>167030</v>
      </c>
      <c r="W357" s="20" t="n">
        <v>166130</v>
      </c>
    </row>
    <row r="358">
      <c r="A358" s="43" t="inlineStr">
        <is>
          <t>YoY</t>
        </is>
      </c>
      <c r="B358" s="3" t="inlineStr">
        <is>
          <t>전년 같은 분기·전년 대비</t>
        </is>
      </c>
      <c r="H358" s="15">
        <f>IF(OR(H357="",D357=""),"",IF(D357&lt;=0,"",IFERROR(H357/D357-1,"")))</f>
        <v/>
      </c>
      <c r="I358" s="15">
        <f>IF(OR(I357="",E357=""),"",IF(E357&lt;=0,"",IFERROR(I357/E357-1,"")))</f>
        <v/>
      </c>
      <c r="V358" s="15">
        <f>IF(OR(V357="",U357=""),"",IF(U357&lt;=0,"",IFERROR(V357/U357-1,"")))</f>
        <v/>
      </c>
      <c r="W358" s="15">
        <f>IF(OR(W357="",V357=""),"",IF(V357&lt;=0,"",IFERROR(W357/V357-1,"")))</f>
        <v/>
      </c>
    </row>
    <row r="359">
      <c r="A359" s="18" t="inlineStr">
        <is>
          <t>부문 · 외부 고객 매출</t>
        </is>
      </c>
      <c r="D359" s="20" t="n">
        <v>114740</v>
      </c>
      <c r="E359" s="20" t="n">
        <v>109457</v>
      </c>
      <c r="H359" s="20" t="n">
        <v>117746</v>
      </c>
      <c r="I359" s="20" t="n">
        <v>108378</v>
      </c>
      <c r="V359" s="20" t="n">
        <v>114740</v>
      </c>
      <c r="W359" s="20" t="n">
        <v>117746</v>
      </c>
    </row>
    <row r="360">
      <c r="A360" s="43" t="inlineStr">
        <is>
          <t>YoY</t>
        </is>
      </c>
      <c r="B360" s="3" t="inlineStr">
        <is>
          <t>전년 같은 분기·전년 대비</t>
        </is>
      </c>
      <c r="H360" s="15">
        <f>IF(OR(H359="",D359=""),"",IF(D359&lt;=0,"",IFERROR(H359/D359-1,"")))</f>
        <v/>
      </c>
      <c r="I360" s="15">
        <f>IF(OR(I359="",E359=""),"",IF(E359&lt;=0,"",IFERROR(I359/E359-1,"")))</f>
        <v/>
      </c>
      <c r="V360" s="15">
        <f>IF(OR(V359="",U359=""),"",IF(U359&lt;=0,"",IFERROR(V359/U359-1,"")))</f>
        <v/>
      </c>
      <c r="W360" s="15">
        <f>IF(OR(W359="",V359=""),"",IF(V359&lt;=0,"",IFERROR(W359/V359-1,"")))</f>
        <v/>
      </c>
    </row>
    <row r="361">
      <c r="A361" s="18" t="inlineStr">
        <is>
          <t>부문 · 외부 고객 매출</t>
        </is>
      </c>
      <c r="E361" s="20" t="n">
        <v>16623</v>
      </c>
      <c r="I361" s="20" t="n">
        <v>18733</v>
      </c>
    </row>
    <row r="362">
      <c r="A362" s="43" t="inlineStr">
        <is>
          <t>YoY</t>
        </is>
      </c>
      <c r="B362" s="3" t="inlineStr">
        <is>
          <t>전년 같은 분기·전년 대비</t>
        </is>
      </c>
      <c r="I362" s="15">
        <f>IF(OR(I361="",E361=""),"",IF(E361&lt;=0,"",IFERROR(I361/E361-1,"")))</f>
        <v/>
      </c>
    </row>
    <row r="363">
      <c r="A363" s="18" t="inlineStr">
        <is>
          <t>부문 · 외부 고객 매출</t>
        </is>
      </c>
      <c r="E363" s="20" t="n">
        <v>10884</v>
      </c>
      <c r="I363" s="20" t="n">
        <v>11150</v>
      </c>
    </row>
    <row r="364">
      <c r="A364" s="43" t="inlineStr">
        <is>
          <t>YoY</t>
        </is>
      </c>
      <c r="B364" s="3" t="inlineStr">
        <is>
          <t>전년 같은 분기·전년 대비</t>
        </is>
      </c>
      <c r="I364" s="15">
        <f>IF(OR(I363="",E363=""),"",IF(E363&lt;=0,"",IFERROR(I363/E363-1,"")))</f>
        <v/>
      </c>
    </row>
    <row r="365">
      <c r="A365" s="18" t="inlineStr">
        <is>
          <t>유럽 · 외부 고객 매출</t>
        </is>
      </c>
      <c r="E365" s="20" t="n">
        <v>1210</v>
      </c>
      <c r="I365" s="20" t="n">
        <v>1474</v>
      </c>
    </row>
    <row r="366">
      <c r="A366" s="43" t="inlineStr">
        <is>
          <t>YoY</t>
        </is>
      </c>
      <c r="B366" s="3" t="inlineStr">
        <is>
          <t>전년 같은 분기·전년 대비</t>
        </is>
      </c>
      <c r="I366" s="15">
        <f>IF(OR(I365="",E365=""),"",IF(E365&lt;=0,"",IFERROR(I365/E365-1,"")))</f>
        <v/>
      </c>
    </row>
    <row r="367">
      <c r="A367" s="18" t="inlineStr">
        <is>
          <t>중국 · 외부 고객 매출</t>
        </is>
      </c>
      <c r="E367" s="20" t="n">
        <v>15483</v>
      </c>
      <c r="I367" s="20" t="n">
        <v>10838</v>
      </c>
    </row>
    <row r="368">
      <c r="A368" s="43" t="inlineStr">
        <is>
          <t>YoY</t>
        </is>
      </c>
      <c r="B368" s="3" t="inlineStr">
        <is>
          <t>전년 같은 분기·전년 대비</t>
        </is>
      </c>
      <c r="I368" s="15">
        <f>IF(OR(I367="",E367=""),"",IF(E367&lt;=0,"",IFERROR(I367/E367-1,"")))</f>
        <v/>
      </c>
    </row>
    <row r="369">
      <c r="A369" s="18" t="inlineStr">
        <is>
          <t>부문 · 외부 고객 매출</t>
        </is>
      </c>
      <c r="D369" s="20" t="n">
        <v>167030</v>
      </c>
      <c r="E369" s="20" t="n">
        <v>153660</v>
      </c>
      <c r="H369" s="20" t="n">
        <v>166130</v>
      </c>
      <c r="I369" s="20" t="n">
        <v>150575</v>
      </c>
      <c r="V369" s="20" t="n">
        <v>167030</v>
      </c>
      <c r="W369" s="20" t="n">
        <v>166130</v>
      </c>
    </row>
    <row r="370">
      <c r="A370" s="43" t="inlineStr">
        <is>
          <t>YoY</t>
        </is>
      </c>
      <c r="B370" s="3" t="inlineStr">
        <is>
          <t>전년 같은 분기·전년 대비</t>
        </is>
      </c>
      <c r="H370" s="15">
        <f>IF(OR(H369="",D369=""),"",IF(D369&lt;=0,"",IFERROR(H369/D369-1,"")))</f>
        <v/>
      </c>
      <c r="I370" s="15">
        <f>IF(OR(I369="",E369=""),"",IF(E369&lt;=0,"",IFERROR(I369/E369-1,"")))</f>
        <v/>
      </c>
      <c r="V370" s="15">
        <f>IF(OR(V369="",U369=""),"",IF(U369&lt;=0,"",IFERROR(V369/U369-1,"")))</f>
        <v/>
      </c>
      <c r="W370" s="15">
        <f>IF(OR(W369="",V369=""),"",IF(V369&lt;=0,"",IFERROR(W369/V369-1,"")))</f>
        <v/>
      </c>
    </row>
    <row r="371">
      <c r="A371" s="18" t="inlineStr">
        <is>
          <t>부문 · 부문 간 내부매출·대체</t>
        </is>
      </c>
      <c r="D371" s="20" t="n">
        <v>5021</v>
      </c>
      <c r="E371" s="20" t="n">
        <v>4892</v>
      </c>
      <c r="H371" s="20" t="n">
        <v>3664</v>
      </c>
      <c r="I371" s="20" t="n">
        <v>3411</v>
      </c>
      <c r="V371" s="20" t="n">
        <v>5021</v>
      </c>
      <c r="W371" s="20" t="n">
        <v>3664</v>
      </c>
    </row>
    <row r="372">
      <c r="A372" s="18" t="inlineStr">
        <is>
          <t>부문 · 부문 간 내부매출·대체</t>
        </is>
      </c>
      <c r="E372" s="20" t="n">
        <v>2</v>
      </c>
      <c r="I372" s="20" t="n">
        <v>0</v>
      </c>
    </row>
    <row r="373">
      <c r="A373" s="18" t="inlineStr">
        <is>
          <t>부문 · 부문 간 내부매출·대체</t>
        </is>
      </c>
      <c r="E373" s="20" t="n">
        <v>10898</v>
      </c>
      <c r="I373" s="20" t="n">
        <v>11291</v>
      </c>
    </row>
    <row r="374">
      <c r="A374" s="18" t="inlineStr">
        <is>
          <t>유럽 · 부문 간 내부매출·대체</t>
        </is>
      </c>
      <c r="E374" s="20" t="n">
        <v>3</v>
      </c>
      <c r="I374" s="20" t="n">
        <v>0</v>
      </c>
    </row>
    <row r="375">
      <c r="A375" s="18" t="inlineStr">
        <is>
          <t>중국 · 부문 간 내부매출·대체</t>
        </is>
      </c>
      <c r="E375" s="20" t="n">
        <v>4259</v>
      </c>
      <c r="I375" s="20" t="n">
        <v>4761</v>
      </c>
    </row>
    <row r="376">
      <c r="A376" s="18" t="inlineStr">
        <is>
          <t>부문 · 부문 간 내부매출·대체</t>
        </is>
      </c>
      <c r="D376" s="20" t="n">
        <v>21010</v>
      </c>
      <c r="E376" s="20" t="n">
        <v>20056</v>
      </c>
      <c r="H376" s="20" t="n">
        <v>21663</v>
      </c>
      <c r="I376" s="20" t="n">
        <v>19465</v>
      </c>
      <c r="V376" s="20" t="n">
        <v>21010</v>
      </c>
      <c r="W376" s="20" t="n">
        <v>21663</v>
      </c>
    </row>
    <row r="377">
      <c r="A377" s="18" t="inlineStr">
        <is>
          <t>부문 · 계</t>
        </is>
      </c>
      <c r="D377" s="20" t="n">
        <v>119762</v>
      </c>
      <c r="E377" s="20" t="n">
        <v>114349</v>
      </c>
      <c r="H377" s="20" t="n">
        <v>121409</v>
      </c>
      <c r="I377" s="20" t="n">
        <v>111789</v>
      </c>
      <c r="V377" s="20" t="n">
        <v>119762</v>
      </c>
      <c r="W377" s="20" t="n">
        <v>121409</v>
      </c>
    </row>
    <row r="378">
      <c r="A378" s="43" t="inlineStr">
        <is>
          <t>YoY</t>
        </is>
      </c>
      <c r="B378" s="3" t="inlineStr">
        <is>
          <t>전년 같은 분기·전년 대비</t>
        </is>
      </c>
      <c r="H378" s="15">
        <f>IF(OR(H377="",D377=""),"",IF(D377&lt;=0,"",IFERROR(H377/D377-1,"")))</f>
        <v/>
      </c>
      <c r="I378" s="15">
        <f>IF(OR(I377="",E377=""),"",IF(E377&lt;=0,"",IFERROR(I377/E377-1,"")))</f>
        <v/>
      </c>
      <c r="V378" s="15">
        <f>IF(OR(V377="",U377=""),"",IF(U377&lt;=0,"",IFERROR(V377/U377-1,"")))</f>
        <v/>
      </c>
      <c r="W378" s="15">
        <f>IF(OR(W377="",V377=""),"",IF(V377&lt;=0,"",IFERROR(W377/V377-1,"")))</f>
        <v/>
      </c>
    </row>
    <row r="379">
      <c r="A379" s="18" t="inlineStr">
        <is>
          <t>부문 · 계</t>
        </is>
      </c>
      <c r="E379" s="20" t="n">
        <v>16625</v>
      </c>
      <c r="I379" s="20" t="n">
        <v>18734</v>
      </c>
    </row>
    <row r="380">
      <c r="A380" s="43" t="inlineStr">
        <is>
          <t>YoY</t>
        </is>
      </c>
      <c r="B380" s="3" t="inlineStr">
        <is>
          <t>전년 같은 분기·전년 대비</t>
        </is>
      </c>
      <c r="I380" s="15">
        <f>IF(OR(I379="",E379=""),"",IF(E379&lt;=0,"",IFERROR(I379/E379-1,"")))</f>
        <v/>
      </c>
    </row>
    <row r="381">
      <c r="A381" s="18" t="inlineStr">
        <is>
          <t>부문 · 계</t>
        </is>
      </c>
      <c r="E381" s="20" t="n">
        <v>21783</v>
      </c>
      <c r="I381" s="20" t="n">
        <v>22442</v>
      </c>
    </row>
    <row r="382">
      <c r="A382" s="43" t="inlineStr">
        <is>
          <t>YoY</t>
        </is>
      </c>
      <c r="B382" s="3" t="inlineStr">
        <is>
          <t>전년 같은 분기·전년 대비</t>
        </is>
      </c>
      <c r="I382" s="15">
        <f>IF(OR(I381="",E381=""),"",IF(E381&lt;=0,"",IFERROR(I381/E381-1,"")))</f>
        <v/>
      </c>
    </row>
    <row r="383">
      <c r="A383" s="18" t="inlineStr">
        <is>
          <t>유럽 · 계</t>
        </is>
      </c>
      <c r="E383" s="20" t="n">
        <v>1213</v>
      </c>
      <c r="I383" s="20" t="n">
        <v>1474</v>
      </c>
    </row>
    <row r="384">
      <c r="A384" s="43" t="inlineStr">
        <is>
          <t>YoY</t>
        </is>
      </c>
      <c r="B384" s="3" t="inlineStr">
        <is>
          <t>전년 같은 분기·전년 대비</t>
        </is>
      </c>
      <c r="I384" s="15">
        <f>IF(OR(I383="",E383=""),"",IF(E383&lt;=0,"",IFERROR(I383/E383-1,"")))</f>
        <v/>
      </c>
    </row>
    <row r="385">
      <c r="A385" s="18" t="inlineStr">
        <is>
          <t>중국 · 계</t>
        </is>
      </c>
      <c r="E385" s="20" t="n">
        <v>19743</v>
      </c>
      <c r="I385" s="20" t="n">
        <v>15599</v>
      </c>
    </row>
    <row r="386">
      <c r="A386" s="43" t="inlineStr">
        <is>
          <t>YoY</t>
        </is>
      </c>
      <c r="B386" s="3" t="inlineStr">
        <is>
          <t>전년 같은 분기·전년 대비</t>
        </is>
      </c>
      <c r="I386" s="15">
        <f>IF(OR(I385="",E385=""),"",IF(E385&lt;=0,"",IFERROR(I385/E385-1,"")))</f>
        <v/>
      </c>
    </row>
    <row r="387">
      <c r="A387" s="18" t="inlineStr">
        <is>
          <t>부문 · 계</t>
        </is>
      </c>
      <c r="D387" s="20" t="n">
        <v>188040</v>
      </c>
      <c r="E387" s="20" t="n">
        <v>173716</v>
      </c>
      <c r="H387" s="20" t="n">
        <v>187793</v>
      </c>
      <c r="I387" s="20" t="n">
        <v>170041</v>
      </c>
      <c r="V387" s="20" t="n">
        <v>188040</v>
      </c>
      <c r="W387" s="20" t="n">
        <v>187793</v>
      </c>
    </row>
    <row r="388">
      <c r="A388" s="43" t="inlineStr">
        <is>
          <t>YoY</t>
        </is>
      </c>
      <c r="B388" s="3" t="inlineStr">
        <is>
          <t>전년 같은 분기·전년 대비</t>
        </is>
      </c>
      <c r="H388" s="15">
        <f>IF(OR(H387="",D387=""),"",IF(D387&lt;=0,"",IFERROR(H387/D387-1,"")))</f>
        <v/>
      </c>
      <c r="I388" s="15">
        <f>IF(OR(I387="",E387=""),"",IF(E387&lt;=0,"",IFERROR(I387/E387-1,"")))</f>
        <v/>
      </c>
      <c r="V388" s="15">
        <f>IF(OR(V387="",U387=""),"",IF(U387&lt;=0,"",IFERROR(V387/U387-1,"")))</f>
        <v/>
      </c>
      <c r="W388" s="15">
        <f>IF(OR(W387="",V387=""),"",IF(V387&lt;=0,"",IFERROR(W387/V387-1,"")))</f>
        <v/>
      </c>
    </row>
    <row r="389">
      <c r="A389" s="18" t="inlineStr">
        <is>
          <t>부문 · 부문 이익(손실)</t>
        </is>
      </c>
      <c r="D389" s="20" t="n">
        <v>1836</v>
      </c>
      <c r="E389" s="20" t="n">
        <v>2528</v>
      </c>
      <c r="H389" s="20" t="n">
        <v>2172</v>
      </c>
      <c r="I389" s="20" t="n">
        <v>776</v>
      </c>
      <c r="V389" s="20" t="n">
        <v>1836</v>
      </c>
      <c r="W389" s="20" t="n">
        <v>2172</v>
      </c>
    </row>
    <row r="390">
      <c r="A390" s="43" t="inlineStr">
        <is>
          <t>OPM</t>
        </is>
      </c>
      <c r="B390" s="3" t="inlineStr">
        <is>
          <t>영업이익 ÷ 매출</t>
        </is>
      </c>
      <c r="D390" s="15">
        <f>IF(OR(D389="",D377=""),"",IF(D377&lt;=0,"",IFERROR(D389/D377,"")))</f>
        <v/>
      </c>
      <c r="E390" s="15">
        <f>IF(OR(E389="",E377=""),"",IF(E377&lt;=0,"",IFERROR(E389/E377,"")))</f>
        <v/>
      </c>
      <c r="H390" s="15">
        <f>IF(OR(H389="",H377=""),"",IF(H377&lt;=0,"",IFERROR(H389/H377,"")))</f>
        <v/>
      </c>
      <c r="I390" s="15">
        <f>IF(OR(I389="",I377=""),"",IF(I377&lt;=0,"",IFERROR(I389/I377,"")))</f>
        <v/>
      </c>
      <c r="V390" s="15">
        <f>IF(OR(V389="",V377=""),"",IF(V377&lt;=0,"",IFERROR(V389/V377,"")))</f>
        <v/>
      </c>
      <c r="W390" s="15">
        <f>IF(OR(W389="",W377=""),"",IF(W377&lt;=0,"",IFERROR(W389/W377,"")))</f>
        <v/>
      </c>
    </row>
    <row r="391">
      <c r="A391" s="43" t="inlineStr">
        <is>
          <t>YoY</t>
        </is>
      </c>
      <c r="B391" s="3" t="inlineStr">
        <is>
          <t>전년 같은 분기·전년 대비</t>
        </is>
      </c>
      <c r="H391" s="15">
        <f>IF(OR(H389="",D389=""),"",IF(D389&lt;=0,"",IFERROR(H389/D389-1,"")))</f>
        <v/>
      </c>
      <c r="I391" s="15">
        <f>IF(OR(I389="",E389=""),"",IF(E389&lt;=0,"",IFERROR(I389/E389-1,"")))</f>
        <v/>
      </c>
      <c r="V391" s="15">
        <f>IF(OR(V389="",U389=""),"",IF(U389&lt;=0,"",IFERROR(V389/U389-1,"")))</f>
        <v/>
      </c>
      <c r="W391" s="15">
        <f>IF(OR(W389="",V389=""),"",IF(V389&lt;=0,"",IFERROR(W389/V389-1,"")))</f>
        <v/>
      </c>
    </row>
    <row r="392">
      <c r="A392" s="18" t="inlineStr">
        <is>
          <t>부문 · 부문 이익(손실)</t>
        </is>
      </c>
      <c r="E392" s="20" t="n">
        <v>881</v>
      </c>
      <c r="I392" s="20" t="n">
        <v>1176</v>
      </c>
    </row>
    <row r="393">
      <c r="A393" s="43" t="inlineStr">
        <is>
          <t>OPM</t>
        </is>
      </c>
      <c r="B393" s="3" t="inlineStr">
        <is>
          <t>영업이익 ÷ 매출</t>
        </is>
      </c>
      <c r="E393" s="15">
        <f>IF(OR(E392="",E379=""),"",IF(E379&lt;=0,"",IFERROR(E392/E379,"")))</f>
        <v/>
      </c>
      <c r="I393" s="15">
        <f>IF(OR(I392="",I379=""),"",IF(I379&lt;=0,"",IFERROR(I392/I379,"")))</f>
        <v/>
      </c>
    </row>
    <row r="394">
      <c r="A394" s="43" t="inlineStr">
        <is>
          <t>YoY</t>
        </is>
      </c>
      <c r="B394" s="3" t="inlineStr">
        <is>
          <t>전년 같은 분기·전년 대비</t>
        </is>
      </c>
      <c r="I394" s="15">
        <f>IF(OR(I392="",E392=""),"",IF(E392&lt;=0,"",IFERROR(I392/E392-1,"")))</f>
        <v/>
      </c>
    </row>
    <row r="395">
      <c r="A395" s="18" t="inlineStr">
        <is>
          <t>부문 · 부문 이익(손실)</t>
        </is>
      </c>
      <c r="E395" s="20" t="n">
        <v>1973</v>
      </c>
      <c r="I395" s="20" t="n">
        <v>2316</v>
      </c>
    </row>
    <row r="396">
      <c r="A396" s="43" t="inlineStr">
        <is>
          <t>OPM</t>
        </is>
      </c>
      <c r="B396" s="3" t="inlineStr">
        <is>
          <t>영업이익 ÷ 매출</t>
        </is>
      </c>
      <c r="E396" s="15">
        <f>IF(OR(E395="",E381=""),"",IF(E381&lt;=0,"",IFERROR(E395/E381,"")))</f>
        <v/>
      </c>
      <c r="I396" s="15">
        <f>IF(OR(I395="",I381=""),"",IF(I381&lt;=0,"",IFERROR(I395/I381,"")))</f>
        <v/>
      </c>
    </row>
    <row r="397">
      <c r="A397" s="43" t="inlineStr">
        <is>
          <t>YoY</t>
        </is>
      </c>
      <c r="B397" s="3" t="inlineStr">
        <is>
          <t>전년 같은 분기·전년 대비</t>
        </is>
      </c>
      <c r="I397" s="15">
        <f>IF(OR(I395="",E395=""),"",IF(E395&lt;=0,"",IFERROR(I395/E395-1,"")))</f>
        <v/>
      </c>
    </row>
    <row r="398">
      <c r="A398" s="18" t="inlineStr">
        <is>
          <t>유럽 · 부문 이익(손실)</t>
        </is>
      </c>
      <c r="E398" s="20" t="n">
        <v>-116</v>
      </c>
      <c r="I398" s="20" t="n">
        <v>56</v>
      </c>
    </row>
    <row r="399">
      <c r="A399" s="43" t="inlineStr">
        <is>
          <t>OPM</t>
        </is>
      </c>
      <c r="B399" s="3" t="inlineStr">
        <is>
          <t>영업이익 ÷ 매출</t>
        </is>
      </c>
      <c r="E399" s="15">
        <f>IF(OR(E398="",E383=""),"",IF(E383&lt;=0,"",IFERROR(E398/E383,"")))</f>
        <v/>
      </c>
      <c r="I399" s="15">
        <f>IF(OR(I398="",I383=""),"",IF(I383&lt;=0,"",IFERROR(I398/I383,"")))</f>
        <v/>
      </c>
    </row>
    <row r="400">
      <c r="A400" s="43" t="inlineStr">
        <is>
          <t>YoY</t>
        </is>
      </c>
      <c r="B400" s="3" t="inlineStr">
        <is>
          <t>전년 같은 분기·전년 대비</t>
        </is>
      </c>
      <c r="I400" s="15">
        <f>IF(OR(I398="",E398=""),"",IF(E398&lt;=0,"",IFERROR(I398/E398-1,"")))</f>
        <v/>
      </c>
    </row>
    <row r="401">
      <c r="A401" s="18" t="inlineStr">
        <is>
          <t>중국 · 부문 이익(손실)</t>
        </is>
      </c>
      <c r="E401" s="20" t="n">
        <v>372</v>
      </c>
      <c r="I401" s="20" t="n">
        <v>-1509</v>
      </c>
    </row>
    <row r="402">
      <c r="A402" s="43" t="inlineStr">
        <is>
          <t>OPM</t>
        </is>
      </c>
      <c r="B402" s="3" t="inlineStr">
        <is>
          <t>영업이익 ÷ 매출</t>
        </is>
      </c>
      <c r="E402" s="15">
        <f>IF(OR(E401="",E385=""),"",IF(E385&lt;=0,"",IFERROR(E401/E385,"")))</f>
        <v/>
      </c>
      <c r="I402" s="15">
        <f>IF(OR(I401="",I385=""),"",IF(I385&lt;=0,"",IFERROR(I401/I385,"")))</f>
        <v/>
      </c>
    </row>
    <row r="403">
      <c r="A403" s="43" t="inlineStr">
        <is>
          <t>YoY</t>
        </is>
      </c>
      <c r="B403" s="3" t="inlineStr">
        <is>
          <t>전년 같은 분기·전년 대비</t>
        </is>
      </c>
      <c r="I403" s="15">
        <f>IF(OR(I401="",E401=""),"",IF(E401&lt;=0,"",IFERROR(I401/E401-1,"")))</f>
        <v/>
      </c>
    </row>
    <row r="404">
      <c r="A404" s="18" t="inlineStr">
        <is>
          <t>부문 · 부문 이익(손실)</t>
        </is>
      </c>
      <c r="D404" s="20" t="n">
        <v>6939</v>
      </c>
      <c r="E404" s="20" t="n">
        <v>5639</v>
      </c>
      <c r="H404" s="20" t="n">
        <v>1383</v>
      </c>
      <c r="I404" s="20" t="n">
        <v>2817</v>
      </c>
      <c r="V404" s="20" t="n">
        <v>6939</v>
      </c>
      <c r="W404" s="20" t="n">
        <v>1383</v>
      </c>
    </row>
    <row r="405">
      <c r="A405" s="43" t="inlineStr">
        <is>
          <t>OPM</t>
        </is>
      </c>
      <c r="B405" s="3" t="inlineStr">
        <is>
          <t>영업이익 ÷ 매출</t>
        </is>
      </c>
      <c r="D405" s="15">
        <f>IF(OR(D404="",D387=""),"",IF(D387&lt;=0,"",IFERROR(D404/D387,"")))</f>
        <v/>
      </c>
      <c r="E405" s="15">
        <f>IF(OR(E404="",E387=""),"",IF(E387&lt;=0,"",IFERROR(E404/E387,"")))</f>
        <v/>
      </c>
      <c r="H405" s="15">
        <f>IF(OR(H404="",H387=""),"",IF(H387&lt;=0,"",IFERROR(H404/H387,"")))</f>
        <v/>
      </c>
      <c r="I405" s="15">
        <f>IF(OR(I404="",I387=""),"",IF(I387&lt;=0,"",IFERROR(I404/I387,"")))</f>
        <v/>
      </c>
      <c r="V405" s="15">
        <f>IF(OR(V404="",V387=""),"",IF(V387&lt;=0,"",IFERROR(V404/V387,"")))</f>
        <v/>
      </c>
      <c r="W405" s="15">
        <f>IF(OR(W404="",W387=""),"",IF(W387&lt;=0,"",IFERROR(W404/W387,"")))</f>
        <v/>
      </c>
    </row>
    <row r="406">
      <c r="A406" s="43" t="inlineStr">
        <is>
          <t>YoY</t>
        </is>
      </c>
      <c r="B406" s="3" t="inlineStr">
        <is>
          <t>전년 같은 분기·전년 대비</t>
        </is>
      </c>
      <c r="H406" s="15">
        <f>IF(OR(H404="",D404=""),"",IF(D404&lt;=0,"",IFERROR(H404/D404-1,"")))</f>
        <v/>
      </c>
      <c r="I406" s="15">
        <f>IF(OR(I404="",E404=""),"",IF(E404&lt;=0,"",IFERROR(I404/E404-1,"")))</f>
        <v/>
      </c>
      <c r="V406" s="15">
        <f>IF(OR(V404="",U404=""),"",IF(U404&lt;=0,"",IFERROR(V404/U404-1,"")))</f>
        <v/>
      </c>
      <c r="W406" s="15">
        <f>IF(OR(W404="",V404=""),"",IF(V404&lt;=0,"",IFERROR(W404/V404-1,"")))</f>
        <v/>
      </c>
    </row>
    <row r="407">
      <c r="A407" s="18" t="inlineStr">
        <is>
          <t>부문 · 고객과의 계약에서 생기는 수익</t>
        </is>
      </c>
      <c r="D407" s="20" t="n">
        <v>10419</v>
      </c>
      <c r="E407" s="20" t="n">
        <v>10783</v>
      </c>
      <c r="H407" s="20" t="n">
        <v>15950</v>
      </c>
      <c r="I407" s="20" t="n">
        <v>15101</v>
      </c>
      <c r="V407" s="20" t="n">
        <v>10419</v>
      </c>
      <c r="W407" s="20" t="n">
        <v>15950</v>
      </c>
    </row>
    <row r="408">
      <c r="A408" s="43" t="inlineStr">
        <is>
          <t>YoY</t>
        </is>
      </c>
      <c r="B408" s="3" t="inlineStr">
        <is>
          <t>전년 같은 분기·전년 대비</t>
        </is>
      </c>
      <c r="H408" s="15">
        <f>IF(OR(H407="",D407=""),"",IF(D407&lt;=0,"",IFERROR(H407/D407-1,"")))</f>
        <v/>
      </c>
      <c r="I408" s="15">
        <f>IF(OR(I407="",E407=""),"",IF(E407&lt;=0,"",IFERROR(I407/E407-1,"")))</f>
        <v/>
      </c>
      <c r="V408" s="15">
        <f>IF(OR(V407="",U407=""),"",IF(U407&lt;=0,"",IFERROR(V407/U407-1,"")))</f>
        <v/>
      </c>
      <c r="W408" s="15">
        <f>IF(OR(W407="",V407=""),"",IF(V407&lt;=0,"",IFERROR(W407/V407-1,"")))</f>
        <v/>
      </c>
    </row>
    <row r="410">
      <c r="A410" s="16" t="inlineStr">
        <is>
          <t>현금흐름표 · 전 항목</t>
        </is>
      </c>
      <c r="B410" s="42" t="inlineStr">
        <is>
          <t>분기 = 결산기 첫날부터 누계(공시 그대로)</t>
        </is>
      </c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</row>
    <row r="411">
      <c r="A411" s="5" t="inlineStr">
        <is>
          <t>항목</t>
        </is>
      </c>
      <c r="B411" s="5" t="inlineStr">
        <is>
          <t>참고</t>
        </is>
      </c>
      <c r="C411" s="5" t="inlineStr">
        <is>
          <t>2024.3Q</t>
        </is>
      </c>
      <c r="D411" s="5" t="inlineStr">
        <is>
          <t>2024.4Q</t>
        </is>
      </c>
      <c r="E411" s="5" t="inlineStr">
        <is>
          <t>2025.1Q</t>
        </is>
      </c>
      <c r="F411" s="5" t="inlineStr">
        <is>
          <t>2025.2Q</t>
        </is>
      </c>
      <c r="G411" s="5" t="inlineStr">
        <is>
          <t>2025.3Q</t>
        </is>
      </c>
      <c r="H411" s="5" t="inlineStr">
        <is>
          <t>2025.4Q</t>
        </is>
      </c>
      <c r="I411" s="5" t="inlineStr">
        <is>
          <t>2026.1Q</t>
        </is>
      </c>
      <c r="J411" s="5" t="inlineStr">
        <is>
          <t>2026.2Q</t>
        </is>
      </c>
      <c r="K411" s="5" t="inlineStr">
        <is>
          <t>2026.3Q</t>
        </is>
      </c>
      <c r="L411" s="5" t="inlineStr">
        <is>
          <t>2026.4Q</t>
        </is>
      </c>
      <c r="M411" s="5" t="inlineStr">
        <is>
          <t>2027.1Q</t>
        </is>
      </c>
      <c r="N411" s="5" t="inlineStr">
        <is>
          <t>2027.2Q</t>
        </is>
      </c>
      <c r="O411" s="5" t="inlineStr">
        <is>
          <t>2017</t>
        </is>
      </c>
      <c r="P411" s="5" t="inlineStr">
        <is>
          <t>2018</t>
        </is>
      </c>
      <c r="Q411" s="5" t="inlineStr">
        <is>
          <t>2019</t>
        </is>
      </c>
      <c r="R411" s="5" t="inlineStr">
        <is>
          <t>2020</t>
        </is>
      </c>
      <c r="S411" s="5" t="inlineStr">
        <is>
          <t>2021</t>
        </is>
      </c>
      <c r="T411" s="5" t="inlineStr">
        <is>
          <t>2022</t>
        </is>
      </c>
      <c r="U411" s="5" t="inlineStr">
        <is>
          <t>2023</t>
        </is>
      </c>
      <c r="V411" s="5" t="inlineStr">
        <is>
          <t>2024</t>
        </is>
      </c>
      <c r="W411" s="5" t="inlineStr">
        <is>
          <t>2025</t>
        </is>
      </c>
      <c r="X411" s="5" t="inlineStr">
        <is>
          <t>2026</t>
        </is>
      </c>
      <c r="Y411" s="5" t="inlineStr">
        <is>
          <t>2027(MW)</t>
        </is>
      </c>
      <c r="Z411" s="5" t="inlineStr">
        <is>
          <t>2028(MW)</t>
        </is>
      </c>
      <c r="AA411" s="5" t="inlineStr">
        <is>
          <t>2029(MW)</t>
        </is>
      </c>
      <c r="AB411" s="5" t="inlineStr">
        <is>
          <t>2030(MW)</t>
        </is>
      </c>
      <c r="AC411" s="5" t="inlineStr">
        <is>
          <t>2031(MW)</t>
        </is>
      </c>
    </row>
    <row r="412">
      <c r="A412" s="9" t="inlineStr">
        <is>
          <t>법인세차감전 순이익</t>
        </is>
      </c>
      <c r="D412" s="12" t="n">
        <v>54206</v>
      </c>
      <c r="F412" s="12" t="n">
        <v>26445</v>
      </c>
      <c r="H412" s="12" t="n">
        <v>24331</v>
      </c>
      <c r="J412" s="12" t="n">
        <v>14385</v>
      </c>
      <c r="L412" s="12" t="n">
        <v>58661</v>
      </c>
      <c r="N412" s="12" t="n">
        <v>30820</v>
      </c>
      <c r="O412" s="12" t="n">
        <v>47547</v>
      </c>
      <c r="P412" s="12" t="n">
        <v>54254</v>
      </c>
      <c r="Q412" s="12" t="n">
        <v>45335</v>
      </c>
      <c r="R412" s="12" t="n">
        <v>33700</v>
      </c>
      <c r="S412" s="12" t="n">
        <v>38746</v>
      </c>
      <c r="T412" s="12" t="n">
        <v>57867</v>
      </c>
      <c r="U412" s="12" t="n">
        <v>59975</v>
      </c>
      <c r="V412" s="12" t="n">
        <v>54206</v>
      </c>
      <c r="W412" s="12" t="n">
        <v>24331</v>
      </c>
      <c r="X412" s="12" t="n">
        <v>58661</v>
      </c>
    </row>
    <row r="413">
      <c r="A413" s="18" t="inlineStr">
        <is>
          <t>감가상각비</t>
        </is>
      </c>
      <c r="D413" s="20" t="n">
        <v>34136</v>
      </c>
      <c r="F413" s="20" t="n">
        <v>18064</v>
      </c>
      <c r="H413" s="20" t="n">
        <v>35018</v>
      </c>
      <c r="J413" s="20" t="n">
        <v>16953</v>
      </c>
      <c r="L413" s="20" t="n">
        <v>34360</v>
      </c>
      <c r="N413" s="20" t="n">
        <v>17708</v>
      </c>
      <c r="O413" s="20" t="n">
        <v>18994</v>
      </c>
      <c r="P413" s="20" t="n">
        <v>21357</v>
      </c>
      <c r="Q413" s="20" t="n">
        <v>23347</v>
      </c>
      <c r="R413" s="20" t="n">
        <v>25343</v>
      </c>
      <c r="S413" s="20" t="n">
        <v>25231</v>
      </c>
      <c r="T413" s="20" t="n">
        <v>26939</v>
      </c>
      <c r="U413" s="20" t="n">
        <v>31412</v>
      </c>
      <c r="V413" s="20" t="n">
        <v>34136</v>
      </c>
      <c r="W413" s="20" t="n">
        <v>35018</v>
      </c>
      <c r="X413" s="20" t="n">
        <v>34360</v>
      </c>
    </row>
    <row r="414">
      <c r="A414" s="18" t="inlineStr">
        <is>
          <t>대손충당금 증감</t>
        </is>
      </c>
      <c r="D414" s="20" t="n">
        <v>114</v>
      </c>
      <c r="F414" s="20" t="n">
        <v>-122</v>
      </c>
      <c r="H414" s="20" t="n">
        <v>81</v>
      </c>
      <c r="J414" s="20" t="n">
        <v>-14</v>
      </c>
      <c r="L414" s="20" t="n">
        <v>-28</v>
      </c>
      <c r="N414" s="20" t="n">
        <v>-12</v>
      </c>
      <c r="O414" s="20" t="n">
        <v>-79</v>
      </c>
      <c r="P414" s="20" t="n">
        <v>-30</v>
      </c>
      <c r="Q414" s="20" t="n">
        <v>-6</v>
      </c>
      <c r="R414" s="20" t="n">
        <v>-43</v>
      </c>
      <c r="S414" s="20" t="n">
        <v>44</v>
      </c>
      <c r="T414" s="20" t="n">
        <v>-45</v>
      </c>
      <c r="U414" s="20" t="n">
        <v>-34</v>
      </c>
      <c r="V414" s="20" t="n">
        <v>114</v>
      </c>
      <c r="W414" s="20" t="n">
        <v>81</v>
      </c>
      <c r="X414" s="20" t="n">
        <v>-28</v>
      </c>
    </row>
    <row r="415">
      <c r="A415" s="18" t="inlineStr">
        <is>
          <t>임원 상여충당금 증감</t>
        </is>
      </c>
      <c r="D415" s="20" t="n">
        <v>-41</v>
      </c>
      <c r="F415" s="20" t="n">
        <v>-159</v>
      </c>
      <c r="H415" s="20" t="n">
        <v>-16</v>
      </c>
      <c r="J415" s="20" t="n">
        <v>-120</v>
      </c>
      <c r="L415" s="20" t="n">
        <v>78</v>
      </c>
      <c r="N415" s="20" t="n">
        <v>-199</v>
      </c>
      <c r="O415" s="20" t="n">
        <v>12</v>
      </c>
      <c r="P415" s="20" t="n">
        <v>96</v>
      </c>
      <c r="Q415" s="20" t="n">
        <v>-136</v>
      </c>
      <c r="R415" s="20" t="n">
        <v>-14</v>
      </c>
      <c r="S415" s="20" t="n">
        <v>21</v>
      </c>
      <c r="T415" s="20" t="n">
        <v>104</v>
      </c>
      <c r="U415" s="20" t="n">
        <v>-17</v>
      </c>
      <c r="V415" s="20" t="n">
        <v>-41</v>
      </c>
      <c r="W415" s="20" t="n">
        <v>-16</v>
      </c>
      <c r="X415" s="20" t="n">
        <v>78</v>
      </c>
    </row>
    <row r="416">
      <c r="A416" s="18" t="inlineStr">
        <is>
          <t>Increase Decrease In Accrual For Loss On Inspection And Repair Of Products</t>
        </is>
      </c>
      <c r="D416" s="20" t="n">
        <v>-399</v>
      </c>
      <c r="H416" s="20" t="n">
        <v>156</v>
      </c>
      <c r="O416" s="20" t="n">
        <v>-34</v>
      </c>
      <c r="P416" s="20" t="n">
        <v>-105</v>
      </c>
      <c r="Q416" s="20" t="n">
        <v>-27</v>
      </c>
      <c r="R416" s="20" t="n">
        <v>-7</v>
      </c>
      <c r="S416" s="20" t="n">
        <v>-0</v>
      </c>
      <c r="T416" s="20" t="n">
        <v>174</v>
      </c>
      <c r="U416" s="20" t="n">
        <v>555</v>
      </c>
      <c r="V416" s="20" t="n">
        <v>-399</v>
      </c>
      <c r="W416" s="20" t="n">
        <v>156</v>
      </c>
    </row>
    <row r="417">
      <c r="A417" s="18" t="inlineStr">
        <is>
          <t>Increase Decrease In Accrual For Loss On Inspection And Repair Of Products Ope CF</t>
        </is>
      </c>
      <c r="F417" s="20" t="n">
        <v>-69</v>
      </c>
      <c r="H417" s="20" t="n">
        <v>156</v>
      </c>
      <c r="J417" s="20" t="n">
        <v>-139</v>
      </c>
      <c r="L417" s="20" t="n">
        <v>-236</v>
      </c>
      <c r="N417" s="20" t="n">
        <v>-145</v>
      </c>
      <c r="W417" s="20" t="n">
        <v>156</v>
      </c>
      <c r="X417" s="20" t="n">
        <v>-236</v>
      </c>
    </row>
    <row r="418">
      <c r="A418" s="18" t="inlineStr">
        <is>
          <t>Increase Decrease In Provision For Loss On Business Restructuring Ope CF</t>
        </is>
      </c>
      <c r="D418" s="20" t="n">
        <v>-875</v>
      </c>
      <c r="F418" s="20" t="n">
        <v>-160</v>
      </c>
      <c r="H418" s="20" t="n">
        <v>-300</v>
      </c>
      <c r="J418" s="20" t="n">
        <v>-250</v>
      </c>
      <c r="L418" s="20" t="n">
        <v>-250</v>
      </c>
      <c r="N418" s="20" t="n">
        <v>0</v>
      </c>
      <c r="O418" s="20" t="n">
        <v>682</v>
      </c>
      <c r="P418" s="20" t="n">
        <v>-839</v>
      </c>
      <c r="Q418" s="20" t="n">
        <v>-288</v>
      </c>
      <c r="R418" s="20" t="n">
        <v>-87</v>
      </c>
      <c r="S418" s="20" t="n">
        <v>-80</v>
      </c>
      <c r="T418" s="20" t="n">
        <v>-17</v>
      </c>
      <c r="U418" s="20" t="n">
        <v>-3</v>
      </c>
      <c r="V418" s="20" t="n">
        <v>-875</v>
      </c>
      <c r="W418" s="20" t="n">
        <v>-300</v>
      </c>
      <c r="X418" s="20" t="n">
        <v>-250</v>
      </c>
    </row>
    <row r="419">
      <c r="A419" s="18" t="inlineStr">
        <is>
          <t>환경대책 충당금 증감</t>
        </is>
      </c>
      <c r="O419" s="20" t="n">
        <v>-57</v>
      </c>
      <c r="P419" s="20" t="n">
        <v>0</v>
      </c>
    </row>
    <row r="420">
      <c r="A420" s="18" t="inlineStr">
        <is>
          <t>퇴직급여부채 증감</t>
        </is>
      </c>
      <c r="D420" s="20" t="n">
        <v>-1739</v>
      </c>
      <c r="F420" s="20" t="n">
        <v>-1173</v>
      </c>
      <c r="H420" s="20" t="n">
        <v>-518</v>
      </c>
      <c r="J420" s="20" t="n">
        <v>-195</v>
      </c>
      <c r="L420" s="20" t="n">
        <v>-742</v>
      </c>
      <c r="N420" s="20" t="n">
        <v>178</v>
      </c>
      <c r="O420" s="20" t="n">
        <v>-2321</v>
      </c>
      <c r="P420" s="20" t="n">
        <v>-13124</v>
      </c>
      <c r="Q420" s="20" t="n">
        <v>-8755</v>
      </c>
      <c r="R420" s="20" t="n">
        <v>-3669</v>
      </c>
      <c r="S420" s="20" t="n">
        <v>4295</v>
      </c>
      <c r="T420" s="20" t="n">
        <v>-2090</v>
      </c>
      <c r="U420" s="20" t="n">
        <v>-5667</v>
      </c>
      <c r="V420" s="20" t="n">
        <v>-1739</v>
      </c>
      <c r="W420" s="20" t="n">
        <v>-518</v>
      </c>
      <c r="X420" s="20" t="n">
        <v>-742</v>
      </c>
    </row>
    <row r="421">
      <c r="A421" s="18" t="inlineStr">
        <is>
          <t>이자·배당금 수익</t>
        </is>
      </c>
      <c r="D421" s="20" t="n">
        <v>-3334</v>
      </c>
      <c r="F421" s="20" t="n">
        <v>-1881</v>
      </c>
      <c r="H421" s="20" t="n">
        <v>-3153</v>
      </c>
      <c r="J421" s="20" t="n">
        <v>-1632</v>
      </c>
      <c r="L421" s="20" t="n">
        <v>-2863</v>
      </c>
      <c r="N421" s="20" t="n">
        <v>-1400</v>
      </c>
      <c r="O421" s="20" t="n">
        <v>-2638</v>
      </c>
      <c r="P421" s="20" t="n">
        <v>-3298</v>
      </c>
      <c r="Q421" s="20" t="n">
        <v>-3267</v>
      </c>
      <c r="R421" s="20" t="n">
        <v>-2736</v>
      </c>
      <c r="S421" s="20" t="n">
        <v>-2338</v>
      </c>
      <c r="T421" s="20" t="n">
        <v>-2483</v>
      </c>
      <c r="U421" s="20" t="n">
        <v>-3323</v>
      </c>
      <c r="V421" s="20" t="n">
        <v>-3334</v>
      </c>
      <c r="W421" s="20" t="n">
        <v>-3153</v>
      </c>
      <c r="X421" s="20" t="n">
        <v>-2863</v>
      </c>
    </row>
    <row r="422">
      <c r="A422" s="18" t="inlineStr">
        <is>
          <t>이자비용</t>
        </is>
      </c>
      <c r="D422" s="20" t="n">
        <v>237</v>
      </c>
      <c r="F422" s="20" t="n">
        <v>119</v>
      </c>
      <c r="H422" s="20" t="n">
        <v>318</v>
      </c>
      <c r="J422" s="20" t="n">
        <v>309</v>
      </c>
      <c r="L422" s="20" t="n">
        <v>736</v>
      </c>
      <c r="N422" s="20" t="n">
        <v>543</v>
      </c>
      <c r="O422" s="20" t="n">
        <v>76</v>
      </c>
      <c r="P422" s="20" t="n">
        <v>75</v>
      </c>
      <c r="Q422" s="20" t="n">
        <v>50</v>
      </c>
      <c r="R422" s="20" t="n">
        <v>113</v>
      </c>
      <c r="S422" s="20" t="n">
        <v>165</v>
      </c>
      <c r="T422" s="20" t="n">
        <v>118</v>
      </c>
      <c r="U422" s="20" t="n">
        <v>76</v>
      </c>
      <c r="V422" s="20" t="n">
        <v>237</v>
      </c>
      <c r="W422" s="20" t="n">
        <v>318</v>
      </c>
      <c r="X422" s="20" t="n">
        <v>736</v>
      </c>
    </row>
    <row r="423">
      <c r="A423" s="18" t="inlineStr">
        <is>
          <t>고정자산 제각손실</t>
        </is>
      </c>
      <c r="D423" s="20" t="n">
        <v>982</v>
      </c>
      <c r="F423" s="20" t="n">
        <v>550</v>
      </c>
      <c r="H423" s="20" t="n">
        <v>818</v>
      </c>
      <c r="J423" s="20" t="n">
        <v>283</v>
      </c>
      <c r="L423" s="20" t="n">
        <v>842</v>
      </c>
      <c r="N423" s="20" t="n">
        <v>456</v>
      </c>
      <c r="O423" s="20" t="n">
        <v>1271</v>
      </c>
      <c r="P423" s="20" t="n">
        <v>668</v>
      </c>
      <c r="Q423" s="20" t="n">
        <v>729</v>
      </c>
      <c r="R423" s="20" t="n">
        <v>850</v>
      </c>
      <c r="S423" s="20" t="n">
        <v>901</v>
      </c>
      <c r="T423" s="20" t="n">
        <v>892</v>
      </c>
      <c r="U423" s="20" t="n">
        <v>591</v>
      </c>
      <c r="V423" s="20" t="n">
        <v>982</v>
      </c>
      <c r="W423" s="20" t="n">
        <v>818</v>
      </c>
      <c r="X423" s="20" t="n">
        <v>842</v>
      </c>
    </row>
    <row r="424">
      <c r="A424" s="18" t="inlineStr">
        <is>
          <t>투자유가증권 매각손익</t>
        </is>
      </c>
      <c r="D424" s="20" t="n">
        <v>-2687</v>
      </c>
      <c r="F424" s="20" t="n">
        <v>-3774</v>
      </c>
      <c r="H424" s="20" t="n">
        <v>-8054</v>
      </c>
      <c r="J424" s="20" t="n">
        <v>-4530</v>
      </c>
      <c r="L424" s="20" t="n">
        <v>-14674</v>
      </c>
      <c r="N424" s="20" t="n">
        <v>-5993</v>
      </c>
      <c r="O424" s="20" t="n">
        <v>-170</v>
      </c>
      <c r="P424" s="20" t="n">
        <v>-139</v>
      </c>
      <c r="Q424" s="20" t="n">
        <v>-2068</v>
      </c>
      <c r="R424" s="20" t="n">
        <v>-650</v>
      </c>
      <c r="S424" s="20" t="n">
        <v>-91</v>
      </c>
      <c r="T424" s="20" t="n">
        <v>-1813</v>
      </c>
      <c r="U424" s="20" t="n">
        <v>-48</v>
      </c>
      <c r="V424" s="20" t="n">
        <v>-2687</v>
      </c>
      <c r="W424" s="20" t="n">
        <v>-8054</v>
      </c>
      <c r="X424" s="20" t="n">
        <v>-14674</v>
      </c>
    </row>
    <row r="425">
      <c r="A425" s="18" t="inlineStr">
        <is>
          <t>Loss Gain On Sales Of Land Ope CF</t>
        </is>
      </c>
      <c r="D425" s="20" t="n">
        <v>14</v>
      </c>
      <c r="F425" s="20" t="n">
        <v>0</v>
      </c>
      <c r="H425" s="20" t="n">
        <v>0</v>
      </c>
      <c r="O425" s="20" t="n">
        <v>-278</v>
      </c>
      <c r="P425" s="20" t="n">
        <v>-46</v>
      </c>
      <c r="Q425" s="20" t="n">
        <v>-477</v>
      </c>
      <c r="R425" s="20" t="n">
        <v>109</v>
      </c>
      <c r="S425" s="20" t="n">
        <v>4</v>
      </c>
      <c r="T425" s="20" t="n">
        <v>-34</v>
      </c>
      <c r="U425" s="20" t="n">
        <v>-312</v>
      </c>
      <c r="V425" s="20" t="n">
        <v>14</v>
      </c>
      <c r="W425" s="20" t="n">
        <v>0</v>
      </c>
    </row>
    <row r="426">
      <c r="A426" s="18" t="inlineStr">
        <is>
          <t>Loss Gain On Sales Of Membership Ope CF</t>
        </is>
      </c>
      <c r="D426" s="20" t="n">
        <v>0</v>
      </c>
      <c r="O426" s="20" t="n">
        <v>-9</v>
      </c>
      <c r="P426" s="20" t="n">
        <v>-3</v>
      </c>
      <c r="Q426" s="20" t="n">
        <v>0</v>
      </c>
      <c r="R426" s="20" t="n">
        <v>0</v>
      </c>
      <c r="S426" s="20" t="n">
        <v>0</v>
      </c>
      <c r="T426" s="20" t="n">
        <v>-50</v>
      </c>
      <c r="U426" s="20" t="n">
        <v>2</v>
      </c>
      <c r="V426" s="20" t="n">
        <v>0</v>
      </c>
    </row>
    <row r="427">
      <c r="A427" s="18" t="inlineStr">
        <is>
          <t>보상금 수취</t>
        </is>
      </c>
      <c r="D427" s="20" t="n">
        <v>0</v>
      </c>
      <c r="O427" s="20" t="n">
        <v>-273</v>
      </c>
      <c r="P427" s="20" t="n">
        <v>0</v>
      </c>
      <c r="Q427" s="20" t="n">
        <v>0</v>
      </c>
      <c r="R427" s="20" t="n">
        <v>-5377</v>
      </c>
      <c r="S427" s="20" t="n">
        <v>0</v>
      </c>
      <c r="T427" s="20" t="n">
        <v>0</v>
      </c>
      <c r="U427" s="20" t="n">
        <v>-8979</v>
      </c>
      <c r="V427" s="20" t="n">
        <v>0</v>
      </c>
    </row>
    <row r="428">
      <c r="A428" s="18" t="inlineStr">
        <is>
          <t>지분변동손익</t>
        </is>
      </c>
      <c r="Q428" s="20" t="n">
        <v>0</v>
      </c>
      <c r="R428" s="20" t="n">
        <v>-265</v>
      </c>
      <c r="S428" s="20" t="n">
        <v>0</v>
      </c>
    </row>
    <row r="429">
      <c r="A429" s="18" t="inlineStr">
        <is>
          <t>유가증권 평가손익(△는 이익)</t>
        </is>
      </c>
      <c r="D429" s="20" t="n">
        <v>0</v>
      </c>
      <c r="F429" s="20" t="n">
        <v>0</v>
      </c>
      <c r="H429" s="20" t="n">
        <v>0</v>
      </c>
      <c r="J429" s="20" t="n">
        <v>1</v>
      </c>
      <c r="O429" s="20" t="n">
        <v>56</v>
      </c>
      <c r="P429" s="20" t="n">
        <v>0</v>
      </c>
      <c r="Q429" s="20" t="n">
        <v>0</v>
      </c>
      <c r="R429" s="20" t="n">
        <v>0</v>
      </c>
      <c r="S429" s="20" t="n">
        <v>117</v>
      </c>
      <c r="V429" s="20" t="n">
        <v>0</v>
      </c>
      <c r="W429" s="20" t="n">
        <v>0</v>
      </c>
    </row>
    <row r="430">
      <c r="A430" s="18" t="inlineStr">
        <is>
          <t>회원권 평가손실</t>
        </is>
      </c>
      <c r="O430" s="20" t="n">
        <v>6</v>
      </c>
      <c r="P430" s="20" t="n">
        <v>0</v>
      </c>
      <c r="Q430" s="20" t="n">
        <v>0</v>
      </c>
      <c r="R430" s="20" t="n">
        <v>1</v>
      </c>
      <c r="S430" s="20" t="n">
        <v>0</v>
      </c>
    </row>
    <row r="431">
      <c r="A431" s="18" t="inlineStr">
        <is>
          <t>고정자산 매각손익</t>
        </is>
      </c>
      <c r="H431" s="20" t="n">
        <v>0</v>
      </c>
      <c r="J431" s="20" t="n">
        <v>0</v>
      </c>
      <c r="L431" s="20" t="n">
        <v>-84</v>
      </c>
      <c r="N431" s="20" t="n">
        <v>-27</v>
      </c>
      <c r="W431" s="20" t="n">
        <v>0</v>
      </c>
      <c r="X431" s="20" t="n">
        <v>-84</v>
      </c>
    </row>
    <row r="432">
      <c r="A432" s="18" t="inlineStr">
        <is>
          <t>투자유가증권 평가손익</t>
        </is>
      </c>
      <c r="H432" s="20" t="n">
        <v>0</v>
      </c>
      <c r="J432" s="20" t="n">
        <v>1</v>
      </c>
      <c r="L432" s="20" t="n">
        <v>26</v>
      </c>
      <c r="N432" s="20" t="n">
        <v>13</v>
      </c>
      <c r="S432" s="20" t="n">
        <v>117</v>
      </c>
      <c r="T432" s="20" t="n">
        <v>232</v>
      </c>
      <c r="U432" s="20" t="n">
        <v>0</v>
      </c>
      <c r="W432" s="20" t="n">
        <v>0</v>
      </c>
      <c r="X432" s="20" t="n">
        <v>26</v>
      </c>
    </row>
    <row r="433">
      <c r="A433" s="18" t="inlineStr">
        <is>
          <t>손상차손</t>
        </is>
      </c>
      <c r="D433" s="20" t="n">
        <v>0</v>
      </c>
      <c r="H433" s="20" t="n">
        <v>34092</v>
      </c>
      <c r="L433" s="20" t="n">
        <v>1583</v>
      </c>
      <c r="O433" s="20" t="n">
        <v>222</v>
      </c>
      <c r="P433" s="20" t="n">
        <v>152</v>
      </c>
      <c r="Q433" s="20" t="n">
        <v>35</v>
      </c>
      <c r="R433" s="20" t="n">
        <v>510</v>
      </c>
      <c r="S433" s="20" t="n">
        <v>0</v>
      </c>
      <c r="V433" s="20" t="n">
        <v>0</v>
      </c>
      <c r="W433" s="20" t="n">
        <v>34092</v>
      </c>
      <c r="X433" s="20" t="n">
        <v>1583</v>
      </c>
    </row>
    <row r="434">
      <c r="A434" s="18" t="inlineStr">
        <is>
          <t>Restructuring Expenses Ope CF</t>
        </is>
      </c>
      <c r="D434" s="20" t="n">
        <v>0</v>
      </c>
      <c r="F434" s="20" t="n">
        <v>0</v>
      </c>
      <c r="H434" s="20" t="n">
        <v>0</v>
      </c>
      <c r="J434" s="20" t="n">
        <v>2974</v>
      </c>
      <c r="L434" s="20" t="n">
        <v>2974</v>
      </c>
      <c r="N434" s="20" t="n">
        <v>0</v>
      </c>
      <c r="Q434" s="20" t="n">
        <v>0</v>
      </c>
      <c r="R434" s="20" t="n">
        <v>8082</v>
      </c>
      <c r="S434" s="20" t="n">
        <v>0</v>
      </c>
      <c r="T434" s="20" t="n">
        <v>669</v>
      </c>
      <c r="U434" s="20" t="n">
        <v>1787</v>
      </c>
      <c r="V434" s="20" t="n">
        <v>0</v>
      </c>
      <c r="W434" s="20" t="n">
        <v>0</v>
      </c>
      <c r="X434" s="20" t="n">
        <v>2974</v>
      </c>
    </row>
    <row r="435">
      <c r="A435" s="18" t="inlineStr">
        <is>
          <t>해외 자회사 청산 환산조정 환입손실</t>
        </is>
      </c>
      <c r="P435" s="20" t="n">
        <v>0</v>
      </c>
      <c r="Q435" s="20" t="n">
        <v>-293</v>
      </c>
      <c r="R435" s="20" t="n">
        <v>0</v>
      </c>
    </row>
    <row r="436">
      <c r="A436" s="18" t="inlineStr">
        <is>
          <t>코로나19 관련 손실</t>
        </is>
      </c>
      <c r="D436" s="20" t="n">
        <v>0</v>
      </c>
      <c r="R436" s="20" t="n">
        <v>0</v>
      </c>
      <c r="S436" s="20" t="n">
        <v>2259</v>
      </c>
      <c r="T436" s="20" t="n">
        <v>0</v>
      </c>
      <c r="U436" s="20" t="n">
        <v>2335</v>
      </c>
      <c r="V436" s="20" t="n">
        <v>0</v>
      </c>
    </row>
    <row r="437">
      <c r="A437" s="18" t="inlineStr">
        <is>
          <t>매출채권 증감</t>
        </is>
      </c>
      <c r="O437" s="20" t="n">
        <v>951</v>
      </c>
      <c r="P437" s="20" t="n">
        <v>651</v>
      </c>
      <c r="Q437" s="20" t="n">
        <v>-1867</v>
      </c>
      <c r="R437" s="20" t="n">
        <v>11039</v>
      </c>
      <c r="S437" s="20" t="n">
        <v>-5248</v>
      </c>
      <c r="T437" s="20" t="n">
        <v>-1092</v>
      </c>
      <c r="U437" s="20" t="n">
        <v>-1613</v>
      </c>
    </row>
    <row r="438">
      <c r="A438" s="18" t="inlineStr">
        <is>
          <t>매출채권·계약자산 증감</t>
        </is>
      </c>
      <c r="D438" s="20" t="n">
        <v>1694</v>
      </c>
      <c r="F438" s="20" t="n">
        <v>6842</v>
      </c>
      <c r="H438" s="20" t="n">
        <v>1359</v>
      </c>
      <c r="J438" s="20" t="n">
        <v>3561</v>
      </c>
      <c r="L438" s="20" t="n">
        <v>-460</v>
      </c>
      <c r="N438" s="20" t="n">
        <v>2708</v>
      </c>
      <c r="U438" s="20" t="n">
        <v>-1613</v>
      </c>
      <c r="V438" s="20" t="n">
        <v>1694</v>
      </c>
      <c r="W438" s="20" t="n">
        <v>1359</v>
      </c>
      <c r="X438" s="20" t="n">
        <v>-460</v>
      </c>
    </row>
    <row r="439">
      <c r="A439" s="18" t="inlineStr">
        <is>
          <t>재고자산 증감</t>
        </is>
      </c>
      <c r="D439" s="20" t="n">
        <v>16729</v>
      </c>
      <c r="F439" s="20" t="n">
        <v>489</v>
      </c>
      <c r="H439" s="20" t="n">
        <v>5205</v>
      </c>
      <c r="J439" s="20" t="n">
        <v>2675</v>
      </c>
      <c r="L439" s="20" t="n">
        <v>14167</v>
      </c>
      <c r="N439" s="20" t="n">
        <v>-9050</v>
      </c>
      <c r="O439" s="20" t="n">
        <v>427</v>
      </c>
      <c r="P439" s="20" t="n">
        <v>-4408</v>
      </c>
      <c r="Q439" s="20" t="n">
        <v>-16335</v>
      </c>
      <c r="R439" s="20" t="n">
        <v>-2954</v>
      </c>
      <c r="S439" s="20" t="n">
        <v>-422</v>
      </c>
      <c r="T439" s="20" t="n">
        <v>-21935</v>
      </c>
      <c r="U439" s="20" t="n">
        <v>-31092</v>
      </c>
      <c r="V439" s="20" t="n">
        <v>16729</v>
      </c>
      <c r="W439" s="20" t="n">
        <v>5205</v>
      </c>
      <c r="X439" s="20" t="n">
        <v>14167</v>
      </c>
    </row>
    <row r="440">
      <c r="A440" s="18" t="inlineStr">
        <is>
          <t>매입채무 증감</t>
        </is>
      </c>
      <c r="D440" s="20" t="n">
        <v>-10113</v>
      </c>
      <c r="F440" s="20" t="n">
        <v>365</v>
      </c>
      <c r="H440" s="20" t="n">
        <v>3294</v>
      </c>
      <c r="J440" s="20" t="n">
        <v>-3658</v>
      </c>
      <c r="L440" s="20" t="n">
        <v>-2694</v>
      </c>
      <c r="N440" s="20" t="n">
        <v>-8541</v>
      </c>
      <c r="O440" s="20" t="n">
        <v>1081</v>
      </c>
      <c r="P440" s="20" t="n">
        <v>2702</v>
      </c>
      <c r="Q440" s="20" t="n">
        <v>-13343</v>
      </c>
      <c r="R440" s="20" t="n">
        <v>286</v>
      </c>
      <c r="S440" s="20" t="n">
        <v>4678</v>
      </c>
      <c r="T440" s="20" t="n">
        <v>6029</v>
      </c>
      <c r="U440" s="20" t="n">
        <v>3200</v>
      </c>
      <c r="V440" s="20" t="n">
        <v>-10113</v>
      </c>
      <c r="W440" s="20" t="n">
        <v>3294</v>
      </c>
      <c r="X440" s="20" t="n">
        <v>-2694</v>
      </c>
    </row>
    <row r="441">
      <c r="A441" s="18" t="inlineStr">
        <is>
          <t>미지급금 증감</t>
        </is>
      </c>
      <c r="D441" s="20" t="n">
        <v>1467</v>
      </c>
      <c r="H441" s="20" t="n">
        <v>-4476</v>
      </c>
      <c r="L441" s="20" t="n">
        <v>2521</v>
      </c>
      <c r="O441" s="20" t="n">
        <v>-53</v>
      </c>
      <c r="P441" s="20" t="n">
        <v>-835</v>
      </c>
      <c r="Q441" s="20" t="n">
        <v>-764</v>
      </c>
      <c r="R441" s="20" t="n">
        <v>696</v>
      </c>
      <c r="S441" s="20" t="n">
        <v>-2214</v>
      </c>
      <c r="T441" s="20" t="n">
        <v>857</v>
      </c>
      <c r="U441" s="20" t="n">
        <v>-4750</v>
      </c>
      <c r="V441" s="20" t="n">
        <v>1467</v>
      </c>
      <c r="W441" s="20" t="n">
        <v>-4476</v>
      </c>
      <c r="X441" s="20" t="n">
        <v>2521</v>
      </c>
    </row>
    <row r="442">
      <c r="A442" s="18" t="inlineStr">
        <is>
          <t>미지급비용 증감</t>
        </is>
      </c>
      <c r="D442" s="20" t="n">
        <v>-1083</v>
      </c>
      <c r="H442" s="20" t="n">
        <v>-107</v>
      </c>
      <c r="L442" s="20" t="n">
        <v>1659</v>
      </c>
      <c r="O442" s="20" t="n">
        <v>2239</v>
      </c>
      <c r="P442" s="20" t="n">
        <v>1212</v>
      </c>
      <c r="Q442" s="20" t="n">
        <v>455</v>
      </c>
      <c r="R442" s="20" t="n">
        <v>-1422</v>
      </c>
      <c r="S442" s="20" t="n">
        <v>3565</v>
      </c>
      <c r="T442" s="20" t="n">
        <v>562</v>
      </c>
      <c r="U442" s="20" t="n">
        <v>2678</v>
      </c>
      <c r="V442" s="20" t="n">
        <v>-1083</v>
      </c>
      <c r="W442" s="20" t="n">
        <v>-107</v>
      </c>
      <c r="X442" s="20" t="n">
        <v>1659</v>
      </c>
    </row>
    <row r="443">
      <c r="A443" s="18" t="inlineStr">
        <is>
          <t>기타</t>
        </is>
      </c>
      <c r="D443" s="20" t="n">
        <v>-4682</v>
      </c>
      <c r="F443" s="20" t="n">
        <v>-3549</v>
      </c>
      <c r="H443" s="20" t="n">
        <v>-8919</v>
      </c>
      <c r="J443" s="20" t="n">
        <v>-2897</v>
      </c>
      <c r="L443" s="20" t="n">
        <v>-11673</v>
      </c>
      <c r="N443" s="20" t="n">
        <v>-12507</v>
      </c>
      <c r="O443" s="20" t="n">
        <v>2275</v>
      </c>
      <c r="P443" s="20" t="n">
        <v>-1576</v>
      </c>
      <c r="Q443" s="20" t="n">
        <v>-1083</v>
      </c>
      <c r="R443" s="20" t="n">
        <v>5512</v>
      </c>
      <c r="S443" s="20" t="n">
        <v>-8338</v>
      </c>
      <c r="T443" s="20" t="n">
        <v>-4586</v>
      </c>
      <c r="U443" s="20" t="n">
        <v>-3847</v>
      </c>
      <c r="V443" s="20" t="n">
        <v>-4682</v>
      </c>
      <c r="W443" s="20" t="n">
        <v>-8919</v>
      </c>
      <c r="X443" s="20" t="n">
        <v>-11673</v>
      </c>
    </row>
    <row r="444">
      <c r="A444" s="18" t="inlineStr">
        <is>
          <t>소계</t>
        </is>
      </c>
      <c r="D444" s="20" t="n">
        <v>84625</v>
      </c>
      <c r="F444" s="20" t="n">
        <v>41986</v>
      </c>
      <c r="H444" s="20" t="n">
        <v>79130</v>
      </c>
      <c r="J444" s="20" t="n">
        <v>27704</v>
      </c>
      <c r="L444" s="20" t="n">
        <v>83905</v>
      </c>
      <c r="N444" s="20" t="n">
        <v>14549</v>
      </c>
      <c r="O444" s="20" t="n">
        <v>69927</v>
      </c>
      <c r="P444" s="20" t="n">
        <v>56761</v>
      </c>
      <c r="Q444" s="20" t="n">
        <v>21237</v>
      </c>
      <c r="R444" s="20" t="n">
        <v>69019</v>
      </c>
      <c r="S444" s="20" t="n">
        <v>61294</v>
      </c>
      <c r="T444" s="20" t="n">
        <v>60299</v>
      </c>
      <c r="U444" s="20" t="n">
        <v>42923</v>
      </c>
      <c r="V444" s="20" t="n">
        <v>84625</v>
      </c>
      <c r="W444" s="20" t="n">
        <v>79130</v>
      </c>
      <c r="X444" s="20" t="n">
        <v>83905</v>
      </c>
    </row>
    <row r="445">
      <c r="A445" s="18" t="inlineStr">
        <is>
          <t>이자·배당금 수취</t>
        </is>
      </c>
      <c r="D445" s="20" t="n">
        <v>4291</v>
      </c>
      <c r="F445" s="20" t="n">
        <v>2406</v>
      </c>
      <c r="H445" s="20" t="n">
        <v>4165</v>
      </c>
      <c r="J445" s="20" t="n">
        <v>2245</v>
      </c>
      <c r="L445" s="20" t="n">
        <v>3844</v>
      </c>
      <c r="N445" s="20" t="n">
        <v>2075</v>
      </c>
      <c r="O445" s="20" t="n">
        <v>3127</v>
      </c>
      <c r="P445" s="20" t="n">
        <v>3669</v>
      </c>
      <c r="Q445" s="20" t="n">
        <v>3925</v>
      </c>
      <c r="R445" s="20" t="n">
        <v>3174</v>
      </c>
      <c r="S445" s="20" t="n">
        <v>2618</v>
      </c>
      <c r="T445" s="20" t="n">
        <v>3007</v>
      </c>
      <c r="U445" s="20" t="n">
        <v>4089</v>
      </c>
      <c r="V445" s="20" t="n">
        <v>4291</v>
      </c>
      <c r="W445" s="20" t="n">
        <v>4165</v>
      </c>
      <c r="X445" s="20" t="n">
        <v>3844</v>
      </c>
    </row>
    <row r="446">
      <c r="A446" s="18" t="inlineStr">
        <is>
          <t>이자 지급</t>
        </is>
      </c>
      <c r="D446" s="20" t="n">
        <v>-242</v>
      </c>
      <c r="F446" s="20" t="n">
        <v>-119</v>
      </c>
      <c r="H446" s="20" t="n">
        <v>-321</v>
      </c>
      <c r="J446" s="20" t="n">
        <v>-241</v>
      </c>
      <c r="L446" s="20" t="n">
        <v>-645</v>
      </c>
      <c r="N446" s="20" t="n">
        <v>-652</v>
      </c>
      <c r="O446" s="20" t="n">
        <v>-76</v>
      </c>
      <c r="P446" s="20" t="n">
        <v>-71</v>
      </c>
      <c r="Q446" s="20" t="n">
        <v>-45</v>
      </c>
      <c r="R446" s="20" t="n">
        <v>-114</v>
      </c>
      <c r="S446" s="20" t="n">
        <v>-172</v>
      </c>
      <c r="T446" s="20" t="n">
        <v>-118</v>
      </c>
      <c r="U446" s="20" t="n">
        <v>-67</v>
      </c>
      <c r="V446" s="20" t="n">
        <v>-242</v>
      </c>
      <c r="W446" s="20" t="n">
        <v>-321</v>
      </c>
      <c r="X446" s="20" t="n">
        <v>-645</v>
      </c>
    </row>
    <row r="447">
      <c r="A447" s="18" t="inlineStr">
        <is>
          <t>보상금 수취</t>
        </is>
      </c>
      <c r="O447" s="20" t="n">
        <v>273</v>
      </c>
      <c r="P447" s="20" t="n">
        <v>0</v>
      </c>
      <c r="R447" s="20" t="n">
        <v>0</v>
      </c>
      <c r="S447" s="20" t="n">
        <v>5429</v>
      </c>
      <c r="T447" s="20" t="n">
        <v>0</v>
      </c>
    </row>
    <row r="448">
      <c r="A448" s="18" t="inlineStr">
        <is>
          <t>법인세 납부</t>
        </is>
      </c>
      <c r="D448" s="20" t="n">
        <v>-12362</v>
      </c>
      <c r="F448" s="20" t="n">
        <v>-6688</v>
      </c>
      <c r="H448" s="20" t="n">
        <v>-11592</v>
      </c>
      <c r="J448" s="20" t="n">
        <v>-9346</v>
      </c>
      <c r="L448" s="20" t="n">
        <v>-15864</v>
      </c>
      <c r="N448" s="20" t="n">
        <v>-11977</v>
      </c>
      <c r="O448" s="20" t="n">
        <v>-10647</v>
      </c>
      <c r="P448" s="20" t="n">
        <v>-14869</v>
      </c>
      <c r="Q448" s="20" t="n">
        <v>-10523</v>
      </c>
      <c r="R448" s="20" t="n">
        <v>-8235</v>
      </c>
      <c r="S448" s="20" t="n">
        <v>-9618</v>
      </c>
      <c r="T448" s="20" t="n">
        <v>-13831</v>
      </c>
      <c r="U448" s="20" t="n">
        <v>-15366</v>
      </c>
      <c r="V448" s="20" t="n">
        <v>-12362</v>
      </c>
      <c r="W448" s="20" t="n">
        <v>-11592</v>
      </c>
      <c r="X448" s="20" t="n">
        <v>-15864</v>
      </c>
    </row>
    <row r="449">
      <c r="A449" s="9" t="inlineStr">
        <is>
          <t>영업활동 현금흐름</t>
        </is>
      </c>
      <c r="D449" s="12" t="n">
        <v>76311</v>
      </c>
      <c r="F449" s="12" t="n">
        <v>37585</v>
      </c>
      <c r="H449" s="12" t="n">
        <v>71381</v>
      </c>
      <c r="J449" s="12" t="n">
        <v>20362</v>
      </c>
      <c r="L449" s="12" t="n">
        <v>71240</v>
      </c>
      <c r="N449" s="12" t="n">
        <v>3995</v>
      </c>
      <c r="O449" s="12" t="n">
        <v>62604</v>
      </c>
      <c r="P449" s="12" t="n">
        <v>45489</v>
      </c>
      <c r="Q449" s="12" t="n">
        <v>14593</v>
      </c>
      <c r="R449" s="12" t="n">
        <v>63843</v>
      </c>
      <c r="S449" s="12" t="n">
        <v>59551</v>
      </c>
      <c r="T449" s="12" t="n">
        <v>49356</v>
      </c>
      <c r="U449" s="12" t="n">
        <v>31579</v>
      </c>
      <c r="V449" s="12" t="n">
        <v>76311</v>
      </c>
      <c r="W449" s="12" t="n">
        <v>71381</v>
      </c>
      <c r="X449" s="12" t="n">
        <v>71240</v>
      </c>
    </row>
    <row r="450">
      <c r="A450" s="18" t="inlineStr">
        <is>
          <t>정기예금 예입</t>
        </is>
      </c>
      <c r="D450" s="20" t="n">
        <v>-1393</v>
      </c>
      <c r="F450" s="20" t="n">
        <v>-1792</v>
      </c>
      <c r="H450" s="20" t="n">
        <v>-3703</v>
      </c>
      <c r="J450" s="20" t="n">
        <v>-1631</v>
      </c>
      <c r="L450" s="20" t="n">
        <v>-2798</v>
      </c>
      <c r="N450" s="20" t="n">
        <v>-1044</v>
      </c>
      <c r="O450" s="20" t="n">
        <v>-8787</v>
      </c>
      <c r="P450" s="20" t="n">
        <v>-8341</v>
      </c>
      <c r="Q450" s="20" t="n">
        <v>-2496</v>
      </c>
      <c r="R450" s="20" t="n">
        <v>-4708</v>
      </c>
      <c r="S450" s="20" t="n">
        <v>-2185</v>
      </c>
      <c r="T450" s="20" t="n">
        <v>-1226</v>
      </c>
      <c r="U450" s="20" t="n">
        <v>-1387</v>
      </c>
      <c r="V450" s="20" t="n">
        <v>-1393</v>
      </c>
      <c r="W450" s="20" t="n">
        <v>-3703</v>
      </c>
      <c r="X450" s="20" t="n">
        <v>-2798</v>
      </c>
    </row>
    <row r="451">
      <c r="A451" s="18" t="inlineStr">
        <is>
          <t>정기예금 인출</t>
        </is>
      </c>
      <c r="D451" s="20" t="n">
        <v>1187</v>
      </c>
      <c r="F451" s="20" t="n">
        <v>1929</v>
      </c>
      <c r="H451" s="20" t="n">
        <v>2583</v>
      </c>
      <c r="J451" s="20" t="n">
        <v>1830</v>
      </c>
      <c r="L451" s="20" t="n">
        <v>3279</v>
      </c>
      <c r="N451" s="20" t="n">
        <v>742</v>
      </c>
      <c r="O451" s="20" t="n">
        <v>6238</v>
      </c>
      <c r="P451" s="20" t="n">
        <v>11255</v>
      </c>
      <c r="Q451" s="20" t="n">
        <v>6369</v>
      </c>
      <c r="R451" s="20" t="n">
        <v>3387</v>
      </c>
      <c r="S451" s="20" t="n">
        <v>3383</v>
      </c>
      <c r="T451" s="20" t="n">
        <v>2352</v>
      </c>
      <c r="U451" s="20" t="n">
        <v>1666</v>
      </c>
      <c r="V451" s="20" t="n">
        <v>1187</v>
      </c>
      <c r="W451" s="20" t="n">
        <v>2583</v>
      </c>
      <c r="X451" s="20" t="n">
        <v>3279</v>
      </c>
    </row>
    <row r="452">
      <c r="A452" s="18" t="inlineStr">
        <is>
          <t>단기대여금 증감(△는 증가)</t>
        </is>
      </c>
      <c r="O452" s="20" t="n">
        <v>-0</v>
      </c>
      <c r="P452" s="20" t="n">
        <v>0</v>
      </c>
      <c r="Q452" s="20" t="n">
        <v>0</v>
      </c>
      <c r="R452" s="20" t="n">
        <v>261</v>
      </c>
      <c r="S452" s="20" t="n">
        <v>93</v>
      </c>
      <c r="T452" s="20" t="n">
        <v>0</v>
      </c>
    </row>
    <row r="453">
      <c r="A453" s="18" t="inlineStr">
        <is>
          <t>유형자산 취득(설비투자)</t>
        </is>
      </c>
      <c r="D453" s="20" t="n">
        <v>-51130</v>
      </c>
      <c r="F453" s="20" t="n">
        <v>-25399</v>
      </c>
      <c r="H453" s="20" t="n">
        <v>-44553</v>
      </c>
      <c r="J453" s="20" t="n">
        <v>-18906</v>
      </c>
      <c r="L453" s="20" t="n">
        <v>-36476</v>
      </c>
      <c r="N453" s="20" t="n">
        <v>-17262</v>
      </c>
      <c r="O453" s="20" t="n">
        <v>-31495</v>
      </c>
      <c r="P453" s="20" t="n">
        <v>-35164</v>
      </c>
      <c r="Q453" s="20" t="n">
        <v>-30898</v>
      </c>
      <c r="R453" s="20" t="n">
        <v>-30409</v>
      </c>
      <c r="S453" s="20" t="n">
        <v>-38737</v>
      </c>
      <c r="T453" s="20" t="n">
        <v>-30121</v>
      </c>
      <c r="U453" s="20" t="n">
        <v>-27752</v>
      </c>
      <c r="V453" s="20" t="n">
        <v>-51130</v>
      </c>
      <c r="W453" s="20" t="n">
        <v>-44553</v>
      </c>
      <c r="X453" s="20" t="n">
        <v>-36476</v>
      </c>
    </row>
    <row r="454">
      <c r="A454" s="18" t="inlineStr">
        <is>
          <t>유형자산 매각</t>
        </is>
      </c>
      <c r="D454" s="20" t="n">
        <v>293</v>
      </c>
      <c r="F454" s="20" t="n">
        <v>41</v>
      </c>
      <c r="H454" s="20" t="n">
        <v>61</v>
      </c>
      <c r="J454" s="20" t="n">
        <v>7</v>
      </c>
      <c r="L454" s="20" t="n">
        <v>288</v>
      </c>
      <c r="N454" s="20" t="n">
        <v>600</v>
      </c>
      <c r="O454" s="20" t="n">
        <v>2162</v>
      </c>
      <c r="P454" s="20" t="n">
        <v>1280</v>
      </c>
      <c r="Q454" s="20" t="n">
        <v>1102</v>
      </c>
      <c r="R454" s="20" t="n">
        <v>85</v>
      </c>
      <c r="S454" s="20" t="n">
        <v>55</v>
      </c>
      <c r="T454" s="20" t="n">
        <v>164</v>
      </c>
      <c r="U454" s="20" t="n">
        <v>784</v>
      </c>
      <c r="V454" s="20" t="n">
        <v>293</v>
      </c>
      <c r="W454" s="20" t="n">
        <v>61</v>
      </c>
      <c r="X454" s="20" t="n">
        <v>288</v>
      </c>
    </row>
    <row r="455">
      <c r="A455" s="18" t="inlineStr">
        <is>
          <t>무형자산 취득</t>
        </is>
      </c>
      <c r="D455" s="20" t="n">
        <v>-7015</v>
      </c>
      <c r="F455" s="20" t="n">
        <v>-2940</v>
      </c>
      <c r="H455" s="20" t="n">
        <v>-6145</v>
      </c>
      <c r="J455" s="20" t="n">
        <v>-2925</v>
      </c>
      <c r="L455" s="20" t="n">
        <v>-6682</v>
      </c>
      <c r="N455" s="20" t="n">
        <v>-2318</v>
      </c>
      <c r="O455" s="20" t="n">
        <v>-3455</v>
      </c>
      <c r="P455" s="20" t="n">
        <v>-5177</v>
      </c>
      <c r="Q455" s="20" t="n">
        <v>-4983</v>
      </c>
      <c r="R455" s="20" t="n">
        <v>-5189</v>
      </c>
      <c r="S455" s="20" t="n">
        <v>-4994</v>
      </c>
      <c r="T455" s="20" t="n">
        <v>-4980</v>
      </c>
      <c r="U455" s="20" t="n">
        <v>-8579</v>
      </c>
      <c r="V455" s="20" t="n">
        <v>-7015</v>
      </c>
      <c r="W455" s="20" t="n">
        <v>-6145</v>
      </c>
      <c r="X455" s="20" t="n">
        <v>-6682</v>
      </c>
    </row>
    <row r="456">
      <c r="A456" s="18" t="inlineStr">
        <is>
          <t>투자유가증권 취득</t>
        </is>
      </c>
      <c r="F456" s="20" t="n">
        <v>-217</v>
      </c>
    </row>
    <row r="457">
      <c r="A457" s="18" t="inlineStr">
        <is>
          <t>투자유가증권 매각</t>
        </is>
      </c>
      <c r="F457" s="20" t="n">
        <v>5826</v>
      </c>
    </row>
    <row r="458">
      <c r="A458" s="18" t="inlineStr">
        <is>
          <t>유가증권 및 투자유가증권 취득 지출</t>
        </is>
      </c>
      <c r="D458" s="20" t="n">
        <v>-501</v>
      </c>
      <c r="F458" s="20" t="n">
        <v>-217</v>
      </c>
      <c r="H458" s="20" t="n">
        <v>-219</v>
      </c>
      <c r="J458" s="20" t="n">
        <v>-788</v>
      </c>
      <c r="L458" s="20" t="n">
        <v>-309</v>
      </c>
      <c r="N458" s="20" t="n">
        <v>-68</v>
      </c>
      <c r="O458" s="20" t="n">
        <v>-319</v>
      </c>
      <c r="P458" s="20" t="n">
        <v>-49</v>
      </c>
      <c r="Q458" s="20" t="n">
        <v>-4</v>
      </c>
      <c r="R458" s="20" t="n">
        <v>-501</v>
      </c>
      <c r="S458" s="20" t="n">
        <v>-574</v>
      </c>
      <c r="T458" s="20" t="n">
        <v>-144</v>
      </c>
      <c r="U458" s="20" t="n">
        <v>-141</v>
      </c>
      <c r="V458" s="20" t="n">
        <v>-501</v>
      </c>
      <c r="W458" s="20" t="n">
        <v>-219</v>
      </c>
      <c r="X458" s="20" t="n">
        <v>-309</v>
      </c>
    </row>
    <row r="459">
      <c r="A459" s="18" t="inlineStr">
        <is>
          <t>유가증권·투자유가증권 매각·상환 수입</t>
        </is>
      </c>
      <c r="D459" s="20" t="n">
        <v>4584</v>
      </c>
      <c r="F459" s="20" t="n">
        <v>5826</v>
      </c>
      <c r="H459" s="20" t="n">
        <v>13361</v>
      </c>
      <c r="J459" s="20" t="n">
        <v>8046</v>
      </c>
      <c r="L459" s="20" t="n">
        <v>21084</v>
      </c>
      <c r="N459" s="20" t="n">
        <v>7147</v>
      </c>
      <c r="O459" s="20" t="n">
        <v>314</v>
      </c>
      <c r="P459" s="20" t="n">
        <v>226</v>
      </c>
      <c r="Q459" s="20" t="n">
        <v>4379</v>
      </c>
      <c r="R459" s="20" t="n">
        <v>1134</v>
      </c>
      <c r="S459" s="20" t="n">
        <v>351</v>
      </c>
      <c r="T459" s="20" t="n">
        <v>3219</v>
      </c>
      <c r="U459" s="20" t="n">
        <v>74</v>
      </c>
      <c r="V459" s="20" t="n">
        <v>4584</v>
      </c>
      <c r="W459" s="20" t="n">
        <v>13361</v>
      </c>
      <c r="X459" s="20" t="n">
        <v>21084</v>
      </c>
    </row>
    <row r="460">
      <c r="A460" s="18" t="inlineStr">
        <is>
          <t>관계회사 주식 취득</t>
        </is>
      </c>
      <c r="H460" s="20" t="n">
        <v>0</v>
      </c>
      <c r="L460" s="20" t="n">
        <v>-694</v>
      </c>
      <c r="Q460" s="20" t="n">
        <v>0</v>
      </c>
      <c r="R460" s="20" t="n">
        <v>-661</v>
      </c>
      <c r="S460" s="20" t="n">
        <v>0</v>
      </c>
      <c r="T460" s="20" t="n">
        <v>-1140</v>
      </c>
      <c r="U460" s="20" t="n">
        <v>0</v>
      </c>
      <c r="W460" s="20" t="n">
        <v>0</v>
      </c>
      <c r="X460" s="20" t="n">
        <v>-694</v>
      </c>
    </row>
    <row r="461">
      <c r="A461" s="18" t="inlineStr">
        <is>
          <t>장기대여</t>
        </is>
      </c>
      <c r="D461" s="20" t="n">
        <v>-5</v>
      </c>
      <c r="F461" s="20" t="n">
        <v>-2</v>
      </c>
      <c r="H461" s="20" t="n">
        <v>-2</v>
      </c>
      <c r="J461" s="20" t="n">
        <v>0</v>
      </c>
      <c r="L461" s="20" t="n">
        <v>-0</v>
      </c>
      <c r="O461" s="20" t="n">
        <v>-2</v>
      </c>
      <c r="P461" s="20" t="n">
        <v>-8</v>
      </c>
      <c r="Q461" s="20" t="n">
        <v>-0</v>
      </c>
      <c r="R461" s="20" t="n">
        <v>-1</v>
      </c>
      <c r="S461" s="20" t="n">
        <v>0</v>
      </c>
      <c r="T461" s="20" t="n">
        <v>-2</v>
      </c>
      <c r="U461" s="20" t="n">
        <v>-2</v>
      </c>
      <c r="V461" s="20" t="n">
        <v>-5</v>
      </c>
      <c r="W461" s="20" t="n">
        <v>-2</v>
      </c>
      <c r="X461" s="20" t="n">
        <v>-0</v>
      </c>
    </row>
    <row r="462">
      <c r="A462" s="18" t="inlineStr">
        <is>
          <t>장기대여금 회수</t>
        </is>
      </c>
      <c r="D462" s="20" t="n">
        <v>3</v>
      </c>
      <c r="F462" s="20" t="n">
        <v>1</v>
      </c>
      <c r="H462" s="20" t="n">
        <v>4</v>
      </c>
      <c r="J462" s="20" t="n">
        <v>2</v>
      </c>
      <c r="L462" s="20" t="n">
        <v>5</v>
      </c>
      <c r="N462" s="20" t="n">
        <v>2</v>
      </c>
      <c r="O462" s="20" t="n">
        <v>13</v>
      </c>
      <c r="P462" s="20" t="n">
        <v>12</v>
      </c>
      <c r="Q462" s="20" t="n">
        <v>14</v>
      </c>
      <c r="R462" s="20" t="n">
        <v>6</v>
      </c>
      <c r="S462" s="20" t="n">
        <v>4</v>
      </c>
      <c r="T462" s="20" t="n">
        <v>3</v>
      </c>
      <c r="U462" s="20" t="n">
        <v>5</v>
      </c>
      <c r="V462" s="20" t="n">
        <v>3</v>
      </c>
      <c r="W462" s="20" t="n">
        <v>4</v>
      </c>
      <c r="X462" s="20" t="n">
        <v>5</v>
      </c>
    </row>
    <row r="463">
      <c r="A463" s="18" t="inlineStr">
        <is>
          <t>기타</t>
        </is>
      </c>
      <c r="D463" s="20" t="n">
        <v>186</v>
      </c>
      <c r="F463" s="20" t="n">
        <v>-394</v>
      </c>
      <c r="H463" s="20" t="n">
        <v>230</v>
      </c>
      <c r="J463" s="20" t="n">
        <v>167</v>
      </c>
      <c r="L463" s="20" t="n">
        <v>487</v>
      </c>
      <c r="N463" s="20" t="n">
        <v>-221</v>
      </c>
      <c r="O463" s="20" t="n">
        <v>74</v>
      </c>
      <c r="P463" s="20" t="n">
        <v>-408</v>
      </c>
      <c r="Q463" s="20" t="n">
        <v>-411</v>
      </c>
      <c r="R463" s="20" t="n">
        <v>-107</v>
      </c>
      <c r="S463" s="20" t="n">
        <v>-19</v>
      </c>
      <c r="T463" s="20" t="n">
        <v>-16</v>
      </c>
      <c r="U463" s="20" t="n">
        <v>62</v>
      </c>
      <c r="V463" s="20" t="n">
        <v>186</v>
      </c>
      <c r="W463" s="20" t="n">
        <v>230</v>
      </c>
      <c r="X463" s="20" t="n">
        <v>487</v>
      </c>
    </row>
    <row r="464">
      <c r="A464" s="9" t="inlineStr">
        <is>
          <t>투자활동 현금흐름</t>
        </is>
      </c>
      <c r="D464" s="12" t="n">
        <v>-53790</v>
      </c>
      <c r="F464" s="12" t="n">
        <v>-22948</v>
      </c>
      <c r="H464" s="12" t="n">
        <v>-38383</v>
      </c>
      <c r="J464" s="12" t="n">
        <v>-14195</v>
      </c>
      <c r="L464" s="12" t="n">
        <v>-21816</v>
      </c>
      <c r="N464" s="12" t="n">
        <v>-12421</v>
      </c>
      <c r="O464" s="12" t="n">
        <v>-35257</v>
      </c>
      <c r="P464" s="12" t="n">
        <v>-36374</v>
      </c>
      <c r="Q464" s="12" t="n">
        <v>-26928</v>
      </c>
      <c r="R464" s="12" t="n">
        <v>-36705</v>
      </c>
      <c r="S464" s="12" t="n">
        <v>-42622</v>
      </c>
      <c r="T464" s="12" t="n">
        <v>-31893</v>
      </c>
      <c r="U464" s="12" t="n">
        <v>-35269</v>
      </c>
      <c r="V464" s="12" t="n">
        <v>-53790</v>
      </c>
      <c r="W464" s="12" t="n">
        <v>-38383</v>
      </c>
      <c r="X464" s="12" t="n">
        <v>-21816</v>
      </c>
    </row>
    <row r="465">
      <c r="A465" s="18" t="inlineStr">
        <is>
          <t>단기차입금 순증감</t>
        </is>
      </c>
      <c r="F465" s="20" t="n">
        <v>0</v>
      </c>
      <c r="O465" s="20" t="n">
        <v>16600</v>
      </c>
      <c r="P465" s="20" t="n">
        <v>2000</v>
      </c>
      <c r="Q465" s="20" t="n">
        <v>2600</v>
      </c>
      <c r="R465" s="20" t="n">
        <v>146</v>
      </c>
      <c r="S465" s="20" t="n">
        <v>29851</v>
      </c>
      <c r="T465" s="20" t="n">
        <v>-32600</v>
      </c>
      <c r="U465" s="20" t="n">
        <v>0</v>
      </c>
    </row>
    <row r="466">
      <c r="A466" s="18" t="inlineStr">
        <is>
          <t>기업어음 발행 수입</t>
        </is>
      </c>
      <c r="D466" s="20" t="n">
        <v>43200</v>
      </c>
      <c r="F466" s="20" t="n">
        <v>43200</v>
      </c>
      <c r="H466" s="20" t="n">
        <v>43200</v>
      </c>
      <c r="J466" s="20" t="n">
        <v>73200</v>
      </c>
      <c r="L466" s="20" t="n">
        <v>103200</v>
      </c>
      <c r="N466" s="20" t="n">
        <v>43200</v>
      </c>
      <c r="O466" s="20" t="n">
        <v>9000</v>
      </c>
      <c r="P466" s="20" t="n">
        <v>9000</v>
      </c>
      <c r="Q466" s="20" t="n">
        <v>62100</v>
      </c>
      <c r="R466" s="20" t="n">
        <v>33600</v>
      </c>
      <c r="S466" s="20" t="n">
        <v>40600</v>
      </c>
      <c r="T466" s="20" t="n">
        <v>13200</v>
      </c>
      <c r="U466" s="20" t="n">
        <v>43200</v>
      </c>
      <c r="V466" s="20" t="n">
        <v>43200</v>
      </c>
      <c r="W466" s="20" t="n">
        <v>43200</v>
      </c>
      <c r="X466" s="20" t="n">
        <v>103200</v>
      </c>
    </row>
    <row r="467">
      <c r="A467" s="18" t="inlineStr">
        <is>
          <t>기업어음 상환 지출</t>
        </is>
      </c>
      <c r="D467" s="20" t="n">
        <v>-43200</v>
      </c>
      <c r="F467" s="20" t="n">
        <v>-43200</v>
      </c>
      <c r="H467" s="20" t="n">
        <v>-43200</v>
      </c>
      <c r="J467" s="20" t="n">
        <v>-73200</v>
      </c>
      <c r="L467" s="20" t="n">
        <v>-103200</v>
      </c>
      <c r="N467" s="20" t="n">
        <v>-43200</v>
      </c>
      <c r="O467" s="20" t="n">
        <v>-12000</v>
      </c>
      <c r="P467" s="20" t="n">
        <v>-9000</v>
      </c>
      <c r="Q467" s="20" t="n">
        <v>-33500</v>
      </c>
      <c r="R467" s="20" t="n">
        <v>-37600</v>
      </c>
      <c r="S467" s="20" t="n">
        <v>-33600</v>
      </c>
      <c r="T467" s="20" t="n">
        <v>-40600</v>
      </c>
      <c r="U467" s="20" t="n">
        <v>-13200</v>
      </c>
      <c r="V467" s="20" t="n">
        <v>-43200</v>
      </c>
      <c r="W467" s="20" t="n">
        <v>-43200</v>
      </c>
      <c r="X467" s="20" t="n">
        <v>-103200</v>
      </c>
    </row>
    <row r="468">
      <c r="A468" s="18" t="inlineStr">
        <is>
          <t>장기차입</t>
        </is>
      </c>
      <c r="F468" s="20" t="n">
        <v>0</v>
      </c>
      <c r="H468" s="20" t="n">
        <v>0</v>
      </c>
      <c r="J468" s="20" t="n">
        <v>500</v>
      </c>
      <c r="L468" s="20" t="n">
        <v>500</v>
      </c>
      <c r="N468" s="20" t="n">
        <v>0</v>
      </c>
      <c r="O468" s="20" t="n">
        <v>0</v>
      </c>
      <c r="P468" s="20" t="n">
        <v>101</v>
      </c>
      <c r="Q468" s="20" t="n">
        <v>532</v>
      </c>
      <c r="R468" s="20" t="n">
        <v>171</v>
      </c>
      <c r="S468" s="20" t="n">
        <v>500</v>
      </c>
      <c r="T468" s="20" t="n">
        <v>0</v>
      </c>
      <c r="W468" s="20" t="n">
        <v>0</v>
      </c>
      <c r="X468" s="20" t="n">
        <v>500</v>
      </c>
    </row>
    <row r="469">
      <c r="A469" s="18" t="inlineStr">
        <is>
          <t>장기차입금 상환</t>
        </is>
      </c>
      <c r="D469" s="20" t="n">
        <v>-137</v>
      </c>
      <c r="F469" s="20" t="n">
        <v>0</v>
      </c>
      <c r="H469" s="20" t="n">
        <v>0</v>
      </c>
      <c r="J469" s="20" t="n">
        <v>-500</v>
      </c>
      <c r="L469" s="20" t="n">
        <v>-657</v>
      </c>
      <c r="N469" s="20" t="n">
        <v>0</v>
      </c>
      <c r="O469" s="20" t="n">
        <v>-20049</v>
      </c>
      <c r="P469" s="20" t="n">
        <v>-248</v>
      </c>
      <c r="Q469" s="20" t="n">
        <v>-2096</v>
      </c>
      <c r="R469" s="20" t="n">
        <v>-571</v>
      </c>
      <c r="S469" s="20" t="n">
        <v>-605</v>
      </c>
      <c r="T469" s="20" t="n">
        <v>0</v>
      </c>
      <c r="U469" s="20" t="n">
        <v>-198</v>
      </c>
      <c r="V469" s="20" t="n">
        <v>-137</v>
      </c>
      <c r="W469" s="20" t="n">
        <v>0</v>
      </c>
      <c r="X469" s="20" t="n">
        <v>-657</v>
      </c>
    </row>
    <row r="470">
      <c r="A470" s="18" t="inlineStr">
        <is>
          <t>배당금 지급</t>
        </is>
      </c>
      <c r="D470" s="20" t="n">
        <v>-16960</v>
      </c>
      <c r="F470" s="20" t="n">
        <v>-8481</v>
      </c>
      <c r="H470" s="20" t="n">
        <v>-16964</v>
      </c>
      <c r="J470" s="20" t="n">
        <v>-8483</v>
      </c>
      <c r="L470" s="20" t="n">
        <v>-16703</v>
      </c>
      <c r="N470" s="20" t="n">
        <v>-9864</v>
      </c>
      <c r="O470" s="20" t="n">
        <v>-11501</v>
      </c>
      <c r="P470" s="20" t="n">
        <v>-11840</v>
      </c>
      <c r="Q470" s="20" t="n">
        <v>-13712</v>
      </c>
      <c r="R470" s="20" t="n">
        <v>-15240</v>
      </c>
      <c r="S470" s="20" t="n">
        <v>-12704</v>
      </c>
      <c r="T470" s="20" t="n">
        <v>-14406</v>
      </c>
      <c r="U470" s="20" t="n">
        <v>-16956</v>
      </c>
      <c r="V470" s="20" t="n">
        <v>-16960</v>
      </c>
      <c r="W470" s="20" t="n">
        <v>-16964</v>
      </c>
      <c r="X470" s="20" t="n">
        <v>-16703</v>
      </c>
    </row>
    <row r="471">
      <c r="A471" s="18" t="inlineStr">
        <is>
          <t>비지배주주 배당금 지급</t>
        </is>
      </c>
      <c r="D471" s="20" t="n">
        <v>-542</v>
      </c>
      <c r="F471" s="20" t="n">
        <v>-350</v>
      </c>
      <c r="H471" s="20" t="n">
        <v>-536</v>
      </c>
      <c r="J471" s="20" t="n">
        <v>-195</v>
      </c>
      <c r="L471" s="20" t="n">
        <v>-387</v>
      </c>
      <c r="N471" s="20" t="n">
        <v>-117</v>
      </c>
      <c r="V471" s="20" t="n">
        <v>-542</v>
      </c>
      <c r="W471" s="20" t="n">
        <v>-536</v>
      </c>
      <c r="X471" s="20" t="n">
        <v>-387</v>
      </c>
    </row>
    <row r="472">
      <c r="A472" s="18" t="inlineStr">
        <is>
          <t>자기주식 취득</t>
        </is>
      </c>
      <c r="D472" s="20" t="n">
        <v>-7</v>
      </c>
      <c r="F472" s="20" t="n">
        <v>-5</v>
      </c>
      <c r="H472" s="20" t="n">
        <v>-9</v>
      </c>
      <c r="J472" s="20" t="n">
        <v>-20001</v>
      </c>
      <c r="L472" s="20" t="n">
        <v>-20005</v>
      </c>
      <c r="N472" s="20" t="n">
        <v>-6</v>
      </c>
      <c r="O472" s="20" t="n">
        <v>-13</v>
      </c>
      <c r="P472" s="20" t="n">
        <v>-17</v>
      </c>
      <c r="Q472" s="20" t="n">
        <v>-8</v>
      </c>
      <c r="R472" s="20" t="n">
        <v>-8</v>
      </c>
      <c r="S472" s="20" t="n">
        <v>-15</v>
      </c>
      <c r="T472" s="20" t="n">
        <v>-14</v>
      </c>
      <c r="U472" s="20" t="n">
        <v>-8</v>
      </c>
      <c r="V472" s="20" t="n">
        <v>-7</v>
      </c>
      <c r="W472" s="20" t="n">
        <v>-9</v>
      </c>
      <c r="X472" s="20" t="n">
        <v>-20005</v>
      </c>
    </row>
    <row r="473">
      <c r="A473" s="18" t="inlineStr">
        <is>
          <t>기타</t>
        </is>
      </c>
      <c r="D473" s="20" t="n">
        <v>-1306</v>
      </c>
      <c r="F473" s="20" t="n">
        <v>-802</v>
      </c>
      <c r="H473" s="20" t="n">
        <v>-1497</v>
      </c>
      <c r="J473" s="20" t="n">
        <v>-596</v>
      </c>
      <c r="L473" s="20" t="n">
        <v>-1301</v>
      </c>
      <c r="N473" s="20" t="n">
        <v>-656</v>
      </c>
      <c r="O473" s="20" t="n">
        <v>-940</v>
      </c>
      <c r="P473" s="20" t="n">
        <v>-1240</v>
      </c>
      <c r="Q473" s="20" t="n">
        <v>-1352</v>
      </c>
      <c r="R473" s="20" t="n">
        <v>-1376</v>
      </c>
      <c r="S473" s="20" t="n">
        <v>-1324</v>
      </c>
      <c r="T473" s="20" t="n">
        <v>-1350</v>
      </c>
      <c r="U473" s="20" t="n">
        <v>-4057</v>
      </c>
      <c r="V473" s="20" t="n">
        <v>-1306</v>
      </c>
      <c r="W473" s="20" t="n">
        <v>-1497</v>
      </c>
      <c r="X473" s="20" t="n">
        <v>-1301</v>
      </c>
    </row>
    <row r="474">
      <c r="A474" s="9" t="inlineStr">
        <is>
          <t>재무활동 현금흐름</t>
        </is>
      </c>
      <c r="D474" s="12" t="n">
        <v>-18954</v>
      </c>
      <c r="F474" s="12" t="n">
        <v>-9640</v>
      </c>
      <c r="H474" s="12" t="n">
        <v>-19007</v>
      </c>
      <c r="J474" s="12" t="n">
        <v>-29276</v>
      </c>
      <c r="L474" s="12" t="n">
        <v>-38555</v>
      </c>
      <c r="N474" s="12" t="n">
        <v>-10644</v>
      </c>
      <c r="O474" s="12" t="n">
        <v>-18905</v>
      </c>
      <c r="P474" s="12" t="n">
        <v>-11244</v>
      </c>
      <c r="Q474" s="12" t="n">
        <v>14562</v>
      </c>
      <c r="R474" s="12" t="n">
        <v>-20878</v>
      </c>
      <c r="S474" s="12" t="n">
        <v>22702</v>
      </c>
      <c r="T474" s="12" t="n">
        <v>-75772</v>
      </c>
      <c r="U474" s="12" t="n">
        <v>8779</v>
      </c>
      <c r="V474" s="12" t="n">
        <v>-18954</v>
      </c>
      <c r="W474" s="12" t="n">
        <v>-19007</v>
      </c>
      <c r="X474" s="12" t="n">
        <v>-38555</v>
      </c>
    </row>
    <row r="475">
      <c r="A475" s="18" t="inlineStr">
        <is>
          <t>현금성자산 환산차이</t>
        </is>
      </c>
      <c r="D475" s="20" t="n">
        <v>1576</v>
      </c>
      <c r="F475" s="20" t="n">
        <v>4890</v>
      </c>
      <c r="H475" s="20" t="n">
        <v>4074</v>
      </c>
      <c r="J475" s="20" t="n">
        <v>-4461</v>
      </c>
      <c r="L475" s="20" t="n">
        <v>-382</v>
      </c>
      <c r="N475" s="20" t="n">
        <v>940</v>
      </c>
      <c r="O475" s="20" t="n">
        <v>-4146</v>
      </c>
      <c r="P475" s="20" t="n">
        <v>1382</v>
      </c>
      <c r="Q475" s="20" t="n">
        <v>-3395</v>
      </c>
      <c r="R475" s="20" t="n">
        <v>-1018</v>
      </c>
      <c r="S475" s="20" t="n">
        <v>77</v>
      </c>
      <c r="T475" s="20" t="n">
        <v>6490</v>
      </c>
      <c r="U475" s="20" t="n">
        <v>2802</v>
      </c>
      <c r="V475" s="20" t="n">
        <v>1576</v>
      </c>
      <c r="W475" s="20" t="n">
        <v>4074</v>
      </c>
      <c r="X475" s="20" t="n">
        <v>-382</v>
      </c>
    </row>
    <row r="476">
      <c r="A476" s="18" t="inlineStr">
        <is>
          <t>현금성자산 증감</t>
        </is>
      </c>
      <c r="D476" s="20" t="n">
        <v>5142</v>
      </c>
      <c r="F476" s="20" t="n">
        <v>9887</v>
      </c>
      <c r="H476" s="20" t="n">
        <v>18065</v>
      </c>
      <c r="J476" s="20" t="n">
        <v>-27571</v>
      </c>
      <c r="L476" s="20" t="n">
        <v>10485</v>
      </c>
      <c r="N476" s="20" t="n">
        <v>-18130</v>
      </c>
      <c r="O476" s="20" t="n">
        <v>4294</v>
      </c>
      <c r="P476" s="20" t="n">
        <v>-746</v>
      </c>
      <c r="Q476" s="20" t="n">
        <v>-1166</v>
      </c>
      <c r="R476" s="20" t="n">
        <v>5241</v>
      </c>
      <c r="S476" s="20" t="n">
        <v>39707</v>
      </c>
      <c r="T476" s="20" t="n">
        <v>-51818</v>
      </c>
      <c r="U476" s="20" t="n">
        <v>7892</v>
      </c>
      <c r="V476" s="20" t="n">
        <v>5142</v>
      </c>
      <c r="W476" s="20" t="n">
        <v>18065</v>
      </c>
      <c r="X476" s="20" t="n">
        <v>10485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5332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332487</v>
      </c>
      <c r="D5" s="12" t="n">
        <v>341714</v>
      </c>
      <c r="E5" s="12" t="n">
        <v>372102</v>
      </c>
      <c r="F5" s="12" t="n">
        <v>337448</v>
      </c>
      <c r="G5" s="12" t="n">
        <v>367841</v>
      </c>
      <c r="H5" s="11" t="n">
        <v>307623</v>
      </c>
      <c r="I5" s="12" t="n">
        <v>359288</v>
      </c>
      <c r="J5" s="12" t="n">
        <v>354030</v>
      </c>
      <c r="K5" s="12" t="n">
        <v>374570</v>
      </c>
      <c r="L5" s="12" t="n">
        <v>372102</v>
      </c>
    </row>
    <row r="6">
      <c r="A6" s="18" t="inlineStr">
        <is>
          <t>현금및현금성자산</t>
        </is>
      </c>
      <c r="B6" s="10" t="n"/>
      <c r="C6" s="19" t="n">
        <v>95050</v>
      </c>
      <c r="D6" s="20" t="n">
        <v>100378</v>
      </c>
      <c r="E6" s="20" t="n">
        <v>132855</v>
      </c>
      <c r="F6" s="20" t="n">
        <v>101271</v>
      </c>
      <c r="G6" s="20" t="n">
        <v>115130</v>
      </c>
      <c r="H6" s="19" t="n">
        <v>90536</v>
      </c>
      <c r="I6" s="20" t="n">
        <v>98123</v>
      </c>
      <c r="J6" s="20" t="n">
        <v>103546</v>
      </c>
      <c r="K6" s="20" t="n">
        <v>122750</v>
      </c>
      <c r="L6" s="20" t="n">
        <v>132855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95684</v>
      </c>
      <c r="D8" s="20" t="n">
        <v>105567</v>
      </c>
      <c r="E8" s="20" t="n">
        <v>103192</v>
      </c>
      <c r="F8" s="20" t="n">
        <v>88889</v>
      </c>
      <c r="G8" s="20" t="n">
        <v>102097</v>
      </c>
      <c r="H8" s="19" t="n">
        <v>94802</v>
      </c>
      <c r="I8" s="20" t="n">
        <v>99391</v>
      </c>
      <c r="J8" s="20" t="n">
        <v>99720</v>
      </c>
      <c r="K8" s="20" t="n">
        <v>101468</v>
      </c>
      <c r="L8" s="20" t="n">
        <v>103192</v>
      </c>
    </row>
    <row r="9">
      <c r="A9" s="18" t="inlineStr">
        <is>
          <t>재고자산</t>
        </is>
      </c>
      <c r="B9" s="10" t="n"/>
      <c r="C9" s="19" t="n">
        <v>127785</v>
      </c>
      <c r="D9" s="20" t="n">
        <v>122259</v>
      </c>
      <c r="E9" s="20" t="n">
        <v>121615</v>
      </c>
      <c r="F9" s="20" t="n">
        <v>130738</v>
      </c>
      <c r="G9" s="20" t="n">
        <v>133278</v>
      </c>
      <c r="H9" s="19" t="n">
        <v>109454</v>
      </c>
      <c r="I9" s="20" t="n">
        <v>145605</v>
      </c>
      <c r="J9" s="20" t="n">
        <v>133477</v>
      </c>
      <c r="K9" s="20" t="n">
        <v>134629</v>
      </c>
      <c r="L9" s="20" t="n">
        <v>121615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431884</v>
      </c>
      <c r="D11" s="12" t="n">
        <v>442527</v>
      </c>
      <c r="E11" s="12" t="n">
        <v>455380</v>
      </c>
      <c r="F11" s="12" t="n">
        <v>470633</v>
      </c>
      <c r="G11" s="12" t="n">
        <v>462500</v>
      </c>
      <c r="H11" s="11" t="n">
        <v>333401</v>
      </c>
      <c r="I11" s="12" t="n">
        <v>372349</v>
      </c>
      <c r="J11" s="12" t="n">
        <v>436224</v>
      </c>
      <c r="K11" s="12" t="n">
        <v>439354</v>
      </c>
      <c r="L11" s="12" t="n">
        <v>455380</v>
      </c>
    </row>
    <row r="12">
      <c r="A12" s="18" t="inlineStr">
        <is>
          <t>유형자산</t>
        </is>
      </c>
      <c r="B12" s="10" t="n"/>
      <c r="C12" s="19" t="n">
        <v>250215</v>
      </c>
      <c r="D12" s="20" t="n">
        <v>259185</v>
      </c>
      <c r="E12" s="20" t="n">
        <v>267941</v>
      </c>
      <c r="F12" s="20" t="n">
        <v>269910</v>
      </c>
      <c r="G12" s="20" t="n">
        <v>273979</v>
      </c>
      <c r="H12" s="19" t="n">
        <v>231818</v>
      </c>
      <c r="I12" s="20" t="n">
        <v>242500</v>
      </c>
      <c r="J12" s="20" t="n">
        <v>268634</v>
      </c>
      <c r="K12" s="20" t="n">
        <v>261418</v>
      </c>
      <c r="L12" s="20" t="n">
        <v>267941</v>
      </c>
    </row>
    <row r="13">
      <c r="A13" s="18" t="inlineStr">
        <is>
          <t>무형자산</t>
        </is>
      </c>
      <c r="B13" s="10" t="n"/>
      <c r="C13" s="19" t="n">
        <v>36617</v>
      </c>
      <c r="D13" s="20" t="n">
        <v>37409</v>
      </c>
      <c r="E13" s="20" t="n">
        <v>38983</v>
      </c>
      <c r="F13" s="20" t="n">
        <v>39663</v>
      </c>
      <c r="G13" s="20" t="n">
        <v>39536</v>
      </c>
      <c r="H13" s="19" t="n">
        <v>24043</v>
      </c>
      <c r="I13" s="20" t="n">
        <v>29467</v>
      </c>
      <c r="J13" s="20" t="n">
        <v>33434</v>
      </c>
      <c r="K13" s="20" t="n">
        <v>36460</v>
      </c>
      <c r="L13" s="20" t="n">
        <v>38983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764371</v>
      </c>
      <c r="D16" s="12" t="n">
        <v>784242</v>
      </c>
      <c r="E16" s="12" t="n">
        <v>827483</v>
      </c>
      <c r="F16" s="12" t="n">
        <v>808081</v>
      </c>
      <c r="G16" s="12" t="n">
        <v>830342</v>
      </c>
      <c r="H16" s="11" t="n">
        <v>641025</v>
      </c>
      <c r="I16" s="12" t="n">
        <v>731638</v>
      </c>
      <c r="J16" s="12" t="n">
        <v>790255</v>
      </c>
      <c r="K16" s="12" t="n">
        <v>813924</v>
      </c>
      <c r="L16" s="12" t="n">
        <v>827483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217167</v>
      </c>
      <c r="D18" s="12" t="n">
        <v>217852</v>
      </c>
      <c r="E18" s="12" t="n">
        <v>238392</v>
      </c>
      <c r="F18" s="12" t="n">
        <v>205420</v>
      </c>
      <c r="G18" s="12" t="n">
        <v>221859</v>
      </c>
      <c r="H18" s="11" t="n">
        <v>199471</v>
      </c>
      <c r="I18" s="12" t="n">
        <v>228839</v>
      </c>
      <c r="J18" s="12" t="n">
        <v>224199</v>
      </c>
      <c r="K18" s="12" t="n">
        <v>230782</v>
      </c>
      <c r="L18" s="12" t="n">
        <v>238392</v>
      </c>
    </row>
    <row r="19">
      <c r="A19" s="18" t="inlineStr">
        <is>
          <t>매입채무</t>
        </is>
      </c>
      <c r="B19" s="10" t="n"/>
      <c r="C19" s="19" t="n">
        <v>77433</v>
      </c>
      <c r="D19" s="20" t="n">
        <v>78087</v>
      </c>
      <c r="E19" s="20" t="n">
        <v>80716</v>
      </c>
      <c r="F19" s="20" t="n">
        <v>71424</v>
      </c>
      <c r="G19" s="20" t="n">
        <v>73344</v>
      </c>
      <c r="H19" s="19" t="n">
        <v>78521</v>
      </c>
      <c r="I19" s="20" t="n">
        <v>85047</v>
      </c>
      <c r="J19" s="20" t="n">
        <v>76691</v>
      </c>
      <c r="K19" s="20" t="n">
        <v>82583</v>
      </c>
      <c r="L19" s="20" t="n">
        <v>80716</v>
      </c>
    </row>
    <row r="20">
      <c r="A20" s="18" t="inlineStr">
        <is>
          <t>단기차입금</t>
        </is>
      </c>
      <c r="B20" s="10" t="n"/>
      <c r="C20" s="19" t="n">
        <v>23159</v>
      </c>
      <c r="D20" s="20" t="n">
        <v>23159</v>
      </c>
      <c r="E20" s="20" t="n">
        <v>23271</v>
      </c>
      <c r="F20" s="20" t="n">
        <v>23273</v>
      </c>
      <c r="G20" s="20" t="n">
        <v>23265</v>
      </c>
      <c r="H20" s="19" t="n">
        <v>23714</v>
      </c>
      <c r="I20" s="20" t="n">
        <v>23135</v>
      </c>
      <c r="J20" s="20" t="n">
        <v>23218</v>
      </c>
      <c r="K20" s="20" t="n">
        <v>23657</v>
      </c>
      <c r="L20" s="20" t="n">
        <v>23271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53753</v>
      </c>
      <c r="D23" s="12" t="n">
        <v>57520</v>
      </c>
      <c r="E23" s="12" t="n">
        <v>55176</v>
      </c>
      <c r="F23" s="12" t="n">
        <v>61067</v>
      </c>
      <c r="G23" s="12" t="n">
        <v>56353</v>
      </c>
      <c r="H23" s="11" t="n">
        <v>28181</v>
      </c>
      <c r="I23" s="12" t="n">
        <v>41706</v>
      </c>
      <c r="J23" s="12" t="n">
        <v>55499</v>
      </c>
      <c r="K23" s="12" t="n">
        <v>52737</v>
      </c>
      <c r="L23" s="12" t="n">
        <v>55176</v>
      </c>
    </row>
    <row r="24">
      <c r="A24" s="18" t="inlineStr">
        <is>
          <t>장기차입금</t>
        </is>
      </c>
      <c r="B24" s="10" t="n"/>
      <c r="C24" s="19" t="n">
        <v>1515</v>
      </c>
      <c r="D24" s="20" t="n">
        <v>1563</v>
      </c>
      <c r="E24" s="20" t="n">
        <v>1314</v>
      </c>
      <c r="F24" s="20" t="n">
        <v>1322</v>
      </c>
      <c r="G24" s="20" t="n">
        <v>1298</v>
      </c>
      <c r="H24" s="19" t="n">
        <v>1124</v>
      </c>
      <c r="I24" s="20" t="n">
        <v>1583</v>
      </c>
      <c r="J24" s="20" t="n">
        <v>1469</v>
      </c>
      <c r="K24" s="20" t="n">
        <v>1016</v>
      </c>
      <c r="L24" s="20" t="n">
        <v>1314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270921</v>
      </c>
      <c r="D27" s="12" t="n">
        <v>275373</v>
      </c>
      <c r="E27" s="12" t="n">
        <v>293568</v>
      </c>
      <c r="F27" s="12" t="n">
        <v>266488</v>
      </c>
      <c r="G27" s="12" t="n">
        <v>278212</v>
      </c>
      <c r="H27" s="11" t="n">
        <v>227652</v>
      </c>
      <c r="I27" s="12" t="n">
        <v>270546</v>
      </c>
      <c r="J27" s="12" t="n">
        <v>279699</v>
      </c>
      <c r="K27" s="12" t="n">
        <v>283519</v>
      </c>
      <c r="L27" s="12" t="n">
        <v>293568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487893</v>
      </c>
      <c r="D31" s="12" t="n">
        <v>502916</v>
      </c>
      <c r="E31" s="12" t="n">
        <v>528086</v>
      </c>
      <c r="F31" s="12" t="n">
        <v>535572</v>
      </c>
      <c r="G31" s="12" t="n">
        <v>545928</v>
      </c>
      <c r="H31" s="11" t="n">
        <v>405448</v>
      </c>
      <c r="I31" s="12" t="n">
        <v>453536</v>
      </c>
      <c r="J31" s="12" t="n">
        <v>502473</v>
      </c>
      <c r="K31" s="12" t="n">
        <v>522058</v>
      </c>
      <c r="L31" s="12" t="n">
        <v>528086</v>
      </c>
    </row>
    <row r="32">
      <c r="A32" s="18" t="inlineStr">
        <is>
          <t>자본금</t>
        </is>
      </c>
      <c r="B32" s="10" t="n"/>
      <c r="C32" s="19" t="n">
        <v>35579</v>
      </c>
      <c r="D32" s="20" t="n">
        <v>35579</v>
      </c>
      <c r="E32" s="20" t="n">
        <v>35579</v>
      </c>
      <c r="F32" s="20" t="n">
        <v>35579</v>
      </c>
      <c r="G32" s="20" t="n">
        <v>35579</v>
      </c>
      <c r="H32" s="19" t="n">
        <v>35579</v>
      </c>
      <c r="I32" s="20" t="n">
        <v>35579</v>
      </c>
      <c r="J32" s="20" t="n">
        <v>35579</v>
      </c>
      <c r="K32" s="20" t="n">
        <v>35579</v>
      </c>
      <c r="L32" s="20" t="n">
        <v>35579</v>
      </c>
    </row>
    <row r="33">
      <c r="A33" s="18" t="inlineStr">
        <is>
          <t>이익잉여금</t>
        </is>
      </c>
      <c r="B33" s="10" t="n"/>
      <c r="C33" s="19" t="n">
        <v>332773</v>
      </c>
      <c r="D33" s="20" t="n">
        <v>344299</v>
      </c>
      <c r="E33" s="20" t="n">
        <v>356012</v>
      </c>
      <c r="F33" s="20" t="n">
        <v>353051</v>
      </c>
      <c r="G33" s="20" t="n">
        <v>367463</v>
      </c>
      <c r="H33" s="19" t="n">
        <v>322980</v>
      </c>
      <c r="I33" s="20" t="n">
        <v>344968</v>
      </c>
      <c r="J33" s="20" t="n">
        <v>365204</v>
      </c>
      <c r="K33" s="20" t="n">
        <v>360408</v>
      </c>
      <c r="L33" s="20" t="n">
        <v>356012</v>
      </c>
    </row>
    <row r="34">
      <c r="A34" s="18" t="inlineStr">
        <is>
          <t>비지배지분</t>
        </is>
      </c>
      <c r="B34" s="10" t="n"/>
      <c r="C34" s="19" t="n">
        <v>5412</v>
      </c>
      <c r="D34" s="20" t="n">
        <v>5808</v>
      </c>
      <c r="E34" s="20" t="n">
        <v>5687</v>
      </c>
      <c r="F34" s="20" t="n">
        <v>5885</v>
      </c>
      <c r="G34" s="20" t="n">
        <v>6066</v>
      </c>
      <c r="H34" s="19" t="n">
        <v>7637</v>
      </c>
      <c r="I34" s="20" t="n">
        <v>7294</v>
      </c>
      <c r="J34" s="20" t="n">
        <v>7839</v>
      </c>
      <c r="K34" s="20" t="n">
        <v>8128</v>
      </c>
      <c r="L34" s="20" t="n">
        <v>5687</v>
      </c>
    </row>
    <row r="35">
      <c r="A35" s="9" t="inlineStr">
        <is>
          <t>자본총계</t>
        </is>
      </c>
      <c r="B35" s="10" t="n"/>
      <c r="C35" s="11" t="n">
        <v>493450</v>
      </c>
      <c r="D35" s="12" t="n">
        <v>508868</v>
      </c>
      <c r="E35" s="12" t="n">
        <v>533914</v>
      </c>
      <c r="F35" s="12" t="n">
        <v>541593</v>
      </c>
      <c r="G35" s="12" t="n">
        <v>552129</v>
      </c>
      <c r="H35" s="11" t="n">
        <v>413372</v>
      </c>
      <c r="I35" s="12" t="n">
        <v>461092</v>
      </c>
      <c r="J35" s="12" t="n">
        <v>510556</v>
      </c>
      <c r="K35" s="12" t="n">
        <v>530404</v>
      </c>
      <c r="L35" s="12" t="n">
        <v>533914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54158</v>
      </c>
      <c r="D37" s="12" t="n"/>
      <c r="E37" s="12" t="n">
        <v>71240</v>
      </c>
      <c r="F37" s="12" t="n"/>
      <c r="G37" s="12" t="n">
        <v>54873</v>
      </c>
      <c r="H37" s="11" t="n">
        <v>49356</v>
      </c>
      <c r="I37" s="12" t="n">
        <v>31579</v>
      </c>
      <c r="J37" s="12" t="n">
        <v>76311</v>
      </c>
      <c r="K37" s="12" t="n">
        <v>71381</v>
      </c>
      <c r="L37" s="12" t="n">
        <v>71240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44190</v>
      </c>
      <c r="D38" s="20" t="n"/>
      <c r="E38" s="20" t="n">
        <v>43158</v>
      </c>
      <c r="F38" s="20" t="n"/>
      <c r="G38" s="20" t="n">
        <v>40907</v>
      </c>
      <c r="H38" s="19" t="n">
        <v>35101</v>
      </c>
      <c r="I38" s="20" t="n">
        <v>36331</v>
      </c>
      <c r="J38" s="20" t="n">
        <v>58145</v>
      </c>
      <c r="K38" s="20" t="n">
        <v>50698</v>
      </c>
      <c r="L38" s="20" t="n">
        <v>43158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16966</v>
      </c>
      <c r="D40" s="20" t="n"/>
      <c r="E40" s="20" t="n">
        <v>16703</v>
      </c>
      <c r="F40" s="20" t="n"/>
      <c r="G40" s="20" t="n">
        <v>18084</v>
      </c>
      <c r="H40" s="19" t="n">
        <v>14406</v>
      </c>
      <c r="I40" s="20" t="n">
        <v>16956</v>
      </c>
      <c r="J40" s="20" t="n">
        <v>16960</v>
      </c>
      <c r="K40" s="20" t="n">
        <v>16964</v>
      </c>
      <c r="L40" s="20" t="n">
        <v>16703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IFERROR((IF(COUNT('연간'!G79:J79)&lt;4,"",SUM('연간'!G79:J79)))/(IF(COUNT('연간'!G101:J101)&lt;4,"",SUM('연간'!G101:J101))),"")</f>
        <v/>
      </c>
      <c r="D48" s="31">
        <f>IFERROR((IF(COUNT('연간'!H79:K79)&lt;4,"",SUM('연간'!H79:K79)))/(IF(COUNT('연간'!H101:K101)&lt;4,"",SUM('연간'!H101:K101))),"")</f>
        <v/>
      </c>
      <c r="E48" s="31">
        <f>IFERROR((IF(COUNT('연간'!I79:L79)&lt;4,"",SUM('연간'!I79:L79)))/(IF(COUNT('연간'!I101:L101)&lt;4,"",SUM('연간'!I101:L101))),"")</f>
        <v/>
      </c>
      <c r="F48" s="31">
        <f>IFERROR((IF(COUNT('연간'!J79:M79)&lt;4,"",SUM('연간'!J79:M79)))/(IF(COUNT('연간'!J101:M101)&lt;4,"",SUM('연간'!J101:M101))),"")</f>
        <v/>
      </c>
      <c r="G48" s="31">
        <f>IFERROR((IF(COUNT('연간'!K79:N79)&lt;4,"",SUM('연간'!K79:N79)))/(IF(COUNT('연간'!K101:N101)&lt;4,"",SUM('연간'!K101:N101))),"")</f>
        <v/>
      </c>
      <c r="H48" s="30">
        <f>IFERROR(('연간'!T79)/('연간'!T101),"")</f>
        <v/>
      </c>
      <c r="I48" s="31">
        <f>IFERROR(('연간'!U79)/('연간'!U101),"")</f>
        <v/>
      </c>
      <c r="J48" s="31">
        <f>IFERROR(('연간'!V79)/('연간'!V101),"")</f>
        <v/>
      </c>
      <c r="K48" s="31">
        <f>IFERROR(('연간'!W79)/('연간'!W101),"")</f>
        <v/>
      </c>
      <c r="L48" s="31">
        <f>IFERROR(('연간'!X79)/('연간'!X101),"")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IFERROR(IF((IF(COUNT('연간'!G109:J109)&lt;4,"",SUM('연간'!G109:J109)))&lt;=0,"적자",C28/(IF(COUNT('연간'!G109:J109)&lt;4,"",SUM('연간'!G109:J109)))),"")</f>
        <v/>
      </c>
      <c r="D49" s="47">
        <f>IFERROR(IF((IF(COUNT('연간'!H109:K109)&lt;4,"",SUM('연간'!H109:K109)))&lt;=0,"적자",D28/(IF(COUNT('연간'!H109:K109)&lt;4,"",SUM('연간'!H109:K109)))),"")</f>
        <v/>
      </c>
      <c r="E49" s="47">
        <f>IFERROR(IF((IF(COUNT('연간'!I109:L109)&lt;4,"",SUM('연간'!I109:L109)))&lt;=0,"적자",E28/(IF(COUNT('연간'!I109:L109)&lt;4,"",SUM('연간'!I109:L109)))),"")</f>
        <v/>
      </c>
      <c r="F49" s="47">
        <f>IFERROR(IF((IF(COUNT('연간'!J109:M109)&lt;4,"",SUM('연간'!J109:M109)))&lt;=0,"적자",F28/(IF(COUNT('연간'!J109:M109)&lt;4,"",SUM('연간'!J109:M109)))),"")</f>
        <v/>
      </c>
      <c r="G49" s="47">
        <f>IFERROR(IF((IF(COUNT('연간'!K109:N109)&lt;4,"",SUM('연간'!K109:N109)))&lt;=0,"적자",G28/(IF(COUNT('연간'!K109:N109)&lt;4,"",SUM('연간'!K109:N109)))),"")</f>
        <v/>
      </c>
      <c r="H49" s="46">
        <f>IFERROR(IF(('연간'!T109)&lt;=0,"적자",H28/('연간'!T109)),"")</f>
        <v/>
      </c>
      <c r="I49" s="47">
        <f>IFERROR(IF(('연간'!U109)&lt;=0,"적자",I28/('연간'!U109)),"")</f>
        <v/>
      </c>
      <c r="J49" s="47">
        <f>IFERROR(IF(('연간'!V109)&lt;=0,"적자",J28/('연간'!V109)),"")</f>
        <v/>
      </c>
      <c r="K49" s="47">
        <f>IFERROR(IF(('연간'!W109)&lt;=0,"적자",K28/('연간'!W109)),"")</f>
        <v/>
      </c>
      <c r="L49" s="47">
        <f>IFERROR(IF(('연간'!X109)&lt;=0,"적자",L28/('연간'!X109)),"")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IFERROR((IF(COUNT('연간'!G109:J109)&lt;4,"",SUM('연간'!G109:J109)))/C31,"")</f>
        <v/>
      </c>
      <c r="D51" s="36">
        <f>IFERROR((IF(COUNT('연간'!H109:K109)&lt;4,"",SUM('연간'!H109:K109)))/D31,"")</f>
        <v/>
      </c>
      <c r="E51" s="36">
        <f>IFERROR((IF(COUNT('연간'!I109:L109)&lt;4,"",SUM('연간'!I109:L109)))/E31,"")</f>
        <v/>
      </c>
      <c r="F51" s="36">
        <f>IFERROR((IF(COUNT('연간'!J109:M109)&lt;4,"",SUM('연간'!J109:M109)))/F31,"")</f>
        <v/>
      </c>
      <c r="G51" s="36">
        <f>IFERROR((IF(COUNT('연간'!K109:N109)&lt;4,"",SUM('연간'!K109:N109)))/G31,"")</f>
        <v/>
      </c>
      <c r="H51" s="35">
        <f>IFERROR(('연간'!T109)/H31,"")</f>
        <v/>
      </c>
      <c r="I51" s="36">
        <f>IFERROR(('연간'!U109)/I31,"")</f>
        <v/>
      </c>
      <c r="J51" s="36">
        <f>IFERROR(('연간'!V109)/J31,"")</f>
        <v/>
      </c>
      <c r="K51" s="36">
        <f>IFERROR(('연간'!W109)/K31,"")</f>
        <v/>
      </c>
      <c r="L51" s="36">
        <f>IFERROR(('연간'!X109)/L31,"")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IFERROR((IF(COUNT('연간'!G107:J107)&lt;4,"",SUM('연간'!G107:J107)))/C16,"")</f>
        <v/>
      </c>
      <c r="D52" s="36">
        <f>IFERROR((IF(COUNT('연간'!H107:K107)&lt;4,"",SUM('연간'!H107:K107)))/D16,"")</f>
        <v/>
      </c>
      <c r="E52" s="36">
        <f>IFERROR((IF(COUNT('연간'!I107:L107)&lt;4,"",SUM('연간'!I107:L107)))/E16,"")</f>
        <v/>
      </c>
      <c r="F52" s="36">
        <f>IFERROR((IF(COUNT('연간'!J107:M107)&lt;4,"",SUM('연간'!J107:M107)))/F16,"")</f>
        <v/>
      </c>
      <c r="G52" s="36">
        <f>IFERROR((IF(COUNT('연간'!K107:N107)&lt;4,"",SUM('연간'!K107:N107)))/G16,"")</f>
        <v/>
      </c>
      <c r="H52" s="35">
        <f>IFERROR(('연간'!T107)/H16,"")</f>
        <v/>
      </c>
      <c r="I52" s="36">
        <f>IFERROR(('연간'!U107)/I16,"")</f>
        <v/>
      </c>
      <c r="J52" s="36">
        <f>IFERROR(('연간'!V107)/J16,"")</f>
        <v/>
      </c>
      <c r="K52" s="36">
        <f>IFERROR(('연간'!W107)/K16,"")</f>
        <v/>
      </c>
      <c r="L52" s="36">
        <f>IFERROR(('연간'!X107)/L16,"")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IFERROR((IF(COUNT('연간'!G79:J79)&lt;4,"",SUM('연간'!G79:J79)))*(1-0.3)/(C35+C29),"")</f>
        <v/>
      </c>
      <c r="D53" s="36">
        <f>IFERROR((IF(COUNT('연간'!H79:K79)&lt;4,"",SUM('연간'!H79:K79)))*(1-0.3)/(D35+D29),"")</f>
        <v/>
      </c>
      <c r="E53" s="36">
        <f>IFERROR((IF(COUNT('연간'!I79:L79)&lt;4,"",SUM('연간'!I79:L79)))*(1-0.3)/(E35+E29),"")</f>
        <v/>
      </c>
      <c r="F53" s="36">
        <f>IFERROR((IF(COUNT('연간'!J79:M79)&lt;4,"",SUM('연간'!J79:M79)))*(1-0.3)/(F35+F29),"")</f>
        <v/>
      </c>
      <c r="G53" s="36">
        <f>IFERROR((IF(COUNT('연간'!K79:N79)&lt;4,"",SUM('연간'!K79:N79)))*(1-0.3)/(G35+G29),"")</f>
        <v/>
      </c>
      <c r="H53" s="35">
        <f>IFERROR(('연간'!T79)*(1-0.3)/(H35+H29),"")</f>
        <v/>
      </c>
      <c r="I53" s="36">
        <f>IFERROR(('연간'!U79)*(1-0.3)/(I35+I29),"")</f>
        <v/>
      </c>
      <c r="J53" s="36">
        <f>IFERROR(('연간'!V79)*(1-0.3)/(J35+J29),"")</f>
        <v/>
      </c>
      <c r="K53" s="36">
        <f>IFERROR(('연간'!W79)*(1-0.3)/(K35+K29),"")</f>
        <v/>
      </c>
      <c r="L53" s="36">
        <f>IFERROR(('연간'!X79)*(1-0.3)/(L35+L29),"")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IFERROR((IF(COUNT('연간'!G73:J73)&lt;4,"",SUM('연간'!G73:J73)))/(IF(COUNT('연간'!G4:J4)&lt;4,"",SUM('연간'!G4:J4))),"")</f>
        <v/>
      </c>
      <c r="D54" s="36">
        <f>IFERROR((IF(COUNT('연간'!H73:K73)&lt;4,"",SUM('연간'!H73:K73)))/(IF(COUNT('연간'!H4:K4)&lt;4,"",SUM('연간'!H4:K4))),"")</f>
        <v/>
      </c>
      <c r="E54" s="36">
        <f>IFERROR((IF(COUNT('연간'!I73:L73)&lt;4,"",SUM('연간'!I73:L73)))/(IF(COUNT('연간'!I4:L4)&lt;4,"",SUM('연간'!I4:L4))),"")</f>
        <v/>
      </c>
      <c r="F54" s="36">
        <f>IFERROR((IF(COUNT('연간'!J73:M73)&lt;4,"",SUM('연간'!J73:M73)))/(IF(COUNT('연간'!J4:M4)&lt;4,"",SUM('연간'!J4:M4))),"")</f>
        <v/>
      </c>
      <c r="G54" s="36">
        <f>IFERROR((IF(COUNT('연간'!K73:N73)&lt;4,"",SUM('연간'!K73:N73)))/(IF(COUNT('연간'!K4:N4)&lt;4,"",SUM('연간'!K4:N4))),"")</f>
        <v/>
      </c>
      <c r="H54" s="35">
        <f>IFERROR(('연간'!T73)/('연간'!T4),"")</f>
        <v/>
      </c>
      <c r="I54" s="36">
        <f>IFERROR(('연간'!U73)/('연간'!U4),"")</f>
        <v/>
      </c>
      <c r="J54" s="36">
        <f>IFERROR(('연간'!V73)/('연간'!V4),"")</f>
        <v/>
      </c>
      <c r="K54" s="36">
        <f>IFERROR(('연간'!W73)/('연간'!W4),"")</f>
        <v/>
      </c>
      <c r="L54" s="36">
        <f>IFERROR(('연간'!X73)/('연간'!X4),"")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IFERROR((IF(COUNT('연간'!G79:J79)&lt;4,"",SUM('연간'!G79:J79)))/(IF(COUNT('연간'!G4:J4)&lt;4,"",SUM('연간'!G4:J4))),"")</f>
        <v/>
      </c>
      <c r="D55" s="36">
        <f>IFERROR((IF(COUNT('연간'!H79:K79)&lt;4,"",SUM('연간'!H79:K79)))/(IF(COUNT('연간'!H4:K4)&lt;4,"",SUM('연간'!H4:K4))),"")</f>
        <v/>
      </c>
      <c r="E55" s="36">
        <f>IFERROR((IF(COUNT('연간'!I79:L79)&lt;4,"",SUM('연간'!I79:L79)))/(IF(COUNT('연간'!I4:L4)&lt;4,"",SUM('연간'!I4:L4))),"")</f>
        <v/>
      </c>
      <c r="F55" s="36">
        <f>IFERROR((IF(COUNT('연간'!J79:M79)&lt;4,"",SUM('연간'!J79:M79)))/(IF(COUNT('연간'!J4:M4)&lt;4,"",SUM('연간'!J4:M4))),"")</f>
        <v/>
      </c>
      <c r="G55" s="36">
        <f>IFERROR((IF(COUNT('연간'!K79:N79)&lt;4,"",SUM('연간'!K79:N79)))/(IF(COUNT('연간'!K4:N4)&lt;4,"",SUM('연간'!K4:N4))),"")</f>
        <v/>
      </c>
      <c r="H55" s="35">
        <f>IFERROR(('연간'!T79)/('연간'!T4),"")</f>
        <v/>
      </c>
      <c r="I55" s="36">
        <f>IFERROR(('연간'!U79)/('연간'!U4),"")</f>
        <v/>
      </c>
      <c r="J55" s="36">
        <f>IFERROR(('연간'!V79)/('연간'!V4),"")</f>
        <v/>
      </c>
      <c r="K55" s="36">
        <f>IFERROR(('연간'!W79)/('연간'!W4),"")</f>
        <v/>
      </c>
      <c r="L55" s="36">
        <f>IFERROR(('연간'!X79)/('연간'!X4),"")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IFERROR((IF(COUNT('연간'!G107:J107)&lt;4,"",SUM('연간'!G107:J107)))/(IF(COUNT('연간'!G4:J4)&lt;4,"",SUM('연간'!G4:J4))),"")</f>
        <v/>
      </c>
      <c r="D56" s="36">
        <f>IFERROR((IF(COUNT('연간'!H107:K107)&lt;4,"",SUM('연간'!H107:K107)))/(IF(COUNT('연간'!H4:K4)&lt;4,"",SUM('연간'!H4:K4))),"")</f>
        <v/>
      </c>
      <c r="E56" s="36">
        <f>IFERROR((IF(COUNT('연간'!I107:L107)&lt;4,"",SUM('연간'!I107:L107)))/(IF(COUNT('연간'!I4:L4)&lt;4,"",SUM('연간'!I4:L4))),"")</f>
        <v/>
      </c>
      <c r="F56" s="36">
        <f>IFERROR((IF(COUNT('연간'!J107:M107)&lt;4,"",SUM('연간'!J107:M107)))/(IF(COUNT('연간'!J4:M4)&lt;4,"",SUM('연간'!J4:M4))),"")</f>
        <v/>
      </c>
      <c r="G56" s="36">
        <f>IFERROR((IF(COUNT('연간'!K107:N107)&lt;4,"",SUM('연간'!K107:N107)))/(IF(COUNT('연간'!K4:N4)&lt;4,"",SUM('연간'!K4:N4))),"")</f>
        <v/>
      </c>
      <c r="H56" s="35">
        <f>IFERROR(('연간'!T107)/('연간'!T4),"")</f>
        <v/>
      </c>
      <c r="I56" s="36">
        <f>IFERROR(('연간'!U107)/('연간'!U4),"")</f>
        <v/>
      </c>
      <c r="J56" s="36">
        <f>IFERROR(('연간'!V107)/('연간'!V4),"")</f>
        <v/>
      </c>
      <c r="K56" s="36">
        <f>IFERROR(('연간'!W107)/('연간'!W4),"")</f>
        <v/>
      </c>
      <c r="L56" s="36">
        <f>IFERROR(('연간'!X107)/('연간'!X4),"")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IFERROR(C9/(IF(COUNT('연간'!G71:J71)&lt;4,"",SUM('연간'!G71:J71)))*365,"")</f>
        <v/>
      </c>
      <c r="D60" s="49">
        <f>IFERROR(D9/(IF(COUNT('연간'!H71:K71)&lt;4,"",SUM('연간'!H71:K71)))*365,"")</f>
        <v/>
      </c>
      <c r="E60" s="49">
        <f>IFERROR(E9/(IF(COUNT('연간'!I71:L71)&lt;4,"",SUM('연간'!I71:L71)))*365,"")</f>
        <v/>
      </c>
      <c r="F60" s="49">
        <f>IFERROR(F9/(IF(COUNT('연간'!J71:M71)&lt;4,"",SUM('연간'!J71:M71)))*365,"")</f>
        <v/>
      </c>
      <c r="G60" s="49">
        <f>IFERROR(G9/(IF(COUNT('연간'!K71:N71)&lt;4,"",SUM('연간'!K71:N71)))*365,"")</f>
        <v/>
      </c>
      <c r="H60" s="48">
        <f>IFERROR(H9/('연간'!T71)*365,"")</f>
        <v/>
      </c>
      <c r="I60" s="49">
        <f>IFERROR(I9/('연간'!U71)*365,"")</f>
        <v/>
      </c>
      <c r="J60" s="49">
        <f>IFERROR(J9/('연간'!V71)*365,"")</f>
        <v/>
      </c>
      <c r="K60" s="49">
        <f>IFERROR(K9/('연간'!W71)*365,"")</f>
        <v/>
      </c>
      <c r="L60" s="49">
        <f>IFERROR(L9/('연간'!X71)*365,"")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IFERROR(C19/(IF(COUNT('연간'!G71:J71)&lt;4,"",SUM('연간'!G71:J71)))*365,"")</f>
        <v/>
      </c>
      <c r="D61" s="49">
        <f>IFERROR(D19/(IF(COUNT('연간'!H71:K71)&lt;4,"",SUM('연간'!H71:K71)))*365,"")</f>
        <v/>
      </c>
      <c r="E61" s="49">
        <f>IFERROR(E19/(IF(COUNT('연간'!I71:L71)&lt;4,"",SUM('연간'!I71:L71)))*365,"")</f>
        <v/>
      </c>
      <c r="F61" s="49">
        <f>IFERROR(F19/(IF(COUNT('연간'!J71:M71)&lt;4,"",SUM('연간'!J71:M71)))*365,"")</f>
        <v/>
      </c>
      <c r="G61" s="49">
        <f>IFERROR(G19/(IF(COUNT('연간'!K71:N71)&lt;4,"",SUM('연간'!K71:N71)))*365,"")</f>
        <v/>
      </c>
      <c r="H61" s="48">
        <f>IFERROR(H19/('연간'!T71)*365,"")</f>
        <v/>
      </c>
      <c r="I61" s="49">
        <f>IFERROR(I19/('연간'!U71)*365,"")</f>
        <v/>
      </c>
      <c r="J61" s="49">
        <f>IFERROR(J19/('연간'!V71)*365,"")</f>
        <v/>
      </c>
      <c r="K61" s="49">
        <f>IFERROR(K19/('연간'!W71)*365,"")</f>
        <v/>
      </c>
      <c r="L61" s="49">
        <f>IFERROR(L19/('연간'!X71)*365,"")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IF(C37="","",IFERROR(C37/(IF(COUNT('연간'!G107:J107)&lt;4,"",SUM('연간'!G107:J107))),""))</f>
        <v/>
      </c>
      <c r="D64" s="31">
        <f>IF(D37="","",IFERROR(D37/(IF(COUNT('연간'!H107:K107)&lt;4,"",SUM('연간'!H107:K107))),""))</f>
        <v/>
      </c>
      <c r="E64" s="31">
        <f>IF(E37="","",IFERROR(E37/(IF(COUNT('연간'!I107:L107)&lt;4,"",SUM('연간'!I107:L107))),""))</f>
        <v/>
      </c>
      <c r="F64" s="31">
        <f>IF(F37="","",IFERROR(F37/(IF(COUNT('연간'!J107:M107)&lt;4,"",SUM('연간'!J107:M107))),""))</f>
        <v/>
      </c>
      <c r="G64" s="31">
        <f>IF(G37="","",IFERROR(G37/(IF(COUNT('연간'!K107:N107)&lt;4,"",SUM('연간'!K107:N107))),""))</f>
        <v/>
      </c>
      <c r="H64" s="30">
        <f>IF(H37="","",IFERROR(H37/('연간'!T107),""))</f>
        <v/>
      </c>
      <c r="I64" s="31">
        <f>IF(I37="","",IFERROR(I37/('연간'!U107),""))</f>
        <v/>
      </c>
      <c r="J64" s="31">
        <f>IF(J37="","",IFERROR(J37/('연간'!V107),""))</f>
        <v/>
      </c>
      <c r="K64" s="31">
        <f>IF(K37="","",IFERROR(K37/('연간'!W107),""))</f>
        <v/>
      </c>
      <c r="L64" s="31">
        <f>IF(L37="","",IFERROR(L37/('연간'!X107),""))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IF(C40="","",IFERROR(C40/(IF(COUNT('연간'!G109:J109)&lt;4,"",SUM('연간'!G109:J109))),""))</f>
        <v/>
      </c>
      <c r="D67" s="36">
        <f>IF(D40="","",IFERROR(D40/(IF(COUNT('연간'!H109:K109)&lt;4,"",SUM('연간'!H109:K109))),""))</f>
        <v/>
      </c>
      <c r="E67" s="36">
        <f>IF(E40="","",IFERROR(E40/(IF(COUNT('연간'!I109:L109)&lt;4,"",SUM('연간'!I109:L109))),""))</f>
        <v/>
      </c>
      <c r="F67" s="36">
        <f>IF(F40="","",IFERROR(F40/(IF(COUNT('연간'!J109:M109)&lt;4,"",SUM('연간'!J109:M109))),""))</f>
        <v/>
      </c>
      <c r="G67" s="36">
        <f>IF(G40="","",IFERROR(G40/(IF(COUNT('연간'!K109:N109)&lt;4,"",SUM('연간'!K109:N109))),""))</f>
        <v/>
      </c>
      <c r="H67" s="35">
        <f>IF(H40="","",IFERROR(H40/('연간'!T109),""))</f>
        <v/>
      </c>
      <c r="I67" s="36">
        <f>IF(I40="","",IFERROR(I40/('연간'!U109),""))</f>
        <v/>
      </c>
      <c r="J67" s="36">
        <f>IF(J40="","",IFERROR(J40/('연간'!V109),""))</f>
        <v/>
      </c>
      <c r="K67" s="36">
        <f>IF(K40="","",IFERROR(K40/('연간'!W109),""))</f>
        <v/>
      </c>
      <c r="L67" s="36">
        <f>IF(L40="","",IFERROR(L40/('연간'!X109),""))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95050</v>
      </c>
      <c r="D71" s="20" t="n">
        <v>100378</v>
      </c>
      <c r="E71" s="20" t="n">
        <v>132855</v>
      </c>
      <c r="F71" s="20" t="n">
        <v>101271</v>
      </c>
      <c r="G71" s="20" t="n">
        <v>115130</v>
      </c>
      <c r="H71" s="20" t="n">
        <v>90536</v>
      </c>
      <c r="I71" s="20" t="n">
        <v>98123</v>
      </c>
      <c r="J71" s="20" t="n">
        <v>103546</v>
      </c>
      <c r="K71" s="20" t="n">
        <v>122750</v>
      </c>
      <c r="L71" s="20" t="n">
        <v>132855</v>
      </c>
    </row>
    <row r="72">
      <c r="A72" s="18" t="inlineStr">
        <is>
          <t>받을어음·매출채권·계약자산</t>
        </is>
      </c>
      <c r="C72" s="20" t="n">
        <v>95684</v>
      </c>
      <c r="D72" s="20" t="n">
        <v>105567</v>
      </c>
      <c r="E72" s="20" t="n">
        <v>103192</v>
      </c>
      <c r="F72" s="20" t="n">
        <v>88889</v>
      </c>
      <c r="G72" s="20" t="n">
        <v>102097</v>
      </c>
      <c r="H72" s="20" t="n">
        <v>94802</v>
      </c>
      <c r="I72" s="20" t="n">
        <v>99391</v>
      </c>
      <c r="J72" s="20" t="n">
        <v>99720</v>
      </c>
      <c r="K72" s="20" t="n">
        <v>101468</v>
      </c>
      <c r="L72" s="20" t="n">
        <v>103192</v>
      </c>
    </row>
    <row r="73">
      <c r="A73" s="18" t="inlineStr">
        <is>
          <t>상품·제품</t>
        </is>
      </c>
      <c r="C73" s="20" t="n">
        <v>86165</v>
      </c>
      <c r="D73" s="20" t="n">
        <v>80261</v>
      </c>
      <c r="E73" s="20" t="n">
        <v>80027</v>
      </c>
      <c r="F73" s="20" t="n">
        <v>87033</v>
      </c>
      <c r="G73" s="20" t="n">
        <v>86293</v>
      </c>
      <c r="H73" s="20" t="n">
        <v>73440</v>
      </c>
      <c r="I73" s="20" t="n">
        <v>100639</v>
      </c>
      <c r="J73" s="20" t="n">
        <v>91412</v>
      </c>
      <c r="K73" s="20" t="n">
        <v>91992</v>
      </c>
      <c r="L73" s="20" t="n">
        <v>80027</v>
      </c>
    </row>
    <row r="74">
      <c r="A74" s="18" t="inlineStr">
        <is>
          <t>재공품</t>
        </is>
      </c>
      <c r="C74" s="20" t="n">
        <v>15746</v>
      </c>
      <c r="D74" s="20" t="n">
        <v>15566</v>
      </c>
      <c r="E74" s="20" t="n">
        <v>15330</v>
      </c>
      <c r="F74" s="20" t="n">
        <v>16741</v>
      </c>
      <c r="G74" s="20" t="n">
        <v>17116</v>
      </c>
      <c r="H74" s="20" t="n">
        <v>14167</v>
      </c>
      <c r="I74" s="20" t="n">
        <v>16500</v>
      </c>
      <c r="J74" s="20" t="n">
        <v>16309</v>
      </c>
      <c r="K74" s="20" t="n">
        <v>15996</v>
      </c>
      <c r="L74" s="20" t="n">
        <v>15330</v>
      </c>
    </row>
    <row r="75">
      <c r="A75" s="18" t="inlineStr">
        <is>
          <t>원재료·저장품</t>
        </is>
      </c>
      <c r="C75" s="20" t="n">
        <v>25874</v>
      </c>
      <c r="D75" s="20" t="n">
        <v>26432</v>
      </c>
      <c r="E75" s="20" t="n">
        <v>26258</v>
      </c>
      <c r="F75" s="20" t="n">
        <v>26964</v>
      </c>
      <c r="G75" s="20" t="n">
        <v>29869</v>
      </c>
      <c r="H75" s="20" t="n">
        <v>21847</v>
      </c>
      <c r="I75" s="20" t="n">
        <v>28466</v>
      </c>
      <c r="J75" s="20" t="n">
        <v>25756</v>
      </c>
      <c r="K75" s="20" t="n">
        <v>26641</v>
      </c>
      <c r="L75" s="20" t="n">
        <v>26258</v>
      </c>
    </row>
    <row r="76">
      <c r="A76" s="18" t="inlineStr">
        <is>
          <t>기타</t>
        </is>
      </c>
      <c r="C76" s="20" t="n">
        <v>14198</v>
      </c>
      <c r="D76" s="20" t="n">
        <v>13743</v>
      </c>
      <c r="E76" s="20" t="n">
        <v>14674</v>
      </c>
      <c r="F76" s="20" t="n">
        <v>16786</v>
      </c>
      <c r="G76" s="20" t="n">
        <v>17570</v>
      </c>
      <c r="H76" s="20" t="n">
        <v>13043</v>
      </c>
      <c r="I76" s="20" t="n">
        <v>16412</v>
      </c>
      <c r="J76" s="20" t="n">
        <v>17648</v>
      </c>
      <c r="K76" s="20" t="n">
        <v>16217</v>
      </c>
      <c r="L76" s="20" t="n">
        <v>14674</v>
      </c>
    </row>
    <row r="77">
      <c r="A77" s="18" t="inlineStr">
        <is>
          <t>대손충당금</t>
        </is>
      </c>
      <c r="C77" s="20" t="n">
        <v>-232</v>
      </c>
      <c r="D77" s="20" t="n">
        <v>-235</v>
      </c>
      <c r="E77" s="20" t="n">
        <v>-237</v>
      </c>
      <c r="F77" s="20" t="n">
        <v>-240</v>
      </c>
      <c r="G77" s="20" t="n">
        <v>-236</v>
      </c>
      <c r="H77" s="20" t="n">
        <v>-213</v>
      </c>
      <c r="I77" s="20" t="n">
        <v>-245</v>
      </c>
      <c r="J77" s="20" t="n">
        <v>-364</v>
      </c>
      <c r="K77" s="20" t="n">
        <v>-495</v>
      </c>
      <c r="L77" s="20" t="n">
        <v>-237</v>
      </c>
    </row>
    <row r="78">
      <c r="A78" s="9" t="inlineStr">
        <is>
          <t>유동자산 합계</t>
        </is>
      </c>
      <c r="C78" s="12" t="n">
        <v>332487</v>
      </c>
      <c r="D78" s="12" t="n">
        <v>341714</v>
      </c>
      <c r="E78" s="12" t="n">
        <v>372102</v>
      </c>
      <c r="F78" s="12" t="n">
        <v>337448</v>
      </c>
      <c r="G78" s="12" t="n">
        <v>367841</v>
      </c>
      <c r="H78" s="12" t="n">
        <v>307623</v>
      </c>
      <c r="I78" s="12" t="n">
        <v>359288</v>
      </c>
      <c r="J78" s="12" t="n">
        <v>354030</v>
      </c>
      <c r="K78" s="12" t="n">
        <v>374570</v>
      </c>
      <c r="L78" s="12" t="n">
        <v>372102</v>
      </c>
    </row>
    <row r="79">
      <c r="A79" s="18" t="inlineStr">
        <is>
          <t>건물·구축물(순액)</t>
        </is>
      </c>
      <c r="C79" s="20" t="n">
        <v>95022</v>
      </c>
      <c r="D79" s="20" t="n">
        <v>95276</v>
      </c>
      <c r="E79" s="20" t="n">
        <v>108030</v>
      </c>
      <c r="F79" s="20" t="n">
        <v>107951</v>
      </c>
      <c r="G79" s="20" t="n">
        <v>108436</v>
      </c>
      <c r="H79" s="20" t="n">
        <v>90759</v>
      </c>
      <c r="I79" s="20" t="n">
        <v>93652</v>
      </c>
      <c r="J79" s="20" t="n">
        <v>94784</v>
      </c>
      <c r="K79" s="20" t="n">
        <v>99505</v>
      </c>
      <c r="L79" s="20" t="n">
        <v>108030</v>
      </c>
    </row>
    <row r="80">
      <c r="A80" s="18" t="inlineStr">
        <is>
          <t>기계장치·운반구(순액)</t>
        </is>
      </c>
      <c r="C80" s="20" t="n">
        <v>77560</v>
      </c>
      <c r="D80" s="20" t="n">
        <v>77237</v>
      </c>
      <c r="E80" s="20" t="n">
        <v>77420</v>
      </c>
      <c r="F80" s="20" t="n">
        <v>76414</v>
      </c>
      <c r="G80" s="20" t="n">
        <v>92155</v>
      </c>
      <c r="H80" s="20" t="n">
        <v>79727</v>
      </c>
      <c r="I80" s="20" t="n">
        <v>90177</v>
      </c>
      <c r="J80" s="20" t="n">
        <v>89000</v>
      </c>
      <c r="K80" s="20" t="n">
        <v>81362</v>
      </c>
      <c r="L80" s="20" t="n">
        <v>77420</v>
      </c>
    </row>
    <row r="81">
      <c r="A81" s="18" t="inlineStr">
        <is>
          <t>토지</t>
        </is>
      </c>
      <c r="C81" s="20" t="n">
        <v>26874</v>
      </c>
      <c r="D81" s="20" t="n">
        <v>26943</v>
      </c>
      <c r="E81" s="20" t="n">
        <v>27056</v>
      </c>
      <c r="F81" s="20" t="n">
        <v>26940</v>
      </c>
      <c r="G81" s="20" t="n">
        <v>26961</v>
      </c>
      <c r="H81" s="20" t="n">
        <v>26918</v>
      </c>
      <c r="I81" s="20" t="n">
        <v>26695</v>
      </c>
      <c r="J81" s="20" t="n">
        <v>26754</v>
      </c>
      <c r="K81" s="20" t="n">
        <v>26988</v>
      </c>
      <c r="L81" s="20" t="n">
        <v>27056</v>
      </c>
    </row>
    <row r="82">
      <c r="A82" s="18" t="inlineStr">
        <is>
          <t>건설중인자산</t>
        </is>
      </c>
      <c r="E82" s="20" t="n">
        <v>35139</v>
      </c>
      <c r="H82" s="20" t="n">
        <v>18404</v>
      </c>
      <c r="I82" s="20" t="n">
        <v>9541</v>
      </c>
      <c r="J82" s="20" t="n">
        <v>36473</v>
      </c>
      <c r="K82" s="20" t="n">
        <v>31394</v>
      </c>
      <c r="L82" s="20" t="n">
        <v>35139</v>
      </c>
    </row>
    <row r="83">
      <c r="A83" s="18" t="inlineStr">
        <is>
          <t>기타(순액)</t>
        </is>
      </c>
      <c r="C83" s="20" t="n">
        <v>50757</v>
      </c>
      <c r="D83" s="20" t="n">
        <v>59727</v>
      </c>
      <c r="E83" s="20" t="n">
        <v>55434</v>
      </c>
      <c r="F83" s="20" t="n">
        <v>58603</v>
      </c>
      <c r="G83" s="20" t="n">
        <v>46426</v>
      </c>
      <c r="H83" s="20" t="n">
        <v>16008</v>
      </c>
      <c r="I83" s="20" t="n">
        <v>22433</v>
      </c>
      <c r="J83" s="20" t="n">
        <v>21621</v>
      </c>
      <c r="K83" s="20" t="n">
        <v>22167</v>
      </c>
      <c r="L83" s="20" t="n">
        <v>55434</v>
      </c>
    </row>
    <row r="84">
      <c r="A84" s="18" t="inlineStr">
        <is>
          <t>유형자산 합계</t>
        </is>
      </c>
      <c r="C84" s="20" t="n">
        <v>250215</v>
      </c>
      <c r="D84" s="20" t="n">
        <v>259185</v>
      </c>
      <c r="E84" s="20" t="n">
        <v>267941</v>
      </c>
      <c r="F84" s="20" t="n">
        <v>269910</v>
      </c>
      <c r="G84" s="20" t="n">
        <v>273979</v>
      </c>
      <c r="H84" s="20" t="n">
        <v>231818</v>
      </c>
      <c r="I84" s="20" t="n">
        <v>242500</v>
      </c>
      <c r="J84" s="20" t="n">
        <v>268634</v>
      </c>
      <c r="K84" s="20" t="n">
        <v>261418</v>
      </c>
      <c r="L84" s="20" t="n">
        <v>267941</v>
      </c>
    </row>
    <row r="85">
      <c r="A85" s="18" t="inlineStr">
        <is>
          <t>소프트웨어</t>
        </is>
      </c>
      <c r="E85" s="20" t="n">
        <v>31062</v>
      </c>
      <c r="H85" s="20" t="n">
        <v>17965</v>
      </c>
      <c r="I85" s="20" t="n">
        <v>21556</v>
      </c>
      <c r="J85" s="20" t="n">
        <v>25289</v>
      </c>
      <c r="K85" s="20" t="n">
        <v>28299</v>
      </c>
      <c r="L85" s="20" t="n">
        <v>31062</v>
      </c>
    </row>
    <row r="86">
      <c r="A86" s="18" t="inlineStr">
        <is>
          <t>기타</t>
        </is>
      </c>
      <c r="E86" s="20" t="n">
        <v>7921</v>
      </c>
      <c r="H86" s="20" t="n">
        <v>6078</v>
      </c>
      <c r="I86" s="20" t="n">
        <v>7911</v>
      </c>
      <c r="J86" s="20" t="n">
        <v>8145</v>
      </c>
      <c r="K86" s="20" t="n">
        <v>8160</v>
      </c>
      <c r="L86" s="20" t="n">
        <v>7921</v>
      </c>
    </row>
    <row r="87">
      <c r="A87" s="18" t="inlineStr">
        <is>
          <t>무형자산</t>
        </is>
      </c>
      <c r="C87" s="20" t="n">
        <v>36617</v>
      </c>
      <c r="D87" s="20" t="n">
        <v>37409</v>
      </c>
      <c r="E87" s="20" t="n">
        <v>38983</v>
      </c>
      <c r="F87" s="20" t="n">
        <v>39663</v>
      </c>
      <c r="G87" s="20" t="n">
        <v>39536</v>
      </c>
      <c r="H87" s="20" t="n">
        <v>24043</v>
      </c>
      <c r="I87" s="20" t="n">
        <v>29467</v>
      </c>
      <c r="J87" s="20" t="n">
        <v>33434</v>
      </c>
      <c r="K87" s="20" t="n">
        <v>36460</v>
      </c>
      <c r="L87" s="20" t="n">
        <v>38983</v>
      </c>
    </row>
    <row r="88">
      <c r="A88" s="18" t="inlineStr">
        <is>
          <t>투자유가증권</t>
        </is>
      </c>
      <c r="C88" s="20" t="n">
        <v>68295</v>
      </c>
      <c r="D88" s="20" t="n">
        <v>67735</v>
      </c>
      <c r="E88" s="20" t="n">
        <v>63431</v>
      </c>
      <c r="F88" s="20" t="n">
        <v>74367</v>
      </c>
      <c r="G88" s="20" t="n">
        <v>60496</v>
      </c>
      <c r="H88" s="20" t="n">
        <v>54384</v>
      </c>
      <c r="I88" s="20" t="n">
        <v>60859</v>
      </c>
      <c r="J88" s="20" t="n">
        <v>81216</v>
      </c>
      <c r="K88" s="20" t="n">
        <v>67536</v>
      </c>
      <c r="L88" s="20" t="n">
        <v>63431</v>
      </c>
    </row>
    <row r="89">
      <c r="A89" s="18" t="inlineStr">
        <is>
          <t>장기대여금</t>
        </is>
      </c>
      <c r="E89" s="20" t="n">
        <v>94</v>
      </c>
      <c r="H89" s="20" t="n">
        <v>102</v>
      </c>
      <c r="I89" s="20" t="n">
        <v>99</v>
      </c>
      <c r="J89" s="20" t="n">
        <v>101</v>
      </c>
      <c r="K89" s="20" t="n">
        <v>99</v>
      </c>
      <c r="L89" s="20" t="n">
        <v>94</v>
      </c>
    </row>
    <row r="90">
      <c r="A90" s="18" t="inlineStr">
        <is>
          <t>보증금</t>
        </is>
      </c>
      <c r="E90" s="20" t="n">
        <v>6578</v>
      </c>
      <c r="H90" s="20" t="n">
        <v>6679</v>
      </c>
      <c r="I90" s="20" t="n">
        <v>6700</v>
      </c>
      <c r="J90" s="20" t="n">
        <v>6695</v>
      </c>
      <c r="K90" s="20" t="n">
        <v>6673</v>
      </c>
      <c r="L90" s="20" t="n">
        <v>6578</v>
      </c>
    </row>
    <row r="91">
      <c r="A91" s="18" t="inlineStr">
        <is>
          <t>퇴직급여자산</t>
        </is>
      </c>
      <c r="E91" s="20" t="n">
        <v>72393</v>
      </c>
      <c r="H91" s="20" t="n">
        <v>11856</v>
      </c>
      <c r="I91" s="20" t="n">
        <v>27918</v>
      </c>
      <c r="J91" s="20" t="n">
        <v>41292</v>
      </c>
      <c r="K91" s="20" t="n">
        <v>61428</v>
      </c>
      <c r="L91" s="20" t="n">
        <v>72393</v>
      </c>
    </row>
    <row r="92">
      <c r="A92" s="18" t="inlineStr">
        <is>
          <t>이연법인세자산</t>
        </is>
      </c>
      <c r="E92" s="20" t="n">
        <v>3004</v>
      </c>
      <c r="H92" s="20" t="n">
        <v>2169</v>
      </c>
      <c r="I92" s="20" t="n">
        <v>2335</v>
      </c>
      <c r="J92" s="20" t="n">
        <v>2571</v>
      </c>
      <c r="K92" s="20" t="n">
        <v>3413</v>
      </c>
      <c r="L92" s="20" t="n">
        <v>3004</v>
      </c>
    </row>
    <row r="93">
      <c r="A93" s="18" t="inlineStr">
        <is>
          <t>기타</t>
        </is>
      </c>
      <c r="C93" s="20" t="n">
        <v>77143</v>
      </c>
      <c r="D93" s="20" t="n">
        <v>78587</v>
      </c>
      <c r="E93" s="20" t="n">
        <v>85424</v>
      </c>
      <c r="F93" s="20" t="n">
        <v>87097</v>
      </c>
      <c r="G93" s="20" t="n">
        <v>88893</v>
      </c>
      <c r="H93" s="20" t="n">
        <v>2558</v>
      </c>
      <c r="I93" s="20" t="n">
        <v>2637</v>
      </c>
      <c r="J93" s="20" t="n">
        <v>2460</v>
      </c>
      <c r="K93" s="20" t="n">
        <v>2497</v>
      </c>
      <c r="L93" s="20" t="n">
        <v>85424</v>
      </c>
    </row>
    <row r="94">
      <c r="A94" s="18" t="inlineStr">
        <is>
          <t>대손충당금</t>
        </is>
      </c>
      <c r="C94" s="20" t="n">
        <v>-387</v>
      </c>
      <c r="D94" s="20" t="n">
        <v>-390</v>
      </c>
      <c r="E94" s="20" t="n">
        <v>-400</v>
      </c>
      <c r="F94" s="20" t="n">
        <v>-404</v>
      </c>
      <c r="G94" s="20" t="n">
        <v>-405</v>
      </c>
      <c r="H94" s="20" t="n">
        <v>-211</v>
      </c>
      <c r="I94" s="20" t="n">
        <v>-170</v>
      </c>
      <c r="J94" s="20" t="n">
        <v>-182</v>
      </c>
      <c r="K94" s="20" t="n">
        <v>-173</v>
      </c>
      <c r="L94" s="20" t="n">
        <v>-400</v>
      </c>
    </row>
    <row r="95">
      <c r="A95" s="18" t="inlineStr">
        <is>
          <t>투자 및 기타자산 합계</t>
        </is>
      </c>
      <c r="C95" s="20" t="n">
        <v>145050</v>
      </c>
      <c r="D95" s="20" t="n">
        <v>145931</v>
      </c>
      <c r="E95" s="20" t="n">
        <v>148455</v>
      </c>
      <c r="F95" s="20" t="n">
        <v>161060</v>
      </c>
      <c r="G95" s="20" t="n">
        <v>148984</v>
      </c>
      <c r="H95" s="20" t="n">
        <v>77539</v>
      </c>
      <c r="I95" s="20" t="n">
        <v>100380</v>
      </c>
      <c r="J95" s="20" t="n">
        <v>134155</v>
      </c>
      <c r="K95" s="20" t="n">
        <v>141475</v>
      </c>
      <c r="L95" s="20" t="n">
        <v>148455</v>
      </c>
    </row>
    <row r="96">
      <c r="A96" s="9" t="inlineStr">
        <is>
          <t>비유동자산 합계</t>
        </is>
      </c>
      <c r="C96" s="12" t="n">
        <v>431884</v>
      </c>
      <c r="D96" s="12" t="n">
        <v>442527</v>
      </c>
      <c r="E96" s="12" t="n">
        <v>455380</v>
      </c>
      <c r="F96" s="12" t="n">
        <v>470633</v>
      </c>
      <c r="G96" s="12" t="n">
        <v>462500</v>
      </c>
      <c r="H96" s="12" t="n">
        <v>333401</v>
      </c>
      <c r="I96" s="12" t="n">
        <v>372349</v>
      </c>
      <c r="J96" s="12" t="n">
        <v>436224</v>
      </c>
      <c r="K96" s="12" t="n">
        <v>439354</v>
      </c>
      <c r="L96" s="12" t="n">
        <v>455380</v>
      </c>
    </row>
    <row r="97">
      <c r="A97" s="9" t="inlineStr">
        <is>
          <t>자산 합계</t>
        </is>
      </c>
      <c r="C97" s="12" t="n">
        <v>764371</v>
      </c>
      <c r="D97" s="12" t="n">
        <v>784242</v>
      </c>
      <c r="E97" s="12" t="n">
        <v>827483</v>
      </c>
      <c r="F97" s="12" t="n">
        <v>808081</v>
      </c>
      <c r="G97" s="12" t="n">
        <v>830342</v>
      </c>
      <c r="H97" s="12" t="n">
        <v>641025</v>
      </c>
      <c r="I97" s="12" t="n">
        <v>731638</v>
      </c>
      <c r="J97" s="12" t="n">
        <v>790255</v>
      </c>
      <c r="K97" s="12" t="n">
        <v>813924</v>
      </c>
      <c r="L97" s="12" t="n">
        <v>827483</v>
      </c>
    </row>
    <row r="98">
      <c r="A98" s="18" t="inlineStr">
        <is>
          <t>지급어음·매입채무</t>
        </is>
      </c>
      <c r="C98" s="20" t="n">
        <v>77433</v>
      </c>
      <c r="D98" s="20" t="n">
        <v>78087</v>
      </c>
      <c r="E98" s="20" t="n">
        <v>80716</v>
      </c>
      <c r="F98" s="20" t="n">
        <v>71424</v>
      </c>
      <c r="G98" s="20" t="n">
        <v>73344</v>
      </c>
      <c r="H98" s="20" t="n">
        <v>78521</v>
      </c>
      <c r="I98" s="20" t="n">
        <v>85047</v>
      </c>
      <c r="J98" s="20" t="n">
        <v>76691</v>
      </c>
      <c r="K98" s="20" t="n">
        <v>82583</v>
      </c>
      <c r="L98" s="20" t="n">
        <v>80716</v>
      </c>
    </row>
    <row r="99">
      <c r="A99" s="18" t="inlineStr">
        <is>
          <t>단기차입금</t>
        </is>
      </c>
      <c r="C99" s="20" t="n">
        <v>23159</v>
      </c>
      <c r="D99" s="20" t="n">
        <v>23159</v>
      </c>
      <c r="E99" s="20" t="n">
        <v>23271</v>
      </c>
      <c r="F99" s="20" t="n">
        <v>23273</v>
      </c>
      <c r="G99" s="20" t="n">
        <v>23265</v>
      </c>
      <c r="H99" s="20" t="n">
        <v>23714</v>
      </c>
      <c r="I99" s="20" t="n">
        <v>23135</v>
      </c>
      <c r="J99" s="20" t="n">
        <v>23218</v>
      </c>
      <c r="K99" s="20" t="n">
        <v>23657</v>
      </c>
      <c r="L99" s="20" t="n">
        <v>23271</v>
      </c>
    </row>
    <row r="100">
      <c r="A100" s="18" t="inlineStr">
        <is>
          <t>기업어음(CP)</t>
        </is>
      </c>
      <c r="E100" s="20" t="n">
        <v>43200</v>
      </c>
      <c r="H100" s="20" t="n">
        <v>13200</v>
      </c>
      <c r="I100" s="20" t="n">
        <v>43200</v>
      </c>
      <c r="J100" s="20" t="n">
        <v>43200</v>
      </c>
      <c r="K100" s="20" t="n">
        <v>43200</v>
      </c>
      <c r="L100" s="20" t="n">
        <v>43200</v>
      </c>
    </row>
    <row r="101">
      <c r="A101" s="18" t="inlineStr">
        <is>
          <t>미지급금</t>
        </is>
      </c>
      <c r="E101" s="20" t="n">
        <v>16957</v>
      </c>
      <c r="H101" s="20" t="n">
        <v>14082</v>
      </c>
      <c r="I101" s="20" t="n">
        <v>10854</v>
      </c>
      <c r="J101" s="20" t="n">
        <v>12614</v>
      </c>
      <c r="K101" s="20" t="n">
        <v>13138</v>
      </c>
      <c r="L101" s="20" t="n">
        <v>16957</v>
      </c>
    </row>
    <row r="102">
      <c r="A102" s="18" t="inlineStr">
        <is>
          <t>미지급비용</t>
        </is>
      </c>
      <c r="E102" s="20" t="n">
        <v>40567</v>
      </c>
      <c r="H102" s="20" t="n">
        <v>33899</v>
      </c>
      <c r="I102" s="20" t="n">
        <v>37773</v>
      </c>
      <c r="J102" s="20" t="n">
        <v>37541</v>
      </c>
      <c r="K102" s="20" t="n">
        <v>38034</v>
      </c>
      <c r="L102" s="20" t="n">
        <v>40567</v>
      </c>
    </row>
    <row r="103">
      <c r="A103" s="18" t="inlineStr">
        <is>
          <t>미지급법인세</t>
        </is>
      </c>
      <c r="C103" s="20" t="n">
        <v>5381</v>
      </c>
      <c r="D103" s="20" t="n">
        <v>4004</v>
      </c>
      <c r="E103" s="20" t="n">
        <v>11701</v>
      </c>
      <c r="F103" s="20" t="n">
        <v>2499</v>
      </c>
      <c r="G103" s="20" t="n">
        <v>6701</v>
      </c>
      <c r="H103" s="20" t="n">
        <v>5533</v>
      </c>
      <c r="I103" s="20" t="n">
        <v>6201</v>
      </c>
      <c r="J103" s="20" t="n">
        <v>4359</v>
      </c>
      <c r="K103" s="20" t="n">
        <v>8207</v>
      </c>
      <c r="L103" s="20" t="n">
        <v>11701</v>
      </c>
    </row>
    <row r="104">
      <c r="A104" s="18" t="inlineStr">
        <is>
          <t>미지급 소비세</t>
        </is>
      </c>
      <c r="E104" s="20" t="n">
        <v>1931</v>
      </c>
      <c r="H104" s="20" t="n">
        <v>2176</v>
      </c>
      <c r="I104" s="20" t="n">
        <v>1189</v>
      </c>
      <c r="J104" s="20" t="n">
        <v>4926</v>
      </c>
      <c r="K104" s="20" t="n">
        <v>2127</v>
      </c>
      <c r="L104" s="20" t="n">
        <v>1931</v>
      </c>
    </row>
    <row r="105">
      <c r="A105" s="18" t="inlineStr">
        <is>
          <t>임원 상여충당금</t>
        </is>
      </c>
      <c r="C105" s="20" t="n">
        <v>94</v>
      </c>
      <c r="D105" s="20" t="n">
        <v>147</v>
      </c>
      <c r="E105" s="20" t="n">
        <v>294</v>
      </c>
      <c r="F105" s="20" t="n">
        <v>0</v>
      </c>
      <c r="G105" s="20" t="n">
        <v>94</v>
      </c>
      <c r="H105" s="20" t="n">
        <v>290</v>
      </c>
      <c r="I105" s="20" t="n">
        <v>272</v>
      </c>
      <c r="J105" s="20" t="n">
        <v>231</v>
      </c>
      <c r="K105" s="20" t="n">
        <v>215</v>
      </c>
      <c r="L105" s="20" t="n">
        <v>294</v>
      </c>
    </row>
    <row r="106">
      <c r="A106" s="18" t="inlineStr">
        <is>
          <t>Accrual For Loss On Inspection And Repair Of Products</t>
        </is>
      </c>
      <c r="H106" s="20" t="n">
        <v>224</v>
      </c>
      <c r="I106" s="20" t="n">
        <v>779</v>
      </c>
      <c r="J106" s="20" t="n">
        <v>380</v>
      </c>
      <c r="K106" s="20" t="n">
        <v>536</v>
      </c>
    </row>
    <row r="107">
      <c r="A107" s="18" t="inlineStr">
        <is>
          <t>Accrual For Loss On Inspection And Repair Of Products CL</t>
        </is>
      </c>
      <c r="C107" s="20" t="n">
        <v>396</v>
      </c>
      <c r="D107" s="20" t="n">
        <v>337</v>
      </c>
      <c r="E107" s="20" t="n">
        <v>299</v>
      </c>
      <c r="F107" s="20" t="n">
        <v>240</v>
      </c>
      <c r="G107" s="20" t="n">
        <v>154</v>
      </c>
      <c r="H107" s="20" t="n">
        <v>224</v>
      </c>
      <c r="I107" s="20" t="n">
        <v>779</v>
      </c>
      <c r="J107" s="20" t="n">
        <v>380</v>
      </c>
      <c r="K107" s="20" t="n">
        <v>536</v>
      </c>
      <c r="L107" s="20" t="n">
        <v>299</v>
      </c>
    </row>
    <row r="108">
      <c r="A108" s="18" t="inlineStr">
        <is>
          <t>Provision For Loss On Business Restructuring</t>
        </is>
      </c>
      <c r="C108" s="20" t="n">
        <v>0</v>
      </c>
      <c r="H108" s="20" t="n">
        <v>189</v>
      </c>
      <c r="I108" s="20" t="n">
        <v>1451</v>
      </c>
      <c r="J108" s="20" t="n">
        <v>551</v>
      </c>
      <c r="K108" s="20" t="n">
        <v>268</v>
      </c>
    </row>
    <row r="109">
      <c r="A109" s="18" t="inlineStr">
        <is>
          <t>Provision For Loss On Business Restructuring CL</t>
        </is>
      </c>
      <c r="D109" s="20" t="n">
        <v>0</v>
      </c>
      <c r="E109" s="20" t="n">
        <v>0</v>
      </c>
      <c r="K109" s="20" t="n">
        <v>268</v>
      </c>
      <c r="L109" s="20" t="n">
        <v>0</v>
      </c>
    </row>
    <row r="110">
      <c r="A110" s="18" t="inlineStr">
        <is>
          <t>기타</t>
        </is>
      </c>
      <c r="C110" s="20" t="n">
        <v>110700</v>
      </c>
      <c r="D110" s="20" t="n">
        <v>112116</v>
      </c>
      <c r="E110" s="20" t="n">
        <v>122110</v>
      </c>
      <c r="F110" s="20" t="n">
        <v>107982</v>
      </c>
      <c r="G110" s="20" t="n">
        <v>118298</v>
      </c>
      <c r="H110" s="20" t="n">
        <v>27638</v>
      </c>
      <c r="I110" s="20" t="n">
        <v>18935</v>
      </c>
      <c r="J110" s="20" t="n">
        <v>20485</v>
      </c>
      <c r="K110" s="20" t="n">
        <v>18812</v>
      </c>
      <c r="L110" s="20" t="n">
        <v>122110</v>
      </c>
    </row>
    <row r="111">
      <c r="A111" s="9" t="inlineStr">
        <is>
          <t>유동부채 합계</t>
        </is>
      </c>
      <c r="C111" s="12" t="n">
        <v>217167</v>
      </c>
      <c r="D111" s="12" t="n">
        <v>217852</v>
      </c>
      <c r="E111" s="12" t="n">
        <v>238392</v>
      </c>
      <c r="F111" s="12" t="n">
        <v>205420</v>
      </c>
      <c r="G111" s="12" t="n">
        <v>221859</v>
      </c>
      <c r="H111" s="12" t="n">
        <v>199471</v>
      </c>
      <c r="I111" s="12" t="n">
        <v>228839</v>
      </c>
      <c r="J111" s="12" t="n">
        <v>224199</v>
      </c>
      <c r="K111" s="12" t="n">
        <v>230782</v>
      </c>
      <c r="L111" s="12" t="n">
        <v>238392</v>
      </c>
    </row>
    <row r="112">
      <c r="A112" s="18" t="inlineStr">
        <is>
          <t>장기차입금</t>
        </is>
      </c>
      <c r="C112" s="20" t="n">
        <v>1515</v>
      </c>
      <c r="D112" s="20" t="n">
        <v>1563</v>
      </c>
      <c r="E112" s="20" t="n">
        <v>1314</v>
      </c>
      <c r="F112" s="20" t="n">
        <v>1322</v>
      </c>
      <c r="G112" s="20" t="n">
        <v>1298</v>
      </c>
      <c r="H112" s="20" t="n">
        <v>1124</v>
      </c>
      <c r="I112" s="20" t="n">
        <v>1583</v>
      </c>
      <c r="J112" s="20" t="n">
        <v>1469</v>
      </c>
      <c r="K112" s="20" t="n">
        <v>1016</v>
      </c>
      <c r="L112" s="20" t="n">
        <v>1314</v>
      </c>
    </row>
    <row r="113">
      <c r="A113" s="18" t="inlineStr">
        <is>
          <t>이연법인세부채</t>
        </is>
      </c>
      <c r="E113" s="20" t="n">
        <v>27070</v>
      </c>
      <c r="I113" s="20" t="n">
        <v>11229</v>
      </c>
      <c r="J113" s="20" t="n">
        <v>25965</v>
      </c>
      <c r="K113" s="20" t="n">
        <v>25119</v>
      </c>
      <c r="L113" s="20" t="n">
        <v>27070</v>
      </c>
    </row>
    <row r="114">
      <c r="A114" s="18" t="inlineStr">
        <is>
          <t>퇴직급여부채</t>
        </is>
      </c>
      <c r="C114" s="20" t="n">
        <v>17439</v>
      </c>
      <c r="D114" s="20" t="n">
        <v>17612</v>
      </c>
      <c r="E114" s="20" t="n">
        <v>16556</v>
      </c>
      <c r="F114" s="20" t="n">
        <v>16655</v>
      </c>
      <c r="G114" s="20" t="n">
        <v>16720</v>
      </c>
      <c r="H114" s="20" t="n">
        <v>21734</v>
      </c>
      <c r="I114" s="20" t="n">
        <v>20573</v>
      </c>
      <c r="J114" s="20" t="n">
        <v>19606</v>
      </c>
      <c r="K114" s="20" t="n">
        <v>17690</v>
      </c>
      <c r="L114" s="20" t="n">
        <v>16556</v>
      </c>
    </row>
    <row r="115">
      <c r="A115" s="18" t="inlineStr">
        <is>
          <t>기타</t>
        </is>
      </c>
      <c r="C115" s="20" t="n">
        <v>34799</v>
      </c>
      <c r="D115" s="20" t="n">
        <v>38344</v>
      </c>
      <c r="E115" s="20" t="n">
        <v>37305</v>
      </c>
      <c r="F115" s="20" t="n">
        <v>43090</v>
      </c>
      <c r="G115" s="20" t="n">
        <v>38334</v>
      </c>
      <c r="H115" s="20" t="n">
        <v>5322</v>
      </c>
      <c r="I115" s="20" t="n">
        <v>8319</v>
      </c>
      <c r="J115" s="20" t="n">
        <v>8457</v>
      </c>
      <c r="K115" s="20" t="n">
        <v>8910</v>
      </c>
      <c r="L115" s="20" t="n">
        <v>37305</v>
      </c>
    </row>
    <row r="116">
      <c r="A116" s="9" t="inlineStr">
        <is>
          <t>비유동부채 합계</t>
        </is>
      </c>
      <c r="C116" s="12" t="n">
        <v>53753</v>
      </c>
      <c r="D116" s="12" t="n">
        <v>57520</v>
      </c>
      <c r="E116" s="12" t="n">
        <v>55176</v>
      </c>
      <c r="F116" s="12" t="n">
        <v>61067</v>
      </c>
      <c r="G116" s="12" t="n">
        <v>56353</v>
      </c>
      <c r="H116" s="12" t="n">
        <v>28181</v>
      </c>
      <c r="I116" s="12" t="n">
        <v>41706</v>
      </c>
      <c r="J116" s="12" t="n">
        <v>55499</v>
      </c>
      <c r="K116" s="12" t="n">
        <v>52737</v>
      </c>
      <c r="L116" s="12" t="n">
        <v>55176</v>
      </c>
    </row>
    <row r="117">
      <c r="A117" s="9" t="inlineStr">
        <is>
          <t>부채 합계</t>
        </is>
      </c>
      <c r="C117" s="12" t="n">
        <v>270921</v>
      </c>
      <c r="D117" s="12" t="n">
        <v>275373</v>
      </c>
      <c r="E117" s="12" t="n">
        <v>293568</v>
      </c>
      <c r="F117" s="12" t="n">
        <v>266488</v>
      </c>
      <c r="G117" s="12" t="n">
        <v>278212</v>
      </c>
      <c r="H117" s="12" t="n">
        <v>227652</v>
      </c>
      <c r="I117" s="12" t="n">
        <v>270546</v>
      </c>
      <c r="J117" s="12" t="n">
        <v>279699</v>
      </c>
      <c r="K117" s="12" t="n">
        <v>283519</v>
      </c>
      <c r="L117" s="12" t="n">
        <v>293568</v>
      </c>
    </row>
    <row r="118">
      <c r="A118" s="18" t="inlineStr">
        <is>
          <t>자본금</t>
        </is>
      </c>
      <c r="C118" s="20" t="n">
        <v>35579</v>
      </c>
      <c r="D118" s="20" t="n">
        <v>35579</v>
      </c>
      <c r="E118" s="20" t="n">
        <v>35579</v>
      </c>
      <c r="F118" s="20" t="n">
        <v>35579</v>
      </c>
      <c r="G118" s="20" t="n">
        <v>35579</v>
      </c>
      <c r="H118" s="20" t="n">
        <v>35579</v>
      </c>
      <c r="I118" s="20" t="n">
        <v>35579</v>
      </c>
      <c r="J118" s="20" t="n">
        <v>35579</v>
      </c>
      <c r="K118" s="20" t="n">
        <v>35579</v>
      </c>
      <c r="L118" s="20" t="n">
        <v>35579</v>
      </c>
    </row>
    <row r="119">
      <c r="A119" s="18" t="inlineStr">
        <is>
          <t>자본잉여금</t>
        </is>
      </c>
      <c r="C119" s="20" t="n">
        <v>29216</v>
      </c>
      <c r="D119" s="20" t="n">
        <v>29216</v>
      </c>
      <c r="E119" s="20" t="n">
        <v>29216</v>
      </c>
      <c r="F119" s="20" t="n">
        <v>29216</v>
      </c>
      <c r="G119" s="20" t="n">
        <v>29453</v>
      </c>
      <c r="H119" s="20" t="n">
        <v>29381</v>
      </c>
      <c r="I119" s="20" t="n">
        <v>29430</v>
      </c>
      <c r="J119" s="20" t="n">
        <v>29490</v>
      </c>
      <c r="K119" s="20" t="n">
        <v>29537</v>
      </c>
      <c r="L119" s="20" t="n">
        <v>29216</v>
      </c>
    </row>
    <row r="120">
      <c r="A120" s="18" t="inlineStr">
        <is>
          <t>이익잉여금</t>
        </is>
      </c>
      <c r="C120" s="20" t="n">
        <v>332773</v>
      </c>
      <c r="D120" s="20" t="n">
        <v>344299</v>
      </c>
      <c r="E120" s="20" t="n">
        <v>356012</v>
      </c>
      <c r="F120" s="20" t="n">
        <v>353051</v>
      </c>
      <c r="G120" s="20" t="n">
        <v>367463</v>
      </c>
      <c r="H120" s="20" t="n">
        <v>322980</v>
      </c>
      <c r="I120" s="20" t="n">
        <v>344968</v>
      </c>
      <c r="J120" s="20" t="n">
        <v>365204</v>
      </c>
      <c r="K120" s="20" t="n">
        <v>360408</v>
      </c>
      <c r="L120" s="20" t="n">
        <v>356012</v>
      </c>
    </row>
    <row r="121">
      <c r="A121" s="18" t="inlineStr">
        <is>
          <t>자기주식</t>
        </is>
      </c>
      <c r="C121" s="20" t="n">
        <v>-5176</v>
      </c>
      <c r="D121" s="20" t="n">
        <v>-5175</v>
      </c>
      <c r="E121" s="20" t="n">
        <v>-5168</v>
      </c>
      <c r="F121" s="20" t="n">
        <v>-5168</v>
      </c>
      <c r="G121" s="20" t="n">
        <v>-5070</v>
      </c>
      <c r="H121" s="20" t="n">
        <v>-13793</v>
      </c>
      <c r="I121" s="20" t="n">
        <v>-13715</v>
      </c>
      <c r="J121" s="20" t="n">
        <v>-13653</v>
      </c>
      <c r="K121" s="20" t="n">
        <v>-13590</v>
      </c>
      <c r="L121" s="20" t="n">
        <v>-5168</v>
      </c>
    </row>
    <row r="122">
      <c r="A122" s="9" t="inlineStr">
        <is>
          <t>주주자본 합계</t>
        </is>
      </c>
      <c r="C122" s="12" t="n">
        <v>392392</v>
      </c>
      <c r="D122" s="12" t="n">
        <v>403920</v>
      </c>
      <c r="E122" s="12" t="n">
        <v>415639</v>
      </c>
      <c r="F122" s="12" t="n">
        <v>412679</v>
      </c>
      <c r="G122" s="12" t="n">
        <v>427425</v>
      </c>
      <c r="H122" s="12" t="n">
        <v>374147</v>
      </c>
      <c r="I122" s="12" t="n">
        <v>396262</v>
      </c>
      <c r="J122" s="12" t="n">
        <v>416620</v>
      </c>
      <c r="K122" s="12" t="n">
        <v>411935</v>
      </c>
      <c r="L122" s="12" t="n">
        <v>415639</v>
      </c>
    </row>
    <row r="123">
      <c r="A123" s="18" t="inlineStr">
        <is>
          <t>기타유가증권 평가차액</t>
        </is>
      </c>
      <c r="C123" s="20" t="n">
        <v>28421</v>
      </c>
      <c r="D123" s="20" t="n">
        <v>28924</v>
      </c>
      <c r="E123" s="20" t="n">
        <v>26455</v>
      </c>
      <c r="F123" s="20" t="n">
        <v>34437</v>
      </c>
      <c r="G123" s="20" t="n">
        <v>25576</v>
      </c>
      <c r="H123" s="20" t="n">
        <v>13675</v>
      </c>
      <c r="I123" s="20" t="n">
        <v>17539</v>
      </c>
      <c r="J123" s="20" t="n">
        <v>32546</v>
      </c>
      <c r="K123" s="20" t="n">
        <v>25480</v>
      </c>
      <c r="L123" s="20" t="n">
        <v>26455</v>
      </c>
    </row>
    <row r="124">
      <c r="A124" s="18" t="inlineStr">
        <is>
          <t>해외사업환산조정</t>
        </is>
      </c>
      <c r="C124" s="20" t="n">
        <v>45110</v>
      </c>
      <c r="D124" s="20" t="n">
        <v>48648</v>
      </c>
      <c r="E124" s="20" t="n">
        <v>61750</v>
      </c>
      <c r="F124" s="20" t="n">
        <v>64839</v>
      </c>
      <c r="G124" s="20" t="n">
        <v>69942</v>
      </c>
      <c r="H124" s="20" t="n">
        <v>15735</v>
      </c>
      <c r="I124" s="20" t="n">
        <v>29626</v>
      </c>
      <c r="J124" s="20" t="n">
        <v>39175</v>
      </c>
      <c r="K124" s="20" t="n">
        <v>61541</v>
      </c>
      <c r="L124" s="20" t="n">
        <v>61750</v>
      </c>
    </row>
    <row r="125">
      <c r="A125" s="18" t="inlineStr">
        <is>
          <t>퇴직급여 조정누계액</t>
        </is>
      </c>
      <c r="C125" s="20" t="n">
        <v>21968</v>
      </c>
      <c r="D125" s="20" t="n">
        <v>21423</v>
      </c>
      <c r="E125" s="20" t="n">
        <v>24240</v>
      </c>
      <c r="F125" s="20" t="n">
        <v>23614</v>
      </c>
      <c r="G125" s="20" t="n">
        <v>22982</v>
      </c>
      <c r="H125" s="20" t="n">
        <v>1888</v>
      </c>
      <c r="I125" s="20" t="n">
        <v>10107</v>
      </c>
      <c r="J125" s="20" t="n">
        <v>14130</v>
      </c>
      <c r="K125" s="20" t="n">
        <v>23101</v>
      </c>
      <c r="L125" s="20" t="n">
        <v>24240</v>
      </c>
    </row>
    <row r="126">
      <c r="A126" s="18" t="inlineStr">
        <is>
          <t>기타포괄손익누계액 합계</t>
        </is>
      </c>
      <c r="C126" s="20" t="n">
        <v>95500</v>
      </c>
      <c r="D126" s="20" t="n">
        <v>98995</v>
      </c>
      <c r="E126" s="20" t="n">
        <v>112446</v>
      </c>
      <c r="F126" s="20" t="n">
        <v>122891</v>
      </c>
      <c r="G126" s="20" t="n">
        <v>118501</v>
      </c>
      <c r="H126" s="20" t="n">
        <v>31299</v>
      </c>
      <c r="I126" s="20" t="n">
        <v>57273</v>
      </c>
      <c r="J126" s="20" t="n">
        <v>85852</v>
      </c>
      <c r="K126" s="20" t="n">
        <v>110122</v>
      </c>
      <c r="L126" s="20" t="n">
        <v>112446</v>
      </c>
    </row>
    <row r="127">
      <c r="A127" s="18" t="inlineStr">
        <is>
          <t>신주예약권</t>
        </is>
      </c>
      <c r="C127" s="20" t="n">
        <v>145</v>
      </c>
      <c r="D127" s="20" t="n">
        <v>144</v>
      </c>
      <c r="E127" s="20" t="n">
        <v>141</v>
      </c>
      <c r="F127" s="20" t="n">
        <v>136</v>
      </c>
      <c r="G127" s="20" t="n">
        <v>135</v>
      </c>
      <c r="H127" s="20" t="n">
        <v>287</v>
      </c>
      <c r="I127" s="20" t="n">
        <v>262</v>
      </c>
      <c r="J127" s="20" t="n">
        <v>244</v>
      </c>
      <c r="K127" s="20" t="n">
        <v>218</v>
      </c>
      <c r="L127" s="20" t="n">
        <v>141</v>
      </c>
    </row>
    <row r="128">
      <c r="A128" s="18" t="inlineStr">
        <is>
          <t>비지배지분</t>
        </is>
      </c>
      <c r="C128" s="20" t="n">
        <v>5412</v>
      </c>
      <c r="D128" s="20" t="n">
        <v>5808</v>
      </c>
      <c r="E128" s="20" t="n">
        <v>5687</v>
      </c>
      <c r="F128" s="20" t="n">
        <v>5885</v>
      </c>
      <c r="G128" s="20" t="n">
        <v>6066</v>
      </c>
      <c r="H128" s="20" t="n">
        <v>7637</v>
      </c>
      <c r="I128" s="20" t="n">
        <v>7294</v>
      </c>
      <c r="J128" s="20" t="n">
        <v>7839</v>
      </c>
      <c r="K128" s="20" t="n">
        <v>8128</v>
      </c>
      <c r="L128" s="20" t="n">
        <v>5687</v>
      </c>
    </row>
    <row r="129">
      <c r="A129" s="9" t="inlineStr">
        <is>
          <t>순자산 합계</t>
        </is>
      </c>
      <c r="C129" s="12" t="n">
        <v>493450</v>
      </c>
      <c r="D129" s="12" t="n">
        <v>508868</v>
      </c>
      <c r="E129" s="12" t="n">
        <v>533914</v>
      </c>
      <c r="F129" s="12" t="n">
        <v>541593</v>
      </c>
      <c r="G129" s="12" t="n">
        <v>552129</v>
      </c>
      <c r="H129" s="12" t="n">
        <v>413372</v>
      </c>
      <c r="I129" s="12" t="n">
        <v>461092</v>
      </c>
      <c r="J129" s="12" t="n">
        <v>510556</v>
      </c>
      <c r="K129" s="12" t="n">
        <v>530404</v>
      </c>
      <c r="L129" s="12" t="n">
        <v>533914</v>
      </c>
    </row>
    <row r="130">
      <c r="A130" s="9" t="inlineStr">
        <is>
          <t>부채·순자산 합계</t>
        </is>
      </c>
      <c r="C130" s="12" t="n">
        <v>764371</v>
      </c>
      <c r="D130" s="12" t="n">
        <v>784242</v>
      </c>
      <c r="E130" s="12" t="n">
        <v>827483</v>
      </c>
      <c r="F130" s="12" t="n">
        <v>808081</v>
      </c>
      <c r="G130" s="12" t="n">
        <v>830342</v>
      </c>
      <c r="H130" s="12" t="n">
        <v>641025</v>
      </c>
      <c r="I130" s="12" t="n">
        <v>731638</v>
      </c>
      <c r="J130" s="12" t="n">
        <v>790255</v>
      </c>
      <c r="K130" s="12" t="n">
        <v>813924</v>
      </c>
      <c r="L130" s="12" t="n">
        <v>827483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0" t="inlineStr">
        <is>
          <t>5332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주식</t>
        </is>
      </c>
      <c r="B4" s="52" t="n"/>
      <c r="C4" s="52" t="n"/>
      <c r="D4" s="52" t="n"/>
      <c r="E4" s="52" t="n"/>
    </row>
    <row r="5">
      <c r="A5" s="53" t="inlineStr">
        <is>
          <t>항목</t>
        </is>
      </c>
      <c r="B5" s="53" t="inlineStr">
        <is>
          <t>값</t>
        </is>
      </c>
      <c r="E5" s="53" t="inlineStr">
        <is>
          <t>출처</t>
        </is>
      </c>
    </row>
    <row r="6">
      <c r="A6" s="54" t="inlineStr">
        <is>
          <t>발행</t>
        </is>
      </c>
      <c r="B6" s="55" t="n">
        <v>166358397</v>
      </c>
      <c r="E6" s="56" t="inlineStr">
        <is>
          <t>2단계 보고서 자료(회사 설명회 자료·공시)</t>
        </is>
      </c>
    </row>
    <row r="7">
      <c r="A7" s="54" t="inlineStr">
        <is>
          <t>자사주_26_9말</t>
        </is>
      </c>
      <c r="B7" s="55" t="n">
        <v>1903860</v>
      </c>
    </row>
    <row r="8">
      <c r="A8" s="54" t="inlineStr">
        <is>
          <t>유통</t>
        </is>
      </c>
      <c r="B8" s="55" t="n">
        <v>164454537</v>
      </c>
    </row>
    <row r="9">
      <c r="A9" s="54" t="inlineStr">
        <is>
          <t>시총_억엔_10_30</t>
        </is>
      </c>
      <c r="B9" s="55" t="n">
        <v>9450</v>
      </c>
    </row>
    <row r="10">
      <c r="A10" s="54" t="inlineStr">
        <is>
          <t>주가</t>
        </is>
      </c>
      <c r="B10" s="55" t="n">
        <v>5746</v>
      </c>
    </row>
    <row r="12">
      <c r="A12" s="52" t="inlineStr">
        <is>
          <t>가이던스_FY2027 · 이번_26_10_30</t>
        </is>
      </c>
      <c r="B12" s="52" t="n"/>
      <c r="C12" s="52" t="n"/>
      <c r="D12" s="52" t="n"/>
      <c r="E12" s="52" t="n"/>
    </row>
    <row r="13">
      <c r="A13" s="53" t="inlineStr">
        <is>
          <t>항목</t>
        </is>
      </c>
      <c r="B13" s="53" t="inlineStr">
        <is>
          <t>값</t>
        </is>
      </c>
      <c r="E13" s="53" t="inlineStr">
        <is>
          <t>출처</t>
        </is>
      </c>
    </row>
    <row r="14">
      <c r="A14" s="54" t="inlineStr">
        <is>
          <t>매출</t>
        </is>
      </c>
      <c r="B14" s="55" t="n">
        <v>7750</v>
      </c>
      <c r="E14" s="56" t="inlineStr">
        <is>
          <t>2단계 보고서 자료(회사 설명회 자료·공시)</t>
        </is>
      </c>
    </row>
    <row r="15">
      <c r="A15" s="54" t="inlineStr">
        <is>
          <t>영업이익</t>
        </is>
      </c>
      <c r="B15" s="55" t="n">
        <v>600</v>
      </c>
    </row>
    <row r="16">
      <c r="A16" s="54" t="inlineStr">
        <is>
          <t>경상이익</t>
        </is>
      </c>
      <c r="B16" s="55" t="n">
        <v>580</v>
      </c>
    </row>
    <row r="17">
      <c r="A17" s="54" t="inlineStr">
        <is>
          <t>순이익</t>
        </is>
      </c>
      <c r="B17" s="55" t="n">
        <v>460</v>
      </c>
    </row>
    <row r="18">
      <c r="A18" s="54" t="inlineStr">
        <is>
          <t>EPS</t>
        </is>
      </c>
      <c r="B18" s="57" t="n">
        <v>279.71</v>
      </c>
    </row>
    <row r="19">
      <c r="A19" s="54" t="inlineStr">
        <is>
          <t>DPS</t>
        </is>
      </c>
      <c r="B19" s="55" t="n">
        <v>120</v>
      </c>
    </row>
    <row r="21">
      <c r="A21" s="52" t="inlineStr">
        <is>
          <t>가이던스_FY2027 · 직전_26_4_30</t>
        </is>
      </c>
      <c r="B21" s="52" t="n"/>
      <c r="C21" s="52" t="n"/>
      <c r="D21" s="52" t="n"/>
      <c r="E21" s="52" t="n"/>
    </row>
    <row r="22">
      <c r="A22" s="53" t="inlineStr">
        <is>
          <t>항목</t>
        </is>
      </c>
      <c r="B22" s="53" t="inlineStr">
        <is>
          <t>값</t>
        </is>
      </c>
      <c r="E22" s="53" t="inlineStr">
        <is>
          <t>출처</t>
        </is>
      </c>
    </row>
    <row r="23">
      <c r="A23" s="54" t="inlineStr">
        <is>
          <t>매출</t>
        </is>
      </c>
      <c r="B23" s="55" t="n">
        <v>7850</v>
      </c>
      <c r="E23" s="56" t="inlineStr">
        <is>
          <t>2단계 보고서 자료(회사 설명회 자료·공시)</t>
        </is>
      </c>
    </row>
    <row r="24">
      <c r="A24" s="54" t="inlineStr">
        <is>
          <t>영업이익</t>
        </is>
      </c>
      <c r="B24" s="55" t="n">
        <v>600</v>
      </c>
    </row>
    <row r="25">
      <c r="A25" s="54" t="inlineStr">
        <is>
          <t>경상이익</t>
        </is>
      </c>
      <c r="B25" s="55" t="n">
        <v>585</v>
      </c>
    </row>
    <row r="26">
      <c r="A26" s="54" t="inlineStr">
        <is>
          <t>순이익</t>
        </is>
      </c>
      <c r="B26" s="55" t="n">
        <v>460</v>
      </c>
    </row>
    <row r="27">
      <c r="A27" s="54" t="inlineStr">
        <is>
          <t>EPS</t>
        </is>
      </c>
      <c r="B27" s="57" t="n">
        <v>279.78</v>
      </c>
    </row>
    <row r="29">
      <c r="A29" s="52" t="inlineStr">
        <is>
          <t>가이던스_FY2027 · 하반기_함의</t>
        </is>
      </c>
      <c r="B29" s="52" t="n"/>
      <c r="C29" s="52" t="n"/>
      <c r="D29" s="52" t="n"/>
      <c r="E29" s="52" t="n"/>
    </row>
    <row r="30">
      <c r="A30" s="53" t="inlineStr">
        <is>
          <t>항목</t>
        </is>
      </c>
      <c r="B30" s="53" t="inlineStr">
        <is>
          <t>값</t>
        </is>
      </c>
      <c r="E30" s="53" t="inlineStr">
        <is>
          <t>출처</t>
        </is>
      </c>
    </row>
    <row r="31">
      <c r="A31" s="54" t="inlineStr">
        <is>
          <t>매출</t>
        </is>
      </c>
      <c r="B31" s="55" t="n">
        <v>4103</v>
      </c>
      <c r="E31" s="56" t="inlineStr">
        <is>
          <t>2단계 보고서 자료(회사 설명회 자료·공시)</t>
        </is>
      </c>
    </row>
    <row r="32">
      <c r="A32" s="54" t="inlineStr">
        <is>
          <t>영업이익</t>
        </is>
      </c>
      <c r="B32" s="55" t="n">
        <v>348</v>
      </c>
    </row>
    <row r="33">
      <c r="A33" s="54" t="inlineStr">
        <is>
          <t>경상</t>
        </is>
      </c>
      <c r="B33" s="55" t="n">
        <v>332</v>
      </c>
    </row>
    <row r="34">
      <c r="A34" s="54" t="inlineStr">
        <is>
          <t>순이익</t>
        </is>
      </c>
      <c r="B34" s="55" t="n">
        <v>247</v>
      </c>
    </row>
    <row r="36">
      <c r="A36" s="52" t="inlineStr">
        <is>
          <t>컨센서스 · 2027-Q2</t>
        </is>
      </c>
      <c r="B36" s="52" t="n"/>
      <c r="C36" s="52" t="n"/>
      <c r="D36" s="52" t="n"/>
      <c r="E36" s="52" t="n"/>
    </row>
    <row r="37">
      <c r="A37" s="53" t="inlineStr">
        <is>
          <t>항목</t>
        </is>
      </c>
      <c r="B37" s="53" t="inlineStr">
        <is>
          <t>값</t>
        </is>
      </c>
      <c r="E37" s="53" t="inlineStr">
        <is>
          <t>출처</t>
        </is>
      </c>
    </row>
    <row r="38">
      <c r="A38" s="54" t="inlineStr">
        <is>
          <t>매출</t>
        </is>
      </c>
      <c r="B38" s="57" t="n">
        <v>1991.9</v>
      </c>
      <c r="E38" s="56" t="inlineStr">
        <is>
          <t>야후 파이낸스 26.10.30 조회(이번 발표 반영 전)</t>
        </is>
      </c>
    </row>
    <row r="39">
      <c r="A39" s="54" t="inlineStr">
        <is>
          <t>매출_n</t>
        </is>
      </c>
      <c r="B39" s="55" t="n">
        <v>3</v>
      </c>
    </row>
    <row r="40">
      <c r="A40" s="54" t="inlineStr">
        <is>
          <t>매출_lo</t>
        </is>
      </c>
      <c r="B40" s="55" t="n">
        <v>1974</v>
      </c>
    </row>
    <row r="41">
      <c r="A41" s="54" t="inlineStr">
        <is>
          <t>매출_hi</t>
        </is>
      </c>
      <c r="B41" s="57" t="n">
        <v>2007.9</v>
      </c>
    </row>
    <row r="42">
      <c r="A42" s="54" t="inlineStr">
        <is>
          <t>EPS</t>
        </is>
      </c>
      <c r="B42" s="57" t="n">
        <v>75.90000000000001</v>
      </c>
    </row>
    <row r="43">
      <c r="A43" s="54" t="inlineStr">
        <is>
          <t>EPS 애널리스트 수</t>
        </is>
      </c>
      <c r="B43" s="55" t="n">
        <v>2</v>
      </c>
    </row>
    <row r="45">
      <c r="A45" s="52" t="inlineStr">
        <is>
          <t>컨센서스 · 2027-Q3</t>
        </is>
      </c>
      <c r="B45" s="52" t="n"/>
      <c r="C45" s="52" t="n"/>
      <c r="D45" s="52" t="n"/>
      <c r="E45" s="52" t="n"/>
    </row>
    <row r="46">
      <c r="A46" s="53" t="inlineStr">
        <is>
          <t>항목</t>
        </is>
      </c>
      <c r="B46" s="53" t="inlineStr">
        <is>
          <t>값</t>
        </is>
      </c>
      <c r="E46" s="53" t="inlineStr">
        <is>
          <t>출처</t>
        </is>
      </c>
    </row>
    <row r="47">
      <c r="A47" s="54" t="inlineStr">
        <is>
          <t>매출</t>
        </is>
      </c>
      <c r="B47" s="57" t="n">
        <v>2133.3</v>
      </c>
      <c r="E47" s="56" t="inlineStr">
        <is>
          <t>야후 파이낸스 26.10.30 조회(이번 발표 반영 전)</t>
        </is>
      </c>
    </row>
    <row r="48">
      <c r="A48" s="54" t="inlineStr">
        <is>
          <t>매출_n</t>
        </is>
      </c>
      <c r="B48" s="55" t="n">
        <v>3</v>
      </c>
    </row>
    <row r="49">
      <c r="A49" s="54" t="inlineStr">
        <is>
          <t>EPS</t>
        </is>
      </c>
      <c r="B49" s="57" t="n">
        <v>78.7</v>
      </c>
    </row>
    <row r="50">
      <c r="A50" s="54" t="inlineStr">
        <is>
          <t>EPS 애널리스트 수</t>
        </is>
      </c>
      <c r="B50" s="55" t="n">
        <v>2</v>
      </c>
    </row>
    <row r="52">
      <c r="A52" s="52" t="inlineStr">
        <is>
          <t>컨센서스 · FY2027</t>
        </is>
      </c>
      <c r="B52" s="52" t="n"/>
      <c r="C52" s="52" t="n"/>
      <c r="D52" s="52" t="n"/>
      <c r="E52" s="52" t="n"/>
    </row>
    <row r="53">
      <c r="A53" s="53" t="inlineStr">
        <is>
          <t>항목</t>
        </is>
      </c>
      <c r="B53" s="53" t="inlineStr">
        <is>
          <t>값</t>
        </is>
      </c>
      <c r="E53" s="53" t="inlineStr">
        <is>
          <t>출처</t>
        </is>
      </c>
    </row>
    <row r="54">
      <c r="A54" s="54" t="inlineStr">
        <is>
          <t>매출</t>
        </is>
      </c>
      <c r="B54" s="57" t="n">
        <v>7826.8</v>
      </c>
      <c r="E54" s="56" t="inlineStr">
        <is>
          <t>야후 파이낸스 26.10.30 조회(이번 발표 반영 전)</t>
        </is>
      </c>
    </row>
    <row r="55">
      <c r="A55" s="54" t="inlineStr">
        <is>
          <t>매출_n</t>
        </is>
      </c>
      <c r="B55" s="55" t="n">
        <v>8</v>
      </c>
    </row>
    <row r="56">
      <c r="A56" s="54" t="inlineStr">
        <is>
          <t>EPS</t>
        </is>
      </c>
      <c r="B56" s="57" t="n">
        <v>294.2</v>
      </c>
    </row>
    <row r="57">
      <c r="A57" s="54" t="inlineStr">
        <is>
          <t>EPS 애널리스트 수</t>
        </is>
      </c>
      <c r="B57" s="55" t="n">
        <v>8</v>
      </c>
    </row>
    <row r="58">
      <c r="A58" s="54" t="inlineStr">
        <is>
          <t>EPS lo</t>
        </is>
      </c>
      <c r="B58" s="57" t="n">
        <v>279.8</v>
      </c>
    </row>
    <row r="59">
      <c r="A59" s="54" t="inlineStr">
        <is>
          <t>EPS hi</t>
        </is>
      </c>
      <c r="B59" s="57" t="n">
        <v>308.8</v>
      </c>
    </row>
    <row r="61">
      <c r="A61" s="52" t="inlineStr">
        <is>
          <t>컨센서스 · FY2028</t>
        </is>
      </c>
      <c r="B61" s="52" t="n"/>
      <c r="C61" s="52" t="n"/>
      <c r="D61" s="52" t="n"/>
      <c r="E61" s="52" t="n"/>
    </row>
    <row r="62">
      <c r="A62" s="53" t="inlineStr">
        <is>
          <t>항목</t>
        </is>
      </c>
      <c r="B62" s="53" t="inlineStr">
        <is>
          <t>값</t>
        </is>
      </c>
      <c r="E62" s="53" t="inlineStr">
        <is>
          <t>출처</t>
        </is>
      </c>
    </row>
    <row r="63">
      <c r="A63" s="54" t="inlineStr">
        <is>
          <t>매출</t>
        </is>
      </c>
      <c r="B63" s="57" t="n">
        <v>8220.9</v>
      </c>
      <c r="E63" s="56" t="inlineStr">
        <is>
          <t>야후 파이낸스 26.10.30 조회(이번 발표 반영 전)</t>
        </is>
      </c>
    </row>
    <row r="64">
      <c r="A64" s="54" t="inlineStr">
        <is>
          <t>매출_n</t>
        </is>
      </c>
      <c r="B64" s="55" t="n">
        <v>8</v>
      </c>
    </row>
    <row r="65">
      <c r="A65" s="54" t="inlineStr">
        <is>
          <t>EPS</t>
        </is>
      </c>
      <c r="B65" s="57" t="n">
        <v>356.3</v>
      </c>
    </row>
    <row r="66">
      <c r="A66" s="54" t="inlineStr">
        <is>
          <t>EPS 애널리스트 수</t>
        </is>
      </c>
      <c r="B66" s="55" t="n">
        <v>8</v>
      </c>
    </row>
    <row r="68">
      <c r="A68" s="52" t="inlineStr">
        <is>
          <t>컨센서스 · 목표주가</t>
        </is>
      </c>
      <c r="B68" s="52" t="n"/>
      <c r="C68" s="52" t="n"/>
      <c r="D68" s="52" t="n"/>
      <c r="E68" s="52" t="n"/>
    </row>
    <row r="69">
      <c r="A69" s="53" t="inlineStr">
        <is>
          <t>항목</t>
        </is>
      </c>
      <c r="B69" s="53" t="inlineStr">
        <is>
          <t>값</t>
        </is>
      </c>
      <c r="E69" s="53" t="inlineStr">
        <is>
          <t>출처</t>
        </is>
      </c>
    </row>
    <row r="70">
      <c r="A70" s="54" t="inlineStr">
        <is>
          <t>평균</t>
        </is>
      </c>
      <c r="B70" s="55" t="n">
        <v>7815</v>
      </c>
      <c r="E70" s="56" t="inlineStr">
        <is>
          <t>야후 파이낸스 26.10.30 조회(이번 발표 반영 전)</t>
        </is>
      </c>
    </row>
    <row r="71">
      <c r="A71" s="54" t="inlineStr">
        <is>
          <t>중간</t>
        </is>
      </c>
      <c r="B71" s="55" t="n">
        <v>7750</v>
      </c>
    </row>
    <row r="72">
      <c r="A72" s="54" t="inlineStr">
        <is>
          <t>최고</t>
        </is>
      </c>
      <c r="B72" s="55" t="n">
        <v>10800</v>
      </c>
    </row>
    <row r="73">
      <c r="A73" s="54" t="inlineStr">
        <is>
          <t>최저</t>
        </is>
      </c>
      <c r="B73" s="55" t="n">
        <v>5900</v>
      </c>
    </row>
    <row r="74">
      <c r="A74" s="54" t="inlineStr">
        <is>
          <t>애널리스트 수</t>
        </is>
      </c>
      <c r="B74" s="55" t="n">
        <v>8</v>
      </c>
    </row>
    <row r="76">
      <c r="A76" s="52" t="inlineStr">
        <is>
          <t>지역_계획_정정 · 2Q계획_영업</t>
        </is>
      </c>
      <c r="B76" s="52" t="n"/>
      <c r="C76" s="52" t="n"/>
      <c r="D76" s="52" t="n"/>
      <c r="E76" s="52" t="n"/>
    </row>
    <row r="77">
      <c r="A77" s="53" t="inlineStr">
        <is>
          <t>항목</t>
        </is>
      </c>
      <c r="B77" s="53" t="inlineStr">
        <is>
          <t>값</t>
        </is>
      </c>
      <c r="E77" s="53" t="inlineStr">
        <is>
          <t>출처</t>
        </is>
      </c>
    </row>
    <row r="78">
      <c r="A78" s="54" t="inlineStr">
        <is>
          <t>미주</t>
        </is>
      </c>
      <c r="B78" s="55" t="n">
        <v>20</v>
      </c>
      <c r="E78" s="56" t="inlineStr">
        <is>
          <t>2단계 보고서 자료(회사 설명회 자료·공시)</t>
        </is>
      </c>
    </row>
    <row r="79">
      <c r="A79" s="54" t="inlineStr">
        <is>
          <t>아시아</t>
        </is>
      </c>
      <c r="B79" s="55" t="n">
        <v>34</v>
      </c>
    </row>
    <row r="80">
      <c r="A80" s="54" t="inlineStr">
        <is>
          <t>유럽</t>
        </is>
      </c>
      <c r="B80" s="55" t="n">
        <v>-2</v>
      </c>
    </row>
    <row r="81">
      <c r="A81" s="54" t="inlineStr">
        <is>
          <t>중국</t>
        </is>
      </c>
      <c r="B81" s="55" t="n">
        <v>3</v>
      </c>
    </row>
    <row r="82">
      <c r="A82" s="54" t="inlineStr">
        <is>
          <t>합계</t>
        </is>
      </c>
      <c r="B82" s="55" t="n">
        <v>55</v>
      </c>
    </row>
    <row r="84">
      <c r="A84" s="52" t="inlineStr">
        <is>
          <t>지역_계획_정정 · FY27당초_영업</t>
        </is>
      </c>
      <c r="B84" s="52" t="n"/>
      <c r="C84" s="52" t="n"/>
      <c r="D84" s="52" t="n"/>
      <c r="E84" s="52" t="n"/>
    </row>
    <row r="85">
      <c r="A85" s="53" t="inlineStr">
        <is>
          <t>항목</t>
        </is>
      </c>
      <c r="B85" s="53" t="inlineStr">
        <is>
          <t>값</t>
        </is>
      </c>
      <c r="E85" s="53" t="inlineStr">
        <is>
          <t>출처</t>
        </is>
      </c>
    </row>
    <row r="86">
      <c r="A86" s="54" t="inlineStr">
        <is>
          <t>미주</t>
        </is>
      </c>
      <c r="B86" s="55" t="n">
        <v>50</v>
      </c>
      <c r="E86" s="56" t="inlineStr">
        <is>
          <t>2단계 보고서 자료(회사 설명회 자료·공시)</t>
        </is>
      </c>
    </row>
    <row r="87">
      <c r="A87" s="54" t="inlineStr">
        <is>
          <t>아시아</t>
        </is>
      </c>
      <c r="B87" s="55" t="n">
        <v>76</v>
      </c>
    </row>
    <row r="88">
      <c r="A88" s="54" t="inlineStr">
        <is>
          <t>유럽</t>
        </is>
      </c>
      <c r="B88" s="55" t="n">
        <v>-4</v>
      </c>
    </row>
    <row r="89">
      <c r="A89" s="54" t="inlineStr">
        <is>
          <t>중국</t>
        </is>
      </c>
      <c r="B89" s="55" t="n">
        <v>15</v>
      </c>
    </row>
    <row r="91">
      <c r="A91" s="52" t="inlineStr">
        <is>
          <t>deck map</t>
        </is>
      </c>
      <c r="B91" s="52" t="n"/>
      <c r="C91" s="52" t="n"/>
      <c r="D91" s="52" t="n"/>
      <c r="E91" s="52" t="n"/>
    </row>
    <row r="92">
      <c r="A92" s="53" t="inlineStr">
        <is>
          <t>항목</t>
        </is>
      </c>
      <c r="B92" s="53" t="inlineStr">
        <is>
          <t>제목</t>
        </is>
      </c>
      <c r="C92" s="53" t="inlineStr">
        <is>
          <t>핵심숫자</t>
        </is>
      </c>
      <c r="D92" s="53" t="inlineStr">
        <is>
          <t>넣은곳</t>
        </is>
      </c>
      <c r="E92" s="53" t="inlineStr">
        <is>
          <t>출처</t>
        </is>
      </c>
    </row>
    <row r="93">
      <c r="A93" s="54" t="inlineStr">
        <is>
          <t>1</t>
        </is>
      </c>
      <c r="B93" s="58" t="inlineStr">
        <is>
          <t>표지</t>
        </is>
      </c>
      <c r="C93" s="58" t="inlineStr"/>
      <c r="D93" s="58" t="inlineStr">
        <is>
          <t>뺌: 표지</t>
        </is>
      </c>
      <c r="E93" s="56" t="inlineStr">
        <is>
          <t>2단계 보고서 자료(회사 설명회 자료·공시)</t>
        </is>
      </c>
    </row>
    <row r="94">
      <c r="A94" s="54" t="inlineStr">
        <is>
          <t>2</t>
        </is>
      </c>
      <c r="B94" s="58" t="inlineStr">
        <is>
          <t>사업 개요</t>
        </is>
      </c>
      <c r="C94" s="58" t="inlineStr">
        <is>
          <t>매출 일본65·해외26·세라믹9%</t>
        </is>
      </c>
      <c r="D94" s="58" t="inlineStr">
        <is>
          <t>§2 BM</t>
        </is>
      </c>
    </row>
    <row r="95">
      <c r="A95" s="54" t="inlineStr">
        <is>
          <t>3</t>
        </is>
      </c>
      <c r="B95" s="58" t="inlineStr">
        <is>
          <t>세라믹 개요</t>
        </is>
      </c>
      <c r="C95" s="58" t="inlineStr">
        <is>
          <t>정전척·AD 부재</t>
        </is>
      </c>
      <c r="D95" s="58" t="inlineStr">
        <is>
          <t>§2 세라믹, 그림</t>
        </is>
      </c>
    </row>
    <row r="96">
      <c r="A96" s="54" t="inlineStr">
        <is>
          <t>4</t>
        </is>
      </c>
      <c r="B96" s="58" t="inlineStr">
        <is>
          <t>장 표지</t>
        </is>
      </c>
      <c r="C96" s="58" t="inlineStr"/>
      <c r="D96" s="58" t="inlineStr">
        <is>
          <t>뺌: 목차</t>
        </is>
      </c>
    </row>
    <row r="97">
      <c r="A97" s="54" t="inlineStr">
        <is>
          <t>5</t>
        </is>
      </c>
      <c r="B97" s="58" t="inlineStr">
        <is>
          <t>하이라이트</t>
        </is>
      </c>
      <c r="C97" s="58" t="inlineStr">
        <is>
          <t>증수증익, 계획대로</t>
        </is>
      </c>
      <c r="D97" s="58" t="inlineStr">
        <is>
          <t>①</t>
        </is>
      </c>
    </row>
    <row r="98">
      <c r="A98" s="54" t="inlineStr">
        <is>
          <t>6</t>
        </is>
      </c>
      <c r="B98" s="58" t="inlineStr">
        <is>
          <t>손익표</t>
        </is>
      </c>
      <c r="C98" s="58" t="inlineStr">
        <is>
          <t>3,647/252</t>
        </is>
      </c>
      <c r="D98" s="58" t="inlineStr">
        <is>
          <t>①</t>
        </is>
      </c>
    </row>
    <row r="99">
      <c r="A99" s="54" t="inlineStr">
        <is>
          <t>7</t>
        </is>
      </c>
      <c r="B99" s="58" t="inlineStr">
        <is>
          <t>영업이익 증감</t>
        </is>
      </c>
      <c r="C99" s="58" t="inlineStr">
        <is>
          <t>208→252</t>
        </is>
      </c>
      <c r="D99" s="58" t="inlineStr">
        <is>
          <t>P·Q·C</t>
        </is>
      </c>
    </row>
    <row r="100">
      <c r="A100" s="54" t="inlineStr">
        <is>
          <t>8</t>
        </is>
      </c>
      <c r="B100" s="58" t="inlineStr">
        <is>
          <t>일본 손익</t>
        </is>
      </c>
      <c r="C100" s="58" t="inlineStr">
        <is>
          <t>2,231/54</t>
        </is>
      </c>
      <c r="D100" s="58" t="inlineStr">
        <is>
          <t>④</t>
        </is>
      </c>
    </row>
    <row r="101">
      <c r="A101" s="54" t="inlineStr">
        <is>
          <t>9</t>
        </is>
      </c>
      <c r="B101" s="58" t="inlineStr">
        <is>
          <t>일본 수요별</t>
        </is>
      </c>
      <c r="C101" s="58" t="inlineStr">
        <is>
          <t>리모델 1,611/신축 620</t>
        </is>
      </c>
      <c r="D101" s="58" t="inlineStr">
        <is>
          <t>④</t>
        </is>
      </c>
    </row>
    <row r="102">
      <c r="A102" s="54" t="inlineStr">
        <is>
          <t>10</t>
        </is>
      </c>
      <c r="B102" s="58" t="inlineStr">
        <is>
          <t>구조 개혁</t>
        </is>
      </c>
      <c r="C102" s="58" t="inlineStr">
        <is>
          <t>76억, 30년 390억+</t>
        </is>
      </c>
      <c r="D102" s="58" t="inlineStr">
        <is>
          <t>⑤</t>
        </is>
      </c>
    </row>
    <row r="103">
      <c r="A103" s="54" t="inlineStr">
        <is>
          <t>11</t>
        </is>
      </c>
      <c r="B103" s="58" t="inlineStr">
        <is>
          <t>구조 개혁 사례</t>
        </is>
      </c>
      <c r="C103" s="58" t="inlineStr">
        <is>
          <t>지역 생산·판매사 통합</t>
        </is>
      </c>
      <c r="D103" s="58" t="inlineStr">
        <is>
          <t>⑤</t>
        </is>
      </c>
    </row>
    <row r="104">
      <c r="A104" s="54" t="inlineStr">
        <is>
          <t>12</t>
        </is>
      </c>
      <c r="B104" s="58" t="inlineStr">
        <is>
          <t>해외 손익</t>
        </is>
      </c>
      <c r="C104" s="58" t="inlineStr">
        <is>
          <t>1,018/30</t>
        </is>
      </c>
      <c r="D104" s="58" t="inlineStr">
        <is>
          <t>⑥⑦⑧</t>
        </is>
      </c>
    </row>
    <row r="105">
      <c r="A105" s="54" t="inlineStr">
        <is>
          <t>13</t>
        </is>
      </c>
      <c r="B105" s="58" t="inlineStr">
        <is>
          <t>미주</t>
        </is>
      </c>
      <c r="C105" s="58" t="inlineStr">
        <is>
          <t>2.62억 달러</t>
        </is>
      </c>
      <c r="D105" s="58" t="inlineStr">
        <is>
          <t>⑥</t>
        </is>
      </c>
    </row>
    <row r="106">
      <c r="A106" s="54" t="inlineStr">
        <is>
          <t>14</t>
        </is>
      </c>
      <c r="B106" s="58" t="inlineStr">
        <is>
          <t>미주 시황</t>
        </is>
      </c>
      <c r="C106" s="58" t="inlineStr">
        <is>
          <t>재고 조정, 보급률</t>
        </is>
      </c>
      <c r="D106" s="58" t="inlineStr">
        <is>
          <t>⑥</t>
        </is>
      </c>
    </row>
    <row r="107">
      <c r="A107" s="54" t="inlineStr">
        <is>
          <t>15</t>
        </is>
      </c>
      <c r="B107" s="58" t="inlineStr">
        <is>
          <t>아시아</t>
        </is>
      </c>
      <c r="C107" s="58" t="inlineStr">
        <is>
          <t>대만 54%</t>
        </is>
      </c>
      <c r="D107" s="58" t="inlineStr">
        <is>
          <t>⑦</t>
        </is>
      </c>
    </row>
    <row r="108">
      <c r="A108" s="54" t="inlineStr">
        <is>
          <t>16</t>
        </is>
      </c>
      <c r="B108" s="58" t="inlineStr">
        <is>
          <t>아시아 토픽</t>
        </is>
      </c>
      <c r="C108" s="58" t="inlineStr">
        <is>
          <t>리야드·타이베이</t>
        </is>
      </c>
      <c r="D108" s="58" t="inlineStr">
        <is>
          <t>⑦</t>
        </is>
      </c>
    </row>
    <row r="109">
      <c r="A109" s="54" t="inlineStr">
        <is>
          <t>17</t>
        </is>
      </c>
      <c r="B109" s="58" t="inlineStr">
        <is>
          <t>유럽</t>
        </is>
      </c>
      <c r="C109" s="58" t="inlineStr">
        <is>
          <t>2,000만 유로</t>
        </is>
      </c>
      <c r="D109" s="58" t="inlineStr">
        <is>
          <t>⑦</t>
        </is>
      </c>
    </row>
    <row r="110">
      <c r="A110" s="54" t="inlineStr">
        <is>
          <t>18</t>
        </is>
      </c>
      <c r="B110" s="58" t="inlineStr">
        <is>
          <t>중국</t>
        </is>
      </c>
      <c r="C110" s="58" t="inlineStr">
        <is>
          <t>12.55억 위안</t>
        </is>
      </c>
      <c r="D110" s="58" t="inlineStr">
        <is>
          <t>⑧</t>
        </is>
      </c>
    </row>
    <row r="111">
      <c r="A111" s="54" t="inlineStr">
        <is>
          <t>19</t>
        </is>
      </c>
      <c r="B111" s="58" t="inlineStr">
        <is>
          <t>세라믹</t>
        </is>
      </c>
      <c r="C111" s="58" t="inlineStr">
        <is>
          <t>396/182</t>
        </is>
      </c>
      <c r="D111" s="58" t="inlineStr">
        <is>
          <t>②</t>
        </is>
      </c>
    </row>
    <row r="112">
      <c r="A112" s="54" t="inlineStr">
        <is>
          <t>20</t>
        </is>
      </c>
      <c r="B112" s="58" t="inlineStr">
        <is>
          <t>세라믹 투자</t>
        </is>
      </c>
      <c r="C112" s="58" t="inlineStr">
        <is>
          <t>330·600·90억</t>
        </is>
      </c>
      <c r="D112" s="58" t="inlineStr">
        <is>
          <t>③</t>
        </is>
      </c>
    </row>
    <row r="113">
      <c r="A113" s="54" t="inlineStr">
        <is>
          <t>21</t>
        </is>
      </c>
      <c r="B113" s="58" t="inlineStr">
        <is>
          <t>나카쓰·부젠</t>
        </is>
      </c>
      <c r="C113" s="58" t="inlineStr">
        <is>
          <t>착공·가동 일정</t>
        </is>
      </c>
      <c r="D113" s="58" t="inlineStr">
        <is>
          <t>③</t>
        </is>
      </c>
    </row>
    <row r="114">
      <c r="A114" s="54" t="inlineStr">
        <is>
          <t>22</t>
        </is>
      </c>
      <c r="B114" s="58" t="inlineStr">
        <is>
          <t>장 표지</t>
        </is>
      </c>
      <c r="C114" s="58" t="inlineStr"/>
      <c r="D114" s="58" t="inlineStr">
        <is>
          <t>뺌: 목차</t>
        </is>
      </c>
    </row>
    <row r="115">
      <c r="A115" s="54" t="inlineStr">
        <is>
          <t>23</t>
        </is>
      </c>
      <c r="B115" s="58" t="inlineStr">
        <is>
          <t>TNFD</t>
        </is>
      </c>
      <c r="C115" s="58" t="inlineStr"/>
      <c r="D115" s="58" t="inlineStr">
        <is>
          <t>⑪ 한 줄</t>
        </is>
      </c>
    </row>
    <row r="116">
      <c r="A116" s="54" t="inlineStr">
        <is>
          <t>24</t>
        </is>
      </c>
      <c r="B116" s="58" t="inlineStr">
        <is>
          <t>키즈디자인상</t>
        </is>
      </c>
      <c r="C116" s="58" t="inlineStr"/>
      <c r="D116" s="58" t="inlineStr">
        <is>
          <t>⑪ 한 줄</t>
        </is>
      </c>
    </row>
    <row r="117">
      <c r="A117" s="54" t="inlineStr">
        <is>
          <t>25</t>
        </is>
      </c>
      <c r="B117" s="58" t="inlineStr">
        <is>
          <t>장 표지</t>
        </is>
      </c>
      <c r="C117" s="58" t="inlineStr"/>
      <c r="D117" s="58" t="inlineStr">
        <is>
          <t>뺌: 목차</t>
        </is>
      </c>
    </row>
    <row r="118">
      <c r="A118" s="54" t="inlineStr">
        <is>
          <t>26</t>
        </is>
      </c>
      <c r="B118" s="58" t="inlineStr">
        <is>
          <t>수정 계획 요약</t>
        </is>
      </c>
      <c r="C118" s="58" t="inlineStr">
        <is>
          <t>7,750/600</t>
        </is>
      </c>
      <c r="D118" s="58" t="inlineStr">
        <is>
          <t>⑨</t>
        </is>
      </c>
    </row>
    <row r="119">
      <c r="A119" s="54" t="inlineStr">
        <is>
          <t>27</t>
        </is>
      </c>
      <c r="B119" s="58" t="inlineStr">
        <is>
          <t>연간 손익표</t>
        </is>
      </c>
      <c r="C119" s="58" t="inlineStr">
        <is>
          <t>7,750/600/460</t>
        </is>
      </c>
      <c r="D119" s="58" t="inlineStr">
        <is>
          <t>⑨</t>
        </is>
      </c>
    </row>
    <row r="120">
      <c r="A120" s="54" t="inlineStr">
        <is>
          <t>28</t>
        </is>
      </c>
      <c r="B120" s="58" t="inlineStr">
        <is>
          <t>하반기 계획</t>
        </is>
      </c>
      <c r="C120" s="58" t="inlineStr">
        <is>
          <t>4,103/348</t>
        </is>
      </c>
      <c r="D120" s="58" t="inlineStr">
        <is>
          <t>⑨</t>
        </is>
      </c>
    </row>
    <row r="121">
      <c r="A121" s="54" t="inlineStr">
        <is>
          <t>29</t>
        </is>
      </c>
      <c r="B121" s="58" t="inlineStr">
        <is>
          <t>연간 다리</t>
        </is>
      </c>
      <c r="C121" s="58" t="inlineStr">
        <is>
          <t>538→600</t>
        </is>
      </c>
      <c r="D121" s="58" t="inlineStr">
        <is>
          <t>⑨</t>
        </is>
      </c>
    </row>
    <row r="122">
      <c r="A122" s="54" t="inlineStr">
        <is>
          <t>30</t>
        </is>
      </c>
      <c r="B122" s="58" t="inlineStr">
        <is>
          <t>연간 부문</t>
        </is>
      </c>
      <c r="C122" s="58" t="inlineStr">
        <is>
          <t>일본145·해외109·세라믹380</t>
        </is>
      </c>
      <c r="D122" s="58" t="inlineStr">
        <is>
          <t>⑨</t>
        </is>
      </c>
    </row>
    <row r="123">
      <c r="A123" s="54" t="inlineStr">
        <is>
          <t>31</t>
        </is>
      </c>
      <c r="B123" s="58" t="inlineStr">
        <is>
          <t>연간 지역</t>
        </is>
      </c>
      <c r="C123" s="58" t="inlineStr">
        <is>
          <t>미주830 등</t>
        </is>
      </c>
      <c r="D123" s="58" t="inlineStr">
        <is>
          <t>⑨, 지역 표</t>
        </is>
      </c>
    </row>
    <row r="124">
      <c r="A124" s="54" t="inlineStr">
        <is>
          <t>32</t>
        </is>
      </c>
      <c r="B124" s="58" t="inlineStr">
        <is>
          <t>장 표지</t>
        </is>
      </c>
      <c r="C124" s="58" t="inlineStr"/>
      <c r="D124" s="58" t="inlineStr">
        <is>
          <t>뺌: 목차</t>
        </is>
      </c>
    </row>
    <row r="125">
      <c r="A125" s="54" t="inlineStr">
        <is>
          <t>33</t>
        </is>
      </c>
      <c r="B125" s="58" t="inlineStr">
        <is>
          <t>주주환원</t>
        </is>
      </c>
      <c r="C125" s="58" t="inlineStr">
        <is>
          <t>300억·소각</t>
        </is>
      </c>
      <c r="D125" s="58" t="inlineStr">
        <is>
          <t>⑩</t>
        </is>
      </c>
    </row>
    <row r="126">
      <c r="A126" s="54" t="inlineStr">
        <is>
          <t>34</t>
        </is>
      </c>
      <c r="B126" s="58" t="inlineStr">
        <is>
          <t>재무상태표</t>
        </is>
      </c>
      <c r="C126" s="58" t="inlineStr">
        <is>
          <t>재고 1,250, 자기자본비율 63.7%</t>
        </is>
      </c>
      <c r="D126" s="58" t="inlineStr">
        <is>
          <t>⑩</t>
        </is>
      </c>
    </row>
    <row r="127">
      <c r="A127" s="54" t="inlineStr">
        <is>
          <t>35</t>
        </is>
      </c>
      <c r="B127" s="58" t="inlineStr">
        <is>
          <t>현금흐름</t>
        </is>
      </c>
      <c r="C127" s="58" t="inlineStr">
        <is>
          <t>OCF 779</t>
        </is>
      </c>
      <c r="D127" s="58" t="inlineStr">
        <is>
          <t>⑩</t>
        </is>
      </c>
    </row>
    <row r="128">
      <c r="A128" s="54" t="inlineStr">
        <is>
          <t>36</t>
        </is>
      </c>
      <c r="B128" s="58" t="inlineStr">
        <is>
          <t>전략 투자</t>
        </is>
      </c>
      <c r="C128" s="58" t="inlineStr">
        <is>
          <t>설비 576</t>
        </is>
      </c>
      <c r="D128" s="58" t="inlineStr">
        <is>
          <t>⑩</t>
        </is>
      </c>
    </row>
    <row r="129">
      <c r="A129" s="54" t="inlineStr">
        <is>
          <t>37</t>
        </is>
      </c>
      <c r="B129" s="58" t="inlineStr">
        <is>
          <t>장 표지</t>
        </is>
      </c>
      <c r="C129" s="58" t="inlineStr"/>
      <c r="D129" s="58" t="inlineStr">
        <is>
          <t>뺌: 목차</t>
        </is>
      </c>
    </row>
    <row r="130">
      <c r="A130" s="54" t="inlineStr">
        <is>
          <t>38</t>
        </is>
      </c>
      <c r="B130" s="58" t="inlineStr">
        <is>
          <t>제품별 매출</t>
        </is>
      </c>
      <c r="C130" s="58" t="inlineStr">
        <is>
          <t>일본·해외</t>
        </is>
      </c>
      <c r="D130" s="58" t="inlineStr">
        <is>
          <t>BM별 표, ④</t>
        </is>
      </c>
    </row>
    <row r="131">
      <c r="A131" s="54" t="inlineStr">
        <is>
          <t>39</t>
        </is>
      </c>
      <c r="B131" s="58" t="inlineStr">
        <is>
          <t>세라믹 참고</t>
        </is>
      </c>
      <c r="C131" s="58" t="inlineStr">
        <is>
          <t>기술 구조</t>
        </is>
      </c>
      <c r="D131" s="58" t="inlineStr">
        <is>
          <t>§2 세라믹</t>
        </is>
      </c>
    </row>
    <row r="132">
      <c r="A132" s="54" t="inlineStr">
        <is>
          <t>40</t>
        </is>
      </c>
      <c r="B132" s="58" t="inlineStr">
        <is>
          <t>면책</t>
        </is>
      </c>
      <c r="C132" s="58" t="inlineStr"/>
      <c r="D132" s="58" t="inlineStr">
        <is>
          <t>뺌: 면책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https://www2.jpx.co.jp/disc/53320/140120261029559909.pdf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https://www2.jpx.co.jp/disc/53320/140120260731504333.pdf</t>
        </is>
      </c>
    </row>
    <row r="6">
      <c r="A6" t="inlineStr">
        <is>
          <t>2026-04-30</t>
        </is>
      </c>
      <c r="B6" t="inlineStr">
        <is>
          <t>2026년 3월 결산기 연간 결산단신</t>
        </is>
      </c>
      <c r="C6" t="inlineStr">
        <is>
          <t>https://www2.jpx.co.jp/disc/53320/140120260430514673.pdf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https://www2.jpx.co.jp/disc/53320/140120260130542790.pdf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https://www2.jpx.co.jp/disc/53320/140120251031583969.pdf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https://www2.jpx.co.jp/disc/53320/140120250731525989.pdf</t>
        </is>
      </c>
    </row>
    <row r="10">
      <c r="A10" t="inlineStr">
        <is>
          <t>2025-04-28</t>
        </is>
      </c>
      <c r="B10" t="inlineStr">
        <is>
          <t>2025년 3월 결산기 연간 결산단신</t>
        </is>
      </c>
      <c r="C10" t="inlineStr">
        <is>
          <t>https://www2.jpx.co.jp/disc/53320/140120250428525865.pdf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https://www2.jpx.co.jp/disc/53320/140120250131559815.pdf</t>
        </is>
      </c>
    </row>
    <row r="12">
      <c r="A12" t="inlineStr">
        <is>
          <t>2024-10-28</t>
        </is>
      </c>
      <c r="B12" t="inlineStr">
        <is>
          <t>2025년 3월 결산기 ２분기 결산단신</t>
        </is>
      </c>
      <c r="C12" t="inlineStr">
        <is>
          <t>https://www2.jpx.co.jp/disc/53320/140120241028503489.pdf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https://www2.jpx.co.jp/disc/53320/140120240731558659.pdf</t>
        </is>
      </c>
    </row>
    <row r="14">
      <c r="A14" t="inlineStr">
        <is>
          <t>2024-04-26</t>
        </is>
      </c>
      <c r="B14" t="inlineStr">
        <is>
          <t>2024년 3월 결산기 연간 결산단신</t>
        </is>
      </c>
      <c r="C14" t="inlineStr">
        <is>
          <t>https://www2.jpx.co.jp/disc/53320/140120240426577819.pdf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https://www2.jpx.co.jp/disc/53320/140120240131522872.pdf</t>
        </is>
      </c>
    </row>
    <row r="16">
      <c r="A16" t="inlineStr">
        <is>
          <t>2023-10-30</t>
        </is>
      </c>
      <c r="B16" t="inlineStr">
        <is>
          <t>2024년 3월 결산기 ２분기 결산단신</t>
        </is>
      </c>
      <c r="C16" t="inlineStr">
        <is>
          <t>https://www2.jpx.co.jp/disc/53320/140120231030574000.pdf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https://www2.jpx.co.jp/disc/53320/140120230731529921.pdf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https://www2.jpx.co.jp/disc/53320/140120230428555974.pdf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https://www2.jpx.co.jp/disc/53320/140120230131597221.pdf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https://www2.jpx.co.jp/disc/53320/140120220428531379.pdf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https://www2.jpx.co.jp/disc/53320/140120210428402906.pdf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https://www2.jpx.co.jp/disc/53320/140120200430402713.pdf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https://www2.jpx.co.jp/disc/53320/140120190426412463.pdf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https://www2.jpx.co.jp/disc/53320/140120180427422991.pdf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5332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1513.8</v>
      </c>
      <c r="D5" s="65" t="n">
        <v>1316.9</v>
      </c>
      <c r="E5" s="65" t="n">
        <v>1497</v>
      </c>
      <c r="F5" s="65" t="n">
        <v>1540.5</v>
      </c>
      <c r="G5" s="65" t="n">
        <v>1568.6</v>
      </c>
      <c r="H5" s="65" t="n">
        <v>1324.5</v>
      </c>
      <c r="I5" s="65" t="n">
        <v>1486.1</v>
      </c>
      <c r="J5" s="65" t="n">
        <v>1511.8</v>
      </c>
      <c r="K5" s="65" t="n">
        <v>1538.4</v>
      </c>
      <c r="L5" s="65" t="n">
        <v>1360.7</v>
      </c>
      <c r="M5" s="65" t="n">
        <v>1602.6</v>
      </c>
      <c r="N5" s="65" t="n">
        <v>1528.6</v>
      </c>
      <c r="O5" s="65" t="n">
        <v>1473.1</v>
      </c>
      <c r="P5" s="65" t="n">
        <v>1178</v>
      </c>
      <c r="Q5" s="65" t="n">
        <v>1386.8</v>
      </c>
      <c r="R5" s="65" t="n">
        <v>1628.8</v>
      </c>
      <c r="S5" s="65" t="n">
        <v>1584.8</v>
      </c>
      <c r="T5" s="65" t="n">
        <v>1457.3</v>
      </c>
      <c r="U5" s="65" t="n">
        <v>1637.8</v>
      </c>
      <c r="V5" s="65" t="n">
        <v>1706.3</v>
      </c>
      <c r="W5" s="65" t="n">
        <v>1651.4</v>
      </c>
      <c r="X5" s="65" t="n">
        <v>1534.7</v>
      </c>
      <c r="Y5" s="65" t="n">
        <v>1742.2</v>
      </c>
      <c r="Z5" s="65" t="n">
        <v>1994.5</v>
      </c>
      <c r="AA5" s="65" t="n">
        <v>1740.4</v>
      </c>
      <c r="AB5" s="65" t="n">
        <v>1566.1</v>
      </c>
      <c r="AC5" s="65" t="n">
        <v>1831.3</v>
      </c>
      <c r="AD5" s="65" t="n">
        <v>1850.2</v>
      </c>
      <c r="AE5" s="65" t="n">
        <v>1775.2</v>
      </c>
      <c r="AF5" s="65" t="n">
        <v>1645.1</v>
      </c>
      <c r="AG5" s="65" t="n">
        <v>1912.2</v>
      </c>
      <c r="AH5" s="65" t="n">
        <v>1865.7</v>
      </c>
      <c r="AI5" s="65" t="n">
        <v>1821.5</v>
      </c>
      <c r="AJ5" s="65" t="n">
        <v>1657.5</v>
      </c>
      <c r="AK5" s="65" t="n">
        <v>1836.2</v>
      </c>
      <c r="AL5" s="65" t="n">
        <v>1977.3</v>
      </c>
      <c r="AM5" s="65" t="n">
        <v>1903.4</v>
      </c>
      <c r="AN5" s="65" t="n">
        <v>1686.1</v>
      </c>
      <c r="AO5" s="65" t="n">
        <v>1960.6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3.6</v>
      </c>
      <c r="H6" s="66" t="n">
        <v>0.6</v>
      </c>
      <c r="I6" s="66" t="n">
        <v>-0.7</v>
      </c>
      <c r="J6" s="66" t="n">
        <v>-1.9</v>
      </c>
      <c r="K6" s="66" t="n">
        <v>-1.9</v>
      </c>
      <c r="L6" s="66" t="n">
        <v>2.7</v>
      </c>
      <c r="M6" s="66" t="n">
        <v>7.8</v>
      </c>
      <c r="N6" s="66" t="n">
        <v>1.1</v>
      </c>
      <c r="O6" s="66" t="n">
        <v>-4.2</v>
      </c>
      <c r="P6" s="66" t="n">
        <v>-13.4</v>
      </c>
      <c r="Q6" s="66" t="n">
        <v>-13.5</v>
      </c>
      <c r="R6" s="66" t="n">
        <v>6.6</v>
      </c>
      <c r="S6" s="66" t="n">
        <v>7.6</v>
      </c>
      <c r="T6" s="66" t="n">
        <v>23.7</v>
      </c>
      <c r="U6" s="66" t="n">
        <v>18.1</v>
      </c>
      <c r="V6" s="66" t="n">
        <v>4.8</v>
      </c>
      <c r="W6" s="66" t="n">
        <v>4.2</v>
      </c>
      <c r="X6" s="66" t="n">
        <v>5.3</v>
      </c>
      <c r="Y6" s="66" t="n">
        <v>6.4</v>
      </c>
      <c r="Z6" s="66" t="n">
        <v>16.9</v>
      </c>
      <c r="AA6" s="66" t="n">
        <v>5.4</v>
      </c>
      <c r="AB6" s="66" t="n">
        <v>2</v>
      </c>
      <c r="AC6" s="66" t="n">
        <v>5.1</v>
      </c>
      <c r="AD6" s="66" t="n">
        <v>-7.2</v>
      </c>
      <c r="AE6" s="66" t="n">
        <v>2</v>
      </c>
      <c r="AF6" s="66" t="n">
        <v>5</v>
      </c>
      <c r="AG6" s="66" t="n">
        <v>4.4</v>
      </c>
      <c r="AH6" s="66" t="n">
        <v>0.8</v>
      </c>
      <c r="AI6" s="66" t="n">
        <v>2.6</v>
      </c>
      <c r="AJ6" s="66" t="n">
        <v>0.8</v>
      </c>
      <c r="AK6" s="66" t="n">
        <v>-4</v>
      </c>
      <c r="AL6" s="66" t="n">
        <v>6</v>
      </c>
      <c r="AM6" s="66" t="n">
        <v>4.5</v>
      </c>
      <c r="AN6" s="66" t="n">
        <v>1.7</v>
      </c>
      <c r="AO6" s="66" t="n">
        <v>6.8</v>
      </c>
    </row>
    <row r="7">
      <c r="A7" s="64" t="inlineStr">
        <is>
          <t>영업이익</t>
        </is>
      </c>
      <c r="B7" s="65" t="n"/>
      <c r="C7" s="65" t="n">
        <v>126</v>
      </c>
      <c r="D7" s="65" t="n">
        <v>69.8</v>
      </c>
      <c r="E7" s="65" t="n">
        <v>154.8</v>
      </c>
      <c r="F7" s="65" t="n">
        <v>154.1</v>
      </c>
      <c r="G7" s="65" t="n">
        <v>147.2</v>
      </c>
      <c r="H7" s="65" t="n">
        <v>63.8</v>
      </c>
      <c r="I7" s="65" t="n">
        <v>117.1</v>
      </c>
      <c r="J7" s="65" t="n">
        <v>120.9</v>
      </c>
      <c r="K7" s="65" t="n">
        <v>99.8</v>
      </c>
      <c r="L7" s="65" t="n">
        <v>54</v>
      </c>
      <c r="M7" s="65" t="n">
        <v>120.7</v>
      </c>
      <c r="N7" s="65" t="n">
        <v>124</v>
      </c>
      <c r="O7" s="65" t="n">
        <v>69</v>
      </c>
      <c r="P7" s="65" t="n">
        <v>25.2</v>
      </c>
      <c r="Q7" s="65" t="n">
        <v>72.2</v>
      </c>
      <c r="R7" s="65" t="n">
        <v>183.7</v>
      </c>
      <c r="S7" s="65" t="n">
        <v>115.5</v>
      </c>
      <c r="T7" s="65" t="n">
        <v>121.1</v>
      </c>
      <c r="U7" s="65" t="n">
        <v>145</v>
      </c>
      <c r="V7" s="65" t="n">
        <v>164.1</v>
      </c>
      <c r="W7" s="65" t="n">
        <v>91.5</v>
      </c>
      <c r="X7" s="65" t="n">
        <v>102.1</v>
      </c>
      <c r="Y7" s="65" t="n">
        <v>104.4</v>
      </c>
      <c r="Z7" s="65" t="n">
        <v>229.4</v>
      </c>
      <c r="AA7" s="65" t="n">
        <v>55.3</v>
      </c>
      <c r="AB7" s="65" t="n">
        <v>40</v>
      </c>
      <c r="AC7" s="65" t="n">
        <v>112.7</v>
      </c>
      <c r="AD7" s="65" t="n">
        <v>176.4</v>
      </c>
      <c r="AE7" s="65" t="n">
        <v>98.59999999999999</v>
      </c>
      <c r="AF7" s="65" t="n">
        <v>98</v>
      </c>
      <c r="AG7" s="65" t="n">
        <v>143.4</v>
      </c>
      <c r="AH7" s="65" t="n">
        <v>173.6</v>
      </c>
      <c r="AI7" s="65" t="n">
        <v>69.7</v>
      </c>
      <c r="AJ7" s="65" t="n">
        <v>82.09999999999999</v>
      </c>
      <c r="AK7" s="65" t="n">
        <v>125.7</v>
      </c>
      <c r="AL7" s="65" t="n">
        <v>196.4</v>
      </c>
      <c r="AM7" s="65" t="n">
        <v>133.4</v>
      </c>
      <c r="AN7" s="65" t="n">
        <v>80.7</v>
      </c>
      <c r="AO7" s="65" t="n">
        <v>171.1</v>
      </c>
    </row>
    <row r="8">
      <c r="A8" s="64" t="inlineStr">
        <is>
          <t>영업이익률</t>
        </is>
      </c>
      <c r="B8" s="66" t="n"/>
      <c r="C8" s="66" t="n">
        <v>8.300000000000001</v>
      </c>
      <c r="D8" s="66" t="n">
        <v>5.3</v>
      </c>
      <c r="E8" s="66" t="n">
        <v>10.3</v>
      </c>
      <c r="F8" s="66" t="n">
        <v>10</v>
      </c>
      <c r="G8" s="66" t="n">
        <v>9.4</v>
      </c>
      <c r="H8" s="66" t="n">
        <v>4.8</v>
      </c>
      <c r="I8" s="66" t="n">
        <v>7.9</v>
      </c>
      <c r="J8" s="66" t="n">
        <v>8</v>
      </c>
      <c r="K8" s="66" t="n">
        <v>6.5</v>
      </c>
      <c r="L8" s="66" t="n">
        <v>4</v>
      </c>
      <c r="M8" s="66" t="n">
        <v>7.5</v>
      </c>
      <c r="N8" s="66" t="n">
        <v>8.1</v>
      </c>
      <c r="O8" s="66" t="n">
        <v>4.7</v>
      </c>
      <c r="P8" s="66" t="n">
        <v>2.1</v>
      </c>
      <c r="Q8" s="66" t="n">
        <v>5.2</v>
      </c>
      <c r="R8" s="66" t="n">
        <v>11.3</v>
      </c>
      <c r="S8" s="66" t="n">
        <v>7.3</v>
      </c>
      <c r="T8" s="66" t="n">
        <v>8.300000000000001</v>
      </c>
      <c r="U8" s="66" t="n">
        <v>8.9</v>
      </c>
      <c r="V8" s="66" t="n">
        <v>9.6</v>
      </c>
      <c r="W8" s="66" t="n">
        <v>5.5</v>
      </c>
      <c r="X8" s="66" t="n">
        <v>6.7</v>
      </c>
      <c r="Y8" s="66" t="n">
        <v>6</v>
      </c>
      <c r="Z8" s="66" t="n">
        <v>11.5</v>
      </c>
      <c r="AA8" s="66" t="n">
        <v>3.2</v>
      </c>
      <c r="AB8" s="66" t="n">
        <v>2.6</v>
      </c>
      <c r="AC8" s="66" t="n">
        <v>6.2</v>
      </c>
      <c r="AD8" s="66" t="n">
        <v>9.5</v>
      </c>
      <c r="AE8" s="66" t="n">
        <v>5.6</v>
      </c>
      <c r="AF8" s="66" t="n">
        <v>6</v>
      </c>
      <c r="AG8" s="66" t="n">
        <v>7.5</v>
      </c>
      <c r="AH8" s="66" t="n">
        <v>9.300000000000001</v>
      </c>
      <c r="AI8" s="66" t="n">
        <v>3.8</v>
      </c>
      <c r="AJ8" s="66" t="n">
        <v>5</v>
      </c>
      <c r="AK8" s="66" t="n">
        <v>6.8</v>
      </c>
      <c r="AL8" s="66" t="n">
        <v>9.9</v>
      </c>
      <c r="AM8" s="66" t="n">
        <v>7</v>
      </c>
      <c r="AN8" s="66" t="n">
        <v>4.8</v>
      </c>
      <c r="AO8" s="66" t="n">
        <v>8.699999999999999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16.8</v>
      </c>
      <c r="H9" s="66" t="n">
        <v>-8.6</v>
      </c>
      <c r="I9" s="66" t="n">
        <v>-24.4</v>
      </c>
      <c r="J9" s="66" t="n">
        <v>-21.5</v>
      </c>
      <c r="K9" s="66" t="n">
        <v>-32.2</v>
      </c>
      <c r="L9" s="66" t="n">
        <v>-15.4</v>
      </c>
      <c r="M9" s="66" t="n">
        <v>3.1</v>
      </c>
      <c r="N9" s="66" t="n">
        <v>2.6</v>
      </c>
      <c r="O9" s="66" t="n">
        <v>-30.9</v>
      </c>
      <c r="P9" s="66" t="n">
        <v>-53.3</v>
      </c>
      <c r="Q9" s="66" t="n">
        <v>-40.2</v>
      </c>
      <c r="R9" s="66" t="n">
        <v>48.1</v>
      </c>
      <c r="S9" s="66" t="n">
        <v>67.40000000000001</v>
      </c>
      <c r="T9" s="66" t="n">
        <v>380.6</v>
      </c>
      <c r="U9" s="66" t="n">
        <v>100.8</v>
      </c>
      <c r="V9" s="66" t="n">
        <v>-10.7</v>
      </c>
      <c r="W9" s="66" t="n">
        <v>-20.8</v>
      </c>
      <c r="X9" s="66" t="n">
        <v>-15.7</v>
      </c>
      <c r="Y9" s="66" t="n">
        <v>-28</v>
      </c>
      <c r="Z9" s="66" t="n">
        <v>39.8</v>
      </c>
      <c r="AA9" s="66" t="n">
        <v>-39.6</v>
      </c>
      <c r="AB9" s="66" t="n">
        <v>-60.8</v>
      </c>
      <c r="AC9" s="66" t="n">
        <v>8</v>
      </c>
      <c r="AD9" s="66" t="n">
        <v>-23.1</v>
      </c>
      <c r="AE9" s="66" t="n">
        <v>78.3</v>
      </c>
      <c r="AF9" s="66" t="n">
        <v>145</v>
      </c>
      <c r="AG9" s="66" t="n">
        <v>27.2</v>
      </c>
      <c r="AH9" s="66" t="n">
        <v>-1.6</v>
      </c>
      <c r="AI9" s="66" t="n">
        <v>-29.3</v>
      </c>
      <c r="AJ9" s="66" t="n">
        <v>-16.2</v>
      </c>
      <c r="AK9" s="66" t="n">
        <v>-12.3</v>
      </c>
      <c r="AL9" s="66" t="n">
        <v>13.1</v>
      </c>
      <c r="AM9" s="66" t="n">
        <v>91.40000000000001</v>
      </c>
      <c r="AN9" s="66" t="n">
        <v>-1.7</v>
      </c>
      <c r="AO9" s="66" t="n">
        <v>36.1</v>
      </c>
    </row>
    <row r="10">
      <c r="A10" s="64" t="inlineStr">
        <is>
          <t>유동자산</t>
        </is>
      </c>
      <c r="B10" s="65" t="n"/>
      <c r="C10" s="65" t="n">
        <v>2820.8</v>
      </c>
      <c r="D10" s="65" t="n"/>
      <c r="E10" s="65" t="n"/>
      <c r="F10" s="65" t="n">
        <v>2735.2</v>
      </c>
      <c r="G10" s="65" t="n">
        <v>2778.4</v>
      </c>
      <c r="H10" s="65" t="n">
        <v>2596.5</v>
      </c>
      <c r="I10" s="65" t="n">
        <v>2781.3</v>
      </c>
      <c r="J10" s="65" t="n">
        <v>2742.2</v>
      </c>
      <c r="K10" s="65" t="n">
        <v>2876.3</v>
      </c>
      <c r="L10" s="65" t="n">
        <v>2716.7</v>
      </c>
      <c r="M10" s="65" t="n">
        <v>2819.8</v>
      </c>
      <c r="N10" s="65" t="n">
        <v>2803.9</v>
      </c>
      <c r="O10" s="65" t="n">
        <v>2911.2</v>
      </c>
      <c r="P10" s="65" t="n">
        <v>2873.7</v>
      </c>
      <c r="Q10" s="65" t="n">
        <v>3009.5</v>
      </c>
      <c r="R10" s="65" t="n">
        <v>3090</v>
      </c>
      <c r="S10" s="65" t="n">
        <v>3263.8</v>
      </c>
      <c r="T10" s="65" t="n">
        <v>2852.7</v>
      </c>
      <c r="U10" s="65" t="n">
        <v>2819.2</v>
      </c>
      <c r="V10" s="65" t="n">
        <v>2881.7</v>
      </c>
      <c r="W10" s="65" t="n">
        <v>3076.2</v>
      </c>
      <c r="X10" s="65" t="n">
        <v>3305.8</v>
      </c>
      <c r="Y10" s="65" t="n">
        <v>3642.6</v>
      </c>
      <c r="Z10" s="65" t="n">
        <v>3699.8</v>
      </c>
      <c r="AA10" s="65" t="n">
        <v>3592.9</v>
      </c>
      <c r="AB10" s="65" t="n">
        <v>3304.5</v>
      </c>
      <c r="AC10" s="65" t="n">
        <v>3602.2</v>
      </c>
      <c r="AD10" s="65" t="n">
        <v>3489.3</v>
      </c>
      <c r="AE10" s="65" t="n">
        <v>3540.3</v>
      </c>
      <c r="AF10" s="65" t="n">
        <v>3349.9</v>
      </c>
      <c r="AG10" s="65" t="n">
        <v>3651.5</v>
      </c>
      <c r="AH10" s="65" t="n">
        <v>3529.6</v>
      </c>
      <c r="AI10" s="65" t="n">
        <v>3745.7</v>
      </c>
      <c r="AJ10" s="65" t="n">
        <v>3341</v>
      </c>
      <c r="AK10" s="65" t="n">
        <v>3324.9</v>
      </c>
      <c r="AL10" s="65" t="n">
        <v>3417.1</v>
      </c>
      <c r="AM10" s="65" t="n">
        <v>3721</v>
      </c>
      <c r="AN10" s="65" t="n">
        <v>3374.5</v>
      </c>
      <c r="AO10" s="65" t="n">
        <v>3678.4</v>
      </c>
    </row>
    <row r="11">
      <c r="A11" s="64" t="inlineStr">
        <is>
          <t>유동부채</t>
        </is>
      </c>
      <c r="B11" s="65" t="n"/>
      <c r="C11" s="65" t="n">
        <v>1801.1</v>
      </c>
      <c r="D11" s="65" t="n"/>
      <c r="E11" s="65" t="n"/>
      <c r="F11" s="65" t="n">
        <v>1746.2</v>
      </c>
      <c r="G11" s="65" t="n">
        <v>1763.2</v>
      </c>
      <c r="H11" s="65" t="n">
        <v>1741</v>
      </c>
      <c r="I11" s="65" t="n">
        <v>1879.8</v>
      </c>
      <c r="J11" s="65" t="n">
        <v>1808</v>
      </c>
      <c r="K11" s="65" t="n">
        <v>1906.5</v>
      </c>
      <c r="L11" s="65" t="n">
        <v>1766.8</v>
      </c>
      <c r="M11" s="65" t="n">
        <v>1836</v>
      </c>
      <c r="N11" s="65" t="n">
        <v>1810.8</v>
      </c>
      <c r="O11" s="65" t="n">
        <v>1938.6</v>
      </c>
      <c r="P11" s="65" t="n">
        <v>2038.3</v>
      </c>
      <c r="Q11" s="65" t="n">
        <v>2161.8</v>
      </c>
      <c r="R11" s="65" t="n">
        <v>2187.6</v>
      </c>
      <c r="S11" s="65" t="n">
        <v>2351.6</v>
      </c>
      <c r="T11" s="65" t="n">
        <v>1941.3</v>
      </c>
      <c r="U11" s="65" t="n">
        <v>1825.4</v>
      </c>
      <c r="V11" s="65" t="n">
        <v>1847.9</v>
      </c>
      <c r="W11" s="65" t="n">
        <v>1994.7</v>
      </c>
      <c r="X11" s="65" t="n">
        <v>2170.5</v>
      </c>
      <c r="Y11" s="65" t="n">
        <v>2410.3</v>
      </c>
      <c r="Z11" s="65" t="n">
        <v>2256.1</v>
      </c>
      <c r="AA11" s="65" t="n">
        <v>2288.4</v>
      </c>
      <c r="AB11" s="65" t="n">
        <v>2074.8</v>
      </c>
      <c r="AC11" s="65" t="n">
        <v>2288.1</v>
      </c>
      <c r="AD11" s="65" t="n">
        <v>2178.6</v>
      </c>
      <c r="AE11" s="65" t="n">
        <v>2242</v>
      </c>
      <c r="AF11" s="65" t="n">
        <v>2052.5</v>
      </c>
      <c r="AG11" s="65" t="n">
        <v>2245.4</v>
      </c>
      <c r="AH11" s="65" t="n">
        <v>2127</v>
      </c>
      <c r="AI11" s="65" t="n">
        <v>2307.8</v>
      </c>
      <c r="AJ11" s="65" t="n">
        <v>2092.2</v>
      </c>
      <c r="AK11" s="65" t="n">
        <v>2171.7</v>
      </c>
      <c r="AL11" s="65" t="n">
        <v>2178.5</v>
      </c>
      <c r="AM11" s="65" t="n">
        <v>2383.9</v>
      </c>
      <c r="AN11" s="65" t="n">
        <v>2054.2</v>
      </c>
      <c r="AO11" s="65" t="n">
        <v>2218.6</v>
      </c>
    </row>
    <row r="12">
      <c r="A12" s="64" t="inlineStr">
        <is>
          <t>부채총계</t>
        </is>
      </c>
      <c r="B12" s="65" t="n"/>
      <c r="C12" s="65" t="n">
        <v>2479.4</v>
      </c>
      <c r="D12" s="65" t="n"/>
      <c r="E12" s="65" t="n"/>
      <c r="F12" s="65" t="n">
        <v>2303.6</v>
      </c>
      <c r="G12" s="65" t="n">
        <v>2221</v>
      </c>
      <c r="H12" s="65" t="n">
        <v>2128.6</v>
      </c>
      <c r="I12" s="65" t="n">
        <v>2250.5</v>
      </c>
      <c r="J12" s="65" t="n">
        <v>2170.6</v>
      </c>
      <c r="K12" s="65" t="n">
        <v>2283</v>
      </c>
      <c r="L12" s="65" t="n">
        <v>2178.6</v>
      </c>
      <c r="M12" s="65" t="n">
        <v>2233.8</v>
      </c>
      <c r="N12" s="65" t="n">
        <v>2231.9</v>
      </c>
      <c r="O12" s="65" t="n">
        <v>2427.9</v>
      </c>
      <c r="P12" s="65" t="n">
        <v>2519.6</v>
      </c>
      <c r="Q12" s="65" t="n">
        <v>2630.8</v>
      </c>
      <c r="R12" s="65" t="n">
        <v>2645.9</v>
      </c>
      <c r="S12" s="65" t="n">
        <v>2728.4</v>
      </c>
      <c r="T12" s="65" t="n">
        <v>2231.6</v>
      </c>
      <c r="U12" s="65" t="n">
        <v>2115.5</v>
      </c>
      <c r="V12" s="65" t="n">
        <v>2165.2</v>
      </c>
      <c r="W12" s="65" t="n">
        <v>2276.5</v>
      </c>
      <c r="X12" s="65" t="n">
        <v>2504.8</v>
      </c>
      <c r="Y12" s="65" t="n">
        <v>2746.3</v>
      </c>
      <c r="Z12" s="65" t="n">
        <v>2632.9</v>
      </c>
      <c r="AA12" s="65" t="n">
        <v>2705.5</v>
      </c>
      <c r="AB12" s="65" t="n">
        <v>2537.6</v>
      </c>
      <c r="AC12" s="65" t="n">
        <v>2756.5</v>
      </c>
      <c r="AD12" s="65" t="n">
        <v>2686.6</v>
      </c>
      <c r="AE12" s="65" t="n">
        <v>2797</v>
      </c>
      <c r="AF12" s="65" t="n">
        <v>2625.4</v>
      </c>
      <c r="AG12" s="65" t="n">
        <v>2795.5</v>
      </c>
      <c r="AH12" s="65" t="n">
        <v>2706.4</v>
      </c>
      <c r="AI12" s="65" t="n">
        <v>2835.2</v>
      </c>
      <c r="AJ12" s="65" t="n">
        <v>2624</v>
      </c>
      <c r="AK12" s="65" t="n">
        <v>2709.2</v>
      </c>
      <c r="AL12" s="65" t="n">
        <v>2753.7</v>
      </c>
      <c r="AM12" s="65" t="n">
        <v>2935.7</v>
      </c>
      <c r="AN12" s="65" t="n">
        <v>2664.9</v>
      </c>
      <c r="AO12" s="65" t="n">
        <v>2782.1</v>
      </c>
    </row>
    <row r="13">
      <c r="A13" s="64" t="inlineStr">
        <is>
          <t>자기자본</t>
        </is>
      </c>
      <c r="B13" s="66" t="n"/>
      <c r="C13" s="66" t="n">
        <v>3060.5</v>
      </c>
      <c r="D13" s="66" t="n"/>
      <c r="E13" s="66" t="n"/>
      <c r="F13" s="66" t="n">
        <v>3270.2</v>
      </c>
      <c r="G13" s="66" t="n">
        <v>3422.2</v>
      </c>
      <c r="H13" s="66" t="n">
        <v>3360.8</v>
      </c>
      <c r="I13" s="66" t="n">
        <v>3441.1</v>
      </c>
      <c r="J13" s="66" t="n">
        <v>3403.5</v>
      </c>
      <c r="K13" s="66" t="n">
        <v>3466.6</v>
      </c>
      <c r="L13" s="66" t="n">
        <v>3411.3</v>
      </c>
      <c r="M13" s="66" t="n">
        <v>3476.9</v>
      </c>
      <c r="N13" s="66" t="n">
        <v>3500.4</v>
      </c>
      <c r="O13" s="66" t="n">
        <v>3411.4</v>
      </c>
      <c r="P13" s="66" t="n">
        <v>3303.7</v>
      </c>
      <c r="Q13" s="66" t="n">
        <v>3371.2</v>
      </c>
      <c r="R13" s="66" t="n">
        <v>3456</v>
      </c>
      <c r="S13" s="66" t="n">
        <v>3731.7</v>
      </c>
      <c r="T13" s="66" t="n">
        <v>3829.9</v>
      </c>
      <c r="U13" s="66" t="n">
        <v>3973.7</v>
      </c>
      <c r="V13" s="66" t="n">
        <v>4036.2</v>
      </c>
      <c r="W13" s="66" t="n">
        <v>4133.7</v>
      </c>
      <c r="X13" s="66" t="n">
        <v>4264.3</v>
      </c>
      <c r="Y13" s="66" t="n">
        <v>4491.5</v>
      </c>
      <c r="Z13" s="66" t="n">
        <v>4654.7</v>
      </c>
      <c r="AA13" s="66" t="n">
        <v>4610.9</v>
      </c>
      <c r="AB13" s="66" t="n">
        <v>4636</v>
      </c>
      <c r="AC13" s="66" t="n">
        <v>4885.2</v>
      </c>
      <c r="AD13" s="66" t="n">
        <v>4961.4</v>
      </c>
      <c r="AE13" s="66" t="n">
        <v>5105.6</v>
      </c>
      <c r="AF13" s="66" t="n">
        <v>5194.7</v>
      </c>
      <c r="AG13" s="66" t="n">
        <v>5416</v>
      </c>
      <c r="AH13" s="66" t="n">
        <v>5307.6</v>
      </c>
      <c r="AI13" s="66" t="n">
        <v>5304</v>
      </c>
      <c r="AJ13" s="66" t="n">
        <v>5080.4</v>
      </c>
      <c r="AK13" s="66" t="n">
        <v>4934.5</v>
      </c>
      <c r="AL13" s="66" t="n">
        <v>5088.7</v>
      </c>
      <c r="AM13" s="66" t="n">
        <v>5339.1</v>
      </c>
      <c r="AN13" s="66" t="n">
        <v>5415.9</v>
      </c>
      <c r="AO13" s="66" t="n">
        <v>5521.3</v>
      </c>
    </row>
    <row r="14">
      <c r="A14" s="64" t="inlineStr">
        <is>
          <t>유동비율</t>
        </is>
      </c>
      <c r="B14" s="66" t="n"/>
      <c r="C14" s="66" t="n">
        <v>156.6</v>
      </c>
      <c r="D14" s="66" t="n"/>
      <c r="E14" s="66" t="n"/>
      <c r="F14" s="66" t="n">
        <v>156.6</v>
      </c>
      <c r="G14" s="66" t="n">
        <v>157.6</v>
      </c>
      <c r="H14" s="66" t="n">
        <v>149.1</v>
      </c>
      <c r="I14" s="66" t="n">
        <v>148</v>
      </c>
      <c r="J14" s="66" t="n">
        <v>151.7</v>
      </c>
      <c r="K14" s="66" t="n">
        <v>150.9</v>
      </c>
      <c r="L14" s="66" t="n">
        <v>153.8</v>
      </c>
      <c r="M14" s="66" t="n">
        <v>153.6</v>
      </c>
      <c r="N14" s="66" t="n">
        <v>154.8</v>
      </c>
      <c r="O14" s="66" t="n">
        <v>150.2</v>
      </c>
      <c r="P14" s="66" t="n">
        <v>141</v>
      </c>
      <c r="Q14" s="66" t="n">
        <v>139.2</v>
      </c>
      <c r="R14" s="66" t="n">
        <v>141.3</v>
      </c>
      <c r="S14" s="66" t="n">
        <v>138.8</v>
      </c>
      <c r="T14" s="66" t="n">
        <v>146.9</v>
      </c>
      <c r="U14" s="66" t="n">
        <v>154.4</v>
      </c>
      <c r="V14" s="66" t="n">
        <v>155.9</v>
      </c>
      <c r="W14" s="66" t="n">
        <v>154.2</v>
      </c>
      <c r="X14" s="66" t="n">
        <v>152.3</v>
      </c>
      <c r="Y14" s="66" t="n">
        <v>151.1</v>
      </c>
      <c r="Z14" s="66" t="n">
        <v>164</v>
      </c>
      <c r="AA14" s="66" t="n">
        <v>157</v>
      </c>
      <c r="AB14" s="66" t="n">
        <v>159.3</v>
      </c>
      <c r="AC14" s="66" t="n">
        <v>157.4</v>
      </c>
      <c r="AD14" s="66" t="n">
        <v>160.2</v>
      </c>
      <c r="AE14" s="66" t="n">
        <v>157.9</v>
      </c>
      <c r="AF14" s="66" t="n">
        <v>163.2</v>
      </c>
      <c r="AG14" s="66" t="n">
        <v>162.6</v>
      </c>
      <c r="AH14" s="66" t="n">
        <v>165.9</v>
      </c>
      <c r="AI14" s="66" t="n">
        <v>162.3</v>
      </c>
      <c r="AJ14" s="66" t="n">
        <v>159.7</v>
      </c>
      <c r="AK14" s="66" t="n">
        <v>153.1</v>
      </c>
      <c r="AL14" s="66" t="n">
        <v>156.9</v>
      </c>
      <c r="AM14" s="66" t="n">
        <v>156.1</v>
      </c>
      <c r="AN14" s="66" t="n">
        <v>164.3</v>
      </c>
      <c r="AO14" s="66" t="n">
        <v>165.8</v>
      </c>
    </row>
    <row r="15">
      <c r="A15" s="64" t="inlineStr">
        <is>
          <t>부채비율</t>
        </is>
      </c>
      <c r="B15" s="66" t="n"/>
      <c r="C15" s="66" t="n">
        <v>81</v>
      </c>
      <c r="D15" s="66" t="n"/>
      <c r="E15" s="66" t="n"/>
      <c r="F15" s="66" t="n">
        <v>70.40000000000001</v>
      </c>
      <c r="G15" s="66" t="n">
        <v>64.90000000000001</v>
      </c>
      <c r="H15" s="66" t="n">
        <v>63.3</v>
      </c>
      <c r="I15" s="66" t="n">
        <v>65.40000000000001</v>
      </c>
      <c r="J15" s="66" t="n">
        <v>63.8</v>
      </c>
      <c r="K15" s="66" t="n">
        <v>65.90000000000001</v>
      </c>
      <c r="L15" s="66" t="n">
        <v>63.9</v>
      </c>
      <c r="M15" s="66" t="n">
        <v>64.2</v>
      </c>
      <c r="N15" s="66" t="n">
        <v>63.8</v>
      </c>
      <c r="O15" s="66" t="n">
        <v>71.2</v>
      </c>
      <c r="P15" s="66" t="n">
        <v>76.3</v>
      </c>
      <c r="Q15" s="66" t="n">
        <v>78</v>
      </c>
      <c r="R15" s="66" t="n">
        <v>76.59999999999999</v>
      </c>
      <c r="S15" s="66" t="n">
        <v>73.09999999999999</v>
      </c>
      <c r="T15" s="66" t="n">
        <v>58.3</v>
      </c>
      <c r="U15" s="66" t="n">
        <v>53.2</v>
      </c>
      <c r="V15" s="66" t="n">
        <v>53.6</v>
      </c>
      <c r="W15" s="66" t="n">
        <v>55.1</v>
      </c>
      <c r="X15" s="66" t="n">
        <v>58.7</v>
      </c>
      <c r="Y15" s="66" t="n">
        <v>61.1</v>
      </c>
      <c r="Z15" s="66" t="n">
        <v>56.6</v>
      </c>
      <c r="AA15" s="66" t="n">
        <v>58.7</v>
      </c>
      <c r="AB15" s="66" t="n">
        <v>54.7</v>
      </c>
      <c r="AC15" s="66" t="n">
        <v>56.4</v>
      </c>
      <c r="AD15" s="66" t="n">
        <v>54.2</v>
      </c>
      <c r="AE15" s="66" t="n">
        <v>54.8</v>
      </c>
      <c r="AF15" s="66" t="n">
        <v>50.5</v>
      </c>
      <c r="AG15" s="66" t="n">
        <v>51.6</v>
      </c>
      <c r="AH15" s="66" t="n">
        <v>51</v>
      </c>
      <c r="AI15" s="66" t="n">
        <v>53.5</v>
      </c>
      <c r="AJ15" s="66" t="n">
        <v>51.6</v>
      </c>
      <c r="AK15" s="66" t="n">
        <v>54.9</v>
      </c>
      <c r="AL15" s="66" t="n">
        <v>54.1</v>
      </c>
      <c r="AM15" s="66" t="n">
        <v>55</v>
      </c>
      <c r="AN15" s="66" t="n">
        <v>49.2</v>
      </c>
      <c r="AO15" s="66" t="n">
        <v>50.4</v>
      </c>
    </row>
    <row r="16">
      <c r="A16" s="64" t="inlineStr">
        <is>
          <t>순차입금/자기자본</t>
        </is>
      </c>
      <c r="B16" s="66" t="n"/>
      <c r="C16" s="66" t="n">
        <v>-17.3</v>
      </c>
      <c r="D16" s="66" t="n"/>
      <c r="E16" s="66" t="n"/>
      <c r="F16" s="66" t="n">
        <v>-19.9</v>
      </c>
      <c r="G16" s="66" t="n">
        <v>-19.8</v>
      </c>
      <c r="H16" s="66" t="n">
        <v>-16.4</v>
      </c>
      <c r="I16" s="66" t="n">
        <v>-19.8</v>
      </c>
      <c r="J16" s="66" t="n">
        <v>-15.7</v>
      </c>
      <c r="K16" s="66" t="n">
        <v>-9.5</v>
      </c>
      <c r="L16" s="66" t="n">
        <v>-16.2</v>
      </c>
      <c r="M16" s="66" t="n">
        <v>-18.3</v>
      </c>
      <c r="N16" s="66" t="n">
        <v>-17</v>
      </c>
      <c r="O16" s="66" t="n">
        <v>-12.8</v>
      </c>
      <c r="P16" s="66" t="n">
        <v>-16.8</v>
      </c>
      <c r="Q16" s="66" t="n">
        <v>-18.8</v>
      </c>
      <c r="R16" s="66" t="n">
        <v>-18</v>
      </c>
      <c r="S16" s="66" t="n">
        <v>-12.2</v>
      </c>
      <c r="T16" s="66" t="n">
        <v>-17</v>
      </c>
      <c r="U16" s="66" t="n">
        <v>-15.2</v>
      </c>
      <c r="V16" s="66" t="n">
        <v>-13.1</v>
      </c>
      <c r="W16" s="66" t="n">
        <v>-12.7</v>
      </c>
      <c r="X16" s="66" t="n">
        <v>-17.8</v>
      </c>
      <c r="Y16" s="66" t="n">
        <v>-19.3</v>
      </c>
      <c r="Z16" s="66" t="n">
        <v>-15.8</v>
      </c>
      <c r="AA16" s="66" t="n">
        <v>-6.6</v>
      </c>
      <c r="AB16" s="66" t="n">
        <v>-10.7</v>
      </c>
      <c r="AC16" s="66" t="n">
        <v>-15.8</v>
      </c>
      <c r="AD16" s="66" t="n">
        <v>-12.1</v>
      </c>
      <c r="AE16" s="66" t="n">
        <v>-7</v>
      </c>
      <c r="AF16" s="66" t="n">
        <v>-10.9</v>
      </c>
      <c r="AG16" s="66" t="n">
        <v>-16.4</v>
      </c>
      <c r="AH16" s="66" t="n">
        <v>-13.8</v>
      </c>
      <c r="AI16" s="66" t="n">
        <v>-10.3</v>
      </c>
      <c r="AJ16" s="66" t="n">
        <v>-13.4</v>
      </c>
      <c r="AK16" s="66" t="n">
        <v>-14.3</v>
      </c>
      <c r="AL16" s="66" t="n">
        <v>-14.9</v>
      </c>
      <c r="AM16" s="66" t="n">
        <v>-12.2</v>
      </c>
      <c r="AN16" s="66" t="n">
        <v>-14.2</v>
      </c>
      <c r="AO16" s="66" t="n">
        <v>-16.4</v>
      </c>
    </row>
    <row r="17">
      <c r="A17" s="64" t="inlineStr">
        <is>
          <t>재고자산</t>
        </is>
      </c>
      <c r="B17" s="65" t="n"/>
      <c r="C17" s="65" t="n">
        <v>624</v>
      </c>
      <c r="D17" s="65" t="n"/>
      <c r="E17" s="65" t="n"/>
      <c r="F17" s="65" t="n">
        <v>705.2</v>
      </c>
      <c r="G17" s="65" t="n">
        <v>671.8</v>
      </c>
      <c r="H17" s="65" t="n">
        <v>758.7</v>
      </c>
      <c r="I17" s="65" t="n">
        <v>790.2</v>
      </c>
      <c r="J17" s="65" t="n">
        <v>858.2</v>
      </c>
      <c r="K17" s="65" t="n">
        <v>819.8</v>
      </c>
      <c r="L17" s="65" t="n">
        <v>893.3</v>
      </c>
      <c r="M17" s="65" t="n">
        <v>857.4</v>
      </c>
      <c r="N17" s="65" t="n">
        <v>865.2</v>
      </c>
      <c r="O17" s="65" t="n">
        <v>842.4</v>
      </c>
      <c r="P17" s="65" t="n">
        <v>877.7</v>
      </c>
      <c r="Q17" s="65" t="n">
        <v>887.6</v>
      </c>
      <c r="R17" s="65" t="n">
        <v>864.6</v>
      </c>
      <c r="S17" s="65" t="n">
        <v>821.6</v>
      </c>
      <c r="T17" s="65" t="n">
        <v>934.8</v>
      </c>
      <c r="U17" s="65" t="n">
        <v>946.1</v>
      </c>
      <c r="V17" s="65" t="n">
        <v>998.2</v>
      </c>
      <c r="W17" s="65" t="n">
        <v>1094.6</v>
      </c>
      <c r="X17" s="65" t="n">
        <v>1247</v>
      </c>
      <c r="Y17" s="65" t="n">
        <v>1376.2</v>
      </c>
      <c r="Z17" s="65" t="n">
        <v>1465.3</v>
      </c>
      <c r="AA17" s="65" t="n">
        <v>1456.1</v>
      </c>
      <c r="AB17" s="65" t="n">
        <v>1464.5</v>
      </c>
      <c r="AC17" s="65" t="n">
        <v>1394.8</v>
      </c>
      <c r="AD17" s="65" t="n">
        <v>1407</v>
      </c>
      <c r="AE17" s="65" t="n">
        <v>1334.8</v>
      </c>
      <c r="AF17" s="65" t="n">
        <v>1434.6</v>
      </c>
      <c r="AG17" s="65" t="n">
        <v>1401.6</v>
      </c>
      <c r="AH17" s="65" t="n">
        <v>1369.7</v>
      </c>
      <c r="AI17" s="65" t="n">
        <v>1346.3</v>
      </c>
      <c r="AJ17" s="65" t="n">
        <v>1375.6</v>
      </c>
      <c r="AK17" s="65" t="n">
        <v>1277.8</v>
      </c>
      <c r="AL17" s="65" t="n">
        <v>1222.6</v>
      </c>
      <c r="AM17" s="65" t="n">
        <v>1216.2</v>
      </c>
      <c r="AN17" s="65" t="n">
        <v>1307.3</v>
      </c>
      <c r="AO17" s="65" t="n">
        <v>1332.8</v>
      </c>
    </row>
    <row r="18">
      <c r="A18" s="64" t="inlineStr">
        <is>
          <t>재고자산 회전일수</t>
        </is>
      </c>
      <c r="B18" s="65" t="n"/>
      <c r="C18" s="65" t="n">
        <v>60</v>
      </c>
      <c r="D18" s="65" t="n"/>
      <c r="E18" s="65" t="n"/>
      <c r="F18" s="65" t="n">
        <v>68</v>
      </c>
      <c r="G18" s="65" t="n">
        <v>61</v>
      </c>
      <c r="H18" s="65" t="n">
        <v>83</v>
      </c>
      <c r="I18" s="65" t="n">
        <v>78</v>
      </c>
      <c r="J18" s="65" t="n">
        <v>81</v>
      </c>
      <c r="K18" s="65" t="n">
        <v>75</v>
      </c>
      <c r="L18" s="65" t="n">
        <v>92</v>
      </c>
      <c r="M18" s="65" t="n">
        <v>77</v>
      </c>
      <c r="N18" s="65" t="n">
        <v>81</v>
      </c>
      <c r="O18" s="65" t="n">
        <v>79</v>
      </c>
      <c r="P18" s="65" t="n">
        <v>105</v>
      </c>
      <c r="Q18" s="65" t="n">
        <v>91</v>
      </c>
      <c r="R18" s="65" t="n">
        <v>78</v>
      </c>
      <c r="S18" s="65" t="n">
        <v>74</v>
      </c>
      <c r="T18" s="65" t="n">
        <v>93</v>
      </c>
      <c r="U18" s="65" t="n">
        <v>81</v>
      </c>
      <c r="V18" s="65" t="n">
        <v>82</v>
      </c>
      <c r="W18" s="65" t="n">
        <v>99</v>
      </c>
      <c r="X18" s="65" t="n">
        <v>115</v>
      </c>
      <c r="Y18" s="65" t="n">
        <v>109</v>
      </c>
      <c r="Z18" s="65" t="n">
        <v>105</v>
      </c>
      <c r="AA18" s="65" t="n">
        <v>112</v>
      </c>
      <c r="AB18" s="65" t="n">
        <v>127</v>
      </c>
      <c r="AC18" s="65" t="n">
        <v>104</v>
      </c>
      <c r="AD18" s="65" t="n">
        <v>108</v>
      </c>
      <c r="AE18" s="65" t="n">
        <v>103</v>
      </c>
      <c r="AF18" s="65" t="n">
        <v>124</v>
      </c>
      <c r="AG18" s="65" t="n">
        <v>103</v>
      </c>
      <c r="AH18" s="65" t="n">
        <v>106</v>
      </c>
      <c r="AI18" s="65" t="n">
        <v>100</v>
      </c>
      <c r="AJ18" s="65" t="n">
        <v>117</v>
      </c>
      <c r="AK18" s="65" t="n">
        <v>98</v>
      </c>
      <c r="AL18" s="65" t="n">
        <v>88</v>
      </c>
      <c r="AM18" s="65" t="n">
        <v>90</v>
      </c>
      <c r="AN18" s="65" t="n">
        <v>109</v>
      </c>
      <c r="AO18" s="65" t="n">
        <v>98</v>
      </c>
    </row>
    <row r="19">
      <c r="A19" s="64" t="inlineStr">
        <is>
          <t>매출채권 회전일수</t>
        </is>
      </c>
      <c r="B19" s="65" t="n"/>
      <c r="C19" s="65" t="n">
        <v>58</v>
      </c>
      <c r="D19" s="65" t="n"/>
      <c r="E19" s="65" t="n"/>
      <c r="F19" s="65" t="n">
        <v>55</v>
      </c>
      <c r="G19" s="65" t="n">
        <v>56</v>
      </c>
      <c r="H19" s="65" t="n">
        <v>59</v>
      </c>
      <c r="I19" s="65" t="n">
        <v>55</v>
      </c>
      <c r="J19" s="65" t="n">
        <v>57</v>
      </c>
      <c r="K19" s="65" t="n">
        <v>57</v>
      </c>
      <c r="L19" s="65" t="n">
        <v>59</v>
      </c>
      <c r="M19" s="65" t="n">
        <v>54</v>
      </c>
      <c r="N19" s="65" t="n">
        <v>56</v>
      </c>
      <c r="O19" s="65" t="n">
        <v>53</v>
      </c>
      <c r="P19" s="65" t="n">
        <v>59</v>
      </c>
      <c r="Q19" s="65" t="n">
        <v>53</v>
      </c>
      <c r="R19" s="65" t="n">
        <v>51</v>
      </c>
      <c r="S19" s="65" t="n">
        <v>52</v>
      </c>
      <c r="T19" s="65" t="n">
        <v>54</v>
      </c>
      <c r="U19" s="65" t="n">
        <v>50</v>
      </c>
      <c r="V19" s="65" t="n">
        <v>52</v>
      </c>
      <c r="W19" s="65" t="n">
        <v>52</v>
      </c>
      <c r="X19" s="65" t="n">
        <v>55</v>
      </c>
      <c r="Y19" s="65" t="n">
        <v>53</v>
      </c>
      <c r="Z19" s="65" t="n">
        <v>50</v>
      </c>
      <c r="AA19" s="65" t="n">
        <v>52</v>
      </c>
      <c r="AB19" s="65" t="n">
        <v>54</v>
      </c>
      <c r="AC19" s="65" t="n">
        <v>51</v>
      </c>
      <c r="AD19" s="65" t="n">
        <v>51</v>
      </c>
      <c r="AE19" s="65" t="n">
        <v>51</v>
      </c>
      <c r="AF19" s="65" t="n">
        <v>53</v>
      </c>
      <c r="AG19" s="65" t="n">
        <v>46</v>
      </c>
      <c r="AH19" s="65" t="n">
        <v>50</v>
      </c>
      <c r="AI19" s="65" t="n">
        <v>51</v>
      </c>
      <c r="AJ19" s="65" t="n">
        <v>50</v>
      </c>
      <c r="AK19" s="65" t="n">
        <v>47</v>
      </c>
      <c r="AL19" s="65" t="n">
        <v>49</v>
      </c>
      <c r="AM19" s="65" t="n">
        <v>49</v>
      </c>
      <c r="AN19" s="65" t="n">
        <v>48</v>
      </c>
      <c r="AO19" s="65" t="n">
        <v>47</v>
      </c>
    </row>
    <row r="20">
      <c r="A20" s="64" t="inlineStr">
        <is>
          <t>매입채무 회전일수</t>
        </is>
      </c>
      <c r="B20" s="65" t="n"/>
      <c r="C20" s="65" t="n">
        <v>74</v>
      </c>
      <c r="D20" s="65" t="n"/>
      <c r="E20" s="65" t="n"/>
      <c r="F20" s="65" t="n">
        <v>76</v>
      </c>
      <c r="G20" s="65" t="n">
        <v>73</v>
      </c>
      <c r="H20" s="65" t="n">
        <v>75</v>
      </c>
      <c r="I20" s="65" t="n">
        <v>61</v>
      </c>
      <c r="J20" s="65" t="n">
        <v>59</v>
      </c>
      <c r="K20" s="65" t="n">
        <v>60</v>
      </c>
      <c r="L20" s="65" t="n">
        <v>63</v>
      </c>
      <c r="M20" s="65" t="n">
        <v>59</v>
      </c>
      <c r="N20" s="65" t="n">
        <v>59</v>
      </c>
      <c r="O20" s="65" t="n">
        <v>61</v>
      </c>
      <c r="P20" s="65" t="n">
        <v>61</v>
      </c>
      <c r="Q20" s="65" t="n">
        <v>58</v>
      </c>
      <c r="R20" s="65" t="n">
        <v>57</v>
      </c>
      <c r="S20" s="65" t="n">
        <v>62</v>
      </c>
      <c r="T20" s="65" t="n">
        <v>66</v>
      </c>
      <c r="U20" s="65" t="n">
        <v>59</v>
      </c>
      <c r="V20" s="65" t="n">
        <v>60</v>
      </c>
      <c r="W20" s="65" t="n">
        <v>71</v>
      </c>
      <c r="X20" s="65" t="n">
        <v>67</v>
      </c>
      <c r="Y20" s="65" t="n">
        <v>67</v>
      </c>
      <c r="Z20" s="65" t="n">
        <v>62</v>
      </c>
      <c r="AA20" s="65" t="n">
        <v>65</v>
      </c>
      <c r="AB20" s="65" t="n">
        <v>63</v>
      </c>
      <c r="AC20" s="65" t="n">
        <v>61</v>
      </c>
      <c r="AD20" s="65" t="n">
        <v>59</v>
      </c>
      <c r="AE20" s="65" t="n">
        <v>59</v>
      </c>
      <c r="AF20" s="65" t="n">
        <v>60</v>
      </c>
      <c r="AG20" s="65" t="n">
        <v>59</v>
      </c>
      <c r="AH20" s="65" t="n">
        <v>58</v>
      </c>
      <c r="AI20" s="65" t="n">
        <v>61</v>
      </c>
      <c r="AJ20" s="65" t="n">
        <v>66</v>
      </c>
      <c r="AK20" s="65" t="n">
        <v>59</v>
      </c>
      <c r="AL20" s="65" t="n">
        <v>56</v>
      </c>
      <c r="AM20" s="65" t="n">
        <v>60</v>
      </c>
      <c r="AN20" s="65" t="n">
        <v>60</v>
      </c>
      <c r="AO20" s="65" t="n">
        <v>54</v>
      </c>
    </row>
    <row r="21">
      <c r="A21" s="64" t="inlineStr">
        <is>
          <t>현금전환주기(CCC)</t>
        </is>
      </c>
      <c r="B21" s="65" t="n"/>
      <c r="C21" s="65" t="n">
        <v>44</v>
      </c>
      <c r="D21" s="65" t="n"/>
      <c r="E21" s="65" t="n"/>
      <c r="F21" s="65" t="n">
        <v>47</v>
      </c>
      <c r="G21" s="65" t="n">
        <v>44</v>
      </c>
      <c r="H21" s="65" t="n">
        <v>67</v>
      </c>
      <c r="I21" s="65" t="n">
        <v>72</v>
      </c>
      <c r="J21" s="65" t="n">
        <v>79</v>
      </c>
      <c r="K21" s="65" t="n">
        <v>72</v>
      </c>
      <c r="L21" s="65" t="n">
        <v>88</v>
      </c>
      <c r="M21" s="65" t="n">
        <v>72</v>
      </c>
      <c r="N21" s="65" t="n">
        <v>78</v>
      </c>
      <c r="O21" s="65" t="n">
        <v>71</v>
      </c>
      <c r="P21" s="65" t="n">
        <v>103</v>
      </c>
      <c r="Q21" s="65" t="n">
        <v>86</v>
      </c>
      <c r="R21" s="65" t="n">
        <v>72</v>
      </c>
      <c r="S21" s="65" t="n">
        <v>64</v>
      </c>
      <c r="T21" s="65" t="n">
        <v>81</v>
      </c>
      <c r="U21" s="65" t="n">
        <v>72</v>
      </c>
      <c r="V21" s="65" t="n">
        <v>74</v>
      </c>
      <c r="W21" s="65" t="n">
        <v>80</v>
      </c>
      <c r="X21" s="65" t="n">
        <v>103</v>
      </c>
      <c r="Y21" s="65" t="n">
        <v>95</v>
      </c>
      <c r="Z21" s="65" t="n">
        <v>93</v>
      </c>
      <c r="AA21" s="65" t="n">
        <v>99</v>
      </c>
      <c r="AB21" s="65" t="n">
        <v>118</v>
      </c>
      <c r="AC21" s="65" t="n">
        <v>94</v>
      </c>
      <c r="AD21" s="65" t="n">
        <v>100</v>
      </c>
      <c r="AE21" s="65" t="n">
        <v>95</v>
      </c>
      <c r="AF21" s="65" t="n">
        <v>117</v>
      </c>
      <c r="AG21" s="65" t="n">
        <v>90</v>
      </c>
      <c r="AH21" s="65" t="n">
        <v>98</v>
      </c>
      <c r="AI21" s="65" t="n">
        <v>90</v>
      </c>
      <c r="AJ21" s="65" t="n">
        <v>101</v>
      </c>
      <c r="AK21" s="65" t="n">
        <v>86</v>
      </c>
      <c r="AL21" s="65" t="n">
        <v>81</v>
      </c>
      <c r="AM21" s="65" t="n">
        <v>79</v>
      </c>
      <c r="AN21" s="65" t="n">
        <v>97</v>
      </c>
      <c r="AO21" s="65" t="n">
        <v>91</v>
      </c>
    </row>
    <row r="22">
      <c r="A22" s="64" t="inlineStr">
        <is>
          <t>총 차입금</t>
        </is>
      </c>
      <c r="B22" s="65" t="n"/>
      <c r="C22" s="65" t="n">
        <v>339.6</v>
      </c>
      <c r="D22" s="65" t="n"/>
      <c r="E22" s="65" t="n"/>
      <c r="F22" s="65" t="n">
        <v>270</v>
      </c>
      <c r="G22" s="65" t="n">
        <v>358.2</v>
      </c>
      <c r="H22" s="65" t="n">
        <v>278.6</v>
      </c>
      <c r="I22" s="65" t="n">
        <v>278.9</v>
      </c>
      <c r="J22" s="65" t="n">
        <v>278.7</v>
      </c>
      <c r="K22" s="65" t="n">
        <v>654.6</v>
      </c>
      <c r="L22" s="65" t="n">
        <v>278.5</v>
      </c>
      <c r="M22" s="65" t="n">
        <v>274.5</v>
      </c>
      <c r="N22" s="65" t="n">
        <v>274.5</v>
      </c>
      <c r="O22" s="65" t="n">
        <v>612.1</v>
      </c>
      <c r="P22" s="65" t="n">
        <v>573.5</v>
      </c>
      <c r="Q22" s="65" t="n">
        <v>573.4</v>
      </c>
      <c r="R22" s="65" t="n">
        <v>573.2</v>
      </c>
      <c r="S22" s="65" t="n">
        <v>979.6</v>
      </c>
      <c r="T22" s="65" t="n">
        <v>273.6</v>
      </c>
      <c r="U22" s="65" t="n">
        <v>247.6</v>
      </c>
      <c r="V22" s="65" t="n">
        <v>247.8</v>
      </c>
      <c r="W22" s="65" t="n">
        <v>380.3</v>
      </c>
      <c r="X22" s="65" t="n">
        <v>249.5</v>
      </c>
      <c r="Y22" s="65" t="n">
        <v>250.3</v>
      </c>
      <c r="Z22" s="65" t="n">
        <v>247.5</v>
      </c>
      <c r="AA22" s="65" t="n">
        <v>679.1</v>
      </c>
      <c r="AB22" s="65" t="n">
        <v>247.8</v>
      </c>
      <c r="AC22" s="65" t="n">
        <v>252.1</v>
      </c>
      <c r="AD22" s="65" t="n">
        <v>247.6</v>
      </c>
      <c r="AE22" s="65" t="n">
        <v>678.9</v>
      </c>
      <c r="AF22" s="65" t="n">
        <v>247.5</v>
      </c>
      <c r="AG22" s="65" t="n">
        <v>246.3</v>
      </c>
      <c r="AH22" s="65" t="n">
        <v>247.3</v>
      </c>
      <c r="AI22" s="65" t="n">
        <v>678.8</v>
      </c>
      <c r="AJ22" s="65" t="n">
        <v>246.5</v>
      </c>
      <c r="AK22" s="65" t="n">
        <v>246.8</v>
      </c>
      <c r="AL22" s="65" t="n">
        <v>247.2</v>
      </c>
      <c r="AM22" s="65" t="n">
        <v>677.8</v>
      </c>
      <c r="AN22" s="65" t="n">
        <v>245.9</v>
      </c>
      <c r="AO22" s="65" t="n">
        <v>245.7</v>
      </c>
    </row>
    <row r="23">
      <c r="A23" s="64" t="inlineStr">
        <is>
          <t>현금</t>
        </is>
      </c>
      <c r="B23" s="65" t="n"/>
      <c r="C23" s="65" t="n">
        <v>869.6</v>
      </c>
      <c r="D23" s="65" t="n"/>
      <c r="E23" s="65" t="n"/>
      <c r="F23" s="65" t="n">
        <v>921.2</v>
      </c>
      <c r="G23" s="65" t="n">
        <v>1037.3</v>
      </c>
      <c r="H23" s="65" t="n">
        <v>829.9</v>
      </c>
      <c r="I23" s="65" t="n">
        <v>960.7</v>
      </c>
      <c r="J23" s="65" t="n">
        <v>813.4</v>
      </c>
      <c r="K23" s="65" t="n">
        <v>983.7</v>
      </c>
      <c r="L23" s="65" t="n">
        <v>830.8</v>
      </c>
      <c r="M23" s="65" t="n">
        <v>910</v>
      </c>
      <c r="N23" s="65" t="n">
        <v>870</v>
      </c>
      <c r="O23" s="65" t="n">
        <v>1048.5</v>
      </c>
      <c r="P23" s="65" t="n">
        <v>1128.6</v>
      </c>
      <c r="Q23" s="65" t="n">
        <v>1206.2</v>
      </c>
      <c r="R23" s="65" t="n">
        <v>1194</v>
      </c>
      <c r="S23" s="65" t="n">
        <v>1433.3</v>
      </c>
      <c r="T23" s="65" t="n">
        <v>925.1</v>
      </c>
      <c r="U23" s="65" t="n">
        <v>851.7</v>
      </c>
      <c r="V23" s="65" t="n">
        <v>775.1</v>
      </c>
      <c r="W23" s="65" t="n">
        <v>905.4</v>
      </c>
      <c r="X23" s="65" t="n">
        <v>1007.6</v>
      </c>
      <c r="Y23" s="65" t="n">
        <v>1119.2</v>
      </c>
      <c r="Z23" s="65" t="n">
        <v>981.1</v>
      </c>
      <c r="AA23" s="65" t="n">
        <v>981.2</v>
      </c>
      <c r="AB23" s="65" t="n">
        <v>744</v>
      </c>
      <c r="AC23" s="65" t="n">
        <v>1023.5</v>
      </c>
      <c r="AD23" s="65" t="n">
        <v>850.1</v>
      </c>
      <c r="AE23" s="65" t="n">
        <v>1035.5</v>
      </c>
      <c r="AF23" s="65" t="n">
        <v>811.4</v>
      </c>
      <c r="AG23" s="65" t="n">
        <v>1133.2</v>
      </c>
      <c r="AH23" s="65" t="n">
        <v>980.3</v>
      </c>
      <c r="AI23" s="65" t="n">
        <v>1227.5</v>
      </c>
      <c r="AJ23" s="65" t="n">
        <v>926</v>
      </c>
      <c r="AK23" s="65" t="n">
        <v>950.5</v>
      </c>
      <c r="AL23" s="65" t="n">
        <v>1003.8</v>
      </c>
      <c r="AM23" s="65" t="n">
        <v>1328.5</v>
      </c>
      <c r="AN23" s="65" t="n">
        <v>1012.7</v>
      </c>
      <c r="AO23" s="65" t="n">
        <v>1151.3</v>
      </c>
    </row>
    <row r="24">
      <c r="A24" s="64" t="inlineStr">
        <is>
          <t>부문별 매출 · JapanHousingEquipmentBusinessReportableSegmentMember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>
        <v>1177.5</v>
      </c>
      <c r="AJ24" s="65" t="n">
        <v>1083.8</v>
      </c>
      <c r="AK24" s="65" t="n"/>
      <c r="AL24" s="65" t="n"/>
      <c r="AM24" s="65" t="n">
        <v>1178.5</v>
      </c>
      <c r="AN24" s="65" t="n">
        <v>1055.9</v>
      </c>
      <c r="AO24" s="65" t="n"/>
      <c r="AP24" s="61" t="inlineStr">
        <is>
          <t>결산단신 부문 정보(외부 고객 매출)</t>
        </is>
      </c>
    </row>
    <row r="25">
      <c r="A25" s="64" t="inlineStr">
        <is>
          <t>부문별 매출 · AmericasReportableSegmentMember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>
        <v>175.6</v>
      </c>
      <c r="AJ25" s="65" t="n">
        <v>187.3</v>
      </c>
      <c r="AK25" s="65" t="n"/>
      <c r="AL25" s="65" t="n"/>
      <c r="AM25" s="65" t="n">
        <v>203.1</v>
      </c>
      <c r="AN25" s="65" t="n">
        <v>200.3</v>
      </c>
      <c r="AO25" s="65" t="n"/>
      <c r="AP25" s="61" t="inlineStr">
        <is>
          <t>결산단신 부문 정보(외부 고객 매출)</t>
        </is>
      </c>
    </row>
    <row r="26">
      <c r="A26" s="64" t="inlineStr">
        <is>
          <t>부문별 매출 · AsiaOceaniaReportableSegmentMember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>
        <v>151.5</v>
      </c>
      <c r="AJ26" s="65" t="n">
        <v>111.5</v>
      </c>
      <c r="AK26" s="65" t="n"/>
      <c r="AL26" s="65" t="n"/>
      <c r="AM26" s="65" t="n">
        <v>166.6</v>
      </c>
      <c r="AN26" s="65" t="n">
        <v>126.4</v>
      </c>
      <c r="AO26" s="65" t="n"/>
      <c r="AP26" s="61" t="inlineStr">
        <is>
          <t>결산단신 부문 정보(외부 고객 매출)</t>
        </is>
      </c>
    </row>
    <row r="27">
      <c r="A27" s="64" t="inlineStr">
        <is>
          <t>부문별 매출 · EuropeReportableSegmentMember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>
        <v>11.9</v>
      </c>
      <c r="AJ27" s="65" t="n">
        <v>14.7</v>
      </c>
      <c r="AK27" s="65" t="n"/>
      <c r="AL27" s="65" t="n"/>
      <c r="AM27" s="65" t="n">
        <v>14.8</v>
      </c>
      <c r="AN27" s="65" t="n">
        <v>19.1</v>
      </c>
      <c r="AO27" s="65" t="n"/>
      <c r="AP27" s="61" t="inlineStr">
        <is>
          <t>결산단신 부문 정보(외부 고객 매출)</t>
        </is>
      </c>
    </row>
    <row r="28">
      <c r="A28" s="64" t="inlineStr">
        <is>
          <t>부문별 매출 · MainlandChinaBusinessReportableSegmentMember</t>
        </is>
      </c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>
        <v>144.8</v>
      </c>
      <c r="AJ28" s="65" t="n">
        <v>108.4</v>
      </c>
      <c r="AK28" s="65" t="n"/>
      <c r="AL28" s="65" t="n"/>
      <c r="AM28" s="65" t="n">
        <v>135.1</v>
      </c>
      <c r="AN28" s="65" t="n">
        <v>124</v>
      </c>
      <c r="AO28" s="65" t="n"/>
      <c r="AP28" s="61" t="inlineStr">
        <is>
          <t>결산단신 부문 정보(외부 고객 매출)</t>
        </is>
      </c>
    </row>
    <row r="29">
      <c r="A29" s="64" t="inlineStr">
        <is>
          <t>부문별 매출 · GlobalHousingEquipmentBusinessReportableSegmentMember</t>
        </is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>
        <v>1661.3</v>
      </c>
      <c r="AJ29" s="65" t="n">
        <v>1505.8</v>
      </c>
      <c r="AK29" s="65" t="n"/>
      <c r="AL29" s="65" t="n"/>
      <c r="AM29" s="65" t="n">
        <v>1698.1</v>
      </c>
      <c r="AN29" s="65" t="n">
        <v>1525.6</v>
      </c>
      <c r="AO29" s="65" t="n"/>
      <c r="AP29" s="61" t="inlineStr">
        <is>
          <t>결산단신 부문 정보(외부 고객 매출)</t>
        </is>
      </c>
    </row>
    <row r="30">
      <c r="A30" s="64" t="inlineStr">
        <is>
          <t>부문별 매출 · セラミック事業、報告セグメント [メンバー]</t>
        </is>
      </c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>
        <v>94</v>
      </c>
      <c r="AC30" s="65" t="n"/>
      <c r="AD30" s="65" t="n"/>
      <c r="AE30" s="65" t="n">
        <v>104.2</v>
      </c>
      <c r="AF30" s="65" t="n">
        <v>107.8</v>
      </c>
      <c r="AG30" s="65" t="n"/>
      <c r="AH30" s="65" t="n"/>
      <c r="AI30" s="65" t="n">
        <v>159.5</v>
      </c>
      <c r="AJ30" s="65" t="n">
        <v>151</v>
      </c>
      <c r="AK30" s="65" t="n"/>
      <c r="AL30" s="65" t="n"/>
      <c r="AM30" s="65" t="n"/>
      <c r="AN30" s="65" t="n"/>
      <c r="AO30" s="65" t="n"/>
      <c r="AP30" s="61" t="inlineStr">
        <is>
          <t>결산단신 부문 정보(외부 고객 매출)</t>
        </is>
      </c>
    </row>
    <row r="31">
      <c r="A31" s="64" t="inlineStr">
        <is>
          <t>부문별 매출 · AdvancedCeramicsBusinessReportableSegmentMember</t>
        </is>
      </c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>
        <v>159.5</v>
      </c>
      <c r="AJ31" s="65" t="n">
        <v>151</v>
      </c>
      <c r="AK31" s="65" t="n"/>
      <c r="AL31" s="65" t="n"/>
      <c r="AM31" s="65" t="n">
        <v>204.6</v>
      </c>
      <c r="AN31" s="65" t="n">
        <v>159.8</v>
      </c>
      <c r="AO31" s="65" t="n"/>
      <c r="AP31" s="61" t="inlineStr">
        <is>
          <t>결산단신 부문 정보(외부 고객 매출)</t>
        </is>
      </c>
    </row>
    <row r="32">
      <c r="A32" s="64" t="inlineStr">
        <is>
          <t>부문별 매출 · 日本住設事業、報告セグメント [メンバー]</t>
        </is>
      </c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>
        <v>1075.8</v>
      </c>
      <c r="AC32" s="65" t="n"/>
      <c r="AD32" s="65" t="n"/>
      <c r="AE32" s="65" t="n">
        <v>1147.4</v>
      </c>
      <c r="AF32" s="65" t="n">
        <v>1094.6</v>
      </c>
      <c r="AG32" s="65" t="n"/>
      <c r="AH32" s="65" t="n"/>
      <c r="AI32" s="65" t="n">
        <v>1177.5</v>
      </c>
      <c r="AJ32" s="65" t="n">
        <v>1083.8</v>
      </c>
      <c r="AK32" s="65" t="n"/>
      <c r="AL32" s="65" t="n"/>
      <c r="AM32" s="65" t="n"/>
      <c r="AN32" s="65" t="n"/>
      <c r="AO32" s="65" t="n"/>
      <c r="AP32" s="61" t="inlineStr">
        <is>
          <t>결산단신 부문 정보(외부 고객 매출)</t>
        </is>
      </c>
    </row>
    <row r="33">
      <c r="A33" s="64" t="inlineStr">
        <is>
          <t>부문별 매출 · グローバル住設事業、報告セグメント [メンバー]</t>
        </is>
      </c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  <c r="AA33" s="65" t="n"/>
      <c r="AB33" s="65" t="n">
        <v>1471.3</v>
      </c>
      <c r="AC33" s="65" t="n"/>
      <c r="AD33" s="65" t="n"/>
      <c r="AE33" s="65" t="n">
        <v>1670.3</v>
      </c>
      <c r="AF33" s="65" t="n">
        <v>1536.6</v>
      </c>
      <c r="AG33" s="65" t="n"/>
      <c r="AH33" s="65" t="n"/>
      <c r="AI33" s="65" t="n">
        <v>1661.3</v>
      </c>
      <c r="AJ33" s="65" t="n">
        <v>1505.8</v>
      </c>
      <c r="AK33" s="65" t="n"/>
      <c r="AL33" s="65" t="n"/>
      <c r="AM33" s="65" t="n"/>
      <c r="AN33" s="65" t="n"/>
      <c r="AO33" s="65" t="n"/>
      <c r="AP33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2026-10-30T09:03:16Z</dcterms:created>
  <dcterms:modified xmlns:dcterms="http://purl.org/dc/terms/" xmlns:xsi="http://www.w3.org/2001/XMLSchema-instance" xsi:type="dcterms:W3CDTF">2026-10-30T09:04:25Z</dcterms:modified>
</cp:coreProperties>
</file>