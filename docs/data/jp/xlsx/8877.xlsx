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5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8" borderId="0" applyAlignment="1" pivotButton="0" quotePrefix="0" xfId="0">
      <alignment horizontal="center"/>
    </xf>
    <xf numFmtId="0" fontId="24" fillId="0" borderId="0" pivotButton="0" quotePrefix="0" xfId="0"/>
    <xf numFmtId="3" fontId="24" fillId="0" borderId="0" pivotButton="0" quotePrefix="0" xfId="0"/>
    <xf numFmtId="170" fontId="24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부문별 매출 (억 엔)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'재무제표 한눈에 보기'!A24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보기'!$B$24:$AO$24</f>
            </numRef>
          </val>
          <smooth val="0"/>
        </ser>
        <ser>
          <idx val="1"/>
          <order val="1"/>
          <tx>
            <strRef>
              <f>'재무제표 한눈에 보기'!A25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보기'!$B$25:$AO$25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27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46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22</col>
      <colOff>0</colOff>
      <row>46</row>
      <rowOff>0</rowOff>
    </from>
    <ext cx="86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3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8877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20948.146</v>
      </c>
      <c r="D4" s="12" t="n">
        <v>23080.653</v>
      </c>
      <c r="E4" s="12" t="n">
        <v>40985.651</v>
      </c>
      <c r="F4" s="12" t="n">
        <v>16400.18</v>
      </c>
      <c r="G4" s="12" t="n">
        <v>17282.017</v>
      </c>
      <c r="H4" s="12" t="n">
        <v>20098.043</v>
      </c>
      <c r="I4" s="12" t="n">
        <v>30714.739</v>
      </c>
      <c r="J4" s="12" t="n">
        <v>26960.433</v>
      </c>
      <c r="K4" s="12" t="n">
        <v>24825.841</v>
      </c>
      <c r="L4" s="12" t="n">
        <v>34419.779</v>
      </c>
      <c r="M4" s="12" t="n">
        <v>39475.73</v>
      </c>
      <c r="N4" s="12" t="n">
        <v>43443.008</v>
      </c>
      <c r="O4" s="11" t="n">
        <v>39300.072</v>
      </c>
      <c r="P4" s="12" t="n">
        <v>48340.224</v>
      </c>
      <c r="Q4" s="12" t="n">
        <v>57195.645</v>
      </c>
      <c r="R4" s="12" t="n">
        <v>61638.038</v>
      </c>
      <c r="S4" s="12" t="n">
        <v>68999.416</v>
      </c>
      <c r="T4" s="12" t="n">
        <v>74597.912</v>
      </c>
      <c r="U4" s="12" t="n">
        <v>79913.787</v>
      </c>
      <c r="V4" s="12" t="n">
        <v>80286.796</v>
      </c>
      <c r="W4" s="12" t="n">
        <v>94765.891</v>
      </c>
      <c r="X4" s="12" t="n">
        <v>116920.792</v>
      </c>
      <c r="Y4" s="11">
        <f>IF(COUNT(Y7,Y10,Y13)=0,"",SUM(Y7,Y10,Y13))</f>
        <v/>
      </c>
      <c r="Z4" s="12">
        <f>IF(COUNT(Z7,Z10,Z13)=0,"",SUM(Z7,Z10,Z13))</f>
        <v/>
      </c>
      <c r="AA4" s="12">
        <f>IF(COUNT(AA7,AA10,AA13)=0,"",SUM(AA7,AA10,AA13))</f>
        <v/>
      </c>
      <c r="AB4" s="12">
        <f>IF(COUNT(AB7,AB10,AB13)=0,"",SUM(AB7,AB10,AB13))</f>
        <v/>
      </c>
      <c r="AC4" s="12">
        <f>IF(COUNT(AC7,AC10,AC13)=0,"",SUM(AC7,AC10,AC13))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Selling Of Real Estate Reportable Segments</t>
        </is>
      </c>
      <c r="B7" s="10" t="n"/>
      <c r="C7" s="19" t="n">
        <v>15415.26</v>
      </c>
      <c r="D7" s="20" t="n">
        <v>16900.925</v>
      </c>
      <c r="E7" s="20" t="n">
        <v>34256.918</v>
      </c>
      <c r="F7" s="20" t="n">
        <v>9476.977999999999</v>
      </c>
      <c r="G7" s="20" t="n">
        <v>10371.276</v>
      </c>
      <c r="H7" s="20" t="n">
        <v>11605.104</v>
      </c>
      <c r="I7" s="20" t="n">
        <v>23485.769</v>
      </c>
      <c r="J7" s="20" t="n">
        <v>18376.611</v>
      </c>
      <c r="K7" s="20" t="n">
        <v>18042.607</v>
      </c>
      <c r="L7" s="20" t="n">
        <v>26689.374</v>
      </c>
      <c r="M7" s="20" t="n">
        <v>25799.577</v>
      </c>
      <c r="N7" s="20" t="n">
        <v>36125.448</v>
      </c>
      <c r="O7" s="19" t="n"/>
      <c r="P7" s="20" t="n"/>
      <c r="Q7" s="20" t="n"/>
      <c r="R7" s="20" t="n"/>
      <c r="S7" s="20" t="n"/>
      <c r="T7" s="20" t="n"/>
      <c r="U7" s="20" t="n"/>
      <c r="V7" s="20" t="n">
        <v>59542.158</v>
      </c>
      <c r="W7" s="20" t="n">
        <v>65710.276</v>
      </c>
      <c r="X7" s="20" t="n">
        <v>86594.361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기타</t>
        </is>
      </c>
      <c r="B10" s="10" t="n"/>
      <c r="C10" s="19" t="n"/>
      <c r="D10" s="20" t="n"/>
      <c r="E10" s="20" t="n">
        <v>6728.733</v>
      </c>
      <c r="F10" s="20" t="n"/>
      <c r="G10" s="20" t="n"/>
      <c r="H10" s="20" t="n"/>
      <c r="I10" s="20" t="n">
        <v>7228.97</v>
      </c>
      <c r="J10" s="20" t="n"/>
      <c r="K10" s="20" t="n"/>
      <c r="L10" s="20" t="n"/>
      <c r="M10" s="20" t="n">
        <v>13676.153</v>
      </c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OtherReportableSegmentsMember</t>
        </is>
      </c>
      <c r="B13" s="10" t="n"/>
      <c r="C13" s="19" t="n">
        <v>5532.885</v>
      </c>
      <c r="D13" s="20" t="n">
        <v>6179.728</v>
      </c>
      <c r="E13" s="20" t="n"/>
      <c r="F13" s="20" t="n"/>
      <c r="G13" s="20" t="n">
        <v>6910.741</v>
      </c>
      <c r="H13" s="20" t="n">
        <v>8492.939</v>
      </c>
      <c r="I13" s="20" t="n"/>
      <c r="J13" s="20" t="n"/>
      <c r="K13" s="20" t="n">
        <v>6783.234</v>
      </c>
      <c r="L13" s="20" t="n">
        <v>7730.405</v>
      </c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>
        <v>20744.637</v>
      </c>
      <c r="W13" s="20" t="n">
        <v>29055.615</v>
      </c>
      <c r="X13" s="20" t="n">
        <v>30326.431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6" t="inlineStr">
        <is>
          <t>매출원가</t>
        </is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7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7" t="n"/>
      <c r="Z16" s="16" t="n"/>
      <c r="AA16" s="16" t="n"/>
      <c r="AB16" s="16" t="n"/>
      <c r="AC16" s="16" t="n"/>
    </row>
    <row r="17">
      <c r="A17" s="18" t="inlineStr">
        <is>
          <t>전체 매출원가</t>
        </is>
      </c>
      <c r="B17" s="10" t="n"/>
      <c r="C17" s="19" t="n">
        <v>16255.387</v>
      </c>
      <c r="D17" s="20" t="n">
        <v>17301.096</v>
      </c>
      <c r="E17" s="20" t="n">
        <v>30427.238</v>
      </c>
      <c r="F17" s="20" t="n">
        <v>12442.429</v>
      </c>
      <c r="G17" s="20" t="n">
        <v>12738.105</v>
      </c>
      <c r="H17" s="20" t="n">
        <v>15347.78</v>
      </c>
      <c r="I17" s="20" t="n">
        <v>22938.64</v>
      </c>
      <c r="J17" s="20" t="n">
        <v>19469.488</v>
      </c>
      <c r="K17" s="20" t="n">
        <v>18704.411</v>
      </c>
      <c r="L17" s="20" t="n">
        <v>26376.238</v>
      </c>
      <c r="M17" s="20" t="n">
        <v>30044.716</v>
      </c>
      <c r="N17" s="20" t="n">
        <v>32683.584</v>
      </c>
      <c r="O17" s="19" t="n">
        <v>28709.974</v>
      </c>
      <c r="P17" s="20" t="n">
        <v>35101.794</v>
      </c>
      <c r="Q17" s="20" t="n">
        <v>43069.308</v>
      </c>
      <c r="R17" s="20" t="n">
        <v>46312.441</v>
      </c>
      <c r="S17" s="20" t="n">
        <v>54421.626</v>
      </c>
      <c r="T17" s="20" t="n">
        <v>57549.686</v>
      </c>
      <c r="U17" s="20" t="n">
        <v>61779.692</v>
      </c>
      <c r="V17" s="20" t="n">
        <v>59933.63</v>
      </c>
      <c r="W17" s="20" t="n">
        <v>70955.552</v>
      </c>
      <c r="X17" s="20" t="n">
        <v>87488.777</v>
      </c>
      <c r="Y17" s="19" t="n"/>
      <c r="Z17" s="20" t="n"/>
      <c r="AA17" s="20" t="n"/>
      <c r="AB17" s="20" t="n"/>
      <c r="AC17" s="20" t="n"/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IF(OR(G17="",C17=""),"",IF(C17&lt;=0,"",IFERROR(G17/C17-1,"")))</f>
        <v/>
      </c>
      <c r="H18" s="15">
        <f>IF(OR(H17="",D17=""),"",IF(D17&lt;=0,"",IFERROR(H17/D17-1,"")))</f>
        <v/>
      </c>
      <c r="I18" s="15">
        <f>IF(OR(I17="",E17=""),"",IF(E17&lt;=0,"",IFERROR(I17/E17-1,"")))</f>
        <v/>
      </c>
      <c r="J18" s="15">
        <f>IF(OR(J17="",F17=""),"",IF(F17&lt;=0,"",IFERROR(J17/F17-1,"")))</f>
        <v/>
      </c>
      <c r="K18" s="15">
        <f>IF(OR(K17="",G17=""),"",IF(G17&lt;=0,"",IFERROR(K17/G17-1,"")))</f>
        <v/>
      </c>
      <c r="L18" s="15">
        <f>IF(OR(L17="",H17=""),"",IF(H17&lt;=0,"",IFERROR(L17/H17-1,"")))</f>
        <v/>
      </c>
      <c r="M18" s="15">
        <f>IF(OR(M17="",I17=""),"",IF(I17&lt;=0,"",IFERROR(M17/I17-1,"")))</f>
        <v/>
      </c>
      <c r="N18" s="15">
        <f>IF(OR(N17="",J17=""),"",IF(J17&lt;=0,"",IFERROR(N17/J17-1,"")))</f>
        <v/>
      </c>
      <c r="O18" s="14" t="n"/>
      <c r="P18" s="15">
        <f>IF(OR(P17="",O17=""),"",IF(O17&lt;=0,"",IFERROR(P17/O17-1,"")))</f>
        <v/>
      </c>
      <c r="Q18" s="15">
        <f>IF(OR(Q17="",P17=""),"",IF(P17&lt;=0,"",IFERROR(Q17/P17-1,"")))</f>
        <v/>
      </c>
      <c r="R18" s="15">
        <f>IF(OR(R17="",Q17=""),"",IF(Q17&lt;=0,"",IFERROR(R17/Q17-1,"")))</f>
        <v/>
      </c>
      <c r="S18" s="15">
        <f>IF(OR(S17="",R17=""),"",IF(R17&lt;=0,"",IFERROR(S17/R17-1,"")))</f>
        <v/>
      </c>
      <c r="T18" s="15">
        <f>IF(OR(T17="",S17=""),"",IF(S17&lt;=0,"",IFERROR(T17/S17-1,"")))</f>
        <v/>
      </c>
      <c r="U18" s="15">
        <f>IF(OR(U17="",T17=""),"",IF(T17&lt;=0,"",IFERROR(U17/T17-1,"")))</f>
        <v/>
      </c>
      <c r="V18" s="15">
        <f>IF(OR(V17="",U17=""),"",IF(U17&lt;=0,"",IFERROR(V17/U17-1,"")))</f>
        <v/>
      </c>
      <c r="W18" s="15">
        <f>IF(OR(W17="",V17=""),"",IF(V17&lt;=0,"",IFERROR(W17/V17-1,"")))</f>
        <v/>
      </c>
      <c r="X18" s="15">
        <f>IF(OR(X17="",W17=""),"",IF(W17&lt;=0,"",IFERROR(X17/W17-1,"")))</f>
        <v/>
      </c>
      <c r="Y18" s="14">
        <f>IF(OR(Y17="",X17=""),"",IF(X17&lt;=0,"",IFERROR(Y17/X17-1,"")))</f>
        <v/>
      </c>
      <c r="Z18" s="15">
        <f>IF(OR(Z17="",Y17=""),"",IF(Y17&lt;=0,"",IFERROR(Z17/Y17-1,"")))</f>
        <v/>
      </c>
      <c r="AA18" s="15">
        <f>IF(OR(AA17="",Z17=""),"",IF(Z17&lt;=0,"",IFERROR(AA17/Z17-1,"")))</f>
        <v/>
      </c>
      <c r="AB18" s="15">
        <f>IF(OR(AB17="",AA17=""),"",IF(AA17&lt;=0,"",IFERROR(AB17/AA17-1,"")))</f>
        <v/>
      </c>
      <c r="AC18" s="15">
        <f>IF(OR(AC17="",AB17=""),"",IF(AB17&lt;=0,"",IFERROR(AC17/AB17-1,"")))</f>
        <v/>
      </c>
    </row>
    <row r="19">
      <c r="A19" s="18" t="inlineStr">
        <is>
          <t>매출총이익</t>
        </is>
      </c>
      <c r="B19" s="10" t="n"/>
      <c r="C19" s="19">
        <f>IF(OR(C4="",C17=""),"",IFERROR(C4-C17,""))</f>
        <v/>
      </c>
      <c r="D19" s="20">
        <f>IF(OR(D4="",D17=""),"",IFERROR(D4-D17,""))</f>
        <v/>
      </c>
      <c r="E19" s="20">
        <f>IF(OR(E4="",E17=""),"",IFERROR(E4-E17,""))</f>
        <v/>
      </c>
      <c r="F19" s="20">
        <f>IF(OR(F4="",F17=""),"",IFERROR(F4-F17,""))</f>
        <v/>
      </c>
      <c r="G19" s="20">
        <f>IF(OR(G4="",G17=""),"",IFERROR(G4-G17,""))</f>
        <v/>
      </c>
      <c r="H19" s="20">
        <f>IF(OR(H4="",H17=""),"",IFERROR(H4-H17,""))</f>
        <v/>
      </c>
      <c r="I19" s="20">
        <f>IF(OR(I4="",I17=""),"",IFERROR(I4-I17,""))</f>
        <v/>
      </c>
      <c r="J19" s="20">
        <f>IF(OR(J4="",J17=""),"",IFERROR(J4-J17,""))</f>
        <v/>
      </c>
      <c r="K19" s="20">
        <f>IF(OR(K4="",K17=""),"",IFERROR(K4-K17,""))</f>
        <v/>
      </c>
      <c r="L19" s="20">
        <f>IF(OR(L4="",L17=""),"",IFERROR(L4-L17,""))</f>
        <v/>
      </c>
      <c r="M19" s="20">
        <f>IF(OR(M4="",M17=""),"",IFERROR(M4-M17,""))</f>
        <v/>
      </c>
      <c r="N19" s="20">
        <f>IF(OR(N4="",N17=""),"",IFERROR(N4-N17,""))</f>
        <v/>
      </c>
      <c r="O19" s="19">
        <f>IF(OR(O4="",O17=""),"",IFERROR(O4-O17,""))</f>
        <v/>
      </c>
      <c r="P19" s="20">
        <f>IF(OR(P4="",P17=""),"",IFERROR(P4-P17,""))</f>
        <v/>
      </c>
      <c r="Q19" s="20">
        <f>IF(OR(Q4="",Q17=""),"",IFERROR(Q4-Q17,""))</f>
        <v/>
      </c>
      <c r="R19" s="20">
        <f>IF(OR(R4="",R17=""),"",IFERROR(R4-R17,""))</f>
        <v/>
      </c>
      <c r="S19" s="20">
        <f>IF(OR(S4="",S17=""),"",IFERROR(S4-S17,""))</f>
        <v/>
      </c>
      <c r="T19" s="20">
        <f>IF(OR(T4="",T17=""),"",IFERROR(T4-T17,""))</f>
        <v/>
      </c>
      <c r="U19" s="20">
        <f>IF(OR(U4="",U17=""),"",IFERROR(U4-U17,""))</f>
        <v/>
      </c>
      <c r="V19" s="20">
        <f>IF(OR(V4="",V17=""),"",IFERROR(V4-V17,""))</f>
        <v/>
      </c>
      <c r="W19" s="20">
        <f>IF(OR(W4="",W17=""),"",IFERROR(W4-W17,""))</f>
        <v/>
      </c>
      <c r="X19" s="20">
        <f>IF(OR(X4="",X17=""),"",IFERROR(X4-X17,""))</f>
        <v/>
      </c>
      <c r="Y19" s="19" t="n"/>
      <c r="Z19" s="20" t="n"/>
      <c r="AA19" s="20" t="n"/>
      <c r="AB19" s="20" t="n"/>
      <c r="AC19" s="20" t="n"/>
    </row>
    <row r="20">
      <c r="A20" s="13" t="inlineStr">
        <is>
          <t>GPM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IF(OR(G19="",C19=""),"",IF(C19&lt;=0,"",IFERROR(G19/C19-1,"")))</f>
        <v/>
      </c>
      <c r="H21" s="15">
        <f>IF(OR(H19="",D19=""),"",IF(D19&lt;=0,"",IFERROR(H19/D19-1,"")))</f>
        <v/>
      </c>
      <c r="I21" s="15">
        <f>IF(OR(I19="",E19=""),"",IF(E19&lt;=0,"",IFERROR(I19/E19-1,"")))</f>
        <v/>
      </c>
      <c r="J21" s="15">
        <f>IF(OR(J19="",F19=""),"",IF(F19&lt;=0,"",IFERROR(J19/F19-1,"")))</f>
        <v/>
      </c>
      <c r="K21" s="15">
        <f>IF(OR(K19="",G19=""),"",IF(G19&lt;=0,"",IFERROR(K19/G19-1,"")))</f>
        <v/>
      </c>
      <c r="L21" s="15">
        <f>IF(OR(L19="",H19=""),"",IF(H19&lt;=0,"",IFERROR(L19/H19-1,"")))</f>
        <v/>
      </c>
      <c r="M21" s="15">
        <f>IF(OR(M19="",I19=""),"",IF(I19&lt;=0,"",IFERROR(M19/I19-1,"")))</f>
        <v/>
      </c>
      <c r="N21" s="15">
        <f>IF(OR(N19="",J19=""),"",IF(J19&lt;=0,"",IFERROR(N19/J19-1,"")))</f>
        <v/>
      </c>
      <c r="O21" s="14" t="n"/>
      <c r="P21" s="15">
        <f>IF(OR(P19="",O19=""),"",IF(O19&lt;=0,"",IFERROR(P19/O19-1,"")))</f>
        <v/>
      </c>
      <c r="Q21" s="15">
        <f>IF(OR(Q19="",P19=""),"",IF(P19&lt;=0,"",IFERROR(Q19/P19-1,"")))</f>
        <v/>
      </c>
      <c r="R21" s="15">
        <f>IF(OR(R19="",Q19=""),"",IF(Q19&lt;=0,"",IFERROR(R19/Q19-1,"")))</f>
        <v/>
      </c>
      <c r="S21" s="15">
        <f>IF(OR(S19="",R19=""),"",IF(R19&lt;=0,"",IFERROR(S19/R19-1,"")))</f>
        <v/>
      </c>
      <c r="T21" s="15">
        <f>IF(OR(T19="",S19=""),"",IF(S19&lt;=0,"",IFERROR(T19/S19-1,"")))</f>
        <v/>
      </c>
      <c r="U21" s="15">
        <f>IF(OR(U19="",T19=""),"",IF(T19&lt;=0,"",IFERROR(U19/T19-1,"")))</f>
        <v/>
      </c>
      <c r="V21" s="15">
        <f>IF(OR(V19="",U19=""),"",IF(U19&lt;=0,"",IFERROR(V19/U19-1,"")))</f>
        <v/>
      </c>
      <c r="W21" s="15">
        <f>IF(OR(W19="",V19=""),"",IF(V19&lt;=0,"",IFERROR(W19/V19-1,"")))</f>
        <v/>
      </c>
      <c r="X21" s="15">
        <f>IF(OR(X19="",W19=""),"",IF(W19&lt;=0,"",IFERROR(X19/W19-1,"")))</f>
        <v/>
      </c>
      <c r="Y21" s="14">
        <f>IF(OR(Y19="",X19=""),"",IF(X19&lt;=0,"",IFERROR(Y19/X19-1,"")))</f>
        <v/>
      </c>
      <c r="Z21" s="15">
        <f>IF(OR(Z19="",Y19=""),"",IF(Y19&lt;=0,"",IFERROR(Z19/Y19-1,"")))</f>
        <v/>
      </c>
      <c r="AA21" s="15">
        <f>IF(OR(AA19="",Z19=""),"",IF(Z19&lt;=0,"",IFERROR(AA19/Z19-1,"")))</f>
        <v/>
      </c>
      <c r="AB21" s="15">
        <f>IF(OR(AB19="",AA19=""),"",IF(AA19&lt;=0,"",IFERROR(AB19/AA19-1,"")))</f>
        <v/>
      </c>
      <c r="AC21" s="15">
        <f>IF(OR(AC19="",AB19=""),"",IF(AB19&lt;=0,"",IFERROR(AC19/AB19-1,"")))</f>
        <v/>
      </c>
    </row>
    <row r="22">
      <c r="A22" s="23" t="inlineStr">
        <is>
          <t>판매관리비</t>
        </is>
      </c>
      <c r="B22" s="23" t="n"/>
      <c r="C22" s="24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4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4" t="n"/>
      <c r="Z22" s="23" t="n"/>
      <c r="AA22" s="23" t="n"/>
      <c r="AB22" s="23" t="n"/>
      <c r="AC22" s="23" t="n"/>
    </row>
    <row r="23">
      <c r="A23" s="18" t="inlineStr">
        <is>
          <t>전체 판관비</t>
        </is>
      </c>
      <c r="B23" s="10" t="n"/>
      <c r="C23" s="19" t="n">
        <v>2128.127</v>
      </c>
      <c r="D23" s="20" t="n">
        <v>2585.247</v>
      </c>
      <c r="E23" s="20" t="n">
        <v>2210.186</v>
      </c>
      <c r="F23" s="20" t="n">
        <v>2132.252</v>
      </c>
      <c r="G23" s="20" t="n">
        <v>2115.394</v>
      </c>
      <c r="H23" s="20" t="n">
        <v>2804.28</v>
      </c>
      <c r="I23" s="20" t="n">
        <v>2386.65</v>
      </c>
      <c r="J23" s="20" t="n">
        <v>2461.761</v>
      </c>
      <c r="K23" s="20" t="n">
        <v>2402.78</v>
      </c>
      <c r="L23" s="20" t="n">
        <v>3678.21</v>
      </c>
      <c r="M23" s="20" t="n">
        <v>2820.128</v>
      </c>
      <c r="N23" s="20" t="n">
        <v>2980.834</v>
      </c>
      <c r="O23" s="19" t="n">
        <v>5458.114</v>
      </c>
      <c r="P23" s="20" t="n">
        <v>6485.792</v>
      </c>
      <c r="Q23" s="20" t="n">
        <v>6955.988</v>
      </c>
      <c r="R23" s="20" t="n">
        <v>7376.602</v>
      </c>
      <c r="S23" s="20" t="n">
        <v>7558.866</v>
      </c>
      <c r="T23" s="20" t="n">
        <v>8387.989</v>
      </c>
      <c r="U23" s="20" t="n">
        <v>8652.700999999999</v>
      </c>
      <c r="V23" s="20" t="n">
        <v>8722.161</v>
      </c>
      <c r="W23" s="20" t="n">
        <v>9262.111999999999</v>
      </c>
      <c r="X23" s="20" t="n">
        <v>10929.401</v>
      </c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9" t="inlineStr">
        <is>
          <t>영업이익</t>
        </is>
      </c>
      <c r="B25" s="10" t="inlineStr">
        <is>
          <t>MW = 매출 × OPM</t>
        </is>
      </c>
      <c r="C25" s="11" t="n">
        <v>2564.631</v>
      </c>
      <c r="D25" s="12" t="n">
        <v>3194.31</v>
      </c>
      <c r="E25" s="12" t="n">
        <v>8348.226000000001</v>
      </c>
      <c r="F25" s="12" t="n">
        <v>1825.499</v>
      </c>
      <c r="G25" s="12" t="n">
        <v>2428.518</v>
      </c>
      <c r="H25" s="12" t="n">
        <v>1945.983</v>
      </c>
      <c r="I25" s="12" t="n">
        <v>5389.448</v>
      </c>
      <c r="J25" s="12" t="n">
        <v>5029.184</v>
      </c>
      <c r="K25" s="12" t="n">
        <v>3718.65</v>
      </c>
      <c r="L25" s="12" t="n">
        <v>4365.331</v>
      </c>
      <c r="M25" s="12" t="n">
        <v>6610.886</v>
      </c>
      <c r="N25" s="12" t="n">
        <v>7778.588</v>
      </c>
      <c r="O25" s="11" t="n">
        <v>5131.983</v>
      </c>
      <c r="P25" s="12" t="n">
        <v>6752.638</v>
      </c>
      <c r="Q25" s="12" t="n">
        <v>7170.347</v>
      </c>
      <c r="R25" s="12" t="n">
        <v>7948.995</v>
      </c>
      <c r="S25" s="12" t="n">
        <v>7018.923</v>
      </c>
      <c r="T25" s="12" t="n">
        <v>8660.236000000001</v>
      </c>
      <c r="U25" s="12" t="n">
        <v>9481.393</v>
      </c>
      <c r="V25" s="12" t="n">
        <v>11631.003</v>
      </c>
      <c r="W25" s="12" t="n">
        <v>14548.226</v>
      </c>
      <c r="X25" s="12" t="n">
        <v>18502.613</v>
      </c>
      <c r="Y25" s="11">
        <f>IF(OR(Y4="",Y26=""),"",IFERROR(Y4*Y26,""))</f>
        <v/>
      </c>
      <c r="Z25" s="12">
        <f>IF(OR(Z4="",Z26=""),"",IFERROR(Z4*Z26,""))</f>
        <v/>
      </c>
      <c r="AA25" s="12">
        <f>IF(OR(AA4="",AA26=""),"",IFERROR(AA4*AA26,""))</f>
        <v/>
      </c>
      <c r="AB25" s="12">
        <f>IF(OR(AB4="",AB26=""),"",IFERROR(AB4*AB26,""))</f>
        <v/>
      </c>
      <c r="AC25" s="12">
        <f>IF(OR(AC4="",AC26=""),"",IFERROR(AC4*AC26,""))</f>
        <v/>
      </c>
    </row>
    <row r="26">
      <c r="A26" s="13" t="inlineStr">
        <is>
          <t>OPM</t>
        </is>
      </c>
      <c r="B26" s="10" t="inlineStr">
        <is>
          <t>MW 입력</t>
        </is>
      </c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25" t="n"/>
      <c r="Z26" s="26" t="n"/>
      <c r="AA26" s="26" t="n"/>
      <c r="AB26" s="26" t="n"/>
      <c r="AC26" s="26" t="n"/>
    </row>
    <row r="27">
      <c r="A27" s="13" t="inlineStr">
        <is>
          <t>증가율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비용의 성격별 분류</t>
        </is>
      </c>
      <c r="B28" s="16" t="inlineStr">
        <is>
          <t>참고 데이터</t>
        </is>
      </c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9" t="inlineStr">
        <is>
          <t>총 판관비</t>
        </is>
      </c>
      <c r="B29" s="10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1">
        <f>IF(O23="","",O23)</f>
        <v/>
      </c>
      <c r="P29" s="12">
        <f>IF(P23="","",P23)</f>
        <v/>
      </c>
      <c r="Q29" s="12">
        <f>IF(Q23="","",Q23)</f>
        <v/>
      </c>
      <c r="R29" s="12">
        <f>IF(R23="","",R23)</f>
        <v/>
      </c>
      <c r="S29" s="12">
        <f>IF(S23="","",S23)</f>
        <v/>
      </c>
      <c r="T29" s="12">
        <f>IF(T23="","",T23)</f>
        <v/>
      </c>
      <c r="U29" s="12">
        <f>IF(U23="","",U23)</f>
        <v/>
      </c>
      <c r="V29" s="12">
        <f>IF(V23="","",V23)</f>
        <v/>
      </c>
      <c r="W29" s="12">
        <f>IF(W23="","",W23)</f>
        <v/>
      </c>
      <c r="X29" s="12">
        <f>IF(X23="","",X23)</f>
        <v/>
      </c>
      <c r="Y29" s="11" t="n"/>
      <c r="Z29" s="12" t="n"/>
      <c r="AA29" s="12" t="n"/>
      <c r="AB29" s="12" t="n"/>
      <c r="AC29" s="12" t="n"/>
    </row>
    <row r="30">
      <c r="A30" s="18" t="inlineStr">
        <is>
          <t>급여</t>
        </is>
      </c>
      <c r="B30" s="10" t="inlineStr">
        <is>
          <t>고정비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감가상각비</t>
        </is>
      </c>
      <c r="B32" s="10" t="inlineStr">
        <is>
          <t>고정비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 t="n">
        <v>49.497</v>
      </c>
      <c r="P32" s="20" t="n">
        <v>44.553</v>
      </c>
      <c r="Q32" s="20" t="n">
        <v>45.741</v>
      </c>
      <c r="R32" s="20" t="n">
        <v>60.471</v>
      </c>
      <c r="S32" s="20" t="n">
        <v>77.911</v>
      </c>
      <c r="T32" s="20" t="n">
        <v>105.161</v>
      </c>
      <c r="U32" s="20" t="n">
        <v>123.01</v>
      </c>
      <c r="V32" s="20" t="n">
        <v>127.733</v>
      </c>
      <c r="W32" s="20" t="n">
        <v>124.207</v>
      </c>
      <c r="X32" s="20" t="n">
        <v>123.414</v>
      </c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8" t="inlineStr">
        <is>
          <t>지급수수료</t>
        </is>
      </c>
      <c r="B34" s="10" t="inlineStr">
        <is>
          <t>고정비</t>
        </is>
      </c>
      <c r="C34" s="19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9" t="n">
        <v>468.999</v>
      </c>
      <c r="P34" s="20" t="n">
        <v>654.269</v>
      </c>
      <c r="Q34" s="20" t="n">
        <v>772.2910000000001</v>
      </c>
      <c r="R34" s="20" t="n">
        <v>684.897</v>
      </c>
      <c r="S34" s="20" t="n">
        <v>780.99</v>
      </c>
      <c r="T34" s="20" t="n">
        <v>948.789</v>
      </c>
      <c r="U34" s="20" t="n">
        <v>1101.965</v>
      </c>
      <c r="V34" s="20" t="n">
        <v>963.652</v>
      </c>
      <c r="W34" s="20" t="n">
        <v>882.447</v>
      </c>
      <c r="X34" s="20" t="n">
        <v>1061.241</v>
      </c>
      <c r="Y34" s="19" t="n"/>
      <c r="Z34" s="20" t="n"/>
      <c r="AA34" s="20" t="n"/>
      <c r="AB34" s="20" t="n"/>
      <c r="AC34" s="20" t="n"/>
    </row>
    <row r="35">
      <c r="A35" s="13" t="inlineStr">
        <is>
          <t>% of Sales</t>
        </is>
      </c>
      <c r="B35" s="10" t="n"/>
      <c r="C35" s="14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 t="n"/>
      <c r="Z35" s="15" t="n"/>
      <c r="AA35" s="15" t="n"/>
      <c r="AB35" s="15" t="n"/>
      <c r="AC35" s="15" t="n"/>
    </row>
    <row r="36">
      <c r="A36" s="18" t="inlineStr">
        <is>
          <t>연구개발비</t>
        </is>
      </c>
      <c r="B36" s="10" t="inlineStr">
        <is>
          <t>변동비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기타비용</t>
        </is>
      </c>
      <c r="B38" s="10" t="inlineStr">
        <is>
          <t>변동비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>
        <f>IF(OR(O29="",O30="",O32="",O34="",O36=""),"",IFERROR(O29-O30-O32-O34-O36,""))</f>
        <v/>
      </c>
      <c r="P38" s="20">
        <f>IF(OR(P29="",P30="",P32="",P34="",P36=""),"",IFERROR(P29-P30-P32-P34-P36,""))</f>
        <v/>
      </c>
      <c r="Q38" s="20">
        <f>IF(OR(Q29="",Q30="",Q32="",Q34="",Q36=""),"",IFERROR(Q29-Q30-Q32-Q34-Q36,""))</f>
        <v/>
      </c>
      <c r="R38" s="20">
        <f>IF(OR(R29="",R30="",R32="",R34="",R36=""),"",IFERROR(R29-R30-R32-R34-R36,""))</f>
        <v/>
      </c>
      <c r="S38" s="20">
        <f>IF(OR(S29="",S30="",S32="",S34="",S36=""),"",IFERROR(S29-S30-S32-S34-S36,""))</f>
        <v/>
      </c>
      <c r="T38" s="20">
        <f>IF(OR(T29="",T30="",T32="",T34="",T36=""),"",IFERROR(T29-T30-T32-T34-T36,""))</f>
        <v/>
      </c>
      <c r="U38" s="20">
        <f>IF(OR(U29="",U30="",U32="",U34="",U36=""),"",IFERROR(U29-U30-U32-U34-U36,""))</f>
        <v/>
      </c>
      <c r="V38" s="20">
        <f>IF(OR(V29="",V30="",V32="",V34="",V36=""),"",IFERROR(V29-V30-V32-V34-V36,""))</f>
        <v/>
      </c>
      <c r="W38" s="20">
        <f>IF(OR(W29="",W30="",W32="",W34="",W36=""),"",IFERROR(W29-W30-W32-W34-W36,""))</f>
        <v/>
      </c>
      <c r="X38" s="20">
        <f>IF(OR(X29="",X30="",X32="",X34="",X36=""),"",IFERROR(X29-X30-X32-X34-X36,""))</f>
        <v/>
      </c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6" t="inlineStr">
        <is>
          <t>당기순이익 추정</t>
        </is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18" t="inlineStr">
        <is>
          <t>특별이익</t>
        </is>
      </c>
      <c r="B41" s="10" t="n"/>
      <c r="C41" s="19" t="n">
        <v>0</v>
      </c>
      <c r="D41" s="20" t="n">
        <v>0</v>
      </c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 t="n"/>
      <c r="P41" s="20" t="n"/>
      <c r="Q41" s="20" t="n"/>
      <c r="R41" s="20" t="n"/>
      <c r="S41" s="20" t="n"/>
      <c r="T41" s="20" t="n">
        <v>0</v>
      </c>
      <c r="U41" s="20" t="n">
        <v>315.583</v>
      </c>
      <c r="V41" s="20" t="n">
        <v>0</v>
      </c>
      <c r="W41" s="20" t="n"/>
      <c r="X41" s="20" t="n"/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inlineStr">
        <is>
          <t>MW = 최근 3년 평균</t>
        </is>
      </c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18" t="inlineStr">
        <is>
          <t>특별손실</t>
        </is>
      </c>
      <c r="B43" s="10" t="n"/>
      <c r="C43" s="19" t="n">
        <v>0</v>
      </c>
      <c r="D43" s="20" t="n">
        <v>1.608</v>
      </c>
      <c r="E43" s="20" t="n">
        <v>0</v>
      </c>
      <c r="F43" s="20" t="n">
        <v>0</v>
      </c>
      <c r="G43" s="20" t="n">
        <v>0</v>
      </c>
      <c r="H43" s="20" t="n">
        <v>0</v>
      </c>
      <c r="I43" s="20" t="n">
        <v>1.212</v>
      </c>
      <c r="J43" s="20" t="n">
        <v>0</v>
      </c>
      <c r="K43" s="20" t="n">
        <v>0</v>
      </c>
      <c r="L43" s="20" t="n">
        <v>1.502</v>
      </c>
      <c r="M43" s="20" t="n">
        <v>0</v>
      </c>
      <c r="N43" s="20" t="n">
        <v>64.663</v>
      </c>
      <c r="O43" s="19" t="n"/>
      <c r="P43" s="20" t="n">
        <v>0</v>
      </c>
      <c r="Q43" s="20" t="n">
        <v>170</v>
      </c>
      <c r="R43" s="20" t="n">
        <v>9.919</v>
      </c>
      <c r="S43" s="20" t="n">
        <v>0</v>
      </c>
      <c r="T43" s="20" t="n">
        <v>0</v>
      </c>
      <c r="U43" s="20" t="n">
        <v>315.074</v>
      </c>
      <c r="V43" s="20" t="n">
        <v>3.403</v>
      </c>
      <c r="W43" s="20" t="n">
        <v>0</v>
      </c>
      <c r="X43" s="20" t="n">
        <v>2.714</v>
      </c>
      <c r="Y43" s="19">
        <f>IF(OR(Y4="",Y44=""),"",IFERROR(Y4*Y44,""))</f>
        <v/>
      </c>
      <c r="Z43" s="20">
        <f>IF(OR(Z4="",Z44=""),"",IFERROR(Z4*Z44,""))</f>
        <v/>
      </c>
      <c r="AA43" s="20">
        <f>IF(OR(AA4="",AA44=""),"",IFERROR(AA4*AA44,""))</f>
        <v/>
      </c>
      <c r="AB43" s="20">
        <f>IF(OR(AB4="",AB44=""),"",IFERROR(AB4*AB44,""))</f>
        <v/>
      </c>
      <c r="AC43" s="20">
        <f>IF(OR(AC4="",AC44=""),"",IFERROR(AC4*AC44,""))</f>
        <v/>
      </c>
    </row>
    <row r="44">
      <c r="A44" s="13" t="inlineStr">
        <is>
          <t>% of Sales</t>
        </is>
      </c>
      <c r="B44" s="10" t="n"/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25">
        <f>IFERROR(AVERAGE(V44,W44,X44),"")</f>
        <v/>
      </c>
      <c r="Z44" s="26">
        <f>Y44</f>
        <v/>
      </c>
      <c r="AA44" s="26">
        <f>Z44</f>
        <v/>
      </c>
      <c r="AB44" s="26">
        <f>AA44</f>
        <v/>
      </c>
      <c r="AC44" s="26">
        <f>AB44</f>
        <v/>
      </c>
    </row>
    <row r="45">
      <c r="A45" s="18" t="inlineStr">
        <is>
          <t>영업외수익</t>
        </is>
      </c>
      <c r="B45" s="10" t="n"/>
      <c r="C45" s="19" t="n">
        <v>77.371</v>
      </c>
      <c r="D45" s="20" t="n">
        <v>103.009</v>
      </c>
      <c r="E45" s="20" t="n">
        <v>60.753</v>
      </c>
      <c r="F45" s="20" t="n">
        <v>54.671</v>
      </c>
      <c r="G45" s="20" t="n">
        <v>74.102</v>
      </c>
      <c r="H45" s="20" t="n">
        <v>142.083</v>
      </c>
      <c r="I45" s="20" t="n">
        <v>205.681</v>
      </c>
      <c r="J45" s="20" t="n">
        <v>118.906</v>
      </c>
      <c r="K45" s="20" t="n">
        <v>82.858</v>
      </c>
      <c r="L45" s="20" t="n">
        <v>184.212</v>
      </c>
      <c r="M45" s="20" t="n">
        <v>108.544</v>
      </c>
      <c r="N45" s="20" t="n">
        <v>114.883</v>
      </c>
      <c r="O45" s="19" t="n">
        <v>48.105</v>
      </c>
      <c r="P45" s="20" t="n">
        <v>52.553</v>
      </c>
      <c r="Q45" s="20" t="n">
        <v>166.909</v>
      </c>
      <c r="R45" s="20" t="n">
        <v>165.794</v>
      </c>
      <c r="S45" s="20" t="n">
        <v>201.281</v>
      </c>
      <c r="T45" s="20" t="n">
        <v>209.963</v>
      </c>
      <c r="U45" s="20" t="n">
        <v>266.099</v>
      </c>
      <c r="V45" s="20" t="n">
        <v>319.727</v>
      </c>
      <c r="W45" s="20" t="n">
        <v>331.609</v>
      </c>
      <c r="X45" s="20" t="n">
        <v>591.657</v>
      </c>
      <c r="Y45" s="19">
        <f>IF(OR(Y4="",Y46=""),"",IFERROR(Y4*Y46,""))</f>
        <v/>
      </c>
      <c r="Z45" s="20">
        <f>IF(OR(Z4="",Z46=""),"",IFERROR(Z4*Z46,""))</f>
        <v/>
      </c>
      <c r="AA45" s="20">
        <f>IF(OR(AA4="",AA46=""),"",IFERROR(AA4*AA46,""))</f>
        <v/>
      </c>
      <c r="AB45" s="20">
        <f>IF(OR(AB4="",AB46=""),"",IFERROR(AB4*AB46,""))</f>
        <v/>
      </c>
      <c r="AC45" s="20">
        <f>IF(OR(AC4="",AC46=""),"",IFERROR(AC4*AC46,""))</f>
        <v/>
      </c>
    </row>
    <row r="46">
      <c r="A46" s="13" t="inlineStr">
        <is>
          <t>% of Sales</t>
        </is>
      </c>
      <c r="B46" s="10" t="n"/>
      <c r="C46" s="14">
        <f>IF(OR(C45="",C4=""),"",IFERROR(C45/C4,""))</f>
        <v/>
      </c>
      <c r="D46" s="15">
        <f>IF(OR(D45="",D4=""),"",IFERROR(D45/D4,""))</f>
        <v/>
      </c>
      <c r="E46" s="15">
        <f>IF(OR(E45="",E4=""),"",IFERROR(E45/E4,""))</f>
        <v/>
      </c>
      <c r="F46" s="15">
        <f>IF(OR(F45="",F4=""),"",IFERROR(F45/F4,""))</f>
        <v/>
      </c>
      <c r="G46" s="15">
        <f>IF(OR(G45="",G4=""),"",IFERROR(G45/G4,""))</f>
        <v/>
      </c>
      <c r="H46" s="15">
        <f>IF(OR(H45="",H4=""),"",IFERROR(H45/H4,""))</f>
        <v/>
      </c>
      <c r="I46" s="15">
        <f>IF(OR(I45="",I4=""),"",IFERROR(I45/I4,""))</f>
        <v/>
      </c>
      <c r="J46" s="15">
        <f>IF(OR(J45="",J4=""),"",IFERROR(J45/J4,""))</f>
        <v/>
      </c>
      <c r="K46" s="15">
        <f>IF(OR(K45="",K4=""),"",IFERROR(K45/K4,""))</f>
        <v/>
      </c>
      <c r="L46" s="15">
        <f>IF(OR(L45="",L4=""),"",IFERROR(L45/L4,""))</f>
        <v/>
      </c>
      <c r="M46" s="15">
        <f>IF(OR(M45="",M4=""),"",IFERROR(M45/M4,""))</f>
        <v/>
      </c>
      <c r="N46" s="15">
        <f>IF(OR(N45="",N4=""),"",IFERROR(N45/N4,""))</f>
        <v/>
      </c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25">
        <f>IFERROR(AVERAGE(V46,W46,X46),"")</f>
        <v/>
      </c>
      <c r="Z46" s="26">
        <f>Y46</f>
        <v/>
      </c>
      <c r="AA46" s="26">
        <f>Z46</f>
        <v/>
      </c>
      <c r="AB46" s="26">
        <f>AA46</f>
        <v/>
      </c>
      <c r="AC46" s="26">
        <f>AB46</f>
        <v/>
      </c>
    </row>
    <row r="47">
      <c r="A47" s="18" t="inlineStr">
        <is>
          <t>영업외비용</t>
        </is>
      </c>
      <c r="B47" s="10" t="n"/>
      <c r="C47" s="19" t="n">
        <v>133.953</v>
      </c>
      <c r="D47" s="20" t="n">
        <v>230.687</v>
      </c>
      <c r="E47" s="20" t="n">
        <v>182.61</v>
      </c>
      <c r="F47" s="20" t="n">
        <v>196.67</v>
      </c>
      <c r="G47" s="20" t="n">
        <v>250.083</v>
      </c>
      <c r="H47" s="20" t="n">
        <v>501.793</v>
      </c>
      <c r="I47" s="20" t="n">
        <v>517.569</v>
      </c>
      <c r="J47" s="20" t="n">
        <v>555.804</v>
      </c>
      <c r="K47" s="20" t="n">
        <v>922.5359999999999</v>
      </c>
      <c r="L47" s="20" t="n">
        <v>703.11</v>
      </c>
      <c r="M47" s="20" t="n">
        <v>840.925</v>
      </c>
      <c r="N47" s="20" t="n">
        <v>908.34</v>
      </c>
      <c r="O47" s="19" t="n">
        <v>125.84</v>
      </c>
      <c r="P47" s="20" t="n">
        <v>101.788</v>
      </c>
      <c r="Q47" s="20" t="n">
        <v>99.96899999999999</v>
      </c>
      <c r="R47" s="20" t="n">
        <v>114.756</v>
      </c>
      <c r="S47" s="20" t="n">
        <v>218.561</v>
      </c>
      <c r="T47" s="20" t="n">
        <v>295.152</v>
      </c>
      <c r="U47" s="20" t="n">
        <v>379.347</v>
      </c>
      <c r="V47" s="20" t="n">
        <v>604.176</v>
      </c>
      <c r="W47" s="20" t="n">
        <v>1131.156</v>
      </c>
      <c r="X47" s="20" t="n">
        <v>2699.019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n"/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9" t="inlineStr">
        <is>
          <t>법인세비용차감전순이익(손실)</t>
        </is>
      </c>
      <c r="B49" s="10" t="n"/>
      <c r="C49" s="11" t="n">
        <v>2508.05</v>
      </c>
      <c r="D49" s="12" t="n">
        <v>3065.024</v>
      </c>
      <c r="E49" s="12" t="n">
        <v>8226.369000000001</v>
      </c>
      <c r="F49" s="12" t="n">
        <v>1683.5</v>
      </c>
      <c r="G49" s="12" t="n">
        <v>2252.537</v>
      </c>
      <c r="H49" s="12" t="n">
        <v>1586.273</v>
      </c>
      <c r="I49" s="12" t="n">
        <v>5076.348</v>
      </c>
      <c r="J49" s="12" t="n">
        <v>4592.286</v>
      </c>
      <c r="K49" s="12" t="n">
        <v>2878.971</v>
      </c>
      <c r="L49" s="12" t="n">
        <v>3844.931</v>
      </c>
      <c r="M49" s="12" t="n">
        <v>5878.505</v>
      </c>
      <c r="N49" s="12" t="n">
        <v>6920.467</v>
      </c>
      <c r="O49" s="11" t="n">
        <v>5054.249</v>
      </c>
      <c r="P49" s="12" t="n">
        <v>6703.403</v>
      </c>
      <c r="Q49" s="12" t="n">
        <v>7067.287</v>
      </c>
      <c r="R49" s="12" t="n">
        <v>7990.114</v>
      </c>
      <c r="S49" s="12" t="n">
        <v>7001.643</v>
      </c>
      <c r="T49" s="12" t="n">
        <v>8575.047</v>
      </c>
      <c r="U49" s="12" t="n">
        <v>9368.654</v>
      </c>
      <c r="V49" s="12" t="n">
        <v>11343.151</v>
      </c>
      <c r="W49" s="12" t="n">
        <v>13748.679</v>
      </c>
      <c r="X49" s="12" t="n">
        <v>16392.536</v>
      </c>
      <c r="Y49" s="11">
        <f>IF(OR(Y25=""),"",IFERROR(Y25+N(Y41)-N(Y43)+N(Y45)-N(Y47),""))</f>
        <v/>
      </c>
      <c r="Z49" s="12">
        <f>IF(OR(Z25=""),"",IFERROR(Z25+N(Z41)-N(Z43)+N(Z45)-N(Z47),""))</f>
        <v/>
      </c>
      <c r="AA49" s="12">
        <f>IF(OR(AA25=""),"",IFERROR(AA25+N(AA41)-N(AA43)+N(AA45)-N(AA47),""))</f>
        <v/>
      </c>
      <c r="AB49" s="12">
        <f>IF(OR(AB25=""),"",IFERROR(AB25+N(AB41)-N(AB43)+N(AB45)-N(AB47),""))</f>
        <v/>
      </c>
      <c r="AC49" s="12">
        <f>IF(OR(AC25=""),"",IFERROR(AC25+N(AC41)-N(AC43)+N(AC45)-N(AC47),""))</f>
        <v/>
      </c>
    </row>
    <row r="50">
      <c r="A50" s="13" t="inlineStr">
        <is>
          <t>YoY</t>
        </is>
      </c>
      <c r="B50" s="10" t="n"/>
      <c r="C50" s="14" t="n"/>
      <c r="D50" s="15" t="n"/>
      <c r="E50" s="15" t="n"/>
      <c r="F50" s="15" t="n"/>
      <c r="G50" s="15">
        <f>IF(OR(G49="",C49=""),"",IF(C49&lt;=0,"",IFERROR(G49/C49-1,"")))</f>
        <v/>
      </c>
      <c r="H50" s="15">
        <f>IF(OR(H49="",D49=""),"",IF(D49&lt;=0,"",IFERROR(H49/D49-1,"")))</f>
        <v/>
      </c>
      <c r="I50" s="15">
        <f>IF(OR(I49="",E49=""),"",IF(E49&lt;=0,"",IFERROR(I49/E49-1,"")))</f>
        <v/>
      </c>
      <c r="J50" s="15">
        <f>IF(OR(J49="",F49=""),"",IF(F49&lt;=0,"",IFERROR(J49/F49-1,"")))</f>
        <v/>
      </c>
      <c r="K50" s="15">
        <f>IF(OR(K49="",G49=""),"",IF(G49&lt;=0,"",IFERROR(K49/G49-1,"")))</f>
        <v/>
      </c>
      <c r="L50" s="15">
        <f>IF(OR(L49="",H49=""),"",IF(H49&lt;=0,"",IFERROR(L49/H49-1,"")))</f>
        <v/>
      </c>
      <c r="M50" s="15">
        <f>IF(OR(M49="",I49=""),"",IF(I49&lt;=0,"",IFERROR(M49/I49-1,"")))</f>
        <v/>
      </c>
      <c r="N50" s="15">
        <f>IF(OR(N49="",J49=""),"",IF(J49&lt;=0,"",IFERROR(N49/J49-1,"")))</f>
        <v/>
      </c>
      <c r="O50" s="14" t="n"/>
      <c r="P50" s="15">
        <f>IF(OR(P49="",O49=""),"",IF(O49&lt;=0,"",IFERROR(P49/O49-1,"")))</f>
        <v/>
      </c>
      <c r="Q50" s="15">
        <f>IF(OR(Q49="",P49=""),"",IF(P49&lt;=0,"",IFERROR(Q49/P49-1,"")))</f>
        <v/>
      </c>
      <c r="R50" s="15">
        <f>IF(OR(R49="",Q49=""),"",IF(Q49&lt;=0,"",IFERROR(R49/Q49-1,"")))</f>
        <v/>
      </c>
      <c r="S50" s="15">
        <f>IF(OR(S49="",R49=""),"",IF(R49&lt;=0,"",IFERROR(S49/R49-1,"")))</f>
        <v/>
      </c>
      <c r="T50" s="15">
        <f>IF(OR(T49="",S49=""),"",IF(S49&lt;=0,"",IFERROR(T49/S49-1,"")))</f>
        <v/>
      </c>
      <c r="U50" s="15">
        <f>IF(OR(U49="",T49=""),"",IF(T49&lt;=0,"",IFERROR(U49/T49-1,"")))</f>
        <v/>
      </c>
      <c r="V50" s="15">
        <f>IF(OR(V49="",U49=""),"",IF(U49&lt;=0,"",IFERROR(V49/U49-1,"")))</f>
        <v/>
      </c>
      <c r="W50" s="15">
        <f>IF(OR(W49="",V49=""),"",IF(V49&lt;=0,"",IFERROR(W49/V49-1,"")))</f>
        <v/>
      </c>
      <c r="X50" s="15">
        <f>IF(OR(X49="",W49=""),"",IF(W49&lt;=0,"",IFERROR(X49/W49-1,"")))</f>
        <v/>
      </c>
      <c r="Y50" s="14">
        <f>IF(OR(Y49="",X49=""),"",IF(X49&lt;=0,"",IFERROR(Y49/X49-1,"")))</f>
        <v/>
      </c>
      <c r="Z50" s="15">
        <f>IF(OR(Z49="",Y49=""),"",IF(Y49&lt;=0,"",IFERROR(Z49/Y49-1,"")))</f>
        <v/>
      </c>
      <c r="AA50" s="15">
        <f>IF(OR(AA49="",Z49=""),"",IF(Z49&lt;=0,"",IFERROR(AA49/Z49-1,"")))</f>
        <v/>
      </c>
      <c r="AB50" s="15">
        <f>IF(OR(AB49="",AA49=""),"",IF(AA49&lt;=0,"",IFERROR(AB49/AA49-1,"")))</f>
        <v/>
      </c>
      <c r="AC50" s="15">
        <f>IF(OR(AC49="",AB49=""),"",IF(AB49&lt;=0,"",IFERROR(AC49/AB49-1,"")))</f>
        <v/>
      </c>
    </row>
    <row r="51">
      <c r="A51" s="18" t="inlineStr">
        <is>
          <t>법인세비용(수익)</t>
        </is>
      </c>
      <c r="B51" s="10" t="n"/>
      <c r="C51" s="19" t="n">
        <v>947.047</v>
      </c>
      <c r="D51" s="20" t="n">
        <v>770.909</v>
      </c>
      <c r="E51" s="20" t="n">
        <v>3138.076</v>
      </c>
      <c r="F51" s="20" t="n">
        <v>372.094</v>
      </c>
      <c r="G51" s="20" t="n">
        <v>870.615</v>
      </c>
      <c r="H51" s="20" t="n">
        <v>37.122</v>
      </c>
      <c r="I51" s="20" t="n">
        <v>2067.341</v>
      </c>
      <c r="J51" s="20" t="n">
        <v>1412.62</v>
      </c>
      <c r="K51" s="20" t="n">
        <v>1107.01</v>
      </c>
      <c r="L51" s="20" t="n">
        <v>633.731</v>
      </c>
      <c r="M51" s="20" t="n">
        <v>2491.6</v>
      </c>
      <c r="N51" s="20" t="n">
        <v>2310.577</v>
      </c>
      <c r="O51" s="19" t="n">
        <v>1945.113</v>
      </c>
      <c r="P51" s="20" t="n">
        <v>2397.191</v>
      </c>
      <c r="Q51" s="20" t="n">
        <v>2592.66</v>
      </c>
      <c r="R51" s="20" t="n">
        <v>2920.014</v>
      </c>
      <c r="S51" s="20" t="n">
        <v>2495.162</v>
      </c>
      <c r="T51" s="20" t="n">
        <v>3146.359</v>
      </c>
      <c r="U51" s="20" t="n">
        <v>3221.43</v>
      </c>
      <c r="V51" s="20" t="n">
        <v>3824.768</v>
      </c>
      <c r="W51" s="20" t="n">
        <v>4417.907</v>
      </c>
      <c r="X51" s="20" t="n">
        <v>5220.702</v>
      </c>
      <c r="Y51" s="19">
        <f>IF(OR(Y49="",Y52=""),"",IFERROR(MAX(Y49,0)*Y52,""))</f>
        <v/>
      </c>
      <c r="Z51" s="20">
        <f>IF(OR(Z49="",Z52=""),"",IFERROR(MAX(Z49,0)*Z52,""))</f>
        <v/>
      </c>
      <c r="AA51" s="20">
        <f>IF(OR(AA49="",AA52=""),"",IFERROR(MAX(AA49,0)*AA52,""))</f>
        <v/>
      </c>
      <c r="AB51" s="20">
        <f>IF(OR(AB49="",AB52=""),"",IFERROR(MAX(AB49,0)*AB52,""))</f>
        <v/>
      </c>
      <c r="AC51" s="20">
        <f>IF(OR(AC49="",AC52=""),"",IFERROR(MAX(AC49,0)*AC52,""))</f>
        <v/>
      </c>
    </row>
    <row r="52">
      <c r="A52" s="13" t="inlineStr">
        <is>
          <t>법인세율</t>
        </is>
      </c>
      <c r="B52" s="10" t="inlineStr">
        <is>
          <t>MW 기본 30%</t>
        </is>
      </c>
      <c r="C52" s="14">
        <f>IF(OR(C51="",C49=""),"",IFERROR(C51/C49,""))</f>
        <v/>
      </c>
      <c r="D52" s="15">
        <f>IF(OR(D51="",D49=""),"",IFERROR(D51/D49,""))</f>
        <v/>
      </c>
      <c r="E52" s="15">
        <f>IF(OR(E51="",E49=""),"",IFERROR(E51/E49,""))</f>
        <v/>
      </c>
      <c r="F52" s="15">
        <f>IF(OR(F51="",F49=""),"",IFERROR(F51/F49,""))</f>
        <v/>
      </c>
      <c r="G52" s="15">
        <f>IF(OR(G51="",G49=""),"",IFERROR(G51/G49,""))</f>
        <v/>
      </c>
      <c r="H52" s="15">
        <f>IF(OR(H51="",H49=""),"",IFERROR(H51/H49,""))</f>
        <v/>
      </c>
      <c r="I52" s="15">
        <f>IF(OR(I51="",I49=""),"",IFERROR(I51/I49,""))</f>
        <v/>
      </c>
      <c r="J52" s="15">
        <f>IF(OR(J51="",J49=""),"",IFERROR(J51/J49,""))</f>
        <v/>
      </c>
      <c r="K52" s="15">
        <f>IF(OR(K51="",K49=""),"",IFERROR(K51/K49,""))</f>
        <v/>
      </c>
      <c r="L52" s="15">
        <f>IF(OR(L51="",L49=""),"",IFERROR(L51/L49,""))</f>
        <v/>
      </c>
      <c r="M52" s="15">
        <f>IF(OR(M51="",M49=""),"",IFERROR(M51/M49,""))</f>
        <v/>
      </c>
      <c r="N52" s="15">
        <f>IF(OR(N51="",N49=""),"",IFERROR(N51/N49,""))</f>
        <v/>
      </c>
      <c r="O52" s="14">
        <f>IF(OR(O51="",O49=""),"",IFERROR(O51/O49,""))</f>
        <v/>
      </c>
      <c r="P52" s="15">
        <f>IF(OR(P51="",P49=""),"",IFERROR(P51/P49,""))</f>
        <v/>
      </c>
      <c r="Q52" s="15">
        <f>IF(OR(Q51="",Q49=""),"",IFERROR(Q51/Q49,""))</f>
        <v/>
      </c>
      <c r="R52" s="15">
        <f>IF(OR(R51="",R49=""),"",IFERROR(R51/R49,""))</f>
        <v/>
      </c>
      <c r="S52" s="15">
        <f>IF(OR(S51="",S49=""),"",IFERROR(S51/S49,""))</f>
        <v/>
      </c>
      <c r="T52" s="15">
        <f>IF(OR(T51="",T49=""),"",IFERROR(T51/T49,""))</f>
        <v/>
      </c>
      <c r="U52" s="15">
        <f>IF(OR(U51="",U49=""),"",IFERROR(U51/U49,""))</f>
        <v/>
      </c>
      <c r="V52" s="15">
        <f>IF(OR(V51="",V49=""),"",IFERROR(V51/V49,""))</f>
        <v/>
      </c>
      <c r="W52" s="15">
        <f>IF(OR(W51="",W49=""),"",IFERROR(W51/W49,""))</f>
        <v/>
      </c>
      <c r="X52" s="15">
        <f>IF(OR(X51="",X49=""),"",IFERROR(X51/X49,""))</f>
        <v/>
      </c>
      <c r="Y52" s="25" t="n">
        <v>0.3</v>
      </c>
      <c r="Z52" s="26" t="n">
        <v>0.3</v>
      </c>
      <c r="AA52" s="26" t="n">
        <v>0.3</v>
      </c>
      <c r="AB52" s="26" t="n">
        <v>0.3</v>
      </c>
      <c r="AC52" s="26" t="n">
        <v>0.3</v>
      </c>
    </row>
    <row r="53">
      <c r="A53" s="9" t="inlineStr">
        <is>
          <t>당기순이익(손실)</t>
        </is>
      </c>
      <c r="B53" s="10" t="n"/>
      <c r="C53" s="11" t="n">
        <v>1561.003</v>
      </c>
      <c r="D53" s="12" t="n">
        <v>2294.116</v>
      </c>
      <c r="E53" s="12" t="n">
        <v>5088.292</v>
      </c>
      <c r="F53" s="12" t="n">
        <v>1311.407</v>
      </c>
      <c r="G53" s="12" t="n">
        <v>1381.922</v>
      </c>
      <c r="H53" s="12" t="n">
        <v>1549.151</v>
      </c>
      <c r="I53" s="12" t="n">
        <v>3009.006</v>
      </c>
      <c r="J53" s="12" t="n">
        <v>3179.667</v>
      </c>
      <c r="K53" s="12" t="n">
        <v>1771.96</v>
      </c>
      <c r="L53" s="12" t="n">
        <v>3211.201</v>
      </c>
      <c r="M53" s="12" t="n">
        <v>3386.904</v>
      </c>
      <c r="N53" s="12" t="n">
        <v>4609.891</v>
      </c>
      <c r="O53" s="11" t="n">
        <v>3109.135</v>
      </c>
      <c r="P53" s="12" t="n">
        <v>4306.211</v>
      </c>
      <c r="Q53" s="12" t="n">
        <v>4474.627</v>
      </c>
      <c r="R53" s="12" t="n">
        <v>5070.1</v>
      </c>
      <c r="S53" s="12" t="n">
        <v>4506.481</v>
      </c>
      <c r="T53" s="12" t="n">
        <v>5428.687</v>
      </c>
      <c r="U53" s="12" t="n">
        <v>6147.224</v>
      </c>
      <c r="V53" s="12" t="n">
        <v>7518.383</v>
      </c>
      <c r="W53" s="12" t="n">
        <v>9330.772000000001</v>
      </c>
      <c r="X53" s="12" t="n">
        <v>11171.834</v>
      </c>
      <c r="Y53" s="11">
        <f>IF(OR(Y49=""),"",IFERROR(Y49-Y51,""))</f>
        <v/>
      </c>
      <c r="Z53" s="12">
        <f>IF(OR(Z49=""),"",IFERROR(Z49-Z51,""))</f>
        <v/>
      </c>
      <c r="AA53" s="12">
        <f>IF(OR(AA49=""),"",IFERROR(AA49-AA51,""))</f>
        <v/>
      </c>
      <c r="AB53" s="12">
        <f>IF(OR(AB49=""),"",IFERROR(AB49-AB51,""))</f>
        <v/>
      </c>
      <c r="AC53" s="12">
        <f>IF(OR(AC49=""),"",IFERROR(AC49-AC51,""))</f>
        <v/>
      </c>
    </row>
    <row r="54">
      <c r="A54" s="13" t="inlineStr">
        <is>
          <t>YoY</t>
        </is>
      </c>
      <c r="B54" s="10" t="n"/>
      <c r="C54" s="14" t="n"/>
      <c r="D54" s="15" t="n"/>
      <c r="E54" s="15" t="n"/>
      <c r="F54" s="15" t="n"/>
      <c r="G54" s="15">
        <f>IF(OR(G53="",C53=""),"",IF(C53&lt;=0,"",IFERROR(G53/C53-1,"")))</f>
        <v/>
      </c>
      <c r="H54" s="15">
        <f>IF(OR(H53="",D53=""),"",IF(D53&lt;=0,"",IFERROR(H53/D53-1,"")))</f>
        <v/>
      </c>
      <c r="I54" s="15">
        <f>IF(OR(I53="",E53=""),"",IF(E53&lt;=0,"",IFERROR(I53/E53-1,"")))</f>
        <v/>
      </c>
      <c r="J54" s="15">
        <f>IF(OR(J53="",F53=""),"",IF(F53&lt;=0,"",IFERROR(J53/F53-1,"")))</f>
        <v/>
      </c>
      <c r="K54" s="15">
        <f>IF(OR(K53="",G53=""),"",IF(G53&lt;=0,"",IFERROR(K53/G53-1,"")))</f>
        <v/>
      </c>
      <c r="L54" s="15">
        <f>IF(OR(L53="",H53=""),"",IF(H53&lt;=0,"",IFERROR(L53/H53-1,"")))</f>
        <v/>
      </c>
      <c r="M54" s="15">
        <f>IF(OR(M53="",I53=""),"",IF(I53&lt;=0,"",IFERROR(M53/I53-1,"")))</f>
        <v/>
      </c>
      <c r="N54" s="15">
        <f>IF(OR(N53="",J53=""),"",IF(J53&lt;=0,"",IFERROR(N53/J53-1,"")))</f>
        <v/>
      </c>
      <c r="O54" s="14" t="n"/>
      <c r="P54" s="15">
        <f>IF(OR(P53="",O53=""),"",IF(O53&lt;=0,"",IFERROR(P53/O53-1,"")))</f>
        <v/>
      </c>
      <c r="Q54" s="15">
        <f>IF(OR(Q53="",P53=""),"",IF(P53&lt;=0,"",IFERROR(Q53/P53-1,"")))</f>
        <v/>
      </c>
      <c r="R54" s="15">
        <f>IF(OR(R53="",Q53=""),"",IF(Q53&lt;=0,"",IFERROR(R53/Q53-1,"")))</f>
        <v/>
      </c>
      <c r="S54" s="15">
        <f>IF(OR(S53="",R53=""),"",IF(R53&lt;=0,"",IFERROR(S53/R53-1,"")))</f>
        <v/>
      </c>
      <c r="T54" s="15">
        <f>IF(OR(T53="",S53=""),"",IF(S53&lt;=0,"",IFERROR(T53/S53-1,"")))</f>
        <v/>
      </c>
      <c r="U54" s="15">
        <f>IF(OR(U53="",T53=""),"",IF(T53&lt;=0,"",IFERROR(U53/T53-1,"")))</f>
        <v/>
      </c>
      <c r="V54" s="15">
        <f>IF(OR(V53="",U53=""),"",IF(U53&lt;=0,"",IFERROR(V53/U53-1,"")))</f>
        <v/>
      </c>
      <c r="W54" s="15">
        <f>IF(OR(W53="",V53=""),"",IF(V53&lt;=0,"",IFERROR(W53/V53-1,"")))</f>
        <v/>
      </c>
      <c r="X54" s="15">
        <f>IF(OR(X53="",W53=""),"",IF(W53&lt;=0,"",IFERROR(X53/W53-1,"")))</f>
        <v/>
      </c>
      <c r="Y54" s="14">
        <f>IF(OR(Y53="",X53=""),"",IF(X53&lt;=0,"",IFERROR(Y53/X53-1,"")))</f>
        <v/>
      </c>
      <c r="Z54" s="15">
        <f>IF(OR(Z53="",Y53=""),"",IF(Y53&lt;=0,"",IFERROR(Z53/Y53-1,"")))</f>
        <v/>
      </c>
      <c r="AA54" s="15">
        <f>IF(OR(AA53="",Z53=""),"",IF(Z53&lt;=0,"",IFERROR(AA53/Z53-1,"")))</f>
        <v/>
      </c>
      <c r="AB54" s="15">
        <f>IF(OR(AB53="",AA53=""),"",IF(AA53&lt;=0,"",IFERROR(AB53/AA53-1,"")))</f>
        <v/>
      </c>
      <c r="AC54" s="15">
        <f>IF(OR(AC53="",AB53=""),"",IF(AB53&lt;=0,"",IFERROR(AC53/AB53-1,"")))</f>
        <v/>
      </c>
    </row>
    <row r="55">
      <c r="A55" s="9" t="inlineStr">
        <is>
          <t>지배주주 순이익</t>
        </is>
      </c>
      <c r="B55" s="10" t="n"/>
      <c r="C55" s="11" t="n">
        <v>1561.003</v>
      </c>
      <c r="D55" s="12" t="n">
        <v>2294.116</v>
      </c>
      <c r="E55" s="12" t="n">
        <v>5088.292</v>
      </c>
      <c r="F55" s="12" t="n">
        <v>1311.407</v>
      </c>
      <c r="G55" s="12" t="n">
        <v>1381.922</v>
      </c>
      <c r="H55" s="12" t="n">
        <v>1549.151</v>
      </c>
      <c r="I55" s="12" t="n">
        <v>3009.006</v>
      </c>
      <c r="J55" s="12" t="n">
        <v>3179.667</v>
      </c>
      <c r="K55" s="12" t="n">
        <v>1771.96</v>
      </c>
      <c r="L55" s="12" t="n">
        <v>3211.201</v>
      </c>
      <c r="M55" s="12" t="n">
        <v>3386.904</v>
      </c>
      <c r="N55" s="12" t="n">
        <v>4609.891</v>
      </c>
      <c r="O55" s="11" t="n">
        <v>3109.135</v>
      </c>
      <c r="P55" s="12" t="n">
        <v>4306.211</v>
      </c>
      <c r="Q55" s="12" t="n">
        <v>4474.627</v>
      </c>
      <c r="R55" s="12" t="n">
        <v>5070.1</v>
      </c>
      <c r="S55" s="12" t="n">
        <v>4506.481</v>
      </c>
      <c r="T55" s="12" t="n">
        <v>5428.687</v>
      </c>
      <c r="U55" s="12" t="n">
        <v>6147.224</v>
      </c>
      <c r="V55" s="12" t="n">
        <v>7518.383</v>
      </c>
      <c r="W55" s="12" t="n">
        <v>9330.772000000001</v>
      </c>
      <c r="X55" s="12" t="n">
        <v>11171.834</v>
      </c>
      <c r="Y55" s="11">
        <f>IF(OR(Y53="",Y56=""),"",IFERROR(Y53*Y56,""))</f>
        <v/>
      </c>
      <c r="Z55" s="12">
        <f>IF(OR(Z53="",Z56=""),"",IFERROR(Z53*Z56,""))</f>
        <v/>
      </c>
      <c r="AA55" s="12">
        <f>IF(OR(AA53="",AA56=""),"",IFERROR(AA53*AA56,""))</f>
        <v/>
      </c>
      <c r="AB55" s="12">
        <f>IF(OR(AB53="",AB56=""),"",IFERROR(AB53*AB56,""))</f>
        <v/>
      </c>
      <c r="AC55" s="12">
        <f>IF(OR(AC53="",AC56=""),"",IFERROR(AC53*AC56,""))</f>
        <v/>
      </c>
    </row>
    <row r="56">
      <c r="A56" s="13" t="inlineStr">
        <is>
          <t>지배주주 순이익률</t>
        </is>
      </c>
      <c r="B56" s="10" t="inlineStr">
        <is>
          <t>MW 기본 100%</t>
        </is>
      </c>
      <c r="C56" s="14">
        <f>IF(OR(C55="",C53=""),"",IFERROR(C55/C53,""))</f>
        <v/>
      </c>
      <c r="D56" s="15">
        <f>IF(OR(D55="",D53=""),"",IFERROR(D55/D53,""))</f>
        <v/>
      </c>
      <c r="E56" s="15">
        <f>IF(OR(E55="",E53=""),"",IFERROR(E55/E53,""))</f>
        <v/>
      </c>
      <c r="F56" s="15">
        <f>IF(OR(F55="",F53=""),"",IFERROR(F55/F53,""))</f>
        <v/>
      </c>
      <c r="G56" s="15">
        <f>IF(OR(G55="",G53=""),"",IFERROR(G55/G53,""))</f>
        <v/>
      </c>
      <c r="H56" s="15">
        <f>IF(OR(H55="",H53=""),"",IFERROR(H55/H53,""))</f>
        <v/>
      </c>
      <c r="I56" s="15">
        <f>IF(OR(I55="",I53=""),"",IFERROR(I55/I53,""))</f>
        <v/>
      </c>
      <c r="J56" s="15">
        <f>IF(OR(J55="",J53=""),"",IFERROR(J55/J53,""))</f>
        <v/>
      </c>
      <c r="K56" s="15">
        <f>IF(OR(K55="",K53=""),"",IFERROR(K55/K53,""))</f>
        <v/>
      </c>
      <c r="L56" s="15">
        <f>IF(OR(L55="",L53=""),"",IFERROR(L55/L53,""))</f>
        <v/>
      </c>
      <c r="M56" s="15">
        <f>IF(OR(M55="",M53=""),"",IFERROR(M55/M53,""))</f>
        <v/>
      </c>
      <c r="N56" s="15">
        <f>IF(OR(N55="",N53=""),"",IFERROR(N55/N53,""))</f>
        <v/>
      </c>
      <c r="O56" s="14">
        <f>IF(OR(O55="",O53=""),"",IFERROR(O55/O53,""))</f>
        <v/>
      </c>
      <c r="P56" s="15">
        <f>IF(OR(P55="",P53=""),"",IFERROR(P55/P53,""))</f>
        <v/>
      </c>
      <c r="Q56" s="15">
        <f>IF(OR(Q55="",Q53=""),"",IFERROR(Q55/Q53,""))</f>
        <v/>
      </c>
      <c r="R56" s="15">
        <f>IF(OR(R55="",R53=""),"",IFERROR(R55/R53,""))</f>
        <v/>
      </c>
      <c r="S56" s="15">
        <f>IF(OR(S55="",S53=""),"",IFERROR(S55/S53,""))</f>
        <v/>
      </c>
      <c r="T56" s="15">
        <f>IF(OR(T55="",T53=""),"",IFERROR(T55/T53,""))</f>
        <v/>
      </c>
      <c r="U56" s="15">
        <f>IF(OR(U55="",U53=""),"",IFERROR(U55/U53,""))</f>
        <v/>
      </c>
      <c r="V56" s="15">
        <f>IF(OR(V55="",V53=""),"",IFERROR(V55/V53,""))</f>
        <v/>
      </c>
      <c r="W56" s="15">
        <f>IF(OR(W55="",W53=""),"",IFERROR(W55/W53,""))</f>
        <v/>
      </c>
      <c r="X56" s="15">
        <f>IF(OR(X55="",X53=""),"",IFERROR(X55/X53,""))</f>
        <v/>
      </c>
      <c r="Y56" s="25" t="n">
        <v>1</v>
      </c>
      <c r="Z56" s="26" t="n">
        <v>1</v>
      </c>
      <c r="AA56" s="26" t="n">
        <v>1</v>
      </c>
      <c r="AB56" s="26" t="n">
        <v>1</v>
      </c>
      <c r="AC56" s="26" t="n">
        <v>1</v>
      </c>
    </row>
    <row r="57">
      <c r="A57" s="13" t="inlineStr">
        <is>
          <t>지배주주 순이익 YoY</t>
        </is>
      </c>
      <c r="B57" s="10" t="n"/>
      <c r="C57" s="14" t="n"/>
      <c r="D57" s="15" t="n"/>
      <c r="E57" s="15" t="n"/>
      <c r="F57" s="15" t="n"/>
      <c r="G57" s="15">
        <f>IF(OR(G55="",C55=""),"",IF(C55&lt;=0,"",IFERROR(G55/C55-1,"")))</f>
        <v/>
      </c>
      <c r="H57" s="15">
        <f>IF(OR(H55="",D55=""),"",IF(D55&lt;=0,"",IFERROR(H55/D55-1,"")))</f>
        <v/>
      </c>
      <c r="I57" s="15">
        <f>IF(OR(I55="",E55=""),"",IF(E55&lt;=0,"",IFERROR(I55/E55-1,"")))</f>
        <v/>
      </c>
      <c r="J57" s="15">
        <f>IF(OR(J55="",F55=""),"",IF(F55&lt;=0,"",IFERROR(J55/F55-1,"")))</f>
        <v/>
      </c>
      <c r="K57" s="15">
        <f>IF(OR(K55="",G55=""),"",IF(G55&lt;=0,"",IFERROR(K55/G55-1,"")))</f>
        <v/>
      </c>
      <c r="L57" s="15">
        <f>IF(OR(L55="",H55=""),"",IF(H55&lt;=0,"",IFERROR(L55/H55-1,"")))</f>
        <v/>
      </c>
      <c r="M57" s="15">
        <f>IF(OR(M55="",I55=""),"",IF(I55&lt;=0,"",IFERROR(M55/I55-1,"")))</f>
        <v/>
      </c>
      <c r="N57" s="15">
        <f>IF(OR(N55="",J55=""),"",IF(J55&lt;=0,"",IFERROR(N55/J55-1,"")))</f>
        <v/>
      </c>
      <c r="O57" s="14" t="n"/>
      <c r="P57" s="15">
        <f>IF(OR(P55="",O55=""),"",IF(O55&lt;=0,"",IFERROR(P55/O55-1,"")))</f>
        <v/>
      </c>
      <c r="Q57" s="15">
        <f>IF(OR(Q55="",P55=""),"",IF(P55&lt;=0,"",IFERROR(Q55/P55-1,"")))</f>
        <v/>
      </c>
      <c r="R57" s="15">
        <f>IF(OR(R55="",Q55=""),"",IF(Q55&lt;=0,"",IFERROR(R55/Q55-1,"")))</f>
        <v/>
      </c>
      <c r="S57" s="15">
        <f>IF(OR(S55="",R55=""),"",IF(R55&lt;=0,"",IFERROR(S55/R55-1,"")))</f>
        <v/>
      </c>
      <c r="T57" s="15">
        <f>IF(OR(T55="",S55=""),"",IF(S55&lt;=0,"",IFERROR(T55/S55-1,"")))</f>
        <v/>
      </c>
      <c r="U57" s="15">
        <f>IF(OR(U55="",T55=""),"",IF(T55&lt;=0,"",IFERROR(U55/T55-1,"")))</f>
        <v/>
      </c>
      <c r="V57" s="15">
        <f>IF(OR(V55="",U55=""),"",IF(U55&lt;=0,"",IFERROR(V55/U55-1,"")))</f>
        <v/>
      </c>
      <c r="W57" s="15">
        <f>IF(OR(W55="",V55=""),"",IF(V55&lt;=0,"",IFERROR(W55/V55-1,"")))</f>
        <v/>
      </c>
      <c r="X57" s="15">
        <f>IF(OR(X55="",W55=""),"",IF(W55&lt;=0,"",IFERROR(X55/W55-1,"")))</f>
        <v/>
      </c>
      <c r="Y57" s="14">
        <f>IF(OR(Y55="",X55=""),"",IF(X55&lt;=0,"",IFERROR(Y55/X55-1,"")))</f>
        <v/>
      </c>
      <c r="Z57" s="15">
        <f>IF(OR(Z55="",Y55=""),"",IF(Y55&lt;=0,"",IFERROR(Z55/Y55-1,"")))</f>
        <v/>
      </c>
      <c r="AA57" s="15">
        <f>IF(OR(AA55="",Z55=""),"",IF(Z55&lt;=0,"",IFERROR(AA55/Z55-1,"")))</f>
        <v/>
      </c>
      <c r="AB57" s="15">
        <f>IF(OR(AB55="",AA55=""),"",IF(AA55&lt;=0,"",IFERROR(AB55/AA55-1,"")))</f>
        <v/>
      </c>
      <c r="AC57" s="15">
        <f>IF(OR(AC55="",AB55=""),"",IF(AB55&lt;=0,"",IFERROR(AC55/AB55-1,"")))</f>
        <v/>
      </c>
    </row>
    <row r="58">
      <c r="A58" s="16" t="inlineStr">
        <is>
          <t>목표주가 산출</t>
        </is>
      </c>
      <c r="B58" s="16" t="n"/>
      <c r="C58" s="17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7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7" t="n"/>
      <c r="Z58" s="16" t="n"/>
      <c r="AA58" s="16" t="n"/>
      <c r="AB58" s="16" t="n"/>
      <c r="AC58" s="16" t="n"/>
    </row>
    <row r="59">
      <c r="A59" s="18" t="inlineStr">
        <is>
          <t>현재 주가 ()</t>
        </is>
      </c>
      <c r="B59" s="27" t="n"/>
      <c r="C59" s="28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8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8" t="n"/>
      <c r="Z59" s="29" t="n"/>
      <c r="AA59" s="29" t="n"/>
      <c r="AB59" s="29" t="n"/>
      <c r="AC59" s="29" t="n"/>
    </row>
    <row r="60">
      <c r="A60" s="18" t="inlineStr">
        <is>
          <t>발행주식수 (보통주)</t>
        </is>
      </c>
      <c r="B60" s="27" t="n"/>
      <c r="C60" s="28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8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8" t="n"/>
      <c r="Z60" s="29" t="n"/>
      <c r="AA60" s="29" t="n"/>
      <c r="AB60" s="29" t="n"/>
      <c r="AC60" s="29" t="n"/>
    </row>
    <row r="61">
      <c r="A61" s="18" t="inlineStr">
        <is>
          <t>시가총액 (백만엔)</t>
        </is>
      </c>
      <c r="B61" s="12">
        <f>IF(OR(B59="",B60=""),"",B59*B60/1000000.0)</f>
        <v/>
      </c>
      <c r="C61" s="19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19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19" t="n"/>
      <c r="Z61" s="20" t="n"/>
      <c r="AA61" s="20" t="n"/>
      <c r="AB61" s="20" t="n"/>
      <c r="AC61" s="20" t="n"/>
    </row>
    <row r="62">
      <c r="A62" s="13" t="inlineStr">
        <is>
          <t>OPM</t>
        </is>
      </c>
      <c r="B62" s="10" t="n"/>
      <c r="C62" s="14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4">
        <f>IF(O26="","",O26)</f>
        <v/>
      </c>
      <c r="P62" s="15">
        <f>IF(P26="","",P26)</f>
        <v/>
      </c>
      <c r="Q62" s="15">
        <f>IF(Q26="","",Q26)</f>
        <v/>
      </c>
      <c r="R62" s="15">
        <f>IF(R26="","",R26)</f>
        <v/>
      </c>
      <c r="S62" s="15">
        <f>IF(S26="","",S26)</f>
        <v/>
      </c>
      <c r="T62" s="15">
        <f>IF(T26="","",T26)</f>
        <v/>
      </c>
      <c r="U62" s="15">
        <f>IF(U26="","",U26)</f>
        <v/>
      </c>
      <c r="V62" s="15">
        <f>IF(V26="","",V26)</f>
        <v/>
      </c>
      <c r="W62" s="15">
        <f>IF(W26="","",W26)</f>
        <v/>
      </c>
      <c r="X62" s="15">
        <f>IF(X26="","",X26)</f>
        <v/>
      </c>
      <c r="Y62" s="14">
        <f>IF(Y26="","",Y26)</f>
        <v/>
      </c>
      <c r="Z62" s="15">
        <f>IF(Z26="","",Z26)</f>
        <v/>
      </c>
      <c r="AA62" s="15">
        <f>IF(AA26="","",AA26)</f>
        <v/>
      </c>
      <c r="AB62" s="15">
        <f>IF(AB26="","",AB26)</f>
        <v/>
      </c>
      <c r="AC62" s="15">
        <f>IF(AC26="","",AC26)</f>
        <v/>
      </c>
    </row>
    <row r="63">
      <c r="A63" s="13" t="inlineStr">
        <is>
          <t>지배주주 순이익 증가율</t>
        </is>
      </c>
      <c r="B63" s="10" t="n"/>
      <c r="C63" s="14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4" t="n"/>
      <c r="P63" s="15">
        <f>IF(OR(P55="",O55=""),"",IFERROR(P55/O55-1,""))</f>
        <v/>
      </c>
      <c r="Q63" s="15">
        <f>IF(OR(Q55="",P55=""),"",IFERROR(Q55/P55-1,""))</f>
        <v/>
      </c>
      <c r="R63" s="15">
        <f>IF(OR(R55="",Q55=""),"",IFERROR(R55/Q55-1,""))</f>
        <v/>
      </c>
      <c r="S63" s="15">
        <f>IF(OR(S55="",R55=""),"",IFERROR(S55/R55-1,""))</f>
        <v/>
      </c>
      <c r="T63" s="15">
        <f>IF(OR(T55="",S55=""),"",IFERROR(T55/S55-1,""))</f>
        <v/>
      </c>
      <c r="U63" s="15">
        <f>IF(OR(U55="",T55=""),"",IFERROR(U55/T55-1,""))</f>
        <v/>
      </c>
      <c r="V63" s="15">
        <f>IF(OR(V55="",U55=""),"",IFERROR(V55/U55-1,""))</f>
        <v/>
      </c>
      <c r="W63" s="15">
        <f>IF(OR(W55="",V55=""),"",IFERROR(W55/V55-1,""))</f>
        <v/>
      </c>
      <c r="X63" s="15">
        <f>IF(OR(X55="",W55=""),"",IFERROR(X55/W55-1,""))</f>
        <v/>
      </c>
      <c r="Y63" s="14">
        <f>IF(OR(Y55="",X55=""),"",IFERROR(Y55/X55-1,""))</f>
        <v/>
      </c>
      <c r="Z63" s="15">
        <f>IF(OR(Z55="",Y55=""),"",IFERROR(Z55/Y55-1,""))</f>
        <v/>
      </c>
      <c r="AA63" s="15">
        <f>IF(OR(AA55="",Z55=""),"",IFERROR(AA55/Z55-1,""))</f>
        <v/>
      </c>
      <c r="AB63" s="15">
        <f>IF(OR(AB55="",AA55=""),"",IFERROR(AB55/AA55-1,""))</f>
        <v/>
      </c>
      <c r="AC63" s="15">
        <f>IF(OR(AC55="",AB55=""),"",IFERROR(AC55/AB55-1,""))</f>
        <v/>
      </c>
    </row>
    <row r="64">
      <c r="A64" s="18" t="inlineStr">
        <is>
          <t>P/E (현재 주가)</t>
        </is>
      </c>
      <c r="B64" s="10" t="inlineStr">
        <is>
          <t>시총 ÷ 지배순이익</t>
        </is>
      </c>
      <c r="C64" s="30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0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>
        <f>IF(OR($B$61="",X55=""),"",IFERROR($B$61/X55,""))</f>
        <v/>
      </c>
      <c r="Y64" s="30">
        <f>IF(OR($B$61="",Y55=""),"",IFERROR($B$61/Y55,""))</f>
        <v/>
      </c>
      <c r="Z64" s="31">
        <f>IF(OR($B$61="",Z55=""),"",IFERROR($B$61/Z55,""))</f>
        <v/>
      </c>
      <c r="AA64" s="31">
        <f>IF(OR($B$61="",AA55=""),"",IFERROR($B$61/AA55,""))</f>
        <v/>
      </c>
      <c r="AB64" s="31">
        <f>IF(OR($B$61="",AB55=""),"",IFERROR($B$61/AB55,""))</f>
        <v/>
      </c>
      <c r="AC64" s="31">
        <f>IF(OR($B$61="",AC55=""),"",IFERROR($B$61/AC55,""))</f>
        <v/>
      </c>
    </row>
    <row r="65">
      <c r="A65" s="18" t="inlineStr">
        <is>
          <t>Target P/E</t>
        </is>
      </c>
      <c r="B65" s="10" t="inlineStr">
        <is>
          <t>직접 입력</t>
        </is>
      </c>
      <c r="C65" s="30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0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2" t="n"/>
      <c r="Z65" s="33" t="n"/>
      <c r="AA65" s="33" t="n"/>
      <c r="AB65" s="33" t="n"/>
      <c r="AC65" s="33" t="n"/>
    </row>
    <row r="66">
      <c r="A66" s="18" t="inlineStr">
        <is>
          <t>EPS</t>
        </is>
      </c>
      <c r="B66" s="10" t="inlineStr">
        <is>
          <t>지배순이익 ÷ 주식수</t>
        </is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>
        <f>IF(OR(O55="",$B$60=""),"",IFERROR(O55*1000000.0/$B$60,""))</f>
        <v/>
      </c>
      <c r="P66" s="29">
        <f>IF(OR(P55="",$B$60=""),"",IFERROR(P55*1000000.0/$B$60,""))</f>
        <v/>
      </c>
      <c r="Q66" s="29">
        <f>IF(OR(Q55="",$B$60=""),"",IFERROR(Q55*1000000.0/$B$60,""))</f>
        <v/>
      </c>
      <c r="R66" s="29">
        <f>IF(OR(R55="",$B$60=""),"",IFERROR(R55*1000000.0/$B$60,""))</f>
        <v/>
      </c>
      <c r="S66" s="29">
        <f>IF(OR(S55="",$B$60=""),"",IFERROR(S55*1000000.0/$B$60,""))</f>
        <v/>
      </c>
      <c r="T66" s="29">
        <f>IF(OR(T55="",$B$60=""),"",IFERROR(T55*1000000.0/$B$60,""))</f>
        <v/>
      </c>
      <c r="U66" s="29">
        <f>IF(OR(U55="",$B$60=""),"",IFERROR(U55*1000000.0/$B$60,""))</f>
        <v/>
      </c>
      <c r="V66" s="29">
        <f>IF(OR(V55="",$B$60=""),"",IFERROR(V55*1000000.0/$B$60,""))</f>
        <v/>
      </c>
      <c r="W66" s="29">
        <f>IF(OR(W55="",$B$60=""),"",IFERROR(W55*1000000.0/$B$60,""))</f>
        <v/>
      </c>
      <c r="X66" s="29">
        <f>IF(OR(X55="",$B$60=""),"",IFERROR(X55*1000000.0/$B$60,""))</f>
        <v/>
      </c>
      <c r="Y66" s="28">
        <f>IF(OR(Y55="",$B$60=""),"",IFERROR(Y55*1000000.0/$B$60,""))</f>
        <v/>
      </c>
      <c r="Z66" s="29">
        <f>IF(OR(Z55="",$B$60=""),"",IFERROR(Z55*1000000.0/$B$60,""))</f>
        <v/>
      </c>
      <c r="AA66" s="29">
        <f>IF(OR(AA55="",$B$60=""),"",IFERROR(AA55*1000000.0/$B$60,""))</f>
        <v/>
      </c>
      <c r="AB66" s="29">
        <f>IF(OR(AB55="",$B$60=""),"",IFERROR(AB55*1000000.0/$B$60,""))</f>
        <v/>
      </c>
      <c r="AC66" s="29">
        <f>IF(OR(AC55="",$B$60=""),"",IFERROR(AC55*1000000.0/$B$60,""))</f>
        <v/>
      </c>
    </row>
    <row r="67">
      <c r="A67" s="9" t="inlineStr">
        <is>
          <t>목표주가</t>
        </is>
      </c>
      <c r="B67" s="10" t="n"/>
      <c r="C67" s="34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34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34">
        <f>IF(OR(Y66="",Y65=""),"",IFERROR(Y66*Y65,""))</f>
        <v/>
      </c>
      <c r="Z67" s="27">
        <f>IF(OR(Z66="",Z65=""),"",IFERROR(Z66*Z65,""))</f>
        <v/>
      </c>
      <c r="AA67" s="27">
        <f>IF(OR(AA66="",AA65=""),"",IFERROR(AA66*AA65,""))</f>
        <v/>
      </c>
      <c r="AB67" s="27">
        <f>IF(OR(AB66="",AB65=""),"",IFERROR(AB66*AB65,""))</f>
        <v/>
      </c>
      <c r="AC67" s="27">
        <f>IF(OR(AC66="",AC65=""),"",IFERROR(AC66*AC65,""))</f>
        <v/>
      </c>
    </row>
    <row r="68">
      <c r="A68" s="18" t="inlineStr">
        <is>
          <t>상승여력</t>
        </is>
      </c>
      <c r="B68" s="10" t="n"/>
      <c r="C68" s="35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5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7">
        <f>IF(OR(Y67="",$B$59=""),"",IFERROR(Y67/$B$59-1,""))</f>
        <v/>
      </c>
      <c r="Z68" s="38">
        <f>IF(OR(Z67="",$B$59=""),"",IFERROR(Z67/$B$59-1,""))</f>
        <v/>
      </c>
      <c r="AA68" s="38">
        <f>IF(OR(AA67="",$B$59=""),"",IFERROR(AA67/$B$59-1,""))</f>
        <v/>
      </c>
      <c r="AB68" s="38">
        <f>IF(OR(AB67="",$B$59=""),"",IFERROR(AB67/$B$59-1,""))</f>
        <v/>
      </c>
      <c r="AC68" s="38">
        <f>IF(OR(AC67="",$B$59=""),"",IFERROR(AC67/$B$59-1,""))</f>
        <v/>
      </c>
    </row>
    <row r="69">
      <c r="A69" s="16" t="inlineStr">
        <is>
          <t>자산가치 산출</t>
        </is>
      </c>
      <c r="B69" s="16" t="inlineStr">
        <is>
          <t>최신 분기 BS</t>
        </is>
      </c>
      <c r="C69" s="17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7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7" t="n"/>
      <c r="Z69" s="16" t="n"/>
      <c r="AA69" s="16" t="n"/>
      <c r="AB69" s="16" t="n"/>
      <c r="AC69" s="16" t="n"/>
    </row>
    <row r="70">
      <c r="A70" s="18" t="inlineStr">
        <is>
          <t>현금및현금성자산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'재무상태표'!G6</f>
        <v/>
      </c>
      <c r="Y70" s="19">
        <f>'재무상태표'!G6</f>
        <v/>
      </c>
      <c r="Z70" s="20">
        <f>'재무상태표'!G6</f>
        <v/>
      </c>
      <c r="AA70" s="20">
        <f>'재무상태표'!G6</f>
        <v/>
      </c>
      <c r="AB70" s="20">
        <f>'재무상태표'!G6</f>
        <v/>
      </c>
      <c r="AC70" s="20">
        <f>'재무상태표'!G6</f>
        <v/>
      </c>
    </row>
    <row r="71">
      <c r="A71" s="18" t="inlineStr">
        <is>
          <t>단기금융상품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'재무상태표'!G7</f>
        <v/>
      </c>
      <c r="Y71" s="19">
        <f>'재무상태표'!G7</f>
        <v/>
      </c>
      <c r="Z71" s="20">
        <f>'재무상태표'!G7</f>
        <v/>
      </c>
      <c r="AA71" s="20">
        <f>'재무상태표'!G7</f>
        <v/>
      </c>
      <c r="AB71" s="20">
        <f>'재무상태표'!G7</f>
        <v/>
      </c>
      <c r="AC71" s="20">
        <f>'재무상태표'!G7</f>
        <v/>
      </c>
    </row>
    <row r="72">
      <c r="A72" s="18" t="inlineStr">
        <is>
          <t>투자부동산</t>
        </is>
      </c>
      <c r="B72" s="10" t="n"/>
      <c r="C72" s="19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19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>
        <f>'재무상태표'!G14</f>
        <v/>
      </c>
      <c r="Y72" s="19">
        <f>'재무상태표'!G14</f>
        <v/>
      </c>
      <c r="Z72" s="20">
        <f>'재무상태표'!G14</f>
        <v/>
      </c>
      <c r="AA72" s="20">
        <f>'재무상태표'!G14</f>
        <v/>
      </c>
      <c r="AB72" s="20">
        <f>'재무상태표'!G14</f>
        <v/>
      </c>
      <c r="AC72" s="20">
        <f>'재무상태표'!G14</f>
        <v/>
      </c>
    </row>
    <row r="73">
      <c r="A73" s="18" t="inlineStr">
        <is>
          <t>지배자본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'재무상태표'!G31</f>
        <v/>
      </c>
      <c r="Y73" s="19">
        <f>'재무상태표'!G31</f>
        <v/>
      </c>
      <c r="Z73" s="20">
        <f>'재무상태표'!G31</f>
        <v/>
      </c>
      <c r="AA73" s="20">
        <f>'재무상태표'!G31</f>
        <v/>
      </c>
      <c r="AB73" s="20">
        <f>'재무상태표'!G31</f>
        <v/>
      </c>
      <c r="AC73" s="20">
        <f>'재무상태표'!G31</f>
        <v/>
      </c>
    </row>
    <row r="74">
      <c r="A74" s="18" t="inlineStr">
        <is>
          <t>부채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'재무상태표'!G27</f>
        <v/>
      </c>
      <c r="Y74" s="19">
        <f>'재무상태표'!G27</f>
        <v/>
      </c>
      <c r="Z74" s="20">
        <f>'재무상태표'!G27</f>
        <v/>
      </c>
      <c r="AA74" s="20">
        <f>'재무상태표'!G27</f>
        <v/>
      </c>
      <c r="AB74" s="20">
        <f>'재무상태표'!G27</f>
        <v/>
      </c>
      <c r="AC74" s="20">
        <f>'재무상태표'!G27</f>
        <v/>
      </c>
    </row>
    <row r="75">
      <c r="A75" s="13" t="inlineStr">
        <is>
          <t>부채비율</t>
        </is>
      </c>
      <c r="B75" s="10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4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>
        <f>IF(OR(X74="",X73=""),"",IFERROR(X74/X73,""))</f>
        <v/>
      </c>
      <c r="Y75" s="14">
        <f>IF(OR(Y74="",Y73=""),"",IFERROR(Y74/Y73,""))</f>
        <v/>
      </c>
      <c r="Z75" s="15">
        <f>IF(OR(Z74="",Z73=""),"",IFERROR(Z74/Z73,""))</f>
        <v/>
      </c>
      <c r="AA75" s="15">
        <f>IF(OR(AA74="",AA73=""),"",IFERROR(AA74/AA73,""))</f>
        <v/>
      </c>
      <c r="AB75" s="15">
        <f>IF(OR(AB74="",AB73=""),"",IFERROR(AB74/AB73,""))</f>
        <v/>
      </c>
      <c r="AC75" s="15">
        <f>IF(OR(AC74="",AC73=""),"",IFERROR(AC74/AC73,""))</f>
        <v/>
      </c>
    </row>
    <row r="76">
      <c r="A76" s="9" t="inlineStr">
        <is>
          <t>자산가치</t>
        </is>
      </c>
      <c r="B76" s="10" t="inlineStr">
        <is>
          <t>현금+단기금융+투자부동산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>
        <f>SUM(X70,X71,X72)</f>
        <v/>
      </c>
      <c r="Y76" s="11">
        <f>SUM(Y70,Y71,Y72)</f>
        <v/>
      </c>
      <c r="Z76" s="12">
        <f>SUM(Z70,Z71,Z72)</f>
        <v/>
      </c>
      <c r="AA76" s="12">
        <f>SUM(AA70,AA71,AA72)</f>
        <v/>
      </c>
      <c r="AB76" s="12">
        <f>SUM(AB70,AB71,AB72)</f>
        <v/>
      </c>
      <c r="AC76" s="12">
        <f>SUM(AC70,AC71,AC72)</f>
        <v/>
      </c>
    </row>
    <row r="77">
      <c r="A77" s="16" t="inlineStr">
        <is>
          <t>기업가치 산출</t>
        </is>
      </c>
      <c r="B77" s="16" t="n"/>
      <c r="C77" s="17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7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7" t="n"/>
      <c r="Z77" s="16" t="n"/>
      <c r="AA77" s="16" t="n"/>
      <c r="AB77" s="16" t="n"/>
      <c r="AC77" s="16" t="n"/>
    </row>
    <row r="78">
      <c r="A78" s="18" t="inlineStr">
        <is>
          <t>목표 시가총액 (P/E)</t>
        </is>
      </c>
      <c r="B78" s="10" t="inlineStr">
        <is>
          <t>지배순이익 × Target P/E</t>
        </is>
      </c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19">
        <f>IF(OR(Y55="",Y65=""),"",IFERROR(Y55*Y65,""))</f>
        <v/>
      </c>
      <c r="Z78" s="20">
        <f>IF(OR(Z55="",Z65=""),"",IFERROR(Z55*Z65,""))</f>
        <v/>
      </c>
      <c r="AA78" s="20">
        <f>IF(OR(AA55="",AA65=""),"",IFERROR(AA55*AA65,""))</f>
        <v/>
      </c>
      <c r="AB78" s="20">
        <f>IF(OR(AB55="",AB65=""),"",IFERROR(AB55*AB65,""))</f>
        <v/>
      </c>
      <c r="AC78" s="20">
        <f>IF(OR(AC55="",AC65=""),"",IFERROR(AC55*AC65,""))</f>
        <v/>
      </c>
    </row>
    <row r="79">
      <c r="A79" s="9" t="inlineStr">
        <is>
          <t>기업가치</t>
        </is>
      </c>
      <c r="B79" s="10" t="inlineStr">
        <is>
          <t>목표시총 + 자산가치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1">
        <f>IF(OR(Y78=""),"",IFERROR(Y78+Y76,""))</f>
        <v/>
      </c>
      <c r="Z79" s="12">
        <f>IF(OR(Z78=""),"",IFERROR(Z78+Z76,""))</f>
        <v/>
      </c>
      <c r="AA79" s="12">
        <f>IF(OR(AA78=""),"",IFERROR(AA78+AA76,""))</f>
        <v/>
      </c>
      <c r="AB79" s="12">
        <f>IF(OR(AB78=""),"",IFERROR(AB78+AB76,""))</f>
        <v/>
      </c>
      <c r="AC79" s="12">
        <f>IF(OR(AC78=""),"",IFERROR(AC78+AC76,""))</f>
        <v/>
      </c>
    </row>
    <row r="80">
      <c r="A80" s="18" t="inlineStr">
        <is>
          <t>현재 시가총액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19">
        <f>$B$61</f>
        <v/>
      </c>
      <c r="Z80" s="20">
        <f>$B$61</f>
        <v/>
      </c>
      <c r="AA80" s="20">
        <f>$B$61</f>
        <v/>
      </c>
      <c r="AB80" s="20">
        <f>$B$61</f>
        <v/>
      </c>
      <c r="AC80" s="20">
        <f>$B$61</f>
        <v/>
      </c>
    </row>
    <row r="81">
      <c r="A81" s="18" t="inlineStr">
        <is>
          <t>상승여력</t>
        </is>
      </c>
      <c r="B81" s="10" t="n"/>
      <c r="C81" s="35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5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7">
        <f>IF(OR(Y79="",Y80=""),"",IFERROR(Y79/Y80-1,""))</f>
        <v/>
      </c>
      <c r="Z81" s="38">
        <f>IF(OR(Z79="",Z80=""),"",IFERROR(Z79/Z80-1,""))</f>
        <v/>
      </c>
      <c r="AA81" s="38">
        <f>IF(OR(AA79="",AA80=""),"",IFERROR(AA79/AA80-1,""))</f>
        <v/>
      </c>
      <c r="AB81" s="38">
        <f>IF(OR(AB79="",AB80=""),"",IFERROR(AB79/AB80-1,""))</f>
        <v/>
      </c>
      <c r="AC81" s="38">
        <f>IF(OR(AC79="",AC80=""),"",IFERROR(AC79/AC80-1,""))</f>
        <v/>
      </c>
    </row>
    <row r="82">
      <c r="C82" s="39" t="n"/>
      <c r="O82" s="39" t="n"/>
      <c r="Y82" s="39" t="n"/>
    </row>
    <row r="83">
      <c r="A83" s="40" t="inlineStr">
        <is>
          <t>출처</t>
        </is>
      </c>
      <c r="C83" s="39" t="n"/>
      <c r="O83" s="39" t="n"/>
      <c r="Y83" s="39" t="n"/>
    </row>
    <row r="84">
      <c r="A84" s="41" t="inlineStr">
        <is>
          <t>결산단신 XBRL(TDnet·JPX 보관소) — 쓴 문서는 '출처' 시트</t>
        </is>
      </c>
      <c r="C84" s="39" t="n"/>
      <c r="O84" s="39" t="n"/>
      <c r="Y84" s="39" t="n"/>
    </row>
    <row r="85">
      <c r="A85" s="41" t="inlineStr">
        <is>
          <t>분기 = 누계에서 앞 분기를 뺀 3개월 값</t>
        </is>
      </c>
      <c r="C85" s="39" t="n"/>
      <c r="O85" s="39" t="n"/>
      <c r="Y85" s="39" t="n"/>
    </row>
    <row r="86">
      <c r="A86" s="41" t="inlineStr">
        <is>
          <t>주가: 야후 파이낸스 일봉</t>
        </is>
      </c>
      <c r="C86" s="39" t="n"/>
      <c r="O86" s="39" t="n"/>
      <c r="Y86" s="39" t="n"/>
    </row>
    <row r="88">
      <c r="A88" s="16" t="inlineStr">
        <is>
          <t>손익계산서 · 전 항목</t>
        </is>
      </c>
      <c r="B88" s="42" t="inlineStr">
        <is>
          <t>분기 = 3개월 단독</t>
        </is>
      </c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</row>
    <row r="89">
      <c r="A89" s="5" t="inlineStr">
        <is>
          <t>항목</t>
        </is>
      </c>
      <c r="B89" s="5" t="inlineStr">
        <is>
          <t>참고</t>
        </is>
      </c>
      <c r="C89" s="5" t="inlineStr">
        <is>
          <t>2024.3Q</t>
        </is>
      </c>
      <c r="D89" s="5" t="inlineStr">
        <is>
          <t>2024.4Q</t>
        </is>
      </c>
      <c r="E89" s="5" t="inlineStr">
        <is>
          <t>2025.1Q</t>
        </is>
      </c>
      <c r="F89" s="5" t="inlineStr">
        <is>
          <t>2025.2Q</t>
        </is>
      </c>
      <c r="G89" s="5" t="inlineStr">
        <is>
          <t>2025.3Q</t>
        </is>
      </c>
      <c r="H89" s="5" t="inlineStr">
        <is>
          <t>2025.4Q</t>
        </is>
      </c>
      <c r="I89" s="5" t="inlineStr">
        <is>
          <t>2026.1Q</t>
        </is>
      </c>
      <c r="J89" s="5" t="inlineStr">
        <is>
          <t>2026.2Q</t>
        </is>
      </c>
      <c r="K89" s="5" t="inlineStr">
        <is>
          <t>2026.3Q</t>
        </is>
      </c>
      <c r="L89" s="5" t="inlineStr">
        <is>
          <t>2026.4Q</t>
        </is>
      </c>
      <c r="M89" s="5" t="inlineStr">
        <is>
          <t>2027.1Q</t>
        </is>
      </c>
      <c r="N89" s="5" t="inlineStr">
        <is>
          <t>2027.2Q</t>
        </is>
      </c>
      <c r="O89" s="5" t="inlineStr">
        <is>
          <t>2017</t>
        </is>
      </c>
      <c r="P89" s="5" t="inlineStr">
        <is>
          <t>2018</t>
        </is>
      </c>
      <c r="Q89" s="5" t="inlineStr">
        <is>
          <t>2019</t>
        </is>
      </c>
      <c r="R89" s="5" t="inlineStr">
        <is>
          <t>2020</t>
        </is>
      </c>
      <c r="S89" s="5" t="inlineStr">
        <is>
          <t>2021</t>
        </is>
      </c>
      <c r="T89" s="5" t="inlineStr">
        <is>
          <t>2022</t>
        </is>
      </c>
      <c r="U89" s="5" t="inlineStr">
        <is>
          <t>2023</t>
        </is>
      </c>
      <c r="V89" s="5" t="inlineStr">
        <is>
          <t>2024</t>
        </is>
      </c>
      <c r="W89" s="5" t="inlineStr">
        <is>
          <t>2025</t>
        </is>
      </c>
      <c r="X89" s="5" t="inlineStr">
        <is>
          <t>2026</t>
        </is>
      </c>
      <c r="Y89" s="5" t="inlineStr">
        <is>
          <t>2027(MW)</t>
        </is>
      </c>
      <c r="Z89" s="5" t="inlineStr">
        <is>
          <t>2028(MW)</t>
        </is>
      </c>
      <c r="AA89" s="5" t="inlineStr">
        <is>
          <t>2029(MW)</t>
        </is>
      </c>
      <c r="AB89" s="5" t="inlineStr">
        <is>
          <t>2030(MW)</t>
        </is>
      </c>
      <c r="AC89" s="5" t="inlineStr">
        <is>
          <t>2031(MW)</t>
        </is>
      </c>
    </row>
    <row r="90">
      <c r="A90" s="9" t="inlineStr">
        <is>
          <t>매출액</t>
        </is>
      </c>
      <c r="C90" s="12" t="n">
        <v>20948.146</v>
      </c>
      <c r="D90" s="12" t="n">
        <v>23080.653</v>
      </c>
      <c r="E90" s="12" t="n">
        <v>40985.651</v>
      </c>
      <c r="F90" s="12" t="n">
        <v>16400.18</v>
      </c>
      <c r="G90" s="12" t="n">
        <v>17282.017</v>
      </c>
      <c r="H90" s="12" t="n">
        <v>20098.043</v>
      </c>
      <c r="I90" s="12" t="n">
        <v>30714.739</v>
      </c>
      <c r="J90" s="12" t="n">
        <v>26960.433</v>
      </c>
      <c r="K90" s="12" t="n">
        <v>24825.841</v>
      </c>
      <c r="L90" s="12" t="n">
        <v>34419.779</v>
      </c>
      <c r="M90" s="12" t="n">
        <v>39475.73</v>
      </c>
      <c r="N90" s="12" t="n">
        <v>43443.008</v>
      </c>
      <c r="T90" s="12" t="n">
        <v>35492.005</v>
      </c>
      <c r="U90" s="12" t="n">
        <v>22631.943</v>
      </c>
      <c r="V90" s="12" t="n">
        <v>23080.653</v>
      </c>
      <c r="W90" s="12" t="n">
        <v>20098.043</v>
      </c>
      <c r="X90" s="12" t="n">
        <v>34419.779</v>
      </c>
    </row>
    <row r="91">
      <c r="A91" s="43" t="inlineStr">
        <is>
          <t>YoY</t>
        </is>
      </c>
      <c r="B91" s="3" t="inlineStr">
        <is>
          <t>전년 같은 분기·전년 대비</t>
        </is>
      </c>
      <c r="G91" s="15">
        <f>IF(OR(G90="",C90=""),"",IF(C90&lt;=0,"",IFERROR(G90/C90-1,"")))</f>
        <v/>
      </c>
      <c r="H91" s="15">
        <f>IF(OR(H90="",D90=""),"",IF(D90&lt;=0,"",IFERROR(H90/D90-1,"")))</f>
        <v/>
      </c>
      <c r="I91" s="15">
        <f>IF(OR(I90="",E90=""),"",IF(E90&lt;=0,"",IFERROR(I90/E90-1,"")))</f>
        <v/>
      </c>
      <c r="J91" s="15">
        <f>IF(OR(J90="",F90=""),"",IF(F90&lt;=0,"",IFERROR(J90/F90-1,"")))</f>
        <v/>
      </c>
      <c r="K91" s="15">
        <f>IF(OR(K90="",G90=""),"",IF(G90&lt;=0,"",IFERROR(K90/G90-1,"")))</f>
        <v/>
      </c>
      <c r="L91" s="15">
        <f>IF(OR(L90="",H90=""),"",IF(H90&lt;=0,"",IFERROR(L90/H90-1,"")))</f>
        <v/>
      </c>
      <c r="M91" s="15">
        <f>IF(OR(M90="",I90=""),"",IF(I90&lt;=0,"",IFERROR(M90/I90-1,"")))</f>
        <v/>
      </c>
      <c r="N91" s="15">
        <f>IF(OR(N90="",J90=""),"",IF(J90&lt;=0,"",IFERROR(N90/J90-1,"")))</f>
        <v/>
      </c>
      <c r="T91" s="15">
        <f>IF(OR(T90="",S90=""),"",IF(S90&lt;=0,"",IFERROR(T90/S90-1,"")))</f>
        <v/>
      </c>
      <c r="U91" s="15">
        <f>IF(OR(U90="",T90=""),"",IF(T90&lt;=0,"",IFERROR(U90/T90-1,"")))</f>
        <v/>
      </c>
      <c r="V91" s="15">
        <f>IF(OR(V90="",U90=""),"",IF(U90&lt;=0,"",IFERROR(V90/U90-1,"")))</f>
        <v/>
      </c>
      <c r="W91" s="15">
        <f>IF(OR(W90="",V90=""),"",IF(V90&lt;=0,"",IFERROR(W90/V90-1,"")))</f>
        <v/>
      </c>
      <c r="X91" s="15">
        <f>IF(OR(X90="",W90=""),"",IF(W90&lt;=0,"",IFERROR(X90/W90-1,"")))</f>
        <v/>
      </c>
    </row>
    <row r="92">
      <c r="A92" s="18" t="inlineStr">
        <is>
          <t>매출원가</t>
        </is>
      </c>
      <c r="C92" s="20" t="n">
        <v>16255.387</v>
      </c>
      <c r="D92" s="20" t="n">
        <v>17301.096</v>
      </c>
      <c r="E92" s="20" t="n">
        <v>30427.238</v>
      </c>
      <c r="F92" s="20" t="n">
        <v>12442.429</v>
      </c>
      <c r="G92" s="20" t="n">
        <v>12738.105</v>
      </c>
      <c r="H92" s="20" t="n">
        <v>15347.78</v>
      </c>
      <c r="I92" s="20" t="n">
        <v>22938.64</v>
      </c>
      <c r="J92" s="20" t="n">
        <v>19469.488</v>
      </c>
      <c r="K92" s="20" t="n">
        <v>18704.411</v>
      </c>
      <c r="L92" s="20" t="n">
        <v>26376.238</v>
      </c>
      <c r="M92" s="20" t="n">
        <v>30044.716</v>
      </c>
      <c r="N92" s="20" t="n">
        <v>32683.584</v>
      </c>
      <c r="T92" s="20" t="n">
        <v>27632.234</v>
      </c>
      <c r="U92" s="20" t="n">
        <v>18480.509</v>
      </c>
      <c r="V92" s="20" t="n">
        <v>17301.096</v>
      </c>
      <c r="W92" s="20" t="n">
        <v>15347.78</v>
      </c>
      <c r="X92" s="20" t="n">
        <v>26376.238</v>
      </c>
    </row>
    <row r="93">
      <c r="A93" s="43" t="inlineStr">
        <is>
          <t>YoY</t>
        </is>
      </c>
      <c r="B93" s="3" t="inlineStr">
        <is>
          <t>전년 같은 분기·전년 대비</t>
        </is>
      </c>
      <c r="G93" s="15">
        <f>IF(OR(G92="",C92=""),"",IF(G92*C92&lt;=0,"",IFERROR(G92/C92-1,"")))</f>
        <v/>
      </c>
      <c r="H93" s="15">
        <f>IF(OR(H92="",D92=""),"",IF(H92*D92&lt;=0,"",IFERROR(H92/D92-1,"")))</f>
        <v/>
      </c>
      <c r="I93" s="15">
        <f>IF(OR(I92="",E92=""),"",IF(I92*E92&lt;=0,"",IFERROR(I92/E92-1,"")))</f>
        <v/>
      </c>
      <c r="J93" s="15">
        <f>IF(OR(J92="",F92=""),"",IF(J92*F92&lt;=0,"",IFERROR(J92/F92-1,"")))</f>
        <v/>
      </c>
      <c r="K93" s="15">
        <f>IF(OR(K92="",G92=""),"",IF(K92*G92&lt;=0,"",IFERROR(K92/G92-1,"")))</f>
        <v/>
      </c>
      <c r="L93" s="15">
        <f>IF(OR(L92="",H92=""),"",IF(L92*H92&lt;=0,"",IFERROR(L92/H92-1,"")))</f>
        <v/>
      </c>
      <c r="M93" s="15">
        <f>IF(OR(M92="",I92=""),"",IF(M92*I92&lt;=0,"",IFERROR(M92/I92-1,"")))</f>
        <v/>
      </c>
      <c r="N93" s="15">
        <f>IF(OR(N92="",J92=""),"",IF(N92*J92&lt;=0,"",IFERROR(N92/J92-1,"")))</f>
        <v/>
      </c>
      <c r="T93" s="15">
        <f>IF(OR(T92="",S92=""),"",IF(T92*S92&lt;=0,"",IFERROR(T92/S92-1,"")))</f>
        <v/>
      </c>
      <c r="U93" s="15">
        <f>IF(OR(U92="",T92=""),"",IF(U92*T92&lt;=0,"",IFERROR(U92/T92-1,"")))</f>
        <v/>
      </c>
      <c r="V93" s="15">
        <f>IF(OR(V92="",U92=""),"",IF(V92*U92&lt;=0,"",IFERROR(V92/U92-1,"")))</f>
        <v/>
      </c>
      <c r="W93" s="15">
        <f>IF(OR(W92="",V92=""),"",IF(W92*V92&lt;=0,"",IFERROR(W92/V92-1,"")))</f>
        <v/>
      </c>
      <c r="X93" s="15">
        <f>IF(OR(X92="",W92=""),"",IF(X92*W92&lt;=0,"",IFERROR(X92/W92-1,"")))</f>
        <v/>
      </c>
    </row>
    <row r="94">
      <c r="A94" s="9" t="inlineStr">
        <is>
          <t>매출총이익</t>
        </is>
      </c>
      <c r="C94" s="12" t="n">
        <v>4692.758</v>
      </c>
      <c r="D94" s="12" t="n">
        <v>5779.557</v>
      </c>
      <c r="E94" s="12" t="n">
        <v>10558.413</v>
      </c>
      <c r="F94" s="12" t="n">
        <v>3957.75</v>
      </c>
      <c r="G94" s="12" t="n">
        <v>4543.913</v>
      </c>
      <c r="H94" s="12" t="n">
        <v>4750.263</v>
      </c>
      <c r="I94" s="12" t="n">
        <v>7776.099</v>
      </c>
      <c r="J94" s="12" t="n">
        <v>7490.945</v>
      </c>
      <c r="K94" s="12" t="n">
        <v>6121.429</v>
      </c>
      <c r="L94" s="12" t="n">
        <v>8043.542</v>
      </c>
      <c r="M94" s="12" t="n">
        <v>9431.013999999999</v>
      </c>
      <c r="N94" s="12" t="n">
        <v>10759.423</v>
      </c>
      <c r="T94" s="12" t="n">
        <v>7859.77</v>
      </c>
      <c r="U94" s="12" t="n">
        <v>4151.434</v>
      </c>
      <c r="V94" s="12" t="n">
        <v>5779.557</v>
      </c>
      <c r="W94" s="12" t="n">
        <v>4750.263</v>
      </c>
      <c r="X94" s="12" t="n">
        <v>8043.542</v>
      </c>
    </row>
    <row r="95">
      <c r="A95" s="43" t="inlineStr">
        <is>
          <t>YoY</t>
        </is>
      </c>
      <c r="B95" s="3" t="inlineStr">
        <is>
          <t>전년 같은 분기·전년 대비</t>
        </is>
      </c>
      <c r="G95" s="15">
        <f>IF(OR(G94="",C94=""),"",IF(C94&lt;=0,"",IFERROR(G94/C94-1,"")))</f>
        <v/>
      </c>
      <c r="H95" s="15">
        <f>IF(OR(H94="",D94=""),"",IF(D94&lt;=0,"",IFERROR(H94/D94-1,"")))</f>
        <v/>
      </c>
      <c r="I95" s="15">
        <f>IF(OR(I94="",E94=""),"",IF(E94&lt;=0,"",IFERROR(I94/E94-1,"")))</f>
        <v/>
      </c>
      <c r="J95" s="15">
        <f>IF(OR(J94="",F94=""),"",IF(F94&lt;=0,"",IFERROR(J94/F94-1,"")))</f>
        <v/>
      </c>
      <c r="K95" s="15">
        <f>IF(OR(K94="",G94=""),"",IF(G94&lt;=0,"",IFERROR(K94/G94-1,"")))</f>
        <v/>
      </c>
      <c r="L95" s="15">
        <f>IF(OR(L94="",H94=""),"",IF(H94&lt;=0,"",IFERROR(L94/H94-1,"")))</f>
        <v/>
      </c>
      <c r="M95" s="15">
        <f>IF(OR(M94="",I94=""),"",IF(I94&lt;=0,"",IFERROR(M94/I94-1,"")))</f>
        <v/>
      </c>
      <c r="N95" s="15">
        <f>IF(OR(N94="",J94=""),"",IF(J94&lt;=0,"",IFERROR(N94/J94-1,"")))</f>
        <v/>
      </c>
      <c r="T95" s="15">
        <f>IF(OR(T94="",S94=""),"",IF(S94&lt;=0,"",IFERROR(T94/S94-1,"")))</f>
        <v/>
      </c>
      <c r="U95" s="15">
        <f>IF(OR(U94="",T94=""),"",IF(T94&lt;=0,"",IFERROR(U94/T94-1,"")))</f>
        <v/>
      </c>
      <c r="V95" s="15">
        <f>IF(OR(V94="",U94=""),"",IF(U94&lt;=0,"",IFERROR(V94/U94-1,"")))</f>
        <v/>
      </c>
      <c r="W95" s="15">
        <f>IF(OR(W94="",V94=""),"",IF(V94&lt;=0,"",IFERROR(W94/V94-1,"")))</f>
        <v/>
      </c>
      <c r="X95" s="15">
        <f>IF(OR(X94="",W94=""),"",IF(W94&lt;=0,"",IFERROR(X94/W94-1,"")))</f>
        <v/>
      </c>
    </row>
    <row r="96">
      <c r="A96" s="18" t="inlineStr">
        <is>
          <t>광고선전비</t>
        </is>
      </c>
      <c r="C96" s="20" t="n">
        <v>138.577</v>
      </c>
      <c r="D96" s="20" t="n">
        <v>157.955</v>
      </c>
      <c r="E96" s="20" t="n">
        <v>116.601</v>
      </c>
      <c r="F96" s="20" t="n">
        <v>117.472</v>
      </c>
      <c r="G96" s="20" t="n">
        <v>139.541</v>
      </c>
      <c r="H96" s="20" t="n">
        <v>130.816</v>
      </c>
      <c r="I96" s="20" t="n">
        <v>161.808</v>
      </c>
      <c r="J96" s="20" t="n">
        <v>149.172</v>
      </c>
      <c r="K96" s="20" t="n">
        <v>155.66</v>
      </c>
      <c r="L96" s="20" t="n">
        <v>209.246</v>
      </c>
      <c r="M96" s="20" t="n">
        <v>132.135</v>
      </c>
      <c r="N96" s="20" t="n">
        <v>146.869</v>
      </c>
      <c r="T96" s="20" t="n">
        <v>167.514</v>
      </c>
      <c r="U96" s="20" t="n">
        <v>191.753</v>
      </c>
      <c r="V96" s="20" t="n">
        <v>157.955</v>
      </c>
      <c r="W96" s="20" t="n">
        <v>130.816</v>
      </c>
      <c r="X96" s="20" t="n">
        <v>209.246</v>
      </c>
    </row>
    <row r="97">
      <c r="A97" s="18" t="inlineStr">
        <is>
          <t>Salaries And Bonuses SGA</t>
        </is>
      </c>
      <c r="C97" s="20" t="n">
        <v>917.49</v>
      </c>
      <c r="D97" s="20" t="n">
        <v>808.7430000000001</v>
      </c>
      <c r="E97" s="20" t="n">
        <v>841.3150000000001</v>
      </c>
      <c r="F97" s="20" t="n">
        <v>776.802</v>
      </c>
      <c r="G97" s="20" t="n">
        <v>951.052</v>
      </c>
      <c r="H97" s="20" t="n">
        <v>796.216</v>
      </c>
      <c r="I97" s="20" t="n">
        <v>876.859</v>
      </c>
      <c r="J97" s="20" t="n">
        <v>908.944</v>
      </c>
      <c r="K97" s="20" t="n">
        <v>1106.517</v>
      </c>
      <c r="L97" s="20" t="n">
        <v>974.027</v>
      </c>
      <c r="M97" s="20" t="n">
        <v>1010.513</v>
      </c>
      <c r="N97" s="20" t="n">
        <v>1105.694</v>
      </c>
      <c r="T97" s="20" t="n">
        <v>873.2569999999999</v>
      </c>
      <c r="U97" s="20" t="n">
        <v>829.579</v>
      </c>
      <c r="V97" s="20" t="n">
        <v>808.7430000000001</v>
      </c>
      <c r="W97" s="20" t="n">
        <v>796.216</v>
      </c>
      <c r="X97" s="20" t="n">
        <v>974.027</v>
      </c>
    </row>
    <row r="98">
      <c r="A98" s="18" t="inlineStr">
        <is>
          <t>상여충당금 전입</t>
        </is>
      </c>
      <c r="C98" s="20" t="n">
        <v>-91.496</v>
      </c>
      <c r="D98" s="20" t="n">
        <v>120.843</v>
      </c>
      <c r="E98" s="20" t="n">
        <v>94.339</v>
      </c>
      <c r="F98" s="20" t="n">
        <v>79.426</v>
      </c>
      <c r="G98" s="20" t="n">
        <v>-69.967</v>
      </c>
      <c r="H98" s="20" t="n">
        <v>119.307</v>
      </c>
      <c r="I98" s="20" t="n">
        <v>104.65</v>
      </c>
      <c r="J98" s="20" t="n">
        <v>101.676</v>
      </c>
      <c r="K98" s="20" t="n">
        <v>-88.858</v>
      </c>
      <c r="L98" s="20" t="n">
        <v>134.694</v>
      </c>
      <c r="M98" s="20" t="n">
        <v>125.568</v>
      </c>
      <c r="N98" s="20" t="n">
        <v>120.735</v>
      </c>
      <c r="T98" s="20" t="n">
        <v>174.812</v>
      </c>
      <c r="U98" s="20" t="n">
        <v>130.934</v>
      </c>
      <c r="V98" s="20" t="n">
        <v>120.843</v>
      </c>
      <c r="W98" s="20" t="n">
        <v>119.307</v>
      </c>
      <c r="X98" s="20" t="n">
        <v>134.694</v>
      </c>
    </row>
    <row r="99">
      <c r="A99" s="18" t="inlineStr">
        <is>
          <t>퇴직급여비용</t>
        </is>
      </c>
      <c r="C99" s="20" t="n">
        <v>7.19</v>
      </c>
      <c r="D99" s="20" t="n">
        <v>12.981</v>
      </c>
      <c r="E99" s="20" t="n">
        <v>36.367</v>
      </c>
      <c r="F99" s="20" t="n">
        <v>23.599</v>
      </c>
      <c r="G99" s="20" t="n">
        <v>11.341</v>
      </c>
      <c r="H99" s="20" t="n">
        <v>13.119</v>
      </c>
      <c r="I99" s="20" t="n">
        <v>21.664</v>
      </c>
      <c r="J99" s="20" t="n">
        <v>24.597</v>
      </c>
      <c r="K99" s="20" t="n">
        <v>12.668</v>
      </c>
      <c r="L99" s="20" t="n">
        <v>14.044</v>
      </c>
      <c r="M99" s="20" t="n">
        <v>29.456</v>
      </c>
      <c r="N99" s="20" t="n">
        <v>32.061</v>
      </c>
      <c r="T99" s="20" t="n">
        <v>11.621</v>
      </c>
      <c r="U99" s="20" t="n">
        <v>12.138</v>
      </c>
      <c r="V99" s="20" t="n">
        <v>12.981</v>
      </c>
      <c r="W99" s="20" t="n">
        <v>13.119</v>
      </c>
      <c r="X99" s="20" t="n">
        <v>14.044</v>
      </c>
    </row>
    <row r="100">
      <c r="A100" s="18" t="inlineStr">
        <is>
          <t>임원 퇴직위로 충당금 전입</t>
        </is>
      </c>
      <c r="C100" s="20" t="n">
        <v>1.438</v>
      </c>
      <c r="D100" s="20" t="n">
        <v>0.75</v>
      </c>
      <c r="E100" s="20" t="n">
        <v>1.687</v>
      </c>
      <c r="F100" s="20" t="n">
        <v>0.75</v>
      </c>
      <c r="G100" s="20" t="n">
        <v>1.5</v>
      </c>
      <c r="H100" s="20" t="n">
        <v>0.75</v>
      </c>
      <c r="I100" s="20" t="n">
        <v>1.5</v>
      </c>
      <c r="J100" s="20" t="n">
        <v>0.75</v>
      </c>
      <c r="K100" s="20" t="n">
        <v>1.5</v>
      </c>
      <c r="L100" s="20" t="n">
        <v>0.75</v>
      </c>
      <c r="M100" s="20" t="n">
        <v>1.5</v>
      </c>
      <c r="N100" s="20" t="n">
        <v>0.75</v>
      </c>
      <c r="T100" s="20" t="n">
        <v>0.75</v>
      </c>
      <c r="U100" s="20" t="n">
        <v>0.75</v>
      </c>
      <c r="V100" s="20" t="n">
        <v>0.75</v>
      </c>
      <c r="W100" s="20" t="n">
        <v>0.75</v>
      </c>
      <c r="X100" s="20" t="n">
        <v>0.75</v>
      </c>
    </row>
    <row r="101">
      <c r="A101" s="18" t="inlineStr">
        <is>
          <t>세금과공과</t>
        </is>
      </c>
      <c r="C101" s="20" t="n">
        <v>469.695</v>
      </c>
      <c r="D101" s="20" t="n">
        <v>487.039</v>
      </c>
      <c r="E101" s="20" t="n">
        <v>493.49</v>
      </c>
      <c r="F101" s="20" t="n">
        <v>527.665</v>
      </c>
      <c r="G101" s="20" t="n">
        <v>400.362</v>
      </c>
      <c r="H101" s="20" t="n">
        <v>813.134</v>
      </c>
      <c r="I101" s="20" t="n">
        <v>462.049</v>
      </c>
      <c r="J101" s="20" t="n">
        <v>581.917</v>
      </c>
      <c r="K101" s="20" t="n">
        <v>470.093</v>
      </c>
      <c r="L101" s="20" t="n">
        <v>1093.72</v>
      </c>
      <c r="M101" s="20" t="n">
        <v>541.259</v>
      </c>
      <c r="N101" s="20" t="n">
        <v>761.46</v>
      </c>
      <c r="T101" s="20" t="n">
        <v>198.941</v>
      </c>
      <c r="U101" s="20" t="n">
        <v>360.444</v>
      </c>
      <c r="V101" s="20" t="n">
        <v>487.039</v>
      </c>
      <c r="W101" s="20" t="n">
        <v>813.134</v>
      </c>
      <c r="X101" s="20" t="n">
        <v>1093.72</v>
      </c>
    </row>
    <row r="102">
      <c r="A102" s="18" t="inlineStr">
        <is>
          <t>감가상각비</t>
        </is>
      </c>
      <c r="C102" s="20" t="n">
        <v>32.01</v>
      </c>
      <c r="D102" s="20" t="n">
        <v>33.732</v>
      </c>
      <c r="E102" s="20" t="n">
        <v>31.379</v>
      </c>
      <c r="F102" s="20" t="n">
        <v>30.7</v>
      </c>
      <c r="G102" s="20" t="n">
        <v>30.556</v>
      </c>
      <c r="H102" s="20" t="n">
        <v>31.572</v>
      </c>
      <c r="I102" s="20" t="n">
        <v>30.347</v>
      </c>
      <c r="J102" s="20" t="n">
        <v>29.708</v>
      </c>
      <c r="K102" s="20" t="n">
        <v>30.555</v>
      </c>
      <c r="L102" s="20" t="n">
        <v>32.804</v>
      </c>
      <c r="M102" s="20" t="n">
        <v>29.714</v>
      </c>
      <c r="N102" s="20" t="n">
        <v>38.183</v>
      </c>
      <c r="T102" s="20" t="n">
        <v>31.574</v>
      </c>
      <c r="U102" s="20" t="n">
        <v>31.172</v>
      </c>
      <c r="V102" s="20" t="n">
        <v>33.732</v>
      </c>
      <c r="W102" s="20" t="n">
        <v>31.572</v>
      </c>
      <c r="X102" s="20" t="n">
        <v>32.804</v>
      </c>
    </row>
    <row r="103">
      <c r="A103" s="18" t="inlineStr">
        <is>
          <t>기타</t>
        </is>
      </c>
      <c r="C103" s="20" t="n">
        <v>653.222</v>
      </c>
      <c r="D103" s="20" t="n">
        <v>-0.446</v>
      </c>
      <c r="E103" s="20" t="n">
        <v>595.004</v>
      </c>
      <c r="F103" s="20" t="n">
        <v>575.8390000000001</v>
      </c>
      <c r="G103" s="20" t="n">
        <v>651.01</v>
      </c>
      <c r="H103" s="20" t="n">
        <v>16.917</v>
      </c>
      <c r="I103" s="20" t="n">
        <v>727.771</v>
      </c>
      <c r="J103" s="20" t="n">
        <v>664.995</v>
      </c>
      <c r="K103" s="20" t="n">
        <v>714.646</v>
      </c>
      <c r="L103" s="20" t="n">
        <v>157.684</v>
      </c>
      <c r="M103" s="20" t="n">
        <v>949.978</v>
      </c>
      <c r="N103" s="20" t="n">
        <v>775.0839999999999</v>
      </c>
      <c r="T103" s="20" t="n">
        <v>25.445</v>
      </c>
      <c r="U103" s="20" t="n">
        <v>-350.684</v>
      </c>
      <c r="V103" s="20" t="n">
        <v>-0.446</v>
      </c>
      <c r="W103" s="20" t="n">
        <v>16.917</v>
      </c>
      <c r="X103" s="20" t="n">
        <v>157.684</v>
      </c>
    </row>
    <row r="104">
      <c r="A104" s="18" t="inlineStr">
        <is>
          <t>판매비와 관리비 합계</t>
        </is>
      </c>
      <c r="C104" s="20" t="n">
        <v>2128.127</v>
      </c>
      <c r="D104" s="20" t="n">
        <v>2585.247</v>
      </c>
      <c r="E104" s="20" t="n">
        <v>2210.186</v>
      </c>
      <c r="F104" s="20" t="n">
        <v>2132.252</v>
      </c>
      <c r="G104" s="20" t="n">
        <v>2115.394</v>
      </c>
      <c r="H104" s="20" t="n">
        <v>2804.28</v>
      </c>
      <c r="I104" s="20" t="n">
        <v>2386.65</v>
      </c>
      <c r="J104" s="20" t="n">
        <v>2461.761</v>
      </c>
      <c r="K104" s="20" t="n">
        <v>2402.78</v>
      </c>
      <c r="L104" s="20" t="n">
        <v>3678.21</v>
      </c>
      <c r="M104" s="20" t="n">
        <v>2820.128</v>
      </c>
      <c r="N104" s="20" t="n">
        <v>2980.834</v>
      </c>
      <c r="T104" s="20" t="n">
        <v>2432.704</v>
      </c>
      <c r="U104" s="20" t="n">
        <v>2308.051</v>
      </c>
      <c r="V104" s="20" t="n">
        <v>2585.247</v>
      </c>
      <c r="W104" s="20" t="n">
        <v>2804.28</v>
      </c>
      <c r="X104" s="20" t="n">
        <v>3678.21</v>
      </c>
    </row>
    <row r="105">
      <c r="A105" s="43" t="inlineStr">
        <is>
          <t>YoY</t>
        </is>
      </c>
      <c r="B105" s="3" t="inlineStr">
        <is>
          <t>전년 같은 분기·전년 대비</t>
        </is>
      </c>
      <c r="G105" s="15">
        <f>IF(OR(G104="",C104=""),"",IF(G104*C104&lt;=0,"",IFERROR(G104/C104-1,"")))</f>
        <v/>
      </c>
      <c r="H105" s="15">
        <f>IF(OR(H104="",D104=""),"",IF(H104*D104&lt;=0,"",IFERROR(H104/D104-1,"")))</f>
        <v/>
      </c>
      <c r="I105" s="15">
        <f>IF(OR(I104="",E104=""),"",IF(I104*E104&lt;=0,"",IFERROR(I104/E104-1,"")))</f>
        <v/>
      </c>
      <c r="J105" s="15">
        <f>IF(OR(J104="",F104=""),"",IF(J104*F104&lt;=0,"",IFERROR(J104/F104-1,"")))</f>
        <v/>
      </c>
      <c r="K105" s="15">
        <f>IF(OR(K104="",G104=""),"",IF(K104*G104&lt;=0,"",IFERROR(K104/G104-1,"")))</f>
        <v/>
      </c>
      <c r="L105" s="15">
        <f>IF(OR(L104="",H104=""),"",IF(L104*H104&lt;=0,"",IFERROR(L104/H104-1,"")))</f>
        <v/>
      </c>
      <c r="M105" s="15">
        <f>IF(OR(M104="",I104=""),"",IF(M104*I104&lt;=0,"",IFERROR(M104/I104-1,"")))</f>
        <v/>
      </c>
      <c r="N105" s="15">
        <f>IF(OR(N104="",J104=""),"",IF(N104*J104&lt;=0,"",IFERROR(N104/J104-1,"")))</f>
        <v/>
      </c>
      <c r="T105" s="15">
        <f>IF(OR(T104="",S104=""),"",IF(T104*S104&lt;=0,"",IFERROR(T104/S104-1,"")))</f>
        <v/>
      </c>
      <c r="U105" s="15">
        <f>IF(OR(U104="",T104=""),"",IF(U104*T104&lt;=0,"",IFERROR(U104/T104-1,"")))</f>
        <v/>
      </c>
      <c r="V105" s="15">
        <f>IF(OR(V104="",U104=""),"",IF(V104*U104&lt;=0,"",IFERROR(V104/U104-1,"")))</f>
        <v/>
      </c>
      <c r="W105" s="15">
        <f>IF(OR(W104="",V104=""),"",IF(W104*V104&lt;=0,"",IFERROR(W104/V104-1,"")))</f>
        <v/>
      </c>
      <c r="X105" s="15">
        <f>IF(OR(X104="",W104=""),"",IF(X104*W104&lt;=0,"",IFERROR(X104/W104-1,"")))</f>
        <v/>
      </c>
    </row>
    <row r="106">
      <c r="A106" s="9" t="inlineStr">
        <is>
          <t>영업이익</t>
        </is>
      </c>
      <c r="C106" s="12" t="n">
        <v>2564.631</v>
      </c>
      <c r="D106" s="12" t="n">
        <v>3194.31</v>
      </c>
      <c r="E106" s="12" t="n">
        <v>8348.226000000001</v>
      </c>
      <c r="F106" s="12" t="n">
        <v>1825.499</v>
      </c>
      <c r="G106" s="12" t="n">
        <v>2428.518</v>
      </c>
      <c r="H106" s="12" t="n">
        <v>1945.983</v>
      </c>
      <c r="I106" s="12" t="n">
        <v>5389.448</v>
      </c>
      <c r="J106" s="12" t="n">
        <v>5029.184</v>
      </c>
      <c r="K106" s="12" t="n">
        <v>3718.65</v>
      </c>
      <c r="L106" s="12" t="n">
        <v>4365.331</v>
      </c>
      <c r="M106" s="12" t="n">
        <v>6610.886</v>
      </c>
      <c r="N106" s="12" t="n">
        <v>7778.588</v>
      </c>
      <c r="T106" s="12" t="n">
        <v>5427.067</v>
      </c>
      <c r="U106" s="12" t="n">
        <v>1843.382</v>
      </c>
      <c r="V106" s="12" t="n">
        <v>3194.31</v>
      </c>
      <c r="W106" s="12" t="n">
        <v>1945.983</v>
      </c>
      <c r="X106" s="12" t="n">
        <v>4365.331</v>
      </c>
    </row>
    <row r="107">
      <c r="A107" s="43" t="inlineStr">
        <is>
          <t>OPM</t>
        </is>
      </c>
      <c r="B107" s="3" t="inlineStr">
        <is>
          <t>영업이익 ÷ 매출</t>
        </is>
      </c>
      <c r="C107" s="15">
        <f>IF(OR(C106="",C90=""),"",IF(C90&lt;=0,"",IFERROR(C106/C90,"")))</f>
        <v/>
      </c>
      <c r="D107" s="15">
        <f>IF(OR(D106="",D90=""),"",IF(D90&lt;=0,"",IFERROR(D106/D90,"")))</f>
        <v/>
      </c>
      <c r="E107" s="15">
        <f>IF(OR(E106="",E90=""),"",IF(E90&lt;=0,"",IFERROR(E106/E90,"")))</f>
        <v/>
      </c>
      <c r="F107" s="15">
        <f>IF(OR(F106="",F90=""),"",IF(F90&lt;=0,"",IFERROR(F106/F90,"")))</f>
        <v/>
      </c>
      <c r="G107" s="15">
        <f>IF(OR(G106="",G90=""),"",IF(G90&lt;=0,"",IFERROR(G106/G90,"")))</f>
        <v/>
      </c>
      <c r="H107" s="15">
        <f>IF(OR(H106="",H90=""),"",IF(H90&lt;=0,"",IFERROR(H106/H90,"")))</f>
        <v/>
      </c>
      <c r="I107" s="15">
        <f>IF(OR(I106="",I90=""),"",IF(I90&lt;=0,"",IFERROR(I106/I90,"")))</f>
        <v/>
      </c>
      <c r="J107" s="15">
        <f>IF(OR(J106="",J90=""),"",IF(J90&lt;=0,"",IFERROR(J106/J90,"")))</f>
        <v/>
      </c>
      <c r="K107" s="15">
        <f>IF(OR(K106="",K90=""),"",IF(K90&lt;=0,"",IFERROR(K106/K90,"")))</f>
        <v/>
      </c>
      <c r="L107" s="15">
        <f>IF(OR(L106="",L90=""),"",IF(L90&lt;=0,"",IFERROR(L106/L90,"")))</f>
        <v/>
      </c>
      <c r="M107" s="15">
        <f>IF(OR(M106="",M90=""),"",IF(M90&lt;=0,"",IFERROR(M106/M90,"")))</f>
        <v/>
      </c>
      <c r="N107" s="15">
        <f>IF(OR(N106="",N90=""),"",IF(N90&lt;=0,"",IFERROR(N106/N90,"")))</f>
        <v/>
      </c>
      <c r="T107" s="15">
        <f>IF(OR(T106="",T90=""),"",IF(T90&lt;=0,"",IFERROR(T106/T90,"")))</f>
        <v/>
      </c>
      <c r="U107" s="15">
        <f>IF(OR(U106="",U90=""),"",IF(U90&lt;=0,"",IFERROR(U106/U90,"")))</f>
        <v/>
      </c>
      <c r="V107" s="15">
        <f>IF(OR(V106="",V90=""),"",IF(V90&lt;=0,"",IFERROR(V106/V90,"")))</f>
        <v/>
      </c>
      <c r="W107" s="15">
        <f>IF(OR(W106="",W90=""),"",IF(W90&lt;=0,"",IFERROR(W106/W90,"")))</f>
        <v/>
      </c>
      <c r="X107" s="15">
        <f>IF(OR(X106="",X90=""),"",IF(X90&lt;=0,"",IFERROR(X106/X90,"")))</f>
        <v/>
      </c>
    </row>
    <row r="108">
      <c r="A108" s="43" t="inlineStr">
        <is>
          <t>YoY</t>
        </is>
      </c>
      <c r="B108" s="3" t="inlineStr">
        <is>
          <t>전년 같은 분기·전년 대비</t>
        </is>
      </c>
      <c r="G108" s="15">
        <f>IF(OR(G106="",C106=""),"",IF(C106&lt;=0,"",IFERROR(G106/C106-1,"")))</f>
        <v/>
      </c>
      <c r="H108" s="15">
        <f>IF(OR(H106="",D106=""),"",IF(D106&lt;=0,"",IFERROR(H106/D106-1,"")))</f>
        <v/>
      </c>
      <c r="I108" s="15">
        <f>IF(OR(I106="",E106=""),"",IF(E106&lt;=0,"",IFERROR(I106/E106-1,"")))</f>
        <v/>
      </c>
      <c r="J108" s="15">
        <f>IF(OR(J106="",F106=""),"",IF(F106&lt;=0,"",IFERROR(J106/F106-1,"")))</f>
        <v/>
      </c>
      <c r="K108" s="15">
        <f>IF(OR(K106="",G106=""),"",IF(G106&lt;=0,"",IFERROR(K106/G106-1,"")))</f>
        <v/>
      </c>
      <c r="L108" s="15">
        <f>IF(OR(L106="",H106=""),"",IF(H106&lt;=0,"",IFERROR(L106/H106-1,"")))</f>
        <v/>
      </c>
      <c r="M108" s="15">
        <f>IF(OR(M106="",I106=""),"",IF(I106&lt;=0,"",IFERROR(M106/I106-1,"")))</f>
        <v/>
      </c>
      <c r="N108" s="15">
        <f>IF(OR(N106="",J106=""),"",IF(J106&lt;=0,"",IFERROR(N106/J106-1,"")))</f>
        <v/>
      </c>
      <c r="T108" s="15">
        <f>IF(OR(T106="",S106=""),"",IF(S106&lt;=0,"",IFERROR(T106/S106-1,"")))</f>
        <v/>
      </c>
      <c r="U108" s="15">
        <f>IF(OR(U106="",T106=""),"",IF(T106&lt;=0,"",IFERROR(U106/T106-1,"")))</f>
        <v/>
      </c>
      <c r="V108" s="15">
        <f>IF(OR(V106="",U106=""),"",IF(U106&lt;=0,"",IFERROR(V106/U106-1,"")))</f>
        <v/>
      </c>
      <c r="W108" s="15">
        <f>IF(OR(W106="",V106=""),"",IF(V106&lt;=0,"",IFERROR(W106/V106-1,"")))</f>
        <v/>
      </c>
      <c r="X108" s="15">
        <f>IF(OR(X106="",W106=""),"",IF(W106&lt;=0,"",IFERROR(X106/W106-1,"")))</f>
        <v/>
      </c>
    </row>
    <row r="109">
      <c r="A109" s="18" t="inlineStr">
        <is>
          <t>이자수익</t>
        </is>
      </c>
      <c r="C109" s="20" t="n">
        <v>0.026</v>
      </c>
      <c r="D109" s="20" t="n">
        <v>0.143</v>
      </c>
      <c r="E109" s="20" t="n">
        <v>0.052</v>
      </c>
      <c r="F109" s="20" t="n">
        <v>1.501</v>
      </c>
      <c r="G109" s="20" t="n">
        <v>0.104</v>
      </c>
      <c r="H109" s="20" t="n">
        <v>6.475</v>
      </c>
      <c r="I109" s="20" t="n">
        <v>0.713</v>
      </c>
      <c r="J109" s="20" t="n">
        <v>23.535</v>
      </c>
      <c r="K109" s="20" t="n">
        <v>1.606</v>
      </c>
      <c r="L109" s="20" t="n">
        <v>27.46</v>
      </c>
      <c r="M109" s="20" t="n">
        <v>1.494</v>
      </c>
      <c r="N109" s="20" t="n">
        <v>30.203</v>
      </c>
      <c r="T109" s="20" t="n">
        <v>0.12</v>
      </c>
      <c r="U109" s="20" t="n">
        <v>0.165</v>
      </c>
      <c r="V109" s="20" t="n">
        <v>0.143</v>
      </c>
      <c r="W109" s="20" t="n">
        <v>6.475</v>
      </c>
      <c r="X109" s="20" t="n">
        <v>27.46</v>
      </c>
    </row>
    <row r="110">
      <c r="A110" s="18" t="inlineStr">
        <is>
          <t>배당금수익</t>
        </is>
      </c>
      <c r="C110" s="20" t="n">
        <v>6.421</v>
      </c>
      <c r="D110" s="20" t="n">
        <v>17.183</v>
      </c>
      <c r="E110" s="20" t="n">
        <v>3.081</v>
      </c>
      <c r="F110" s="20" t="n">
        <v>8.241</v>
      </c>
      <c r="G110" s="20" t="n">
        <v>6.815</v>
      </c>
      <c r="H110" s="20" t="n">
        <v>2.133</v>
      </c>
      <c r="I110" s="20" t="n">
        <v>7.814</v>
      </c>
      <c r="J110" s="20" t="n">
        <v>1.214</v>
      </c>
      <c r="K110" s="20" t="n">
        <v>8.635999999999999</v>
      </c>
      <c r="L110" s="20" t="n">
        <v>29.157</v>
      </c>
      <c r="M110" s="20" t="n">
        <v>9.401999999999999</v>
      </c>
      <c r="N110" s="20" t="n">
        <v>12.45</v>
      </c>
      <c r="T110" s="20" t="n">
        <v>0.103</v>
      </c>
      <c r="U110" s="20" t="n">
        <v>0.782</v>
      </c>
      <c r="V110" s="20" t="n">
        <v>17.183</v>
      </c>
      <c r="W110" s="20" t="n">
        <v>2.133</v>
      </c>
      <c r="X110" s="20" t="n">
        <v>29.157</v>
      </c>
    </row>
    <row r="111">
      <c r="A111" s="18" t="inlineStr">
        <is>
          <t>Cancellation Penalty Income NOI</t>
        </is>
      </c>
      <c r="C111" s="20" t="n">
        <v>3.57</v>
      </c>
      <c r="E111" s="20" t="n">
        <v>1.6</v>
      </c>
      <c r="F111" s="20" t="n">
        <v>1.5</v>
      </c>
      <c r="G111" s="20" t="n">
        <v>5.492</v>
      </c>
      <c r="I111" s="20" t="n">
        <v>1.033</v>
      </c>
      <c r="J111" s="20" t="n">
        <v>1.4</v>
      </c>
      <c r="K111" s="20" t="n">
        <v>3.05</v>
      </c>
      <c r="M111" s="20" t="n">
        <v>3.1</v>
      </c>
      <c r="N111" s="20" t="n">
        <v>3.2</v>
      </c>
    </row>
    <row r="112">
      <c r="A112" s="18" t="inlineStr">
        <is>
          <t>Gain On Guarantee Deposits Received NOI</t>
        </is>
      </c>
      <c r="C112" s="20" t="n">
        <v>15.568</v>
      </c>
      <c r="D112" s="20" t="n">
        <v>45.966</v>
      </c>
      <c r="E112" s="20" t="n">
        <v>25.244</v>
      </c>
      <c r="F112" s="20" t="n">
        <v>12.882</v>
      </c>
      <c r="G112" s="20" t="n">
        <v>24.231</v>
      </c>
      <c r="H112" s="20" t="n">
        <v>87.331</v>
      </c>
      <c r="I112" s="20" t="n">
        <v>31.209</v>
      </c>
      <c r="J112" s="20" t="n">
        <v>18.653</v>
      </c>
      <c r="K112" s="20" t="n">
        <v>18.378</v>
      </c>
      <c r="L112" s="20" t="n">
        <v>62.489</v>
      </c>
      <c r="M112" s="20" t="n">
        <v>54.569</v>
      </c>
      <c r="N112" s="20" t="n">
        <v>17.825</v>
      </c>
      <c r="T112" s="20" t="n">
        <v>30.824</v>
      </c>
      <c r="U112" s="20" t="n">
        <v>27.066</v>
      </c>
      <c r="V112" s="20" t="n">
        <v>45.966</v>
      </c>
      <c r="W112" s="20" t="n">
        <v>87.331</v>
      </c>
      <c r="X112" s="20" t="n">
        <v>62.489</v>
      </c>
    </row>
    <row r="113">
      <c r="A113" s="18" t="inlineStr">
        <is>
          <t>보조금 수입</t>
        </is>
      </c>
      <c r="C113" s="20" t="n">
        <v>3.54</v>
      </c>
      <c r="D113" s="20" t="n">
        <v>2.95</v>
      </c>
      <c r="E113" s="20" t="n">
        <v>4.833</v>
      </c>
      <c r="F113" s="20" t="n">
        <v>1.3</v>
      </c>
      <c r="G113" s="20" t="n">
        <v>6.49</v>
      </c>
      <c r="H113" s="20" t="n">
        <v>3.983</v>
      </c>
      <c r="I113" s="20" t="n">
        <v>3.8</v>
      </c>
      <c r="J113" s="20" t="n">
        <v>6.41</v>
      </c>
      <c r="K113" s="20" t="n">
        <v>6.729</v>
      </c>
      <c r="L113" s="20" t="n">
        <v>5.2</v>
      </c>
      <c r="M113" s="20" t="n">
        <v>4.699</v>
      </c>
      <c r="N113" s="20" t="n">
        <v>6.034</v>
      </c>
      <c r="T113" s="20" t="n">
        <v>5.05</v>
      </c>
      <c r="U113" s="20" t="n">
        <v>5.2</v>
      </c>
      <c r="V113" s="20" t="n">
        <v>2.95</v>
      </c>
      <c r="W113" s="20" t="n">
        <v>3.983</v>
      </c>
      <c r="X113" s="20" t="n">
        <v>5.2</v>
      </c>
    </row>
    <row r="114">
      <c r="A114" s="18" t="inlineStr">
        <is>
          <t>보험금 수익</t>
        </is>
      </c>
      <c r="C114" s="20" t="n">
        <v>16.137</v>
      </c>
      <c r="D114" s="20" t="n">
        <v>2.827</v>
      </c>
      <c r="E114" s="20" t="n">
        <v>0.07000000000000001</v>
      </c>
      <c r="F114" s="20" t="n">
        <v>1.58</v>
      </c>
      <c r="G114" s="20" t="n">
        <v>1.89</v>
      </c>
      <c r="H114" s="20" t="n">
        <v>0.906</v>
      </c>
      <c r="I114" s="20" t="n">
        <v>100.555</v>
      </c>
      <c r="J114" s="20" t="n">
        <v>34.95</v>
      </c>
      <c r="K114" s="20" t="n">
        <v>0.104</v>
      </c>
      <c r="L114" s="20" t="n">
        <v>0.728</v>
      </c>
      <c r="M114" s="20" t="n">
        <v>0.29</v>
      </c>
      <c r="N114" s="20" t="n">
        <v>4.96</v>
      </c>
      <c r="T114" s="20" t="n">
        <v>4.126</v>
      </c>
      <c r="U114" s="20" t="n">
        <v>11.045</v>
      </c>
      <c r="V114" s="20" t="n">
        <v>2.827</v>
      </c>
      <c r="W114" s="20" t="n">
        <v>0.906</v>
      </c>
      <c r="X114" s="20" t="n">
        <v>0.728</v>
      </c>
    </row>
    <row r="115">
      <c r="A115" s="18" t="inlineStr">
        <is>
          <t>사무수수료 수익</t>
        </is>
      </c>
      <c r="C115" s="20" t="n">
        <v>13.17</v>
      </c>
      <c r="D115" s="20" t="n">
        <v>13.775</v>
      </c>
      <c r="E115" s="20" t="n">
        <v>13.82</v>
      </c>
      <c r="F115" s="20" t="n">
        <v>16.968</v>
      </c>
      <c r="G115" s="20" t="n">
        <v>18.569</v>
      </c>
      <c r="H115" s="20" t="n">
        <v>21.907</v>
      </c>
      <c r="I115" s="20" t="n">
        <v>21.305</v>
      </c>
      <c r="J115" s="20" t="n">
        <v>22.634</v>
      </c>
      <c r="K115" s="20" t="n">
        <v>22.92</v>
      </c>
      <c r="L115" s="20" t="n">
        <v>24.421</v>
      </c>
      <c r="M115" s="20" t="n">
        <v>25.324</v>
      </c>
      <c r="N115" s="20" t="n">
        <v>23.835</v>
      </c>
      <c r="U115" s="20" t="n">
        <v>14.225</v>
      </c>
      <c r="V115" s="20" t="n">
        <v>13.775</v>
      </c>
      <c r="W115" s="20" t="n">
        <v>21.907</v>
      </c>
      <c r="X115" s="20" t="n">
        <v>24.421</v>
      </c>
    </row>
    <row r="116">
      <c r="A116" s="18" t="inlineStr">
        <is>
          <t>기타</t>
        </is>
      </c>
      <c r="C116" s="20" t="n">
        <v>18.938</v>
      </c>
      <c r="D116" s="20" t="n">
        <v>17.114</v>
      </c>
      <c r="E116" s="20" t="n">
        <v>12.052</v>
      </c>
      <c r="F116" s="20" t="n">
        <v>10.698</v>
      </c>
      <c r="G116" s="20" t="n">
        <v>10.51</v>
      </c>
      <c r="H116" s="20" t="n">
        <v>14.967</v>
      </c>
      <c r="I116" s="20" t="n">
        <v>39.25</v>
      </c>
      <c r="J116" s="20" t="n">
        <v>10.111</v>
      </c>
      <c r="K116" s="20" t="n">
        <v>21.432</v>
      </c>
      <c r="L116" s="20" t="n">
        <v>31.128</v>
      </c>
      <c r="M116" s="20" t="n">
        <v>9.663</v>
      </c>
      <c r="N116" s="20" t="n">
        <v>16.376</v>
      </c>
      <c r="T116" s="20" t="n">
        <v>33.874</v>
      </c>
      <c r="U116" s="20" t="n">
        <v>12.785</v>
      </c>
      <c r="V116" s="20" t="n">
        <v>17.114</v>
      </c>
      <c r="W116" s="20" t="n">
        <v>14.967</v>
      </c>
      <c r="X116" s="20" t="n">
        <v>31.128</v>
      </c>
    </row>
    <row r="117">
      <c r="A117" s="18" t="inlineStr">
        <is>
          <t>영업외수익 합계</t>
        </is>
      </c>
      <c r="C117" s="20" t="n">
        <v>77.371</v>
      </c>
      <c r="D117" s="20" t="n">
        <v>103.009</v>
      </c>
      <c r="E117" s="20" t="n">
        <v>60.753</v>
      </c>
      <c r="F117" s="20" t="n">
        <v>54.671</v>
      </c>
      <c r="G117" s="20" t="n">
        <v>74.102</v>
      </c>
      <c r="H117" s="20" t="n">
        <v>142.083</v>
      </c>
      <c r="I117" s="20" t="n">
        <v>205.681</v>
      </c>
      <c r="J117" s="20" t="n">
        <v>118.906</v>
      </c>
      <c r="K117" s="20" t="n">
        <v>82.858</v>
      </c>
      <c r="L117" s="20" t="n">
        <v>184.212</v>
      </c>
      <c r="M117" s="20" t="n">
        <v>108.544</v>
      </c>
      <c r="N117" s="20" t="n">
        <v>114.883</v>
      </c>
      <c r="T117" s="20" t="n">
        <v>108.762</v>
      </c>
      <c r="U117" s="20" t="n">
        <v>82.313</v>
      </c>
      <c r="V117" s="20" t="n">
        <v>103.009</v>
      </c>
      <c r="W117" s="20" t="n">
        <v>142.083</v>
      </c>
      <c r="X117" s="20" t="n">
        <v>184.212</v>
      </c>
    </row>
    <row r="118">
      <c r="A118" s="43" t="inlineStr">
        <is>
          <t>YoY</t>
        </is>
      </c>
      <c r="B118" s="3" t="inlineStr">
        <is>
          <t>전년 같은 분기·전년 대비</t>
        </is>
      </c>
      <c r="G118" s="15">
        <f>IF(OR(G117="",C117=""),"",IF(G117*C117&lt;=0,"",IFERROR(G117/C117-1,"")))</f>
        <v/>
      </c>
      <c r="H118" s="15">
        <f>IF(OR(H117="",D117=""),"",IF(H117*D117&lt;=0,"",IFERROR(H117/D117-1,"")))</f>
        <v/>
      </c>
      <c r="I118" s="15">
        <f>IF(OR(I117="",E117=""),"",IF(I117*E117&lt;=0,"",IFERROR(I117/E117-1,"")))</f>
        <v/>
      </c>
      <c r="J118" s="15">
        <f>IF(OR(J117="",F117=""),"",IF(J117*F117&lt;=0,"",IFERROR(J117/F117-1,"")))</f>
        <v/>
      </c>
      <c r="K118" s="15">
        <f>IF(OR(K117="",G117=""),"",IF(K117*G117&lt;=0,"",IFERROR(K117/G117-1,"")))</f>
        <v/>
      </c>
      <c r="L118" s="15">
        <f>IF(OR(L117="",H117=""),"",IF(L117*H117&lt;=0,"",IFERROR(L117/H117-1,"")))</f>
        <v/>
      </c>
      <c r="M118" s="15">
        <f>IF(OR(M117="",I117=""),"",IF(M117*I117&lt;=0,"",IFERROR(M117/I117-1,"")))</f>
        <v/>
      </c>
      <c r="N118" s="15">
        <f>IF(OR(N117="",J117=""),"",IF(N117*J117&lt;=0,"",IFERROR(N117/J117-1,"")))</f>
        <v/>
      </c>
      <c r="T118" s="15">
        <f>IF(OR(T117="",S117=""),"",IF(T117*S117&lt;=0,"",IFERROR(T117/S117-1,"")))</f>
        <v/>
      </c>
      <c r="U118" s="15">
        <f>IF(OR(U117="",T117=""),"",IF(U117*T117&lt;=0,"",IFERROR(U117/T117-1,"")))</f>
        <v/>
      </c>
      <c r="V118" s="15">
        <f>IF(OR(V117="",U117=""),"",IF(V117*U117&lt;=0,"",IFERROR(V117/U117-1,"")))</f>
        <v/>
      </c>
      <c r="W118" s="15">
        <f>IF(OR(W117="",V117=""),"",IF(W117*V117&lt;=0,"",IFERROR(W117/V117-1,"")))</f>
        <v/>
      </c>
      <c r="X118" s="15">
        <f>IF(OR(X117="",W117=""),"",IF(X117*W117&lt;=0,"",IFERROR(X117/W117-1,"")))</f>
        <v/>
      </c>
    </row>
    <row r="119">
      <c r="A119" s="18" t="inlineStr">
        <is>
          <t>이자비용</t>
        </is>
      </c>
      <c r="C119" s="20" t="n">
        <v>133.736</v>
      </c>
      <c r="D119" s="20" t="n">
        <v>150.466</v>
      </c>
      <c r="E119" s="20" t="n">
        <v>181.426</v>
      </c>
      <c r="F119" s="20" t="n">
        <v>196.197</v>
      </c>
      <c r="G119" s="20" t="n">
        <v>249.609</v>
      </c>
      <c r="H119" s="20" t="n">
        <v>369.079</v>
      </c>
      <c r="I119" s="20" t="n">
        <v>516.307</v>
      </c>
      <c r="J119" s="20" t="n">
        <v>546.451</v>
      </c>
      <c r="K119" s="20" t="n">
        <v>583.428</v>
      </c>
      <c r="L119" s="20" t="n">
        <v>699.093</v>
      </c>
      <c r="M119" s="20" t="n">
        <v>830.207</v>
      </c>
      <c r="N119" s="20" t="n">
        <v>902.129</v>
      </c>
      <c r="T119" s="20" t="n">
        <v>77.57899999999999</v>
      </c>
      <c r="U119" s="20" t="n">
        <v>101.52</v>
      </c>
      <c r="V119" s="20" t="n">
        <v>150.466</v>
      </c>
      <c r="W119" s="20" t="n">
        <v>369.079</v>
      </c>
      <c r="X119" s="20" t="n">
        <v>699.093</v>
      </c>
    </row>
    <row r="120">
      <c r="A120" s="18" t="inlineStr">
        <is>
          <t>기타</t>
        </is>
      </c>
      <c r="C120" s="20" t="n">
        <v>0.216</v>
      </c>
      <c r="D120" s="20" t="n">
        <v>2.222</v>
      </c>
      <c r="E120" s="20" t="n">
        <v>1.184</v>
      </c>
      <c r="F120" s="20" t="n">
        <v>0.473</v>
      </c>
      <c r="G120" s="20" t="n">
        <v>0.473</v>
      </c>
      <c r="H120" s="20" t="n">
        <v>11.819</v>
      </c>
      <c r="I120" s="20" t="n">
        <v>1.261</v>
      </c>
      <c r="J120" s="20" t="n">
        <v>9.353999999999999</v>
      </c>
      <c r="K120" s="20" t="n">
        <v>339.107</v>
      </c>
      <c r="L120" s="20" t="n">
        <v>-332.049</v>
      </c>
      <c r="M120" s="20" t="n">
        <v>10.718</v>
      </c>
      <c r="N120" s="20" t="n">
        <v>6.211</v>
      </c>
      <c r="T120" s="20" t="n">
        <v>0.552</v>
      </c>
      <c r="U120" s="20" t="n">
        <v>0.542</v>
      </c>
      <c r="V120" s="20" t="n">
        <v>2.222</v>
      </c>
      <c r="W120" s="20" t="n">
        <v>11.819</v>
      </c>
      <c r="X120" s="20" t="n">
        <v>-332.049</v>
      </c>
    </row>
    <row r="121">
      <c r="A121" s="18" t="inlineStr">
        <is>
          <t>영업외비용 합계</t>
        </is>
      </c>
      <c r="C121" s="20" t="n">
        <v>133.953</v>
      </c>
      <c r="D121" s="20" t="n">
        <v>230.687</v>
      </c>
      <c r="E121" s="20" t="n">
        <v>182.61</v>
      </c>
      <c r="F121" s="20" t="n">
        <v>196.67</v>
      </c>
      <c r="G121" s="20" t="n">
        <v>250.083</v>
      </c>
      <c r="H121" s="20" t="n">
        <v>501.793</v>
      </c>
      <c r="I121" s="20" t="n">
        <v>517.569</v>
      </c>
      <c r="J121" s="20" t="n">
        <v>555.804</v>
      </c>
      <c r="K121" s="20" t="n">
        <v>922.5359999999999</v>
      </c>
      <c r="L121" s="20" t="n">
        <v>703.11</v>
      </c>
      <c r="M121" s="20" t="n">
        <v>840.925</v>
      </c>
      <c r="N121" s="20" t="n">
        <v>908.34</v>
      </c>
      <c r="T121" s="20" t="n">
        <v>78.13</v>
      </c>
      <c r="U121" s="20" t="n">
        <v>102.062</v>
      </c>
      <c r="V121" s="20" t="n">
        <v>230.687</v>
      </c>
      <c r="W121" s="20" t="n">
        <v>501.793</v>
      </c>
      <c r="X121" s="20" t="n">
        <v>703.11</v>
      </c>
    </row>
    <row r="122">
      <c r="A122" s="43" t="inlineStr">
        <is>
          <t>YoY</t>
        </is>
      </c>
      <c r="B122" s="3" t="inlineStr">
        <is>
          <t>전년 같은 분기·전년 대비</t>
        </is>
      </c>
      <c r="G122" s="15">
        <f>IF(OR(G121="",C121=""),"",IF(G121*C121&lt;=0,"",IFERROR(G121/C121-1,"")))</f>
        <v/>
      </c>
      <c r="H122" s="15">
        <f>IF(OR(H121="",D121=""),"",IF(H121*D121&lt;=0,"",IFERROR(H121/D121-1,"")))</f>
        <v/>
      </c>
      <c r="I122" s="15">
        <f>IF(OR(I121="",E121=""),"",IF(I121*E121&lt;=0,"",IFERROR(I121/E121-1,"")))</f>
        <v/>
      </c>
      <c r="J122" s="15">
        <f>IF(OR(J121="",F121=""),"",IF(J121*F121&lt;=0,"",IFERROR(J121/F121-1,"")))</f>
        <v/>
      </c>
      <c r="K122" s="15">
        <f>IF(OR(K121="",G121=""),"",IF(K121*G121&lt;=0,"",IFERROR(K121/G121-1,"")))</f>
        <v/>
      </c>
      <c r="L122" s="15">
        <f>IF(OR(L121="",H121=""),"",IF(L121*H121&lt;=0,"",IFERROR(L121/H121-1,"")))</f>
        <v/>
      </c>
      <c r="M122" s="15">
        <f>IF(OR(M121="",I121=""),"",IF(M121*I121&lt;=0,"",IFERROR(M121/I121-1,"")))</f>
        <v/>
      </c>
      <c r="N122" s="15">
        <f>IF(OR(N121="",J121=""),"",IF(N121*J121&lt;=0,"",IFERROR(N121/J121-1,"")))</f>
        <v/>
      </c>
      <c r="T122" s="15">
        <f>IF(OR(T121="",S121=""),"",IF(T121*S121&lt;=0,"",IFERROR(T121/S121-1,"")))</f>
        <v/>
      </c>
      <c r="U122" s="15">
        <f>IF(OR(U121="",T121=""),"",IF(U121*T121&lt;=0,"",IFERROR(U121/T121-1,"")))</f>
        <v/>
      </c>
      <c r="V122" s="15">
        <f>IF(OR(V121="",U121=""),"",IF(V121*U121&lt;=0,"",IFERROR(V121/U121-1,"")))</f>
        <v/>
      </c>
      <c r="W122" s="15">
        <f>IF(OR(W121="",V121=""),"",IF(W121*V121&lt;=0,"",IFERROR(W121/V121-1,"")))</f>
        <v/>
      </c>
      <c r="X122" s="15">
        <f>IF(OR(X121="",W121=""),"",IF(X121*W121&lt;=0,"",IFERROR(X121/W121-1,"")))</f>
        <v/>
      </c>
    </row>
    <row r="123">
      <c r="A123" s="9" t="inlineStr">
        <is>
          <t>경상이익</t>
        </is>
      </c>
      <c r="C123" s="12" t="n">
        <v>2508.05</v>
      </c>
      <c r="D123" s="12" t="n">
        <v>3066.631</v>
      </c>
      <c r="E123" s="12" t="n">
        <v>8226.369000000001</v>
      </c>
      <c r="F123" s="12" t="n">
        <v>1683.5</v>
      </c>
      <c r="G123" s="12" t="n">
        <v>2252.537</v>
      </c>
      <c r="H123" s="12" t="n">
        <v>1586.273</v>
      </c>
      <c r="I123" s="12" t="n">
        <v>5077.56</v>
      </c>
      <c r="J123" s="12" t="n">
        <v>4592.286</v>
      </c>
      <c r="K123" s="12" t="n">
        <v>2878.971</v>
      </c>
      <c r="L123" s="12" t="n">
        <v>3846.434</v>
      </c>
      <c r="M123" s="12" t="n">
        <v>5878.505</v>
      </c>
      <c r="N123" s="12" t="n">
        <v>6985.131</v>
      </c>
      <c r="T123" s="12" t="n">
        <v>5457.699</v>
      </c>
      <c r="U123" s="12" t="n">
        <v>1823.633</v>
      </c>
      <c r="V123" s="12" t="n">
        <v>3066.631</v>
      </c>
      <c r="W123" s="12" t="n">
        <v>1586.273</v>
      </c>
      <c r="X123" s="12" t="n">
        <v>3846.434</v>
      </c>
    </row>
    <row r="124">
      <c r="A124" s="43" t="inlineStr">
        <is>
          <t>YoY</t>
        </is>
      </c>
      <c r="B124" s="3" t="inlineStr">
        <is>
          <t>전년 같은 분기·전년 대비</t>
        </is>
      </c>
      <c r="G124" s="15">
        <f>IF(OR(G123="",C123=""),"",IF(C123&lt;=0,"",IFERROR(G123/C123-1,"")))</f>
        <v/>
      </c>
      <c r="H124" s="15">
        <f>IF(OR(H123="",D123=""),"",IF(D123&lt;=0,"",IFERROR(H123/D123-1,"")))</f>
        <v/>
      </c>
      <c r="I124" s="15">
        <f>IF(OR(I123="",E123=""),"",IF(E123&lt;=0,"",IFERROR(I123/E123-1,"")))</f>
        <v/>
      </c>
      <c r="J124" s="15">
        <f>IF(OR(J123="",F123=""),"",IF(F123&lt;=0,"",IFERROR(J123/F123-1,"")))</f>
        <v/>
      </c>
      <c r="K124" s="15">
        <f>IF(OR(K123="",G123=""),"",IF(G123&lt;=0,"",IFERROR(K123/G123-1,"")))</f>
        <v/>
      </c>
      <c r="L124" s="15">
        <f>IF(OR(L123="",H123=""),"",IF(H123&lt;=0,"",IFERROR(L123/H123-1,"")))</f>
        <v/>
      </c>
      <c r="M124" s="15">
        <f>IF(OR(M123="",I123=""),"",IF(I123&lt;=0,"",IFERROR(M123/I123-1,"")))</f>
        <v/>
      </c>
      <c r="N124" s="15">
        <f>IF(OR(N123="",J123=""),"",IF(J123&lt;=0,"",IFERROR(N123/J123-1,"")))</f>
        <v/>
      </c>
      <c r="T124" s="15">
        <f>IF(OR(T123="",S123=""),"",IF(S123&lt;=0,"",IFERROR(T123/S123-1,"")))</f>
        <v/>
      </c>
      <c r="U124" s="15">
        <f>IF(OR(U123="",T123=""),"",IF(T123&lt;=0,"",IFERROR(U123/T123-1,"")))</f>
        <v/>
      </c>
      <c r="V124" s="15">
        <f>IF(OR(V123="",U123=""),"",IF(U123&lt;=0,"",IFERROR(V123/U123-1,"")))</f>
        <v/>
      </c>
      <c r="W124" s="15">
        <f>IF(OR(W123="",V123=""),"",IF(V123&lt;=0,"",IFERROR(W123/V123-1,"")))</f>
        <v/>
      </c>
      <c r="X124" s="15">
        <f>IF(OR(X123="",W123=""),"",IF(W123&lt;=0,"",IFERROR(X123/W123-1,"")))</f>
        <v/>
      </c>
    </row>
    <row r="125">
      <c r="A125" s="18" t="inlineStr">
        <is>
          <t>보험금 수익</t>
        </is>
      </c>
      <c r="C125" s="20" t="n">
        <v>0</v>
      </c>
      <c r="D125" s="20" t="n">
        <v>0</v>
      </c>
      <c r="T125" s="20" t="n">
        <v>0</v>
      </c>
      <c r="U125" s="20" t="n">
        <v>0</v>
      </c>
      <c r="V125" s="20" t="n">
        <v>0</v>
      </c>
    </row>
    <row r="126">
      <c r="A126" s="18" t="inlineStr">
        <is>
          <t>특별이익 합계</t>
        </is>
      </c>
      <c r="C126" s="20" t="n">
        <v>0</v>
      </c>
      <c r="D126" s="20" t="n">
        <v>0</v>
      </c>
      <c r="T126" s="20" t="n">
        <v>0</v>
      </c>
      <c r="U126" s="20" t="n">
        <v>0</v>
      </c>
      <c r="V126" s="20" t="n">
        <v>0</v>
      </c>
    </row>
    <row r="127">
      <c r="A127" s="43" t="inlineStr">
        <is>
          <t>YoY</t>
        </is>
      </c>
      <c r="B127" s="3" t="inlineStr">
        <is>
          <t>전년 같은 분기·전년 대비</t>
        </is>
      </c>
      <c r="T127" s="15">
        <f>IF(OR(T126="",S126=""),"",IF(T126*S126&lt;=0,"",IFERROR(T126/S126-1,"")))</f>
        <v/>
      </c>
      <c r="U127" s="15">
        <f>IF(OR(U126="",T126=""),"",IF(U126*T126&lt;=0,"",IFERROR(U126/T126-1,"")))</f>
        <v/>
      </c>
      <c r="V127" s="15">
        <f>IF(OR(V126="",U126=""),"",IF(V126*U126&lt;=0,"",IFERROR(V126/U126-1,"")))</f>
        <v/>
      </c>
    </row>
    <row r="128">
      <c r="A128" s="18" t="inlineStr">
        <is>
          <t>고정자산 제각손실</t>
        </is>
      </c>
      <c r="C128" s="20" t="n">
        <v>0</v>
      </c>
      <c r="D128" s="20" t="n">
        <v>1.608</v>
      </c>
      <c r="E128" s="20" t="n">
        <v>0</v>
      </c>
      <c r="F128" s="20" t="n">
        <v>0</v>
      </c>
      <c r="G128" s="20" t="n">
        <v>0</v>
      </c>
      <c r="H128" s="20" t="n">
        <v>0</v>
      </c>
      <c r="I128" s="20" t="n">
        <v>1.212</v>
      </c>
      <c r="J128" s="20" t="n">
        <v>0</v>
      </c>
      <c r="K128" s="20" t="n">
        <v>0</v>
      </c>
      <c r="L128" s="20" t="n">
        <v>1.502</v>
      </c>
      <c r="M128" s="20" t="n">
        <v>0</v>
      </c>
      <c r="N128" s="20" t="n">
        <v>2.254</v>
      </c>
      <c r="T128" s="20" t="n">
        <v>0</v>
      </c>
      <c r="U128" s="20" t="n">
        <v>5.1</v>
      </c>
      <c r="V128" s="20" t="n">
        <v>1.608</v>
      </c>
      <c r="W128" s="20" t="n">
        <v>0</v>
      </c>
      <c r="X128" s="20" t="n">
        <v>1.502</v>
      </c>
    </row>
    <row r="129">
      <c r="A129" s="18" t="inlineStr">
        <is>
          <t>고정자산 압축손실</t>
        </is>
      </c>
      <c r="C129" s="20" t="n">
        <v>0</v>
      </c>
      <c r="D129" s="20" t="n">
        <v>0</v>
      </c>
      <c r="T129" s="20" t="n">
        <v>0</v>
      </c>
      <c r="U129" s="20" t="n">
        <v>0</v>
      </c>
      <c r="V129" s="20" t="n">
        <v>0</v>
      </c>
    </row>
    <row r="130">
      <c r="A130" s="18" t="inlineStr">
        <is>
          <t>재해 손실</t>
        </is>
      </c>
      <c r="C130" s="20" t="n">
        <v>0</v>
      </c>
      <c r="D130" s="20" t="n">
        <v>0</v>
      </c>
      <c r="T130" s="20" t="n">
        <v>0</v>
      </c>
      <c r="U130" s="20" t="n">
        <v>0</v>
      </c>
      <c r="V130" s="20" t="n">
        <v>0</v>
      </c>
    </row>
    <row r="131">
      <c r="A131" s="18" t="inlineStr">
        <is>
          <t>특별손실 합계</t>
        </is>
      </c>
      <c r="C131" s="20" t="n">
        <v>0</v>
      </c>
      <c r="D131" s="20" t="n">
        <v>1.608</v>
      </c>
      <c r="E131" s="20" t="n">
        <v>0</v>
      </c>
      <c r="F131" s="20" t="n">
        <v>0</v>
      </c>
      <c r="G131" s="20" t="n">
        <v>0</v>
      </c>
      <c r="H131" s="20" t="n">
        <v>0</v>
      </c>
      <c r="I131" s="20" t="n">
        <v>1.212</v>
      </c>
      <c r="J131" s="20" t="n">
        <v>0</v>
      </c>
      <c r="K131" s="20" t="n">
        <v>0</v>
      </c>
      <c r="L131" s="20" t="n">
        <v>1.502</v>
      </c>
      <c r="M131" s="20" t="n">
        <v>0</v>
      </c>
      <c r="N131" s="20" t="n">
        <v>64.663</v>
      </c>
      <c r="T131" s="20" t="n">
        <v>0</v>
      </c>
      <c r="U131" s="20" t="n">
        <v>5.1</v>
      </c>
      <c r="V131" s="20" t="n">
        <v>1.608</v>
      </c>
      <c r="W131" s="20" t="n">
        <v>0</v>
      </c>
      <c r="X131" s="20" t="n">
        <v>1.502</v>
      </c>
    </row>
    <row r="132">
      <c r="A132" s="43" t="inlineStr">
        <is>
          <t>YoY</t>
        </is>
      </c>
      <c r="B132" s="3" t="inlineStr">
        <is>
          <t>전년 같은 분기·전년 대비</t>
        </is>
      </c>
      <c r="G132" s="15">
        <f>IF(OR(G131="",C131=""),"",IF(G131*C131&lt;=0,"",IFERROR(G131/C131-1,"")))</f>
        <v/>
      </c>
      <c r="H132" s="15">
        <f>IF(OR(H131="",D131=""),"",IF(H131*D131&lt;=0,"",IFERROR(H131/D131-1,"")))</f>
        <v/>
      </c>
      <c r="I132" s="15">
        <f>IF(OR(I131="",E131=""),"",IF(I131*E131&lt;=0,"",IFERROR(I131/E131-1,"")))</f>
        <v/>
      </c>
      <c r="J132" s="15">
        <f>IF(OR(J131="",F131=""),"",IF(J131*F131&lt;=0,"",IFERROR(J131/F131-1,"")))</f>
        <v/>
      </c>
      <c r="K132" s="15">
        <f>IF(OR(K131="",G131=""),"",IF(K131*G131&lt;=0,"",IFERROR(K131/G131-1,"")))</f>
        <v/>
      </c>
      <c r="L132" s="15">
        <f>IF(OR(L131="",H131=""),"",IF(L131*H131&lt;=0,"",IFERROR(L131/H131-1,"")))</f>
        <v/>
      </c>
      <c r="M132" s="15">
        <f>IF(OR(M131="",I131=""),"",IF(M131*I131&lt;=0,"",IFERROR(M131/I131-1,"")))</f>
        <v/>
      </c>
      <c r="N132" s="15">
        <f>IF(OR(N131="",J131=""),"",IF(N131*J131&lt;=0,"",IFERROR(N131/J131-1,"")))</f>
        <v/>
      </c>
      <c r="T132" s="15">
        <f>IF(OR(T131="",S131=""),"",IF(T131*S131&lt;=0,"",IFERROR(T131/S131-1,"")))</f>
        <v/>
      </c>
      <c r="U132" s="15">
        <f>IF(OR(U131="",T131=""),"",IF(U131*T131&lt;=0,"",IFERROR(U131/T131-1,"")))</f>
        <v/>
      </c>
      <c r="V132" s="15">
        <f>IF(OR(V131="",U131=""),"",IF(V131*U131&lt;=0,"",IFERROR(V131/U131-1,"")))</f>
        <v/>
      </c>
      <c r="W132" s="15">
        <f>IF(OR(W131="",V131=""),"",IF(W131*V131&lt;=0,"",IFERROR(W131/V131-1,"")))</f>
        <v/>
      </c>
      <c r="X132" s="15">
        <f>IF(OR(X131="",W131=""),"",IF(X131*W131&lt;=0,"",IFERROR(X131/W131-1,"")))</f>
        <v/>
      </c>
    </row>
    <row r="133">
      <c r="A133" s="9" t="inlineStr">
        <is>
          <t>법인세차감전 순이익</t>
        </is>
      </c>
      <c r="C133" s="12" t="n">
        <v>2508.05</v>
      </c>
      <c r="D133" s="12" t="n">
        <v>3065.024</v>
      </c>
      <c r="E133" s="12" t="n">
        <v>8226.369000000001</v>
      </c>
      <c r="F133" s="12" t="n">
        <v>1683.5</v>
      </c>
      <c r="G133" s="12" t="n">
        <v>2252.537</v>
      </c>
      <c r="H133" s="12" t="n">
        <v>1586.273</v>
      </c>
      <c r="I133" s="12" t="n">
        <v>5076.348</v>
      </c>
      <c r="J133" s="12" t="n">
        <v>4592.286</v>
      </c>
      <c r="K133" s="12" t="n">
        <v>2878.971</v>
      </c>
      <c r="L133" s="12" t="n">
        <v>3844.931</v>
      </c>
      <c r="M133" s="12" t="n">
        <v>5878.505</v>
      </c>
      <c r="N133" s="12" t="n">
        <v>6920.467</v>
      </c>
      <c r="T133" s="12" t="n">
        <v>5457.699</v>
      </c>
      <c r="U133" s="12" t="n">
        <v>1818.533</v>
      </c>
      <c r="V133" s="12" t="n">
        <v>3065.024</v>
      </c>
      <c r="W133" s="12" t="n">
        <v>1586.273</v>
      </c>
      <c r="X133" s="12" t="n">
        <v>3844.931</v>
      </c>
    </row>
    <row r="134">
      <c r="A134" s="43" t="inlineStr">
        <is>
          <t>YoY</t>
        </is>
      </c>
      <c r="B134" s="3" t="inlineStr">
        <is>
          <t>전년 같은 분기·전년 대비</t>
        </is>
      </c>
      <c r="G134" s="15">
        <f>IF(OR(G133="",C133=""),"",IF(C133&lt;=0,"",IFERROR(G133/C133-1,"")))</f>
        <v/>
      </c>
      <c r="H134" s="15">
        <f>IF(OR(H133="",D133=""),"",IF(D133&lt;=0,"",IFERROR(H133/D133-1,"")))</f>
        <v/>
      </c>
      <c r="I134" s="15">
        <f>IF(OR(I133="",E133=""),"",IF(E133&lt;=0,"",IFERROR(I133/E133-1,"")))</f>
        <v/>
      </c>
      <c r="J134" s="15">
        <f>IF(OR(J133="",F133=""),"",IF(F133&lt;=0,"",IFERROR(J133/F133-1,"")))</f>
        <v/>
      </c>
      <c r="K134" s="15">
        <f>IF(OR(K133="",G133=""),"",IF(G133&lt;=0,"",IFERROR(K133/G133-1,"")))</f>
        <v/>
      </c>
      <c r="L134" s="15">
        <f>IF(OR(L133="",H133=""),"",IF(H133&lt;=0,"",IFERROR(L133/H133-1,"")))</f>
        <v/>
      </c>
      <c r="M134" s="15">
        <f>IF(OR(M133="",I133=""),"",IF(I133&lt;=0,"",IFERROR(M133/I133-1,"")))</f>
        <v/>
      </c>
      <c r="N134" s="15">
        <f>IF(OR(N133="",J133=""),"",IF(J133&lt;=0,"",IFERROR(N133/J133-1,"")))</f>
        <v/>
      </c>
      <c r="T134" s="15">
        <f>IF(OR(T133="",S133=""),"",IF(S133&lt;=0,"",IFERROR(T133/S133-1,"")))</f>
        <v/>
      </c>
      <c r="U134" s="15">
        <f>IF(OR(U133="",T133=""),"",IF(T133&lt;=0,"",IFERROR(U133/T133-1,"")))</f>
        <v/>
      </c>
      <c r="V134" s="15">
        <f>IF(OR(V133="",U133=""),"",IF(U133&lt;=0,"",IFERROR(V133/U133-1,"")))</f>
        <v/>
      </c>
      <c r="W134" s="15">
        <f>IF(OR(W133="",V133=""),"",IF(V133&lt;=0,"",IFERROR(W133/V133-1,"")))</f>
        <v/>
      </c>
      <c r="X134" s="15">
        <f>IF(OR(X133="",W133=""),"",IF(W133&lt;=0,"",IFERROR(X133/W133-1,"")))</f>
        <v/>
      </c>
    </row>
    <row r="135">
      <c r="A135" s="18" t="inlineStr">
        <is>
          <t>법인세·주민세·사업세</t>
        </is>
      </c>
      <c r="C135" s="20" t="n">
        <v>976.716</v>
      </c>
      <c r="D135" s="20" t="n">
        <v>796.891</v>
      </c>
      <c r="E135" s="20" t="n">
        <v>3076.905</v>
      </c>
      <c r="F135" s="20" t="n">
        <v>537.588</v>
      </c>
      <c r="G135" s="20" t="n">
        <v>834.84</v>
      </c>
      <c r="H135" s="20" t="n">
        <v>203.644</v>
      </c>
      <c r="I135" s="20" t="n">
        <v>1885.457</v>
      </c>
      <c r="J135" s="20" t="n">
        <v>1614.489</v>
      </c>
      <c r="K135" s="20" t="n">
        <v>1017.157</v>
      </c>
      <c r="L135" s="20" t="n">
        <v>961.938</v>
      </c>
      <c r="M135" s="20" t="n">
        <v>2369.159</v>
      </c>
      <c r="N135" s="20" t="n">
        <v>2522.458</v>
      </c>
      <c r="T135" s="20" t="n">
        <v>2189.435</v>
      </c>
      <c r="U135" s="20" t="n">
        <v>508.845</v>
      </c>
      <c r="V135" s="20" t="n">
        <v>796.891</v>
      </c>
      <c r="W135" s="20" t="n">
        <v>203.644</v>
      </c>
      <c r="X135" s="20" t="n">
        <v>961.938</v>
      </c>
    </row>
    <row r="136">
      <c r="A136" s="18" t="inlineStr">
        <is>
          <t>법인세 조정액</t>
        </is>
      </c>
      <c r="C136" s="20" t="n">
        <v>-29.669</v>
      </c>
      <c r="D136" s="20" t="n">
        <v>-25.982</v>
      </c>
      <c r="E136" s="20" t="n">
        <v>61.171</v>
      </c>
      <c r="F136" s="20" t="n">
        <v>-165.493</v>
      </c>
      <c r="G136" s="20" t="n">
        <v>35.774</v>
      </c>
      <c r="H136" s="20" t="n">
        <v>-166.521</v>
      </c>
      <c r="I136" s="20" t="n">
        <v>181.883</v>
      </c>
      <c r="J136" s="20" t="n">
        <v>-201.868</v>
      </c>
      <c r="K136" s="20" t="n">
        <v>89.85299999999999</v>
      </c>
      <c r="L136" s="20" t="n">
        <v>-328.207</v>
      </c>
      <c r="M136" s="20" t="n">
        <v>122.44</v>
      </c>
      <c r="N136" s="20" t="n">
        <v>-211.88</v>
      </c>
      <c r="T136" s="20" t="n">
        <v>-227.775</v>
      </c>
      <c r="U136" s="20" t="n">
        <v>-87.154</v>
      </c>
      <c r="V136" s="20" t="n">
        <v>-25.982</v>
      </c>
      <c r="W136" s="20" t="n">
        <v>-166.521</v>
      </c>
      <c r="X136" s="20" t="n">
        <v>-328.207</v>
      </c>
    </row>
    <row r="137">
      <c r="A137" s="18" t="inlineStr">
        <is>
          <t>법인세 등 합계</t>
        </is>
      </c>
      <c r="C137" s="20" t="n">
        <v>947.047</v>
      </c>
      <c r="D137" s="20" t="n">
        <v>770.909</v>
      </c>
      <c r="E137" s="20" t="n">
        <v>3138.076</v>
      </c>
      <c r="F137" s="20" t="n">
        <v>372.094</v>
      </c>
      <c r="G137" s="20" t="n">
        <v>870.615</v>
      </c>
      <c r="H137" s="20" t="n">
        <v>37.122</v>
      </c>
      <c r="I137" s="20" t="n">
        <v>2067.341</v>
      </c>
      <c r="J137" s="20" t="n">
        <v>1412.62</v>
      </c>
      <c r="K137" s="20" t="n">
        <v>1107.01</v>
      </c>
      <c r="L137" s="20" t="n">
        <v>633.731</v>
      </c>
      <c r="M137" s="20" t="n">
        <v>2491.6</v>
      </c>
      <c r="N137" s="20" t="n">
        <v>2310.577</v>
      </c>
      <c r="T137" s="20" t="n">
        <v>1961.659</v>
      </c>
      <c r="U137" s="20" t="n">
        <v>421.69</v>
      </c>
      <c r="V137" s="20" t="n">
        <v>770.909</v>
      </c>
      <c r="W137" s="20" t="n">
        <v>37.122</v>
      </c>
      <c r="X137" s="20" t="n">
        <v>633.731</v>
      </c>
    </row>
    <row r="138">
      <c r="A138" s="43" t="inlineStr">
        <is>
          <t>YoY</t>
        </is>
      </c>
      <c r="B138" s="3" t="inlineStr">
        <is>
          <t>전년 같은 분기·전년 대비</t>
        </is>
      </c>
      <c r="G138" s="15">
        <f>IF(OR(G137="",C137=""),"",IF(G137*C137&lt;=0,"",IFERROR(G137/C137-1,"")))</f>
        <v/>
      </c>
      <c r="H138" s="15">
        <f>IF(OR(H137="",D137=""),"",IF(H137*D137&lt;=0,"",IFERROR(H137/D137-1,"")))</f>
        <v/>
      </c>
      <c r="I138" s="15">
        <f>IF(OR(I137="",E137=""),"",IF(I137*E137&lt;=0,"",IFERROR(I137/E137-1,"")))</f>
        <v/>
      </c>
      <c r="J138" s="15">
        <f>IF(OR(J137="",F137=""),"",IF(J137*F137&lt;=0,"",IFERROR(J137/F137-1,"")))</f>
        <v/>
      </c>
      <c r="K138" s="15">
        <f>IF(OR(K137="",G137=""),"",IF(K137*G137&lt;=0,"",IFERROR(K137/G137-1,"")))</f>
        <v/>
      </c>
      <c r="L138" s="15">
        <f>IF(OR(L137="",H137=""),"",IF(L137*H137&lt;=0,"",IFERROR(L137/H137-1,"")))</f>
        <v/>
      </c>
      <c r="M138" s="15">
        <f>IF(OR(M137="",I137=""),"",IF(M137*I137&lt;=0,"",IFERROR(M137/I137-1,"")))</f>
        <v/>
      </c>
      <c r="N138" s="15">
        <f>IF(OR(N137="",J137=""),"",IF(N137*J137&lt;=0,"",IFERROR(N137/J137-1,"")))</f>
        <v/>
      </c>
      <c r="T138" s="15">
        <f>IF(OR(T137="",S137=""),"",IF(T137*S137&lt;=0,"",IFERROR(T137/S137-1,"")))</f>
        <v/>
      </c>
      <c r="U138" s="15">
        <f>IF(OR(U137="",T137=""),"",IF(U137*T137&lt;=0,"",IFERROR(U137/T137-1,"")))</f>
        <v/>
      </c>
      <c r="V138" s="15">
        <f>IF(OR(V137="",U137=""),"",IF(V137*U137&lt;=0,"",IFERROR(V137/U137-1,"")))</f>
        <v/>
      </c>
      <c r="W138" s="15">
        <f>IF(OR(W137="",V137=""),"",IF(W137*V137&lt;=0,"",IFERROR(W137/V137-1,"")))</f>
        <v/>
      </c>
      <c r="X138" s="15">
        <f>IF(OR(X137="",W137=""),"",IF(X137*W137&lt;=0,"",IFERROR(X137/W137-1,"")))</f>
        <v/>
      </c>
    </row>
    <row r="139">
      <c r="A139" s="9" t="inlineStr">
        <is>
          <t>순이익</t>
        </is>
      </c>
      <c r="C139" s="12" t="n">
        <v>1561.003</v>
      </c>
      <c r="D139" s="12" t="n">
        <v>2294.116</v>
      </c>
      <c r="E139" s="12" t="n">
        <v>5088.292</v>
      </c>
      <c r="F139" s="12" t="n">
        <v>1311.407</v>
      </c>
      <c r="G139" s="12" t="n">
        <v>1381.922</v>
      </c>
      <c r="H139" s="12" t="n">
        <v>1549.151</v>
      </c>
      <c r="I139" s="12" t="n">
        <v>3009.006</v>
      </c>
      <c r="J139" s="12" t="n">
        <v>3179.667</v>
      </c>
      <c r="K139" s="12" t="n">
        <v>1771.96</v>
      </c>
      <c r="L139" s="12" t="n">
        <v>3211.201</v>
      </c>
      <c r="M139" s="12" t="n">
        <v>3386.904</v>
      </c>
      <c r="N139" s="12" t="n">
        <v>4609.891</v>
      </c>
      <c r="T139" s="12" t="n">
        <v>3496.039</v>
      </c>
      <c r="U139" s="12" t="n">
        <v>1396.844</v>
      </c>
      <c r="V139" s="12" t="n">
        <v>2294.116</v>
      </c>
      <c r="W139" s="12" t="n">
        <v>1549.151</v>
      </c>
      <c r="X139" s="12" t="n">
        <v>3211.201</v>
      </c>
    </row>
    <row r="140">
      <c r="A140" s="43" t="inlineStr">
        <is>
          <t>YoY</t>
        </is>
      </c>
      <c r="B140" s="3" t="inlineStr">
        <is>
          <t>전년 같은 분기·전년 대비</t>
        </is>
      </c>
      <c r="G140" s="15">
        <f>IF(OR(G139="",C139=""),"",IF(C139&lt;=0,"",IFERROR(G139/C139-1,"")))</f>
        <v/>
      </c>
      <c r="H140" s="15">
        <f>IF(OR(H139="",D139=""),"",IF(D139&lt;=0,"",IFERROR(H139/D139-1,"")))</f>
        <v/>
      </c>
      <c r="I140" s="15">
        <f>IF(OR(I139="",E139=""),"",IF(E139&lt;=0,"",IFERROR(I139/E139-1,"")))</f>
        <v/>
      </c>
      <c r="J140" s="15">
        <f>IF(OR(J139="",F139=""),"",IF(F139&lt;=0,"",IFERROR(J139/F139-1,"")))</f>
        <v/>
      </c>
      <c r="K140" s="15">
        <f>IF(OR(K139="",G139=""),"",IF(G139&lt;=0,"",IFERROR(K139/G139-1,"")))</f>
        <v/>
      </c>
      <c r="L140" s="15">
        <f>IF(OR(L139="",H139=""),"",IF(H139&lt;=0,"",IFERROR(L139/H139-1,"")))</f>
        <v/>
      </c>
      <c r="M140" s="15">
        <f>IF(OR(M139="",I139=""),"",IF(I139&lt;=0,"",IFERROR(M139/I139-1,"")))</f>
        <v/>
      </c>
      <c r="N140" s="15">
        <f>IF(OR(N139="",J139=""),"",IF(J139&lt;=0,"",IFERROR(N139/J139-1,"")))</f>
        <v/>
      </c>
      <c r="T140" s="15">
        <f>IF(OR(T139="",S139=""),"",IF(S139&lt;=0,"",IFERROR(T139/S139-1,"")))</f>
        <v/>
      </c>
      <c r="U140" s="15">
        <f>IF(OR(U139="",T139=""),"",IF(T139&lt;=0,"",IFERROR(U139/T139-1,"")))</f>
        <v/>
      </c>
      <c r="V140" s="15">
        <f>IF(OR(V139="",U139=""),"",IF(U139&lt;=0,"",IFERROR(V139/U139-1,"")))</f>
        <v/>
      </c>
      <c r="W140" s="15">
        <f>IF(OR(W139="",V139=""),"",IF(V139&lt;=0,"",IFERROR(W139/V139-1,"")))</f>
        <v/>
      </c>
      <c r="X140" s="15">
        <f>IF(OR(X139="",W139=""),"",IF(W139&lt;=0,"",IFERROR(X139/W139-1,"")))</f>
        <v/>
      </c>
    </row>
    <row r="141">
      <c r="A141" s="9" t="inlineStr">
        <is>
          <t>지배주주 순이익</t>
        </is>
      </c>
      <c r="C141" s="12" t="n">
        <v>1561.003</v>
      </c>
      <c r="D141" s="12" t="n">
        <v>2294.116</v>
      </c>
      <c r="E141" s="12" t="n">
        <v>5088.292</v>
      </c>
      <c r="F141" s="12" t="n">
        <v>1311.407</v>
      </c>
      <c r="G141" s="12" t="n">
        <v>1381.922</v>
      </c>
      <c r="H141" s="12" t="n">
        <v>1549.151</v>
      </c>
      <c r="I141" s="12" t="n">
        <v>3009.006</v>
      </c>
      <c r="J141" s="12" t="n">
        <v>3179.667</v>
      </c>
      <c r="K141" s="12" t="n">
        <v>1771.96</v>
      </c>
      <c r="L141" s="12" t="n">
        <v>3211.201</v>
      </c>
      <c r="M141" s="12" t="n">
        <v>3386.904</v>
      </c>
      <c r="N141" s="12" t="n">
        <v>4609.891</v>
      </c>
      <c r="T141" s="12" t="n">
        <v>3496.039</v>
      </c>
      <c r="U141" s="12" t="n">
        <v>1396.844</v>
      </c>
      <c r="V141" s="12" t="n">
        <v>2294.116</v>
      </c>
      <c r="W141" s="12" t="n">
        <v>1549.151</v>
      </c>
      <c r="X141" s="12" t="n">
        <v>3211.201</v>
      </c>
    </row>
    <row r="142">
      <c r="A142" s="43" t="inlineStr">
        <is>
          <t>YoY</t>
        </is>
      </c>
      <c r="B142" s="3" t="inlineStr">
        <is>
          <t>전년 같은 분기·전년 대비</t>
        </is>
      </c>
      <c r="G142" s="15">
        <f>IF(OR(G141="",C141=""),"",IF(C141&lt;=0,"",IFERROR(G141/C141-1,"")))</f>
        <v/>
      </c>
      <c r="H142" s="15">
        <f>IF(OR(H141="",D141=""),"",IF(D141&lt;=0,"",IFERROR(H141/D141-1,"")))</f>
        <v/>
      </c>
      <c r="I142" s="15">
        <f>IF(OR(I141="",E141=""),"",IF(E141&lt;=0,"",IFERROR(I141/E141-1,"")))</f>
        <v/>
      </c>
      <c r="J142" s="15">
        <f>IF(OR(J141="",F141=""),"",IF(F141&lt;=0,"",IFERROR(J141/F141-1,"")))</f>
        <v/>
      </c>
      <c r="K142" s="15">
        <f>IF(OR(K141="",G141=""),"",IF(G141&lt;=0,"",IFERROR(K141/G141-1,"")))</f>
        <v/>
      </c>
      <c r="L142" s="15">
        <f>IF(OR(L141="",H141=""),"",IF(H141&lt;=0,"",IFERROR(L141/H141-1,"")))</f>
        <v/>
      </c>
      <c r="M142" s="15">
        <f>IF(OR(M141="",I141=""),"",IF(I141&lt;=0,"",IFERROR(M141/I141-1,"")))</f>
        <v/>
      </c>
      <c r="N142" s="15">
        <f>IF(OR(N141="",J141=""),"",IF(J141&lt;=0,"",IFERROR(N141/J141-1,"")))</f>
        <v/>
      </c>
      <c r="T142" s="15">
        <f>IF(OR(T141="",S141=""),"",IF(S141&lt;=0,"",IFERROR(T141/S141-1,"")))</f>
        <v/>
      </c>
      <c r="U142" s="15">
        <f>IF(OR(U141="",T141=""),"",IF(T141&lt;=0,"",IFERROR(U141/T141-1,"")))</f>
        <v/>
      </c>
      <c r="V142" s="15">
        <f>IF(OR(V141="",U141=""),"",IF(U141&lt;=0,"",IFERROR(V141/U141-1,"")))</f>
        <v/>
      </c>
      <c r="W142" s="15">
        <f>IF(OR(W141="",V141=""),"",IF(V141&lt;=0,"",IFERROR(W141/V141-1,"")))</f>
        <v/>
      </c>
      <c r="X142" s="15">
        <f>IF(OR(X141="",W141=""),"",IF(W141&lt;=0,"",IFERROR(X141/W141-1,"")))</f>
        <v/>
      </c>
    </row>
    <row r="144">
      <c r="A144" s="16" t="inlineStr">
        <is>
          <t>포괄손익 · 전 항목</t>
        </is>
      </c>
      <c r="B144" s="42" t="inlineStr">
        <is>
          <t>분기 = 3개월 단독</t>
        </is>
      </c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</row>
    <row r="145">
      <c r="A145" s="5" t="inlineStr">
        <is>
          <t>항목</t>
        </is>
      </c>
      <c r="B145" s="5" t="inlineStr">
        <is>
          <t>참고</t>
        </is>
      </c>
      <c r="C145" s="5" t="inlineStr">
        <is>
          <t>2024.3Q</t>
        </is>
      </c>
      <c r="D145" s="5" t="inlineStr">
        <is>
          <t>2024.4Q</t>
        </is>
      </c>
      <c r="E145" s="5" t="inlineStr">
        <is>
          <t>2025.1Q</t>
        </is>
      </c>
      <c r="F145" s="5" t="inlineStr">
        <is>
          <t>2025.2Q</t>
        </is>
      </c>
      <c r="G145" s="5" t="inlineStr">
        <is>
          <t>2025.3Q</t>
        </is>
      </c>
      <c r="H145" s="5" t="inlineStr">
        <is>
          <t>2025.4Q</t>
        </is>
      </c>
      <c r="I145" s="5" t="inlineStr">
        <is>
          <t>2026.1Q</t>
        </is>
      </c>
      <c r="J145" s="5" t="inlineStr">
        <is>
          <t>2026.2Q</t>
        </is>
      </c>
      <c r="K145" s="5" t="inlineStr">
        <is>
          <t>2026.3Q</t>
        </is>
      </c>
      <c r="L145" s="5" t="inlineStr">
        <is>
          <t>2026.4Q</t>
        </is>
      </c>
      <c r="M145" s="5" t="inlineStr">
        <is>
          <t>2027.1Q</t>
        </is>
      </c>
      <c r="N145" s="5" t="inlineStr">
        <is>
          <t>2027.2Q</t>
        </is>
      </c>
      <c r="O145" s="5" t="inlineStr">
        <is>
          <t>2017</t>
        </is>
      </c>
      <c r="P145" s="5" t="inlineStr">
        <is>
          <t>2018</t>
        </is>
      </c>
      <c r="Q145" s="5" t="inlineStr">
        <is>
          <t>2019</t>
        </is>
      </c>
      <c r="R145" s="5" t="inlineStr">
        <is>
          <t>2020</t>
        </is>
      </c>
      <c r="S145" s="5" t="inlineStr">
        <is>
          <t>2021</t>
        </is>
      </c>
      <c r="T145" s="5" t="inlineStr">
        <is>
          <t>2022</t>
        </is>
      </c>
      <c r="U145" s="5" t="inlineStr">
        <is>
          <t>2023</t>
        </is>
      </c>
      <c r="V145" s="5" t="inlineStr">
        <is>
          <t>2024</t>
        </is>
      </c>
      <c r="W145" s="5" t="inlineStr">
        <is>
          <t>2025</t>
        </is>
      </c>
      <c r="X145" s="5" t="inlineStr">
        <is>
          <t>2026</t>
        </is>
      </c>
      <c r="Y145" s="5" t="inlineStr">
        <is>
          <t>2027(MW)</t>
        </is>
      </c>
      <c r="Z145" s="5" t="inlineStr">
        <is>
          <t>2028(MW)</t>
        </is>
      </c>
      <c r="AA145" s="5" t="inlineStr">
        <is>
          <t>2029(MW)</t>
        </is>
      </c>
      <c r="AB145" s="5" t="inlineStr">
        <is>
          <t>2030(MW)</t>
        </is>
      </c>
      <c r="AC145" s="5" t="inlineStr">
        <is>
          <t>2031(MW)</t>
        </is>
      </c>
    </row>
    <row r="146">
      <c r="A146" s="9" t="inlineStr">
        <is>
          <t>순이익</t>
        </is>
      </c>
      <c r="C146" s="12" t="n">
        <v>1561.003</v>
      </c>
      <c r="D146" s="12" t="n">
        <v>2294.116</v>
      </c>
      <c r="E146" s="12" t="n">
        <v>5088.292</v>
      </c>
      <c r="F146" s="12" t="n">
        <v>1311.407</v>
      </c>
      <c r="G146" s="12" t="n">
        <v>1381.922</v>
      </c>
      <c r="H146" s="12" t="n">
        <v>1549.151</v>
      </c>
      <c r="I146" s="12" t="n">
        <v>3009.006</v>
      </c>
      <c r="J146" s="12" t="n">
        <v>3179.667</v>
      </c>
      <c r="K146" s="12" t="n">
        <v>1771.96</v>
      </c>
      <c r="L146" s="12" t="n">
        <v>3211.201</v>
      </c>
      <c r="M146" s="12" t="n">
        <v>3386.904</v>
      </c>
      <c r="N146" s="12" t="n">
        <v>4609.891</v>
      </c>
      <c r="T146" s="12" t="n">
        <v>3496.039</v>
      </c>
      <c r="U146" s="12" t="n">
        <v>1396.844</v>
      </c>
      <c r="V146" s="12" t="n">
        <v>2294.116</v>
      </c>
      <c r="W146" s="12" t="n">
        <v>1549.151</v>
      </c>
      <c r="X146" s="12" t="n">
        <v>3211.201</v>
      </c>
    </row>
    <row r="147">
      <c r="A147" s="18" t="inlineStr">
        <is>
          <t>기타유가증권 평가차액</t>
        </is>
      </c>
      <c r="C147" s="20" t="n">
        <v>-6.965</v>
      </c>
      <c r="D147" s="20" t="n">
        <v>35.286</v>
      </c>
      <c r="E147" s="20" t="n">
        <v>-17.346</v>
      </c>
      <c r="F147" s="20" t="n">
        <v>-44.822</v>
      </c>
      <c r="G147" s="20" t="n">
        <v>22.733</v>
      </c>
      <c r="H147" s="20" t="n">
        <v>-3.033</v>
      </c>
      <c r="I147" s="20" t="n">
        <v>10.319</v>
      </c>
      <c r="J147" s="20" t="n">
        <v>46.968</v>
      </c>
      <c r="K147" s="20" t="n">
        <v>37.464</v>
      </c>
      <c r="L147" s="20" t="n">
        <v>-13.682</v>
      </c>
      <c r="M147" s="20" t="n">
        <v>44.302</v>
      </c>
      <c r="N147" s="20" t="n">
        <v>22.969</v>
      </c>
      <c r="T147" s="20" t="n">
        <v>5.377</v>
      </c>
      <c r="U147" s="20" t="n">
        <v>10.985</v>
      </c>
      <c r="V147" s="20" t="n">
        <v>35.286</v>
      </c>
      <c r="W147" s="20" t="n">
        <v>-3.033</v>
      </c>
      <c r="X147" s="20" t="n">
        <v>-13.682</v>
      </c>
    </row>
    <row r="148">
      <c r="A148" s="18" t="inlineStr">
        <is>
          <t>기타포괄손익 합계</t>
        </is>
      </c>
      <c r="C148" s="20" t="n">
        <v>-6.965</v>
      </c>
      <c r="D148" s="20" t="n">
        <v>35.286</v>
      </c>
      <c r="E148" s="20" t="n">
        <v>-17.346</v>
      </c>
      <c r="F148" s="20" t="n">
        <v>-44.822</v>
      </c>
      <c r="G148" s="20" t="n">
        <v>22.733</v>
      </c>
      <c r="H148" s="20" t="n">
        <v>-3.033</v>
      </c>
      <c r="I148" s="20" t="n">
        <v>10.319</v>
      </c>
      <c r="J148" s="20" t="n">
        <v>46.968</v>
      </c>
      <c r="K148" s="20" t="n">
        <v>37.464</v>
      </c>
      <c r="L148" s="20" t="n">
        <v>-13.682</v>
      </c>
      <c r="M148" s="20" t="n">
        <v>44.302</v>
      </c>
      <c r="N148" s="20" t="n">
        <v>22.969</v>
      </c>
      <c r="T148" s="20" t="n">
        <v>5.377</v>
      </c>
      <c r="U148" s="20" t="n">
        <v>10.985</v>
      </c>
      <c r="V148" s="20" t="n">
        <v>35.286</v>
      </c>
      <c r="W148" s="20" t="n">
        <v>-3.033</v>
      </c>
      <c r="X148" s="20" t="n">
        <v>-13.682</v>
      </c>
    </row>
    <row r="149">
      <c r="A149" s="9" t="inlineStr">
        <is>
          <t>포괄이익</t>
        </is>
      </c>
      <c r="C149" s="12" t="n">
        <v>1554.037</v>
      </c>
      <c r="D149" s="12" t="n">
        <v>2329.403</v>
      </c>
      <c r="E149" s="12" t="n">
        <v>5070.946</v>
      </c>
      <c r="F149" s="12" t="n">
        <v>1266.584</v>
      </c>
      <c r="G149" s="12" t="n">
        <v>1404.655</v>
      </c>
      <c r="H149" s="12" t="n">
        <v>1546.118</v>
      </c>
      <c r="I149" s="12" t="n">
        <v>3019.326</v>
      </c>
      <c r="J149" s="12" t="n">
        <v>3226.634</v>
      </c>
      <c r="K149" s="12" t="n">
        <v>1809.424</v>
      </c>
      <c r="L149" s="12" t="n">
        <v>3197.519</v>
      </c>
      <c r="M149" s="12" t="n">
        <v>3431.206</v>
      </c>
      <c r="N149" s="12" t="n">
        <v>4632.86</v>
      </c>
      <c r="T149" s="12" t="n">
        <v>3501.417</v>
      </c>
      <c r="U149" s="12" t="n">
        <v>1407.828</v>
      </c>
      <c r="V149" s="12" t="n">
        <v>2329.403</v>
      </c>
      <c r="W149" s="12" t="n">
        <v>1546.118</v>
      </c>
      <c r="X149" s="12" t="n">
        <v>3197.519</v>
      </c>
    </row>
    <row r="150">
      <c r="A150" s="9" t="inlineStr">
        <is>
          <t>지배주주 포괄이익</t>
        </is>
      </c>
      <c r="C150" s="12" t="n">
        <v>1554.037</v>
      </c>
      <c r="D150" s="12" t="n">
        <v>2329.403</v>
      </c>
      <c r="E150" s="12" t="n">
        <v>5070.946</v>
      </c>
      <c r="F150" s="12" t="n">
        <v>1266.584</v>
      </c>
      <c r="G150" s="12" t="n">
        <v>1404.655</v>
      </c>
      <c r="H150" s="12" t="n">
        <v>1546.118</v>
      </c>
      <c r="I150" s="12" t="n">
        <v>3019.326</v>
      </c>
      <c r="J150" s="12" t="n">
        <v>3226.634</v>
      </c>
      <c r="K150" s="12" t="n">
        <v>1809.424</v>
      </c>
      <c r="L150" s="12" t="n">
        <v>3197.519</v>
      </c>
      <c r="M150" s="12" t="n">
        <v>3431.206</v>
      </c>
      <c r="N150" s="12" t="n">
        <v>4632.86</v>
      </c>
      <c r="T150" s="12" t="n">
        <v>3501.417</v>
      </c>
      <c r="U150" s="12" t="n">
        <v>1407.828</v>
      </c>
      <c r="V150" s="12" t="n">
        <v>2329.403</v>
      </c>
      <c r="W150" s="12" t="n">
        <v>1546.118</v>
      </c>
      <c r="X150" s="12" t="n">
        <v>3197.519</v>
      </c>
    </row>
    <row r="151">
      <c r="A151" s="9" t="inlineStr">
        <is>
          <t>비지배주주 포괄이익</t>
        </is>
      </c>
      <c r="C151" s="12" t="n">
        <v>0</v>
      </c>
      <c r="D151" s="12" t="n">
        <v>0</v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0</v>
      </c>
      <c r="K151" s="12" t="n">
        <v>0</v>
      </c>
      <c r="L151" s="12" t="n">
        <v>0</v>
      </c>
      <c r="M151" s="12" t="n">
        <v>0</v>
      </c>
      <c r="N151" s="12" t="n">
        <v>0</v>
      </c>
      <c r="T151" s="12" t="n">
        <v>0</v>
      </c>
      <c r="U151" s="12" t="n">
        <v>0</v>
      </c>
      <c r="V151" s="12" t="n">
        <v>0</v>
      </c>
      <c r="W151" s="12" t="n">
        <v>0</v>
      </c>
      <c r="X151" s="12" t="n">
        <v>0</v>
      </c>
    </row>
    <row r="153">
      <c r="A153" s="16" t="inlineStr">
        <is>
          <t>부문 · 전 항목</t>
        </is>
      </c>
      <c r="B153" s="42" t="inlineStr">
        <is>
          <t>부문 · 항목</t>
        </is>
      </c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</row>
    <row r="154">
      <c r="A154" s="5" t="inlineStr">
        <is>
          <t>항목</t>
        </is>
      </c>
      <c r="B154" s="5" t="inlineStr">
        <is>
          <t>참고</t>
        </is>
      </c>
      <c r="C154" s="5" t="inlineStr">
        <is>
          <t>2024.3Q</t>
        </is>
      </c>
      <c r="D154" s="5" t="inlineStr">
        <is>
          <t>2024.4Q</t>
        </is>
      </c>
      <c r="E154" s="5" t="inlineStr">
        <is>
          <t>2025.1Q</t>
        </is>
      </c>
      <c r="F154" s="5" t="inlineStr">
        <is>
          <t>2025.2Q</t>
        </is>
      </c>
      <c r="G154" s="5" t="inlineStr">
        <is>
          <t>2025.3Q</t>
        </is>
      </c>
      <c r="H154" s="5" t="inlineStr">
        <is>
          <t>2025.4Q</t>
        </is>
      </c>
      <c r="I154" s="5" t="inlineStr">
        <is>
          <t>2026.1Q</t>
        </is>
      </c>
      <c r="J154" s="5" t="inlineStr">
        <is>
          <t>2026.2Q</t>
        </is>
      </c>
      <c r="K154" s="5" t="inlineStr">
        <is>
          <t>2026.3Q</t>
        </is>
      </c>
      <c r="L154" s="5" t="inlineStr">
        <is>
          <t>2026.4Q</t>
        </is>
      </c>
      <c r="M154" s="5" t="inlineStr">
        <is>
          <t>2027.1Q</t>
        </is>
      </c>
      <c r="N154" s="5" t="inlineStr">
        <is>
          <t>2027.2Q</t>
        </is>
      </c>
      <c r="O154" s="5" t="inlineStr">
        <is>
          <t>2017</t>
        </is>
      </c>
      <c r="P154" s="5" t="inlineStr">
        <is>
          <t>2018</t>
        </is>
      </c>
      <c r="Q154" s="5" t="inlineStr">
        <is>
          <t>2019</t>
        </is>
      </c>
      <c r="R154" s="5" t="inlineStr">
        <is>
          <t>2020</t>
        </is>
      </c>
      <c r="S154" s="5" t="inlineStr">
        <is>
          <t>2021</t>
        </is>
      </c>
      <c r="T154" s="5" t="inlineStr">
        <is>
          <t>2022</t>
        </is>
      </c>
      <c r="U154" s="5" t="inlineStr">
        <is>
          <t>2023</t>
        </is>
      </c>
      <c r="V154" s="5" t="inlineStr">
        <is>
          <t>2024</t>
        </is>
      </c>
      <c r="W154" s="5" t="inlineStr">
        <is>
          <t>2025</t>
        </is>
      </c>
      <c r="X154" s="5" t="inlineStr">
        <is>
          <t>2026</t>
        </is>
      </c>
      <c r="Y154" s="5" t="inlineStr">
        <is>
          <t>2027(MW)</t>
        </is>
      </c>
      <c r="Z154" s="5" t="inlineStr">
        <is>
          <t>2028(MW)</t>
        </is>
      </c>
      <c r="AA154" s="5" t="inlineStr">
        <is>
          <t>2029(MW)</t>
        </is>
      </c>
      <c r="AB154" s="5" t="inlineStr">
        <is>
          <t>2030(MW)</t>
        </is>
      </c>
      <c r="AC154" s="5" t="inlineStr">
        <is>
          <t>2031(MW)</t>
        </is>
      </c>
    </row>
    <row r="155">
      <c r="A155" s="18" t="inlineStr">
        <is>
          <t>부문 · 외부 고객 매출</t>
        </is>
      </c>
      <c r="C155" s="20" t="n">
        <v>15415.26</v>
      </c>
      <c r="D155" s="20" t="n">
        <v>16900.925</v>
      </c>
      <c r="E155" s="20" t="n">
        <v>34256.918</v>
      </c>
      <c r="F155" s="20" t="n">
        <v>9476.977999999999</v>
      </c>
      <c r="G155" s="20" t="n">
        <v>10371.276</v>
      </c>
      <c r="H155" s="20" t="n">
        <v>11605.104</v>
      </c>
      <c r="I155" s="20" t="n">
        <v>23485.769</v>
      </c>
      <c r="J155" s="20" t="n">
        <v>18376.611</v>
      </c>
      <c r="K155" s="20" t="n">
        <v>18042.607</v>
      </c>
      <c r="L155" s="20" t="n">
        <v>26689.374</v>
      </c>
      <c r="M155" s="20" t="n">
        <v>25799.577</v>
      </c>
      <c r="N155" s="20" t="n">
        <v>36125.448</v>
      </c>
      <c r="V155" s="20" t="n">
        <v>16900.925</v>
      </c>
      <c r="W155" s="20" t="n">
        <v>11605.104</v>
      </c>
      <c r="X155" s="20" t="n">
        <v>26689.374</v>
      </c>
    </row>
    <row r="156">
      <c r="A156" s="43" t="inlineStr">
        <is>
          <t>YoY</t>
        </is>
      </c>
      <c r="B156" s="3" t="inlineStr">
        <is>
          <t>전년 같은 분기·전년 대비</t>
        </is>
      </c>
      <c r="G156" s="15">
        <f>IF(OR(G155="",C155=""),"",IF(C155&lt;=0,"",IFERROR(G155/C155-1,"")))</f>
        <v/>
      </c>
      <c r="H156" s="15">
        <f>IF(OR(H155="",D155=""),"",IF(D155&lt;=0,"",IFERROR(H155/D155-1,"")))</f>
        <v/>
      </c>
      <c r="I156" s="15">
        <f>IF(OR(I155="",E155=""),"",IF(E155&lt;=0,"",IFERROR(I155/E155-1,"")))</f>
        <v/>
      </c>
      <c r="J156" s="15">
        <f>IF(OR(J155="",F155=""),"",IF(F155&lt;=0,"",IFERROR(J155/F155-1,"")))</f>
        <v/>
      </c>
      <c r="K156" s="15">
        <f>IF(OR(K155="",G155=""),"",IF(G155&lt;=0,"",IFERROR(K155/G155-1,"")))</f>
        <v/>
      </c>
      <c r="L156" s="15">
        <f>IF(OR(L155="",H155=""),"",IF(H155&lt;=0,"",IFERROR(L155/H155-1,"")))</f>
        <v/>
      </c>
      <c r="M156" s="15">
        <f>IF(OR(M155="",I155=""),"",IF(I155&lt;=0,"",IFERROR(M155/I155-1,"")))</f>
        <v/>
      </c>
      <c r="N156" s="15">
        <f>IF(OR(N155="",J155=""),"",IF(J155&lt;=0,"",IFERROR(N155/J155-1,"")))</f>
        <v/>
      </c>
      <c r="V156" s="15">
        <f>IF(OR(V155="",U155=""),"",IF(U155&lt;=0,"",IFERROR(V155/U155-1,"")))</f>
        <v/>
      </c>
      <c r="W156" s="15">
        <f>IF(OR(W155="",V155=""),"",IF(V155&lt;=0,"",IFERROR(W155/V155-1,"")))</f>
        <v/>
      </c>
      <c r="X156" s="15">
        <f>IF(OR(X155="",W155=""),"",IF(W155&lt;=0,"",IFERROR(X155/W155-1,"")))</f>
        <v/>
      </c>
    </row>
    <row r="157">
      <c r="A157" s="18" t="inlineStr">
        <is>
          <t>기타 · 외부 고객 매출</t>
        </is>
      </c>
      <c r="E157" s="20" t="n">
        <v>6728.733</v>
      </c>
      <c r="I157" s="20" t="n">
        <v>7228.97</v>
      </c>
      <c r="M157" s="20" t="n">
        <v>13676.153</v>
      </c>
    </row>
    <row r="158">
      <c r="A158" s="43" t="inlineStr">
        <is>
          <t>YoY</t>
        </is>
      </c>
      <c r="B158" s="3" t="inlineStr">
        <is>
          <t>전년 같은 분기·전년 대비</t>
        </is>
      </c>
      <c r="I158" s="15">
        <f>IF(OR(I157="",E157=""),"",IF(E157&lt;=0,"",IFERROR(I157/E157-1,"")))</f>
        <v/>
      </c>
      <c r="M158" s="15">
        <f>IF(OR(M157="",I157=""),"",IF(I157&lt;=0,"",IFERROR(M157/I157-1,"")))</f>
        <v/>
      </c>
    </row>
    <row r="159">
      <c r="A159" s="18" t="inlineStr">
        <is>
          <t>OtherReportableSegmentsMember · 외부 고객 매출</t>
        </is>
      </c>
      <c r="C159" s="20" t="n">
        <v>5532.885</v>
      </c>
      <c r="D159" s="20" t="n">
        <v>6179.728</v>
      </c>
      <c r="G159" s="20" t="n">
        <v>6910.741</v>
      </c>
      <c r="H159" s="20" t="n">
        <v>8492.939</v>
      </c>
      <c r="K159" s="20" t="n">
        <v>6783.234</v>
      </c>
      <c r="L159" s="20" t="n">
        <v>7730.405</v>
      </c>
      <c r="V159" s="20" t="n">
        <v>6179.728</v>
      </c>
      <c r="W159" s="20" t="n">
        <v>8492.939</v>
      </c>
      <c r="X159" s="20" t="n">
        <v>7730.405</v>
      </c>
    </row>
    <row r="160">
      <c r="A160" s="43" t="inlineStr">
        <is>
          <t>YoY</t>
        </is>
      </c>
      <c r="B160" s="3" t="inlineStr">
        <is>
          <t>전년 같은 분기·전년 대비</t>
        </is>
      </c>
      <c r="G160" s="15">
        <f>IF(OR(G159="",C159=""),"",IF(C159&lt;=0,"",IFERROR(G159/C159-1,"")))</f>
        <v/>
      </c>
      <c r="H160" s="15">
        <f>IF(OR(H159="",D159=""),"",IF(D159&lt;=0,"",IFERROR(H159/D159-1,"")))</f>
        <v/>
      </c>
      <c r="K160" s="15">
        <f>IF(OR(K159="",G159=""),"",IF(G159&lt;=0,"",IFERROR(K159/G159-1,"")))</f>
        <v/>
      </c>
      <c r="L160" s="15">
        <f>IF(OR(L159="",H159=""),"",IF(H159&lt;=0,"",IFERROR(L159/H159-1,"")))</f>
        <v/>
      </c>
      <c r="V160" s="15">
        <f>IF(OR(V159="",U159=""),"",IF(U159&lt;=0,"",IFERROR(V159/U159-1,"")))</f>
        <v/>
      </c>
      <c r="W160" s="15">
        <f>IF(OR(W159="",V159=""),"",IF(V159&lt;=0,"",IFERROR(W159/V159-1,"")))</f>
        <v/>
      </c>
      <c r="X160" s="15">
        <f>IF(OR(X159="",W159=""),"",IF(W159&lt;=0,"",IFERROR(X159/W159-1,"")))</f>
        <v/>
      </c>
    </row>
    <row r="161">
      <c r="A161" s="18" t="inlineStr">
        <is>
          <t>보고부문 합계 · 외부 고객 매출</t>
        </is>
      </c>
      <c r="C161" s="20" t="n">
        <v>20948.146</v>
      </c>
      <c r="D161" s="20" t="n">
        <v>23080.653</v>
      </c>
      <c r="E161" s="20" t="n">
        <v>40985.651</v>
      </c>
      <c r="F161" s="20" t="n">
        <v>16400.18</v>
      </c>
      <c r="G161" s="20" t="n">
        <v>17282.017</v>
      </c>
      <c r="H161" s="20" t="n">
        <v>20098.043</v>
      </c>
      <c r="I161" s="20" t="n">
        <v>30714.739</v>
      </c>
      <c r="J161" s="20" t="n">
        <v>26960.433</v>
      </c>
      <c r="K161" s="20" t="n">
        <v>24825.841</v>
      </c>
      <c r="L161" s="20" t="n">
        <v>34419.779</v>
      </c>
      <c r="M161" s="20" t="n">
        <v>39475.73</v>
      </c>
      <c r="N161" s="20" t="n">
        <v>43443.008</v>
      </c>
      <c r="V161" s="20" t="n">
        <v>23080.653</v>
      </c>
      <c r="W161" s="20" t="n">
        <v>20098.043</v>
      </c>
      <c r="X161" s="20" t="n">
        <v>34419.779</v>
      </c>
    </row>
    <row r="162">
      <c r="A162" s="43" t="inlineStr">
        <is>
          <t>YoY</t>
        </is>
      </c>
      <c r="B162" s="3" t="inlineStr">
        <is>
          <t>전년 같은 분기·전년 대비</t>
        </is>
      </c>
      <c r="G162" s="15">
        <f>IF(OR(G161="",C161=""),"",IF(C161&lt;=0,"",IFERROR(G161/C161-1,"")))</f>
        <v/>
      </c>
      <c r="H162" s="15">
        <f>IF(OR(H161="",D161=""),"",IF(D161&lt;=0,"",IFERROR(H161/D161-1,"")))</f>
        <v/>
      </c>
      <c r="I162" s="15">
        <f>IF(OR(I161="",E161=""),"",IF(E161&lt;=0,"",IFERROR(I161/E161-1,"")))</f>
        <v/>
      </c>
      <c r="J162" s="15">
        <f>IF(OR(J161="",F161=""),"",IF(F161&lt;=0,"",IFERROR(J161/F161-1,"")))</f>
        <v/>
      </c>
      <c r="K162" s="15">
        <f>IF(OR(K161="",G161=""),"",IF(G161&lt;=0,"",IFERROR(K161/G161-1,"")))</f>
        <v/>
      </c>
      <c r="L162" s="15">
        <f>IF(OR(L161="",H161=""),"",IF(H161&lt;=0,"",IFERROR(L161/H161-1,"")))</f>
        <v/>
      </c>
      <c r="M162" s="15">
        <f>IF(OR(M161="",I161=""),"",IF(I161&lt;=0,"",IFERROR(M161/I161-1,"")))</f>
        <v/>
      </c>
      <c r="N162" s="15">
        <f>IF(OR(N161="",J161=""),"",IF(J161&lt;=0,"",IFERROR(N161/J161-1,"")))</f>
        <v/>
      </c>
      <c r="V162" s="15">
        <f>IF(OR(V161="",U161=""),"",IF(U161&lt;=0,"",IFERROR(V161/U161-1,"")))</f>
        <v/>
      </c>
      <c r="W162" s="15">
        <f>IF(OR(W161="",V161=""),"",IF(V161&lt;=0,"",IFERROR(W161/V161-1,"")))</f>
        <v/>
      </c>
      <c r="X162" s="15">
        <f>IF(OR(X161="",W161=""),"",IF(W161&lt;=0,"",IFERROR(X161/W161-1,"")))</f>
        <v/>
      </c>
    </row>
    <row r="163">
      <c r="A163" s="18" t="inlineStr">
        <is>
          <t>조정액 · 외부 고객 매출</t>
        </is>
      </c>
      <c r="C163" s="20" t="n">
        <v>0</v>
      </c>
      <c r="D163" s="20" t="n">
        <v>0</v>
      </c>
      <c r="E163" s="20" t="n">
        <v>0</v>
      </c>
      <c r="F163" s="20" t="n">
        <v>0</v>
      </c>
      <c r="G163" s="20" t="n">
        <v>0</v>
      </c>
      <c r="H163" s="20" t="n">
        <v>0</v>
      </c>
      <c r="I163" s="20" t="n">
        <v>0</v>
      </c>
      <c r="J163" s="20" t="n">
        <v>0</v>
      </c>
      <c r="K163" s="20" t="n">
        <v>0</v>
      </c>
      <c r="L163" s="20" t="n">
        <v>0</v>
      </c>
      <c r="M163" s="20" t="n">
        <v>0</v>
      </c>
      <c r="N163" s="20" t="n">
        <v>0</v>
      </c>
      <c r="V163" s="20" t="n">
        <v>0</v>
      </c>
      <c r="W163" s="20" t="n">
        <v>0</v>
      </c>
      <c r="X163" s="20" t="n">
        <v>0</v>
      </c>
    </row>
    <row r="164">
      <c r="A164" s="9" t="inlineStr">
        <is>
          <t>외부 고객 매출</t>
        </is>
      </c>
      <c r="C164" s="12" t="n">
        <v>20948.146</v>
      </c>
      <c r="D164" s="12" t="n">
        <v>23080.653</v>
      </c>
      <c r="E164" s="12" t="n">
        <v>40985.651</v>
      </c>
      <c r="F164" s="12" t="n">
        <v>16400.18</v>
      </c>
      <c r="G164" s="12" t="n">
        <v>17282.017</v>
      </c>
      <c r="H164" s="12" t="n">
        <v>20098.043</v>
      </c>
      <c r="I164" s="12" t="n">
        <v>30714.739</v>
      </c>
      <c r="J164" s="12" t="n">
        <v>26960.433</v>
      </c>
      <c r="K164" s="12" t="n">
        <v>24825.841</v>
      </c>
      <c r="L164" s="12" t="n">
        <v>34419.779</v>
      </c>
      <c r="M164" s="12" t="n">
        <v>39475.73</v>
      </c>
      <c r="N164" s="12" t="n">
        <v>43443.008</v>
      </c>
      <c r="V164" s="12" t="n">
        <v>23080.653</v>
      </c>
      <c r="W164" s="12" t="n">
        <v>20098.043</v>
      </c>
      <c r="X164" s="12" t="n">
        <v>34419.779</v>
      </c>
    </row>
    <row r="165">
      <c r="A165" s="43" t="inlineStr">
        <is>
          <t>YoY</t>
        </is>
      </c>
      <c r="B165" s="3" t="inlineStr">
        <is>
          <t>전년 같은 분기·전년 대비</t>
        </is>
      </c>
      <c r="G165" s="15">
        <f>IF(OR(G164="",C164=""),"",IF(C164&lt;=0,"",IFERROR(G164/C164-1,"")))</f>
        <v/>
      </c>
      <c r="H165" s="15">
        <f>IF(OR(H164="",D164=""),"",IF(D164&lt;=0,"",IFERROR(H164/D164-1,"")))</f>
        <v/>
      </c>
      <c r="I165" s="15">
        <f>IF(OR(I164="",E164=""),"",IF(E164&lt;=0,"",IFERROR(I164/E164-1,"")))</f>
        <v/>
      </c>
      <c r="J165" s="15">
        <f>IF(OR(J164="",F164=""),"",IF(F164&lt;=0,"",IFERROR(J164/F164-1,"")))</f>
        <v/>
      </c>
      <c r="K165" s="15">
        <f>IF(OR(K164="",G164=""),"",IF(G164&lt;=0,"",IFERROR(K164/G164-1,"")))</f>
        <v/>
      </c>
      <c r="L165" s="15">
        <f>IF(OR(L164="",H164=""),"",IF(H164&lt;=0,"",IFERROR(L164/H164-1,"")))</f>
        <v/>
      </c>
      <c r="M165" s="15">
        <f>IF(OR(M164="",I164=""),"",IF(I164&lt;=0,"",IFERROR(M164/I164-1,"")))</f>
        <v/>
      </c>
      <c r="N165" s="15">
        <f>IF(OR(N164="",J164=""),"",IF(J164&lt;=0,"",IFERROR(N164/J164-1,"")))</f>
        <v/>
      </c>
      <c r="V165" s="15">
        <f>IF(OR(V164="",U164=""),"",IF(U164&lt;=0,"",IFERROR(V164/U164-1,"")))</f>
        <v/>
      </c>
      <c r="W165" s="15">
        <f>IF(OR(W164="",V164=""),"",IF(V164&lt;=0,"",IFERROR(W164/V164-1,"")))</f>
        <v/>
      </c>
      <c r="X165" s="15">
        <f>IF(OR(X164="",W164=""),"",IF(W164&lt;=0,"",IFERROR(X164/W164-1,"")))</f>
        <v/>
      </c>
    </row>
    <row r="166">
      <c r="A166" s="18" t="inlineStr">
        <is>
          <t>부문 · 부문 간 내부매출·대체</t>
        </is>
      </c>
      <c r="C166" s="20" t="n">
        <v>46.913</v>
      </c>
      <c r="D166" s="20" t="n">
        <v>126.52</v>
      </c>
      <c r="E166" s="20" t="n">
        <v>195.624</v>
      </c>
      <c r="F166" s="20" t="n">
        <v>259.318</v>
      </c>
      <c r="G166" s="20" t="n">
        <v>263.383</v>
      </c>
      <c r="H166" s="20" t="n">
        <v>350.482</v>
      </c>
      <c r="I166" s="20" t="n">
        <v>397.1</v>
      </c>
      <c r="J166" s="20" t="n">
        <v>475.268</v>
      </c>
      <c r="K166" s="20" t="n">
        <v>442.301</v>
      </c>
      <c r="L166" s="20" t="n">
        <v>447.232</v>
      </c>
      <c r="M166" s="20" t="n">
        <v>440.297</v>
      </c>
      <c r="N166" s="20" t="n">
        <v>475.193</v>
      </c>
      <c r="V166" s="20" t="n">
        <v>126.52</v>
      </c>
      <c r="W166" s="20" t="n">
        <v>350.482</v>
      </c>
      <c r="X166" s="20" t="n">
        <v>447.232</v>
      </c>
    </row>
    <row r="167">
      <c r="A167" s="18" t="inlineStr">
        <is>
          <t>기타 · 부문 간 내부매출·대체</t>
        </is>
      </c>
      <c r="E167" s="20" t="n">
        <v>4033.767</v>
      </c>
      <c r="I167" s="20" t="n">
        <v>1000.248</v>
      </c>
      <c r="M167" s="20" t="n">
        <v>1431.035</v>
      </c>
    </row>
    <row r="168">
      <c r="A168" s="18" t="inlineStr">
        <is>
          <t>OtherReportableSegmentsMember · 부문 간 내부매출·대체</t>
        </is>
      </c>
      <c r="C168" s="20" t="n">
        <v>1232.032</v>
      </c>
      <c r="D168" s="20" t="n">
        <v>3112.55</v>
      </c>
      <c r="G168" s="20" t="n">
        <v>1302.115</v>
      </c>
      <c r="H168" s="20" t="n">
        <v>1927.604</v>
      </c>
      <c r="K168" s="20" t="n">
        <v>1635.078</v>
      </c>
      <c r="L168" s="20" t="n">
        <v>2211.491</v>
      </c>
      <c r="V168" s="20" t="n">
        <v>3112.55</v>
      </c>
      <c r="W168" s="20" t="n">
        <v>1927.604</v>
      </c>
      <c r="X168" s="20" t="n">
        <v>2211.491</v>
      </c>
    </row>
    <row r="169">
      <c r="A169" s="18" t="inlineStr">
        <is>
          <t>보고부문 합계 · 부문 간 내부매출·대체</t>
        </is>
      </c>
      <c r="C169" s="20" t="n">
        <v>1278.946</v>
      </c>
      <c r="D169" s="20" t="n">
        <v>3239.07</v>
      </c>
      <c r="E169" s="20" t="n">
        <v>4229.392</v>
      </c>
      <c r="F169" s="20" t="n">
        <v>2590.852</v>
      </c>
      <c r="G169" s="20" t="n">
        <v>1565.498</v>
      </c>
      <c r="H169" s="20" t="n">
        <v>2278.087</v>
      </c>
      <c r="I169" s="20" t="n">
        <v>1397.349</v>
      </c>
      <c r="J169" s="20" t="n">
        <v>1527.289</v>
      </c>
      <c r="K169" s="20" t="n">
        <v>2077.378</v>
      </c>
      <c r="L169" s="20" t="n">
        <v>2658.723</v>
      </c>
      <c r="M169" s="20" t="n">
        <v>1871.332</v>
      </c>
      <c r="N169" s="20" t="n">
        <v>2127.645</v>
      </c>
      <c r="V169" s="20" t="n">
        <v>3239.07</v>
      </c>
      <c r="W169" s="20" t="n">
        <v>2278.087</v>
      </c>
      <c r="X169" s="20" t="n">
        <v>2658.723</v>
      </c>
    </row>
    <row r="170">
      <c r="A170" s="18" t="inlineStr">
        <is>
          <t>조정액 · 부문 간 내부매출·대체</t>
        </is>
      </c>
      <c r="C170" s="20" t="n">
        <v>-1278.946</v>
      </c>
      <c r="D170" s="20" t="n">
        <v>-3239.07</v>
      </c>
      <c r="E170" s="20" t="n">
        <v>-4229.392</v>
      </c>
      <c r="F170" s="20" t="n">
        <v>-2590.852</v>
      </c>
      <c r="G170" s="20" t="n">
        <v>-1565.498</v>
      </c>
      <c r="H170" s="20" t="n">
        <v>-2278.087</v>
      </c>
      <c r="I170" s="20" t="n">
        <v>-1397.349</v>
      </c>
      <c r="J170" s="20" t="n">
        <v>-1527.289</v>
      </c>
      <c r="K170" s="20" t="n">
        <v>-2077.378</v>
      </c>
      <c r="L170" s="20" t="n">
        <v>-2658.723</v>
      </c>
      <c r="M170" s="20" t="n">
        <v>-1871.332</v>
      </c>
      <c r="N170" s="20" t="n">
        <v>-2127.645</v>
      </c>
      <c r="V170" s="20" t="n">
        <v>-3239.07</v>
      </c>
      <c r="W170" s="20" t="n">
        <v>-2278.087</v>
      </c>
      <c r="X170" s="20" t="n">
        <v>-2658.723</v>
      </c>
    </row>
    <row r="171">
      <c r="A171" s="18" t="inlineStr">
        <is>
          <t>부문 간 내부매출·대체</t>
        </is>
      </c>
      <c r="C171" s="20" t="n">
        <v>0</v>
      </c>
      <c r="D171" s="20" t="n">
        <v>0</v>
      </c>
      <c r="E171" s="20" t="n">
        <v>0</v>
      </c>
      <c r="F171" s="20" t="n">
        <v>0</v>
      </c>
      <c r="G171" s="20" t="n">
        <v>0</v>
      </c>
      <c r="H171" s="20" t="n">
        <v>0</v>
      </c>
      <c r="I171" s="20" t="n">
        <v>0</v>
      </c>
      <c r="J171" s="20" t="n">
        <v>0</v>
      </c>
      <c r="K171" s="20" t="n">
        <v>0</v>
      </c>
      <c r="L171" s="20" t="n">
        <v>0</v>
      </c>
      <c r="M171" s="20" t="n">
        <v>0</v>
      </c>
      <c r="N171" s="20" t="n">
        <v>0</v>
      </c>
      <c r="V171" s="20" t="n">
        <v>0</v>
      </c>
      <c r="W171" s="20" t="n">
        <v>0</v>
      </c>
      <c r="X171" s="20" t="n">
        <v>0</v>
      </c>
    </row>
    <row r="172">
      <c r="A172" s="18" t="inlineStr">
        <is>
          <t>부문 · 계</t>
        </is>
      </c>
      <c r="C172" s="20" t="n">
        <v>15462.174</v>
      </c>
      <c r="D172" s="20" t="n">
        <v>17027.445</v>
      </c>
      <c r="E172" s="20" t="n">
        <v>34452.542</v>
      </c>
      <c r="F172" s="20" t="n">
        <v>9736.296</v>
      </c>
      <c r="G172" s="20" t="n">
        <v>10634.659</v>
      </c>
      <c r="H172" s="20" t="n">
        <v>11955.587</v>
      </c>
      <c r="I172" s="20" t="n">
        <v>23882.869</v>
      </c>
      <c r="J172" s="20" t="n">
        <v>18851.88</v>
      </c>
      <c r="K172" s="20" t="n">
        <v>18484.907</v>
      </c>
      <c r="L172" s="20" t="n">
        <v>27136.606</v>
      </c>
      <c r="M172" s="20" t="n">
        <v>26239.874</v>
      </c>
      <c r="N172" s="20" t="n">
        <v>36600.641</v>
      </c>
      <c r="V172" s="20" t="n">
        <v>17027.445</v>
      </c>
      <c r="W172" s="20" t="n">
        <v>11955.587</v>
      </c>
      <c r="X172" s="20" t="n">
        <v>27136.606</v>
      </c>
    </row>
    <row r="173">
      <c r="A173" s="43" t="inlineStr">
        <is>
          <t>YoY</t>
        </is>
      </c>
      <c r="B173" s="3" t="inlineStr">
        <is>
          <t>전년 같은 분기·전년 대비</t>
        </is>
      </c>
      <c r="G173" s="15">
        <f>IF(OR(G172="",C172=""),"",IF(C172&lt;=0,"",IFERROR(G172/C172-1,"")))</f>
        <v/>
      </c>
      <c r="H173" s="15">
        <f>IF(OR(H172="",D172=""),"",IF(D172&lt;=0,"",IFERROR(H172/D172-1,"")))</f>
        <v/>
      </c>
      <c r="I173" s="15">
        <f>IF(OR(I172="",E172=""),"",IF(E172&lt;=0,"",IFERROR(I172/E172-1,"")))</f>
        <v/>
      </c>
      <c r="J173" s="15">
        <f>IF(OR(J172="",F172=""),"",IF(F172&lt;=0,"",IFERROR(J172/F172-1,"")))</f>
        <v/>
      </c>
      <c r="K173" s="15">
        <f>IF(OR(K172="",G172=""),"",IF(G172&lt;=0,"",IFERROR(K172/G172-1,"")))</f>
        <v/>
      </c>
      <c r="L173" s="15">
        <f>IF(OR(L172="",H172=""),"",IF(H172&lt;=0,"",IFERROR(L172/H172-1,"")))</f>
        <v/>
      </c>
      <c r="M173" s="15">
        <f>IF(OR(M172="",I172=""),"",IF(I172&lt;=0,"",IFERROR(M172/I172-1,"")))</f>
        <v/>
      </c>
      <c r="N173" s="15">
        <f>IF(OR(N172="",J172=""),"",IF(J172&lt;=0,"",IFERROR(N172/J172-1,"")))</f>
        <v/>
      </c>
      <c r="V173" s="15">
        <f>IF(OR(V172="",U172=""),"",IF(U172&lt;=0,"",IFERROR(V172/U172-1,"")))</f>
        <v/>
      </c>
      <c r="W173" s="15">
        <f>IF(OR(W172="",V172=""),"",IF(V172&lt;=0,"",IFERROR(W172/V172-1,"")))</f>
        <v/>
      </c>
      <c r="X173" s="15">
        <f>IF(OR(X172="",W172=""),"",IF(W172&lt;=0,"",IFERROR(X172/W172-1,"")))</f>
        <v/>
      </c>
    </row>
    <row r="174">
      <c r="A174" s="18" t="inlineStr">
        <is>
          <t>기타 · 계</t>
        </is>
      </c>
      <c r="E174" s="20" t="n">
        <v>10762.501</v>
      </c>
      <c r="I174" s="20" t="n">
        <v>8229.218999999999</v>
      </c>
      <c r="M174" s="20" t="n">
        <v>15107.188</v>
      </c>
    </row>
    <row r="175">
      <c r="A175" s="43" t="inlineStr">
        <is>
          <t>YoY</t>
        </is>
      </c>
      <c r="B175" s="3" t="inlineStr">
        <is>
          <t>전년 같은 분기·전년 대비</t>
        </is>
      </c>
      <c r="I175" s="15">
        <f>IF(OR(I174="",E174=""),"",IF(E174&lt;=0,"",IFERROR(I174/E174-1,"")))</f>
        <v/>
      </c>
      <c r="M175" s="15">
        <f>IF(OR(M174="",I174=""),"",IF(I174&lt;=0,"",IFERROR(M174/I174-1,"")))</f>
        <v/>
      </c>
    </row>
    <row r="176">
      <c r="A176" s="18" t="inlineStr">
        <is>
          <t>OtherReportableSegmentsMember · 계</t>
        </is>
      </c>
      <c r="C176" s="20" t="n">
        <v>6764.916</v>
      </c>
      <c r="D176" s="20" t="n">
        <v>9292.279</v>
      </c>
      <c r="G176" s="20" t="n">
        <v>8212.856</v>
      </c>
      <c r="H176" s="20" t="n">
        <v>10420.544</v>
      </c>
      <c r="K176" s="20" t="n">
        <v>8418.312</v>
      </c>
      <c r="L176" s="20" t="n">
        <v>9941.896000000001</v>
      </c>
      <c r="V176" s="20" t="n">
        <v>9292.279</v>
      </c>
      <c r="W176" s="20" t="n">
        <v>10420.544</v>
      </c>
      <c r="X176" s="20" t="n">
        <v>9941.896000000001</v>
      </c>
    </row>
    <row r="177">
      <c r="A177" s="43" t="inlineStr">
        <is>
          <t>YoY</t>
        </is>
      </c>
      <c r="B177" s="3" t="inlineStr">
        <is>
          <t>전년 같은 분기·전년 대비</t>
        </is>
      </c>
      <c r="G177" s="15">
        <f>IF(OR(G176="",C176=""),"",IF(C176&lt;=0,"",IFERROR(G176/C176-1,"")))</f>
        <v/>
      </c>
      <c r="H177" s="15">
        <f>IF(OR(H176="",D176=""),"",IF(D176&lt;=0,"",IFERROR(H176/D176-1,"")))</f>
        <v/>
      </c>
      <c r="K177" s="15">
        <f>IF(OR(K176="",G176=""),"",IF(G176&lt;=0,"",IFERROR(K176/G176-1,"")))</f>
        <v/>
      </c>
      <c r="L177" s="15">
        <f>IF(OR(L176="",H176=""),"",IF(H176&lt;=0,"",IFERROR(L176/H176-1,"")))</f>
        <v/>
      </c>
      <c r="V177" s="15">
        <f>IF(OR(V176="",U176=""),"",IF(U176&lt;=0,"",IFERROR(V176/U176-1,"")))</f>
        <v/>
      </c>
      <c r="W177" s="15">
        <f>IF(OR(W176="",V176=""),"",IF(V176&lt;=0,"",IFERROR(W176/V176-1,"")))</f>
        <v/>
      </c>
      <c r="X177" s="15">
        <f>IF(OR(X176="",W176=""),"",IF(W176&lt;=0,"",IFERROR(X176/W176-1,"")))</f>
        <v/>
      </c>
    </row>
    <row r="178">
      <c r="A178" s="18" t="inlineStr">
        <is>
          <t>보고부문 합계 · 계</t>
        </is>
      </c>
      <c r="C178" s="20" t="n">
        <v>22227.091</v>
      </c>
      <c r="D178" s="20" t="n">
        <v>26319.723</v>
      </c>
      <c r="E178" s="20" t="n">
        <v>45215.043</v>
      </c>
      <c r="F178" s="20" t="n">
        <v>18991.032</v>
      </c>
      <c r="G178" s="20" t="n">
        <v>18847.515</v>
      </c>
      <c r="H178" s="20" t="n">
        <v>22376.131</v>
      </c>
      <c r="I178" s="20" t="n">
        <v>32112.088</v>
      </c>
      <c r="J178" s="20" t="n">
        <v>28487.723</v>
      </c>
      <c r="K178" s="20" t="n">
        <v>26903.219</v>
      </c>
      <c r="L178" s="20" t="n">
        <v>37078.501</v>
      </c>
      <c r="M178" s="20" t="n">
        <v>41347.063</v>
      </c>
      <c r="N178" s="20" t="n">
        <v>45570.652</v>
      </c>
      <c r="V178" s="20" t="n">
        <v>26319.723</v>
      </c>
      <c r="W178" s="20" t="n">
        <v>22376.131</v>
      </c>
      <c r="X178" s="20" t="n">
        <v>37078.501</v>
      </c>
    </row>
    <row r="179">
      <c r="A179" s="43" t="inlineStr">
        <is>
          <t>YoY</t>
        </is>
      </c>
      <c r="B179" s="3" t="inlineStr">
        <is>
          <t>전년 같은 분기·전년 대비</t>
        </is>
      </c>
      <c r="G179" s="15">
        <f>IF(OR(G178="",C178=""),"",IF(C178&lt;=0,"",IFERROR(G178/C178-1,"")))</f>
        <v/>
      </c>
      <c r="H179" s="15">
        <f>IF(OR(H178="",D178=""),"",IF(D178&lt;=0,"",IFERROR(H178/D178-1,"")))</f>
        <v/>
      </c>
      <c r="I179" s="15">
        <f>IF(OR(I178="",E178=""),"",IF(E178&lt;=0,"",IFERROR(I178/E178-1,"")))</f>
        <v/>
      </c>
      <c r="J179" s="15">
        <f>IF(OR(J178="",F178=""),"",IF(F178&lt;=0,"",IFERROR(J178/F178-1,"")))</f>
        <v/>
      </c>
      <c r="K179" s="15">
        <f>IF(OR(K178="",G178=""),"",IF(G178&lt;=0,"",IFERROR(K178/G178-1,"")))</f>
        <v/>
      </c>
      <c r="L179" s="15">
        <f>IF(OR(L178="",H178=""),"",IF(H178&lt;=0,"",IFERROR(L178/H178-1,"")))</f>
        <v/>
      </c>
      <c r="M179" s="15">
        <f>IF(OR(M178="",I178=""),"",IF(I178&lt;=0,"",IFERROR(M178/I178-1,"")))</f>
        <v/>
      </c>
      <c r="N179" s="15">
        <f>IF(OR(N178="",J178=""),"",IF(J178&lt;=0,"",IFERROR(N178/J178-1,"")))</f>
        <v/>
      </c>
      <c r="V179" s="15">
        <f>IF(OR(V178="",U178=""),"",IF(U178&lt;=0,"",IFERROR(V178/U178-1,"")))</f>
        <v/>
      </c>
      <c r="W179" s="15">
        <f>IF(OR(W178="",V178=""),"",IF(V178&lt;=0,"",IFERROR(W178/V178-1,"")))</f>
        <v/>
      </c>
      <c r="X179" s="15">
        <f>IF(OR(X178="",W178=""),"",IF(W178&lt;=0,"",IFERROR(X178/W178-1,"")))</f>
        <v/>
      </c>
    </row>
    <row r="180">
      <c r="A180" s="18" t="inlineStr">
        <is>
          <t>조정액 · 계</t>
        </is>
      </c>
      <c r="C180" s="20" t="n">
        <v>-1278.946</v>
      </c>
      <c r="D180" s="20" t="n">
        <v>-3239.07</v>
      </c>
      <c r="E180" s="20" t="n">
        <v>-4229.392</v>
      </c>
      <c r="F180" s="20" t="n">
        <v>-2590.852</v>
      </c>
      <c r="G180" s="20" t="n">
        <v>-1565.498</v>
      </c>
      <c r="H180" s="20" t="n">
        <v>-2278.087</v>
      </c>
      <c r="I180" s="20" t="n">
        <v>-1397.349</v>
      </c>
      <c r="J180" s="20" t="n">
        <v>-1527.289</v>
      </c>
      <c r="K180" s="20" t="n">
        <v>-2077.378</v>
      </c>
      <c r="L180" s="20" t="n">
        <v>-2658.723</v>
      </c>
      <c r="M180" s="20" t="n">
        <v>-1871.332</v>
      </c>
      <c r="N180" s="20" t="n">
        <v>-2127.645</v>
      </c>
      <c r="V180" s="20" t="n">
        <v>-3239.07</v>
      </c>
      <c r="W180" s="20" t="n">
        <v>-2278.087</v>
      </c>
      <c r="X180" s="20" t="n">
        <v>-2658.723</v>
      </c>
    </row>
    <row r="181">
      <c r="A181" s="9" t="inlineStr">
        <is>
          <t>계</t>
        </is>
      </c>
      <c r="C181" s="12" t="n">
        <v>20948.146</v>
      </c>
      <c r="D181" s="12" t="n">
        <v>23080.653</v>
      </c>
      <c r="E181" s="12" t="n">
        <v>40985.651</v>
      </c>
      <c r="F181" s="12" t="n">
        <v>16400.18</v>
      </c>
      <c r="G181" s="12" t="n">
        <v>17282.017</v>
      </c>
      <c r="H181" s="12" t="n">
        <v>20098.043</v>
      </c>
      <c r="I181" s="12" t="n">
        <v>30714.739</v>
      </c>
      <c r="J181" s="12" t="n">
        <v>26960.433</v>
      </c>
      <c r="K181" s="12" t="n">
        <v>24825.841</v>
      </c>
      <c r="L181" s="12" t="n">
        <v>34419.779</v>
      </c>
      <c r="M181" s="12" t="n">
        <v>39475.73</v>
      </c>
      <c r="N181" s="12" t="n">
        <v>43443.008</v>
      </c>
      <c r="V181" s="12" t="n">
        <v>23080.653</v>
      </c>
      <c r="W181" s="12" t="n">
        <v>20098.043</v>
      </c>
      <c r="X181" s="12" t="n">
        <v>34419.779</v>
      </c>
    </row>
    <row r="182">
      <c r="A182" s="43" t="inlineStr">
        <is>
          <t>YoY</t>
        </is>
      </c>
      <c r="B182" s="3" t="inlineStr">
        <is>
          <t>전년 같은 분기·전년 대비</t>
        </is>
      </c>
      <c r="G182" s="15">
        <f>IF(OR(G181="",C181=""),"",IF(C181&lt;=0,"",IFERROR(G181/C181-1,"")))</f>
        <v/>
      </c>
      <c r="H182" s="15">
        <f>IF(OR(H181="",D181=""),"",IF(D181&lt;=0,"",IFERROR(H181/D181-1,"")))</f>
        <v/>
      </c>
      <c r="I182" s="15">
        <f>IF(OR(I181="",E181=""),"",IF(E181&lt;=0,"",IFERROR(I181/E181-1,"")))</f>
        <v/>
      </c>
      <c r="J182" s="15">
        <f>IF(OR(J181="",F181=""),"",IF(F181&lt;=0,"",IFERROR(J181/F181-1,"")))</f>
        <v/>
      </c>
      <c r="K182" s="15">
        <f>IF(OR(K181="",G181=""),"",IF(G181&lt;=0,"",IFERROR(K181/G181-1,"")))</f>
        <v/>
      </c>
      <c r="L182" s="15">
        <f>IF(OR(L181="",H181=""),"",IF(H181&lt;=0,"",IFERROR(L181/H181-1,"")))</f>
        <v/>
      </c>
      <c r="M182" s="15">
        <f>IF(OR(M181="",I181=""),"",IF(I181&lt;=0,"",IFERROR(M181/I181-1,"")))</f>
        <v/>
      </c>
      <c r="N182" s="15">
        <f>IF(OR(N181="",J181=""),"",IF(J181&lt;=0,"",IFERROR(N181/J181-1,"")))</f>
        <v/>
      </c>
      <c r="V182" s="15">
        <f>IF(OR(V181="",U181=""),"",IF(U181&lt;=0,"",IFERROR(V181/U181-1,"")))</f>
        <v/>
      </c>
      <c r="W182" s="15">
        <f>IF(OR(W181="",V181=""),"",IF(V181&lt;=0,"",IFERROR(W181/V181-1,"")))</f>
        <v/>
      </c>
      <c r="X182" s="15">
        <f>IF(OR(X181="",W181=""),"",IF(W181&lt;=0,"",IFERROR(X181/W181-1,"")))</f>
        <v/>
      </c>
    </row>
    <row r="183">
      <c r="A183" s="18" t="inlineStr">
        <is>
          <t>부문 · 부문 이익</t>
        </is>
      </c>
      <c r="C183" s="20" t="n">
        <v>2258.732</v>
      </c>
      <c r="D183" s="20" t="n">
        <v>2729.248</v>
      </c>
      <c r="E183" s="20" t="n">
        <v>7809.592</v>
      </c>
      <c r="F183" s="20" t="n">
        <v>1078.863</v>
      </c>
      <c r="G183" s="20" t="n">
        <v>1764.656</v>
      </c>
      <c r="H183" s="20" t="n">
        <v>798.677</v>
      </c>
      <c r="I183" s="20" t="n">
        <v>4250.523</v>
      </c>
      <c r="J183" s="20" t="n">
        <v>3826.317</v>
      </c>
      <c r="K183" s="20" t="n">
        <v>2261.892</v>
      </c>
      <c r="L183" s="20" t="n">
        <v>2945.773</v>
      </c>
      <c r="M183" s="20" t="n">
        <v>4957.127</v>
      </c>
      <c r="N183" s="20" t="n">
        <v>6372.707</v>
      </c>
      <c r="V183" s="20" t="n">
        <v>2729.248</v>
      </c>
      <c r="W183" s="20" t="n">
        <v>798.677</v>
      </c>
      <c r="X183" s="20" t="n">
        <v>2945.773</v>
      </c>
    </row>
    <row r="184">
      <c r="A184" s="18" t="inlineStr">
        <is>
          <t>기타 · 부문 이익</t>
        </is>
      </c>
      <c r="E184" s="20" t="n">
        <v>1212.655</v>
      </c>
      <c r="I184" s="20" t="n">
        <v>1430.311</v>
      </c>
      <c r="M184" s="20" t="n">
        <v>1988.169</v>
      </c>
    </row>
    <row r="185">
      <c r="A185" s="18" t="inlineStr">
        <is>
          <t>OtherReportableSegmentsMember · 부문 이익</t>
        </is>
      </c>
      <c r="C185" s="20" t="n">
        <v>887.681</v>
      </c>
      <c r="D185" s="20" t="n">
        <v>1146.281</v>
      </c>
      <c r="G185" s="20" t="n">
        <v>1109.026</v>
      </c>
      <c r="H185" s="20" t="n">
        <v>1788.574</v>
      </c>
      <c r="K185" s="20" t="n">
        <v>1405.181</v>
      </c>
      <c r="L185" s="20" t="n">
        <v>1535.422</v>
      </c>
      <c r="V185" s="20" t="n">
        <v>1146.281</v>
      </c>
      <c r="W185" s="20" t="n">
        <v>1788.574</v>
      </c>
      <c r="X185" s="20" t="n">
        <v>1535.422</v>
      </c>
    </row>
    <row r="186">
      <c r="A186" s="18" t="inlineStr">
        <is>
          <t>보고부문 합계 · 부문 이익</t>
        </is>
      </c>
      <c r="C186" s="20" t="n">
        <v>3146.414</v>
      </c>
      <c r="D186" s="20" t="n">
        <v>3875.529</v>
      </c>
      <c r="E186" s="20" t="n">
        <v>9022.246999999999</v>
      </c>
      <c r="F186" s="20" t="n">
        <v>2324.745</v>
      </c>
      <c r="G186" s="20" t="n">
        <v>2873.682</v>
      </c>
      <c r="H186" s="20" t="n">
        <v>2587.252</v>
      </c>
      <c r="I186" s="20" t="n">
        <v>5680.835</v>
      </c>
      <c r="J186" s="20" t="n">
        <v>5391.989</v>
      </c>
      <c r="K186" s="20" t="n">
        <v>3667.072</v>
      </c>
      <c r="L186" s="20" t="n">
        <v>4481.195</v>
      </c>
      <c r="M186" s="20" t="n">
        <v>6945.296</v>
      </c>
      <c r="N186" s="20" t="n">
        <v>7970.073</v>
      </c>
      <c r="V186" s="20" t="n">
        <v>3875.529</v>
      </c>
      <c r="W186" s="20" t="n">
        <v>2587.252</v>
      </c>
      <c r="X186" s="20" t="n">
        <v>4481.195</v>
      </c>
    </row>
    <row r="187">
      <c r="A187" s="18" t="inlineStr">
        <is>
          <t>조정액 · 부문 이익</t>
        </is>
      </c>
      <c r="C187" s="20" t="n">
        <v>-638.365</v>
      </c>
      <c r="D187" s="20" t="n">
        <v>-808.897</v>
      </c>
      <c r="E187" s="20" t="n">
        <v>-795.878</v>
      </c>
      <c r="F187" s="20" t="n">
        <v>-641.244</v>
      </c>
      <c r="G187" s="20" t="n">
        <v>-621.145</v>
      </c>
      <c r="H187" s="20" t="n">
        <v>-1000.979</v>
      </c>
      <c r="I187" s="20" t="n">
        <v>-603.274</v>
      </c>
      <c r="J187" s="20" t="n">
        <v>-799.704</v>
      </c>
      <c r="K187" s="20" t="n">
        <v>-788.101</v>
      </c>
      <c r="L187" s="20" t="n">
        <v>-634.761</v>
      </c>
      <c r="M187" s="20" t="n">
        <v>-1066.791</v>
      </c>
      <c r="N187" s="20" t="n">
        <v>-984.942</v>
      </c>
      <c r="V187" s="20" t="n">
        <v>-808.897</v>
      </c>
      <c r="W187" s="20" t="n">
        <v>-1000.979</v>
      </c>
      <c r="X187" s="20" t="n">
        <v>-634.761</v>
      </c>
    </row>
    <row r="188">
      <c r="A188" s="9" t="inlineStr">
        <is>
          <t>부문 이익</t>
        </is>
      </c>
      <c r="C188" s="12" t="n">
        <v>2508.05</v>
      </c>
      <c r="D188" s="12" t="n">
        <v>3066.631</v>
      </c>
      <c r="E188" s="12" t="n">
        <v>8226.369000000001</v>
      </c>
      <c r="F188" s="12" t="n">
        <v>1683.5</v>
      </c>
      <c r="G188" s="12" t="n">
        <v>2252.537</v>
      </c>
      <c r="H188" s="12" t="n">
        <v>1586.273</v>
      </c>
      <c r="I188" s="12" t="n">
        <v>5077.56</v>
      </c>
      <c r="J188" s="12" t="n">
        <v>4592.286</v>
      </c>
      <c r="K188" s="12" t="n">
        <v>2878.971</v>
      </c>
      <c r="L188" s="12" t="n">
        <v>3846.434</v>
      </c>
      <c r="M188" s="12" t="n">
        <v>5878.505</v>
      </c>
      <c r="N188" s="12" t="n">
        <v>6985.131</v>
      </c>
      <c r="V188" s="12" t="n">
        <v>3066.631</v>
      </c>
      <c r="W188" s="12" t="n">
        <v>1586.273</v>
      </c>
      <c r="X188" s="12" t="n">
        <v>3846.434</v>
      </c>
    </row>
    <row r="189">
      <c r="A189" s="43" t="inlineStr">
        <is>
          <t>YoY</t>
        </is>
      </c>
      <c r="B189" s="3" t="inlineStr">
        <is>
          <t>전년 같은 분기·전년 대비</t>
        </is>
      </c>
      <c r="G189" s="15">
        <f>IF(OR(G188="",C188=""),"",IF(C188&lt;=0,"",IFERROR(G188/C188-1,"")))</f>
        <v/>
      </c>
      <c r="H189" s="15">
        <f>IF(OR(H188="",D188=""),"",IF(D188&lt;=0,"",IFERROR(H188/D188-1,"")))</f>
        <v/>
      </c>
      <c r="I189" s="15">
        <f>IF(OR(I188="",E188=""),"",IF(E188&lt;=0,"",IFERROR(I188/E188-1,"")))</f>
        <v/>
      </c>
      <c r="J189" s="15">
        <f>IF(OR(J188="",F188=""),"",IF(F188&lt;=0,"",IFERROR(J188/F188-1,"")))</f>
        <v/>
      </c>
      <c r="K189" s="15">
        <f>IF(OR(K188="",G188=""),"",IF(G188&lt;=0,"",IFERROR(K188/G188-1,"")))</f>
        <v/>
      </c>
      <c r="L189" s="15">
        <f>IF(OR(L188="",H188=""),"",IF(H188&lt;=0,"",IFERROR(L188/H188-1,"")))</f>
        <v/>
      </c>
      <c r="M189" s="15">
        <f>IF(OR(M188="",I188=""),"",IF(I188&lt;=0,"",IFERROR(M188/I188-1,"")))</f>
        <v/>
      </c>
      <c r="N189" s="15">
        <f>IF(OR(N188="",J188=""),"",IF(J188&lt;=0,"",IFERROR(N188/J188-1,"")))</f>
        <v/>
      </c>
      <c r="V189" s="15">
        <f>IF(OR(V188="",U188=""),"",IF(U188&lt;=0,"",IFERROR(V188/U188-1,"")))</f>
        <v/>
      </c>
      <c r="W189" s="15">
        <f>IF(OR(W188="",V188=""),"",IF(V188&lt;=0,"",IFERROR(W188/V188-1,"")))</f>
        <v/>
      </c>
      <c r="X189" s="15">
        <f>IF(OR(X188="",W188=""),"",IF(W188&lt;=0,"",IFERROR(X188/W188-1,"")))</f>
        <v/>
      </c>
    </row>
    <row r="191">
      <c r="A191" s="16" t="inlineStr">
        <is>
          <t>현금흐름표 · 전 항목</t>
        </is>
      </c>
      <c r="B191" s="42" t="inlineStr">
        <is>
          <t>분기 = 결산기 첫날부터 누계(공시 그대로)</t>
        </is>
      </c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/>
      <c r="AB191" s="16" t="n"/>
      <c r="AC191" s="16" t="n"/>
    </row>
    <row r="192">
      <c r="A192" s="5" t="inlineStr">
        <is>
          <t>항목</t>
        </is>
      </c>
      <c r="B192" s="5" t="inlineStr">
        <is>
          <t>참고</t>
        </is>
      </c>
      <c r="C192" s="5" t="inlineStr">
        <is>
          <t>2024.3Q</t>
        </is>
      </c>
      <c r="D192" s="5" t="inlineStr">
        <is>
          <t>2024.4Q</t>
        </is>
      </c>
      <c r="E192" s="5" t="inlineStr">
        <is>
          <t>2025.1Q</t>
        </is>
      </c>
      <c r="F192" s="5" t="inlineStr">
        <is>
          <t>2025.2Q</t>
        </is>
      </c>
      <c r="G192" s="5" t="inlineStr">
        <is>
          <t>2025.3Q</t>
        </is>
      </c>
      <c r="H192" s="5" t="inlineStr">
        <is>
          <t>2025.4Q</t>
        </is>
      </c>
      <c r="I192" s="5" t="inlineStr">
        <is>
          <t>2026.1Q</t>
        </is>
      </c>
      <c r="J192" s="5" t="inlineStr">
        <is>
          <t>2026.2Q</t>
        </is>
      </c>
      <c r="K192" s="5" t="inlineStr">
        <is>
          <t>2026.3Q</t>
        </is>
      </c>
      <c r="L192" s="5" t="inlineStr">
        <is>
          <t>2026.4Q</t>
        </is>
      </c>
      <c r="M192" s="5" t="inlineStr">
        <is>
          <t>2027.1Q</t>
        </is>
      </c>
      <c r="N192" s="5" t="inlineStr">
        <is>
          <t>2027.2Q</t>
        </is>
      </c>
      <c r="O192" s="5" t="inlineStr">
        <is>
          <t>2017</t>
        </is>
      </c>
      <c r="P192" s="5" t="inlineStr">
        <is>
          <t>2018</t>
        </is>
      </c>
      <c r="Q192" s="5" t="inlineStr">
        <is>
          <t>2019</t>
        </is>
      </c>
      <c r="R192" s="5" t="inlineStr">
        <is>
          <t>2020</t>
        </is>
      </c>
      <c r="S192" s="5" t="inlineStr">
        <is>
          <t>2021</t>
        </is>
      </c>
      <c r="T192" s="5" t="inlineStr">
        <is>
          <t>2022</t>
        </is>
      </c>
      <c r="U192" s="5" t="inlineStr">
        <is>
          <t>2023</t>
        </is>
      </c>
      <c r="V192" s="5" t="inlineStr">
        <is>
          <t>2024</t>
        </is>
      </c>
      <c r="W192" s="5" t="inlineStr">
        <is>
          <t>2025</t>
        </is>
      </c>
      <c r="X192" s="5" t="inlineStr">
        <is>
          <t>2026</t>
        </is>
      </c>
      <c r="Y192" s="5" t="inlineStr">
        <is>
          <t>2027(MW)</t>
        </is>
      </c>
      <c r="Z192" s="5" t="inlineStr">
        <is>
          <t>2028(MW)</t>
        </is>
      </c>
      <c r="AA192" s="5" t="inlineStr">
        <is>
          <t>2029(MW)</t>
        </is>
      </c>
      <c r="AB192" s="5" t="inlineStr">
        <is>
          <t>2030(MW)</t>
        </is>
      </c>
      <c r="AC192" s="5" t="inlineStr">
        <is>
          <t>2031(MW)</t>
        </is>
      </c>
    </row>
    <row r="193">
      <c r="A193" s="9" t="inlineStr">
        <is>
          <t>법인세차감전 순이익</t>
        </is>
      </c>
      <c r="D193" s="12" t="n">
        <v>11343.151</v>
      </c>
      <c r="F193" s="12" t="n">
        <v>9909.869000000001</v>
      </c>
      <c r="H193" s="12" t="n">
        <v>13748.679</v>
      </c>
      <c r="J193" s="12" t="n">
        <v>9668.634</v>
      </c>
      <c r="L193" s="12" t="n">
        <v>16392.536</v>
      </c>
      <c r="N193" s="12" t="n">
        <v>12798.972</v>
      </c>
      <c r="O193" s="12" t="n">
        <v>5054.249</v>
      </c>
      <c r="P193" s="12" t="n">
        <v>6703.403</v>
      </c>
      <c r="Q193" s="12" t="n">
        <v>7067.287</v>
      </c>
      <c r="R193" s="12" t="n">
        <v>7990.114</v>
      </c>
      <c r="S193" s="12" t="n">
        <v>7001.643</v>
      </c>
      <c r="T193" s="12" t="n">
        <v>8575.047</v>
      </c>
      <c r="U193" s="12" t="n">
        <v>9368.654</v>
      </c>
      <c r="V193" s="12" t="n">
        <v>11343.151</v>
      </c>
      <c r="W193" s="12" t="n">
        <v>13748.679</v>
      </c>
      <c r="X193" s="12" t="n">
        <v>16392.536</v>
      </c>
    </row>
    <row r="194">
      <c r="A194" s="18" t="inlineStr">
        <is>
          <t>감가상각비</t>
        </is>
      </c>
      <c r="D194" s="20" t="n">
        <v>512.895</v>
      </c>
      <c r="F194" s="20" t="n">
        <v>257.518</v>
      </c>
      <c r="H194" s="20" t="n">
        <v>519.275</v>
      </c>
      <c r="J194" s="20" t="n">
        <v>295.624</v>
      </c>
      <c r="L194" s="20" t="n">
        <v>614.692</v>
      </c>
      <c r="N194" s="20" t="n">
        <v>355.295</v>
      </c>
      <c r="O194" s="20" t="n">
        <v>144.625</v>
      </c>
      <c r="P194" s="20" t="n">
        <v>144.791</v>
      </c>
      <c r="Q194" s="20" t="n">
        <v>146.052</v>
      </c>
      <c r="R194" s="20" t="n">
        <v>184.771</v>
      </c>
      <c r="S194" s="20" t="n">
        <v>264.42</v>
      </c>
      <c r="T194" s="20" t="n">
        <v>320.327</v>
      </c>
      <c r="U194" s="20" t="n">
        <v>380.232</v>
      </c>
      <c r="V194" s="20" t="n">
        <v>512.895</v>
      </c>
      <c r="W194" s="20" t="n">
        <v>519.275</v>
      </c>
      <c r="X194" s="20" t="n">
        <v>614.692</v>
      </c>
    </row>
    <row r="195">
      <c r="A195" s="18" t="inlineStr">
        <is>
          <t>손상차손</t>
        </is>
      </c>
      <c r="P195" s="20" t="n">
        <v>0</v>
      </c>
      <c r="Q195" s="20" t="n">
        <v>170</v>
      </c>
      <c r="R195" s="20" t="n">
        <v>0</v>
      </c>
    </row>
    <row r="196">
      <c r="A196" s="18" t="inlineStr">
        <is>
          <t>영업권 상각</t>
        </is>
      </c>
      <c r="D196" s="20" t="n">
        <v>35</v>
      </c>
      <c r="F196" s="20" t="n">
        <v>17.5</v>
      </c>
      <c r="H196" s="20" t="n">
        <v>35</v>
      </c>
      <c r="J196" s="20" t="n">
        <v>17.5</v>
      </c>
      <c r="L196" s="20" t="n">
        <v>35</v>
      </c>
      <c r="N196" s="20" t="n">
        <v>17.5</v>
      </c>
      <c r="S196" s="20" t="n">
        <v>0</v>
      </c>
      <c r="T196" s="20" t="n">
        <v>17.5</v>
      </c>
      <c r="U196" s="20" t="n">
        <v>35</v>
      </c>
      <c r="V196" s="20" t="n">
        <v>35</v>
      </c>
      <c r="W196" s="20" t="n">
        <v>35</v>
      </c>
      <c r="X196" s="20" t="n">
        <v>35</v>
      </c>
    </row>
    <row r="197">
      <c r="A197" s="18" t="inlineStr">
        <is>
          <t>재고자산 평가손실</t>
        </is>
      </c>
      <c r="D197" s="20" t="n">
        <v>0</v>
      </c>
      <c r="H197" s="20" t="n">
        <v>0</v>
      </c>
      <c r="L197" s="20" t="n">
        <v>210</v>
      </c>
      <c r="O197" s="20" t="n">
        <v>333.152</v>
      </c>
      <c r="P197" s="20" t="n">
        <v>93.875</v>
      </c>
      <c r="Q197" s="20" t="n">
        <v>432.225</v>
      </c>
      <c r="R197" s="20" t="n">
        <v>74.033</v>
      </c>
      <c r="S197" s="20" t="n">
        <v>1423.186</v>
      </c>
      <c r="T197" s="20" t="n">
        <v>267.724</v>
      </c>
      <c r="U197" s="20" t="n">
        <v>1179.04</v>
      </c>
      <c r="V197" s="20" t="n">
        <v>0</v>
      </c>
      <c r="W197" s="20" t="n">
        <v>0</v>
      </c>
      <c r="X197" s="20" t="n">
        <v>210</v>
      </c>
    </row>
    <row r="198">
      <c r="A198" s="18" t="inlineStr">
        <is>
          <t>퇴직급여부채 증감</t>
        </is>
      </c>
      <c r="D198" s="20" t="n">
        <v>6.312</v>
      </c>
      <c r="F198" s="20" t="n">
        <v>21.35</v>
      </c>
      <c r="H198" s="20" t="n">
        <v>22.776</v>
      </c>
      <c r="J198" s="20" t="n">
        <v>14.09</v>
      </c>
      <c r="L198" s="20" t="n">
        <v>16.438</v>
      </c>
      <c r="N198" s="20" t="n">
        <v>38.979</v>
      </c>
      <c r="O198" s="20" t="n">
        <v>4.363</v>
      </c>
      <c r="P198" s="20" t="n">
        <v>4.371</v>
      </c>
      <c r="Q198" s="20" t="n">
        <v>8.247999999999999</v>
      </c>
      <c r="R198" s="20" t="n">
        <v>1.277</v>
      </c>
      <c r="S198" s="20" t="n">
        <v>-0.6919999999999999</v>
      </c>
      <c r="T198" s="20" t="n">
        <v>7.63</v>
      </c>
      <c r="U198" s="20" t="n">
        <v>16.965</v>
      </c>
      <c r="V198" s="20" t="n">
        <v>6.312</v>
      </c>
      <c r="W198" s="20" t="n">
        <v>22.776</v>
      </c>
      <c r="X198" s="20" t="n">
        <v>16.438</v>
      </c>
    </row>
    <row r="199">
      <c r="A199" s="18" t="inlineStr">
        <is>
          <t>임원 퇴직위로 충당금 증감</t>
        </is>
      </c>
      <c r="D199" s="20" t="n">
        <v>5.625</v>
      </c>
      <c r="F199" s="20" t="n">
        <v>2.437</v>
      </c>
      <c r="H199" s="20" t="n">
        <v>4.687</v>
      </c>
      <c r="J199" s="20" t="n">
        <v>2.25</v>
      </c>
      <c r="L199" s="20" t="n">
        <v>4.5</v>
      </c>
      <c r="N199" s="20" t="n">
        <v>-8.25</v>
      </c>
      <c r="O199" s="20" t="n">
        <v>-48</v>
      </c>
      <c r="P199" s="20" t="n">
        <v>-0.75</v>
      </c>
      <c r="Q199" s="20" t="n">
        <v>-11.375</v>
      </c>
      <c r="R199" s="20" t="n">
        <v>4.687</v>
      </c>
      <c r="S199" s="20" t="n">
        <v>4.25</v>
      </c>
      <c r="T199" s="20" t="n">
        <v>-126.25</v>
      </c>
      <c r="U199" s="20" t="n">
        <v>3.062</v>
      </c>
      <c r="V199" s="20" t="n">
        <v>5.625</v>
      </c>
      <c r="W199" s="20" t="n">
        <v>4.687</v>
      </c>
      <c r="X199" s="20" t="n">
        <v>4.5</v>
      </c>
    </row>
    <row r="200">
      <c r="A200" s="18" t="inlineStr">
        <is>
          <t>이자·배당금 수익</t>
        </is>
      </c>
      <c r="D200" s="20" t="n">
        <v>-32.377</v>
      </c>
      <c r="F200" s="20" t="n">
        <v>-12.876</v>
      </c>
      <c r="H200" s="20" t="n">
        <v>-28.403</v>
      </c>
      <c r="J200" s="20" t="n">
        <v>-33.276</v>
      </c>
      <c r="L200" s="20" t="n">
        <v>-100.136</v>
      </c>
      <c r="N200" s="20" t="n">
        <v>-53.55</v>
      </c>
      <c r="O200" s="20" t="n">
        <v>-6.479</v>
      </c>
      <c r="P200" s="20" t="n">
        <v>-8.461</v>
      </c>
      <c r="Q200" s="20" t="n">
        <v>-7.503</v>
      </c>
      <c r="R200" s="20" t="n">
        <v>-7.334</v>
      </c>
      <c r="S200" s="20" t="n">
        <v>-8.379</v>
      </c>
      <c r="T200" s="20" t="n">
        <v>-12.23</v>
      </c>
      <c r="U200" s="20" t="n">
        <v>-12.919</v>
      </c>
      <c r="V200" s="20" t="n">
        <v>-32.377</v>
      </c>
      <c r="W200" s="20" t="n">
        <v>-28.403</v>
      </c>
      <c r="X200" s="20" t="n">
        <v>-100.136</v>
      </c>
    </row>
    <row r="201">
      <c r="A201" s="18" t="inlineStr">
        <is>
          <t>이자비용</t>
        </is>
      </c>
      <c r="D201" s="20" t="n">
        <v>518.698</v>
      </c>
      <c r="F201" s="20" t="n">
        <v>377.623</v>
      </c>
      <c r="H201" s="20" t="n">
        <v>996.311</v>
      </c>
      <c r="J201" s="20" t="n">
        <v>1062.758</v>
      </c>
      <c r="L201" s="20" t="n">
        <v>2345.279</v>
      </c>
      <c r="N201" s="20" t="n">
        <v>1732.336</v>
      </c>
      <c r="O201" s="20" t="n">
        <v>124.476</v>
      </c>
      <c r="P201" s="20" t="n">
        <v>98.742</v>
      </c>
      <c r="Q201" s="20" t="n">
        <v>93.80800000000001</v>
      </c>
      <c r="R201" s="20" t="n">
        <v>111.525</v>
      </c>
      <c r="S201" s="20" t="n">
        <v>200.558</v>
      </c>
      <c r="T201" s="20" t="n">
        <v>287.951</v>
      </c>
      <c r="U201" s="20" t="n">
        <v>374.074</v>
      </c>
      <c r="V201" s="20" t="n">
        <v>518.698</v>
      </c>
      <c r="W201" s="20" t="n">
        <v>996.311</v>
      </c>
      <c r="X201" s="20" t="n">
        <v>2345.279</v>
      </c>
    </row>
    <row r="202">
      <c r="A202" s="18" t="inlineStr">
        <is>
          <t>지급수수료</t>
        </is>
      </c>
      <c r="D202" s="20" t="n">
        <v>0</v>
      </c>
      <c r="H202" s="20" t="n">
        <v>120.895</v>
      </c>
      <c r="L202" s="20" t="n">
        <v>336.065</v>
      </c>
      <c r="V202" s="20" t="n">
        <v>0</v>
      </c>
      <c r="W202" s="20" t="n">
        <v>120.895</v>
      </c>
      <c r="X202" s="20" t="n">
        <v>336.065</v>
      </c>
    </row>
    <row r="203">
      <c r="A203" s="18" t="inlineStr">
        <is>
          <t>보험금 수익</t>
        </is>
      </c>
      <c r="F203" s="20" t="n">
        <v>-1.65</v>
      </c>
      <c r="J203" s="20" t="n">
        <v>-135.505</v>
      </c>
      <c r="N203" s="20" t="n">
        <v>-5.25</v>
      </c>
    </row>
    <row r="204">
      <c r="A204" s="18" t="inlineStr">
        <is>
          <t>고정자산 제각손실</t>
        </is>
      </c>
      <c r="F204" s="20" t="n">
        <v>0</v>
      </c>
      <c r="J204" s="20" t="n">
        <v>1.212</v>
      </c>
      <c r="N204" s="20" t="n">
        <v>2.254</v>
      </c>
      <c r="Q204" s="20" t="n">
        <v>0</v>
      </c>
      <c r="R204" s="20" t="n">
        <v>9.919</v>
      </c>
      <c r="S204" s="20" t="n">
        <v>0</v>
      </c>
    </row>
    <row r="205">
      <c r="A205" s="18" t="inlineStr">
        <is>
          <t>매출채권 증감</t>
        </is>
      </c>
      <c r="D205" s="20" t="n">
        <v>-2048.666</v>
      </c>
      <c r="F205" s="20" t="n">
        <v>1419.481</v>
      </c>
      <c r="H205" s="20" t="n">
        <v>339.497</v>
      </c>
      <c r="J205" s="20" t="n">
        <v>-3.448</v>
      </c>
      <c r="L205" s="20" t="n">
        <v>1109.375</v>
      </c>
      <c r="N205" s="20" t="n">
        <v>-1290.9</v>
      </c>
      <c r="O205" s="20" t="n">
        <v>-24.741</v>
      </c>
      <c r="P205" s="20" t="n">
        <v>-198.885</v>
      </c>
      <c r="Q205" s="20" t="n">
        <v>-216.722</v>
      </c>
      <c r="R205" s="20" t="n">
        <v>-291.403</v>
      </c>
      <c r="S205" s="20" t="n">
        <v>-1413.056</v>
      </c>
      <c r="T205" s="20" t="n">
        <v>-715.227</v>
      </c>
      <c r="U205" s="20" t="n">
        <v>2219.177</v>
      </c>
      <c r="V205" s="20" t="n">
        <v>-2048.666</v>
      </c>
      <c r="W205" s="20" t="n">
        <v>339.497</v>
      </c>
      <c r="X205" s="20" t="n">
        <v>1109.375</v>
      </c>
    </row>
    <row r="206">
      <c r="A206" s="18" t="inlineStr">
        <is>
          <t>재고자산 증감</t>
        </is>
      </c>
      <c r="D206" s="20" t="n">
        <v>-39791.378</v>
      </c>
      <c r="F206" s="20" t="n">
        <v>-9601.157999999999</v>
      </c>
      <c r="H206" s="20" t="n">
        <v>-41809.112</v>
      </c>
      <c r="J206" s="20" t="n">
        <v>-15117.647</v>
      </c>
      <c r="L206" s="20" t="n">
        <v>-54075.188</v>
      </c>
      <c r="N206" s="20" t="n">
        <v>-12844.443</v>
      </c>
      <c r="O206" s="20" t="n">
        <v>677.158</v>
      </c>
      <c r="P206" s="20" t="n">
        <v>-4614.239</v>
      </c>
      <c r="Q206" s="20" t="n">
        <v>-6836.178</v>
      </c>
      <c r="R206" s="20" t="n">
        <v>-15349.417</v>
      </c>
      <c r="S206" s="20" t="n">
        <v>-11341.653</v>
      </c>
      <c r="T206" s="20" t="n">
        <v>-10885.764</v>
      </c>
      <c r="U206" s="20" t="n">
        <v>-20871.413</v>
      </c>
      <c r="V206" s="20" t="n">
        <v>-39791.378</v>
      </c>
      <c r="W206" s="20" t="n">
        <v>-41809.112</v>
      </c>
      <c r="X206" s="20" t="n">
        <v>-54075.188</v>
      </c>
    </row>
    <row r="207">
      <c r="A207" s="18" t="inlineStr">
        <is>
          <t>매입채무 증감</t>
        </is>
      </c>
      <c r="D207" s="20" t="n">
        <v>2050.655</v>
      </c>
      <c r="F207" s="20" t="n">
        <v>-3239.15</v>
      </c>
      <c r="H207" s="20" t="n">
        <v>-3329.55</v>
      </c>
      <c r="J207" s="20" t="n">
        <v>-2816.445</v>
      </c>
      <c r="L207" s="20" t="n">
        <v>2001.821</v>
      </c>
      <c r="N207" s="20" t="n">
        <v>-3609.615</v>
      </c>
      <c r="O207" s="20" t="n">
        <v>-4881.536</v>
      </c>
      <c r="P207" s="20" t="n">
        <v>867.628</v>
      </c>
      <c r="Q207" s="20" t="n">
        <v>1.995</v>
      </c>
      <c r="R207" s="20" t="n">
        <v>408.347</v>
      </c>
      <c r="S207" s="20" t="n">
        <v>5646.935</v>
      </c>
      <c r="T207" s="20" t="n">
        <v>-5090.086</v>
      </c>
      <c r="U207" s="20" t="n">
        <v>-589.989</v>
      </c>
      <c r="V207" s="20" t="n">
        <v>2050.655</v>
      </c>
      <c r="W207" s="20" t="n">
        <v>-3329.55</v>
      </c>
      <c r="X207" s="20" t="n">
        <v>2001.821</v>
      </c>
    </row>
    <row r="208">
      <c r="A208" s="18" t="inlineStr">
        <is>
          <t>선수금 증감</t>
        </is>
      </c>
      <c r="D208" s="20" t="n">
        <v>692.3579999999999</v>
      </c>
      <c r="F208" s="20" t="n">
        <v>-1384.659</v>
      </c>
      <c r="H208" s="20" t="n">
        <v>-757.024</v>
      </c>
      <c r="J208" s="20" t="n">
        <v>501.063</v>
      </c>
      <c r="L208" s="20" t="n">
        <v>271.676</v>
      </c>
      <c r="N208" s="20" t="n">
        <v>45.663</v>
      </c>
      <c r="O208" s="20" t="n">
        <v>710.424</v>
      </c>
      <c r="P208" s="20" t="n">
        <v>167.527</v>
      </c>
      <c r="Q208" s="20" t="n">
        <v>33.428</v>
      </c>
      <c r="R208" s="20" t="n">
        <v>-321.826</v>
      </c>
      <c r="S208" s="20" t="n">
        <v>-210.33</v>
      </c>
      <c r="T208" s="20" t="n">
        <v>1333.4</v>
      </c>
      <c r="U208" s="20" t="n">
        <v>-333.761</v>
      </c>
      <c r="V208" s="20" t="n">
        <v>692.3579999999999</v>
      </c>
      <c r="W208" s="20" t="n">
        <v>-757.024</v>
      </c>
      <c r="X208" s="20" t="n">
        <v>271.676</v>
      </c>
    </row>
    <row r="209">
      <c r="A209" s="18" t="inlineStr">
        <is>
          <t>미지급 소비세 증감</t>
        </is>
      </c>
      <c r="D209" s="20" t="n">
        <v>161.983</v>
      </c>
      <c r="F209" s="20" t="n">
        <v>-137.74</v>
      </c>
      <c r="H209" s="20" t="n">
        <v>-63.808</v>
      </c>
      <c r="J209" s="20" t="n">
        <v>-68.149</v>
      </c>
      <c r="L209" s="20" t="n">
        <v>4.009</v>
      </c>
      <c r="N209" s="20" t="n">
        <v>347.293</v>
      </c>
      <c r="O209" s="20" t="n">
        <v>311.917</v>
      </c>
      <c r="P209" s="20" t="n">
        <v>-184.358</v>
      </c>
      <c r="Q209" s="20" t="n">
        <v>-77.776</v>
      </c>
      <c r="R209" s="20" t="n">
        <v>71.84699999999999</v>
      </c>
      <c r="S209" s="20" t="n">
        <v>129.436</v>
      </c>
      <c r="T209" s="20" t="n">
        <v>-146.298</v>
      </c>
      <c r="U209" s="20" t="n">
        <v>-8.48</v>
      </c>
      <c r="V209" s="20" t="n">
        <v>161.983</v>
      </c>
      <c r="W209" s="20" t="n">
        <v>-63.808</v>
      </c>
      <c r="X209" s="20" t="n">
        <v>4.009</v>
      </c>
    </row>
    <row r="210">
      <c r="A210" s="18" t="inlineStr">
        <is>
          <t>기타</t>
        </is>
      </c>
      <c r="D210" s="20" t="n">
        <v>-901.04</v>
      </c>
      <c r="F210" s="20" t="n">
        <v>-313.782</v>
      </c>
      <c r="H210" s="20" t="n">
        <v>-200.498</v>
      </c>
      <c r="J210" s="20" t="n">
        <v>-263.951</v>
      </c>
      <c r="L210" s="20" t="n">
        <v>-1350.693</v>
      </c>
      <c r="N210" s="20" t="n">
        <v>-604.7140000000001</v>
      </c>
      <c r="O210" s="20" t="n">
        <v>269.652</v>
      </c>
      <c r="P210" s="20" t="n">
        <v>130.441</v>
      </c>
      <c r="Q210" s="20" t="n">
        <v>-418.175</v>
      </c>
      <c r="R210" s="20" t="n">
        <v>-397.364</v>
      </c>
      <c r="S210" s="20" t="n">
        <v>839.703</v>
      </c>
      <c r="T210" s="20" t="n">
        <v>-250.069</v>
      </c>
      <c r="U210" s="20" t="n">
        <v>-1113.743</v>
      </c>
      <c r="V210" s="20" t="n">
        <v>-901.04</v>
      </c>
      <c r="W210" s="20" t="n">
        <v>-200.498</v>
      </c>
      <c r="X210" s="20" t="n">
        <v>-1350.693</v>
      </c>
    </row>
    <row r="211">
      <c r="A211" s="18" t="inlineStr">
        <is>
          <t>소계</t>
        </is>
      </c>
      <c r="D211" s="20" t="n">
        <v>-27446.783</v>
      </c>
      <c r="F211" s="20" t="n">
        <v>-2685.236</v>
      </c>
      <c r="H211" s="20" t="n">
        <v>-30401.273</v>
      </c>
      <c r="J211" s="20" t="n">
        <v>-6875.291</v>
      </c>
      <c r="L211" s="20" t="n">
        <v>-32184.622</v>
      </c>
      <c r="N211" s="20" t="n">
        <v>-3078.428</v>
      </c>
      <c r="O211" s="20" t="n">
        <v>2669.262</v>
      </c>
      <c r="P211" s="20" t="n">
        <v>3204.087</v>
      </c>
      <c r="Q211" s="20" t="n">
        <v>385.314</v>
      </c>
      <c r="R211" s="20" t="n">
        <v>-7510.823</v>
      </c>
      <c r="S211" s="20" t="n">
        <v>2536.023</v>
      </c>
      <c r="T211" s="20" t="n">
        <v>-6416.345</v>
      </c>
      <c r="U211" s="20" t="n">
        <v>-9354.1</v>
      </c>
      <c r="V211" s="20" t="n">
        <v>-27446.783</v>
      </c>
      <c r="W211" s="20" t="n">
        <v>-30401.273</v>
      </c>
      <c r="X211" s="20" t="n">
        <v>-32184.622</v>
      </c>
    </row>
    <row r="212">
      <c r="A212" s="18" t="inlineStr">
        <is>
          <t>이자·배당금 수취</t>
        </is>
      </c>
      <c r="D212" s="20" t="n">
        <v>32.321</v>
      </c>
      <c r="F212" s="20" t="n">
        <v>12.839</v>
      </c>
      <c r="H212" s="20" t="n">
        <v>28.077</v>
      </c>
      <c r="J212" s="20" t="n">
        <v>32.805</v>
      </c>
      <c r="L212" s="20" t="n">
        <v>98.991</v>
      </c>
      <c r="N212" s="20" t="n">
        <v>52.692</v>
      </c>
      <c r="O212" s="20" t="n">
        <v>6.647</v>
      </c>
      <c r="P212" s="20" t="n">
        <v>8.452999999999999</v>
      </c>
      <c r="Q212" s="20" t="n">
        <v>7.508</v>
      </c>
      <c r="R212" s="20" t="n">
        <v>7.376</v>
      </c>
      <c r="S212" s="20" t="n">
        <v>8.425000000000001</v>
      </c>
      <c r="T212" s="20" t="n">
        <v>12.363</v>
      </c>
      <c r="U212" s="20" t="n">
        <v>12.861</v>
      </c>
      <c r="V212" s="20" t="n">
        <v>32.321</v>
      </c>
      <c r="W212" s="20" t="n">
        <v>28.077</v>
      </c>
      <c r="X212" s="20" t="n">
        <v>98.991</v>
      </c>
    </row>
    <row r="213">
      <c r="A213" s="18" t="inlineStr">
        <is>
          <t>보험금 수취</t>
        </is>
      </c>
      <c r="D213" s="20" t="n">
        <v>34.415</v>
      </c>
      <c r="F213" s="20" t="n">
        <v>1.65</v>
      </c>
      <c r="H213" s="20" t="n">
        <v>4.446</v>
      </c>
      <c r="J213" s="20" t="n">
        <v>135.505</v>
      </c>
      <c r="L213" s="20" t="n">
        <v>136.337</v>
      </c>
      <c r="N213" s="20" t="n">
        <v>5.25</v>
      </c>
      <c r="T213" s="20" t="n">
        <v>8.103999999999999</v>
      </c>
      <c r="U213" s="20" t="n">
        <v>314.528</v>
      </c>
      <c r="V213" s="20" t="n">
        <v>34.415</v>
      </c>
      <c r="W213" s="20" t="n">
        <v>4.446</v>
      </c>
      <c r="X213" s="20" t="n">
        <v>136.337</v>
      </c>
    </row>
    <row r="214">
      <c r="A214" s="18" t="inlineStr">
        <is>
          <t>이자 지급</t>
        </is>
      </c>
      <c r="D214" s="20" t="n">
        <v>-574.946</v>
      </c>
      <c r="F214" s="20" t="n">
        <v>-379.668</v>
      </c>
      <c r="H214" s="20" t="n">
        <v>-1164.606</v>
      </c>
      <c r="J214" s="20" t="n">
        <v>-1079.466</v>
      </c>
      <c r="L214" s="20" t="n">
        <v>-2402.269</v>
      </c>
      <c r="N214" s="20" t="n">
        <v>-1936.174</v>
      </c>
      <c r="O214" s="20" t="n">
        <v>-123.38</v>
      </c>
      <c r="P214" s="20" t="n">
        <v>-91.96599999999999</v>
      </c>
      <c r="Q214" s="20" t="n">
        <v>-97.997</v>
      </c>
      <c r="R214" s="20" t="n">
        <v>-130.201</v>
      </c>
      <c r="S214" s="20" t="n">
        <v>-208.695</v>
      </c>
      <c r="T214" s="20" t="n">
        <v>-315.569</v>
      </c>
      <c r="U214" s="20" t="n">
        <v>-526.559</v>
      </c>
      <c r="V214" s="20" t="n">
        <v>-574.946</v>
      </c>
      <c r="W214" s="20" t="n">
        <v>-1164.606</v>
      </c>
      <c r="X214" s="20" t="n">
        <v>-2402.269</v>
      </c>
    </row>
    <row r="215">
      <c r="A215" s="18" t="inlineStr">
        <is>
          <t>법인세 납부</t>
        </is>
      </c>
      <c r="D215" s="20" t="n">
        <v>-4258.878</v>
      </c>
      <c r="F215" s="20" t="n">
        <v>-2097.801</v>
      </c>
      <c r="H215" s="20" t="n">
        <v>-3907.177</v>
      </c>
      <c r="J215" s="20" t="n">
        <v>-2938.684</v>
      </c>
      <c r="L215" s="20" t="n">
        <v>-5179.649</v>
      </c>
      <c r="N215" s="20" t="n">
        <v>-3271.31</v>
      </c>
      <c r="O215" s="20" t="n">
        <v>-1472.313</v>
      </c>
      <c r="P215" s="20" t="n">
        <v>-2438.62</v>
      </c>
      <c r="Q215" s="20" t="n">
        <v>-2071.97</v>
      </c>
      <c r="R215" s="20" t="n">
        <v>-3238.364</v>
      </c>
      <c r="S215" s="20" t="n">
        <v>-2344.813</v>
      </c>
      <c r="T215" s="20" t="n">
        <v>-2659.628</v>
      </c>
      <c r="U215" s="20" t="n">
        <v>-3307.685</v>
      </c>
      <c r="V215" s="20" t="n">
        <v>-4258.878</v>
      </c>
      <c r="W215" s="20" t="n">
        <v>-3907.177</v>
      </c>
      <c r="X215" s="20" t="n">
        <v>-5179.649</v>
      </c>
    </row>
    <row r="216">
      <c r="A216" s="9" t="inlineStr">
        <is>
          <t>영업활동 현금흐름</t>
        </is>
      </c>
      <c r="D216" s="12" t="n">
        <v>-32213.87</v>
      </c>
      <c r="F216" s="12" t="n">
        <v>-5148.217</v>
      </c>
      <c r="H216" s="12" t="n">
        <v>-35440.533</v>
      </c>
      <c r="J216" s="12" t="n">
        <v>-10725.131</v>
      </c>
      <c r="L216" s="12" t="n">
        <v>-39531.212</v>
      </c>
      <c r="N216" s="12" t="n">
        <v>-8227.969999999999</v>
      </c>
      <c r="O216" s="12" t="n">
        <v>1080.215</v>
      </c>
      <c r="P216" s="12" t="n">
        <v>681.953</v>
      </c>
      <c r="Q216" s="12" t="n">
        <v>-1777.145</v>
      </c>
      <c r="R216" s="12" t="n">
        <v>-10872.012</v>
      </c>
      <c r="S216" s="12" t="n">
        <v>-9.058999999999999</v>
      </c>
      <c r="T216" s="12" t="n">
        <v>-9371.075999999999</v>
      </c>
      <c r="U216" s="12" t="n">
        <v>-12860.955</v>
      </c>
      <c r="V216" s="12" t="n">
        <v>-32213.87</v>
      </c>
      <c r="W216" s="12" t="n">
        <v>-35440.533</v>
      </c>
      <c r="X216" s="12" t="n">
        <v>-39531.212</v>
      </c>
    </row>
    <row r="217">
      <c r="A217" s="18" t="inlineStr">
        <is>
          <t>정기예금 예입</t>
        </is>
      </c>
      <c r="D217" s="20" t="n">
        <v>-519.742</v>
      </c>
      <c r="F217" s="20" t="n">
        <v>-70</v>
      </c>
      <c r="H217" s="20" t="n">
        <v>-674.598</v>
      </c>
      <c r="J217" s="20" t="n">
        <v>-122</v>
      </c>
      <c r="L217" s="20" t="n">
        <v>-871.855</v>
      </c>
      <c r="N217" s="20" t="n">
        <v>-70</v>
      </c>
      <c r="O217" s="20" t="n">
        <v>-825.2089999999999</v>
      </c>
      <c r="P217" s="20" t="n">
        <v>-825.716</v>
      </c>
      <c r="Q217" s="20" t="n">
        <v>-826.2380000000001</v>
      </c>
      <c r="R217" s="20" t="n">
        <v>-826.749</v>
      </c>
      <c r="S217" s="20" t="n">
        <v>-827.15</v>
      </c>
      <c r="T217" s="20" t="n">
        <v>-525.542</v>
      </c>
      <c r="U217" s="20" t="n">
        <v>-438.38</v>
      </c>
      <c r="V217" s="20" t="n">
        <v>-519.742</v>
      </c>
      <c r="W217" s="20" t="n">
        <v>-674.598</v>
      </c>
      <c r="X217" s="20" t="n">
        <v>-871.855</v>
      </c>
    </row>
    <row r="218">
      <c r="A218" s="18" t="inlineStr">
        <is>
          <t>정기예금 인출</t>
        </is>
      </c>
      <c r="D218" s="20" t="n">
        <v>519.742</v>
      </c>
      <c r="F218" s="20" t="n">
        <v>70</v>
      </c>
      <c r="H218" s="20" t="n">
        <v>524.598</v>
      </c>
      <c r="J218" s="20" t="n">
        <v>60</v>
      </c>
      <c r="L218" s="20" t="n">
        <v>484.657</v>
      </c>
      <c r="N218" s="20" t="n">
        <v>632.901</v>
      </c>
      <c r="O218" s="20" t="n">
        <v>824.45</v>
      </c>
      <c r="P218" s="20" t="n">
        <v>825.2089999999999</v>
      </c>
      <c r="Q218" s="20" t="n">
        <v>825.716</v>
      </c>
      <c r="R218" s="20" t="n">
        <v>826.2380000000001</v>
      </c>
      <c r="S218" s="20" t="n">
        <v>826.749</v>
      </c>
      <c r="T218" s="20" t="n">
        <v>627.15</v>
      </c>
      <c r="U218" s="20" t="n">
        <v>639.439</v>
      </c>
      <c r="V218" s="20" t="n">
        <v>519.742</v>
      </c>
      <c r="W218" s="20" t="n">
        <v>524.598</v>
      </c>
      <c r="X218" s="20" t="n">
        <v>484.657</v>
      </c>
    </row>
    <row r="219">
      <c r="A219" s="18" t="inlineStr">
        <is>
          <t>유형자산 취득(설비투자)</t>
        </is>
      </c>
      <c r="D219" s="20" t="n">
        <v>-556.269</v>
      </c>
      <c r="F219" s="20" t="n">
        <v>-682.612</v>
      </c>
      <c r="H219" s="20" t="n">
        <v>-854.491</v>
      </c>
      <c r="J219" s="20" t="n">
        <v>-243.091</v>
      </c>
      <c r="L219" s="20" t="n">
        <v>-312.571</v>
      </c>
      <c r="N219" s="20" t="n">
        <v>-2277.24</v>
      </c>
      <c r="O219" s="20" t="n">
        <v>-1.255</v>
      </c>
      <c r="P219" s="20" t="n">
        <v>-10.743</v>
      </c>
      <c r="Q219" s="20" t="n">
        <v>-44.389</v>
      </c>
      <c r="R219" s="20" t="n">
        <v>-1284.432</v>
      </c>
      <c r="S219" s="20" t="n">
        <v>-777.064</v>
      </c>
      <c r="T219" s="20" t="n">
        <v>-490.143</v>
      </c>
      <c r="U219" s="20" t="n">
        <v>-2953.119</v>
      </c>
      <c r="V219" s="20" t="n">
        <v>-556.269</v>
      </c>
      <c r="W219" s="20" t="n">
        <v>-854.491</v>
      </c>
      <c r="X219" s="20" t="n">
        <v>-312.571</v>
      </c>
    </row>
    <row r="220">
      <c r="A220" s="18" t="inlineStr">
        <is>
          <t>무형자산 취득</t>
        </is>
      </c>
      <c r="D220" s="20" t="n">
        <v>-32.82</v>
      </c>
      <c r="F220" s="20" t="n">
        <v>-10.379</v>
      </c>
      <c r="H220" s="20" t="n">
        <v>-20.759</v>
      </c>
      <c r="J220" s="20" t="n">
        <v>-31.724</v>
      </c>
      <c r="L220" s="20" t="n">
        <v>-48.354</v>
      </c>
      <c r="N220" s="20" t="n">
        <v>-319.635</v>
      </c>
      <c r="O220" s="20" t="n">
        <v>-2.317</v>
      </c>
      <c r="P220" s="20" t="n">
        <v>-13.006</v>
      </c>
      <c r="Q220" s="20" t="n">
        <v>-5.675</v>
      </c>
      <c r="R220" s="20" t="n">
        <v>-31.447</v>
      </c>
      <c r="S220" s="20" t="n">
        <v>-12.357</v>
      </c>
      <c r="T220" s="20" t="n">
        <v>-500.242</v>
      </c>
      <c r="U220" s="20" t="n">
        <v>-2051.969</v>
      </c>
      <c r="V220" s="20" t="n">
        <v>-32.82</v>
      </c>
      <c r="W220" s="20" t="n">
        <v>-20.759</v>
      </c>
      <c r="X220" s="20" t="n">
        <v>-48.354</v>
      </c>
    </row>
    <row r="221">
      <c r="A221" s="18" t="inlineStr">
        <is>
          <t>투자유가증권 취득</t>
        </is>
      </c>
      <c r="D221" s="20" t="n">
        <v>-9.683</v>
      </c>
      <c r="F221" s="20" t="n">
        <v>-5.164</v>
      </c>
      <c r="H221" s="20" t="n">
        <v>-5.164</v>
      </c>
      <c r="J221" s="20" t="n">
        <v>0</v>
      </c>
      <c r="L221" s="20" t="n">
        <v>0</v>
      </c>
      <c r="O221" s="20" t="n">
        <v>-4.227</v>
      </c>
      <c r="P221" s="20" t="n">
        <v>-4.458</v>
      </c>
      <c r="Q221" s="20" t="n">
        <v>-90.367</v>
      </c>
      <c r="R221" s="20" t="n">
        <v>-4.929</v>
      </c>
      <c r="S221" s="20" t="n">
        <v>-5.393</v>
      </c>
      <c r="T221" s="20" t="n">
        <v>-6.939</v>
      </c>
      <c r="U221" s="20" t="n">
        <v>-8.800000000000001</v>
      </c>
      <c r="V221" s="20" t="n">
        <v>-9.683</v>
      </c>
      <c r="W221" s="20" t="n">
        <v>-5.164</v>
      </c>
      <c r="X221" s="20" t="n">
        <v>0</v>
      </c>
    </row>
    <row r="222">
      <c r="A222" s="18" t="inlineStr">
        <is>
          <t>투자유가증권 매각</t>
        </is>
      </c>
      <c r="O222" s="20" t="n">
        <v>0</v>
      </c>
      <c r="P222" s="20" t="n">
        <v>4.552</v>
      </c>
      <c r="Q222" s="20" t="n">
        <v>85.73099999999999</v>
      </c>
      <c r="R222" s="20" t="n">
        <v>0</v>
      </c>
    </row>
    <row r="223">
      <c r="A223" s="18" t="inlineStr">
        <is>
          <t>자회사 주식 취득</t>
        </is>
      </c>
      <c r="S223" s="20" t="n">
        <v>0</v>
      </c>
      <c r="T223" s="20" t="n">
        <v>-151.76</v>
      </c>
      <c r="U223" s="20" t="n">
        <v>0</v>
      </c>
    </row>
    <row r="224">
      <c r="A224" s="18" t="inlineStr">
        <is>
          <t>기타</t>
        </is>
      </c>
      <c r="D224" s="20" t="n">
        <v>-4.443</v>
      </c>
      <c r="F224" s="20" t="n">
        <v>0.8</v>
      </c>
      <c r="H224" s="20" t="n">
        <v>-16.7</v>
      </c>
      <c r="J224" s="20" t="n">
        <v>-343.947</v>
      </c>
      <c r="L224" s="20" t="n">
        <v>-347.719</v>
      </c>
      <c r="N224" s="20" t="n">
        <v>-39.616</v>
      </c>
      <c r="O224" s="20" t="n">
        <v>-2.302</v>
      </c>
      <c r="P224" s="20" t="n">
        <v>-2.497</v>
      </c>
      <c r="Q224" s="20" t="n">
        <v>-1.146</v>
      </c>
      <c r="R224" s="20" t="n">
        <v>33.332</v>
      </c>
      <c r="S224" s="20" t="n">
        <v>-4.661</v>
      </c>
      <c r="T224" s="20" t="n">
        <v>-12.553</v>
      </c>
      <c r="U224" s="20" t="n">
        <v>-7.084</v>
      </c>
      <c r="V224" s="20" t="n">
        <v>-4.443</v>
      </c>
      <c r="W224" s="20" t="n">
        <v>-16.7</v>
      </c>
      <c r="X224" s="20" t="n">
        <v>-347.719</v>
      </c>
    </row>
    <row r="225">
      <c r="A225" s="9" t="inlineStr">
        <is>
          <t>투자활동 현금흐름</t>
        </is>
      </c>
      <c r="D225" s="12" t="n">
        <v>-603.217</v>
      </c>
      <c r="F225" s="12" t="n">
        <v>-697.355</v>
      </c>
      <c r="H225" s="12" t="n">
        <v>-1047.115</v>
      </c>
      <c r="J225" s="12" t="n">
        <v>-680.7619999999999</v>
      </c>
      <c r="L225" s="12" t="n">
        <v>-1095.842</v>
      </c>
      <c r="N225" s="12" t="n">
        <v>-2073.59</v>
      </c>
      <c r="O225" s="12" t="n">
        <v>-10.861</v>
      </c>
      <c r="P225" s="12" t="n">
        <v>-26.66</v>
      </c>
      <c r="Q225" s="12" t="n">
        <v>-56.368</v>
      </c>
      <c r="R225" s="12" t="n">
        <v>-1287.986</v>
      </c>
      <c r="S225" s="12" t="n">
        <v>-799.878</v>
      </c>
      <c r="T225" s="12" t="n">
        <v>-1060.03</v>
      </c>
      <c r="U225" s="12" t="n">
        <v>-4819.913</v>
      </c>
      <c r="V225" s="12" t="n">
        <v>-603.217</v>
      </c>
      <c r="W225" s="12" t="n">
        <v>-1047.115</v>
      </c>
      <c r="X225" s="12" t="n">
        <v>-1095.842</v>
      </c>
    </row>
    <row r="226">
      <c r="A226" s="18" t="inlineStr">
        <is>
          <t>단기차입금 순증감</t>
        </is>
      </c>
      <c r="D226" s="20" t="n">
        <v>1615.2</v>
      </c>
      <c r="F226" s="20" t="n">
        <v>-1361.9</v>
      </c>
      <c r="H226" s="20" t="n">
        <v>350</v>
      </c>
      <c r="J226" s="20" t="n">
        <v>-1270.4</v>
      </c>
      <c r="L226" s="20" t="n">
        <v>-1353.16</v>
      </c>
      <c r="N226" s="20" t="n">
        <v>0.5600000000000001</v>
      </c>
      <c r="O226" s="20" t="n">
        <v>62.4</v>
      </c>
      <c r="P226" s="20" t="n">
        <v>222.3</v>
      </c>
      <c r="Q226" s="20" t="n">
        <v>150.5</v>
      </c>
      <c r="R226" s="20" t="n">
        <v>-509.1</v>
      </c>
      <c r="S226" s="20" t="n">
        <v>138.1</v>
      </c>
      <c r="T226" s="20" t="n">
        <v>328.7</v>
      </c>
      <c r="U226" s="20" t="n">
        <v>1578</v>
      </c>
      <c r="V226" s="20" t="n">
        <v>1615.2</v>
      </c>
      <c r="W226" s="20" t="n">
        <v>350</v>
      </c>
      <c r="X226" s="20" t="n">
        <v>-1353.16</v>
      </c>
    </row>
    <row r="227">
      <c r="A227" s="18" t="inlineStr">
        <is>
          <t>리스부채 상환</t>
        </is>
      </c>
      <c r="D227" s="20" t="n">
        <v>-125.985</v>
      </c>
      <c r="F227" s="20" t="n">
        <v>-67.407</v>
      </c>
      <c r="H227" s="20" t="n">
        <v>-136.496</v>
      </c>
      <c r="J227" s="20" t="n">
        <v>-69.26900000000001</v>
      </c>
      <c r="L227" s="20" t="n">
        <v>-137.589</v>
      </c>
      <c r="N227" s="20" t="n">
        <v>-66.444</v>
      </c>
      <c r="O227" s="20" t="n">
        <v>-82.48999999999999</v>
      </c>
      <c r="P227" s="20" t="n">
        <v>-82.492</v>
      </c>
      <c r="Q227" s="20" t="n">
        <v>-86.56699999999999</v>
      </c>
      <c r="R227" s="20" t="n">
        <v>-81.514</v>
      </c>
      <c r="S227" s="20" t="n">
        <v>-119.498</v>
      </c>
      <c r="T227" s="20" t="n">
        <v>-122.695</v>
      </c>
      <c r="U227" s="20" t="n">
        <v>-134.686</v>
      </c>
      <c r="V227" s="20" t="n">
        <v>-125.985</v>
      </c>
      <c r="W227" s="20" t="n">
        <v>-136.496</v>
      </c>
      <c r="X227" s="20" t="n">
        <v>-137.589</v>
      </c>
    </row>
    <row r="228">
      <c r="A228" s="18" t="inlineStr">
        <is>
          <t>할부채무 상환 지출</t>
        </is>
      </c>
      <c r="O228" s="20" t="n">
        <v>-10.547</v>
      </c>
      <c r="P228" s="20" t="n">
        <v>-9.506</v>
      </c>
      <c r="Q228" s="20" t="n">
        <v>-9.066000000000001</v>
      </c>
      <c r="R228" s="20" t="n">
        <v>-2.438</v>
      </c>
      <c r="S228" s="20" t="n">
        <v>0</v>
      </c>
    </row>
    <row r="229">
      <c r="A229" s="18" t="inlineStr">
        <is>
          <t>장기차입</t>
        </is>
      </c>
      <c r="D229" s="20" t="n">
        <v>49621.2</v>
      </c>
      <c r="F229" s="20" t="n">
        <v>22905.9</v>
      </c>
      <c r="H229" s="20" t="n">
        <v>82188.10000000001</v>
      </c>
      <c r="J229" s="20" t="n">
        <v>34304.3</v>
      </c>
      <c r="L229" s="20" t="n">
        <v>81034.39999999999</v>
      </c>
      <c r="N229" s="20" t="n">
        <v>64516.5</v>
      </c>
      <c r="O229" s="20" t="n">
        <v>8683</v>
      </c>
      <c r="P229" s="20" t="n">
        <v>10251</v>
      </c>
      <c r="Q229" s="20" t="n">
        <v>8227.5</v>
      </c>
      <c r="R229" s="20" t="n">
        <v>18288.5</v>
      </c>
      <c r="S229" s="20" t="n">
        <v>25216.2</v>
      </c>
      <c r="T229" s="20" t="n">
        <v>25238.1</v>
      </c>
      <c r="U229" s="20" t="n">
        <v>33417.8</v>
      </c>
      <c r="V229" s="20" t="n">
        <v>49621.2</v>
      </c>
      <c r="W229" s="20" t="n">
        <v>82188.10000000001</v>
      </c>
      <c r="X229" s="20" t="n">
        <v>81034.39999999999</v>
      </c>
    </row>
    <row r="230">
      <c r="A230" s="18" t="inlineStr">
        <is>
          <t>장기차입금 상환</t>
        </is>
      </c>
      <c r="D230" s="20" t="n">
        <v>-26901.643</v>
      </c>
      <c r="F230" s="20" t="n">
        <v>-13362.558</v>
      </c>
      <c r="H230" s="20" t="n">
        <v>-29227.788</v>
      </c>
      <c r="J230" s="20" t="n">
        <v>-17835.673</v>
      </c>
      <c r="L230" s="20" t="n">
        <v>-49547.952</v>
      </c>
      <c r="N230" s="20" t="n">
        <v>-45321.721</v>
      </c>
      <c r="O230" s="20" t="n">
        <v>-6094.231</v>
      </c>
      <c r="P230" s="20" t="n">
        <v>-10999.028</v>
      </c>
      <c r="Q230" s="20" t="n">
        <v>-8642.799999999999</v>
      </c>
      <c r="R230" s="20" t="n">
        <v>-9514.1</v>
      </c>
      <c r="S230" s="20" t="n">
        <v>-12120.25</v>
      </c>
      <c r="T230" s="20" t="n">
        <v>-18415.92</v>
      </c>
      <c r="U230" s="20" t="n">
        <v>-17226.724</v>
      </c>
      <c r="V230" s="20" t="n">
        <v>-26901.643</v>
      </c>
      <c r="W230" s="20" t="n">
        <v>-29227.788</v>
      </c>
      <c r="X230" s="20" t="n">
        <v>-49547.952</v>
      </c>
    </row>
    <row r="231">
      <c r="A231" s="18" t="inlineStr">
        <is>
          <t>사채 발행</t>
        </is>
      </c>
      <c r="D231" s="20" t="n">
        <v>494.36</v>
      </c>
      <c r="H231" s="20" t="n">
        <v>986.604</v>
      </c>
      <c r="J231" s="20" t="n">
        <v>0</v>
      </c>
      <c r="L231" s="20" t="n">
        <v>0</v>
      </c>
      <c r="N231" s="20" t="n">
        <v>486.56</v>
      </c>
      <c r="O231" s="20" t="n">
        <v>0</v>
      </c>
      <c r="P231" s="20" t="n">
        <v>98.639</v>
      </c>
      <c r="Q231" s="20" t="n">
        <v>0</v>
      </c>
      <c r="R231" s="20" t="n">
        <v>0</v>
      </c>
      <c r="S231" s="20" t="n">
        <v>492.74</v>
      </c>
      <c r="T231" s="20" t="n">
        <v>0</v>
      </c>
      <c r="U231" s="20" t="n">
        <v>0</v>
      </c>
      <c r="V231" s="20" t="n">
        <v>494.36</v>
      </c>
      <c r="W231" s="20" t="n">
        <v>986.604</v>
      </c>
      <c r="X231" s="20" t="n">
        <v>0</v>
      </c>
    </row>
    <row r="232">
      <c r="A232" s="18" t="inlineStr">
        <is>
          <t>사채 상환</t>
        </is>
      </c>
      <c r="D232" s="20" t="n">
        <v>-500</v>
      </c>
      <c r="F232" s="20" t="n">
        <v>0</v>
      </c>
      <c r="H232" s="20" t="n">
        <v>0</v>
      </c>
      <c r="J232" s="20" t="n">
        <v>-50</v>
      </c>
      <c r="L232" s="20" t="n">
        <v>-100</v>
      </c>
      <c r="N232" s="20" t="n">
        <v>-50</v>
      </c>
      <c r="O232" s="20" t="n">
        <v>0</v>
      </c>
      <c r="P232" s="20" t="n">
        <v>-120</v>
      </c>
      <c r="Q232" s="20" t="n">
        <v>0</v>
      </c>
      <c r="R232" s="20" t="n">
        <v>-100</v>
      </c>
      <c r="S232" s="20" t="n">
        <v>0</v>
      </c>
      <c r="U232" s="20" t="n">
        <v>0</v>
      </c>
      <c r="V232" s="20" t="n">
        <v>-500</v>
      </c>
      <c r="W232" s="20" t="n">
        <v>0</v>
      </c>
      <c r="X232" s="20" t="n">
        <v>-100</v>
      </c>
    </row>
    <row r="233">
      <c r="A233" s="18" t="inlineStr">
        <is>
          <t>자기주식 취득</t>
        </is>
      </c>
      <c r="D233" s="20" t="n">
        <v>-0.6</v>
      </c>
      <c r="F233" s="20" t="n">
        <v>-0.326</v>
      </c>
      <c r="H233" s="20" t="n">
        <v>-0.766</v>
      </c>
      <c r="J233" s="20" t="n">
        <v>-0.2</v>
      </c>
      <c r="L233" s="20" t="n">
        <v>-0.475</v>
      </c>
      <c r="N233" s="20" t="n">
        <v>0</v>
      </c>
      <c r="O233" s="20" t="n">
        <v>-0.259</v>
      </c>
      <c r="P233" s="20" t="n">
        <v>-0.23</v>
      </c>
      <c r="Q233" s="20" t="n">
        <v>-0.298</v>
      </c>
      <c r="R233" s="20" t="n">
        <v>-0.353</v>
      </c>
      <c r="S233" s="20" t="n">
        <v>-0.102</v>
      </c>
      <c r="T233" s="20" t="n">
        <v>-0.34</v>
      </c>
      <c r="U233" s="20" t="n">
        <v>0</v>
      </c>
      <c r="V233" s="20" t="n">
        <v>-0.6</v>
      </c>
      <c r="W233" s="20" t="n">
        <v>-0.766</v>
      </c>
      <c r="X233" s="20" t="n">
        <v>-0.475</v>
      </c>
    </row>
    <row r="234">
      <c r="A234" s="18" t="inlineStr">
        <is>
          <t>자기주식 처분</t>
        </is>
      </c>
      <c r="P234" s="20" t="n">
        <v>0</v>
      </c>
      <c r="Q234" s="20" t="n">
        <v>0.089</v>
      </c>
      <c r="R234" s="20" t="n">
        <v>0</v>
      </c>
    </row>
    <row r="235">
      <c r="A235" s="18" t="inlineStr">
        <is>
          <t>배당금 지급</t>
        </is>
      </c>
      <c r="D235" s="20" t="n">
        <v>-1696.323</v>
      </c>
      <c r="F235" s="20" t="n">
        <v>-1388.288</v>
      </c>
      <c r="H235" s="20" t="n">
        <v>-2699.142</v>
      </c>
      <c r="J235" s="20" t="n">
        <v>-1542.647</v>
      </c>
      <c r="L235" s="20" t="n">
        <v>-3162.185</v>
      </c>
      <c r="N235" s="20" t="n">
        <v>-2081.997</v>
      </c>
      <c r="O235" s="20" t="n">
        <v>-385.135</v>
      </c>
      <c r="P235" s="20" t="n">
        <v>-385.713</v>
      </c>
      <c r="Q235" s="20" t="n">
        <v>-539.083</v>
      </c>
      <c r="R235" s="20" t="n">
        <v>-578.395</v>
      </c>
      <c r="S235" s="20" t="n">
        <v>-616.554</v>
      </c>
      <c r="T235" s="20" t="n">
        <v>-616.832</v>
      </c>
      <c r="U235" s="20" t="n">
        <v>-925.761</v>
      </c>
      <c r="V235" s="20" t="n">
        <v>-1696.323</v>
      </c>
      <c r="W235" s="20" t="n">
        <v>-2699.142</v>
      </c>
      <c r="X235" s="20" t="n">
        <v>-3162.185</v>
      </c>
    </row>
    <row r="236">
      <c r="A236" s="18" t="inlineStr">
        <is>
          <t>기타</t>
        </is>
      </c>
      <c r="D236" s="20" t="n">
        <v>0</v>
      </c>
      <c r="H236" s="20" t="n">
        <v>-120.895</v>
      </c>
      <c r="L236" s="20" t="n">
        <v>-336.065</v>
      </c>
      <c r="V236" s="20" t="n">
        <v>0</v>
      </c>
      <c r="W236" s="20" t="n">
        <v>-120.895</v>
      </c>
      <c r="X236" s="20" t="n">
        <v>-336.065</v>
      </c>
    </row>
    <row r="237">
      <c r="A237" s="9" t="inlineStr">
        <is>
          <t>재무활동 현금흐름</t>
        </is>
      </c>
      <c r="D237" s="12" t="n">
        <v>22506.207</v>
      </c>
      <c r="F237" s="12" t="n">
        <v>6725.42</v>
      </c>
      <c r="H237" s="12" t="n">
        <v>51339.616</v>
      </c>
      <c r="J237" s="12" t="n">
        <v>13536.11</v>
      </c>
      <c r="L237" s="12" t="n">
        <v>26396.971</v>
      </c>
      <c r="N237" s="12" t="n">
        <v>17483.456</v>
      </c>
      <c r="O237" s="12" t="n">
        <v>2172.736</v>
      </c>
      <c r="P237" s="12" t="n">
        <v>-1025.03</v>
      </c>
      <c r="Q237" s="12" t="n">
        <v>-899.727</v>
      </c>
      <c r="R237" s="12" t="n">
        <v>7502.598</v>
      </c>
      <c r="S237" s="12" t="n">
        <v>12990.634</v>
      </c>
      <c r="T237" s="12" t="n">
        <v>6411.011</v>
      </c>
      <c r="U237" s="12" t="n">
        <v>16708.627</v>
      </c>
      <c r="V237" s="12" t="n">
        <v>22506.207</v>
      </c>
      <c r="W237" s="12" t="n">
        <v>51339.616</v>
      </c>
      <c r="X237" s="12" t="n">
        <v>26396.971</v>
      </c>
    </row>
    <row r="238">
      <c r="A238" s="18" t="inlineStr">
        <is>
          <t>현금성자산 증감</t>
        </is>
      </c>
      <c r="D238" s="20" t="n">
        <v>-10310.88</v>
      </c>
      <c r="F238" s="20" t="n">
        <v>879.847</v>
      </c>
      <c r="H238" s="20" t="n">
        <v>14851.967</v>
      </c>
      <c r="J238" s="20" t="n">
        <v>2130.216</v>
      </c>
      <c r="L238" s="20" t="n">
        <v>-14230.083</v>
      </c>
      <c r="N238" s="20" t="n">
        <v>7181.895</v>
      </c>
      <c r="O238" s="20" t="n">
        <v>3242.09</v>
      </c>
      <c r="P238" s="20" t="n">
        <v>-369.738</v>
      </c>
      <c r="Q238" s="20" t="n">
        <v>-2733.24</v>
      </c>
      <c r="R238" s="20" t="n">
        <v>-4657.401</v>
      </c>
      <c r="S238" s="20" t="n">
        <v>12181.695</v>
      </c>
      <c r="T238" s="20" t="n">
        <v>-4020.095</v>
      </c>
      <c r="U238" s="20" t="n">
        <v>-972.241</v>
      </c>
      <c r="V238" s="20" t="n">
        <v>-10310.88</v>
      </c>
      <c r="W238" s="20" t="n">
        <v>14851.967</v>
      </c>
      <c r="X238" s="20" t="n">
        <v>-14230.083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8877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231395.524</v>
      </c>
      <c r="D5" s="12" t="n">
        <v>239502.406</v>
      </c>
      <c r="E5" s="12" t="n">
        <v>254764.144</v>
      </c>
      <c r="F5" s="12" t="n">
        <v>266487.768</v>
      </c>
      <c r="G5" s="12" t="n">
        <v>275244.385</v>
      </c>
      <c r="H5" s="11" t="n">
        <v>105688.387</v>
      </c>
      <c r="I5" s="12" t="n">
        <v>123455.019</v>
      </c>
      <c r="J5" s="12" t="n">
        <v>156226.416</v>
      </c>
      <c r="K5" s="12" t="n">
        <v>213514.9</v>
      </c>
      <c r="L5" s="12" t="n">
        <v>254764.144</v>
      </c>
    </row>
    <row r="6">
      <c r="A6" s="18" t="inlineStr">
        <is>
          <t>현금및현금성자산</t>
        </is>
      </c>
      <c r="B6" s="10" t="n"/>
      <c r="C6" s="19" t="n">
        <v>33434.992</v>
      </c>
      <c r="D6" s="20" t="n">
        <v>31843.871</v>
      </c>
      <c r="E6" s="20" t="n">
        <v>17400.39</v>
      </c>
      <c r="F6" s="20" t="n">
        <v>21075.758</v>
      </c>
      <c r="G6" s="20" t="n">
        <v>24020.013</v>
      </c>
      <c r="H6" s="19" t="n">
        <v>27724.816</v>
      </c>
      <c r="I6" s="20" t="n">
        <v>26551.575</v>
      </c>
      <c r="J6" s="20" t="n">
        <v>16240.751</v>
      </c>
      <c r="K6" s="20" t="n">
        <v>31242.775</v>
      </c>
      <c r="L6" s="20" t="n">
        <v>17400.39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2673.583</v>
      </c>
      <c r="D8" s="20" t="n">
        <v>1137.218</v>
      </c>
      <c r="E8" s="20" t="n">
        <v>1560.759</v>
      </c>
      <c r="F8" s="20" t="n">
        <v>2505.134</v>
      </c>
      <c r="G8" s="20" t="n">
        <v>2851.659</v>
      </c>
      <c r="H8" s="19" t="n">
        <v>3180.142</v>
      </c>
      <c r="I8" s="20" t="n">
        <v>960.965</v>
      </c>
      <c r="J8" s="20" t="n">
        <v>3009.632</v>
      </c>
      <c r="K8" s="20" t="n">
        <v>2670.135</v>
      </c>
      <c r="L8" s="20" t="n">
        <v>1560.759</v>
      </c>
    </row>
    <row r="9">
      <c r="A9" s="18" t="inlineStr">
        <is>
          <t>재고자산</t>
        </is>
      </c>
      <c r="B9" s="10" t="n"/>
      <c r="C9" s="19" t="n">
        <v>83689.087</v>
      </c>
      <c r="D9" s="20" t="n">
        <v>84289.485</v>
      </c>
      <c r="E9" s="20" t="n">
        <v>111523.208</v>
      </c>
      <c r="F9" s="20" t="n">
        <v>106622.906</v>
      </c>
      <c r="G9" s="20" t="n">
        <v>106358.762</v>
      </c>
      <c r="H9" s="19" t="n">
        <v>21638.469</v>
      </c>
      <c r="I9" s="20" t="n">
        <v>33371.873</v>
      </c>
      <c r="J9" s="20" t="n">
        <v>58527.159</v>
      </c>
      <c r="K9" s="20" t="n">
        <v>83611.209</v>
      </c>
      <c r="L9" s="20" t="n">
        <v>111523.208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13688.47</v>
      </c>
      <c r="D11" s="12" t="n">
        <v>13501.86</v>
      </c>
      <c r="E11" s="12" t="n">
        <v>13737.726</v>
      </c>
      <c r="F11" s="12" t="n">
        <v>14782.329</v>
      </c>
      <c r="G11" s="12" t="n">
        <v>16765.339</v>
      </c>
      <c r="H11" s="11" t="n">
        <v>8627.517</v>
      </c>
      <c r="I11" s="12" t="n">
        <v>12412.46</v>
      </c>
      <c r="J11" s="12" t="n">
        <v>12727.747</v>
      </c>
      <c r="K11" s="12" t="n">
        <v>13514.751</v>
      </c>
      <c r="L11" s="12" t="n">
        <v>13737.726</v>
      </c>
    </row>
    <row r="12">
      <c r="A12" s="18" t="inlineStr">
        <is>
          <t>유형자산</t>
        </is>
      </c>
      <c r="B12" s="10" t="n"/>
      <c r="C12" s="19" t="n">
        <v>8412.129999999999</v>
      </c>
      <c r="D12" s="20" t="n">
        <v>8331.969999999999</v>
      </c>
      <c r="E12" s="20" t="n">
        <v>8314.188</v>
      </c>
      <c r="F12" s="20" t="n">
        <v>8815.498</v>
      </c>
      <c r="G12" s="20" t="n">
        <v>10521.098</v>
      </c>
      <c r="H12" s="19" t="n">
        <v>6293.901</v>
      </c>
      <c r="I12" s="20" t="n">
        <v>8617.912</v>
      </c>
      <c r="J12" s="20" t="n">
        <v>8906.824000000001</v>
      </c>
      <c r="K12" s="20" t="n">
        <v>9497.639999999999</v>
      </c>
      <c r="L12" s="20" t="n">
        <v>8314.188</v>
      </c>
    </row>
    <row r="13">
      <c r="A13" s="18" t="inlineStr">
        <is>
          <t>무형자산</t>
        </is>
      </c>
      <c r="B13" s="10" t="n"/>
      <c r="C13" s="19" t="n">
        <v>246.222</v>
      </c>
      <c r="D13" s="20" t="n">
        <v>229.794</v>
      </c>
      <c r="E13" s="20" t="n">
        <v>225.758</v>
      </c>
      <c r="F13" s="20" t="n">
        <v>521.788</v>
      </c>
      <c r="G13" s="20" t="n">
        <v>505.162</v>
      </c>
      <c r="H13" s="19" t="n">
        <v>344.877</v>
      </c>
      <c r="I13" s="20" t="n">
        <v>331.854</v>
      </c>
      <c r="J13" s="20" t="n">
        <v>311.94</v>
      </c>
      <c r="K13" s="20" t="n">
        <v>262.883</v>
      </c>
      <c r="L13" s="20" t="n">
        <v>225.758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245083.995</v>
      </c>
      <c r="D16" s="12" t="n">
        <v>253004.266</v>
      </c>
      <c r="E16" s="12" t="n">
        <v>268501.871</v>
      </c>
      <c r="F16" s="12" t="n">
        <v>281270.098</v>
      </c>
      <c r="G16" s="12" t="n">
        <v>292009.724</v>
      </c>
      <c r="H16" s="11" t="n">
        <v>114315.904</v>
      </c>
      <c r="I16" s="12" t="n">
        <v>135867.479</v>
      </c>
      <c r="J16" s="12" t="n">
        <v>168954.164</v>
      </c>
      <c r="K16" s="12" t="n">
        <v>227029.651</v>
      </c>
      <c r="L16" s="12" t="n">
        <v>268501.871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54330.792</v>
      </c>
      <c r="D18" s="12" t="n">
        <v>56180.328</v>
      </c>
      <c r="E18" s="12" t="n">
        <v>52622.028</v>
      </c>
      <c r="F18" s="12" t="n">
        <v>53170.514</v>
      </c>
      <c r="G18" s="12" t="n">
        <v>46653.588</v>
      </c>
      <c r="H18" s="11" t="n">
        <v>26818.194</v>
      </c>
      <c r="I18" s="12" t="n">
        <v>38973.913</v>
      </c>
      <c r="J18" s="12" t="n">
        <v>36920.666</v>
      </c>
      <c r="K18" s="12" t="n">
        <v>48255.007</v>
      </c>
      <c r="L18" s="12" t="n">
        <v>52622.028</v>
      </c>
    </row>
    <row r="19">
      <c r="A19" s="18" t="inlineStr">
        <is>
          <t>매입채무</t>
        </is>
      </c>
      <c r="B19" s="10" t="n"/>
      <c r="C19" s="19" t="n">
        <v>1263.387</v>
      </c>
      <c r="D19" s="20" t="n">
        <v>1049.252</v>
      </c>
      <c r="E19" s="20" t="n">
        <v>1285.984</v>
      </c>
      <c r="F19" s="20" t="n">
        <v>1103.22</v>
      </c>
      <c r="G19" s="20" t="n">
        <v>1342.339</v>
      </c>
      <c r="H19" s="19" t="n">
        <v>1822.232</v>
      </c>
      <c r="I19" s="20" t="n">
        <v>2726.648</v>
      </c>
      <c r="J19" s="20" t="n">
        <v>2146.631</v>
      </c>
      <c r="K19" s="20" t="n">
        <v>1264.933</v>
      </c>
      <c r="L19" s="20" t="n">
        <v>1285.984</v>
      </c>
    </row>
    <row r="20">
      <c r="A20" s="18" t="inlineStr">
        <is>
          <t>단기차입금</t>
        </is>
      </c>
      <c r="B20" s="10" t="n"/>
      <c r="C20" s="19" t="n">
        <v>2739.6</v>
      </c>
      <c r="D20" s="20" t="n">
        <v>2706.495</v>
      </c>
      <c r="E20" s="20" t="n">
        <v>2656.84</v>
      </c>
      <c r="F20" s="20" t="n">
        <v>5721.56</v>
      </c>
      <c r="G20" s="20" t="n">
        <v>2657.4</v>
      </c>
      <c r="H20" s="19" t="n">
        <v>466.8</v>
      </c>
      <c r="I20" s="20" t="n">
        <v>2044.8</v>
      </c>
      <c r="J20" s="20" t="n">
        <v>3660</v>
      </c>
      <c r="K20" s="20" t="n">
        <v>4010</v>
      </c>
      <c r="L20" s="20" t="n">
        <v>2656.84</v>
      </c>
    </row>
    <row r="21">
      <c r="A21" s="18" t="inlineStr">
        <is>
          <t>유동성장기부채</t>
        </is>
      </c>
      <c r="B21" s="10" t="n"/>
      <c r="C21" s="19" t="n">
        <v>41690.704</v>
      </c>
      <c r="D21" s="20" t="n">
        <v>43830.674</v>
      </c>
      <c r="E21" s="20" t="n">
        <v>34747.886</v>
      </c>
      <c r="F21" s="20" t="n">
        <v>37297.394</v>
      </c>
      <c r="G21" s="20" t="n">
        <v>30860.032</v>
      </c>
      <c r="H21" s="19" t="n">
        <v>12826.84</v>
      </c>
      <c r="I21" s="20" t="n">
        <v>24815.897</v>
      </c>
      <c r="J21" s="20" t="n">
        <v>18287.392</v>
      </c>
      <c r="K21" s="20" t="n">
        <v>32577.416</v>
      </c>
      <c r="L21" s="20" t="n">
        <v>34747.886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112589.959</v>
      </c>
      <c r="D23" s="12" t="n">
        <v>118471.354</v>
      </c>
      <c r="E23" s="12" t="n">
        <v>134330.015</v>
      </c>
      <c r="F23" s="12" t="n">
        <v>145201.508</v>
      </c>
      <c r="G23" s="12" t="n">
        <v>157825.201</v>
      </c>
      <c r="H23" s="11" t="n">
        <v>31799.072</v>
      </c>
      <c r="I23" s="12" t="n">
        <v>35927.64</v>
      </c>
      <c r="J23" s="12" t="n">
        <v>65160.442</v>
      </c>
      <c r="K23" s="12" t="n">
        <v>105314.22</v>
      </c>
      <c r="L23" s="12" t="n">
        <v>134330.015</v>
      </c>
    </row>
    <row r="24">
      <c r="A24" s="18" t="inlineStr">
        <is>
          <t>장기차입금</t>
        </is>
      </c>
      <c r="B24" s="10" t="n"/>
      <c r="C24" s="19" t="n">
        <v>109015.098</v>
      </c>
      <c r="D24" s="20" t="n">
        <v>114953.851</v>
      </c>
      <c r="E24" s="20" t="n">
        <v>131475.737</v>
      </c>
      <c r="F24" s="20" t="n">
        <v>142516.527</v>
      </c>
      <c r="G24" s="20" t="n">
        <v>154558.37</v>
      </c>
      <c r="H24" s="19" t="n">
        <v>29439.39</v>
      </c>
      <c r="I24" s="20" t="n">
        <v>34141.409</v>
      </c>
      <c r="J24" s="20" t="n">
        <v>62889.471</v>
      </c>
      <c r="K24" s="20" t="n">
        <v>101559.759</v>
      </c>
      <c r="L24" s="20" t="n">
        <v>131475.737</v>
      </c>
    </row>
    <row r="25">
      <c r="A25" s="18" t="inlineStr">
        <is>
          <t>사채</t>
        </is>
      </c>
      <c r="B25" s="10" t="n"/>
      <c r="C25" s="19" t="n">
        <v>1350</v>
      </c>
      <c r="D25" s="20" t="n">
        <v>1350</v>
      </c>
      <c r="E25" s="20" t="n">
        <v>800</v>
      </c>
      <c r="F25" s="20" t="n">
        <v>800</v>
      </c>
      <c r="G25" s="20" t="n">
        <v>1250</v>
      </c>
      <c r="H25" s="19" t="n">
        <v>500</v>
      </c>
      <c r="I25" s="20" t="n">
        <v>0</v>
      </c>
      <c r="J25" s="20" t="n">
        <v>500</v>
      </c>
      <c r="K25" s="20" t="n">
        <v>1500</v>
      </c>
      <c r="L25" s="20" t="n">
        <v>800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166920.752</v>
      </c>
      <c r="D27" s="12" t="n">
        <v>174651.682</v>
      </c>
      <c r="E27" s="12" t="n">
        <v>186952.043</v>
      </c>
      <c r="F27" s="12" t="n">
        <v>198372.022</v>
      </c>
      <c r="G27" s="12" t="n">
        <v>204478.789</v>
      </c>
      <c r="H27" s="11" t="n">
        <v>58617.266</v>
      </c>
      <c r="I27" s="12" t="n">
        <v>74901.554</v>
      </c>
      <c r="J27" s="12" t="n">
        <v>102081.108</v>
      </c>
      <c r="K27" s="12" t="n">
        <v>153569.228</v>
      </c>
      <c r="L27" s="12" t="n">
        <v>186952.043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78163.242</v>
      </c>
      <c r="D31" s="12" t="n">
        <v>78352.584</v>
      </c>
      <c r="E31" s="12" t="n">
        <v>81549.827</v>
      </c>
      <c r="F31" s="12" t="n">
        <v>82898.075</v>
      </c>
      <c r="G31" s="12" t="n">
        <v>87530.935</v>
      </c>
      <c r="H31" s="11" t="n">
        <v>55698.637</v>
      </c>
      <c r="I31" s="12" t="n">
        <v>60965.925</v>
      </c>
      <c r="J31" s="12" t="n">
        <v>66873.05499999999</v>
      </c>
      <c r="K31" s="12" t="n">
        <v>73460.423</v>
      </c>
      <c r="L31" s="12" t="n">
        <v>81549.827</v>
      </c>
    </row>
    <row r="32">
      <c r="A32" s="18" t="inlineStr">
        <is>
          <t>자본금</t>
        </is>
      </c>
      <c r="B32" s="10" t="n"/>
      <c r="C32" s="19" t="n">
        <v>1983</v>
      </c>
      <c r="D32" s="20" t="n">
        <v>1983</v>
      </c>
      <c r="E32" s="20" t="n">
        <v>1983</v>
      </c>
      <c r="F32" s="20" t="n">
        <v>1983</v>
      </c>
      <c r="G32" s="20" t="n">
        <v>1983</v>
      </c>
      <c r="H32" s="19" t="n">
        <v>1983</v>
      </c>
      <c r="I32" s="20" t="n">
        <v>1983</v>
      </c>
      <c r="J32" s="20" t="n">
        <v>1983</v>
      </c>
      <c r="K32" s="20" t="n">
        <v>1983</v>
      </c>
      <c r="L32" s="20" t="n">
        <v>1983</v>
      </c>
    </row>
    <row r="33">
      <c r="A33" s="18" t="inlineStr">
        <is>
          <t>이익잉여금</t>
        </is>
      </c>
      <c r="B33" s="10" t="n"/>
      <c r="C33" s="19" t="n">
        <v>73112.893</v>
      </c>
      <c r="D33" s="20" t="n">
        <v>73264.77</v>
      </c>
      <c r="E33" s="20" t="n">
        <v>76475.97100000001</v>
      </c>
      <c r="F33" s="20" t="n">
        <v>77779.916</v>
      </c>
      <c r="G33" s="20" t="n">
        <v>82389.807</v>
      </c>
      <c r="H33" s="19" t="n">
        <v>50794.01</v>
      </c>
      <c r="I33" s="20" t="n">
        <v>56015.448</v>
      </c>
      <c r="J33" s="20" t="n">
        <v>61836.559</v>
      </c>
      <c r="K33" s="20" t="n">
        <v>68467.16</v>
      </c>
      <c r="L33" s="20" t="n">
        <v>76475.97100000001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78163.242</v>
      </c>
      <c r="D35" s="12" t="n">
        <v>78352.584</v>
      </c>
      <c r="E35" s="12" t="n">
        <v>81549.827</v>
      </c>
      <c r="F35" s="12" t="n">
        <v>82898.075</v>
      </c>
      <c r="G35" s="12" t="n">
        <v>87530.935</v>
      </c>
      <c r="H35" s="11" t="n">
        <v>55698.637</v>
      </c>
      <c r="I35" s="12" t="n">
        <v>60965.925</v>
      </c>
      <c r="J35" s="12" t="n">
        <v>66873.05499999999</v>
      </c>
      <c r="K35" s="12" t="n">
        <v>73460.423</v>
      </c>
      <c r="L35" s="12" t="n">
        <v>81549.827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-41017.447</v>
      </c>
      <c r="D37" s="12" t="n"/>
      <c r="E37" s="12" t="n">
        <v>-39531.212</v>
      </c>
      <c r="F37" s="12" t="n"/>
      <c r="G37" s="12" t="n">
        <v>-37034.051</v>
      </c>
      <c r="H37" s="11" t="n">
        <v>-9371.075999999999</v>
      </c>
      <c r="I37" s="12" t="n">
        <v>-12860.955</v>
      </c>
      <c r="J37" s="12" t="n">
        <v>-32213.87</v>
      </c>
      <c r="K37" s="12" t="n">
        <v>-35440.533</v>
      </c>
      <c r="L37" s="12" t="n">
        <v>-39531.212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457.074</v>
      </c>
      <c r="D38" s="20" t="n"/>
      <c r="E38" s="20" t="n">
        <v>360.925</v>
      </c>
      <c r="F38" s="20" t="n"/>
      <c r="G38" s="20" t="n">
        <v>2682.985</v>
      </c>
      <c r="H38" s="19" t="n">
        <v>990.385</v>
      </c>
      <c r="I38" s="20" t="n">
        <v>5005.088</v>
      </c>
      <c r="J38" s="20" t="n">
        <v>589.0890000000001</v>
      </c>
      <c r="K38" s="20" t="n">
        <v>875.25</v>
      </c>
      <c r="L38" s="20" t="n">
        <v>360.925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2853.501</v>
      </c>
      <c r="D40" s="20" t="n"/>
      <c r="E40" s="20" t="n">
        <v>3162.185</v>
      </c>
      <c r="F40" s="20" t="n"/>
      <c r="G40" s="20" t="n">
        <v>3701.535</v>
      </c>
      <c r="H40" s="19" t="n">
        <v>616.832</v>
      </c>
      <c r="I40" s="20" t="n">
        <v>925.761</v>
      </c>
      <c r="J40" s="20" t="n">
        <v>1696.323</v>
      </c>
      <c r="K40" s="20" t="n">
        <v>2699.142</v>
      </c>
      <c r="L40" s="20" t="n">
        <v>3162.185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IFERROR((IF(COUNT('연간'!G25:J25)&lt;4,"",SUM('연간'!G25:J25)))/(IF(COUNT('연간'!G47:J47)&lt;4,"",SUM('연간'!G47:J47))),"")</f>
        <v/>
      </c>
      <c r="D48" s="31">
        <f>IFERROR((IF(COUNT('연간'!H25:K25)&lt;4,"",SUM('연간'!H25:K25)))/(IF(COUNT('연간'!H47:K47)&lt;4,"",SUM('연간'!H47:K47))),"")</f>
        <v/>
      </c>
      <c r="E48" s="31">
        <f>IFERROR((IF(COUNT('연간'!I25:L25)&lt;4,"",SUM('연간'!I25:L25)))/(IF(COUNT('연간'!I47:L47)&lt;4,"",SUM('연간'!I47:L47))),"")</f>
        <v/>
      </c>
      <c r="F48" s="31">
        <f>IFERROR((IF(COUNT('연간'!J25:M25)&lt;4,"",SUM('연간'!J25:M25)))/(IF(COUNT('연간'!J47:M47)&lt;4,"",SUM('연간'!J47:M47))),"")</f>
        <v/>
      </c>
      <c r="G48" s="31">
        <f>IFERROR((IF(COUNT('연간'!K25:N25)&lt;4,"",SUM('연간'!K25:N25)))/(IF(COUNT('연간'!K47:N47)&lt;4,"",SUM('연간'!K47:N47))),"")</f>
        <v/>
      </c>
      <c r="H48" s="30">
        <f>IFERROR(('연간'!T25)/('연간'!T47),"")</f>
        <v/>
      </c>
      <c r="I48" s="31">
        <f>IFERROR(('연간'!U25)/('연간'!U47),"")</f>
        <v/>
      </c>
      <c r="J48" s="31">
        <f>IFERROR(('연간'!V25)/('연간'!V47),"")</f>
        <v/>
      </c>
      <c r="K48" s="31">
        <f>IFERROR(('연간'!W25)/('연간'!W47),"")</f>
        <v/>
      </c>
      <c r="L48" s="31">
        <f>IFERROR(('연간'!X25)/('연간'!X47),"")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IFERROR(IF((IF(COUNT('연간'!G55:J55)&lt;4,"",SUM('연간'!G55:J55)))&lt;=0,"적자",C28/(IF(COUNT('연간'!G55:J55)&lt;4,"",SUM('연간'!G55:J55)))),"")</f>
        <v/>
      </c>
      <c r="D49" s="47">
        <f>IFERROR(IF((IF(COUNT('연간'!H55:K55)&lt;4,"",SUM('연간'!H55:K55)))&lt;=0,"적자",D28/(IF(COUNT('연간'!H55:K55)&lt;4,"",SUM('연간'!H55:K55)))),"")</f>
        <v/>
      </c>
      <c r="E49" s="47">
        <f>IFERROR(IF((IF(COUNT('연간'!I55:L55)&lt;4,"",SUM('연간'!I55:L55)))&lt;=0,"적자",E28/(IF(COUNT('연간'!I55:L55)&lt;4,"",SUM('연간'!I55:L55)))),"")</f>
        <v/>
      </c>
      <c r="F49" s="47">
        <f>IFERROR(IF((IF(COUNT('연간'!J55:M55)&lt;4,"",SUM('연간'!J55:M55)))&lt;=0,"적자",F28/(IF(COUNT('연간'!J55:M55)&lt;4,"",SUM('연간'!J55:M55)))),"")</f>
        <v/>
      </c>
      <c r="G49" s="47">
        <f>IFERROR(IF((IF(COUNT('연간'!K55:N55)&lt;4,"",SUM('연간'!K55:N55)))&lt;=0,"적자",G28/(IF(COUNT('연간'!K55:N55)&lt;4,"",SUM('연간'!K55:N55)))),"")</f>
        <v/>
      </c>
      <c r="H49" s="46">
        <f>IFERROR(IF(('연간'!T55)&lt;=0,"적자",H28/('연간'!T55)),"")</f>
        <v/>
      </c>
      <c r="I49" s="47">
        <f>IFERROR(IF(('연간'!U55)&lt;=0,"적자",I28/('연간'!U55)),"")</f>
        <v/>
      </c>
      <c r="J49" s="47">
        <f>IFERROR(IF(('연간'!V55)&lt;=0,"적자",J28/('연간'!V55)),"")</f>
        <v/>
      </c>
      <c r="K49" s="47">
        <f>IFERROR(IF(('연간'!W55)&lt;=0,"적자",K28/('연간'!W55)),"")</f>
        <v/>
      </c>
      <c r="L49" s="47">
        <f>IFERROR(IF(('연간'!X55)&lt;=0,"적자",L28/('연간'!X55)),"")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IFERROR((IF(COUNT('연간'!G55:J55)&lt;4,"",SUM('연간'!G55:J55)))/C31,"")</f>
        <v/>
      </c>
      <c r="D51" s="36">
        <f>IFERROR((IF(COUNT('연간'!H55:K55)&lt;4,"",SUM('연간'!H55:K55)))/D31,"")</f>
        <v/>
      </c>
      <c r="E51" s="36">
        <f>IFERROR((IF(COUNT('연간'!I55:L55)&lt;4,"",SUM('연간'!I55:L55)))/E31,"")</f>
        <v/>
      </c>
      <c r="F51" s="36">
        <f>IFERROR((IF(COUNT('연간'!J55:M55)&lt;4,"",SUM('연간'!J55:M55)))/F31,"")</f>
        <v/>
      </c>
      <c r="G51" s="36">
        <f>IFERROR((IF(COUNT('연간'!K55:N55)&lt;4,"",SUM('연간'!K55:N55)))/G31,"")</f>
        <v/>
      </c>
      <c r="H51" s="35">
        <f>IFERROR(('연간'!T55)/H31,"")</f>
        <v/>
      </c>
      <c r="I51" s="36">
        <f>IFERROR(('연간'!U55)/I31,"")</f>
        <v/>
      </c>
      <c r="J51" s="36">
        <f>IFERROR(('연간'!V55)/J31,"")</f>
        <v/>
      </c>
      <c r="K51" s="36">
        <f>IFERROR(('연간'!W55)/K31,"")</f>
        <v/>
      </c>
      <c r="L51" s="36">
        <f>IFERROR(('연간'!X55)/L31,"")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IFERROR((IF(COUNT('연간'!G53:J53)&lt;4,"",SUM('연간'!G53:J53)))/C16,"")</f>
        <v/>
      </c>
      <c r="D52" s="36">
        <f>IFERROR((IF(COUNT('연간'!H53:K53)&lt;4,"",SUM('연간'!H53:K53)))/D16,"")</f>
        <v/>
      </c>
      <c r="E52" s="36">
        <f>IFERROR((IF(COUNT('연간'!I53:L53)&lt;4,"",SUM('연간'!I53:L53)))/E16,"")</f>
        <v/>
      </c>
      <c r="F52" s="36">
        <f>IFERROR((IF(COUNT('연간'!J53:M53)&lt;4,"",SUM('연간'!J53:M53)))/F16,"")</f>
        <v/>
      </c>
      <c r="G52" s="36">
        <f>IFERROR((IF(COUNT('연간'!K53:N53)&lt;4,"",SUM('연간'!K53:N53)))/G16,"")</f>
        <v/>
      </c>
      <c r="H52" s="35">
        <f>IFERROR(('연간'!T53)/H16,"")</f>
        <v/>
      </c>
      <c r="I52" s="36">
        <f>IFERROR(('연간'!U53)/I16,"")</f>
        <v/>
      </c>
      <c r="J52" s="36">
        <f>IFERROR(('연간'!V53)/J16,"")</f>
        <v/>
      </c>
      <c r="K52" s="36">
        <f>IFERROR(('연간'!W53)/K16,"")</f>
        <v/>
      </c>
      <c r="L52" s="36">
        <f>IFERROR(('연간'!X53)/L16,"")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IFERROR((IF(COUNT('연간'!G25:J25)&lt;4,"",SUM('연간'!G25:J25)))*(1-0.3)/(C35+C29),"")</f>
        <v/>
      </c>
      <c r="D53" s="36">
        <f>IFERROR((IF(COUNT('연간'!H25:K25)&lt;4,"",SUM('연간'!H25:K25)))*(1-0.3)/(D35+D29),"")</f>
        <v/>
      </c>
      <c r="E53" s="36">
        <f>IFERROR((IF(COUNT('연간'!I25:L25)&lt;4,"",SUM('연간'!I25:L25)))*(1-0.3)/(E35+E29),"")</f>
        <v/>
      </c>
      <c r="F53" s="36">
        <f>IFERROR((IF(COUNT('연간'!J25:M25)&lt;4,"",SUM('연간'!J25:M25)))*(1-0.3)/(F35+F29),"")</f>
        <v/>
      </c>
      <c r="G53" s="36">
        <f>IFERROR((IF(COUNT('연간'!K25:N25)&lt;4,"",SUM('연간'!K25:N25)))*(1-0.3)/(G35+G29),"")</f>
        <v/>
      </c>
      <c r="H53" s="35">
        <f>IFERROR(('연간'!T25)*(1-0.3)/(H35+H29),"")</f>
        <v/>
      </c>
      <c r="I53" s="36">
        <f>IFERROR(('연간'!U25)*(1-0.3)/(I35+I29),"")</f>
        <v/>
      </c>
      <c r="J53" s="36">
        <f>IFERROR(('연간'!V25)*(1-0.3)/(J35+J29),"")</f>
        <v/>
      </c>
      <c r="K53" s="36">
        <f>IFERROR(('연간'!W25)*(1-0.3)/(K35+K29),"")</f>
        <v/>
      </c>
      <c r="L53" s="36">
        <f>IFERROR(('연간'!X25)*(1-0.3)/(L35+L29),"")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IFERROR((IF(COUNT('연간'!G19:J19)&lt;4,"",SUM('연간'!G19:J19)))/(IF(COUNT('연간'!G4:J4)&lt;4,"",SUM('연간'!G4:J4))),"")</f>
        <v/>
      </c>
      <c r="D54" s="36">
        <f>IFERROR((IF(COUNT('연간'!H19:K19)&lt;4,"",SUM('연간'!H19:K19)))/(IF(COUNT('연간'!H4:K4)&lt;4,"",SUM('연간'!H4:K4))),"")</f>
        <v/>
      </c>
      <c r="E54" s="36">
        <f>IFERROR((IF(COUNT('연간'!I19:L19)&lt;4,"",SUM('연간'!I19:L19)))/(IF(COUNT('연간'!I4:L4)&lt;4,"",SUM('연간'!I4:L4))),"")</f>
        <v/>
      </c>
      <c r="F54" s="36">
        <f>IFERROR((IF(COUNT('연간'!J19:M19)&lt;4,"",SUM('연간'!J19:M19)))/(IF(COUNT('연간'!J4:M4)&lt;4,"",SUM('연간'!J4:M4))),"")</f>
        <v/>
      </c>
      <c r="G54" s="36">
        <f>IFERROR((IF(COUNT('연간'!K19:N19)&lt;4,"",SUM('연간'!K19:N19)))/(IF(COUNT('연간'!K4:N4)&lt;4,"",SUM('연간'!K4:N4))),"")</f>
        <v/>
      </c>
      <c r="H54" s="35">
        <f>IFERROR(('연간'!T19)/('연간'!T4),"")</f>
        <v/>
      </c>
      <c r="I54" s="36">
        <f>IFERROR(('연간'!U19)/('연간'!U4),"")</f>
        <v/>
      </c>
      <c r="J54" s="36">
        <f>IFERROR(('연간'!V19)/('연간'!V4),"")</f>
        <v/>
      </c>
      <c r="K54" s="36">
        <f>IFERROR(('연간'!W19)/('연간'!W4),"")</f>
        <v/>
      </c>
      <c r="L54" s="36">
        <f>IFERROR(('연간'!X19)/('연간'!X4),"")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IFERROR((IF(COUNT('연간'!G25:J25)&lt;4,"",SUM('연간'!G25:J25)))/(IF(COUNT('연간'!G4:J4)&lt;4,"",SUM('연간'!G4:J4))),"")</f>
        <v/>
      </c>
      <c r="D55" s="36">
        <f>IFERROR((IF(COUNT('연간'!H25:K25)&lt;4,"",SUM('연간'!H25:K25)))/(IF(COUNT('연간'!H4:K4)&lt;4,"",SUM('연간'!H4:K4))),"")</f>
        <v/>
      </c>
      <c r="E55" s="36">
        <f>IFERROR((IF(COUNT('연간'!I25:L25)&lt;4,"",SUM('연간'!I25:L25)))/(IF(COUNT('연간'!I4:L4)&lt;4,"",SUM('연간'!I4:L4))),"")</f>
        <v/>
      </c>
      <c r="F55" s="36">
        <f>IFERROR((IF(COUNT('연간'!J25:M25)&lt;4,"",SUM('연간'!J25:M25)))/(IF(COUNT('연간'!J4:M4)&lt;4,"",SUM('연간'!J4:M4))),"")</f>
        <v/>
      </c>
      <c r="G55" s="36">
        <f>IFERROR((IF(COUNT('연간'!K25:N25)&lt;4,"",SUM('연간'!K25:N25)))/(IF(COUNT('연간'!K4:N4)&lt;4,"",SUM('연간'!K4:N4))),"")</f>
        <v/>
      </c>
      <c r="H55" s="35">
        <f>IFERROR(('연간'!T25)/('연간'!T4),"")</f>
        <v/>
      </c>
      <c r="I55" s="36">
        <f>IFERROR(('연간'!U25)/('연간'!U4),"")</f>
        <v/>
      </c>
      <c r="J55" s="36">
        <f>IFERROR(('연간'!V25)/('연간'!V4),"")</f>
        <v/>
      </c>
      <c r="K55" s="36">
        <f>IFERROR(('연간'!W25)/('연간'!W4),"")</f>
        <v/>
      </c>
      <c r="L55" s="36">
        <f>IFERROR(('연간'!X25)/('연간'!X4),"")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IFERROR((IF(COUNT('연간'!G53:J53)&lt;4,"",SUM('연간'!G53:J53)))/(IF(COUNT('연간'!G4:J4)&lt;4,"",SUM('연간'!G4:J4))),"")</f>
        <v/>
      </c>
      <c r="D56" s="36">
        <f>IFERROR((IF(COUNT('연간'!H53:K53)&lt;4,"",SUM('연간'!H53:K53)))/(IF(COUNT('연간'!H4:K4)&lt;4,"",SUM('연간'!H4:K4))),"")</f>
        <v/>
      </c>
      <c r="E56" s="36">
        <f>IFERROR((IF(COUNT('연간'!I53:L53)&lt;4,"",SUM('연간'!I53:L53)))/(IF(COUNT('연간'!I4:L4)&lt;4,"",SUM('연간'!I4:L4))),"")</f>
        <v/>
      </c>
      <c r="F56" s="36">
        <f>IFERROR((IF(COUNT('연간'!J53:M53)&lt;4,"",SUM('연간'!J53:M53)))/(IF(COUNT('연간'!J4:M4)&lt;4,"",SUM('연간'!J4:M4))),"")</f>
        <v/>
      </c>
      <c r="G56" s="36">
        <f>IFERROR((IF(COUNT('연간'!K53:N53)&lt;4,"",SUM('연간'!K53:N53)))/(IF(COUNT('연간'!K4:N4)&lt;4,"",SUM('연간'!K4:N4))),"")</f>
        <v/>
      </c>
      <c r="H56" s="35">
        <f>IFERROR(('연간'!T53)/('연간'!T4),"")</f>
        <v/>
      </c>
      <c r="I56" s="36">
        <f>IFERROR(('연간'!U53)/('연간'!U4),"")</f>
        <v/>
      </c>
      <c r="J56" s="36">
        <f>IFERROR(('연간'!V53)/('연간'!V4),"")</f>
        <v/>
      </c>
      <c r="K56" s="36">
        <f>IFERROR(('연간'!W53)/('연간'!W4),"")</f>
        <v/>
      </c>
      <c r="L56" s="36">
        <f>IFERROR(('연간'!X53)/('연간'!X4),"")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IFERROR(C9/(IF(COUNT('연간'!G17:J17)&lt;4,"",SUM('연간'!G17:J17)))*365,"")</f>
        <v/>
      </c>
      <c r="D60" s="49">
        <f>IFERROR(D9/(IF(COUNT('연간'!H17:K17)&lt;4,"",SUM('연간'!H17:K17)))*365,"")</f>
        <v/>
      </c>
      <c r="E60" s="49">
        <f>IFERROR(E9/(IF(COUNT('연간'!I17:L17)&lt;4,"",SUM('연간'!I17:L17)))*365,"")</f>
        <v/>
      </c>
      <c r="F60" s="49">
        <f>IFERROR(F9/(IF(COUNT('연간'!J17:M17)&lt;4,"",SUM('연간'!J17:M17)))*365,"")</f>
        <v/>
      </c>
      <c r="G60" s="49">
        <f>IFERROR(G9/(IF(COUNT('연간'!K17:N17)&lt;4,"",SUM('연간'!K17:N17)))*365,"")</f>
        <v/>
      </c>
      <c r="H60" s="48">
        <f>IFERROR(H9/('연간'!T17)*365,"")</f>
        <v/>
      </c>
      <c r="I60" s="49">
        <f>IFERROR(I9/('연간'!U17)*365,"")</f>
        <v/>
      </c>
      <c r="J60" s="49">
        <f>IFERROR(J9/('연간'!V17)*365,"")</f>
        <v/>
      </c>
      <c r="K60" s="49">
        <f>IFERROR(K9/('연간'!W17)*365,"")</f>
        <v/>
      </c>
      <c r="L60" s="49">
        <f>IFERROR(L9/('연간'!X17)*365,"")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IFERROR(C19/(IF(COUNT('연간'!G17:J17)&lt;4,"",SUM('연간'!G17:J17)))*365,"")</f>
        <v/>
      </c>
      <c r="D61" s="49">
        <f>IFERROR(D19/(IF(COUNT('연간'!H17:K17)&lt;4,"",SUM('연간'!H17:K17)))*365,"")</f>
        <v/>
      </c>
      <c r="E61" s="49">
        <f>IFERROR(E19/(IF(COUNT('연간'!I17:L17)&lt;4,"",SUM('연간'!I17:L17)))*365,"")</f>
        <v/>
      </c>
      <c r="F61" s="49">
        <f>IFERROR(F19/(IF(COUNT('연간'!J17:M17)&lt;4,"",SUM('연간'!J17:M17)))*365,"")</f>
        <v/>
      </c>
      <c r="G61" s="49">
        <f>IFERROR(G19/(IF(COUNT('연간'!K17:N17)&lt;4,"",SUM('연간'!K17:N17)))*365,"")</f>
        <v/>
      </c>
      <c r="H61" s="48">
        <f>IFERROR(H19/('연간'!T17)*365,"")</f>
        <v/>
      </c>
      <c r="I61" s="49">
        <f>IFERROR(I19/('연간'!U17)*365,"")</f>
        <v/>
      </c>
      <c r="J61" s="49">
        <f>IFERROR(J19/('연간'!V17)*365,"")</f>
        <v/>
      </c>
      <c r="K61" s="49">
        <f>IFERROR(K19/('연간'!W17)*365,"")</f>
        <v/>
      </c>
      <c r="L61" s="49">
        <f>IFERROR(L19/('연간'!X17)*365,"")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IF(C37="","",IFERROR(C37/(IF(COUNT('연간'!G53:J53)&lt;4,"",SUM('연간'!G53:J53))),""))</f>
        <v/>
      </c>
      <c r="D64" s="31">
        <f>IF(D37="","",IFERROR(D37/(IF(COUNT('연간'!H53:K53)&lt;4,"",SUM('연간'!H53:K53))),""))</f>
        <v/>
      </c>
      <c r="E64" s="31">
        <f>IF(E37="","",IFERROR(E37/(IF(COUNT('연간'!I53:L53)&lt;4,"",SUM('연간'!I53:L53))),""))</f>
        <v/>
      </c>
      <c r="F64" s="31">
        <f>IF(F37="","",IFERROR(F37/(IF(COUNT('연간'!J53:M53)&lt;4,"",SUM('연간'!J53:M53))),""))</f>
        <v/>
      </c>
      <c r="G64" s="31">
        <f>IF(G37="","",IFERROR(G37/(IF(COUNT('연간'!K53:N53)&lt;4,"",SUM('연간'!K53:N53))),""))</f>
        <v/>
      </c>
      <c r="H64" s="30">
        <f>IF(H37="","",IFERROR(H37/('연간'!T53),""))</f>
        <v/>
      </c>
      <c r="I64" s="31">
        <f>IF(I37="","",IFERROR(I37/('연간'!U53),""))</f>
        <v/>
      </c>
      <c r="J64" s="31">
        <f>IF(J37="","",IFERROR(J37/('연간'!V53),""))</f>
        <v/>
      </c>
      <c r="K64" s="31">
        <f>IF(K37="","",IFERROR(K37/('연간'!W53),""))</f>
        <v/>
      </c>
      <c r="L64" s="31">
        <f>IF(L37="","",IFERROR(L37/('연간'!X53),""))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IF(C40="","",IFERROR(C40/(IF(COUNT('연간'!G55:J55)&lt;4,"",SUM('연간'!G55:J55))),""))</f>
        <v/>
      </c>
      <c r="D67" s="36">
        <f>IF(D40="","",IFERROR(D40/(IF(COUNT('연간'!H55:K55)&lt;4,"",SUM('연간'!H55:K55))),""))</f>
        <v/>
      </c>
      <c r="E67" s="36">
        <f>IF(E40="","",IFERROR(E40/(IF(COUNT('연간'!I55:L55)&lt;4,"",SUM('연간'!I55:L55))),""))</f>
        <v/>
      </c>
      <c r="F67" s="36">
        <f>IF(F40="","",IFERROR(F40/(IF(COUNT('연간'!J55:M55)&lt;4,"",SUM('연간'!J55:M55))),""))</f>
        <v/>
      </c>
      <c r="G67" s="36">
        <f>IF(G40="","",IFERROR(G40/(IF(COUNT('연간'!K55:N55)&lt;4,"",SUM('연간'!K55:N55))),""))</f>
        <v/>
      </c>
      <c r="H67" s="35">
        <f>IF(H40="","",IFERROR(H40/('연간'!T55),""))</f>
        <v/>
      </c>
      <c r="I67" s="36">
        <f>IF(I40="","",IFERROR(I40/('연간'!U55),""))</f>
        <v/>
      </c>
      <c r="J67" s="36">
        <f>IF(J40="","",IFERROR(J40/('연간'!V55),""))</f>
        <v/>
      </c>
      <c r="K67" s="36">
        <f>IF(K40="","",IFERROR(K40/('연간'!W55),""))</f>
        <v/>
      </c>
      <c r="L67" s="36">
        <f>IF(L40="","",IFERROR(L40/('연간'!X55),""))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33434.992</v>
      </c>
      <c r="D71" s="20" t="n">
        <v>31843.871</v>
      </c>
      <c r="E71" s="20" t="n">
        <v>17400.39</v>
      </c>
      <c r="F71" s="20" t="n">
        <v>21075.758</v>
      </c>
      <c r="G71" s="20" t="n">
        <v>24020.013</v>
      </c>
      <c r="H71" s="20" t="n">
        <v>27724.816</v>
      </c>
      <c r="I71" s="20" t="n">
        <v>26551.575</v>
      </c>
      <c r="J71" s="20" t="n">
        <v>16240.751</v>
      </c>
      <c r="K71" s="20" t="n">
        <v>31242.775</v>
      </c>
      <c r="L71" s="20" t="n">
        <v>17400.39</v>
      </c>
    </row>
    <row r="72">
      <c r="A72" s="18" t="inlineStr">
        <is>
          <t>매출채권</t>
        </is>
      </c>
      <c r="C72" s="20" t="n">
        <v>2673.583</v>
      </c>
      <c r="D72" s="20" t="n">
        <v>1137.218</v>
      </c>
      <c r="E72" s="20" t="n">
        <v>1560.759</v>
      </c>
      <c r="F72" s="20" t="n">
        <v>2505.134</v>
      </c>
      <c r="G72" s="20" t="n">
        <v>2851.659</v>
      </c>
      <c r="H72" s="20" t="n">
        <v>3180.142</v>
      </c>
      <c r="I72" s="20" t="n">
        <v>960.965</v>
      </c>
      <c r="J72" s="20" t="n">
        <v>3009.632</v>
      </c>
      <c r="K72" s="20" t="n">
        <v>2670.135</v>
      </c>
      <c r="L72" s="20" t="n">
        <v>1560.759</v>
      </c>
    </row>
    <row r="73">
      <c r="A73" s="18" t="inlineStr">
        <is>
          <t>판매용 부동산</t>
        </is>
      </c>
      <c r="C73" s="20" t="n">
        <v>83689.087</v>
      </c>
      <c r="D73" s="20" t="n">
        <v>84289.485</v>
      </c>
      <c r="E73" s="20" t="n">
        <v>111523.208</v>
      </c>
      <c r="F73" s="20" t="n">
        <v>106622.906</v>
      </c>
      <c r="G73" s="20" t="n">
        <v>106358.762</v>
      </c>
      <c r="H73" s="20" t="n">
        <v>21638.469</v>
      </c>
      <c r="I73" s="20" t="n">
        <v>33371.873</v>
      </c>
      <c r="J73" s="20" t="n">
        <v>58527.159</v>
      </c>
      <c r="K73" s="20" t="n">
        <v>83611.209</v>
      </c>
      <c r="L73" s="20" t="n">
        <v>111523.208</v>
      </c>
    </row>
    <row r="74">
      <c r="A74" s="18" t="inlineStr">
        <is>
          <t>개발 중 판매용 부동산</t>
        </is>
      </c>
      <c r="C74" s="20" t="n">
        <v>105697.726</v>
      </c>
      <c r="D74" s="20" t="n">
        <v>116298.737</v>
      </c>
      <c r="E74" s="20" t="n">
        <v>116611.146</v>
      </c>
      <c r="F74" s="20" t="n">
        <v>127869.088</v>
      </c>
      <c r="G74" s="20" t="n">
        <v>134620.035</v>
      </c>
      <c r="H74" s="20" t="n">
        <v>51337.833</v>
      </c>
      <c r="I74" s="20" t="n">
        <v>59296.802</v>
      </c>
      <c r="J74" s="20" t="n">
        <v>73932.894</v>
      </c>
      <c r="K74" s="20" t="n">
        <v>90657.95600000001</v>
      </c>
      <c r="L74" s="20" t="n">
        <v>116611.146</v>
      </c>
    </row>
    <row r="75">
      <c r="A75" s="18" t="inlineStr">
        <is>
          <t>기타</t>
        </is>
      </c>
      <c r="C75" s="20" t="n">
        <v>5900.135</v>
      </c>
      <c r="D75" s="20" t="n">
        <v>5933.092</v>
      </c>
      <c r="E75" s="20" t="n">
        <v>7668.639</v>
      </c>
      <c r="F75" s="20" t="n">
        <v>8414.879999999999</v>
      </c>
      <c r="G75" s="20" t="n">
        <v>7393.914</v>
      </c>
      <c r="H75" s="20" t="n">
        <v>1807.124</v>
      </c>
      <c r="I75" s="20" t="n">
        <v>3273.802</v>
      </c>
      <c r="J75" s="20" t="n">
        <v>4515.978</v>
      </c>
      <c r="K75" s="20" t="n">
        <v>5332.823</v>
      </c>
      <c r="L75" s="20" t="n">
        <v>7668.639</v>
      </c>
    </row>
    <row r="76">
      <c r="A76" s="9" t="inlineStr">
        <is>
          <t>유동자산 합계</t>
        </is>
      </c>
      <c r="C76" s="12" t="n">
        <v>231395.524</v>
      </c>
      <c r="D76" s="12" t="n">
        <v>239502.406</v>
      </c>
      <c r="E76" s="12" t="n">
        <v>254764.144</v>
      </c>
      <c r="F76" s="12" t="n">
        <v>266487.768</v>
      </c>
      <c r="G76" s="12" t="n">
        <v>275244.385</v>
      </c>
      <c r="H76" s="12" t="n">
        <v>105688.387</v>
      </c>
      <c r="I76" s="12" t="n">
        <v>123455.019</v>
      </c>
      <c r="J76" s="12" t="n">
        <v>156226.416</v>
      </c>
      <c r="K76" s="12" t="n">
        <v>213514.9</v>
      </c>
      <c r="L76" s="12" t="n">
        <v>254764.144</v>
      </c>
    </row>
    <row r="77">
      <c r="A77" s="18" t="inlineStr">
        <is>
          <t>건물·구축물</t>
        </is>
      </c>
      <c r="E77" s="20" t="n">
        <v>3220.764</v>
      </c>
      <c r="H77" s="20" t="n">
        <v>2403.854</v>
      </c>
      <c r="I77" s="20" t="n">
        <v>2406.492</v>
      </c>
      <c r="J77" s="20" t="n">
        <v>2751.333</v>
      </c>
      <c r="K77" s="20" t="n">
        <v>3212.017</v>
      </c>
      <c r="L77" s="20" t="n">
        <v>3220.764</v>
      </c>
    </row>
    <row r="78">
      <c r="A78" s="18" t="inlineStr">
        <is>
          <t>감가상각누계액</t>
        </is>
      </c>
      <c r="E78" s="20" t="n">
        <v>-1455.728</v>
      </c>
      <c r="H78" s="20" t="n">
        <v>-1209.331</v>
      </c>
      <c r="I78" s="20" t="n">
        <v>-1265.433</v>
      </c>
      <c r="J78" s="20" t="n">
        <v>-1324.381</v>
      </c>
      <c r="K78" s="20" t="n">
        <v>-1387.75</v>
      </c>
      <c r="L78" s="20" t="n">
        <v>-1455.728</v>
      </c>
    </row>
    <row r="79">
      <c r="A79" s="18" t="inlineStr">
        <is>
          <t>건물·구축물(순액)</t>
        </is>
      </c>
      <c r="C79" s="20" t="n">
        <v>1791.988</v>
      </c>
      <c r="D79" s="20" t="n">
        <v>1776.314</v>
      </c>
      <c r="E79" s="20" t="n">
        <v>1765.035</v>
      </c>
      <c r="F79" s="20" t="n">
        <v>1769.577</v>
      </c>
      <c r="G79" s="20" t="n">
        <v>2118.623</v>
      </c>
      <c r="H79" s="20" t="n">
        <v>1194.522</v>
      </c>
      <c r="I79" s="20" t="n">
        <v>1141.058</v>
      </c>
      <c r="J79" s="20" t="n">
        <v>1426.951</v>
      </c>
      <c r="K79" s="20" t="n">
        <v>1824.266</v>
      </c>
      <c r="L79" s="20" t="n">
        <v>1765.035</v>
      </c>
    </row>
    <row r="80">
      <c r="A80" s="18" t="inlineStr">
        <is>
          <t>기계장치·운반구</t>
        </is>
      </c>
      <c r="E80" s="20" t="n">
        <v>2806.355</v>
      </c>
      <c r="H80" s="20" t="n">
        <v>1467.855</v>
      </c>
      <c r="I80" s="20" t="n">
        <v>2172.164</v>
      </c>
      <c r="J80" s="20" t="n">
        <v>2172.164</v>
      </c>
      <c r="K80" s="20" t="n">
        <v>2209.331</v>
      </c>
      <c r="L80" s="20" t="n">
        <v>2806.355</v>
      </c>
    </row>
    <row r="81">
      <c r="A81" s="18" t="inlineStr">
        <is>
          <t>감가상각누계액</t>
        </is>
      </c>
      <c r="E81" s="20" t="n">
        <v>-765.678</v>
      </c>
      <c r="H81" s="20" t="n">
        <v>-343.9</v>
      </c>
      <c r="I81" s="20" t="n">
        <v>-346.391</v>
      </c>
      <c r="J81" s="20" t="n">
        <v>-477.65</v>
      </c>
      <c r="K81" s="20" t="n">
        <v>-603.494</v>
      </c>
      <c r="L81" s="20" t="n">
        <v>-765.678</v>
      </c>
    </row>
    <row r="82">
      <c r="A82" s="18" t="inlineStr">
        <is>
          <t>기계장치·운반구(순액)</t>
        </is>
      </c>
      <c r="C82" s="20" t="n">
        <v>2116.749</v>
      </c>
      <c r="D82" s="20" t="n">
        <v>2077.802</v>
      </c>
      <c r="E82" s="20" t="n">
        <v>2040.677</v>
      </c>
      <c r="F82" s="20" t="n">
        <v>2395.406</v>
      </c>
      <c r="G82" s="20" t="n">
        <v>2362.889</v>
      </c>
      <c r="H82" s="20" t="n">
        <v>1123.955</v>
      </c>
      <c r="I82" s="20" t="n">
        <v>1825.772</v>
      </c>
      <c r="J82" s="20" t="n">
        <v>1694.513</v>
      </c>
      <c r="K82" s="20" t="n">
        <v>1605.837</v>
      </c>
      <c r="L82" s="20" t="n">
        <v>2040.677</v>
      </c>
    </row>
    <row r="83">
      <c r="A83" s="18" t="inlineStr">
        <is>
          <t>토지</t>
        </is>
      </c>
      <c r="C83" s="20" t="n">
        <v>3374.789</v>
      </c>
      <c r="D83" s="20" t="n">
        <v>3374.789</v>
      </c>
      <c r="E83" s="20" t="n">
        <v>3374.789</v>
      </c>
      <c r="F83" s="20" t="n">
        <v>3394.789</v>
      </c>
      <c r="G83" s="20" t="n">
        <v>3394.789</v>
      </c>
      <c r="H83" s="20" t="n">
        <v>2465.999</v>
      </c>
      <c r="I83" s="20" t="n">
        <v>2966.303</v>
      </c>
      <c r="J83" s="20" t="n">
        <v>3169.777</v>
      </c>
      <c r="K83" s="20" t="n">
        <v>3374.789</v>
      </c>
      <c r="L83" s="20" t="n">
        <v>3374.789</v>
      </c>
    </row>
    <row r="84">
      <c r="A84" s="18" t="inlineStr">
        <is>
          <t>리스자산</t>
        </is>
      </c>
      <c r="E84" s="20" t="n">
        <v>2269.847</v>
      </c>
      <c r="H84" s="20" t="n">
        <v>2025.516</v>
      </c>
      <c r="I84" s="20" t="n">
        <v>2122.371</v>
      </c>
      <c r="J84" s="20" t="n">
        <v>2170.922</v>
      </c>
      <c r="K84" s="20" t="n">
        <v>2250.132</v>
      </c>
      <c r="L84" s="20" t="n">
        <v>2269.847</v>
      </c>
    </row>
    <row r="85">
      <c r="A85" s="18" t="inlineStr">
        <is>
          <t>감가상각누계액</t>
        </is>
      </c>
      <c r="E85" s="20" t="n">
        <v>-1227.087</v>
      </c>
      <c r="H85" s="20" t="n">
        <v>-732.236</v>
      </c>
      <c r="I85" s="20" t="n">
        <v>-867.159</v>
      </c>
      <c r="J85" s="20" t="n">
        <v>-986.399</v>
      </c>
      <c r="K85" s="20" t="n">
        <v>-1112.277</v>
      </c>
      <c r="L85" s="20" t="n">
        <v>-1227.087</v>
      </c>
    </row>
    <row r="86">
      <c r="A86" s="18" t="inlineStr">
        <is>
          <t>리스자산(순액)</t>
        </is>
      </c>
      <c r="C86" s="20" t="n">
        <v>1081.271</v>
      </c>
      <c r="D86" s="20" t="n">
        <v>1058.308</v>
      </c>
      <c r="E86" s="20" t="n">
        <v>1042.76</v>
      </c>
      <c r="F86" s="20" t="n">
        <v>1017.594</v>
      </c>
      <c r="G86" s="20" t="n">
        <v>1000.767</v>
      </c>
      <c r="H86" s="20" t="n">
        <v>1293.279</v>
      </c>
      <c r="I86" s="20" t="n">
        <v>1255.212</v>
      </c>
      <c r="J86" s="20" t="n">
        <v>1184.523</v>
      </c>
      <c r="K86" s="20" t="n">
        <v>1137.854</v>
      </c>
      <c r="L86" s="20" t="n">
        <v>1042.76</v>
      </c>
    </row>
    <row r="87">
      <c r="A87" s="18" t="inlineStr">
        <is>
          <t>건설중인자산</t>
        </is>
      </c>
      <c r="C87" s="20" t="n">
        <v>0</v>
      </c>
      <c r="D87" s="20" t="n">
        <v>0</v>
      </c>
      <c r="E87" s="20" t="n">
        <v>31.9</v>
      </c>
      <c r="F87" s="20" t="n">
        <v>171.654</v>
      </c>
      <c r="G87" s="20" t="n">
        <v>1451.538</v>
      </c>
      <c r="H87" s="20" t="n">
        <v>169.262</v>
      </c>
      <c r="I87" s="20" t="n">
        <v>1393.885</v>
      </c>
      <c r="J87" s="20" t="n">
        <v>1393.885</v>
      </c>
      <c r="K87" s="20" t="n">
        <v>1515.477</v>
      </c>
      <c r="L87" s="20" t="n">
        <v>31.9</v>
      </c>
    </row>
    <row r="88">
      <c r="A88" s="18" t="inlineStr">
        <is>
          <t>기타</t>
        </is>
      </c>
      <c r="E88" s="20" t="n">
        <v>248.855</v>
      </c>
      <c r="H88" s="20" t="n">
        <v>168.115</v>
      </c>
      <c r="I88" s="20" t="n">
        <v>171.556</v>
      </c>
      <c r="J88" s="20" t="n">
        <v>187.802</v>
      </c>
      <c r="K88" s="20" t="n">
        <v>204.959</v>
      </c>
      <c r="L88" s="20" t="n">
        <v>248.855</v>
      </c>
    </row>
    <row r="89">
      <c r="A89" s="18" t="inlineStr">
        <is>
          <t>감가상각누계액</t>
        </is>
      </c>
      <c r="E89" s="20" t="n">
        <v>-189.83</v>
      </c>
      <c r="H89" s="20" t="n">
        <v>-121.234</v>
      </c>
      <c r="I89" s="20" t="n">
        <v>-135.875</v>
      </c>
      <c r="J89" s="20" t="n">
        <v>-150.629</v>
      </c>
      <c r="K89" s="20" t="n">
        <v>-165.545</v>
      </c>
      <c r="L89" s="20" t="n">
        <v>-189.83</v>
      </c>
    </row>
    <row r="90">
      <c r="A90" s="18" t="inlineStr">
        <is>
          <t>기타(순액)</t>
        </is>
      </c>
      <c r="C90" s="20" t="n">
        <v>47.331</v>
      </c>
      <c r="D90" s="20" t="n">
        <v>44.754</v>
      </c>
      <c r="E90" s="20" t="n">
        <v>59.024</v>
      </c>
      <c r="F90" s="20" t="n">
        <v>66.476</v>
      </c>
      <c r="G90" s="20" t="n">
        <v>192.49</v>
      </c>
      <c r="H90" s="20" t="n">
        <v>46.881</v>
      </c>
      <c r="I90" s="20" t="n">
        <v>35.68</v>
      </c>
      <c r="J90" s="20" t="n">
        <v>37.172</v>
      </c>
      <c r="K90" s="20" t="n">
        <v>39.414</v>
      </c>
      <c r="L90" s="20" t="n">
        <v>59.024</v>
      </c>
    </row>
    <row r="91">
      <c r="A91" s="18" t="inlineStr">
        <is>
          <t>유형자산 합계</t>
        </is>
      </c>
      <c r="C91" s="20" t="n">
        <v>8412.129999999999</v>
      </c>
      <c r="D91" s="20" t="n">
        <v>8331.969999999999</v>
      </c>
      <c r="E91" s="20" t="n">
        <v>8314.188</v>
      </c>
      <c r="F91" s="20" t="n">
        <v>8815.498</v>
      </c>
      <c r="G91" s="20" t="n">
        <v>10521.098</v>
      </c>
      <c r="H91" s="20" t="n">
        <v>6293.901</v>
      </c>
      <c r="I91" s="20" t="n">
        <v>8617.912</v>
      </c>
      <c r="J91" s="20" t="n">
        <v>8906.824000000001</v>
      </c>
      <c r="K91" s="20" t="n">
        <v>9497.639999999999</v>
      </c>
      <c r="L91" s="20" t="n">
        <v>8314.188</v>
      </c>
    </row>
    <row r="92">
      <c r="A92" s="18" t="inlineStr">
        <is>
          <t>무형자산</t>
        </is>
      </c>
      <c r="C92" s="20" t="n">
        <v>246.222</v>
      </c>
      <c r="D92" s="20" t="n">
        <v>229.794</v>
      </c>
      <c r="E92" s="20" t="n">
        <v>225.758</v>
      </c>
      <c r="F92" s="20" t="n">
        <v>521.788</v>
      </c>
      <c r="G92" s="20" t="n">
        <v>505.162</v>
      </c>
      <c r="H92" s="20" t="n">
        <v>344.877</v>
      </c>
      <c r="I92" s="20" t="n">
        <v>331.854</v>
      </c>
      <c r="J92" s="20" t="n">
        <v>311.94</v>
      </c>
      <c r="K92" s="20" t="n">
        <v>262.883</v>
      </c>
      <c r="L92" s="20" t="n">
        <v>225.758</v>
      </c>
    </row>
    <row r="93">
      <c r="A93" s="18" t="inlineStr">
        <is>
          <t>투자유가증권</t>
        </is>
      </c>
      <c r="C93" s="20" t="n">
        <v>587.477</v>
      </c>
      <c r="D93" s="20" t="n">
        <v>642.169</v>
      </c>
      <c r="E93" s="20" t="n">
        <v>622.1950000000001</v>
      </c>
      <c r="F93" s="20" t="n">
        <v>686.87</v>
      </c>
      <c r="G93" s="20" t="n">
        <v>720.401</v>
      </c>
      <c r="H93" s="20" t="n">
        <v>346.665</v>
      </c>
      <c r="I93" s="20" t="n">
        <v>421.531</v>
      </c>
      <c r="J93" s="20" t="n">
        <v>556.027</v>
      </c>
      <c r="K93" s="20" t="n">
        <v>499.971</v>
      </c>
      <c r="L93" s="20" t="n">
        <v>622.1950000000001</v>
      </c>
    </row>
    <row r="94">
      <c r="A94" s="18" t="inlineStr">
        <is>
          <t>이연법인세자산</t>
        </is>
      </c>
      <c r="C94" s="20" t="n">
        <v>845.003</v>
      </c>
      <c r="D94" s="20" t="n">
        <v>737.922</v>
      </c>
      <c r="E94" s="20" t="n">
        <v>1072.421</v>
      </c>
      <c r="F94" s="20" t="n">
        <v>929.607</v>
      </c>
      <c r="G94" s="20" t="n">
        <v>1130.926</v>
      </c>
      <c r="H94" s="20" t="n">
        <v>587.41</v>
      </c>
      <c r="I94" s="20" t="n">
        <v>625.761</v>
      </c>
      <c r="J94" s="20" t="n">
        <v>601.441</v>
      </c>
      <c r="K94" s="20" t="n">
        <v>855.236</v>
      </c>
      <c r="L94" s="20" t="n">
        <v>1072.421</v>
      </c>
    </row>
    <row r="95">
      <c r="A95" s="18" t="inlineStr">
        <is>
          <t>기타</t>
        </is>
      </c>
      <c r="C95" s="20" t="n">
        <v>3597.636</v>
      </c>
      <c r="D95" s="20" t="n">
        <v>3560.004</v>
      </c>
      <c r="E95" s="20" t="n">
        <v>3503.162</v>
      </c>
      <c r="F95" s="20" t="n">
        <v>3828.563</v>
      </c>
      <c r="G95" s="20" t="n">
        <v>3887.749</v>
      </c>
      <c r="H95" s="20" t="n">
        <v>1054.662</v>
      </c>
      <c r="I95" s="20" t="n">
        <v>2415.4</v>
      </c>
      <c r="J95" s="20" t="n">
        <v>2351.513</v>
      </c>
      <c r="K95" s="20" t="n">
        <v>2399.019</v>
      </c>
      <c r="L95" s="20" t="n">
        <v>3503.162</v>
      </c>
    </row>
    <row r="96">
      <c r="A96" s="18" t="inlineStr">
        <is>
          <t>투자 및 기타자산 합계</t>
        </is>
      </c>
      <c r="C96" s="20" t="n">
        <v>5030.116</v>
      </c>
      <c r="D96" s="20" t="n">
        <v>4940.095</v>
      </c>
      <c r="E96" s="20" t="n">
        <v>5197.779</v>
      </c>
      <c r="F96" s="20" t="n">
        <v>5445.042</v>
      </c>
      <c r="G96" s="20" t="n">
        <v>5739.078</v>
      </c>
      <c r="H96" s="20" t="n">
        <v>1988.738</v>
      </c>
      <c r="I96" s="20" t="n">
        <v>3462.693</v>
      </c>
      <c r="J96" s="20" t="n">
        <v>3508.982</v>
      </c>
      <c r="K96" s="20" t="n">
        <v>3754.227</v>
      </c>
      <c r="L96" s="20" t="n">
        <v>5197.779</v>
      </c>
    </row>
    <row r="97">
      <c r="A97" s="9" t="inlineStr">
        <is>
          <t>비유동자산 합계</t>
        </is>
      </c>
      <c r="C97" s="12" t="n">
        <v>13688.47</v>
      </c>
      <c r="D97" s="12" t="n">
        <v>13501.86</v>
      </c>
      <c r="E97" s="12" t="n">
        <v>13737.726</v>
      </c>
      <c r="F97" s="12" t="n">
        <v>14782.329</v>
      </c>
      <c r="G97" s="12" t="n">
        <v>16765.339</v>
      </c>
      <c r="H97" s="12" t="n">
        <v>8627.517</v>
      </c>
      <c r="I97" s="12" t="n">
        <v>12412.46</v>
      </c>
      <c r="J97" s="12" t="n">
        <v>12727.747</v>
      </c>
      <c r="K97" s="12" t="n">
        <v>13514.751</v>
      </c>
      <c r="L97" s="12" t="n">
        <v>13737.726</v>
      </c>
    </row>
    <row r="98">
      <c r="A98" s="9" t="inlineStr">
        <is>
          <t>자산 합계</t>
        </is>
      </c>
      <c r="C98" s="12" t="n">
        <v>245083.995</v>
      </c>
      <c r="D98" s="12" t="n">
        <v>253004.266</v>
      </c>
      <c r="E98" s="12" t="n">
        <v>268501.871</v>
      </c>
      <c r="F98" s="12" t="n">
        <v>281270.098</v>
      </c>
      <c r="G98" s="12" t="n">
        <v>292009.724</v>
      </c>
      <c r="H98" s="12" t="n">
        <v>114315.904</v>
      </c>
      <c r="I98" s="12" t="n">
        <v>135867.479</v>
      </c>
      <c r="J98" s="12" t="n">
        <v>168954.164</v>
      </c>
      <c r="K98" s="12" t="n">
        <v>227029.651</v>
      </c>
      <c r="L98" s="12" t="n">
        <v>268501.871</v>
      </c>
    </row>
    <row r="99">
      <c r="A99" s="18" t="inlineStr">
        <is>
          <t>지급어음·매입채무</t>
        </is>
      </c>
      <c r="C99" s="20" t="n">
        <v>1263.387</v>
      </c>
      <c r="D99" s="20" t="n">
        <v>1049.252</v>
      </c>
      <c r="E99" s="20" t="n">
        <v>1285.984</v>
      </c>
      <c r="H99" s="20" t="n">
        <v>1822.232</v>
      </c>
      <c r="I99" s="20" t="n">
        <v>2726.648</v>
      </c>
      <c r="J99" s="20" t="n">
        <v>2146.631</v>
      </c>
      <c r="K99" s="20" t="n">
        <v>1264.933</v>
      </c>
      <c r="L99" s="20" t="n">
        <v>1285.984</v>
      </c>
    </row>
    <row r="100">
      <c r="A100" s="18" t="inlineStr">
        <is>
          <t>매입채무</t>
        </is>
      </c>
      <c r="E100" s="20" t="n">
        <v>1285.984</v>
      </c>
      <c r="F100" s="20" t="n">
        <v>1103.22</v>
      </c>
      <c r="G100" s="20" t="n">
        <v>1342.339</v>
      </c>
      <c r="L100" s="20" t="n">
        <v>1285.984</v>
      </c>
    </row>
    <row r="101">
      <c r="A101" s="18" t="inlineStr">
        <is>
          <t>전자기록채무</t>
        </is>
      </c>
      <c r="C101" s="20" t="n">
        <v>397.1</v>
      </c>
      <c r="D101" s="20" t="n">
        <v>1188</v>
      </c>
      <c r="E101" s="20" t="n">
        <v>5192.77</v>
      </c>
      <c r="F101" s="20" t="n">
        <v>1585.21</v>
      </c>
      <c r="G101" s="20" t="n">
        <v>1526.8</v>
      </c>
      <c r="H101" s="20" t="n">
        <v>4523.585</v>
      </c>
      <c r="I101" s="20" t="n">
        <v>3029.18</v>
      </c>
      <c r="J101" s="20" t="n">
        <v>5659.852</v>
      </c>
      <c r="K101" s="20" t="n">
        <v>3212</v>
      </c>
      <c r="L101" s="20" t="n">
        <v>5192.77</v>
      </c>
    </row>
    <row r="102">
      <c r="A102" s="18" t="inlineStr">
        <is>
          <t>1년 내 상환 사채</t>
        </is>
      </c>
      <c r="C102" s="20" t="n">
        <v>100</v>
      </c>
      <c r="D102" s="20" t="n">
        <v>100</v>
      </c>
      <c r="E102" s="20" t="n">
        <v>600</v>
      </c>
      <c r="F102" s="20" t="n">
        <v>600</v>
      </c>
      <c r="G102" s="20" t="n">
        <v>600</v>
      </c>
      <c r="H102" s="20" t="n">
        <v>0</v>
      </c>
      <c r="I102" s="20" t="n">
        <v>500</v>
      </c>
      <c r="J102" s="20" t="n">
        <v>0</v>
      </c>
      <c r="K102" s="20" t="n">
        <v>0</v>
      </c>
      <c r="L102" s="20" t="n">
        <v>600</v>
      </c>
    </row>
    <row r="103">
      <c r="A103" s="18" t="inlineStr">
        <is>
          <t>단기차입금</t>
        </is>
      </c>
      <c r="C103" s="20" t="n">
        <v>2739.6</v>
      </c>
      <c r="D103" s="20" t="n">
        <v>2706.495</v>
      </c>
      <c r="E103" s="20" t="n">
        <v>2656.84</v>
      </c>
      <c r="F103" s="20" t="n">
        <v>5721.56</v>
      </c>
      <c r="G103" s="20" t="n">
        <v>2657.4</v>
      </c>
      <c r="H103" s="20" t="n">
        <v>466.8</v>
      </c>
      <c r="I103" s="20" t="n">
        <v>2044.8</v>
      </c>
      <c r="J103" s="20" t="n">
        <v>3660</v>
      </c>
      <c r="K103" s="20" t="n">
        <v>4010</v>
      </c>
      <c r="L103" s="20" t="n">
        <v>2656.84</v>
      </c>
    </row>
    <row r="104">
      <c r="A104" s="18" t="inlineStr">
        <is>
          <t>1년 내 상환 장기차입금</t>
        </is>
      </c>
      <c r="C104" s="20" t="n">
        <v>41590.704</v>
      </c>
      <c r="D104" s="20" t="n">
        <v>43730.674</v>
      </c>
      <c r="E104" s="20" t="n">
        <v>34147.886</v>
      </c>
      <c r="F104" s="20" t="n">
        <v>36697.394</v>
      </c>
      <c r="G104" s="20" t="n">
        <v>30260.032</v>
      </c>
      <c r="H104" s="20" t="n">
        <v>12826.84</v>
      </c>
      <c r="I104" s="20" t="n">
        <v>24315.897</v>
      </c>
      <c r="J104" s="20" t="n">
        <v>18287.392</v>
      </c>
      <c r="K104" s="20" t="n">
        <v>32577.416</v>
      </c>
      <c r="L104" s="20" t="n">
        <v>34147.886</v>
      </c>
    </row>
    <row r="105">
      <c r="A105" s="18" t="inlineStr">
        <is>
          <t>리스부채</t>
        </is>
      </c>
      <c r="C105" s="20" t="n">
        <v>136.692</v>
      </c>
      <c r="D105" s="20" t="n">
        <v>136.382</v>
      </c>
      <c r="E105" s="20" t="n">
        <v>135.934</v>
      </c>
      <c r="F105" s="20" t="n">
        <v>134.129</v>
      </c>
      <c r="G105" s="20" t="n">
        <v>135.378</v>
      </c>
      <c r="H105" s="20" t="n">
        <v>139.416</v>
      </c>
      <c r="I105" s="20" t="n">
        <v>137.372</v>
      </c>
      <c r="J105" s="20" t="n">
        <v>135.943</v>
      </c>
      <c r="K105" s="20" t="n">
        <v>138.889</v>
      </c>
      <c r="L105" s="20" t="n">
        <v>135.934</v>
      </c>
    </row>
    <row r="106">
      <c r="A106" s="18" t="inlineStr">
        <is>
          <t>미지급법인세</t>
        </is>
      </c>
      <c r="C106" s="20" t="n">
        <v>3649.122</v>
      </c>
      <c r="D106" s="20" t="n">
        <v>2387.95</v>
      </c>
      <c r="E106" s="20" t="n">
        <v>3398.978</v>
      </c>
      <c r="F106" s="20" t="n">
        <v>2449.395</v>
      </c>
      <c r="G106" s="20" t="n">
        <v>5066.345</v>
      </c>
      <c r="H106" s="20" t="n">
        <v>2757.34</v>
      </c>
      <c r="I106" s="20" t="n">
        <v>2733.555</v>
      </c>
      <c r="J106" s="20" t="n">
        <v>2303.275</v>
      </c>
      <c r="K106" s="20" t="n">
        <v>3069.973</v>
      </c>
      <c r="L106" s="20" t="n">
        <v>3398.978</v>
      </c>
    </row>
    <row r="107">
      <c r="A107" s="18" t="inlineStr">
        <is>
          <t>선수금</t>
        </is>
      </c>
      <c r="C107" s="20" t="n">
        <v>2308.657</v>
      </c>
      <c r="D107" s="20" t="n">
        <v>2140.783</v>
      </c>
      <c r="E107" s="20" t="n">
        <v>2079.27</v>
      </c>
      <c r="F107" s="20" t="n">
        <v>1827.218</v>
      </c>
      <c r="G107" s="20" t="n">
        <v>2124.933</v>
      </c>
      <c r="H107" s="20" t="n">
        <v>2206.02</v>
      </c>
      <c r="I107" s="20" t="n">
        <v>1872.259</v>
      </c>
      <c r="J107" s="20" t="n">
        <v>2564.618</v>
      </c>
      <c r="K107" s="20" t="n">
        <v>1807.594</v>
      </c>
      <c r="L107" s="20" t="n">
        <v>2079.27</v>
      </c>
    </row>
    <row r="108">
      <c r="A108" s="18" t="inlineStr">
        <is>
          <t>상여충당금</t>
        </is>
      </c>
      <c r="C108" s="20" t="n">
        <v>226.126</v>
      </c>
      <c r="D108" s="20" t="n">
        <v>125.438</v>
      </c>
      <c r="E108" s="20" t="n">
        <v>271.985</v>
      </c>
      <c r="F108" s="20" t="n">
        <v>137.513</v>
      </c>
      <c r="G108" s="20" t="n">
        <v>271.89</v>
      </c>
      <c r="H108" s="20" t="n">
        <v>292.213</v>
      </c>
      <c r="I108" s="20" t="n">
        <v>237.297</v>
      </c>
      <c r="J108" s="20" t="n">
        <v>230.873</v>
      </c>
      <c r="K108" s="20" t="n">
        <v>238.108</v>
      </c>
      <c r="L108" s="20" t="n">
        <v>271.985</v>
      </c>
    </row>
    <row r="109">
      <c r="A109" s="18" t="inlineStr">
        <is>
          <t>기타</t>
        </is>
      </c>
      <c r="C109" s="20" t="n">
        <v>1919.401</v>
      </c>
      <c r="D109" s="20" t="n">
        <v>2615.351</v>
      </c>
      <c r="E109" s="20" t="n">
        <v>2852.38</v>
      </c>
      <c r="F109" s="20" t="n">
        <v>2914.873</v>
      </c>
      <c r="G109" s="20" t="n">
        <v>2668.469</v>
      </c>
      <c r="H109" s="20" t="n">
        <v>1783.745</v>
      </c>
      <c r="I109" s="20" t="n">
        <v>1376.903</v>
      </c>
      <c r="J109" s="20" t="n">
        <v>1932.08</v>
      </c>
      <c r="K109" s="20" t="n">
        <v>1936.093</v>
      </c>
      <c r="L109" s="20" t="n">
        <v>2852.38</v>
      </c>
    </row>
    <row r="110">
      <c r="A110" s="9" t="inlineStr">
        <is>
          <t>유동부채 합계</t>
        </is>
      </c>
      <c r="C110" s="12" t="n">
        <v>54330.792</v>
      </c>
      <c r="D110" s="12" t="n">
        <v>56180.328</v>
      </c>
      <c r="E110" s="12" t="n">
        <v>52622.028</v>
      </c>
      <c r="F110" s="12" t="n">
        <v>53170.514</v>
      </c>
      <c r="G110" s="12" t="n">
        <v>46653.588</v>
      </c>
      <c r="H110" s="12" t="n">
        <v>26818.194</v>
      </c>
      <c r="I110" s="12" t="n">
        <v>38973.913</v>
      </c>
      <c r="J110" s="12" t="n">
        <v>36920.666</v>
      </c>
      <c r="K110" s="12" t="n">
        <v>48255.007</v>
      </c>
      <c r="L110" s="12" t="n">
        <v>52622.028</v>
      </c>
    </row>
    <row r="111">
      <c r="A111" s="18" t="inlineStr">
        <is>
          <t>사채</t>
        </is>
      </c>
      <c r="C111" s="20" t="n">
        <v>1350</v>
      </c>
      <c r="D111" s="20" t="n">
        <v>1350</v>
      </c>
      <c r="E111" s="20" t="n">
        <v>800</v>
      </c>
      <c r="F111" s="20" t="n">
        <v>800</v>
      </c>
      <c r="G111" s="20" t="n">
        <v>1250</v>
      </c>
      <c r="H111" s="20" t="n">
        <v>500</v>
      </c>
      <c r="I111" s="20" t="n">
        <v>0</v>
      </c>
      <c r="J111" s="20" t="n">
        <v>500</v>
      </c>
      <c r="K111" s="20" t="n">
        <v>1500</v>
      </c>
      <c r="L111" s="20" t="n">
        <v>800</v>
      </c>
    </row>
    <row r="112">
      <c r="A112" s="18" t="inlineStr">
        <is>
          <t>장기차입금</t>
        </is>
      </c>
      <c r="C112" s="20" t="n">
        <v>109015.098</v>
      </c>
      <c r="D112" s="20" t="n">
        <v>114953.851</v>
      </c>
      <c r="E112" s="20" t="n">
        <v>131475.737</v>
      </c>
      <c r="F112" s="20" t="n">
        <v>142516.527</v>
      </c>
      <c r="G112" s="20" t="n">
        <v>154558.37</v>
      </c>
      <c r="H112" s="20" t="n">
        <v>29439.39</v>
      </c>
      <c r="I112" s="20" t="n">
        <v>34141.409</v>
      </c>
      <c r="J112" s="20" t="n">
        <v>62889.471</v>
      </c>
      <c r="K112" s="20" t="n">
        <v>101559.759</v>
      </c>
      <c r="L112" s="20" t="n">
        <v>131475.737</v>
      </c>
    </row>
    <row r="113">
      <c r="A113" s="18" t="inlineStr">
        <is>
          <t>리스부채</t>
        </is>
      </c>
      <c r="C113" s="20" t="n">
        <v>1025.777</v>
      </c>
      <c r="D113" s="20" t="n">
        <v>1000.971</v>
      </c>
      <c r="E113" s="20" t="n">
        <v>980.2670000000001</v>
      </c>
      <c r="F113" s="20" t="n">
        <v>952.375</v>
      </c>
      <c r="G113" s="20" t="n">
        <v>930.434</v>
      </c>
      <c r="H113" s="20" t="n">
        <v>1254.977</v>
      </c>
      <c r="I113" s="20" t="n">
        <v>1213.583</v>
      </c>
      <c r="J113" s="20" t="n">
        <v>1152.891</v>
      </c>
      <c r="K113" s="20" t="n">
        <v>1089.707</v>
      </c>
      <c r="L113" s="20" t="n">
        <v>980.2670000000001</v>
      </c>
    </row>
    <row r="114">
      <c r="A114" s="18" t="inlineStr">
        <is>
          <t>퇴직급여부채</t>
        </is>
      </c>
      <c r="C114" s="20" t="n">
        <v>192.147</v>
      </c>
      <c r="D114" s="20" t="n">
        <v>193.34</v>
      </c>
      <c r="E114" s="20" t="n">
        <v>194.495</v>
      </c>
      <c r="F114" s="20" t="n">
        <v>214.315</v>
      </c>
      <c r="G114" s="20" t="n">
        <v>233.474</v>
      </c>
      <c r="H114" s="20" t="n">
        <v>132.003</v>
      </c>
      <c r="I114" s="20" t="n">
        <v>148.968</v>
      </c>
      <c r="J114" s="20" t="n">
        <v>155.28</v>
      </c>
      <c r="K114" s="20" t="n">
        <v>178.057</v>
      </c>
      <c r="L114" s="20" t="n">
        <v>194.495</v>
      </c>
    </row>
    <row r="115">
      <c r="A115" s="18" t="inlineStr">
        <is>
          <t>임원 퇴직위로 충당금</t>
        </is>
      </c>
      <c r="C115" s="20" t="n">
        <v>246.125</v>
      </c>
      <c r="D115" s="20" t="n">
        <v>247.625</v>
      </c>
      <c r="E115" s="20" t="n">
        <v>248.375</v>
      </c>
      <c r="F115" s="20" t="n">
        <v>239.375</v>
      </c>
      <c r="G115" s="20" t="n">
        <v>240.125</v>
      </c>
      <c r="H115" s="20" t="n">
        <v>230.5</v>
      </c>
      <c r="I115" s="20" t="n">
        <v>233.562</v>
      </c>
      <c r="J115" s="20" t="n">
        <v>239.187</v>
      </c>
      <c r="K115" s="20" t="n">
        <v>243.875</v>
      </c>
      <c r="L115" s="20" t="n">
        <v>248.375</v>
      </c>
    </row>
    <row r="116">
      <c r="A116" s="18" t="inlineStr">
        <is>
          <t>자산복구부채</t>
        </is>
      </c>
      <c r="C116" s="20" t="n">
        <v>23.32</v>
      </c>
      <c r="D116" s="20" t="n">
        <v>23.32</v>
      </c>
      <c r="E116" s="20" t="n">
        <v>23.32</v>
      </c>
      <c r="F116" s="20" t="n">
        <v>23.32</v>
      </c>
      <c r="G116" s="20" t="n">
        <v>155.123</v>
      </c>
      <c r="H116" s="20" t="n">
        <v>23.32</v>
      </c>
      <c r="I116" s="20" t="n">
        <v>23.32</v>
      </c>
      <c r="J116" s="20" t="n">
        <v>23.32</v>
      </c>
      <c r="K116" s="20" t="n">
        <v>23.32</v>
      </c>
      <c r="L116" s="20" t="n">
        <v>23.32</v>
      </c>
    </row>
    <row r="117">
      <c r="A117" s="18" t="inlineStr">
        <is>
          <t>기타</t>
        </is>
      </c>
      <c r="C117" s="20" t="n">
        <v>737.491</v>
      </c>
      <c r="D117" s="20" t="n">
        <v>702.245</v>
      </c>
      <c r="E117" s="20" t="n">
        <v>607.819</v>
      </c>
      <c r="F117" s="20" t="n">
        <v>455.594</v>
      </c>
      <c r="G117" s="20" t="n">
        <v>457.673</v>
      </c>
      <c r="H117" s="20" t="n">
        <v>218.881</v>
      </c>
      <c r="I117" s="20" t="n">
        <v>166.797</v>
      </c>
      <c r="J117" s="20" t="n">
        <v>200.291</v>
      </c>
      <c r="K117" s="20" t="n">
        <v>719.502</v>
      </c>
      <c r="L117" s="20" t="n">
        <v>607.819</v>
      </c>
    </row>
    <row r="118">
      <c r="A118" s="9" t="inlineStr">
        <is>
          <t>비유동부채 합계</t>
        </is>
      </c>
      <c r="C118" s="12" t="n">
        <v>112589.959</v>
      </c>
      <c r="D118" s="12" t="n">
        <v>118471.354</v>
      </c>
      <c r="E118" s="12" t="n">
        <v>134330.015</v>
      </c>
      <c r="F118" s="12" t="n">
        <v>145201.508</v>
      </c>
      <c r="G118" s="12" t="n">
        <v>157825.201</v>
      </c>
      <c r="H118" s="12" t="n">
        <v>31799.072</v>
      </c>
      <c r="I118" s="12" t="n">
        <v>35927.64</v>
      </c>
      <c r="J118" s="12" t="n">
        <v>65160.442</v>
      </c>
      <c r="K118" s="12" t="n">
        <v>105314.22</v>
      </c>
      <c r="L118" s="12" t="n">
        <v>134330.015</v>
      </c>
    </row>
    <row r="119">
      <c r="A119" s="9" t="inlineStr">
        <is>
          <t>부채 합계</t>
        </is>
      </c>
      <c r="C119" s="12" t="n">
        <v>166920.752</v>
      </c>
      <c r="D119" s="12" t="n">
        <v>174651.682</v>
      </c>
      <c r="E119" s="12" t="n">
        <v>186952.043</v>
      </c>
      <c r="F119" s="12" t="n">
        <v>198372.022</v>
      </c>
      <c r="G119" s="12" t="n">
        <v>204478.789</v>
      </c>
      <c r="H119" s="12" t="n">
        <v>58617.266</v>
      </c>
      <c r="I119" s="12" t="n">
        <v>74901.554</v>
      </c>
      <c r="J119" s="12" t="n">
        <v>102081.108</v>
      </c>
      <c r="K119" s="12" t="n">
        <v>153569.228</v>
      </c>
      <c r="L119" s="12" t="n">
        <v>186952.043</v>
      </c>
    </row>
    <row r="120">
      <c r="A120" s="18" t="inlineStr">
        <is>
          <t>자본금</t>
        </is>
      </c>
      <c r="C120" s="20" t="n">
        <v>1983</v>
      </c>
      <c r="D120" s="20" t="n">
        <v>1983</v>
      </c>
      <c r="E120" s="20" t="n">
        <v>1983</v>
      </c>
      <c r="F120" s="20" t="n">
        <v>1983</v>
      </c>
      <c r="G120" s="20" t="n">
        <v>1983</v>
      </c>
      <c r="H120" s="20" t="n">
        <v>1983</v>
      </c>
      <c r="I120" s="20" t="n">
        <v>1983</v>
      </c>
      <c r="J120" s="20" t="n">
        <v>1983</v>
      </c>
      <c r="K120" s="20" t="n">
        <v>1983</v>
      </c>
      <c r="L120" s="20" t="n">
        <v>1983</v>
      </c>
    </row>
    <row r="121">
      <c r="A121" s="18" t="inlineStr">
        <is>
          <t>자본잉여금</t>
        </is>
      </c>
      <c r="C121" s="20" t="n">
        <v>2871.307</v>
      </c>
      <c r="D121" s="20" t="n">
        <v>2871.307</v>
      </c>
      <c r="E121" s="20" t="n">
        <v>2871.307</v>
      </c>
      <c r="F121" s="20" t="n">
        <v>2871.307</v>
      </c>
      <c r="G121" s="20" t="n">
        <v>2871.307</v>
      </c>
      <c r="H121" s="20" t="n">
        <v>2871.307</v>
      </c>
      <c r="I121" s="20" t="n">
        <v>2871.307</v>
      </c>
      <c r="J121" s="20" t="n">
        <v>2871.307</v>
      </c>
      <c r="K121" s="20" t="n">
        <v>2871.307</v>
      </c>
      <c r="L121" s="20" t="n">
        <v>2871.307</v>
      </c>
    </row>
    <row r="122">
      <c r="A122" s="18" t="inlineStr">
        <is>
          <t>이익잉여금</t>
        </is>
      </c>
      <c r="C122" s="20" t="n">
        <v>73112.893</v>
      </c>
      <c r="D122" s="20" t="n">
        <v>73264.77</v>
      </c>
      <c r="E122" s="20" t="n">
        <v>76475.97100000001</v>
      </c>
      <c r="F122" s="20" t="n">
        <v>77779.916</v>
      </c>
      <c r="G122" s="20" t="n">
        <v>82389.807</v>
      </c>
      <c r="H122" s="20" t="n">
        <v>50794.01</v>
      </c>
      <c r="I122" s="20" t="n">
        <v>56015.448</v>
      </c>
      <c r="J122" s="20" t="n">
        <v>61836.559</v>
      </c>
      <c r="K122" s="20" t="n">
        <v>68467.16</v>
      </c>
      <c r="L122" s="20" t="n">
        <v>76475.97100000001</v>
      </c>
    </row>
    <row r="123">
      <c r="A123" s="18" t="inlineStr">
        <is>
          <t>자기주식</t>
        </is>
      </c>
      <c r="C123" s="20" t="n">
        <v>-65.89</v>
      </c>
      <c r="D123" s="20" t="n">
        <v>-65.89</v>
      </c>
      <c r="E123" s="20" t="n">
        <v>-66.166</v>
      </c>
      <c r="F123" s="20" t="n">
        <v>-66.166</v>
      </c>
      <c r="G123" s="20" t="n">
        <v>-66.166</v>
      </c>
      <c r="H123" s="20" t="n">
        <v>-64.324</v>
      </c>
      <c r="I123" s="20" t="n">
        <v>-64.324</v>
      </c>
      <c r="J123" s="20" t="n">
        <v>-64.92400000000001</v>
      </c>
      <c r="K123" s="20" t="n">
        <v>-65.69</v>
      </c>
      <c r="L123" s="20" t="n">
        <v>-66.166</v>
      </c>
    </row>
    <row r="124">
      <c r="A124" s="9" t="inlineStr">
        <is>
          <t>주주자본 합계</t>
        </is>
      </c>
      <c r="C124" s="12" t="n">
        <v>77901.31</v>
      </c>
      <c r="D124" s="12" t="n">
        <v>78053.18700000001</v>
      </c>
      <c r="E124" s="12" t="n">
        <v>81264.11199999999</v>
      </c>
      <c r="F124" s="12" t="n">
        <v>82568.058</v>
      </c>
      <c r="G124" s="12" t="n">
        <v>87177.94899999999</v>
      </c>
      <c r="H124" s="12" t="n">
        <v>55583.994</v>
      </c>
      <c r="I124" s="12" t="n">
        <v>60805.431</v>
      </c>
      <c r="J124" s="12" t="n">
        <v>66625.942</v>
      </c>
      <c r="K124" s="12" t="n">
        <v>73255.77800000001</v>
      </c>
      <c r="L124" s="12" t="n">
        <v>81264.11199999999</v>
      </c>
    </row>
    <row r="125">
      <c r="A125" s="18" t="inlineStr">
        <is>
          <t>기타유가증권 평가차액</t>
        </is>
      </c>
      <c r="C125" s="20" t="n">
        <v>261.932</v>
      </c>
      <c r="D125" s="20" t="n">
        <v>299.396</v>
      </c>
      <c r="E125" s="20" t="n">
        <v>285.714</v>
      </c>
      <c r="F125" s="20" t="n">
        <v>330.016</v>
      </c>
      <c r="G125" s="20" t="n">
        <v>352.985</v>
      </c>
      <c r="H125" s="20" t="n">
        <v>114.643</v>
      </c>
      <c r="I125" s="20" t="n">
        <v>160.493</v>
      </c>
      <c r="J125" s="20" t="n">
        <v>247.113</v>
      </c>
      <c r="K125" s="20" t="n">
        <v>204.644</v>
      </c>
      <c r="L125" s="20" t="n">
        <v>285.714</v>
      </c>
    </row>
    <row r="126">
      <c r="A126" s="18" t="inlineStr">
        <is>
          <t>기타포괄손익누계액 합계</t>
        </is>
      </c>
      <c r="C126" s="20" t="n">
        <v>261.932</v>
      </c>
      <c r="D126" s="20" t="n">
        <v>299.396</v>
      </c>
      <c r="E126" s="20" t="n">
        <v>285.714</v>
      </c>
      <c r="F126" s="20" t="n">
        <v>330.016</v>
      </c>
      <c r="G126" s="20" t="n">
        <v>352.985</v>
      </c>
      <c r="H126" s="20" t="n">
        <v>114.643</v>
      </c>
      <c r="I126" s="20" t="n">
        <v>160.493</v>
      </c>
      <c r="J126" s="20" t="n">
        <v>247.113</v>
      </c>
      <c r="K126" s="20" t="n">
        <v>204.644</v>
      </c>
      <c r="L126" s="20" t="n">
        <v>285.714</v>
      </c>
    </row>
    <row r="127">
      <c r="A127" s="9" t="inlineStr">
        <is>
          <t>순자산 합계</t>
        </is>
      </c>
      <c r="C127" s="12" t="n">
        <v>78163.242</v>
      </c>
      <c r="D127" s="12" t="n">
        <v>78352.584</v>
      </c>
      <c r="E127" s="12" t="n">
        <v>81549.827</v>
      </c>
      <c r="F127" s="12" t="n">
        <v>82898.075</v>
      </c>
      <c r="G127" s="12" t="n">
        <v>87530.935</v>
      </c>
      <c r="H127" s="12" t="n">
        <v>55698.637</v>
      </c>
      <c r="I127" s="12" t="n">
        <v>60965.925</v>
      </c>
      <c r="J127" s="12" t="n">
        <v>66873.05499999999</v>
      </c>
      <c r="K127" s="12" t="n">
        <v>73460.423</v>
      </c>
      <c r="L127" s="12" t="n">
        <v>81549.827</v>
      </c>
    </row>
    <row r="128">
      <c r="A128" s="9" t="inlineStr">
        <is>
          <t>부채·순자산 합계</t>
        </is>
      </c>
      <c r="C128" s="12" t="n">
        <v>245083.995</v>
      </c>
      <c r="D128" s="12" t="n">
        <v>253004.266</v>
      </c>
      <c r="E128" s="12" t="n">
        <v>268501.871</v>
      </c>
      <c r="F128" s="12" t="n">
        <v>281270.098</v>
      </c>
      <c r="G128" s="12" t="n">
        <v>292009.724</v>
      </c>
      <c r="H128" s="12" t="n">
        <v>114315.904</v>
      </c>
      <c r="I128" s="12" t="n">
        <v>135867.479</v>
      </c>
      <c r="J128" s="12" t="n">
        <v>168954.164</v>
      </c>
      <c r="K128" s="12" t="n">
        <v>227029.651</v>
      </c>
      <c r="L128" s="12" t="n">
        <v>268501.871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44" customWidth="1" min="7" max="7"/>
  </cols>
  <sheetData>
    <row r="1">
      <c r="A1" s="50" t="inlineStr">
        <is>
          <t>8877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this quarter · 상반기</t>
        </is>
      </c>
      <c r="B4" s="52" t="n"/>
      <c r="C4" s="52" t="n"/>
      <c r="D4" s="52" t="n"/>
      <c r="E4" s="52" t="n"/>
      <c r="F4" s="52" t="n"/>
      <c r="G4" s="52" t="n"/>
    </row>
    <row r="5">
      <c r="A5" s="53" t="inlineStr">
        <is>
          <t>항목</t>
        </is>
      </c>
      <c r="B5" s="53" t="inlineStr">
        <is>
          <t>값</t>
        </is>
      </c>
      <c r="G5" s="53" t="inlineStr">
        <is>
          <t>출처</t>
        </is>
      </c>
    </row>
    <row r="6">
      <c r="A6" s="54" t="inlineStr">
        <is>
          <t>매출</t>
        </is>
      </c>
      <c r="B6" s="55" t="n">
        <v>829.1799999999999</v>
      </c>
      <c r="G6" s="56" t="inlineStr">
        <is>
          <t>2단계 보고서 자료(회사 설명회 자료·공시)</t>
        </is>
      </c>
    </row>
    <row r="7">
      <c r="A7" s="54" t="inlineStr">
        <is>
          <t>영업이익</t>
        </is>
      </c>
      <c r="B7" s="55" t="n">
        <v>143.89</v>
      </c>
    </row>
    <row r="8">
      <c r="A8" s="54" t="inlineStr">
        <is>
          <t>ordinary</t>
        </is>
      </c>
      <c r="B8" s="55" t="n">
        <v>128.63</v>
      </c>
    </row>
    <row r="9">
      <c r="A9" s="54" t="inlineStr">
        <is>
          <t>순이익</t>
        </is>
      </c>
      <c r="B9" s="55" t="n">
        <v>79.95999999999999</v>
      </c>
    </row>
    <row r="10">
      <c r="A10" s="54" t="inlineStr">
        <is>
          <t>EPS</t>
        </is>
      </c>
      <c r="B10" s="55" t="n">
        <v>518.29</v>
      </c>
    </row>
    <row r="12">
      <c r="A12" s="52" t="inlineStr">
        <is>
          <t>this quarter · 상반기 직전</t>
        </is>
      </c>
      <c r="B12" s="52" t="n"/>
      <c r="C12" s="52" t="n"/>
      <c r="D12" s="52" t="n"/>
      <c r="E12" s="52" t="n"/>
      <c r="F12" s="52" t="n"/>
      <c r="G12" s="52" t="n"/>
    </row>
    <row r="13">
      <c r="A13" s="53" t="inlineStr">
        <is>
          <t>항목</t>
        </is>
      </c>
      <c r="B13" s="53" t="inlineStr">
        <is>
          <t>값</t>
        </is>
      </c>
      <c r="G13" s="53" t="inlineStr">
        <is>
          <t>출처</t>
        </is>
      </c>
    </row>
    <row r="14">
      <c r="A14" s="54" t="inlineStr">
        <is>
          <t>매출</t>
        </is>
      </c>
      <c r="B14" s="55" t="n">
        <v>576.75</v>
      </c>
      <c r="G14" s="56" t="inlineStr">
        <is>
          <t>2단계 보고서 자료(회사 설명회 자료·공시)</t>
        </is>
      </c>
    </row>
    <row r="15">
      <c r="A15" s="54" t="inlineStr">
        <is>
          <t>영업이익</t>
        </is>
      </c>
      <c r="B15" s="55" t="n">
        <v>104.18</v>
      </c>
    </row>
    <row r="16">
      <c r="A16" s="54" t="inlineStr">
        <is>
          <t>ordinary</t>
        </is>
      </c>
      <c r="B16" s="55" t="n">
        <v>96.69</v>
      </c>
    </row>
    <row r="17">
      <c r="A17" s="54" t="inlineStr">
        <is>
          <t>순이익</t>
        </is>
      </c>
      <c r="B17" s="55" t="n">
        <v>61.88</v>
      </c>
    </row>
    <row r="19">
      <c r="A19" s="52" t="inlineStr">
        <is>
          <t>this quarter · 상반기 계획</t>
        </is>
      </c>
      <c r="B19" s="52" t="n"/>
      <c r="C19" s="52" t="n"/>
      <c r="D19" s="52" t="n"/>
      <c r="E19" s="52" t="n"/>
      <c r="F19" s="52" t="n"/>
      <c r="G19" s="52" t="n"/>
    </row>
    <row r="20">
      <c r="A20" s="53" t="inlineStr">
        <is>
          <t>항목</t>
        </is>
      </c>
      <c r="B20" s="53" t="inlineStr">
        <is>
          <t>값</t>
        </is>
      </c>
      <c r="G20" s="53" t="inlineStr">
        <is>
          <t>출처</t>
        </is>
      </c>
    </row>
    <row r="21">
      <c r="A21" s="54" t="inlineStr">
        <is>
          <t>매출</t>
        </is>
      </c>
      <c r="B21" s="55" t="n">
        <v>840</v>
      </c>
      <c r="G21" s="56" t="inlineStr">
        <is>
          <t>2단계 보고서 자료(회사 설명회 자료·공시)</t>
        </is>
      </c>
    </row>
    <row r="22">
      <c r="A22" s="54" t="inlineStr">
        <is>
          <t>영업이익</t>
        </is>
      </c>
      <c r="B22" s="55" t="n">
        <v>145</v>
      </c>
    </row>
    <row r="23">
      <c r="A23" s="54" t="inlineStr">
        <is>
          <t>ordinary</t>
        </is>
      </c>
      <c r="B23" s="55" t="n">
        <v>128</v>
      </c>
    </row>
    <row r="24">
      <c r="A24" s="54" t="inlineStr">
        <is>
          <t>순이익</t>
        </is>
      </c>
      <c r="B24" s="55" t="n">
        <v>87</v>
      </c>
    </row>
    <row r="25">
      <c r="A25" s="54" t="inlineStr">
        <is>
          <t>EPS</t>
        </is>
      </c>
      <c r="B25" s="55" t="n">
        <v>563.86</v>
      </c>
    </row>
    <row r="27">
      <c r="A27" s="52" t="inlineStr">
        <is>
          <t>this quarter · FY guide unchanged</t>
        </is>
      </c>
      <c r="B27" s="52" t="n"/>
      <c r="C27" s="52" t="n"/>
      <c r="D27" s="52" t="n"/>
      <c r="E27" s="52" t="n"/>
      <c r="F27" s="52" t="n"/>
      <c r="G27" s="52" t="n"/>
    </row>
    <row r="28">
      <c r="A28" s="53" t="inlineStr">
        <is>
          <t>항목</t>
        </is>
      </c>
      <c r="B28" s="53" t="inlineStr">
        <is>
          <t>값</t>
        </is>
      </c>
      <c r="G28" s="53" t="inlineStr">
        <is>
          <t>출처</t>
        </is>
      </c>
    </row>
    <row r="29">
      <c r="A29" s="54" t="inlineStr">
        <is>
          <t>매출</t>
        </is>
      </c>
      <c r="B29" s="57" t="n">
        <v>1300</v>
      </c>
      <c r="G29" s="56" t="inlineStr">
        <is>
          <t>2단계 보고서 자료(회사 설명회 자료·공시)</t>
        </is>
      </c>
    </row>
    <row r="30">
      <c r="A30" s="54" t="inlineStr">
        <is>
          <t>영업이익</t>
        </is>
      </c>
      <c r="B30" s="57" t="n">
        <v>205</v>
      </c>
    </row>
    <row r="31">
      <c r="A31" s="54" t="inlineStr">
        <is>
          <t>ordinary</t>
        </is>
      </c>
      <c r="B31" s="57" t="n">
        <v>176</v>
      </c>
    </row>
    <row r="32">
      <c r="A32" s="54" t="inlineStr">
        <is>
          <t>순이익</t>
        </is>
      </c>
      <c r="B32" s="57" t="n">
        <v>115</v>
      </c>
    </row>
    <row r="33">
      <c r="A33" s="54" t="inlineStr">
        <is>
          <t>EPS</t>
        </is>
      </c>
      <c r="B33" s="55" t="n">
        <v>745.33</v>
      </c>
    </row>
    <row r="34">
      <c r="A34" s="54" t="inlineStr">
        <is>
          <t>dps</t>
        </is>
      </c>
      <c r="B34" s="57" t="n">
        <v>240</v>
      </c>
    </row>
    <row r="36">
      <c r="A36" s="52" t="inlineStr">
        <is>
          <t>this quarter · 2Q standalone</t>
        </is>
      </c>
      <c r="B36" s="52" t="n"/>
      <c r="C36" s="52" t="n"/>
      <c r="D36" s="52" t="n"/>
      <c r="E36" s="52" t="n"/>
      <c r="F36" s="52" t="n"/>
      <c r="G36" s="52" t="n"/>
    </row>
    <row r="37">
      <c r="A37" s="53" t="inlineStr">
        <is>
          <t>항목</t>
        </is>
      </c>
      <c r="B37" s="53" t="inlineStr">
        <is>
          <t>값</t>
        </is>
      </c>
      <c r="G37" s="53" t="inlineStr">
        <is>
          <t>출처</t>
        </is>
      </c>
    </row>
    <row r="38">
      <c r="A38" s="54" t="inlineStr">
        <is>
          <t>매출</t>
        </is>
      </c>
      <c r="B38" s="55" t="n">
        <v>434.4</v>
      </c>
      <c r="G38" s="56" t="inlineStr">
        <is>
          <t>2단계 보고서 자료(회사 설명회 자료·공시)</t>
        </is>
      </c>
    </row>
    <row r="39">
      <c r="A39" s="54" t="inlineStr">
        <is>
          <t>영업이익</t>
        </is>
      </c>
      <c r="B39" s="55" t="n">
        <v>77.8</v>
      </c>
    </row>
    <row r="40">
      <c r="A40" s="54" t="inlineStr">
        <is>
          <t>ordinary</t>
        </is>
      </c>
      <c r="B40" s="55" t="n">
        <v>69.84999999999999</v>
      </c>
    </row>
    <row r="41">
      <c r="A41" s="54" t="inlineStr">
        <is>
          <t>순이익</t>
        </is>
      </c>
      <c r="B41" s="55" t="n">
        <v>46.1</v>
      </c>
    </row>
    <row r="42">
      <c r="A42" s="54" t="inlineStr">
        <is>
          <t>gp</t>
        </is>
      </c>
      <c r="B42" s="55" t="n">
        <v>107.6</v>
      </c>
    </row>
    <row r="43">
      <c r="A43" s="54" t="inlineStr">
        <is>
          <t>sga</t>
        </is>
      </c>
      <c r="B43" s="55" t="n">
        <v>29.8</v>
      </c>
    </row>
    <row r="45">
      <c r="A45" s="52" t="inlineStr">
        <is>
          <t>this quarter · bs 상반기</t>
        </is>
      </c>
      <c r="B45" s="52" t="n"/>
      <c r="C45" s="52" t="n"/>
      <c r="D45" s="52" t="n"/>
      <c r="E45" s="52" t="n"/>
      <c r="F45" s="52" t="n"/>
      <c r="G45" s="52" t="n"/>
    </row>
    <row r="46">
      <c r="A46" s="53" t="inlineStr">
        <is>
          <t>항목</t>
        </is>
      </c>
      <c r="B46" s="53" t="inlineStr">
        <is>
          <t>값</t>
        </is>
      </c>
      <c r="G46" s="53" t="inlineStr">
        <is>
          <t>출처</t>
        </is>
      </c>
    </row>
    <row r="47">
      <c r="A47" s="54" t="inlineStr">
        <is>
          <t>합계 assets</t>
        </is>
      </c>
      <c r="B47" s="55" t="n">
        <v>2920.1</v>
      </c>
      <c r="G47" s="56" t="inlineStr">
        <is>
          <t>2단계 보고서 자료(회사 설명회 자료·공시)</t>
        </is>
      </c>
    </row>
    <row r="48">
      <c r="A48" s="54" t="inlineStr">
        <is>
          <t>equity</t>
        </is>
      </c>
      <c r="B48" s="55" t="n">
        <v>875.3</v>
      </c>
    </row>
    <row r="49">
      <c r="A49" s="54" t="inlineStr">
        <is>
          <t>equity ratio</t>
        </is>
      </c>
      <c r="B49" s="55" t="n">
        <v>30</v>
      </c>
    </row>
    <row r="50">
      <c r="A50" s="54" t="inlineStr">
        <is>
          <t>cash</t>
        </is>
      </c>
      <c r="B50" s="55" t="n">
        <v>240.2</v>
      </c>
    </row>
    <row r="51">
      <c r="A51" s="54" t="inlineStr">
        <is>
          <t>inventory completed</t>
        </is>
      </c>
      <c r="B51" s="55" t="n">
        <v>1063.6</v>
      </c>
    </row>
    <row r="52">
      <c r="A52" s="54" t="inlineStr">
        <is>
          <t>inventory wip</t>
        </is>
      </c>
      <c r="B52" s="55" t="n">
        <v>1346.2</v>
      </c>
    </row>
    <row r="53">
      <c r="A53" s="54" t="inlineStr">
        <is>
          <t>debt long</t>
        </is>
      </c>
      <c r="B53" s="55" t="n">
        <v>1545.6</v>
      </c>
    </row>
    <row r="54">
      <c r="A54" s="54" t="inlineStr">
        <is>
          <t>debt short</t>
        </is>
      </c>
      <c r="B54" s="55" t="n">
        <v>329.2</v>
      </c>
    </row>
    <row r="55">
      <c r="A55" s="54" t="inlineStr">
        <is>
          <t>bps</t>
        </is>
      </c>
      <c r="B55" s="55" t="n">
        <v>5673.02</v>
      </c>
    </row>
    <row r="57">
      <c r="A57" s="52" t="inlineStr">
        <is>
          <t>this quarter · cf 상반기</t>
        </is>
      </c>
      <c r="B57" s="52" t="n"/>
      <c r="C57" s="52" t="n"/>
      <c r="D57" s="52" t="n"/>
      <c r="E57" s="52" t="n"/>
      <c r="F57" s="52" t="n"/>
      <c r="G57" s="52" t="n"/>
    </row>
    <row r="58">
      <c r="A58" s="53" t="inlineStr">
        <is>
          <t>항목</t>
        </is>
      </c>
      <c r="B58" s="53" t="inlineStr">
        <is>
          <t>값</t>
        </is>
      </c>
      <c r="G58" s="53" t="inlineStr">
        <is>
          <t>출처</t>
        </is>
      </c>
    </row>
    <row r="59">
      <c r="A59" s="54" t="inlineStr">
        <is>
          <t>ocf</t>
        </is>
      </c>
      <c r="B59" s="55" t="n">
        <v>-82.3</v>
      </c>
      <c r="G59" s="56" t="inlineStr">
        <is>
          <t>2단계 보고서 자료(회사 설명회 자료·공시)</t>
        </is>
      </c>
    </row>
    <row r="60">
      <c r="A60" s="54" t="inlineStr">
        <is>
          <t>icf</t>
        </is>
      </c>
      <c r="B60" s="55" t="n">
        <v>-20.7</v>
      </c>
    </row>
    <row r="61">
      <c r="A61" s="54" t="inlineStr">
        <is>
          <t>fin</t>
        </is>
      </c>
      <c r="B61" s="55" t="n">
        <v>174.8</v>
      </c>
    </row>
    <row r="63">
      <c r="A63" s="52" t="inlineStr">
        <is>
          <t>bs annual</t>
        </is>
      </c>
      <c r="B63" s="52" t="n"/>
      <c r="C63" s="52" t="n"/>
      <c r="D63" s="52" t="n"/>
      <c r="E63" s="52" t="n"/>
      <c r="F63" s="52" t="n"/>
      <c r="G63" s="52" t="n"/>
    </row>
    <row r="64">
      <c r="A64" s="53" t="inlineStr">
        <is>
          <t>항목</t>
        </is>
      </c>
      <c r="B64" s="53" t="inlineStr">
        <is>
          <t>2022</t>
        </is>
      </c>
      <c r="C64" s="53" t="inlineStr">
        <is>
          <t>2023</t>
        </is>
      </c>
      <c r="D64" s="53" t="inlineStr">
        <is>
          <t>2024</t>
        </is>
      </c>
      <c r="E64" s="53" t="inlineStr">
        <is>
          <t>2025</t>
        </is>
      </c>
      <c r="F64" s="53" t="inlineStr">
        <is>
          <t>2026</t>
        </is>
      </c>
      <c r="G64" s="53" t="inlineStr">
        <is>
          <t>출처</t>
        </is>
      </c>
    </row>
    <row r="65">
      <c r="A65" s="54" t="inlineStr">
        <is>
          <t>labels</t>
        </is>
      </c>
      <c r="B65" s="57" t="n">
        <v>2022</v>
      </c>
      <c r="C65" s="57" t="n">
        <v>2023</v>
      </c>
      <c r="D65" s="57" t="n">
        <v>2024</v>
      </c>
      <c r="E65" s="57" t="n">
        <v>2025</v>
      </c>
      <c r="F65" s="57" t="n">
        <v>2026</v>
      </c>
      <c r="G65" s="56" t="inlineStr">
        <is>
          <t>2단계 보고서 자료(회사 설명회 자료·공시)</t>
        </is>
      </c>
    </row>
    <row r="66">
      <c r="A66" s="54" t="inlineStr">
        <is>
          <t>current assets</t>
        </is>
      </c>
      <c r="B66" s="55" t="n">
        <v>1056.9</v>
      </c>
      <c r="C66" s="55" t="n">
        <v>1234.6</v>
      </c>
      <c r="D66" s="55" t="n">
        <v>1562.3</v>
      </c>
      <c r="E66" s="55" t="n">
        <v>2135.1</v>
      </c>
      <c r="F66" s="55" t="n">
        <v>2547.6</v>
      </c>
    </row>
    <row r="67">
      <c r="A67" s="54" t="inlineStr">
        <is>
          <t>cash</t>
        </is>
      </c>
      <c r="B67" s="55" t="n">
        <v>277.2</v>
      </c>
      <c r="C67" s="55" t="n">
        <v>265.5</v>
      </c>
      <c r="D67" s="55" t="n">
        <v>162.4</v>
      </c>
      <c r="E67" s="55" t="n">
        <v>312.4</v>
      </c>
      <c r="F67" s="55" t="n">
        <v>174</v>
      </c>
    </row>
    <row r="68">
      <c r="A68" s="54" t="inlineStr">
        <is>
          <t>st fin</t>
        </is>
      </c>
      <c r="B68" s="58" t="n"/>
      <c r="C68" s="58" t="n"/>
      <c r="D68" s="58" t="n"/>
      <c r="E68" s="58" t="n"/>
      <c r="F68" s="58" t="n"/>
    </row>
    <row r="69">
      <c r="A69" s="54" t="inlineStr">
        <is>
          <t>receivables</t>
        </is>
      </c>
      <c r="B69" s="55" t="n">
        <v>31.8</v>
      </c>
      <c r="C69" s="55" t="n">
        <v>9.6</v>
      </c>
      <c r="D69" s="55" t="n">
        <v>30.1</v>
      </c>
      <c r="E69" s="55" t="n">
        <v>26.7</v>
      </c>
      <c r="F69" s="55" t="n">
        <v>15.6</v>
      </c>
    </row>
    <row r="70">
      <c r="A70" s="54" t="inlineStr">
        <is>
          <t>inventory</t>
        </is>
      </c>
      <c r="B70" s="55" t="n">
        <v>216.4</v>
      </c>
      <c r="C70" s="55" t="n">
        <v>333.7</v>
      </c>
      <c r="D70" s="55" t="n">
        <v>585.3</v>
      </c>
      <c r="E70" s="55" t="n">
        <v>836.1</v>
      </c>
      <c r="F70" s="55" t="n">
        <v>1115.2</v>
      </c>
    </row>
    <row r="71">
      <c r="A71" s="54" t="inlineStr">
        <is>
          <t>noncurrent assets</t>
        </is>
      </c>
      <c r="B71" s="55" t="n">
        <v>86.3</v>
      </c>
      <c r="C71" s="55" t="n">
        <v>124.1</v>
      </c>
      <c r="D71" s="55" t="n">
        <v>127.3</v>
      </c>
      <c r="E71" s="55" t="n">
        <v>135.1</v>
      </c>
      <c r="F71" s="55" t="n">
        <v>137.4</v>
      </c>
    </row>
    <row r="72">
      <c r="A72" s="54" t="inlineStr">
        <is>
          <t>ppe</t>
        </is>
      </c>
      <c r="B72" s="55" t="n">
        <v>62.9</v>
      </c>
      <c r="C72" s="55" t="n">
        <v>86.2</v>
      </c>
      <c r="D72" s="55" t="n">
        <v>89.09999999999999</v>
      </c>
      <c r="E72" s="55" t="n">
        <v>95</v>
      </c>
      <c r="F72" s="55" t="n">
        <v>83.09999999999999</v>
      </c>
    </row>
    <row r="73">
      <c r="A73" s="54" t="inlineStr">
        <is>
          <t>intangibles</t>
        </is>
      </c>
      <c r="B73" s="55" t="n">
        <v>3.4</v>
      </c>
      <c r="C73" s="55" t="n">
        <v>3.3</v>
      </c>
      <c r="D73" s="55" t="n">
        <v>3.1</v>
      </c>
      <c r="E73" s="55" t="n">
        <v>2.6</v>
      </c>
      <c r="F73" s="55" t="n">
        <v>2.3</v>
      </c>
    </row>
    <row r="74">
      <c r="A74" s="54" t="inlineStr">
        <is>
          <t>inv property</t>
        </is>
      </c>
      <c r="B74" s="58" t="n"/>
      <c r="C74" s="58" t="n"/>
      <c r="D74" s="58" t="n"/>
      <c r="E74" s="58" t="n"/>
      <c r="F74" s="58" t="n"/>
    </row>
    <row r="75">
      <c r="A75" s="54" t="inlineStr">
        <is>
          <t>합계 assets</t>
        </is>
      </c>
      <c r="B75" s="55" t="n">
        <v>1143.2</v>
      </c>
      <c r="C75" s="55" t="n">
        <v>1358.7</v>
      </c>
      <c r="D75" s="55" t="n">
        <v>1689.5</v>
      </c>
      <c r="E75" s="55" t="n">
        <v>2270.3</v>
      </c>
      <c r="F75" s="55" t="n">
        <v>2685</v>
      </c>
    </row>
    <row r="76">
      <c r="A76" s="54" t="inlineStr">
        <is>
          <t>current liab</t>
        </is>
      </c>
      <c r="B76" s="55" t="n">
        <v>268.2</v>
      </c>
      <c r="C76" s="55" t="n">
        <v>389.7</v>
      </c>
      <c r="D76" s="55" t="n">
        <v>369.2</v>
      </c>
      <c r="E76" s="55" t="n">
        <v>482.6</v>
      </c>
      <c r="F76" s="55" t="n">
        <v>526.2</v>
      </c>
    </row>
    <row r="77">
      <c r="A77" s="54" t="inlineStr">
        <is>
          <t>payables</t>
        </is>
      </c>
      <c r="B77" s="55" t="n">
        <v>18.2</v>
      </c>
      <c r="C77" s="55" t="n">
        <v>27.3</v>
      </c>
      <c r="D77" s="55" t="n">
        <v>21.5</v>
      </c>
      <c r="E77" s="55" t="n">
        <v>12.6</v>
      </c>
      <c r="F77" s="55" t="n">
        <v>12.9</v>
      </c>
    </row>
    <row r="78">
      <c r="A78" s="54" t="inlineStr">
        <is>
          <t>st debt</t>
        </is>
      </c>
      <c r="B78" s="55" t="n">
        <v>4.7</v>
      </c>
      <c r="C78" s="55" t="n">
        <v>20.4</v>
      </c>
      <c r="D78" s="55" t="n">
        <v>36.6</v>
      </c>
      <c r="E78" s="55" t="n">
        <v>40.1</v>
      </c>
      <c r="F78" s="55" t="n">
        <v>26.6</v>
      </c>
    </row>
    <row r="79">
      <c r="A79" s="54" t="inlineStr">
        <is>
          <t>noncurrent liab</t>
        </is>
      </c>
      <c r="B79" s="55" t="n">
        <v>318</v>
      </c>
      <c r="C79" s="55" t="n">
        <v>359.3</v>
      </c>
      <c r="D79" s="55" t="n">
        <v>651.6</v>
      </c>
      <c r="E79" s="55" t="n">
        <v>1053.1</v>
      </c>
      <c r="F79" s="55" t="n">
        <v>1343.3</v>
      </c>
    </row>
    <row r="80">
      <c r="A80" s="54" t="inlineStr">
        <is>
          <t>lt debt</t>
        </is>
      </c>
      <c r="B80" s="55" t="n">
        <v>294.4</v>
      </c>
      <c r="C80" s="55" t="n">
        <v>341.4</v>
      </c>
      <c r="D80" s="55" t="n">
        <v>628.9</v>
      </c>
      <c r="E80" s="55" t="n">
        <v>1015.6</v>
      </c>
      <c r="F80" s="55" t="n">
        <v>1314.8</v>
      </c>
    </row>
    <row r="81">
      <c r="A81" s="54" t="inlineStr">
        <is>
          <t>bonds</t>
        </is>
      </c>
      <c r="B81" s="55" t="n">
        <v>5</v>
      </c>
      <c r="C81" s="55" t="n">
        <v>0</v>
      </c>
      <c r="D81" s="55" t="n">
        <v>5</v>
      </c>
      <c r="E81" s="55" t="n">
        <v>15</v>
      </c>
      <c r="F81" s="55" t="n">
        <v>8</v>
      </c>
    </row>
    <row r="82">
      <c r="A82" s="54" t="inlineStr">
        <is>
          <t>합계 liab</t>
        </is>
      </c>
      <c r="B82" s="55" t="n">
        <v>586.2</v>
      </c>
      <c r="C82" s="55" t="n">
        <v>749</v>
      </c>
      <c r="D82" s="55" t="n">
        <v>1020.8</v>
      </c>
      <c r="E82" s="55" t="n">
        <v>1535.7</v>
      </c>
      <c r="F82" s="55" t="n">
        <v>1869.5</v>
      </c>
    </row>
    <row r="83">
      <c r="A83" s="54" t="inlineStr">
        <is>
          <t>capital stock</t>
        </is>
      </c>
      <c r="B83" s="55" t="n">
        <v>19.8</v>
      </c>
      <c r="C83" s="55" t="n">
        <v>19.8</v>
      </c>
      <c r="D83" s="55" t="n">
        <v>19.8</v>
      </c>
      <c r="E83" s="55" t="n">
        <v>19.8</v>
      </c>
      <c r="F83" s="55" t="n">
        <v>19.8</v>
      </c>
    </row>
    <row r="84">
      <c r="A84" s="54" t="inlineStr">
        <is>
          <t>retained</t>
        </is>
      </c>
      <c r="B84" s="55" t="n">
        <v>507.9</v>
      </c>
      <c r="C84" s="55" t="n">
        <v>560.2</v>
      </c>
      <c r="D84" s="55" t="n">
        <v>618.4</v>
      </c>
      <c r="E84" s="55" t="n">
        <v>684.7</v>
      </c>
      <c r="F84" s="55" t="n">
        <v>764.8</v>
      </c>
    </row>
    <row r="85">
      <c r="A85" s="54" t="inlineStr">
        <is>
          <t>nci</t>
        </is>
      </c>
      <c r="B85" s="58" t="n"/>
      <c r="C85" s="58" t="n"/>
      <c r="D85" s="58" t="n"/>
      <c r="E85" s="58" t="n"/>
      <c r="F85" s="58" t="n"/>
    </row>
    <row r="86">
      <c r="A86" s="54" t="inlineStr">
        <is>
          <t>합계 equity</t>
        </is>
      </c>
      <c r="B86" s="55" t="n">
        <v>557</v>
      </c>
      <c r="C86" s="55" t="n">
        <v>609.7</v>
      </c>
      <c r="D86" s="55" t="n">
        <v>668.7</v>
      </c>
      <c r="E86" s="55" t="n">
        <v>734.6</v>
      </c>
      <c r="F86" s="55" t="n">
        <v>815.5</v>
      </c>
    </row>
    <row r="87">
      <c r="A87" s="54" t="inlineStr">
        <is>
          <t>current ltd</t>
        </is>
      </c>
      <c r="B87" s="55" t="n">
        <v>128.3</v>
      </c>
      <c r="C87" s="55" t="n">
        <v>248.2</v>
      </c>
      <c r="D87" s="55" t="n">
        <v>182.9</v>
      </c>
      <c r="E87" s="55" t="n">
        <v>325.8</v>
      </c>
      <c r="F87" s="55" t="n">
        <v>347.5</v>
      </c>
    </row>
    <row r="88">
      <c r="A88" s="54" t="inlineStr">
        <is>
          <t>equity owner</t>
        </is>
      </c>
      <c r="B88" s="55" t="n">
        <v>557</v>
      </c>
      <c r="C88" s="55" t="n">
        <v>609.7</v>
      </c>
      <c r="D88" s="55" t="n">
        <v>668.7</v>
      </c>
      <c r="E88" s="55" t="n">
        <v>734.6</v>
      </c>
      <c r="F88" s="55" t="n">
        <v>815.5</v>
      </c>
    </row>
    <row r="90">
      <c r="A90" s="52" t="inlineStr">
        <is>
          <t>cf annual</t>
        </is>
      </c>
      <c r="B90" s="52" t="n"/>
      <c r="C90" s="52" t="n"/>
      <c r="D90" s="52" t="n"/>
      <c r="E90" s="52" t="n"/>
      <c r="F90" s="52" t="n"/>
      <c r="G90" s="52" t="n"/>
    </row>
    <row r="91">
      <c r="A91" s="53" t="inlineStr">
        <is>
          <t>항목</t>
        </is>
      </c>
      <c r="B91" s="53" t="inlineStr">
        <is>
          <t>2022</t>
        </is>
      </c>
      <c r="C91" s="53" t="inlineStr">
        <is>
          <t>2023</t>
        </is>
      </c>
      <c r="D91" s="53" t="inlineStr">
        <is>
          <t>2024</t>
        </is>
      </c>
      <c r="E91" s="53" t="inlineStr">
        <is>
          <t>2025</t>
        </is>
      </c>
      <c r="F91" s="53" t="inlineStr">
        <is>
          <t>2026</t>
        </is>
      </c>
      <c r="G91" s="53" t="inlineStr">
        <is>
          <t>출처</t>
        </is>
      </c>
    </row>
    <row r="92">
      <c r="A92" s="54" t="inlineStr">
        <is>
          <t>labels</t>
        </is>
      </c>
      <c r="B92" s="57" t="n">
        <v>2022</v>
      </c>
      <c r="C92" s="57" t="n">
        <v>2023</v>
      </c>
      <c r="D92" s="57" t="n">
        <v>2024</v>
      </c>
      <c r="E92" s="57" t="n">
        <v>2025</v>
      </c>
      <c r="F92" s="57" t="n">
        <v>2026</v>
      </c>
      <c r="G92" s="56" t="inlineStr">
        <is>
          <t>2단계 보고서 자료(회사 설명회 자료·공시)</t>
        </is>
      </c>
    </row>
    <row r="93">
      <c r="A93" s="54" t="inlineStr">
        <is>
          <t>ocf</t>
        </is>
      </c>
      <c r="B93" s="55" t="n">
        <v>-93.7</v>
      </c>
      <c r="C93" s="55" t="n">
        <v>-128.6</v>
      </c>
      <c r="D93" s="55" t="n">
        <v>-322.1</v>
      </c>
      <c r="E93" s="55" t="n">
        <v>-354.4</v>
      </c>
      <c r="F93" s="55" t="n">
        <v>-395.3</v>
      </c>
    </row>
    <row r="94">
      <c r="A94" s="54" t="inlineStr">
        <is>
          <t>설비투자</t>
        </is>
      </c>
      <c r="B94" s="55" t="n">
        <v>9.9</v>
      </c>
      <c r="C94" s="55" t="n">
        <v>50.1</v>
      </c>
      <c r="D94" s="55" t="n">
        <v>5.9</v>
      </c>
      <c r="E94" s="55" t="n">
        <v>8.800000000000001</v>
      </c>
      <c r="F94" s="55" t="n">
        <v>3.6</v>
      </c>
    </row>
    <row r="95">
      <c r="A95" s="54" t="inlineStr">
        <is>
          <t>dividends</t>
        </is>
      </c>
      <c r="B95" s="55" t="n">
        <v>6.2</v>
      </c>
      <c r="C95" s="55" t="n">
        <v>9.300000000000001</v>
      </c>
      <c r="D95" s="55" t="n">
        <v>17</v>
      </c>
      <c r="E95" s="55" t="n">
        <v>27</v>
      </c>
      <c r="F95" s="55" t="n">
        <v>31.6</v>
      </c>
    </row>
    <row r="97">
      <c r="A97" s="52" t="inlineStr">
        <is>
          <t>dps annual</t>
        </is>
      </c>
      <c r="B97" s="52" t="n"/>
      <c r="C97" s="52" t="n"/>
      <c r="D97" s="52" t="n"/>
      <c r="E97" s="52" t="n"/>
      <c r="F97" s="52" t="n"/>
      <c r="G97" s="52" t="n"/>
    </row>
    <row r="98">
      <c r="A98" s="53" t="inlineStr">
        <is>
          <t>항목</t>
        </is>
      </c>
      <c r="B98" s="53" t="inlineStr">
        <is>
          <t>값</t>
        </is>
      </c>
      <c r="G98" s="53" t="inlineStr">
        <is>
          <t>출처</t>
        </is>
      </c>
    </row>
    <row r="99">
      <c r="A99" s="54" t="inlineStr">
        <is>
          <t>FY2017</t>
        </is>
      </c>
      <c r="B99" s="57" t="n">
        <v>25</v>
      </c>
      <c r="G99" s="56" t="inlineStr">
        <is>
          <t>2단계 보고서 자료(회사 설명회 자료·공시)</t>
        </is>
      </c>
    </row>
    <row r="100">
      <c r="A100" s="54" t="inlineStr">
        <is>
          <t>FY2018</t>
        </is>
      </c>
      <c r="B100" s="57" t="n">
        <v>30</v>
      </c>
    </row>
    <row r="101">
      <c r="A101" s="54" t="inlineStr">
        <is>
          <t>FY2019</t>
        </is>
      </c>
      <c r="B101" s="57" t="n">
        <v>35</v>
      </c>
    </row>
    <row r="102">
      <c r="A102" s="54" t="inlineStr">
        <is>
          <t>FY2020</t>
        </is>
      </c>
      <c r="B102" s="57" t="n">
        <v>40</v>
      </c>
    </row>
    <row r="103">
      <c r="A103" s="54" t="inlineStr">
        <is>
          <t>FY2021</t>
        </is>
      </c>
      <c r="B103" s="57" t="n">
        <v>40</v>
      </c>
    </row>
    <row r="104">
      <c r="A104" s="54" t="inlineStr">
        <is>
          <t>FY2022</t>
        </is>
      </c>
      <c r="B104" s="57" t="n">
        <v>40</v>
      </c>
    </row>
    <row r="105">
      <c r="A105" s="54" t="inlineStr">
        <is>
          <t>FY2023</t>
        </is>
      </c>
      <c r="B105" s="57" t="n">
        <v>90</v>
      </c>
    </row>
    <row r="106">
      <c r="A106" s="54" t="inlineStr">
        <is>
          <t>FY2024</t>
        </is>
      </c>
      <c r="B106" s="57" t="n">
        <v>150</v>
      </c>
    </row>
    <row r="107">
      <c r="A107" s="54" t="inlineStr">
        <is>
          <t>FY2025</t>
        </is>
      </c>
      <c r="B107" s="57" t="n">
        <v>185</v>
      </c>
    </row>
    <row r="108">
      <c r="A108" s="54" t="inlineStr">
        <is>
          <t>FY2026</t>
        </is>
      </c>
      <c r="B108" s="57" t="n">
        <v>240</v>
      </c>
    </row>
    <row r="109">
      <c r="A109" s="54" t="inlineStr">
        <is>
          <t>FY2027G</t>
        </is>
      </c>
      <c r="B109" s="57" t="n">
        <v>240</v>
      </c>
    </row>
    <row r="111">
      <c r="A111" s="52" t="inlineStr">
        <is>
          <t>EPS annual</t>
        </is>
      </c>
      <c r="B111" s="52" t="n"/>
      <c r="C111" s="52" t="n"/>
      <c r="D111" s="52" t="n"/>
      <c r="E111" s="52" t="n"/>
      <c r="F111" s="52" t="n"/>
      <c r="G111" s="52" t="n"/>
    </row>
    <row r="112">
      <c r="A112" s="53" t="inlineStr">
        <is>
          <t>항목</t>
        </is>
      </c>
      <c r="B112" s="53" t="inlineStr">
        <is>
          <t>값</t>
        </is>
      </c>
      <c r="G112" s="53" t="inlineStr">
        <is>
          <t>출처</t>
        </is>
      </c>
    </row>
    <row r="113">
      <c r="A113" s="54" t="inlineStr">
        <is>
          <t>FY2017</t>
        </is>
      </c>
      <c r="B113" s="55" t="n">
        <v>201.49</v>
      </c>
      <c r="G113" s="56" t="inlineStr">
        <is>
          <t>2단계 보고서 자료(회사 설명회 자료·공시)</t>
        </is>
      </c>
    </row>
    <row r="114">
      <c r="A114" s="54" t="inlineStr">
        <is>
          <t>FY2018</t>
        </is>
      </c>
      <c r="B114" s="55" t="n">
        <v>279.07</v>
      </c>
    </row>
    <row r="115">
      <c r="A115" s="54" t="inlineStr">
        <is>
          <t>FY2019</t>
        </is>
      </c>
      <c r="B115" s="55" t="n">
        <v>289.99</v>
      </c>
    </row>
    <row r="116">
      <c r="A116" s="54" t="inlineStr">
        <is>
          <t>FY2020</t>
        </is>
      </c>
      <c r="B116" s="55" t="n">
        <v>328.58</v>
      </c>
    </row>
    <row r="117">
      <c r="A117" s="54" t="inlineStr">
        <is>
          <t>FY2021</t>
        </is>
      </c>
      <c r="B117" s="55" t="n">
        <v>292.06</v>
      </c>
    </row>
    <row r="118">
      <c r="A118" s="54" t="inlineStr">
        <is>
          <t>FY2022</t>
        </is>
      </c>
      <c r="B118" s="55" t="n">
        <v>351.83</v>
      </c>
    </row>
    <row r="119">
      <c r="A119" s="54" t="inlineStr">
        <is>
          <t>FY2023</t>
        </is>
      </c>
      <c r="B119" s="55" t="n">
        <v>398.4</v>
      </c>
    </row>
    <row r="120">
      <c r="A120" s="54" t="inlineStr">
        <is>
          <t>FY2024</t>
        </is>
      </c>
      <c r="B120" s="55" t="n">
        <v>487.27</v>
      </c>
    </row>
    <row r="121">
      <c r="A121" s="54" t="inlineStr">
        <is>
          <t>FY2025</t>
        </is>
      </c>
      <c r="B121" s="55" t="n">
        <v>604.74</v>
      </c>
    </row>
    <row r="122">
      <c r="A122" s="54" t="inlineStr">
        <is>
          <t>FY2026</t>
        </is>
      </c>
      <c r="B122" s="55" t="n">
        <v>724.0599999999999</v>
      </c>
    </row>
    <row r="124">
      <c r="A124" s="52" t="inlineStr">
        <is>
          <t>peers · 8935 FJ넥스트HD(도쿄 투자용 원룸 맨션)</t>
        </is>
      </c>
      <c r="B124" s="52" t="n"/>
      <c r="C124" s="52" t="n"/>
      <c r="D124" s="52" t="n"/>
      <c r="E124" s="52" t="n"/>
      <c r="F124" s="52" t="n"/>
      <c r="G124" s="52" t="n"/>
    </row>
    <row r="125">
      <c r="A125" s="53" t="inlineStr">
        <is>
          <t>항목</t>
        </is>
      </c>
      <c r="B125" s="53" t="inlineStr">
        <is>
          <t>값</t>
        </is>
      </c>
      <c r="G125" s="53" t="inlineStr">
        <is>
          <t>출처</t>
        </is>
      </c>
    </row>
    <row r="126">
      <c r="A126" s="54" t="inlineStr">
        <is>
          <t>mcap</t>
        </is>
      </c>
      <c r="B126" s="55" t="n">
        <v>627.5</v>
      </c>
      <c r="G126" s="56" t="inlineStr">
        <is>
          <t>억 엔, 분기 단독(누계 차분) [label, 매출, 영업이익]. 모두 애널리스트 컨센 없음. 결산: 8935·8897·8881 3월, 3299 12월. mcap 억 엔(26.10.30)</t>
        </is>
      </c>
    </row>
    <row r="127">
      <c r="A127" s="54" t="inlineStr">
        <is>
          <t>가격</t>
        </is>
      </c>
      <c r="B127" s="57" t="n">
        <v>1916</v>
      </c>
    </row>
    <row r="129">
      <c r="A129" s="52" t="inlineStr">
        <is>
          <t>peers · 8897 미라스HD(분양맨션·에너지, 옛 다카라레벤)</t>
        </is>
      </c>
      <c r="B129" s="52" t="n"/>
      <c r="C129" s="52" t="n"/>
      <c r="D129" s="52" t="n"/>
      <c r="E129" s="52" t="n"/>
      <c r="F129" s="52" t="n"/>
      <c r="G129" s="52" t="n"/>
    </row>
    <row r="130">
      <c r="A130" s="53" t="inlineStr">
        <is>
          <t>항목</t>
        </is>
      </c>
      <c r="B130" s="53" t="inlineStr">
        <is>
          <t>값</t>
        </is>
      </c>
      <c r="G130" s="53" t="inlineStr">
        <is>
          <t>출처</t>
        </is>
      </c>
    </row>
    <row r="131">
      <c r="A131" s="54" t="inlineStr">
        <is>
          <t>mcap</t>
        </is>
      </c>
      <c r="B131" s="55" t="n">
        <v>545.2</v>
      </c>
      <c r="G131" s="56" t="inlineStr">
        <is>
          <t>억 엔, 분기 단독(누계 차분) [label, 매출, 영업이익]. 모두 애널리스트 컨센 없음. 결산: 8935·8897·8881 3월, 3299 12월. mcap 억 엔(26.10.30)</t>
        </is>
      </c>
    </row>
    <row r="132">
      <c r="A132" s="54" t="inlineStr">
        <is>
          <t>가격</t>
        </is>
      </c>
      <c r="B132" s="57" t="n">
        <v>408</v>
      </c>
    </row>
    <row r="134">
      <c r="A134" s="52" t="inlineStr">
        <is>
          <t>peers · 8881 닛신그룹HD(수도권 분양맨션)</t>
        </is>
      </c>
      <c r="B134" s="52" t="n"/>
      <c r="C134" s="52" t="n"/>
      <c r="D134" s="52" t="n"/>
      <c r="E134" s="52" t="n"/>
      <c r="F134" s="52" t="n"/>
      <c r="G134" s="52" t="n"/>
    </row>
    <row r="135">
      <c r="A135" s="53" t="inlineStr">
        <is>
          <t>항목</t>
        </is>
      </c>
      <c r="B135" s="53" t="inlineStr">
        <is>
          <t>값</t>
        </is>
      </c>
      <c r="G135" s="53" t="inlineStr">
        <is>
          <t>출처</t>
        </is>
      </c>
    </row>
    <row r="136">
      <c r="A136" s="54" t="inlineStr">
        <is>
          <t>mcap</t>
        </is>
      </c>
      <c r="B136" s="55" t="n">
        <v>292.4</v>
      </c>
      <c r="G136" s="56" t="inlineStr">
        <is>
          <t>억 엔, 분기 단독(누계 차분) [label, 매출, 영업이익]. 모두 애널리스트 컨센 없음. 결산: 8935·8897·8881 3월, 3299 12월. mcap 억 엔(26.10.30)</t>
        </is>
      </c>
    </row>
    <row r="137">
      <c r="A137" s="54" t="inlineStr">
        <is>
          <t>가격</t>
        </is>
      </c>
      <c r="B137" s="57" t="n">
        <v>626</v>
      </c>
    </row>
    <row r="139">
      <c r="A139" s="52" t="inlineStr">
        <is>
          <t>peers · 3299 무겐에스테이트(수도권 중고 투자용 부동산 매입재판매, 12월 결산)</t>
        </is>
      </c>
      <c r="B139" s="52" t="n"/>
      <c r="C139" s="52" t="n"/>
      <c r="D139" s="52" t="n"/>
      <c r="E139" s="52" t="n"/>
      <c r="F139" s="52" t="n"/>
      <c r="G139" s="52" t="n"/>
    </row>
    <row r="140">
      <c r="A140" s="53" t="inlineStr">
        <is>
          <t>항목</t>
        </is>
      </c>
      <c r="B140" s="53" t="inlineStr">
        <is>
          <t>값</t>
        </is>
      </c>
      <c r="G140" s="53" t="inlineStr">
        <is>
          <t>출처</t>
        </is>
      </c>
    </row>
    <row r="141">
      <c r="A141" s="54" t="inlineStr">
        <is>
          <t>mcap</t>
        </is>
      </c>
      <c r="B141" s="55" t="n">
        <v>370.7</v>
      </c>
      <c r="G141" s="56" t="inlineStr">
        <is>
          <t>억 엔, 분기 단독(누계 차분) [label, 매출, 영업이익]. 모두 애널리스트 컨센 없음. 결산: 8935·8897·8881 3월, 3299 12월. mcap 억 엔(26.10.30)</t>
        </is>
      </c>
    </row>
    <row r="142">
      <c r="A142" s="54" t="inlineStr">
        <is>
          <t>가격</t>
        </is>
      </c>
      <c r="B142" s="57" t="n">
        <v>1572</v>
      </c>
    </row>
    <row r="144">
      <c r="A144" s="52" t="inlineStr">
        <is>
          <t>reactions</t>
        </is>
      </c>
      <c r="B144" s="52" t="n"/>
      <c r="C144" s="52" t="n"/>
      <c r="D144" s="52" t="n"/>
      <c r="E144" s="52" t="n"/>
      <c r="F144" s="52" t="n"/>
      <c r="G144" s="52" t="n"/>
    </row>
    <row r="145">
      <c r="A145" s="53" t="inlineStr">
        <is>
          <t>항목</t>
        </is>
      </c>
      <c r="B145" s="53" t="inlineStr">
        <is>
          <t>기준일</t>
        </is>
      </c>
      <c r="C145" s="53" t="inlineStr">
        <is>
          <t>다음날</t>
        </is>
      </c>
      <c r="D145" s="53" t="inlineStr">
        <is>
          <t>등락%</t>
        </is>
      </c>
      <c r="G145" s="53" t="inlineStr">
        <is>
          <t>출처</t>
        </is>
      </c>
    </row>
    <row r="146">
      <c r="A146" s="54" t="inlineStr">
        <is>
          <t>2025-01-31</t>
        </is>
      </c>
      <c r="B146" s="58" t="inlineStr">
        <is>
          <t>2025-01-31</t>
        </is>
      </c>
      <c r="C146" s="58" t="inlineStr">
        <is>
          <t>2025-02-03</t>
        </is>
      </c>
      <c r="D146" s="55" t="n">
        <v>-2.6</v>
      </c>
      <c r="G146" s="56" t="inlineStr">
        <is>
          <t>2단계 보고서 자료(회사 설명회 자료·공시)</t>
        </is>
      </c>
    </row>
    <row r="147">
      <c r="A147" s="54" t="inlineStr">
        <is>
          <t>2025-05-09</t>
        </is>
      </c>
      <c r="B147" s="58" t="inlineStr">
        <is>
          <t>2025-05-09</t>
        </is>
      </c>
      <c r="C147" s="58" t="inlineStr">
        <is>
          <t>2025-05-12</t>
        </is>
      </c>
      <c r="D147" s="55" t="n">
        <v>2.5</v>
      </c>
    </row>
    <row r="148">
      <c r="A148" s="54" t="inlineStr">
        <is>
          <t>2025-07-31</t>
        </is>
      </c>
      <c r="B148" s="58" t="inlineStr">
        <is>
          <t>2025-07-31</t>
        </is>
      </c>
      <c r="C148" s="58" t="inlineStr">
        <is>
          <t>2025-08-01</t>
        </is>
      </c>
      <c r="D148" s="55" t="n">
        <v>2.4</v>
      </c>
    </row>
    <row r="149">
      <c r="A149" s="54" t="inlineStr">
        <is>
          <t>2025-10-31</t>
        </is>
      </c>
      <c r="B149" s="58" t="inlineStr">
        <is>
          <t>2025-10-31</t>
        </is>
      </c>
      <c r="C149" s="58" t="inlineStr">
        <is>
          <t>2025-11-04</t>
        </is>
      </c>
      <c r="D149" s="55" t="n">
        <v>2</v>
      </c>
    </row>
    <row r="150">
      <c r="A150" s="54" t="inlineStr">
        <is>
          <t>2026-01-30</t>
        </is>
      </c>
      <c r="B150" s="58" t="inlineStr">
        <is>
          <t>2026-01-30</t>
        </is>
      </c>
      <c r="C150" s="58" t="inlineStr">
        <is>
          <t>2026-02-02</t>
        </is>
      </c>
      <c r="D150" s="55" t="n">
        <v>-2.1</v>
      </c>
    </row>
    <row r="151">
      <c r="A151" s="54" t="inlineStr">
        <is>
          <t>2026-05-14</t>
        </is>
      </c>
      <c r="B151" s="58" t="inlineStr">
        <is>
          <t>2026-05-14</t>
        </is>
      </c>
      <c r="C151" s="58" t="inlineStr">
        <is>
          <t>2026-05-15</t>
        </is>
      </c>
      <c r="D151" s="55" t="n">
        <v>-5</v>
      </c>
    </row>
    <row r="152">
      <c r="A152" s="54" t="inlineStr">
        <is>
          <t>2026-07-31</t>
        </is>
      </c>
      <c r="B152" s="58" t="inlineStr">
        <is>
          <t>2026-07-31</t>
        </is>
      </c>
      <c r="C152" s="58" t="inlineStr">
        <is>
          <t>2026-08-03</t>
        </is>
      </c>
      <c r="D152" s="55" t="n">
        <v>-3.5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2분기 결산단신</t>
        </is>
      </c>
      <c r="C4" t="inlineStr">
        <is>
          <t>https://www2.jpx.co.jp/disc/88770/140120261029559633.pdf</t>
        </is>
      </c>
    </row>
    <row r="5">
      <c r="A5" t="inlineStr">
        <is>
          <t>2026-07-31</t>
        </is>
      </c>
      <c r="B5" t="inlineStr">
        <is>
          <t>2027년 3월 결산기 1분기 결산단신</t>
        </is>
      </c>
      <c r="C5" t="inlineStr">
        <is>
          <t>https://www2.jpx.co.jp/disc/88770/140120260723598580.pdf</t>
        </is>
      </c>
    </row>
    <row r="6">
      <c r="A6" t="inlineStr">
        <is>
          <t>2026-05-14</t>
        </is>
      </c>
      <c r="B6" t="inlineStr">
        <is>
          <t>2026년 3월 결산기 연간 결산단신</t>
        </is>
      </c>
      <c r="C6" t="inlineStr">
        <is>
          <t>https://www2.jpx.co.jp/disc/88770/140120260423508774.pdf</t>
        </is>
      </c>
    </row>
    <row r="7">
      <c r="A7" t="inlineStr">
        <is>
          <t>2026-01-30</t>
        </is>
      </c>
      <c r="B7" t="inlineStr">
        <is>
          <t>2026년 3월 결산기 ３분기 결산단신</t>
        </is>
      </c>
      <c r="C7" t="inlineStr">
        <is>
          <t>https://www2.jpx.co.jp/disc/88770/140120260121536776.pdf</t>
        </is>
      </c>
    </row>
    <row r="8">
      <c r="A8" t="inlineStr">
        <is>
          <t>2025-10-31</t>
        </is>
      </c>
      <c r="B8" t="inlineStr">
        <is>
          <t>2026년 3월 결산기 ２분기 결산단신</t>
        </is>
      </c>
      <c r="C8" t="inlineStr">
        <is>
          <t>https://www2.jpx.co.jp/disc/88770/140120251022577236.pdf</t>
        </is>
      </c>
    </row>
    <row r="9">
      <c r="A9" t="inlineStr">
        <is>
          <t>2025-07-31</t>
        </is>
      </c>
      <c r="B9" t="inlineStr">
        <is>
          <t>2026년 3월 결산기 1분기 결산단신</t>
        </is>
      </c>
      <c r="C9" t="inlineStr">
        <is>
          <t>https://www2.jpx.co.jp/disc/88770/140120250718516791.pdf</t>
        </is>
      </c>
    </row>
    <row r="10">
      <c r="A10" t="inlineStr">
        <is>
          <t>2025-05-09</t>
        </is>
      </c>
      <c r="B10" t="inlineStr">
        <is>
          <t>2025년 3월 결산기 연간 결산단신</t>
        </is>
      </c>
      <c r="C10" t="inlineStr">
        <is>
          <t>https://www2.jpx.co.jp/disc/88770/140120250424522382.pdf</t>
        </is>
      </c>
    </row>
    <row r="11">
      <c r="A11" t="inlineStr">
        <is>
          <t>2025-01-31</t>
        </is>
      </c>
      <c r="B11" t="inlineStr">
        <is>
          <t>2025년 3월 결산기 ３분기 결산단신</t>
        </is>
      </c>
      <c r="C11" t="inlineStr">
        <is>
          <t>https://www2.jpx.co.jp/disc/88770/140120250122553824.pdf</t>
        </is>
      </c>
    </row>
    <row r="12">
      <c r="A12" t="inlineStr">
        <is>
          <t>2024-10-31</t>
        </is>
      </c>
      <c r="B12" t="inlineStr">
        <is>
          <t>2025년 3월 결산기 ２분기 결산단신</t>
        </is>
      </c>
      <c r="C12" t="inlineStr">
        <is>
          <t>https://www2.jpx.co.jp/disc/88770/140120241031506963.pdf</t>
        </is>
      </c>
    </row>
    <row r="13">
      <c r="A13" t="inlineStr">
        <is>
          <t>2024-07-26</t>
        </is>
      </c>
      <c r="B13" t="inlineStr">
        <is>
          <t>2025년 3월 결산기 １분기 결산단신</t>
        </is>
      </c>
      <c r="C13" t="inlineStr">
        <is>
          <t>https://www2.jpx.co.jp/disc/88770/140120240725555206.pdf</t>
        </is>
      </c>
    </row>
    <row r="14">
      <c r="A14" t="inlineStr">
        <is>
          <t>2024-05-10</t>
        </is>
      </c>
      <c r="B14" t="inlineStr">
        <is>
          <t>2024년 3월 결산기 연간 결산단신</t>
        </is>
      </c>
      <c r="C14" t="inlineStr">
        <is>
          <t>https://www2.jpx.co.jp/disc/88770/140120240421573571.pdf</t>
        </is>
      </c>
    </row>
    <row r="15">
      <c r="A15" t="inlineStr">
        <is>
          <t>2024-01-26</t>
        </is>
      </c>
      <c r="B15" t="inlineStr">
        <is>
          <t>2024년 3월 결산기 3분기 결산단신</t>
        </is>
      </c>
      <c r="C15" t="inlineStr">
        <is>
          <t>https://www2.jpx.co.jp/disc/88770/140120240122517682.pdf</t>
        </is>
      </c>
    </row>
    <row r="16">
      <c r="A16" t="inlineStr">
        <is>
          <t>2023-10-26</t>
        </is>
      </c>
      <c r="B16" t="inlineStr">
        <is>
          <t>2024년 3월 결산기 ２분기 결산단신</t>
        </is>
      </c>
      <c r="C16" t="inlineStr">
        <is>
          <t>https://www2.jpx.co.jp/disc/88770/140120231018568565.pdf</t>
        </is>
      </c>
    </row>
    <row r="17">
      <c r="A17" t="inlineStr">
        <is>
          <t>2023-07-27</t>
        </is>
      </c>
      <c r="B17" t="inlineStr">
        <is>
          <t>2024년 3월 결산기 １분기 결산단신</t>
        </is>
      </c>
      <c r="C17" t="inlineStr">
        <is>
          <t>https://www2.jpx.co.jp/disc/88770/140120230720524390.pdf</t>
        </is>
      </c>
    </row>
    <row r="18">
      <c r="A18" t="inlineStr">
        <is>
          <t>2023-05-12</t>
        </is>
      </c>
      <c r="B18" t="inlineStr">
        <is>
          <t>2023년 3월 결산기 연간 결산단신</t>
        </is>
      </c>
      <c r="C18" t="inlineStr">
        <is>
          <t>https://www2.jpx.co.jp/disc/88770/140120230425552574.pdf</t>
        </is>
      </c>
    </row>
    <row r="19">
      <c r="A19" t="inlineStr">
        <is>
          <t>2023-01-26</t>
        </is>
      </c>
      <c r="B19" t="inlineStr">
        <is>
          <t>2023년 3월 결산기 ３분기 결산단신</t>
        </is>
      </c>
      <c r="C19" t="inlineStr">
        <is>
          <t>https://www2.jpx.co.jp/disc/88770/140120230119591109.pdf</t>
        </is>
      </c>
    </row>
    <row r="20">
      <c r="A20" t="inlineStr">
        <is>
          <t>2022-05-12</t>
        </is>
      </c>
      <c r="B20" t="inlineStr">
        <is>
          <t>2022년 3월 결산기 연간 결산단신</t>
        </is>
      </c>
      <c r="C20" t="inlineStr">
        <is>
          <t>https://www2.jpx.co.jp/disc/88770/140120220428532142.pdf</t>
        </is>
      </c>
    </row>
    <row r="21">
      <c r="A21" t="inlineStr">
        <is>
          <t>2021-05-13</t>
        </is>
      </c>
      <c r="B21" t="inlineStr">
        <is>
          <t>2021년 3월 결산기 연간 결산단신</t>
        </is>
      </c>
      <c r="C21" t="inlineStr">
        <is>
          <t>https://www2.jpx.co.jp/disc/88770/140120210412493327.pdf</t>
        </is>
      </c>
    </row>
    <row r="22">
      <c r="A22" t="inlineStr">
        <is>
          <t>2020-05-22</t>
        </is>
      </c>
      <c r="B22" t="inlineStr">
        <is>
          <t>2020년 3월 결산기 연간 결산단신</t>
        </is>
      </c>
      <c r="C22" t="inlineStr">
        <is>
          <t>https://www2.jpx.co.jp/disc/88770/140120200424499444.pdf</t>
        </is>
      </c>
    </row>
    <row r="23">
      <c r="A23" t="inlineStr">
        <is>
          <t>2019-05-10</t>
        </is>
      </c>
      <c r="B23" t="inlineStr">
        <is>
          <t>2019년 3월 결산기 연간 결산단신</t>
        </is>
      </c>
      <c r="C23" t="inlineStr">
        <is>
          <t>https://www2.jpx.co.jp/disc/88770/140120190422408189.pdf</t>
        </is>
      </c>
    </row>
    <row r="24">
      <c r="A24" t="inlineStr">
        <is>
          <t>2018-05-11</t>
        </is>
      </c>
      <c r="B24" t="inlineStr">
        <is>
          <t>연간 결산단신</t>
        </is>
      </c>
      <c r="C24" t="inlineStr">
        <is>
          <t>https://www2.jpx.co.jp/disc/88770/140120180420416135.pdf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0" t="inlineStr">
        <is>
          <t>8877 재무제표 한눈에 보기 — 최근 40개 분기(달력 분기, 3Q26 = 26.7~9) · 단위 억 엔</t>
        </is>
      </c>
    </row>
    <row r="2">
      <c r="A2" s="61" t="inlineStr">
        <is>
          <t>출처: 매출·영업이익 결산단신 XBRL · 재무상태표 등 결산단신 XBRL 36건(2018-01-26~2026-10-30). 부문·지역·수주·수출은 있을 때만(출처는 줄 끝). 총 차입금 = 이자 붙는 부채 전부(단기·장기 차입금, CP, 사채·전환사채, 리스부채)</t>
        </is>
      </c>
    </row>
    <row r="4">
      <c r="A4" s="62" t="inlineStr">
        <is>
          <t>항목</t>
        </is>
      </c>
      <c r="B4" s="63" t="inlineStr">
        <is>
          <t>4Q16</t>
        </is>
      </c>
      <c r="C4" s="63" t="inlineStr">
        <is>
          <t>1Q17</t>
        </is>
      </c>
      <c r="D4" s="63" t="inlineStr">
        <is>
          <t>2Q17</t>
        </is>
      </c>
      <c r="E4" s="63" t="inlineStr">
        <is>
          <t>3Q17</t>
        </is>
      </c>
      <c r="F4" s="63" t="inlineStr">
        <is>
          <t>4Q17</t>
        </is>
      </c>
      <c r="G4" s="63" t="inlineStr">
        <is>
          <t>1Q18</t>
        </is>
      </c>
      <c r="H4" s="63" t="inlineStr">
        <is>
          <t>2Q18</t>
        </is>
      </c>
      <c r="I4" s="63" t="inlineStr">
        <is>
          <t>3Q18</t>
        </is>
      </c>
      <c r="J4" s="63" t="inlineStr">
        <is>
          <t>4Q18</t>
        </is>
      </c>
      <c r="K4" s="63" t="inlineStr">
        <is>
          <t>1Q19</t>
        </is>
      </c>
      <c r="L4" s="63" t="inlineStr">
        <is>
          <t>2Q19</t>
        </is>
      </c>
      <c r="M4" s="63" t="inlineStr">
        <is>
          <t>3Q19</t>
        </is>
      </c>
      <c r="N4" s="63" t="inlineStr">
        <is>
          <t>4Q19</t>
        </is>
      </c>
      <c r="O4" s="63" t="inlineStr">
        <is>
          <t>1Q20</t>
        </is>
      </c>
      <c r="P4" s="63" t="inlineStr">
        <is>
          <t>2Q20</t>
        </is>
      </c>
      <c r="Q4" s="63" t="inlineStr">
        <is>
          <t>3Q20</t>
        </is>
      </c>
      <c r="R4" s="63" t="inlineStr">
        <is>
          <t>4Q20</t>
        </is>
      </c>
      <c r="S4" s="63" t="inlineStr">
        <is>
          <t>1Q21</t>
        </is>
      </c>
      <c r="T4" s="63" t="inlineStr">
        <is>
          <t>2Q21</t>
        </is>
      </c>
      <c r="U4" s="63" t="inlineStr">
        <is>
          <t>3Q21</t>
        </is>
      </c>
      <c r="V4" s="63" t="inlineStr">
        <is>
          <t>4Q21</t>
        </is>
      </c>
      <c r="W4" s="63" t="inlineStr">
        <is>
          <t>1Q22</t>
        </is>
      </c>
      <c r="X4" s="63" t="inlineStr">
        <is>
          <t>2Q22</t>
        </is>
      </c>
      <c r="Y4" s="63" t="inlineStr">
        <is>
          <t>3Q22</t>
        </is>
      </c>
      <c r="Z4" s="63" t="inlineStr">
        <is>
          <t>4Q22</t>
        </is>
      </c>
      <c r="AA4" s="63" t="inlineStr">
        <is>
          <t>1Q23</t>
        </is>
      </c>
      <c r="AB4" s="63" t="inlineStr">
        <is>
          <t>2Q23</t>
        </is>
      </c>
      <c r="AC4" s="63" t="inlineStr">
        <is>
          <t>3Q23</t>
        </is>
      </c>
      <c r="AD4" s="63" t="inlineStr">
        <is>
          <t>4Q23</t>
        </is>
      </c>
      <c r="AE4" s="63" t="inlineStr">
        <is>
          <t>1Q24</t>
        </is>
      </c>
      <c r="AF4" s="63" t="inlineStr">
        <is>
          <t>2Q24</t>
        </is>
      </c>
      <c r="AG4" s="63" t="inlineStr">
        <is>
          <t>3Q24</t>
        </is>
      </c>
      <c r="AH4" s="63" t="inlineStr">
        <is>
          <t>4Q24</t>
        </is>
      </c>
      <c r="AI4" s="63" t="inlineStr">
        <is>
          <t>1Q25</t>
        </is>
      </c>
      <c r="AJ4" s="63" t="inlineStr">
        <is>
          <t>2Q25</t>
        </is>
      </c>
      <c r="AK4" s="63" t="inlineStr">
        <is>
          <t>3Q25</t>
        </is>
      </c>
      <c r="AL4" s="63" t="inlineStr">
        <is>
          <t>4Q25</t>
        </is>
      </c>
      <c r="AM4" s="63" t="inlineStr">
        <is>
          <t>1Q26</t>
        </is>
      </c>
      <c r="AN4" s="63" t="inlineStr">
        <is>
          <t>2Q26</t>
        </is>
      </c>
      <c r="AO4" s="63" t="inlineStr">
        <is>
          <t>3Q26</t>
        </is>
      </c>
      <c r="AP4" s="62" t="inlineStr">
        <is>
          <t>출처</t>
        </is>
      </c>
    </row>
    <row r="5">
      <c r="A5" s="64" t="inlineStr">
        <is>
          <t>매출액</t>
        </is>
      </c>
      <c r="B5" s="65" t="n"/>
      <c r="C5" s="65" t="n">
        <v>137.7</v>
      </c>
      <c r="D5" s="65" t="n">
        <v>139.2</v>
      </c>
      <c r="E5" s="65" t="n">
        <v>96.59999999999999</v>
      </c>
      <c r="F5" s="65" t="n">
        <v>73.3</v>
      </c>
      <c r="G5" s="65" t="n">
        <v>174.3</v>
      </c>
      <c r="H5" s="65" t="n">
        <v>57.5</v>
      </c>
      <c r="I5" s="65" t="n">
        <v>129.7</v>
      </c>
      <c r="J5" s="65" t="n">
        <v>153.5</v>
      </c>
      <c r="K5" s="65" t="n">
        <v>231.3</v>
      </c>
      <c r="L5" s="65" t="n">
        <v>67</v>
      </c>
      <c r="M5" s="65" t="n">
        <v>210.7</v>
      </c>
      <c r="N5" s="65" t="n">
        <v>143.7</v>
      </c>
      <c r="O5" s="65" t="n">
        <v>195</v>
      </c>
      <c r="P5" s="65" t="n">
        <v>59.3</v>
      </c>
      <c r="Q5" s="65" t="n">
        <v>141</v>
      </c>
      <c r="R5" s="65" t="n">
        <v>105.1</v>
      </c>
      <c r="S5" s="65" t="n">
        <v>384.5</v>
      </c>
      <c r="T5" s="65" t="n">
        <v>83.7</v>
      </c>
      <c r="U5" s="65" t="n">
        <v>173.2</v>
      </c>
      <c r="V5" s="65" t="n">
        <v>134.1</v>
      </c>
      <c r="W5" s="65" t="n">
        <v>354.9</v>
      </c>
      <c r="X5" s="65" t="n">
        <v>156.6</v>
      </c>
      <c r="Y5" s="65" t="n">
        <v>118.9</v>
      </c>
      <c r="Z5" s="65" t="n">
        <v>297.3</v>
      </c>
      <c r="AA5" s="65" t="n">
        <v>226.3</v>
      </c>
      <c r="AB5" s="65" t="n">
        <v>174.1</v>
      </c>
      <c r="AC5" s="65" t="n">
        <v>188.5</v>
      </c>
      <c r="AD5" s="65" t="n">
        <v>209.5</v>
      </c>
      <c r="AE5" s="65" t="n">
        <v>230.8</v>
      </c>
      <c r="AF5" s="65" t="n">
        <v>409.9</v>
      </c>
      <c r="AG5" s="65" t="n">
        <v>164</v>
      </c>
      <c r="AH5" s="65" t="n">
        <v>172.8</v>
      </c>
      <c r="AI5" s="65" t="n">
        <v>201</v>
      </c>
      <c r="AJ5" s="65" t="n">
        <v>307.1</v>
      </c>
      <c r="AK5" s="65" t="n">
        <v>269.6</v>
      </c>
      <c r="AL5" s="65" t="n">
        <v>248.3</v>
      </c>
      <c r="AM5" s="65" t="n">
        <v>344.2</v>
      </c>
      <c r="AN5" s="65" t="n">
        <v>394.8</v>
      </c>
      <c r="AO5" s="65" t="n">
        <v>434.4</v>
      </c>
    </row>
    <row r="6">
      <c r="A6" s="64" t="inlineStr">
        <is>
          <t>매출액 YoY</t>
        </is>
      </c>
      <c r="B6" s="66" t="n"/>
      <c r="C6" s="66" t="n"/>
      <c r="D6" s="66" t="n"/>
      <c r="E6" s="66" t="n"/>
      <c r="F6" s="66" t="n"/>
      <c r="G6" s="66" t="n">
        <v>26.6</v>
      </c>
      <c r="H6" s="66" t="n">
        <v>-58.7</v>
      </c>
      <c r="I6" s="66" t="n">
        <v>34.3</v>
      </c>
      <c r="J6" s="66" t="n">
        <v>109.4</v>
      </c>
      <c r="K6" s="66" t="n">
        <v>32.7</v>
      </c>
      <c r="L6" s="66" t="n">
        <v>16.5</v>
      </c>
      <c r="M6" s="66" t="n">
        <v>62.5</v>
      </c>
      <c r="N6" s="66" t="n">
        <v>-6.4</v>
      </c>
      <c r="O6" s="66" t="n">
        <v>-15.7</v>
      </c>
      <c r="P6" s="66" t="n">
        <v>-11.5</v>
      </c>
      <c r="Q6" s="66" t="n">
        <v>-33.1</v>
      </c>
      <c r="R6" s="66" t="n">
        <v>-26.9</v>
      </c>
      <c r="S6" s="66" t="n">
        <v>97.2</v>
      </c>
      <c r="T6" s="66" t="n">
        <v>41.1</v>
      </c>
      <c r="U6" s="66" t="n">
        <v>22.8</v>
      </c>
      <c r="V6" s="66" t="n">
        <v>27.6</v>
      </c>
      <c r="W6" s="66" t="n">
        <v>-7.7</v>
      </c>
      <c r="X6" s="66" t="n">
        <v>87.09999999999999</v>
      </c>
      <c r="Y6" s="66" t="n">
        <v>-31.4</v>
      </c>
      <c r="Z6" s="66" t="n">
        <v>121.7</v>
      </c>
      <c r="AA6" s="66" t="n">
        <v>-36.2</v>
      </c>
      <c r="AB6" s="66" t="n">
        <v>11.2</v>
      </c>
      <c r="AC6" s="66" t="n">
        <v>58.5</v>
      </c>
      <c r="AD6" s="66" t="n">
        <v>-29.5</v>
      </c>
      <c r="AE6" s="66" t="n">
        <v>2</v>
      </c>
      <c r="AF6" s="66" t="n">
        <v>135.4</v>
      </c>
      <c r="AG6" s="66" t="n">
        <v>-13</v>
      </c>
      <c r="AH6" s="66" t="n">
        <v>-17.5</v>
      </c>
      <c r="AI6" s="66" t="n">
        <v>-12.9</v>
      </c>
      <c r="AJ6" s="66" t="n">
        <v>-25.1</v>
      </c>
      <c r="AK6" s="66" t="n">
        <v>64.40000000000001</v>
      </c>
      <c r="AL6" s="66" t="n">
        <v>43.7</v>
      </c>
      <c r="AM6" s="66" t="n">
        <v>71.2</v>
      </c>
      <c r="AN6" s="66" t="n">
        <v>28.6</v>
      </c>
      <c r="AO6" s="66" t="n">
        <v>61.1</v>
      </c>
    </row>
    <row r="7">
      <c r="A7" s="64" t="inlineStr">
        <is>
          <t>영업이익</t>
        </is>
      </c>
      <c r="B7" s="65" t="n"/>
      <c r="C7" s="65" t="n">
        <v>17.6</v>
      </c>
      <c r="D7" s="65" t="n">
        <v>17.6</v>
      </c>
      <c r="E7" s="65" t="n">
        <v>15.7</v>
      </c>
      <c r="F7" s="65" t="n">
        <v>5.5</v>
      </c>
      <c r="G7" s="65" t="n">
        <v>28.7</v>
      </c>
      <c r="H7" s="65" t="n">
        <v>-0.3</v>
      </c>
      <c r="I7" s="65" t="n">
        <v>19.6</v>
      </c>
      <c r="J7" s="65" t="n">
        <v>22.2</v>
      </c>
      <c r="K7" s="65" t="n">
        <v>30.2</v>
      </c>
      <c r="L7" s="65" t="n">
        <v>4</v>
      </c>
      <c r="M7" s="65" t="n">
        <v>34</v>
      </c>
      <c r="N7" s="65" t="n">
        <v>14.7</v>
      </c>
      <c r="O7" s="65" t="n">
        <v>26.8</v>
      </c>
      <c r="P7" s="65" t="n">
        <v>-0</v>
      </c>
      <c r="Q7" s="65" t="n">
        <v>15.7</v>
      </c>
      <c r="R7" s="65" t="n">
        <v>9.800000000000001</v>
      </c>
      <c r="S7" s="65" t="n">
        <v>44.7</v>
      </c>
      <c r="T7" s="65" t="n">
        <v>2.7</v>
      </c>
      <c r="U7" s="65" t="n">
        <v>19.2</v>
      </c>
      <c r="V7" s="65" t="n">
        <v>10.4</v>
      </c>
      <c r="W7" s="65" t="n">
        <v>54.3</v>
      </c>
      <c r="X7" s="65" t="n">
        <v>17.3</v>
      </c>
      <c r="Y7" s="65" t="n">
        <v>5.5</v>
      </c>
      <c r="Z7" s="65" t="n">
        <v>53.6</v>
      </c>
      <c r="AA7" s="65" t="n">
        <v>18.4</v>
      </c>
      <c r="AB7" s="65" t="n">
        <v>36.3</v>
      </c>
      <c r="AC7" s="65" t="n">
        <v>22.4</v>
      </c>
      <c r="AD7" s="65" t="n">
        <v>25.6</v>
      </c>
      <c r="AE7" s="65" t="n">
        <v>31.9</v>
      </c>
      <c r="AF7" s="65" t="n">
        <v>83.5</v>
      </c>
      <c r="AG7" s="65" t="n">
        <v>18.3</v>
      </c>
      <c r="AH7" s="65" t="n">
        <v>24.3</v>
      </c>
      <c r="AI7" s="65" t="n">
        <v>19.5</v>
      </c>
      <c r="AJ7" s="65" t="n">
        <v>53.9</v>
      </c>
      <c r="AK7" s="65" t="n">
        <v>50.3</v>
      </c>
      <c r="AL7" s="65" t="n">
        <v>37.2</v>
      </c>
      <c r="AM7" s="65" t="n">
        <v>43.7</v>
      </c>
      <c r="AN7" s="65" t="n">
        <v>66.09999999999999</v>
      </c>
      <c r="AO7" s="65" t="n">
        <v>77.8</v>
      </c>
    </row>
    <row r="8">
      <c r="A8" s="64" t="inlineStr">
        <is>
          <t>영업이익률</t>
        </is>
      </c>
      <c r="B8" s="66" t="n"/>
      <c r="C8" s="66" t="n">
        <v>12.8</v>
      </c>
      <c r="D8" s="66" t="n">
        <v>12.6</v>
      </c>
      <c r="E8" s="66" t="n">
        <v>16.3</v>
      </c>
      <c r="F8" s="66" t="n">
        <v>7.5</v>
      </c>
      <c r="G8" s="66" t="n">
        <v>16.5</v>
      </c>
      <c r="H8" s="66" t="n">
        <v>-0.5</v>
      </c>
      <c r="I8" s="66" t="n">
        <v>15.1</v>
      </c>
      <c r="J8" s="66" t="n">
        <v>14.5</v>
      </c>
      <c r="K8" s="66" t="n">
        <v>13.1</v>
      </c>
      <c r="L8" s="66" t="n">
        <v>6</v>
      </c>
      <c r="M8" s="66" t="n">
        <v>16.1</v>
      </c>
      <c r="N8" s="66" t="n">
        <v>10.2</v>
      </c>
      <c r="O8" s="66" t="n">
        <v>13.7</v>
      </c>
      <c r="P8" s="66" t="n">
        <v>-0</v>
      </c>
      <c r="Q8" s="66" t="n">
        <v>11.1</v>
      </c>
      <c r="R8" s="66" t="n">
        <v>9.300000000000001</v>
      </c>
      <c r="S8" s="66" t="n">
        <v>11.6</v>
      </c>
      <c r="T8" s="66" t="n">
        <v>3.2</v>
      </c>
      <c r="U8" s="66" t="n">
        <v>11.1</v>
      </c>
      <c r="V8" s="66" t="n">
        <v>7.8</v>
      </c>
      <c r="W8" s="66" t="n">
        <v>15.3</v>
      </c>
      <c r="X8" s="66" t="n">
        <v>11</v>
      </c>
      <c r="Y8" s="66" t="n">
        <v>4.6</v>
      </c>
      <c r="Z8" s="66" t="n">
        <v>18</v>
      </c>
      <c r="AA8" s="66" t="n">
        <v>8.1</v>
      </c>
      <c r="AB8" s="66" t="n">
        <v>20.9</v>
      </c>
      <c r="AC8" s="66" t="n">
        <v>11.9</v>
      </c>
      <c r="AD8" s="66" t="n">
        <v>12.2</v>
      </c>
      <c r="AE8" s="66" t="n">
        <v>13.8</v>
      </c>
      <c r="AF8" s="66" t="n">
        <v>20.4</v>
      </c>
      <c r="AG8" s="66" t="n">
        <v>11.2</v>
      </c>
      <c r="AH8" s="66" t="n">
        <v>14.1</v>
      </c>
      <c r="AI8" s="66" t="n">
        <v>9.699999999999999</v>
      </c>
      <c r="AJ8" s="66" t="n">
        <v>17.6</v>
      </c>
      <c r="AK8" s="66" t="n">
        <v>18.7</v>
      </c>
      <c r="AL8" s="66" t="n">
        <v>15</v>
      </c>
      <c r="AM8" s="66" t="n">
        <v>12.7</v>
      </c>
      <c r="AN8" s="66" t="n">
        <v>16.7</v>
      </c>
      <c r="AO8" s="66" t="n">
        <v>17.9</v>
      </c>
    </row>
    <row r="9">
      <c r="A9" s="64" t="inlineStr">
        <is>
          <t>영업이익 YoY</t>
        </is>
      </c>
      <c r="B9" s="66" t="n"/>
      <c r="C9" s="66" t="n"/>
      <c r="D9" s="66" t="n"/>
      <c r="E9" s="66" t="n"/>
      <c r="F9" s="66" t="n"/>
      <c r="G9" s="66" t="n">
        <v>63.1</v>
      </c>
      <c r="H9" s="66" t="n">
        <v>-101.7</v>
      </c>
      <c r="I9" s="66" t="n">
        <v>24.8</v>
      </c>
      <c r="J9" s="66" t="n">
        <v>303.6</v>
      </c>
      <c r="K9" s="66" t="n">
        <v>5.2</v>
      </c>
      <c r="L9" s="66" t="n"/>
      <c r="M9" s="66" t="n">
        <v>73.5</v>
      </c>
      <c r="N9" s="66" t="n">
        <v>-33.8</v>
      </c>
      <c r="O9" s="66" t="n">
        <v>-11.3</v>
      </c>
      <c r="P9" s="66" t="n">
        <v>-100</v>
      </c>
      <c r="Q9" s="66" t="n">
        <v>-53.8</v>
      </c>
      <c r="R9" s="66" t="n">
        <v>-33.3</v>
      </c>
      <c r="S9" s="66" t="n">
        <v>66.8</v>
      </c>
      <c r="T9" s="66" t="n"/>
      <c r="U9" s="66" t="n">
        <v>22.3</v>
      </c>
      <c r="V9" s="66" t="n">
        <v>6.1</v>
      </c>
      <c r="W9" s="66" t="n">
        <v>21.5</v>
      </c>
      <c r="X9" s="66" t="n">
        <v>540.7</v>
      </c>
      <c r="Y9" s="66" t="n">
        <v>-71.40000000000001</v>
      </c>
      <c r="Z9" s="66" t="n">
        <v>415.4</v>
      </c>
      <c r="AA9" s="66" t="n">
        <v>-66.09999999999999</v>
      </c>
      <c r="AB9" s="66" t="n">
        <v>109.8</v>
      </c>
      <c r="AC9" s="66" t="n">
        <v>307.3</v>
      </c>
      <c r="AD9" s="66" t="n">
        <v>-52.2</v>
      </c>
      <c r="AE9" s="66" t="n">
        <v>73.40000000000001</v>
      </c>
      <c r="AF9" s="66" t="n">
        <v>130</v>
      </c>
      <c r="AG9" s="66" t="n">
        <v>-18.3</v>
      </c>
      <c r="AH9" s="66" t="n">
        <v>-5.1</v>
      </c>
      <c r="AI9" s="66" t="n">
        <v>-38.9</v>
      </c>
      <c r="AJ9" s="66" t="n">
        <v>-35.4</v>
      </c>
      <c r="AK9" s="66" t="n">
        <v>174.9</v>
      </c>
      <c r="AL9" s="66" t="n">
        <v>53.1</v>
      </c>
      <c r="AM9" s="66" t="n">
        <v>124.1</v>
      </c>
      <c r="AN9" s="66" t="n">
        <v>22.6</v>
      </c>
      <c r="AO9" s="66" t="n">
        <v>54.7</v>
      </c>
    </row>
    <row r="10">
      <c r="A10" s="64" t="inlineStr">
        <is>
          <t>유동자산</t>
        </is>
      </c>
      <c r="B10" s="65" t="n"/>
      <c r="C10" s="65" t="n">
        <v>543.8</v>
      </c>
      <c r="D10" s="65" t="n"/>
      <c r="E10" s="65" t="n"/>
      <c r="F10" s="65" t="n">
        <v>530.7</v>
      </c>
      <c r="G10" s="65" t="n">
        <v>580.3</v>
      </c>
      <c r="H10" s="65" t="n">
        <v>530.7</v>
      </c>
      <c r="I10" s="65" t="n">
        <v>570.8</v>
      </c>
      <c r="J10" s="65" t="n">
        <v>578.9</v>
      </c>
      <c r="K10" s="65" t="n">
        <v>626.3</v>
      </c>
      <c r="L10" s="65" t="n">
        <v>589.4</v>
      </c>
      <c r="M10" s="65" t="n">
        <v>686.7</v>
      </c>
      <c r="N10" s="65" t="n">
        <v>668.5</v>
      </c>
      <c r="O10" s="65" t="n">
        <v>744.9</v>
      </c>
      <c r="P10" s="65" t="n">
        <v>720.9</v>
      </c>
      <c r="Q10" s="65" t="n">
        <v>774.8</v>
      </c>
      <c r="R10" s="65" t="n">
        <v>820.6</v>
      </c>
      <c r="S10" s="65" t="n">
        <v>973</v>
      </c>
      <c r="T10" s="65" t="n">
        <v>890.7</v>
      </c>
      <c r="U10" s="65" t="n">
        <v>931.8</v>
      </c>
      <c r="V10" s="65" t="n">
        <v>951</v>
      </c>
      <c r="W10" s="65" t="n">
        <v>1056.9</v>
      </c>
      <c r="X10" s="65" t="n">
        <v>1039.3</v>
      </c>
      <c r="Y10" s="65" t="n">
        <v>1113.6</v>
      </c>
      <c r="Z10" s="65" t="n">
        <v>1170.6</v>
      </c>
      <c r="AA10" s="65" t="n">
        <v>1234.6</v>
      </c>
      <c r="AB10" s="65" t="n">
        <v>1241.6</v>
      </c>
      <c r="AC10" s="65" t="n">
        <v>1346.6</v>
      </c>
      <c r="AD10" s="65" t="n">
        <v>1460.8</v>
      </c>
      <c r="AE10" s="65" t="n">
        <v>1562.3</v>
      </c>
      <c r="AF10" s="65" t="n">
        <v>1506.8</v>
      </c>
      <c r="AG10" s="65" t="n">
        <v>1649</v>
      </c>
      <c r="AH10" s="65" t="n">
        <v>1745.6</v>
      </c>
      <c r="AI10" s="65" t="n">
        <v>2135.1</v>
      </c>
      <c r="AJ10" s="65" t="n">
        <v>2194.5</v>
      </c>
      <c r="AK10" s="65" t="n">
        <v>2314</v>
      </c>
      <c r="AL10" s="65" t="n">
        <v>2395</v>
      </c>
      <c r="AM10" s="65" t="n">
        <v>2547.6</v>
      </c>
      <c r="AN10" s="65" t="n">
        <v>2664.9</v>
      </c>
      <c r="AO10" s="65" t="n">
        <v>2752.4</v>
      </c>
    </row>
    <row r="11">
      <c r="A11" s="64" t="inlineStr">
        <is>
          <t>유동부채</t>
        </is>
      </c>
      <c r="B11" s="65" t="n"/>
      <c r="C11" s="65" t="n">
        <v>181.2</v>
      </c>
      <c r="D11" s="65" t="n"/>
      <c r="E11" s="65" t="n"/>
      <c r="F11" s="65" t="n">
        <v>158.2</v>
      </c>
      <c r="G11" s="65" t="n">
        <v>181.3</v>
      </c>
      <c r="H11" s="65" t="n">
        <v>134.6</v>
      </c>
      <c r="I11" s="65" t="n">
        <v>162.6</v>
      </c>
      <c r="J11" s="65" t="n">
        <v>155.7</v>
      </c>
      <c r="K11" s="65" t="n">
        <v>168.3</v>
      </c>
      <c r="L11" s="65" t="n">
        <v>122.4</v>
      </c>
      <c r="M11" s="65" t="n">
        <v>208.7</v>
      </c>
      <c r="N11" s="65" t="n">
        <v>135.9</v>
      </c>
      <c r="O11" s="65" t="n">
        <v>178.7</v>
      </c>
      <c r="P11" s="65" t="n">
        <v>165.3</v>
      </c>
      <c r="Q11" s="65" t="n">
        <v>165.4</v>
      </c>
      <c r="R11" s="65" t="n">
        <v>208.7</v>
      </c>
      <c r="S11" s="65" t="n">
        <v>284.7</v>
      </c>
      <c r="T11" s="65" t="n">
        <v>216.7</v>
      </c>
      <c r="U11" s="65" t="n">
        <v>227.8</v>
      </c>
      <c r="V11" s="65" t="n">
        <v>229.4</v>
      </c>
      <c r="W11" s="65" t="n">
        <v>268.2</v>
      </c>
      <c r="X11" s="65" t="n">
        <v>209.1</v>
      </c>
      <c r="Y11" s="65" t="n">
        <v>289.3</v>
      </c>
      <c r="Z11" s="65" t="n">
        <v>315.7</v>
      </c>
      <c r="AA11" s="65" t="n">
        <v>389.7</v>
      </c>
      <c r="AB11" s="65" t="n">
        <v>348.7</v>
      </c>
      <c r="AC11" s="65" t="n">
        <v>374</v>
      </c>
      <c r="AD11" s="65" t="n">
        <v>339.3</v>
      </c>
      <c r="AE11" s="65" t="n">
        <v>369.2</v>
      </c>
      <c r="AF11" s="65" t="n">
        <v>252.7</v>
      </c>
      <c r="AG11" s="65" t="n">
        <v>380</v>
      </c>
      <c r="AH11" s="65" t="n">
        <v>372.6</v>
      </c>
      <c r="AI11" s="65" t="n">
        <v>482.6</v>
      </c>
      <c r="AJ11" s="65" t="n">
        <v>464.7</v>
      </c>
      <c r="AK11" s="65" t="n">
        <v>543.3</v>
      </c>
      <c r="AL11" s="65" t="n">
        <v>561.8</v>
      </c>
      <c r="AM11" s="65" t="n">
        <v>526.2</v>
      </c>
      <c r="AN11" s="65" t="n">
        <v>531.7</v>
      </c>
      <c r="AO11" s="65" t="n">
        <v>466.5</v>
      </c>
    </row>
    <row r="12">
      <c r="A12" s="64" t="inlineStr">
        <is>
          <t>부채총계</t>
        </is>
      </c>
      <c r="B12" s="65" t="n"/>
      <c r="C12" s="65" t="n">
        <v>246.4</v>
      </c>
      <c r="D12" s="65" t="n"/>
      <c r="E12" s="65" t="n"/>
      <c r="F12" s="65" t="n">
        <v>211.7</v>
      </c>
      <c r="G12" s="65" t="n">
        <v>244.8</v>
      </c>
      <c r="H12" s="65" t="n">
        <v>197.8</v>
      </c>
      <c r="I12" s="65" t="n">
        <v>224.2</v>
      </c>
      <c r="J12" s="65" t="n">
        <v>220.2</v>
      </c>
      <c r="K12" s="65" t="n">
        <v>249.4</v>
      </c>
      <c r="L12" s="65" t="n">
        <v>209.3</v>
      </c>
      <c r="M12" s="65" t="n">
        <v>296.2</v>
      </c>
      <c r="N12" s="65" t="n">
        <v>270.7</v>
      </c>
      <c r="O12" s="65" t="n">
        <v>333</v>
      </c>
      <c r="P12" s="65" t="n">
        <v>314.5</v>
      </c>
      <c r="Q12" s="65" t="n">
        <v>366.2</v>
      </c>
      <c r="R12" s="65" t="n">
        <v>408.2</v>
      </c>
      <c r="S12" s="65" t="n">
        <v>537.4</v>
      </c>
      <c r="T12" s="65" t="n">
        <v>459.7</v>
      </c>
      <c r="U12" s="65" t="n">
        <v>488.3</v>
      </c>
      <c r="V12" s="65" t="n">
        <v>514.7</v>
      </c>
      <c r="W12" s="65" t="n">
        <v>586.2</v>
      </c>
      <c r="X12" s="65" t="n">
        <v>560.5</v>
      </c>
      <c r="Y12" s="65" t="n">
        <v>632.9</v>
      </c>
      <c r="Z12" s="65" t="n">
        <v>668.5</v>
      </c>
      <c r="AA12" s="65" t="n">
        <v>749</v>
      </c>
      <c r="AB12" s="65" t="n">
        <v>739.8</v>
      </c>
      <c r="AC12" s="65" t="n">
        <v>829.7</v>
      </c>
      <c r="AD12" s="65" t="n">
        <v>937.8</v>
      </c>
      <c r="AE12" s="65" t="n">
        <v>1020.8</v>
      </c>
      <c r="AF12" s="65" t="n">
        <v>927.2</v>
      </c>
      <c r="AG12" s="65" t="n">
        <v>1063.7</v>
      </c>
      <c r="AH12" s="65" t="n">
        <v>1158.3</v>
      </c>
      <c r="AI12" s="65" t="n">
        <v>1535.7</v>
      </c>
      <c r="AJ12" s="65" t="n">
        <v>1580.3</v>
      </c>
      <c r="AK12" s="65" t="n">
        <v>1669.2</v>
      </c>
      <c r="AL12" s="65" t="n">
        <v>1746.5</v>
      </c>
      <c r="AM12" s="65" t="n">
        <v>1869.5</v>
      </c>
      <c r="AN12" s="65" t="n">
        <v>1983.7</v>
      </c>
      <c r="AO12" s="65" t="n">
        <v>2044.8</v>
      </c>
    </row>
    <row r="13">
      <c r="A13" s="64" t="inlineStr">
        <is>
          <t>자기자본</t>
        </is>
      </c>
      <c r="B13" s="66" t="n"/>
      <c r="C13" s="66" t="n">
        <v>349</v>
      </c>
      <c r="D13" s="66" t="n"/>
      <c r="E13" s="66" t="n"/>
      <c r="F13" s="66" t="n">
        <v>370.3</v>
      </c>
      <c r="G13" s="66" t="n">
        <v>388.2</v>
      </c>
      <c r="H13" s="66" t="n">
        <v>385.3</v>
      </c>
      <c r="I13" s="66" t="n">
        <v>398.1</v>
      </c>
      <c r="J13" s="66" t="n">
        <v>408.5</v>
      </c>
      <c r="K13" s="66" t="n">
        <v>427.3</v>
      </c>
      <c r="L13" s="66" t="n">
        <v>426.9</v>
      </c>
      <c r="M13" s="66" t="n">
        <v>448.4</v>
      </c>
      <c r="N13" s="66" t="n">
        <v>454.8</v>
      </c>
      <c r="O13" s="66" t="n">
        <v>472</v>
      </c>
      <c r="P13" s="66" t="n">
        <v>468.3</v>
      </c>
      <c r="Q13" s="66" t="n">
        <v>478.5</v>
      </c>
      <c r="R13" s="66" t="n">
        <v>481.6</v>
      </c>
      <c r="S13" s="66" t="n">
        <v>511.4</v>
      </c>
      <c r="T13" s="66" t="n">
        <v>506.8</v>
      </c>
      <c r="U13" s="66" t="n">
        <v>518.5</v>
      </c>
      <c r="V13" s="66" t="n">
        <v>522</v>
      </c>
      <c r="W13" s="66" t="n">
        <v>557</v>
      </c>
      <c r="X13" s="66" t="n">
        <v>564.2</v>
      </c>
      <c r="Y13" s="66" t="n">
        <v>568</v>
      </c>
      <c r="Z13" s="66" t="n">
        <v>595.6</v>
      </c>
      <c r="AA13" s="66" t="n">
        <v>609.7</v>
      </c>
      <c r="AB13" s="66" t="n">
        <v>623.8</v>
      </c>
      <c r="AC13" s="66" t="n">
        <v>639.2</v>
      </c>
      <c r="AD13" s="66" t="n">
        <v>645.4</v>
      </c>
      <c r="AE13" s="66" t="n">
        <v>668.7</v>
      </c>
      <c r="AF13" s="66" t="n">
        <v>705.6</v>
      </c>
      <c r="AG13" s="66" t="n">
        <v>718.2</v>
      </c>
      <c r="AH13" s="66" t="n">
        <v>719.1</v>
      </c>
      <c r="AI13" s="66" t="n">
        <v>734.6</v>
      </c>
      <c r="AJ13" s="66" t="n">
        <v>749.4</v>
      </c>
      <c r="AK13" s="66" t="n">
        <v>781.6</v>
      </c>
      <c r="AL13" s="66" t="n">
        <v>783.5</v>
      </c>
      <c r="AM13" s="66" t="n">
        <v>815.5</v>
      </c>
      <c r="AN13" s="66" t="n">
        <v>829</v>
      </c>
      <c r="AO13" s="66" t="n">
        <v>875.3</v>
      </c>
    </row>
    <row r="14">
      <c r="A14" s="64" t="inlineStr">
        <is>
          <t>유동비율</t>
        </is>
      </c>
      <c r="B14" s="66" t="n"/>
      <c r="C14" s="66" t="n">
        <v>300.1</v>
      </c>
      <c r="D14" s="66" t="n"/>
      <c r="E14" s="66" t="n"/>
      <c r="F14" s="66" t="n">
        <v>335.5</v>
      </c>
      <c r="G14" s="66" t="n">
        <v>320.1</v>
      </c>
      <c r="H14" s="66" t="n">
        <v>394.3</v>
      </c>
      <c r="I14" s="66" t="n">
        <v>351</v>
      </c>
      <c r="J14" s="66" t="n">
        <v>371.8</v>
      </c>
      <c r="K14" s="66" t="n">
        <v>372.1</v>
      </c>
      <c r="L14" s="66" t="n">
        <v>481.5</v>
      </c>
      <c r="M14" s="66" t="n">
        <v>329</v>
      </c>
      <c r="N14" s="66" t="n">
        <v>491.9</v>
      </c>
      <c r="O14" s="66" t="n">
        <v>416.8</v>
      </c>
      <c r="P14" s="66" t="n">
        <v>436.1</v>
      </c>
      <c r="Q14" s="66" t="n">
        <v>468.4</v>
      </c>
      <c r="R14" s="66" t="n">
        <v>393.2</v>
      </c>
      <c r="S14" s="66" t="n">
        <v>341.8</v>
      </c>
      <c r="T14" s="66" t="n">
        <v>411</v>
      </c>
      <c r="U14" s="66" t="n">
        <v>409</v>
      </c>
      <c r="V14" s="66" t="n">
        <v>414.6</v>
      </c>
      <c r="W14" s="66" t="n">
        <v>394.1</v>
      </c>
      <c r="X14" s="66" t="n">
        <v>497</v>
      </c>
      <c r="Y14" s="66" t="n">
        <v>384.9</v>
      </c>
      <c r="Z14" s="66" t="n">
        <v>370.8</v>
      </c>
      <c r="AA14" s="66" t="n">
        <v>316.8</v>
      </c>
      <c r="AB14" s="66" t="n">
        <v>356.1</v>
      </c>
      <c r="AC14" s="66" t="n">
        <v>360.1</v>
      </c>
      <c r="AD14" s="66" t="n">
        <v>430.5</v>
      </c>
      <c r="AE14" s="66" t="n">
        <v>423.2</v>
      </c>
      <c r="AF14" s="66" t="n">
        <v>596.3</v>
      </c>
      <c r="AG14" s="66" t="n">
        <v>433.9</v>
      </c>
      <c r="AH14" s="66" t="n">
        <v>468.5</v>
      </c>
      <c r="AI14" s="66" t="n">
        <v>442.4</v>
      </c>
      <c r="AJ14" s="66" t="n">
        <v>472.2</v>
      </c>
      <c r="AK14" s="66" t="n">
        <v>425.9</v>
      </c>
      <c r="AL14" s="66" t="n">
        <v>426.3</v>
      </c>
      <c r="AM14" s="66" t="n">
        <v>484.2</v>
      </c>
      <c r="AN14" s="66" t="n">
        <v>501.2</v>
      </c>
      <c r="AO14" s="66" t="n">
        <v>590</v>
      </c>
    </row>
    <row r="15">
      <c r="A15" s="64" t="inlineStr">
        <is>
          <t>부채비율</t>
        </is>
      </c>
      <c r="B15" s="66" t="n"/>
      <c r="C15" s="66" t="n">
        <v>70.59999999999999</v>
      </c>
      <c r="D15" s="66" t="n"/>
      <c r="E15" s="66" t="n"/>
      <c r="F15" s="66" t="n">
        <v>57.2</v>
      </c>
      <c r="G15" s="66" t="n">
        <v>63.1</v>
      </c>
      <c r="H15" s="66" t="n">
        <v>51.3</v>
      </c>
      <c r="I15" s="66" t="n">
        <v>56.3</v>
      </c>
      <c r="J15" s="66" t="n">
        <v>53.9</v>
      </c>
      <c r="K15" s="66" t="n">
        <v>58.4</v>
      </c>
      <c r="L15" s="66" t="n">
        <v>49</v>
      </c>
      <c r="M15" s="66" t="n">
        <v>66.09999999999999</v>
      </c>
      <c r="N15" s="66" t="n">
        <v>59.5</v>
      </c>
      <c r="O15" s="66" t="n">
        <v>70.59999999999999</v>
      </c>
      <c r="P15" s="66" t="n">
        <v>67.2</v>
      </c>
      <c r="Q15" s="66" t="n">
        <v>76.5</v>
      </c>
      <c r="R15" s="66" t="n">
        <v>84.8</v>
      </c>
      <c r="S15" s="66" t="n">
        <v>105.1</v>
      </c>
      <c r="T15" s="66" t="n">
        <v>90.7</v>
      </c>
      <c r="U15" s="66" t="n">
        <v>94.2</v>
      </c>
      <c r="V15" s="66" t="n">
        <v>98.59999999999999</v>
      </c>
      <c r="W15" s="66" t="n">
        <v>105.2</v>
      </c>
      <c r="X15" s="66" t="n">
        <v>99.3</v>
      </c>
      <c r="Y15" s="66" t="n">
        <v>111.4</v>
      </c>
      <c r="Z15" s="66" t="n">
        <v>112.2</v>
      </c>
      <c r="AA15" s="66" t="n">
        <v>122.8</v>
      </c>
      <c r="AB15" s="66" t="n">
        <v>118.6</v>
      </c>
      <c r="AC15" s="66" t="n">
        <v>129.8</v>
      </c>
      <c r="AD15" s="66" t="n">
        <v>145.3</v>
      </c>
      <c r="AE15" s="66" t="n">
        <v>152.7</v>
      </c>
      <c r="AF15" s="66" t="n">
        <v>131.4</v>
      </c>
      <c r="AG15" s="66" t="n">
        <v>148.1</v>
      </c>
      <c r="AH15" s="66" t="n">
        <v>161.1</v>
      </c>
      <c r="AI15" s="66" t="n">
        <v>209.1</v>
      </c>
      <c r="AJ15" s="66" t="n">
        <v>210.9</v>
      </c>
      <c r="AK15" s="66" t="n">
        <v>213.6</v>
      </c>
      <c r="AL15" s="66" t="n">
        <v>222.9</v>
      </c>
      <c r="AM15" s="66" t="n">
        <v>229.2</v>
      </c>
      <c r="AN15" s="66" t="n">
        <v>239.3</v>
      </c>
      <c r="AO15" s="66" t="n">
        <v>233.6</v>
      </c>
    </row>
    <row r="16">
      <c r="A16" s="64" t="inlineStr">
        <is>
          <t>순차입금/자기자본</t>
        </is>
      </c>
      <c r="B16" s="66" t="n"/>
      <c r="C16" s="66" t="n">
        <v>-34.4</v>
      </c>
      <c r="D16" s="66" t="n"/>
      <c r="E16" s="66" t="n"/>
      <c r="F16" s="66" t="n">
        <v>-16.1</v>
      </c>
      <c r="G16" s="66" t="n">
        <v>-31.5</v>
      </c>
      <c r="H16" s="66" t="n">
        <v>-7.9</v>
      </c>
      <c r="I16" s="66" t="n">
        <v>-12.5</v>
      </c>
      <c r="J16" s="66" t="n">
        <v>-8.800000000000001</v>
      </c>
      <c r="K16" s="66" t="n">
        <v>-22.9</v>
      </c>
      <c r="L16" s="66" t="n">
        <v>3</v>
      </c>
      <c r="M16" s="66" t="n">
        <v>-17.7</v>
      </c>
      <c r="N16" s="66" t="n">
        <v>7.3</v>
      </c>
      <c r="O16" s="66" t="n">
        <v>6.4</v>
      </c>
      <c r="P16" s="66" t="n">
        <v>34.5</v>
      </c>
      <c r="Q16" s="66" t="n">
        <v>39.1</v>
      </c>
      <c r="R16" s="66" t="n">
        <v>47.6</v>
      </c>
      <c r="S16" s="66" t="n">
        <v>10.9</v>
      </c>
      <c r="T16" s="66" t="n">
        <v>39.1</v>
      </c>
      <c r="U16" s="66" t="n">
        <v>39.2</v>
      </c>
      <c r="V16" s="66" t="n">
        <v>56.9</v>
      </c>
      <c r="W16" s="66" t="n">
        <v>30.4</v>
      </c>
      <c r="X16" s="66" t="n">
        <v>45.7</v>
      </c>
      <c r="Y16" s="66" t="n">
        <v>62.7</v>
      </c>
      <c r="Z16" s="66" t="n">
        <v>51.5</v>
      </c>
      <c r="AA16" s="66" t="n">
        <v>58.7</v>
      </c>
      <c r="AB16" s="66" t="n">
        <v>73.09999999999999</v>
      </c>
      <c r="AC16" s="66" t="n">
        <v>82.40000000000001</v>
      </c>
      <c r="AD16" s="66" t="n">
        <v>94.7</v>
      </c>
      <c r="AE16" s="66" t="n">
        <v>105.3</v>
      </c>
      <c r="AF16" s="66" t="n">
        <v>93.59999999999999</v>
      </c>
      <c r="AG16" s="66" t="n">
        <v>108.1</v>
      </c>
      <c r="AH16" s="66" t="n">
        <v>131.5</v>
      </c>
      <c r="AI16" s="66" t="n">
        <v>149.3</v>
      </c>
      <c r="AJ16" s="66" t="n">
        <v>155.6</v>
      </c>
      <c r="AK16" s="66" t="n">
        <v>156.8</v>
      </c>
      <c r="AL16" s="66" t="n">
        <v>168.7</v>
      </c>
      <c r="AM16" s="66" t="n">
        <v>188.1</v>
      </c>
      <c r="AN16" s="66" t="n">
        <v>200.7</v>
      </c>
      <c r="AO16" s="66" t="n">
        <v>190.1</v>
      </c>
    </row>
    <row r="17">
      <c r="A17" s="64" t="inlineStr">
        <is>
          <t>재고자산</t>
        </is>
      </c>
      <c r="B17" s="65" t="n"/>
      <c r="C17" s="65" t="n">
        <v>91.3</v>
      </c>
      <c r="D17" s="65" t="n"/>
      <c r="E17" s="65" t="n"/>
      <c r="F17" s="65" t="n">
        <v>21.4</v>
      </c>
      <c r="G17" s="65" t="n">
        <v>16.6</v>
      </c>
      <c r="H17" s="65" t="n">
        <v>14.5</v>
      </c>
      <c r="I17" s="65" t="n">
        <v>40</v>
      </c>
      <c r="J17" s="65" t="n">
        <v>39.2</v>
      </c>
      <c r="K17" s="65" t="n">
        <v>34.2</v>
      </c>
      <c r="L17" s="65" t="n">
        <v>27.8</v>
      </c>
      <c r="M17" s="65" t="n">
        <v>33.8</v>
      </c>
      <c r="N17" s="65" t="n">
        <v>47.9</v>
      </c>
      <c r="O17" s="65" t="n">
        <v>123.2</v>
      </c>
      <c r="P17" s="65" t="n">
        <v>134.9</v>
      </c>
      <c r="Q17" s="65" t="n">
        <v>147.4</v>
      </c>
      <c r="R17" s="65" t="n">
        <v>167.3</v>
      </c>
      <c r="S17" s="65" t="n">
        <v>163.2</v>
      </c>
      <c r="T17" s="65" t="n">
        <v>207.9</v>
      </c>
      <c r="U17" s="65" t="n">
        <v>220.8</v>
      </c>
      <c r="V17" s="65" t="n">
        <v>297.3</v>
      </c>
      <c r="W17" s="65" t="n">
        <v>216.4</v>
      </c>
      <c r="X17" s="65" t="n">
        <v>194.2</v>
      </c>
      <c r="Y17" s="65" t="n">
        <v>291.2</v>
      </c>
      <c r="Z17" s="65" t="n">
        <v>242.5</v>
      </c>
      <c r="AA17" s="65" t="n">
        <v>333.7</v>
      </c>
      <c r="AB17" s="65" t="n">
        <v>360.1</v>
      </c>
      <c r="AC17" s="65" t="n">
        <v>433.1</v>
      </c>
      <c r="AD17" s="65" t="n">
        <v>457</v>
      </c>
      <c r="AE17" s="65" t="n">
        <v>585.3</v>
      </c>
      <c r="AF17" s="65" t="n">
        <v>438.2</v>
      </c>
      <c r="AG17" s="65" t="n">
        <v>570.4</v>
      </c>
      <c r="AH17" s="65" t="n">
        <v>583.4</v>
      </c>
      <c r="AI17" s="65" t="n">
        <v>836.1</v>
      </c>
      <c r="AJ17" s="65" t="n">
        <v>812.3</v>
      </c>
      <c r="AK17" s="65" t="n">
        <v>836.9</v>
      </c>
      <c r="AL17" s="65" t="n">
        <v>842.9</v>
      </c>
      <c r="AM17" s="65" t="n">
        <v>1115.2</v>
      </c>
      <c r="AN17" s="65" t="n">
        <v>1066.2</v>
      </c>
      <c r="AO17" s="65" t="n">
        <v>1063.6</v>
      </c>
    </row>
    <row r="18">
      <c r="A18" s="64" t="inlineStr">
        <is>
          <t>재고자산 회전일수</t>
        </is>
      </c>
      <c r="B18" s="65" t="n"/>
      <c r="C18" s="65" t="n">
        <v>78</v>
      </c>
      <c r="D18" s="65" t="n"/>
      <c r="E18" s="65" t="n"/>
      <c r="F18" s="65" t="n">
        <v>36</v>
      </c>
      <c r="G18" s="65" t="n">
        <v>12</v>
      </c>
      <c r="H18" s="65" t="n">
        <v>30</v>
      </c>
      <c r="I18" s="65" t="n">
        <v>39</v>
      </c>
      <c r="J18" s="65" t="n">
        <v>32</v>
      </c>
      <c r="K18" s="65" t="n">
        <v>17</v>
      </c>
      <c r="L18" s="65" t="n">
        <v>53</v>
      </c>
      <c r="M18" s="65" t="n">
        <v>20</v>
      </c>
      <c r="N18" s="65" t="n">
        <v>39</v>
      </c>
      <c r="O18" s="65" t="n">
        <v>76</v>
      </c>
      <c r="P18" s="65" t="n">
        <v>286</v>
      </c>
      <c r="Q18" s="65" t="n">
        <v>125</v>
      </c>
      <c r="R18" s="65" t="n">
        <v>194</v>
      </c>
      <c r="S18" s="65" t="n">
        <v>47</v>
      </c>
      <c r="T18" s="65" t="n">
        <v>294</v>
      </c>
      <c r="U18" s="65" t="n">
        <v>152</v>
      </c>
      <c r="V18" s="65" t="n">
        <v>264</v>
      </c>
      <c r="W18" s="65" t="n">
        <v>71</v>
      </c>
      <c r="X18" s="65" t="n">
        <v>147</v>
      </c>
      <c r="Y18" s="65" t="n">
        <v>298</v>
      </c>
      <c r="Z18" s="65" t="n">
        <v>99</v>
      </c>
      <c r="AA18" s="65" t="n">
        <v>164</v>
      </c>
      <c r="AB18" s="65" t="n">
        <v>277</v>
      </c>
      <c r="AC18" s="65" t="n">
        <v>271</v>
      </c>
      <c r="AD18" s="65" t="n">
        <v>256</v>
      </c>
      <c r="AE18" s="65" t="n">
        <v>308</v>
      </c>
      <c r="AF18" s="65" t="n">
        <v>131</v>
      </c>
      <c r="AG18" s="65" t="n">
        <v>417</v>
      </c>
      <c r="AH18" s="65" t="n">
        <v>417</v>
      </c>
      <c r="AI18" s="65" t="n">
        <v>496</v>
      </c>
      <c r="AJ18" s="65" t="n">
        <v>322</v>
      </c>
      <c r="AK18" s="65" t="n">
        <v>391</v>
      </c>
      <c r="AL18" s="65" t="n">
        <v>410</v>
      </c>
      <c r="AM18" s="65" t="n">
        <v>385</v>
      </c>
      <c r="AN18" s="65" t="n">
        <v>323</v>
      </c>
      <c r="AO18" s="65" t="n">
        <v>296</v>
      </c>
    </row>
    <row r="19">
      <c r="A19" s="64" t="inlineStr">
        <is>
          <t>매출채권 회전일수</t>
        </is>
      </c>
      <c r="B19" s="65" t="n"/>
      <c r="C19" s="65" t="n">
        <v>2</v>
      </c>
      <c r="D19" s="65" t="n"/>
      <c r="E19" s="65" t="n"/>
      <c r="F19" s="65" t="n">
        <v>5</v>
      </c>
      <c r="G19" s="65" t="n">
        <v>3</v>
      </c>
      <c r="H19" s="65" t="n">
        <v>3</v>
      </c>
      <c r="I19" s="65" t="n">
        <v>2</v>
      </c>
      <c r="J19" s="65" t="n">
        <v>2</v>
      </c>
      <c r="K19" s="65" t="n">
        <v>3</v>
      </c>
      <c r="L19" s="65" t="n">
        <v>4</v>
      </c>
      <c r="M19" s="65" t="n">
        <v>5</v>
      </c>
      <c r="N19" s="65" t="n">
        <v>3</v>
      </c>
      <c r="O19" s="65" t="n">
        <v>5</v>
      </c>
      <c r="P19" s="65" t="n">
        <v>5</v>
      </c>
      <c r="Q19" s="65" t="n">
        <v>7</v>
      </c>
      <c r="R19" s="65" t="n">
        <v>4</v>
      </c>
      <c r="S19" s="65" t="n">
        <v>6</v>
      </c>
      <c r="T19" s="65" t="n">
        <v>5</v>
      </c>
      <c r="U19" s="65" t="n">
        <v>9</v>
      </c>
      <c r="V19" s="65" t="n">
        <v>5</v>
      </c>
      <c r="W19" s="65" t="n">
        <v>8</v>
      </c>
      <c r="X19" s="65" t="n">
        <v>4</v>
      </c>
      <c r="Y19" s="65" t="n">
        <v>15</v>
      </c>
      <c r="Z19" s="65" t="n">
        <v>5</v>
      </c>
      <c r="AA19" s="65" t="n">
        <v>4</v>
      </c>
      <c r="AB19" s="65" t="n">
        <v>4</v>
      </c>
      <c r="AC19" s="65" t="n">
        <v>7</v>
      </c>
      <c r="AD19" s="65" t="n">
        <v>5</v>
      </c>
      <c r="AE19" s="65" t="n">
        <v>12</v>
      </c>
      <c r="AF19" s="65" t="n">
        <v>4</v>
      </c>
      <c r="AG19" s="65" t="n">
        <v>9</v>
      </c>
      <c r="AH19" s="65" t="n">
        <v>10</v>
      </c>
      <c r="AI19" s="65" t="n">
        <v>12</v>
      </c>
      <c r="AJ19" s="65" t="n">
        <v>10</v>
      </c>
      <c r="AK19" s="65" t="n">
        <v>9</v>
      </c>
      <c r="AL19" s="65" t="n">
        <v>4</v>
      </c>
      <c r="AM19" s="65" t="n">
        <v>4</v>
      </c>
      <c r="AN19" s="65" t="n">
        <v>6</v>
      </c>
      <c r="AO19" s="65" t="n">
        <v>6</v>
      </c>
    </row>
    <row r="20">
      <c r="A20" s="64" t="inlineStr">
        <is>
          <t>매입채무 회전일수</t>
        </is>
      </c>
      <c r="B20" s="65" t="n"/>
      <c r="C20" s="65" t="n">
        <v>39</v>
      </c>
      <c r="D20" s="65" t="n"/>
      <c r="E20" s="65" t="n"/>
      <c r="F20" s="65" t="n">
        <v>50</v>
      </c>
      <c r="G20" s="65" t="n">
        <v>39</v>
      </c>
      <c r="H20" s="65" t="n">
        <v>42</v>
      </c>
      <c r="I20" s="65" t="n">
        <v>52</v>
      </c>
      <c r="J20" s="65" t="n">
        <v>39</v>
      </c>
      <c r="K20" s="65" t="n">
        <v>27</v>
      </c>
      <c r="L20" s="65" t="n">
        <v>27</v>
      </c>
      <c r="M20" s="65" t="n">
        <v>44</v>
      </c>
      <c r="N20" s="65" t="n">
        <v>31</v>
      </c>
      <c r="O20" s="65" t="n">
        <v>36</v>
      </c>
      <c r="P20" s="65" t="n">
        <v>41</v>
      </c>
      <c r="Q20" s="65" t="n">
        <v>18</v>
      </c>
      <c r="R20" s="65" t="n">
        <v>34</v>
      </c>
      <c r="S20" s="65" t="n">
        <v>24</v>
      </c>
      <c r="T20" s="65" t="n">
        <v>38</v>
      </c>
      <c r="U20" s="65" t="n">
        <v>4</v>
      </c>
      <c r="V20" s="65" t="n">
        <v>7</v>
      </c>
      <c r="W20" s="65" t="n">
        <v>6</v>
      </c>
      <c r="X20" s="65" t="n">
        <v>5</v>
      </c>
      <c r="Y20" s="65" t="n">
        <v>12</v>
      </c>
      <c r="Z20" s="65" t="n">
        <v>12</v>
      </c>
      <c r="AA20" s="65" t="n">
        <v>13</v>
      </c>
      <c r="AB20" s="65" t="n">
        <v>7</v>
      </c>
      <c r="AC20" s="65" t="n">
        <v>6</v>
      </c>
      <c r="AD20" s="65" t="n">
        <v>7</v>
      </c>
      <c r="AE20" s="65" t="n">
        <v>11</v>
      </c>
      <c r="AF20" s="65" t="n">
        <v>3</v>
      </c>
      <c r="AG20" s="65" t="n">
        <v>6</v>
      </c>
      <c r="AH20" s="65" t="n">
        <v>8</v>
      </c>
      <c r="AI20" s="65" t="n">
        <v>7</v>
      </c>
      <c r="AJ20" s="65" t="n">
        <v>5</v>
      </c>
      <c r="AK20" s="65" t="n">
        <v>6</v>
      </c>
      <c r="AL20" s="65" t="n">
        <v>5</v>
      </c>
      <c r="AM20" s="65" t="n">
        <v>4</v>
      </c>
      <c r="AN20" s="65" t="n">
        <v>3</v>
      </c>
      <c r="AO20" s="65" t="n">
        <v>4</v>
      </c>
    </row>
    <row r="21">
      <c r="A21" s="64" t="inlineStr">
        <is>
          <t>현금전환주기(CCC)</t>
        </is>
      </c>
      <c r="B21" s="65" t="n"/>
      <c r="C21" s="65" t="n">
        <v>41</v>
      </c>
      <c r="D21" s="65" t="n"/>
      <c r="E21" s="65" t="n"/>
      <c r="F21" s="65" t="n">
        <v>-9</v>
      </c>
      <c r="G21" s="65" t="n">
        <v>-24</v>
      </c>
      <c r="H21" s="65" t="n">
        <v>-9</v>
      </c>
      <c r="I21" s="65" t="n">
        <v>-11</v>
      </c>
      <c r="J21" s="65" t="n">
        <v>-5</v>
      </c>
      <c r="K21" s="65" t="n">
        <v>-7</v>
      </c>
      <c r="L21" s="65" t="n">
        <v>30</v>
      </c>
      <c r="M21" s="65" t="n">
        <v>-19</v>
      </c>
      <c r="N21" s="65" t="n">
        <v>11</v>
      </c>
      <c r="O21" s="65" t="n">
        <v>45</v>
      </c>
      <c r="P21" s="65" t="n">
        <v>250</v>
      </c>
      <c r="Q21" s="65" t="n">
        <v>114</v>
      </c>
      <c r="R21" s="65" t="n">
        <v>164</v>
      </c>
      <c r="S21" s="65" t="n">
        <v>29</v>
      </c>
      <c r="T21" s="65" t="n">
        <v>261</v>
      </c>
      <c r="U21" s="65" t="n">
        <v>157</v>
      </c>
      <c r="V21" s="65" t="n">
        <v>262</v>
      </c>
      <c r="W21" s="65" t="n">
        <v>73</v>
      </c>
      <c r="X21" s="65" t="n">
        <v>146</v>
      </c>
      <c r="Y21" s="65" t="n">
        <v>301</v>
      </c>
      <c r="Z21" s="65" t="n">
        <v>92</v>
      </c>
      <c r="AA21" s="65" t="n">
        <v>155</v>
      </c>
      <c r="AB21" s="65" t="n">
        <v>274</v>
      </c>
      <c r="AC21" s="65" t="n">
        <v>272</v>
      </c>
      <c r="AD21" s="65" t="n">
        <v>254</v>
      </c>
      <c r="AE21" s="65" t="n">
        <v>309</v>
      </c>
      <c r="AF21" s="65" t="n">
        <v>132</v>
      </c>
      <c r="AG21" s="65" t="n">
        <v>420</v>
      </c>
      <c r="AH21" s="65" t="n">
        <v>419</v>
      </c>
      <c r="AI21" s="65" t="n">
        <v>501</v>
      </c>
      <c r="AJ21" s="65" t="n">
        <v>327</v>
      </c>
      <c r="AK21" s="65" t="n">
        <v>394</v>
      </c>
      <c r="AL21" s="65" t="n">
        <v>409</v>
      </c>
      <c r="AM21" s="65" t="n">
        <v>385</v>
      </c>
      <c r="AN21" s="65" t="n">
        <v>326</v>
      </c>
      <c r="AO21" s="65" t="n">
        <v>298</v>
      </c>
    </row>
    <row r="22">
      <c r="A22" s="64" t="inlineStr">
        <is>
          <t>총 차입금</t>
        </is>
      </c>
      <c r="B22" s="65" t="n"/>
      <c r="C22" s="65" t="n">
        <v>154.1</v>
      </c>
      <c r="D22" s="65" t="n"/>
      <c r="E22" s="65" t="n"/>
      <c r="F22" s="65" t="n">
        <v>155.8</v>
      </c>
      <c r="G22" s="65" t="n">
        <v>148.1</v>
      </c>
      <c r="H22" s="65" t="n">
        <v>153</v>
      </c>
      <c r="I22" s="65" t="n">
        <v>136.2</v>
      </c>
      <c r="J22" s="65" t="n">
        <v>137</v>
      </c>
      <c r="K22" s="65" t="n">
        <v>145.4</v>
      </c>
      <c r="L22" s="65" t="n">
        <v>165.4</v>
      </c>
      <c r="M22" s="65" t="n">
        <v>167.3</v>
      </c>
      <c r="N22" s="65" t="n">
        <v>200.5</v>
      </c>
      <c r="O22" s="65" t="n">
        <v>227</v>
      </c>
      <c r="P22" s="65" t="n">
        <v>268.3</v>
      </c>
      <c r="Q22" s="65" t="n">
        <v>312.7</v>
      </c>
      <c r="R22" s="65" t="n">
        <v>343.7</v>
      </c>
      <c r="S22" s="65" t="n">
        <v>374.4</v>
      </c>
      <c r="T22" s="65" t="n">
        <v>392.2</v>
      </c>
      <c r="U22" s="65" t="n">
        <v>389.6</v>
      </c>
      <c r="V22" s="65" t="n">
        <v>429.5</v>
      </c>
      <c r="W22" s="65" t="n">
        <v>446.3</v>
      </c>
      <c r="X22" s="65" t="n">
        <v>488.9</v>
      </c>
      <c r="Y22" s="65" t="n">
        <v>517.7</v>
      </c>
      <c r="Z22" s="65" t="n">
        <v>549.9</v>
      </c>
      <c r="AA22" s="65" t="n">
        <v>623.5</v>
      </c>
      <c r="AB22" s="65" t="n">
        <v>653.6</v>
      </c>
      <c r="AC22" s="65" t="n">
        <v>700</v>
      </c>
      <c r="AD22" s="65" t="n">
        <v>819.3</v>
      </c>
      <c r="AE22" s="65" t="n">
        <v>866.3</v>
      </c>
      <c r="AF22" s="65" t="n">
        <v>841.5</v>
      </c>
      <c r="AG22" s="65" t="n">
        <v>947.6999999999999</v>
      </c>
      <c r="AH22" s="65" t="n">
        <v>1071.8</v>
      </c>
      <c r="AI22" s="65" t="n">
        <v>1408.8</v>
      </c>
      <c r="AJ22" s="65" t="n">
        <v>1475.8</v>
      </c>
      <c r="AK22" s="65" t="n">
        <v>1559.7</v>
      </c>
      <c r="AL22" s="65" t="n">
        <v>1639.8</v>
      </c>
      <c r="AM22" s="65" t="n">
        <v>1708.1</v>
      </c>
      <c r="AN22" s="65" t="n">
        <v>1874.2</v>
      </c>
      <c r="AO22" s="65" t="n">
        <v>1904</v>
      </c>
    </row>
    <row r="23">
      <c r="A23" s="64" t="inlineStr">
        <is>
          <t>현금</t>
        </is>
      </c>
      <c r="B23" s="65" t="n"/>
      <c r="C23" s="65" t="n">
        <v>274.2</v>
      </c>
      <c r="D23" s="65" t="n"/>
      <c r="E23" s="65" t="n"/>
      <c r="F23" s="65" t="n">
        <v>215.5</v>
      </c>
      <c r="G23" s="65" t="n">
        <v>270.5</v>
      </c>
      <c r="H23" s="65" t="n">
        <v>183.3</v>
      </c>
      <c r="I23" s="65" t="n">
        <v>186.1</v>
      </c>
      <c r="J23" s="65" t="n">
        <v>173</v>
      </c>
      <c r="K23" s="65" t="n">
        <v>243.2</v>
      </c>
      <c r="L23" s="65" t="n">
        <v>152.7</v>
      </c>
      <c r="M23" s="65" t="n">
        <v>246.6</v>
      </c>
      <c r="N23" s="65" t="n">
        <v>167.3</v>
      </c>
      <c r="O23" s="65" t="n">
        <v>196.6</v>
      </c>
      <c r="P23" s="65" t="n">
        <v>106.6</v>
      </c>
      <c r="Q23" s="65" t="n">
        <v>125.7</v>
      </c>
      <c r="R23" s="65" t="n">
        <v>114.4</v>
      </c>
      <c r="S23" s="65" t="n">
        <v>318.5</v>
      </c>
      <c r="T23" s="65" t="n">
        <v>193.8</v>
      </c>
      <c r="U23" s="65" t="n">
        <v>186.3</v>
      </c>
      <c r="V23" s="65" t="n">
        <v>132.6</v>
      </c>
      <c r="W23" s="65" t="n">
        <v>277.2</v>
      </c>
      <c r="X23" s="65" t="n">
        <v>231.3</v>
      </c>
      <c r="Y23" s="65" t="n">
        <v>161.4</v>
      </c>
      <c r="Z23" s="65" t="n">
        <v>243.3</v>
      </c>
      <c r="AA23" s="65" t="n">
        <v>265.5</v>
      </c>
      <c r="AB23" s="65" t="n">
        <v>197.3</v>
      </c>
      <c r="AC23" s="65" t="n">
        <v>173.1</v>
      </c>
      <c r="AD23" s="65" t="n">
        <v>208.3</v>
      </c>
      <c r="AE23" s="65" t="n">
        <v>162.4</v>
      </c>
      <c r="AF23" s="65" t="n">
        <v>181.3</v>
      </c>
      <c r="AG23" s="65" t="n">
        <v>171.2</v>
      </c>
      <c r="AH23" s="65" t="n">
        <v>126.1</v>
      </c>
      <c r="AI23" s="65" t="n">
        <v>312.4</v>
      </c>
      <c r="AJ23" s="65" t="n">
        <v>309.4</v>
      </c>
      <c r="AK23" s="65" t="n">
        <v>334.3</v>
      </c>
      <c r="AL23" s="65" t="n">
        <v>318.4</v>
      </c>
      <c r="AM23" s="65" t="n">
        <v>174</v>
      </c>
      <c r="AN23" s="65" t="n">
        <v>210.8</v>
      </c>
      <c r="AO23" s="65" t="n">
        <v>240.2</v>
      </c>
    </row>
    <row r="24">
      <c r="A24" s="64" t="inlineStr">
        <is>
          <t>부문별 매출 · 不動産販売事業、報告セグメント [メンバー]</t>
        </is>
      </c>
      <c r="B24" s="65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  <c r="Z24" s="65" t="n"/>
      <c r="AA24" s="65" t="n"/>
      <c r="AB24" s="65" t="n">
        <v>134.8</v>
      </c>
      <c r="AC24" s="65" t="n">
        <v>137.5</v>
      </c>
      <c r="AD24" s="65" t="n">
        <v>154.2</v>
      </c>
      <c r="AE24" s="65" t="n">
        <v>169</v>
      </c>
      <c r="AF24" s="65" t="n">
        <v>342.6</v>
      </c>
      <c r="AG24" s="65" t="n">
        <v>94.8</v>
      </c>
      <c r="AH24" s="65" t="n">
        <v>103.7</v>
      </c>
      <c r="AI24" s="65" t="n">
        <v>116.1</v>
      </c>
      <c r="AJ24" s="65" t="n">
        <v>234.9</v>
      </c>
      <c r="AK24" s="65" t="n">
        <v>183.8</v>
      </c>
      <c r="AL24" s="65" t="n">
        <v>180.4</v>
      </c>
      <c r="AM24" s="65" t="n">
        <v>266.9</v>
      </c>
      <c r="AN24" s="65" t="n">
        <v>258</v>
      </c>
      <c r="AO24" s="65" t="n">
        <v>361.3</v>
      </c>
      <c r="AP24" s="61" t="inlineStr">
        <is>
          <t>결산단신 부문 정보(외부 고객 매출)</t>
        </is>
      </c>
    </row>
    <row r="25">
      <c r="A25" s="64" t="inlineStr">
        <is>
          <t>부문별 매출 · OtherReportableSegmentsMember</t>
        </is>
      </c>
      <c r="B25" s="65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65" t="n"/>
      <c r="X25" s="65" t="n"/>
      <c r="Y25" s="65" t="n"/>
      <c r="Z25" s="65" t="n"/>
      <c r="AA25" s="65" t="n"/>
      <c r="AB25" s="65" t="n"/>
      <c r="AC25" s="65" t="n"/>
      <c r="AD25" s="65" t="n">
        <v>55.3</v>
      </c>
      <c r="AE25" s="65" t="n">
        <v>61.8</v>
      </c>
      <c r="AF25" s="65" t="n"/>
      <c r="AG25" s="65" t="n"/>
      <c r="AH25" s="65" t="n">
        <v>69.09999999999999</v>
      </c>
      <c r="AI25" s="65" t="n">
        <v>84.90000000000001</v>
      </c>
      <c r="AJ25" s="65" t="n"/>
      <c r="AK25" s="65" t="n"/>
      <c r="AL25" s="65" t="n">
        <v>67.8</v>
      </c>
      <c r="AM25" s="65" t="n">
        <v>77.3</v>
      </c>
      <c r="AN25" s="65" t="n"/>
      <c r="AO25" s="65" t="n"/>
      <c r="AP25" s="61" t="inlineStr">
        <is>
          <t>결산단신 부문 정보(외부 고객 매출)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2026-10-30T07:31:48Z</dcterms:created>
  <dcterms:modified xmlns:dcterms="http://purl.org/dc/terms/" xmlns:xsi="http://www.w3.org/2001/XMLSchema-instance" xsi:type="dcterms:W3CDTF">2026-10-30T07:33:42Z</dcterms:modified>
</cp:coreProperties>
</file>